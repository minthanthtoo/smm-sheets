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t Su\Latest 2025\Ko Sai File\"/>
    </mc:Choice>
  </mc:AlternateContent>
  <xr:revisionPtr revIDLastSave="0" documentId="13_ncr:1_{43CA053F-BE41-4BF5-BCEC-1DCF48C02F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vidual Sales" sheetId="1" r:id="rId1"/>
    <sheet name="Individual Sales (2)" sheetId="2" state="hidden" r:id="rId2"/>
  </sheets>
  <definedNames>
    <definedName name="_xlnm._FilterDatabase" localSheetId="0" hidden="1">'Individual Sales'!$A$3:$BC$3</definedName>
    <definedName name="_xlnm._FilterDatabase" localSheetId="1" hidden="1">'Individual Sales (2)'!$A$3:$BD$3</definedName>
    <definedName name="aa">#REF!</definedName>
    <definedName name="aaa">#REF!</definedName>
    <definedName name="aaaaaaa">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hh">MATCH(0.01,End_Bal,-1)+1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khbgfc" localSheetId="1">Scheduled_Payment+Extra_Payment</definedName>
    <definedName name="khbgfc">Scheduled_Payment+Extra_Payment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um_Pmt_Per_Year">#REF!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1">DATE(YEAR([0]!Loan_Start),MONTH([0]!Loan_Start)+Payment_Number,DAY([0]!Loan_Start))</definedName>
    <definedName name="Payment_Date">DATE(YEAR(Loan_Start),MONTH(Loan_Start)+Payment_Number,DAY(Loan_Start))</definedName>
    <definedName name="Princ">#REF!</definedName>
    <definedName name="_xlnm.Print_Area" localSheetId="0">'Individual Sales'!$B$1:$J$290</definedName>
    <definedName name="_xlnm.Print_Area" localSheetId="1">'Individual Sales (2)'!$B$1:$K$134</definedName>
    <definedName name="Print_Area_Reset">OFFSET(Full_Print,0,0,Last_Row)</definedName>
    <definedName name="_xlnm.Print_Titles" localSheetId="0">'Individual Sales'!$2:$3</definedName>
    <definedName name="_xlnm.Print_Titles" localSheetId="1">'Individual Sales (2)'!$2:$3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tdk">#REF!</definedName>
    <definedName name="Total_Interest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Values_Entered">IF(Loan_Amount*Interest_Rate*Loan_Years*Loan_Start&gt;0,1,0)</definedName>
    <definedName name="vkhfkgf">#REF!</definedName>
    <definedName name="vvvv">#N/A</definedName>
  </definedNames>
  <calcPr calcId="191029"/>
</workbook>
</file>

<file path=xl/calcChain.xml><?xml version="1.0" encoding="utf-8"?>
<calcChain xmlns="http://schemas.openxmlformats.org/spreadsheetml/2006/main">
  <c r="CQ315" i="1" l="1"/>
  <c r="CR315" i="1"/>
  <c r="CS315" i="1"/>
  <c r="CT315" i="1"/>
  <c r="CU315" i="1"/>
  <c r="CV315" i="1"/>
  <c r="CW315" i="1"/>
  <c r="CX315" i="1"/>
  <c r="CY315" i="1"/>
  <c r="CZ315" i="1"/>
  <c r="DA315" i="1"/>
  <c r="DB315" i="1"/>
  <c r="DC315" i="1"/>
  <c r="DD315" i="1"/>
  <c r="DE315" i="1"/>
  <c r="DF315" i="1"/>
  <c r="DG315" i="1"/>
  <c r="DH315" i="1"/>
  <c r="DI315" i="1"/>
  <c r="DJ315" i="1"/>
  <c r="DK315" i="1"/>
  <c r="DL315" i="1"/>
  <c r="DM315" i="1"/>
  <c r="DN315" i="1"/>
  <c r="DO315" i="1"/>
  <c r="DP315" i="1"/>
  <c r="DQ315" i="1"/>
  <c r="DR315" i="1"/>
  <c r="DS315" i="1"/>
  <c r="DT315" i="1"/>
  <c r="DU315" i="1"/>
  <c r="DV315" i="1"/>
  <c r="DW315" i="1"/>
  <c r="DX315" i="1"/>
  <c r="DY315" i="1"/>
  <c r="DZ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K315" i="1"/>
  <c r="AL315" i="1"/>
  <c r="AN315" i="1"/>
  <c r="AQ315" i="1"/>
  <c r="AR315" i="1"/>
  <c r="AS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K315" i="1"/>
  <c r="CK247" i="1"/>
  <c r="CN247" i="1" s="1"/>
  <c r="CL247" i="1"/>
  <c r="CO247" i="1" s="1"/>
  <c r="CM247" i="1"/>
  <c r="CP247" i="1" s="1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CK287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AT287" i="2"/>
  <c r="AS287" i="2"/>
  <c r="AR287" i="2"/>
  <c r="AO287" i="2"/>
  <c r="AM287" i="2"/>
  <c r="AL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CN286" i="2"/>
  <c r="CQ286" i="2" s="1"/>
  <c r="CM286" i="2"/>
  <c r="CP286" i="2" s="1"/>
  <c r="CL286" i="2"/>
  <c r="CO286" i="2" s="1"/>
  <c r="CP285" i="2"/>
  <c r="CN285" i="2"/>
  <c r="CQ285" i="2" s="1"/>
  <c r="CM285" i="2"/>
  <c r="CL285" i="2"/>
  <c r="CO285" i="2" s="1"/>
  <c r="CP284" i="2"/>
  <c r="CN284" i="2"/>
  <c r="CQ284" i="2" s="1"/>
  <c r="CM284" i="2"/>
  <c r="CL284" i="2"/>
  <c r="CO284" i="2" s="1"/>
  <c r="CP283" i="2"/>
  <c r="CN283" i="2"/>
  <c r="CQ283" i="2" s="1"/>
  <c r="CM283" i="2"/>
  <c r="CL283" i="2"/>
  <c r="CO283" i="2" s="1"/>
  <c r="CP282" i="2"/>
  <c r="CN282" i="2"/>
  <c r="CQ282" i="2" s="1"/>
  <c r="CM282" i="2"/>
  <c r="CL282" i="2"/>
  <c r="CO282" i="2" s="1"/>
  <c r="CP281" i="2"/>
  <c r="CN281" i="2"/>
  <c r="CQ281" i="2" s="1"/>
  <c r="CM281" i="2"/>
  <c r="CL281" i="2"/>
  <c r="CO281" i="2" s="1"/>
  <c r="CP280" i="2"/>
  <c r="CN280" i="2"/>
  <c r="CQ280" i="2" s="1"/>
  <c r="CM280" i="2"/>
  <c r="CL280" i="2"/>
  <c r="CO280" i="2" s="1"/>
  <c r="CP279" i="2"/>
  <c r="CN279" i="2"/>
  <c r="CQ279" i="2" s="1"/>
  <c r="CM279" i="2"/>
  <c r="CL279" i="2"/>
  <c r="CO279" i="2" s="1"/>
  <c r="CP278" i="2"/>
  <c r="CN278" i="2"/>
  <c r="CQ278" i="2" s="1"/>
  <c r="CM278" i="2"/>
  <c r="CL278" i="2"/>
  <c r="CO278" i="2" s="1"/>
  <c r="CP277" i="2"/>
  <c r="CN277" i="2"/>
  <c r="CQ277" i="2" s="1"/>
  <c r="CM277" i="2"/>
  <c r="CL277" i="2"/>
  <c r="CO277" i="2" s="1"/>
  <c r="CP276" i="2"/>
  <c r="CN276" i="2"/>
  <c r="CQ276" i="2" s="1"/>
  <c r="CM276" i="2"/>
  <c r="CL276" i="2"/>
  <c r="CO276" i="2" s="1"/>
  <c r="CP275" i="2"/>
  <c r="CN275" i="2"/>
  <c r="CQ275" i="2" s="1"/>
  <c r="CM275" i="2"/>
  <c r="CL275" i="2"/>
  <c r="CO275" i="2" s="1"/>
  <c r="CP274" i="2"/>
  <c r="CN274" i="2"/>
  <c r="CQ274" i="2" s="1"/>
  <c r="CM274" i="2"/>
  <c r="CL274" i="2"/>
  <c r="CO274" i="2" s="1"/>
  <c r="CP273" i="2"/>
  <c r="CN273" i="2"/>
  <c r="CQ273" i="2" s="1"/>
  <c r="CM273" i="2"/>
  <c r="CL273" i="2"/>
  <c r="CO273" i="2" s="1"/>
  <c r="CP272" i="2"/>
  <c r="CN272" i="2"/>
  <c r="CQ272" i="2" s="1"/>
  <c r="CM272" i="2"/>
  <c r="CL272" i="2"/>
  <c r="CO272" i="2" s="1"/>
  <c r="CP271" i="2"/>
  <c r="CN271" i="2"/>
  <c r="CQ271" i="2" s="1"/>
  <c r="CM271" i="2"/>
  <c r="CL271" i="2"/>
  <c r="CO271" i="2" s="1"/>
  <c r="CP270" i="2"/>
  <c r="CN270" i="2"/>
  <c r="CQ270" i="2" s="1"/>
  <c r="CM270" i="2"/>
  <c r="CL270" i="2"/>
  <c r="CO270" i="2" s="1"/>
  <c r="CP269" i="2"/>
  <c r="CN269" i="2"/>
  <c r="CQ269" i="2" s="1"/>
  <c r="CM269" i="2"/>
  <c r="CL269" i="2"/>
  <c r="CO269" i="2" s="1"/>
  <c r="CP268" i="2"/>
  <c r="CN268" i="2"/>
  <c r="CQ268" i="2" s="1"/>
  <c r="CM268" i="2"/>
  <c r="CL268" i="2"/>
  <c r="CO268" i="2" s="1"/>
  <c r="CP267" i="2"/>
  <c r="CN267" i="2"/>
  <c r="CQ267" i="2" s="1"/>
  <c r="CM267" i="2"/>
  <c r="CL267" i="2"/>
  <c r="CO267" i="2" s="1"/>
  <c r="CP266" i="2"/>
  <c r="CN266" i="2"/>
  <c r="CQ266" i="2" s="1"/>
  <c r="CM266" i="2"/>
  <c r="CL266" i="2"/>
  <c r="CO266" i="2" s="1"/>
  <c r="CP265" i="2"/>
  <c r="CN265" i="2"/>
  <c r="CQ265" i="2" s="1"/>
  <c r="CM265" i="2"/>
  <c r="CL265" i="2"/>
  <c r="CO265" i="2" s="1"/>
  <c r="CP264" i="2"/>
  <c r="CN264" i="2"/>
  <c r="CQ264" i="2" s="1"/>
  <c r="CM264" i="2"/>
  <c r="CL264" i="2"/>
  <c r="CO264" i="2" s="1"/>
  <c r="CP263" i="2"/>
  <c r="CN263" i="2"/>
  <c r="CQ263" i="2" s="1"/>
  <c r="CM263" i="2"/>
  <c r="CL263" i="2"/>
  <c r="CO263" i="2" s="1"/>
  <c r="CP262" i="2"/>
  <c r="CN262" i="2"/>
  <c r="CQ262" i="2" s="1"/>
  <c r="CM262" i="2"/>
  <c r="CL262" i="2"/>
  <c r="CO262" i="2" s="1"/>
  <c r="CP261" i="2"/>
  <c r="CN261" i="2"/>
  <c r="CQ261" i="2" s="1"/>
  <c r="CM261" i="2"/>
  <c r="CL261" i="2"/>
  <c r="CO261" i="2" s="1"/>
  <c r="CP260" i="2"/>
  <c r="CN260" i="2"/>
  <c r="CQ260" i="2" s="1"/>
  <c r="CM260" i="2"/>
  <c r="CL260" i="2"/>
  <c r="CO260" i="2" s="1"/>
  <c r="CP259" i="2"/>
  <c r="CN259" i="2"/>
  <c r="CQ259" i="2" s="1"/>
  <c r="CM259" i="2"/>
  <c r="CL259" i="2"/>
  <c r="CO259" i="2" s="1"/>
  <c r="CP258" i="2"/>
  <c r="CN258" i="2"/>
  <c r="CQ258" i="2" s="1"/>
  <c r="CM258" i="2"/>
  <c r="CL258" i="2"/>
  <c r="CO258" i="2" s="1"/>
  <c r="CP257" i="2"/>
  <c r="CN257" i="2"/>
  <c r="CQ257" i="2" s="1"/>
  <c r="CM257" i="2"/>
  <c r="CL257" i="2"/>
  <c r="CO257" i="2" s="1"/>
  <c r="CP256" i="2"/>
  <c r="CN256" i="2"/>
  <c r="CQ256" i="2" s="1"/>
  <c r="CM256" i="2"/>
  <c r="CL256" i="2"/>
  <c r="CO256" i="2" s="1"/>
  <c r="CP255" i="2"/>
  <c r="CN255" i="2"/>
  <c r="CQ255" i="2" s="1"/>
  <c r="CM255" i="2"/>
  <c r="CL255" i="2"/>
  <c r="CO255" i="2" s="1"/>
  <c r="CP254" i="2"/>
  <c r="CN254" i="2"/>
  <c r="CQ254" i="2" s="1"/>
  <c r="CM254" i="2"/>
  <c r="CL254" i="2"/>
  <c r="CO254" i="2" s="1"/>
  <c r="CP253" i="2"/>
  <c r="CN253" i="2"/>
  <c r="CQ253" i="2" s="1"/>
  <c r="CM253" i="2"/>
  <c r="CL253" i="2"/>
  <c r="CO253" i="2" s="1"/>
  <c r="CP252" i="2"/>
  <c r="CN252" i="2"/>
  <c r="CQ252" i="2" s="1"/>
  <c r="CM252" i="2"/>
  <c r="CL252" i="2"/>
  <c r="CO252" i="2" s="1"/>
  <c r="CP251" i="2"/>
  <c r="CN251" i="2"/>
  <c r="CQ251" i="2" s="1"/>
  <c r="CM251" i="2"/>
  <c r="CL251" i="2"/>
  <c r="CO251" i="2" s="1"/>
  <c r="CP250" i="2"/>
  <c r="CN250" i="2"/>
  <c r="CQ250" i="2" s="1"/>
  <c r="CM250" i="2"/>
  <c r="CL250" i="2"/>
  <c r="CO250" i="2" s="1"/>
  <c r="CP249" i="2"/>
  <c r="CN249" i="2"/>
  <c r="CQ249" i="2" s="1"/>
  <c r="CM249" i="2"/>
  <c r="CL249" i="2"/>
  <c r="CO249" i="2" s="1"/>
  <c r="CP248" i="2"/>
  <c r="CN248" i="2"/>
  <c r="CQ248" i="2" s="1"/>
  <c r="CM248" i="2"/>
  <c r="CL248" i="2"/>
  <c r="CO248" i="2" s="1"/>
  <c r="CP247" i="2"/>
  <c r="CN247" i="2"/>
  <c r="CQ247" i="2" s="1"/>
  <c r="CM247" i="2"/>
  <c r="CL247" i="2"/>
  <c r="CO247" i="2" s="1"/>
  <c r="CP246" i="2"/>
  <c r="CN246" i="2"/>
  <c r="CQ246" i="2" s="1"/>
  <c r="CM246" i="2"/>
  <c r="CL246" i="2"/>
  <c r="CO246" i="2" s="1"/>
  <c r="CP245" i="2"/>
  <c r="CN245" i="2"/>
  <c r="CQ245" i="2" s="1"/>
  <c r="CM245" i="2"/>
  <c r="CL245" i="2"/>
  <c r="CO245" i="2" s="1"/>
  <c r="CP244" i="2"/>
  <c r="CN244" i="2"/>
  <c r="CQ244" i="2" s="1"/>
  <c r="CM244" i="2"/>
  <c r="CL244" i="2"/>
  <c r="CO244" i="2" s="1"/>
  <c r="CP243" i="2"/>
  <c r="CN243" i="2"/>
  <c r="CQ243" i="2" s="1"/>
  <c r="CM243" i="2"/>
  <c r="CL243" i="2"/>
  <c r="CO243" i="2" s="1"/>
  <c r="CP242" i="2"/>
  <c r="CN242" i="2"/>
  <c r="CQ242" i="2" s="1"/>
  <c r="CM242" i="2"/>
  <c r="CL242" i="2"/>
  <c r="CO242" i="2" s="1"/>
  <c r="CP241" i="2"/>
  <c r="CN241" i="2"/>
  <c r="CQ241" i="2" s="1"/>
  <c r="CM241" i="2"/>
  <c r="CL241" i="2"/>
  <c r="CO241" i="2" s="1"/>
  <c r="CP240" i="2"/>
  <c r="CN240" i="2"/>
  <c r="CQ240" i="2" s="1"/>
  <c r="CM240" i="2"/>
  <c r="CL240" i="2"/>
  <c r="CO240" i="2" s="1"/>
  <c r="CP239" i="2"/>
  <c r="CN239" i="2"/>
  <c r="CQ239" i="2" s="1"/>
  <c r="CM239" i="2"/>
  <c r="CL239" i="2"/>
  <c r="CO239" i="2" s="1"/>
  <c r="CP238" i="2"/>
  <c r="CN238" i="2"/>
  <c r="CQ238" i="2" s="1"/>
  <c r="CM238" i="2"/>
  <c r="CL238" i="2"/>
  <c r="CO238" i="2" s="1"/>
  <c r="CP237" i="2"/>
  <c r="CN237" i="2"/>
  <c r="CQ237" i="2" s="1"/>
  <c r="CM237" i="2"/>
  <c r="CL237" i="2"/>
  <c r="CO237" i="2" s="1"/>
  <c r="CP236" i="2"/>
  <c r="CN236" i="2"/>
  <c r="CQ236" i="2" s="1"/>
  <c r="CM236" i="2"/>
  <c r="CL236" i="2"/>
  <c r="CO236" i="2" s="1"/>
  <c r="CP235" i="2"/>
  <c r="CN235" i="2"/>
  <c r="CQ235" i="2" s="1"/>
  <c r="CM235" i="2"/>
  <c r="CL235" i="2"/>
  <c r="CO235" i="2" s="1"/>
  <c r="CP234" i="2"/>
  <c r="CN234" i="2"/>
  <c r="CQ234" i="2" s="1"/>
  <c r="CM234" i="2"/>
  <c r="CL234" i="2"/>
  <c r="CO234" i="2" s="1"/>
  <c r="CP233" i="2"/>
  <c r="CN233" i="2"/>
  <c r="CQ233" i="2" s="1"/>
  <c r="CM233" i="2"/>
  <c r="CL233" i="2"/>
  <c r="CO233" i="2" s="1"/>
  <c r="CP232" i="2"/>
  <c r="CN232" i="2"/>
  <c r="CQ232" i="2" s="1"/>
  <c r="CM232" i="2"/>
  <c r="CL232" i="2"/>
  <c r="CO232" i="2" s="1"/>
  <c r="CP231" i="2"/>
  <c r="CN231" i="2"/>
  <c r="CQ231" i="2" s="1"/>
  <c r="CM231" i="2"/>
  <c r="CL231" i="2"/>
  <c r="CO231" i="2" s="1"/>
  <c r="CP230" i="2"/>
  <c r="CN230" i="2"/>
  <c r="CQ230" i="2" s="1"/>
  <c r="CM230" i="2"/>
  <c r="CL230" i="2"/>
  <c r="CO230" i="2" s="1"/>
  <c r="CP229" i="2"/>
  <c r="CN229" i="2"/>
  <c r="CQ229" i="2" s="1"/>
  <c r="CM229" i="2"/>
  <c r="CL229" i="2"/>
  <c r="CO229" i="2" s="1"/>
  <c r="CP228" i="2"/>
  <c r="CN228" i="2"/>
  <c r="CQ228" i="2" s="1"/>
  <c r="CM228" i="2"/>
  <c r="CL228" i="2"/>
  <c r="CO228" i="2" s="1"/>
  <c r="CP227" i="2"/>
  <c r="CN227" i="2"/>
  <c r="CQ227" i="2" s="1"/>
  <c r="CM227" i="2"/>
  <c r="CL227" i="2"/>
  <c r="CO227" i="2" s="1"/>
  <c r="CP226" i="2"/>
  <c r="CN226" i="2"/>
  <c r="CQ226" i="2" s="1"/>
  <c r="CM226" i="2"/>
  <c r="CL226" i="2"/>
  <c r="CO226" i="2" s="1"/>
  <c r="CP225" i="2"/>
  <c r="CN225" i="2"/>
  <c r="CQ225" i="2" s="1"/>
  <c r="CM225" i="2"/>
  <c r="CL225" i="2"/>
  <c r="CO225" i="2" s="1"/>
  <c r="CP224" i="2"/>
  <c r="CN224" i="2"/>
  <c r="CQ224" i="2" s="1"/>
  <c r="CM224" i="2"/>
  <c r="CL224" i="2"/>
  <c r="CO224" i="2" s="1"/>
  <c r="CP223" i="2"/>
  <c r="CN223" i="2"/>
  <c r="CQ223" i="2" s="1"/>
  <c r="CM223" i="2"/>
  <c r="CL223" i="2"/>
  <c r="CO223" i="2" s="1"/>
  <c r="CP222" i="2"/>
  <c r="CN222" i="2"/>
  <c r="CQ222" i="2" s="1"/>
  <c r="CM222" i="2"/>
  <c r="CL222" i="2"/>
  <c r="CO222" i="2" s="1"/>
  <c r="CP221" i="2"/>
  <c r="CN221" i="2"/>
  <c r="CQ221" i="2" s="1"/>
  <c r="CM221" i="2"/>
  <c r="CL221" i="2"/>
  <c r="CO221" i="2" s="1"/>
  <c r="CP220" i="2"/>
  <c r="CN220" i="2"/>
  <c r="CQ220" i="2" s="1"/>
  <c r="CM220" i="2"/>
  <c r="CL220" i="2"/>
  <c r="CO220" i="2" s="1"/>
  <c r="CP219" i="2"/>
  <c r="CN219" i="2"/>
  <c r="CQ219" i="2" s="1"/>
  <c r="CM219" i="2"/>
  <c r="CL219" i="2"/>
  <c r="CO219" i="2" s="1"/>
  <c r="CP218" i="2"/>
  <c r="CN218" i="2"/>
  <c r="CQ218" i="2" s="1"/>
  <c r="CM218" i="2"/>
  <c r="CL218" i="2"/>
  <c r="CO218" i="2" s="1"/>
  <c r="CP217" i="2"/>
  <c r="CN217" i="2"/>
  <c r="CQ217" i="2" s="1"/>
  <c r="CM217" i="2"/>
  <c r="CL217" i="2"/>
  <c r="CO217" i="2" s="1"/>
  <c r="CP216" i="2"/>
  <c r="CN216" i="2"/>
  <c r="CQ216" i="2" s="1"/>
  <c r="CM216" i="2"/>
  <c r="CL216" i="2"/>
  <c r="CO216" i="2" s="1"/>
  <c r="CP215" i="2"/>
  <c r="CN215" i="2"/>
  <c r="CQ215" i="2" s="1"/>
  <c r="CM215" i="2"/>
  <c r="CL215" i="2"/>
  <c r="CO215" i="2" s="1"/>
  <c r="CP214" i="2"/>
  <c r="CN214" i="2"/>
  <c r="CQ214" i="2" s="1"/>
  <c r="CM214" i="2"/>
  <c r="CL214" i="2"/>
  <c r="CO214" i="2" s="1"/>
  <c r="CP213" i="2"/>
  <c r="CN213" i="2"/>
  <c r="CQ213" i="2" s="1"/>
  <c r="CM213" i="2"/>
  <c r="CL213" i="2"/>
  <c r="CO213" i="2" s="1"/>
  <c r="CP212" i="2"/>
  <c r="CN212" i="2"/>
  <c r="CQ212" i="2" s="1"/>
  <c r="CM212" i="2"/>
  <c r="CL212" i="2"/>
  <c r="CO212" i="2" s="1"/>
  <c r="CP211" i="2"/>
  <c r="CN211" i="2"/>
  <c r="CQ211" i="2" s="1"/>
  <c r="CM211" i="2"/>
  <c r="CL211" i="2"/>
  <c r="CO211" i="2" s="1"/>
  <c r="CP210" i="2"/>
  <c r="CN210" i="2"/>
  <c r="CQ210" i="2" s="1"/>
  <c r="CM210" i="2"/>
  <c r="CL210" i="2"/>
  <c r="CO210" i="2" s="1"/>
  <c r="CP209" i="2"/>
  <c r="CN209" i="2"/>
  <c r="CQ209" i="2" s="1"/>
  <c r="CM209" i="2"/>
  <c r="CL209" i="2"/>
  <c r="CO209" i="2" s="1"/>
  <c r="CP208" i="2"/>
  <c r="CN208" i="2"/>
  <c r="CQ208" i="2" s="1"/>
  <c r="CM208" i="2"/>
  <c r="CL208" i="2"/>
  <c r="CO208" i="2" s="1"/>
  <c r="CP207" i="2"/>
  <c r="CN207" i="2"/>
  <c r="CQ207" i="2" s="1"/>
  <c r="CM207" i="2"/>
  <c r="CL207" i="2"/>
  <c r="CO207" i="2" s="1"/>
  <c r="CQ206" i="2"/>
  <c r="CP206" i="2"/>
  <c r="CN206" i="2"/>
  <c r="CM206" i="2"/>
  <c r="CL206" i="2"/>
  <c r="CO206" i="2" s="1"/>
  <c r="CO205" i="2"/>
  <c r="CN205" i="2"/>
  <c r="CQ205" i="2" s="1"/>
  <c r="CM205" i="2"/>
  <c r="CP205" i="2" s="1"/>
  <c r="CL205" i="2"/>
  <c r="CQ204" i="2"/>
  <c r="CP204" i="2"/>
  <c r="CN204" i="2"/>
  <c r="CM204" i="2"/>
  <c r="CL204" i="2"/>
  <c r="CO204" i="2" s="1"/>
  <c r="CO203" i="2"/>
  <c r="CN203" i="2"/>
  <c r="CQ203" i="2" s="1"/>
  <c r="CM203" i="2"/>
  <c r="CP203" i="2" s="1"/>
  <c r="CL203" i="2"/>
  <c r="CQ202" i="2"/>
  <c r="CP202" i="2"/>
  <c r="CO202" i="2"/>
  <c r="CN202" i="2"/>
  <c r="CM202" i="2"/>
  <c r="CL202" i="2"/>
  <c r="CQ201" i="2"/>
  <c r="CO201" i="2"/>
  <c r="CN201" i="2"/>
  <c r="CM201" i="2"/>
  <c r="CP201" i="2" s="1"/>
  <c r="CL201" i="2"/>
  <c r="CQ200" i="2"/>
  <c r="CP200" i="2"/>
  <c r="CO200" i="2"/>
  <c r="CN200" i="2"/>
  <c r="CM200" i="2"/>
  <c r="CL200" i="2"/>
  <c r="CQ199" i="2"/>
  <c r="CO199" i="2"/>
  <c r="CN199" i="2"/>
  <c r="CM199" i="2"/>
  <c r="CP199" i="2" s="1"/>
  <c r="CL199" i="2"/>
  <c r="CQ198" i="2"/>
  <c r="CP198" i="2"/>
  <c r="CO198" i="2"/>
  <c r="CN198" i="2"/>
  <c r="CM198" i="2"/>
  <c r="CL198" i="2"/>
  <c r="CO197" i="2"/>
  <c r="CN197" i="2"/>
  <c r="CQ197" i="2" s="1"/>
  <c r="CM197" i="2"/>
  <c r="CP197" i="2" s="1"/>
  <c r="CL197" i="2"/>
  <c r="CQ196" i="2"/>
  <c r="CP196" i="2"/>
  <c r="CN196" i="2"/>
  <c r="CM196" i="2"/>
  <c r="CL196" i="2"/>
  <c r="CO196" i="2" s="1"/>
  <c r="CO195" i="2"/>
  <c r="CN195" i="2"/>
  <c r="CQ195" i="2" s="1"/>
  <c r="CM195" i="2"/>
  <c r="CP195" i="2" s="1"/>
  <c r="CL195" i="2"/>
  <c r="CQ194" i="2"/>
  <c r="CP194" i="2"/>
  <c r="CO194" i="2"/>
  <c r="CN194" i="2"/>
  <c r="CM194" i="2"/>
  <c r="CL194" i="2"/>
  <c r="CQ193" i="2"/>
  <c r="CO193" i="2"/>
  <c r="CN193" i="2"/>
  <c r="CM193" i="2"/>
  <c r="CP193" i="2" s="1"/>
  <c r="CL193" i="2"/>
  <c r="CQ192" i="2"/>
  <c r="CP192" i="2"/>
  <c r="CO192" i="2"/>
  <c r="CN192" i="2"/>
  <c r="CM192" i="2"/>
  <c r="CL192" i="2"/>
  <c r="CQ191" i="2"/>
  <c r="CO191" i="2"/>
  <c r="CN191" i="2"/>
  <c r="CM191" i="2"/>
  <c r="CP191" i="2" s="1"/>
  <c r="CL191" i="2"/>
  <c r="CQ190" i="2"/>
  <c r="CP190" i="2"/>
  <c r="CO190" i="2"/>
  <c r="CN190" i="2"/>
  <c r="CM190" i="2"/>
  <c r="CL190" i="2"/>
  <c r="CO189" i="2"/>
  <c r="CN189" i="2"/>
  <c r="CQ189" i="2" s="1"/>
  <c r="CM189" i="2"/>
  <c r="CP189" i="2" s="1"/>
  <c r="CL189" i="2"/>
  <c r="CQ188" i="2"/>
  <c r="CP188" i="2"/>
  <c r="CN188" i="2"/>
  <c r="CM188" i="2"/>
  <c r="CL188" i="2"/>
  <c r="CO188" i="2" s="1"/>
  <c r="CO187" i="2"/>
  <c r="CN187" i="2"/>
  <c r="CQ187" i="2" s="1"/>
  <c r="CM187" i="2"/>
  <c r="CP187" i="2" s="1"/>
  <c r="CL187" i="2"/>
  <c r="CQ186" i="2"/>
  <c r="CP186" i="2"/>
  <c r="CO186" i="2"/>
  <c r="CN186" i="2"/>
  <c r="CM186" i="2"/>
  <c r="CL186" i="2"/>
  <c r="CQ185" i="2"/>
  <c r="CO185" i="2"/>
  <c r="CN185" i="2"/>
  <c r="CM185" i="2"/>
  <c r="CP185" i="2" s="1"/>
  <c r="CL185" i="2"/>
  <c r="CQ184" i="2"/>
  <c r="CP184" i="2"/>
  <c r="CO184" i="2"/>
  <c r="CN184" i="2"/>
  <c r="CM184" i="2"/>
  <c r="CL184" i="2"/>
  <c r="CQ183" i="2"/>
  <c r="CO183" i="2"/>
  <c r="CN183" i="2"/>
  <c r="CM183" i="2"/>
  <c r="CP183" i="2" s="1"/>
  <c r="CL183" i="2"/>
  <c r="CQ182" i="2"/>
  <c r="CP182" i="2"/>
  <c r="CO182" i="2"/>
  <c r="CN182" i="2"/>
  <c r="CM182" i="2"/>
  <c r="CL182" i="2"/>
  <c r="CO181" i="2"/>
  <c r="CN181" i="2"/>
  <c r="CQ181" i="2" s="1"/>
  <c r="CM181" i="2"/>
  <c r="CP181" i="2" s="1"/>
  <c r="CL181" i="2"/>
  <c r="CQ180" i="2"/>
  <c r="CP180" i="2"/>
  <c r="CN180" i="2"/>
  <c r="CM180" i="2"/>
  <c r="CL180" i="2"/>
  <c r="CO180" i="2" s="1"/>
  <c r="CO179" i="2"/>
  <c r="CN179" i="2"/>
  <c r="CQ179" i="2" s="1"/>
  <c r="CM179" i="2"/>
  <c r="CP179" i="2" s="1"/>
  <c r="CL179" i="2"/>
  <c r="CQ178" i="2"/>
  <c r="CP178" i="2"/>
  <c r="CO178" i="2"/>
  <c r="CN178" i="2"/>
  <c r="CM178" i="2"/>
  <c r="CL178" i="2"/>
  <c r="CQ177" i="2"/>
  <c r="CO177" i="2"/>
  <c r="CN177" i="2"/>
  <c r="CM177" i="2"/>
  <c r="CP177" i="2" s="1"/>
  <c r="CL177" i="2"/>
  <c r="CQ176" i="2"/>
  <c r="CP176" i="2"/>
  <c r="CO176" i="2"/>
  <c r="CN176" i="2"/>
  <c r="CM176" i="2"/>
  <c r="CL176" i="2"/>
  <c r="CQ175" i="2"/>
  <c r="CO175" i="2"/>
  <c r="CN175" i="2"/>
  <c r="CM175" i="2"/>
  <c r="CP175" i="2" s="1"/>
  <c r="CL175" i="2"/>
  <c r="CQ174" i="2"/>
  <c r="CP174" i="2"/>
  <c r="CO174" i="2"/>
  <c r="CN174" i="2"/>
  <c r="CM174" i="2"/>
  <c r="CL174" i="2"/>
  <c r="CO173" i="2"/>
  <c r="CN173" i="2"/>
  <c r="CQ173" i="2" s="1"/>
  <c r="CM173" i="2"/>
  <c r="CP173" i="2" s="1"/>
  <c r="CL173" i="2"/>
  <c r="CQ172" i="2"/>
  <c r="CP172" i="2"/>
  <c r="CN172" i="2"/>
  <c r="CM172" i="2"/>
  <c r="CL172" i="2"/>
  <c r="CO172" i="2" s="1"/>
  <c r="CO171" i="2"/>
  <c r="CN171" i="2"/>
  <c r="CQ171" i="2" s="1"/>
  <c r="CM171" i="2"/>
  <c r="CP171" i="2" s="1"/>
  <c r="CL171" i="2"/>
  <c r="CQ170" i="2"/>
  <c r="CP170" i="2"/>
  <c r="CO170" i="2"/>
  <c r="CN170" i="2"/>
  <c r="CM170" i="2"/>
  <c r="CL170" i="2"/>
  <c r="CQ169" i="2"/>
  <c r="CO169" i="2"/>
  <c r="CN169" i="2"/>
  <c r="CM169" i="2"/>
  <c r="CP169" i="2" s="1"/>
  <c r="CL169" i="2"/>
  <c r="CQ168" i="2"/>
  <c r="CP168" i="2"/>
  <c r="CO168" i="2"/>
  <c r="CN168" i="2"/>
  <c r="CM168" i="2"/>
  <c r="CL168" i="2"/>
  <c r="CQ167" i="2"/>
  <c r="CO167" i="2"/>
  <c r="CN167" i="2"/>
  <c r="CM167" i="2"/>
  <c r="CP167" i="2" s="1"/>
  <c r="CL167" i="2"/>
  <c r="CQ166" i="2"/>
  <c r="CP166" i="2"/>
  <c r="CO166" i="2"/>
  <c r="CN166" i="2"/>
  <c r="CM166" i="2"/>
  <c r="CL166" i="2"/>
  <c r="CO165" i="2"/>
  <c r="CN165" i="2"/>
  <c r="CQ165" i="2" s="1"/>
  <c r="CM165" i="2"/>
  <c r="CP165" i="2" s="1"/>
  <c r="CL165" i="2"/>
  <c r="CQ164" i="2"/>
  <c r="CP164" i="2"/>
  <c r="CN164" i="2"/>
  <c r="CM164" i="2"/>
  <c r="CL164" i="2"/>
  <c r="CO164" i="2" s="1"/>
  <c r="CO163" i="2"/>
  <c r="CN163" i="2"/>
  <c r="CQ163" i="2" s="1"/>
  <c r="CM163" i="2"/>
  <c r="CP163" i="2" s="1"/>
  <c r="CL163" i="2"/>
  <c r="CQ162" i="2"/>
  <c r="CP162" i="2"/>
  <c r="CO162" i="2"/>
  <c r="CN162" i="2"/>
  <c r="CM162" i="2"/>
  <c r="CL162" i="2"/>
  <c r="CQ161" i="2"/>
  <c r="CO161" i="2"/>
  <c r="CN161" i="2"/>
  <c r="CM161" i="2"/>
  <c r="CP161" i="2" s="1"/>
  <c r="CL161" i="2"/>
  <c r="CQ160" i="2"/>
  <c r="CP160" i="2"/>
  <c r="CO160" i="2"/>
  <c r="CN160" i="2"/>
  <c r="CM160" i="2"/>
  <c r="CL160" i="2"/>
  <c r="CQ159" i="2"/>
  <c r="CO159" i="2"/>
  <c r="CN159" i="2"/>
  <c r="CM159" i="2"/>
  <c r="CP159" i="2" s="1"/>
  <c r="CL159" i="2"/>
  <c r="CQ158" i="2"/>
  <c r="CP158" i="2"/>
  <c r="CO158" i="2"/>
  <c r="CN158" i="2"/>
  <c r="CM158" i="2"/>
  <c r="CL158" i="2"/>
  <c r="CO157" i="2"/>
  <c r="CN157" i="2"/>
  <c r="CQ157" i="2" s="1"/>
  <c r="CM157" i="2"/>
  <c r="CP157" i="2" s="1"/>
  <c r="CL157" i="2"/>
  <c r="CQ156" i="2"/>
  <c r="CP156" i="2"/>
  <c r="CN156" i="2"/>
  <c r="CM156" i="2"/>
  <c r="CL156" i="2"/>
  <c r="CO156" i="2" s="1"/>
  <c r="CO155" i="2"/>
  <c r="CN155" i="2"/>
  <c r="CQ155" i="2" s="1"/>
  <c r="CM155" i="2"/>
  <c r="CP155" i="2" s="1"/>
  <c r="CL155" i="2"/>
  <c r="CQ154" i="2"/>
  <c r="CP154" i="2"/>
  <c r="CO154" i="2"/>
  <c r="CN154" i="2"/>
  <c r="CM154" i="2"/>
  <c r="CL154" i="2"/>
  <c r="BA154" i="2"/>
  <c r="AY154" i="2"/>
  <c r="AZ154" i="2" s="1"/>
  <c r="AX154" i="2"/>
  <c r="AW154" i="2"/>
  <c r="AV154" i="2"/>
  <c r="CQ153" i="2"/>
  <c r="CP153" i="2"/>
  <c r="CO153" i="2"/>
  <c r="CN153" i="2"/>
  <c r="CM153" i="2"/>
  <c r="CL153" i="2"/>
  <c r="BA153" i="2"/>
  <c r="AY153" i="2"/>
  <c r="AZ153" i="2" s="1"/>
  <c r="AX153" i="2"/>
  <c r="AW153" i="2"/>
  <c r="AV153" i="2"/>
  <c r="CQ152" i="2"/>
  <c r="CP152" i="2"/>
  <c r="CO152" i="2"/>
  <c r="CN152" i="2"/>
  <c r="CM152" i="2"/>
  <c r="CL152" i="2"/>
  <c r="AY152" i="2"/>
  <c r="AZ152" i="2" s="1"/>
  <c r="AX152" i="2"/>
  <c r="BA152" i="2" s="1"/>
  <c r="AW152" i="2"/>
  <c r="AV152" i="2"/>
  <c r="CQ151" i="2"/>
  <c r="CP151" i="2"/>
  <c r="CN151" i="2"/>
  <c r="CM151" i="2"/>
  <c r="CL151" i="2"/>
  <c r="CO151" i="2" s="1"/>
  <c r="AY151" i="2"/>
  <c r="AZ151" i="2" s="1"/>
  <c r="AX151" i="2"/>
  <c r="BA151" i="2" s="1"/>
  <c r="AW151" i="2"/>
  <c r="AV151" i="2"/>
  <c r="CQ150" i="2"/>
  <c r="CP150" i="2"/>
  <c r="CO150" i="2"/>
  <c r="CN150" i="2"/>
  <c r="CM150" i="2"/>
  <c r="CL150" i="2"/>
  <c r="BA150" i="2"/>
  <c r="AY150" i="2"/>
  <c r="AZ150" i="2" s="1"/>
  <c r="AX150" i="2"/>
  <c r="AW150" i="2"/>
  <c r="AV150" i="2"/>
  <c r="CQ149" i="2"/>
  <c r="CP149" i="2"/>
  <c r="CO149" i="2"/>
  <c r="CN149" i="2"/>
  <c r="CM149" i="2"/>
  <c r="CL149" i="2"/>
  <c r="BA149" i="2"/>
  <c r="AY149" i="2"/>
  <c r="AZ149" i="2" s="1"/>
  <c r="AX149" i="2"/>
  <c r="AW149" i="2"/>
  <c r="AV149" i="2"/>
  <c r="CQ148" i="2"/>
  <c r="CO148" i="2"/>
  <c r="CN148" i="2"/>
  <c r="CM148" i="2"/>
  <c r="CP148" i="2" s="1"/>
  <c r="CL148" i="2"/>
  <c r="AY148" i="2"/>
  <c r="AZ148" i="2" s="1"/>
  <c r="AX148" i="2"/>
  <c r="BA148" i="2" s="1"/>
  <c r="AW148" i="2"/>
  <c r="AV148" i="2"/>
  <c r="CQ147" i="2"/>
  <c r="CP147" i="2"/>
  <c r="CN147" i="2"/>
  <c r="CM147" i="2"/>
  <c r="CL147" i="2"/>
  <c r="CO147" i="2" s="1"/>
  <c r="AY147" i="2"/>
  <c r="AZ147" i="2" s="1"/>
  <c r="AX147" i="2"/>
  <c r="BA147" i="2" s="1"/>
  <c r="AW147" i="2"/>
  <c r="AV147" i="2"/>
  <c r="CQ146" i="2"/>
  <c r="CP146" i="2"/>
  <c r="CO146" i="2"/>
  <c r="CN146" i="2"/>
  <c r="CM146" i="2"/>
  <c r="CL146" i="2"/>
  <c r="BA146" i="2"/>
  <c r="AY146" i="2"/>
  <c r="AZ146" i="2" s="1"/>
  <c r="AX146" i="2"/>
  <c r="AW146" i="2"/>
  <c r="AV146" i="2"/>
  <c r="CQ145" i="2"/>
  <c r="CP145" i="2"/>
  <c r="CO145" i="2"/>
  <c r="CN145" i="2"/>
  <c r="CM145" i="2"/>
  <c r="CL145" i="2"/>
  <c r="BA145" i="2"/>
  <c r="AY145" i="2"/>
  <c r="AZ145" i="2" s="1"/>
  <c r="AX145" i="2"/>
  <c r="AW145" i="2"/>
  <c r="AV145" i="2"/>
  <c r="CQ144" i="2"/>
  <c r="CO144" i="2"/>
  <c r="CN144" i="2"/>
  <c r="CM144" i="2"/>
  <c r="CP144" i="2" s="1"/>
  <c r="CL144" i="2"/>
  <c r="AY144" i="2"/>
  <c r="AZ144" i="2" s="1"/>
  <c r="AX144" i="2"/>
  <c r="BA144" i="2" s="1"/>
  <c r="AW144" i="2"/>
  <c r="AV144" i="2"/>
  <c r="CQ143" i="2"/>
  <c r="CP143" i="2"/>
  <c r="CN143" i="2"/>
  <c r="CM143" i="2"/>
  <c r="CL143" i="2"/>
  <c r="CO143" i="2" s="1"/>
  <c r="AY143" i="2"/>
  <c r="AZ143" i="2" s="1"/>
  <c r="AX143" i="2"/>
  <c r="BA143" i="2" s="1"/>
  <c r="AW143" i="2"/>
  <c r="AV143" i="2"/>
  <c r="AU143" i="2"/>
  <c r="AU287" i="2" s="1"/>
  <c r="CQ142" i="2"/>
  <c r="CP142" i="2"/>
  <c r="CN142" i="2"/>
  <c r="CM142" i="2"/>
  <c r="CL142" i="2"/>
  <c r="CO142" i="2" s="1"/>
  <c r="AZ142" i="2"/>
  <c r="AX142" i="2"/>
  <c r="BA142" i="2" s="1"/>
  <c r="AW142" i="2"/>
  <c r="AV142" i="2"/>
  <c r="AY142" i="2" s="1"/>
  <c r="CN141" i="2"/>
  <c r="CQ141" i="2" s="1"/>
  <c r="CM141" i="2"/>
  <c r="CP141" i="2" s="1"/>
  <c r="CL141" i="2"/>
  <c r="CO141" i="2" s="1"/>
  <c r="AY141" i="2"/>
  <c r="AZ141" i="2" s="1"/>
  <c r="AX141" i="2"/>
  <c r="BA141" i="2" s="1"/>
  <c r="AW141" i="2"/>
  <c r="AV141" i="2"/>
  <c r="CQ140" i="2"/>
  <c r="CP140" i="2"/>
  <c r="CN140" i="2"/>
  <c r="CM140" i="2"/>
  <c r="CL140" i="2"/>
  <c r="CO140" i="2" s="1"/>
  <c r="AZ140" i="2"/>
  <c r="AX140" i="2"/>
  <c r="BA140" i="2" s="1"/>
  <c r="AW140" i="2"/>
  <c r="AV140" i="2"/>
  <c r="AY140" i="2" s="1"/>
  <c r="CN139" i="2"/>
  <c r="CQ139" i="2" s="1"/>
  <c r="CM139" i="2"/>
  <c r="CP139" i="2" s="1"/>
  <c r="CL139" i="2"/>
  <c r="CO139" i="2" s="1"/>
  <c r="AY139" i="2"/>
  <c r="AZ139" i="2" s="1"/>
  <c r="AX139" i="2"/>
  <c r="BA139" i="2" s="1"/>
  <c r="AW139" i="2"/>
  <c r="AV139" i="2"/>
  <c r="CQ138" i="2"/>
  <c r="CP138" i="2"/>
  <c r="CN138" i="2"/>
  <c r="CM138" i="2"/>
  <c r="CL138" i="2"/>
  <c r="CO138" i="2" s="1"/>
  <c r="AZ138" i="2"/>
  <c r="AX138" i="2"/>
  <c r="BA138" i="2" s="1"/>
  <c r="AW138" i="2"/>
  <c r="AV138" i="2"/>
  <c r="AY138" i="2" s="1"/>
  <c r="CN137" i="2"/>
  <c r="CQ137" i="2" s="1"/>
  <c r="CM137" i="2"/>
  <c r="CP137" i="2" s="1"/>
  <c r="CL137" i="2"/>
  <c r="CO137" i="2" s="1"/>
  <c r="AY137" i="2"/>
  <c r="AZ137" i="2" s="1"/>
  <c r="AX137" i="2"/>
  <c r="BA137" i="2" s="1"/>
  <c r="AW137" i="2"/>
  <c r="AV137" i="2"/>
  <c r="CQ136" i="2"/>
  <c r="CP136" i="2"/>
  <c r="CN136" i="2"/>
  <c r="CM136" i="2"/>
  <c r="CL136" i="2"/>
  <c r="CO136" i="2" s="1"/>
  <c r="AZ136" i="2"/>
  <c r="AX136" i="2"/>
  <c r="BA136" i="2" s="1"/>
  <c r="AW136" i="2"/>
  <c r="AV136" i="2"/>
  <c r="AY136" i="2" s="1"/>
  <c r="CN135" i="2"/>
  <c r="CQ135" i="2" s="1"/>
  <c r="CM135" i="2"/>
  <c r="CP135" i="2" s="1"/>
  <c r="CL135" i="2"/>
  <c r="CO135" i="2" s="1"/>
  <c r="AY135" i="2"/>
  <c r="AZ135" i="2" s="1"/>
  <c r="AX135" i="2"/>
  <c r="BA135" i="2" s="1"/>
  <c r="AW135" i="2"/>
  <c r="AV135" i="2"/>
  <c r="CQ134" i="2"/>
  <c r="CP134" i="2"/>
  <c r="CN134" i="2"/>
  <c r="CM134" i="2"/>
  <c r="CL134" i="2"/>
  <c r="CO134" i="2" s="1"/>
  <c r="AZ134" i="2"/>
  <c r="AX134" i="2"/>
  <c r="BA134" i="2" s="1"/>
  <c r="AW134" i="2"/>
  <c r="AV134" i="2"/>
  <c r="AY134" i="2" s="1"/>
  <c r="CN133" i="2"/>
  <c r="CQ133" i="2" s="1"/>
  <c r="CM133" i="2"/>
  <c r="CP133" i="2" s="1"/>
  <c r="CL133" i="2"/>
  <c r="CO133" i="2" s="1"/>
  <c r="AY133" i="2"/>
  <c r="AZ133" i="2" s="1"/>
  <c r="AX133" i="2"/>
  <c r="BA133" i="2" s="1"/>
  <c r="AW133" i="2"/>
  <c r="AV133" i="2"/>
  <c r="CQ132" i="2"/>
  <c r="CP132" i="2"/>
  <c r="CN132" i="2"/>
  <c r="CM132" i="2"/>
  <c r="CL132" i="2"/>
  <c r="CO132" i="2" s="1"/>
  <c r="AZ132" i="2"/>
  <c r="AX132" i="2"/>
  <c r="BA132" i="2" s="1"/>
  <c r="AW132" i="2"/>
  <c r="AV132" i="2"/>
  <c r="AY132" i="2" s="1"/>
  <c r="CN131" i="2"/>
  <c r="CQ131" i="2" s="1"/>
  <c r="CM131" i="2"/>
  <c r="CP131" i="2" s="1"/>
  <c r="CL131" i="2"/>
  <c r="CO131" i="2" s="1"/>
  <c r="AY131" i="2"/>
  <c r="AZ131" i="2" s="1"/>
  <c r="AX131" i="2"/>
  <c r="BA131" i="2" s="1"/>
  <c r="AW131" i="2"/>
  <c r="AV131" i="2"/>
  <c r="CQ130" i="2"/>
  <c r="CP130" i="2"/>
  <c r="CN130" i="2"/>
  <c r="CM130" i="2"/>
  <c r="CL130" i="2"/>
  <c r="CO130" i="2" s="1"/>
  <c r="AZ130" i="2"/>
  <c r="AX130" i="2"/>
  <c r="BA130" i="2" s="1"/>
  <c r="AW130" i="2"/>
  <c r="AV130" i="2"/>
  <c r="AY130" i="2" s="1"/>
  <c r="CN129" i="2"/>
  <c r="CQ129" i="2" s="1"/>
  <c r="CM129" i="2"/>
  <c r="CP129" i="2" s="1"/>
  <c r="CL129" i="2"/>
  <c r="CO129" i="2" s="1"/>
  <c r="AY129" i="2"/>
  <c r="AZ129" i="2" s="1"/>
  <c r="AX129" i="2"/>
  <c r="BA129" i="2" s="1"/>
  <c r="AW129" i="2"/>
  <c r="AV129" i="2"/>
  <c r="CQ128" i="2"/>
  <c r="CP128" i="2"/>
  <c r="CN128" i="2"/>
  <c r="CM128" i="2"/>
  <c r="CL128" i="2"/>
  <c r="CO128" i="2" s="1"/>
  <c r="AZ128" i="2"/>
  <c r="AX128" i="2"/>
  <c r="BA128" i="2" s="1"/>
  <c r="AW128" i="2"/>
  <c r="AV128" i="2"/>
  <c r="AY128" i="2" s="1"/>
  <c r="CN127" i="2"/>
  <c r="CQ127" i="2" s="1"/>
  <c r="CM127" i="2"/>
  <c r="CP127" i="2" s="1"/>
  <c r="CL127" i="2"/>
  <c r="CO127" i="2" s="1"/>
  <c r="AY127" i="2"/>
  <c r="AZ127" i="2" s="1"/>
  <c r="AX127" i="2"/>
  <c r="BA127" i="2" s="1"/>
  <c r="AW127" i="2"/>
  <c r="AV127" i="2"/>
  <c r="CQ126" i="2"/>
  <c r="CP126" i="2"/>
  <c r="CN126" i="2"/>
  <c r="CM126" i="2"/>
  <c r="CL126" i="2"/>
  <c r="CO126" i="2" s="1"/>
  <c r="AZ126" i="2"/>
  <c r="AX126" i="2"/>
  <c r="BA126" i="2" s="1"/>
  <c r="AW126" i="2"/>
  <c r="AV126" i="2"/>
  <c r="AY126" i="2" s="1"/>
  <c r="CN125" i="2"/>
  <c r="CQ125" i="2" s="1"/>
  <c r="CM125" i="2"/>
  <c r="CP125" i="2" s="1"/>
  <c r="CL125" i="2"/>
  <c r="CO125" i="2" s="1"/>
  <c r="AY125" i="2"/>
  <c r="AZ125" i="2" s="1"/>
  <c r="AX125" i="2"/>
  <c r="BA125" i="2" s="1"/>
  <c r="AW125" i="2"/>
  <c r="AV125" i="2"/>
  <c r="CQ124" i="2"/>
  <c r="CP124" i="2"/>
  <c r="CN124" i="2"/>
  <c r="CM124" i="2"/>
  <c r="CL124" i="2"/>
  <c r="CO124" i="2" s="1"/>
  <c r="AZ124" i="2"/>
  <c r="AX124" i="2"/>
  <c r="BA124" i="2" s="1"/>
  <c r="AW124" i="2"/>
  <c r="AV124" i="2"/>
  <c r="AY124" i="2" s="1"/>
  <c r="CN123" i="2"/>
  <c r="CQ123" i="2" s="1"/>
  <c r="CM123" i="2"/>
  <c r="CP123" i="2" s="1"/>
  <c r="CL123" i="2"/>
  <c r="CO123" i="2" s="1"/>
  <c r="AY123" i="2"/>
  <c r="AZ123" i="2" s="1"/>
  <c r="AX123" i="2"/>
  <c r="BA123" i="2" s="1"/>
  <c r="AW123" i="2"/>
  <c r="AV123" i="2"/>
  <c r="CQ122" i="2"/>
  <c r="CP122" i="2"/>
  <c r="CN122" i="2"/>
  <c r="CM122" i="2"/>
  <c r="CL122" i="2"/>
  <c r="CO122" i="2" s="1"/>
  <c r="AZ122" i="2"/>
  <c r="AX122" i="2"/>
  <c r="BA122" i="2" s="1"/>
  <c r="AW122" i="2"/>
  <c r="AV122" i="2"/>
  <c r="AY122" i="2" s="1"/>
  <c r="CN121" i="2"/>
  <c r="CQ121" i="2" s="1"/>
  <c r="CM121" i="2"/>
  <c r="CP121" i="2" s="1"/>
  <c r="CL121" i="2"/>
  <c r="CO121" i="2" s="1"/>
  <c r="AY121" i="2"/>
  <c r="AZ121" i="2" s="1"/>
  <c r="AX121" i="2"/>
  <c r="BA121" i="2" s="1"/>
  <c r="AW121" i="2"/>
  <c r="AV121" i="2"/>
  <c r="CQ120" i="2"/>
  <c r="CP120" i="2"/>
  <c r="CN120" i="2"/>
  <c r="CM120" i="2"/>
  <c r="CL120" i="2"/>
  <c r="CO120" i="2" s="1"/>
  <c r="AZ120" i="2"/>
  <c r="AX120" i="2"/>
  <c r="BA120" i="2" s="1"/>
  <c r="AW120" i="2"/>
  <c r="AV120" i="2"/>
  <c r="AY120" i="2" s="1"/>
  <c r="CN119" i="2"/>
  <c r="CQ119" i="2" s="1"/>
  <c r="CM119" i="2"/>
  <c r="CP119" i="2" s="1"/>
  <c r="CL119" i="2"/>
  <c r="CO119" i="2" s="1"/>
  <c r="AY119" i="2"/>
  <c r="AZ119" i="2" s="1"/>
  <c r="AX119" i="2"/>
  <c r="BA119" i="2" s="1"/>
  <c r="AW119" i="2"/>
  <c r="AV119" i="2"/>
  <c r="CQ118" i="2"/>
  <c r="CP118" i="2"/>
  <c r="CN118" i="2"/>
  <c r="CM118" i="2"/>
  <c r="CL118" i="2"/>
  <c r="CO118" i="2" s="1"/>
  <c r="AZ118" i="2"/>
  <c r="AX118" i="2"/>
  <c r="BA118" i="2" s="1"/>
  <c r="AW118" i="2"/>
  <c r="AV118" i="2"/>
  <c r="AY118" i="2" s="1"/>
  <c r="CN117" i="2"/>
  <c r="CQ117" i="2" s="1"/>
  <c r="CM117" i="2"/>
  <c r="CP117" i="2" s="1"/>
  <c r="CL117" i="2"/>
  <c r="CO117" i="2" s="1"/>
  <c r="AY117" i="2"/>
  <c r="AZ117" i="2" s="1"/>
  <c r="AX117" i="2"/>
  <c r="BA117" i="2" s="1"/>
  <c r="AW117" i="2"/>
  <c r="AV117" i="2"/>
  <c r="CQ116" i="2"/>
  <c r="CP116" i="2"/>
  <c r="CN116" i="2"/>
  <c r="CM116" i="2"/>
  <c r="CL116" i="2"/>
  <c r="CO116" i="2" s="1"/>
  <c r="AZ116" i="2"/>
  <c r="AX116" i="2"/>
  <c r="BA116" i="2" s="1"/>
  <c r="AW116" i="2"/>
  <c r="AV116" i="2"/>
  <c r="AY116" i="2" s="1"/>
  <c r="CN115" i="2"/>
  <c r="CQ115" i="2" s="1"/>
  <c r="CM115" i="2"/>
  <c r="CP115" i="2" s="1"/>
  <c r="CL115" i="2"/>
  <c r="CO115" i="2" s="1"/>
  <c r="AY115" i="2"/>
  <c r="AZ115" i="2" s="1"/>
  <c r="AX115" i="2"/>
  <c r="BA115" i="2" s="1"/>
  <c r="AW115" i="2"/>
  <c r="AV115" i="2"/>
  <c r="CQ114" i="2"/>
  <c r="CP114" i="2"/>
  <c r="CN114" i="2"/>
  <c r="CM114" i="2"/>
  <c r="CL114" i="2"/>
  <c r="CO114" i="2" s="1"/>
  <c r="AZ114" i="2"/>
  <c r="AX114" i="2"/>
  <c r="BA114" i="2" s="1"/>
  <c r="AW114" i="2"/>
  <c r="AV114" i="2"/>
  <c r="AY114" i="2" s="1"/>
  <c r="CN113" i="2"/>
  <c r="CQ113" i="2" s="1"/>
  <c r="CM113" i="2"/>
  <c r="CP113" i="2" s="1"/>
  <c r="CL113" i="2"/>
  <c r="CO113" i="2" s="1"/>
  <c r="AY113" i="2"/>
  <c r="AZ113" i="2" s="1"/>
  <c r="AX113" i="2"/>
  <c r="BA113" i="2" s="1"/>
  <c r="AW113" i="2"/>
  <c r="AV113" i="2"/>
  <c r="CQ112" i="2"/>
  <c r="CP112" i="2"/>
  <c r="CN112" i="2"/>
  <c r="CM112" i="2"/>
  <c r="CL112" i="2"/>
  <c r="CO112" i="2" s="1"/>
  <c r="AZ112" i="2"/>
  <c r="AX112" i="2"/>
  <c r="BA112" i="2" s="1"/>
  <c r="AW112" i="2"/>
  <c r="AV112" i="2"/>
  <c r="AY112" i="2" s="1"/>
  <c r="CN111" i="2"/>
  <c r="CQ111" i="2" s="1"/>
  <c r="CM111" i="2"/>
  <c r="CP111" i="2" s="1"/>
  <c r="CL111" i="2"/>
  <c r="CO111" i="2" s="1"/>
  <c r="AY111" i="2"/>
  <c r="AZ111" i="2" s="1"/>
  <c r="AX111" i="2"/>
  <c r="BA111" i="2" s="1"/>
  <c r="AW111" i="2"/>
  <c r="AV111" i="2"/>
  <c r="CQ110" i="2"/>
  <c r="CP110" i="2"/>
  <c r="CN110" i="2"/>
  <c r="CM110" i="2"/>
  <c r="CL110" i="2"/>
  <c r="CO110" i="2" s="1"/>
  <c r="AZ110" i="2"/>
  <c r="AX110" i="2"/>
  <c r="BA110" i="2" s="1"/>
  <c r="AW110" i="2"/>
  <c r="AV110" i="2"/>
  <c r="AY110" i="2" s="1"/>
  <c r="CN109" i="2"/>
  <c r="CQ109" i="2" s="1"/>
  <c r="CM109" i="2"/>
  <c r="CP109" i="2" s="1"/>
  <c r="CL109" i="2"/>
  <c r="CO109" i="2" s="1"/>
  <c r="AY109" i="2"/>
  <c r="AZ109" i="2" s="1"/>
  <c r="AX109" i="2"/>
  <c r="BA109" i="2" s="1"/>
  <c r="AW109" i="2"/>
  <c r="AV109" i="2"/>
  <c r="CQ108" i="2"/>
  <c r="CP108" i="2"/>
  <c r="CN108" i="2"/>
  <c r="CM108" i="2"/>
  <c r="CL108" i="2"/>
  <c r="CO108" i="2" s="1"/>
  <c r="AZ108" i="2"/>
  <c r="AX108" i="2"/>
  <c r="BA108" i="2" s="1"/>
  <c r="AW108" i="2"/>
  <c r="AV108" i="2"/>
  <c r="AY108" i="2" s="1"/>
  <c r="CN107" i="2"/>
  <c r="CQ107" i="2" s="1"/>
  <c r="CM107" i="2"/>
  <c r="CP107" i="2" s="1"/>
  <c r="CL107" i="2"/>
  <c r="CO107" i="2" s="1"/>
  <c r="AY107" i="2"/>
  <c r="AZ107" i="2" s="1"/>
  <c r="AX107" i="2"/>
  <c r="BA107" i="2" s="1"/>
  <c r="AW107" i="2"/>
  <c r="AV107" i="2"/>
  <c r="CQ106" i="2"/>
  <c r="CP106" i="2"/>
  <c r="CN106" i="2"/>
  <c r="CM106" i="2"/>
  <c r="CL106" i="2"/>
  <c r="CO106" i="2" s="1"/>
  <c r="AZ106" i="2"/>
  <c r="AX106" i="2"/>
  <c r="BA106" i="2" s="1"/>
  <c r="AW106" i="2"/>
  <c r="AV106" i="2"/>
  <c r="AY106" i="2" s="1"/>
  <c r="CN105" i="2"/>
  <c r="CQ105" i="2" s="1"/>
  <c r="CM105" i="2"/>
  <c r="CP105" i="2" s="1"/>
  <c r="CL105" i="2"/>
  <c r="CO105" i="2" s="1"/>
  <c r="AY105" i="2"/>
  <c r="AZ105" i="2" s="1"/>
  <c r="AX105" i="2"/>
  <c r="BA105" i="2" s="1"/>
  <c r="AW105" i="2"/>
  <c r="AV105" i="2"/>
  <c r="CQ104" i="2"/>
  <c r="CP104" i="2"/>
  <c r="CN104" i="2"/>
  <c r="CM104" i="2"/>
  <c r="CL104" i="2"/>
  <c r="CO104" i="2" s="1"/>
  <c r="AZ104" i="2"/>
  <c r="AX104" i="2"/>
  <c r="BA104" i="2" s="1"/>
  <c r="AW104" i="2"/>
  <c r="AV104" i="2"/>
  <c r="AY104" i="2" s="1"/>
  <c r="CN103" i="2"/>
  <c r="CQ103" i="2" s="1"/>
  <c r="CM103" i="2"/>
  <c r="CP103" i="2" s="1"/>
  <c r="CL103" i="2"/>
  <c r="CO103" i="2" s="1"/>
  <c r="AY103" i="2"/>
  <c r="AZ103" i="2" s="1"/>
  <c r="AX103" i="2"/>
  <c r="BA103" i="2" s="1"/>
  <c r="AW103" i="2"/>
  <c r="AV103" i="2"/>
  <c r="CQ102" i="2"/>
  <c r="CP102" i="2"/>
  <c r="CN102" i="2"/>
  <c r="CM102" i="2"/>
  <c r="CL102" i="2"/>
  <c r="CO102" i="2" s="1"/>
  <c r="AZ102" i="2"/>
  <c r="AX102" i="2"/>
  <c r="BA102" i="2" s="1"/>
  <c r="AW102" i="2"/>
  <c r="AV102" i="2"/>
  <c r="AY102" i="2" s="1"/>
  <c r="CN101" i="2"/>
  <c r="CQ101" i="2" s="1"/>
  <c r="CM101" i="2"/>
  <c r="CP101" i="2" s="1"/>
  <c r="CL101" i="2"/>
  <c r="CO101" i="2" s="1"/>
  <c r="AY101" i="2"/>
  <c r="AZ101" i="2" s="1"/>
  <c r="AX101" i="2"/>
  <c r="BA101" i="2" s="1"/>
  <c r="AW101" i="2"/>
  <c r="AV101" i="2"/>
  <c r="CQ100" i="2"/>
  <c r="CP100" i="2"/>
  <c r="CN100" i="2"/>
  <c r="CM100" i="2"/>
  <c r="CL100" i="2"/>
  <c r="CO100" i="2" s="1"/>
  <c r="AZ100" i="2"/>
  <c r="AX100" i="2"/>
  <c r="BA100" i="2" s="1"/>
  <c r="AW100" i="2"/>
  <c r="AV100" i="2"/>
  <c r="AY100" i="2" s="1"/>
  <c r="CN99" i="2"/>
  <c r="CQ99" i="2" s="1"/>
  <c r="CM99" i="2"/>
  <c r="CP99" i="2" s="1"/>
  <c r="CL99" i="2"/>
  <c r="CO99" i="2" s="1"/>
  <c r="AY99" i="2"/>
  <c r="AZ99" i="2" s="1"/>
  <c r="AX99" i="2"/>
  <c r="BA99" i="2" s="1"/>
  <c r="AW99" i="2"/>
  <c r="AV99" i="2"/>
  <c r="CQ98" i="2"/>
  <c r="CP98" i="2"/>
  <c r="CN98" i="2"/>
  <c r="CM98" i="2"/>
  <c r="CL98" i="2"/>
  <c r="CO98" i="2" s="1"/>
  <c r="AZ98" i="2"/>
  <c r="AX98" i="2"/>
  <c r="BA98" i="2" s="1"/>
  <c r="AW98" i="2"/>
  <c r="AV98" i="2"/>
  <c r="AY98" i="2" s="1"/>
  <c r="CN97" i="2"/>
  <c r="CQ97" i="2" s="1"/>
  <c r="CM97" i="2"/>
  <c r="CP97" i="2" s="1"/>
  <c r="CL97" i="2"/>
  <c r="CO97" i="2" s="1"/>
  <c r="AY97" i="2"/>
  <c r="AZ97" i="2" s="1"/>
  <c r="AX97" i="2"/>
  <c r="BA97" i="2" s="1"/>
  <c r="AW97" i="2"/>
  <c r="AV97" i="2"/>
  <c r="CQ96" i="2"/>
  <c r="CP96" i="2"/>
  <c r="CN96" i="2"/>
  <c r="CM96" i="2"/>
  <c r="CL96" i="2"/>
  <c r="CO96" i="2" s="1"/>
  <c r="AZ96" i="2"/>
  <c r="AX96" i="2"/>
  <c r="BA96" i="2" s="1"/>
  <c r="AW96" i="2"/>
  <c r="AV96" i="2"/>
  <c r="AY96" i="2" s="1"/>
  <c r="CN95" i="2"/>
  <c r="CQ95" i="2" s="1"/>
  <c r="CM95" i="2"/>
  <c r="CP95" i="2" s="1"/>
  <c r="CL95" i="2"/>
  <c r="CO95" i="2" s="1"/>
  <c r="AY95" i="2"/>
  <c r="AZ95" i="2" s="1"/>
  <c r="AX95" i="2"/>
  <c r="BA95" i="2" s="1"/>
  <c r="AW95" i="2"/>
  <c r="AV95" i="2"/>
  <c r="CQ94" i="2"/>
  <c r="CP94" i="2"/>
  <c r="CN94" i="2"/>
  <c r="CM94" i="2"/>
  <c r="CL94" i="2"/>
  <c r="CO94" i="2" s="1"/>
  <c r="AZ94" i="2"/>
  <c r="AX94" i="2"/>
  <c r="BA94" i="2" s="1"/>
  <c r="AW94" i="2"/>
  <c r="AV94" i="2"/>
  <c r="AY94" i="2" s="1"/>
  <c r="CN93" i="2"/>
  <c r="CQ93" i="2" s="1"/>
  <c r="CM93" i="2"/>
  <c r="CP93" i="2" s="1"/>
  <c r="CL93" i="2"/>
  <c r="CO93" i="2" s="1"/>
  <c r="AY93" i="2"/>
  <c r="AZ93" i="2" s="1"/>
  <c r="AX93" i="2"/>
  <c r="BA93" i="2" s="1"/>
  <c r="AW93" i="2"/>
  <c r="AV93" i="2"/>
  <c r="CQ92" i="2"/>
  <c r="CP92" i="2"/>
  <c r="CN92" i="2"/>
  <c r="CM92" i="2"/>
  <c r="CL92" i="2"/>
  <c r="CO92" i="2" s="1"/>
  <c r="AZ92" i="2"/>
  <c r="AX92" i="2"/>
  <c r="BA92" i="2" s="1"/>
  <c r="AW92" i="2"/>
  <c r="AV92" i="2"/>
  <c r="AY92" i="2" s="1"/>
  <c r="CN91" i="2"/>
  <c r="CQ91" i="2" s="1"/>
  <c r="CM91" i="2"/>
  <c r="CP91" i="2" s="1"/>
  <c r="CL91" i="2"/>
  <c r="CO91" i="2" s="1"/>
  <c r="AY91" i="2"/>
  <c r="AZ91" i="2" s="1"/>
  <c r="AX91" i="2"/>
  <c r="BA91" i="2" s="1"/>
  <c r="AW91" i="2"/>
  <c r="AV91" i="2"/>
  <c r="CQ90" i="2"/>
  <c r="CP90" i="2"/>
  <c r="CN90" i="2"/>
  <c r="CM90" i="2"/>
  <c r="CL90" i="2"/>
  <c r="CO90" i="2" s="1"/>
  <c r="AZ90" i="2"/>
  <c r="AX90" i="2"/>
  <c r="BA90" i="2" s="1"/>
  <c r="AW90" i="2"/>
  <c r="AV90" i="2"/>
  <c r="AY90" i="2" s="1"/>
  <c r="CN89" i="2"/>
  <c r="CQ89" i="2" s="1"/>
  <c r="CM89" i="2"/>
  <c r="CP89" i="2" s="1"/>
  <c r="CL89" i="2"/>
  <c r="CO89" i="2" s="1"/>
  <c r="AY89" i="2"/>
  <c r="AZ89" i="2" s="1"/>
  <c r="AX89" i="2"/>
  <c r="BA89" i="2" s="1"/>
  <c r="AW89" i="2"/>
  <c r="AV89" i="2"/>
  <c r="CQ88" i="2"/>
  <c r="CP88" i="2"/>
  <c r="CN88" i="2"/>
  <c r="CM88" i="2"/>
  <c r="CL88" i="2"/>
  <c r="CO88" i="2" s="1"/>
  <c r="AZ88" i="2"/>
  <c r="AX88" i="2"/>
  <c r="BA88" i="2" s="1"/>
  <c r="AW88" i="2"/>
  <c r="AV88" i="2"/>
  <c r="AY88" i="2" s="1"/>
  <c r="CN87" i="2"/>
  <c r="CQ87" i="2" s="1"/>
  <c r="CM87" i="2"/>
  <c r="CP87" i="2" s="1"/>
  <c r="CL87" i="2"/>
  <c r="CO87" i="2" s="1"/>
  <c r="AY87" i="2"/>
  <c r="AZ87" i="2" s="1"/>
  <c r="AX87" i="2"/>
  <c r="BA87" i="2" s="1"/>
  <c r="AW87" i="2"/>
  <c r="AV87" i="2"/>
  <c r="CQ86" i="2"/>
  <c r="CP86" i="2"/>
  <c r="CN86" i="2"/>
  <c r="CM86" i="2"/>
  <c r="CL86" i="2"/>
  <c r="CO86" i="2" s="1"/>
  <c r="AZ86" i="2"/>
  <c r="AX86" i="2"/>
  <c r="BA86" i="2" s="1"/>
  <c r="AW86" i="2"/>
  <c r="AV86" i="2"/>
  <c r="AY86" i="2" s="1"/>
  <c r="CN85" i="2"/>
  <c r="CQ85" i="2" s="1"/>
  <c r="CM85" i="2"/>
  <c r="CP85" i="2" s="1"/>
  <c r="CL85" i="2"/>
  <c r="CO85" i="2" s="1"/>
  <c r="AY85" i="2"/>
  <c r="AZ85" i="2" s="1"/>
  <c r="AX85" i="2"/>
  <c r="BA85" i="2" s="1"/>
  <c r="AW85" i="2"/>
  <c r="AV85" i="2"/>
  <c r="CQ84" i="2"/>
  <c r="CP84" i="2"/>
  <c r="CN84" i="2"/>
  <c r="CM84" i="2"/>
  <c r="CL84" i="2"/>
  <c r="CO84" i="2" s="1"/>
  <c r="AZ84" i="2"/>
  <c r="AX84" i="2"/>
  <c r="BA84" i="2" s="1"/>
  <c r="AW84" i="2"/>
  <c r="AV84" i="2"/>
  <c r="AY84" i="2" s="1"/>
  <c r="CN83" i="2"/>
  <c r="CQ83" i="2" s="1"/>
  <c r="CM83" i="2"/>
  <c r="CP83" i="2" s="1"/>
  <c r="CL83" i="2"/>
  <c r="CO83" i="2" s="1"/>
  <c r="AY83" i="2"/>
  <c r="AZ83" i="2" s="1"/>
  <c r="AX83" i="2"/>
  <c r="BA83" i="2" s="1"/>
  <c r="AW83" i="2"/>
  <c r="AV83" i="2"/>
  <c r="CQ82" i="2"/>
  <c r="CP82" i="2"/>
  <c r="CN82" i="2"/>
  <c r="CM82" i="2"/>
  <c r="CL82" i="2"/>
  <c r="CO82" i="2" s="1"/>
  <c r="AZ82" i="2"/>
  <c r="AX82" i="2"/>
  <c r="BA82" i="2" s="1"/>
  <c r="AW82" i="2"/>
  <c r="AV82" i="2"/>
  <c r="AY82" i="2" s="1"/>
  <c r="CN81" i="2"/>
  <c r="CQ81" i="2" s="1"/>
  <c r="CM81" i="2"/>
  <c r="CP81" i="2" s="1"/>
  <c r="CL81" i="2"/>
  <c r="CO81" i="2" s="1"/>
  <c r="AY81" i="2"/>
  <c r="AZ81" i="2" s="1"/>
  <c r="AX81" i="2"/>
  <c r="BA81" i="2" s="1"/>
  <c r="AW81" i="2"/>
  <c r="AV81" i="2"/>
  <c r="CQ80" i="2"/>
  <c r="CP80" i="2"/>
  <c r="CN80" i="2"/>
  <c r="CM80" i="2"/>
  <c r="CL80" i="2"/>
  <c r="CO80" i="2" s="1"/>
  <c r="AZ80" i="2"/>
  <c r="AX80" i="2"/>
  <c r="BA80" i="2" s="1"/>
  <c r="AW80" i="2"/>
  <c r="AV80" i="2"/>
  <c r="AY80" i="2" s="1"/>
  <c r="CN79" i="2"/>
  <c r="CQ79" i="2" s="1"/>
  <c r="CM79" i="2"/>
  <c r="CP79" i="2" s="1"/>
  <c r="CL79" i="2"/>
  <c r="CO79" i="2" s="1"/>
  <c r="AY79" i="2"/>
  <c r="AZ79" i="2" s="1"/>
  <c r="AX79" i="2"/>
  <c r="BA79" i="2" s="1"/>
  <c r="AW79" i="2"/>
  <c r="AV79" i="2"/>
  <c r="CQ78" i="2"/>
  <c r="CP78" i="2"/>
  <c r="CN78" i="2"/>
  <c r="CM78" i="2"/>
  <c r="CL78" i="2"/>
  <c r="CO78" i="2" s="1"/>
  <c r="AZ78" i="2"/>
  <c r="AX78" i="2"/>
  <c r="BA78" i="2" s="1"/>
  <c r="AW78" i="2"/>
  <c r="AV78" i="2"/>
  <c r="AY78" i="2" s="1"/>
  <c r="CN77" i="2"/>
  <c r="CQ77" i="2" s="1"/>
  <c r="CM77" i="2"/>
  <c r="CP77" i="2" s="1"/>
  <c r="CL77" i="2"/>
  <c r="CO77" i="2" s="1"/>
  <c r="BA77" i="2"/>
  <c r="AY77" i="2"/>
  <c r="AZ77" i="2" s="1"/>
  <c r="AX77" i="2"/>
  <c r="AW77" i="2"/>
  <c r="AV77" i="2"/>
  <c r="CQ76" i="2"/>
  <c r="CO76" i="2"/>
  <c r="CN76" i="2"/>
  <c r="CM76" i="2"/>
  <c r="CP76" i="2" s="1"/>
  <c r="CL76" i="2"/>
  <c r="BA76" i="2"/>
  <c r="AY76" i="2"/>
  <c r="AZ76" i="2" s="1"/>
  <c r="AX76" i="2"/>
  <c r="AW76" i="2"/>
  <c r="AV76" i="2"/>
  <c r="CQ75" i="2"/>
  <c r="CO75" i="2"/>
  <c r="CN75" i="2"/>
  <c r="CM75" i="2"/>
  <c r="CP75" i="2" s="1"/>
  <c r="CL75" i="2"/>
  <c r="BA75" i="2"/>
  <c r="AY75" i="2"/>
  <c r="AZ75" i="2" s="1"/>
  <c r="AX75" i="2"/>
  <c r="AW75" i="2"/>
  <c r="AV75" i="2"/>
  <c r="CQ74" i="2"/>
  <c r="CO74" i="2"/>
  <c r="CN74" i="2"/>
  <c r="CM74" i="2"/>
  <c r="CP74" i="2" s="1"/>
  <c r="CL74" i="2"/>
  <c r="BA74" i="2"/>
  <c r="AY74" i="2"/>
  <c r="AZ74" i="2" s="1"/>
  <c r="AX74" i="2"/>
  <c r="AW74" i="2"/>
  <c r="AV74" i="2"/>
  <c r="CQ73" i="2"/>
  <c r="CO73" i="2"/>
  <c r="CN73" i="2"/>
  <c r="CM73" i="2"/>
  <c r="CP73" i="2" s="1"/>
  <c r="CL73" i="2"/>
  <c r="BA73" i="2"/>
  <c r="AY73" i="2"/>
  <c r="AZ73" i="2" s="1"/>
  <c r="AX73" i="2"/>
  <c r="AW73" i="2"/>
  <c r="AV73" i="2"/>
  <c r="CQ72" i="2"/>
  <c r="CO72" i="2"/>
  <c r="CN72" i="2"/>
  <c r="CM72" i="2"/>
  <c r="CP72" i="2" s="1"/>
  <c r="CL72" i="2"/>
  <c r="BA72" i="2"/>
  <c r="AY72" i="2"/>
  <c r="AZ72" i="2" s="1"/>
  <c r="AX72" i="2"/>
  <c r="AW72" i="2"/>
  <c r="AV72" i="2"/>
  <c r="CQ71" i="2"/>
  <c r="CO71" i="2"/>
  <c r="CN71" i="2"/>
  <c r="CM71" i="2"/>
  <c r="CP71" i="2" s="1"/>
  <c r="CL71" i="2"/>
  <c r="BA71" i="2"/>
  <c r="AY71" i="2"/>
  <c r="AZ71" i="2" s="1"/>
  <c r="AX71" i="2"/>
  <c r="AW71" i="2"/>
  <c r="AV71" i="2"/>
  <c r="CQ70" i="2"/>
  <c r="CO70" i="2"/>
  <c r="CN70" i="2"/>
  <c r="CM70" i="2"/>
  <c r="CP70" i="2" s="1"/>
  <c r="CL70" i="2"/>
  <c r="BA70" i="2"/>
  <c r="AY70" i="2"/>
  <c r="AZ70" i="2" s="1"/>
  <c r="AX70" i="2"/>
  <c r="AW70" i="2"/>
  <c r="AV70" i="2"/>
  <c r="CQ69" i="2"/>
  <c r="CO69" i="2"/>
  <c r="CN69" i="2"/>
  <c r="CM69" i="2"/>
  <c r="CP69" i="2" s="1"/>
  <c r="CL69" i="2"/>
  <c r="BA69" i="2"/>
  <c r="AY69" i="2"/>
  <c r="AZ69" i="2" s="1"/>
  <c r="AX69" i="2"/>
  <c r="AW69" i="2"/>
  <c r="AV69" i="2"/>
  <c r="CQ68" i="2"/>
  <c r="CO68" i="2"/>
  <c r="CN68" i="2"/>
  <c r="CM68" i="2"/>
  <c r="CP68" i="2" s="1"/>
  <c r="CL68" i="2"/>
  <c r="BA68" i="2"/>
  <c r="AY68" i="2"/>
  <c r="AZ68" i="2" s="1"/>
  <c r="AX68" i="2"/>
  <c r="AW68" i="2"/>
  <c r="AV68" i="2"/>
  <c r="CQ67" i="2"/>
  <c r="CO67" i="2"/>
  <c r="CN67" i="2"/>
  <c r="CM67" i="2"/>
  <c r="CP67" i="2" s="1"/>
  <c r="CL67" i="2"/>
  <c r="BA67" i="2"/>
  <c r="AY67" i="2"/>
  <c r="AZ67" i="2" s="1"/>
  <c r="AX67" i="2"/>
  <c r="AW67" i="2"/>
  <c r="AV67" i="2"/>
  <c r="CQ66" i="2"/>
  <c r="CO66" i="2"/>
  <c r="CN66" i="2"/>
  <c r="CM66" i="2"/>
  <c r="CP66" i="2" s="1"/>
  <c r="CL66" i="2"/>
  <c r="BA66" i="2"/>
  <c r="AY66" i="2"/>
  <c r="AZ66" i="2" s="1"/>
  <c r="AX66" i="2"/>
  <c r="AW66" i="2"/>
  <c r="AV66" i="2"/>
  <c r="CQ65" i="2"/>
  <c r="CO65" i="2"/>
  <c r="CN65" i="2"/>
  <c r="CM65" i="2"/>
  <c r="CP65" i="2" s="1"/>
  <c r="CL65" i="2"/>
  <c r="BA65" i="2"/>
  <c r="AY65" i="2"/>
  <c r="AZ65" i="2" s="1"/>
  <c r="AX65" i="2"/>
  <c r="AV65" i="2"/>
  <c r="AQ65" i="2"/>
  <c r="AQ287" i="2" s="1"/>
  <c r="AP65" i="2"/>
  <c r="AP287" i="2" s="1"/>
  <c r="AN65" i="2"/>
  <c r="AN287" i="2" s="1"/>
  <c r="AK65" i="2"/>
  <c r="AK287" i="2" s="1"/>
  <c r="CQ64" i="2"/>
  <c r="CO64" i="2"/>
  <c r="CN64" i="2"/>
  <c r="CM64" i="2"/>
  <c r="CP64" i="2" s="1"/>
  <c r="CL64" i="2"/>
  <c r="BA64" i="2"/>
  <c r="AY64" i="2"/>
  <c r="AZ64" i="2" s="1"/>
  <c r="AX64" i="2"/>
  <c r="AW64" i="2"/>
  <c r="AV64" i="2"/>
  <c r="CQ63" i="2"/>
  <c r="CO63" i="2"/>
  <c r="CN63" i="2"/>
  <c r="CM63" i="2"/>
  <c r="CP63" i="2" s="1"/>
  <c r="CL63" i="2"/>
  <c r="BA63" i="2"/>
  <c r="AY63" i="2"/>
  <c r="AZ63" i="2" s="1"/>
  <c r="AX63" i="2"/>
  <c r="AW63" i="2"/>
  <c r="AV63" i="2"/>
  <c r="CQ62" i="2"/>
  <c r="CO62" i="2"/>
  <c r="CN62" i="2"/>
  <c r="CM62" i="2"/>
  <c r="CP62" i="2" s="1"/>
  <c r="CL62" i="2"/>
  <c r="BA62" i="2"/>
  <c r="AY62" i="2"/>
  <c r="AZ62" i="2" s="1"/>
  <c r="AX62" i="2"/>
  <c r="AW62" i="2"/>
  <c r="AV62" i="2"/>
  <c r="CQ61" i="2"/>
  <c r="CO61" i="2"/>
  <c r="CN61" i="2"/>
  <c r="CM61" i="2"/>
  <c r="CP61" i="2" s="1"/>
  <c r="CL61" i="2"/>
  <c r="BA61" i="2"/>
  <c r="AY61" i="2"/>
  <c r="AZ61" i="2" s="1"/>
  <c r="AX61" i="2"/>
  <c r="AW61" i="2"/>
  <c r="AV61" i="2"/>
  <c r="CQ60" i="2"/>
  <c r="CO60" i="2"/>
  <c r="CN60" i="2"/>
  <c r="CM60" i="2"/>
  <c r="CP60" i="2" s="1"/>
  <c r="CL60" i="2"/>
  <c r="BA60" i="2"/>
  <c r="AY60" i="2"/>
  <c r="AZ60" i="2" s="1"/>
  <c r="AX60" i="2"/>
  <c r="AW60" i="2"/>
  <c r="AV60" i="2"/>
  <c r="CQ59" i="2"/>
  <c r="CO59" i="2"/>
  <c r="CN59" i="2"/>
  <c r="CM59" i="2"/>
  <c r="CP59" i="2" s="1"/>
  <c r="CL59" i="2"/>
  <c r="BA59" i="2"/>
  <c r="AY59" i="2"/>
  <c r="AZ59" i="2" s="1"/>
  <c r="AX59" i="2"/>
  <c r="AW59" i="2"/>
  <c r="AV59" i="2"/>
  <c r="CQ58" i="2"/>
  <c r="CO58" i="2"/>
  <c r="CN58" i="2"/>
  <c r="CM58" i="2"/>
  <c r="CP58" i="2" s="1"/>
  <c r="CL58" i="2"/>
  <c r="BA58" i="2"/>
  <c r="AY58" i="2"/>
  <c r="AZ58" i="2" s="1"/>
  <c r="AX58" i="2"/>
  <c r="AW58" i="2"/>
  <c r="AV58" i="2"/>
  <c r="CQ57" i="2"/>
  <c r="CO57" i="2"/>
  <c r="CN57" i="2"/>
  <c r="CM57" i="2"/>
  <c r="CP57" i="2" s="1"/>
  <c r="CL57" i="2"/>
  <c r="BA57" i="2"/>
  <c r="AY57" i="2"/>
  <c r="AZ57" i="2" s="1"/>
  <c r="AX57" i="2"/>
  <c r="AW57" i="2"/>
  <c r="AV57" i="2"/>
  <c r="CQ56" i="2"/>
  <c r="CO56" i="2"/>
  <c r="CN56" i="2"/>
  <c r="CM56" i="2"/>
  <c r="CP56" i="2" s="1"/>
  <c r="CL56" i="2"/>
  <c r="BA56" i="2"/>
  <c r="AY56" i="2"/>
  <c r="AZ56" i="2" s="1"/>
  <c r="AX56" i="2"/>
  <c r="AW56" i="2"/>
  <c r="AV56" i="2"/>
  <c r="CQ55" i="2"/>
  <c r="CO55" i="2"/>
  <c r="CN55" i="2"/>
  <c r="CM55" i="2"/>
  <c r="CP55" i="2" s="1"/>
  <c r="CL55" i="2"/>
  <c r="BA55" i="2"/>
  <c r="AY55" i="2"/>
  <c r="AZ55" i="2" s="1"/>
  <c r="AX55" i="2"/>
  <c r="AW55" i="2"/>
  <c r="AV55" i="2"/>
  <c r="CQ54" i="2"/>
  <c r="CO54" i="2"/>
  <c r="CN54" i="2"/>
  <c r="CM54" i="2"/>
  <c r="CP54" i="2" s="1"/>
  <c r="CL54" i="2"/>
  <c r="BA54" i="2"/>
  <c r="AY54" i="2"/>
  <c r="AZ54" i="2" s="1"/>
  <c r="AX54" i="2"/>
  <c r="AW54" i="2"/>
  <c r="AV54" i="2"/>
  <c r="CQ53" i="2"/>
  <c r="CO53" i="2"/>
  <c r="CN53" i="2"/>
  <c r="CM53" i="2"/>
  <c r="CP53" i="2" s="1"/>
  <c r="CL53" i="2"/>
  <c r="BA53" i="2"/>
  <c r="AY53" i="2"/>
  <c r="AZ53" i="2" s="1"/>
  <c r="AX53" i="2"/>
  <c r="AW53" i="2"/>
  <c r="AV53" i="2"/>
  <c r="CQ52" i="2"/>
  <c r="CO52" i="2"/>
  <c r="CN52" i="2"/>
  <c r="CM52" i="2"/>
  <c r="CP52" i="2" s="1"/>
  <c r="CL52" i="2"/>
  <c r="BA52" i="2"/>
  <c r="AY52" i="2"/>
  <c r="AZ52" i="2" s="1"/>
  <c r="AX52" i="2"/>
  <c r="AW52" i="2"/>
  <c r="AV52" i="2"/>
  <c r="CQ51" i="2"/>
  <c r="CO51" i="2"/>
  <c r="CN51" i="2"/>
  <c r="CM51" i="2"/>
  <c r="CP51" i="2" s="1"/>
  <c r="CL51" i="2"/>
  <c r="BA51" i="2"/>
  <c r="AY51" i="2"/>
  <c r="AZ51" i="2" s="1"/>
  <c r="AX51" i="2"/>
  <c r="AW51" i="2"/>
  <c r="AV51" i="2"/>
  <c r="CQ50" i="2"/>
  <c r="CO50" i="2"/>
  <c r="CN50" i="2"/>
  <c r="CM50" i="2"/>
  <c r="CP50" i="2" s="1"/>
  <c r="CL50" i="2"/>
  <c r="BA50" i="2"/>
  <c r="AY50" i="2"/>
  <c r="AZ50" i="2" s="1"/>
  <c r="AX50" i="2"/>
  <c r="AW50" i="2"/>
  <c r="AV50" i="2"/>
  <c r="CQ49" i="2"/>
  <c r="CO49" i="2"/>
  <c r="CN49" i="2"/>
  <c r="CM49" i="2"/>
  <c r="CP49" i="2" s="1"/>
  <c r="CL49" i="2"/>
  <c r="BA49" i="2"/>
  <c r="AY49" i="2"/>
  <c r="AZ49" i="2" s="1"/>
  <c r="AX49" i="2"/>
  <c r="AW49" i="2"/>
  <c r="AV49" i="2"/>
  <c r="CQ48" i="2"/>
  <c r="CO48" i="2"/>
  <c r="CN48" i="2"/>
  <c r="CM48" i="2"/>
  <c r="CP48" i="2" s="1"/>
  <c r="CL48" i="2"/>
  <c r="BA48" i="2"/>
  <c r="AY48" i="2"/>
  <c r="AZ48" i="2" s="1"/>
  <c r="AX48" i="2"/>
  <c r="AW48" i="2"/>
  <c r="AV48" i="2"/>
  <c r="CQ47" i="2"/>
  <c r="CO47" i="2"/>
  <c r="CN47" i="2"/>
  <c r="CM47" i="2"/>
  <c r="CP47" i="2" s="1"/>
  <c r="CL47" i="2"/>
  <c r="BA47" i="2"/>
  <c r="AY47" i="2"/>
  <c r="AZ47" i="2" s="1"/>
  <c r="AX47" i="2"/>
  <c r="AW47" i="2"/>
  <c r="AV47" i="2"/>
  <c r="CQ46" i="2"/>
  <c r="CO46" i="2"/>
  <c r="CN46" i="2"/>
  <c r="CM46" i="2"/>
  <c r="CP46" i="2" s="1"/>
  <c r="CL46" i="2"/>
  <c r="BA46" i="2"/>
  <c r="AY46" i="2"/>
  <c r="AZ46" i="2" s="1"/>
  <c r="AX46" i="2"/>
  <c r="AW46" i="2"/>
  <c r="AV46" i="2"/>
  <c r="CQ45" i="2"/>
  <c r="CO45" i="2"/>
  <c r="CN45" i="2"/>
  <c r="CM45" i="2"/>
  <c r="CP45" i="2" s="1"/>
  <c r="CL45" i="2"/>
  <c r="BA45" i="2"/>
  <c r="AY45" i="2"/>
  <c r="AZ45" i="2" s="1"/>
  <c r="AX45" i="2"/>
  <c r="AW45" i="2"/>
  <c r="AV45" i="2"/>
  <c r="CS44" i="2"/>
  <c r="CR44" i="2"/>
  <c r="CQ44" i="2"/>
  <c r="CP44" i="2"/>
  <c r="CO44" i="2"/>
  <c r="CN44" i="2"/>
  <c r="CM44" i="2"/>
  <c r="CL44" i="2"/>
  <c r="BA44" i="2"/>
  <c r="AY44" i="2"/>
  <c r="AZ44" i="2" s="1"/>
  <c r="AX44" i="2"/>
  <c r="AW44" i="2"/>
  <c r="AV44" i="2"/>
  <c r="CS43" i="2"/>
  <c r="CR43" i="2"/>
  <c r="CQ43" i="2"/>
  <c r="CO43" i="2"/>
  <c r="CN43" i="2"/>
  <c r="CM43" i="2"/>
  <c r="CP43" i="2" s="1"/>
  <c r="CL43" i="2"/>
  <c r="BA43" i="2"/>
  <c r="AY43" i="2"/>
  <c r="AZ43" i="2" s="1"/>
  <c r="AX43" i="2"/>
  <c r="AW43" i="2"/>
  <c r="AV43" i="2"/>
  <c r="CS42" i="2"/>
  <c r="CR42" i="2"/>
  <c r="CQ42" i="2"/>
  <c r="CP42" i="2"/>
  <c r="CO42" i="2"/>
  <c r="CN42" i="2"/>
  <c r="CM42" i="2"/>
  <c r="CL42" i="2"/>
  <c r="BA42" i="2"/>
  <c r="AY42" i="2"/>
  <c r="AZ42" i="2" s="1"/>
  <c r="AX42" i="2"/>
  <c r="AW42" i="2"/>
  <c r="AV42" i="2"/>
  <c r="CS41" i="2"/>
  <c r="CR41" i="2"/>
  <c r="CQ41" i="2"/>
  <c r="CO41" i="2"/>
  <c r="CN41" i="2"/>
  <c r="CM41" i="2"/>
  <c r="CP41" i="2" s="1"/>
  <c r="CL41" i="2"/>
  <c r="BA41" i="2"/>
  <c r="AY41" i="2"/>
  <c r="AZ41" i="2" s="1"/>
  <c r="AX41" i="2"/>
  <c r="AW41" i="2"/>
  <c r="AV41" i="2"/>
  <c r="CS40" i="2"/>
  <c r="CR40" i="2"/>
  <c r="CQ40" i="2"/>
  <c r="CP40" i="2"/>
  <c r="CO40" i="2"/>
  <c r="CN40" i="2"/>
  <c r="CM40" i="2"/>
  <c r="CL40" i="2"/>
  <c r="BA40" i="2"/>
  <c r="AY40" i="2"/>
  <c r="AZ40" i="2" s="1"/>
  <c r="AX40" i="2"/>
  <c r="AW40" i="2"/>
  <c r="AV40" i="2"/>
  <c r="CS39" i="2"/>
  <c r="CR39" i="2"/>
  <c r="CQ39" i="2"/>
  <c r="CO39" i="2"/>
  <c r="CN39" i="2"/>
  <c r="CM39" i="2"/>
  <c r="CP39" i="2" s="1"/>
  <c r="CL39" i="2"/>
  <c r="BA39" i="2"/>
  <c r="AY39" i="2"/>
  <c r="AZ39" i="2" s="1"/>
  <c r="AX39" i="2"/>
  <c r="AW39" i="2"/>
  <c r="AV39" i="2"/>
  <c r="CS38" i="2"/>
  <c r="CR38" i="2"/>
  <c r="CQ38" i="2"/>
  <c r="CP38" i="2"/>
  <c r="CO38" i="2"/>
  <c r="CN38" i="2"/>
  <c r="CM38" i="2"/>
  <c r="CL38" i="2"/>
  <c r="BA38" i="2"/>
  <c r="AY38" i="2"/>
  <c r="AZ38" i="2" s="1"/>
  <c r="AX38" i="2"/>
  <c r="AW38" i="2"/>
  <c r="AV38" i="2"/>
  <c r="CS37" i="2"/>
  <c r="CR37" i="2"/>
  <c r="CQ37" i="2"/>
  <c r="CO37" i="2"/>
  <c r="CN37" i="2"/>
  <c r="CM37" i="2"/>
  <c r="CP37" i="2" s="1"/>
  <c r="CL37" i="2"/>
  <c r="BA37" i="2"/>
  <c r="AY37" i="2"/>
  <c r="AZ37" i="2" s="1"/>
  <c r="AX37" i="2"/>
  <c r="AW37" i="2"/>
  <c r="AV37" i="2"/>
  <c r="CS36" i="2"/>
  <c r="CR36" i="2"/>
  <c r="CQ36" i="2"/>
  <c r="CP36" i="2"/>
  <c r="CO36" i="2"/>
  <c r="CN36" i="2"/>
  <c r="CM36" i="2"/>
  <c r="CL36" i="2"/>
  <c r="BA36" i="2"/>
  <c r="AY36" i="2"/>
  <c r="AZ36" i="2" s="1"/>
  <c r="AX36" i="2"/>
  <c r="AW36" i="2"/>
  <c r="AV36" i="2"/>
  <c r="CS35" i="2"/>
  <c r="CR35" i="2"/>
  <c r="CQ35" i="2"/>
  <c r="CO35" i="2"/>
  <c r="CN35" i="2"/>
  <c r="CM35" i="2"/>
  <c r="CP35" i="2" s="1"/>
  <c r="CL35" i="2"/>
  <c r="BA35" i="2"/>
  <c r="AY35" i="2"/>
  <c r="AZ35" i="2" s="1"/>
  <c r="AX35" i="2"/>
  <c r="AW35" i="2"/>
  <c r="AV35" i="2"/>
  <c r="CS34" i="2"/>
  <c r="CR34" i="2"/>
  <c r="CQ34" i="2"/>
  <c r="CP34" i="2"/>
  <c r="CO34" i="2"/>
  <c r="CN34" i="2"/>
  <c r="CM34" i="2"/>
  <c r="CL34" i="2"/>
  <c r="BA34" i="2"/>
  <c r="AY34" i="2"/>
  <c r="AZ34" i="2" s="1"/>
  <c r="AX34" i="2"/>
  <c r="AW34" i="2"/>
  <c r="AV34" i="2"/>
  <c r="CS33" i="2"/>
  <c r="CR33" i="2"/>
  <c r="CQ33" i="2"/>
  <c r="CO33" i="2"/>
  <c r="CN33" i="2"/>
  <c r="CM33" i="2"/>
  <c r="CP33" i="2" s="1"/>
  <c r="CL33" i="2"/>
  <c r="BA33" i="2"/>
  <c r="AY33" i="2"/>
  <c r="AZ33" i="2" s="1"/>
  <c r="AX33" i="2"/>
  <c r="AW33" i="2"/>
  <c r="AV33" i="2"/>
  <c r="CS32" i="2"/>
  <c r="CR32" i="2"/>
  <c r="CQ32" i="2"/>
  <c r="CP32" i="2"/>
  <c r="CO32" i="2"/>
  <c r="CN32" i="2"/>
  <c r="CM32" i="2"/>
  <c r="CL32" i="2"/>
  <c r="BA32" i="2"/>
  <c r="AY32" i="2"/>
  <c r="AZ32" i="2" s="1"/>
  <c r="AX32" i="2"/>
  <c r="AW32" i="2"/>
  <c r="AV32" i="2"/>
  <c r="CS31" i="2"/>
  <c r="CR31" i="2"/>
  <c r="CQ31" i="2"/>
  <c r="CO31" i="2"/>
  <c r="CN31" i="2"/>
  <c r="CM31" i="2"/>
  <c r="CP31" i="2" s="1"/>
  <c r="CL31" i="2"/>
  <c r="BA31" i="2"/>
  <c r="AY31" i="2"/>
  <c r="AZ31" i="2" s="1"/>
  <c r="AX31" i="2"/>
  <c r="AW31" i="2"/>
  <c r="AV31" i="2"/>
  <c r="CS30" i="2"/>
  <c r="CR30" i="2"/>
  <c r="CQ30" i="2"/>
  <c r="CP30" i="2"/>
  <c r="CO30" i="2"/>
  <c r="CN30" i="2"/>
  <c r="CM30" i="2"/>
  <c r="CL30" i="2"/>
  <c r="BA30" i="2"/>
  <c r="AY30" i="2"/>
  <c r="AZ30" i="2" s="1"/>
  <c r="AX30" i="2"/>
  <c r="AW30" i="2"/>
  <c r="AV30" i="2"/>
  <c r="CS29" i="2"/>
  <c r="CR29" i="2"/>
  <c r="CQ29" i="2"/>
  <c r="CO29" i="2"/>
  <c r="CN29" i="2"/>
  <c r="CM29" i="2"/>
  <c r="CP29" i="2" s="1"/>
  <c r="CL29" i="2"/>
  <c r="BA29" i="2"/>
  <c r="AY29" i="2"/>
  <c r="AZ29" i="2" s="1"/>
  <c r="AX29" i="2"/>
  <c r="AW29" i="2"/>
  <c r="AV29" i="2"/>
  <c r="CS28" i="2"/>
  <c r="CR28" i="2"/>
  <c r="CQ28" i="2"/>
  <c r="CP28" i="2"/>
  <c r="CO28" i="2"/>
  <c r="CN28" i="2"/>
  <c r="CM28" i="2"/>
  <c r="CL28" i="2"/>
  <c r="BA28" i="2"/>
  <c r="AY28" i="2"/>
  <c r="AZ28" i="2" s="1"/>
  <c r="AX28" i="2"/>
  <c r="AW28" i="2"/>
  <c r="AV28" i="2"/>
  <c r="CS27" i="2"/>
  <c r="CR27" i="2"/>
  <c r="CQ27" i="2"/>
  <c r="CO27" i="2"/>
  <c r="CN27" i="2"/>
  <c r="CM27" i="2"/>
  <c r="CP27" i="2" s="1"/>
  <c r="CL27" i="2"/>
  <c r="BA27" i="2"/>
  <c r="AY27" i="2"/>
  <c r="AZ27" i="2" s="1"/>
  <c r="AX27" i="2"/>
  <c r="AW27" i="2"/>
  <c r="AV27" i="2"/>
  <c r="CS26" i="2"/>
  <c r="CR26" i="2"/>
  <c r="CQ26" i="2"/>
  <c r="CP26" i="2"/>
  <c r="CO26" i="2"/>
  <c r="CN26" i="2"/>
  <c r="CM26" i="2"/>
  <c r="CL26" i="2"/>
  <c r="BA26" i="2"/>
  <c r="AY26" i="2"/>
  <c r="AZ26" i="2" s="1"/>
  <c r="AX26" i="2"/>
  <c r="AW26" i="2"/>
  <c r="AV26" i="2"/>
  <c r="CS25" i="2"/>
  <c r="CR25" i="2"/>
  <c r="CQ25" i="2"/>
  <c r="CO25" i="2"/>
  <c r="CN25" i="2"/>
  <c r="CM25" i="2"/>
  <c r="CP25" i="2" s="1"/>
  <c r="CL25" i="2"/>
  <c r="BA25" i="2"/>
  <c r="AY25" i="2"/>
  <c r="AZ25" i="2" s="1"/>
  <c r="AX25" i="2"/>
  <c r="AW25" i="2"/>
  <c r="AV25" i="2"/>
  <c r="CS24" i="2"/>
  <c r="CR24" i="2"/>
  <c r="CQ24" i="2"/>
  <c r="CP24" i="2"/>
  <c r="CO24" i="2"/>
  <c r="CN24" i="2"/>
  <c r="CM24" i="2"/>
  <c r="CL24" i="2"/>
  <c r="BA24" i="2"/>
  <c r="AY24" i="2"/>
  <c r="AZ24" i="2" s="1"/>
  <c r="AX24" i="2"/>
  <c r="AW24" i="2"/>
  <c r="AV24" i="2"/>
  <c r="CS23" i="2"/>
  <c r="CR23" i="2"/>
  <c r="CQ23" i="2"/>
  <c r="CO23" i="2"/>
  <c r="CN23" i="2"/>
  <c r="CM23" i="2"/>
  <c r="CP23" i="2" s="1"/>
  <c r="CL23" i="2"/>
  <c r="BA23" i="2"/>
  <c r="AY23" i="2"/>
  <c r="AZ23" i="2" s="1"/>
  <c r="AX23" i="2"/>
  <c r="AW23" i="2"/>
  <c r="AV23" i="2"/>
  <c r="CS22" i="2"/>
  <c r="CR22" i="2"/>
  <c r="CQ22" i="2"/>
  <c r="CP22" i="2"/>
  <c r="CO22" i="2"/>
  <c r="CN22" i="2"/>
  <c r="CM22" i="2"/>
  <c r="CL22" i="2"/>
  <c r="BA22" i="2"/>
  <c r="AY22" i="2"/>
  <c r="AZ22" i="2" s="1"/>
  <c r="AX22" i="2"/>
  <c r="AW22" i="2"/>
  <c r="AV22" i="2"/>
  <c r="CS21" i="2"/>
  <c r="CR21" i="2"/>
  <c r="CQ21" i="2"/>
  <c r="CO21" i="2"/>
  <c r="CN21" i="2"/>
  <c r="CM21" i="2"/>
  <c r="CP21" i="2" s="1"/>
  <c r="CL21" i="2"/>
  <c r="BA21" i="2"/>
  <c r="AY21" i="2"/>
  <c r="AZ21" i="2" s="1"/>
  <c r="AX21" i="2"/>
  <c r="AW21" i="2"/>
  <c r="AV21" i="2"/>
  <c r="CS20" i="2"/>
  <c r="CR20" i="2"/>
  <c r="CQ20" i="2"/>
  <c r="CP20" i="2"/>
  <c r="CO20" i="2"/>
  <c r="CN20" i="2"/>
  <c r="CM20" i="2"/>
  <c r="CL20" i="2"/>
  <c r="BA20" i="2"/>
  <c r="AY20" i="2"/>
  <c r="AZ20" i="2" s="1"/>
  <c r="AX20" i="2"/>
  <c r="AW20" i="2"/>
  <c r="AV20" i="2"/>
  <c r="CS19" i="2"/>
  <c r="CR19" i="2"/>
  <c r="CQ19" i="2"/>
  <c r="CO19" i="2"/>
  <c r="CN19" i="2"/>
  <c r="CM19" i="2"/>
  <c r="CP19" i="2" s="1"/>
  <c r="CL19" i="2"/>
  <c r="BA19" i="2"/>
  <c r="AY19" i="2"/>
  <c r="AZ19" i="2" s="1"/>
  <c r="AX19" i="2"/>
  <c r="AW19" i="2"/>
  <c r="AV19" i="2"/>
  <c r="CS18" i="2"/>
  <c r="CR18" i="2"/>
  <c r="CQ18" i="2"/>
  <c r="CP18" i="2"/>
  <c r="CO18" i="2"/>
  <c r="CN18" i="2"/>
  <c r="CM18" i="2"/>
  <c r="CL18" i="2"/>
  <c r="BA18" i="2"/>
  <c r="AY18" i="2"/>
  <c r="AZ18" i="2" s="1"/>
  <c r="AX18" i="2"/>
  <c r="AW18" i="2"/>
  <c r="AV18" i="2"/>
  <c r="CS17" i="2"/>
  <c r="CR17" i="2"/>
  <c r="CQ17" i="2"/>
  <c r="CO17" i="2"/>
  <c r="CN17" i="2"/>
  <c r="CM17" i="2"/>
  <c r="CP17" i="2" s="1"/>
  <c r="CL17" i="2"/>
  <c r="BA17" i="2"/>
  <c r="AY17" i="2"/>
  <c r="AZ17" i="2" s="1"/>
  <c r="AX17" i="2"/>
  <c r="AW17" i="2"/>
  <c r="AV17" i="2"/>
  <c r="CS16" i="2"/>
  <c r="CR16" i="2"/>
  <c r="CQ16" i="2"/>
  <c r="CP16" i="2"/>
  <c r="CO16" i="2"/>
  <c r="CN16" i="2"/>
  <c r="CM16" i="2"/>
  <c r="CL16" i="2"/>
  <c r="BA16" i="2"/>
  <c r="AY16" i="2"/>
  <c r="AZ16" i="2" s="1"/>
  <c r="AX16" i="2"/>
  <c r="AW16" i="2"/>
  <c r="AV16" i="2"/>
  <c r="CS15" i="2"/>
  <c r="CR15" i="2"/>
  <c r="CQ15" i="2"/>
  <c r="CO15" i="2"/>
  <c r="CN15" i="2"/>
  <c r="CM15" i="2"/>
  <c r="CP15" i="2" s="1"/>
  <c r="CL15" i="2"/>
  <c r="BA15" i="2"/>
  <c r="AY15" i="2"/>
  <c r="AZ15" i="2" s="1"/>
  <c r="AX15" i="2"/>
  <c r="AW15" i="2"/>
  <c r="AV15" i="2"/>
  <c r="CS14" i="2"/>
  <c r="CR14" i="2"/>
  <c r="CQ14" i="2"/>
  <c r="CP14" i="2"/>
  <c r="CO14" i="2"/>
  <c r="CN14" i="2"/>
  <c r="CM14" i="2"/>
  <c r="CL14" i="2"/>
  <c r="BA14" i="2"/>
  <c r="AY14" i="2"/>
  <c r="AZ14" i="2" s="1"/>
  <c r="AX14" i="2"/>
  <c r="AW14" i="2"/>
  <c r="AV14" i="2"/>
  <c r="CS13" i="2"/>
  <c r="CR13" i="2"/>
  <c r="CQ13" i="2"/>
  <c r="CO13" i="2"/>
  <c r="CN13" i="2"/>
  <c r="CM13" i="2"/>
  <c r="CP13" i="2" s="1"/>
  <c r="CL13" i="2"/>
  <c r="BA13" i="2"/>
  <c r="AX13" i="2"/>
  <c r="AW13" i="2"/>
  <c r="AV13" i="2"/>
  <c r="AY13" i="2" s="1"/>
  <c r="AZ13" i="2" s="1"/>
  <c r="CS12" i="2"/>
  <c r="CR12" i="2"/>
  <c r="CQ12" i="2"/>
  <c r="CP12" i="2"/>
  <c r="CN12" i="2"/>
  <c r="CM12" i="2"/>
  <c r="CL12" i="2"/>
  <c r="CO12" i="2" s="1"/>
  <c r="AY12" i="2"/>
  <c r="AZ12" i="2" s="1"/>
  <c r="AX12" i="2"/>
  <c r="BA12" i="2" s="1"/>
  <c r="AW12" i="2"/>
  <c r="AV12" i="2"/>
  <c r="CS11" i="2"/>
  <c r="CR11" i="2"/>
  <c r="CQ11" i="2"/>
  <c r="CO11" i="2"/>
  <c r="CN11" i="2"/>
  <c r="CM11" i="2"/>
  <c r="CP11" i="2" s="1"/>
  <c r="CL11" i="2"/>
  <c r="BA11" i="2"/>
  <c r="AX11" i="2"/>
  <c r="AW11" i="2"/>
  <c r="AV11" i="2"/>
  <c r="AY11" i="2" s="1"/>
  <c r="AZ11" i="2" s="1"/>
  <c r="CS10" i="2"/>
  <c r="CR10" i="2"/>
  <c r="CQ10" i="2"/>
  <c r="CP10" i="2"/>
  <c r="CN10" i="2"/>
  <c r="CM10" i="2"/>
  <c r="CL10" i="2"/>
  <c r="CO10" i="2" s="1"/>
  <c r="BA10" i="2"/>
  <c r="AY10" i="2"/>
  <c r="AZ10" i="2" s="1"/>
  <c r="AX10" i="2"/>
  <c r="AW10" i="2"/>
  <c r="AV10" i="2"/>
  <c r="CS9" i="2"/>
  <c r="CR9" i="2"/>
  <c r="CO9" i="2"/>
  <c r="CN9" i="2"/>
  <c r="CQ9" i="2" s="1"/>
  <c r="CM9" i="2"/>
  <c r="CP9" i="2" s="1"/>
  <c r="CL9" i="2"/>
  <c r="BA9" i="2"/>
  <c r="AX9" i="2"/>
  <c r="AW9" i="2"/>
  <c r="AV9" i="2"/>
  <c r="AY9" i="2" s="1"/>
  <c r="AZ9" i="2" s="1"/>
  <c r="CS8" i="2"/>
  <c r="CR8" i="2"/>
  <c r="CQ8" i="2"/>
  <c r="CP8" i="2"/>
  <c r="CN8" i="2"/>
  <c r="CM8" i="2"/>
  <c r="CL8" i="2"/>
  <c r="CO8" i="2" s="1"/>
  <c r="AY8" i="2"/>
  <c r="AZ8" i="2" s="1"/>
  <c r="AX8" i="2"/>
  <c r="BA8" i="2" s="1"/>
  <c r="AW8" i="2"/>
  <c r="AV8" i="2"/>
  <c r="CS7" i="2"/>
  <c r="CR7" i="2"/>
  <c r="CQ7" i="2"/>
  <c r="CO7" i="2"/>
  <c r="CN7" i="2"/>
  <c r="CM7" i="2"/>
  <c r="CP7" i="2" s="1"/>
  <c r="CL7" i="2"/>
  <c r="BA7" i="2"/>
  <c r="AX7" i="2"/>
  <c r="AW7" i="2"/>
  <c r="AV7" i="2"/>
  <c r="AY7" i="2" s="1"/>
  <c r="AZ7" i="2" s="1"/>
  <c r="CS6" i="2"/>
  <c r="CR6" i="2"/>
  <c r="CQ6" i="2"/>
  <c r="CP6" i="2"/>
  <c r="CN6" i="2"/>
  <c r="CM6" i="2"/>
  <c r="CL6" i="2"/>
  <c r="CO6" i="2" s="1"/>
  <c r="BA6" i="2"/>
  <c r="AY6" i="2"/>
  <c r="AZ6" i="2" s="1"/>
  <c r="AX6" i="2"/>
  <c r="AW6" i="2"/>
  <c r="AV6" i="2"/>
  <c r="CS5" i="2"/>
  <c r="CR5" i="2"/>
  <c r="CO5" i="2"/>
  <c r="CN5" i="2"/>
  <c r="CQ5" i="2" s="1"/>
  <c r="CM5" i="2"/>
  <c r="CP5" i="2" s="1"/>
  <c r="CL5" i="2"/>
  <c r="BA5" i="2"/>
  <c r="AX5" i="2"/>
  <c r="AW5" i="2"/>
  <c r="AV5" i="2"/>
  <c r="AY5" i="2" s="1"/>
  <c r="AZ5" i="2" s="1"/>
  <c r="CS4" i="2"/>
  <c r="CR4" i="2"/>
  <c r="CQ4" i="2"/>
  <c r="CP4" i="2"/>
  <c r="CP287" i="2" s="1"/>
  <c r="CN4" i="2"/>
  <c r="CM4" i="2"/>
  <c r="CL4" i="2"/>
  <c r="CL287" i="2" s="1"/>
  <c r="AY4" i="2"/>
  <c r="AX4" i="2"/>
  <c r="AW4" i="2"/>
  <c r="AV4" i="2"/>
  <c r="CM312" i="1"/>
  <c r="CK271" i="1"/>
  <c r="AX287" i="2" l="1"/>
  <c r="AV287" i="2"/>
  <c r="BA4" i="2"/>
  <c r="BA287" i="2" s="1"/>
  <c r="CO4" i="2"/>
  <c r="CO287" i="2" s="1"/>
  <c r="CQ287" i="2"/>
  <c r="AW65" i="2"/>
  <c r="AW287" i="2" s="1"/>
  <c r="AY287" i="2"/>
  <c r="CM287" i="2"/>
  <c r="AZ4" i="2"/>
  <c r="AZ287" i="2" s="1"/>
  <c r="CN287" i="2"/>
  <c r="CK279" i="1"/>
  <c r="CN279" i="1" s="1"/>
  <c r="CM5" i="1"/>
  <c r="CP5" i="1" s="1"/>
  <c r="CM6" i="1"/>
  <c r="CP6" i="1" s="1"/>
  <c r="CM7" i="1"/>
  <c r="CP7" i="1" s="1"/>
  <c r="CM8" i="1"/>
  <c r="CP8" i="1" s="1"/>
  <c r="CM9" i="1"/>
  <c r="CP9" i="1" s="1"/>
  <c r="CM10" i="1"/>
  <c r="CP10" i="1" s="1"/>
  <c r="CM11" i="1"/>
  <c r="CP11" i="1" s="1"/>
  <c r="CM12" i="1"/>
  <c r="CP12" i="1" s="1"/>
  <c r="CM13" i="1"/>
  <c r="CP13" i="1" s="1"/>
  <c r="CM14" i="1"/>
  <c r="CP14" i="1" s="1"/>
  <c r="CM15" i="1"/>
  <c r="CP15" i="1" s="1"/>
  <c r="CM16" i="1"/>
  <c r="CP16" i="1" s="1"/>
  <c r="CM17" i="1"/>
  <c r="CP17" i="1" s="1"/>
  <c r="CM18" i="1"/>
  <c r="CP18" i="1" s="1"/>
  <c r="CM19" i="1"/>
  <c r="CP19" i="1" s="1"/>
  <c r="CM20" i="1"/>
  <c r="CP20" i="1" s="1"/>
  <c r="CM21" i="1"/>
  <c r="CP21" i="1" s="1"/>
  <c r="CM22" i="1"/>
  <c r="CP22" i="1" s="1"/>
  <c r="CM23" i="1"/>
  <c r="CP23" i="1" s="1"/>
  <c r="CM24" i="1"/>
  <c r="CP24" i="1" s="1"/>
  <c r="CM25" i="1"/>
  <c r="CP25" i="1" s="1"/>
  <c r="CM26" i="1"/>
  <c r="CP26" i="1" s="1"/>
  <c r="CM27" i="1"/>
  <c r="CP27" i="1" s="1"/>
  <c r="CM28" i="1"/>
  <c r="CP28" i="1" s="1"/>
  <c r="CM29" i="1"/>
  <c r="CP29" i="1" s="1"/>
  <c r="CM30" i="1"/>
  <c r="CP30" i="1" s="1"/>
  <c r="CM31" i="1"/>
  <c r="CP31" i="1" s="1"/>
  <c r="CM32" i="1"/>
  <c r="CP32" i="1" s="1"/>
  <c r="CM33" i="1"/>
  <c r="CP33" i="1" s="1"/>
  <c r="CM34" i="1"/>
  <c r="CP34" i="1" s="1"/>
  <c r="CM35" i="1"/>
  <c r="CP35" i="1" s="1"/>
  <c r="CM36" i="1"/>
  <c r="CP36" i="1" s="1"/>
  <c r="CM37" i="1"/>
  <c r="CP37" i="1" s="1"/>
  <c r="CM38" i="1"/>
  <c r="CP38" i="1" s="1"/>
  <c r="CM39" i="1"/>
  <c r="CP39" i="1" s="1"/>
  <c r="CM40" i="1"/>
  <c r="CP40" i="1" s="1"/>
  <c r="CM41" i="1"/>
  <c r="CP41" i="1" s="1"/>
  <c r="CM42" i="1"/>
  <c r="CP42" i="1" s="1"/>
  <c r="CM43" i="1"/>
  <c r="CP43" i="1" s="1"/>
  <c r="CM44" i="1"/>
  <c r="CP44" i="1" s="1"/>
  <c r="CM45" i="1"/>
  <c r="CP45" i="1" s="1"/>
  <c r="CM272" i="1"/>
  <c r="CP272" i="1" s="1"/>
  <c r="CM46" i="1"/>
  <c r="CP46" i="1" s="1"/>
  <c r="CM47" i="1"/>
  <c r="CP47" i="1" s="1"/>
  <c r="CM48" i="1"/>
  <c r="CP48" i="1" s="1"/>
  <c r="CM273" i="1"/>
  <c r="CP273" i="1" s="1"/>
  <c r="CM49" i="1"/>
  <c r="CP49" i="1" s="1"/>
  <c r="CM50" i="1"/>
  <c r="CP50" i="1" s="1"/>
  <c r="CM51" i="1"/>
  <c r="CP51" i="1" s="1"/>
  <c r="CM52" i="1"/>
  <c r="CP52" i="1" s="1"/>
  <c r="CM53" i="1"/>
  <c r="CP53" i="1" s="1"/>
  <c r="CM54" i="1"/>
  <c r="CP54" i="1" s="1"/>
  <c r="CM55" i="1"/>
  <c r="CP55" i="1" s="1"/>
  <c r="CM56" i="1"/>
  <c r="CP56" i="1" s="1"/>
  <c r="CM57" i="1"/>
  <c r="CP57" i="1" s="1"/>
  <c r="CM58" i="1"/>
  <c r="CP58" i="1" s="1"/>
  <c r="CM59" i="1"/>
  <c r="CP59" i="1" s="1"/>
  <c r="CM60" i="1"/>
  <c r="CP60" i="1" s="1"/>
  <c r="CM61" i="1"/>
  <c r="CP61" i="1" s="1"/>
  <c r="CM62" i="1"/>
  <c r="CP62" i="1" s="1"/>
  <c r="CM63" i="1"/>
  <c r="CP63" i="1" s="1"/>
  <c r="CM64" i="1"/>
  <c r="CP64" i="1" s="1"/>
  <c r="CM274" i="1"/>
  <c r="CP274" i="1" s="1"/>
  <c r="CM65" i="1"/>
  <c r="CP65" i="1" s="1"/>
  <c r="CM66" i="1"/>
  <c r="CP66" i="1" s="1"/>
  <c r="CM67" i="1"/>
  <c r="CP67" i="1" s="1"/>
  <c r="CM68" i="1"/>
  <c r="CP68" i="1" s="1"/>
  <c r="CM69" i="1"/>
  <c r="CP69" i="1" s="1"/>
  <c r="CM275" i="1"/>
  <c r="CP275" i="1" s="1"/>
  <c r="CM276" i="1"/>
  <c r="CP276" i="1" s="1"/>
  <c r="CM277" i="1"/>
  <c r="CP277" i="1" s="1"/>
  <c r="CM278" i="1"/>
  <c r="CP278" i="1" s="1"/>
  <c r="CM70" i="1"/>
  <c r="CP70" i="1" s="1"/>
  <c r="CM71" i="1"/>
  <c r="CP71" i="1" s="1"/>
  <c r="CM72" i="1"/>
  <c r="CP72" i="1" s="1"/>
  <c r="CM73" i="1"/>
  <c r="CP73" i="1" s="1"/>
  <c r="CM74" i="1"/>
  <c r="CP74" i="1" s="1"/>
  <c r="CM279" i="1"/>
  <c r="CP279" i="1" s="1"/>
  <c r="CM280" i="1"/>
  <c r="CP280" i="1" s="1"/>
  <c r="CM75" i="1"/>
  <c r="CP75" i="1" s="1"/>
  <c r="CM76" i="1"/>
  <c r="CP76" i="1" s="1"/>
  <c r="CM77" i="1"/>
  <c r="CP77" i="1" s="1"/>
  <c r="CM78" i="1"/>
  <c r="CP78" i="1" s="1"/>
  <c r="CM79" i="1"/>
  <c r="CP79" i="1" s="1"/>
  <c r="CM80" i="1"/>
  <c r="CP80" i="1" s="1"/>
  <c r="CM81" i="1"/>
  <c r="CP81" i="1" s="1"/>
  <c r="CM82" i="1"/>
  <c r="CP82" i="1" s="1"/>
  <c r="CM83" i="1"/>
  <c r="CP83" i="1" s="1"/>
  <c r="CM84" i="1"/>
  <c r="CP84" i="1" s="1"/>
  <c r="CM281" i="1"/>
  <c r="CP281" i="1" s="1"/>
  <c r="CM85" i="1"/>
  <c r="CP85" i="1" s="1"/>
  <c r="CM282" i="1"/>
  <c r="CP282" i="1" s="1"/>
  <c r="CM86" i="1"/>
  <c r="CP86" i="1" s="1"/>
  <c r="CM87" i="1"/>
  <c r="CP87" i="1" s="1"/>
  <c r="CM88" i="1"/>
  <c r="CP88" i="1" s="1"/>
  <c r="CM89" i="1"/>
  <c r="CP89" i="1" s="1"/>
  <c r="CM90" i="1"/>
  <c r="CP90" i="1" s="1"/>
  <c r="CM283" i="1"/>
  <c r="CP283" i="1" s="1"/>
  <c r="CM91" i="1"/>
  <c r="CP91" i="1" s="1"/>
  <c r="CM92" i="1"/>
  <c r="CP92" i="1" s="1"/>
  <c r="CM93" i="1"/>
  <c r="CP93" i="1" s="1"/>
  <c r="CM94" i="1"/>
  <c r="CP94" i="1" s="1"/>
  <c r="CM95" i="1"/>
  <c r="CP95" i="1" s="1"/>
  <c r="CM96" i="1"/>
  <c r="CP96" i="1" s="1"/>
  <c r="CM97" i="1"/>
  <c r="CP97" i="1" s="1"/>
  <c r="CM98" i="1"/>
  <c r="CP98" i="1" s="1"/>
  <c r="CM99" i="1"/>
  <c r="CP99" i="1" s="1"/>
  <c r="CM100" i="1"/>
  <c r="CP100" i="1" s="1"/>
  <c r="CM284" i="1"/>
  <c r="CP284" i="1" s="1"/>
  <c r="CM101" i="1"/>
  <c r="CP101" i="1" s="1"/>
  <c r="CM102" i="1"/>
  <c r="CP102" i="1" s="1"/>
  <c r="CM285" i="1"/>
  <c r="CP285" i="1" s="1"/>
  <c r="CM286" i="1"/>
  <c r="CP286" i="1" s="1"/>
  <c r="CM287" i="1"/>
  <c r="CP287" i="1" s="1"/>
  <c r="CM103" i="1"/>
  <c r="CP103" i="1" s="1"/>
  <c r="CM288" i="1"/>
  <c r="CP288" i="1" s="1"/>
  <c r="CM104" i="1"/>
  <c r="CP104" i="1" s="1"/>
  <c r="CM105" i="1"/>
  <c r="CP105" i="1" s="1"/>
  <c r="CM106" i="1"/>
  <c r="CP106" i="1" s="1"/>
  <c r="CM107" i="1"/>
  <c r="CP107" i="1" s="1"/>
  <c r="CM108" i="1"/>
  <c r="CP108" i="1" s="1"/>
  <c r="CM109" i="1"/>
  <c r="CP109" i="1" s="1"/>
  <c r="CM110" i="1"/>
  <c r="CP110" i="1" s="1"/>
  <c r="CM289" i="1"/>
  <c r="CP289" i="1" s="1"/>
  <c r="CM111" i="1"/>
  <c r="CP111" i="1" s="1"/>
  <c r="CM112" i="1"/>
  <c r="CP112" i="1" s="1"/>
  <c r="CM113" i="1"/>
  <c r="CP113" i="1" s="1"/>
  <c r="CM114" i="1"/>
  <c r="CP114" i="1" s="1"/>
  <c r="CM115" i="1"/>
  <c r="CP115" i="1" s="1"/>
  <c r="CM290" i="1"/>
  <c r="CP290" i="1" s="1"/>
  <c r="CM116" i="1"/>
  <c r="CP116" i="1" s="1"/>
  <c r="CM117" i="1"/>
  <c r="CP117" i="1" s="1"/>
  <c r="CM118" i="1"/>
  <c r="CP118" i="1" s="1"/>
  <c r="CM291" i="1"/>
  <c r="CP291" i="1" s="1"/>
  <c r="CM292" i="1"/>
  <c r="CP292" i="1" s="1"/>
  <c r="CM293" i="1"/>
  <c r="CP293" i="1" s="1"/>
  <c r="CM119" i="1"/>
  <c r="CP119" i="1" s="1"/>
  <c r="CM120" i="1"/>
  <c r="CP120" i="1" s="1"/>
  <c r="CM121" i="1"/>
  <c r="CP121" i="1" s="1"/>
  <c r="CM294" i="1"/>
  <c r="CP294" i="1" s="1"/>
  <c r="CM295" i="1"/>
  <c r="CP295" i="1" s="1"/>
  <c r="CM296" i="1"/>
  <c r="CP296" i="1" s="1"/>
  <c r="CM122" i="1"/>
  <c r="CP122" i="1" s="1"/>
  <c r="CM123" i="1"/>
  <c r="CP123" i="1" s="1"/>
  <c r="CM124" i="1"/>
  <c r="CP124" i="1" s="1"/>
  <c r="CM125" i="1"/>
  <c r="CP125" i="1" s="1"/>
  <c r="CM297" i="1"/>
  <c r="CP297" i="1" s="1"/>
  <c r="CM298" i="1"/>
  <c r="CP298" i="1" s="1"/>
  <c r="CM126" i="1"/>
  <c r="CP126" i="1" s="1"/>
  <c r="CM127" i="1"/>
  <c r="CP127" i="1" s="1"/>
  <c r="CM128" i="1"/>
  <c r="CP128" i="1" s="1"/>
  <c r="CM129" i="1"/>
  <c r="CP129" i="1" s="1"/>
  <c r="CM130" i="1"/>
  <c r="CP130" i="1" s="1"/>
  <c r="CM131" i="1"/>
  <c r="CP131" i="1" s="1"/>
  <c r="CM132" i="1"/>
  <c r="CP132" i="1" s="1"/>
  <c r="CM133" i="1"/>
  <c r="CP133" i="1" s="1"/>
  <c r="CM134" i="1"/>
  <c r="CP134" i="1" s="1"/>
  <c r="CM135" i="1"/>
  <c r="CP135" i="1" s="1"/>
  <c r="CM136" i="1"/>
  <c r="CP136" i="1" s="1"/>
  <c r="CM137" i="1"/>
  <c r="CP137" i="1" s="1"/>
  <c r="CM138" i="1"/>
  <c r="CP138" i="1" s="1"/>
  <c r="CM139" i="1"/>
  <c r="CP139" i="1" s="1"/>
  <c r="CM140" i="1"/>
  <c r="CP140" i="1" s="1"/>
  <c r="CM142" i="1"/>
  <c r="CP142" i="1" s="1"/>
  <c r="CM299" i="1"/>
  <c r="CP299" i="1" s="1"/>
  <c r="CM144" i="1"/>
  <c r="CP144" i="1" s="1"/>
  <c r="CM145" i="1"/>
  <c r="CP145" i="1" s="1"/>
  <c r="CM146" i="1"/>
  <c r="CP146" i="1" s="1"/>
  <c r="CM147" i="1"/>
  <c r="CP147" i="1" s="1"/>
  <c r="CM148" i="1"/>
  <c r="CP148" i="1" s="1"/>
  <c r="CM149" i="1"/>
  <c r="CP149" i="1" s="1"/>
  <c r="CM150" i="1"/>
  <c r="CP150" i="1" s="1"/>
  <c r="CM151" i="1"/>
  <c r="CP151" i="1" s="1"/>
  <c r="CM152" i="1"/>
  <c r="CP152" i="1" s="1"/>
  <c r="CM153" i="1"/>
  <c r="CP153" i="1" s="1"/>
  <c r="CM154" i="1"/>
  <c r="CP154" i="1" s="1"/>
  <c r="CM300" i="1"/>
  <c r="CP300" i="1" s="1"/>
  <c r="CM155" i="1"/>
  <c r="CP155" i="1" s="1"/>
  <c r="CM159" i="1"/>
  <c r="CP159" i="1" s="1"/>
  <c r="CM160" i="1"/>
  <c r="CP160" i="1" s="1"/>
  <c r="CM301" i="1"/>
  <c r="CP301" i="1" s="1"/>
  <c r="CM161" i="1"/>
  <c r="CP161" i="1" s="1"/>
  <c r="CM162" i="1"/>
  <c r="CP162" i="1" s="1"/>
  <c r="CM163" i="1"/>
  <c r="CP163" i="1" s="1"/>
  <c r="CM302" i="1"/>
  <c r="CP302" i="1" s="1"/>
  <c r="CM164" i="1"/>
  <c r="CP164" i="1" s="1"/>
  <c r="CM165" i="1"/>
  <c r="CP165" i="1" s="1"/>
  <c r="CM166" i="1"/>
  <c r="CP166" i="1" s="1"/>
  <c r="CM167" i="1"/>
  <c r="CP167" i="1" s="1"/>
  <c r="CM168" i="1"/>
  <c r="CP168" i="1" s="1"/>
  <c r="CM169" i="1"/>
  <c r="CP169" i="1" s="1"/>
  <c r="CM170" i="1"/>
  <c r="CP170" i="1" s="1"/>
  <c r="CM171" i="1"/>
  <c r="CP171" i="1" s="1"/>
  <c r="CM172" i="1"/>
  <c r="CP172" i="1" s="1"/>
  <c r="CM173" i="1"/>
  <c r="CP173" i="1" s="1"/>
  <c r="CM174" i="1"/>
  <c r="CP174" i="1" s="1"/>
  <c r="CM175" i="1"/>
  <c r="CP175" i="1" s="1"/>
  <c r="CM303" i="1"/>
  <c r="CP303" i="1" s="1"/>
  <c r="CM304" i="1"/>
  <c r="CP304" i="1" s="1"/>
  <c r="CM183" i="1"/>
  <c r="CP183" i="1" s="1"/>
  <c r="CM184" i="1"/>
  <c r="CP184" i="1" s="1"/>
  <c r="CM185" i="1"/>
  <c r="CP185" i="1" s="1"/>
  <c r="CM186" i="1"/>
  <c r="CP186" i="1" s="1"/>
  <c r="CM305" i="1"/>
  <c r="CP305" i="1" s="1"/>
  <c r="CM187" i="1"/>
  <c r="CP187" i="1" s="1"/>
  <c r="CM188" i="1"/>
  <c r="CP188" i="1" s="1"/>
  <c r="CM189" i="1"/>
  <c r="CP189" i="1" s="1"/>
  <c r="CM306" i="1"/>
  <c r="CP306" i="1" s="1"/>
  <c r="CM191" i="1"/>
  <c r="CP191" i="1" s="1"/>
  <c r="CM192" i="1"/>
  <c r="CP192" i="1" s="1"/>
  <c r="CM193" i="1"/>
  <c r="CP193" i="1" s="1"/>
  <c r="CM194" i="1"/>
  <c r="CP194" i="1" s="1"/>
  <c r="CM195" i="1"/>
  <c r="CP195" i="1" s="1"/>
  <c r="CM307" i="1"/>
  <c r="CP307" i="1" s="1"/>
  <c r="CM196" i="1"/>
  <c r="CP196" i="1" s="1"/>
  <c r="CM197" i="1"/>
  <c r="CP197" i="1" s="1"/>
  <c r="CM198" i="1"/>
  <c r="CP198" i="1" s="1"/>
  <c r="CM199" i="1"/>
  <c r="CP199" i="1" s="1"/>
  <c r="CM200" i="1"/>
  <c r="CP200" i="1" s="1"/>
  <c r="CM201" i="1"/>
  <c r="CP201" i="1" s="1"/>
  <c r="CM202" i="1"/>
  <c r="CP202" i="1" s="1"/>
  <c r="CM203" i="1"/>
  <c r="CP203" i="1" s="1"/>
  <c r="CM204" i="1"/>
  <c r="CP204" i="1" s="1"/>
  <c r="CM205" i="1"/>
  <c r="CP205" i="1" s="1"/>
  <c r="CM206" i="1"/>
  <c r="CP206" i="1" s="1"/>
  <c r="CM211" i="1"/>
  <c r="CP211" i="1" s="1"/>
  <c r="CM212" i="1"/>
  <c r="CP212" i="1" s="1"/>
  <c r="CM213" i="1"/>
  <c r="CP213" i="1" s="1"/>
  <c r="CM214" i="1"/>
  <c r="CP214" i="1" s="1"/>
  <c r="CM215" i="1"/>
  <c r="CP215" i="1" s="1"/>
  <c r="CM216" i="1"/>
  <c r="CP216" i="1" s="1"/>
  <c r="CM219" i="1"/>
  <c r="CP219" i="1" s="1"/>
  <c r="CM220" i="1"/>
  <c r="CP220" i="1" s="1"/>
  <c r="CM221" i="1"/>
  <c r="CP221" i="1" s="1"/>
  <c r="CM222" i="1"/>
  <c r="CP222" i="1" s="1"/>
  <c r="CM223" i="1"/>
  <c r="CP223" i="1" s="1"/>
  <c r="CM224" i="1"/>
  <c r="CP224" i="1" s="1"/>
  <c r="CM308" i="1"/>
  <c r="CP308" i="1" s="1"/>
  <c r="CM226" i="1"/>
  <c r="CP226" i="1" s="1"/>
  <c r="CM227" i="1"/>
  <c r="CP227" i="1" s="1"/>
  <c r="CM228" i="1"/>
  <c r="CP228" i="1" s="1"/>
  <c r="CM229" i="1"/>
  <c r="CP229" i="1" s="1"/>
  <c r="CM230" i="1"/>
  <c r="CP230" i="1" s="1"/>
  <c r="CM231" i="1"/>
  <c r="CP231" i="1" s="1"/>
  <c r="CM232" i="1"/>
  <c r="CP232" i="1" s="1"/>
  <c r="CM233" i="1"/>
  <c r="CP233" i="1" s="1"/>
  <c r="CM234" i="1"/>
  <c r="CP234" i="1" s="1"/>
  <c r="CM309" i="1"/>
  <c r="CP309" i="1" s="1"/>
  <c r="CM235" i="1"/>
  <c r="CP235" i="1" s="1"/>
  <c r="CM236" i="1"/>
  <c r="CP236" i="1" s="1"/>
  <c r="CM310" i="1"/>
  <c r="CP310" i="1" s="1"/>
  <c r="CM238" i="1"/>
  <c r="CP238" i="1" s="1"/>
  <c r="CM239" i="1"/>
  <c r="CP239" i="1" s="1"/>
  <c r="CM240" i="1"/>
  <c r="CP240" i="1" s="1"/>
  <c r="CM241" i="1"/>
  <c r="CP241" i="1" s="1"/>
  <c r="CM242" i="1"/>
  <c r="CP242" i="1" s="1"/>
  <c r="CM243" i="1"/>
  <c r="CP243" i="1" s="1"/>
  <c r="CM244" i="1"/>
  <c r="CP244" i="1" s="1"/>
  <c r="CM248" i="1"/>
  <c r="CP248" i="1" s="1"/>
  <c r="CM249" i="1"/>
  <c r="CP249" i="1" s="1"/>
  <c r="CM250" i="1"/>
  <c r="CP250" i="1" s="1"/>
  <c r="CM251" i="1"/>
  <c r="CP251" i="1" s="1"/>
  <c r="CM252" i="1"/>
  <c r="CP252" i="1" s="1"/>
  <c r="CM253" i="1"/>
  <c r="CP253" i="1" s="1"/>
  <c r="CM254" i="1"/>
  <c r="CP254" i="1" s="1"/>
  <c r="CM255" i="1"/>
  <c r="CP255" i="1" s="1"/>
  <c r="CM311" i="1"/>
  <c r="CP311" i="1" s="1"/>
  <c r="CM256" i="1"/>
  <c r="CP256" i="1" s="1"/>
  <c r="CM257" i="1"/>
  <c r="CP257" i="1" s="1"/>
  <c r="CP312" i="1"/>
  <c r="CM259" i="1"/>
  <c r="CP259" i="1" s="1"/>
  <c r="CM260" i="1"/>
  <c r="CP260" i="1" s="1"/>
  <c r="CM261" i="1"/>
  <c r="CP261" i="1" s="1"/>
  <c r="CM262" i="1"/>
  <c r="CP262" i="1" s="1"/>
  <c r="CM313" i="1"/>
  <c r="CP313" i="1" s="1"/>
  <c r="CM263" i="1"/>
  <c r="CP263" i="1" s="1"/>
  <c r="CM264" i="1"/>
  <c r="CP264" i="1" s="1"/>
  <c r="CM314" i="1"/>
  <c r="CP314" i="1" s="1"/>
  <c r="CM265" i="1"/>
  <c r="CP265" i="1" s="1"/>
  <c r="CM266" i="1"/>
  <c r="CP266" i="1" s="1"/>
  <c r="CM271" i="1"/>
  <c r="CP271" i="1" s="1"/>
  <c r="CL5" i="1"/>
  <c r="CO5" i="1" s="1"/>
  <c r="CL6" i="1"/>
  <c r="CO6" i="1" s="1"/>
  <c r="CL7" i="1"/>
  <c r="CO7" i="1" s="1"/>
  <c r="CL8" i="1"/>
  <c r="CO8" i="1" s="1"/>
  <c r="CL9" i="1"/>
  <c r="CO9" i="1" s="1"/>
  <c r="CL10" i="1"/>
  <c r="CO10" i="1" s="1"/>
  <c r="CL11" i="1"/>
  <c r="CO11" i="1" s="1"/>
  <c r="CL12" i="1"/>
  <c r="CO12" i="1" s="1"/>
  <c r="CL13" i="1"/>
  <c r="CO13" i="1" s="1"/>
  <c r="CL14" i="1"/>
  <c r="CO14" i="1" s="1"/>
  <c r="CL15" i="1"/>
  <c r="CO15" i="1" s="1"/>
  <c r="CL16" i="1"/>
  <c r="CO16" i="1" s="1"/>
  <c r="CL17" i="1"/>
  <c r="CO17" i="1" s="1"/>
  <c r="CL18" i="1"/>
  <c r="CO18" i="1" s="1"/>
  <c r="CL19" i="1"/>
  <c r="CO19" i="1" s="1"/>
  <c r="CL20" i="1"/>
  <c r="CO20" i="1" s="1"/>
  <c r="CL21" i="1"/>
  <c r="CO21" i="1" s="1"/>
  <c r="CL22" i="1"/>
  <c r="CO22" i="1" s="1"/>
  <c r="CL23" i="1"/>
  <c r="CO23" i="1" s="1"/>
  <c r="CL24" i="1"/>
  <c r="CO24" i="1" s="1"/>
  <c r="CL25" i="1"/>
  <c r="CO25" i="1" s="1"/>
  <c r="CL26" i="1"/>
  <c r="CO26" i="1" s="1"/>
  <c r="CL27" i="1"/>
  <c r="CO27" i="1" s="1"/>
  <c r="CL28" i="1"/>
  <c r="CO28" i="1" s="1"/>
  <c r="CL29" i="1"/>
  <c r="CO29" i="1" s="1"/>
  <c r="CL30" i="1"/>
  <c r="CO30" i="1" s="1"/>
  <c r="CL31" i="1"/>
  <c r="CO31" i="1" s="1"/>
  <c r="CL32" i="1"/>
  <c r="CO32" i="1" s="1"/>
  <c r="CL33" i="1"/>
  <c r="CO33" i="1" s="1"/>
  <c r="CL34" i="1"/>
  <c r="CO34" i="1" s="1"/>
  <c r="CL35" i="1"/>
  <c r="CO35" i="1" s="1"/>
  <c r="CL36" i="1"/>
  <c r="CO36" i="1" s="1"/>
  <c r="CL37" i="1"/>
  <c r="CO37" i="1" s="1"/>
  <c r="CL38" i="1"/>
  <c r="CO38" i="1" s="1"/>
  <c r="CL39" i="1"/>
  <c r="CO39" i="1" s="1"/>
  <c r="CL40" i="1"/>
  <c r="CO40" i="1" s="1"/>
  <c r="CL41" i="1"/>
  <c r="CO41" i="1" s="1"/>
  <c r="CL42" i="1"/>
  <c r="CO42" i="1" s="1"/>
  <c r="CL43" i="1"/>
  <c r="CO43" i="1" s="1"/>
  <c r="CL44" i="1"/>
  <c r="CO44" i="1" s="1"/>
  <c r="CL45" i="1"/>
  <c r="CO45" i="1" s="1"/>
  <c r="CL272" i="1"/>
  <c r="CO272" i="1" s="1"/>
  <c r="CL46" i="1"/>
  <c r="CO46" i="1" s="1"/>
  <c r="CL47" i="1"/>
  <c r="CO47" i="1" s="1"/>
  <c r="CL48" i="1"/>
  <c r="CO48" i="1" s="1"/>
  <c r="CL273" i="1"/>
  <c r="CO273" i="1" s="1"/>
  <c r="CL49" i="1"/>
  <c r="CO49" i="1" s="1"/>
  <c r="CL50" i="1"/>
  <c r="CO50" i="1" s="1"/>
  <c r="CL51" i="1"/>
  <c r="CO51" i="1" s="1"/>
  <c r="CL52" i="1"/>
  <c r="CO52" i="1" s="1"/>
  <c r="CL53" i="1"/>
  <c r="CO53" i="1" s="1"/>
  <c r="CL54" i="1"/>
  <c r="CO54" i="1" s="1"/>
  <c r="CL55" i="1"/>
  <c r="CO55" i="1" s="1"/>
  <c r="CL56" i="1"/>
  <c r="CO56" i="1" s="1"/>
  <c r="CL57" i="1"/>
  <c r="CO57" i="1" s="1"/>
  <c r="CL58" i="1"/>
  <c r="CO58" i="1" s="1"/>
  <c r="CL59" i="1"/>
  <c r="CO59" i="1" s="1"/>
  <c r="CL60" i="1"/>
  <c r="CO60" i="1" s="1"/>
  <c r="CL61" i="1"/>
  <c r="CO61" i="1" s="1"/>
  <c r="CL62" i="1"/>
  <c r="CO62" i="1" s="1"/>
  <c r="CL63" i="1"/>
  <c r="CO63" i="1" s="1"/>
  <c r="CL64" i="1"/>
  <c r="CO64" i="1" s="1"/>
  <c r="CL274" i="1"/>
  <c r="CO274" i="1" s="1"/>
  <c r="CL65" i="1"/>
  <c r="CO65" i="1" s="1"/>
  <c r="CL66" i="1"/>
  <c r="CO66" i="1" s="1"/>
  <c r="CL67" i="1"/>
  <c r="CO67" i="1" s="1"/>
  <c r="CL68" i="1"/>
  <c r="CO68" i="1" s="1"/>
  <c r="CL69" i="1"/>
  <c r="CO69" i="1" s="1"/>
  <c r="CL275" i="1"/>
  <c r="CO275" i="1" s="1"/>
  <c r="CL276" i="1"/>
  <c r="CO276" i="1" s="1"/>
  <c r="CL277" i="1"/>
  <c r="CO277" i="1" s="1"/>
  <c r="CL278" i="1"/>
  <c r="CO278" i="1" s="1"/>
  <c r="CL70" i="1"/>
  <c r="CO70" i="1" s="1"/>
  <c r="CL71" i="1"/>
  <c r="CO71" i="1" s="1"/>
  <c r="CL72" i="1"/>
  <c r="CO72" i="1" s="1"/>
  <c r="CL73" i="1"/>
  <c r="CO73" i="1" s="1"/>
  <c r="CL74" i="1"/>
  <c r="CO74" i="1" s="1"/>
  <c r="CL279" i="1"/>
  <c r="CO279" i="1" s="1"/>
  <c r="CL280" i="1"/>
  <c r="CO280" i="1" s="1"/>
  <c r="CL75" i="1"/>
  <c r="CO75" i="1" s="1"/>
  <c r="CL76" i="1"/>
  <c r="CO76" i="1" s="1"/>
  <c r="CL77" i="1"/>
  <c r="CO77" i="1" s="1"/>
  <c r="CL78" i="1"/>
  <c r="CO78" i="1" s="1"/>
  <c r="CL79" i="1"/>
  <c r="CO79" i="1" s="1"/>
  <c r="CL80" i="1"/>
  <c r="CO80" i="1" s="1"/>
  <c r="CL81" i="1"/>
  <c r="CO81" i="1" s="1"/>
  <c r="CL82" i="1"/>
  <c r="CO82" i="1" s="1"/>
  <c r="CL83" i="1"/>
  <c r="CO83" i="1" s="1"/>
  <c r="CL84" i="1"/>
  <c r="CO84" i="1" s="1"/>
  <c r="CL281" i="1"/>
  <c r="CO281" i="1" s="1"/>
  <c r="CL85" i="1"/>
  <c r="CO85" i="1" s="1"/>
  <c r="CL282" i="1"/>
  <c r="CO282" i="1" s="1"/>
  <c r="CL86" i="1"/>
  <c r="CO86" i="1" s="1"/>
  <c r="CL87" i="1"/>
  <c r="CO87" i="1" s="1"/>
  <c r="CL88" i="1"/>
  <c r="CO88" i="1" s="1"/>
  <c r="CL89" i="1"/>
  <c r="CO89" i="1" s="1"/>
  <c r="CL90" i="1"/>
  <c r="CO90" i="1" s="1"/>
  <c r="CL283" i="1"/>
  <c r="CO283" i="1" s="1"/>
  <c r="CL91" i="1"/>
  <c r="CO91" i="1" s="1"/>
  <c r="CL92" i="1"/>
  <c r="CO92" i="1" s="1"/>
  <c r="CL93" i="1"/>
  <c r="CO93" i="1" s="1"/>
  <c r="CL94" i="1"/>
  <c r="CO94" i="1" s="1"/>
  <c r="CL95" i="1"/>
  <c r="CO95" i="1" s="1"/>
  <c r="CL96" i="1"/>
  <c r="CO96" i="1" s="1"/>
  <c r="CL97" i="1"/>
  <c r="CO97" i="1" s="1"/>
  <c r="CL98" i="1"/>
  <c r="CO98" i="1" s="1"/>
  <c r="CL99" i="1"/>
  <c r="CO99" i="1" s="1"/>
  <c r="CL100" i="1"/>
  <c r="CO100" i="1" s="1"/>
  <c r="CL284" i="1"/>
  <c r="CO284" i="1" s="1"/>
  <c r="CL101" i="1"/>
  <c r="CO101" i="1" s="1"/>
  <c r="CL102" i="1"/>
  <c r="CO102" i="1" s="1"/>
  <c r="CL285" i="1"/>
  <c r="CO285" i="1" s="1"/>
  <c r="CL286" i="1"/>
  <c r="CO286" i="1" s="1"/>
  <c r="CL287" i="1"/>
  <c r="CO287" i="1" s="1"/>
  <c r="CL103" i="1"/>
  <c r="CO103" i="1" s="1"/>
  <c r="CL288" i="1"/>
  <c r="CO288" i="1" s="1"/>
  <c r="CL104" i="1"/>
  <c r="CO104" i="1" s="1"/>
  <c r="CL105" i="1"/>
  <c r="CO105" i="1" s="1"/>
  <c r="CL106" i="1"/>
  <c r="CO106" i="1" s="1"/>
  <c r="CL107" i="1"/>
  <c r="CO107" i="1" s="1"/>
  <c r="CL108" i="1"/>
  <c r="CO108" i="1" s="1"/>
  <c r="CL109" i="1"/>
  <c r="CO109" i="1" s="1"/>
  <c r="CL110" i="1"/>
  <c r="CO110" i="1" s="1"/>
  <c r="CL289" i="1"/>
  <c r="CO289" i="1" s="1"/>
  <c r="CL111" i="1"/>
  <c r="CO111" i="1" s="1"/>
  <c r="CL112" i="1"/>
  <c r="CO112" i="1" s="1"/>
  <c r="CL113" i="1"/>
  <c r="CO113" i="1" s="1"/>
  <c r="CL114" i="1"/>
  <c r="CO114" i="1" s="1"/>
  <c r="CL115" i="1"/>
  <c r="CO115" i="1" s="1"/>
  <c r="CL290" i="1"/>
  <c r="CO290" i="1" s="1"/>
  <c r="CL116" i="1"/>
  <c r="CO116" i="1" s="1"/>
  <c r="CL117" i="1"/>
  <c r="CO117" i="1" s="1"/>
  <c r="CL118" i="1"/>
  <c r="CO118" i="1" s="1"/>
  <c r="CL291" i="1"/>
  <c r="CO291" i="1" s="1"/>
  <c r="CL292" i="1"/>
  <c r="CO292" i="1" s="1"/>
  <c r="CL293" i="1"/>
  <c r="CO293" i="1" s="1"/>
  <c r="CL119" i="1"/>
  <c r="CO119" i="1" s="1"/>
  <c r="CL120" i="1"/>
  <c r="CO120" i="1" s="1"/>
  <c r="CL121" i="1"/>
  <c r="CO121" i="1" s="1"/>
  <c r="CL294" i="1"/>
  <c r="CO294" i="1" s="1"/>
  <c r="CL295" i="1"/>
  <c r="CO295" i="1" s="1"/>
  <c r="CL296" i="1"/>
  <c r="CO296" i="1" s="1"/>
  <c r="CL122" i="1"/>
  <c r="CO122" i="1" s="1"/>
  <c r="CL123" i="1"/>
  <c r="CO123" i="1" s="1"/>
  <c r="CL124" i="1"/>
  <c r="CO124" i="1" s="1"/>
  <c r="CL125" i="1"/>
  <c r="CO125" i="1" s="1"/>
  <c r="CL297" i="1"/>
  <c r="CO297" i="1" s="1"/>
  <c r="CL298" i="1"/>
  <c r="CO298" i="1" s="1"/>
  <c r="CL126" i="1"/>
  <c r="CO126" i="1" s="1"/>
  <c r="CL127" i="1"/>
  <c r="CO127" i="1" s="1"/>
  <c r="CL128" i="1"/>
  <c r="CO128" i="1" s="1"/>
  <c r="CL129" i="1"/>
  <c r="CO129" i="1" s="1"/>
  <c r="CL130" i="1"/>
  <c r="CO130" i="1" s="1"/>
  <c r="CL131" i="1"/>
  <c r="CO131" i="1" s="1"/>
  <c r="CL132" i="1"/>
  <c r="CO132" i="1" s="1"/>
  <c r="CL133" i="1"/>
  <c r="CO133" i="1" s="1"/>
  <c r="CL134" i="1"/>
  <c r="CO134" i="1" s="1"/>
  <c r="CL135" i="1"/>
  <c r="CO135" i="1" s="1"/>
  <c r="CL136" i="1"/>
  <c r="CO136" i="1" s="1"/>
  <c r="CL137" i="1"/>
  <c r="CO137" i="1" s="1"/>
  <c r="CL138" i="1"/>
  <c r="CO138" i="1" s="1"/>
  <c r="CL139" i="1"/>
  <c r="CO139" i="1" s="1"/>
  <c r="CL140" i="1"/>
  <c r="CO140" i="1" s="1"/>
  <c r="CL142" i="1"/>
  <c r="CO142" i="1" s="1"/>
  <c r="CL299" i="1"/>
  <c r="CO299" i="1" s="1"/>
  <c r="CL144" i="1"/>
  <c r="CO144" i="1" s="1"/>
  <c r="CL145" i="1"/>
  <c r="CO145" i="1" s="1"/>
  <c r="CL146" i="1"/>
  <c r="CO146" i="1" s="1"/>
  <c r="CL147" i="1"/>
  <c r="CO147" i="1" s="1"/>
  <c r="CL148" i="1"/>
  <c r="CO148" i="1" s="1"/>
  <c r="CL149" i="1"/>
  <c r="CO149" i="1" s="1"/>
  <c r="CL150" i="1"/>
  <c r="CO150" i="1" s="1"/>
  <c r="CL151" i="1"/>
  <c r="CO151" i="1" s="1"/>
  <c r="CL152" i="1"/>
  <c r="CO152" i="1" s="1"/>
  <c r="CL153" i="1"/>
  <c r="CO153" i="1" s="1"/>
  <c r="CL154" i="1"/>
  <c r="CO154" i="1" s="1"/>
  <c r="CL300" i="1"/>
  <c r="CO300" i="1" s="1"/>
  <c r="CL155" i="1"/>
  <c r="CO155" i="1" s="1"/>
  <c r="CL159" i="1"/>
  <c r="CO159" i="1" s="1"/>
  <c r="CL160" i="1"/>
  <c r="CO160" i="1" s="1"/>
  <c r="CL301" i="1"/>
  <c r="CO301" i="1" s="1"/>
  <c r="CL161" i="1"/>
  <c r="CO161" i="1" s="1"/>
  <c r="CL162" i="1"/>
  <c r="CO162" i="1" s="1"/>
  <c r="CL163" i="1"/>
  <c r="CO163" i="1" s="1"/>
  <c r="CL302" i="1"/>
  <c r="CO302" i="1" s="1"/>
  <c r="CL164" i="1"/>
  <c r="CO164" i="1" s="1"/>
  <c r="CL165" i="1"/>
  <c r="CO165" i="1" s="1"/>
  <c r="CL166" i="1"/>
  <c r="CO166" i="1" s="1"/>
  <c r="CL167" i="1"/>
  <c r="CO167" i="1" s="1"/>
  <c r="CL168" i="1"/>
  <c r="CO168" i="1" s="1"/>
  <c r="CL169" i="1"/>
  <c r="CO169" i="1" s="1"/>
  <c r="CL170" i="1"/>
  <c r="CO170" i="1" s="1"/>
  <c r="CL171" i="1"/>
  <c r="CO171" i="1" s="1"/>
  <c r="CL172" i="1"/>
  <c r="CO172" i="1" s="1"/>
  <c r="CL173" i="1"/>
  <c r="CO173" i="1" s="1"/>
  <c r="CL174" i="1"/>
  <c r="CO174" i="1" s="1"/>
  <c r="CL175" i="1"/>
  <c r="CO175" i="1" s="1"/>
  <c r="CL303" i="1"/>
  <c r="CO303" i="1" s="1"/>
  <c r="CL304" i="1"/>
  <c r="CO304" i="1" s="1"/>
  <c r="CL183" i="1"/>
  <c r="CO183" i="1" s="1"/>
  <c r="CL184" i="1"/>
  <c r="CO184" i="1" s="1"/>
  <c r="CL185" i="1"/>
  <c r="CO185" i="1" s="1"/>
  <c r="CL186" i="1"/>
  <c r="CO186" i="1" s="1"/>
  <c r="CL305" i="1"/>
  <c r="CO305" i="1" s="1"/>
  <c r="CL187" i="1"/>
  <c r="CO187" i="1" s="1"/>
  <c r="CL188" i="1"/>
  <c r="CO188" i="1" s="1"/>
  <c r="CL189" i="1"/>
  <c r="CO189" i="1" s="1"/>
  <c r="CL306" i="1"/>
  <c r="CO306" i="1" s="1"/>
  <c r="CL191" i="1"/>
  <c r="CO191" i="1" s="1"/>
  <c r="CL192" i="1"/>
  <c r="CO192" i="1" s="1"/>
  <c r="CL193" i="1"/>
  <c r="CO193" i="1" s="1"/>
  <c r="CL194" i="1"/>
  <c r="CO194" i="1" s="1"/>
  <c r="CL195" i="1"/>
  <c r="CO195" i="1" s="1"/>
  <c r="CL307" i="1"/>
  <c r="CO307" i="1" s="1"/>
  <c r="CL196" i="1"/>
  <c r="CO196" i="1" s="1"/>
  <c r="CL197" i="1"/>
  <c r="CO197" i="1" s="1"/>
  <c r="CL198" i="1"/>
  <c r="CO198" i="1" s="1"/>
  <c r="CL199" i="1"/>
  <c r="CO199" i="1" s="1"/>
  <c r="CL200" i="1"/>
  <c r="CO200" i="1" s="1"/>
  <c r="CL201" i="1"/>
  <c r="CO201" i="1" s="1"/>
  <c r="CL202" i="1"/>
  <c r="CO202" i="1" s="1"/>
  <c r="CL203" i="1"/>
  <c r="CO203" i="1" s="1"/>
  <c r="CL204" i="1"/>
  <c r="CO204" i="1" s="1"/>
  <c r="CL205" i="1"/>
  <c r="CO205" i="1" s="1"/>
  <c r="CL206" i="1"/>
  <c r="CO206" i="1" s="1"/>
  <c r="CL211" i="1"/>
  <c r="CO211" i="1" s="1"/>
  <c r="CL212" i="1"/>
  <c r="CO212" i="1" s="1"/>
  <c r="CL213" i="1"/>
  <c r="CO213" i="1" s="1"/>
  <c r="CL214" i="1"/>
  <c r="CO214" i="1" s="1"/>
  <c r="CL215" i="1"/>
  <c r="CO215" i="1" s="1"/>
  <c r="CL216" i="1"/>
  <c r="CO216" i="1" s="1"/>
  <c r="CL219" i="1"/>
  <c r="CO219" i="1" s="1"/>
  <c r="CL220" i="1"/>
  <c r="CO220" i="1" s="1"/>
  <c r="CL221" i="1"/>
  <c r="CO221" i="1" s="1"/>
  <c r="CL222" i="1"/>
  <c r="CO222" i="1" s="1"/>
  <c r="CL223" i="1"/>
  <c r="CO223" i="1" s="1"/>
  <c r="CL224" i="1"/>
  <c r="CO224" i="1" s="1"/>
  <c r="CL308" i="1"/>
  <c r="CO308" i="1" s="1"/>
  <c r="CL226" i="1"/>
  <c r="CO226" i="1" s="1"/>
  <c r="CL227" i="1"/>
  <c r="CO227" i="1" s="1"/>
  <c r="CL228" i="1"/>
  <c r="CO228" i="1" s="1"/>
  <c r="CL229" i="1"/>
  <c r="CO229" i="1" s="1"/>
  <c r="CL230" i="1"/>
  <c r="CO230" i="1" s="1"/>
  <c r="CL231" i="1"/>
  <c r="CO231" i="1" s="1"/>
  <c r="CL232" i="1"/>
  <c r="CO232" i="1" s="1"/>
  <c r="CL233" i="1"/>
  <c r="CO233" i="1" s="1"/>
  <c r="CL234" i="1"/>
  <c r="CO234" i="1" s="1"/>
  <c r="CL309" i="1"/>
  <c r="CO309" i="1" s="1"/>
  <c r="CL235" i="1"/>
  <c r="CO235" i="1" s="1"/>
  <c r="CL236" i="1"/>
  <c r="CO236" i="1" s="1"/>
  <c r="CL310" i="1"/>
  <c r="CO310" i="1" s="1"/>
  <c r="CL238" i="1"/>
  <c r="CO238" i="1" s="1"/>
  <c r="CL239" i="1"/>
  <c r="CO239" i="1" s="1"/>
  <c r="CL240" i="1"/>
  <c r="CO240" i="1" s="1"/>
  <c r="CL241" i="1"/>
  <c r="CO241" i="1" s="1"/>
  <c r="CL242" i="1"/>
  <c r="CO242" i="1" s="1"/>
  <c r="CL243" i="1"/>
  <c r="CO243" i="1" s="1"/>
  <c r="CL244" i="1"/>
  <c r="CO244" i="1" s="1"/>
  <c r="CL248" i="1"/>
  <c r="CO248" i="1" s="1"/>
  <c r="CL249" i="1"/>
  <c r="CO249" i="1" s="1"/>
  <c r="CL250" i="1"/>
  <c r="CO250" i="1" s="1"/>
  <c r="CL251" i="1"/>
  <c r="CO251" i="1" s="1"/>
  <c r="CL252" i="1"/>
  <c r="CO252" i="1" s="1"/>
  <c r="CL253" i="1"/>
  <c r="CO253" i="1" s="1"/>
  <c r="CL254" i="1"/>
  <c r="CO254" i="1" s="1"/>
  <c r="CL255" i="1"/>
  <c r="CO255" i="1" s="1"/>
  <c r="CL311" i="1"/>
  <c r="CO311" i="1" s="1"/>
  <c r="CL256" i="1"/>
  <c r="CO256" i="1" s="1"/>
  <c r="CL257" i="1"/>
  <c r="CO257" i="1" s="1"/>
  <c r="CL312" i="1"/>
  <c r="CO312" i="1" s="1"/>
  <c r="CL259" i="1"/>
  <c r="CO259" i="1" s="1"/>
  <c r="CL260" i="1"/>
  <c r="CO260" i="1" s="1"/>
  <c r="CL261" i="1"/>
  <c r="CO261" i="1" s="1"/>
  <c r="CL262" i="1"/>
  <c r="CO262" i="1" s="1"/>
  <c r="CL313" i="1"/>
  <c r="CO313" i="1" s="1"/>
  <c r="CL263" i="1"/>
  <c r="CO263" i="1" s="1"/>
  <c r="CL264" i="1"/>
  <c r="CO264" i="1" s="1"/>
  <c r="CL314" i="1"/>
  <c r="CO314" i="1" s="1"/>
  <c r="CL265" i="1"/>
  <c r="CO265" i="1" s="1"/>
  <c r="CL266" i="1"/>
  <c r="CO266" i="1" s="1"/>
  <c r="CL271" i="1"/>
  <c r="CO271" i="1" s="1"/>
  <c r="CK5" i="1"/>
  <c r="CN5" i="1" s="1"/>
  <c r="CK6" i="1"/>
  <c r="CN6" i="1" s="1"/>
  <c r="CK7" i="1"/>
  <c r="CN7" i="1" s="1"/>
  <c r="CK8" i="1"/>
  <c r="CN8" i="1" s="1"/>
  <c r="CK9" i="1"/>
  <c r="CN9" i="1" s="1"/>
  <c r="CK10" i="1"/>
  <c r="CN10" i="1" s="1"/>
  <c r="CK11" i="1"/>
  <c r="CN11" i="1" s="1"/>
  <c r="CK12" i="1"/>
  <c r="CN12" i="1" s="1"/>
  <c r="CK13" i="1"/>
  <c r="CN13" i="1" s="1"/>
  <c r="CK14" i="1"/>
  <c r="CN14" i="1" s="1"/>
  <c r="CK15" i="1"/>
  <c r="CN15" i="1" s="1"/>
  <c r="CK16" i="1"/>
  <c r="CN16" i="1" s="1"/>
  <c r="CK17" i="1"/>
  <c r="CN17" i="1" s="1"/>
  <c r="CK18" i="1"/>
  <c r="CN18" i="1" s="1"/>
  <c r="CK19" i="1"/>
  <c r="CN19" i="1" s="1"/>
  <c r="CK20" i="1"/>
  <c r="CN20" i="1" s="1"/>
  <c r="CK21" i="1"/>
  <c r="CN21" i="1" s="1"/>
  <c r="CK22" i="1"/>
  <c r="CN22" i="1" s="1"/>
  <c r="CK23" i="1"/>
  <c r="CN23" i="1" s="1"/>
  <c r="CK24" i="1"/>
  <c r="CN24" i="1" s="1"/>
  <c r="CK25" i="1"/>
  <c r="CN25" i="1" s="1"/>
  <c r="CK26" i="1"/>
  <c r="CN26" i="1" s="1"/>
  <c r="CK27" i="1"/>
  <c r="CN27" i="1" s="1"/>
  <c r="CK28" i="1"/>
  <c r="CN28" i="1" s="1"/>
  <c r="CK29" i="1"/>
  <c r="CN29" i="1" s="1"/>
  <c r="CK30" i="1"/>
  <c r="CN30" i="1" s="1"/>
  <c r="CK31" i="1"/>
  <c r="CN31" i="1" s="1"/>
  <c r="CK32" i="1"/>
  <c r="CN32" i="1" s="1"/>
  <c r="CK33" i="1"/>
  <c r="CN33" i="1" s="1"/>
  <c r="CK34" i="1"/>
  <c r="CN34" i="1" s="1"/>
  <c r="CK35" i="1"/>
  <c r="CN35" i="1" s="1"/>
  <c r="CK36" i="1"/>
  <c r="CN36" i="1" s="1"/>
  <c r="CK37" i="1"/>
  <c r="CN37" i="1" s="1"/>
  <c r="CK38" i="1"/>
  <c r="CN38" i="1" s="1"/>
  <c r="CK39" i="1"/>
  <c r="CN39" i="1" s="1"/>
  <c r="CK40" i="1"/>
  <c r="CN40" i="1" s="1"/>
  <c r="CK41" i="1"/>
  <c r="CN41" i="1" s="1"/>
  <c r="CK42" i="1"/>
  <c r="CN42" i="1" s="1"/>
  <c r="CK43" i="1"/>
  <c r="CN43" i="1" s="1"/>
  <c r="CK44" i="1"/>
  <c r="CN44" i="1" s="1"/>
  <c r="CK45" i="1"/>
  <c r="CN45" i="1" s="1"/>
  <c r="CK272" i="1"/>
  <c r="CN272" i="1" s="1"/>
  <c r="CK46" i="1"/>
  <c r="CN46" i="1" s="1"/>
  <c r="CK47" i="1"/>
  <c r="CN47" i="1" s="1"/>
  <c r="CK48" i="1"/>
  <c r="CN48" i="1" s="1"/>
  <c r="CK273" i="1"/>
  <c r="CN273" i="1" s="1"/>
  <c r="CK49" i="1"/>
  <c r="CN49" i="1" s="1"/>
  <c r="CK50" i="1"/>
  <c r="CN50" i="1" s="1"/>
  <c r="CK51" i="1"/>
  <c r="CN51" i="1" s="1"/>
  <c r="CK52" i="1"/>
  <c r="CN52" i="1" s="1"/>
  <c r="CK53" i="1"/>
  <c r="CN53" i="1" s="1"/>
  <c r="CK54" i="1"/>
  <c r="CN54" i="1" s="1"/>
  <c r="CK55" i="1"/>
  <c r="CN55" i="1" s="1"/>
  <c r="CK56" i="1"/>
  <c r="CN56" i="1" s="1"/>
  <c r="CK57" i="1"/>
  <c r="CN57" i="1" s="1"/>
  <c r="CK58" i="1"/>
  <c r="CN58" i="1" s="1"/>
  <c r="CK59" i="1"/>
  <c r="CN59" i="1" s="1"/>
  <c r="CK60" i="1"/>
  <c r="CN60" i="1" s="1"/>
  <c r="CK61" i="1"/>
  <c r="CN61" i="1" s="1"/>
  <c r="CK62" i="1"/>
  <c r="CN62" i="1" s="1"/>
  <c r="CK63" i="1"/>
  <c r="CN63" i="1" s="1"/>
  <c r="CK64" i="1"/>
  <c r="CN64" i="1" s="1"/>
  <c r="CK274" i="1"/>
  <c r="CN274" i="1" s="1"/>
  <c r="CK65" i="1"/>
  <c r="CN65" i="1" s="1"/>
  <c r="CK66" i="1"/>
  <c r="CN66" i="1" s="1"/>
  <c r="CK67" i="1"/>
  <c r="CN67" i="1" s="1"/>
  <c r="CK68" i="1"/>
  <c r="CN68" i="1" s="1"/>
  <c r="CK69" i="1"/>
  <c r="CN69" i="1" s="1"/>
  <c r="CK275" i="1"/>
  <c r="CN275" i="1" s="1"/>
  <c r="CK276" i="1"/>
  <c r="CN276" i="1" s="1"/>
  <c r="CK277" i="1"/>
  <c r="CN277" i="1" s="1"/>
  <c r="CK278" i="1"/>
  <c r="CN278" i="1" s="1"/>
  <c r="CK70" i="1"/>
  <c r="CN70" i="1" s="1"/>
  <c r="CK71" i="1"/>
  <c r="CN71" i="1" s="1"/>
  <c r="CK72" i="1"/>
  <c r="CN72" i="1" s="1"/>
  <c r="CK73" i="1"/>
  <c r="CN73" i="1" s="1"/>
  <c r="CK74" i="1"/>
  <c r="CN74" i="1" s="1"/>
  <c r="CK280" i="1"/>
  <c r="CN280" i="1" s="1"/>
  <c r="CK75" i="1"/>
  <c r="CN75" i="1" s="1"/>
  <c r="CK76" i="1"/>
  <c r="CN76" i="1" s="1"/>
  <c r="CK77" i="1"/>
  <c r="CN77" i="1" s="1"/>
  <c r="CK78" i="1"/>
  <c r="CN78" i="1" s="1"/>
  <c r="CK79" i="1"/>
  <c r="CN79" i="1" s="1"/>
  <c r="CK80" i="1"/>
  <c r="CN80" i="1" s="1"/>
  <c r="CK81" i="1"/>
  <c r="CN81" i="1" s="1"/>
  <c r="CK82" i="1"/>
  <c r="CN82" i="1" s="1"/>
  <c r="CK83" i="1"/>
  <c r="CN83" i="1" s="1"/>
  <c r="CK84" i="1"/>
  <c r="CN84" i="1" s="1"/>
  <c r="CK281" i="1"/>
  <c r="CN281" i="1" s="1"/>
  <c r="CK85" i="1"/>
  <c r="CN85" i="1" s="1"/>
  <c r="CK282" i="1"/>
  <c r="CN282" i="1" s="1"/>
  <c r="CK86" i="1"/>
  <c r="CN86" i="1" s="1"/>
  <c r="CK87" i="1"/>
  <c r="CN87" i="1" s="1"/>
  <c r="CK88" i="1"/>
  <c r="CN88" i="1" s="1"/>
  <c r="CK89" i="1"/>
  <c r="CN89" i="1" s="1"/>
  <c r="CK90" i="1"/>
  <c r="CN90" i="1" s="1"/>
  <c r="CK283" i="1"/>
  <c r="CN283" i="1" s="1"/>
  <c r="CK91" i="1"/>
  <c r="CN91" i="1" s="1"/>
  <c r="CK92" i="1"/>
  <c r="CN92" i="1" s="1"/>
  <c r="CK93" i="1"/>
  <c r="CN93" i="1" s="1"/>
  <c r="CK94" i="1"/>
  <c r="CN94" i="1" s="1"/>
  <c r="CK95" i="1"/>
  <c r="CN95" i="1" s="1"/>
  <c r="CK96" i="1"/>
  <c r="CN96" i="1" s="1"/>
  <c r="CK97" i="1"/>
  <c r="CN97" i="1" s="1"/>
  <c r="CK98" i="1"/>
  <c r="CN98" i="1" s="1"/>
  <c r="CK99" i="1"/>
  <c r="CN99" i="1" s="1"/>
  <c r="CK100" i="1"/>
  <c r="CN100" i="1" s="1"/>
  <c r="CK284" i="1"/>
  <c r="CN284" i="1" s="1"/>
  <c r="CK101" i="1"/>
  <c r="CN101" i="1" s="1"/>
  <c r="CK102" i="1"/>
  <c r="CN102" i="1" s="1"/>
  <c r="CK285" i="1"/>
  <c r="CN285" i="1" s="1"/>
  <c r="CK286" i="1"/>
  <c r="CN286" i="1" s="1"/>
  <c r="CK287" i="1"/>
  <c r="CN287" i="1" s="1"/>
  <c r="CK103" i="1"/>
  <c r="CN103" i="1" s="1"/>
  <c r="CK288" i="1"/>
  <c r="CN288" i="1" s="1"/>
  <c r="CK104" i="1"/>
  <c r="CN104" i="1" s="1"/>
  <c r="CK105" i="1"/>
  <c r="CN105" i="1" s="1"/>
  <c r="CK106" i="1"/>
  <c r="CN106" i="1" s="1"/>
  <c r="CK107" i="1"/>
  <c r="CN107" i="1" s="1"/>
  <c r="CK108" i="1"/>
  <c r="CN108" i="1" s="1"/>
  <c r="CK109" i="1"/>
  <c r="CN109" i="1" s="1"/>
  <c r="CK110" i="1"/>
  <c r="CN110" i="1" s="1"/>
  <c r="CK289" i="1"/>
  <c r="CN289" i="1" s="1"/>
  <c r="CK111" i="1"/>
  <c r="CN111" i="1" s="1"/>
  <c r="CK112" i="1"/>
  <c r="CN112" i="1" s="1"/>
  <c r="CK113" i="1"/>
  <c r="CN113" i="1" s="1"/>
  <c r="CK114" i="1"/>
  <c r="CN114" i="1" s="1"/>
  <c r="CK115" i="1"/>
  <c r="CN115" i="1" s="1"/>
  <c r="CK290" i="1"/>
  <c r="CN290" i="1" s="1"/>
  <c r="CK116" i="1"/>
  <c r="CN116" i="1" s="1"/>
  <c r="CK117" i="1"/>
  <c r="CN117" i="1" s="1"/>
  <c r="CK118" i="1"/>
  <c r="CN118" i="1" s="1"/>
  <c r="CK291" i="1"/>
  <c r="CN291" i="1" s="1"/>
  <c r="CK292" i="1"/>
  <c r="CN292" i="1" s="1"/>
  <c r="CK293" i="1"/>
  <c r="CN293" i="1" s="1"/>
  <c r="CK119" i="1"/>
  <c r="CN119" i="1" s="1"/>
  <c r="CK120" i="1"/>
  <c r="CN120" i="1" s="1"/>
  <c r="CK121" i="1"/>
  <c r="CN121" i="1" s="1"/>
  <c r="CK294" i="1"/>
  <c r="CN294" i="1" s="1"/>
  <c r="CK295" i="1"/>
  <c r="CN295" i="1" s="1"/>
  <c r="CK296" i="1"/>
  <c r="CN296" i="1" s="1"/>
  <c r="CK122" i="1"/>
  <c r="CN122" i="1" s="1"/>
  <c r="CK123" i="1"/>
  <c r="CN123" i="1" s="1"/>
  <c r="CK124" i="1"/>
  <c r="CN124" i="1" s="1"/>
  <c r="CK125" i="1"/>
  <c r="CN125" i="1" s="1"/>
  <c r="CK297" i="1"/>
  <c r="CN297" i="1" s="1"/>
  <c r="CK298" i="1"/>
  <c r="CN298" i="1" s="1"/>
  <c r="CK126" i="1"/>
  <c r="CN126" i="1" s="1"/>
  <c r="CK127" i="1"/>
  <c r="CN127" i="1" s="1"/>
  <c r="CK128" i="1"/>
  <c r="CN128" i="1" s="1"/>
  <c r="CK129" i="1"/>
  <c r="CN129" i="1" s="1"/>
  <c r="CK130" i="1"/>
  <c r="CN130" i="1" s="1"/>
  <c r="CK131" i="1"/>
  <c r="CN131" i="1" s="1"/>
  <c r="CK132" i="1"/>
  <c r="CN132" i="1" s="1"/>
  <c r="CK133" i="1"/>
  <c r="CN133" i="1" s="1"/>
  <c r="CK134" i="1"/>
  <c r="CN134" i="1" s="1"/>
  <c r="CK135" i="1"/>
  <c r="CN135" i="1" s="1"/>
  <c r="CK136" i="1"/>
  <c r="CN136" i="1" s="1"/>
  <c r="CK137" i="1"/>
  <c r="CN137" i="1" s="1"/>
  <c r="CK138" i="1"/>
  <c r="CN138" i="1" s="1"/>
  <c r="CK139" i="1"/>
  <c r="CN139" i="1" s="1"/>
  <c r="CK140" i="1"/>
  <c r="CN140" i="1" s="1"/>
  <c r="CK142" i="1"/>
  <c r="CN142" i="1" s="1"/>
  <c r="CK299" i="1"/>
  <c r="CN299" i="1" s="1"/>
  <c r="CK144" i="1"/>
  <c r="CN144" i="1" s="1"/>
  <c r="CK145" i="1"/>
  <c r="CN145" i="1" s="1"/>
  <c r="CK146" i="1"/>
  <c r="CN146" i="1" s="1"/>
  <c r="CK147" i="1"/>
  <c r="CN147" i="1" s="1"/>
  <c r="CK148" i="1"/>
  <c r="CN148" i="1" s="1"/>
  <c r="CK149" i="1"/>
  <c r="CN149" i="1" s="1"/>
  <c r="CK150" i="1"/>
  <c r="CN150" i="1" s="1"/>
  <c r="CK151" i="1"/>
  <c r="CN151" i="1" s="1"/>
  <c r="CK152" i="1"/>
  <c r="CN152" i="1" s="1"/>
  <c r="CK153" i="1"/>
  <c r="CN153" i="1" s="1"/>
  <c r="CK154" i="1"/>
  <c r="CN154" i="1" s="1"/>
  <c r="CK300" i="1"/>
  <c r="CN300" i="1" s="1"/>
  <c r="CK155" i="1"/>
  <c r="CN155" i="1" s="1"/>
  <c r="CK159" i="1"/>
  <c r="CN159" i="1" s="1"/>
  <c r="CK160" i="1"/>
  <c r="CN160" i="1" s="1"/>
  <c r="CK301" i="1"/>
  <c r="CN301" i="1" s="1"/>
  <c r="CK161" i="1"/>
  <c r="CN161" i="1" s="1"/>
  <c r="CK162" i="1"/>
  <c r="CN162" i="1" s="1"/>
  <c r="CK163" i="1"/>
  <c r="CN163" i="1" s="1"/>
  <c r="CK302" i="1"/>
  <c r="CN302" i="1" s="1"/>
  <c r="CK164" i="1"/>
  <c r="CN164" i="1" s="1"/>
  <c r="CK165" i="1"/>
  <c r="CN165" i="1" s="1"/>
  <c r="CK166" i="1"/>
  <c r="CN166" i="1" s="1"/>
  <c r="CK167" i="1"/>
  <c r="CN167" i="1" s="1"/>
  <c r="CK168" i="1"/>
  <c r="CN168" i="1" s="1"/>
  <c r="CK169" i="1"/>
  <c r="CN169" i="1" s="1"/>
  <c r="CK170" i="1"/>
  <c r="CN170" i="1" s="1"/>
  <c r="CK171" i="1"/>
  <c r="CN171" i="1" s="1"/>
  <c r="CK172" i="1"/>
  <c r="CN172" i="1" s="1"/>
  <c r="CK173" i="1"/>
  <c r="CN173" i="1" s="1"/>
  <c r="CK174" i="1"/>
  <c r="CN174" i="1" s="1"/>
  <c r="CK175" i="1"/>
  <c r="CN175" i="1" s="1"/>
  <c r="CK303" i="1"/>
  <c r="CN303" i="1" s="1"/>
  <c r="CK304" i="1"/>
  <c r="CN304" i="1" s="1"/>
  <c r="CK183" i="1"/>
  <c r="CN183" i="1" s="1"/>
  <c r="CK184" i="1"/>
  <c r="CN184" i="1" s="1"/>
  <c r="CK185" i="1"/>
  <c r="CN185" i="1" s="1"/>
  <c r="CK186" i="1"/>
  <c r="CN186" i="1" s="1"/>
  <c r="CK305" i="1"/>
  <c r="CN305" i="1" s="1"/>
  <c r="CK187" i="1"/>
  <c r="CN187" i="1" s="1"/>
  <c r="CK188" i="1"/>
  <c r="CN188" i="1" s="1"/>
  <c r="CK189" i="1"/>
  <c r="CN189" i="1" s="1"/>
  <c r="CK306" i="1"/>
  <c r="CN306" i="1" s="1"/>
  <c r="CK191" i="1"/>
  <c r="CN191" i="1" s="1"/>
  <c r="CK192" i="1"/>
  <c r="CN192" i="1" s="1"/>
  <c r="CK193" i="1"/>
  <c r="CN193" i="1" s="1"/>
  <c r="CK194" i="1"/>
  <c r="CN194" i="1" s="1"/>
  <c r="CK195" i="1"/>
  <c r="CN195" i="1" s="1"/>
  <c r="CK307" i="1"/>
  <c r="CN307" i="1" s="1"/>
  <c r="CK196" i="1"/>
  <c r="CN196" i="1" s="1"/>
  <c r="CK197" i="1"/>
  <c r="CN197" i="1" s="1"/>
  <c r="CK198" i="1"/>
  <c r="CN198" i="1" s="1"/>
  <c r="CK199" i="1"/>
  <c r="CN199" i="1" s="1"/>
  <c r="CK200" i="1"/>
  <c r="CN200" i="1" s="1"/>
  <c r="CK201" i="1"/>
  <c r="CN201" i="1" s="1"/>
  <c r="CK202" i="1"/>
  <c r="CN202" i="1" s="1"/>
  <c r="CK203" i="1"/>
  <c r="CN203" i="1" s="1"/>
  <c r="CK204" i="1"/>
  <c r="CN204" i="1" s="1"/>
  <c r="CK205" i="1"/>
  <c r="CN205" i="1" s="1"/>
  <c r="CK206" i="1"/>
  <c r="CN206" i="1" s="1"/>
  <c r="CK211" i="1"/>
  <c r="CN211" i="1" s="1"/>
  <c r="CK212" i="1"/>
  <c r="CN212" i="1" s="1"/>
  <c r="CK213" i="1"/>
  <c r="CN213" i="1" s="1"/>
  <c r="CK214" i="1"/>
  <c r="CN214" i="1" s="1"/>
  <c r="CK215" i="1"/>
  <c r="CN215" i="1" s="1"/>
  <c r="CK216" i="1"/>
  <c r="CN216" i="1" s="1"/>
  <c r="CK219" i="1"/>
  <c r="CN219" i="1" s="1"/>
  <c r="CK220" i="1"/>
  <c r="CN220" i="1" s="1"/>
  <c r="CK221" i="1"/>
  <c r="CN221" i="1" s="1"/>
  <c r="CK222" i="1"/>
  <c r="CN222" i="1" s="1"/>
  <c r="CK223" i="1"/>
  <c r="CN223" i="1" s="1"/>
  <c r="CK224" i="1"/>
  <c r="CN224" i="1" s="1"/>
  <c r="CK308" i="1"/>
  <c r="CN308" i="1" s="1"/>
  <c r="CK226" i="1"/>
  <c r="CN226" i="1" s="1"/>
  <c r="CK227" i="1"/>
  <c r="CN227" i="1" s="1"/>
  <c r="CK228" i="1"/>
  <c r="CN228" i="1" s="1"/>
  <c r="CK229" i="1"/>
  <c r="CN229" i="1" s="1"/>
  <c r="CK230" i="1"/>
  <c r="CN230" i="1" s="1"/>
  <c r="CK231" i="1"/>
  <c r="CN231" i="1" s="1"/>
  <c r="CK232" i="1"/>
  <c r="CN232" i="1" s="1"/>
  <c r="CK233" i="1"/>
  <c r="CN233" i="1" s="1"/>
  <c r="CK234" i="1"/>
  <c r="CN234" i="1" s="1"/>
  <c r="CK309" i="1"/>
  <c r="CN309" i="1" s="1"/>
  <c r="CK235" i="1"/>
  <c r="CN235" i="1" s="1"/>
  <c r="CK236" i="1"/>
  <c r="CN236" i="1" s="1"/>
  <c r="CK310" i="1"/>
  <c r="CN310" i="1" s="1"/>
  <c r="CK238" i="1"/>
  <c r="CN238" i="1" s="1"/>
  <c r="CK239" i="1"/>
  <c r="CN239" i="1" s="1"/>
  <c r="CK240" i="1"/>
  <c r="CN240" i="1" s="1"/>
  <c r="CK241" i="1"/>
  <c r="CN241" i="1" s="1"/>
  <c r="CK242" i="1"/>
  <c r="CN242" i="1" s="1"/>
  <c r="CK243" i="1"/>
  <c r="CN243" i="1" s="1"/>
  <c r="CK244" i="1"/>
  <c r="CN244" i="1" s="1"/>
  <c r="CK248" i="1"/>
  <c r="CN248" i="1" s="1"/>
  <c r="CK249" i="1"/>
  <c r="CN249" i="1" s="1"/>
  <c r="CK250" i="1"/>
  <c r="CN250" i="1" s="1"/>
  <c r="CK251" i="1"/>
  <c r="CN251" i="1" s="1"/>
  <c r="CK252" i="1"/>
  <c r="CN252" i="1" s="1"/>
  <c r="CK253" i="1"/>
  <c r="CN253" i="1" s="1"/>
  <c r="CK254" i="1"/>
  <c r="CN254" i="1" s="1"/>
  <c r="CK255" i="1"/>
  <c r="CN255" i="1" s="1"/>
  <c r="CK311" i="1"/>
  <c r="CN311" i="1" s="1"/>
  <c r="CK256" i="1"/>
  <c r="CN256" i="1" s="1"/>
  <c r="CK257" i="1"/>
  <c r="CN257" i="1" s="1"/>
  <c r="CK312" i="1"/>
  <c r="CN312" i="1" s="1"/>
  <c r="CK259" i="1"/>
  <c r="CN259" i="1" s="1"/>
  <c r="CK260" i="1"/>
  <c r="CN260" i="1" s="1"/>
  <c r="CK261" i="1"/>
  <c r="CN261" i="1" s="1"/>
  <c r="CK262" i="1"/>
  <c r="CN262" i="1" s="1"/>
  <c r="CK313" i="1"/>
  <c r="CN313" i="1" s="1"/>
  <c r="CK263" i="1"/>
  <c r="CN263" i="1" s="1"/>
  <c r="CK264" i="1"/>
  <c r="CN264" i="1" s="1"/>
  <c r="CK314" i="1"/>
  <c r="CN314" i="1" s="1"/>
  <c r="CK265" i="1"/>
  <c r="CN265" i="1" s="1"/>
  <c r="CK266" i="1"/>
  <c r="CN266" i="1" s="1"/>
  <c r="CN271" i="1"/>
  <c r="CK4" i="1"/>
  <c r="CM4" i="1"/>
  <c r="CL4" i="1"/>
  <c r="CO4" i="1" l="1"/>
  <c r="CO315" i="1" s="1"/>
  <c r="CL315" i="1"/>
  <c r="CP4" i="1"/>
  <c r="CP315" i="1" s="1"/>
  <c r="CM315" i="1"/>
  <c r="CN4" i="1"/>
  <c r="CN315" i="1" s="1"/>
  <c r="CK315" i="1"/>
  <c r="AW5" i="1"/>
  <c r="AZ5" i="1" s="1"/>
  <c r="AW6" i="1"/>
  <c r="AZ6" i="1" s="1"/>
  <c r="AW7" i="1"/>
  <c r="AZ7" i="1" s="1"/>
  <c r="AW8" i="1"/>
  <c r="AZ8" i="1" s="1"/>
  <c r="AW9" i="1"/>
  <c r="AZ9" i="1" s="1"/>
  <c r="AW10" i="1"/>
  <c r="AZ10" i="1" s="1"/>
  <c r="AW11" i="1"/>
  <c r="AZ11" i="1" s="1"/>
  <c r="AW12" i="1"/>
  <c r="AZ12" i="1" s="1"/>
  <c r="AW13" i="1"/>
  <c r="AZ13" i="1" s="1"/>
  <c r="AW14" i="1"/>
  <c r="AZ14" i="1" s="1"/>
  <c r="AW15" i="1"/>
  <c r="AZ15" i="1" s="1"/>
  <c r="AW16" i="1"/>
  <c r="AZ16" i="1" s="1"/>
  <c r="AW17" i="1"/>
  <c r="AZ17" i="1" s="1"/>
  <c r="AW18" i="1"/>
  <c r="AZ18" i="1" s="1"/>
  <c r="AW19" i="1"/>
  <c r="AZ19" i="1" s="1"/>
  <c r="AW20" i="1"/>
  <c r="AZ20" i="1" s="1"/>
  <c r="AW21" i="1"/>
  <c r="AZ21" i="1" s="1"/>
  <c r="AW22" i="1"/>
  <c r="AZ22" i="1" s="1"/>
  <c r="AW23" i="1"/>
  <c r="AZ23" i="1" s="1"/>
  <c r="AW24" i="1"/>
  <c r="AZ24" i="1" s="1"/>
  <c r="AW25" i="1"/>
  <c r="AZ25" i="1" s="1"/>
  <c r="AW26" i="1"/>
  <c r="AZ26" i="1" s="1"/>
  <c r="AW27" i="1"/>
  <c r="AZ27" i="1" s="1"/>
  <c r="AW28" i="1"/>
  <c r="AZ28" i="1" s="1"/>
  <c r="AW29" i="1"/>
  <c r="AZ29" i="1" s="1"/>
  <c r="AW30" i="1"/>
  <c r="AZ30" i="1" s="1"/>
  <c r="AW31" i="1"/>
  <c r="AZ31" i="1" s="1"/>
  <c r="AW32" i="1"/>
  <c r="AZ32" i="1" s="1"/>
  <c r="AW33" i="1"/>
  <c r="AZ33" i="1" s="1"/>
  <c r="AW34" i="1"/>
  <c r="AZ34" i="1" s="1"/>
  <c r="AW35" i="1"/>
  <c r="AZ35" i="1" s="1"/>
  <c r="AW36" i="1"/>
  <c r="AZ36" i="1" s="1"/>
  <c r="AW37" i="1"/>
  <c r="AZ37" i="1" s="1"/>
  <c r="AW38" i="1"/>
  <c r="AZ38" i="1" s="1"/>
  <c r="AW39" i="1"/>
  <c r="AZ39" i="1" s="1"/>
  <c r="AW40" i="1"/>
  <c r="AZ40" i="1" s="1"/>
  <c r="AW41" i="1"/>
  <c r="AZ41" i="1" s="1"/>
  <c r="AW42" i="1"/>
  <c r="AZ42" i="1" s="1"/>
  <c r="AW43" i="1"/>
  <c r="AZ43" i="1" s="1"/>
  <c r="AW44" i="1"/>
  <c r="AZ44" i="1" s="1"/>
  <c r="AW45" i="1"/>
  <c r="AZ45" i="1" s="1"/>
  <c r="AW272" i="1"/>
  <c r="AZ272" i="1" s="1"/>
  <c r="AW46" i="1"/>
  <c r="AZ46" i="1" s="1"/>
  <c r="AW47" i="1"/>
  <c r="AZ47" i="1" s="1"/>
  <c r="AW48" i="1"/>
  <c r="AZ48" i="1" s="1"/>
  <c r="AW273" i="1"/>
  <c r="AZ273" i="1" s="1"/>
  <c r="AW49" i="1"/>
  <c r="AZ49" i="1" s="1"/>
  <c r="AW50" i="1"/>
  <c r="AZ50" i="1" s="1"/>
  <c r="AW51" i="1"/>
  <c r="AZ51" i="1" s="1"/>
  <c r="AW52" i="1"/>
  <c r="AZ52" i="1" s="1"/>
  <c r="AW53" i="1"/>
  <c r="AZ53" i="1" s="1"/>
  <c r="AW54" i="1"/>
  <c r="AZ54" i="1" s="1"/>
  <c r="AW55" i="1"/>
  <c r="AZ55" i="1" s="1"/>
  <c r="AW56" i="1"/>
  <c r="AZ56" i="1" s="1"/>
  <c r="AW57" i="1"/>
  <c r="AZ57" i="1" s="1"/>
  <c r="AW58" i="1"/>
  <c r="AZ58" i="1" s="1"/>
  <c r="AW59" i="1"/>
  <c r="AZ59" i="1" s="1"/>
  <c r="AW60" i="1"/>
  <c r="AZ60" i="1" s="1"/>
  <c r="AW61" i="1"/>
  <c r="AZ61" i="1" s="1"/>
  <c r="AW62" i="1"/>
  <c r="AZ62" i="1" s="1"/>
  <c r="AW63" i="1"/>
  <c r="AZ63" i="1" s="1"/>
  <c r="AW64" i="1"/>
  <c r="AZ64" i="1" s="1"/>
  <c r="AW274" i="1"/>
  <c r="AZ274" i="1" s="1"/>
  <c r="AW65" i="1"/>
  <c r="AZ65" i="1" s="1"/>
  <c r="AW66" i="1"/>
  <c r="AZ66" i="1" s="1"/>
  <c r="AW67" i="1"/>
  <c r="AZ67" i="1" s="1"/>
  <c r="AW68" i="1"/>
  <c r="AZ68" i="1" s="1"/>
  <c r="AW69" i="1"/>
  <c r="AZ69" i="1" s="1"/>
  <c r="AW275" i="1"/>
  <c r="AZ275" i="1" s="1"/>
  <c r="AW276" i="1"/>
  <c r="AZ276" i="1" s="1"/>
  <c r="AW277" i="1"/>
  <c r="AZ277" i="1" s="1"/>
  <c r="AW278" i="1"/>
  <c r="AZ278" i="1" s="1"/>
  <c r="AW70" i="1"/>
  <c r="AZ70" i="1" s="1"/>
  <c r="AW71" i="1"/>
  <c r="AZ71" i="1" s="1"/>
  <c r="AW72" i="1"/>
  <c r="AZ72" i="1" s="1"/>
  <c r="AW73" i="1"/>
  <c r="AZ73" i="1" s="1"/>
  <c r="AW74" i="1"/>
  <c r="AZ74" i="1" s="1"/>
  <c r="AW279" i="1"/>
  <c r="AZ279" i="1" s="1"/>
  <c r="AW280" i="1"/>
  <c r="AZ280" i="1" s="1"/>
  <c r="AW75" i="1"/>
  <c r="AZ75" i="1" s="1"/>
  <c r="AW76" i="1"/>
  <c r="AZ76" i="1" s="1"/>
  <c r="AW77" i="1"/>
  <c r="AZ77" i="1" s="1"/>
  <c r="AW78" i="1"/>
  <c r="AZ78" i="1" s="1"/>
  <c r="AW79" i="1"/>
  <c r="AZ79" i="1" s="1"/>
  <c r="AW80" i="1"/>
  <c r="AZ80" i="1" s="1"/>
  <c r="AW81" i="1"/>
  <c r="AZ81" i="1" s="1"/>
  <c r="AW82" i="1"/>
  <c r="AZ82" i="1" s="1"/>
  <c r="AW83" i="1"/>
  <c r="AZ83" i="1" s="1"/>
  <c r="AW84" i="1"/>
  <c r="AZ84" i="1" s="1"/>
  <c r="AW281" i="1"/>
  <c r="AZ281" i="1" s="1"/>
  <c r="AW85" i="1"/>
  <c r="AZ85" i="1" s="1"/>
  <c r="AW282" i="1"/>
  <c r="AZ282" i="1" s="1"/>
  <c r="AW86" i="1"/>
  <c r="AZ86" i="1" s="1"/>
  <c r="AW87" i="1"/>
  <c r="AZ87" i="1" s="1"/>
  <c r="AW88" i="1"/>
  <c r="AZ88" i="1" s="1"/>
  <c r="AW89" i="1"/>
  <c r="AZ89" i="1" s="1"/>
  <c r="AW90" i="1"/>
  <c r="AZ90" i="1" s="1"/>
  <c r="AW283" i="1"/>
  <c r="AZ283" i="1" s="1"/>
  <c r="AW91" i="1"/>
  <c r="AZ91" i="1" s="1"/>
  <c r="AW92" i="1"/>
  <c r="AZ92" i="1" s="1"/>
  <c r="AW93" i="1"/>
  <c r="AZ93" i="1" s="1"/>
  <c r="AW94" i="1"/>
  <c r="AZ94" i="1" s="1"/>
  <c r="AW95" i="1"/>
  <c r="AZ95" i="1" s="1"/>
  <c r="AW96" i="1"/>
  <c r="AZ96" i="1" s="1"/>
  <c r="AW97" i="1"/>
  <c r="AZ97" i="1" s="1"/>
  <c r="AW98" i="1"/>
  <c r="AZ98" i="1" s="1"/>
  <c r="AW99" i="1"/>
  <c r="AZ99" i="1" s="1"/>
  <c r="AW100" i="1"/>
  <c r="AZ100" i="1" s="1"/>
  <c r="AW284" i="1"/>
  <c r="AZ284" i="1" s="1"/>
  <c r="AW101" i="1"/>
  <c r="AZ101" i="1" s="1"/>
  <c r="AW102" i="1"/>
  <c r="AZ102" i="1" s="1"/>
  <c r="AW285" i="1"/>
  <c r="AZ285" i="1" s="1"/>
  <c r="AW286" i="1"/>
  <c r="AZ286" i="1" s="1"/>
  <c r="AW287" i="1"/>
  <c r="AZ287" i="1" s="1"/>
  <c r="AW103" i="1"/>
  <c r="AZ103" i="1" s="1"/>
  <c r="AW288" i="1"/>
  <c r="AZ288" i="1" s="1"/>
  <c r="AW104" i="1"/>
  <c r="AZ104" i="1" s="1"/>
  <c r="AW105" i="1"/>
  <c r="AZ105" i="1" s="1"/>
  <c r="AW106" i="1"/>
  <c r="AZ106" i="1" s="1"/>
  <c r="AW107" i="1"/>
  <c r="AZ107" i="1" s="1"/>
  <c r="AW108" i="1"/>
  <c r="AZ108" i="1" s="1"/>
  <c r="AW109" i="1"/>
  <c r="AZ109" i="1" s="1"/>
  <c r="AW110" i="1"/>
  <c r="AZ110" i="1" s="1"/>
  <c r="AW289" i="1"/>
  <c r="AZ289" i="1" s="1"/>
  <c r="AW111" i="1"/>
  <c r="AZ111" i="1" s="1"/>
  <c r="AW112" i="1"/>
  <c r="AZ112" i="1" s="1"/>
  <c r="AW113" i="1"/>
  <c r="AZ113" i="1" s="1"/>
  <c r="AW114" i="1"/>
  <c r="AZ114" i="1" s="1"/>
  <c r="AW115" i="1"/>
  <c r="AZ115" i="1" s="1"/>
  <c r="AW290" i="1"/>
  <c r="AZ290" i="1" s="1"/>
  <c r="AW116" i="1"/>
  <c r="AZ116" i="1" s="1"/>
  <c r="AW117" i="1"/>
  <c r="AZ117" i="1" s="1"/>
  <c r="AW118" i="1"/>
  <c r="AZ118" i="1" s="1"/>
  <c r="AW291" i="1"/>
  <c r="AZ291" i="1" s="1"/>
  <c r="AW292" i="1"/>
  <c r="AZ292" i="1" s="1"/>
  <c r="AW293" i="1"/>
  <c r="AZ293" i="1" s="1"/>
  <c r="AW119" i="1"/>
  <c r="AZ119" i="1" s="1"/>
  <c r="AW120" i="1"/>
  <c r="AZ120" i="1" s="1"/>
  <c r="AW294" i="1"/>
  <c r="AZ294" i="1" s="1"/>
  <c r="AW295" i="1"/>
  <c r="AZ295" i="1" s="1"/>
  <c r="AW296" i="1"/>
  <c r="AZ296" i="1" s="1"/>
  <c r="AW122" i="1"/>
  <c r="AZ122" i="1" s="1"/>
  <c r="AW123" i="1"/>
  <c r="AZ123" i="1" s="1"/>
  <c r="AW124" i="1"/>
  <c r="AZ124" i="1" s="1"/>
  <c r="AW125" i="1"/>
  <c r="AZ125" i="1" s="1"/>
  <c r="AW297" i="1"/>
  <c r="AZ297" i="1" s="1"/>
  <c r="AW298" i="1"/>
  <c r="AZ298" i="1" s="1"/>
  <c r="AW126" i="1"/>
  <c r="AZ126" i="1" s="1"/>
  <c r="AW127" i="1"/>
  <c r="AZ127" i="1" s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272" i="1"/>
  <c r="AV46" i="1"/>
  <c r="AV47" i="1"/>
  <c r="AV48" i="1"/>
  <c r="AV273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4" i="1"/>
  <c r="AV274" i="1"/>
  <c r="AV65" i="1"/>
  <c r="AV66" i="1"/>
  <c r="AV67" i="1"/>
  <c r="AV68" i="1"/>
  <c r="AV69" i="1"/>
  <c r="AV275" i="1"/>
  <c r="AV276" i="1"/>
  <c r="AV277" i="1"/>
  <c r="AV278" i="1"/>
  <c r="AV70" i="1"/>
  <c r="AV71" i="1"/>
  <c r="AV72" i="1"/>
  <c r="AV73" i="1"/>
  <c r="AV74" i="1"/>
  <c r="AV279" i="1"/>
  <c r="AV280" i="1"/>
  <c r="AV75" i="1"/>
  <c r="AV76" i="1"/>
  <c r="AV77" i="1"/>
  <c r="AV78" i="1"/>
  <c r="AV79" i="1"/>
  <c r="AV80" i="1"/>
  <c r="AV81" i="1"/>
  <c r="AV82" i="1"/>
  <c r="AV83" i="1"/>
  <c r="AV84" i="1"/>
  <c r="AV281" i="1"/>
  <c r="AV85" i="1"/>
  <c r="AV282" i="1"/>
  <c r="AV86" i="1"/>
  <c r="AV87" i="1"/>
  <c r="AV88" i="1"/>
  <c r="AV89" i="1"/>
  <c r="AV90" i="1"/>
  <c r="AV283" i="1"/>
  <c r="AV91" i="1"/>
  <c r="AV92" i="1"/>
  <c r="AV93" i="1"/>
  <c r="AV94" i="1"/>
  <c r="AV95" i="1"/>
  <c r="AV96" i="1"/>
  <c r="AV97" i="1"/>
  <c r="AV98" i="1"/>
  <c r="AV99" i="1"/>
  <c r="AV100" i="1"/>
  <c r="AV284" i="1"/>
  <c r="AV101" i="1"/>
  <c r="AV102" i="1"/>
  <c r="AV285" i="1"/>
  <c r="AV286" i="1"/>
  <c r="AV287" i="1"/>
  <c r="AV103" i="1"/>
  <c r="AV288" i="1"/>
  <c r="AV104" i="1"/>
  <c r="AV105" i="1"/>
  <c r="AV106" i="1"/>
  <c r="AV107" i="1"/>
  <c r="AV108" i="1"/>
  <c r="AV109" i="1"/>
  <c r="AV110" i="1"/>
  <c r="AV289" i="1"/>
  <c r="AV111" i="1"/>
  <c r="AV112" i="1"/>
  <c r="AV113" i="1"/>
  <c r="AV114" i="1"/>
  <c r="AV115" i="1"/>
  <c r="AV290" i="1"/>
  <c r="AV116" i="1"/>
  <c r="AV117" i="1"/>
  <c r="AV118" i="1"/>
  <c r="AV291" i="1"/>
  <c r="AV292" i="1"/>
  <c r="AV293" i="1"/>
  <c r="AV119" i="1"/>
  <c r="AV120" i="1"/>
  <c r="AV121" i="1"/>
  <c r="AV294" i="1"/>
  <c r="AV295" i="1"/>
  <c r="AV296" i="1"/>
  <c r="AV122" i="1"/>
  <c r="AV123" i="1"/>
  <c r="AV124" i="1"/>
  <c r="AV125" i="1"/>
  <c r="AV297" i="1"/>
  <c r="AV298" i="1"/>
  <c r="AV126" i="1"/>
  <c r="AV127" i="1"/>
  <c r="AU5" i="1"/>
  <c r="AX5" i="1" s="1"/>
  <c r="AY5" i="1" s="1"/>
  <c r="AU6" i="1"/>
  <c r="AX6" i="1" s="1"/>
  <c r="AY6" i="1" s="1"/>
  <c r="AU7" i="1"/>
  <c r="AX7" i="1" s="1"/>
  <c r="AY7" i="1" s="1"/>
  <c r="AU8" i="1"/>
  <c r="AX8" i="1" s="1"/>
  <c r="AY8" i="1" s="1"/>
  <c r="AU9" i="1"/>
  <c r="AX9" i="1" s="1"/>
  <c r="AY9" i="1" s="1"/>
  <c r="AU10" i="1"/>
  <c r="AX10" i="1" s="1"/>
  <c r="AY10" i="1" s="1"/>
  <c r="AU11" i="1"/>
  <c r="AX11" i="1" s="1"/>
  <c r="AY11" i="1" s="1"/>
  <c r="AU12" i="1"/>
  <c r="AX12" i="1" s="1"/>
  <c r="AY12" i="1" s="1"/>
  <c r="AU13" i="1"/>
  <c r="AX13" i="1" s="1"/>
  <c r="AY13" i="1" s="1"/>
  <c r="AU14" i="1"/>
  <c r="AX14" i="1" s="1"/>
  <c r="AY14" i="1" s="1"/>
  <c r="AU15" i="1"/>
  <c r="AX15" i="1" s="1"/>
  <c r="AY15" i="1" s="1"/>
  <c r="AU16" i="1"/>
  <c r="AX16" i="1" s="1"/>
  <c r="AY16" i="1" s="1"/>
  <c r="AU17" i="1"/>
  <c r="AX17" i="1" s="1"/>
  <c r="AY17" i="1" s="1"/>
  <c r="AU18" i="1"/>
  <c r="AX18" i="1" s="1"/>
  <c r="AY18" i="1" s="1"/>
  <c r="AU19" i="1"/>
  <c r="AX19" i="1" s="1"/>
  <c r="AY19" i="1" s="1"/>
  <c r="AU20" i="1"/>
  <c r="AX20" i="1" s="1"/>
  <c r="AY20" i="1" s="1"/>
  <c r="AU21" i="1"/>
  <c r="AX21" i="1" s="1"/>
  <c r="AY21" i="1" s="1"/>
  <c r="AU22" i="1"/>
  <c r="AX22" i="1" s="1"/>
  <c r="AY22" i="1" s="1"/>
  <c r="AU23" i="1"/>
  <c r="AX23" i="1" s="1"/>
  <c r="AY23" i="1" s="1"/>
  <c r="AU24" i="1"/>
  <c r="AX24" i="1" s="1"/>
  <c r="AY24" i="1" s="1"/>
  <c r="AU25" i="1"/>
  <c r="AX25" i="1" s="1"/>
  <c r="AY25" i="1" s="1"/>
  <c r="AU26" i="1"/>
  <c r="AX26" i="1" s="1"/>
  <c r="AY26" i="1" s="1"/>
  <c r="AU27" i="1"/>
  <c r="AX27" i="1" s="1"/>
  <c r="AY27" i="1" s="1"/>
  <c r="AU28" i="1"/>
  <c r="AX28" i="1" s="1"/>
  <c r="AY28" i="1" s="1"/>
  <c r="AU29" i="1"/>
  <c r="AX29" i="1" s="1"/>
  <c r="AY29" i="1" s="1"/>
  <c r="AU30" i="1"/>
  <c r="AX30" i="1" s="1"/>
  <c r="AY30" i="1" s="1"/>
  <c r="AU31" i="1"/>
  <c r="AX31" i="1" s="1"/>
  <c r="AY31" i="1" s="1"/>
  <c r="AU32" i="1"/>
  <c r="AX32" i="1" s="1"/>
  <c r="AY32" i="1" s="1"/>
  <c r="AU33" i="1"/>
  <c r="AX33" i="1" s="1"/>
  <c r="AY33" i="1" s="1"/>
  <c r="AU34" i="1"/>
  <c r="AX34" i="1" s="1"/>
  <c r="AY34" i="1" s="1"/>
  <c r="AU35" i="1"/>
  <c r="AX35" i="1" s="1"/>
  <c r="AY35" i="1" s="1"/>
  <c r="AU36" i="1"/>
  <c r="AX36" i="1" s="1"/>
  <c r="AY36" i="1" s="1"/>
  <c r="AU37" i="1"/>
  <c r="AX37" i="1" s="1"/>
  <c r="AY37" i="1" s="1"/>
  <c r="AU38" i="1"/>
  <c r="AX38" i="1" s="1"/>
  <c r="AY38" i="1" s="1"/>
  <c r="AU39" i="1"/>
  <c r="AX39" i="1" s="1"/>
  <c r="AY39" i="1" s="1"/>
  <c r="AU40" i="1"/>
  <c r="AX40" i="1" s="1"/>
  <c r="AY40" i="1" s="1"/>
  <c r="AU41" i="1"/>
  <c r="AX41" i="1" s="1"/>
  <c r="AY41" i="1" s="1"/>
  <c r="AU42" i="1"/>
  <c r="AX42" i="1" s="1"/>
  <c r="AY42" i="1" s="1"/>
  <c r="AU43" i="1"/>
  <c r="AX43" i="1" s="1"/>
  <c r="AY43" i="1" s="1"/>
  <c r="AU44" i="1"/>
  <c r="AX44" i="1" s="1"/>
  <c r="AY44" i="1" s="1"/>
  <c r="AU45" i="1"/>
  <c r="AX45" i="1" s="1"/>
  <c r="AY45" i="1" s="1"/>
  <c r="AU272" i="1"/>
  <c r="AX272" i="1" s="1"/>
  <c r="AY272" i="1" s="1"/>
  <c r="AU46" i="1"/>
  <c r="AX46" i="1" s="1"/>
  <c r="AY46" i="1" s="1"/>
  <c r="AU47" i="1"/>
  <c r="AX47" i="1" s="1"/>
  <c r="AY47" i="1" s="1"/>
  <c r="AU48" i="1"/>
  <c r="AX48" i="1" s="1"/>
  <c r="AY48" i="1" s="1"/>
  <c r="AU273" i="1"/>
  <c r="AX273" i="1" s="1"/>
  <c r="AY273" i="1" s="1"/>
  <c r="AU49" i="1"/>
  <c r="AX49" i="1" s="1"/>
  <c r="AY49" i="1" s="1"/>
  <c r="AU50" i="1"/>
  <c r="AX50" i="1" s="1"/>
  <c r="AY50" i="1" s="1"/>
  <c r="AU51" i="1"/>
  <c r="AX51" i="1" s="1"/>
  <c r="AY51" i="1" s="1"/>
  <c r="AU52" i="1"/>
  <c r="AX52" i="1" s="1"/>
  <c r="AY52" i="1" s="1"/>
  <c r="AU53" i="1"/>
  <c r="AX53" i="1" s="1"/>
  <c r="AY53" i="1" s="1"/>
  <c r="AU54" i="1"/>
  <c r="AX54" i="1" s="1"/>
  <c r="AY54" i="1" s="1"/>
  <c r="AU55" i="1"/>
  <c r="AX55" i="1" s="1"/>
  <c r="AY55" i="1" s="1"/>
  <c r="AU56" i="1"/>
  <c r="AX56" i="1" s="1"/>
  <c r="AY56" i="1" s="1"/>
  <c r="AU57" i="1"/>
  <c r="AX57" i="1" s="1"/>
  <c r="AY57" i="1" s="1"/>
  <c r="AU58" i="1"/>
  <c r="AX58" i="1" s="1"/>
  <c r="AY58" i="1" s="1"/>
  <c r="AU59" i="1"/>
  <c r="AX59" i="1" s="1"/>
  <c r="AY59" i="1" s="1"/>
  <c r="AU60" i="1"/>
  <c r="AX60" i="1" s="1"/>
  <c r="AY60" i="1" s="1"/>
  <c r="AU61" i="1"/>
  <c r="AX61" i="1" s="1"/>
  <c r="AY61" i="1" s="1"/>
  <c r="AU62" i="1"/>
  <c r="AX62" i="1" s="1"/>
  <c r="AY62" i="1" s="1"/>
  <c r="AU64" i="1"/>
  <c r="AX64" i="1" s="1"/>
  <c r="AY64" i="1" s="1"/>
  <c r="AU274" i="1"/>
  <c r="AX274" i="1" s="1"/>
  <c r="AY274" i="1" s="1"/>
  <c r="AU65" i="1"/>
  <c r="AX65" i="1" s="1"/>
  <c r="AY65" i="1" s="1"/>
  <c r="AU66" i="1"/>
  <c r="AX66" i="1" s="1"/>
  <c r="AY66" i="1" s="1"/>
  <c r="AU67" i="1"/>
  <c r="AX67" i="1" s="1"/>
  <c r="AY67" i="1" s="1"/>
  <c r="AU68" i="1"/>
  <c r="AX68" i="1" s="1"/>
  <c r="AY68" i="1" s="1"/>
  <c r="AU69" i="1"/>
  <c r="AX69" i="1" s="1"/>
  <c r="AY69" i="1" s="1"/>
  <c r="AU275" i="1"/>
  <c r="AX275" i="1" s="1"/>
  <c r="AY275" i="1" s="1"/>
  <c r="AU276" i="1"/>
  <c r="AX276" i="1" s="1"/>
  <c r="AY276" i="1" s="1"/>
  <c r="AU277" i="1"/>
  <c r="AX277" i="1" s="1"/>
  <c r="AY277" i="1" s="1"/>
  <c r="AU278" i="1"/>
  <c r="AX278" i="1" s="1"/>
  <c r="AY278" i="1" s="1"/>
  <c r="AU70" i="1"/>
  <c r="AX70" i="1" s="1"/>
  <c r="AY70" i="1" s="1"/>
  <c r="AU71" i="1"/>
  <c r="AX71" i="1" s="1"/>
  <c r="AY71" i="1" s="1"/>
  <c r="AU72" i="1"/>
  <c r="AX72" i="1" s="1"/>
  <c r="AY72" i="1" s="1"/>
  <c r="AU73" i="1"/>
  <c r="AX73" i="1" s="1"/>
  <c r="AY73" i="1" s="1"/>
  <c r="AU74" i="1"/>
  <c r="AX74" i="1" s="1"/>
  <c r="AY74" i="1" s="1"/>
  <c r="AU279" i="1"/>
  <c r="AX279" i="1" s="1"/>
  <c r="AY279" i="1" s="1"/>
  <c r="AU280" i="1"/>
  <c r="AX280" i="1" s="1"/>
  <c r="AY280" i="1" s="1"/>
  <c r="AU75" i="1"/>
  <c r="AX75" i="1" s="1"/>
  <c r="AY75" i="1" s="1"/>
  <c r="AU76" i="1"/>
  <c r="AX76" i="1" s="1"/>
  <c r="AY76" i="1" s="1"/>
  <c r="AU77" i="1"/>
  <c r="AX77" i="1" s="1"/>
  <c r="AY77" i="1" s="1"/>
  <c r="AU78" i="1"/>
  <c r="AX78" i="1" s="1"/>
  <c r="AY78" i="1" s="1"/>
  <c r="AU79" i="1"/>
  <c r="AX79" i="1" s="1"/>
  <c r="AY79" i="1" s="1"/>
  <c r="AU80" i="1"/>
  <c r="AX80" i="1" s="1"/>
  <c r="AY80" i="1" s="1"/>
  <c r="AU81" i="1"/>
  <c r="AX81" i="1" s="1"/>
  <c r="AY81" i="1" s="1"/>
  <c r="AU82" i="1"/>
  <c r="AX82" i="1" s="1"/>
  <c r="AY82" i="1" s="1"/>
  <c r="AU83" i="1"/>
  <c r="AX83" i="1" s="1"/>
  <c r="AY83" i="1" s="1"/>
  <c r="AU84" i="1"/>
  <c r="AX84" i="1" s="1"/>
  <c r="AY84" i="1" s="1"/>
  <c r="AU281" i="1"/>
  <c r="AX281" i="1" s="1"/>
  <c r="AY281" i="1" s="1"/>
  <c r="AU85" i="1"/>
  <c r="AX85" i="1" s="1"/>
  <c r="AY85" i="1" s="1"/>
  <c r="AU282" i="1"/>
  <c r="AX282" i="1" s="1"/>
  <c r="AY282" i="1" s="1"/>
  <c r="AU86" i="1"/>
  <c r="AX86" i="1" s="1"/>
  <c r="AY86" i="1" s="1"/>
  <c r="AU87" i="1"/>
  <c r="AX87" i="1" s="1"/>
  <c r="AY87" i="1" s="1"/>
  <c r="AU88" i="1"/>
  <c r="AX88" i="1" s="1"/>
  <c r="AY88" i="1" s="1"/>
  <c r="AU89" i="1"/>
  <c r="AX89" i="1" s="1"/>
  <c r="AY89" i="1" s="1"/>
  <c r="AU90" i="1"/>
  <c r="AX90" i="1" s="1"/>
  <c r="AY90" i="1" s="1"/>
  <c r="AU283" i="1"/>
  <c r="AX283" i="1" s="1"/>
  <c r="AY283" i="1" s="1"/>
  <c r="AU91" i="1"/>
  <c r="AX91" i="1" s="1"/>
  <c r="AY91" i="1" s="1"/>
  <c r="AU92" i="1"/>
  <c r="AX92" i="1" s="1"/>
  <c r="AY92" i="1" s="1"/>
  <c r="AU93" i="1"/>
  <c r="AX93" i="1" s="1"/>
  <c r="AY93" i="1" s="1"/>
  <c r="AU94" i="1"/>
  <c r="AX94" i="1" s="1"/>
  <c r="AY94" i="1" s="1"/>
  <c r="AU95" i="1"/>
  <c r="AX95" i="1" s="1"/>
  <c r="AY95" i="1" s="1"/>
  <c r="AU96" i="1"/>
  <c r="AX96" i="1" s="1"/>
  <c r="AY96" i="1" s="1"/>
  <c r="AU97" i="1"/>
  <c r="AX97" i="1" s="1"/>
  <c r="AY97" i="1" s="1"/>
  <c r="AU98" i="1"/>
  <c r="AX98" i="1" s="1"/>
  <c r="AY98" i="1" s="1"/>
  <c r="AU99" i="1"/>
  <c r="AX99" i="1" s="1"/>
  <c r="AY99" i="1" s="1"/>
  <c r="AU100" i="1"/>
  <c r="AX100" i="1" s="1"/>
  <c r="AY100" i="1" s="1"/>
  <c r="AU284" i="1"/>
  <c r="AX284" i="1" s="1"/>
  <c r="AY284" i="1" s="1"/>
  <c r="AU101" i="1"/>
  <c r="AX101" i="1" s="1"/>
  <c r="AY101" i="1" s="1"/>
  <c r="AU102" i="1"/>
  <c r="AX102" i="1" s="1"/>
  <c r="AY102" i="1" s="1"/>
  <c r="AU285" i="1"/>
  <c r="AX285" i="1" s="1"/>
  <c r="AY285" i="1" s="1"/>
  <c r="AU286" i="1"/>
  <c r="AX286" i="1" s="1"/>
  <c r="AY286" i="1" s="1"/>
  <c r="AU287" i="1"/>
  <c r="AX287" i="1" s="1"/>
  <c r="AY287" i="1" s="1"/>
  <c r="AU103" i="1"/>
  <c r="AX103" i="1" s="1"/>
  <c r="AY103" i="1" s="1"/>
  <c r="AU288" i="1"/>
  <c r="AX288" i="1" s="1"/>
  <c r="AY288" i="1" s="1"/>
  <c r="AU104" i="1"/>
  <c r="AX104" i="1" s="1"/>
  <c r="AY104" i="1" s="1"/>
  <c r="AU105" i="1"/>
  <c r="AX105" i="1" s="1"/>
  <c r="AY105" i="1" s="1"/>
  <c r="AU106" i="1"/>
  <c r="AX106" i="1" s="1"/>
  <c r="AY106" i="1" s="1"/>
  <c r="AU107" i="1"/>
  <c r="AX107" i="1" s="1"/>
  <c r="AY107" i="1" s="1"/>
  <c r="AU108" i="1"/>
  <c r="AX108" i="1" s="1"/>
  <c r="AY108" i="1" s="1"/>
  <c r="AU109" i="1"/>
  <c r="AX109" i="1" s="1"/>
  <c r="AY109" i="1" s="1"/>
  <c r="AU110" i="1"/>
  <c r="AX110" i="1" s="1"/>
  <c r="AY110" i="1" s="1"/>
  <c r="AU289" i="1"/>
  <c r="AX289" i="1" s="1"/>
  <c r="AY289" i="1" s="1"/>
  <c r="AU111" i="1"/>
  <c r="AX111" i="1" s="1"/>
  <c r="AY111" i="1" s="1"/>
  <c r="AU112" i="1"/>
  <c r="AX112" i="1" s="1"/>
  <c r="AY112" i="1" s="1"/>
  <c r="AU113" i="1"/>
  <c r="AX113" i="1" s="1"/>
  <c r="AY113" i="1" s="1"/>
  <c r="AU114" i="1"/>
  <c r="AX114" i="1" s="1"/>
  <c r="AY114" i="1" s="1"/>
  <c r="AU115" i="1"/>
  <c r="AX115" i="1" s="1"/>
  <c r="AY115" i="1" s="1"/>
  <c r="AU290" i="1"/>
  <c r="AX290" i="1" s="1"/>
  <c r="AY290" i="1" s="1"/>
  <c r="AU116" i="1"/>
  <c r="AX116" i="1" s="1"/>
  <c r="AY116" i="1" s="1"/>
  <c r="AU117" i="1"/>
  <c r="AX117" i="1" s="1"/>
  <c r="AY117" i="1" s="1"/>
  <c r="AU118" i="1"/>
  <c r="AX118" i="1" s="1"/>
  <c r="AY118" i="1" s="1"/>
  <c r="AU291" i="1"/>
  <c r="AX291" i="1" s="1"/>
  <c r="AY291" i="1" s="1"/>
  <c r="AU292" i="1"/>
  <c r="AX292" i="1" s="1"/>
  <c r="AY292" i="1" s="1"/>
  <c r="AU293" i="1"/>
  <c r="AX293" i="1" s="1"/>
  <c r="AY293" i="1" s="1"/>
  <c r="AU119" i="1"/>
  <c r="AX119" i="1" s="1"/>
  <c r="AY119" i="1" s="1"/>
  <c r="AU120" i="1"/>
  <c r="AX120" i="1" s="1"/>
  <c r="AY120" i="1" s="1"/>
  <c r="AU121" i="1"/>
  <c r="AX121" i="1" s="1"/>
  <c r="AY121" i="1" s="1"/>
  <c r="AU294" i="1"/>
  <c r="AX294" i="1" s="1"/>
  <c r="AY294" i="1" s="1"/>
  <c r="AU295" i="1"/>
  <c r="AX295" i="1" s="1"/>
  <c r="AY295" i="1" s="1"/>
  <c r="AU296" i="1"/>
  <c r="AX296" i="1" s="1"/>
  <c r="AY296" i="1" s="1"/>
  <c r="AU122" i="1"/>
  <c r="AX122" i="1" s="1"/>
  <c r="AY122" i="1" s="1"/>
  <c r="AU123" i="1"/>
  <c r="AX123" i="1" s="1"/>
  <c r="AY123" i="1" s="1"/>
  <c r="AU124" i="1"/>
  <c r="AX124" i="1" s="1"/>
  <c r="AY124" i="1" s="1"/>
  <c r="AU125" i="1"/>
  <c r="AX125" i="1" s="1"/>
  <c r="AY125" i="1" s="1"/>
  <c r="AU297" i="1"/>
  <c r="AX297" i="1" s="1"/>
  <c r="AY297" i="1" s="1"/>
  <c r="AU298" i="1"/>
  <c r="AX298" i="1" s="1"/>
  <c r="AY298" i="1" s="1"/>
  <c r="AU126" i="1"/>
  <c r="AX126" i="1" s="1"/>
  <c r="AY126" i="1" s="1"/>
  <c r="AU127" i="1"/>
  <c r="AX127" i="1" s="1"/>
  <c r="AY127" i="1" s="1"/>
  <c r="AT121" i="1"/>
  <c r="AW121" i="1" l="1"/>
  <c r="AZ121" i="1" s="1"/>
  <c r="AT315" i="1"/>
  <c r="AO63" i="1"/>
  <c r="AU63" i="1" l="1"/>
  <c r="AX63" i="1" s="1"/>
  <c r="AY63" i="1" s="1"/>
  <c r="AO315" i="1"/>
  <c r="AP63" i="1"/>
  <c r="AP315" i="1" s="1"/>
  <c r="AM63" i="1"/>
  <c r="AM315" i="1" s="1"/>
  <c r="AJ63" i="1" l="1"/>
  <c r="AV63" i="1" l="1"/>
  <c r="AJ315" i="1"/>
  <c r="AW4" i="1"/>
  <c r="AW315" i="1" s="1"/>
  <c r="AZ4" i="1" l="1"/>
  <c r="AZ315" i="1" s="1"/>
  <c r="AV4" i="1" l="1"/>
  <c r="AV315" i="1" s="1"/>
  <c r="AU4" i="1"/>
  <c r="AX4" i="1" l="1"/>
  <c r="AX315" i="1" s="1"/>
  <c r="AU315" i="1"/>
  <c r="AY4" i="1"/>
  <c r="AY315" i="1" s="1"/>
</calcChain>
</file>

<file path=xl/sharedStrings.xml><?xml version="1.0" encoding="utf-8"?>
<sst xmlns="http://schemas.openxmlformats.org/spreadsheetml/2006/main" count="7027" uniqueCount="1166">
  <si>
    <t xml:space="preserve">Yangon Region Individual Sales for Wholesales , Semi Wholesales and Mini Wholesales </t>
  </si>
  <si>
    <t>No</t>
  </si>
  <si>
    <t>Customer Names</t>
  </si>
  <si>
    <t>Township (Area)</t>
  </si>
  <si>
    <t>Type</t>
  </si>
  <si>
    <t xml:space="preserve">Responsible by </t>
  </si>
  <si>
    <t>January-2025</t>
  </si>
  <si>
    <t>February-2025</t>
  </si>
  <si>
    <t>PKT</t>
  </si>
  <si>
    <t>BOT</t>
  </si>
  <si>
    <t>Lit</t>
  </si>
  <si>
    <t>မိုးအောင်</t>
  </si>
  <si>
    <t xml:space="preserve">Moe Aung </t>
  </si>
  <si>
    <t>တ/ဒဂုံ</t>
  </si>
  <si>
    <t>Sount Dagon</t>
  </si>
  <si>
    <t>WS</t>
  </si>
  <si>
    <t>RSM</t>
  </si>
  <si>
    <t>သော်တာထွန်း</t>
  </si>
  <si>
    <t>Thawdar Tun</t>
  </si>
  <si>
    <t>လသယ</t>
  </si>
  <si>
    <t>Hlaing Thar Yar</t>
  </si>
  <si>
    <t>ရွှေဧရာ</t>
  </si>
  <si>
    <t xml:space="preserve">Shwe Ayeyar </t>
  </si>
  <si>
    <t>16 St</t>
  </si>
  <si>
    <t>16 street</t>
  </si>
  <si>
    <t>မိဘမေတ္တာ</t>
  </si>
  <si>
    <t xml:space="preserve">Mi Ba Myint Thar </t>
  </si>
  <si>
    <t>AAA</t>
  </si>
  <si>
    <t>A.A.A.</t>
  </si>
  <si>
    <t>မ/ဒဂုံ</t>
  </si>
  <si>
    <t>North Dagon</t>
  </si>
  <si>
    <t>ပေါ်ဉီး</t>
  </si>
  <si>
    <t>Paw Oo</t>
  </si>
  <si>
    <t>ဒလ</t>
  </si>
  <si>
    <t>Dala</t>
  </si>
  <si>
    <t>ဘောဂ</t>
  </si>
  <si>
    <t>Baw Ga</t>
  </si>
  <si>
    <t>သန်လျင်</t>
  </si>
  <si>
    <t>Thanlyin</t>
  </si>
  <si>
    <t>ရတနာတိုး (H)</t>
  </si>
  <si>
    <t xml:space="preserve">Yatanar Toe </t>
  </si>
  <si>
    <t>မှော်ဘီ</t>
  </si>
  <si>
    <t>Hmawbi</t>
  </si>
  <si>
    <t>မွန်မလေး</t>
  </si>
  <si>
    <t>Mon Ma Lay</t>
  </si>
  <si>
    <t>ရပသ</t>
  </si>
  <si>
    <t>Shwe Pyi Thar</t>
  </si>
  <si>
    <t>မြတ်မွှေး</t>
  </si>
  <si>
    <t xml:space="preserve">Myat Mhwe </t>
  </si>
  <si>
    <t>မ/ဥ</t>
  </si>
  <si>
    <t>North Okkalapa</t>
  </si>
  <si>
    <t>ကိုဖိုးသက်</t>
  </si>
  <si>
    <t xml:space="preserve">Ko Phoe Thet </t>
  </si>
  <si>
    <t>တွံတေး</t>
  </si>
  <si>
    <t>Twantay</t>
  </si>
  <si>
    <t>မပို့မချို</t>
  </si>
  <si>
    <t>Ma Po Ma Cho</t>
  </si>
  <si>
    <t>ပလာဇာ</t>
  </si>
  <si>
    <t>Palazar</t>
  </si>
  <si>
    <t>ကိုကျော်ဆွေ</t>
  </si>
  <si>
    <t xml:space="preserve">Ko Kyaw Swe </t>
  </si>
  <si>
    <t>ဦးတင်အေး</t>
  </si>
  <si>
    <t xml:space="preserve">U Tin Aye </t>
  </si>
  <si>
    <t>ဘဘကြီး</t>
  </si>
  <si>
    <t>Ba Ba Gyi</t>
  </si>
  <si>
    <t>ရှယ်ထူး</t>
  </si>
  <si>
    <t>Shal Htoo</t>
  </si>
  <si>
    <t>လေးထောင့်ကန်</t>
  </si>
  <si>
    <t>Lay Daungkan</t>
  </si>
  <si>
    <t>ရွှေဇီးကွက်</t>
  </si>
  <si>
    <t xml:space="preserve">Shwe Zee Kwat </t>
  </si>
  <si>
    <t>ရွှေဉယျာဉ်</t>
  </si>
  <si>
    <t>Shwe Oo Yin</t>
  </si>
  <si>
    <t>ရွှေစည်းစိမ်</t>
  </si>
  <si>
    <t>Shwe See Sain</t>
  </si>
  <si>
    <t>တိုက်ကြီး</t>
  </si>
  <si>
    <t>Taikkyi</t>
  </si>
  <si>
    <t>ရွက်သစ်</t>
  </si>
  <si>
    <t>Yuat Thit</t>
  </si>
  <si>
    <t>South Dagon</t>
  </si>
  <si>
    <t>ဒေလီယာ</t>
  </si>
  <si>
    <t xml:space="preserve">Dalia </t>
  </si>
  <si>
    <t>သာကေတ</t>
  </si>
  <si>
    <t>Thaketa</t>
  </si>
  <si>
    <t>ဆွေသဟာ</t>
  </si>
  <si>
    <t xml:space="preserve">Shwe Tahar </t>
  </si>
  <si>
    <t>ဦးအိရွှေ</t>
  </si>
  <si>
    <t xml:space="preserve">U Ei Shwe </t>
  </si>
  <si>
    <t>ကိုရွှေသီး</t>
  </si>
  <si>
    <t xml:space="preserve">Ko Shwe Thee </t>
  </si>
  <si>
    <t>တ/ဥ</t>
  </si>
  <si>
    <t>South Okkalapa</t>
  </si>
  <si>
    <t>ပန်းသတင်း</t>
  </si>
  <si>
    <t>Pan Tatin</t>
  </si>
  <si>
    <t>မချိုချိုလွင်</t>
  </si>
  <si>
    <t>Ma Cho Cho Lwin</t>
  </si>
  <si>
    <t>သင်္ဃန်းကျွန်း</t>
  </si>
  <si>
    <t>Thingangyun</t>
  </si>
  <si>
    <t>တော်ဝင်</t>
  </si>
  <si>
    <t>Taw Win</t>
  </si>
  <si>
    <t>ကြည့်မြင်တိုင်</t>
  </si>
  <si>
    <t>Kyee Myin Daing</t>
  </si>
  <si>
    <t>ဦးလှဖုန်း</t>
  </si>
  <si>
    <t xml:space="preserve">U Hla Phone </t>
  </si>
  <si>
    <t>ကော့မှူး</t>
  </si>
  <si>
    <t>Kawhmu</t>
  </si>
  <si>
    <t>မသီတာ</t>
  </si>
  <si>
    <t xml:space="preserve">Ma Thida </t>
  </si>
  <si>
    <t>အနွယ်တော်</t>
  </si>
  <si>
    <t>A 'Nwe Taw</t>
  </si>
  <si>
    <t>သင်္ဃန်းကျွန်းကြီး</t>
  </si>
  <si>
    <t>Thingangyun Gyi</t>
  </si>
  <si>
    <t>နေလ</t>
  </si>
  <si>
    <t>Nay La</t>
  </si>
  <si>
    <t>မမွှေးမွှေး</t>
  </si>
  <si>
    <t xml:space="preserve">Ma Mhwe Mhwe </t>
  </si>
  <si>
    <t>ကွမ်းခြံကုန်း</t>
  </si>
  <si>
    <t>Kungyangon</t>
  </si>
  <si>
    <t>ဆင်မင်း</t>
  </si>
  <si>
    <t>Sin Min</t>
  </si>
  <si>
    <t>လှိုင်သာယာ</t>
  </si>
  <si>
    <t>မာဟန်</t>
  </si>
  <si>
    <t>Mar Han</t>
  </si>
  <si>
    <t>ကောင်းမွန်</t>
  </si>
  <si>
    <t>Kaung Mon</t>
  </si>
  <si>
    <t>KHM</t>
  </si>
  <si>
    <t>သုခအောင်</t>
  </si>
  <si>
    <t xml:space="preserve">Thuka Aung </t>
  </si>
  <si>
    <t>အင်းစိန်</t>
  </si>
  <si>
    <t>Insein</t>
  </si>
  <si>
    <t>လမင်းသာ</t>
  </si>
  <si>
    <t xml:space="preserve">La Min Thar </t>
  </si>
  <si>
    <t>သမိုင်း</t>
  </si>
  <si>
    <t>Tha Mine</t>
  </si>
  <si>
    <t>ဂျက်ကြီး</t>
  </si>
  <si>
    <t>Jet Gyi</t>
  </si>
  <si>
    <t>ဒေးဒရဲ</t>
  </si>
  <si>
    <t>Dedaye</t>
  </si>
  <si>
    <t>မိုးမြင့်ထက်</t>
  </si>
  <si>
    <t>Moe Myint Htet</t>
  </si>
  <si>
    <t>မြောက်ဒဂုံ</t>
  </si>
  <si>
    <t xml:space="preserve">အောင်ချမ်းသာ </t>
  </si>
  <si>
    <t xml:space="preserve">Aung Chan Thar </t>
  </si>
  <si>
    <t>အောင်ပြည့်စုံ</t>
  </si>
  <si>
    <t xml:space="preserve">Aung Pyae Sone </t>
  </si>
  <si>
    <t>ခရမ်း</t>
  </si>
  <si>
    <t>Khayan</t>
  </si>
  <si>
    <t>K Mart</t>
  </si>
  <si>
    <t>အလုံ</t>
  </si>
  <si>
    <t xml:space="preserve">Ahlone </t>
  </si>
  <si>
    <t>Semi</t>
  </si>
  <si>
    <t>KBL</t>
  </si>
  <si>
    <t>မသိင်္ဂီမော်</t>
  </si>
  <si>
    <t>Ma Theingi Maw</t>
  </si>
  <si>
    <t>ဒေါ်နီ</t>
  </si>
  <si>
    <t>Daw Ni</t>
  </si>
  <si>
    <t>ဦးတင်လှိုင်</t>
  </si>
  <si>
    <t>U Tin Hlaing</t>
  </si>
  <si>
    <t>ကိုချမ်းအေး</t>
  </si>
  <si>
    <t xml:space="preserve">Ko Chan Aye </t>
  </si>
  <si>
    <t>ကြယ်ပျံ</t>
  </si>
  <si>
    <t>Kwyal Pyan</t>
  </si>
  <si>
    <t>နှင်းဆီ</t>
  </si>
  <si>
    <t xml:space="preserve">Hnin Si </t>
  </si>
  <si>
    <t>ကောင်းထက်</t>
  </si>
  <si>
    <t xml:space="preserve">Kaung Htet </t>
  </si>
  <si>
    <t>အောင်သိဒ္ဓိ</t>
  </si>
  <si>
    <t xml:space="preserve">Aung Date Di </t>
  </si>
  <si>
    <t>အောင်ကမ္ဘာသိန်း</t>
  </si>
  <si>
    <t>Aung Kabar Thein</t>
  </si>
  <si>
    <t>ကိုညီညီ</t>
  </si>
  <si>
    <t xml:space="preserve">Ko Nyi Nyi </t>
  </si>
  <si>
    <t>ရွှေဇင်ယော်</t>
  </si>
  <si>
    <t xml:space="preserve">Shwe Zin Yaw </t>
  </si>
  <si>
    <t>မြို့သစ်ဈေး</t>
  </si>
  <si>
    <t>ဉီးပိုက်တင်</t>
  </si>
  <si>
    <t>U Pite Tin</t>
  </si>
  <si>
    <t xml:space="preserve">Kayane </t>
  </si>
  <si>
    <t>မောင်လုပ်သား</t>
  </si>
  <si>
    <t xml:space="preserve">Maung Loat Thar </t>
  </si>
  <si>
    <t>အလင်းတန်း</t>
  </si>
  <si>
    <t>A Lin Tan</t>
  </si>
  <si>
    <t>ရှိုင်းရာဇာ</t>
  </si>
  <si>
    <t xml:space="preserve">Shine Yar Zar </t>
  </si>
  <si>
    <t>ရွှေမိုး</t>
  </si>
  <si>
    <t xml:space="preserve">Shwe Moe </t>
  </si>
  <si>
    <t xml:space="preserve">လှိုင် </t>
  </si>
  <si>
    <t>Hlaing</t>
  </si>
  <si>
    <t>ရွှေလီ</t>
  </si>
  <si>
    <t>Shwe Li</t>
  </si>
  <si>
    <t>လှိုင်</t>
  </si>
  <si>
    <t>ဝင်း</t>
  </si>
  <si>
    <t xml:space="preserve">Win </t>
  </si>
  <si>
    <t>လမ်း ၅၀</t>
  </si>
  <si>
    <t xml:space="preserve">50th Street </t>
  </si>
  <si>
    <t>ပန်းမြို့တော်</t>
  </si>
  <si>
    <t xml:space="preserve">Pan Myo Taw </t>
  </si>
  <si>
    <t>ရွှေ</t>
  </si>
  <si>
    <t xml:space="preserve">Shwe </t>
  </si>
  <si>
    <t>ကိုကျော်တင့်</t>
  </si>
  <si>
    <t>Ko Kyaw Tint</t>
  </si>
  <si>
    <t>မိုးကျော် ၂</t>
  </si>
  <si>
    <t xml:space="preserve">Moe Kyaw (1) </t>
  </si>
  <si>
    <t>ဦးထွန်းရွှေ</t>
  </si>
  <si>
    <t xml:space="preserve">U Tun Shwe </t>
  </si>
  <si>
    <t>မိုးကျော် ၁</t>
  </si>
  <si>
    <t xml:space="preserve">Moe Kyaw (2) </t>
  </si>
  <si>
    <t>စိန်လီ</t>
  </si>
  <si>
    <t>Sein Li</t>
  </si>
  <si>
    <t>ကျောက်တန်း</t>
  </si>
  <si>
    <t>Kyauktan</t>
  </si>
  <si>
    <t>ကိုခိုင်ကြီး</t>
  </si>
  <si>
    <t>Ko Khine Gyi</t>
  </si>
  <si>
    <t>ဆိပ်ကြီး</t>
  </si>
  <si>
    <t>Seik Gyi Kanaung To</t>
  </si>
  <si>
    <t>မိဘရိပ်</t>
  </si>
  <si>
    <t>Mi Ba Yeik</t>
  </si>
  <si>
    <t>ဦးသန်းစိန်</t>
  </si>
  <si>
    <t xml:space="preserve">U Than Sein </t>
  </si>
  <si>
    <t>ကြည်မြင့်တိုင်</t>
  </si>
  <si>
    <t>ဇော်ဝင်းရှိန်/ခိုင်ရတနာ</t>
  </si>
  <si>
    <t xml:space="preserve">Zaw Win Shain </t>
  </si>
  <si>
    <t>ကမ်းနား</t>
  </si>
  <si>
    <t xml:space="preserve">Kannar </t>
  </si>
  <si>
    <t>မကျင်နု</t>
  </si>
  <si>
    <t>Ma Kyin Nu</t>
  </si>
  <si>
    <t>၁၇ လမ်း</t>
  </si>
  <si>
    <t xml:space="preserve">17th Street </t>
  </si>
  <si>
    <t>ဒေါ်ခင်သီ</t>
  </si>
  <si>
    <t>Daw Khin Thi</t>
  </si>
  <si>
    <t>ပစ်တိုင်းထောင်</t>
  </si>
  <si>
    <t xml:space="preserve">Pyit Tine Htaung </t>
  </si>
  <si>
    <t>ငွေစုလှိုင်</t>
  </si>
  <si>
    <t>Ngwe Su Hlailng</t>
  </si>
  <si>
    <t>ဆိပ်ကမ်းသာ</t>
  </si>
  <si>
    <t>Sate Kan Thar</t>
  </si>
  <si>
    <t>သုံးခွ</t>
  </si>
  <si>
    <t>Thongwa</t>
  </si>
  <si>
    <t>စူပါကျော်</t>
  </si>
  <si>
    <t>Super Kyaw</t>
  </si>
  <si>
    <t>ပစ်တိုင်းထောင်-16</t>
  </si>
  <si>
    <t>16 st</t>
  </si>
  <si>
    <t>လမ်းမတော်</t>
  </si>
  <si>
    <t>Lanmadaw</t>
  </si>
  <si>
    <t>ဘုံးဘုံ</t>
  </si>
  <si>
    <t xml:space="preserve">Bon Bon </t>
  </si>
  <si>
    <t xml:space="preserve">Dala </t>
  </si>
  <si>
    <t>ဦးလှမြင့်</t>
  </si>
  <si>
    <t xml:space="preserve">U Hla Myint </t>
  </si>
  <si>
    <t>ညောင်ပင်လေးဈေး</t>
  </si>
  <si>
    <t>Nyan Pin Lay Zay</t>
  </si>
  <si>
    <t>စိန်ချယ်</t>
  </si>
  <si>
    <t xml:space="preserve">Sein Chel </t>
  </si>
  <si>
    <t>ကိုမူတူး</t>
  </si>
  <si>
    <t>Ko Muu Too</t>
  </si>
  <si>
    <t>ရွှေဖလား</t>
  </si>
  <si>
    <t>Shwe Phalar</t>
  </si>
  <si>
    <t>ကိုလွင်သိန်း</t>
  </si>
  <si>
    <t>Ko Lwin Thein</t>
  </si>
  <si>
    <t>ဦးစောမြင့်</t>
  </si>
  <si>
    <t xml:space="preserve">U Saw Myint </t>
  </si>
  <si>
    <t>မိသားစု</t>
  </si>
  <si>
    <t>Mi Thar Su</t>
  </si>
  <si>
    <t>လှည်းကူး</t>
  </si>
  <si>
    <t>Hlegu</t>
  </si>
  <si>
    <t>ရွှေရခိုင်</t>
  </si>
  <si>
    <t xml:space="preserve">Shwe Ya Khine </t>
  </si>
  <si>
    <t>ရွှေပြည်သာ</t>
  </si>
  <si>
    <t>ဦးထွန်းဝေ</t>
  </si>
  <si>
    <t>U Tun Wai</t>
  </si>
  <si>
    <t>မရီသိန်း</t>
  </si>
  <si>
    <t>Ma Yi Thein</t>
  </si>
  <si>
    <t>ရန်ကင်း</t>
  </si>
  <si>
    <t>Yankin</t>
  </si>
  <si>
    <t>ဦးထွန်းအောင်</t>
  </si>
  <si>
    <t xml:space="preserve">U Tun Aung </t>
  </si>
  <si>
    <t>မင်္ဂလာဈး</t>
  </si>
  <si>
    <t>Mingalar Zay</t>
  </si>
  <si>
    <t>အောင်ကမ္ဘာ</t>
  </si>
  <si>
    <t xml:space="preserve">Aung Kabar </t>
  </si>
  <si>
    <t>မင်္ဂလာဒုံ</t>
  </si>
  <si>
    <t>Mingalardon</t>
  </si>
  <si>
    <t>တဉ</t>
  </si>
  <si>
    <t>ကောင်းဆက်</t>
  </si>
  <si>
    <t xml:space="preserve">Kaung Set </t>
  </si>
  <si>
    <t>ကိုအေးချမ်း</t>
  </si>
  <si>
    <t xml:space="preserve">Ko Aye Chan </t>
  </si>
  <si>
    <t>ဦးတင်စော</t>
  </si>
  <si>
    <t xml:space="preserve">U Tin Saw </t>
  </si>
  <si>
    <t>ရွှေလက်ဆောင်</t>
  </si>
  <si>
    <t xml:space="preserve">Shwe Lat Saung </t>
  </si>
  <si>
    <t>မြစန္ဒာ</t>
  </si>
  <si>
    <t xml:space="preserve">Mya Sandar </t>
  </si>
  <si>
    <t>မ/ဉ</t>
  </si>
  <si>
    <t>ကံတလူ</t>
  </si>
  <si>
    <t>Kan Ta Lu</t>
  </si>
  <si>
    <t>စန္ဒာ</t>
  </si>
  <si>
    <t xml:space="preserve">Sandar </t>
  </si>
  <si>
    <t>ဗဟန်း</t>
  </si>
  <si>
    <t>Bahan</t>
  </si>
  <si>
    <t>ဖောင်ကြီး</t>
  </si>
  <si>
    <t>Phaung Gyi</t>
  </si>
  <si>
    <t>ရွှေရည်ဦး</t>
  </si>
  <si>
    <t>Shwe Yi Oo</t>
  </si>
  <si>
    <t>Palaza</t>
  </si>
  <si>
    <t>ဒေါ်တင်ကြည်</t>
  </si>
  <si>
    <t>Daw Tin Kyi</t>
  </si>
  <si>
    <t>ထောက်ကြန့်</t>
  </si>
  <si>
    <t>Htauk Kyant</t>
  </si>
  <si>
    <t>5-Star</t>
  </si>
  <si>
    <t>ရွှေမိုးဦး</t>
  </si>
  <si>
    <t>Shwe Moe Oo</t>
  </si>
  <si>
    <t>ဦးအေးမြင့်</t>
  </si>
  <si>
    <t xml:space="preserve">U Aye Myint </t>
  </si>
  <si>
    <t>ထွန်းတောက်</t>
  </si>
  <si>
    <t xml:space="preserve">Tun Tout </t>
  </si>
  <si>
    <t>မိုးပုလဲ</t>
  </si>
  <si>
    <t>Moe Pearl</t>
  </si>
  <si>
    <t>ရာဇာဟိန်း</t>
  </si>
  <si>
    <t xml:space="preserve">Ya Zar Hein </t>
  </si>
  <si>
    <t>ကိုကျော်ဆန်း</t>
  </si>
  <si>
    <t xml:space="preserve">Ko Kyaw San </t>
  </si>
  <si>
    <t>ကိုထိန်လင်း</t>
  </si>
  <si>
    <t xml:space="preserve">Ko Htein Lin </t>
  </si>
  <si>
    <t>ရှိန်းမြချို</t>
  </si>
  <si>
    <t xml:space="preserve">Shin Mya Cho </t>
  </si>
  <si>
    <t>ကိုဇော်ဦး</t>
  </si>
  <si>
    <t xml:space="preserve">Ko Zaw Oo </t>
  </si>
  <si>
    <t>ရွှေကိန္ဒရီ</t>
  </si>
  <si>
    <t>Shwe Kane Da Yi</t>
  </si>
  <si>
    <t>အင်ကြင်း်ခိုင်</t>
  </si>
  <si>
    <t>Eygine Khine</t>
  </si>
  <si>
    <t>ရွေဆင်</t>
  </si>
  <si>
    <t xml:space="preserve">Shwe Sin </t>
  </si>
  <si>
    <t>ဦးလှဆွေ</t>
  </si>
  <si>
    <t xml:space="preserve">U Hla Shwe </t>
  </si>
  <si>
    <t>စည်းစိမ်</t>
  </si>
  <si>
    <t>See Sein</t>
  </si>
  <si>
    <t>ငြိမ်းချမ်းရေး</t>
  </si>
  <si>
    <t xml:space="preserve">Nyein Chan Yae </t>
  </si>
  <si>
    <t>ကြိုးကြာ</t>
  </si>
  <si>
    <t xml:space="preserve">Gyo Kyar </t>
  </si>
  <si>
    <t>Sweet World</t>
  </si>
  <si>
    <t>အောင်သရဖူ</t>
  </si>
  <si>
    <t xml:space="preserve"> Aung Tayapu</t>
  </si>
  <si>
    <t>တာမွေ</t>
  </si>
  <si>
    <t xml:space="preserve">Tamwe </t>
  </si>
  <si>
    <t>ရွှင်ကြည်လန်း</t>
  </si>
  <si>
    <t>Shwin Kyee Lan</t>
  </si>
  <si>
    <t>Sweet Gate</t>
  </si>
  <si>
    <t>သင့်</t>
  </si>
  <si>
    <t>Thint</t>
  </si>
  <si>
    <t>ဝေဖြိုးချမ်းသာ</t>
  </si>
  <si>
    <t>Wai Phyo Chan Thar</t>
  </si>
  <si>
    <t>ဦးကြီးမြင့်</t>
  </si>
  <si>
    <t>U Kyee Myint</t>
  </si>
  <si>
    <t>ရွေညောင်ပင်</t>
  </si>
  <si>
    <t>Shwe Nyung Pin</t>
  </si>
  <si>
    <t>Mother House</t>
  </si>
  <si>
    <t>တိုက််ကြီး</t>
  </si>
  <si>
    <t>ပိတောက်</t>
  </si>
  <si>
    <t>Paduk</t>
  </si>
  <si>
    <t>ပေါ်ဦး</t>
  </si>
  <si>
    <t>တောင်ဒဂုံ</t>
  </si>
  <si>
    <t>ရွှေပြည်သစ်</t>
  </si>
  <si>
    <t>Shwe Pyi Thit</t>
  </si>
  <si>
    <t>အရှေ့ရွာ</t>
  </si>
  <si>
    <t>West Village</t>
  </si>
  <si>
    <t>Mr Ye</t>
  </si>
  <si>
    <t>One Stop Mart</t>
  </si>
  <si>
    <t>Super one</t>
  </si>
  <si>
    <t>ကိုကျော်သူ</t>
  </si>
  <si>
    <t>ခိုင်</t>
  </si>
  <si>
    <t>လိူင်နန်းတော်</t>
  </si>
  <si>
    <t>Hlailng Nan Taw</t>
  </si>
  <si>
    <t>နန်းထက်</t>
  </si>
  <si>
    <t>Nan Htet</t>
  </si>
  <si>
    <t>Mini - VAN - 1</t>
  </si>
  <si>
    <t>VAN - 1</t>
  </si>
  <si>
    <t>ထားဝယ်ထက်</t>
  </si>
  <si>
    <t>Dawelhtet</t>
  </si>
  <si>
    <t>ကောင်းသန့်ရှင်း</t>
  </si>
  <si>
    <t>Kaung Thant Shin</t>
  </si>
  <si>
    <t>ရွှေပေါက္ကံ</t>
  </si>
  <si>
    <t>Shwe Pouk Kan</t>
  </si>
  <si>
    <t>ပွိုင့်</t>
  </si>
  <si>
    <t>Point</t>
  </si>
  <si>
    <t>ဝေမြတ်မွန်</t>
  </si>
  <si>
    <t>Way Myat Mon</t>
  </si>
  <si>
    <t>ပိတောက်ဝါ</t>
  </si>
  <si>
    <t>Padauk War</t>
  </si>
  <si>
    <t>ဖြူဝင်း</t>
  </si>
  <si>
    <t>Phyu Win</t>
  </si>
  <si>
    <t>ဒေါ်ကြည်လေး</t>
  </si>
  <si>
    <t>Daw Kyi Lay</t>
  </si>
  <si>
    <t>စကားဝါ</t>
  </si>
  <si>
    <t>Sakarwar</t>
  </si>
  <si>
    <t>Y-4</t>
  </si>
  <si>
    <t>Y - 4</t>
  </si>
  <si>
    <t>Infinity</t>
  </si>
  <si>
    <t xml:space="preserve">Infinity </t>
  </si>
  <si>
    <t>ရွှေဒဂ်ါး</t>
  </si>
  <si>
    <t>Shwe Din Gar</t>
  </si>
  <si>
    <t>Focus</t>
  </si>
  <si>
    <t>ရွှေမြန်မာ</t>
  </si>
  <si>
    <t>Shwe Myanmar</t>
  </si>
  <si>
    <t>Mini - VAN - 2</t>
  </si>
  <si>
    <t>VAN - 2</t>
  </si>
  <si>
    <t>စိုင်းဝင်းထက်</t>
  </si>
  <si>
    <t>Sai Win Htet</t>
  </si>
  <si>
    <t>နိုင်နိုင်</t>
  </si>
  <si>
    <t>Naing Naing</t>
  </si>
  <si>
    <t>ကိုသန့်ဇင်</t>
  </si>
  <si>
    <t>Ko Thant Zin</t>
  </si>
  <si>
    <t>Thar Kay Ta</t>
  </si>
  <si>
    <t>ကျော် (စတား)</t>
  </si>
  <si>
    <t>Kyaw Star</t>
  </si>
  <si>
    <t>မြင့်</t>
  </si>
  <si>
    <t>Myint</t>
  </si>
  <si>
    <t>ပိတောက်မြိုင်</t>
  </si>
  <si>
    <t>Padauk Mying</t>
  </si>
  <si>
    <t>သန်းထိုက်စံ</t>
  </si>
  <si>
    <t>Than Htaik San</t>
  </si>
  <si>
    <t>ဒေါ်ခင်သန်းနု</t>
  </si>
  <si>
    <t>Daw Khin Than Nu</t>
  </si>
  <si>
    <t>ရွှေထူး</t>
  </si>
  <si>
    <t>Shwe Htoo</t>
  </si>
  <si>
    <t>KKK</t>
  </si>
  <si>
    <t>Kyaw</t>
  </si>
  <si>
    <t>ရွှေခြသေ့်</t>
  </si>
  <si>
    <t>Golden Lion</t>
  </si>
  <si>
    <t>တော်ဝင်သစ်ခွ</t>
  </si>
  <si>
    <t>Royal Orchid</t>
  </si>
  <si>
    <t>အလင်းနှစ်</t>
  </si>
  <si>
    <t>Alin Hnit</t>
  </si>
  <si>
    <t>Mini - VAN - 3</t>
  </si>
  <si>
    <t>VAN - 3</t>
  </si>
  <si>
    <t>ကဒီဟိန်း</t>
  </si>
  <si>
    <t>Ka Di Hein</t>
  </si>
  <si>
    <t>AZ</t>
  </si>
  <si>
    <t>Family</t>
  </si>
  <si>
    <t>ဖြူ</t>
  </si>
  <si>
    <t>Phyu</t>
  </si>
  <si>
    <t>မဂ်လာတောင်ညွန့်</t>
  </si>
  <si>
    <t>Mingalartaungnyunt</t>
  </si>
  <si>
    <t>Aung Family</t>
  </si>
  <si>
    <t>ကံ့ကော်</t>
  </si>
  <si>
    <t>Kant Kaw</t>
  </si>
  <si>
    <t>ပုစွန်တောင်/ဗိုလ်တစ်ထောင်</t>
  </si>
  <si>
    <t>Puzontaung+Botahtaung</t>
  </si>
  <si>
    <t>အလင်းရောင်</t>
  </si>
  <si>
    <t>Alin Young</t>
  </si>
  <si>
    <t>SKA</t>
  </si>
  <si>
    <t>FMG</t>
  </si>
  <si>
    <t>Tarmwe</t>
  </si>
  <si>
    <t>Linn Store</t>
  </si>
  <si>
    <t>Linnet Bank</t>
  </si>
  <si>
    <t>မဂ်လာဈေး</t>
  </si>
  <si>
    <t>ကောင်းမြတ်</t>
  </si>
  <si>
    <t>Kaung Myat</t>
  </si>
  <si>
    <t>တောင်ဥက္ကလာ</t>
  </si>
  <si>
    <t>ပြည့်စုံ</t>
  </si>
  <si>
    <t>Pyae Sone</t>
  </si>
  <si>
    <t>ကိုချစ်ထွေး</t>
  </si>
  <si>
    <t>Ko Chit Htwe</t>
  </si>
  <si>
    <t>သဃ်န်းကျွန်း</t>
  </si>
  <si>
    <t>Thingankyun</t>
  </si>
  <si>
    <t>ဟိန်းမြင့်မိုရ်</t>
  </si>
  <si>
    <t>Hein Myint Mo</t>
  </si>
  <si>
    <t>သုဝဏ္ဏ</t>
  </si>
  <si>
    <t>Thuwunna</t>
  </si>
  <si>
    <t>ရွှေမင်းသား</t>
  </si>
  <si>
    <t>Shwe Min Thar</t>
  </si>
  <si>
    <t>မောင်ချို</t>
  </si>
  <si>
    <t>Maung Cho</t>
  </si>
  <si>
    <t>Mini VAN - 4</t>
  </si>
  <si>
    <t>VAN - 4</t>
  </si>
  <si>
    <t>မသွယ်</t>
  </si>
  <si>
    <t>Ma Thwe</t>
  </si>
  <si>
    <t>ခရေရိပ်</t>
  </si>
  <si>
    <t>Kha Yay Yaik</t>
  </si>
  <si>
    <t>ကိုကျော်</t>
  </si>
  <si>
    <t>Ko Kyaw</t>
  </si>
  <si>
    <t>ဦးလှညွန့်</t>
  </si>
  <si>
    <t>U Hla Nyunt</t>
  </si>
  <si>
    <t>အိုးကြီးစံ</t>
  </si>
  <si>
    <t>O Kyee San</t>
  </si>
  <si>
    <t>ဒေါ်ပြုံး</t>
  </si>
  <si>
    <t>Daw Pyone</t>
  </si>
  <si>
    <t>ဒေါ်ခင်အေး</t>
  </si>
  <si>
    <t>Daw Khin Aye</t>
  </si>
  <si>
    <t>3 Seasons</t>
  </si>
  <si>
    <t>MP-42</t>
  </si>
  <si>
    <t>MP - 42</t>
  </si>
  <si>
    <t>ကမ္ဘာအေး/မရမ်းကုန်း</t>
  </si>
  <si>
    <t>Kabaraye + Mayangone</t>
  </si>
  <si>
    <t>Cheers</t>
  </si>
  <si>
    <t>သိန်းသန်း</t>
  </si>
  <si>
    <t>Thain Than</t>
  </si>
  <si>
    <t>တေမိုးစံ</t>
  </si>
  <si>
    <t>Tay Moe San</t>
  </si>
  <si>
    <t>အောင်ကြီး(၁)</t>
  </si>
  <si>
    <t>Aung Gyi(1)</t>
  </si>
  <si>
    <t>မြို့ထဲ</t>
  </si>
  <si>
    <t>Downtown</t>
  </si>
  <si>
    <t>SD Store</t>
  </si>
  <si>
    <t>ချိုသာ</t>
  </si>
  <si>
    <t>Cho Thar</t>
  </si>
  <si>
    <t>ဗဟန်း/စမ်းချောင်း</t>
  </si>
  <si>
    <t>Bahan + Sanchaung</t>
  </si>
  <si>
    <t>ATT</t>
  </si>
  <si>
    <t>Golden Tiger</t>
  </si>
  <si>
    <t>စူပါစတား</t>
  </si>
  <si>
    <t>Super Star</t>
  </si>
  <si>
    <t>ဓနဖြိုး</t>
  </si>
  <si>
    <t>Dana Phyoe</t>
  </si>
  <si>
    <t>ရွှေမန်း</t>
  </si>
  <si>
    <t>Shwe Man</t>
  </si>
  <si>
    <t>ရွှေပြည်ဟိန်း</t>
  </si>
  <si>
    <t>Shwe Pyi Hein</t>
  </si>
  <si>
    <t>ကမာရွတ်</t>
  </si>
  <si>
    <t>Kamaryout</t>
  </si>
  <si>
    <t>အောင်ကောင်း</t>
  </si>
  <si>
    <t>Aung Kaung</t>
  </si>
  <si>
    <t>ရွှင်လန်း</t>
  </si>
  <si>
    <t>Shwin Lann</t>
  </si>
  <si>
    <t>Kyimyindaing</t>
  </si>
  <si>
    <t>ကောင်းစတား</t>
  </si>
  <si>
    <t>Kaung Star</t>
  </si>
  <si>
    <t>ထန်းတစ်ပင်</t>
  </si>
  <si>
    <t>Htan Ta Pin</t>
  </si>
  <si>
    <t>Mini VAN - 6</t>
  </si>
  <si>
    <t>နီနီလင်း</t>
  </si>
  <si>
    <t>Ni Ni Lin</t>
  </si>
  <si>
    <t>လပြည့်ဝန်း</t>
  </si>
  <si>
    <t>La Pyae Wunn</t>
  </si>
  <si>
    <t>April</t>
  </si>
  <si>
    <t>သံလွင်ဦး</t>
  </si>
  <si>
    <t>Than Lwin Oo</t>
  </si>
  <si>
    <t>ရိုးလေး</t>
  </si>
  <si>
    <t>ရေဥက္ကံ</t>
  </si>
  <si>
    <t>ဆည်းဆာအောင်</t>
  </si>
  <si>
    <t>See Sar Aung</t>
  </si>
  <si>
    <t>ဒါးပိန်-အင်းတိုင်</t>
  </si>
  <si>
    <t>Darpain + Inndaing</t>
  </si>
  <si>
    <t>Mini VAN - 7</t>
  </si>
  <si>
    <t>VAN - 7</t>
  </si>
  <si>
    <t>ရဲမင်းသိန်း</t>
  </si>
  <si>
    <t>Ye Min Thein</t>
  </si>
  <si>
    <t>ဦးကြည်လွင်</t>
  </si>
  <si>
    <t>U Kyi Lwin</t>
  </si>
  <si>
    <t>နေ့သစ်</t>
  </si>
  <si>
    <t>Nay Thit</t>
  </si>
  <si>
    <t>ကိုလှဝင်း</t>
  </si>
  <si>
    <t>Ko Hla Win</t>
  </si>
  <si>
    <t>မြနန္ဒာ</t>
  </si>
  <si>
    <t>Mya Nan Dar</t>
  </si>
  <si>
    <t>လူကြီးမင်း</t>
  </si>
  <si>
    <t>Lu Gyi Min</t>
  </si>
  <si>
    <t>လှိုင်မင်း</t>
  </si>
  <si>
    <t>Hlaing Min</t>
  </si>
  <si>
    <t>မိုးသောက်ပန်း</t>
  </si>
  <si>
    <t>Moe Thauk Pan</t>
  </si>
  <si>
    <t>ရွှေ(Gold)</t>
  </si>
  <si>
    <t>Shwe (Gold)</t>
  </si>
  <si>
    <t>ဈာန်</t>
  </si>
  <si>
    <t>Zan</t>
  </si>
  <si>
    <t>A-1</t>
  </si>
  <si>
    <t>A - 1</t>
  </si>
  <si>
    <t>Aung Gyi</t>
  </si>
  <si>
    <t>တက်သစ်စ</t>
  </si>
  <si>
    <t>Tat Thit Sa</t>
  </si>
  <si>
    <t>ပြည်ဟိန်းကျော်</t>
  </si>
  <si>
    <t>Pyi Hein Kyaw</t>
  </si>
  <si>
    <t>ကိုရွှေညာ</t>
  </si>
  <si>
    <t>Ko Shwe Nyar</t>
  </si>
  <si>
    <t>ဒေါ်စိန်စိန်ဦး</t>
  </si>
  <si>
    <t>Daw Sein Sein Oo</t>
  </si>
  <si>
    <t>စိန်ရွှေမြ</t>
  </si>
  <si>
    <t>Sein Shwe Mya</t>
  </si>
  <si>
    <t>မနောဖြူ(၁)</t>
  </si>
  <si>
    <t>Manaw Phyu(1)</t>
  </si>
  <si>
    <t>ကျော်ကြီး</t>
  </si>
  <si>
    <t>Kyaw Gyi</t>
  </si>
  <si>
    <t>မဂ်လာဒုံ</t>
  </si>
  <si>
    <t>ခေတ်သစ်</t>
  </si>
  <si>
    <t>Khit Thit</t>
  </si>
  <si>
    <t>စိုးစံ</t>
  </si>
  <si>
    <t>Soe San</t>
  </si>
  <si>
    <t>ရွှေရည်လင်း</t>
  </si>
  <si>
    <t>Shwe Yi Lin</t>
  </si>
  <si>
    <t>ဆန်းသစ်</t>
  </si>
  <si>
    <t>San Thit</t>
  </si>
  <si>
    <t>ဆု</t>
  </si>
  <si>
    <t>Su</t>
  </si>
  <si>
    <t>Aung</t>
  </si>
  <si>
    <t>KZ</t>
  </si>
  <si>
    <t>Mini VAN - 8</t>
  </si>
  <si>
    <t>VAN - 8</t>
  </si>
  <si>
    <t>ဦးမြင့်စိုး</t>
  </si>
  <si>
    <t>U Myint Soe</t>
  </si>
  <si>
    <t>ကောင်းသန့်</t>
  </si>
  <si>
    <t>Kaung Thant</t>
  </si>
  <si>
    <t>ညီညီပိုးပိုး</t>
  </si>
  <si>
    <t>Nyi Nyi Poe Poe</t>
  </si>
  <si>
    <t>Happy Life</t>
  </si>
  <si>
    <t>Emperor</t>
  </si>
  <si>
    <t>တက်လူ(၁)</t>
  </si>
  <si>
    <t>Tat Lu(1)</t>
  </si>
  <si>
    <t>ကမ္ဘာကျော်</t>
  </si>
  <si>
    <t>Kabar Kyaw</t>
  </si>
  <si>
    <t>ရွှေအာခါ</t>
  </si>
  <si>
    <t>Shwe Ar Khar</t>
  </si>
  <si>
    <t>ဘောလည်-အဖျောက်</t>
  </si>
  <si>
    <t>Bawlel + Ahphyouk</t>
  </si>
  <si>
    <t>ရွှေလမင်း</t>
  </si>
  <si>
    <t>Shwe La Min</t>
  </si>
  <si>
    <t>ဒေါ်မိုးမိုးစန်း</t>
  </si>
  <si>
    <t>Daw Moe Moe San</t>
  </si>
  <si>
    <t>Star</t>
  </si>
  <si>
    <t>မှော်ဘီ-မြောင်းတကာ</t>
  </si>
  <si>
    <t>Hmawbi + Myaungtakar</t>
  </si>
  <si>
    <t>VAN - 9</t>
  </si>
  <si>
    <t>OK</t>
  </si>
  <si>
    <t>လင်းသစ်</t>
  </si>
  <si>
    <t>Linn Thit</t>
  </si>
  <si>
    <t>ဆုံနေကျ</t>
  </si>
  <si>
    <t>Sone Nay Kya</t>
  </si>
  <si>
    <t>ဦးဖြိုး</t>
  </si>
  <si>
    <t>U Phyoe</t>
  </si>
  <si>
    <t>မိုးသူနိုင်</t>
  </si>
  <si>
    <t>Moe Thu Naing</t>
  </si>
  <si>
    <t>သိန်းရာဇာ</t>
  </si>
  <si>
    <t>Thein Yar Zar</t>
  </si>
  <si>
    <t>လမ်းသစ်</t>
  </si>
  <si>
    <t>Lan Thit</t>
  </si>
  <si>
    <t>ကောင်းကောင်း</t>
  </si>
  <si>
    <t>Kaung Kaung</t>
  </si>
  <si>
    <t>March-2025</t>
  </si>
  <si>
    <t>April-2025</t>
  </si>
  <si>
    <t>ပြည့်သျှင်</t>
  </si>
  <si>
    <t>ချစ်ကိုကြီး</t>
  </si>
  <si>
    <t>ဒေါ်မြင့်မြင့်မူ</t>
  </si>
  <si>
    <t>ရှန်ဂရီလာ</t>
  </si>
  <si>
    <t>အောင်ကြီး (၁)</t>
  </si>
  <si>
    <t>-</t>
  </si>
  <si>
    <t>National</t>
  </si>
  <si>
    <t>January-2024</t>
  </si>
  <si>
    <t>February-2024</t>
  </si>
  <si>
    <t>March-2024</t>
  </si>
  <si>
    <t>April-2024</t>
  </si>
  <si>
    <t>May-2024</t>
  </si>
  <si>
    <t>June-2024</t>
  </si>
  <si>
    <t>July-2024</t>
  </si>
  <si>
    <t>Aug-2024</t>
  </si>
  <si>
    <t>Sept-2024</t>
  </si>
  <si>
    <t>Oct-2024</t>
  </si>
  <si>
    <t>Nov-2024</t>
  </si>
  <si>
    <t>Dec-2024</t>
  </si>
  <si>
    <t>2024 Total</t>
  </si>
  <si>
    <t>2024 Average Total</t>
  </si>
  <si>
    <t>ကျိုက်ထော်</t>
  </si>
  <si>
    <t>ဝါးဘလောက်သောက်</t>
  </si>
  <si>
    <t>ရွှေခါနန်</t>
  </si>
  <si>
    <t>Shwe Khar Nan</t>
  </si>
  <si>
    <t>A-One</t>
  </si>
  <si>
    <t>မင်းကြီး</t>
  </si>
  <si>
    <t>Min Gyi</t>
  </si>
  <si>
    <t>မမြ</t>
  </si>
  <si>
    <t>Ma Mya</t>
  </si>
  <si>
    <t>09-740816390</t>
  </si>
  <si>
    <t>ကိုသူရ</t>
  </si>
  <si>
    <t>Ko Thu Ya</t>
  </si>
  <si>
    <t>09-954456566</t>
  </si>
  <si>
    <t>ကိုသာပိုး</t>
  </si>
  <si>
    <t>Ko Thar Poe</t>
  </si>
  <si>
    <t>09-420029084</t>
  </si>
  <si>
    <t>မပိုပို</t>
  </si>
  <si>
    <t>Ma Po Po</t>
  </si>
  <si>
    <t>09-762811856</t>
  </si>
  <si>
    <t>မစီ</t>
  </si>
  <si>
    <t>Ma Si</t>
  </si>
  <si>
    <t>09-790414141</t>
  </si>
  <si>
    <t>ဦးပေါ်ဦး</t>
  </si>
  <si>
    <t>U Paw Oo</t>
  </si>
  <si>
    <t>09-964436777</t>
  </si>
  <si>
    <t>ကိုဇင်လင်းထွန်း</t>
  </si>
  <si>
    <t>Ko Zin Lin Htun</t>
  </si>
  <si>
    <t>09-421022592</t>
  </si>
  <si>
    <t>ဦးသစ်လွင်</t>
  </si>
  <si>
    <t>U Thit Lwin</t>
  </si>
  <si>
    <t>09-5137424</t>
  </si>
  <si>
    <t>ဦးချစ်ဝိုင်း</t>
  </si>
  <si>
    <t>U Chit Wine</t>
  </si>
  <si>
    <t>09-882250800</t>
  </si>
  <si>
    <t>မမီးငယ်</t>
  </si>
  <si>
    <t>Ma Mee Nge'</t>
  </si>
  <si>
    <t>09-263698010</t>
  </si>
  <si>
    <t>မသန္တာ</t>
  </si>
  <si>
    <t>Ma Thandar</t>
  </si>
  <si>
    <t>09-448004906</t>
  </si>
  <si>
    <t>မခိုင်လွင်ဦး</t>
  </si>
  <si>
    <t>Ma Kine Lwin Oo</t>
  </si>
  <si>
    <t>09-250069370</t>
  </si>
  <si>
    <t>ဦးကျော်ဆွေ</t>
  </si>
  <si>
    <t>U Kyaw Swe</t>
  </si>
  <si>
    <t>09-5021923</t>
  </si>
  <si>
    <t>U Tin Aye</t>
  </si>
  <si>
    <t>09-5075855</t>
  </si>
  <si>
    <t>မဇင်မာ</t>
  </si>
  <si>
    <t>Ma Zin Mar</t>
  </si>
  <si>
    <t>09-421160411</t>
  </si>
  <si>
    <t>ကိုသား</t>
  </si>
  <si>
    <t xml:space="preserve">Ko Thar </t>
  </si>
  <si>
    <t>09-443211018</t>
  </si>
  <si>
    <t>မပပ</t>
  </si>
  <si>
    <t>Ma Pa Pa</t>
  </si>
  <si>
    <t>09-450037338</t>
  </si>
  <si>
    <t>မမာမာဝေ</t>
  </si>
  <si>
    <t>Ma Mar Mar Wai</t>
  </si>
  <si>
    <t>09-506718</t>
  </si>
  <si>
    <t>မရင်ရင်ထိုက်</t>
  </si>
  <si>
    <t>Ma Yin Yin Htike</t>
  </si>
  <si>
    <t>09-5007916</t>
  </si>
  <si>
    <t>ကိုဘုန်းသာ</t>
  </si>
  <si>
    <t>Ko Bhone Thar</t>
  </si>
  <si>
    <t>09-5501732</t>
  </si>
  <si>
    <t>မခိုင်နှင်းဝေ</t>
  </si>
  <si>
    <t>Khine Hnin Wai</t>
  </si>
  <si>
    <t>09-775065014</t>
  </si>
  <si>
    <t>ကိုစောလွင်</t>
  </si>
  <si>
    <t>Ko Saw Lwin</t>
  </si>
  <si>
    <t>09-982218821</t>
  </si>
  <si>
    <t>ကိုနိူင်လင်းအောင်</t>
  </si>
  <si>
    <t>Ko Naing Lin Aung</t>
  </si>
  <si>
    <t>09-421094107</t>
  </si>
  <si>
    <t>09-5089587</t>
  </si>
  <si>
    <t>မဝေဝေစန်း</t>
  </si>
  <si>
    <t>Ma Wai Wai San</t>
  </si>
  <si>
    <t>09-758750975</t>
  </si>
  <si>
    <t>မချို</t>
  </si>
  <si>
    <t>Ma Cho</t>
  </si>
  <si>
    <t>09-421183044</t>
  </si>
  <si>
    <t>မဝါဝါလှိုင်</t>
  </si>
  <si>
    <t>Ma War War Hlaing</t>
  </si>
  <si>
    <t>09-793565822</t>
  </si>
  <si>
    <t>ဒေါ်ကြည်ကြည်ဝင်း</t>
  </si>
  <si>
    <t>Daw Kyi Kyi Win</t>
  </si>
  <si>
    <t>09-794635642</t>
  </si>
  <si>
    <t>မသီတာထွန်း</t>
  </si>
  <si>
    <t>Ma Thidar Tun</t>
  </si>
  <si>
    <t>09-5406284</t>
  </si>
  <si>
    <t>မထက်ထက်</t>
  </si>
  <si>
    <t>Ma Htet Htet</t>
  </si>
  <si>
    <t>09-793965694</t>
  </si>
  <si>
    <t>ဦးမိုးသက်နိူင်</t>
  </si>
  <si>
    <t>U Moe That Naing</t>
  </si>
  <si>
    <t>09-5394567</t>
  </si>
  <si>
    <t>မသဇင်ညွှန့်</t>
  </si>
  <si>
    <t>Ma Tha Zin Nyunt</t>
  </si>
  <si>
    <t>09-266299311</t>
  </si>
  <si>
    <t>ဖြူမာဟန်</t>
  </si>
  <si>
    <t>Phyu Mar Han</t>
  </si>
  <si>
    <t>09-5160980</t>
  </si>
  <si>
    <t>မယဉ်နွယ်ဦး</t>
  </si>
  <si>
    <t>Ma Yin Nwal Oo</t>
  </si>
  <si>
    <t>09-451311435</t>
  </si>
  <si>
    <t>မနန်းကေသီ</t>
  </si>
  <si>
    <t>Ma Nan Kay Thi</t>
  </si>
  <si>
    <t>09-790241274</t>
  </si>
  <si>
    <t>မခိုင်သင်းကြည်</t>
  </si>
  <si>
    <t>Ma Khing Thin Kyee</t>
  </si>
  <si>
    <t>09-265148552</t>
  </si>
  <si>
    <t>ဦးထိန်းမင်း</t>
  </si>
  <si>
    <t>U Htine Min</t>
  </si>
  <si>
    <t>09-751300943</t>
  </si>
  <si>
    <t>ဒေါ်ဆုမွန်အောင်</t>
  </si>
  <si>
    <t>Daw Su Mon Aung</t>
  </si>
  <si>
    <t>09-777177702</t>
  </si>
  <si>
    <t>ဦးအောင်ဇော်မိုး</t>
  </si>
  <si>
    <t>U Aung Zaw Moe</t>
  </si>
  <si>
    <t>09-797947488</t>
  </si>
  <si>
    <t>မယဉ်မွန်ဦး</t>
  </si>
  <si>
    <t>Ma Yin Mon Oo</t>
  </si>
  <si>
    <t>09-786265425</t>
  </si>
  <si>
    <t>09-5402173</t>
  </si>
  <si>
    <t>ကိုလွင်</t>
  </si>
  <si>
    <t>Ko Lwin</t>
  </si>
  <si>
    <t>09-5112063</t>
  </si>
  <si>
    <t>မြင့်မြင့်လှိုင်</t>
  </si>
  <si>
    <t>Myint Myint Hlaing</t>
  </si>
  <si>
    <t>09-5099618</t>
  </si>
  <si>
    <t>Ko Chan Aye</t>
  </si>
  <si>
    <t>09-5076711</t>
  </si>
  <si>
    <t>ဖုန်း စက်ပိတ်ထားပါသည်။</t>
  </si>
  <si>
    <t>သင်ဇာ</t>
  </si>
  <si>
    <t>Thin Zar</t>
  </si>
  <si>
    <t>09-787050297</t>
  </si>
  <si>
    <t>မသင်းသင်း</t>
  </si>
  <si>
    <t>Ma Thin Thin</t>
  </si>
  <si>
    <t>09-5501705</t>
  </si>
  <si>
    <t>09-72987727</t>
  </si>
  <si>
    <t>09-421130178</t>
  </si>
  <si>
    <t>09-250387061</t>
  </si>
  <si>
    <t>ဒေါ်ခင်မာစန်း</t>
  </si>
  <si>
    <t>Daw Khin Mar San</t>
  </si>
  <si>
    <t>09-799798835</t>
  </si>
  <si>
    <t>09-777971600</t>
  </si>
  <si>
    <t>မချိုချိုဝင်း</t>
  </si>
  <si>
    <t>Ma Cho Cho Win</t>
  </si>
  <si>
    <t>09-5155527</t>
  </si>
  <si>
    <t>သိမ့်ဇာနည်အောင်</t>
  </si>
  <si>
    <t>Theint Zar Ni Aung</t>
  </si>
  <si>
    <t>09-421125580</t>
  </si>
  <si>
    <t>ကိုဖြိုး</t>
  </si>
  <si>
    <t>Ko Pyo</t>
  </si>
  <si>
    <t>09-740857778</t>
  </si>
  <si>
    <t>ဦးဝင်းသိန်း</t>
  </si>
  <si>
    <t>U Win Thein</t>
  </si>
  <si>
    <t>09-795550911</t>
  </si>
  <si>
    <t>ဒေါ်စန်းစန်းမြင့်</t>
  </si>
  <si>
    <t>Daw San San Myint</t>
  </si>
  <si>
    <t>09-767949921</t>
  </si>
  <si>
    <t>မေနှင်းစိုး</t>
  </si>
  <si>
    <t>May Hnin Soe</t>
  </si>
  <si>
    <t>09-797936923</t>
  </si>
  <si>
    <t>မချယ်ရီသင်း</t>
  </si>
  <si>
    <t>Ma Cherry Thin</t>
  </si>
  <si>
    <t>09-773573238</t>
  </si>
  <si>
    <t>မင်းမင်း</t>
  </si>
  <si>
    <t>Min Min</t>
  </si>
  <si>
    <t>09-5088894</t>
  </si>
  <si>
    <t>ကိုမိုးကျော်သူ</t>
  </si>
  <si>
    <t>Ko Moe Kyaw Thu</t>
  </si>
  <si>
    <t>09-5416021</t>
  </si>
  <si>
    <t>U Tun Shwe</t>
  </si>
  <si>
    <t>09-5396239</t>
  </si>
  <si>
    <t xml:space="preserve">ကိုမိုးကျော် </t>
  </si>
  <si>
    <t xml:space="preserve">Ko Moe Kyaw  </t>
  </si>
  <si>
    <t>09-420209981</t>
  </si>
  <si>
    <t>ဦးစိန်ညွှန့်</t>
  </si>
  <si>
    <t>U Sein Nyunt</t>
  </si>
  <si>
    <t>09-799432744</t>
  </si>
  <si>
    <t>ကိုသက်နိူင်ထွန်း</t>
  </si>
  <si>
    <t>Ko Thet Naing Tun</t>
  </si>
  <si>
    <t>09-420000393</t>
  </si>
  <si>
    <t>ကိုငြိမ်း</t>
  </si>
  <si>
    <t>Ko Nyein</t>
  </si>
  <si>
    <t>09-429275142</t>
  </si>
  <si>
    <t>U Than Sein</t>
  </si>
  <si>
    <t>09-259290011</t>
  </si>
  <si>
    <t>ဇော်ဝင်းရှိန်</t>
  </si>
  <si>
    <t>09-799890599</t>
  </si>
  <si>
    <t>09-43135443</t>
  </si>
  <si>
    <t>09-43043590</t>
  </si>
  <si>
    <t>09-785300463</t>
  </si>
  <si>
    <t>ဒေါ္ခင်သီ</t>
  </si>
  <si>
    <t>09-449489874</t>
  </si>
  <si>
    <t>ကိုမျိုးအောင်ထိုက်</t>
  </si>
  <si>
    <t>09-43114499</t>
  </si>
  <si>
    <t>ကိုခိုင်မျိုးဇော်</t>
  </si>
  <si>
    <t>09-788624296</t>
  </si>
  <si>
    <t>09-252027014</t>
  </si>
  <si>
    <t>ကိုသန့်ဇော်ဝင်း</t>
  </si>
  <si>
    <t>09-677872334</t>
  </si>
  <si>
    <t>မနိူင်နိူင်</t>
  </si>
  <si>
    <t>Ma Naing Naing</t>
  </si>
  <si>
    <t>09-765053503</t>
  </si>
  <si>
    <t>ဦးမူတူး</t>
  </si>
  <si>
    <t>U Muu Too</t>
  </si>
  <si>
    <t>09-5016279</t>
  </si>
  <si>
    <t>ယဉ်ယဉ်မြင့်</t>
  </si>
  <si>
    <t>Yin Yin Myint</t>
  </si>
  <si>
    <t>09-5072799</t>
  </si>
  <si>
    <t>09-5067020</t>
  </si>
  <si>
    <t>ဒေါ်မြင့်မြင့်ဝင်း</t>
  </si>
  <si>
    <t>Daw Myint Myint Win</t>
  </si>
  <si>
    <t>09-451718240</t>
  </si>
  <si>
    <t>ဒေါ်သိန်းသိန်း</t>
  </si>
  <si>
    <t>Daw Thein Thein</t>
  </si>
  <si>
    <t>09-43056291</t>
  </si>
  <si>
    <t>ကိုကြည်မင်း</t>
  </si>
  <si>
    <t>Ko Kyi Min</t>
  </si>
  <si>
    <t>09-254044436</t>
  </si>
  <si>
    <t>09-264834435</t>
  </si>
  <si>
    <t>မရီရီသိန်း</t>
  </si>
  <si>
    <t>Ma Ye Ye Thein</t>
  </si>
  <si>
    <t>09-790135596</t>
  </si>
  <si>
    <t>09-451745606</t>
  </si>
  <si>
    <t>ဒေါ်သန်းသန်းထွေး</t>
  </si>
  <si>
    <t>Daw Than Than Htwe</t>
  </si>
  <si>
    <t>09-253570077</t>
  </si>
  <si>
    <t>မဘေဘီ</t>
  </si>
  <si>
    <t>Ma Baby</t>
  </si>
  <si>
    <t>09-797891060</t>
  </si>
  <si>
    <t>ကိုဘာဘူ</t>
  </si>
  <si>
    <t>Ko Bar Bu</t>
  </si>
  <si>
    <t>09-251023235</t>
  </si>
  <si>
    <t>ဒေါ်အေးအေးခိုင်</t>
  </si>
  <si>
    <t>Daw Aye Aye Khine</t>
  </si>
  <si>
    <t>09-5198919</t>
  </si>
  <si>
    <t>U Tin Saw</t>
  </si>
  <si>
    <t>09-774311600</t>
  </si>
  <si>
    <t>ကိုရဲထွန်း</t>
  </si>
  <si>
    <t>Ko Ye' Htun</t>
  </si>
  <si>
    <t>09-790140083</t>
  </si>
  <si>
    <t>မလွင်လွင်အေး</t>
  </si>
  <si>
    <t>Ma Lwin Lwin Aye</t>
  </si>
  <si>
    <t>09-785223915</t>
  </si>
  <si>
    <t>09-5071793</t>
  </si>
  <si>
    <t>ဒေါ်လှမြင့်</t>
  </si>
  <si>
    <t>Daw Hla Myint</t>
  </si>
  <si>
    <t>09-264977718</t>
  </si>
  <si>
    <t>မကြူ</t>
  </si>
  <si>
    <t>Ma Kyu</t>
  </si>
  <si>
    <t>09-420094196</t>
  </si>
  <si>
    <t>ငြိမ်းရွှေရည်ဦး</t>
  </si>
  <si>
    <t>Nyein Shwe Yee Oo</t>
  </si>
  <si>
    <t>09-771145988</t>
  </si>
  <si>
    <t>Daw Tin Kyee</t>
  </si>
  <si>
    <t>09-968661110</t>
  </si>
  <si>
    <t>ဦးစိုးမြင့်</t>
  </si>
  <si>
    <t>U Soe Myint</t>
  </si>
  <si>
    <t>09-790134859</t>
  </si>
  <si>
    <t>ခိုင်ဇော်လင်း</t>
  </si>
  <si>
    <t>Khine Zaw Lin</t>
  </si>
  <si>
    <t>09-421060799</t>
  </si>
  <si>
    <t>ဒေါ်မီမီအောင်</t>
  </si>
  <si>
    <t>Daw Mi Mi Aung</t>
  </si>
  <si>
    <t>09-790134946</t>
  </si>
  <si>
    <t>မျိုးဇော်ဦး</t>
  </si>
  <si>
    <t>Myo Zaw Oo</t>
  </si>
  <si>
    <t>09-441071873</t>
  </si>
  <si>
    <t>မလဲ့လဲ့တင်</t>
  </si>
  <si>
    <t>Ma Le' Le' Tin</t>
  </si>
  <si>
    <t>09-254179113</t>
  </si>
  <si>
    <t>ကိုခင်မောင်လတ်</t>
  </si>
  <si>
    <t>Ko Khin Maung Latt</t>
  </si>
  <si>
    <t>09-421176754</t>
  </si>
  <si>
    <t>09-428581486</t>
  </si>
  <si>
    <t>09-450007920</t>
  </si>
  <si>
    <t>ဝါဝါဝင်း</t>
  </si>
  <si>
    <t>War War Win</t>
  </si>
  <si>
    <t>09-261792178</t>
  </si>
  <si>
    <t>မသေး</t>
  </si>
  <si>
    <t>Ma Thay</t>
  </si>
  <si>
    <t>09-799551355</t>
  </si>
  <si>
    <t>မဇာခြည်</t>
  </si>
  <si>
    <t>Ma Zar Chi</t>
  </si>
  <si>
    <t>09-5015105</t>
  </si>
  <si>
    <t>မခင်အေးနိူင်</t>
  </si>
  <si>
    <t>Ma Khin Aye Naing</t>
  </si>
  <si>
    <t>09-420064933</t>
  </si>
  <si>
    <t>ဦးရင်သိန်း</t>
  </si>
  <si>
    <t>U Yin Thein</t>
  </si>
  <si>
    <t>09-895068695</t>
  </si>
  <si>
    <t>U Hla Swe</t>
  </si>
  <si>
    <t>09-420187633</t>
  </si>
  <si>
    <t xml:space="preserve"> မနီ</t>
  </si>
  <si>
    <t>Ma Ni</t>
  </si>
  <si>
    <t>09-421052207</t>
  </si>
  <si>
    <t>မငြိမ်းငြိမ်းလတ်</t>
  </si>
  <si>
    <t>Ma Nyein Nyein Latt</t>
  </si>
  <si>
    <t>09-254310404</t>
  </si>
  <si>
    <t>ဦးထွန်းဦး</t>
  </si>
  <si>
    <t>U Tun Oo</t>
  </si>
  <si>
    <t>09-5137499</t>
  </si>
  <si>
    <t>မယဉ်ချောစု</t>
  </si>
  <si>
    <t>Ma Yin Chaw Su</t>
  </si>
  <si>
    <t>09-799255844</t>
  </si>
  <si>
    <t>မခင်သန္တာအုန်း</t>
  </si>
  <si>
    <t>Ma Khin Thandar Own</t>
  </si>
  <si>
    <t>09-420152100</t>
  </si>
  <si>
    <t>္မနွယ်အဉ္ဇလီ</t>
  </si>
  <si>
    <t>09-500572</t>
  </si>
  <si>
    <t>မသန္တာချို</t>
  </si>
  <si>
    <t>09-42007400</t>
  </si>
  <si>
    <t>ဦးကြည်ရွင်</t>
  </si>
  <si>
    <t>09-250051065</t>
  </si>
  <si>
    <t>ကိုဖိုးချို</t>
  </si>
  <si>
    <t>09-450022467</t>
  </si>
  <si>
    <t>ဒေါ္သံသီး</t>
  </si>
  <si>
    <t>09-970268033</t>
  </si>
  <si>
    <t>မမြင့်မြင့်ဝေ</t>
  </si>
  <si>
    <t>09-799342344</t>
  </si>
  <si>
    <t>မစန္နာအောင်</t>
  </si>
  <si>
    <t>09-423334834</t>
  </si>
  <si>
    <t>မနန္နာ</t>
  </si>
  <si>
    <t>09-420185406</t>
  </si>
  <si>
    <t>မမော်မော်နိုင်</t>
  </si>
  <si>
    <t>09-425329808</t>
  </si>
  <si>
    <t>ဦးမင်းထွန်း</t>
  </si>
  <si>
    <t>09-699800699</t>
  </si>
  <si>
    <t>‌ေအးငြိမ်းသူ</t>
  </si>
  <si>
    <t>09-777774843</t>
  </si>
  <si>
    <t>ကိုသူရိန်</t>
  </si>
  <si>
    <t>09-449161190</t>
  </si>
  <si>
    <t>မစုစုရီ</t>
  </si>
  <si>
    <t xml:space="preserve">Contact Name </t>
  </si>
  <si>
    <t>Contact No.</t>
  </si>
  <si>
    <t>09-5074957</t>
  </si>
  <si>
    <t>09-428032169</t>
  </si>
  <si>
    <t>09-761002566</t>
  </si>
  <si>
    <t>09-408886363</t>
  </si>
  <si>
    <t>09-789639587</t>
  </si>
  <si>
    <t>09-752243729</t>
  </si>
  <si>
    <t>09-400088322
09-791488902</t>
  </si>
  <si>
    <t>09-775725808</t>
  </si>
  <si>
    <t>09-43074447
09-795587564</t>
  </si>
  <si>
    <t>09-448039915</t>
  </si>
  <si>
    <t>09-952500254</t>
  </si>
  <si>
    <t>09-43066615</t>
  </si>
  <si>
    <t>09-420025282</t>
  </si>
  <si>
    <t>09-43132858</t>
  </si>
  <si>
    <t>09-420099050</t>
  </si>
  <si>
    <t>09-792063131</t>
  </si>
  <si>
    <t>013-8950408/09-760400600</t>
  </si>
  <si>
    <t>013-547384</t>
  </si>
  <si>
    <t>013-551575/09-760788442</t>
  </si>
  <si>
    <t>09-456324151</t>
  </si>
  <si>
    <t>09-975216875</t>
  </si>
  <si>
    <t>09-5029312/09-693539003</t>
  </si>
  <si>
    <t>09-945915566</t>
  </si>
  <si>
    <t>09-250353430</t>
  </si>
  <si>
    <t>09-250047765</t>
  </si>
  <si>
    <t>09-43095976</t>
  </si>
  <si>
    <t>09-799295383</t>
  </si>
  <si>
    <t>09-404520037/09-694540309</t>
  </si>
  <si>
    <t>09-964211309</t>
  </si>
  <si>
    <t>09-963438728</t>
  </si>
  <si>
    <t>09-254385992</t>
  </si>
  <si>
    <t>09-254110967</t>
  </si>
  <si>
    <t>09-791016948</t>
  </si>
  <si>
    <t>09-421020456</t>
  </si>
  <si>
    <t>09-254048696</t>
  </si>
  <si>
    <t>09-950166884</t>
  </si>
  <si>
    <t>09-687553149</t>
  </si>
  <si>
    <t>09-790178312</t>
  </si>
  <si>
    <t>09-421034340</t>
  </si>
  <si>
    <t>94-43006204</t>
  </si>
  <si>
    <t>09-5036079</t>
  </si>
  <si>
    <t>09-257812600</t>
  </si>
  <si>
    <t>09-987962671</t>
  </si>
  <si>
    <t>09-5156363</t>
  </si>
  <si>
    <t>09-979781781</t>
  </si>
  <si>
    <t>09-765639428</t>
  </si>
  <si>
    <t>09-970173922</t>
  </si>
  <si>
    <t>09-763167187</t>
  </si>
  <si>
    <t>09-799775146</t>
  </si>
  <si>
    <t>09-982798225</t>
  </si>
  <si>
    <t>09-420054965</t>
  </si>
  <si>
    <t>09-250164088</t>
  </si>
  <si>
    <t>09-250048842</t>
  </si>
  <si>
    <t>09-421014439</t>
  </si>
  <si>
    <t>09-5135997</t>
  </si>
  <si>
    <t>09-406869191</t>
  </si>
  <si>
    <t>09-959518484</t>
  </si>
  <si>
    <t>09-790149319</t>
  </si>
  <si>
    <t>09-699929396/09-666661667</t>
  </si>
  <si>
    <t>09-788224273</t>
  </si>
  <si>
    <t>09-976300346/09-763985429</t>
  </si>
  <si>
    <t>09-666622940</t>
  </si>
  <si>
    <t>09-5186362</t>
  </si>
  <si>
    <t>09-791773665</t>
  </si>
  <si>
    <t>09-795562117/09-5094642</t>
  </si>
  <si>
    <t>09-940681968</t>
  </si>
  <si>
    <t>09-779600228/09-421158969</t>
  </si>
  <si>
    <t>09-960309948</t>
  </si>
  <si>
    <t>09-969354844</t>
  </si>
  <si>
    <t>09-5197443</t>
  </si>
  <si>
    <t>09-450058140/09-441906967</t>
  </si>
  <si>
    <t>09-689404242</t>
  </si>
  <si>
    <t>09-450022058/09-764343976</t>
  </si>
  <si>
    <t>09-961609814</t>
  </si>
  <si>
    <t>09-450119977</t>
  </si>
  <si>
    <t>09-420051358</t>
  </si>
  <si>
    <t>09-661310881</t>
  </si>
  <si>
    <t>09-684615186</t>
  </si>
  <si>
    <t>09-421059808</t>
  </si>
  <si>
    <t>09-769220136/09-789946225</t>
  </si>
  <si>
    <t>09-778866962</t>
  </si>
  <si>
    <t>09-252541874</t>
  </si>
  <si>
    <t>09-799849827</t>
  </si>
  <si>
    <t>09-764790154</t>
  </si>
  <si>
    <t>09-448527077</t>
  </si>
  <si>
    <t>09-788347729</t>
  </si>
  <si>
    <t>09-680796397</t>
  </si>
  <si>
    <t>09-699080060</t>
  </si>
  <si>
    <t>09-757736834</t>
  </si>
  <si>
    <t>09-755303070/09-688841045</t>
  </si>
  <si>
    <t>09-777483337</t>
  </si>
  <si>
    <t>09-5416339</t>
  </si>
  <si>
    <t>09-760140941</t>
  </si>
  <si>
    <t>09-761648553</t>
  </si>
  <si>
    <t>09-421108336</t>
  </si>
  <si>
    <t>09-421170772</t>
  </si>
  <si>
    <t>09-444939873</t>
  </si>
  <si>
    <t>09-444605413</t>
  </si>
  <si>
    <t>09-420018086</t>
  </si>
  <si>
    <t>09-420079768</t>
  </si>
  <si>
    <t>09-788406761</t>
  </si>
  <si>
    <t>09-43090776</t>
  </si>
  <si>
    <t>09-252272866</t>
  </si>
  <si>
    <t>09-959269579/09-790142136</t>
  </si>
  <si>
    <t>09-443377844</t>
  </si>
  <si>
    <t>09-43138709</t>
  </si>
  <si>
    <t>09-798966265/09-663333886</t>
  </si>
  <si>
    <t>09-798369865/09-882693322</t>
  </si>
  <si>
    <t>09-983217581</t>
  </si>
  <si>
    <t>09-980804429</t>
  </si>
  <si>
    <t>09-422527449</t>
  </si>
  <si>
    <t>09-756475546</t>
  </si>
  <si>
    <t>09-250522415</t>
  </si>
  <si>
    <t>09-420200943</t>
  </si>
  <si>
    <t>09-758179704/09-753001169</t>
  </si>
  <si>
    <t>09-755194123/09-754649464</t>
  </si>
  <si>
    <t>09-665246574/09-678126286</t>
  </si>
  <si>
    <t>09-974174852</t>
  </si>
  <si>
    <t>09-898925019</t>
  </si>
  <si>
    <t>09-955391569</t>
  </si>
  <si>
    <t>09-5069522</t>
  </si>
  <si>
    <t>09-891022599</t>
  </si>
  <si>
    <t>09-420921978</t>
  </si>
  <si>
    <t>09-5107423</t>
  </si>
  <si>
    <t>09-791465667</t>
  </si>
  <si>
    <t>09-790138332</t>
  </si>
  <si>
    <t>09-799415479</t>
  </si>
  <si>
    <t>09-760134368</t>
  </si>
  <si>
    <t>09-765396273</t>
  </si>
  <si>
    <t>01-8249018</t>
  </si>
  <si>
    <t>09-420308957</t>
  </si>
  <si>
    <t>09-791953183</t>
  </si>
  <si>
    <t>09-758001124</t>
  </si>
  <si>
    <t>09-777111767</t>
  </si>
  <si>
    <t>09-264191446</t>
  </si>
  <si>
    <t>09-422471016</t>
  </si>
  <si>
    <t>09-428726146</t>
  </si>
  <si>
    <t>09-786445821</t>
  </si>
  <si>
    <t>09-796800451</t>
  </si>
  <si>
    <t>09-42777583</t>
  </si>
  <si>
    <t>January-2026</t>
  </si>
  <si>
    <t>February-2026</t>
  </si>
  <si>
    <t>March-2026</t>
  </si>
  <si>
    <t>April-2026</t>
  </si>
  <si>
    <t>May-2026</t>
  </si>
  <si>
    <t>June-2026</t>
  </si>
  <si>
    <t>July-2026</t>
  </si>
  <si>
    <t>Aug-2026</t>
  </si>
  <si>
    <t>Sept-2026</t>
  </si>
  <si>
    <t>Oct-2026</t>
  </si>
  <si>
    <t>Nov-2026</t>
  </si>
  <si>
    <t>Dec-2026</t>
  </si>
  <si>
    <t>2025 Total</t>
  </si>
  <si>
    <t>2025 Average Total</t>
  </si>
  <si>
    <t>ရှန်ကီလာ</t>
  </si>
  <si>
    <t>သင်္ဂဟ</t>
  </si>
  <si>
    <t>Super One</t>
  </si>
  <si>
    <t xml:space="preserve">တော်ဝင် </t>
  </si>
  <si>
    <t>360 Store</t>
  </si>
  <si>
    <t>မသင်္ဂီမော်</t>
  </si>
  <si>
    <t>ကြည်သာဦး</t>
  </si>
  <si>
    <t>ချိုစတား</t>
  </si>
  <si>
    <t>သိန်းစတိုး (မသန္တာ)</t>
  </si>
  <si>
    <t>ဘုံဘုံ</t>
  </si>
  <si>
    <t>Mini VAN - 9</t>
  </si>
  <si>
    <t>VAN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</si>
</sst>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rgb="FFFF0000"/>
      <name val="Pyidaungsu"/>
      <family val="2"/>
    </font>
    <font>
      <sz val="12"/>
      <color theme="1"/>
      <name val="Pyidaungsu"/>
      <family val="2"/>
    </font>
    <font>
      <b/>
      <sz val="12"/>
      <color theme="1"/>
      <name val="Pyidaungsu"/>
      <family val="2"/>
    </font>
    <font>
      <sz val="12"/>
      <color rgb="FF000000"/>
      <name val="Pyidaungsu"/>
      <family val="2"/>
    </font>
    <font>
      <sz val="11"/>
      <color theme="1"/>
      <name val="Zawgyi-One"/>
      <family val="2"/>
    </font>
    <font>
      <b/>
      <sz val="12"/>
      <color rgb="FFFF0000"/>
      <name val="Pyidaungsu"/>
      <family val="2"/>
    </font>
    <font>
      <sz val="8"/>
      <name val="Calibri"/>
      <family val="2"/>
      <scheme val="minor"/>
    </font>
    <font>
      <sz val="12"/>
      <name val="Pyidaungsu"/>
      <family val="2"/>
    </font>
    <font>
      <b/>
      <sz val="11"/>
      <color theme="1"/>
      <name val="Pyidaungsu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0" fillId="0" borderId="0"/>
    <xf numFmtId="43" fontId="5" fillId="0" borderId="0" applyFont="0" applyFill="0" applyBorder="0" applyAlignment="0" applyProtection="0"/>
    <xf numFmtId="0" fontId="3" fillId="0" borderId="0"/>
    <xf numFmtId="0" fontId="1" fillId="0" borderId="0"/>
  </cellStyleXfs>
  <cellXfs count="232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164" fontId="7" fillId="2" borderId="17" xfId="0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vertical="center"/>
    </xf>
    <xf numFmtId="164" fontId="7" fillId="2" borderId="17" xfId="0" applyNumberFormat="1" applyFont="1" applyFill="1" applyBorder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7" fillId="0" borderId="0" xfId="0" applyFont="1"/>
    <xf numFmtId="0" fontId="7" fillId="2" borderId="16" xfId="0" applyFont="1" applyFill="1" applyBorder="1" applyAlignment="1">
      <alignment vertical="center"/>
    </xf>
    <xf numFmtId="164" fontId="7" fillId="2" borderId="16" xfId="0" applyNumberFormat="1" applyFont="1" applyFill="1" applyBorder="1" applyAlignment="1">
      <alignment vertical="center"/>
    </xf>
    <xf numFmtId="0" fontId="7" fillId="2" borderId="16" xfId="0" applyFont="1" applyFill="1" applyBorder="1"/>
    <xf numFmtId="0" fontId="7" fillId="2" borderId="16" xfId="0" applyFont="1" applyFill="1" applyBorder="1" applyAlignment="1">
      <alignment horizontal="left" vertical="center" indent="1"/>
    </xf>
    <xf numFmtId="0" fontId="7" fillId="2" borderId="16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/>
    <xf numFmtId="0" fontId="7" fillId="2" borderId="16" xfId="0" applyFont="1" applyFill="1" applyBorder="1" applyAlignment="1">
      <alignment horizontal="left"/>
    </xf>
    <xf numFmtId="164" fontId="7" fillId="2" borderId="16" xfId="0" applyNumberFormat="1" applyFont="1" applyFill="1" applyBorder="1" applyAlignment="1">
      <alignment horizontal="left" vertical="center"/>
    </xf>
    <xf numFmtId="164" fontId="7" fillId="0" borderId="16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9" fillId="0" borderId="16" xfId="0" applyFont="1" applyBorder="1" applyAlignment="1">
      <alignment horizontal="left"/>
    </xf>
    <xf numFmtId="0" fontId="7" fillId="2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vertical="center"/>
    </xf>
    <xf numFmtId="0" fontId="7" fillId="0" borderId="20" xfId="0" applyFont="1" applyBorder="1"/>
    <xf numFmtId="0" fontId="7" fillId="0" borderId="20" xfId="0" applyFont="1" applyBorder="1" applyAlignment="1">
      <alignment vertical="center"/>
    </xf>
    <xf numFmtId="0" fontId="7" fillId="2" borderId="20" xfId="0" applyFont="1" applyFill="1" applyBorder="1" applyAlignment="1">
      <alignment horizontal="center"/>
    </xf>
    <xf numFmtId="164" fontId="7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right"/>
    </xf>
    <xf numFmtId="0" fontId="7" fillId="0" borderId="16" xfId="0" applyFont="1" applyBorder="1" applyAlignment="1">
      <alignment horizontal="right"/>
    </xf>
    <xf numFmtId="0" fontId="7" fillId="2" borderId="18" xfId="0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0" fontId="7" fillId="0" borderId="18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164" fontId="7" fillId="0" borderId="13" xfId="0" applyNumberFormat="1" applyFont="1" applyBorder="1" applyAlignment="1">
      <alignment horizontal="right"/>
    </xf>
    <xf numFmtId="0" fontId="7" fillId="2" borderId="2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164" fontId="11" fillId="2" borderId="13" xfId="0" applyNumberFormat="1" applyFont="1" applyFill="1" applyBorder="1" applyAlignment="1">
      <alignment horizontal="center" vertical="center"/>
    </xf>
    <xf numFmtId="164" fontId="11" fillId="2" borderId="18" xfId="0" applyNumberFormat="1" applyFont="1" applyFill="1" applyBorder="1" applyAlignment="1">
      <alignment horizontal="center" vertical="center"/>
    </xf>
    <xf numFmtId="164" fontId="11" fillId="2" borderId="17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right"/>
    </xf>
    <xf numFmtId="164" fontId="7" fillId="2" borderId="16" xfId="0" applyNumberFormat="1" applyFont="1" applyFill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/>
    </xf>
    <xf numFmtId="0" fontId="8" fillId="4" borderId="18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164" fontId="7" fillId="2" borderId="2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164" fontId="7" fillId="0" borderId="0" xfId="0" applyNumberFormat="1" applyFont="1"/>
    <xf numFmtId="164" fontId="7" fillId="2" borderId="16" xfId="8" applyNumberFormat="1" applyFont="1" applyFill="1" applyBorder="1" applyAlignment="1">
      <alignment horizontal="center" vertical="center"/>
    </xf>
    <xf numFmtId="164" fontId="7" fillId="2" borderId="14" xfId="8" applyNumberFormat="1" applyFont="1" applyFill="1" applyBorder="1" applyAlignment="1">
      <alignment horizontal="center" vertical="center"/>
    </xf>
    <xf numFmtId="164" fontId="7" fillId="2" borderId="16" xfId="8" applyNumberFormat="1" applyFont="1" applyFill="1" applyBorder="1" applyAlignment="1">
      <alignment horizontal="center"/>
    </xf>
    <xf numFmtId="164" fontId="7" fillId="2" borderId="23" xfId="8" applyNumberFormat="1" applyFont="1" applyFill="1" applyBorder="1" applyAlignment="1">
      <alignment horizontal="center" vertical="center"/>
    </xf>
    <xf numFmtId="164" fontId="7" fillId="2" borderId="16" xfId="8" applyNumberFormat="1" applyFont="1" applyFill="1" applyBorder="1" applyAlignment="1">
      <alignment vertical="center"/>
    </xf>
    <xf numFmtId="164" fontId="7" fillId="2" borderId="16" xfId="8" applyNumberFormat="1" applyFont="1" applyFill="1" applyBorder="1" applyAlignment="1">
      <alignment horizontal="right"/>
    </xf>
    <xf numFmtId="164" fontId="7" fillId="2" borderId="0" xfId="8" applyNumberFormat="1" applyFont="1" applyFill="1"/>
    <xf numFmtId="0" fontId="11" fillId="4" borderId="17" xfId="0" applyFont="1" applyFill="1" applyBorder="1" applyAlignment="1">
      <alignment horizontal="center" vertical="center" wrapText="1"/>
    </xf>
    <xf numFmtId="164" fontId="7" fillId="2" borderId="18" xfId="8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164" fontId="11" fillId="2" borderId="12" xfId="0" applyNumberFormat="1" applyFont="1" applyFill="1" applyBorder="1" applyAlignment="1">
      <alignment horizontal="center" vertical="center"/>
    </xf>
    <xf numFmtId="164" fontId="11" fillId="2" borderId="20" xfId="0" applyNumberFormat="1" applyFont="1" applyFill="1" applyBorder="1" applyAlignment="1">
      <alignment horizontal="center" vertical="center"/>
    </xf>
    <xf numFmtId="164" fontId="7" fillId="2" borderId="18" xfId="8" applyNumberFormat="1" applyFont="1" applyFill="1" applyBorder="1" applyAlignment="1">
      <alignment vertical="center"/>
    </xf>
    <xf numFmtId="164" fontId="7" fillId="2" borderId="17" xfId="8" applyNumberFormat="1" applyFont="1" applyFill="1" applyBorder="1" applyAlignment="1">
      <alignment vertical="center"/>
    </xf>
    <xf numFmtId="164" fontId="7" fillId="0" borderId="20" xfId="0" applyNumberFormat="1" applyFont="1" applyBorder="1" applyAlignment="1">
      <alignment horizontal="center" vertical="center"/>
    </xf>
    <xf numFmtId="0" fontId="8" fillId="4" borderId="18" xfId="0" applyFont="1" applyFill="1" applyBorder="1" applyAlignment="1">
      <alignment horizontal="right"/>
    </xf>
    <xf numFmtId="0" fontId="8" fillId="4" borderId="17" xfId="0" applyFont="1" applyFill="1" applyBorder="1" applyAlignment="1">
      <alignment horizontal="right"/>
    </xf>
    <xf numFmtId="164" fontId="7" fillId="2" borderId="18" xfId="8" applyNumberFormat="1" applyFont="1" applyFill="1" applyBorder="1" applyAlignment="1">
      <alignment horizontal="right"/>
    </xf>
    <xf numFmtId="164" fontId="7" fillId="2" borderId="17" xfId="8" applyNumberFormat="1" applyFont="1" applyFill="1" applyBorder="1" applyAlignment="1">
      <alignment horizontal="right"/>
    </xf>
    <xf numFmtId="164" fontId="7" fillId="0" borderId="12" xfId="0" applyNumberFormat="1" applyFont="1" applyBorder="1" applyAlignment="1">
      <alignment horizontal="right"/>
    </xf>
    <xf numFmtId="164" fontId="7" fillId="0" borderId="20" xfId="0" applyNumberFormat="1" applyFont="1" applyBorder="1" applyAlignment="1">
      <alignment horizontal="right"/>
    </xf>
    <xf numFmtId="164" fontId="7" fillId="2" borderId="17" xfId="8" applyNumberFormat="1" applyFont="1" applyFill="1" applyBorder="1" applyAlignment="1">
      <alignment horizontal="right" vertical="center"/>
    </xf>
    <xf numFmtId="164" fontId="7" fillId="2" borderId="17" xfId="8" applyNumberFormat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164" fontId="7" fillId="2" borderId="0" xfId="8" applyNumberFormat="1" applyFont="1" applyFill="1" applyAlignment="1">
      <alignment horizontal="center"/>
    </xf>
    <xf numFmtId="164" fontId="8" fillId="4" borderId="23" xfId="8" applyNumberFormat="1" applyFont="1" applyFill="1" applyBorder="1" applyAlignment="1">
      <alignment horizontal="center" vertical="center" wrapText="1"/>
    </xf>
    <xf numFmtId="164" fontId="7" fillId="2" borderId="21" xfId="8" applyNumberFormat="1" applyFont="1" applyFill="1" applyBorder="1" applyAlignment="1">
      <alignment horizontal="center" vertical="center"/>
    </xf>
    <xf numFmtId="164" fontId="7" fillId="0" borderId="0" xfId="8" applyNumberFormat="1" applyFont="1" applyAlignment="1">
      <alignment horizontal="center" vertical="center"/>
    </xf>
    <xf numFmtId="1" fontId="7" fillId="2" borderId="23" xfId="0" applyNumberFormat="1" applyFont="1" applyFill="1" applyBorder="1" applyAlignment="1">
      <alignment horizontal="center" vertical="center"/>
    </xf>
    <xf numFmtId="164" fontId="8" fillId="4" borderId="17" xfId="8" applyNumberFormat="1" applyFont="1" applyFill="1" applyBorder="1" applyAlignment="1">
      <alignment horizontal="center" vertical="center" wrapText="1"/>
    </xf>
    <xf numFmtId="164" fontId="7" fillId="2" borderId="13" xfId="8" applyNumberFormat="1" applyFont="1" applyFill="1" applyBorder="1" applyAlignment="1">
      <alignment horizontal="center" vertical="center"/>
    </xf>
    <xf numFmtId="1" fontId="7" fillId="2" borderId="17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vertical="center"/>
    </xf>
    <xf numFmtId="0" fontId="7" fillId="0" borderId="16" xfId="9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1" fontId="7" fillId="2" borderId="17" xfId="0" applyNumberFormat="1" applyFont="1" applyFill="1" applyBorder="1" applyAlignment="1">
      <alignment horizontal="right"/>
    </xf>
    <xf numFmtId="1" fontId="7" fillId="2" borderId="17" xfId="8" applyNumberFormat="1" applyFont="1" applyFill="1" applyBorder="1" applyAlignment="1">
      <alignment horizontal="right"/>
    </xf>
    <xf numFmtId="1" fontId="7" fillId="0" borderId="17" xfId="0" applyNumberFormat="1" applyFont="1" applyBorder="1" applyAlignment="1">
      <alignment horizontal="right"/>
    </xf>
    <xf numFmtId="1" fontId="7" fillId="2" borderId="18" xfId="0" applyNumberFormat="1" applyFont="1" applyFill="1" applyBorder="1" applyAlignment="1">
      <alignment horizontal="right"/>
    </xf>
    <xf numFmtId="1" fontId="7" fillId="2" borderId="16" xfId="0" applyNumberFormat="1" applyFont="1" applyFill="1" applyBorder="1" applyAlignment="1">
      <alignment horizontal="right"/>
    </xf>
    <xf numFmtId="1" fontId="7" fillId="2" borderId="18" xfId="8" applyNumberFormat="1" applyFont="1" applyFill="1" applyBorder="1" applyAlignment="1">
      <alignment horizontal="right"/>
    </xf>
    <xf numFmtId="1" fontId="7" fillId="2" borderId="16" xfId="8" applyNumberFormat="1" applyFont="1" applyFill="1" applyBorder="1" applyAlignment="1">
      <alignment horizontal="right"/>
    </xf>
    <xf numFmtId="1" fontId="7" fillId="0" borderId="18" xfId="0" applyNumberFormat="1" applyFont="1" applyBorder="1" applyAlignment="1">
      <alignment horizontal="right"/>
    </xf>
    <xf numFmtId="1" fontId="7" fillId="0" borderId="16" xfId="0" applyNumberFormat="1" applyFont="1" applyBorder="1" applyAlignment="1">
      <alignment horizontal="right"/>
    </xf>
    <xf numFmtId="164" fontId="7" fillId="2" borderId="23" xfId="8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7" fillId="2" borderId="23" xfId="0" applyFont="1" applyFill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left" vertical="top"/>
    </xf>
    <xf numFmtId="0" fontId="7" fillId="2" borderId="15" xfId="0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horizontal="left" vertical="top"/>
    </xf>
    <xf numFmtId="0" fontId="7" fillId="2" borderId="15" xfId="0" applyFont="1" applyFill="1" applyBorder="1"/>
    <xf numFmtId="164" fontId="7" fillId="2" borderId="15" xfId="0" applyNumberFormat="1" applyFont="1" applyFill="1" applyBorder="1"/>
    <xf numFmtId="0" fontId="7" fillId="2" borderId="16" xfId="0" applyFont="1" applyFill="1" applyBorder="1" applyAlignment="1">
      <alignment horizontal="left" vertical="top"/>
    </xf>
    <xf numFmtId="164" fontId="7" fillId="2" borderId="16" xfId="0" applyNumberFormat="1" applyFont="1" applyFill="1" applyBorder="1" applyAlignment="1">
      <alignment horizontal="left" vertical="top"/>
    </xf>
    <xf numFmtId="164" fontId="7" fillId="2" borderId="16" xfId="0" applyNumberFormat="1" applyFont="1" applyFill="1" applyBorder="1"/>
    <xf numFmtId="0" fontId="7" fillId="2" borderId="16" xfId="0" applyFont="1" applyFill="1" applyBorder="1" applyAlignment="1">
      <alignment vertical="top"/>
    </xf>
    <xf numFmtId="0" fontId="7" fillId="0" borderId="16" xfId="0" quotePrefix="1" applyFont="1" applyBorder="1"/>
    <xf numFmtId="164" fontId="7" fillId="0" borderId="16" xfId="0" applyNumberFormat="1" applyFont="1" applyBorder="1"/>
    <xf numFmtId="164" fontId="7" fillId="2" borderId="16" xfId="8" applyNumberFormat="1" applyFont="1" applyFill="1" applyBorder="1" applyAlignment="1">
      <alignment horizontal="left" vertical="top"/>
    </xf>
    <xf numFmtId="0" fontId="7" fillId="0" borderId="16" xfId="0" applyFont="1" applyBorder="1" applyAlignment="1">
      <alignment vertical="top"/>
    </xf>
    <xf numFmtId="164" fontId="7" fillId="0" borderId="16" xfId="0" applyNumberFormat="1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7" fillId="2" borderId="16" xfId="0" applyFont="1" applyFill="1" applyBorder="1" applyAlignment="1">
      <alignment vertical="center" wrapText="1"/>
    </xf>
    <xf numFmtId="0" fontId="7" fillId="0" borderId="16" xfId="0" quotePrefix="1" applyFont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vertical="center"/>
    </xf>
    <xf numFmtId="0" fontId="7" fillId="2" borderId="16" xfId="0" quotePrefix="1" applyFont="1" applyFill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8" xfId="0" applyFont="1" applyBorder="1" applyAlignment="1">
      <alignment vertical="center"/>
    </xf>
    <xf numFmtId="0" fontId="2" fillId="0" borderId="19" xfId="0" applyFont="1" applyBorder="1" applyAlignment="1">
      <alignment horizontal="left" vertical="center" wrapText="1"/>
    </xf>
    <xf numFmtId="1" fontId="7" fillId="2" borderId="0" xfId="0" applyNumberFormat="1" applyFont="1" applyFill="1"/>
    <xf numFmtId="0" fontId="7" fillId="0" borderId="16" xfId="0" applyFont="1" applyBorder="1" applyAlignment="1">
      <alignment horizontal="left"/>
    </xf>
    <xf numFmtId="0" fontId="7" fillId="2" borderId="18" xfId="0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right" vertical="center"/>
    </xf>
    <xf numFmtId="0" fontId="7" fillId="0" borderId="16" xfId="1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1" fontId="7" fillId="2" borderId="18" xfId="0" applyNumberFormat="1" applyFont="1" applyFill="1" applyBorder="1" applyAlignment="1">
      <alignment horizontal="center" vertical="center"/>
    </xf>
    <xf numFmtId="1" fontId="7" fillId="2" borderId="16" xfId="0" applyNumberFormat="1" applyFont="1" applyFill="1" applyBorder="1" applyAlignment="1">
      <alignment horizontal="center" vertical="center"/>
    </xf>
    <xf numFmtId="1" fontId="7" fillId="2" borderId="23" xfId="8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vertical="center"/>
    </xf>
    <xf numFmtId="0" fontId="7" fillId="5" borderId="16" xfId="0" applyFont="1" applyFill="1" applyBorder="1" applyAlignment="1">
      <alignment horizontal="left" vertical="center" indent="1"/>
    </xf>
    <xf numFmtId="0" fontId="7" fillId="5" borderId="16" xfId="0" applyFont="1" applyFill="1" applyBorder="1"/>
    <xf numFmtId="0" fontId="7" fillId="5" borderId="1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left" vertical="center" indent="1"/>
    </xf>
    <xf numFmtId="0" fontId="7" fillId="3" borderId="16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3" borderId="16" xfId="9" applyFont="1" applyFill="1" applyBorder="1" applyAlignment="1">
      <alignment horizontal="left" vertical="center"/>
    </xf>
    <xf numFmtId="164" fontId="7" fillId="2" borderId="36" xfId="8" applyNumberFormat="1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11" fillId="2" borderId="23" xfId="0" applyNumberFormat="1" applyFont="1" applyFill="1" applyBorder="1" applyAlignment="1">
      <alignment horizontal="center" vertical="center"/>
    </xf>
    <xf numFmtId="164" fontId="7" fillId="2" borderId="35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164" fontId="7" fillId="2" borderId="36" xfId="0" applyNumberFormat="1" applyFont="1" applyFill="1" applyBorder="1" applyAlignment="1">
      <alignment horizontal="center" vertical="center"/>
    </xf>
    <xf numFmtId="164" fontId="8" fillId="2" borderId="37" xfId="0" applyNumberFormat="1" applyFont="1" applyFill="1" applyBorder="1" applyAlignment="1">
      <alignment horizontal="center" vertical="center"/>
    </xf>
    <xf numFmtId="0" fontId="7" fillId="3" borderId="16" xfId="0" applyFont="1" applyFill="1" applyBorder="1"/>
    <xf numFmtId="0" fontId="11" fillId="4" borderId="23" xfId="0" applyFont="1" applyFill="1" applyBorder="1" applyAlignment="1">
      <alignment horizontal="center" vertical="center" wrapText="1"/>
    </xf>
    <xf numFmtId="1" fontId="7" fillId="2" borderId="17" xfId="8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2" borderId="18" xfId="0" applyFont="1" applyFill="1" applyBorder="1"/>
    <xf numFmtId="0" fontId="7" fillId="2" borderId="17" xfId="0" applyFont="1" applyFill="1" applyBorder="1"/>
    <xf numFmtId="0" fontId="7" fillId="0" borderId="18" xfId="0" applyFont="1" applyBorder="1"/>
    <xf numFmtId="0" fontId="7" fillId="0" borderId="17" xfId="0" applyFont="1" applyBorder="1"/>
    <xf numFmtId="164" fontId="8" fillId="2" borderId="38" xfId="0" applyNumberFormat="1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1" fontId="7" fillId="0" borderId="0" xfId="0" applyNumberFormat="1" applyFont="1"/>
    <xf numFmtId="165" fontId="8" fillId="2" borderId="12" xfId="0" applyNumberFormat="1" applyFont="1" applyFill="1" applyBorder="1" applyAlignment="1">
      <alignment horizontal="center" vertical="center"/>
    </xf>
    <xf numFmtId="17" fontId="8" fillId="3" borderId="25" xfId="0" quotePrefix="1" applyNumberFormat="1" applyFont="1" applyFill="1" applyBorder="1" applyAlignment="1">
      <alignment horizontal="center" vertical="center"/>
    </xf>
    <xf numFmtId="17" fontId="8" fillId="3" borderId="27" xfId="0" quotePrefix="1" applyNumberFormat="1" applyFont="1" applyFill="1" applyBorder="1" applyAlignment="1">
      <alignment horizontal="center" vertical="center"/>
    </xf>
    <xf numFmtId="17" fontId="8" fillId="3" borderId="24" xfId="0" quotePrefix="1" applyNumberFormat="1" applyFont="1" applyFill="1" applyBorder="1" applyAlignment="1">
      <alignment horizontal="center" vertical="center"/>
    </xf>
    <xf numFmtId="17" fontId="8" fillId="3" borderId="25" xfId="0" quotePrefix="1" applyNumberFormat="1" applyFont="1" applyFill="1" applyBorder="1" applyAlignment="1">
      <alignment horizontal="center" vertical="center" wrapText="1"/>
    </xf>
    <xf numFmtId="17" fontId="8" fillId="3" borderId="27" xfId="0" quotePrefix="1" applyNumberFormat="1" applyFont="1" applyFill="1" applyBorder="1" applyAlignment="1">
      <alignment horizontal="center" vertical="center" wrapText="1"/>
    </xf>
    <xf numFmtId="17" fontId="8" fillId="3" borderId="24" xfId="0" quotePrefix="1" applyNumberFormat="1" applyFont="1" applyFill="1" applyBorder="1" applyAlignment="1">
      <alignment horizontal="center" vertical="center" wrapText="1"/>
    </xf>
    <xf numFmtId="0" fontId="8" fillId="3" borderId="25" xfId="0" quotePrefix="1" applyFont="1" applyFill="1" applyBorder="1" applyAlignment="1">
      <alignment horizontal="center" vertical="center" wrapText="1"/>
    </xf>
    <xf numFmtId="0" fontId="8" fillId="3" borderId="27" xfId="0" quotePrefix="1" applyFont="1" applyFill="1" applyBorder="1" applyAlignment="1">
      <alignment horizontal="center" vertical="center" wrapText="1"/>
    </xf>
    <xf numFmtId="0" fontId="8" fillId="3" borderId="26" xfId="0" quotePrefix="1" applyFont="1" applyFill="1" applyBorder="1" applyAlignment="1">
      <alignment horizontal="center" vertical="center" wrapText="1"/>
    </xf>
    <xf numFmtId="0" fontId="8" fillId="3" borderId="24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17" fontId="8" fillId="3" borderId="25" xfId="0" applyNumberFormat="1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 vertical="center" wrapText="1"/>
    </xf>
    <xf numFmtId="17" fontId="11" fillId="3" borderId="5" xfId="0" quotePrefix="1" applyNumberFormat="1" applyFont="1" applyFill="1" applyBorder="1" applyAlignment="1">
      <alignment horizontal="center" vertical="center"/>
    </xf>
    <xf numFmtId="17" fontId="11" fillId="3" borderId="6" xfId="0" quotePrefix="1" applyNumberFormat="1" applyFont="1" applyFill="1" applyBorder="1" applyAlignment="1">
      <alignment horizontal="center" vertical="center"/>
    </xf>
    <xf numFmtId="17" fontId="11" fillId="3" borderId="7" xfId="0" quotePrefix="1" applyNumberFormat="1" applyFont="1" applyFill="1" applyBorder="1" applyAlignment="1">
      <alignment horizontal="center" vertical="center"/>
    </xf>
    <xf numFmtId="17" fontId="8" fillId="3" borderId="3" xfId="0" quotePrefix="1" applyNumberFormat="1" applyFont="1" applyFill="1" applyBorder="1" applyAlignment="1">
      <alignment horizontal="center" vertical="center"/>
    </xf>
    <xf numFmtId="17" fontId="8" fillId="3" borderId="4" xfId="0" quotePrefix="1" applyNumberFormat="1" applyFont="1" applyFill="1" applyBorder="1" applyAlignment="1">
      <alignment horizontal="center" vertical="center"/>
    </xf>
    <xf numFmtId="17" fontId="8" fillId="3" borderId="29" xfId="0" quotePrefix="1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</cellXfs>
  <cellStyles count="11">
    <cellStyle name="Comma" xfId="8" builtinId="3"/>
    <cellStyle name="Comma 2" xfId="1" xr:uid="{00000000-0005-0000-0000-000000000000}"/>
    <cellStyle name="Comma 2 2 2" xfId="2" xr:uid="{00000000-0005-0000-0000-000001000000}"/>
    <cellStyle name="Comma 3" xfId="3" xr:uid="{00000000-0005-0000-0000-000002000000}"/>
    <cellStyle name="Normal" xfId="0" builtinId="0"/>
    <cellStyle name="Normal 19" xfId="4" xr:uid="{00000000-0005-0000-0000-000004000000}"/>
    <cellStyle name="Normal 2" xfId="5" xr:uid="{00000000-0005-0000-0000-000005000000}"/>
    <cellStyle name="Normal 2 2" xfId="6" xr:uid="{00000000-0005-0000-0000-000006000000}"/>
    <cellStyle name="Normal 2 2 2" xfId="9" xr:uid="{EB90DDBC-1AD9-47EF-9DAF-7C28FB2F37EB}"/>
    <cellStyle name="Normal 2 2 2 2" xfId="10" xr:uid="{480D96D0-9A1D-4CB5-92C5-641647D0F674}"/>
    <cellStyle name="Normal 3" xfId="7" xr:uid="{00000000-0005-0000-0000-000007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317"/>
  <sheetViews>
    <sheetView tabSelected="1" topLeftCell="CG292" zoomScale="80" zoomScaleNormal="80" workbookViewId="0">
      <selection activeCell="CT316" sqref="CT316:CV318"/>
    </sheetView>
  </sheetViews>
  <sheetFormatPr defaultColWidth="8.85546875" defaultRowHeight="21.75" x14ac:dyDescent="0.6"/>
  <cols>
    <col min="1" max="1" width="6.7109375" style="37" customWidth="1"/>
    <col min="2" max="2" width="15.85546875" style="13" customWidth="1"/>
    <col min="3" max="3" width="18.28515625" style="13" customWidth="1"/>
    <col min="4" max="4" width="15" style="38" customWidth="1"/>
    <col min="5" max="5" width="23.28515625" style="38" customWidth="1"/>
    <col min="6" max="6" width="15.140625" style="13" customWidth="1"/>
    <col min="7" max="7" width="18.5703125" style="13" hidden="1" customWidth="1"/>
    <col min="8" max="8" width="19.28515625" style="13" hidden="1" customWidth="1"/>
    <col min="9" max="9" width="22.140625" style="13" hidden="1" customWidth="1"/>
    <col min="10" max="10" width="10.5703125" style="39" customWidth="1"/>
    <col min="11" max="12" width="12.7109375" style="39" hidden="1" customWidth="1"/>
    <col min="13" max="13" width="12.7109375" style="103" hidden="1" customWidth="1"/>
    <col min="14" max="18" width="12.7109375" style="39" hidden="1" customWidth="1"/>
    <col min="19" max="19" width="12.7109375" style="103" hidden="1" customWidth="1"/>
    <col min="20" max="46" width="12.7109375" style="39" hidden="1" customWidth="1"/>
    <col min="47" max="49" width="12.7109375" style="73" hidden="1" customWidth="1"/>
    <col min="50" max="50" width="11.140625" style="73" hidden="1" customWidth="1"/>
    <col min="51" max="51" width="10.7109375" style="73" hidden="1" customWidth="1"/>
    <col min="52" max="52" width="11.85546875" style="73" hidden="1" customWidth="1"/>
    <col min="53" max="54" width="11.28515625" style="39" hidden="1" customWidth="1"/>
    <col min="55" max="55" width="12" style="39" hidden="1" customWidth="1"/>
    <col min="56" max="58" width="12.5703125" style="13" hidden="1" customWidth="1"/>
    <col min="59" max="61" width="11.7109375" style="13" hidden="1" customWidth="1"/>
    <col min="62" max="64" width="11.5703125" style="13" hidden="1" customWidth="1"/>
    <col min="65" max="67" width="11.5703125" style="72" hidden="1" customWidth="1"/>
    <col min="68" max="68" width="11" style="13" hidden="1" customWidth="1"/>
    <col min="69" max="69" width="11.85546875" style="13" hidden="1" customWidth="1"/>
    <col min="70" max="70" width="12.85546875" style="13" hidden="1" customWidth="1"/>
    <col min="71" max="71" width="9.5703125" style="13" hidden="1" customWidth="1"/>
    <col min="72" max="72" width="11.5703125" style="13" hidden="1" customWidth="1"/>
    <col min="73" max="73" width="12.42578125" style="13" hidden="1" customWidth="1"/>
    <col min="74" max="74" width="15" style="13" customWidth="1"/>
    <col min="75" max="75" width="12.7109375" style="13" customWidth="1"/>
    <col min="76" max="76" width="13.140625" style="13" customWidth="1"/>
    <col min="77" max="77" width="10.42578125" style="13" customWidth="1"/>
    <col min="78" max="78" width="13.42578125" style="13" customWidth="1"/>
    <col min="79" max="79" width="14.5703125" style="13" customWidth="1"/>
    <col min="80" max="80" width="10.140625" style="13" customWidth="1"/>
    <col min="81" max="81" width="12.140625" style="13" customWidth="1"/>
    <col min="82" max="82" width="13.42578125" style="13" customWidth="1"/>
    <col min="83" max="85" width="12.140625" style="13" customWidth="1"/>
    <col min="86" max="86" width="11" style="13" customWidth="1"/>
    <col min="87" max="87" width="13.5703125" style="13" customWidth="1"/>
    <col min="88" max="88" width="14.42578125" style="13" customWidth="1"/>
    <col min="89" max="89" width="12" style="13" customWidth="1"/>
    <col min="90" max="90" width="14.5703125" style="13" customWidth="1"/>
    <col min="91" max="91" width="13.5703125" style="13" customWidth="1"/>
    <col min="92" max="94" width="12" style="13" customWidth="1"/>
    <col min="95" max="97" width="11.85546875" style="13" customWidth="1"/>
    <col min="98" max="100" width="12.85546875" style="13" customWidth="1"/>
    <col min="101" max="16384" width="8.85546875" style="13"/>
  </cols>
  <sheetData>
    <row r="1" spans="1:130" s="2" customFormat="1" ht="27.75" thickBot="1" x14ac:dyDescent="0.8">
      <c r="A1" s="1" t="s">
        <v>0</v>
      </c>
      <c r="J1" s="3"/>
      <c r="K1" s="3"/>
      <c r="L1" s="3"/>
      <c r="M1" s="100"/>
      <c r="N1" s="3"/>
      <c r="O1" s="3"/>
      <c r="P1" s="3"/>
      <c r="Q1" s="3"/>
      <c r="R1" s="3"/>
      <c r="S1" s="100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66"/>
      <c r="AV1" s="66"/>
      <c r="AW1" s="66"/>
      <c r="AX1" s="66"/>
      <c r="AY1" s="66"/>
      <c r="AZ1" s="66"/>
      <c r="BA1" s="67"/>
      <c r="BB1" s="67"/>
      <c r="BC1" s="67"/>
      <c r="BM1" s="68"/>
      <c r="BN1" s="68"/>
      <c r="BO1" s="68"/>
    </row>
    <row r="2" spans="1:130" s="4" customFormat="1" ht="23.45" customHeight="1" thickBot="1" x14ac:dyDescent="0.65">
      <c r="A2" s="202" t="s">
        <v>1</v>
      </c>
      <c r="B2" s="204" t="s">
        <v>2</v>
      </c>
      <c r="C2" s="205"/>
      <c r="D2" s="204" t="s">
        <v>3</v>
      </c>
      <c r="E2" s="205"/>
      <c r="F2" s="208" t="s">
        <v>4</v>
      </c>
      <c r="G2" s="212" t="s">
        <v>998</v>
      </c>
      <c r="H2" s="213"/>
      <c r="I2" s="216" t="s">
        <v>999</v>
      </c>
      <c r="J2" s="210" t="s">
        <v>5</v>
      </c>
      <c r="K2" s="198" t="s">
        <v>647</v>
      </c>
      <c r="L2" s="199"/>
      <c r="M2" s="200"/>
      <c r="N2" s="198" t="s">
        <v>648</v>
      </c>
      <c r="O2" s="199"/>
      <c r="P2" s="200"/>
      <c r="Q2" s="198" t="s">
        <v>649</v>
      </c>
      <c r="R2" s="199"/>
      <c r="S2" s="201"/>
      <c r="T2" s="195" t="s">
        <v>650</v>
      </c>
      <c r="U2" s="196"/>
      <c r="V2" s="197"/>
      <c r="W2" s="195" t="s">
        <v>651</v>
      </c>
      <c r="X2" s="196"/>
      <c r="Y2" s="197"/>
      <c r="Z2" s="192" t="s">
        <v>652</v>
      </c>
      <c r="AA2" s="193"/>
      <c r="AB2" s="194"/>
      <c r="AC2" s="195" t="s">
        <v>653</v>
      </c>
      <c r="AD2" s="196"/>
      <c r="AE2" s="197"/>
      <c r="AF2" s="195" t="s">
        <v>654</v>
      </c>
      <c r="AG2" s="196"/>
      <c r="AH2" s="197"/>
      <c r="AI2" s="195" t="s">
        <v>655</v>
      </c>
      <c r="AJ2" s="196"/>
      <c r="AK2" s="197"/>
      <c r="AL2" s="192" t="s">
        <v>656</v>
      </c>
      <c r="AM2" s="193"/>
      <c r="AN2" s="194"/>
      <c r="AO2" s="192" t="s">
        <v>657</v>
      </c>
      <c r="AP2" s="193"/>
      <c r="AQ2" s="194"/>
      <c r="AR2" s="195" t="s">
        <v>658</v>
      </c>
      <c r="AS2" s="196"/>
      <c r="AT2" s="197"/>
      <c r="AU2" s="222" t="s">
        <v>659</v>
      </c>
      <c r="AV2" s="223"/>
      <c r="AW2" s="224"/>
      <c r="AX2" s="222" t="s">
        <v>660</v>
      </c>
      <c r="AY2" s="223"/>
      <c r="AZ2" s="224"/>
      <c r="BA2" s="198" t="s">
        <v>6</v>
      </c>
      <c r="BB2" s="199"/>
      <c r="BC2" s="221"/>
      <c r="BD2" s="198" t="s">
        <v>7</v>
      </c>
      <c r="BE2" s="199"/>
      <c r="BF2" s="221"/>
      <c r="BG2" s="198" t="s">
        <v>638</v>
      </c>
      <c r="BH2" s="199"/>
      <c r="BI2" s="221"/>
      <c r="BJ2" s="198" t="s">
        <v>639</v>
      </c>
      <c r="BK2" s="199"/>
      <c r="BL2" s="221"/>
      <c r="BM2" s="218">
        <v>45778</v>
      </c>
      <c r="BN2" s="219"/>
      <c r="BO2" s="220"/>
      <c r="BP2" s="218">
        <v>45809</v>
      </c>
      <c r="BQ2" s="219"/>
      <c r="BR2" s="220"/>
      <c r="BS2" s="218">
        <v>45839</v>
      </c>
      <c r="BT2" s="219"/>
      <c r="BU2" s="220"/>
      <c r="BV2" s="218">
        <v>45870</v>
      </c>
      <c r="BW2" s="219"/>
      <c r="BX2" s="220"/>
      <c r="BY2" s="218">
        <v>45901</v>
      </c>
      <c r="BZ2" s="219"/>
      <c r="CA2" s="220"/>
      <c r="CB2" s="218">
        <v>45931</v>
      </c>
      <c r="CC2" s="219"/>
      <c r="CD2" s="220"/>
      <c r="CE2" s="218">
        <v>45962</v>
      </c>
      <c r="CF2" s="219"/>
      <c r="CG2" s="220"/>
      <c r="CH2" s="218">
        <v>45992</v>
      </c>
      <c r="CI2" s="219"/>
      <c r="CJ2" s="220"/>
      <c r="CK2" s="222" t="s">
        <v>1152</v>
      </c>
      <c r="CL2" s="223"/>
      <c r="CM2" s="224"/>
      <c r="CN2" s="222" t="s">
        <v>1153</v>
      </c>
      <c r="CO2" s="223"/>
      <c r="CP2" s="223"/>
      <c r="CQ2" s="198" t="s">
        <v>1140</v>
      </c>
      <c r="CR2" s="199"/>
      <c r="CS2" s="201"/>
      <c r="CT2" s="198" t="s">
        <v>1141</v>
      </c>
      <c r="CU2" s="199"/>
      <c r="CV2" s="201"/>
      <c r="CW2" s="198" t="s">
        <v>1142</v>
      </c>
      <c r="CX2" s="199"/>
      <c r="CY2" s="201"/>
      <c r="CZ2" s="195" t="s">
        <v>1143</v>
      </c>
      <c r="DA2" s="196"/>
      <c r="DB2" s="197"/>
      <c r="DC2" s="195" t="s">
        <v>1144</v>
      </c>
      <c r="DD2" s="196"/>
      <c r="DE2" s="197"/>
      <c r="DF2" s="225" t="s">
        <v>1145</v>
      </c>
      <c r="DG2" s="226"/>
      <c r="DH2" s="227"/>
      <c r="DI2" s="195" t="s">
        <v>1146</v>
      </c>
      <c r="DJ2" s="196"/>
      <c r="DK2" s="197"/>
      <c r="DL2" s="195" t="s">
        <v>1147</v>
      </c>
      <c r="DM2" s="196"/>
      <c r="DN2" s="197"/>
      <c r="DO2" s="195" t="s">
        <v>1148</v>
      </c>
      <c r="DP2" s="196"/>
      <c r="DQ2" s="197"/>
      <c r="DR2" s="192" t="s">
        <v>1149</v>
      </c>
      <c r="DS2" s="193"/>
      <c r="DT2" s="194"/>
      <c r="DU2" s="192" t="s">
        <v>1150</v>
      </c>
      <c r="DV2" s="193"/>
      <c r="DW2" s="194"/>
      <c r="DX2" s="195" t="s">
        <v>1151</v>
      </c>
      <c r="DY2" s="196"/>
      <c r="DZ2" s="197"/>
    </row>
    <row r="3" spans="1:130" s="4" customFormat="1" ht="22.15" customHeight="1" thickBot="1" x14ac:dyDescent="0.65">
      <c r="A3" s="203"/>
      <c r="B3" s="206"/>
      <c r="C3" s="207"/>
      <c r="D3" s="206"/>
      <c r="E3" s="207"/>
      <c r="F3" s="209"/>
      <c r="G3" s="214"/>
      <c r="H3" s="215"/>
      <c r="I3" s="217"/>
      <c r="J3" s="211"/>
      <c r="K3" s="69" t="s">
        <v>8</v>
      </c>
      <c r="L3" s="59" t="s">
        <v>9</v>
      </c>
      <c r="M3" s="101" t="s">
        <v>10</v>
      </c>
      <c r="N3" s="69" t="s">
        <v>8</v>
      </c>
      <c r="O3" s="59" t="s">
        <v>9</v>
      </c>
      <c r="P3" s="99" t="s">
        <v>10</v>
      </c>
      <c r="Q3" s="69" t="s">
        <v>8</v>
      </c>
      <c r="R3" s="59" t="s">
        <v>9</v>
      </c>
      <c r="S3" s="105" t="s">
        <v>10</v>
      </c>
      <c r="T3" s="69" t="s">
        <v>8</v>
      </c>
      <c r="U3" s="59" t="s">
        <v>9</v>
      </c>
      <c r="V3" s="70" t="s">
        <v>10</v>
      </c>
      <c r="W3" s="69" t="s">
        <v>8</v>
      </c>
      <c r="X3" s="59" t="s">
        <v>9</v>
      </c>
      <c r="Y3" s="70" t="s">
        <v>10</v>
      </c>
      <c r="Z3" s="69" t="s">
        <v>8</v>
      </c>
      <c r="AA3" s="59" t="s">
        <v>9</v>
      </c>
      <c r="AB3" s="70" t="s">
        <v>10</v>
      </c>
      <c r="AC3" s="69" t="s">
        <v>8</v>
      </c>
      <c r="AD3" s="59" t="s">
        <v>9</v>
      </c>
      <c r="AE3" s="70" t="s">
        <v>10</v>
      </c>
      <c r="AF3" s="69" t="s">
        <v>8</v>
      </c>
      <c r="AG3" s="59" t="s">
        <v>9</v>
      </c>
      <c r="AH3" s="70" t="s">
        <v>10</v>
      </c>
      <c r="AI3" s="69" t="s">
        <v>8</v>
      </c>
      <c r="AJ3" s="59" t="s">
        <v>9</v>
      </c>
      <c r="AK3" s="70" t="s">
        <v>10</v>
      </c>
      <c r="AL3" s="69" t="s">
        <v>8</v>
      </c>
      <c r="AM3" s="59" t="s">
        <v>9</v>
      </c>
      <c r="AN3" s="70" t="s">
        <v>10</v>
      </c>
      <c r="AO3" s="69" t="s">
        <v>8</v>
      </c>
      <c r="AP3" s="59" t="s">
        <v>9</v>
      </c>
      <c r="AQ3" s="70" t="s">
        <v>10</v>
      </c>
      <c r="AR3" s="69" t="s">
        <v>8</v>
      </c>
      <c r="AS3" s="59" t="s">
        <v>9</v>
      </c>
      <c r="AT3" s="70" t="s">
        <v>10</v>
      </c>
      <c r="AU3" s="85" t="s">
        <v>8</v>
      </c>
      <c r="AV3" s="60" t="s">
        <v>9</v>
      </c>
      <c r="AW3" s="82" t="s">
        <v>10</v>
      </c>
      <c r="AX3" s="85" t="s">
        <v>8</v>
      </c>
      <c r="AY3" s="60" t="s">
        <v>9</v>
      </c>
      <c r="AZ3" s="82" t="s">
        <v>10</v>
      </c>
      <c r="BA3" s="69" t="s">
        <v>8</v>
      </c>
      <c r="BB3" s="59" t="s">
        <v>9</v>
      </c>
      <c r="BC3" s="70" t="s">
        <v>10</v>
      </c>
      <c r="BD3" s="69" t="s">
        <v>8</v>
      </c>
      <c r="BE3" s="59" t="s">
        <v>9</v>
      </c>
      <c r="BF3" s="70" t="s">
        <v>10</v>
      </c>
      <c r="BG3" s="69" t="s">
        <v>8</v>
      </c>
      <c r="BH3" s="59" t="s">
        <v>9</v>
      </c>
      <c r="BI3" s="70" t="s">
        <v>10</v>
      </c>
      <c r="BJ3" s="69" t="s">
        <v>8</v>
      </c>
      <c r="BK3" s="59" t="s">
        <v>9</v>
      </c>
      <c r="BL3" s="70" t="s">
        <v>10</v>
      </c>
      <c r="BM3" s="91" t="s">
        <v>8</v>
      </c>
      <c r="BN3" s="61" t="s">
        <v>9</v>
      </c>
      <c r="BO3" s="92" t="s">
        <v>10</v>
      </c>
      <c r="BP3" s="91" t="s">
        <v>8</v>
      </c>
      <c r="BQ3" s="61" t="s">
        <v>9</v>
      </c>
      <c r="BR3" s="111" t="s">
        <v>10</v>
      </c>
      <c r="BS3" s="91" t="s">
        <v>8</v>
      </c>
      <c r="BT3" s="61" t="s">
        <v>9</v>
      </c>
      <c r="BU3" s="111" t="s">
        <v>10</v>
      </c>
      <c r="BV3" s="91" t="s">
        <v>8</v>
      </c>
      <c r="BW3" s="61" t="s">
        <v>9</v>
      </c>
      <c r="BX3" s="111" t="s">
        <v>10</v>
      </c>
      <c r="BY3" s="91" t="s">
        <v>8</v>
      </c>
      <c r="BZ3" s="61" t="s">
        <v>9</v>
      </c>
      <c r="CA3" s="111" t="s">
        <v>10</v>
      </c>
      <c r="CB3" s="91" t="s">
        <v>8</v>
      </c>
      <c r="CC3" s="61" t="s">
        <v>9</v>
      </c>
      <c r="CD3" s="111" t="s">
        <v>10</v>
      </c>
      <c r="CE3" s="91" t="s">
        <v>8</v>
      </c>
      <c r="CF3" s="61" t="s">
        <v>9</v>
      </c>
      <c r="CG3" s="111" t="s">
        <v>10</v>
      </c>
      <c r="CH3" s="91" t="s">
        <v>8</v>
      </c>
      <c r="CI3" s="61" t="s">
        <v>9</v>
      </c>
      <c r="CJ3" s="111" t="s">
        <v>10</v>
      </c>
      <c r="CK3" s="85" t="s">
        <v>8</v>
      </c>
      <c r="CL3" s="60" t="s">
        <v>9</v>
      </c>
      <c r="CM3" s="82" t="s">
        <v>10</v>
      </c>
      <c r="CN3" s="85" t="s">
        <v>8</v>
      </c>
      <c r="CO3" s="60" t="s">
        <v>9</v>
      </c>
      <c r="CP3" s="178" t="s">
        <v>10</v>
      </c>
      <c r="CQ3" s="69" t="s">
        <v>8</v>
      </c>
      <c r="CR3" s="59" t="s">
        <v>9</v>
      </c>
      <c r="CS3" s="105" t="s">
        <v>10</v>
      </c>
      <c r="CT3" s="69" t="s">
        <v>8</v>
      </c>
      <c r="CU3" s="59" t="s">
        <v>9</v>
      </c>
      <c r="CV3" s="70" t="s">
        <v>10</v>
      </c>
      <c r="CW3" s="69" t="s">
        <v>8</v>
      </c>
      <c r="CX3" s="59" t="s">
        <v>9</v>
      </c>
      <c r="CY3" s="105" t="s">
        <v>10</v>
      </c>
      <c r="CZ3" s="69" t="s">
        <v>8</v>
      </c>
      <c r="DA3" s="59" t="s">
        <v>9</v>
      </c>
      <c r="DB3" s="70" t="s">
        <v>10</v>
      </c>
      <c r="DC3" s="69" t="s">
        <v>8</v>
      </c>
      <c r="DD3" s="59" t="s">
        <v>9</v>
      </c>
      <c r="DE3" s="70" t="s">
        <v>10</v>
      </c>
      <c r="DF3" s="187" t="s">
        <v>8</v>
      </c>
      <c r="DG3" s="188" t="s">
        <v>9</v>
      </c>
      <c r="DH3" s="189" t="s">
        <v>10</v>
      </c>
      <c r="DI3" s="69" t="s">
        <v>8</v>
      </c>
      <c r="DJ3" s="59" t="s">
        <v>9</v>
      </c>
      <c r="DK3" s="70" t="s">
        <v>10</v>
      </c>
      <c r="DL3" s="69" t="s">
        <v>8</v>
      </c>
      <c r="DM3" s="59" t="s">
        <v>9</v>
      </c>
      <c r="DN3" s="70" t="s">
        <v>10</v>
      </c>
      <c r="DO3" s="69" t="s">
        <v>8</v>
      </c>
      <c r="DP3" s="59" t="s">
        <v>9</v>
      </c>
      <c r="DQ3" s="70" t="s">
        <v>10</v>
      </c>
      <c r="DR3" s="69" t="s">
        <v>8</v>
      </c>
      <c r="DS3" s="59" t="s">
        <v>9</v>
      </c>
      <c r="DT3" s="70" t="s">
        <v>10</v>
      </c>
      <c r="DU3" s="69" t="s">
        <v>8</v>
      </c>
      <c r="DV3" s="59" t="s">
        <v>9</v>
      </c>
      <c r="DW3" s="70" t="s">
        <v>10</v>
      </c>
      <c r="DX3" s="69" t="s">
        <v>8</v>
      </c>
      <c r="DY3" s="59" t="s">
        <v>9</v>
      </c>
      <c r="DZ3" s="70" t="s">
        <v>10</v>
      </c>
    </row>
    <row r="4" spans="1:130" s="2" customFormat="1" ht="34.9" customHeight="1" x14ac:dyDescent="0.6">
      <c r="A4" s="5">
        <v>1</v>
      </c>
      <c r="B4" s="126" t="s">
        <v>11</v>
      </c>
      <c r="C4" s="127" t="s">
        <v>12</v>
      </c>
      <c r="D4" s="128" t="s">
        <v>13</v>
      </c>
      <c r="E4" s="128" t="s">
        <v>14</v>
      </c>
      <c r="F4" s="6" t="s">
        <v>15</v>
      </c>
      <c r="G4" s="129" t="s">
        <v>668</v>
      </c>
      <c r="H4" s="130" t="s">
        <v>669</v>
      </c>
      <c r="I4" s="130" t="s">
        <v>670</v>
      </c>
      <c r="J4" s="40" t="s">
        <v>16</v>
      </c>
      <c r="K4" s="9">
        <v>19618</v>
      </c>
      <c r="L4" s="62">
        <v>279050</v>
      </c>
      <c r="M4" s="78">
        <v>212668</v>
      </c>
      <c r="N4" s="9">
        <v>15961</v>
      </c>
      <c r="O4" s="62">
        <v>232338</v>
      </c>
      <c r="P4" s="41">
        <v>170655</v>
      </c>
      <c r="Q4" s="9">
        <v>17929</v>
      </c>
      <c r="R4" s="62">
        <v>259548</v>
      </c>
      <c r="S4" s="98">
        <v>191578</v>
      </c>
      <c r="T4" s="9">
        <v>17258</v>
      </c>
      <c r="U4" s="62">
        <v>249886</v>
      </c>
      <c r="V4" s="8">
        <v>17258</v>
      </c>
      <c r="W4" s="9">
        <v>17405</v>
      </c>
      <c r="X4" s="62">
        <v>253170</v>
      </c>
      <c r="Y4" s="8">
        <v>188045</v>
      </c>
      <c r="Z4" s="9">
        <v>25360</v>
      </c>
      <c r="AA4" s="62">
        <v>359750</v>
      </c>
      <c r="AB4" s="8">
        <v>197041.59999999998</v>
      </c>
      <c r="AC4" s="9">
        <v>17450</v>
      </c>
      <c r="AD4" s="62">
        <v>256334</v>
      </c>
      <c r="AE4" s="8">
        <v>190217</v>
      </c>
      <c r="AF4" s="9">
        <v>12363</v>
      </c>
      <c r="AG4" s="62">
        <v>186870</v>
      </c>
      <c r="AH4" s="8">
        <v>135736</v>
      </c>
      <c r="AI4" s="9">
        <v>14216</v>
      </c>
      <c r="AJ4" s="62">
        <v>213602</v>
      </c>
      <c r="AK4" s="8">
        <v>156892.40000000002</v>
      </c>
      <c r="AL4" s="9">
        <v>14227</v>
      </c>
      <c r="AM4" s="62">
        <v>207590</v>
      </c>
      <c r="AN4" s="8">
        <v>154657.59999999998</v>
      </c>
      <c r="AO4" s="9">
        <v>18107</v>
      </c>
      <c r="AP4" s="62">
        <v>273430</v>
      </c>
      <c r="AQ4" s="8">
        <v>197439</v>
      </c>
      <c r="AR4" s="9">
        <v>8155</v>
      </c>
      <c r="AS4" s="62">
        <v>123380</v>
      </c>
      <c r="AT4" s="8">
        <v>87354</v>
      </c>
      <c r="AU4" s="54">
        <f>K4+N4+Q4+T4+W4+Z4+AC4+AF4+AI4+AL4+AO4+AR4</f>
        <v>198049</v>
      </c>
      <c r="AV4" s="63">
        <f>L4+O4+R4+U4+X4+AA4+AD4+AG4+AJ4+AM4+AP4+AS4</f>
        <v>2894948</v>
      </c>
      <c r="AW4" s="55">
        <f>M4+P4+S4+V4+Y4+AB4+AE4+AH4+AK4+AN4+AQ4+AT4</f>
        <v>1899541.6</v>
      </c>
      <c r="AX4" s="54">
        <f>AU4/12</f>
        <v>16504.083333333332</v>
      </c>
      <c r="AY4" s="63">
        <f>AX4/12</f>
        <v>1375.3402777777776</v>
      </c>
      <c r="AZ4" s="55">
        <f>AW4/12</f>
        <v>158295.13333333333</v>
      </c>
      <c r="BA4" s="9">
        <v>12500</v>
      </c>
      <c r="BB4" s="62">
        <v>186810</v>
      </c>
      <c r="BC4" s="8">
        <v>135039.20000000001</v>
      </c>
      <c r="BD4" s="9">
        <v>10605</v>
      </c>
      <c r="BE4" s="62">
        <v>154400</v>
      </c>
      <c r="BF4" s="8">
        <v>114426.80000000002</v>
      </c>
      <c r="BG4" s="9">
        <v>23772</v>
      </c>
      <c r="BH4" s="62">
        <v>363420</v>
      </c>
      <c r="BI4" s="8">
        <v>259389.2</v>
      </c>
      <c r="BJ4" s="9">
        <v>5003</v>
      </c>
      <c r="BK4" s="62">
        <v>72930</v>
      </c>
      <c r="BL4" s="8">
        <v>51168.399999999994</v>
      </c>
      <c r="BM4" s="44">
        <v>14131</v>
      </c>
      <c r="BN4" s="42">
        <v>206792</v>
      </c>
      <c r="BO4" s="45">
        <v>152387.20000000001</v>
      </c>
      <c r="BP4" s="44">
        <v>10510</v>
      </c>
      <c r="BQ4" s="42">
        <v>157988</v>
      </c>
      <c r="BR4" s="45">
        <v>115182.39999999999</v>
      </c>
      <c r="BS4" s="44">
        <v>12035</v>
      </c>
      <c r="BT4" s="42">
        <v>179840</v>
      </c>
      <c r="BU4" s="112">
        <v>131107.59999999998</v>
      </c>
      <c r="BV4" s="115">
        <v>11936</v>
      </c>
      <c r="BW4" s="116">
        <v>182862</v>
      </c>
      <c r="BX4" s="112">
        <v>130278.8</v>
      </c>
      <c r="BY4" s="115">
        <v>11475</v>
      </c>
      <c r="BZ4" s="116">
        <v>177940</v>
      </c>
      <c r="CA4" s="112">
        <v>125481.20000000001</v>
      </c>
      <c r="CB4" s="115">
        <v>10734</v>
      </c>
      <c r="CC4" s="116">
        <v>166360</v>
      </c>
      <c r="CD4" s="112">
        <v>116618.4</v>
      </c>
      <c r="CE4" s="115">
        <v>10350</v>
      </c>
      <c r="CF4" s="116">
        <v>155950</v>
      </c>
      <c r="CG4" s="112">
        <v>113454.8</v>
      </c>
      <c r="CH4" s="115">
        <v>12045</v>
      </c>
      <c r="CI4" s="116">
        <v>185830</v>
      </c>
      <c r="CJ4" s="112">
        <v>131729.60000000001</v>
      </c>
      <c r="CK4" s="54">
        <f>+BA4+BD4+BG4+BJ4+BM4+BP4+BS4+BV4+BY4+CB4+CE4+CH4</f>
        <v>145096</v>
      </c>
      <c r="CL4" s="63">
        <f>+BB4+BE4+BH4+BK4+BN4+BQ4+BT4+BW4+BZ4+CC4+CF4+CI4</f>
        <v>2191122</v>
      </c>
      <c r="CM4" s="55">
        <f>+BC4+BF4+BI4+BL4+BO4+BR4+BU4+BX4+CA4+CD4+CG4+CJ4</f>
        <v>1576263.6</v>
      </c>
      <c r="CN4" s="54">
        <f>CK4/12</f>
        <v>12091.333333333334</v>
      </c>
      <c r="CO4" s="63">
        <f>CL4/12</f>
        <v>182593.5</v>
      </c>
      <c r="CP4" s="172">
        <f>CM4/12</f>
        <v>131355.30000000002</v>
      </c>
      <c r="CQ4" s="9">
        <v>9580</v>
      </c>
      <c r="CR4" s="62">
        <v>147920</v>
      </c>
      <c r="CS4" s="98">
        <v>105054.39999999999</v>
      </c>
      <c r="CT4" s="9">
        <v>9647</v>
      </c>
      <c r="CU4" s="62">
        <v>145964</v>
      </c>
      <c r="CV4" s="8">
        <v>105868</v>
      </c>
      <c r="CW4" s="9"/>
      <c r="CX4" s="62"/>
      <c r="CY4" s="98"/>
      <c r="CZ4" s="9"/>
      <c r="DA4" s="62"/>
      <c r="DB4" s="8"/>
      <c r="DC4" s="9"/>
      <c r="DD4" s="62"/>
      <c r="DE4" s="8"/>
      <c r="DF4" s="9"/>
      <c r="DG4" s="62"/>
      <c r="DH4" s="8"/>
      <c r="DI4" s="9"/>
      <c r="DJ4" s="62"/>
      <c r="DK4" s="8"/>
      <c r="DL4" s="9"/>
      <c r="DM4" s="62"/>
      <c r="DN4" s="8"/>
      <c r="DO4" s="9"/>
      <c r="DP4" s="62"/>
      <c r="DQ4" s="8"/>
      <c r="DR4" s="9"/>
      <c r="DS4" s="62"/>
      <c r="DT4" s="8"/>
      <c r="DU4" s="9"/>
      <c r="DV4" s="62"/>
      <c r="DW4" s="8"/>
      <c r="DX4" s="9"/>
      <c r="DY4" s="62"/>
      <c r="DZ4" s="8"/>
    </row>
    <row r="5" spans="1:130" s="2" customFormat="1" ht="34.9" customHeight="1" x14ac:dyDescent="0.6">
      <c r="A5" s="5">
        <v>2</v>
      </c>
      <c r="B5" s="131" t="s">
        <v>17</v>
      </c>
      <c r="C5" s="14" t="s">
        <v>18</v>
      </c>
      <c r="D5" s="132" t="s">
        <v>19</v>
      </c>
      <c r="E5" s="132" t="s">
        <v>20</v>
      </c>
      <c r="F5" s="7" t="s">
        <v>15</v>
      </c>
      <c r="G5" s="16" t="s">
        <v>671</v>
      </c>
      <c r="H5" s="133" t="s">
        <v>672</v>
      </c>
      <c r="I5" s="133" t="s">
        <v>673</v>
      </c>
      <c r="J5" s="41" t="s">
        <v>16</v>
      </c>
      <c r="K5" s="9">
        <v>17080</v>
      </c>
      <c r="L5" s="62">
        <v>245240</v>
      </c>
      <c r="M5" s="78">
        <v>181280</v>
      </c>
      <c r="N5" s="9">
        <v>12685</v>
      </c>
      <c r="O5" s="62">
        <v>181980</v>
      </c>
      <c r="P5" s="41">
        <v>129487</v>
      </c>
      <c r="Q5" s="9">
        <v>15075</v>
      </c>
      <c r="R5" s="62">
        <v>212000</v>
      </c>
      <c r="S5" s="98">
        <v>159711</v>
      </c>
      <c r="T5" s="9">
        <v>14950</v>
      </c>
      <c r="U5" s="62">
        <v>215380</v>
      </c>
      <c r="V5" s="8">
        <v>158767</v>
      </c>
      <c r="W5" s="9">
        <v>16240</v>
      </c>
      <c r="X5" s="62">
        <v>233940</v>
      </c>
      <c r="Y5" s="8">
        <v>171973</v>
      </c>
      <c r="Z5" s="9">
        <v>19050</v>
      </c>
      <c r="AA5" s="62">
        <v>269420</v>
      </c>
      <c r="AB5" s="8">
        <v>198279.2</v>
      </c>
      <c r="AC5" s="9">
        <v>15865</v>
      </c>
      <c r="AD5" s="62">
        <v>226120</v>
      </c>
      <c r="AE5" s="8">
        <v>170936</v>
      </c>
      <c r="AF5" s="9">
        <v>15489</v>
      </c>
      <c r="AG5" s="62">
        <v>219526</v>
      </c>
      <c r="AH5" s="8">
        <v>168061</v>
      </c>
      <c r="AI5" s="9">
        <v>13065</v>
      </c>
      <c r="AJ5" s="62">
        <v>182860</v>
      </c>
      <c r="AK5" s="8">
        <v>137618.4</v>
      </c>
      <c r="AL5" s="9">
        <v>15050</v>
      </c>
      <c r="AM5" s="62">
        <v>209600</v>
      </c>
      <c r="AN5" s="8">
        <v>158810.4</v>
      </c>
      <c r="AO5" s="9">
        <v>14185</v>
      </c>
      <c r="AP5" s="62">
        <v>200620</v>
      </c>
      <c r="AQ5" s="8">
        <v>150203</v>
      </c>
      <c r="AR5" s="9">
        <v>14050</v>
      </c>
      <c r="AS5" s="62">
        <v>195940</v>
      </c>
      <c r="AT5" s="8">
        <v>149329</v>
      </c>
      <c r="AU5" s="54">
        <f t="shared" ref="AU5:AU65" si="0">K5+N5+Q5+T5+W5+Z5+AC5+AF5+AI5+AL5+AO5+AR5</f>
        <v>182784</v>
      </c>
      <c r="AV5" s="63">
        <f t="shared" ref="AV5:AV65" si="1">L5+O5+R5+U5+X5+AA5+AD5+AG5+AJ5+AM5+AP5+AS5</f>
        <v>2592626</v>
      </c>
      <c r="AW5" s="55">
        <f t="shared" ref="AW5:AW65" si="2">M5+P5+S5+V5+Y5+AB5+AE5+AH5+AK5+AN5+AQ5+AT5</f>
        <v>1934454.9999999998</v>
      </c>
      <c r="AX5" s="54">
        <f t="shared" ref="AX5:AX65" si="3">AU5/12</f>
        <v>15232</v>
      </c>
      <c r="AY5" s="63">
        <f t="shared" ref="AY5:AY65" si="4">AX5/12</f>
        <v>1269.3333333333333</v>
      </c>
      <c r="AZ5" s="55">
        <f t="shared" ref="AZ5:AZ65" si="5">AW5/12</f>
        <v>161204.58333333331</v>
      </c>
      <c r="BA5" s="9">
        <v>12585</v>
      </c>
      <c r="BB5" s="62">
        <v>178320</v>
      </c>
      <c r="BC5" s="8">
        <v>135994</v>
      </c>
      <c r="BD5" s="9">
        <v>12900</v>
      </c>
      <c r="BE5" s="62">
        <v>179360</v>
      </c>
      <c r="BF5" s="8">
        <v>135073.60000000001</v>
      </c>
      <c r="BG5" s="9">
        <v>16005</v>
      </c>
      <c r="BH5" s="62">
        <v>225360</v>
      </c>
      <c r="BI5" s="8">
        <v>173236</v>
      </c>
      <c r="BJ5" s="9">
        <v>10155</v>
      </c>
      <c r="BK5" s="62">
        <v>142360</v>
      </c>
      <c r="BL5" s="8">
        <v>108556</v>
      </c>
      <c r="BM5" s="44">
        <v>13345</v>
      </c>
      <c r="BN5" s="42">
        <v>182740</v>
      </c>
      <c r="BO5" s="45">
        <v>142970.80000000002</v>
      </c>
      <c r="BP5" s="44">
        <v>13620</v>
      </c>
      <c r="BQ5" s="42">
        <v>189100</v>
      </c>
      <c r="BR5" s="45">
        <v>146053.6</v>
      </c>
      <c r="BS5" s="44">
        <v>11835</v>
      </c>
      <c r="BT5" s="42">
        <v>163780</v>
      </c>
      <c r="BU5" s="112">
        <v>125810</v>
      </c>
      <c r="BV5" s="115">
        <v>12495</v>
      </c>
      <c r="BW5" s="116">
        <v>172180</v>
      </c>
      <c r="BX5" s="112">
        <v>134088</v>
      </c>
      <c r="BY5" s="115">
        <v>11420</v>
      </c>
      <c r="BZ5" s="116">
        <v>160280</v>
      </c>
      <c r="CA5" s="112">
        <v>121276.80000000002</v>
      </c>
      <c r="CB5" s="115">
        <v>11580</v>
      </c>
      <c r="CC5" s="116">
        <v>159200</v>
      </c>
      <c r="CD5" s="112">
        <v>124892.8</v>
      </c>
      <c r="CE5" s="115">
        <v>14305</v>
      </c>
      <c r="CF5" s="116">
        <v>197240</v>
      </c>
      <c r="CG5" s="112">
        <v>153422.39999999997</v>
      </c>
      <c r="CH5" s="115">
        <v>13200</v>
      </c>
      <c r="CI5" s="116">
        <v>178340</v>
      </c>
      <c r="CJ5" s="112">
        <v>144060.79999999999</v>
      </c>
      <c r="CK5" s="54">
        <f t="shared" ref="CK5:CK65" si="6">+BA5+BD5+BG5+BJ5+BM5+BP5+BS5+BV5+BY5+CB5+CE5+CH5</f>
        <v>153445</v>
      </c>
      <c r="CL5" s="63">
        <f t="shared" ref="CL5:CL65" si="7">+BB5+BE5+BH5+BK5+BN5+BQ5+BT5+BW5+BZ5+CC5+CF5+CI5</f>
        <v>2128260</v>
      </c>
      <c r="CM5" s="55">
        <f t="shared" ref="CM5:CM65" si="8">+BC5+BF5+BI5+BL5+BO5+BR5+BU5+BX5+CA5+CD5+CG5+CJ5</f>
        <v>1645434.8</v>
      </c>
      <c r="CN5" s="54">
        <f t="shared" ref="CN5:CN65" si="9">CK5/12</f>
        <v>12787.083333333334</v>
      </c>
      <c r="CO5" s="63">
        <f t="shared" ref="CO5:CO65" si="10">CL5/12</f>
        <v>177355</v>
      </c>
      <c r="CP5" s="172">
        <f t="shared" ref="CP5:CP65" si="11">CM5/12</f>
        <v>137119.56666666668</v>
      </c>
      <c r="CQ5" s="9">
        <v>13210</v>
      </c>
      <c r="CR5" s="62">
        <v>179840</v>
      </c>
      <c r="CS5" s="98">
        <v>145052</v>
      </c>
      <c r="CT5" s="9">
        <v>10730</v>
      </c>
      <c r="CU5" s="62">
        <v>148000</v>
      </c>
      <c r="CV5" s="8">
        <v>118347.2</v>
      </c>
      <c r="CW5" s="9"/>
      <c r="CX5" s="62"/>
      <c r="CY5" s="98"/>
      <c r="CZ5" s="9"/>
      <c r="DA5" s="62"/>
      <c r="DB5" s="8"/>
      <c r="DC5" s="9"/>
      <c r="DD5" s="62"/>
      <c r="DE5" s="8"/>
      <c r="DF5" s="9"/>
      <c r="DG5" s="62"/>
      <c r="DH5" s="8"/>
      <c r="DI5" s="9"/>
      <c r="DJ5" s="62"/>
      <c r="DK5" s="8"/>
      <c r="DL5" s="9"/>
      <c r="DM5" s="62"/>
      <c r="DN5" s="8"/>
      <c r="DO5" s="9"/>
      <c r="DP5" s="62"/>
      <c r="DQ5" s="8"/>
      <c r="DR5" s="9"/>
      <c r="DS5" s="62"/>
      <c r="DT5" s="8"/>
      <c r="DU5" s="9"/>
      <c r="DV5" s="62"/>
      <c r="DW5" s="8"/>
      <c r="DX5" s="9"/>
      <c r="DY5" s="62"/>
      <c r="DZ5" s="8"/>
    </row>
    <row r="6" spans="1:130" s="2" customFormat="1" ht="34.9" customHeight="1" x14ac:dyDescent="0.6">
      <c r="A6" s="5">
        <v>3</v>
      </c>
      <c r="B6" s="131" t="s">
        <v>21</v>
      </c>
      <c r="C6" s="14" t="s">
        <v>22</v>
      </c>
      <c r="D6" s="132" t="s">
        <v>23</v>
      </c>
      <c r="E6" s="132" t="s">
        <v>24</v>
      </c>
      <c r="F6" s="7" t="s">
        <v>15</v>
      </c>
      <c r="G6" s="16" t="s">
        <v>674</v>
      </c>
      <c r="H6" s="133" t="s">
        <v>675</v>
      </c>
      <c r="I6" s="133" t="s">
        <v>676</v>
      </c>
      <c r="J6" s="41" t="s">
        <v>16</v>
      </c>
      <c r="K6" s="9">
        <v>9431</v>
      </c>
      <c r="L6" s="62">
        <v>145482</v>
      </c>
      <c r="M6" s="78">
        <v>104150</v>
      </c>
      <c r="N6" s="9">
        <v>5165</v>
      </c>
      <c r="O6" s="62">
        <v>83000</v>
      </c>
      <c r="P6" s="41">
        <v>58666</v>
      </c>
      <c r="Q6" s="9">
        <v>7897</v>
      </c>
      <c r="R6" s="62">
        <v>120590</v>
      </c>
      <c r="S6" s="98">
        <v>89100</v>
      </c>
      <c r="T6" s="9">
        <v>7054</v>
      </c>
      <c r="U6" s="62">
        <v>105066</v>
      </c>
      <c r="V6" s="8">
        <v>80111</v>
      </c>
      <c r="W6" s="9">
        <v>6437</v>
      </c>
      <c r="X6" s="62">
        <v>97744</v>
      </c>
      <c r="Y6" s="8">
        <v>73067</v>
      </c>
      <c r="Z6" s="9">
        <v>7299</v>
      </c>
      <c r="AA6" s="62">
        <v>105816</v>
      </c>
      <c r="AB6" s="8">
        <v>83284.240000000005</v>
      </c>
      <c r="AC6" s="9">
        <v>8005</v>
      </c>
      <c r="AD6" s="62">
        <v>118960</v>
      </c>
      <c r="AE6" s="8">
        <v>89780.800000000003</v>
      </c>
      <c r="AF6" s="9">
        <v>6652</v>
      </c>
      <c r="AG6" s="62">
        <v>100614</v>
      </c>
      <c r="AH6" s="8">
        <v>76185</v>
      </c>
      <c r="AI6" s="9">
        <v>5539</v>
      </c>
      <c r="AJ6" s="62">
        <v>82426</v>
      </c>
      <c r="AK6" s="8">
        <v>62575.44</v>
      </c>
      <c r="AL6" s="9">
        <v>6299</v>
      </c>
      <c r="AM6" s="62">
        <v>91788</v>
      </c>
      <c r="AN6" s="8">
        <v>71032.800000000003</v>
      </c>
      <c r="AO6" s="9">
        <v>7655</v>
      </c>
      <c r="AP6" s="62">
        <v>112010</v>
      </c>
      <c r="AQ6" s="8">
        <v>84205</v>
      </c>
      <c r="AR6" s="9">
        <v>7780</v>
      </c>
      <c r="AS6" s="62">
        <v>135980</v>
      </c>
      <c r="AT6" s="8">
        <v>91031</v>
      </c>
      <c r="AU6" s="54">
        <f t="shared" si="0"/>
        <v>85213</v>
      </c>
      <c r="AV6" s="63">
        <f t="shared" si="1"/>
        <v>1299476</v>
      </c>
      <c r="AW6" s="55">
        <f t="shared" si="2"/>
        <v>963188.28</v>
      </c>
      <c r="AX6" s="54">
        <f t="shared" si="3"/>
        <v>7101.083333333333</v>
      </c>
      <c r="AY6" s="63">
        <f t="shared" si="4"/>
        <v>591.75694444444446</v>
      </c>
      <c r="AZ6" s="55">
        <f t="shared" si="5"/>
        <v>80265.69</v>
      </c>
      <c r="BA6" s="9">
        <v>1815</v>
      </c>
      <c r="BB6" s="62">
        <v>25500</v>
      </c>
      <c r="BC6" s="8">
        <v>20625.599999999999</v>
      </c>
      <c r="BD6" s="9">
        <v>4720</v>
      </c>
      <c r="BE6" s="62">
        <v>63780</v>
      </c>
      <c r="BF6" s="8">
        <v>52740.4</v>
      </c>
      <c r="BG6" s="9">
        <v>8215</v>
      </c>
      <c r="BH6" s="62">
        <v>115112</v>
      </c>
      <c r="BI6" s="8">
        <v>93806.96</v>
      </c>
      <c r="BJ6" s="9">
        <v>6475</v>
      </c>
      <c r="BK6" s="62">
        <v>92880</v>
      </c>
      <c r="BL6" s="8">
        <v>72729.600000000006</v>
      </c>
      <c r="BM6" s="44">
        <v>4585</v>
      </c>
      <c r="BN6" s="42">
        <v>67780</v>
      </c>
      <c r="BO6" s="45">
        <v>51813.600000000006</v>
      </c>
      <c r="BP6" s="44">
        <v>5510</v>
      </c>
      <c r="BQ6" s="42">
        <v>80100</v>
      </c>
      <c r="BR6" s="45">
        <v>60966.400000000001</v>
      </c>
      <c r="BS6" s="44">
        <v>5395</v>
      </c>
      <c r="BT6" s="42">
        <v>80940</v>
      </c>
      <c r="BU6" s="112">
        <v>61629.600000000013</v>
      </c>
      <c r="BV6" s="115">
        <v>4655</v>
      </c>
      <c r="BW6" s="116">
        <v>65700</v>
      </c>
      <c r="BX6" s="112">
        <v>53425.599999999999</v>
      </c>
      <c r="BY6" s="115">
        <v>6949</v>
      </c>
      <c r="BZ6" s="116">
        <v>96810</v>
      </c>
      <c r="CA6" s="112">
        <v>80650.799999999988</v>
      </c>
      <c r="CB6" s="115">
        <v>6245</v>
      </c>
      <c r="CC6" s="116">
        <v>91320</v>
      </c>
      <c r="CD6" s="112">
        <v>70524</v>
      </c>
      <c r="CE6" s="115">
        <v>6130</v>
      </c>
      <c r="CF6" s="116">
        <v>94400</v>
      </c>
      <c r="CG6" s="112">
        <v>74343.199999999997</v>
      </c>
      <c r="CH6" s="115">
        <v>4869</v>
      </c>
      <c r="CI6" s="116">
        <v>74236</v>
      </c>
      <c r="CJ6" s="112">
        <v>55076.639999999999</v>
      </c>
      <c r="CK6" s="54">
        <f t="shared" si="6"/>
        <v>65563</v>
      </c>
      <c r="CL6" s="63">
        <f t="shared" si="7"/>
        <v>948558</v>
      </c>
      <c r="CM6" s="55">
        <f t="shared" si="8"/>
        <v>748332.4</v>
      </c>
      <c r="CN6" s="54">
        <f t="shared" si="9"/>
        <v>5463.583333333333</v>
      </c>
      <c r="CO6" s="63">
        <f t="shared" si="10"/>
        <v>79046.5</v>
      </c>
      <c r="CP6" s="172">
        <f t="shared" si="11"/>
        <v>62361.033333333333</v>
      </c>
      <c r="CQ6" s="9">
        <v>4538</v>
      </c>
      <c r="CR6" s="62">
        <v>68506</v>
      </c>
      <c r="CS6" s="98">
        <v>52108</v>
      </c>
      <c r="CT6" s="9">
        <v>4137</v>
      </c>
      <c r="CU6" s="62">
        <v>61434</v>
      </c>
      <c r="CV6" s="8">
        <v>48422.400000000001</v>
      </c>
      <c r="CW6" s="9"/>
      <c r="CX6" s="62"/>
      <c r="CY6" s="98"/>
      <c r="CZ6" s="9"/>
      <c r="DA6" s="62"/>
      <c r="DB6" s="8"/>
      <c r="DC6" s="9"/>
      <c r="DD6" s="62"/>
      <c r="DE6" s="8"/>
      <c r="DF6" s="9"/>
      <c r="DG6" s="62"/>
      <c r="DH6" s="8"/>
      <c r="DI6" s="9"/>
      <c r="DJ6" s="62"/>
      <c r="DK6" s="8"/>
      <c r="DL6" s="9"/>
      <c r="DM6" s="62"/>
      <c r="DN6" s="8"/>
      <c r="DO6" s="9"/>
      <c r="DP6" s="62"/>
      <c r="DQ6" s="8"/>
      <c r="DR6" s="9"/>
      <c r="DS6" s="62"/>
      <c r="DT6" s="8"/>
      <c r="DU6" s="9"/>
      <c r="DV6" s="62"/>
      <c r="DW6" s="8"/>
      <c r="DX6" s="9"/>
      <c r="DY6" s="62"/>
      <c r="DZ6" s="8"/>
    </row>
    <row r="7" spans="1:130" s="2" customFormat="1" ht="34.9" customHeight="1" x14ac:dyDescent="0.6">
      <c r="A7" s="5">
        <v>4</v>
      </c>
      <c r="B7" s="131" t="s">
        <v>25</v>
      </c>
      <c r="C7" s="14" t="s">
        <v>26</v>
      </c>
      <c r="D7" s="132" t="s">
        <v>19</v>
      </c>
      <c r="E7" s="132" t="s">
        <v>20</v>
      </c>
      <c r="F7" s="7" t="s">
        <v>15</v>
      </c>
      <c r="G7" s="16" t="s">
        <v>677</v>
      </c>
      <c r="H7" s="133" t="s">
        <v>678</v>
      </c>
      <c r="I7" s="133" t="s">
        <v>679</v>
      </c>
      <c r="J7" s="41" t="s">
        <v>16</v>
      </c>
      <c r="K7" s="9">
        <v>6968</v>
      </c>
      <c r="L7" s="62">
        <v>94352</v>
      </c>
      <c r="M7" s="78">
        <v>70969</v>
      </c>
      <c r="N7" s="9">
        <v>7510</v>
      </c>
      <c r="O7" s="62">
        <v>101220</v>
      </c>
      <c r="P7" s="41">
        <v>76092</v>
      </c>
      <c r="Q7" s="9">
        <v>10155</v>
      </c>
      <c r="R7" s="62">
        <v>135060</v>
      </c>
      <c r="S7" s="98">
        <v>103488</v>
      </c>
      <c r="T7" s="9">
        <v>8100</v>
      </c>
      <c r="U7" s="62">
        <v>107300</v>
      </c>
      <c r="V7" s="8">
        <v>81848</v>
      </c>
      <c r="W7" s="9">
        <v>8959</v>
      </c>
      <c r="X7" s="62">
        <v>119526</v>
      </c>
      <c r="Y7" s="8">
        <v>89961</v>
      </c>
      <c r="Z7" s="9">
        <v>8899</v>
      </c>
      <c r="AA7" s="62">
        <v>118886</v>
      </c>
      <c r="AB7" s="8">
        <v>89659.040000000008</v>
      </c>
      <c r="AC7" s="9">
        <v>7230</v>
      </c>
      <c r="AD7" s="62">
        <v>96420</v>
      </c>
      <c r="AE7" s="8">
        <v>73805</v>
      </c>
      <c r="AF7" s="9">
        <v>5562</v>
      </c>
      <c r="AG7" s="62">
        <v>73828</v>
      </c>
      <c r="AH7" s="8">
        <v>56624</v>
      </c>
      <c r="AI7" s="9">
        <v>5770</v>
      </c>
      <c r="AJ7" s="62">
        <v>76780</v>
      </c>
      <c r="AK7" s="8">
        <v>59111.199999999997</v>
      </c>
      <c r="AL7" s="9">
        <v>5830</v>
      </c>
      <c r="AM7" s="62">
        <v>77560</v>
      </c>
      <c r="AN7" s="8">
        <v>61360</v>
      </c>
      <c r="AO7" s="9">
        <v>8248</v>
      </c>
      <c r="AP7" s="62">
        <v>109096</v>
      </c>
      <c r="AQ7" s="8">
        <v>88130</v>
      </c>
      <c r="AR7" s="9">
        <v>6491</v>
      </c>
      <c r="AS7" s="62">
        <v>88820</v>
      </c>
      <c r="AT7" s="8">
        <v>68322</v>
      </c>
      <c r="AU7" s="54">
        <f t="shared" si="0"/>
        <v>89722</v>
      </c>
      <c r="AV7" s="63">
        <f t="shared" si="1"/>
        <v>1198848</v>
      </c>
      <c r="AW7" s="55">
        <f t="shared" si="2"/>
        <v>919369.24</v>
      </c>
      <c r="AX7" s="54">
        <f t="shared" si="3"/>
        <v>7476.833333333333</v>
      </c>
      <c r="AY7" s="63">
        <f t="shared" si="4"/>
        <v>623.06944444444446</v>
      </c>
      <c r="AZ7" s="55">
        <f t="shared" si="5"/>
        <v>76614.103333333333</v>
      </c>
      <c r="BA7" s="9">
        <v>7547</v>
      </c>
      <c r="BB7" s="62">
        <v>102462</v>
      </c>
      <c r="BC7" s="8">
        <v>81023.040000000008</v>
      </c>
      <c r="BD7" s="9">
        <v>6448</v>
      </c>
      <c r="BE7" s="62">
        <v>86412</v>
      </c>
      <c r="BF7" s="8">
        <v>70193.279999999999</v>
      </c>
      <c r="BG7" s="9">
        <v>9924</v>
      </c>
      <c r="BH7" s="62">
        <v>133206</v>
      </c>
      <c r="BI7" s="8">
        <v>108164.64</v>
      </c>
      <c r="BJ7" s="9">
        <v>8260</v>
      </c>
      <c r="BK7" s="62">
        <v>114590</v>
      </c>
      <c r="BL7" s="8">
        <v>89645.6</v>
      </c>
      <c r="BM7" s="44">
        <v>8198</v>
      </c>
      <c r="BN7" s="42">
        <v>109316</v>
      </c>
      <c r="BO7" s="45">
        <v>90459.199999999997</v>
      </c>
      <c r="BP7" s="44">
        <v>8215</v>
      </c>
      <c r="BQ7" s="42">
        <v>112050</v>
      </c>
      <c r="BR7" s="45">
        <v>90741.6</v>
      </c>
      <c r="BS7" s="44">
        <v>7405</v>
      </c>
      <c r="BT7" s="42">
        <v>99180</v>
      </c>
      <c r="BU7" s="112">
        <v>81213.600000000006</v>
      </c>
      <c r="BV7" s="115">
        <v>5337</v>
      </c>
      <c r="BW7" s="116">
        <v>72044</v>
      </c>
      <c r="BX7" s="112">
        <v>58184</v>
      </c>
      <c r="BY7" s="115">
        <v>6409</v>
      </c>
      <c r="BZ7" s="116">
        <v>85766</v>
      </c>
      <c r="CA7" s="112">
        <v>70211.839999999997</v>
      </c>
      <c r="CB7" s="115">
        <v>6799</v>
      </c>
      <c r="CC7" s="116">
        <v>91908</v>
      </c>
      <c r="CD7" s="112">
        <v>75957.600000000006</v>
      </c>
      <c r="CE7" s="115">
        <v>6249</v>
      </c>
      <c r="CF7" s="116">
        <v>81648</v>
      </c>
      <c r="CG7" s="112">
        <v>68140.800000000003</v>
      </c>
      <c r="CH7" s="115">
        <v>7313</v>
      </c>
      <c r="CI7" s="116">
        <v>96976</v>
      </c>
      <c r="CJ7" s="112">
        <v>81949.600000000006</v>
      </c>
      <c r="CK7" s="54">
        <f t="shared" si="6"/>
        <v>88104</v>
      </c>
      <c r="CL7" s="63">
        <f t="shared" si="7"/>
        <v>1185558</v>
      </c>
      <c r="CM7" s="55">
        <f t="shared" si="8"/>
        <v>965884.8</v>
      </c>
      <c r="CN7" s="54">
        <f t="shared" si="9"/>
        <v>7342</v>
      </c>
      <c r="CO7" s="63">
        <f t="shared" si="10"/>
        <v>98796.5</v>
      </c>
      <c r="CP7" s="172">
        <f t="shared" si="11"/>
        <v>80490.400000000009</v>
      </c>
      <c r="CQ7" s="9">
        <v>6679</v>
      </c>
      <c r="CR7" s="62">
        <v>90908</v>
      </c>
      <c r="CS7" s="98">
        <v>74604.800000000003</v>
      </c>
      <c r="CT7" s="9">
        <v>4205</v>
      </c>
      <c r="CU7" s="62">
        <v>54620</v>
      </c>
      <c r="CV7" s="8">
        <v>46404.800000000003</v>
      </c>
      <c r="CW7" s="9"/>
      <c r="CX7" s="62"/>
      <c r="CY7" s="98"/>
      <c r="CZ7" s="9"/>
      <c r="DA7" s="62"/>
      <c r="DB7" s="8"/>
      <c r="DC7" s="9"/>
      <c r="DD7" s="62"/>
      <c r="DE7" s="8"/>
      <c r="DF7" s="9"/>
      <c r="DG7" s="62"/>
      <c r="DH7" s="8"/>
      <c r="DI7" s="9"/>
      <c r="DJ7" s="62"/>
      <c r="DK7" s="8"/>
      <c r="DL7" s="9"/>
      <c r="DM7" s="62"/>
      <c r="DN7" s="8"/>
      <c r="DO7" s="9"/>
      <c r="DP7" s="62"/>
      <c r="DQ7" s="8"/>
      <c r="DR7" s="9"/>
      <c r="DS7" s="62"/>
      <c r="DT7" s="8"/>
      <c r="DU7" s="9"/>
      <c r="DV7" s="62"/>
      <c r="DW7" s="8"/>
      <c r="DX7" s="9"/>
      <c r="DY7" s="62"/>
      <c r="DZ7" s="8"/>
    </row>
    <row r="8" spans="1:130" s="2" customFormat="1" ht="34.9" customHeight="1" x14ac:dyDescent="0.6">
      <c r="A8" s="5">
        <v>5</v>
      </c>
      <c r="B8" s="131" t="s">
        <v>27</v>
      </c>
      <c r="C8" s="14" t="s">
        <v>28</v>
      </c>
      <c r="D8" s="132" t="s">
        <v>29</v>
      </c>
      <c r="E8" s="132" t="s">
        <v>30</v>
      </c>
      <c r="F8" s="7" t="s">
        <v>15</v>
      </c>
      <c r="G8" s="16" t="s">
        <v>680</v>
      </c>
      <c r="H8" s="133" t="s">
        <v>681</v>
      </c>
      <c r="I8" s="133" t="s">
        <v>682</v>
      </c>
      <c r="J8" s="41" t="s">
        <v>16</v>
      </c>
      <c r="K8" s="9">
        <v>6940</v>
      </c>
      <c r="L8" s="62">
        <v>98060</v>
      </c>
      <c r="M8" s="78">
        <v>75008</v>
      </c>
      <c r="N8" s="9">
        <v>6010</v>
      </c>
      <c r="O8" s="62">
        <v>84280</v>
      </c>
      <c r="P8" s="41">
        <v>65805</v>
      </c>
      <c r="Q8" s="9">
        <v>7000</v>
      </c>
      <c r="R8" s="62">
        <v>97820</v>
      </c>
      <c r="S8" s="98">
        <v>75778</v>
      </c>
      <c r="T8" s="9">
        <v>7005</v>
      </c>
      <c r="U8" s="62">
        <v>98800</v>
      </c>
      <c r="V8" s="8">
        <v>76156</v>
      </c>
      <c r="W8" s="9">
        <v>7000</v>
      </c>
      <c r="X8" s="62">
        <v>97920</v>
      </c>
      <c r="Y8" s="8">
        <v>76612</v>
      </c>
      <c r="Z8" s="9">
        <v>7530</v>
      </c>
      <c r="AA8" s="62">
        <v>105340</v>
      </c>
      <c r="AB8" s="8">
        <v>82476.399999999994</v>
      </c>
      <c r="AC8" s="9">
        <v>7500</v>
      </c>
      <c r="AD8" s="62">
        <v>103310</v>
      </c>
      <c r="AE8" s="8">
        <v>62835</v>
      </c>
      <c r="AF8" s="9">
        <v>7220</v>
      </c>
      <c r="AG8" s="62">
        <v>100900</v>
      </c>
      <c r="AH8" s="8">
        <v>80072</v>
      </c>
      <c r="AI8" s="9">
        <v>6230</v>
      </c>
      <c r="AJ8" s="62">
        <v>91480</v>
      </c>
      <c r="AK8" s="8">
        <v>68679.200000000012</v>
      </c>
      <c r="AL8" s="9">
        <v>6720</v>
      </c>
      <c r="AM8" s="62">
        <v>97120</v>
      </c>
      <c r="AN8" s="8">
        <v>73648.800000000003</v>
      </c>
      <c r="AO8" s="9">
        <v>5180</v>
      </c>
      <c r="AP8" s="62">
        <v>76180</v>
      </c>
      <c r="AQ8" s="8">
        <v>57004</v>
      </c>
      <c r="AR8" s="9">
        <v>5180</v>
      </c>
      <c r="AS8" s="62">
        <v>75420</v>
      </c>
      <c r="AT8" s="8">
        <v>57160</v>
      </c>
      <c r="AU8" s="54">
        <f t="shared" si="0"/>
        <v>79515</v>
      </c>
      <c r="AV8" s="63">
        <f t="shared" si="1"/>
        <v>1126630</v>
      </c>
      <c r="AW8" s="55">
        <f t="shared" si="2"/>
        <v>851234.40000000014</v>
      </c>
      <c r="AX8" s="54">
        <f t="shared" si="3"/>
        <v>6626.25</v>
      </c>
      <c r="AY8" s="63">
        <f t="shared" si="4"/>
        <v>552.1875</v>
      </c>
      <c r="AZ8" s="55">
        <f t="shared" si="5"/>
        <v>70936.200000000012</v>
      </c>
      <c r="BA8" s="9">
        <v>5696</v>
      </c>
      <c r="BB8" s="62">
        <v>83060</v>
      </c>
      <c r="BC8" s="8">
        <v>62569.999999999993</v>
      </c>
      <c r="BD8" s="9">
        <v>4164</v>
      </c>
      <c r="BE8" s="62">
        <v>60040</v>
      </c>
      <c r="BF8" s="8">
        <v>45896</v>
      </c>
      <c r="BG8" s="9">
        <v>5735</v>
      </c>
      <c r="BH8" s="62">
        <v>83740</v>
      </c>
      <c r="BI8" s="8">
        <v>63158.8</v>
      </c>
      <c r="BJ8" s="9">
        <v>4205</v>
      </c>
      <c r="BK8" s="62">
        <v>62430</v>
      </c>
      <c r="BL8" s="8">
        <v>46294</v>
      </c>
      <c r="BM8" s="44">
        <v>5030</v>
      </c>
      <c r="BN8" s="42">
        <v>73420</v>
      </c>
      <c r="BO8" s="45">
        <v>55705.2</v>
      </c>
      <c r="BP8" s="44">
        <v>5510</v>
      </c>
      <c r="BQ8" s="42">
        <v>80200</v>
      </c>
      <c r="BR8" s="45">
        <v>61006.399999999994</v>
      </c>
      <c r="BS8" s="44">
        <v>5020</v>
      </c>
      <c r="BT8" s="42">
        <v>72240</v>
      </c>
      <c r="BU8" s="112">
        <v>55336.800000000003</v>
      </c>
      <c r="BV8" s="115">
        <v>5000</v>
      </c>
      <c r="BW8" s="116">
        <v>74160</v>
      </c>
      <c r="BX8" s="112">
        <v>55030.400000000001</v>
      </c>
      <c r="BY8" s="115">
        <v>4520</v>
      </c>
      <c r="BZ8" s="116">
        <v>65840</v>
      </c>
      <c r="CA8" s="112">
        <v>49776.800000000003</v>
      </c>
      <c r="CB8" s="115">
        <v>5200</v>
      </c>
      <c r="CC8" s="116">
        <v>76680</v>
      </c>
      <c r="CD8" s="112">
        <v>57813.599999999999</v>
      </c>
      <c r="CE8" s="115">
        <v>4020</v>
      </c>
      <c r="CF8" s="116">
        <v>58160</v>
      </c>
      <c r="CG8" s="112">
        <v>44584</v>
      </c>
      <c r="CH8" s="115">
        <v>5000</v>
      </c>
      <c r="CI8" s="116">
        <v>73940</v>
      </c>
      <c r="CJ8" s="112">
        <v>55618.399999999994</v>
      </c>
      <c r="CK8" s="54">
        <f t="shared" si="6"/>
        <v>59100</v>
      </c>
      <c r="CL8" s="63">
        <f t="shared" si="7"/>
        <v>863910</v>
      </c>
      <c r="CM8" s="55">
        <f t="shared" si="8"/>
        <v>652790.4</v>
      </c>
      <c r="CN8" s="54">
        <f t="shared" si="9"/>
        <v>4925</v>
      </c>
      <c r="CO8" s="63">
        <f t="shared" si="10"/>
        <v>71992.5</v>
      </c>
      <c r="CP8" s="172">
        <f t="shared" si="11"/>
        <v>54399.200000000004</v>
      </c>
      <c r="CQ8" s="9">
        <v>4030</v>
      </c>
      <c r="CR8" s="62">
        <v>60820</v>
      </c>
      <c r="CS8" s="98">
        <v>44817.600000000006</v>
      </c>
      <c r="CT8" s="9">
        <v>4020</v>
      </c>
      <c r="CU8" s="62">
        <v>59440</v>
      </c>
      <c r="CV8" s="8">
        <v>44950.400000000001</v>
      </c>
      <c r="CW8" s="9"/>
      <c r="CX8" s="62"/>
      <c r="CY8" s="98"/>
      <c r="CZ8" s="9"/>
      <c r="DA8" s="62"/>
      <c r="DB8" s="8"/>
      <c r="DC8" s="9"/>
      <c r="DD8" s="62"/>
      <c r="DE8" s="8"/>
      <c r="DF8" s="9"/>
      <c r="DG8" s="62"/>
      <c r="DH8" s="8"/>
      <c r="DI8" s="9"/>
      <c r="DJ8" s="62"/>
      <c r="DK8" s="8"/>
      <c r="DL8" s="9"/>
      <c r="DM8" s="62"/>
      <c r="DN8" s="8"/>
      <c r="DO8" s="9"/>
      <c r="DP8" s="62"/>
      <c r="DQ8" s="8"/>
      <c r="DR8" s="9"/>
      <c r="DS8" s="62"/>
      <c r="DT8" s="8"/>
      <c r="DU8" s="9"/>
      <c r="DV8" s="62"/>
      <c r="DW8" s="8"/>
      <c r="DX8" s="9"/>
      <c r="DY8" s="62"/>
      <c r="DZ8" s="8"/>
    </row>
    <row r="9" spans="1:130" s="2" customFormat="1" ht="34.9" customHeight="1" x14ac:dyDescent="0.6">
      <c r="A9" s="5">
        <v>6</v>
      </c>
      <c r="B9" s="131" t="s">
        <v>31</v>
      </c>
      <c r="C9" s="14" t="s">
        <v>32</v>
      </c>
      <c r="D9" s="132" t="s">
        <v>33</v>
      </c>
      <c r="E9" s="132" t="s">
        <v>34</v>
      </c>
      <c r="F9" s="7" t="s">
        <v>15</v>
      </c>
      <c r="G9" s="16" t="s">
        <v>683</v>
      </c>
      <c r="H9" s="133" t="s">
        <v>684</v>
      </c>
      <c r="I9" s="133" t="s">
        <v>685</v>
      </c>
      <c r="J9" s="41" t="s">
        <v>16</v>
      </c>
      <c r="K9" s="9">
        <v>4705</v>
      </c>
      <c r="L9" s="62">
        <v>69020</v>
      </c>
      <c r="M9" s="78">
        <v>46637</v>
      </c>
      <c r="N9" s="9">
        <v>4535</v>
      </c>
      <c r="O9" s="62">
        <v>66620</v>
      </c>
      <c r="P9" s="41">
        <v>45199</v>
      </c>
      <c r="Q9" s="9">
        <v>4005</v>
      </c>
      <c r="R9" s="62">
        <v>59600</v>
      </c>
      <c r="S9" s="98">
        <v>40125</v>
      </c>
      <c r="T9" s="9">
        <v>8470</v>
      </c>
      <c r="U9" s="62">
        <v>118160</v>
      </c>
      <c r="V9" s="8">
        <v>84804</v>
      </c>
      <c r="W9" s="9">
        <v>7700</v>
      </c>
      <c r="X9" s="62">
        <v>111480</v>
      </c>
      <c r="Y9" s="8">
        <v>72504</v>
      </c>
      <c r="Z9" s="9">
        <v>8073</v>
      </c>
      <c r="AA9" s="62">
        <v>114706</v>
      </c>
      <c r="AB9" s="8">
        <v>78337.600000000006</v>
      </c>
      <c r="AC9" s="9">
        <v>6935</v>
      </c>
      <c r="AD9" s="62">
        <v>98260</v>
      </c>
      <c r="AE9" s="8">
        <v>69226</v>
      </c>
      <c r="AF9" s="9">
        <v>5765</v>
      </c>
      <c r="AG9" s="62">
        <v>84630</v>
      </c>
      <c r="AH9" s="8">
        <v>56192</v>
      </c>
      <c r="AI9" s="9">
        <v>5890</v>
      </c>
      <c r="AJ9" s="62">
        <v>84360</v>
      </c>
      <c r="AK9" s="8">
        <v>57992.800000000003</v>
      </c>
      <c r="AL9" s="9">
        <v>6010</v>
      </c>
      <c r="AM9" s="62">
        <v>87340</v>
      </c>
      <c r="AN9" s="8">
        <v>60343.200000000004</v>
      </c>
      <c r="AO9" s="9">
        <v>7015</v>
      </c>
      <c r="AP9" s="62">
        <v>100540</v>
      </c>
      <c r="AQ9" s="8">
        <v>69116</v>
      </c>
      <c r="AR9" s="9">
        <v>6280</v>
      </c>
      <c r="AS9" s="62">
        <v>89420</v>
      </c>
      <c r="AT9" s="8">
        <v>61223</v>
      </c>
      <c r="AU9" s="54">
        <f t="shared" si="0"/>
        <v>75383</v>
      </c>
      <c r="AV9" s="63">
        <f t="shared" si="1"/>
        <v>1084136</v>
      </c>
      <c r="AW9" s="55">
        <f t="shared" si="2"/>
        <v>741699.6</v>
      </c>
      <c r="AX9" s="54">
        <f t="shared" si="3"/>
        <v>6281.916666666667</v>
      </c>
      <c r="AY9" s="63">
        <f t="shared" si="4"/>
        <v>523.49305555555554</v>
      </c>
      <c r="AZ9" s="55">
        <f t="shared" si="5"/>
        <v>61808.299999999996</v>
      </c>
      <c r="BA9" s="9">
        <v>6290</v>
      </c>
      <c r="BB9" s="62">
        <v>88630</v>
      </c>
      <c r="BC9" s="8">
        <v>62321.600000000006</v>
      </c>
      <c r="BD9" s="9">
        <v>6600</v>
      </c>
      <c r="BE9" s="62">
        <v>94740</v>
      </c>
      <c r="BF9" s="8">
        <v>65354</v>
      </c>
      <c r="BG9" s="9">
        <v>7600</v>
      </c>
      <c r="BH9" s="62">
        <v>107640</v>
      </c>
      <c r="BI9" s="8">
        <v>78568</v>
      </c>
      <c r="BJ9" s="9">
        <v>5855</v>
      </c>
      <c r="BK9" s="62">
        <v>84990</v>
      </c>
      <c r="BL9" s="8">
        <v>56120.800000000003</v>
      </c>
      <c r="BM9" s="44">
        <v>6190</v>
      </c>
      <c r="BN9" s="42">
        <v>87610</v>
      </c>
      <c r="BO9" s="45">
        <v>61233.600000000006</v>
      </c>
      <c r="BP9" s="44">
        <v>7675</v>
      </c>
      <c r="BQ9" s="42">
        <v>106380</v>
      </c>
      <c r="BR9" s="45">
        <v>77808.399999999994</v>
      </c>
      <c r="BS9" s="44">
        <v>6605</v>
      </c>
      <c r="BT9" s="42">
        <v>92010</v>
      </c>
      <c r="BU9" s="112">
        <v>67330</v>
      </c>
      <c r="BV9" s="115">
        <v>6519</v>
      </c>
      <c r="BW9" s="116">
        <v>93158</v>
      </c>
      <c r="BX9" s="112">
        <v>66910.8</v>
      </c>
      <c r="BY9" s="115">
        <v>5450</v>
      </c>
      <c r="BZ9" s="116">
        <v>74930</v>
      </c>
      <c r="CA9" s="112">
        <v>56407.200000000004</v>
      </c>
      <c r="CB9" s="115">
        <v>6290</v>
      </c>
      <c r="CC9" s="116">
        <v>85460</v>
      </c>
      <c r="CD9" s="112">
        <v>64478.400000000001</v>
      </c>
      <c r="CE9" s="115">
        <v>6605</v>
      </c>
      <c r="CF9" s="116">
        <v>92280</v>
      </c>
      <c r="CG9" s="112">
        <v>67648</v>
      </c>
      <c r="CH9" s="115">
        <v>7025</v>
      </c>
      <c r="CI9" s="116">
        <v>97560</v>
      </c>
      <c r="CJ9" s="112">
        <v>72648.799999999988</v>
      </c>
      <c r="CK9" s="54">
        <f t="shared" si="6"/>
        <v>78704</v>
      </c>
      <c r="CL9" s="63">
        <f t="shared" si="7"/>
        <v>1105388</v>
      </c>
      <c r="CM9" s="55">
        <f t="shared" si="8"/>
        <v>796829.60000000009</v>
      </c>
      <c r="CN9" s="54">
        <f t="shared" si="9"/>
        <v>6558.666666666667</v>
      </c>
      <c r="CO9" s="63">
        <f t="shared" si="10"/>
        <v>92115.666666666672</v>
      </c>
      <c r="CP9" s="172">
        <f t="shared" si="11"/>
        <v>66402.466666666674</v>
      </c>
      <c r="CQ9" s="9">
        <v>7250</v>
      </c>
      <c r="CR9" s="62">
        <v>99490</v>
      </c>
      <c r="CS9" s="98">
        <v>74399.199999999997</v>
      </c>
      <c r="CT9" s="9">
        <v>7210</v>
      </c>
      <c r="CU9" s="62">
        <v>100710</v>
      </c>
      <c r="CV9" s="8">
        <v>73448.399999999994</v>
      </c>
      <c r="CW9" s="9"/>
      <c r="CX9" s="62"/>
      <c r="CY9" s="98"/>
      <c r="CZ9" s="9"/>
      <c r="DA9" s="62"/>
      <c r="DB9" s="8"/>
      <c r="DC9" s="9"/>
      <c r="DD9" s="62"/>
      <c r="DE9" s="8"/>
      <c r="DF9" s="9"/>
      <c r="DG9" s="62"/>
      <c r="DH9" s="8"/>
      <c r="DI9" s="9"/>
      <c r="DJ9" s="62"/>
      <c r="DK9" s="8"/>
      <c r="DL9" s="9"/>
      <c r="DM9" s="62"/>
      <c r="DN9" s="8"/>
      <c r="DO9" s="9"/>
      <c r="DP9" s="62"/>
      <c r="DQ9" s="8"/>
      <c r="DR9" s="9"/>
      <c r="DS9" s="62"/>
      <c r="DT9" s="8"/>
      <c r="DU9" s="9"/>
      <c r="DV9" s="62"/>
      <c r="DW9" s="8"/>
      <c r="DX9" s="9"/>
      <c r="DY9" s="62"/>
      <c r="DZ9" s="8"/>
    </row>
    <row r="10" spans="1:130" s="2" customFormat="1" ht="34.9" customHeight="1" x14ac:dyDescent="0.6">
      <c r="A10" s="5">
        <v>7</v>
      </c>
      <c r="B10" s="131" t="s">
        <v>35</v>
      </c>
      <c r="C10" s="14" t="s">
        <v>36</v>
      </c>
      <c r="D10" s="132" t="s">
        <v>37</v>
      </c>
      <c r="E10" s="132" t="s">
        <v>38</v>
      </c>
      <c r="F10" s="7" t="s">
        <v>15</v>
      </c>
      <c r="G10" s="16" t="s">
        <v>686</v>
      </c>
      <c r="H10" s="133" t="s">
        <v>687</v>
      </c>
      <c r="I10" s="133" t="s">
        <v>688</v>
      </c>
      <c r="J10" s="41" t="s">
        <v>16</v>
      </c>
      <c r="K10" s="9">
        <v>5205</v>
      </c>
      <c r="L10" s="62">
        <v>74780</v>
      </c>
      <c r="M10" s="78">
        <v>57184</v>
      </c>
      <c r="N10" s="9">
        <v>5220</v>
      </c>
      <c r="O10" s="62">
        <v>75080</v>
      </c>
      <c r="P10" s="41">
        <v>58488</v>
      </c>
      <c r="Q10" s="9">
        <v>5100</v>
      </c>
      <c r="R10" s="62">
        <v>71300</v>
      </c>
      <c r="S10" s="98">
        <v>56594</v>
      </c>
      <c r="T10" s="9">
        <v>4640</v>
      </c>
      <c r="U10" s="62">
        <v>66420</v>
      </c>
      <c r="V10" s="8">
        <v>51895</v>
      </c>
      <c r="W10" s="9">
        <v>5055</v>
      </c>
      <c r="X10" s="62">
        <v>73760</v>
      </c>
      <c r="Y10" s="8">
        <v>56594</v>
      </c>
      <c r="Z10" s="9">
        <v>6840</v>
      </c>
      <c r="AA10" s="62">
        <v>97740</v>
      </c>
      <c r="AB10" s="8">
        <v>77320.400000000009</v>
      </c>
      <c r="AC10" s="9">
        <v>5650</v>
      </c>
      <c r="AD10" s="62">
        <v>84000</v>
      </c>
      <c r="AE10" s="8">
        <v>64122</v>
      </c>
      <c r="AF10" s="9">
        <v>5325</v>
      </c>
      <c r="AG10" s="62">
        <v>76900</v>
      </c>
      <c r="AH10" s="8">
        <v>60214</v>
      </c>
      <c r="AI10" s="9">
        <v>5655</v>
      </c>
      <c r="AJ10" s="62">
        <v>83620</v>
      </c>
      <c r="AK10" s="8">
        <v>65024.800000000003</v>
      </c>
      <c r="AL10" s="9">
        <v>6115</v>
      </c>
      <c r="AM10" s="62">
        <v>89720</v>
      </c>
      <c r="AN10" s="8">
        <v>70668</v>
      </c>
      <c r="AO10" s="9">
        <v>5530</v>
      </c>
      <c r="AP10" s="62">
        <v>82360</v>
      </c>
      <c r="AQ10" s="8">
        <v>63984</v>
      </c>
      <c r="AR10" s="9">
        <v>5485</v>
      </c>
      <c r="AS10" s="62">
        <v>81700</v>
      </c>
      <c r="AT10" s="8">
        <v>63414</v>
      </c>
      <c r="AU10" s="54">
        <f t="shared" si="0"/>
        <v>65820</v>
      </c>
      <c r="AV10" s="63">
        <f t="shared" si="1"/>
        <v>957380</v>
      </c>
      <c r="AW10" s="55">
        <f t="shared" si="2"/>
        <v>745502.20000000007</v>
      </c>
      <c r="AX10" s="54">
        <f t="shared" si="3"/>
        <v>5485</v>
      </c>
      <c r="AY10" s="63">
        <f t="shared" si="4"/>
        <v>457.08333333333331</v>
      </c>
      <c r="AZ10" s="55">
        <f t="shared" si="5"/>
        <v>62125.183333333342</v>
      </c>
      <c r="BA10" s="9">
        <v>4445</v>
      </c>
      <c r="BB10" s="62">
        <v>65410</v>
      </c>
      <c r="BC10" s="8">
        <v>51160</v>
      </c>
      <c r="BD10" s="9">
        <v>4960</v>
      </c>
      <c r="BE10" s="62">
        <v>74100</v>
      </c>
      <c r="BF10" s="8">
        <v>57312.399999999994</v>
      </c>
      <c r="BG10" s="9">
        <v>6065</v>
      </c>
      <c r="BH10" s="62">
        <v>91440</v>
      </c>
      <c r="BI10" s="8">
        <v>70200.800000000003</v>
      </c>
      <c r="BJ10" s="9">
        <v>4460</v>
      </c>
      <c r="BK10" s="62">
        <v>65420</v>
      </c>
      <c r="BL10" s="8">
        <v>51279.199999999997</v>
      </c>
      <c r="BM10" s="44">
        <v>5075</v>
      </c>
      <c r="BN10" s="42">
        <v>77060</v>
      </c>
      <c r="BO10" s="45">
        <v>58795.199999999997</v>
      </c>
      <c r="BP10" s="44">
        <v>4495</v>
      </c>
      <c r="BQ10" s="42">
        <v>67020</v>
      </c>
      <c r="BR10" s="45">
        <v>51311.200000000004</v>
      </c>
      <c r="BS10" s="44">
        <v>5000</v>
      </c>
      <c r="BT10" s="42">
        <v>76940</v>
      </c>
      <c r="BU10" s="112">
        <v>57677.600000000006</v>
      </c>
      <c r="BV10" s="115">
        <v>4980</v>
      </c>
      <c r="BW10" s="116">
        <v>76540</v>
      </c>
      <c r="BX10" s="112">
        <v>57752.800000000003</v>
      </c>
      <c r="BY10" s="115">
        <v>4440</v>
      </c>
      <c r="BZ10" s="116">
        <v>68360</v>
      </c>
      <c r="CA10" s="112">
        <v>51796.800000000003</v>
      </c>
      <c r="CB10" s="115">
        <v>5010</v>
      </c>
      <c r="CC10" s="116">
        <v>78820</v>
      </c>
      <c r="CD10" s="112">
        <v>58651.199999999997</v>
      </c>
      <c r="CE10" s="115">
        <v>5020</v>
      </c>
      <c r="CF10" s="116">
        <v>76500</v>
      </c>
      <c r="CG10" s="112">
        <v>58733.599999999999</v>
      </c>
      <c r="CH10" s="115">
        <v>5605</v>
      </c>
      <c r="CI10" s="116">
        <v>86440</v>
      </c>
      <c r="CJ10" s="112">
        <v>65288</v>
      </c>
      <c r="CK10" s="54">
        <f t="shared" si="6"/>
        <v>59555</v>
      </c>
      <c r="CL10" s="63">
        <f t="shared" si="7"/>
        <v>904050</v>
      </c>
      <c r="CM10" s="55">
        <f t="shared" si="8"/>
        <v>689958.79999999993</v>
      </c>
      <c r="CN10" s="54">
        <f t="shared" si="9"/>
        <v>4962.916666666667</v>
      </c>
      <c r="CO10" s="63">
        <f t="shared" si="10"/>
        <v>75337.5</v>
      </c>
      <c r="CP10" s="172">
        <f t="shared" si="11"/>
        <v>57496.566666666658</v>
      </c>
      <c r="CQ10" s="9">
        <v>5030</v>
      </c>
      <c r="CR10" s="62">
        <v>79460</v>
      </c>
      <c r="CS10" s="98">
        <v>59660.800000000003</v>
      </c>
      <c r="CT10" s="9">
        <v>5600</v>
      </c>
      <c r="CU10" s="62">
        <v>88300</v>
      </c>
      <c r="CV10" s="8">
        <v>66153.600000000006</v>
      </c>
      <c r="CW10" s="9"/>
      <c r="CX10" s="62"/>
      <c r="CY10" s="98"/>
      <c r="CZ10" s="9"/>
      <c r="DA10" s="62"/>
      <c r="DB10" s="8"/>
      <c r="DC10" s="9"/>
      <c r="DD10" s="62"/>
      <c r="DE10" s="8"/>
      <c r="DF10" s="9"/>
      <c r="DG10" s="62"/>
      <c r="DH10" s="8"/>
      <c r="DI10" s="9"/>
      <c r="DJ10" s="62"/>
      <c r="DK10" s="8"/>
      <c r="DL10" s="9"/>
      <c r="DM10" s="62"/>
      <c r="DN10" s="8"/>
      <c r="DO10" s="9"/>
      <c r="DP10" s="62"/>
      <c r="DQ10" s="8"/>
      <c r="DR10" s="9"/>
      <c r="DS10" s="62"/>
      <c r="DT10" s="8"/>
      <c r="DU10" s="9"/>
      <c r="DV10" s="62"/>
      <c r="DW10" s="8"/>
      <c r="DX10" s="9"/>
      <c r="DY10" s="62"/>
      <c r="DZ10" s="8"/>
    </row>
    <row r="11" spans="1:130" s="2" customFormat="1" ht="34.9" customHeight="1" x14ac:dyDescent="0.6">
      <c r="A11" s="5">
        <v>8</v>
      </c>
      <c r="B11" s="131" t="s">
        <v>39</v>
      </c>
      <c r="C11" s="14" t="s">
        <v>40</v>
      </c>
      <c r="D11" s="132" t="s">
        <v>41</v>
      </c>
      <c r="E11" s="132" t="s">
        <v>42</v>
      </c>
      <c r="F11" s="7" t="s">
        <v>15</v>
      </c>
      <c r="G11" s="16" t="s">
        <v>689</v>
      </c>
      <c r="H11" s="133" t="s">
        <v>690</v>
      </c>
      <c r="I11" s="133" t="s">
        <v>691</v>
      </c>
      <c r="J11" s="41" t="s">
        <v>16</v>
      </c>
      <c r="K11" s="9">
        <v>6520</v>
      </c>
      <c r="L11" s="62">
        <v>92280</v>
      </c>
      <c r="M11" s="78">
        <v>65643</v>
      </c>
      <c r="N11" s="9">
        <v>4340</v>
      </c>
      <c r="O11" s="62">
        <v>61820</v>
      </c>
      <c r="P11" s="41">
        <v>43297</v>
      </c>
      <c r="Q11" s="9">
        <v>5375</v>
      </c>
      <c r="R11" s="62">
        <v>76560</v>
      </c>
      <c r="S11" s="98">
        <v>53456</v>
      </c>
      <c r="T11" s="9">
        <v>4540</v>
      </c>
      <c r="U11" s="62">
        <v>63580</v>
      </c>
      <c r="V11" s="8">
        <v>44093</v>
      </c>
      <c r="W11" s="9">
        <v>4760</v>
      </c>
      <c r="X11" s="62">
        <v>67120</v>
      </c>
      <c r="Y11" s="8">
        <v>47183</v>
      </c>
      <c r="Z11" s="9">
        <v>5970</v>
      </c>
      <c r="AA11" s="62">
        <v>85060</v>
      </c>
      <c r="AB11" s="8">
        <v>59396.000000000007</v>
      </c>
      <c r="AC11" s="9">
        <v>5825</v>
      </c>
      <c r="AD11" s="62">
        <v>82550</v>
      </c>
      <c r="AE11" s="8">
        <v>57947</v>
      </c>
      <c r="AF11" s="9">
        <v>3946</v>
      </c>
      <c r="AG11" s="62">
        <v>57392</v>
      </c>
      <c r="AH11" s="8">
        <v>41894</v>
      </c>
      <c r="AI11" s="9">
        <v>4215</v>
      </c>
      <c r="AJ11" s="62">
        <v>59360</v>
      </c>
      <c r="AK11" s="8">
        <v>41896</v>
      </c>
      <c r="AL11" s="9">
        <v>6015</v>
      </c>
      <c r="AM11" s="62">
        <v>87120</v>
      </c>
      <c r="AN11" s="8">
        <v>61401.200000000004</v>
      </c>
      <c r="AO11" s="9">
        <v>5660</v>
      </c>
      <c r="AP11" s="62">
        <v>79130</v>
      </c>
      <c r="AQ11" s="8">
        <v>57492</v>
      </c>
      <c r="AR11" s="9">
        <v>3820</v>
      </c>
      <c r="AS11" s="62">
        <v>53780</v>
      </c>
      <c r="AT11" s="8">
        <v>39082</v>
      </c>
      <c r="AU11" s="54">
        <f t="shared" si="0"/>
        <v>60986</v>
      </c>
      <c r="AV11" s="63">
        <f t="shared" si="1"/>
        <v>865752</v>
      </c>
      <c r="AW11" s="55">
        <f t="shared" si="2"/>
        <v>612780.19999999995</v>
      </c>
      <c r="AX11" s="54">
        <f t="shared" si="3"/>
        <v>5082.166666666667</v>
      </c>
      <c r="AY11" s="63">
        <f t="shared" si="4"/>
        <v>423.51388888888891</v>
      </c>
      <c r="AZ11" s="55">
        <f t="shared" si="5"/>
        <v>51065.016666666663</v>
      </c>
      <c r="BA11" s="9">
        <v>4985</v>
      </c>
      <c r="BB11" s="62">
        <v>69540</v>
      </c>
      <c r="BC11" s="8">
        <v>49863.200000000004</v>
      </c>
      <c r="BD11" s="9">
        <v>6215</v>
      </c>
      <c r="BE11" s="62">
        <v>88540</v>
      </c>
      <c r="BF11" s="8">
        <v>62622.400000000001</v>
      </c>
      <c r="BG11" s="9">
        <v>4395</v>
      </c>
      <c r="BH11" s="62">
        <v>63260</v>
      </c>
      <c r="BI11" s="8">
        <v>47216</v>
      </c>
      <c r="BJ11" s="9">
        <v>4350</v>
      </c>
      <c r="BK11" s="62">
        <v>62280</v>
      </c>
      <c r="BL11" s="8">
        <v>43780</v>
      </c>
      <c r="BM11" s="44">
        <v>4010</v>
      </c>
      <c r="BN11" s="42">
        <v>56070</v>
      </c>
      <c r="BO11" s="45">
        <v>40570.800000000003</v>
      </c>
      <c r="BP11" s="44">
        <v>4920</v>
      </c>
      <c r="BQ11" s="42">
        <v>70010</v>
      </c>
      <c r="BR11" s="45">
        <v>49778.8</v>
      </c>
      <c r="BS11" s="44">
        <v>3690</v>
      </c>
      <c r="BT11" s="42">
        <v>52510</v>
      </c>
      <c r="BU11" s="112">
        <v>36973.599999999999</v>
      </c>
      <c r="BV11" s="115">
        <v>4030</v>
      </c>
      <c r="BW11" s="116">
        <v>56620</v>
      </c>
      <c r="BX11" s="112">
        <v>41116</v>
      </c>
      <c r="BY11" s="115">
        <v>3330</v>
      </c>
      <c r="BZ11" s="116">
        <v>46560</v>
      </c>
      <c r="CA11" s="112">
        <v>34144</v>
      </c>
      <c r="CB11" s="115">
        <v>4110</v>
      </c>
      <c r="CC11" s="116">
        <v>59840</v>
      </c>
      <c r="CD11" s="112">
        <v>41790.800000000003</v>
      </c>
      <c r="CE11" s="115">
        <v>3413</v>
      </c>
      <c r="CF11" s="116">
        <v>48672</v>
      </c>
      <c r="CG11" s="112">
        <v>35124.079999999994</v>
      </c>
      <c r="CH11" s="115">
        <v>3710</v>
      </c>
      <c r="CI11" s="116">
        <v>53320</v>
      </c>
      <c r="CJ11" s="112">
        <v>38177.599999999999</v>
      </c>
      <c r="CK11" s="54">
        <f t="shared" si="6"/>
        <v>51158</v>
      </c>
      <c r="CL11" s="63">
        <f t="shared" si="7"/>
        <v>727222</v>
      </c>
      <c r="CM11" s="55">
        <f t="shared" si="8"/>
        <v>521157.27999999997</v>
      </c>
      <c r="CN11" s="54">
        <f t="shared" si="9"/>
        <v>4263.166666666667</v>
      </c>
      <c r="CO11" s="63">
        <f t="shared" si="10"/>
        <v>60601.833333333336</v>
      </c>
      <c r="CP11" s="172">
        <f t="shared" si="11"/>
        <v>43429.773333333331</v>
      </c>
      <c r="CQ11" s="9">
        <v>3725</v>
      </c>
      <c r="CR11" s="62">
        <v>53190</v>
      </c>
      <c r="CS11" s="98">
        <v>37985.599999999999</v>
      </c>
      <c r="CT11" s="9">
        <v>4134</v>
      </c>
      <c r="CU11" s="62">
        <v>58868</v>
      </c>
      <c r="CV11" s="8">
        <v>42554.400000000009</v>
      </c>
      <c r="CW11" s="9"/>
      <c r="CX11" s="62"/>
      <c r="CY11" s="98"/>
      <c r="CZ11" s="9"/>
      <c r="DA11" s="62"/>
      <c r="DB11" s="8"/>
      <c r="DC11" s="9"/>
      <c r="DD11" s="62"/>
      <c r="DE11" s="8"/>
      <c r="DF11" s="9"/>
      <c r="DG11" s="62"/>
      <c r="DH11" s="8"/>
      <c r="DI11" s="9"/>
      <c r="DJ11" s="62"/>
      <c r="DK11" s="8"/>
      <c r="DL11" s="9"/>
      <c r="DM11" s="62"/>
      <c r="DN11" s="8"/>
      <c r="DO11" s="9"/>
      <c r="DP11" s="62"/>
      <c r="DQ11" s="8"/>
      <c r="DR11" s="9"/>
      <c r="DS11" s="62"/>
      <c r="DT11" s="8"/>
      <c r="DU11" s="9"/>
      <c r="DV11" s="62"/>
      <c r="DW11" s="8"/>
      <c r="DX11" s="9"/>
      <c r="DY11" s="62"/>
      <c r="DZ11" s="8"/>
    </row>
    <row r="12" spans="1:130" s="2" customFormat="1" ht="34.9" customHeight="1" x14ac:dyDescent="0.6">
      <c r="A12" s="5">
        <v>9</v>
      </c>
      <c r="B12" s="131" t="s">
        <v>43</v>
      </c>
      <c r="C12" s="14" t="s">
        <v>44</v>
      </c>
      <c r="D12" s="132" t="s">
        <v>45</v>
      </c>
      <c r="E12" s="132" t="s">
        <v>46</v>
      </c>
      <c r="F12" s="7" t="s">
        <v>15</v>
      </c>
      <c r="G12" s="16" t="s">
        <v>692</v>
      </c>
      <c r="H12" s="133" t="s">
        <v>693</v>
      </c>
      <c r="I12" s="133" t="s">
        <v>694</v>
      </c>
      <c r="J12" s="41" t="s">
        <v>16</v>
      </c>
      <c r="K12" s="9">
        <v>5190</v>
      </c>
      <c r="L12" s="62">
        <v>75140</v>
      </c>
      <c r="M12" s="78">
        <v>54443</v>
      </c>
      <c r="N12" s="9">
        <v>5070</v>
      </c>
      <c r="O12" s="62">
        <v>72680</v>
      </c>
      <c r="P12" s="41">
        <v>52531</v>
      </c>
      <c r="Q12" s="9">
        <v>5000</v>
      </c>
      <c r="R12" s="62">
        <v>72240</v>
      </c>
      <c r="S12" s="98">
        <v>51563</v>
      </c>
      <c r="T12" s="9">
        <v>5150</v>
      </c>
      <c r="U12" s="62">
        <v>72460</v>
      </c>
      <c r="V12" s="8">
        <v>53694</v>
      </c>
      <c r="W12" s="9">
        <v>5290</v>
      </c>
      <c r="X12" s="62">
        <v>75220</v>
      </c>
      <c r="Y12" s="8">
        <v>55070</v>
      </c>
      <c r="Z12" s="9">
        <v>5230</v>
      </c>
      <c r="AA12" s="62">
        <v>76900</v>
      </c>
      <c r="AB12" s="8">
        <v>54184</v>
      </c>
      <c r="AC12" s="9">
        <v>5955</v>
      </c>
      <c r="AD12" s="62">
        <v>84730</v>
      </c>
      <c r="AE12" s="8">
        <v>61965</v>
      </c>
      <c r="AF12" s="9">
        <v>4120</v>
      </c>
      <c r="AG12" s="62">
        <v>60300</v>
      </c>
      <c r="AH12" s="8">
        <v>44004</v>
      </c>
      <c r="AI12" s="9">
        <v>4040</v>
      </c>
      <c r="AJ12" s="62">
        <v>59780</v>
      </c>
      <c r="AK12" s="8">
        <v>42855.199999999997</v>
      </c>
      <c r="AL12" s="9">
        <v>6650</v>
      </c>
      <c r="AM12" s="62">
        <v>94880</v>
      </c>
      <c r="AN12" s="8">
        <v>70337.600000000006</v>
      </c>
      <c r="AO12" s="9">
        <v>2695</v>
      </c>
      <c r="AP12" s="62">
        <v>41880</v>
      </c>
      <c r="AQ12" s="8">
        <v>27048</v>
      </c>
      <c r="AR12" s="9">
        <v>3940</v>
      </c>
      <c r="AS12" s="62">
        <v>61000</v>
      </c>
      <c r="AT12" s="8">
        <v>41973</v>
      </c>
      <c r="AU12" s="54">
        <f t="shared" si="0"/>
        <v>58330</v>
      </c>
      <c r="AV12" s="63">
        <f t="shared" si="1"/>
        <v>847210</v>
      </c>
      <c r="AW12" s="55">
        <f t="shared" si="2"/>
        <v>609667.80000000005</v>
      </c>
      <c r="AX12" s="54">
        <f t="shared" si="3"/>
        <v>4860.833333333333</v>
      </c>
      <c r="AY12" s="63">
        <f t="shared" si="4"/>
        <v>405.0694444444444</v>
      </c>
      <c r="AZ12" s="55">
        <f t="shared" si="5"/>
        <v>50805.65</v>
      </c>
      <c r="BA12" s="9">
        <v>3135</v>
      </c>
      <c r="BB12" s="62">
        <v>46670</v>
      </c>
      <c r="BC12" s="8">
        <v>33359.199999999997</v>
      </c>
      <c r="BD12" s="9">
        <v>5450</v>
      </c>
      <c r="BE12" s="62">
        <v>80560</v>
      </c>
      <c r="BF12" s="8">
        <v>55921.599999999991</v>
      </c>
      <c r="BG12" s="9">
        <v>3665</v>
      </c>
      <c r="BH12" s="62">
        <v>53800</v>
      </c>
      <c r="BI12" s="8">
        <v>39338</v>
      </c>
      <c r="BJ12" s="9">
        <v>3295</v>
      </c>
      <c r="BK12" s="62">
        <v>50080</v>
      </c>
      <c r="BL12" s="8">
        <v>35525.199999999997</v>
      </c>
      <c r="BM12" s="44">
        <v>3825</v>
      </c>
      <c r="BN12" s="42">
        <v>57110</v>
      </c>
      <c r="BO12" s="45">
        <v>42138.799999999996</v>
      </c>
      <c r="BP12" s="44">
        <v>4220</v>
      </c>
      <c r="BQ12" s="42">
        <v>61480</v>
      </c>
      <c r="BR12" s="45">
        <v>44730.400000000001</v>
      </c>
      <c r="BS12" s="44">
        <v>3895</v>
      </c>
      <c r="BT12" s="42">
        <v>59520</v>
      </c>
      <c r="BU12" s="112">
        <v>41404.399999999994</v>
      </c>
      <c r="BV12" s="115">
        <v>4455</v>
      </c>
      <c r="BW12" s="116">
        <v>65820</v>
      </c>
      <c r="BX12" s="112">
        <v>47823.6</v>
      </c>
      <c r="BY12" s="115">
        <v>4785</v>
      </c>
      <c r="BZ12" s="116">
        <v>73040</v>
      </c>
      <c r="CA12" s="112">
        <v>51532</v>
      </c>
      <c r="CB12" s="115">
        <v>3490</v>
      </c>
      <c r="CC12" s="116">
        <v>52180</v>
      </c>
      <c r="CD12" s="112">
        <v>37622.400000000001</v>
      </c>
      <c r="CE12" s="115">
        <v>3874</v>
      </c>
      <c r="CF12" s="116">
        <v>58368</v>
      </c>
      <c r="CG12" s="112">
        <v>41839.200000000004</v>
      </c>
      <c r="CH12" s="115">
        <v>4165</v>
      </c>
      <c r="CI12" s="116">
        <v>63720</v>
      </c>
      <c r="CJ12" s="112">
        <v>44799.6</v>
      </c>
      <c r="CK12" s="54">
        <f t="shared" si="6"/>
        <v>48254</v>
      </c>
      <c r="CL12" s="63">
        <f t="shared" si="7"/>
        <v>722348</v>
      </c>
      <c r="CM12" s="55">
        <f t="shared" si="8"/>
        <v>516034.39999999997</v>
      </c>
      <c r="CN12" s="54">
        <f t="shared" si="9"/>
        <v>4021.1666666666665</v>
      </c>
      <c r="CO12" s="63">
        <f t="shared" si="10"/>
        <v>60195.666666666664</v>
      </c>
      <c r="CP12" s="172">
        <f t="shared" si="11"/>
        <v>43002.866666666661</v>
      </c>
      <c r="CQ12" s="9">
        <v>3743</v>
      </c>
      <c r="CR12" s="62">
        <v>56966</v>
      </c>
      <c r="CS12" s="98">
        <v>40708</v>
      </c>
      <c r="CT12" s="9">
        <v>3588</v>
      </c>
      <c r="CU12" s="62">
        <v>54556</v>
      </c>
      <c r="CV12" s="8">
        <v>38203.199999999997</v>
      </c>
      <c r="CW12" s="9"/>
      <c r="CX12" s="62"/>
      <c r="CY12" s="98"/>
      <c r="CZ12" s="9"/>
      <c r="DA12" s="62"/>
      <c r="DB12" s="8"/>
      <c r="DC12" s="9"/>
      <c r="DD12" s="62"/>
      <c r="DE12" s="8"/>
      <c r="DF12" s="9"/>
      <c r="DG12" s="62"/>
      <c r="DH12" s="8"/>
      <c r="DI12" s="9"/>
      <c r="DJ12" s="62"/>
      <c r="DK12" s="8"/>
      <c r="DL12" s="9"/>
      <c r="DM12" s="62"/>
      <c r="DN12" s="8"/>
      <c r="DO12" s="9"/>
      <c r="DP12" s="62"/>
      <c r="DQ12" s="8"/>
      <c r="DR12" s="9"/>
      <c r="DS12" s="62"/>
      <c r="DT12" s="8"/>
      <c r="DU12" s="9"/>
      <c r="DV12" s="62"/>
      <c r="DW12" s="8"/>
      <c r="DX12" s="9"/>
      <c r="DY12" s="62"/>
      <c r="DZ12" s="8"/>
    </row>
    <row r="13" spans="1:130" s="2" customFormat="1" ht="34.9" customHeight="1" x14ac:dyDescent="0.6">
      <c r="A13" s="5">
        <v>10</v>
      </c>
      <c r="B13" s="131" t="s">
        <v>47</v>
      </c>
      <c r="C13" s="14" t="s">
        <v>48</v>
      </c>
      <c r="D13" s="132" t="s">
        <v>49</v>
      </c>
      <c r="E13" s="132" t="s">
        <v>50</v>
      </c>
      <c r="F13" s="7" t="s">
        <v>15</v>
      </c>
      <c r="G13" s="16" t="s">
        <v>695</v>
      </c>
      <c r="H13" s="133" t="s">
        <v>696</v>
      </c>
      <c r="I13" s="133" t="s">
        <v>697</v>
      </c>
      <c r="J13" s="41" t="s">
        <v>16</v>
      </c>
      <c r="K13" s="9">
        <v>5164</v>
      </c>
      <c r="L13" s="62">
        <v>74760</v>
      </c>
      <c r="M13" s="78">
        <v>55114</v>
      </c>
      <c r="N13" s="9">
        <v>4609</v>
      </c>
      <c r="O13" s="62">
        <v>65578</v>
      </c>
      <c r="P13" s="41">
        <v>48958</v>
      </c>
      <c r="Q13" s="9">
        <v>5212</v>
      </c>
      <c r="R13" s="62">
        <v>73940</v>
      </c>
      <c r="S13" s="98">
        <v>55419</v>
      </c>
      <c r="T13" s="9">
        <v>5260</v>
      </c>
      <c r="U13" s="62">
        <v>74360</v>
      </c>
      <c r="V13" s="8">
        <v>56304</v>
      </c>
      <c r="W13" s="9">
        <v>4367</v>
      </c>
      <c r="X13" s="62">
        <v>61442</v>
      </c>
      <c r="Y13" s="8">
        <v>46626</v>
      </c>
      <c r="Z13" s="9">
        <v>5273</v>
      </c>
      <c r="AA13" s="62">
        <v>74728</v>
      </c>
      <c r="AB13" s="8">
        <v>56438.479999999996</v>
      </c>
      <c r="AC13" s="9">
        <v>5346</v>
      </c>
      <c r="AD13" s="62">
        <v>76242</v>
      </c>
      <c r="AE13" s="8">
        <v>57643</v>
      </c>
      <c r="AF13" s="9">
        <v>4967</v>
      </c>
      <c r="AG13" s="62">
        <v>69894</v>
      </c>
      <c r="AH13" s="8">
        <v>53817</v>
      </c>
      <c r="AI13" s="9">
        <v>5031</v>
      </c>
      <c r="AJ13" s="62">
        <v>71498</v>
      </c>
      <c r="AK13" s="8">
        <v>54924.32</v>
      </c>
      <c r="AL13" s="9">
        <v>4881</v>
      </c>
      <c r="AM13" s="62">
        <v>70944</v>
      </c>
      <c r="AN13" s="8">
        <v>52986.000000000007</v>
      </c>
      <c r="AO13" s="9">
        <v>4717</v>
      </c>
      <c r="AP13" s="62">
        <v>66908</v>
      </c>
      <c r="AQ13" s="8">
        <v>51168</v>
      </c>
      <c r="AR13" s="9">
        <v>4802</v>
      </c>
      <c r="AS13" s="62">
        <v>69276</v>
      </c>
      <c r="AT13" s="8">
        <v>52362</v>
      </c>
      <c r="AU13" s="54">
        <f t="shared" si="0"/>
        <v>59629</v>
      </c>
      <c r="AV13" s="63">
        <f t="shared" si="1"/>
        <v>849570</v>
      </c>
      <c r="AW13" s="55">
        <f t="shared" si="2"/>
        <v>641759.80000000005</v>
      </c>
      <c r="AX13" s="54">
        <f t="shared" si="3"/>
        <v>4969.083333333333</v>
      </c>
      <c r="AY13" s="63">
        <f t="shared" si="4"/>
        <v>414.09027777777777</v>
      </c>
      <c r="AZ13" s="55">
        <f t="shared" si="5"/>
        <v>53479.983333333337</v>
      </c>
      <c r="BA13" s="9">
        <v>4638</v>
      </c>
      <c r="BB13" s="62">
        <v>66336</v>
      </c>
      <c r="BC13" s="8">
        <v>50082.04</v>
      </c>
      <c r="BD13" s="9">
        <v>4326</v>
      </c>
      <c r="BE13" s="62">
        <v>62850</v>
      </c>
      <c r="BF13" s="8">
        <v>46976.32</v>
      </c>
      <c r="BG13" s="9">
        <v>5231</v>
      </c>
      <c r="BH13" s="62">
        <v>75744</v>
      </c>
      <c r="BI13" s="8">
        <v>56559.200000000004</v>
      </c>
      <c r="BJ13" s="9">
        <v>4197</v>
      </c>
      <c r="BK13" s="62">
        <v>60788</v>
      </c>
      <c r="BL13" s="8">
        <v>45888.640000000007</v>
      </c>
      <c r="BM13" s="44">
        <v>4533</v>
      </c>
      <c r="BN13" s="42">
        <v>66072</v>
      </c>
      <c r="BO13" s="45">
        <v>50063.200000000004</v>
      </c>
      <c r="BP13" s="44">
        <v>4047</v>
      </c>
      <c r="BQ13" s="42">
        <v>58204</v>
      </c>
      <c r="BR13" s="45">
        <v>44624.079999999994</v>
      </c>
      <c r="BS13" s="44">
        <v>3943</v>
      </c>
      <c r="BT13" s="42">
        <v>57688</v>
      </c>
      <c r="BU13" s="112">
        <v>43761.840000000004</v>
      </c>
      <c r="BV13" s="115">
        <v>4100</v>
      </c>
      <c r="BW13" s="116">
        <v>60786</v>
      </c>
      <c r="BX13" s="112">
        <v>45479.8</v>
      </c>
      <c r="BY13" s="115">
        <v>4297</v>
      </c>
      <c r="BZ13" s="116">
        <v>63684</v>
      </c>
      <c r="CA13" s="112">
        <v>47620.88</v>
      </c>
      <c r="CB13" s="115">
        <v>3935</v>
      </c>
      <c r="CC13" s="116">
        <v>58736</v>
      </c>
      <c r="CD13" s="112">
        <v>43620.079999999994</v>
      </c>
      <c r="CE13" s="115">
        <v>3613</v>
      </c>
      <c r="CF13" s="116">
        <v>53578</v>
      </c>
      <c r="CG13" s="112">
        <v>40289.359999999993</v>
      </c>
      <c r="CH13" s="115">
        <v>3865</v>
      </c>
      <c r="CI13" s="116">
        <v>58048</v>
      </c>
      <c r="CJ13" s="112">
        <v>43205.279999999992</v>
      </c>
      <c r="CK13" s="54">
        <f t="shared" si="6"/>
        <v>50725</v>
      </c>
      <c r="CL13" s="63">
        <f t="shared" si="7"/>
        <v>742514</v>
      </c>
      <c r="CM13" s="55">
        <f t="shared" si="8"/>
        <v>558170.72000000009</v>
      </c>
      <c r="CN13" s="54">
        <f t="shared" si="9"/>
        <v>4227.083333333333</v>
      </c>
      <c r="CO13" s="63">
        <f t="shared" si="10"/>
        <v>61876.166666666664</v>
      </c>
      <c r="CP13" s="172">
        <f t="shared" si="11"/>
        <v>46514.226666666676</v>
      </c>
      <c r="CQ13" s="9">
        <v>3683</v>
      </c>
      <c r="CR13" s="62">
        <v>54980</v>
      </c>
      <c r="CS13" s="98">
        <v>41559.279999999999</v>
      </c>
      <c r="CT13" s="9">
        <v>3332</v>
      </c>
      <c r="CU13" s="62">
        <v>50064</v>
      </c>
      <c r="CV13" s="8">
        <v>37459.519999999997</v>
      </c>
      <c r="CW13" s="9"/>
      <c r="CX13" s="62"/>
      <c r="CY13" s="98"/>
      <c r="CZ13" s="9"/>
      <c r="DA13" s="62"/>
      <c r="DB13" s="8"/>
      <c r="DC13" s="9"/>
      <c r="DD13" s="62"/>
      <c r="DE13" s="8"/>
      <c r="DF13" s="9"/>
      <c r="DG13" s="62"/>
      <c r="DH13" s="8"/>
      <c r="DI13" s="9"/>
      <c r="DJ13" s="62"/>
      <c r="DK13" s="8"/>
      <c r="DL13" s="9"/>
      <c r="DM13" s="62"/>
      <c r="DN13" s="8"/>
      <c r="DO13" s="9"/>
      <c r="DP13" s="62"/>
      <c r="DQ13" s="8"/>
      <c r="DR13" s="9"/>
      <c r="DS13" s="62"/>
      <c r="DT13" s="8"/>
      <c r="DU13" s="9"/>
      <c r="DV13" s="62"/>
      <c r="DW13" s="8"/>
      <c r="DX13" s="9"/>
      <c r="DY13" s="62"/>
      <c r="DZ13" s="8"/>
    </row>
    <row r="14" spans="1:130" s="2" customFormat="1" ht="34.9" customHeight="1" x14ac:dyDescent="0.6">
      <c r="A14" s="5">
        <v>11</v>
      </c>
      <c r="B14" s="131" t="s">
        <v>51</v>
      </c>
      <c r="C14" s="14" t="s">
        <v>52</v>
      </c>
      <c r="D14" s="132" t="s">
        <v>53</v>
      </c>
      <c r="E14" s="132" t="s">
        <v>54</v>
      </c>
      <c r="F14" s="7" t="s">
        <v>15</v>
      </c>
      <c r="G14" s="16" t="s">
        <v>698</v>
      </c>
      <c r="H14" s="133" t="s">
        <v>699</v>
      </c>
      <c r="I14" s="133" t="s">
        <v>700</v>
      </c>
      <c r="J14" s="41" t="s">
        <v>16</v>
      </c>
      <c r="K14" s="9">
        <v>4945</v>
      </c>
      <c r="L14" s="62">
        <v>70060</v>
      </c>
      <c r="M14" s="78">
        <v>47099</v>
      </c>
      <c r="N14" s="9">
        <v>2945</v>
      </c>
      <c r="O14" s="62">
        <v>41190</v>
      </c>
      <c r="P14" s="41">
        <v>28496</v>
      </c>
      <c r="Q14" s="9">
        <v>5000</v>
      </c>
      <c r="R14" s="62">
        <v>69170</v>
      </c>
      <c r="S14" s="98">
        <v>47182</v>
      </c>
      <c r="T14" s="9">
        <v>4622</v>
      </c>
      <c r="U14" s="62">
        <v>64472</v>
      </c>
      <c r="V14" s="8">
        <v>43382</v>
      </c>
      <c r="W14" s="9">
        <v>5010</v>
      </c>
      <c r="X14" s="62">
        <v>69800</v>
      </c>
      <c r="Y14" s="8">
        <v>46786</v>
      </c>
      <c r="Z14" s="9">
        <v>4895</v>
      </c>
      <c r="AA14" s="62">
        <v>68760</v>
      </c>
      <c r="AB14" s="8">
        <v>45913.2</v>
      </c>
      <c r="AC14" s="9">
        <v>4040</v>
      </c>
      <c r="AD14" s="62">
        <v>56280</v>
      </c>
      <c r="AE14" s="8">
        <v>38334</v>
      </c>
      <c r="AF14" s="9">
        <v>4511</v>
      </c>
      <c r="AG14" s="62">
        <v>63770</v>
      </c>
      <c r="AH14" s="8">
        <v>42866</v>
      </c>
      <c r="AI14" s="9">
        <v>3030</v>
      </c>
      <c r="AJ14" s="62">
        <v>42080</v>
      </c>
      <c r="AK14" s="8">
        <v>17876.800000000003</v>
      </c>
      <c r="AL14" s="9">
        <v>4445</v>
      </c>
      <c r="AM14" s="62">
        <v>62410</v>
      </c>
      <c r="AN14" s="8">
        <v>41860.400000000001</v>
      </c>
      <c r="AO14" s="9">
        <v>4493</v>
      </c>
      <c r="AP14" s="62">
        <v>62542</v>
      </c>
      <c r="AQ14" s="8">
        <v>43039</v>
      </c>
      <c r="AR14" s="9">
        <v>3380</v>
      </c>
      <c r="AS14" s="62">
        <v>47000</v>
      </c>
      <c r="AT14" s="8">
        <v>31802</v>
      </c>
      <c r="AU14" s="54">
        <f t="shared" si="0"/>
        <v>51316</v>
      </c>
      <c r="AV14" s="63">
        <f t="shared" si="1"/>
        <v>717534</v>
      </c>
      <c r="AW14" s="55">
        <f t="shared" si="2"/>
        <v>474636.4</v>
      </c>
      <c r="AX14" s="54">
        <f t="shared" si="3"/>
        <v>4276.333333333333</v>
      </c>
      <c r="AY14" s="63">
        <f t="shared" si="4"/>
        <v>356.36111111111109</v>
      </c>
      <c r="AZ14" s="55">
        <f t="shared" si="5"/>
        <v>39553.033333333333</v>
      </c>
      <c r="BA14" s="9">
        <v>3600</v>
      </c>
      <c r="BB14" s="62">
        <v>50790</v>
      </c>
      <c r="BC14" s="8">
        <v>34228.799999999996</v>
      </c>
      <c r="BD14" s="9">
        <v>3845</v>
      </c>
      <c r="BE14" s="62">
        <v>53230</v>
      </c>
      <c r="BF14" s="8">
        <v>36484</v>
      </c>
      <c r="BG14" s="9">
        <v>5339</v>
      </c>
      <c r="BH14" s="62">
        <v>74676</v>
      </c>
      <c r="BI14" s="8">
        <v>51299.44000000001</v>
      </c>
      <c r="BJ14" s="9">
        <v>4379</v>
      </c>
      <c r="BK14" s="62">
        <v>60886</v>
      </c>
      <c r="BL14" s="8">
        <v>41843.439999999995</v>
      </c>
      <c r="BM14" s="44">
        <v>4210</v>
      </c>
      <c r="BN14" s="42">
        <v>58440</v>
      </c>
      <c r="BO14" s="45">
        <v>40192</v>
      </c>
      <c r="BP14" s="44">
        <v>4570</v>
      </c>
      <c r="BQ14" s="42">
        <v>63770</v>
      </c>
      <c r="BR14" s="45">
        <v>44144.800000000003</v>
      </c>
      <c r="BS14" s="44">
        <v>4395</v>
      </c>
      <c r="BT14" s="42">
        <v>61580</v>
      </c>
      <c r="BU14" s="112">
        <v>42608.999999999993</v>
      </c>
      <c r="BV14" s="115">
        <v>4145</v>
      </c>
      <c r="BW14" s="116">
        <v>57400</v>
      </c>
      <c r="BX14" s="112">
        <v>39778.000000000007</v>
      </c>
      <c r="BY14" s="115">
        <v>4185</v>
      </c>
      <c r="BZ14" s="116">
        <v>58910</v>
      </c>
      <c r="CA14" s="112">
        <v>40281.199999999997</v>
      </c>
      <c r="CB14" s="115">
        <v>4380</v>
      </c>
      <c r="CC14" s="116">
        <v>60620</v>
      </c>
      <c r="CD14" s="112">
        <v>41929.200000000012</v>
      </c>
      <c r="CE14" s="115">
        <v>4285</v>
      </c>
      <c r="CF14" s="116">
        <v>60440</v>
      </c>
      <c r="CG14" s="112">
        <v>41852.800000000003</v>
      </c>
      <c r="CH14" s="115">
        <v>4455</v>
      </c>
      <c r="CI14" s="116">
        <v>61040</v>
      </c>
      <c r="CJ14" s="112">
        <v>43318.000000000007</v>
      </c>
      <c r="CK14" s="54">
        <f t="shared" si="6"/>
        <v>51788</v>
      </c>
      <c r="CL14" s="63">
        <f t="shared" si="7"/>
        <v>721782</v>
      </c>
      <c r="CM14" s="55">
        <f t="shared" si="8"/>
        <v>497960.68</v>
      </c>
      <c r="CN14" s="54">
        <f t="shared" si="9"/>
        <v>4315.666666666667</v>
      </c>
      <c r="CO14" s="63">
        <f t="shared" si="10"/>
        <v>60148.5</v>
      </c>
      <c r="CP14" s="172">
        <f t="shared" si="11"/>
        <v>41496.723333333335</v>
      </c>
      <c r="CQ14" s="9">
        <v>4526</v>
      </c>
      <c r="CR14" s="62">
        <v>62124</v>
      </c>
      <c r="CS14" s="98">
        <v>44413.760000000002</v>
      </c>
      <c r="CT14" s="9">
        <v>3850</v>
      </c>
      <c r="CU14" s="62">
        <v>53320</v>
      </c>
      <c r="CV14" s="8">
        <v>37533.600000000006</v>
      </c>
      <c r="CW14" s="9"/>
      <c r="CX14" s="62"/>
      <c r="CY14" s="98"/>
      <c r="CZ14" s="9"/>
      <c r="DA14" s="62"/>
      <c r="DB14" s="8"/>
      <c r="DC14" s="9"/>
      <c r="DD14" s="62"/>
      <c r="DE14" s="8"/>
      <c r="DF14" s="9"/>
      <c r="DG14" s="62"/>
      <c r="DH14" s="8"/>
      <c r="DI14" s="9"/>
      <c r="DJ14" s="62"/>
      <c r="DK14" s="8"/>
      <c r="DL14" s="9"/>
      <c r="DM14" s="62"/>
      <c r="DN14" s="8"/>
      <c r="DO14" s="9"/>
      <c r="DP14" s="62"/>
      <c r="DQ14" s="8"/>
      <c r="DR14" s="9"/>
      <c r="DS14" s="62"/>
      <c r="DT14" s="8"/>
      <c r="DU14" s="9"/>
      <c r="DV14" s="62"/>
      <c r="DW14" s="8"/>
      <c r="DX14" s="9"/>
      <c r="DY14" s="62"/>
      <c r="DZ14" s="8"/>
    </row>
    <row r="15" spans="1:130" s="2" customFormat="1" ht="34.9" customHeight="1" x14ac:dyDescent="0.6">
      <c r="A15" s="5">
        <v>12</v>
      </c>
      <c r="B15" s="131" t="s">
        <v>55</v>
      </c>
      <c r="C15" s="14" t="s">
        <v>56</v>
      </c>
      <c r="D15" s="132" t="s">
        <v>57</v>
      </c>
      <c r="E15" s="132" t="s">
        <v>58</v>
      </c>
      <c r="F15" s="7" t="s">
        <v>15</v>
      </c>
      <c r="G15" s="16" t="s">
        <v>701</v>
      </c>
      <c r="H15" s="133" t="s">
        <v>702</v>
      </c>
      <c r="I15" s="133" t="s">
        <v>703</v>
      </c>
      <c r="J15" s="41" t="s">
        <v>16</v>
      </c>
      <c r="K15" s="9">
        <v>4700</v>
      </c>
      <c r="L15" s="62">
        <v>68220</v>
      </c>
      <c r="M15" s="78">
        <v>50902</v>
      </c>
      <c r="N15" s="9">
        <v>4110</v>
      </c>
      <c r="O15" s="62">
        <v>57980</v>
      </c>
      <c r="P15" s="41">
        <v>32793</v>
      </c>
      <c r="Q15" s="9">
        <v>3980</v>
      </c>
      <c r="R15" s="62">
        <v>58460</v>
      </c>
      <c r="S15" s="98">
        <v>44324</v>
      </c>
      <c r="T15" s="9">
        <v>4970</v>
      </c>
      <c r="U15" s="62">
        <v>68340</v>
      </c>
      <c r="V15" s="8">
        <v>54428</v>
      </c>
      <c r="W15" s="9">
        <v>5930</v>
      </c>
      <c r="X15" s="62">
        <v>87620</v>
      </c>
      <c r="Y15" s="8">
        <v>65653</v>
      </c>
      <c r="Z15" s="9">
        <v>4155</v>
      </c>
      <c r="AA15" s="62">
        <v>58360</v>
      </c>
      <c r="AB15" s="8">
        <v>45312</v>
      </c>
      <c r="AC15" s="9">
        <v>4630</v>
      </c>
      <c r="AD15" s="62">
        <v>66620</v>
      </c>
      <c r="AE15" s="8">
        <v>51901</v>
      </c>
      <c r="AF15" s="9">
        <v>3675</v>
      </c>
      <c r="AG15" s="62">
        <v>54260</v>
      </c>
      <c r="AH15" s="8">
        <v>41701</v>
      </c>
      <c r="AI15" s="9">
        <v>2740</v>
      </c>
      <c r="AJ15" s="62">
        <v>37220</v>
      </c>
      <c r="AK15" s="8">
        <v>30379.200000000001</v>
      </c>
      <c r="AL15" s="9">
        <v>3355</v>
      </c>
      <c r="AM15" s="62">
        <v>49940</v>
      </c>
      <c r="AN15" s="8">
        <v>37915.199999999997</v>
      </c>
      <c r="AO15" s="9">
        <v>2695</v>
      </c>
      <c r="AP15" s="62">
        <v>38480</v>
      </c>
      <c r="AQ15" s="8">
        <v>29331</v>
      </c>
      <c r="AR15" s="9">
        <v>3033</v>
      </c>
      <c r="AS15" s="62">
        <v>44540</v>
      </c>
      <c r="AT15" s="8">
        <v>33997</v>
      </c>
      <c r="AU15" s="54">
        <f t="shared" si="0"/>
        <v>47973</v>
      </c>
      <c r="AV15" s="63">
        <f t="shared" si="1"/>
        <v>690040</v>
      </c>
      <c r="AW15" s="55">
        <f t="shared" si="2"/>
        <v>518636.4</v>
      </c>
      <c r="AX15" s="54">
        <f t="shared" si="3"/>
        <v>3997.75</v>
      </c>
      <c r="AY15" s="63">
        <f t="shared" si="4"/>
        <v>333.14583333333331</v>
      </c>
      <c r="AZ15" s="55">
        <f t="shared" si="5"/>
        <v>43219.700000000004</v>
      </c>
      <c r="BA15" s="9">
        <v>2320</v>
      </c>
      <c r="BB15" s="62">
        <v>34900</v>
      </c>
      <c r="BC15" s="8">
        <v>25768.799999999999</v>
      </c>
      <c r="BD15" s="9">
        <v>3100</v>
      </c>
      <c r="BE15" s="62">
        <v>48720</v>
      </c>
      <c r="BF15" s="8">
        <v>35105.599999999999</v>
      </c>
      <c r="BG15" s="9">
        <v>2955</v>
      </c>
      <c r="BH15" s="62">
        <v>42860</v>
      </c>
      <c r="BI15" s="8">
        <v>32764</v>
      </c>
      <c r="BJ15" s="9">
        <v>2290</v>
      </c>
      <c r="BK15" s="62">
        <v>34540</v>
      </c>
      <c r="BL15" s="8">
        <v>25480.799999999999</v>
      </c>
      <c r="BM15" s="44">
        <v>2720</v>
      </c>
      <c r="BN15" s="42">
        <v>39240</v>
      </c>
      <c r="BO15" s="45">
        <v>30448.799999999999</v>
      </c>
      <c r="BP15" s="44">
        <v>2190</v>
      </c>
      <c r="BQ15" s="42">
        <v>32120</v>
      </c>
      <c r="BR15" s="45">
        <v>25244</v>
      </c>
      <c r="BS15" s="44">
        <v>2660</v>
      </c>
      <c r="BT15" s="42">
        <v>36280</v>
      </c>
      <c r="BU15" s="112">
        <v>29568.799999999999</v>
      </c>
      <c r="BV15" s="115">
        <v>2770</v>
      </c>
      <c r="BW15" s="116">
        <v>39880</v>
      </c>
      <c r="BX15" s="112">
        <v>30988</v>
      </c>
      <c r="BY15" s="115">
        <v>2390</v>
      </c>
      <c r="BZ15" s="116">
        <v>36020</v>
      </c>
      <c r="CA15" s="112">
        <v>27592</v>
      </c>
      <c r="CB15" s="115">
        <v>2280</v>
      </c>
      <c r="CC15" s="116">
        <v>34560</v>
      </c>
      <c r="CD15" s="112">
        <v>26039.200000000001</v>
      </c>
      <c r="CE15" s="115">
        <v>1960</v>
      </c>
      <c r="CF15" s="116">
        <v>29640</v>
      </c>
      <c r="CG15" s="112">
        <v>22504</v>
      </c>
      <c r="CH15" s="115">
        <v>3420</v>
      </c>
      <c r="CI15" s="116">
        <v>52300</v>
      </c>
      <c r="CJ15" s="112">
        <v>39412.800000000003</v>
      </c>
      <c r="CK15" s="54">
        <f t="shared" si="6"/>
        <v>31055</v>
      </c>
      <c r="CL15" s="63">
        <f t="shared" si="7"/>
        <v>461060</v>
      </c>
      <c r="CM15" s="55">
        <f t="shared" si="8"/>
        <v>350916.8</v>
      </c>
      <c r="CN15" s="54">
        <f t="shared" si="9"/>
        <v>2587.9166666666665</v>
      </c>
      <c r="CO15" s="63">
        <f t="shared" si="10"/>
        <v>38421.666666666664</v>
      </c>
      <c r="CP15" s="172">
        <f t="shared" si="11"/>
        <v>29243.066666666666</v>
      </c>
      <c r="CQ15" s="9">
        <v>2760</v>
      </c>
      <c r="CR15" s="62">
        <v>42100</v>
      </c>
      <c r="CS15" s="98">
        <v>31731.200000000001</v>
      </c>
      <c r="CT15" s="9">
        <v>2720</v>
      </c>
      <c r="CU15" s="62">
        <v>39300</v>
      </c>
      <c r="CV15" s="8">
        <v>31248.799999999999</v>
      </c>
      <c r="CW15" s="9"/>
      <c r="CX15" s="62"/>
      <c r="CY15" s="98"/>
      <c r="CZ15" s="9"/>
      <c r="DA15" s="62"/>
      <c r="DB15" s="8"/>
      <c r="DC15" s="9"/>
      <c r="DD15" s="62"/>
      <c r="DE15" s="8"/>
      <c r="DF15" s="9"/>
      <c r="DG15" s="62"/>
      <c r="DH15" s="8"/>
      <c r="DI15" s="9"/>
      <c r="DJ15" s="62"/>
      <c r="DK15" s="8"/>
      <c r="DL15" s="9"/>
      <c r="DM15" s="62"/>
      <c r="DN15" s="8"/>
      <c r="DO15" s="9"/>
      <c r="DP15" s="62"/>
      <c r="DQ15" s="8"/>
      <c r="DR15" s="9"/>
      <c r="DS15" s="62"/>
      <c r="DT15" s="8"/>
      <c r="DU15" s="9"/>
      <c r="DV15" s="62"/>
      <c r="DW15" s="8"/>
      <c r="DX15" s="9"/>
      <c r="DY15" s="62"/>
      <c r="DZ15" s="8"/>
    </row>
    <row r="16" spans="1:130" s="2" customFormat="1" ht="34.9" customHeight="1" x14ac:dyDescent="0.6">
      <c r="A16" s="5">
        <v>13</v>
      </c>
      <c r="B16" s="131" t="s">
        <v>59</v>
      </c>
      <c r="C16" s="14" t="s">
        <v>60</v>
      </c>
      <c r="D16" s="132" t="s">
        <v>37</v>
      </c>
      <c r="E16" s="132" t="s">
        <v>38</v>
      </c>
      <c r="F16" s="7" t="s">
        <v>15</v>
      </c>
      <c r="G16" s="16" t="s">
        <v>704</v>
      </c>
      <c r="H16" s="133" t="s">
        <v>705</v>
      </c>
      <c r="I16" s="133" t="s">
        <v>706</v>
      </c>
      <c r="J16" s="41" t="s">
        <v>16</v>
      </c>
      <c r="K16" s="9">
        <v>3005</v>
      </c>
      <c r="L16" s="62">
        <v>41360</v>
      </c>
      <c r="M16" s="78">
        <v>32865</v>
      </c>
      <c r="N16" s="9">
        <v>2500</v>
      </c>
      <c r="O16" s="62">
        <v>35120</v>
      </c>
      <c r="P16" s="41">
        <v>27920</v>
      </c>
      <c r="Q16" s="9">
        <v>3505</v>
      </c>
      <c r="R16" s="62">
        <v>48020</v>
      </c>
      <c r="S16" s="98">
        <v>38890</v>
      </c>
      <c r="T16" s="9">
        <v>3025</v>
      </c>
      <c r="U16" s="62">
        <v>87496</v>
      </c>
      <c r="V16" s="8">
        <v>78970</v>
      </c>
      <c r="W16" s="9">
        <v>3105</v>
      </c>
      <c r="X16" s="62">
        <v>42600</v>
      </c>
      <c r="Y16" s="8">
        <v>34774</v>
      </c>
      <c r="Z16" s="9">
        <v>3110</v>
      </c>
      <c r="AA16" s="62">
        <v>43400</v>
      </c>
      <c r="AB16" s="8">
        <v>34438.400000000001</v>
      </c>
      <c r="AC16" s="9">
        <v>3110</v>
      </c>
      <c r="AD16" s="62">
        <v>44030</v>
      </c>
      <c r="AE16" s="8">
        <v>34383</v>
      </c>
      <c r="AF16" s="9">
        <v>3170</v>
      </c>
      <c r="AG16" s="62">
        <v>45380</v>
      </c>
      <c r="AH16" s="8">
        <v>35572</v>
      </c>
      <c r="AI16" s="9">
        <v>2300</v>
      </c>
      <c r="AJ16" s="62">
        <v>32020</v>
      </c>
      <c r="AK16" s="8">
        <v>25380.400000000001</v>
      </c>
      <c r="AL16" s="9">
        <v>2690</v>
      </c>
      <c r="AM16" s="62">
        <v>39220</v>
      </c>
      <c r="AN16" s="8">
        <v>30643.200000000001</v>
      </c>
      <c r="AO16" s="9">
        <v>2805</v>
      </c>
      <c r="AP16" s="62">
        <v>39540</v>
      </c>
      <c r="AQ16" s="8">
        <v>31852</v>
      </c>
      <c r="AR16" s="9">
        <v>2700</v>
      </c>
      <c r="AS16" s="62">
        <v>37760</v>
      </c>
      <c r="AT16" s="8">
        <v>30052</v>
      </c>
      <c r="AU16" s="54">
        <f t="shared" si="0"/>
        <v>35025</v>
      </c>
      <c r="AV16" s="63">
        <f t="shared" si="1"/>
        <v>535946</v>
      </c>
      <c r="AW16" s="55">
        <f t="shared" si="2"/>
        <v>435740.00000000006</v>
      </c>
      <c r="AX16" s="54">
        <f t="shared" si="3"/>
        <v>2918.75</v>
      </c>
      <c r="AY16" s="63">
        <f t="shared" si="4"/>
        <v>243.22916666666666</v>
      </c>
      <c r="AZ16" s="55">
        <f t="shared" si="5"/>
        <v>36311.666666666672</v>
      </c>
      <c r="BA16" s="9">
        <v>2175</v>
      </c>
      <c r="BB16" s="62">
        <v>31780</v>
      </c>
      <c r="BC16" s="8">
        <v>24452</v>
      </c>
      <c r="BD16" s="9">
        <v>1305</v>
      </c>
      <c r="BE16" s="62">
        <v>19720</v>
      </c>
      <c r="BF16" s="8">
        <v>14541.2</v>
      </c>
      <c r="BG16" s="9">
        <v>3145</v>
      </c>
      <c r="BH16" s="62">
        <v>44900</v>
      </c>
      <c r="BI16" s="8">
        <v>35546</v>
      </c>
      <c r="BJ16" s="9">
        <v>1540</v>
      </c>
      <c r="BK16" s="62">
        <v>21560</v>
      </c>
      <c r="BL16" s="8">
        <v>16514.8</v>
      </c>
      <c r="BM16" s="44">
        <v>2245</v>
      </c>
      <c r="BN16" s="42">
        <v>32300</v>
      </c>
      <c r="BO16" s="45">
        <v>25663.599999999999</v>
      </c>
      <c r="BP16" s="44">
        <v>2000</v>
      </c>
      <c r="BQ16" s="42">
        <v>29060</v>
      </c>
      <c r="BR16" s="45">
        <v>22992.799999999999</v>
      </c>
      <c r="BS16" s="44">
        <v>1855</v>
      </c>
      <c r="BT16" s="42">
        <v>27670</v>
      </c>
      <c r="BU16" s="112">
        <v>20943.600000000002</v>
      </c>
      <c r="BV16" s="115">
        <v>2368</v>
      </c>
      <c r="BW16" s="116">
        <v>33860</v>
      </c>
      <c r="BX16" s="112">
        <v>26778.799999999996</v>
      </c>
      <c r="BY16" s="115">
        <v>2000</v>
      </c>
      <c r="BZ16" s="116">
        <v>29620</v>
      </c>
      <c r="CA16" s="112">
        <v>22810</v>
      </c>
      <c r="CB16" s="115">
        <v>2540</v>
      </c>
      <c r="CC16" s="116">
        <v>38050</v>
      </c>
      <c r="CD16" s="112">
        <v>29445.200000000001</v>
      </c>
      <c r="CE16" s="115">
        <v>1845</v>
      </c>
      <c r="CF16" s="116">
        <v>26460</v>
      </c>
      <c r="CG16" s="112">
        <v>20740.800000000003</v>
      </c>
      <c r="CH16" s="115">
        <v>2415</v>
      </c>
      <c r="CI16" s="116">
        <v>36750</v>
      </c>
      <c r="CJ16" s="112">
        <v>27864</v>
      </c>
      <c r="CK16" s="54">
        <f t="shared" si="6"/>
        <v>25433</v>
      </c>
      <c r="CL16" s="63">
        <f t="shared" si="7"/>
        <v>371730</v>
      </c>
      <c r="CM16" s="55">
        <f t="shared" si="8"/>
        <v>288292.8</v>
      </c>
      <c r="CN16" s="54">
        <f t="shared" si="9"/>
        <v>2119.4166666666665</v>
      </c>
      <c r="CO16" s="63">
        <f t="shared" si="10"/>
        <v>30977.5</v>
      </c>
      <c r="CP16" s="172">
        <f t="shared" si="11"/>
        <v>24024.399999999998</v>
      </c>
      <c r="CQ16" s="9">
        <v>2355</v>
      </c>
      <c r="CR16" s="62">
        <v>36700</v>
      </c>
      <c r="CS16" s="98">
        <v>27354.399999999998</v>
      </c>
      <c r="CT16" s="9">
        <v>2000</v>
      </c>
      <c r="CU16" s="62">
        <v>30940</v>
      </c>
      <c r="CV16" s="8">
        <v>23405.200000000001</v>
      </c>
      <c r="CW16" s="9"/>
      <c r="CX16" s="62"/>
      <c r="CY16" s="98"/>
      <c r="CZ16" s="9"/>
      <c r="DA16" s="62"/>
      <c r="DB16" s="8"/>
      <c r="DC16" s="9"/>
      <c r="DD16" s="62"/>
      <c r="DE16" s="8"/>
      <c r="DF16" s="9"/>
      <c r="DG16" s="62"/>
      <c r="DH16" s="8"/>
      <c r="DI16" s="9"/>
      <c r="DJ16" s="62"/>
      <c r="DK16" s="8"/>
      <c r="DL16" s="9"/>
      <c r="DM16" s="62"/>
      <c r="DN16" s="8"/>
      <c r="DO16" s="9"/>
      <c r="DP16" s="62"/>
      <c r="DQ16" s="8"/>
      <c r="DR16" s="9"/>
      <c r="DS16" s="62"/>
      <c r="DT16" s="8"/>
      <c r="DU16" s="9"/>
      <c r="DV16" s="62"/>
      <c r="DW16" s="8"/>
      <c r="DX16" s="9"/>
      <c r="DY16" s="62"/>
      <c r="DZ16" s="8"/>
    </row>
    <row r="17" spans="1:130" s="2" customFormat="1" ht="34.9" customHeight="1" x14ac:dyDescent="0.6">
      <c r="A17" s="5">
        <v>14</v>
      </c>
      <c r="B17" s="131" t="s">
        <v>61</v>
      </c>
      <c r="C17" s="14" t="s">
        <v>62</v>
      </c>
      <c r="D17" s="132" t="s">
        <v>41</v>
      </c>
      <c r="E17" s="132" t="s">
        <v>42</v>
      </c>
      <c r="F17" s="7" t="s">
        <v>15</v>
      </c>
      <c r="G17" s="16" t="s">
        <v>61</v>
      </c>
      <c r="H17" s="133" t="s">
        <v>707</v>
      </c>
      <c r="I17" s="133" t="s">
        <v>708</v>
      </c>
      <c r="J17" s="41" t="s">
        <v>16</v>
      </c>
      <c r="K17" s="9">
        <v>3168</v>
      </c>
      <c r="L17" s="62">
        <v>44916</v>
      </c>
      <c r="M17" s="78">
        <v>29966</v>
      </c>
      <c r="N17" s="9">
        <v>2895</v>
      </c>
      <c r="O17" s="62">
        <v>40620</v>
      </c>
      <c r="P17" s="41">
        <v>27772</v>
      </c>
      <c r="Q17" s="9">
        <v>3620</v>
      </c>
      <c r="R17" s="62">
        <v>50300</v>
      </c>
      <c r="S17" s="98">
        <v>35000</v>
      </c>
      <c r="T17" s="9">
        <v>3760</v>
      </c>
      <c r="U17" s="62">
        <v>51510</v>
      </c>
      <c r="V17" s="8">
        <v>37394</v>
      </c>
      <c r="W17" s="9">
        <v>3165</v>
      </c>
      <c r="X17" s="62">
        <v>44380</v>
      </c>
      <c r="Y17" s="8">
        <v>30703</v>
      </c>
      <c r="Z17" s="9">
        <v>3347</v>
      </c>
      <c r="AA17" s="62">
        <v>47044</v>
      </c>
      <c r="AB17" s="8">
        <v>32547.599999999999</v>
      </c>
      <c r="AC17" s="9">
        <v>2598</v>
      </c>
      <c r="AD17" s="62">
        <v>36116</v>
      </c>
      <c r="AE17" s="8">
        <v>24855</v>
      </c>
      <c r="AF17" s="9">
        <v>2730</v>
      </c>
      <c r="AG17" s="62">
        <v>38640</v>
      </c>
      <c r="AH17" s="8">
        <v>26050</v>
      </c>
      <c r="AI17" s="9">
        <v>1585</v>
      </c>
      <c r="AJ17" s="62">
        <v>22320</v>
      </c>
      <c r="AK17" s="8">
        <v>16094</v>
      </c>
      <c r="AL17" s="9">
        <v>2640</v>
      </c>
      <c r="AM17" s="62">
        <v>37340</v>
      </c>
      <c r="AN17" s="8">
        <v>25527.600000000002</v>
      </c>
      <c r="AO17" s="9">
        <v>1860</v>
      </c>
      <c r="AP17" s="62">
        <v>26230</v>
      </c>
      <c r="AQ17" s="8">
        <v>18310</v>
      </c>
      <c r="AR17" s="9">
        <v>3350</v>
      </c>
      <c r="AS17" s="62">
        <v>47050</v>
      </c>
      <c r="AT17" s="8">
        <v>32588</v>
      </c>
      <c r="AU17" s="54">
        <f t="shared" si="0"/>
        <v>34718</v>
      </c>
      <c r="AV17" s="63">
        <f t="shared" si="1"/>
        <v>486466</v>
      </c>
      <c r="AW17" s="55">
        <f t="shared" si="2"/>
        <v>336807.2</v>
      </c>
      <c r="AX17" s="54">
        <f t="shared" si="3"/>
        <v>2893.1666666666665</v>
      </c>
      <c r="AY17" s="63">
        <f t="shared" si="4"/>
        <v>241.0972222222222</v>
      </c>
      <c r="AZ17" s="55">
        <f t="shared" si="5"/>
        <v>28067.266666666666</v>
      </c>
      <c r="BA17" s="9">
        <v>2720</v>
      </c>
      <c r="BB17" s="62">
        <v>37720</v>
      </c>
      <c r="BC17" s="8">
        <v>26875.600000000002</v>
      </c>
      <c r="BD17" s="9">
        <v>2555</v>
      </c>
      <c r="BE17" s="62">
        <v>35620</v>
      </c>
      <c r="BF17" s="8">
        <v>25578.400000000001</v>
      </c>
      <c r="BG17" s="9">
        <v>3825</v>
      </c>
      <c r="BH17" s="62">
        <v>52870</v>
      </c>
      <c r="BI17" s="8">
        <v>37413.599999999999</v>
      </c>
      <c r="BJ17" s="9">
        <v>2210</v>
      </c>
      <c r="BK17" s="62">
        <v>30900</v>
      </c>
      <c r="BL17" s="8">
        <v>22440</v>
      </c>
      <c r="BM17" s="44">
        <v>2325</v>
      </c>
      <c r="BN17" s="42">
        <v>32270</v>
      </c>
      <c r="BO17" s="45">
        <v>23437.600000000002</v>
      </c>
      <c r="BP17" s="44">
        <v>2900</v>
      </c>
      <c r="BQ17" s="42">
        <v>41340</v>
      </c>
      <c r="BR17" s="45">
        <v>29033.199999999997</v>
      </c>
      <c r="BS17" s="44">
        <v>1945</v>
      </c>
      <c r="BT17" s="42">
        <v>27730</v>
      </c>
      <c r="BU17" s="112">
        <v>19786.400000000001</v>
      </c>
      <c r="BV17" s="115">
        <v>2120</v>
      </c>
      <c r="BW17" s="116">
        <v>29280</v>
      </c>
      <c r="BX17" s="112">
        <v>21337.599999999999</v>
      </c>
      <c r="BY17" s="115">
        <v>2235</v>
      </c>
      <c r="BZ17" s="116">
        <v>31480</v>
      </c>
      <c r="CA17" s="112">
        <v>22808</v>
      </c>
      <c r="CB17" s="115">
        <v>2880</v>
      </c>
      <c r="CC17" s="116">
        <v>42360</v>
      </c>
      <c r="CD17" s="112">
        <v>29418.799999999999</v>
      </c>
      <c r="CE17" s="115">
        <v>2660</v>
      </c>
      <c r="CF17" s="116">
        <v>36680</v>
      </c>
      <c r="CG17" s="112">
        <v>26912.799999999999</v>
      </c>
      <c r="CH17" s="115">
        <v>2328</v>
      </c>
      <c r="CI17" s="116">
        <v>32830</v>
      </c>
      <c r="CJ17" s="112">
        <v>24497.200000000001</v>
      </c>
      <c r="CK17" s="54">
        <f t="shared" si="6"/>
        <v>30703</v>
      </c>
      <c r="CL17" s="63">
        <f t="shared" si="7"/>
        <v>431080</v>
      </c>
      <c r="CM17" s="55">
        <f t="shared" si="8"/>
        <v>309539.20000000001</v>
      </c>
      <c r="CN17" s="54">
        <f t="shared" si="9"/>
        <v>2558.5833333333335</v>
      </c>
      <c r="CO17" s="63">
        <f t="shared" si="10"/>
        <v>35923.333333333336</v>
      </c>
      <c r="CP17" s="172">
        <f t="shared" si="11"/>
        <v>25794.933333333334</v>
      </c>
      <c r="CQ17" s="9">
        <v>3160</v>
      </c>
      <c r="CR17" s="62">
        <v>45640</v>
      </c>
      <c r="CS17" s="98">
        <v>33195.199999999997</v>
      </c>
      <c r="CT17" s="9">
        <v>2145</v>
      </c>
      <c r="CU17" s="62">
        <v>30510</v>
      </c>
      <c r="CV17" s="8">
        <v>22500</v>
      </c>
      <c r="CW17" s="9"/>
      <c r="CX17" s="62"/>
      <c r="CY17" s="98"/>
      <c r="CZ17" s="9"/>
      <c r="DA17" s="62"/>
      <c r="DB17" s="8"/>
      <c r="DC17" s="9"/>
      <c r="DD17" s="62"/>
      <c r="DE17" s="8"/>
      <c r="DF17" s="9"/>
      <c r="DG17" s="62"/>
      <c r="DH17" s="8"/>
      <c r="DI17" s="9"/>
      <c r="DJ17" s="62"/>
      <c r="DK17" s="8"/>
      <c r="DL17" s="9"/>
      <c r="DM17" s="62"/>
      <c r="DN17" s="8"/>
      <c r="DO17" s="9"/>
      <c r="DP17" s="62"/>
      <c r="DQ17" s="8"/>
      <c r="DR17" s="9"/>
      <c r="DS17" s="62"/>
      <c r="DT17" s="8"/>
      <c r="DU17" s="9"/>
      <c r="DV17" s="62"/>
      <c r="DW17" s="8"/>
      <c r="DX17" s="9"/>
      <c r="DY17" s="62"/>
      <c r="DZ17" s="8"/>
    </row>
    <row r="18" spans="1:130" s="2" customFormat="1" ht="34.9" customHeight="1" x14ac:dyDescent="0.6">
      <c r="A18" s="5">
        <v>15</v>
      </c>
      <c r="B18" s="131" t="s">
        <v>63</v>
      </c>
      <c r="C18" s="14" t="s">
        <v>64</v>
      </c>
      <c r="D18" s="132" t="s">
        <v>49</v>
      </c>
      <c r="E18" s="132" t="s">
        <v>50</v>
      </c>
      <c r="F18" s="7" t="s">
        <v>15</v>
      </c>
      <c r="G18" s="16" t="s">
        <v>709</v>
      </c>
      <c r="H18" s="133" t="s">
        <v>710</v>
      </c>
      <c r="I18" s="133" t="s">
        <v>711</v>
      </c>
      <c r="J18" s="41" t="s">
        <v>16</v>
      </c>
      <c r="K18" s="9">
        <v>2690</v>
      </c>
      <c r="L18" s="62">
        <v>37440</v>
      </c>
      <c r="M18" s="78">
        <v>29100</v>
      </c>
      <c r="N18" s="9">
        <v>3120</v>
      </c>
      <c r="O18" s="62">
        <v>40830</v>
      </c>
      <c r="P18" s="41">
        <v>34884</v>
      </c>
      <c r="Q18" s="9">
        <v>2270</v>
      </c>
      <c r="R18" s="62">
        <v>29600</v>
      </c>
      <c r="S18" s="98">
        <v>25099</v>
      </c>
      <c r="T18" s="9">
        <v>3185</v>
      </c>
      <c r="U18" s="62">
        <v>42120</v>
      </c>
      <c r="V18" s="8">
        <v>36244</v>
      </c>
      <c r="W18" s="9">
        <v>3550</v>
      </c>
      <c r="X18" s="62">
        <v>49600</v>
      </c>
      <c r="Y18" s="8">
        <v>40584</v>
      </c>
      <c r="Z18" s="9">
        <v>1750</v>
      </c>
      <c r="AA18" s="62">
        <v>23340</v>
      </c>
      <c r="AB18" s="8">
        <v>19112.400000000001</v>
      </c>
      <c r="AC18" s="9">
        <v>2915</v>
      </c>
      <c r="AD18" s="62">
        <v>38340</v>
      </c>
      <c r="AE18" s="8">
        <v>32976</v>
      </c>
      <c r="AF18" s="9">
        <v>2474</v>
      </c>
      <c r="AG18" s="62">
        <v>35588</v>
      </c>
      <c r="AH18" s="8">
        <v>28230</v>
      </c>
      <c r="AI18" s="9">
        <v>2835</v>
      </c>
      <c r="AJ18" s="62">
        <v>38980</v>
      </c>
      <c r="AK18" s="8">
        <v>31805.599999999999</v>
      </c>
      <c r="AL18" s="9">
        <v>3290</v>
      </c>
      <c r="AM18" s="62">
        <v>46260</v>
      </c>
      <c r="AN18" s="8">
        <v>38532</v>
      </c>
      <c r="AO18" s="9">
        <v>2000</v>
      </c>
      <c r="AP18" s="62">
        <v>31440</v>
      </c>
      <c r="AQ18" s="8">
        <v>23146</v>
      </c>
      <c r="AR18" s="9">
        <v>3145</v>
      </c>
      <c r="AS18" s="62">
        <v>38780</v>
      </c>
      <c r="AT18" s="8">
        <v>36159</v>
      </c>
      <c r="AU18" s="54">
        <f t="shared" si="0"/>
        <v>33224</v>
      </c>
      <c r="AV18" s="63">
        <f t="shared" si="1"/>
        <v>452318</v>
      </c>
      <c r="AW18" s="55">
        <f t="shared" si="2"/>
        <v>375872</v>
      </c>
      <c r="AX18" s="54">
        <f t="shared" si="3"/>
        <v>2768.6666666666665</v>
      </c>
      <c r="AY18" s="63">
        <f t="shared" si="4"/>
        <v>230.7222222222222</v>
      </c>
      <c r="AZ18" s="55">
        <f t="shared" si="5"/>
        <v>31322.666666666668</v>
      </c>
      <c r="BA18" s="9">
        <v>2260</v>
      </c>
      <c r="BB18" s="62">
        <v>31480</v>
      </c>
      <c r="BC18" s="8">
        <v>26285.599999999999</v>
      </c>
      <c r="BD18" s="9">
        <v>1404</v>
      </c>
      <c r="BE18" s="62">
        <v>24156</v>
      </c>
      <c r="BF18" s="8">
        <v>16019.44</v>
      </c>
      <c r="BG18" s="9">
        <v>2755</v>
      </c>
      <c r="BH18" s="62">
        <v>36920</v>
      </c>
      <c r="BI18" s="8">
        <v>31360.799999999996</v>
      </c>
      <c r="BJ18" s="9">
        <v>3115</v>
      </c>
      <c r="BK18" s="62">
        <v>44280</v>
      </c>
      <c r="BL18" s="8">
        <v>36052.400000000001</v>
      </c>
      <c r="BM18" s="44">
        <v>1755</v>
      </c>
      <c r="BN18" s="42">
        <v>26120</v>
      </c>
      <c r="BO18" s="45">
        <v>20275.600000000002</v>
      </c>
      <c r="BP18" s="44">
        <v>2465</v>
      </c>
      <c r="BQ18" s="42">
        <v>34010</v>
      </c>
      <c r="BR18" s="45">
        <v>28134.400000000001</v>
      </c>
      <c r="BS18" s="44">
        <v>2485</v>
      </c>
      <c r="BT18" s="42">
        <v>36170</v>
      </c>
      <c r="BU18" s="112">
        <v>28810</v>
      </c>
      <c r="BV18" s="115">
        <v>2390</v>
      </c>
      <c r="BW18" s="116">
        <v>35290</v>
      </c>
      <c r="BX18" s="112">
        <v>27720.400000000001</v>
      </c>
      <c r="BY18" s="115">
        <v>2585</v>
      </c>
      <c r="BZ18" s="116">
        <v>38860</v>
      </c>
      <c r="CA18" s="112">
        <v>30232</v>
      </c>
      <c r="CB18" s="115">
        <v>2655</v>
      </c>
      <c r="CC18" s="116">
        <v>41500</v>
      </c>
      <c r="CD18" s="112">
        <v>31370.399999999998</v>
      </c>
      <c r="CE18" s="115">
        <v>2510</v>
      </c>
      <c r="CF18" s="116">
        <v>37590</v>
      </c>
      <c r="CG18" s="112">
        <v>29400.800000000003</v>
      </c>
      <c r="CH18" s="115">
        <v>2797</v>
      </c>
      <c r="CI18" s="116">
        <v>42064</v>
      </c>
      <c r="CJ18" s="112">
        <v>32909.599999999999</v>
      </c>
      <c r="CK18" s="54">
        <f t="shared" si="6"/>
        <v>29176</v>
      </c>
      <c r="CL18" s="63">
        <f t="shared" si="7"/>
        <v>428440</v>
      </c>
      <c r="CM18" s="55">
        <f t="shared" si="8"/>
        <v>338571.43999999994</v>
      </c>
      <c r="CN18" s="54">
        <f t="shared" si="9"/>
        <v>2431.3333333333335</v>
      </c>
      <c r="CO18" s="63">
        <f t="shared" si="10"/>
        <v>35703.333333333336</v>
      </c>
      <c r="CP18" s="172">
        <f t="shared" si="11"/>
        <v>28214.286666666663</v>
      </c>
      <c r="CQ18" s="9">
        <v>2680</v>
      </c>
      <c r="CR18" s="62">
        <v>40610</v>
      </c>
      <c r="CS18" s="98">
        <v>31456.800000000003</v>
      </c>
      <c r="CT18" s="9">
        <v>2290</v>
      </c>
      <c r="CU18" s="62">
        <v>34750</v>
      </c>
      <c r="CV18" s="8">
        <v>27214.800000000003</v>
      </c>
      <c r="CW18" s="9"/>
      <c r="CX18" s="62"/>
      <c r="CY18" s="98"/>
      <c r="CZ18" s="9"/>
      <c r="DA18" s="62"/>
      <c r="DB18" s="8"/>
      <c r="DC18" s="9"/>
      <c r="DD18" s="62"/>
      <c r="DE18" s="8"/>
      <c r="DF18" s="9"/>
      <c r="DG18" s="62"/>
      <c r="DH18" s="8"/>
      <c r="DI18" s="9"/>
      <c r="DJ18" s="62"/>
      <c r="DK18" s="8"/>
      <c r="DL18" s="9"/>
      <c r="DM18" s="62"/>
      <c r="DN18" s="8"/>
      <c r="DO18" s="9"/>
      <c r="DP18" s="62"/>
      <c r="DQ18" s="8"/>
      <c r="DR18" s="9"/>
      <c r="DS18" s="62"/>
      <c r="DT18" s="8"/>
      <c r="DU18" s="9"/>
      <c r="DV18" s="62"/>
      <c r="DW18" s="8"/>
      <c r="DX18" s="9"/>
      <c r="DY18" s="62"/>
      <c r="DZ18" s="8"/>
    </row>
    <row r="19" spans="1:130" s="2" customFormat="1" ht="34.9" customHeight="1" x14ac:dyDescent="0.6">
      <c r="A19" s="5">
        <v>16</v>
      </c>
      <c r="B19" s="131" t="s">
        <v>65</v>
      </c>
      <c r="C19" s="14" t="s">
        <v>66</v>
      </c>
      <c r="D19" s="132" t="s">
        <v>67</v>
      </c>
      <c r="E19" s="132" t="s">
        <v>68</v>
      </c>
      <c r="F19" s="7" t="s">
        <v>15</v>
      </c>
      <c r="G19" s="16" t="s">
        <v>712</v>
      </c>
      <c r="H19" s="133" t="s">
        <v>713</v>
      </c>
      <c r="I19" s="133" t="s">
        <v>714</v>
      </c>
      <c r="J19" s="41" t="s">
        <v>16</v>
      </c>
      <c r="K19" s="9">
        <v>1220</v>
      </c>
      <c r="L19" s="62">
        <v>14940</v>
      </c>
      <c r="M19" s="78">
        <v>26713.599999999999</v>
      </c>
      <c r="N19" s="9">
        <v>1210</v>
      </c>
      <c r="O19" s="62">
        <v>16740</v>
      </c>
      <c r="P19" s="41">
        <v>27383.200000000004</v>
      </c>
      <c r="Q19" s="9">
        <v>1260</v>
      </c>
      <c r="R19" s="62">
        <v>15460</v>
      </c>
      <c r="S19" s="98">
        <v>26848</v>
      </c>
      <c r="T19" s="9">
        <v>1260</v>
      </c>
      <c r="U19" s="62">
        <v>15620</v>
      </c>
      <c r="V19" s="8">
        <v>27587</v>
      </c>
      <c r="W19" s="9">
        <v>2090</v>
      </c>
      <c r="X19" s="62">
        <v>25100</v>
      </c>
      <c r="Y19" s="8">
        <v>23533</v>
      </c>
      <c r="Z19" s="9">
        <v>1940</v>
      </c>
      <c r="AA19" s="62">
        <v>23465</v>
      </c>
      <c r="AB19" s="8">
        <v>26553.600000000002</v>
      </c>
      <c r="AC19" s="9">
        <v>1805</v>
      </c>
      <c r="AD19" s="62">
        <v>21680</v>
      </c>
      <c r="AE19" s="8">
        <v>30184</v>
      </c>
      <c r="AF19" s="9">
        <v>1185</v>
      </c>
      <c r="AG19" s="62">
        <v>14540</v>
      </c>
      <c r="AH19" s="8">
        <v>21190</v>
      </c>
      <c r="AI19" s="9">
        <v>1606</v>
      </c>
      <c r="AJ19" s="62">
        <v>20000</v>
      </c>
      <c r="AK19" s="8">
        <v>19324</v>
      </c>
      <c r="AL19" s="9">
        <v>1540</v>
      </c>
      <c r="AM19" s="62">
        <v>18920</v>
      </c>
      <c r="AN19" s="8">
        <v>18479.599999999999</v>
      </c>
      <c r="AO19" s="9">
        <v>3215</v>
      </c>
      <c r="AP19" s="62">
        <v>46850</v>
      </c>
      <c r="AQ19" s="8">
        <v>35566</v>
      </c>
      <c r="AR19" s="9">
        <v>2755</v>
      </c>
      <c r="AS19" s="62">
        <v>40460</v>
      </c>
      <c r="AT19" s="8">
        <v>30466</v>
      </c>
      <c r="AU19" s="54">
        <f t="shared" si="0"/>
        <v>21086</v>
      </c>
      <c r="AV19" s="63">
        <f t="shared" si="1"/>
        <v>273775</v>
      </c>
      <c r="AW19" s="55">
        <f t="shared" si="2"/>
        <v>313828</v>
      </c>
      <c r="AX19" s="54">
        <f t="shared" si="3"/>
        <v>1757.1666666666667</v>
      </c>
      <c r="AY19" s="63">
        <f t="shared" si="4"/>
        <v>146.43055555555557</v>
      </c>
      <c r="AZ19" s="55">
        <f t="shared" si="5"/>
        <v>26152.333333333332</v>
      </c>
      <c r="BA19" s="9">
        <v>2795</v>
      </c>
      <c r="BB19" s="62">
        <v>40200</v>
      </c>
      <c r="BC19" s="8">
        <v>31526.799999999999</v>
      </c>
      <c r="BD19" s="9">
        <v>3173</v>
      </c>
      <c r="BE19" s="62">
        <v>47280</v>
      </c>
      <c r="BF19" s="8">
        <v>35349.200000000004</v>
      </c>
      <c r="BG19" s="9">
        <v>4870</v>
      </c>
      <c r="BH19" s="62">
        <v>68000</v>
      </c>
      <c r="BI19" s="8">
        <v>55617.200000000004</v>
      </c>
      <c r="BJ19" s="9">
        <v>1275</v>
      </c>
      <c r="BK19" s="62">
        <v>19300</v>
      </c>
      <c r="BL19" s="8">
        <v>13092.400000000001</v>
      </c>
      <c r="BM19" s="44">
        <v>2865</v>
      </c>
      <c r="BN19" s="42">
        <v>41170</v>
      </c>
      <c r="BO19" s="45">
        <v>32211.599999999999</v>
      </c>
      <c r="BP19" s="44">
        <v>2800</v>
      </c>
      <c r="BQ19" s="42">
        <v>39940</v>
      </c>
      <c r="BR19" s="45">
        <v>31253.200000000001</v>
      </c>
      <c r="BS19" s="44">
        <v>2365</v>
      </c>
      <c r="BT19" s="42">
        <v>35690</v>
      </c>
      <c r="BU19" s="112">
        <v>26664.799999999999</v>
      </c>
      <c r="BV19" s="115">
        <v>2120</v>
      </c>
      <c r="BW19" s="116">
        <v>31190</v>
      </c>
      <c r="BX19" s="112">
        <v>23782.799999999999</v>
      </c>
      <c r="BY19" s="115">
        <v>2091</v>
      </c>
      <c r="BZ19" s="116">
        <v>30160</v>
      </c>
      <c r="CA19" s="112">
        <v>23733.600000000002</v>
      </c>
      <c r="CB19" s="115">
        <v>1710</v>
      </c>
      <c r="CC19" s="116">
        <v>24910</v>
      </c>
      <c r="CD19" s="112">
        <v>19417.2</v>
      </c>
      <c r="CE19" s="115">
        <v>1430</v>
      </c>
      <c r="CF19" s="116">
        <v>20710</v>
      </c>
      <c r="CG19" s="112">
        <v>16194.4</v>
      </c>
      <c r="CH19" s="115">
        <v>1760</v>
      </c>
      <c r="CI19" s="116">
        <v>25190</v>
      </c>
      <c r="CJ19" s="112">
        <v>19984.399999999998</v>
      </c>
      <c r="CK19" s="54">
        <f t="shared" si="6"/>
        <v>29254</v>
      </c>
      <c r="CL19" s="63">
        <f t="shared" si="7"/>
        <v>423740</v>
      </c>
      <c r="CM19" s="55">
        <f t="shared" si="8"/>
        <v>328827.60000000003</v>
      </c>
      <c r="CN19" s="54">
        <f t="shared" si="9"/>
        <v>2437.8333333333335</v>
      </c>
      <c r="CO19" s="63">
        <f t="shared" si="10"/>
        <v>35311.666666666664</v>
      </c>
      <c r="CP19" s="172">
        <f t="shared" si="11"/>
        <v>27402.300000000003</v>
      </c>
      <c r="CQ19" s="9">
        <v>1665</v>
      </c>
      <c r="CR19" s="62">
        <v>24260</v>
      </c>
      <c r="CS19" s="98">
        <v>19089.599999999999</v>
      </c>
      <c r="CT19" s="9">
        <v>1260</v>
      </c>
      <c r="CU19" s="62">
        <v>18740</v>
      </c>
      <c r="CV19" s="8">
        <v>14469.6</v>
      </c>
      <c r="CW19" s="9"/>
      <c r="CX19" s="62"/>
      <c r="CY19" s="98"/>
      <c r="CZ19" s="9"/>
      <c r="DA19" s="62"/>
      <c r="DB19" s="8"/>
      <c r="DC19" s="9"/>
      <c r="DD19" s="62"/>
      <c r="DE19" s="8"/>
      <c r="DF19" s="9"/>
      <c r="DG19" s="62"/>
      <c r="DH19" s="8"/>
      <c r="DI19" s="9"/>
      <c r="DJ19" s="62"/>
      <c r="DK19" s="8"/>
      <c r="DL19" s="9"/>
      <c r="DM19" s="62"/>
      <c r="DN19" s="8"/>
      <c r="DO19" s="9"/>
      <c r="DP19" s="62"/>
      <c r="DQ19" s="8"/>
      <c r="DR19" s="9"/>
      <c r="DS19" s="62"/>
      <c r="DT19" s="8"/>
      <c r="DU19" s="9"/>
      <c r="DV19" s="62"/>
      <c r="DW19" s="8"/>
      <c r="DX19" s="9"/>
      <c r="DY19" s="62"/>
      <c r="DZ19" s="8"/>
    </row>
    <row r="20" spans="1:130" s="2" customFormat="1" ht="34.9" customHeight="1" x14ac:dyDescent="0.6">
      <c r="A20" s="5">
        <v>17</v>
      </c>
      <c r="B20" s="131" t="s">
        <v>69</v>
      </c>
      <c r="C20" s="14" t="s">
        <v>70</v>
      </c>
      <c r="D20" s="132" t="s">
        <v>29</v>
      </c>
      <c r="E20" s="132" t="s">
        <v>30</v>
      </c>
      <c r="F20" s="7" t="s">
        <v>15</v>
      </c>
      <c r="G20" s="16" t="s">
        <v>715</v>
      </c>
      <c r="H20" s="133" t="s">
        <v>716</v>
      </c>
      <c r="I20" s="133" t="s">
        <v>717</v>
      </c>
      <c r="J20" s="41" t="s">
        <v>16</v>
      </c>
      <c r="K20" s="9">
        <v>2747</v>
      </c>
      <c r="L20" s="62">
        <v>38490</v>
      </c>
      <c r="M20" s="78">
        <v>28456</v>
      </c>
      <c r="N20" s="9">
        <v>2495</v>
      </c>
      <c r="O20" s="62">
        <v>34990</v>
      </c>
      <c r="P20" s="41">
        <v>26469</v>
      </c>
      <c r="Q20" s="9">
        <v>2739</v>
      </c>
      <c r="R20" s="62">
        <v>37996</v>
      </c>
      <c r="S20" s="98">
        <v>28833</v>
      </c>
      <c r="T20" s="9">
        <v>2438</v>
      </c>
      <c r="U20" s="62">
        <v>34606</v>
      </c>
      <c r="V20" s="8">
        <v>25477</v>
      </c>
      <c r="W20" s="9">
        <v>2622</v>
      </c>
      <c r="X20" s="62">
        <v>36788</v>
      </c>
      <c r="Y20" s="8">
        <v>27902</v>
      </c>
      <c r="Z20" s="9">
        <v>3005</v>
      </c>
      <c r="AA20" s="62">
        <v>41760</v>
      </c>
      <c r="AB20" s="8">
        <v>31782.399999999998</v>
      </c>
      <c r="AC20" s="9">
        <v>3490</v>
      </c>
      <c r="AD20" s="62">
        <v>48880</v>
      </c>
      <c r="AE20" s="8">
        <v>37066</v>
      </c>
      <c r="AF20" s="9">
        <v>1645</v>
      </c>
      <c r="AG20" s="62">
        <v>24372</v>
      </c>
      <c r="AH20" s="8">
        <v>17343</v>
      </c>
      <c r="AI20" s="9">
        <v>2833</v>
      </c>
      <c r="AJ20" s="62">
        <v>39786</v>
      </c>
      <c r="AK20" s="8">
        <v>30195.200000000004</v>
      </c>
      <c r="AL20" s="9">
        <v>2068</v>
      </c>
      <c r="AM20" s="62">
        <v>30256</v>
      </c>
      <c r="AN20" s="8">
        <v>21818</v>
      </c>
      <c r="AO20" s="9">
        <v>2170</v>
      </c>
      <c r="AP20" s="62">
        <v>32240</v>
      </c>
      <c r="AQ20" s="8">
        <v>23115</v>
      </c>
      <c r="AR20" s="9">
        <v>2955</v>
      </c>
      <c r="AS20" s="62">
        <v>42790</v>
      </c>
      <c r="AT20" s="8">
        <v>31270</v>
      </c>
      <c r="AU20" s="54">
        <f t="shared" si="0"/>
        <v>31207</v>
      </c>
      <c r="AV20" s="63">
        <f t="shared" si="1"/>
        <v>442954</v>
      </c>
      <c r="AW20" s="55">
        <f t="shared" si="2"/>
        <v>329726.59999999998</v>
      </c>
      <c r="AX20" s="54">
        <f t="shared" si="3"/>
        <v>2600.5833333333335</v>
      </c>
      <c r="AY20" s="63">
        <f t="shared" si="4"/>
        <v>216.7152777777778</v>
      </c>
      <c r="AZ20" s="55">
        <f t="shared" si="5"/>
        <v>27477.216666666664</v>
      </c>
      <c r="BA20" s="9">
        <v>1982</v>
      </c>
      <c r="BB20" s="62">
        <v>29338</v>
      </c>
      <c r="BC20" s="8">
        <v>20877.52</v>
      </c>
      <c r="BD20" s="9">
        <v>1795</v>
      </c>
      <c r="BE20" s="62">
        <v>26740</v>
      </c>
      <c r="BF20" s="8">
        <v>18942.800000000003</v>
      </c>
      <c r="BG20" s="9">
        <v>3785</v>
      </c>
      <c r="BH20" s="62">
        <v>53860</v>
      </c>
      <c r="BI20" s="8">
        <v>40831.199999999997</v>
      </c>
      <c r="BJ20" s="9">
        <v>510</v>
      </c>
      <c r="BK20" s="62">
        <v>7760</v>
      </c>
      <c r="BL20" s="8">
        <v>4850.8</v>
      </c>
      <c r="BM20" s="44">
        <v>2155</v>
      </c>
      <c r="BN20" s="42">
        <v>31610</v>
      </c>
      <c r="BO20" s="45">
        <v>22873.199999999997</v>
      </c>
      <c r="BP20" s="44">
        <v>2324</v>
      </c>
      <c r="BQ20" s="42">
        <v>33778</v>
      </c>
      <c r="BR20" s="45">
        <v>24826.399999999998</v>
      </c>
      <c r="BS20" s="44">
        <v>2485</v>
      </c>
      <c r="BT20" s="42">
        <v>36530</v>
      </c>
      <c r="BU20" s="112">
        <v>26704.6</v>
      </c>
      <c r="BV20" s="115">
        <v>2325</v>
      </c>
      <c r="BW20" s="116">
        <v>34050</v>
      </c>
      <c r="BX20" s="112">
        <v>24768.799999999996</v>
      </c>
      <c r="BY20" s="115">
        <v>2298</v>
      </c>
      <c r="BZ20" s="116">
        <v>33976</v>
      </c>
      <c r="CA20" s="112">
        <v>24656.399999999994</v>
      </c>
      <c r="CB20" s="115">
        <v>2387</v>
      </c>
      <c r="CC20" s="116">
        <v>35264</v>
      </c>
      <c r="CD20" s="112">
        <v>25532.400000000001</v>
      </c>
      <c r="CE20" s="115">
        <v>2240</v>
      </c>
      <c r="CF20" s="116">
        <v>34070</v>
      </c>
      <c r="CG20" s="112">
        <v>24077.200000000004</v>
      </c>
      <c r="CH20" s="115">
        <v>2315</v>
      </c>
      <c r="CI20" s="116">
        <v>34750</v>
      </c>
      <c r="CJ20" s="112">
        <v>24860.000000000004</v>
      </c>
      <c r="CK20" s="54">
        <f t="shared" si="6"/>
        <v>26601</v>
      </c>
      <c r="CL20" s="63">
        <f t="shared" si="7"/>
        <v>391726</v>
      </c>
      <c r="CM20" s="55">
        <f t="shared" si="8"/>
        <v>283801.32</v>
      </c>
      <c r="CN20" s="54">
        <f t="shared" si="9"/>
        <v>2216.75</v>
      </c>
      <c r="CO20" s="63">
        <f t="shared" si="10"/>
        <v>32643.833333333332</v>
      </c>
      <c r="CP20" s="172">
        <f t="shared" si="11"/>
        <v>23650.11</v>
      </c>
      <c r="CQ20" s="9">
        <v>2190</v>
      </c>
      <c r="CR20" s="62">
        <v>32800</v>
      </c>
      <c r="CS20" s="98">
        <v>23773.200000000001</v>
      </c>
      <c r="CT20" s="9">
        <v>2110</v>
      </c>
      <c r="CU20" s="62">
        <v>31590</v>
      </c>
      <c r="CV20" s="8">
        <v>23047.600000000002</v>
      </c>
      <c r="CW20" s="9"/>
      <c r="CX20" s="62"/>
      <c r="CY20" s="98"/>
      <c r="CZ20" s="9"/>
      <c r="DA20" s="62"/>
      <c r="DB20" s="8"/>
      <c r="DC20" s="9"/>
      <c r="DD20" s="62"/>
      <c r="DE20" s="8"/>
      <c r="DF20" s="9"/>
      <c r="DG20" s="62"/>
      <c r="DH20" s="8"/>
      <c r="DI20" s="9"/>
      <c r="DJ20" s="62"/>
      <c r="DK20" s="8"/>
      <c r="DL20" s="9"/>
      <c r="DM20" s="62"/>
      <c r="DN20" s="8"/>
      <c r="DO20" s="9"/>
      <c r="DP20" s="62"/>
      <c r="DQ20" s="8"/>
      <c r="DR20" s="9"/>
      <c r="DS20" s="62"/>
      <c r="DT20" s="8"/>
      <c r="DU20" s="9"/>
      <c r="DV20" s="62"/>
      <c r="DW20" s="8"/>
      <c r="DX20" s="9"/>
      <c r="DY20" s="62"/>
      <c r="DZ20" s="8"/>
    </row>
    <row r="21" spans="1:130" s="2" customFormat="1" ht="34.9" customHeight="1" x14ac:dyDescent="0.6">
      <c r="A21" s="5">
        <v>18</v>
      </c>
      <c r="B21" s="132" t="s">
        <v>71</v>
      </c>
      <c r="C21" s="15" t="s">
        <v>72</v>
      </c>
      <c r="D21" s="132" t="s">
        <v>45</v>
      </c>
      <c r="E21" s="132" t="s">
        <v>46</v>
      </c>
      <c r="F21" s="7" t="s">
        <v>15</v>
      </c>
      <c r="G21" s="16" t="s">
        <v>718</v>
      </c>
      <c r="H21" s="133" t="s">
        <v>719</v>
      </c>
      <c r="I21" s="133" t="s">
        <v>720</v>
      </c>
      <c r="J21" s="41" t="s">
        <v>16</v>
      </c>
      <c r="K21" s="9">
        <v>2090</v>
      </c>
      <c r="L21" s="62">
        <v>30660</v>
      </c>
      <c r="M21" s="78">
        <v>21104</v>
      </c>
      <c r="N21" s="9">
        <v>2210</v>
      </c>
      <c r="O21" s="62">
        <v>31730</v>
      </c>
      <c r="P21" s="41">
        <v>22733</v>
      </c>
      <c r="Q21" s="9">
        <v>2795</v>
      </c>
      <c r="R21" s="62">
        <v>38720</v>
      </c>
      <c r="S21" s="98">
        <v>28949</v>
      </c>
      <c r="T21" s="9">
        <v>2100</v>
      </c>
      <c r="U21" s="62">
        <v>31540</v>
      </c>
      <c r="V21" s="8">
        <v>2100</v>
      </c>
      <c r="W21" s="9">
        <v>2460</v>
      </c>
      <c r="X21" s="62">
        <v>35160</v>
      </c>
      <c r="Y21" s="8">
        <v>25525</v>
      </c>
      <c r="Z21" s="9">
        <v>2905</v>
      </c>
      <c r="AA21" s="62">
        <v>41100</v>
      </c>
      <c r="AB21" s="8">
        <v>30043.600000000002</v>
      </c>
      <c r="AC21" s="9">
        <v>2790</v>
      </c>
      <c r="AD21" s="62">
        <v>39780</v>
      </c>
      <c r="AE21" s="8">
        <v>29952</v>
      </c>
      <c r="AF21" s="9">
        <v>2125</v>
      </c>
      <c r="AG21" s="62">
        <v>30860</v>
      </c>
      <c r="AH21" s="8">
        <v>21516</v>
      </c>
      <c r="AI21" s="9">
        <v>2325</v>
      </c>
      <c r="AJ21" s="62">
        <v>34060</v>
      </c>
      <c r="AK21" s="8">
        <v>24010.799999999999</v>
      </c>
      <c r="AL21" s="9">
        <v>2520</v>
      </c>
      <c r="AM21" s="62">
        <v>37540</v>
      </c>
      <c r="AN21" s="8">
        <v>26900.799999999999</v>
      </c>
      <c r="AO21" s="9">
        <v>2077</v>
      </c>
      <c r="AP21" s="62">
        <v>29979</v>
      </c>
      <c r="AQ21" s="8">
        <v>22050</v>
      </c>
      <c r="AR21" s="9">
        <v>2560</v>
      </c>
      <c r="AS21" s="62">
        <v>36440</v>
      </c>
      <c r="AT21" s="8">
        <v>27013</v>
      </c>
      <c r="AU21" s="54">
        <f t="shared" si="0"/>
        <v>28957</v>
      </c>
      <c r="AV21" s="63">
        <f t="shared" si="1"/>
        <v>417569</v>
      </c>
      <c r="AW21" s="55">
        <f t="shared" si="2"/>
        <v>281897.19999999995</v>
      </c>
      <c r="AX21" s="54">
        <f t="shared" si="3"/>
        <v>2413.0833333333335</v>
      </c>
      <c r="AY21" s="63">
        <f t="shared" si="4"/>
        <v>201.0902777777778</v>
      </c>
      <c r="AZ21" s="55">
        <f t="shared" si="5"/>
        <v>23491.433333333331</v>
      </c>
      <c r="BA21" s="9">
        <v>2170</v>
      </c>
      <c r="BB21" s="62">
        <v>31300</v>
      </c>
      <c r="BC21" s="8">
        <v>22990</v>
      </c>
      <c r="BD21" s="9">
        <v>1895</v>
      </c>
      <c r="BE21" s="62">
        <v>27120</v>
      </c>
      <c r="BF21" s="8">
        <v>19883.600000000002</v>
      </c>
      <c r="BG21" s="9">
        <v>4343</v>
      </c>
      <c r="BH21" s="62">
        <v>61892</v>
      </c>
      <c r="BI21" s="8">
        <v>46689.279999999999</v>
      </c>
      <c r="BJ21" s="9">
        <v>1315</v>
      </c>
      <c r="BK21" s="62">
        <v>18380</v>
      </c>
      <c r="BL21" s="8">
        <v>13930</v>
      </c>
      <c r="BM21" s="44">
        <v>3035</v>
      </c>
      <c r="BN21" s="42">
        <v>44020</v>
      </c>
      <c r="BO21" s="45">
        <v>31855.200000000001</v>
      </c>
      <c r="BP21" s="44">
        <v>1340</v>
      </c>
      <c r="BQ21" s="42">
        <v>21160</v>
      </c>
      <c r="BR21" s="45">
        <v>14020.8</v>
      </c>
      <c r="BS21" s="44">
        <v>2300</v>
      </c>
      <c r="BT21" s="42">
        <v>33580</v>
      </c>
      <c r="BU21" s="112">
        <v>24768.399999999998</v>
      </c>
      <c r="BV21" s="115">
        <v>2655</v>
      </c>
      <c r="BW21" s="116">
        <v>38380</v>
      </c>
      <c r="BX21" s="112">
        <v>28112.400000000001</v>
      </c>
      <c r="BY21" s="115">
        <v>2990</v>
      </c>
      <c r="BZ21" s="116">
        <v>44300</v>
      </c>
      <c r="CA21" s="112">
        <v>31917.999999999996</v>
      </c>
      <c r="CB21" s="115">
        <v>2780</v>
      </c>
      <c r="CC21" s="116">
        <v>39980</v>
      </c>
      <c r="CD21" s="112">
        <v>29689.200000000001</v>
      </c>
      <c r="CE21" s="115">
        <v>2499</v>
      </c>
      <c r="CF21" s="116">
        <v>36808</v>
      </c>
      <c r="CG21" s="112">
        <v>26898.400000000001</v>
      </c>
      <c r="CH21" s="115">
        <v>2670</v>
      </c>
      <c r="CI21" s="116">
        <v>38770</v>
      </c>
      <c r="CJ21" s="112">
        <v>28917.600000000002</v>
      </c>
      <c r="CK21" s="54">
        <f t="shared" si="6"/>
        <v>29992</v>
      </c>
      <c r="CL21" s="63">
        <f t="shared" si="7"/>
        <v>435690</v>
      </c>
      <c r="CM21" s="55">
        <f t="shared" si="8"/>
        <v>319672.88</v>
      </c>
      <c r="CN21" s="54">
        <f t="shared" si="9"/>
        <v>2499.3333333333335</v>
      </c>
      <c r="CO21" s="63">
        <f t="shared" si="10"/>
        <v>36307.5</v>
      </c>
      <c r="CP21" s="172">
        <f t="shared" si="11"/>
        <v>26639.406666666666</v>
      </c>
      <c r="CQ21" s="9">
        <v>2430</v>
      </c>
      <c r="CR21" s="62">
        <v>36480</v>
      </c>
      <c r="CS21" s="98">
        <v>26369.600000000002</v>
      </c>
      <c r="CT21" s="9">
        <v>2480</v>
      </c>
      <c r="CU21" s="62">
        <v>37320</v>
      </c>
      <c r="CV21" s="8">
        <v>27026.400000000001</v>
      </c>
      <c r="CW21" s="9"/>
      <c r="CX21" s="62"/>
      <c r="CY21" s="98"/>
      <c r="CZ21" s="9"/>
      <c r="DA21" s="62"/>
      <c r="DB21" s="8"/>
      <c r="DC21" s="9"/>
      <c r="DD21" s="62"/>
      <c r="DE21" s="8"/>
      <c r="DF21" s="9"/>
      <c r="DG21" s="62"/>
      <c r="DH21" s="8"/>
      <c r="DI21" s="9"/>
      <c r="DJ21" s="62"/>
      <c r="DK21" s="8"/>
      <c r="DL21" s="9"/>
      <c r="DM21" s="62"/>
      <c r="DN21" s="8"/>
      <c r="DO21" s="9"/>
      <c r="DP21" s="62"/>
      <c r="DQ21" s="8"/>
      <c r="DR21" s="9"/>
      <c r="DS21" s="62"/>
      <c r="DT21" s="8"/>
      <c r="DU21" s="9"/>
      <c r="DV21" s="62"/>
      <c r="DW21" s="8"/>
      <c r="DX21" s="9"/>
      <c r="DY21" s="62"/>
      <c r="DZ21" s="8"/>
    </row>
    <row r="22" spans="1:130" s="2" customFormat="1" ht="34.9" customHeight="1" x14ac:dyDescent="0.6">
      <c r="A22" s="5">
        <v>19</v>
      </c>
      <c r="B22" s="131" t="s">
        <v>73</v>
      </c>
      <c r="C22" s="14" t="s">
        <v>74</v>
      </c>
      <c r="D22" s="132" t="s">
        <v>75</v>
      </c>
      <c r="E22" s="132" t="s">
        <v>76</v>
      </c>
      <c r="F22" s="7" t="s">
        <v>15</v>
      </c>
      <c r="G22" s="16" t="s">
        <v>721</v>
      </c>
      <c r="H22" s="133" t="s">
        <v>722</v>
      </c>
      <c r="I22" s="133" t="s">
        <v>723</v>
      </c>
      <c r="J22" s="41" t="s">
        <v>16</v>
      </c>
      <c r="K22" s="9">
        <v>2070</v>
      </c>
      <c r="L22" s="62">
        <v>29080</v>
      </c>
      <c r="M22" s="78">
        <v>22033.599999999999</v>
      </c>
      <c r="N22" s="9">
        <v>2095</v>
      </c>
      <c r="O22" s="62">
        <v>29800</v>
      </c>
      <c r="P22" s="41">
        <v>21978</v>
      </c>
      <c r="Q22" s="9">
        <v>2280</v>
      </c>
      <c r="R22" s="62">
        <v>32000</v>
      </c>
      <c r="S22" s="98">
        <v>23633.600000000002</v>
      </c>
      <c r="T22" s="9">
        <v>2780</v>
      </c>
      <c r="U22" s="62">
        <v>38080</v>
      </c>
      <c r="V22" s="8">
        <v>29697</v>
      </c>
      <c r="W22" s="9">
        <v>2530</v>
      </c>
      <c r="X22" s="62">
        <v>35980</v>
      </c>
      <c r="Y22" s="8">
        <v>26217</v>
      </c>
      <c r="Z22" s="9">
        <v>3040</v>
      </c>
      <c r="AA22" s="62">
        <v>41130</v>
      </c>
      <c r="AB22" s="8">
        <v>31826.799999999999</v>
      </c>
      <c r="AC22" s="9">
        <v>2222</v>
      </c>
      <c r="AD22" s="62">
        <v>30868</v>
      </c>
      <c r="AE22" s="8">
        <v>23455</v>
      </c>
      <c r="AF22" s="9">
        <v>2497</v>
      </c>
      <c r="AG22" s="62">
        <v>36624</v>
      </c>
      <c r="AH22" s="8">
        <v>26472</v>
      </c>
      <c r="AI22" s="9">
        <v>2224</v>
      </c>
      <c r="AJ22" s="62">
        <v>31416</v>
      </c>
      <c r="AK22" s="8">
        <v>23350.639999999999</v>
      </c>
      <c r="AL22" s="9">
        <v>2989</v>
      </c>
      <c r="AM22" s="62">
        <v>43266</v>
      </c>
      <c r="AN22" s="8">
        <v>32350.639999999999</v>
      </c>
      <c r="AO22" s="9">
        <v>2075</v>
      </c>
      <c r="AP22" s="62">
        <v>29480</v>
      </c>
      <c r="AQ22" s="8">
        <v>21800</v>
      </c>
      <c r="AR22" s="9">
        <v>2855</v>
      </c>
      <c r="AS22" s="62">
        <v>41320</v>
      </c>
      <c r="AT22" s="8">
        <v>30523</v>
      </c>
      <c r="AU22" s="54">
        <f t="shared" si="0"/>
        <v>29657</v>
      </c>
      <c r="AV22" s="63">
        <f t="shared" si="1"/>
        <v>419044</v>
      </c>
      <c r="AW22" s="55">
        <f t="shared" si="2"/>
        <v>313337.28000000003</v>
      </c>
      <c r="AX22" s="54">
        <f t="shared" si="3"/>
        <v>2471.4166666666665</v>
      </c>
      <c r="AY22" s="63">
        <f t="shared" si="4"/>
        <v>205.95138888888889</v>
      </c>
      <c r="AZ22" s="55">
        <f t="shared" si="5"/>
        <v>26111.440000000002</v>
      </c>
      <c r="BA22" s="9">
        <v>2410</v>
      </c>
      <c r="BB22" s="62">
        <v>35320</v>
      </c>
      <c r="BC22" s="8">
        <v>25890.399999999998</v>
      </c>
      <c r="BD22" s="9">
        <v>2635</v>
      </c>
      <c r="BE22" s="62">
        <v>38380</v>
      </c>
      <c r="BF22" s="8">
        <v>28549.599999999999</v>
      </c>
      <c r="BG22" s="9">
        <v>3095</v>
      </c>
      <c r="BH22" s="62">
        <v>43600</v>
      </c>
      <c r="BI22" s="8">
        <v>33785.199999999997</v>
      </c>
      <c r="BJ22" s="9">
        <v>2015</v>
      </c>
      <c r="BK22" s="62">
        <v>30260</v>
      </c>
      <c r="BL22" s="8">
        <v>20926.399999999998</v>
      </c>
      <c r="BM22" s="44">
        <v>2850</v>
      </c>
      <c r="BN22" s="42">
        <v>42120</v>
      </c>
      <c r="BO22" s="45">
        <v>30523.199999999997</v>
      </c>
      <c r="BP22" s="44">
        <v>2745</v>
      </c>
      <c r="BQ22" s="42">
        <v>40060</v>
      </c>
      <c r="BR22" s="45">
        <v>29486</v>
      </c>
      <c r="BS22" s="44">
        <v>2485</v>
      </c>
      <c r="BT22" s="42">
        <v>37420</v>
      </c>
      <c r="BU22" s="112">
        <v>26936.399999999998</v>
      </c>
      <c r="BV22" s="115">
        <v>2425</v>
      </c>
      <c r="BW22" s="116">
        <v>36470</v>
      </c>
      <c r="BX22" s="112">
        <v>25849.600000000002</v>
      </c>
      <c r="BY22" s="115">
        <v>2340</v>
      </c>
      <c r="BZ22" s="116">
        <v>34640</v>
      </c>
      <c r="CA22" s="112">
        <v>25319.599999999999</v>
      </c>
      <c r="CB22" s="115">
        <v>2595</v>
      </c>
      <c r="CC22" s="116">
        <v>38840</v>
      </c>
      <c r="CD22" s="112">
        <v>27924.400000000001</v>
      </c>
      <c r="CE22" s="115">
        <v>2345</v>
      </c>
      <c r="CF22" s="116">
        <v>35040</v>
      </c>
      <c r="CG22" s="112">
        <v>25026.400000000001</v>
      </c>
      <c r="CH22" s="115">
        <v>2480</v>
      </c>
      <c r="CI22" s="116">
        <v>37340</v>
      </c>
      <c r="CJ22" s="112">
        <v>26642</v>
      </c>
      <c r="CK22" s="54">
        <f t="shared" si="6"/>
        <v>30420</v>
      </c>
      <c r="CL22" s="63">
        <f t="shared" si="7"/>
        <v>449490</v>
      </c>
      <c r="CM22" s="55">
        <f t="shared" si="8"/>
        <v>326859.2</v>
      </c>
      <c r="CN22" s="54">
        <f t="shared" si="9"/>
        <v>2535</v>
      </c>
      <c r="CO22" s="63">
        <f t="shared" si="10"/>
        <v>37457.5</v>
      </c>
      <c r="CP22" s="172">
        <f t="shared" si="11"/>
        <v>27238.266666666666</v>
      </c>
      <c r="CQ22" s="9">
        <v>2795</v>
      </c>
      <c r="CR22" s="62">
        <v>41020</v>
      </c>
      <c r="CS22" s="98">
        <v>30170.399999999998</v>
      </c>
      <c r="CT22" s="9">
        <v>2350</v>
      </c>
      <c r="CU22" s="62">
        <v>34500</v>
      </c>
      <c r="CV22" s="8">
        <v>25191.199999999997</v>
      </c>
      <c r="CW22" s="9"/>
      <c r="CX22" s="62"/>
      <c r="CY22" s="98"/>
      <c r="CZ22" s="9"/>
      <c r="DA22" s="62"/>
      <c r="DB22" s="8"/>
      <c r="DC22" s="9"/>
      <c r="DD22" s="62"/>
      <c r="DE22" s="8"/>
      <c r="DF22" s="9"/>
      <c r="DG22" s="62"/>
      <c r="DH22" s="8"/>
      <c r="DI22" s="9"/>
      <c r="DJ22" s="62"/>
      <c r="DK22" s="8"/>
      <c r="DL22" s="9"/>
      <c r="DM22" s="62"/>
      <c r="DN22" s="8"/>
      <c r="DO22" s="9"/>
      <c r="DP22" s="62"/>
      <c r="DQ22" s="8"/>
      <c r="DR22" s="9"/>
      <c r="DS22" s="62"/>
      <c r="DT22" s="8"/>
      <c r="DU22" s="9"/>
      <c r="DV22" s="62"/>
      <c r="DW22" s="8"/>
      <c r="DX22" s="9"/>
      <c r="DY22" s="62"/>
      <c r="DZ22" s="8"/>
    </row>
    <row r="23" spans="1:130" s="2" customFormat="1" ht="34.9" customHeight="1" x14ac:dyDescent="0.6">
      <c r="A23" s="5">
        <v>20</v>
      </c>
      <c r="B23" s="131" t="s">
        <v>77</v>
      </c>
      <c r="C23" s="14" t="s">
        <v>78</v>
      </c>
      <c r="D23" s="132" t="s">
        <v>13</v>
      </c>
      <c r="E23" s="132" t="s">
        <v>79</v>
      </c>
      <c r="F23" s="7" t="s">
        <v>15</v>
      </c>
      <c r="G23" s="16" t="s">
        <v>724</v>
      </c>
      <c r="H23" s="133" t="s">
        <v>725</v>
      </c>
      <c r="I23" s="133" t="s">
        <v>726</v>
      </c>
      <c r="J23" s="41" t="s">
        <v>16</v>
      </c>
      <c r="K23" s="9">
        <v>2285</v>
      </c>
      <c r="L23" s="62">
        <v>33240</v>
      </c>
      <c r="M23" s="78">
        <v>23399</v>
      </c>
      <c r="N23" s="9">
        <v>2235</v>
      </c>
      <c r="O23" s="62">
        <v>32720</v>
      </c>
      <c r="P23" s="41">
        <v>23213</v>
      </c>
      <c r="Q23" s="9">
        <v>1700</v>
      </c>
      <c r="R23" s="62">
        <v>24440</v>
      </c>
      <c r="S23" s="98">
        <v>40653</v>
      </c>
      <c r="T23" s="9">
        <v>2190</v>
      </c>
      <c r="U23" s="62">
        <v>31180</v>
      </c>
      <c r="V23" s="8">
        <v>22808</v>
      </c>
      <c r="W23" s="9">
        <v>2135</v>
      </c>
      <c r="X23" s="62">
        <v>32030</v>
      </c>
      <c r="Y23" s="8">
        <v>22436</v>
      </c>
      <c r="Z23" s="9">
        <v>2230</v>
      </c>
      <c r="AA23" s="62">
        <v>31363</v>
      </c>
      <c r="AB23" s="8">
        <v>22854.719999999998</v>
      </c>
      <c r="AC23" s="9">
        <v>2220</v>
      </c>
      <c r="AD23" s="62">
        <v>32520</v>
      </c>
      <c r="AE23" s="8">
        <v>23063</v>
      </c>
      <c r="AF23" s="9">
        <v>2145</v>
      </c>
      <c r="AG23" s="62">
        <v>31230</v>
      </c>
      <c r="AH23" s="8">
        <v>22948</v>
      </c>
      <c r="AI23" s="9">
        <v>1660</v>
      </c>
      <c r="AJ23" s="62">
        <v>24260</v>
      </c>
      <c r="AK23" s="8">
        <v>17093.599999999999</v>
      </c>
      <c r="AL23" s="9">
        <v>2180</v>
      </c>
      <c r="AM23" s="62">
        <v>33120</v>
      </c>
      <c r="AN23" s="8">
        <v>22949.8</v>
      </c>
      <c r="AO23" s="9">
        <v>2425</v>
      </c>
      <c r="AP23" s="62">
        <v>36500</v>
      </c>
      <c r="AQ23" s="8">
        <v>25496</v>
      </c>
      <c r="AR23" s="9">
        <v>1685</v>
      </c>
      <c r="AS23" s="62">
        <v>25700</v>
      </c>
      <c r="AT23" s="8">
        <v>17474</v>
      </c>
      <c r="AU23" s="54">
        <f t="shared" si="0"/>
        <v>25090</v>
      </c>
      <c r="AV23" s="63">
        <f t="shared" si="1"/>
        <v>368303</v>
      </c>
      <c r="AW23" s="55">
        <f t="shared" si="2"/>
        <v>284388.12</v>
      </c>
      <c r="AX23" s="54">
        <f t="shared" si="3"/>
        <v>2090.8333333333335</v>
      </c>
      <c r="AY23" s="63">
        <f t="shared" si="4"/>
        <v>174.23611111111111</v>
      </c>
      <c r="AZ23" s="55">
        <f t="shared" si="5"/>
        <v>23699.01</v>
      </c>
      <c r="BA23" s="9">
        <v>1805</v>
      </c>
      <c r="BB23" s="62">
        <v>26520</v>
      </c>
      <c r="BC23" s="8">
        <v>18700.400000000001</v>
      </c>
      <c r="BD23" s="9">
        <v>1660</v>
      </c>
      <c r="BE23" s="62">
        <v>23840</v>
      </c>
      <c r="BF23" s="8">
        <v>16998.400000000001</v>
      </c>
      <c r="BG23" s="9">
        <v>1780</v>
      </c>
      <c r="BH23" s="62">
        <v>27280</v>
      </c>
      <c r="BI23" s="8">
        <v>18963.2</v>
      </c>
      <c r="BJ23" s="9">
        <v>2260</v>
      </c>
      <c r="BK23" s="62">
        <v>34240</v>
      </c>
      <c r="BL23" s="8">
        <v>23622.399999999998</v>
      </c>
      <c r="BM23" s="44">
        <v>1230</v>
      </c>
      <c r="BN23" s="42">
        <v>18920</v>
      </c>
      <c r="BO23" s="45">
        <v>12954.4</v>
      </c>
      <c r="BP23" s="44">
        <v>1685</v>
      </c>
      <c r="BQ23" s="42">
        <v>24510</v>
      </c>
      <c r="BR23" s="45">
        <v>17675.199999999997</v>
      </c>
      <c r="BS23" s="44">
        <v>2320</v>
      </c>
      <c r="BT23" s="42">
        <v>35260</v>
      </c>
      <c r="BU23" s="112">
        <v>24687.599999999999</v>
      </c>
      <c r="BV23" s="115">
        <v>2235</v>
      </c>
      <c r="BW23" s="116">
        <v>32860</v>
      </c>
      <c r="BX23" s="112">
        <v>23513.200000000001</v>
      </c>
      <c r="BY23" s="115">
        <v>2230</v>
      </c>
      <c r="BZ23" s="116">
        <v>35140</v>
      </c>
      <c r="CA23" s="112">
        <v>24147.599999999999</v>
      </c>
      <c r="CB23" s="115">
        <v>2385</v>
      </c>
      <c r="CC23" s="116">
        <v>35640</v>
      </c>
      <c r="CD23" s="112">
        <v>25828.800000000003</v>
      </c>
      <c r="CE23" s="115">
        <v>2235</v>
      </c>
      <c r="CF23" s="116">
        <v>36330</v>
      </c>
      <c r="CG23" s="112">
        <v>24008.399999999998</v>
      </c>
      <c r="CH23" s="115">
        <v>2280</v>
      </c>
      <c r="CI23" s="116">
        <v>34060</v>
      </c>
      <c r="CJ23" s="112">
        <v>24711.600000000002</v>
      </c>
      <c r="CK23" s="54">
        <f t="shared" si="6"/>
        <v>24105</v>
      </c>
      <c r="CL23" s="63">
        <f t="shared" si="7"/>
        <v>364600</v>
      </c>
      <c r="CM23" s="55">
        <f t="shared" si="8"/>
        <v>255811.20000000001</v>
      </c>
      <c r="CN23" s="54">
        <f t="shared" si="9"/>
        <v>2008.75</v>
      </c>
      <c r="CO23" s="63">
        <f t="shared" si="10"/>
        <v>30383.333333333332</v>
      </c>
      <c r="CP23" s="172">
        <f t="shared" si="11"/>
        <v>21317.600000000002</v>
      </c>
      <c r="CQ23" s="9">
        <v>2414</v>
      </c>
      <c r="CR23" s="62">
        <v>37126</v>
      </c>
      <c r="CS23" s="98">
        <v>25681.84</v>
      </c>
      <c r="CT23" s="9">
        <v>2210</v>
      </c>
      <c r="CU23" s="62">
        <v>32740</v>
      </c>
      <c r="CV23" s="8">
        <v>24064.799999999999</v>
      </c>
      <c r="CW23" s="9"/>
      <c r="CX23" s="62"/>
      <c r="CY23" s="98"/>
      <c r="CZ23" s="9"/>
      <c r="DA23" s="62"/>
      <c r="DB23" s="8"/>
      <c r="DC23" s="9"/>
      <c r="DD23" s="62"/>
      <c r="DE23" s="8"/>
      <c r="DF23" s="9"/>
      <c r="DG23" s="62"/>
      <c r="DH23" s="8"/>
      <c r="DI23" s="9"/>
      <c r="DJ23" s="62"/>
      <c r="DK23" s="8"/>
      <c r="DL23" s="9"/>
      <c r="DM23" s="62"/>
      <c r="DN23" s="8"/>
      <c r="DO23" s="9"/>
      <c r="DP23" s="62"/>
      <c r="DQ23" s="8"/>
      <c r="DR23" s="9"/>
      <c r="DS23" s="62"/>
      <c r="DT23" s="8"/>
      <c r="DU23" s="9"/>
      <c r="DV23" s="62"/>
      <c r="DW23" s="8"/>
      <c r="DX23" s="9"/>
      <c r="DY23" s="62"/>
      <c r="DZ23" s="8"/>
    </row>
    <row r="24" spans="1:130" s="2" customFormat="1" ht="34.9" customHeight="1" x14ac:dyDescent="0.6">
      <c r="A24" s="5">
        <v>21</v>
      </c>
      <c r="B24" s="131" t="s">
        <v>80</v>
      </c>
      <c r="C24" s="14" t="s">
        <v>81</v>
      </c>
      <c r="D24" s="132" t="s">
        <v>82</v>
      </c>
      <c r="E24" s="132" t="s">
        <v>83</v>
      </c>
      <c r="F24" s="7" t="s">
        <v>15</v>
      </c>
      <c r="G24" s="16" t="s">
        <v>727</v>
      </c>
      <c r="H24" s="133" t="s">
        <v>728</v>
      </c>
      <c r="I24" s="133" t="s">
        <v>729</v>
      </c>
      <c r="J24" s="41" t="s">
        <v>16</v>
      </c>
      <c r="K24" s="9">
        <v>1930</v>
      </c>
      <c r="L24" s="62">
        <v>28700</v>
      </c>
      <c r="M24" s="78">
        <v>20930.400000000001</v>
      </c>
      <c r="N24" s="9">
        <v>1845</v>
      </c>
      <c r="O24" s="62">
        <v>27830</v>
      </c>
      <c r="P24" s="41">
        <v>20116</v>
      </c>
      <c r="Q24" s="9">
        <v>2017</v>
      </c>
      <c r="R24" s="62">
        <v>29770</v>
      </c>
      <c r="S24" s="98">
        <v>21976</v>
      </c>
      <c r="T24" s="9">
        <v>1785</v>
      </c>
      <c r="U24" s="62">
        <v>26680</v>
      </c>
      <c r="V24" s="8">
        <v>19393</v>
      </c>
      <c r="W24" s="9">
        <v>1810</v>
      </c>
      <c r="X24" s="62">
        <v>27258</v>
      </c>
      <c r="Y24" s="8">
        <v>19880</v>
      </c>
      <c r="Z24" s="9">
        <v>2010</v>
      </c>
      <c r="AA24" s="62">
        <v>29290</v>
      </c>
      <c r="AB24" s="8">
        <v>21989.200000000001</v>
      </c>
      <c r="AC24" s="9">
        <v>2020</v>
      </c>
      <c r="AD24" s="62">
        <v>30000</v>
      </c>
      <c r="AE24" s="8">
        <v>22344</v>
      </c>
      <c r="AF24" s="9">
        <v>1725</v>
      </c>
      <c r="AG24" s="62">
        <v>26384</v>
      </c>
      <c r="AH24" s="8">
        <v>19210</v>
      </c>
      <c r="AI24" s="9">
        <v>1455</v>
      </c>
      <c r="AJ24" s="62">
        <v>22450</v>
      </c>
      <c r="AK24" s="8">
        <v>16270.4</v>
      </c>
      <c r="AL24" s="9">
        <v>1600</v>
      </c>
      <c r="AM24" s="62">
        <v>24890</v>
      </c>
      <c r="AN24" s="8">
        <v>17807.599999999999</v>
      </c>
      <c r="AO24" s="9">
        <v>1625</v>
      </c>
      <c r="AP24" s="62">
        <v>25350</v>
      </c>
      <c r="AQ24" s="8">
        <v>18141</v>
      </c>
      <c r="AR24" s="9">
        <v>1520</v>
      </c>
      <c r="AS24" s="62">
        <v>23710</v>
      </c>
      <c r="AT24" s="8">
        <v>16875</v>
      </c>
      <c r="AU24" s="54">
        <f t="shared" si="0"/>
        <v>21342</v>
      </c>
      <c r="AV24" s="63">
        <f t="shared" si="1"/>
        <v>322312</v>
      </c>
      <c r="AW24" s="55">
        <f t="shared" si="2"/>
        <v>234932.59999999998</v>
      </c>
      <c r="AX24" s="54">
        <f t="shared" si="3"/>
        <v>1778.5</v>
      </c>
      <c r="AY24" s="63">
        <f t="shared" si="4"/>
        <v>148.20833333333334</v>
      </c>
      <c r="AZ24" s="55">
        <f t="shared" si="5"/>
        <v>19577.716666666664</v>
      </c>
      <c r="BA24" s="9">
        <v>1480</v>
      </c>
      <c r="BB24" s="62">
        <v>23150</v>
      </c>
      <c r="BC24" s="8">
        <v>16654.8</v>
      </c>
      <c r="BD24" s="9">
        <v>1260</v>
      </c>
      <c r="BE24" s="62">
        <v>19720</v>
      </c>
      <c r="BF24" s="8">
        <v>14053.6</v>
      </c>
      <c r="BG24" s="9">
        <v>2355</v>
      </c>
      <c r="BH24" s="62">
        <v>35220</v>
      </c>
      <c r="BI24" s="8">
        <v>26202</v>
      </c>
      <c r="BJ24" s="9">
        <v>980</v>
      </c>
      <c r="BK24" s="62">
        <v>15460</v>
      </c>
      <c r="BL24" s="8">
        <v>10971.599999999999</v>
      </c>
      <c r="BM24" s="44">
        <v>1335</v>
      </c>
      <c r="BN24" s="42">
        <v>19490</v>
      </c>
      <c r="BO24" s="45">
        <v>14846.8</v>
      </c>
      <c r="BP24" s="44">
        <v>1932</v>
      </c>
      <c r="BQ24" s="42">
        <v>29700</v>
      </c>
      <c r="BR24" s="45">
        <v>21890</v>
      </c>
      <c r="BS24" s="44">
        <v>1047</v>
      </c>
      <c r="BT24" s="42">
        <v>16210</v>
      </c>
      <c r="BU24" s="112">
        <v>11634</v>
      </c>
      <c r="BV24" s="115">
        <v>1440</v>
      </c>
      <c r="BW24" s="116">
        <v>22320</v>
      </c>
      <c r="BX24" s="112">
        <v>16207.199999999999</v>
      </c>
      <c r="BY24" s="115">
        <v>1050</v>
      </c>
      <c r="BZ24" s="116">
        <v>15300</v>
      </c>
      <c r="CA24" s="112">
        <v>11838</v>
      </c>
      <c r="CB24" s="115">
        <v>1155</v>
      </c>
      <c r="CC24" s="116">
        <v>17240</v>
      </c>
      <c r="CD24" s="112">
        <v>13058.400000000001</v>
      </c>
      <c r="CE24" s="115">
        <v>1195</v>
      </c>
      <c r="CF24" s="116">
        <v>18220</v>
      </c>
      <c r="CG24" s="112">
        <v>13446.8</v>
      </c>
      <c r="CH24" s="115">
        <v>1345</v>
      </c>
      <c r="CI24" s="116">
        <v>20690</v>
      </c>
      <c r="CJ24" s="112">
        <v>15167.599999999999</v>
      </c>
      <c r="CK24" s="54">
        <f t="shared" si="6"/>
        <v>16574</v>
      </c>
      <c r="CL24" s="63">
        <f t="shared" si="7"/>
        <v>252720</v>
      </c>
      <c r="CM24" s="55">
        <f t="shared" si="8"/>
        <v>185970.8</v>
      </c>
      <c r="CN24" s="54">
        <f t="shared" si="9"/>
        <v>1381.1666666666667</v>
      </c>
      <c r="CO24" s="63">
        <f t="shared" si="10"/>
        <v>21060</v>
      </c>
      <c r="CP24" s="172">
        <f t="shared" si="11"/>
        <v>15497.566666666666</v>
      </c>
      <c r="CQ24" s="9">
        <v>1420</v>
      </c>
      <c r="CR24" s="62">
        <v>23680</v>
      </c>
      <c r="CS24" s="98">
        <v>16088.8</v>
      </c>
      <c r="CT24" s="9">
        <v>1620</v>
      </c>
      <c r="CU24" s="62">
        <v>24350</v>
      </c>
      <c r="CV24" s="8">
        <v>18270</v>
      </c>
      <c r="CW24" s="9"/>
      <c r="CX24" s="62"/>
      <c r="CY24" s="98"/>
      <c r="CZ24" s="9"/>
      <c r="DA24" s="62"/>
      <c r="DB24" s="8"/>
      <c r="DC24" s="9"/>
      <c r="DD24" s="62"/>
      <c r="DE24" s="8"/>
      <c r="DF24" s="9"/>
      <c r="DG24" s="62"/>
      <c r="DH24" s="8"/>
      <c r="DI24" s="9"/>
      <c r="DJ24" s="62"/>
      <c r="DK24" s="8"/>
      <c r="DL24" s="9"/>
      <c r="DM24" s="62"/>
      <c r="DN24" s="8"/>
      <c r="DO24" s="9"/>
      <c r="DP24" s="62"/>
      <c r="DQ24" s="8"/>
      <c r="DR24" s="9"/>
      <c r="DS24" s="62"/>
      <c r="DT24" s="8"/>
      <c r="DU24" s="9"/>
      <c r="DV24" s="62"/>
      <c r="DW24" s="8"/>
      <c r="DX24" s="9"/>
      <c r="DY24" s="62"/>
      <c r="DZ24" s="8"/>
    </row>
    <row r="25" spans="1:130" s="2" customFormat="1" ht="34.9" customHeight="1" x14ac:dyDescent="0.6">
      <c r="A25" s="5">
        <v>22</v>
      </c>
      <c r="B25" s="131" t="s">
        <v>84</v>
      </c>
      <c r="C25" s="14" t="s">
        <v>85</v>
      </c>
      <c r="D25" s="132" t="s">
        <v>19</v>
      </c>
      <c r="E25" s="132" t="s">
        <v>20</v>
      </c>
      <c r="F25" s="7" t="s">
        <v>15</v>
      </c>
      <c r="G25" s="16" t="s">
        <v>730</v>
      </c>
      <c r="H25" s="133" t="s">
        <v>731</v>
      </c>
      <c r="I25" s="133" t="s">
        <v>732</v>
      </c>
      <c r="J25" s="41" t="s">
        <v>16</v>
      </c>
      <c r="K25" s="9">
        <v>2030</v>
      </c>
      <c r="L25" s="62">
        <v>28680</v>
      </c>
      <c r="M25" s="78">
        <v>20823</v>
      </c>
      <c r="N25" s="9">
        <v>2025</v>
      </c>
      <c r="O25" s="62">
        <v>28040</v>
      </c>
      <c r="P25" s="41">
        <v>20928</v>
      </c>
      <c r="Q25" s="9">
        <v>1645</v>
      </c>
      <c r="R25" s="62">
        <v>24620</v>
      </c>
      <c r="S25" s="98">
        <v>17056</v>
      </c>
      <c r="T25" s="9">
        <v>2195</v>
      </c>
      <c r="U25" s="62">
        <v>31260</v>
      </c>
      <c r="V25" s="8">
        <v>22680</v>
      </c>
      <c r="W25" s="9">
        <v>1145</v>
      </c>
      <c r="X25" s="62">
        <v>15500</v>
      </c>
      <c r="Y25" s="8">
        <v>11716</v>
      </c>
      <c r="Z25" s="9">
        <v>1145</v>
      </c>
      <c r="AA25" s="62">
        <v>17180</v>
      </c>
      <c r="AB25" s="8">
        <v>11980</v>
      </c>
      <c r="AC25" s="9">
        <v>1235</v>
      </c>
      <c r="AD25" s="62">
        <v>18440</v>
      </c>
      <c r="AE25" s="8">
        <v>12956</v>
      </c>
      <c r="AF25" s="9">
        <v>2010</v>
      </c>
      <c r="AG25" s="62">
        <v>29660</v>
      </c>
      <c r="AH25" s="8">
        <v>21492</v>
      </c>
      <c r="AI25" s="9">
        <v>1530</v>
      </c>
      <c r="AJ25" s="62">
        <v>21520</v>
      </c>
      <c r="AK25" s="8">
        <v>16532</v>
      </c>
      <c r="AL25" s="9">
        <v>2625</v>
      </c>
      <c r="AM25" s="62">
        <v>37540</v>
      </c>
      <c r="AN25" s="8">
        <v>27632</v>
      </c>
      <c r="AO25" s="9">
        <v>2172</v>
      </c>
      <c r="AP25" s="62">
        <v>31224</v>
      </c>
      <c r="AQ25" s="8">
        <v>23016</v>
      </c>
      <c r="AR25" s="9">
        <v>2210</v>
      </c>
      <c r="AS25" s="62">
        <v>32260</v>
      </c>
      <c r="AT25" s="8">
        <v>23223</v>
      </c>
      <c r="AU25" s="54">
        <f t="shared" si="0"/>
        <v>21967</v>
      </c>
      <c r="AV25" s="63">
        <f t="shared" si="1"/>
        <v>315924</v>
      </c>
      <c r="AW25" s="55">
        <f t="shared" si="2"/>
        <v>230034</v>
      </c>
      <c r="AX25" s="54">
        <f t="shared" si="3"/>
        <v>1830.5833333333333</v>
      </c>
      <c r="AY25" s="63">
        <f t="shared" si="4"/>
        <v>152.54861111111111</v>
      </c>
      <c r="AZ25" s="55">
        <f t="shared" si="5"/>
        <v>19169.5</v>
      </c>
      <c r="BA25" s="9">
        <v>1100</v>
      </c>
      <c r="BB25" s="62">
        <v>15980</v>
      </c>
      <c r="BC25" s="8">
        <v>11456</v>
      </c>
      <c r="BD25" s="9">
        <v>2730</v>
      </c>
      <c r="BE25" s="62">
        <v>39040</v>
      </c>
      <c r="BF25" s="8">
        <v>28774</v>
      </c>
      <c r="BG25" s="9">
        <v>2750</v>
      </c>
      <c r="BH25" s="62">
        <v>38860</v>
      </c>
      <c r="BI25" s="8">
        <v>28828</v>
      </c>
      <c r="BJ25" s="9">
        <v>2700</v>
      </c>
      <c r="BK25" s="62">
        <v>37840</v>
      </c>
      <c r="BL25" s="8">
        <v>28354</v>
      </c>
      <c r="BM25" s="44">
        <v>3250</v>
      </c>
      <c r="BN25" s="42">
        <v>46240</v>
      </c>
      <c r="BO25" s="45">
        <v>34206</v>
      </c>
      <c r="BP25" s="44">
        <v>2750</v>
      </c>
      <c r="BQ25" s="42">
        <v>39000</v>
      </c>
      <c r="BR25" s="45">
        <v>28850</v>
      </c>
      <c r="BS25" s="44">
        <v>2730</v>
      </c>
      <c r="BT25" s="42">
        <v>40260</v>
      </c>
      <c r="BU25" s="112">
        <v>28775.599999999999</v>
      </c>
      <c r="BV25" s="115">
        <v>3280</v>
      </c>
      <c r="BW25" s="116">
        <v>45960</v>
      </c>
      <c r="BX25" s="112">
        <v>34798.400000000001</v>
      </c>
      <c r="BY25" s="115">
        <v>3150</v>
      </c>
      <c r="BZ25" s="116">
        <v>46260</v>
      </c>
      <c r="CA25" s="112">
        <v>33640</v>
      </c>
      <c r="CB25" s="115">
        <v>3000</v>
      </c>
      <c r="CC25" s="116">
        <v>42700</v>
      </c>
      <c r="CD25" s="112">
        <v>31780</v>
      </c>
      <c r="CE25" s="115">
        <v>3010</v>
      </c>
      <c r="CF25" s="116">
        <v>42720</v>
      </c>
      <c r="CG25" s="112">
        <v>32256</v>
      </c>
      <c r="CH25" s="115">
        <v>3300</v>
      </c>
      <c r="CI25" s="116">
        <v>47780</v>
      </c>
      <c r="CJ25" s="112">
        <v>35461.199999999997</v>
      </c>
      <c r="CK25" s="54">
        <f t="shared" si="6"/>
        <v>33750</v>
      </c>
      <c r="CL25" s="63">
        <f t="shared" si="7"/>
        <v>482640</v>
      </c>
      <c r="CM25" s="55">
        <f t="shared" si="8"/>
        <v>357179.2</v>
      </c>
      <c r="CN25" s="54">
        <f t="shared" si="9"/>
        <v>2812.5</v>
      </c>
      <c r="CO25" s="63">
        <f t="shared" si="10"/>
        <v>40220</v>
      </c>
      <c r="CP25" s="172">
        <f t="shared" si="11"/>
        <v>29764.933333333334</v>
      </c>
      <c r="CQ25" s="9">
        <v>2750</v>
      </c>
      <c r="CR25" s="62">
        <v>39860</v>
      </c>
      <c r="CS25" s="98">
        <v>29764</v>
      </c>
      <c r="CT25" s="9">
        <v>3360</v>
      </c>
      <c r="CU25" s="62">
        <v>47620</v>
      </c>
      <c r="CV25" s="8">
        <v>36134</v>
      </c>
      <c r="CW25" s="9"/>
      <c r="CX25" s="62"/>
      <c r="CY25" s="98"/>
      <c r="CZ25" s="9"/>
      <c r="DA25" s="62"/>
      <c r="DB25" s="8"/>
      <c r="DC25" s="9"/>
      <c r="DD25" s="62"/>
      <c r="DE25" s="8"/>
      <c r="DF25" s="9"/>
      <c r="DG25" s="62"/>
      <c r="DH25" s="8"/>
      <c r="DI25" s="9"/>
      <c r="DJ25" s="62"/>
      <c r="DK25" s="8"/>
      <c r="DL25" s="9"/>
      <c r="DM25" s="62"/>
      <c r="DN25" s="8"/>
      <c r="DO25" s="9"/>
      <c r="DP25" s="62"/>
      <c r="DQ25" s="8"/>
      <c r="DR25" s="9"/>
      <c r="DS25" s="62"/>
      <c r="DT25" s="8"/>
      <c r="DU25" s="9"/>
      <c r="DV25" s="62"/>
      <c r="DW25" s="8"/>
      <c r="DX25" s="9"/>
      <c r="DY25" s="62"/>
      <c r="DZ25" s="8"/>
    </row>
    <row r="26" spans="1:130" s="2" customFormat="1" ht="34.9" customHeight="1" x14ac:dyDescent="0.6">
      <c r="A26" s="5">
        <v>23</v>
      </c>
      <c r="B26" s="131" t="s">
        <v>86</v>
      </c>
      <c r="C26" s="14" t="s">
        <v>87</v>
      </c>
      <c r="D26" s="132" t="s">
        <v>53</v>
      </c>
      <c r="E26" s="132" t="s">
        <v>54</v>
      </c>
      <c r="F26" s="7" t="s">
        <v>15</v>
      </c>
      <c r="G26" s="16" t="s">
        <v>733</v>
      </c>
      <c r="H26" s="133" t="s">
        <v>734</v>
      </c>
      <c r="I26" s="133" t="s">
        <v>735</v>
      </c>
      <c r="J26" s="41" t="s">
        <v>16</v>
      </c>
      <c r="K26" s="9">
        <v>1960</v>
      </c>
      <c r="L26" s="62">
        <v>27100</v>
      </c>
      <c r="M26" s="78">
        <v>18524</v>
      </c>
      <c r="N26" s="9">
        <v>498</v>
      </c>
      <c r="O26" s="62">
        <v>6910</v>
      </c>
      <c r="P26" s="41">
        <v>5031</v>
      </c>
      <c r="Q26" s="9">
        <v>1730</v>
      </c>
      <c r="R26" s="62">
        <v>23370</v>
      </c>
      <c r="S26" s="98">
        <v>17238</v>
      </c>
      <c r="T26" s="9">
        <v>2600</v>
      </c>
      <c r="U26" s="62">
        <v>35440</v>
      </c>
      <c r="V26" s="8">
        <v>25646</v>
      </c>
      <c r="W26" s="9">
        <v>1864</v>
      </c>
      <c r="X26" s="62">
        <v>25316</v>
      </c>
      <c r="Y26" s="8">
        <v>18153</v>
      </c>
      <c r="Z26" s="9">
        <v>1930</v>
      </c>
      <c r="AA26" s="62">
        <v>25960</v>
      </c>
      <c r="AB26" s="8">
        <v>19795.2</v>
      </c>
      <c r="AC26" s="9">
        <v>2560</v>
      </c>
      <c r="AD26" s="62">
        <v>34820</v>
      </c>
      <c r="AE26" s="8">
        <v>25379</v>
      </c>
      <c r="AF26" s="9">
        <v>1406</v>
      </c>
      <c r="AG26" s="62">
        <v>18730</v>
      </c>
      <c r="AH26" s="8">
        <v>14493</v>
      </c>
      <c r="AI26" s="9">
        <v>1549</v>
      </c>
      <c r="AJ26" s="62">
        <v>21166</v>
      </c>
      <c r="AK26" s="8">
        <v>15560.640000000001</v>
      </c>
      <c r="AL26" s="9">
        <v>2315</v>
      </c>
      <c r="AM26" s="62">
        <v>31380</v>
      </c>
      <c r="AN26" s="8">
        <v>23199.200000000001</v>
      </c>
      <c r="AO26" s="9">
        <v>2175</v>
      </c>
      <c r="AP26" s="62">
        <v>28800</v>
      </c>
      <c r="AQ26" s="8">
        <v>21996</v>
      </c>
      <c r="AR26" s="9">
        <v>2300</v>
      </c>
      <c r="AS26" s="62">
        <v>31120</v>
      </c>
      <c r="AT26" s="8">
        <v>23586</v>
      </c>
      <c r="AU26" s="54">
        <f t="shared" si="0"/>
        <v>22887</v>
      </c>
      <c r="AV26" s="63">
        <f t="shared" si="1"/>
        <v>310112</v>
      </c>
      <c r="AW26" s="55">
        <f t="shared" si="2"/>
        <v>228601.04000000004</v>
      </c>
      <c r="AX26" s="54">
        <f t="shared" si="3"/>
        <v>1907.25</v>
      </c>
      <c r="AY26" s="63">
        <f t="shared" si="4"/>
        <v>158.9375</v>
      </c>
      <c r="AZ26" s="55">
        <f t="shared" si="5"/>
        <v>19050.08666666667</v>
      </c>
      <c r="BA26" s="9">
        <v>1650</v>
      </c>
      <c r="BB26" s="62">
        <v>21800</v>
      </c>
      <c r="BC26" s="8">
        <v>17651.2</v>
      </c>
      <c r="BD26" s="9">
        <v>1610</v>
      </c>
      <c r="BE26" s="62">
        <v>21390</v>
      </c>
      <c r="BF26" s="8">
        <v>16842</v>
      </c>
      <c r="BG26" s="9">
        <v>2720</v>
      </c>
      <c r="BH26" s="62">
        <v>35990</v>
      </c>
      <c r="BI26" s="8">
        <v>28439.200000000001</v>
      </c>
      <c r="BJ26" s="9">
        <v>1725</v>
      </c>
      <c r="BK26" s="62">
        <v>24500</v>
      </c>
      <c r="BL26" s="8">
        <v>17152</v>
      </c>
      <c r="BM26" s="44">
        <v>1845</v>
      </c>
      <c r="BN26" s="42">
        <v>23840</v>
      </c>
      <c r="BO26" s="45">
        <v>19556</v>
      </c>
      <c r="BP26" s="44">
        <v>1445</v>
      </c>
      <c r="BQ26" s="42">
        <v>19800</v>
      </c>
      <c r="BR26" s="45">
        <v>14937.599999999999</v>
      </c>
      <c r="BS26" s="44">
        <v>2050</v>
      </c>
      <c r="BT26" s="42">
        <v>27240</v>
      </c>
      <c r="BU26" s="112">
        <v>21478.400000000001</v>
      </c>
      <c r="BV26" s="115">
        <v>1956</v>
      </c>
      <c r="BW26" s="116">
        <v>25870</v>
      </c>
      <c r="BX26" s="112">
        <v>20465.16</v>
      </c>
      <c r="BY26" s="115">
        <v>1585</v>
      </c>
      <c r="BZ26" s="116">
        <v>20960</v>
      </c>
      <c r="CA26" s="112">
        <v>16962.399999999998</v>
      </c>
      <c r="CB26" s="115">
        <v>1655</v>
      </c>
      <c r="CC26" s="116">
        <v>21830</v>
      </c>
      <c r="CD26" s="112">
        <v>17088.400000000001</v>
      </c>
      <c r="CE26" s="115">
        <v>2060</v>
      </c>
      <c r="CF26" s="116">
        <v>27960</v>
      </c>
      <c r="CG26" s="112">
        <v>20909.2</v>
      </c>
      <c r="CH26" s="115">
        <v>1175</v>
      </c>
      <c r="CI26" s="116">
        <v>15640</v>
      </c>
      <c r="CJ26" s="112">
        <v>12204.8</v>
      </c>
      <c r="CK26" s="54">
        <f t="shared" si="6"/>
        <v>21476</v>
      </c>
      <c r="CL26" s="63">
        <f t="shared" si="7"/>
        <v>286820</v>
      </c>
      <c r="CM26" s="55">
        <f t="shared" si="8"/>
        <v>223686.36</v>
      </c>
      <c r="CN26" s="54">
        <f t="shared" si="9"/>
        <v>1789.6666666666667</v>
      </c>
      <c r="CO26" s="63">
        <f t="shared" si="10"/>
        <v>23901.666666666668</v>
      </c>
      <c r="CP26" s="172">
        <f t="shared" si="11"/>
        <v>18640.53</v>
      </c>
      <c r="CQ26" s="9">
        <v>2575</v>
      </c>
      <c r="CR26" s="62">
        <v>34240</v>
      </c>
      <c r="CS26" s="98">
        <v>26714.400000000001</v>
      </c>
      <c r="CT26" s="9">
        <v>1590</v>
      </c>
      <c r="CU26" s="62">
        <v>21318</v>
      </c>
      <c r="CV26" s="8">
        <v>16346.640000000001</v>
      </c>
      <c r="CW26" s="9"/>
      <c r="CX26" s="62"/>
      <c r="CY26" s="98"/>
      <c r="CZ26" s="9"/>
      <c r="DA26" s="62"/>
      <c r="DB26" s="8"/>
      <c r="DC26" s="9"/>
      <c r="DD26" s="62"/>
      <c r="DE26" s="8"/>
      <c r="DF26" s="9"/>
      <c r="DG26" s="62"/>
      <c r="DH26" s="8"/>
      <c r="DI26" s="9"/>
      <c r="DJ26" s="62"/>
      <c r="DK26" s="8"/>
      <c r="DL26" s="9"/>
      <c r="DM26" s="62"/>
      <c r="DN26" s="8"/>
      <c r="DO26" s="9"/>
      <c r="DP26" s="62"/>
      <c r="DQ26" s="8"/>
      <c r="DR26" s="9"/>
      <c r="DS26" s="62"/>
      <c r="DT26" s="8"/>
      <c r="DU26" s="9"/>
      <c r="DV26" s="62"/>
      <c r="DW26" s="8"/>
      <c r="DX26" s="9"/>
      <c r="DY26" s="62"/>
      <c r="DZ26" s="8"/>
    </row>
    <row r="27" spans="1:130" s="2" customFormat="1" ht="34.9" customHeight="1" x14ac:dyDescent="0.6">
      <c r="A27" s="5">
        <v>24</v>
      </c>
      <c r="B27" s="131" t="s">
        <v>88</v>
      </c>
      <c r="C27" s="14" t="s">
        <v>89</v>
      </c>
      <c r="D27" s="132" t="s">
        <v>90</v>
      </c>
      <c r="E27" s="132" t="s">
        <v>91</v>
      </c>
      <c r="F27" s="7" t="s">
        <v>15</v>
      </c>
      <c r="G27" s="16" t="s">
        <v>88</v>
      </c>
      <c r="H27" s="16" t="s">
        <v>89</v>
      </c>
      <c r="I27" s="133" t="s">
        <v>736</v>
      </c>
      <c r="J27" s="41" t="s">
        <v>16</v>
      </c>
      <c r="K27" s="9">
        <v>1925</v>
      </c>
      <c r="L27" s="62">
        <v>26860</v>
      </c>
      <c r="M27" s="78">
        <v>21312</v>
      </c>
      <c r="N27" s="9">
        <v>1570</v>
      </c>
      <c r="O27" s="62">
        <v>22760</v>
      </c>
      <c r="P27" s="41">
        <v>17627.2</v>
      </c>
      <c r="Q27" s="9">
        <v>1900</v>
      </c>
      <c r="R27" s="62">
        <v>26400</v>
      </c>
      <c r="S27" s="98">
        <v>21237.200000000001</v>
      </c>
      <c r="T27" s="9">
        <v>1370</v>
      </c>
      <c r="U27" s="62">
        <v>19560</v>
      </c>
      <c r="V27" s="8">
        <v>15408</v>
      </c>
      <c r="W27" s="9">
        <v>1895</v>
      </c>
      <c r="X27" s="62">
        <v>27160</v>
      </c>
      <c r="Y27" s="8">
        <v>21117</v>
      </c>
      <c r="Z27" s="9">
        <v>1790</v>
      </c>
      <c r="AA27" s="62">
        <v>24840</v>
      </c>
      <c r="AB27" s="8">
        <v>19794.400000000001</v>
      </c>
      <c r="AC27" s="9">
        <v>1805</v>
      </c>
      <c r="AD27" s="62">
        <v>26200</v>
      </c>
      <c r="AE27" s="8">
        <v>20360</v>
      </c>
      <c r="AF27" s="9">
        <v>1404</v>
      </c>
      <c r="AG27" s="62">
        <v>19466</v>
      </c>
      <c r="AH27" s="8">
        <v>14852</v>
      </c>
      <c r="AI27" s="9">
        <v>1420</v>
      </c>
      <c r="AJ27" s="62">
        <v>21896</v>
      </c>
      <c r="AK27" s="8">
        <v>16240</v>
      </c>
      <c r="AL27" s="9">
        <v>1688</v>
      </c>
      <c r="AM27" s="62">
        <v>23314</v>
      </c>
      <c r="AN27" s="8">
        <v>19055.2</v>
      </c>
      <c r="AO27" s="9">
        <v>1300</v>
      </c>
      <c r="AP27" s="62">
        <v>19460</v>
      </c>
      <c r="AQ27" s="8">
        <v>14617</v>
      </c>
      <c r="AR27" s="9">
        <v>1448</v>
      </c>
      <c r="AS27" s="62">
        <v>20256</v>
      </c>
      <c r="AT27" s="8">
        <v>16420</v>
      </c>
      <c r="AU27" s="54">
        <f t="shared" si="0"/>
        <v>19515</v>
      </c>
      <c r="AV27" s="63">
        <f t="shared" si="1"/>
        <v>278172</v>
      </c>
      <c r="AW27" s="55">
        <f t="shared" si="2"/>
        <v>218040</v>
      </c>
      <c r="AX27" s="54">
        <f t="shared" si="3"/>
        <v>1626.25</v>
      </c>
      <c r="AY27" s="63">
        <f t="shared" si="4"/>
        <v>135.52083333333334</v>
      </c>
      <c r="AZ27" s="55">
        <f t="shared" si="5"/>
        <v>18170</v>
      </c>
      <c r="BA27" s="9">
        <v>1250</v>
      </c>
      <c r="BB27" s="62">
        <v>17680</v>
      </c>
      <c r="BC27" s="8">
        <v>14022.4</v>
      </c>
      <c r="BD27" s="9">
        <v>1215</v>
      </c>
      <c r="BE27" s="62">
        <v>17200</v>
      </c>
      <c r="BF27" s="8">
        <v>13886.400000000001</v>
      </c>
      <c r="BG27" s="9">
        <v>1555</v>
      </c>
      <c r="BH27" s="62">
        <v>22150</v>
      </c>
      <c r="BI27" s="8">
        <v>17866</v>
      </c>
      <c r="BJ27" s="9">
        <v>1050</v>
      </c>
      <c r="BK27" s="62">
        <v>15640</v>
      </c>
      <c r="BL27" s="8">
        <v>11845.6</v>
      </c>
      <c r="BM27" s="44">
        <v>1150</v>
      </c>
      <c r="BN27" s="42">
        <v>16620</v>
      </c>
      <c r="BO27" s="45">
        <v>13296</v>
      </c>
      <c r="BP27" s="44">
        <v>1135</v>
      </c>
      <c r="BQ27" s="42">
        <v>17100</v>
      </c>
      <c r="BR27" s="45">
        <v>13118</v>
      </c>
      <c r="BS27" s="44">
        <v>1200</v>
      </c>
      <c r="BT27" s="42">
        <v>17520</v>
      </c>
      <c r="BU27" s="112">
        <v>13752.8</v>
      </c>
      <c r="BV27" s="115">
        <v>975</v>
      </c>
      <c r="BW27" s="116">
        <v>15060</v>
      </c>
      <c r="BX27" s="112">
        <v>11428.400000000001</v>
      </c>
      <c r="BY27" s="115">
        <v>1283</v>
      </c>
      <c r="BZ27" s="116">
        <v>18116</v>
      </c>
      <c r="CA27" s="112">
        <v>14905.200000000003</v>
      </c>
      <c r="CB27" s="115">
        <v>1067</v>
      </c>
      <c r="CC27" s="116">
        <v>16464</v>
      </c>
      <c r="CD27" s="112">
        <v>12532.8</v>
      </c>
      <c r="CE27" s="115">
        <v>1075</v>
      </c>
      <c r="CF27" s="116">
        <v>15660</v>
      </c>
      <c r="CG27" s="112">
        <v>12547.199999999999</v>
      </c>
      <c r="CH27" s="115">
        <v>1300</v>
      </c>
      <c r="CI27" s="116">
        <v>19240</v>
      </c>
      <c r="CJ27" s="112">
        <v>15366.399999999998</v>
      </c>
      <c r="CK27" s="54">
        <f t="shared" si="6"/>
        <v>14255</v>
      </c>
      <c r="CL27" s="63">
        <f t="shared" si="7"/>
        <v>208450</v>
      </c>
      <c r="CM27" s="55">
        <f t="shared" si="8"/>
        <v>164567.20000000001</v>
      </c>
      <c r="CN27" s="54">
        <f t="shared" si="9"/>
        <v>1187.9166666666667</v>
      </c>
      <c r="CO27" s="63">
        <f t="shared" si="10"/>
        <v>17370.833333333332</v>
      </c>
      <c r="CP27" s="172">
        <f t="shared" si="11"/>
        <v>13713.933333333334</v>
      </c>
      <c r="CQ27" s="9">
        <v>805</v>
      </c>
      <c r="CR27" s="62">
        <v>12660</v>
      </c>
      <c r="CS27" s="98">
        <v>9412</v>
      </c>
      <c r="CT27" s="9">
        <v>1000</v>
      </c>
      <c r="CU27" s="62">
        <v>14320</v>
      </c>
      <c r="CV27" s="8">
        <v>11719.600000000002</v>
      </c>
      <c r="CW27" s="9"/>
      <c r="CX27" s="62"/>
      <c r="CY27" s="98"/>
      <c r="CZ27" s="9"/>
      <c r="DA27" s="62"/>
      <c r="DB27" s="8"/>
      <c r="DC27" s="9"/>
      <c r="DD27" s="62"/>
      <c r="DE27" s="8"/>
      <c r="DF27" s="9"/>
      <c r="DG27" s="62"/>
      <c r="DH27" s="8"/>
      <c r="DI27" s="9"/>
      <c r="DJ27" s="62"/>
      <c r="DK27" s="8"/>
      <c r="DL27" s="9"/>
      <c r="DM27" s="62"/>
      <c r="DN27" s="8"/>
      <c r="DO27" s="9"/>
      <c r="DP27" s="62"/>
      <c r="DQ27" s="8"/>
      <c r="DR27" s="9"/>
      <c r="DS27" s="62"/>
      <c r="DT27" s="8"/>
      <c r="DU27" s="9"/>
      <c r="DV27" s="62"/>
      <c r="DW27" s="8"/>
      <c r="DX27" s="9"/>
      <c r="DY27" s="62"/>
      <c r="DZ27" s="8"/>
    </row>
    <row r="28" spans="1:130" s="2" customFormat="1" ht="34.9" customHeight="1" x14ac:dyDescent="0.6">
      <c r="A28" s="5">
        <v>25</v>
      </c>
      <c r="B28" s="131" t="s">
        <v>92</v>
      </c>
      <c r="C28" s="14" t="s">
        <v>93</v>
      </c>
      <c r="D28" s="132" t="s">
        <v>53</v>
      </c>
      <c r="E28" s="132" t="s">
        <v>54</v>
      </c>
      <c r="F28" s="7" t="s">
        <v>15</v>
      </c>
      <c r="G28" s="16" t="s">
        <v>737</v>
      </c>
      <c r="H28" s="133" t="s">
        <v>738</v>
      </c>
      <c r="I28" s="133" t="s">
        <v>739</v>
      </c>
      <c r="J28" s="41" t="s">
        <v>16</v>
      </c>
      <c r="K28" s="9">
        <v>2100</v>
      </c>
      <c r="L28" s="62">
        <v>26760</v>
      </c>
      <c r="M28" s="78">
        <v>23131</v>
      </c>
      <c r="N28" s="9">
        <v>1040</v>
      </c>
      <c r="O28" s="62">
        <v>13680</v>
      </c>
      <c r="P28" s="41">
        <v>10566</v>
      </c>
      <c r="Q28" s="9">
        <v>1720</v>
      </c>
      <c r="R28" s="62">
        <v>22280</v>
      </c>
      <c r="S28" s="98">
        <v>18147</v>
      </c>
      <c r="T28" s="9">
        <v>1520</v>
      </c>
      <c r="U28" s="62">
        <v>19840</v>
      </c>
      <c r="V28" s="8">
        <v>15808</v>
      </c>
      <c r="W28" s="9">
        <v>3175</v>
      </c>
      <c r="X28" s="62">
        <v>41490</v>
      </c>
      <c r="Y28" s="8">
        <v>33526</v>
      </c>
      <c r="Z28" s="9">
        <v>1560</v>
      </c>
      <c r="AA28" s="62">
        <v>20660</v>
      </c>
      <c r="AB28" s="8">
        <v>16216.8</v>
      </c>
      <c r="AC28" s="9">
        <v>2460</v>
      </c>
      <c r="AD28" s="62">
        <v>31720</v>
      </c>
      <c r="AE28" s="8">
        <v>26176</v>
      </c>
      <c r="AF28" s="9">
        <v>1235</v>
      </c>
      <c r="AG28" s="62">
        <v>16362</v>
      </c>
      <c r="AH28" s="8">
        <v>13367</v>
      </c>
      <c r="AI28" s="9">
        <v>1085</v>
      </c>
      <c r="AJ28" s="62">
        <v>14380</v>
      </c>
      <c r="AK28" s="8">
        <v>11844</v>
      </c>
      <c r="AL28" s="9">
        <v>2125</v>
      </c>
      <c r="AM28" s="62">
        <v>28280</v>
      </c>
      <c r="AN28" s="8">
        <v>23056.799999999999</v>
      </c>
      <c r="AO28" s="9">
        <v>1030</v>
      </c>
      <c r="AP28" s="62">
        <v>13520</v>
      </c>
      <c r="AQ28" s="8">
        <v>10597</v>
      </c>
      <c r="AR28" s="9">
        <v>1580</v>
      </c>
      <c r="AS28" s="62">
        <v>20780</v>
      </c>
      <c r="AT28" s="8">
        <v>17085</v>
      </c>
      <c r="AU28" s="54">
        <f t="shared" si="0"/>
        <v>20630</v>
      </c>
      <c r="AV28" s="63">
        <f t="shared" si="1"/>
        <v>269752</v>
      </c>
      <c r="AW28" s="55">
        <f t="shared" si="2"/>
        <v>219520.59999999998</v>
      </c>
      <c r="AX28" s="54">
        <f t="shared" si="3"/>
        <v>1719.1666666666667</v>
      </c>
      <c r="AY28" s="63">
        <f t="shared" si="4"/>
        <v>143.26388888888889</v>
      </c>
      <c r="AZ28" s="55">
        <f t="shared" si="5"/>
        <v>18293.383333333331</v>
      </c>
      <c r="BA28" s="9">
        <v>1590</v>
      </c>
      <c r="BB28" s="62">
        <v>21160</v>
      </c>
      <c r="BC28" s="8">
        <v>17255.2</v>
      </c>
      <c r="BD28" s="9">
        <v>1605</v>
      </c>
      <c r="BE28" s="62">
        <v>20920</v>
      </c>
      <c r="BF28" s="8">
        <v>17182.400000000001</v>
      </c>
      <c r="BG28" s="9">
        <v>1620</v>
      </c>
      <c r="BH28" s="62">
        <v>21120</v>
      </c>
      <c r="BI28" s="8">
        <v>17777.599999999999</v>
      </c>
      <c r="BJ28" s="9">
        <v>1660</v>
      </c>
      <c r="BK28" s="62">
        <v>21560</v>
      </c>
      <c r="BL28" s="8">
        <v>17632</v>
      </c>
      <c r="BM28" s="44">
        <v>1945</v>
      </c>
      <c r="BN28" s="42">
        <v>25180</v>
      </c>
      <c r="BO28" s="45">
        <v>20952.8</v>
      </c>
      <c r="BP28" s="44">
        <v>2255</v>
      </c>
      <c r="BQ28" s="42">
        <v>29220</v>
      </c>
      <c r="BR28" s="45">
        <v>24668</v>
      </c>
      <c r="BS28" s="44">
        <v>2135</v>
      </c>
      <c r="BT28" s="42">
        <v>27500</v>
      </c>
      <c r="BU28" s="112">
        <v>23208</v>
      </c>
      <c r="BV28" s="115">
        <v>1260</v>
      </c>
      <c r="BW28" s="116">
        <v>16480</v>
      </c>
      <c r="BX28" s="112">
        <v>13944</v>
      </c>
      <c r="BY28" s="115">
        <v>2055</v>
      </c>
      <c r="BZ28" s="116">
        <v>26830</v>
      </c>
      <c r="CA28" s="112">
        <v>22698.400000000001</v>
      </c>
      <c r="CB28" s="115">
        <v>1350</v>
      </c>
      <c r="CC28" s="116">
        <v>18440</v>
      </c>
      <c r="CD28" s="112">
        <v>15023.2</v>
      </c>
      <c r="CE28" s="115">
        <v>1398</v>
      </c>
      <c r="CF28" s="116">
        <v>19276</v>
      </c>
      <c r="CG28" s="112">
        <v>15416</v>
      </c>
      <c r="CH28" s="115">
        <v>1760</v>
      </c>
      <c r="CI28" s="116">
        <v>23640</v>
      </c>
      <c r="CJ28" s="112">
        <v>19499.599999999999</v>
      </c>
      <c r="CK28" s="54">
        <f t="shared" si="6"/>
        <v>20633</v>
      </c>
      <c r="CL28" s="63">
        <f t="shared" si="7"/>
        <v>271326</v>
      </c>
      <c r="CM28" s="55">
        <f t="shared" si="8"/>
        <v>225257.2</v>
      </c>
      <c r="CN28" s="54">
        <f t="shared" si="9"/>
        <v>1719.4166666666667</v>
      </c>
      <c r="CO28" s="63">
        <f t="shared" si="10"/>
        <v>22610.5</v>
      </c>
      <c r="CP28" s="172">
        <f t="shared" si="11"/>
        <v>18771.433333333334</v>
      </c>
      <c r="CQ28" s="9">
        <v>1450</v>
      </c>
      <c r="CR28" s="62">
        <v>19700</v>
      </c>
      <c r="CS28" s="98">
        <v>16132</v>
      </c>
      <c r="CT28" s="9">
        <v>1558</v>
      </c>
      <c r="CU28" s="62">
        <v>20756</v>
      </c>
      <c r="CV28" s="8">
        <v>17336.400000000001</v>
      </c>
      <c r="CW28" s="9"/>
      <c r="CX28" s="62"/>
      <c r="CY28" s="98"/>
      <c r="CZ28" s="9"/>
      <c r="DA28" s="62"/>
      <c r="DB28" s="8"/>
      <c r="DC28" s="9"/>
      <c r="DD28" s="62"/>
      <c r="DE28" s="8"/>
      <c r="DF28" s="9"/>
      <c r="DG28" s="62"/>
      <c r="DH28" s="8"/>
      <c r="DI28" s="9"/>
      <c r="DJ28" s="62"/>
      <c r="DK28" s="8"/>
      <c r="DL28" s="9"/>
      <c r="DM28" s="62"/>
      <c r="DN28" s="8"/>
      <c r="DO28" s="9"/>
      <c r="DP28" s="62"/>
      <c r="DQ28" s="8"/>
      <c r="DR28" s="9"/>
      <c r="DS28" s="62"/>
      <c r="DT28" s="8"/>
      <c r="DU28" s="9"/>
      <c r="DV28" s="62"/>
      <c r="DW28" s="8"/>
      <c r="DX28" s="9"/>
      <c r="DY28" s="62"/>
      <c r="DZ28" s="8"/>
    </row>
    <row r="29" spans="1:130" s="2" customFormat="1" ht="34.9" customHeight="1" x14ac:dyDescent="0.6">
      <c r="A29" s="5">
        <v>26</v>
      </c>
      <c r="B29" s="131" t="s">
        <v>94</v>
      </c>
      <c r="C29" s="14" t="s">
        <v>95</v>
      </c>
      <c r="D29" s="132" t="s">
        <v>96</v>
      </c>
      <c r="E29" s="132" t="s">
        <v>97</v>
      </c>
      <c r="F29" s="7" t="s">
        <v>15</v>
      </c>
      <c r="G29" s="16" t="s">
        <v>740</v>
      </c>
      <c r="H29" s="133" t="s">
        <v>741</v>
      </c>
      <c r="I29" s="133" t="s">
        <v>742</v>
      </c>
      <c r="J29" s="41" t="s">
        <v>16</v>
      </c>
      <c r="K29" s="9">
        <v>2700</v>
      </c>
      <c r="L29" s="62">
        <v>41800</v>
      </c>
      <c r="M29" s="78">
        <v>14629.6</v>
      </c>
      <c r="N29" s="9">
        <v>2740</v>
      </c>
      <c r="O29" s="62">
        <v>41640</v>
      </c>
      <c r="P29" s="41">
        <v>14042</v>
      </c>
      <c r="Q29" s="9">
        <v>2710</v>
      </c>
      <c r="R29" s="62">
        <v>41490</v>
      </c>
      <c r="S29" s="98">
        <v>15048.8</v>
      </c>
      <c r="T29" s="9">
        <v>2780</v>
      </c>
      <c r="U29" s="62">
        <v>42040</v>
      </c>
      <c r="V29" s="8">
        <v>15028</v>
      </c>
      <c r="W29" s="9">
        <v>2360</v>
      </c>
      <c r="X29" s="62">
        <v>37770</v>
      </c>
      <c r="Y29" s="8">
        <v>25050</v>
      </c>
      <c r="Z29" s="9">
        <v>2655</v>
      </c>
      <c r="AA29" s="62">
        <v>40930</v>
      </c>
      <c r="AB29" s="8">
        <v>23232.400000000001</v>
      </c>
      <c r="AC29" s="9">
        <v>3040</v>
      </c>
      <c r="AD29" s="62">
        <v>48210</v>
      </c>
      <c r="AE29" s="8">
        <v>21630</v>
      </c>
      <c r="AF29" s="9">
        <v>2085</v>
      </c>
      <c r="AG29" s="62">
        <v>34960</v>
      </c>
      <c r="AH29" s="8">
        <v>14179</v>
      </c>
      <c r="AI29" s="9">
        <v>1985</v>
      </c>
      <c r="AJ29" s="62">
        <v>31820</v>
      </c>
      <c r="AK29" s="8">
        <v>19791.2</v>
      </c>
      <c r="AL29" s="9">
        <v>2035</v>
      </c>
      <c r="AM29" s="62">
        <v>34620</v>
      </c>
      <c r="AN29" s="8">
        <v>20707.999999999996</v>
      </c>
      <c r="AO29" s="9">
        <v>1000</v>
      </c>
      <c r="AP29" s="62">
        <v>15240</v>
      </c>
      <c r="AQ29" s="8">
        <v>10400</v>
      </c>
      <c r="AR29" s="9">
        <v>1505</v>
      </c>
      <c r="AS29" s="62">
        <v>21880</v>
      </c>
      <c r="AT29" s="8">
        <v>15572</v>
      </c>
      <c r="AU29" s="54">
        <f t="shared" si="0"/>
        <v>27595</v>
      </c>
      <c r="AV29" s="63">
        <f t="shared" si="1"/>
        <v>432400</v>
      </c>
      <c r="AW29" s="55">
        <f t="shared" si="2"/>
        <v>209311</v>
      </c>
      <c r="AX29" s="54">
        <f t="shared" si="3"/>
        <v>2299.5833333333335</v>
      </c>
      <c r="AY29" s="63">
        <f t="shared" si="4"/>
        <v>191.63194444444446</v>
      </c>
      <c r="AZ29" s="55">
        <f t="shared" si="5"/>
        <v>17442.583333333332</v>
      </c>
      <c r="BA29" s="9">
        <v>1000</v>
      </c>
      <c r="BB29" s="62">
        <v>15060</v>
      </c>
      <c r="BC29" s="8">
        <v>10703.6</v>
      </c>
      <c r="BD29" s="9">
        <v>1000</v>
      </c>
      <c r="BE29" s="62">
        <v>14820</v>
      </c>
      <c r="BF29" s="8">
        <v>10604.8</v>
      </c>
      <c r="BG29" s="9">
        <v>1000</v>
      </c>
      <c r="BH29" s="62">
        <v>15900</v>
      </c>
      <c r="BI29" s="8">
        <v>10721.6</v>
      </c>
      <c r="BJ29" s="9">
        <v>1560</v>
      </c>
      <c r="BK29" s="62">
        <v>22460</v>
      </c>
      <c r="BL29" s="8">
        <v>16408</v>
      </c>
      <c r="BM29" s="44">
        <v>1000</v>
      </c>
      <c r="BN29" s="42">
        <v>14900</v>
      </c>
      <c r="BO29" s="45">
        <v>10531.2</v>
      </c>
      <c r="BP29" s="44">
        <v>1500</v>
      </c>
      <c r="BQ29" s="42">
        <v>24140</v>
      </c>
      <c r="BR29" s="45">
        <v>16177.2</v>
      </c>
      <c r="BS29" s="44">
        <v>1000</v>
      </c>
      <c r="BT29" s="42">
        <v>14330</v>
      </c>
      <c r="BU29" s="112">
        <v>10638.4</v>
      </c>
      <c r="BV29" s="115">
        <v>995</v>
      </c>
      <c r="BW29" s="116">
        <v>14780</v>
      </c>
      <c r="BX29" s="112">
        <v>10694.400000000001</v>
      </c>
      <c r="BY29" s="115">
        <v>1000</v>
      </c>
      <c r="BZ29" s="116">
        <v>15060</v>
      </c>
      <c r="CA29" s="112">
        <v>10721.6</v>
      </c>
      <c r="CB29" s="115">
        <v>1000</v>
      </c>
      <c r="CC29" s="116">
        <v>15064</v>
      </c>
      <c r="CD29" s="112">
        <v>10800.720000000001</v>
      </c>
      <c r="CE29" s="115">
        <v>1000</v>
      </c>
      <c r="CF29" s="116">
        <v>15440</v>
      </c>
      <c r="CG29" s="112">
        <v>10637.599999999999</v>
      </c>
      <c r="CH29" s="115">
        <v>500</v>
      </c>
      <c r="CI29" s="116">
        <v>8540</v>
      </c>
      <c r="CJ29" s="112">
        <v>5463.2</v>
      </c>
      <c r="CK29" s="54">
        <f t="shared" si="6"/>
        <v>12555</v>
      </c>
      <c r="CL29" s="63">
        <f t="shared" si="7"/>
        <v>190494</v>
      </c>
      <c r="CM29" s="55">
        <f t="shared" si="8"/>
        <v>134102.32</v>
      </c>
      <c r="CN29" s="54">
        <f t="shared" si="9"/>
        <v>1046.25</v>
      </c>
      <c r="CO29" s="63">
        <f t="shared" si="10"/>
        <v>15874.5</v>
      </c>
      <c r="CP29" s="172">
        <f t="shared" si="11"/>
        <v>11175.193333333335</v>
      </c>
      <c r="CQ29" s="9">
        <v>1060</v>
      </c>
      <c r="CR29" s="62">
        <v>15240</v>
      </c>
      <c r="CS29" s="98">
        <v>11419.2</v>
      </c>
      <c r="CT29" s="9">
        <v>1000</v>
      </c>
      <c r="CU29" s="62">
        <v>15020</v>
      </c>
      <c r="CV29" s="8">
        <v>10860.4</v>
      </c>
      <c r="CW29" s="9"/>
      <c r="CX29" s="62"/>
      <c r="CY29" s="98"/>
      <c r="CZ29" s="9"/>
      <c r="DA29" s="62"/>
      <c r="DB29" s="8"/>
      <c r="DC29" s="9"/>
      <c r="DD29" s="62"/>
      <c r="DE29" s="8"/>
      <c r="DF29" s="9"/>
      <c r="DG29" s="62"/>
      <c r="DH29" s="8"/>
      <c r="DI29" s="9"/>
      <c r="DJ29" s="62"/>
      <c r="DK29" s="8"/>
      <c r="DL29" s="9"/>
      <c r="DM29" s="62"/>
      <c r="DN29" s="8"/>
      <c r="DO29" s="9"/>
      <c r="DP29" s="62"/>
      <c r="DQ29" s="8"/>
      <c r="DR29" s="9"/>
      <c r="DS29" s="62"/>
      <c r="DT29" s="8"/>
      <c r="DU29" s="9"/>
      <c r="DV29" s="62"/>
      <c r="DW29" s="8"/>
      <c r="DX29" s="9"/>
      <c r="DY29" s="62"/>
      <c r="DZ29" s="8"/>
    </row>
    <row r="30" spans="1:130" s="2" customFormat="1" ht="34.9" customHeight="1" x14ac:dyDescent="0.6">
      <c r="A30" s="5">
        <v>27</v>
      </c>
      <c r="B30" s="131" t="s">
        <v>98</v>
      </c>
      <c r="C30" s="14" t="s">
        <v>99</v>
      </c>
      <c r="D30" s="132" t="s">
        <v>100</v>
      </c>
      <c r="E30" s="132" t="s">
        <v>101</v>
      </c>
      <c r="F30" s="7" t="s">
        <v>15</v>
      </c>
      <c r="G30" s="16" t="s">
        <v>743</v>
      </c>
      <c r="H30" s="133" t="s">
        <v>744</v>
      </c>
      <c r="I30" s="133" t="s">
        <v>745</v>
      </c>
      <c r="J30" s="41" t="s">
        <v>16</v>
      </c>
      <c r="K30" s="9">
        <v>1570</v>
      </c>
      <c r="L30" s="62">
        <v>21840</v>
      </c>
      <c r="M30" s="78">
        <v>16256</v>
      </c>
      <c r="N30" s="9">
        <v>1086</v>
      </c>
      <c r="O30" s="62">
        <v>15052</v>
      </c>
      <c r="P30" s="41">
        <v>11046</v>
      </c>
      <c r="Q30" s="9">
        <v>1060</v>
      </c>
      <c r="R30" s="62">
        <v>15350</v>
      </c>
      <c r="S30" s="98">
        <v>10746</v>
      </c>
      <c r="T30" s="9">
        <v>1300</v>
      </c>
      <c r="U30" s="62">
        <v>17820</v>
      </c>
      <c r="V30" s="8">
        <v>13045</v>
      </c>
      <c r="W30" s="9">
        <v>1895</v>
      </c>
      <c r="X30" s="62">
        <v>26520</v>
      </c>
      <c r="Y30" s="8">
        <v>19555</v>
      </c>
      <c r="Z30" s="9">
        <v>1740</v>
      </c>
      <c r="AA30" s="62">
        <v>24040</v>
      </c>
      <c r="AB30" s="8">
        <v>18474.400000000001</v>
      </c>
      <c r="AC30" s="9">
        <v>1860</v>
      </c>
      <c r="AD30" s="62">
        <v>25720</v>
      </c>
      <c r="AE30" s="8">
        <v>19284</v>
      </c>
      <c r="AF30" s="9">
        <v>1440</v>
      </c>
      <c r="AG30" s="62">
        <v>19620</v>
      </c>
      <c r="AH30" s="8">
        <v>15326</v>
      </c>
      <c r="AI30" s="9">
        <v>1590</v>
      </c>
      <c r="AJ30" s="62">
        <v>22280</v>
      </c>
      <c r="AK30" s="8">
        <v>17576.8</v>
      </c>
      <c r="AL30" s="9">
        <v>1805</v>
      </c>
      <c r="AM30" s="62">
        <v>24820</v>
      </c>
      <c r="AN30" s="8">
        <v>19651.2</v>
      </c>
      <c r="AO30" s="9">
        <v>1425</v>
      </c>
      <c r="AP30" s="62">
        <v>19840</v>
      </c>
      <c r="AQ30" s="8">
        <v>15015</v>
      </c>
      <c r="AR30" s="9">
        <v>1783</v>
      </c>
      <c r="AS30" s="62">
        <v>23816</v>
      </c>
      <c r="AT30" s="8">
        <v>19561</v>
      </c>
      <c r="AU30" s="54">
        <f t="shared" si="0"/>
        <v>18554</v>
      </c>
      <c r="AV30" s="63">
        <f t="shared" si="1"/>
        <v>256718</v>
      </c>
      <c r="AW30" s="55">
        <f t="shared" si="2"/>
        <v>195536.4</v>
      </c>
      <c r="AX30" s="54">
        <f t="shared" si="3"/>
        <v>1546.1666666666667</v>
      </c>
      <c r="AY30" s="63">
        <f t="shared" si="4"/>
        <v>128.84722222222223</v>
      </c>
      <c r="AZ30" s="55">
        <f t="shared" si="5"/>
        <v>16294.699999999999</v>
      </c>
      <c r="BA30" s="9">
        <v>1530</v>
      </c>
      <c r="BB30" s="62">
        <v>21340</v>
      </c>
      <c r="BC30" s="8">
        <v>16565.600000000002</v>
      </c>
      <c r="BD30" s="9">
        <v>1570</v>
      </c>
      <c r="BE30" s="62">
        <v>22260</v>
      </c>
      <c r="BF30" s="8">
        <v>17556</v>
      </c>
      <c r="BG30" s="9">
        <v>2020</v>
      </c>
      <c r="BH30" s="62">
        <v>27420</v>
      </c>
      <c r="BI30" s="8">
        <v>21911.999999999996</v>
      </c>
      <c r="BJ30" s="9">
        <v>1580</v>
      </c>
      <c r="BK30" s="62">
        <v>21560</v>
      </c>
      <c r="BL30" s="8">
        <v>17477.599999999999</v>
      </c>
      <c r="BM30" s="44">
        <v>2120</v>
      </c>
      <c r="BN30" s="42">
        <v>28240</v>
      </c>
      <c r="BO30" s="45">
        <v>23412.799999999999</v>
      </c>
      <c r="BP30" s="44">
        <v>2040</v>
      </c>
      <c r="BQ30" s="42">
        <v>28040</v>
      </c>
      <c r="BR30" s="45">
        <v>22815.200000000001</v>
      </c>
      <c r="BS30" s="44">
        <v>1755</v>
      </c>
      <c r="BT30" s="42">
        <v>24020</v>
      </c>
      <c r="BU30" s="112">
        <v>19361.2</v>
      </c>
      <c r="BV30" s="115">
        <v>1795</v>
      </c>
      <c r="BW30" s="116">
        <v>23920</v>
      </c>
      <c r="BX30" s="112">
        <v>20193.2</v>
      </c>
      <c r="BY30" s="115">
        <v>1974</v>
      </c>
      <c r="BZ30" s="116">
        <v>26086</v>
      </c>
      <c r="CA30" s="112">
        <v>22079.040000000001</v>
      </c>
      <c r="CB30" s="115">
        <v>2035</v>
      </c>
      <c r="CC30" s="116">
        <v>27380</v>
      </c>
      <c r="CD30" s="112">
        <v>22950</v>
      </c>
      <c r="CE30" s="115">
        <v>1966</v>
      </c>
      <c r="CF30" s="116">
        <v>26240</v>
      </c>
      <c r="CG30" s="112">
        <v>21858.400000000001</v>
      </c>
      <c r="CH30" s="115">
        <v>2000</v>
      </c>
      <c r="CI30" s="116">
        <v>26680</v>
      </c>
      <c r="CJ30" s="112">
        <v>22504</v>
      </c>
      <c r="CK30" s="54">
        <f t="shared" si="6"/>
        <v>22385</v>
      </c>
      <c r="CL30" s="63">
        <f t="shared" si="7"/>
        <v>303186</v>
      </c>
      <c r="CM30" s="55">
        <f t="shared" si="8"/>
        <v>248685.04000000004</v>
      </c>
      <c r="CN30" s="54">
        <f t="shared" si="9"/>
        <v>1865.4166666666667</v>
      </c>
      <c r="CO30" s="63">
        <f t="shared" si="10"/>
        <v>25265.5</v>
      </c>
      <c r="CP30" s="172">
        <f t="shared" si="11"/>
        <v>20723.753333333338</v>
      </c>
      <c r="CQ30" s="9">
        <v>1730</v>
      </c>
      <c r="CR30" s="62">
        <v>23820</v>
      </c>
      <c r="CS30" s="98">
        <v>19891.199999999997</v>
      </c>
      <c r="CT30" s="9">
        <v>1715</v>
      </c>
      <c r="CU30" s="62">
        <v>22610</v>
      </c>
      <c r="CV30" s="8">
        <v>19722.399999999998</v>
      </c>
      <c r="CW30" s="9"/>
      <c r="CX30" s="62"/>
      <c r="CY30" s="98"/>
      <c r="CZ30" s="9"/>
      <c r="DA30" s="62"/>
      <c r="DB30" s="8"/>
      <c r="DC30" s="9"/>
      <c r="DD30" s="62"/>
      <c r="DE30" s="8"/>
      <c r="DF30" s="9"/>
      <c r="DG30" s="62"/>
      <c r="DH30" s="8"/>
      <c r="DI30" s="9"/>
      <c r="DJ30" s="62"/>
      <c r="DK30" s="8"/>
      <c r="DL30" s="9"/>
      <c r="DM30" s="62"/>
      <c r="DN30" s="8"/>
      <c r="DO30" s="9"/>
      <c r="DP30" s="62"/>
      <c r="DQ30" s="8"/>
      <c r="DR30" s="9"/>
      <c r="DS30" s="62"/>
      <c r="DT30" s="8"/>
      <c r="DU30" s="9"/>
      <c r="DV30" s="62"/>
      <c r="DW30" s="8"/>
      <c r="DX30" s="9"/>
      <c r="DY30" s="62"/>
      <c r="DZ30" s="8"/>
    </row>
    <row r="31" spans="1:130" s="2" customFormat="1" ht="34.9" customHeight="1" x14ac:dyDescent="0.6">
      <c r="A31" s="5">
        <v>28</v>
      </c>
      <c r="B31" s="131" t="s">
        <v>102</v>
      </c>
      <c r="C31" s="14" t="s">
        <v>103</v>
      </c>
      <c r="D31" s="132" t="s">
        <v>104</v>
      </c>
      <c r="E31" s="132" t="s">
        <v>105</v>
      </c>
      <c r="F31" s="7" t="s">
        <v>15</v>
      </c>
      <c r="G31" s="16" t="s">
        <v>746</v>
      </c>
      <c r="H31" s="133" t="s">
        <v>747</v>
      </c>
      <c r="I31" s="133" t="s">
        <v>748</v>
      </c>
      <c r="J31" s="41" t="s">
        <v>16</v>
      </c>
      <c r="K31" s="9">
        <v>1560</v>
      </c>
      <c r="L31" s="62">
        <v>21860</v>
      </c>
      <c r="M31" s="78">
        <v>15279.2</v>
      </c>
      <c r="N31" s="9">
        <v>710</v>
      </c>
      <c r="O31" s="62">
        <v>10150</v>
      </c>
      <c r="P31" s="41">
        <v>6913.2</v>
      </c>
      <c r="Q31" s="9">
        <v>1135</v>
      </c>
      <c r="R31" s="62">
        <v>16120</v>
      </c>
      <c r="S31" s="98">
        <v>11453.6</v>
      </c>
      <c r="T31" s="9">
        <v>1395</v>
      </c>
      <c r="U31" s="62">
        <v>19520</v>
      </c>
      <c r="V31" s="8">
        <v>13421</v>
      </c>
      <c r="W31" s="9">
        <v>1250</v>
      </c>
      <c r="X31" s="62">
        <v>17340</v>
      </c>
      <c r="Y31" s="8">
        <v>12163</v>
      </c>
      <c r="Z31" s="9">
        <v>1615</v>
      </c>
      <c r="AA31" s="62">
        <v>22900</v>
      </c>
      <c r="AB31" s="8">
        <v>15944.4</v>
      </c>
      <c r="AC31" s="9">
        <v>1095</v>
      </c>
      <c r="AD31" s="62">
        <v>15360</v>
      </c>
      <c r="AE31" s="8">
        <v>10780</v>
      </c>
      <c r="AF31" s="9">
        <v>1272</v>
      </c>
      <c r="AG31" s="62">
        <v>17588</v>
      </c>
      <c r="AH31" s="8">
        <v>12392</v>
      </c>
      <c r="AI31" s="9">
        <v>1060</v>
      </c>
      <c r="AJ31" s="62">
        <v>15620</v>
      </c>
      <c r="AK31" s="8">
        <v>10888.400000000001</v>
      </c>
      <c r="AL31" s="9">
        <v>1280</v>
      </c>
      <c r="AM31" s="62">
        <v>17860</v>
      </c>
      <c r="AN31" s="8">
        <v>12916</v>
      </c>
      <c r="AO31" s="9">
        <v>1420</v>
      </c>
      <c r="AP31" s="62">
        <v>20690</v>
      </c>
      <c r="AQ31" s="8">
        <v>14536</v>
      </c>
      <c r="AR31" s="9">
        <v>1025</v>
      </c>
      <c r="AS31" s="62">
        <v>14220</v>
      </c>
      <c r="AT31" s="8">
        <v>10036</v>
      </c>
      <c r="AU31" s="54">
        <f t="shared" si="0"/>
        <v>14817</v>
      </c>
      <c r="AV31" s="63">
        <f t="shared" si="1"/>
        <v>209228</v>
      </c>
      <c r="AW31" s="55">
        <f t="shared" si="2"/>
        <v>146722.79999999999</v>
      </c>
      <c r="AX31" s="54">
        <f t="shared" si="3"/>
        <v>1234.75</v>
      </c>
      <c r="AY31" s="63">
        <f t="shared" si="4"/>
        <v>102.89583333333333</v>
      </c>
      <c r="AZ31" s="55">
        <f t="shared" si="5"/>
        <v>12226.9</v>
      </c>
      <c r="BA31" s="9">
        <v>970</v>
      </c>
      <c r="BB31" s="62">
        <v>14000</v>
      </c>
      <c r="BC31" s="8">
        <v>9960.7999999999993</v>
      </c>
      <c r="BD31" s="9">
        <v>1470</v>
      </c>
      <c r="BE31" s="62">
        <v>20960</v>
      </c>
      <c r="BF31" s="8">
        <v>14789.6</v>
      </c>
      <c r="BG31" s="9">
        <v>1450</v>
      </c>
      <c r="BH31" s="62">
        <v>20620</v>
      </c>
      <c r="BI31" s="8">
        <v>14306.4</v>
      </c>
      <c r="BJ31" s="9">
        <v>1260</v>
      </c>
      <c r="BK31" s="62">
        <v>17680</v>
      </c>
      <c r="BL31" s="8">
        <v>12934.4</v>
      </c>
      <c r="BM31" s="44">
        <v>1375</v>
      </c>
      <c r="BN31" s="42">
        <v>19480</v>
      </c>
      <c r="BO31" s="45">
        <v>13796.800000000001</v>
      </c>
      <c r="BP31" s="44">
        <v>1465</v>
      </c>
      <c r="BQ31" s="42">
        <v>20010</v>
      </c>
      <c r="BR31" s="45">
        <v>14690.4</v>
      </c>
      <c r="BS31" s="44">
        <v>1005</v>
      </c>
      <c r="BT31" s="42">
        <v>13820</v>
      </c>
      <c r="BU31" s="112">
        <v>10092.799999999999</v>
      </c>
      <c r="BV31" s="115">
        <v>1030</v>
      </c>
      <c r="BW31" s="116">
        <v>14480</v>
      </c>
      <c r="BX31" s="112">
        <v>10464.4</v>
      </c>
      <c r="BY31" s="115">
        <v>1224</v>
      </c>
      <c r="BZ31" s="116">
        <v>16968</v>
      </c>
      <c r="CA31" s="112">
        <v>12514.64</v>
      </c>
      <c r="CB31" s="115">
        <v>1070</v>
      </c>
      <c r="CC31" s="116">
        <v>15140</v>
      </c>
      <c r="CD31" s="112">
        <v>10857.6</v>
      </c>
      <c r="CE31" s="115">
        <v>1175</v>
      </c>
      <c r="CF31" s="116">
        <v>16380</v>
      </c>
      <c r="CG31" s="112">
        <v>12038.400000000001</v>
      </c>
      <c r="CH31" s="115">
        <v>1170</v>
      </c>
      <c r="CI31" s="116">
        <v>15980</v>
      </c>
      <c r="CJ31" s="112">
        <v>11631.2</v>
      </c>
      <c r="CK31" s="54">
        <f t="shared" si="6"/>
        <v>14664</v>
      </c>
      <c r="CL31" s="63">
        <f t="shared" si="7"/>
        <v>205518</v>
      </c>
      <c r="CM31" s="55">
        <f t="shared" si="8"/>
        <v>148077.44</v>
      </c>
      <c r="CN31" s="54">
        <f t="shared" si="9"/>
        <v>1222</v>
      </c>
      <c r="CO31" s="63">
        <f t="shared" si="10"/>
        <v>17126.5</v>
      </c>
      <c r="CP31" s="172">
        <f t="shared" si="11"/>
        <v>12339.786666666667</v>
      </c>
      <c r="CQ31" s="9">
        <v>1150</v>
      </c>
      <c r="CR31" s="62">
        <v>16080</v>
      </c>
      <c r="CS31" s="98">
        <v>11769.199999999999</v>
      </c>
      <c r="CT31" s="9">
        <v>1305</v>
      </c>
      <c r="CU31" s="62">
        <v>18080</v>
      </c>
      <c r="CV31" s="8">
        <v>13152.4</v>
      </c>
      <c r="CW31" s="9"/>
      <c r="CX31" s="62"/>
      <c r="CY31" s="98"/>
      <c r="CZ31" s="9"/>
      <c r="DA31" s="62"/>
      <c r="DB31" s="8"/>
      <c r="DC31" s="9"/>
      <c r="DD31" s="62"/>
      <c r="DE31" s="8"/>
      <c r="DF31" s="9"/>
      <c r="DG31" s="62"/>
      <c r="DH31" s="8"/>
      <c r="DI31" s="9"/>
      <c r="DJ31" s="62"/>
      <c r="DK31" s="8"/>
      <c r="DL31" s="9"/>
      <c r="DM31" s="62"/>
      <c r="DN31" s="8"/>
      <c r="DO31" s="9"/>
      <c r="DP31" s="62"/>
      <c r="DQ31" s="8"/>
      <c r="DR31" s="9"/>
      <c r="DS31" s="62"/>
      <c r="DT31" s="8"/>
      <c r="DU31" s="9"/>
      <c r="DV31" s="62"/>
      <c r="DW31" s="8"/>
      <c r="DX31" s="9"/>
      <c r="DY31" s="62"/>
      <c r="DZ31" s="8"/>
    </row>
    <row r="32" spans="1:130" s="2" customFormat="1" ht="34.9" customHeight="1" x14ac:dyDescent="0.6">
      <c r="A32" s="5">
        <v>29</v>
      </c>
      <c r="B32" s="131" t="s">
        <v>106</v>
      </c>
      <c r="C32" s="14" t="s">
        <v>107</v>
      </c>
      <c r="D32" s="132" t="s">
        <v>82</v>
      </c>
      <c r="E32" s="132" t="s">
        <v>83</v>
      </c>
      <c r="F32" s="7" t="s">
        <v>15</v>
      </c>
      <c r="G32" s="16" t="s">
        <v>749</v>
      </c>
      <c r="H32" s="133" t="s">
        <v>750</v>
      </c>
      <c r="I32" s="133" t="s">
        <v>751</v>
      </c>
      <c r="J32" s="41" t="s">
        <v>16</v>
      </c>
      <c r="K32" s="9">
        <v>695</v>
      </c>
      <c r="L32" s="62">
        <v>9460</v>
      </c>
      <c r="M32" s="78">
        <v>7306.0000000000009</v>
      </c>
      <c r="N32" s="9">
        <v>1240</v>
      </c>
      <c r="O32" s="62">
        <v>17780</v>
      </c>
      <c r="P32" s="41">
        <v>13145.6</v>
      </c>
      <c r="Q32" s="9">
        <v>1565</v>
      </c>
      <c r="R32" s="62">
        <v>25900</v>
      </c>
      <c r="S32" s="98">
        <v>17538</v>
      </c>
      <c r="T32" s="9">
        <v>1610</v>
      </c>
      <c r="U32" s="62">
        <v>22380</v>
      </c>
      <c r="V32" s="8">
        <v>16897</v>
      </c>
      <c r="W32" s="9">
        <v>515</v>
      </c>
      <c r="X32" s="62">
        <v>8280</v>
      </c>
      <c r="Y32" s="8">
        <v>5216</v>
      </c>
      <c r="Z32" s="9">
        <v>1165</v>
      </c>
      <c r="AA32" s="62">
        <v>17140</v>
      </c>
      <c r="AB32" s="8">
        <v>12518.8</v>
      </c>
      <c r="AC32" s="9">
        <v>1725</v>
      </c>
      <c r="AD32" s="62">
        <v>23600</v>
      </c>
      <c r="AE32" s="8">
        <v>18966</v>
      </c>
      <c r="AF32" s="9">
        <v>830</v>
      </c>
      <c r="AG32" s="62">
        <v>10740</v>
      </c>
      <c r="AH32" s="8">
        <v>9220</v>
      </c>
      <c r="AI32" s="9">
        <v>1285</v>
      </c>
      <c r="AJ32" s="62">
        <v>19940</v>
      </c>
      <c r="AK32" s="8">
        <v>14119.6</v>
      </c>
      <c r="AL32" s="9">
        <v>1230</v>
      </c>
      <c r="AM32" s="62">
        <v>18130</v>
      </c>
      <c r="AN32" s="8">
        <v>13425.199999999999</v>
      </c>
      <c r="AO32" s="9">
        <v>750</v>
      </c>
      <c r="AP32" s="62">
        <v>11660</v>
      </c>
      <c r="AQ32" s="8">
        <v>8522</v>
      </c>
      <c r="AR32" s="9">
        <v>1280</v>
      </c>
      <c r="AS32" s="62">
        <v>21990</v>
      </c>
      <c r="AT32" s="8">
        <v>14399</v>
      </c>
      <c r="AU32" s="54">
        <f t="shared" si="0"/>
        <v>13890</v>
      </c>
      <c r="AV32" s="63">
        <f t="shared" si="1"/>
        <v>207000</v>
      </c>
      <c r="AW32" s="55">
        <f t="shared" si="2"/>
        <v>151273.20000000001</v>
      </c>
      <c r="AX32" s="54">
        <f t="shared" si="3"/>
        <v>1157.5</v>
      </c>
      <c r="AY32" s="63">
        <f t="shared" si="4"/>
        <v>96.458333333333329</v>
      </c>
      <c r="AZ32" s="55">
        <f t="shared" si="5"/>
        <v>12606.1</v>
      </c>
      <c r="BA32" s="9">
        <v>1155</v>
      </c>
      <c r="BB32" s="62">
        <v>17120</v>
      </c>
      <c r="BC32" s="8">
        <v>12915.2</v>
      </c>
      <c r="BD32" s="9">
        <v>1240</v>
      </c>
      <c r="BE32" s="62">
        <v>18360</v>
      </c>
      <c r="BF32" s="8">
        <v>13823.6</v>
      </c>
      <c r="BG32" s="9">
        <v>1599</v>
      </c>
      <c r="BH32" s="62">
        <v>23548</v>
      </c>
      <c r="BI32" s="8">
        <v>18310.400000000001</v>
      </c>
      <c r="BJ32" s="9">
        <v>1190</v>
      </c>
      <c r="BK32" s="62">
        <v>17380</v>
      </c>
      <c r="BL32" s="8">
        <v>13132.8</v>
      </c>
      <c r="BM32" s="44">
        <v>705</v>
      </c>
      <c r="BN32" s="42">
        <v>12200</v>
      </c>
      <c r="BO32" s="45">
        <v>8568</v>
      </c>
      <c r="BP32" s="44">
        <v>1680</v>
      </c>
      <c r="BQ32" s="42">
        <v>23940</v>
      </c>
      <c r="BR32" s="45">
        <v>19316</v>
      </c>
      <c r="BS32" s="44">
        <v>1155</v>
      </c>
      <c r="BT32" s="42">
        <v>18740</v>
      </c>
      <c r="BU32" s="112">
        <v>13301.2</v>
      </c>
      <c r="BV32" s="115">
        <v>1660</v>
      </c>
      <c r="BW32" s="116">
        <v>25080</v>
      </c>
      <c r="BX32" s="112">
        <v>19206.400000000001</v>
      </c>
      <c r="BY32" s="115">
        <v>1145</v>
      </c>
      <c r="BZ32" s="116">
        <v>17420</v>
      </c>
      <c r="CA32" s="112">
        <v>13270.8</v>
      </c>
      <c r="CB32" s="115">
        <v>1105</v>
      </c>
      <c r="CC32" s="116">
        <v>17330</v>
      </c>
      <c r="CD32" s="112">
        <v>12866.4</v>
      </c>
      <c r="CE32" s="115">
        <v>1210</v>
      </c>
      <c r="CF32" s="116">
        <v>18860</v>
      </c>
      <c r="CG32" s="112">
        <v>14161.6</v>
      </c>
      <c r="CH32" s="115">
        <v>1160</v>
      </c>
      <c r="CI32" s="116">
        <v>17370</v>
      </c>
      <c r="CJ32" s="112">
        <v>13577.6</v>
      </c>
      <c r="CK32" s="54">
        <f t="shared" si="6"/>
        <v>15004</v>
      </c>
      <c r="CL32" s="63">
        <f t="shared" si="7"/>
        <v>227348</v>
      </c>
      <c r="CM32" s="55">
        <f t="shared" si="8"/>
        <v>172450</v>
      </c>
      <c r="CN32" s="54">
        <f t="shared" si="9"/>
        <v>1250.3333333333333</v>
      </c>
      <c r="CO32" s="63">
        <f t="shared" si="10"/>
        <v>18945.666666666668</v>
      </c>
      <c r="CP32" s="172">
        <f t="shared" si="11"/>
        <v>14370.833333333334</v>
      </c>
      <c r="CQ32" s="9">
        <v>825</v>
      </c>
      <c r="CR32" s="62">
        <v>12210</v>
      </c>
      <c r="CS32" s="98">
        <v>9682.8000000000011</v>
      </c>
      <c r="CT32" s="9">
        <v>500</v>
      </c>
      <c r="CU32" s="62">
        <v>6520</v>
      </c>
      <c r="CV32" s="8">
        <v>5878</v>
      </c>
      <c r="CW32" s="9"/>
      <c r="CX32" s="62"/>
      <c r="CY32" s="98"/>
      <c r="CZ32" s="9"/>
      <c r="DA32" s="62"/>
      <c r="DB32" s="8"/>
      <c r="DC32" s="9"/>
      <c r="DD32" s="62"/>
      <c r="DE32" s="8"/>
      <c r="DF32" s="9"/>
      <c r="DG32" s="62"/>
      <c r="DH32" s="8"/>
      <c r="DI32" s="9"/>
      <c r="DJ32" s="62"/>
      <c r="DK32" s="8"/>
      <c r="DL32" s="9"/>
      <c r="DM32" s="62"/>
      <c r="DN32" s="8"/>
      <c r="DO32" s="9"/>
      <c r="DP32" s="62"/>
      <c r="DQ32" s="8"/>
      <c r="DR32" s="9"/>
      <c r="DS32" s="62"/>
      <c r="DT32" s="8"/>
      <c r="DU32" s="9"/>
      <c r="DV32" s="62"/>
      <c r="DW32" s="8"/>
      <c r="DX32" s="9"/>
      <c r="DY32" s="62"/>
      <c r="DZ32" s="8"/>
    </row>
    <row r="33" spans="1:130" s="2" customFormat="1" ht="34.9" customHeight="1" x14ac:dyDescent="0.6">
      <c r="A33" s="5">
        <v>30</v>
      </c>
      <c r="B33" s="131" t="s">
        <v>108</v>
      </c>
      <c r="C33" s="14" t="s">
        <v>109</v>
      </c>
      <c r="D33" s="132" t="s">
        <v>110</v>
      </c>
      <c r="E33" s="132" t="s">
        <v>111</v>
      </c>
      <c r="F33" s="7" t="s">
        <v>15</v>
      </c>
      <c r="G33" s="16" t="s">
        <v>752</v>
      </c>
      <c r="H33" s="133" t="s">
        <v>753</v>
      </c>
      <c r="I33" s="133" t="s">
        <v>754</v>
      </c>
      <c r="J33" s="41" t="s">
        <v>16</v>
      </c>
      <c r="K33" s="9">
        <v>1024</v>
      </c>
      <c r="L33" s="62">
        <v>14778</v>
      </c>
      <c r="M33" s="78">
        <v>11034</v>
      </c>
      <c r="N33" s="9">
        <v>1059</v>
      </c>
      <c r="O33" s="62">
        <v>15268</v>
      </c>
      <c r="P33" s="41">
        <v>11209</v>
      </c>
      <c r="Q33" s="9">
        <v>1281</v>
      </c>
      <c r="R33" s="62">
        <v>17778</v>
      </c>
      <c r="S33" s="98">
        <v>13523</v>
      </c>
      <c r="T33" s="9">
        <v>1020</v>
      </c>
      <c r="U33" s="62">
        <v>15220</v>
      </c>
      <c r="V33" s="8">
        <v>10819</v>
      </c>
      <c r="W33" s="9">
        <v>980</v>
      </c>
      <c r="X33" s="62">
        <v>13900</v>
      </c>
      <c r="Y33" s="8">
        <v>10411</v>
      </c>
      <c r="Z33" s="9">
        <v>1095</v>
      </c>
      <c r="AA33" s="62">
        <v>16060</v>
      </c>
      <c r="AB33" s="8">
        <v>11930.4</v>
      </c>
      <c r="AC33" s="9">
        <v>1100</v>
      </c>
      <c r="AD33" s="62">
        <v>16000</v>
      </c>
      <c r="AE33" s="8">
        <v>12029</v>
      </c>
      <c r="AF33" s="9">
        <v>1010</v>
      </c>
      <c r="AG33" s="62">
        <v>13560</v>
      </c>
      <c r="AH33" s="8">
        <v>11196</v>
      </c>
      <c r="AI33" s="9">
        <v>1380</v>
      </c>
      <c r="AJ33" s="62">
        <v>20120</v>
      </c>
      <c r="AK33" s="8">
        <v>14811.2</v>
      </c>
      <c r="AL33" s="9">
        <v>1258</v>
      </c>
      <c r="AM33" s="62">
        <v>18272</v>
      </c>
      <c r="AN33" s="8">
        <v>13473.28</v>
      </c>
      <c r="AO33" s="9">
        <v>1295</v>
      </c>
      <c r="AP33" s="62">
        <v>18920</v>
      </c>
      <c r="AQ33" s="8">
        <v>13662</v>
      </c>
      <c r="AR33" s="9">
        <v>1304</v>
      </c>
      <c r="AS33" s="62">
        <v>19158</v>
      </c>
      <c r="AT33" s="8">
        <v>14179</v>
      </c>
      <c r="AU33" s="54">
        <f t="shared" si="0"/>
        <v>13806</v>
      </c>
      <c r="AV33" s="63">
        <f t="shared" si="1"/>
        <v>199034</v>
      </c>
      <c r="AW33" s="55">
        <f t="shared" si="2"/>
        <v>148276.88</v>
      </c>
      <c r="AX33" s="54">
        <f t="shared" si="3"/>
        <v>1150.5</v>
      </c>
      <c r="AY33" s="63">
        <f t="shared" si="4"/>
        <v>95.875</v>
      </c>
      <c r="AZ33" s="55">
        <f t="shared" si="5"/>
        <v>12356.406666666668</v>
      </c>
      <c r="BA33" s="9">
        <v>1468</v>
      </c>
      <c r="BB33" s="62">
        <v>20996</v>
      </c>
      <c r="BC33" s="8">
        <v>15984.8</v>
      </c>
      <c r="BD33" s="9">
        <v>1092</v>
      </c>
      <c r="BE33" s="62">
        <v>15204</v>
      </c>
      <c r="BF33" s="8">
        <v>11924</v>
      </c>
      <c r="BG33" s="9">
        <v>1210</v>
      </c>
      <c r="BH33" s="62">
        <v>16800</v>
      </c>
      <c r="BI33" s="8">
        <v>13416</v>
      </c>
      <c r="BJ33" s="9">
        <v>1680</v>
      </c>
      <c r="BK33" s="62">
        <v>23400</v>
      </c>
      <c r="BL33" s="8">
        <v>18272</v>
      </c>
      <c r="BM33" s="44">
        <v>1450</v>
      </c>
      <c r="BN33" s="42">
        <v>19520</v>
      </c>
      <c r="BO33" s="45">
        <v>15696</v>
      </c>
      <c r="BP33" s="44">
        <v>1553</v>
      </c>
      <c r="BQ33" s="42">
        <v>22436</v>
      </c>
      <c r="BR33" s="45">
        <v>16962</v>
      </c>
      <c r="BS33" s="44">
        <v>1617</v>
      </c>
      <c r="BT33" s="42">
        <v>23204</v>
      </c>
      <c r="BU33" s="112">
        <v>17772</v>
      </c>
      <c r="BV33" s="115">
        <v>1295</v>
      </c>
      <c r="BW33" s="116">
        <v>18200</v>
      </c>
      <c r="BX33" s="112">
        <v>14280</v>
      </c>
      <c r="BY33" s="115">
        <v>1050</v>
      </c>
      <c r="BZ33" s="116">
        <v>14840</v>
      </c>
      <c r="CA33" s="112">
        <v>11436.8</v>
      </c>
      <c r="CB33" s="115">
        <v>1180</v>
      </c>
      <c r="CC33" s="116">
        <v>16640</v>
      </c>
      <c r="CD33" s="112">
        <v>12881.6</v>
      </c>
      <c r="CE33" s="115">
        <v>930</v>
      </c>
      <c r="CF33" s="116">
        <v>13800</v>
      </c>
      <c r="CG33" s="112">
        <v>10520</v>
      </c>
      <c r="CH33" s="115">
        <v>820</v>
      </c>
      <c r="CI33" s="116">
        <v>12120</v>
      </c>
      <c r="CJ33" s="112">
        <v>8880</v>
      </c>
      <c r="CK33" s="54">
        <f t="shared" si="6"/>
        <v>15345</v>
      </c>
      <c r="CL33" s="63">
        <f t="shared" si="7"/>
        <v>217160</v>
      </c>
      <c r="CM33" s="55">
        <f t="shared" si="8"/>
        <v>168025.2</v>
      </c>
      <c r="CN33" s="54">
        <f t="shared" si="9"/>
        <v>1278.75</v>
      </c>
      <c r="CO33" s="63">
        <f t="shared" si="10"/>
        <v>18096.666666666668</v>
      </c>
      <c r="CP33" s="172">
        <f t="shared" si="11"/>
        <v>14002.1</v>
      </c>
      <c r="CQ33" s="9">
        <v>924</v>
      </c>
      <c r="CR33" s="62">
        <v>14008</v>
      </c>
      <c r="CS33" s="98">
        <v>9908.4</v>
      </c>
      <c r="CT33" s="9">
        <v>780</v>
      </c>
      <c r="CU33" s="62">
        <v>10880</v>
      </c>
      <c r="CV33" s="8">
        <v>8568</v>
      </c>
      <c r="CW33" s="9"/>
      <c r="CX33" s="62"/>
      <c r="CY33" s="98"/>
      <c r="CZ33" s="9"/>
      <c r="DA33" s="62"/>
      <c r="DB33" s="8"/>
      <c r="DC33" s="9"/>
      <c r="DD33" s="62"/>
      <c r="DE33" s="8"/>
      <c r="DF33" s="9"/>
      <c r="DG33" s="62"/>
      <c r="DH33" s="8"/>
      <c r="DI33" s="9"/>
      <c r="DJ33" s="62"/>
      <c r="DK33" s="8"/>
      <c r="DL33" s="9"/>
      <c r="DM33" s="62"/>
      <c r="DN33" s="8"/>
      <c r="DO33" s="9"/>
      <c r="DP33" s="62"/>
      <c r="DQ33" s="8"/>
      <c r="DR33" s="9"/>
      <c r="DS33" s="62"/>
      <c r="DT33" s="8"/>
      <c r="DU33" s="9"/>
      <c r="DV33" s="62"/>
      <c r="DW33" s="8"/>
      <c r="DX33" s="9"/>
      <c r="DY33" s="62"/>
      <c r="DZ33" s="8"/>
    </row>
    <row r="34" spans="1:130" s="2" customFormat="1" ht="34.9" customHeight="1" x14ac:dyDescent="0.6">
      <c r="A34" s="5">
        <v>31</v>
      </c>
      <c r="B34" s="131" t="s">
        <v>112</v>
      </c>
      <c r="C34" s="14" t="s">
        <v>113</v>
      </c>
      <c r="D34" s="132" t="s">
        <v>75</v>
      </c>
      <c r="E34" s="132" t="s">
        <v>76</v>
      </c>
      <c r="F34" s="7" t="s">
        <v>15</v>
      </c>
      <c r="G34" s="16" t="s">
        <v>755</v>
      </c>
      <c r="H34" s="133" t="s">
        <v>756</v>
      </c>
      <c r="I34" s="133" t="s">
        <v>757</v>
      </c>
      <c r="J34" s="41" t="s">
        <v>16</v>
      </c>
      <c r="K34" s="9">
        <v>943</v>
      </c>
      <c r="L34" s="62">
        <v>13496</v>
      </c>
      <c r="M34" s="78">
        <v>8642</v>
      </c>
      <c r="N34" s="9">
        <v>880</v>
      </c>
      <c r="O34" s="62">
        <v>12540</v>
      </c>
      <c r="P34" s="41">
        <v>8201</v>
      </c>
      <c r="Q34" s="9">
        <v>1137</v>
      </c>
      <c r="R34" s="62">
        <v>15974</v>
      </c>
      <c r="S34" s="98">
        <v>10541</v>
      </c>
      <c r="T34" s="9">
        <v>1280</v>
      </c>
      <c r="U34" s="62">
        <v>17960</v>
      </c>
      <c r="V34" s="8">
        <v>11846</v>
      </c>
      <c r="W34" s="9">
        <v>805</v>
      </c>
      <c r="X34" s="62">
        <v>11380</v>
      </c>
      <c r="Y34" s="8">
        <v>7491</v>
      </c>
      <c r="Z34" s="9">
        <v>1480</v>
      </c>
      <c r="AA34" s="62">
        <v>20690</v>
      </c>
      <c r="AB34" s="8">
        <v>13956.800000000001</v>
      </c>
      <c r="AC34" s="9">
        <v>1355</v>
      </c>
      <c r="AD34" s="62">
        <v>19104</v>
      </c>
      <c r="AE34" s="8">
        <v>12509</v>
      </c>
      <c r="AF34" s="9">
        <v>772</v>
      </c>
      <c r="AG34" s="62">
        <v>10634</v>
      </c>
      <c r="AH34" s="8">
        <v>7397</v>
      </c>
      <c r="AI34" s="9">
        <v>610</v>
      </c>
      <c r="AJ34" s="62">
        <v>8550</v>
      </c>
      <c r="AK34" s="8">
        <v>5655.2</v>
      </c>
      <c r="AL34" s="9">
        <v>991</v>
      </c>
      <c r="AM34" s="62">
        <v>13832</v>
      </c>
      <c r="AN34" s="8">
        <v>9367.2000000000007</v>
      </c>
      <c r="AO34" s="9">
        <v>1180</v>
      </c>
      <c r="AP34" s="62">
        <v>16490</v>
      </c>
      <c r="AQ34" s="8">
        <v>11287</v>
      </c>
      <c r="AR34" s="9">
        <v>756</v>
      </c>
      <c r="AS34" s="62">
        <v>10422</v>
      </c>
      <c r="AT34" s="8">
        <v>6998</v>
      </c>
      <c r="AU34" s="54">
        <f t="shared" si="0"/>
        <v>12189</v>
      </c>
      <c r="AV34" s="63">
        <f t="shared" si="1"/>
        <v>171072</v>
      </c>
      <c r="AW34" s="55">
        <f t="shared" si="2"/>
        <v>113891.2</v>
      </c>
      <c r="AX34" s="54">
        <f t="shared" si="3"/>
        <v>1015.75</v>
      </c>
      <c r="AY34" s="63">
        <f t="shared" si="4"/>
        <v>84.645833333333329</v>
      </c>
      <c r="AZ34" s="55">
        <f t="shared" si="5"/>
        <v>9490.9333333333325</v>
      </c>
      <c r="BA34" s="9">
        <v>707</v>
      </c>
      <c r="BB34" s="62">
        <v>9924</v>
      </c>
      <c r="BC34" s="8">
        <v>6510.8000000000011</v>
      </c>
      <c r="BD34" s="9">
        <v>938</v>
      </c>
      <c r="BE34" s="62">
        <v>13156</v>
      </c>
      <c r="BF34" s="8">
        <v>8802.8000000000011</v>
      </c>
      <c r="BG34" s="9">
        <v>1462</v>
      </c>
      <c r="BH34" s="62">
        <v>20694</v>
      </c>
      <c r="BI34" s="8">
        <v>13622.000000000002</v>
      </c>
      <c r="BJ34" s="9">
        <v>718</v>
      </c>
      <c r="BK34" s="62">
        <v>10106</v>
      </c>
      <c r="BL34" s="8">
        <v>6786</v>
      </c>
      <c r="BM34" s="44">
        <v>777</v>
      </c>
      <c r="BN34" s="42">
        <v>11114</v>
      </c>
      <c r="BO34" s="45">
        <v>7264.4</v>
      </c>
      <c r="BP34" s="44">
        <v>1145</v>
      </c>
      <c r="BQ34" s="42">
        <v>16110</v>
      </c>
      <c r="BR34" s="45">
        <v>10806</v>
      </c>
      <c r="BS34" s="44">
        <v>630</v>
      </c>
      <c r="BT34" s="42">
        <v>9040</v>
      </c>
      <c r="BU34" s="112">
        <v>5738</v>
      </c>
      <c r="BV34" s="115">
        <v>1175</v>
      </c>
      <c r="BW34" s="116">
        <v>16710</v>
      </c>
      <c r="BX34" s="112">
        <v>11024</v>
      </c>
      <c r="BY34" s="115">
        <v>475</v>
      </c>
      <c r="BZ34" s="116">
        <v>6860</v>
      </c>
      <c r="CA34" s="112">
        <v>4605.2</v>
      </c>
      <c r="CB34" s="115">
        <v>860</v>
      </c>
      <c r="CC34" s="116">
        <v>12430</v>
      </c>
      <c r="CD34" s="112">
        <v>8004</v>
      </c>
      <c r="CE34" s="115">
        <v>670</v>
      </c>
      <c r="CF34" s="116">
        <v>9530</v>
      </c>
      <c r="CG34" s="112">
        <v>6220.8</v>
      </c>
      <c r="CH34" s="115">
        <v>585</v>
      </c>
      <c r="CI34" s="116">
        <v>8330</v>
      </c>
      <c r="CJ34" s="112">
        <v>5474.4</v>
      </c>
      <c r="CK34" s="54">
        <f t="shared" si="6"/>
        <v>10142</v>
      </c>
      <c r="CL34" s="63">
        <f t="shared" si="7"/>
        <v>144004</v>
      </c>
      <c r="CM34" s="55">
        <f t="shared" si="8"/>
        <v>94858.4</v>
      </c>
      <c r="CN34" s="54">
        <f t="shared" si="9"/>
        <v>845.16666666666663</v>
      </c>
      <c r="CO34" s="63">
        <f t="shared" si="10"/>
        <v>12000.333333333334</v>
      </c>
      <c r="CP34" s="172">
        <f t="shared" si="11"/>
        <v>7904.8666666666659</v>
      </c>
      <c r="CQ34" s="9">
        <v>635</v>
      </c>
      <c r="CR34" s="62">
        <v>9020</v>
      </c>
      <c r="CS34" s="98">
        <v>5937.6</v>
      </c>
      <c r="CT34" s="9">
        <v>795</v>
      </c>
      <c r="CU34" s="62">
        <v>11360</v>
      </c>
      <c r="CV34" s="8">
        <v>7442</v>
      </c>
      <c r="CW34" s="9"/>
      <c r="CX34" s="62"/>
      <c r="CY34" s="98"/>
      <c r="CZ34" s="9"/>
      <c r="DA34" s="62"/>
      <c r="DB34" s="8"/>
      <c r="DC34" s="9"/>
      <c r="DD34" s="62"/>
      <c r="DE34" s="8"/>
      <c r="DF34" s="9"/>
      <c r="DG34" s="62"/>
      <c r="DH34" s="8"/>
      <c r="DI34" s="9"/>
      <c r="DJ34" s="62"/>
      <c r="DK34" s="8"/>
      <c r="DL34" s="9"/>
      <c r="DM34" s="62"/>
      <c r="DN34" s="8"/>
      <c r="DO34" s="9"/>
      <c r="DP34" s="62"/>
      <c r="DQ34" s="8"/>
      <c r="DR34" s="9"/>
      <c r="DS34" s="62"/>
      <c r="DT34" s="8"/>
      <c r="DU34" s="9"/>
      <c r="DV34" s="62"/>
      <c r="DW34" s="8"/>
      <c r="DX34" s="9"/>
      <c r="DY34" s="62"/>
      <c r="DZ34" s="8"/>
    </row>
    <row r="35" spans="1:130" s="2" customFormat="1" ht="34.9" customHeight="1" x14ac:dyDescent="0.6">
      <c r="A35" s="5">
        <v>32</v>
      </c>
      <c r="B35" s="131" t="s">
        <v>114</v>
      </c>
      <c r="C35" s="14" t="s">
        <v>115</v>
      </c>
      <c r="D35" s="132" t="s">
        <v>116</v>
      </c>
      <c r="E35" s="132" t="s">
        <v>117</v>
      </c>
      <c r="F35" s="7" t="s">
        <v>15</v>
      </c>
      <c r="G35" s="16" t="s">
        <v>758</v>
      </c>
      <c r="H35" s="133" t="s">
        <v>759</v>
      </c>
      <c r="I35" s="133" t="s">
        <v>760</v>
      </c>
      <c r="J35" s="41" t="s">
        <v>16</v>
      </c>
      <c r="K35" s="9">
        <v>1845</v>
      </c>
      <c r="L35" s="62">
        <v>25030</v>
      </c>
      <c r="M35" s="78">
        <v>16541.2</v>
      </c>
      <c r="N35" s="9">
        <v>310</v>
      </c>
      <c r="O35" s="62">
        <v>4220</v>
      </c>
      <c r="P35" s="41">
        <v>2870</v>
      </c>
      <c r="Q35" s="9">
        <v>1102</v>
      </c>
      <c r="R35" s="62">
        <v>15130</v>
      </c>
      <c r="S35" s="98">
        <v>9876</v>
      </c>
      <c r="T35" s="9">
        <v>1300</v>
      </c>
      <c r="U35" s="62">
        <v>17870</v>
      </c>
      <c r="V35" s="8">
        <v>11652</v>
      </c>
      <c r="W35" s="9">
        <v>891</v>
      </c>
      <c r="X35" s="62">
        <v>12274</v>
      </c>
      <c r="Y35" s="8">
        <v>8035</v>
      </c>
      <c r="Z35" s="9">
        <v>1780</v>
      </c>
      <c r="AA35" s="62">
        <v>24160</v>
      </c>
      <c r="AB35" s="8">
        <v>15916</v>
      </c>
      <c r="AC35" s="9">
        <v>680</v>
      </c>
      <c r="AD35" s="62">
        <v>9338</v>
      </c>
      <c r="AE35" s="8">
        <v>6143</v>
      </c>
      <c r="AF35" s="9">
        <v>902</v>
      </c>
      <c r="AG35" s="62">
        <v>12224</v>
      </c>
      <c r="AH35" s="8">
        <v>8156</v>
      </c>
      <c r="AI35" s="9">
        <v>700</v>
      </c>
      <c r="AJ35" s="62">
        <v>9320</v>
      </c>
      <c r="AK35" s="8">
        <v>6281.6</v>
      </c>
      <c r="AL35" s="9">
        <v>1205</v>
      </c>
      <c r="AM35" s="62">
        <v>16710</v>
      </c>
      <c r="AN35" s="8">
        <v>10860</v>
      </c>
      <c r="AO35" s="9">
        <v>1005</v>
      </c>
      <c r="AP35" s="62">
        <v>13620</v>
      </c>
      <c r="AQ35" s="8">
        <v>8969</v>
      </c>
      <c r="AR35" s="9">
        <v>1250</v>
      </c>
      <c r="AS35" s="62">
        <v>17340</v>
      </c>
      <c r="AT35" s="8">
        <v>11263</v>
      </c>
      <c r="AU35" s="54">
        <f t="shared" si="0"/>
        <v>12970</v>
      </c>
      <c r="AV35" s="63">
        <f t="shared" si="1"/>
        <v>177236</v>
      </c>
      <c r="AW35" s="55">
        <f t="shared" si="2"/>
        <v>116562.8</v>
      </c>
      <c r="AX35" s="54">
        <f t="shared" si="3"/>
        <v>1080.8333333333333</v>
      </c>
      <c r="AY35" s="63">
        <f t="shared" si="4"/>
        <v>90.069444444444443</v>
      </c>
      <c r="AZ35" s="55">
        <f t="shared" si="5"/>
        <v>9713.5666666666675</v>
      </c>
      <c r="BA35" s="9">
        <v>910</v>
      </c>
      <c r="BB35" s="62">
        <v>12440</v>
      </c>
      <c r="BC35" s="8">
        <v>8141.6</v>
      </c>
      <c r="BD35" s="9">
        <v>1306</v>
      </c>
      <c r="BE35" s="62">
        <v>17940</v>
      </c>
      <c r="BF35" s="8">
        <v>11747.2</v>
      </c>
      <c r="BG35" s="9">
        <v>1128</v>
      </c>
      <c r="BH35" s="62">
        <v>15102</v>
      </c>
      <c r="BI35" s="8">
        <v>10075.68</v>
      </c>
      <c r="BJ35" s="9">
        <v>1230</v>
      </c>
      <c r="BK35" s="62">
        <v>16810</v>
      </c>
      <c r="BL35" s="8">
        <v>10924</v>
      </c>
      <c r="BM35" s="44">
        <v>1075</v>
      </c>
      <c r="BN35" s="42">
        <v>14790</v>
      </c>
      <c r="BO35" s="45">
        <v>9757.2000000000007</v>
      </c>
      <c r="BP35" s="44">
        <v>1050</v>
      </c>
      <c r="BQ35" s="42">
        <v>14510</v>
      </c>
      <c r="BR35" s="45">
        <v>9516.7999999999993</v>
      </c>
      <c r="BS35" s="44">
        <v>1030</v>
      </c>
      <c r="BT35" s="42">
        <v>14290</v>
      </c>
      <c r="BU35" s="112">
        <v>9318.4000000000015</v>
      </c>
      <c r="BV35" s="115">
        <v>600</v>
      </c>
      <c r="BW35" s="116">
        <v>8240</v>
      </c>
      <c r="BX35" s="112">
        <v>5475.2000000000007</v>
      </c>
      <c r="BY35" s="115">
        <v>890</v>
      </c>
      <c r="BZ35" s="116">
        <v>12060</v>
      </c>
      <c r="CA35" s="112">
        <v>7952.4000000000005</v>
      </c>
      <c r="CB35" s="115">
        <v>860</v>
      </c>
      <c r="CC35" s="116">
        <v>11820</v>
      </c>
      <c r="CD35" s="112">
        <v>7752</v>
      </c>
      <c r="CE35" s="115">
        <v>430</v>
      </c>
      <c r="CF35" s="116">
        <v>5920</v>
      </c>
      <c r="CG35" s="112">
        <v>3932.8</v>
      </c>
      <c r="CH35" s="115">
        <v>1030</v>
      </c>
      <c r="CI35" s="116">
        <v>14110</v>
      </c>
      <c r="CJ35" s="112">
        <v>9340</v>
      </c>
      <c r="CK35" s="54">
        <f t="shared" si="6"/>
        <v>11539</v>
      </c>
      <c r="CL35" s="63">
        <f t="shared" si="7"/>
        <v>158032</v>
      </c>
      <c r="CM35" s="55">
        <f t="shared" si="8"/>
        <v>103933.28</v>
      </c>
      <c r="CN35" s="54">
        <f t="shared" si="9"/>
        <v>961.58333333333337</v>
      </c>
      <c r="CO35" s="63">
        <f t="shared" si="10"/>
        <v>13169.333333333334</v>
      </c>
      <c r="CP35" s="172">
        <f t="shared" si="11"/>
        <v>8661.1066666666666</v>
      </c>
      <c r="CQ35" s="9">
        <v>1000</v>
      </c>
      <c r="CR35" s="62">
        <v>13780</v>
      </c>
      <c r="CS35" s="98">
        <v>9114.4</v>
      </c>
      <c r="CT35" s="9">
        <v>1105</v>
      </c>
      <c r="CU35" s="62">
        <v>15020</v>
      </c>
      <c r="CV35" s="8">
        <v>9864.7999999999993</v>
      </c>
      <c r="CW35" s="9"/>
      <c r="CX35" s="62"/>
      <c r="CY35" s="98"/>
      <c r="CZ35" s="9"/>
      <c r="DA35" s="62"/>
      <c r="DB35" s="8"/>
      <c r="DC35" s="9"/>
      <c r="DD35" s="62"/>
      <c r="DE35" s="8"/>
      <c r="DF35" s="9"/>
      <c r="DG35" s="62"/>
      <c r="DH35" s="8"/>
      <c r="DI35" s="9"/>
      <c r="DJ35" s="62"/>
      <c r="DK35" s="8"/>
      <c r="DL35" s="9"/>
      <c r="DM35" s="62"/>
      <c r="DN35" s="8"/>
      <c r="DO35" s="9"/>
      <c r="DP35" s="62"/>
      <c r="DQ35" s="8"/>
      <c r="DR35" s="9"/>
      <c r="DS35" s="62"/>
      <c r="DT35" s="8"/>
      <c r="DU35" s="9"/>
      <c r="DV35" s="62"/>
      <c r="DW35" s="8"/>
      <c r="DX35" s="9"/>
      <c r="DY35" s="62"/>
      <c r="DZ35" s="8"/>
    </row>
    <row r="36" spans="1:130" s="2" customFormat="1" ht="34.9" customHeight="1" x14ac:dyDescent="0.6">
      <c r="A36" s="5">
        <v>33</v>
      </c>
      <c r="B36" s="134" t="s">
        <v>118</v>
      </c>
      <c r="C36" s="18" t="s">
        <v>119</v>
      </c>
      <c r="D36" s="131" t="s">
        <v>120</v>
      </c>
      <c r="E36" s="131" t="s">
        <v>20</v>
      </c>
      <c r="F36" s="7" t="s">
        <v>15</v>
      </c>
      <c r="G36" s="135"/>
      <c r="H36" s="135"/>
      <c r="I36" s="21" t="s">
        <v>1119</v>
      </c>
      <c r="J36" s="41" t="s">
        <v>16</v>
      </c>
      <c r="K36" s="9">
        <v>778</v>
      </c>
      <c r="L36" s="62">
        <v>11035</v>
      </c>
      <c r="M36" s="78">
        <v>8322.7999999999993</v>
      </c>
      <c r="N36" s="9">
        <v>1015</v>
      </c>
      <c r="O36" s="62">
        <v>14160</v>
      </c>
      <c r="P36" s="41">
        <v>10808.8</v>
      </c>
      <c r="Q36" s="9">
        <v>893</v>
      </c>
      <c r="R36" s="62">
        <v>12236</v>
      </c>
      <c r="S36" s="98">
        <v>9574.4</v>
      </c>
      <c r="T36" s="9">
        <v>969</v>
      </c>
      <c r="U36" s="62">
        <v>13408</v>
      </c>
      <c r="V36" s="8">
        <v>10314</v>
      </c>
      <c r="W36" s="9">
        <v>1213</v>
      </c>
      <c r="X36" s="62">
        <v>16084</v>
      </c>
      <c r="Y36" s="8">
        <v>13302.8</v>
      </c>
      <c r="Z36" s="9">
        <v>981</v>
      </c>
      <c r="AA36" s="62">
        <v>13500</v>
      </c>
      <c r="AB36" s="8">
        <v>10533.6</v>
      </c>
      <c r="AC36" s="9">
        <v>1535</v>
      </c>
      <c r="AD36" s="62">
        <v>20350</v>
      </c>
      <c r="AE36" s="8">
        <v>16463.2</v>
      </c>
      <c r="AF36" s="9">
        <v>1005</v>
      </c>
      <c r="AG36" s="62">
        <v>14060</v>
      </c>
      <c r="AH36" s="8">
        <v>10507.6</v>
      </c>
      <c r="AI36" s="9">
        <v>1061</v>
      </c>
      <c r="AJ36" s="62">
        <v>14440</v>
      </c>
      <c r="AK36" s="8">
        <v>11500</v>
      </c>
      <c r="AL36" s="9">
        <v>1056</v>
      </c>
      <c r="AM36" s="62">
        <v>14700</v>
      </c>
      <c r="AN36" s="8">
        <v>11320.4</v>
      </c>
      <c r="AO36" s="9">
        <v>892</v>
      </c>
      <c r="AP36" s="62">
        <v>13404</v>
      </c>
      <c r="AQ36" s="8">
        <v>9619</v>
      </c>
      <c r="AR36" s="9">
        <v>1015</v>
      </c>
      <c r="AS36" s="62">
        <v>15300</v>
      </c>
      <c r="AT36" s="8">
        <v>1105</v>
      </c>
      <c r="AU36" s="54">
        <f t="shared" si="0"/>
        <v>12413</v>
      </c>
      <c r="AV36" s="63">
        <f t="shared" si="1"/>
        <v>172677</v>
      </c>
      <c r="AW36" s="55">
        <f t="shared" si="2"/>
        <v>123371.6</v>
      </c>
      <c r="AX36" s="54">
        <f t="shared" si="3"/>
        <v>1034.4166666666667</v>
      </c>
      <c r="AY36" s="63">
        <f t="shared" si="4"/>
        <v>86.2013888888889</v>
      </c>
      <c r="AZ36" s="55">
        <f t="shared" si="5"/>
        <v>10280.966666666667</v>
      </c>
      <c r="BA36" s="10">
        <v>1005</v>
      </c>
      <c r="BB36" s="15">
        <v>13960</v>
      </c>
      <c r="BC36" s="11">
        <v>10635.6</v>
      </c>
      <c r="BD36" s="10">
        <v>1035</v>
      </c>
      <c r="BE36" s="15">
        <v>14160</v>
      </c>
      <c r="BF36" s="11">
        <v>11214.8</v>
      </c>
      <c r="BG36" s="10">
        <v>1507</v>
      </c>
      <c r="BH36" s="15">
        <v>20024</v>
      </c>
      <c r="BI36" s="11">
        <v>16376</v>
      </c>
      <c r="BJ36" s="10">
        <v>650</v>
      </c>
      <c r="BK36" s="15">
        <v>8760</v>
      </c>
      <c r="BL36" s="11">
        <v>7088</v>
      </c>
      <c r="BM36" s="44">
        <v>873</v>
      </c>
      <c r="BN36" s="42">
        <v>11888</v>
      </c>
      <c r="BO36" s="45">
        <v>9456.08</v>
      </c>
      <c r="BP36" s="44">
        <v>417</v>
      </c>
      <c r="BQ36" s="42">
        <v>5848</v>
      </c>
      <c r="BR36" s="45">
        <v>4420.3200000000006</v>
      </c>
      <c r="BS36" s="44">
        <v>410</v>
      </c>
      <c r="BT36" s="42">
        <v>5800</v>
      </c>
      <c r="BU36" s="112">
        <v>4329.5999999999995</v>
      </c>
      <c r="BV36" s="115">
        <v>150</v>
      </c>
      <c r="BW36" s="116">
        <v>2140</v>
      </c>
      <c r="BX36" s="112">
        <v>1680.8</v>
      </c>
      <c r="BY36" s="115">
        <v>422</v>
      </c>
      <c r="BZ36" s="116">
        <v>5677</v>
      </c>
      <c r="CA36" s="112">
        <v>4687.24</v>
      </c>
      <c r="CB36" s="115">
        <v>410</v>
      </c>
      <c r="CC36" s="116">
        <v>5840</v>
      </c>
      <c r="CD36" s="112">
        <v>4316.8</v>
      </c>
      <c r="CE36" s="115">
        <v>575</v>
      </c>
      <c r="CF36" s="116">
        <v>7940</v>
      </c>
      <c r="CG36" s="112">
        <v>6385.2000000000007</v>
      </c>
      <c r="CH36" s="115">
        <v>629</v>
      </c>
      <c r="CI36" s="116">
        <v>8488</v>
      </c>
      <c r="CJ36" s="112">
        <v>6914.4000000000005</v>
      </c>
      <c r="CK36" s="54">
        <f t="shared" si="6"/>
        <v>8083</v>
      </c>
      <c r="CL36" s="63">
        <f t="shared" si="7"/>
        <v>110525</v>
      </c>
      <c r="CM36" s="55">
        <f t="shared" si="8"/>
        <v>87504.84</v>
      </c>
      <c r="CN36" s="54">
        <f t="shared" si="9"/>
        <v>673.58333333333337</v>
      </c>
      <c r="CO36" s="63">
        <f t="shared" si="10"/>
        <v>9210.4166666666661</v>
      </c>
      <c r="CP36" s="172">
        <f t="shared" si="11"/>
        <v>7292.07</v>
      </c>
      <c r="CQ36" s="9">
        <v>360</v>
      </c>
      <c r="CR36" s="62">
        <v>4680</v>
      </c>
      <c r="CS36" s="98">
        <v>3772.8</v>
      </c>
      <c r="CT36" s="9">
        <v>555</v>
      </c>
      <c r="CU36" s="62">
        <v>7580</v>
      </c>
      <c r="CV36" s="8">
        <v>6080.8</v>
      </c>
      <c r="CW36" s="9"/>
      <c r="CX36" s="62"/>
      <c r="CY36" s="98"/>
      <c r="CZ36" s="9"/>
      <c r="DA36" s="62"/>
      <c r="DB36" s="8"/>
      <c r="DC36" s="9"/>
      <c r="DD36" s="62"/>
      <c r="DE36" s="8"/>
      <c r="DF36" s="9"/>
      <c r="DG36" s="62"/>
      <c r="DH36" s="8"/>
      <c r="DI36" s="9"/>
      <c r="DJ36" s="62"/>
      <c r="DK36" s="8"/>
      <c r="DL36" s="9"/>
      <c r="DM36" s="62"/>
      <c r="DN36" s="8"/>
      <c r="DO36" s="9"/>
      <c r="DP36" s="62"/>
      <c r="DQ36" s="8"/>
      <c r="DR36" s="9"/>
      <c r="DS36" s="62"/>
      <c r="DT36" s="8"/>
      <c r="DU36" s="9"/>
      <c r="DV36" s="62"/>
      <c r="DW36" s="8"/>
      <c r="DX36" s="9"/>
      <c r="DY36" s="62"/>
      <c r="DZ36" s="8"/>
    </row>
    <row r="37" spans="1:130" s="2" customFormat="1" ht="34.9" customHeight="1" x14ac:dyDescent="0.6">
      <c r="A37" s="5">
        <v>34</v>
      </c>
      <c r="B37" s="131" t="s">
        <v>121</v>
      </c>
      <c r="C37" s="14" t="s">
        <v>122</v>
      </c>
      <c r="D37" s="132" t="s">
        <v>41</v>
      </c>
      <c r="E37" s="132" t="s">
        <v>42</v>
      </c>
      <c r="F37" s="7" t="s">
        <v>15</v>
      </c>
      <c r="G37" s="21" t="s">
        <v>761</v>
      </c>
      <c r="H37" s="136" t="s">
        <v>762</v>
      </c>
      <c r="I37" s="136" t="s">
        <v>763</v>
      </c>
      <c r="J37" s="41" t="s">
        <v>16</v>
      </c>
      <c r="K37" s="9">
        <v>1025</v>
      </c>
      <c r="L37" s="62">
        <v>14224</v>
      </c>
      <c r="M37" s="78">
        <v>10698</v>
      </c>
      <c r="N37" s="9">
        <v>521</v>
      </c>
      <c r="O37" s="62">
        <v>7638</v>
      </c>
      <c r="P37" s="41">
        <v>10592</v>
      </c>
      <c r="Q37" s="9">
        <v>1032</v>
      </c>
      <c r="R37" s="62">
        <v>14428</v>
      </c>
      <c r="S37" s="98">
        <v>5245</v>
      </c>
      <c r="T37" s="9">
        <v>1022</v>
      </c>
      <c r="U37" s="62">
        <v>13268</v>
      </c>
      <c r="V37" s="8">
        <v>10738</v>
      </c>
      <c r="W37" s="9">
        <v>1028</v>
      </c>
      <c r="X37" s="62">
        <v>14122</v>
      </c>
      <c r="Y37" s="8">
        <v>10289.679999999998</v>
      </c>
      <c r="Z37" s="9">
        <v>1043</v>
      </c>
      <c r="AA37" s="62">
        <v>13882</v>
      </c>
      <c r="AB37" s="8">
        <v>11084.08</v>
      </c>
      <c r="AC37" s="9">
        <v>1558</v>
      </c>
      <c r="AD37" s="62">
        <v>21362</v>
      </c>
      <c r="AE37" s="8">
        <v>16155.28</v>
      </c>
      <c r="AF37" s="9">
        <v>1062</v>
      </c>
      <c r="AG37" s="62">
        <v>13970</v>
      </c>
      <c r="AH37" s="8">
        <v>11536.72</v>
      </c>
      <c r="AI37" s="9">
        <v>1075</v>
      </c>
      <c r="AJ37" s="62">
        <v>14280</v>
      </c>
      <c r="AK37" s="8">
        <v>10778.399999999998</v>
      </c>
      <c r="AL37" s="9">
        <v>1055</v>
      </c>
      <c r="AM37" s="62">
        <v>14180</v>
      </c>
      <c r="AN37" s="8">
        <v>11463.599999999999</v>
      </c>
      <c r="AO37" s="9">
        <v>1055</v>
      </c>
      <c r="AP37" s="62">
        <v>14160</v>
      </c>
      <c r="AQ37" s="8">
        <v>11494</v>
      </c>
      <c r="AR37" s="9">
        <v>535</v>
      </c>
      <c r="AS37" s="62">
        <v>7090</v>
      </c>
      <c r="AT37" s="8">
        <v>5600</v>
      </c>
      <c r="AU37" s="54">
        <f t="shared" si="0"/>
        <v>12011</v>
      </c>
      <c r="AV37" s="63">
        <f t="shared" si="1"/>
        <v>162604</v>
      </c>
      <c r="AW37" s="55">
        <f t="shared" si="2"/>
        <v>125674.76000000001</v>
      </c>
      <c r="AX37" s="54">
        <f t="shared" si="3"/>
        <v>1000.9166666666666</v>
      </c>
      <c r="AY37" s="63">
        <f t="shared" si="4"/>
        <v>83.409722222222214</v>
      </c>
      <c r="AZ37" s="55">
        <f t="shared" si="5"/>
        <v>10472.896666666667</v>
      </c>
      <c r="BA37" s="10">
        <v>1070</v>
      </c>
      <c r="BB37" s="15">
        <v>14010</v>
      </c>
      <c r="BC37" s="11">
        <v>11730</v>
      </c>
      <c r="BD37" s="10">
        <v>550</v>
      </c>
      <c r="BE37" s="15">
        <v>7760</v>
      </c>
      <c r="BF37" s="11">
        <v>5728</v>
      </c>
      <c r="BG37" s="10">
        <v>520</v>
      </c>
      <c r="BH37" s="15">
        <v>7300</v>
      </c>
      <c r="BI37" s="11">
        <v>5520</v>
      </c>
      <c r="BJ37" s="10">
        <v>0</v>
      </c>
      <c r="BK37" s="15">
        <v>0</v>
      </c>
      <c r="BL37" s="11">
        <v>0</v>
      </c>
      <c r="BM37" s="44">
        <v>1023</v>
      </c>
      <c r="BN37" s="42">
        <v>13642</v>
      </c>
      <c r="BO37" s="45">
        <v>11090.880000000001</v>
      </c>
      <c r="BP37" s="44">
        <v>520</v>
      </c>
      <c r="BQ37" s="42">
        <v>7030</v>
      </c>
      <c r="BR37" s="45">
        <v>5460.8</v>
      </c>
      <c r="BS37" s="44">
        <v>1040</v>
      </c>
      <c r="BT37" s="42">
        <v>13840</v>
      </c>
      <c r="BU37" s="112">
        <v>11304</v>
      </c>
      <c r="BV37" s="115">
        <v>525</v>
      </c>
      <c r="BW37" s="116">
        <v>7240</v>
      </c>
      <c r="BX37" s="112">
        <v>5539.6</v>
      </c>
      <c r="BY37" s="115">
        <v>1080</v>
      </c>
      <c r="BZ37" s="116">
        <v>14210</v>
      </c>
      <c r="CA37" s="112">
        <v>12372.8</v>
      </c>
      <c r="CB37" s="115">
        <v>540</v>
      </c>
      <c r="CC37" s="116">
        <v>7330</v>
      </c>
      <c r="CD37" s="112">
        <v>6524.8</v>
      </c>
      <c r="CE37" s="115">
        <v>300</v>
      </c>
      <c r="CF37" s="116">
        <v>4000</v>
      </c>
      <c r="CG37" s="112">
        <v>2968</v>
      </c>
      <c r="CH37" s="115">
        <v>800</v>
      </c>
      <c r="CI37" s="116">
        <v>10770</v>
      </c>
      <c r="CJ37" s="112">
        <v>8935.6</v>
      </c>
      <c r="CK37" s="54">
        <f t="shared" si="6"/>
        <v>7968</v>
      </c>
      <c r="CL37" s="63">
        <f t="shared" si="7"/>
        <v>107132</v>
      </c>
      <c r="CM37" s="55">
        <f t="shared" si="8"/>
        <v>87174.48000000001</v>
      </c>
      <c r="CN37" s="54">
        <f t="shared" si="9"/>
        <v>664</v>
      </c>
      <c r="CO37" s="63">
        <f t="shared" si="10"/>
        <v>8927.6666666666661</v>
      </c>
      <c r="CP37" s="172">
        <f t="shared" si="11"/>
        <v>7264.5400000000009</v>
      </c>
      <c r="CQ37" s="9">
        <v>805</v>
      </c>
      <c r="CR37" s="62">
        <v>10100</v>
      </c>
      <c r="CS37" s="98">
        <v>9214</v>
      </c>
      <c r="CT37" s="9">
        <v>500</v>
      </c>
      <c r="CU37" s="62">
        <v>6480</v>
      </c>
      <c r="CV37" s="8">
        <v>5716</v>
      </c>
      <c r="CW37" s="9"/>
      <c r="CX37" s="62"/>
      <c r="CY37" s="98"/>
      <c r="CZ37" s="9"/>
      <c r="DA37" s="62"/>
      <c r="DB37" s="8"/>
      <c r="DC37" s="9"/>
      <c r="DD37" s="62"/>
      <c r="DE37" s="8"/>
      <c r="DF37" s="9"/>
      <c r="DG37" s="62"/>
      <c r="DH37" s="8"/>
      <c r="DI37" s="9"/>
      <c r="DJ37" s="62"/>
      <c r="DK37" s="8"/>
      <c r="DL37" s="9"/>
      <c r="DM37" s="62"/>
      <c r="DN37" s="8"/>
      <c r="DO37" s="9"/>
      <c r="DP37" s="62"/>
      <c r="DQ37" s="8"/>
      <c r="DR37" s="9"/>
      <c r="DS37" s="62"/>
      <c r="DT37" s="8"/>
      <c r="DU37" s="9"/>
      <c r="DV37" s="62"/>
      <c r="DW37" s="8"/>
      <c r="DX37" s="9"/>
      <c r="DY37" s="62"/>
      <c r="DZ37" s="8"/>
    </row>
    <row r="38" spans="1:130" s="81" customFormat="1" ht="34.9" customHeight="1" x14ac:dyDescent="0.6">
      <c r="A38" s="5">
        <v>35</v>
      </c>
      <c r="B38" s="137" t="s">
        <v>123</v>
      </c>
      <c r="C38" s="79" t="s">
        <v>124</v>
      </c>
      <c r="D38" s="137" t="s">
        <v>75</v>
      </c>
      <c r="E38" s="137" t="s">
        <v>76</v>
      </c>
      <c r="F38" s="77" t="s">
        <v>15</v>
      </c>
      <c r="G38" s="16" t="s">
        <v>764</v>
      </c>
      <c r="H38" s="133" t="s">
        <v>765</v>
      </c>
      <c r="I38" s="133" t="s">
        <v>766</v>
      </c>
      <c r="J38" s="78" t="s">
        <v>125</v>
      </c>
      <c r="K38" s="83">
        <v>1205</v>
      </c>
      <c r="L38" s="75">
        <v>16720</v>
      </c>
      <c r="M38" s="78">
        <v>11344</v>
      </c>
      <c r="N38" s="83">
        <v>695</v>
      </c>
      <c r="O38" s="75">
        <v>9620</v>
      </c>
      <c r="P38" s="78">
        <v>6750</v>
      </c>
      <c r="Q38" s="83">
        <v>1355</v>
      </c>
      <c r="R38" s="75">
        <v>18860</v>
      </c>
      <c r="S38" s="98">
        <v>12929</v>
      </c>
      <c r="T38" s="83">
        <v>1080</v>
      </c>
      <c r="U38" s="75">
        <v>14980</v>
      </c>
      <c r="V38" s="97">
        <v>10637</v>
      </c>
      <c r="W38" s="83">
        <v>680</v>
      </c>
      <c r="X38" s="75">
        <v>9420</v>
      </c>
      <c r="Y38" s="98">
        <v>6582</v>
      </c>
      <c r="Z38" s="83">
        <v>1025</v>
      </c>
      <c r="AA38" s="75">
        <v>14620</v>
      </c>
      <c r="AB38" s="98">
        <v>10225.200000000001</v>
      </c>
      <c r="AC38" s="83">
        <v>1330</v>
      </c>
      <c r="AD38" s="75">
        <v>18240</v>
      </c>
      <c r="AE38" s="98">
        <v>12796</v>
      </c>
      <c r="AF38" s="83">
        <v>751</v>
      </c>
      <c r="AG38" s="75">
        <v>10616</v>
      </c>
      <c r="AH38" s="98">
        <v>7465</v>
      </c>
      <c r="AI38" s="83">
        <v>986</v>
      </c>
      <c r="AJ38" s="75">
        <v>13252</v>
      </c>
      <c r="AK38" s="98">
        <v>10119.200000000001</v>
      </c>
      <c r="AL38" s="83">
        <v>720</v>
      </c>
      <c r="AM38" s="75">
        <v>10200</v>
      </c>
      <c r="AN38" s="98">
        <v>6624.4000000000005</v>
      </c>
      <c r="AO38" s="83">
        <v>1320</v>
      </c>
      <c r="AP38" s="75">
        <v>18980</v>
      </c>
      <c r="AQ38" s="98">
        <v>12742</v>
      </c>
      <c r="AR38" s="83">
        <v>635</v>
      </c>
      <c r="AS38" s="75">
        <v>8120</v>
      </c>
      <c r="AT38" s="98">
        <v>6458</v>
      </c>
      <c r="AU38" s="54">
        <f t="shared" si="0"/>
        <v>11782</v>
      </c>
      <c r="AV38" s="63">
        <f t="shared" si="1"/>
        <v>163628</v>
      </c>
      <c r="AW38" s="55">
        <f t="shared" si="2"/>
        <v>114671.79999999999</v>
      </c>
      <c r="AX38" s="54">
        <f t="shared" si="3"/>
        <v>981.83333333333337</v>
      </c>
      <c r="AY38" s="63">
        <f t="shared" si="4"/>
        <v>81.819444444444443</v>
      </c>
      <c r="AZ38" s="55">
        <f t="shared" si="5"/>
        <v>9555.9833333333318</v>
      </c>
      <c r="BA38" s="88">
        <v>1065</v>
      </c>
      <c r="BB38" s="79">
        <v>14340</v>
      </c>
      <c r="BC38" s="89">
        <v>10595.6</v>
      </c>
      <c r="BD38" s="88">
        <v>720</v>
      </c>
      <c r="BE38" s="79">
        <v>10380</v>
      </c>
      <c r="BF38" s="89">
        <v>6814.4</v>
      </c>
      <c r="BG38" s="88">
        <v>1560</v>
      </c>
      <c r="BH38" s="79">
        <v>21340</v>
      </c>
      <c r="BI38" s="89">
        <v>15111.2</v>
      </c>
      <c r="BJ38" s="88">
        <v>390</v>
      </c>
      <c r="BK38" s="79">
        <v>5540</v>
      </c>
      <c r="BL38" s="89">
        <v>4192</v>
      </c>
      <c r="BM38" s="93">
        <v>630</v>
      </c>
      <c r="BN38" s="80">
        <v>8560</v>
      </c>
      <c r="BO38" s="94">
        <v>6244.8</v>
      </c>
      <c r="BP38" s="93">
        <v>1254</v>
      </c>
      <c r="BQ38" s="80">
        <v>16808</v>
      </c>
      <c r="BR38" s="94">
        <v>12433.6</v>
      </c>
      <c r="BS38" s="93">
        <v>860</v>
      </c>
      <c r="BT38" s="80">
        <v>12260</v>
      </c>
      <c r="BU38" s="113">
        <v>8629.6</v>
      </c>
      <c r="BV38" s="117">
        <v>870</v>
      </c>
      <c r="BW38" s="118">
        <v>12040</v>
      </c>
      <c r="BX38" s="113">
        <v>8453.6</v>
      </c>
      <c r="BY38" s="117">
        <v>625</v>
      </c>
      <c r="BZ38" s="118">
        <v>8600</v>
      </c>
      <c r="CA38" s="113">
        <v>6255.6</v>
      </c>
      <c r="CB38" s="117">
        <v>910</v>
      </c>
      <c r="CC38" s="118">
        <v>12180</v>
      </c>
      <c r="CD38" s="113">
        <v>9137.6</v>
      </c>
      <c r="CE38" s="117">
        <v>985</v>
      </c>
      <c r="CF38" s="118">
        <v>13520</v>
      </c>
      <c r="CG38" s="113">
        <v>9868.4</v>
      </c>
      <c r="CH38" s="117">
        <v>1205</v>
      </c>
      <c r="CI38" s="118">
        <v>16760</v>
      </c>
      <c r="CJ38" s="113">
        <v>11970</v>
      </c>
      <c r="CK38" s="54">
        <f t="shared" si="6"/>
        <v>11074</v>
      </c>
      <c r="CL38" s="63">
        <f t="shared" si="7"/>
        <v>152328</v>
      </c>
      <c r="CM38" s="55">
        <f t="shared" si="8"/>
        <v>109706.40000000001</v>
      </c>
      <c r="CN38" s="54">
        <f t="shared" si="9"/>
        <v>922.83333333333337</v>
      </c>
      <c r="CO38" s="63">
        <f t="shared" si="10"/>
        <v>12694</v>
      </c>
      <c r="CP38" s="172">
        <f t="shared" si="11"/>
        <v>9142.2000000000007</v>
      </c>
      <c r="CQ38" s="83">
        <v>925</v>
      </c>
      <c r="CR38" s="75">
        <v>12320</v>
      </c>
      <c r="CS38" s="98">
        <v>9083.6</v>
      </c>
      <c r="CT38" s="83">
        <v>620</v>
      </c>
      <c r="CU38" s="75">
        <v>8780</v>
      </c>
      <c r="CV38" s="98">
        <v>6294.4000000000005</v>
      </c>
      <c r="CW38" s="83"/>
      <c r="CX38" s="75"/>
      <c r="CY38" s="98"/>
      <c r="CZ38" s="83"/>
      <c r="DA38" s="75"/>
      <c r="DB38" s="97"/>
      <c r="DC38" s="83"/>
      <c r="DD38" s="75"/>
      <c r="DE38" s="98"/>
      <c r="DF38" s="83"/>
      <c r="DG38" s="75"/>
      <c r="DH38" s="98"/>
      <c r="DI38" s="83"/>
      <c r="DJ38" s="75"/>
      <c r="DK38" s="98"/>
      <c r="DL38" s="83"/>
      <c r="DM38" s="75"/>
      <c r="DN38" s="98"/>
      <c r="DO38" s="83"/>
      <c r="DP38" s="75"/>
      <c r="DQ38" s="98"/>
      <c r="DR38" s="83"/>
      <c r="DS38" s="75"/>
      <c r="DT38" s="98"/>
      <c r="DU38" s="83"/>
      <c r="DV38" s="75"/>
      <c r="DW38" s="98"/>
      <c r="DX38" s="83"/>
      <c r="DY38" s="75"/>
      <c r="DZ38" s="98"/>
    </row>
    <row r="39" spans="1:130" s="2" customFormat="1" ht="34.9" customHeight="1" x14ac:dyDescent="0.6">
      <c r="A39" s="5">
        <v>36</v>
      </c>
      <c r="B39" s="134" t="s">
        <v>126</v>
      </c>
      <c r="C39" s="16" t="s">
        <v>127</v>
      </c>
      <c r="D39" s="132" t="s">
        <v>128</v>
      </c>
      <c r="E39" s="131" t="s">
        <v>129</v>
      </c>
      <c r="F39" s="7" t="s">
        <v>15</v>
      </c>
      <c r="G39" s="16" t="s">
        <v>767</v>
      </c>
      <c r="H39" s="16" t="s">
        <v>768</v>
      </c>
      <c r="I39" s="16" t="s">
        <v>769</v>
      </c>
      <c r="J39" s="41" t="s">
        <v>16</v>
      </c>
      <c r="K39" s="9">
        <v>800</v>
      </c>
      <c r="L39" s="62">
        <v>11530</v>
      </c>
      <c r="M39" s="78">
        <v>8630.4</v>
      </c>
      <c r="N39" s="9">
        <v>948</v>
      </c>
      <c r="O39" s="62">
        <v>13740</v>
      </c>
      <c r="P39" s="41">
        <v>8161.2</v>
      </c>
      <c r="Q39" s="9">
        <v>760</v>
      </c>
      <c r="R39" s="62">
        <v>11150</v>
      </c>
      <c r="S39" s="98">
        <v>10262.799999999999</v>
      </c>
      <c r="T39" s="9">
        <v>599</v>
      </c>
      <c r="U39" s="62">
        <v>8916</v>
      </c>
      <c r="V39" s="8">
        <v>6350.64</v>
      </c>
      <c r="W39" s="9">
        <v>960</v>
      </c>
      <c r="X39" s="62">
        <v>13940</v>
      </c>
      <c r="Y39" s="8">
        <v>10426</v>
      </c>
      <c r="Z39" s="9">
        <v>785</v>
      </c>
      <c r="AA39" s="62">
        <v>11500</v>
      </c>
      <c r="AB39" s="8">
        <v>8469.2000000000007</v>
      </c>
      <c r="AC39" s="9">
        <v>986</v>
      </c>
      <c r="AD39" s="62">
        <v>14250</v>
      </c>
      <c r="AE39" s="8">
        <v>10783.04</v>
      </c>
      <c r="AF39" s="9">
        <v>1085</v>
      </c>
      <c r="AG39" s="62">
        <v>16100</v>
      </c>
      <c r="AH39" s="8">
        <v>12030</v>
      </c>
      <c r="AI39" s="9">
        <v>1200</v>
      </c>
      <c r="AJ39" s="62">
        <v>17930</v>
      </c>
      <c r="AK39" s="8">
        <v>13250.4</v>
      </c>
      <c r="AL39" s="9">
        <v>1130</v>
      </c>
      <c r="AM39" s="62">
        <v>17220</v>
      </c>
      <c r="AN39" s="8">
        <v>17807.599999999999</v>
      </c>
      <c r="AO39" s="9">
        <v>1100</v>
      </c>
      <c r="AP39" s="62">
        <v>15800</v>
      </c>
      <c r="AQ39" s="8">
        <v>12085</v>
      </c>
      <c r="AR39" s="9">
        <v>1280</v>
      </c>
      <c r="AS39" s="62">
        <v>18820</v>
      </c>
      <c r="AT39" s="8">
        <v>14173</v>
      </c>
      <c r="AU39" s="54">
        <f t="shared" si="0"/>
        <v>11633</v>
      </c>
      <c r="AV39" s="63">
        <f t="shared" si="1"/>
        <v>170896</v>
      </c>
      <c r="AW39" s="55">
        <f t="shared" si="2"/>
        <v>132429.28</v>
      </c>
      <c r="AX39" s="54">
        <f t="shared" si="3"/>
        <v>969.41666666666663</v>
      </c>
      <c r="AY39" s="63">
        <f t="shared" si="4"/>
        <v>80.784722222222214</v>
      </c>
      <c r="AZ39" s="55">
        <f t="shared" si="5"/>
        <v>11035.773333333333</v>
      </c>
      <c r="BA39" s="10">
        <v>1115</v>
      </c>
      <c r="BB39" s="15">
        <v>16590</v>
      </c>
      <c r="BC39" s="11">
        <v>12397.999999999998</v>
      </c>
      <c r="BD39" s="10">
        <v>1005</v>
      </c>
      <c r="BE39" s="15">
        <v>14820</v>
      </c>
      <c r="BF39" s="11">
        <v>11250.400000000001</v>
      </c>
      <c r="BG39" s="10">
        <v>1490</v>
      </c>
      <c r="BH39" s="15">
        <v>21680</v>
      </c>
      <c r="BI39" s="11">
        <v>16477.600000000002</v>
      </c>
      <c r="BJ39" s="10">
        <v>1015</v>
      </c>
      <c r="BK39" s="15">
        <v>14600</v>
      </c>
      <c r="BL39" s="11">
        <v>11284.800000000001</v>
      </c>
      <c r="BM39" s="44">
        <v>1205</v>
      </c>
      <c r="BN39" s="42">
        <v>18390</v>
      </c>
      <c r="BO39" s="45">
        <v>13366.4</v>
      </c>
      <c r="BP39" s="44">
        <v>1330</v>
      </c>
      <c r="BQ39" s="42">
        <v>19210</v>
      </c>
      <c r="BR39" s="45">
        <v>14851.2</v>
      </c>
      <c r="BS39" s="44">
        <v>1035</v>
      </c>
      <c r="BT39" s="42">
        <v>15220</v>
      </c>
      <c r="BU39" s="112">
        <v>11567.599999999999</v>
      </c>
      <c r="BV39" s="115">
        <v>1245</v>
      </c>
      <c r="BW39" s="116">
        <v>18760</v>
      </c>
      <c r="BX39" s="112">
        <v>14102.8</v>
      </c>
      <c r="BY39" s="115">
        <v>1120</v>
      </c>
      <c r="BZ39" s="116">
        <v>16470</v>
      </c>
      <c r="CA39" s="112">
        <v>12340.8</v>
      </c>
      <c r="CB39" s="115">
        <v>1280</v>
      </c>
      <c r="CC39" s="116">
        <v>19190</v>
      </c>
      <c r="CD39" s="112">
        <v>14556.4</v>
      </c>
      <c r="CE39" s="115">
        <v>1440</v>
      </c>
      <c r="CF39" s="116">
        <v>21200</v>
      </c>
      <c r="CG39" s="112">
        <v>16068.8</v>
      </c>
      <c r="CH39" s="115">
        <v>1000</v>
      </c>
      <c r="CI39" s="116">
        <v>15860</v>
      </c>
      <c r="CJ39" s="112">
        <v>11589.6</v>
      </c>
      <c r="CK39" s="54">
        <f t="shared" si="6"/>
        <v>14280</v>
      </c>
      <c r="CL39" s="63">
        <f t="shared" si="7"/>
        <v>211990</v>
      </c>
      <c r="CM39" s="55">
        <f t="shared" si="8"/>
        <v>159854.39999999999</v>
      </c>
      <c r="CN39" s="54">
        <f t="shared" si="9"/>
        <v>1190</v>
      </c>
      <c r="CO39" s="63">
        <f t="shared" si="10"/>
        <v>17665.833333333332</v>
      </c>
      <c r="CP39" s="172">
        <f t="shared" si="11"/>
        <v>13321.199999999999</v>
      </c>
      <c r="CQ39" s="9">
        <v>1320</v>
      </c>
      <c r="CR39" s="62">
        <v>19430</v>
      </c>
      <c r="CS39" s="98">
        <v>15099.6</v>
      </c>
      <c r="CT39" s="9">
        <v>1090</v>
      </c>
      <c r="CU39" s="62">
        <v>16800</v>
      </c>
      <c r="CV39" s="8">
        <v>12563.6</v>
      </c>
      <c r="CW39" s="9"/>
      <c r="CX39" s="62"/>
      <c r="CY39" s="98"/>
      <c r="CZ39" s="9"/>
      <c r="DA39" s="62"/>
      <c r="DB39" s="8"/>
      <c r="DC39" s="9"/>
      <c r="DD39" s="62"/>
      <c r="DE39" s="8"/>
      <c r="DF39" s="9"/>
      <c r="DG39" s="62"/>
      <c r="DH39" s="8"/>
      <c r="DI39" s="9"/>
      <c r="DJ39" s="62"/>
      <c r="DK39" s="8"/>
      <c r="DL39" s="9"/>
      <c r="DM39" s="62"/>
      <c r="DN39" s="8"/>
      <c r="DO39" s="9"/>
      <c r="DP39" s="62"/>
      <c r="DQ39" s="8"/>
      <c r="DR39" s="9"/>
      <c r="DS39" s="62"/>
      <c r="DT39" s="8"/>
      <c r="DU39" s="9"/>
      <c r="DV39" s="62"/>
      <c r="DW39" s="8"/>
      <c r="DX39" s="9"/>
      <c r="DY39" s="62"/>
      <c r="DZ39" s="8"/>
    </row>
    <row r="40" spans="1:130" s="2" customFormat="1" ht="34.9" customHeight="1" x14ac:dyDescent="0.6">
      <c r="A40" s="5">
        <v>37</v>
      </c>
      <c r="B40" s="131" t="s">
        <v>130</v>
      </c>
      <c r="C40" s="14" t="s">
        <v>131</v>
      </c>
      <c r="D40" s="132" t="s">
        <v>132</v>
      </c>
      <c r="E40" s="132" t="s">
        <v>133</v>
      </c>
      <c r="F40" s="7" t="s">
        <v>15</v>
      </c>
      <c r="G40" s="16" t="s">
        <v>770</v>
      </c>
      <c r="H40" s="133" t="s">
        <v>771</v>
      </c>
      <c r="I40" s="133" t="s">
        <v>772</v>
      </c>
      <c r="J40" s="41" t="s">
        <v>16</v>
      </c>
      <c r="K40" s="9">
        <v>940</v>
      </c>
      <c r="L40" s="62">
        <v>14188</v>
      </c>
      <c r="M40" s="78">
        <v>10146</v>
      </c>
      <c r="N40" s="9">
        <v>979</v>
      </c>
      <c r="O40" s="62">
        <v>14290</v>
      </c>
      <c r="P40" s="41">
        <v>9004</v>
      </c>
      <c r="Q40" s="9">
        <v>829</v>
      </c>
      <c r="R40" s="62">
        <v>12306</v>
      </c>
      <c r="S40" s="98">
        <v>10502</v>
      </c>
      <c r="T40" s="9">
        <v>914</v>
      </c>
      <c r="U40" s="62">
        <v>13468</v>
      </c>
      <c r="V40" s="8">
        <v>9919</v>
      </c>
      <c r="W40" s="9">
        <v>730</v>
      </c>
      <c r="X40" s="62">
        <v>11192</v>
      </c>
      <c r="Y40" s="8">
        <v>7987.6</v>
      </c>
      <c r="Z40" s="9">
        <v>867.11</v>
      </c>
      <c r="AA40" s="62">
        <v>12557</v>
      </c>
      <c r="AB40" s="8">
        <v>9410.16</v>
      </c>
      <c r="AC40" s="9">
        <v>1032</v>
      </c>
      <c r="AD40" s="62">
        <v>15484</v>
      </c>
      <c r="AE40" s="8">
        <v>11250</v>
      </c>
      <c r="AF40" s="9">
        <v>955</v>
      </c>
      <c r="AG40" s="62">
        <v>14488</v>
      </c>
      <c r="AH40" s="8">
        <v>10716.880000000001</v>
      </c>
      <c r="AI40" s="9">
        <v>784</v>
      </c>
      <c r="AJ40" s="62">
        <v>11688</v>
      </c>
      <c r="AK40" s="8">
        <v>8717.2000000000007</v>
      </c>
      <c r="AL40" s="9">
        <v>850</v>
      </c>
      <c r="AM40" s="62">
        <v>12680</v>
      </c>
      <c r="AN40" s="8">
        <v>9382.4</v>
      </c>
      <c r="AO40" s="9">
        <v>1025</v>
      </c>
      <c r="AP40" s="62">
        <v>15440</v>
      </c>
      <c r="AQ40" s="8">
        <v>7388</v>
      </c>
      <c r="AR40" s="9">
        <v>825</v>
      </c>
      <c r="AS40" s="62">
        <v>12120</v>
      </c>
      <c r="AT40" s="8">
        <v>9122</v>
      </c>
      <c r="AU40" s="54">
        <f t="shared" si="0"/>
        <v>10730.11</v>
      </c>
      <c r="AV40" s="63">
        <f t="shared" si="1"/>
        <v>159901</v>
      </c>
      <c r="AW40" s="55">
        <f t="shared" si="2"/>
        <v>113545.23999999999</v>
      </c>
      <c r="AX40" s="54">
        <f t="shared" si="3"/>
        <v>894.17583333333334</v>
      </c>
      <c r="AY40" s="63">
        <f t="shared" si="4"/>
        <v>74.514652777777783</v>
      </c>
      <c r="AZ40" s="55">
        <f t="shared" si="5"/>
        <v>9462.1033333333326</v>
      </c>
      <c r="BA40" s="10">
        <v>820</v>
      </c>
      <c r="BB40" s="15">
        <v>11950</v>
      </c>
      <c r="BC40" s="11">
        <v>9145.2000000000007</v>
      </c>
      <c r="BD40" s="10">
        <v>920</v>
      </c>
      <c r="BE40" s="15">
        <v>13360</v>
      </c>
      <c r="BF40" s="11">
        <v>10194.799999999999</v>
      </c>
      <c r="BG40" s="10">
        <v>1145</v>
      </c>
      <c r="BH40" s="15">
        <v>17160</v>
      </c>
      <c r="BI40" s="11">
        <v>12493.6</v>
      </c>
      <c r="BJ40" s="10">
        <v>580</v>
      </c>
      <c r="BK40" s="15">
        <v>8650</v>
      </c>
      <c r="BL40" s="11">
        <v>6536</v>
      </c>
      <c r="BM40" s="44">
        <v>795</v>
      </c>
      <c r="BN40" s="42">
        <v>12220</v>
      </c>
      <c r="BO40" s="45">
        <v>8984</v>
      </c>
      <c r="BP40" s="44">
        <v>858</v>
      </c>
      <c r="BQ40" s="42">
        <v>12324</v>
      </c>
      <c r="BR40" s="45">
        <v>9354.7999999999993</v>
      </c>
      <c r="BS40" s="44">
        <v>753</v>
      </c>
      <c r="BT40" s="42">
        <v>10956</v>
      </c>
      <c r="BU40" s="112">
        <v>8414.4</v>
      </c>
      <c r="BV40" s="115">
        <v>798</v>
      </c>
      <c r="BW40" s="116">
        <v>11366</v>
      </c>
      <c r="BX40" s="112">
        <v>8941.2000000000007</v>
      </c>
      <c r="BY40" s="115">
        <v>843</v>
      </c>
      <c r="BZ40" s="116">
        <v>12316</v>
      </c>
      <c r="CA40" s="112">
        <v>9495.68</v>
      </c>
      <c r="CB40" s="115">
        <v>933</v>
      </c>
      <c r="CC40" s="116">
        <v>13276</v>
      </c>
      <c r="CD40" s="112">
        <v>10566</v>
      </c>
      <c r="CE40" s="115">
        <v>855</v>
      </c>
      <c r="CF40" s="116">
        <v>11980</v>
      </c>
      <c r="CG40" s="112">
        <v>9573.6</v>
      </c>
      <c r="CH40" s="115">
        <v>1192</v>
      </c>
      <c r="CI40" s="116">
        <v>17740</v>
      </c>
      <c r="CJ40" s="112">
        <v>13555.999999999998</v>
      </c>
      <c r="CK40" s="54">
        <f t="shared" si="6"/>
        <v>10492</v>
      </c>
      <c r="CL40" s="63">
        <f t="shared" si="7"/>
        <v>153298</v>
      </c>
      <c r="CM40" s="55">
        <f t="shared" si="8"/>
        <v>117255.28</v>
      </c>
      <c r="CN40" s="54">
        <f t="shared" si="9"/>
        <v>874.33333333333337</v>
      </c>
      <c r="CO40" s="63">
        <f t="shared" si="10"/>
        <v>12774.833333333334</v>
      </c>
      <c r="CP40" s="172">
        <f t="shared" si="11"/>
        <v>9771.2733333333326</v>
      </c>
      <c r="CQ40" s="9">
        <v>668</v>
      </c>
      <c r="CR40" s="62">
        <v>9116</v>
      </c>
      <c r="CS40" s="98">
        <v>7484.0000000000009</v>
      </c>
      <c r="CT40" s="9">
        <v>832</v>
      </c>
      <c r="CU40" s="62">
        <v>11924</v>
      </c>
      <c r="CV40" s="8">
        <v>9389.6</v>
      </c>
      <c r="CW40" s="9"/>
      <c r="CX40" s="62"/>
      <c r="CY40" s="98"/>
      <c r="CZ40" s="9"/>
      <c r="DA40" s="62"/>
      <c r="DB40" s="8"/>
      <c r="DC40" s="9"/>
      <c r="DD40" s="62"/>
      <c r="DE40" s="8"/>
      <c r="DF40" s="9"/>
      <c r="DG40" s="62"/>
      <c r="DH40" s="8"/>
      <c r="DI40" s="9"/>
      <c r="DJ40" s="62"/>
      <c r="DK40" s="8"/>
      <c r="DL40" s="9"/>
      <c r="DM40" s="62"/>
      <c r="DN40" s="8"/>
      <c r="DO40" s="9"/>
      <c r="DP40" s="62"/>
      <c r="DQ40" s="8"/>
      <c r="DR40" s="9"/>
      <c r="DS40" s="62"/>
      <c r="DT40" s="8"/>
      <c r="DU40" s="9"/>
      <c r="DV40" s="62"/>
      <c r="DW40" s="8"/>
      <c r="DX40" s="9"/>
      <c r="DY40" s="62"/>
      <c r="DZ40" s="8"/>
    </row>
    <row r="41" spans="1:130" s="2" customFormat="1" ht="34.9" customHeight="1" x14ac:dyDescent="0.6">
      <c r="A41" s="5">
        <v>38</v>
      </c>
      <c r="B41" s="131" t="s">
        <v>134</v>
      </c>
      <c r="C41" s="14" t="s">
        <v>135</v>
      </c>
      <c r="D41" s="131" t="s">
        <v>136</v>
      </c>
      <c r="E41" s="131" t="s">
        <v>137</v>
      </c>
      <c r="F41" s="7" t="s">
        <v>15</v>
      </c>
      <c r="G41" s="21" t="s">
        <v>773</v>
      </c>
      <c r="H41" s="21" t="s">
        <v>774</v>
      </c>
      <c r="I41" s="21" t="s">
        <v>775</v>
      </c>
      <c r="J41" s="41" t="s">
        <v>16</v>
      </c>
      <c r="K41" s="9">
        <v>1040</v>
      </c>
      <c r="L41" s="62">
        <v>13980</v>
      </c>
      <c r="M41" s="78">
        <v>9840</v>
      </c>
      <c r="N41" s="9">
        <v>520</v>
      </c>
      <c r="O41" s="62">
        <v>6940</v>
      </c>
      <c r="P41" s="41">
        <v>9660</v>
      </c>
      <c r="Q41" s="9">
        <v>1040</v>
      </c>
      <c r="R41" s="62">
        <v>13980</v>
      </c>
      <c r="S41" s="98">
        <v>4906</v>
      </c>
      <c r="T41" s="9">
        <v>1040</v>
      </c>
      <c r="U41" s="62">
        <v>13980</v>
      </c>
      <c r="V41" s="8">
        <v>9840</v>
      </c>
      <c r="W41" s="9">
        <v>1540</v>
      </c>
      <c r="X41" s="62">
        <v>21020</v>
      </c>
      <c r="Y41" s="8">
        <v>14439.2</v>
      </c>
      <c r="Z41" s="9">
        <v>520</v>
      </c>
      <c r="AA41" s="62">
        <v>7140</v>
      </c>
      <c r="AB41" s="8">
        <v>520</v>
      </c>
      <c r="AC41" s="9">
        <v>7140</v>
      </c>
      <c r="AD41" s="62">
        <v>4872</v>
      </c>
      <c r="AE41" s="8">
        <v>9840</v>
      </c>
      <c r="AF41" s="9">
        <v>520</v>
      </c>
      <c r="AG41" s="62">
        <v>7240</v>
      </c>
      <c r="AH41" s="8">
        <v>4720</v>
      </c>
      <c r="AI41" s="9">
        <v>1065</v>
      </c>
      <c r="AJ41" s="62">
        <v>14480</v>
      </c>
      <c r="AK41" s="8">
        <v>10088</v>
      </c>
      <c r="AL41" s="9">
        <v>525</v>
      </c>
      <c r="AM41" s="62">
        <v>7220</v>
      </c>
      <c r="AN41" s="8">
        <v>4721.6000000000004</v>
      </c>
      <c r="AO41" s="9">
        <v>940</v>
      </c>
      <c r="AP41" s="62">
        <v>12620</v>
      </c>
      <c r="AQ41" s="8">
        <v>9063</v>
      </c>
      <c r="AR41" s="9">
        <v>1040</v>
      </c>
      <c r="AS41" s="62">
        <v>14320</v>
      </c>
      <c r="AT41" s="8">
        <v>9503</v>
      </c>
      <c r="AU41" s="54">
        <f t="shared" si="0"/>
        <v>16930</v>
      </c>
      <c r="AV41" s="63">
        <f t="shared" si="1"/>
        <v>137792</v>
      </c>
      <c r="AW41" s="55">
        <f t="shared" si="2"/>
        <v>97140.800000000003</v>
      </c>
      <c r="AX41" s="54">
        <f t="shared" si="3"/>
        <v>1410.8333333333333</v>
      </c>
      <c r="AY41" s="63">
        <f t="shared" si="4"/>
        <v>117.56944444444444</v>
      </c>
      <c r="AZ41" s="55">
        <f t="shared" si="5"/>
        <v>8095.0666666666666</v>
      </c>
      <c r="BA41" s="10">
        <v>515</v>
      </c>
      <c r="BB41" s="15">
        <v>6880</v>
      </c>
      <c r="BC41" s="11">
        <v>4936</v>
      </c>
      <c r="BD41" s="10">
        <v>760</v>
      </c>
      <c r="BE41" s="15">
        <v>10230</v>
      </c>
      <c r="BF41" s="11">
        <v>7342.8</v>
      </c>
      <c r="BG41" s="10">
        <v>1115</v>
      </c>
      <c r="BH41" s="15">
        <v>14980</v>
      </c>
      <c r="BI41" s="11">
        <v>10768</v>
      </c>
      <c r="BJ41" s="10">
        <v>215</v>
      </c>
      <c r="BK41" s="15">
        <v>2980</v>
      </c>
      <c r="BL41" s="11">
        <v>1972</v>
      </c>
      <c r="BM41" s="44">
        <v>950</v>
      </c>
      <c r="BN41" s="42">
        <v>12960</v>
      </c>
      <c r="BO41" s="45">
        <v>8830.7999999999993</v>
      </c>
      <c r="BP41" s="44">
        <v>830</v>
      </c>
      <c r="BQ41" s="42">
        <v>11210</v>
      </c>
      <c r="BR41" s="45">
        <v>7880</v>
      </c>
      <c r="BS41" s="44">
        <v>530</v>
      </c>
      <c r="BT41" s="42">
        <v>7140</v>
      </c>
      <c r="BU41" s="112">
        <v>5084.3999999999996</v>
      </c>
      <c r="BV41" s="115">
        <v>605</v>
      </c>
      <c r="BW41" s="116">
        <v>8190</v>
      </c>
      <c r="BX41" s="112">
        <v>5756.4</v>
      </c>
      <c r="BY41" s="115">
        <v>530</v>
      </c>
      <c r="BZ41" s="116">
        <v>7140</v>
      </c>
      <c r="CA41" s="112">
        <v>5084.3999999999996</v>
      </c>
      <c r="CB41" s="115">
        <v>855</v>
      </c>
      <c r="CC41" s="116">
        <v>11580</v>
      </c>
      <c r="CD41" s="112">
        <v>8073.6</v>
      </c>
      <c r="CE41" s="115">
        <v>500</v>
      </c>
      <c r="CF41" s="116">
        <v>6700</v>
      </c>
      <c r="CG41" s="112">
        <v>4756</v>
      </c>
      <c r="CH41" s="115">
        <v>695</v>
      </c>
      <c r="CI41" s="116">
        <v>9360</v>
      </c>
      <c r="CJ41" s="112">
        <v>6699.6</v>
      </c>
      <c r="CK41" s="54">
        <f t="shared" si="6"/>
        <v>8100</v>
      </c>
      <c r="CL41" s="63">
        <f t="shared" si="7"/>
        <v>109350</v>
      </c>
      <c r="CM41" s="55">
        <f t="shared" si="8"/>
        <v>77184.000000000015</v>
      </c>
      <c r="CN41" s="54">
        <f t="shared" si="9"/>
        <v>675</v>
      </c>
      <c r="CO41" s="63">
        <f t="shared" si="10"/>
        <v>9112.5</v>
      </c>
      <c r="CP41" s="172">
        <f t="shared" si="11"/>
        <v>6432.0000000000009</v>
      </c>
      <c r="CQ41" s="9">
        <v>700</v>
      </c>
      <c r="CR41" s="62">
        <v>9320</v>
      </c>
      <c r="CS41" s="98">
        <v>6821.6</v>
      </c>
      <c r="CT41" s="9">
        <v>603</v>
      </c>
      <c r="CU41" s="62">
        <v>8076</v>
      </c>
      <c r="CV41" s="8">
        <v>5869.2</v>
      </c>
      <c r="CW41" s="9"/>
      <c r="CX41" s="62"/>
      <c r="CY41" s="98"/>
      <c r="CZ41" s="9"/>
      <c r="DA41" s="62"/>
      <c r="DB41" s="8"/>
      <c r="DC41" s="9"/>
      <c r="DD41" s="62"/>
      <c r="DE41" s="8"/>
      <c r="DF41" s="9"/>
      <c r="DG41" s="62"/>
      <c r="DH41" s="8"/>
      <c r="DI41" s="9"/>
      <c r="DJ41" s="62"/>
      <c r="DK41" s="8"/>
      <c r="DL41" s="9"/>
      <c r="DM41" s="62"/>
      <c r="DN41" s="8"/>
      <c r="DO41" s="9"/>
      <c r="DP41" s="62"/>
      <c r="DQ41" s="8"/>
      <c r="DR41" s="9"/>
      <c r="DS41" s="62"/>
      <c r="DT41" s="8"/>
      <c r="DU41" s="9"/>
      <c r="DV41" s="62"/>
      <c r="DW41" s="8"/>
      <c r="DX41" s="9"/>
      <c r="DY41" s="62"/>
      <c r="DZ41" s="8"/>
    </row>
    <row r="42" spans="1:130" s="2" customFormat="1" ht="34.9" customHeight="1" x14ac:dyDescent="0.6">
      <c r="A42" s="5">
        <v>39</v>
      </c>
      <c r="B42" s="138" t="s">
        <v>138</v>
      </c>
      <c r="C42" s="20" t="s">
        <v>139</v>
      </c>
      <c r="D42" s="139" t="s">
        <v>140</v>
      </c>
      <c r="E42" s="140" t="s">
        <v>30</v>
      </c>
      <c r="F42" s="7" t="s">
        <v>15</v>
      </c>
      <c r="G42" s="21"/>
      <c r="H42" s="21"/>
      <c r="I42" s="21" t="s">
        <v>1120</v>
      </c>
      <c r="J42" s="41" t="s">
        <v>16</v>
      </c>
      <c r="K42" s="9">
        <v>35</v>
      </c>
      <c r="L42" s="62">
        <v>480</v>
      </c>
      <c r="M42" s="78">
        <v>310.8</v>
      </c>
      <c r="N42" s="9">
        <v>565</v>
      </c>
      <c r="O42" s="62">
        <v>7570</v>
      </c>
      <c r="P42" s="41">
        <v>5790.8</v>
      </c>
      <c r="Q42" s="9">
        <v>545</v>
      </c>
      <c r="R42" s="62">
        <v>7780</v>
      </c>
      <c r="S42" s="98">
        <v>5806</v>
      </c>
      <c r="T42" s="9">
        <v>0</v>
      </c>
      <c r="U42" s="62">
        <v>0</v>
      </c>
      <c r="V42" s="8">
        <v>0</v>
      </c>
      <c r="W42" s="9">
        <v>505</v>
      </c>
      <c r="X42" s="62">
        <v>7360</v>
      </c>
      <c r="Y42" s="8">
        <v>5186.8</v>
      </c>
      <c r="Z42" s="9">
        <v>550</v>
      </c>
      <c r="AA42" s="62">
        <v>7000</v>
      </c>
      <c r="AB42" s="8">
        <v>5812</v>
      </c>
      <c r="AC42" s="9">
        <v>614</v>
      </c>
      <c r="AD42" s="62">
        <v>8866</v>
      </c>
      <c r="AE42" s="8">
        <v>6193.84</v>
      </c>
      <c r="AF42" s="9">
        <v>181</v>
      </c>
      <c r="AG42" s="62">
        <v>2312</v>
      </c>
      <c r="AH42" s="8">
        <v>1869.2</v>
      </c>
      <c r="AI42" s="9">
        <v>595</v>
      </c>
      <c r="AJ42" s="62">
        <v>8480</v>
      </c>
      <c r="AK42" s="8">
        <v>6206</v>
      </c>
      <c r="AL42" s="9">
        <v>635</v>
      </c>
      <c r="AM42" s="62">
        <v>9320</v>
      </c>
      <c r="AN42" s="8">
        <v>6940</v>
      </c>
      <c r="AO42" s="9">
        <v>500</v>
      </c>
      <c r="AP42" s="62">
        <v>6200</v>
      </c>
      <c r="AQ42" s="8">
        <v>5372</v>
      </c>
      <c r="AR42" s="9">
        <v>100</v>
      </c>
      <c r="AS42" s="62">
        <v>1280</v>
      </c>
      <c r="AT42" s="8">
        <v>1006</v>
      </c>
      <c r="AU42" s="54">
        <f t="shared" si="0"/>
        <v>4825</v>
      </c>
      <c r="AV42" s="63">
        <f t="shared" si="1"/>
        <v>66648</v>
      </c>
      <c r="AW42" s="55">
        <f t="shared" si="2"/>
        <v>50493.440000000002</v>
      </c>
      <c r="AX42" s="54">
        <f t="shared" si="3"/>
        <v>402.08333333333331</v>
      </c>
      <c r="AY42" s="63">
        <f t="shared" si="4"/>
        <v>33.506944444444443</v>
      </c>
      <c r="AZ42" s="55">
        <f t="shared" si="5"/>
        <v>4207.7866666666669</v>
      </c>
      <c r="BA42" s="10">
        <v>500</v>
      </c>
      <c r="BB42" s="15">
        <v>7020</v>
      </c>
      <c r="BC42" s="11">
        <v>5582.4</v>
      </c>
      <c r="BD42" s="10">
        <v>30</v>
      </c>
      <c r="BE42" s="15">
        <v>360</v>
      </c>
      <c r="BF42" s="11">
        <v>360</v>
      </c>
      <c r="BG42" s="10">
        <v>580</v>
      </c>
      <c r="BH42" s="15">
        <v>7220</v>
      </c>
      <c r="BI42" s="11">
        <v>6384.8</v>
      </c>
      <c r="BJ42" s="10">
        <v>0</v>
      </c>
      <c r="BK42" s="15">
        <v>0</v>
      </c>
      <c r="BL42" s="11">
        <v>0</v>
      </c>
      <c r="BM42" s="44">
        <v>505</v>
      </c>
      <c r="BN42" s="42">
        <v>7480</v>
      </c>
      <c r="BO42" s="45">
        <v>5522</v>
      </c>
      <c r="BP42" s="44">
        <v>35</v>
      </c>
      <c r="BQ42" s="42">
        <v>420</v>
      </c>
      <c r="BR42" s="45">
        <v>420</v>
      </c>
      <c r="BS42" s="44">
        <v>250</v>
      </c>
      <c r="BT42" s="42">
        <v>3000</v>
      </c>
      <c r="BU42" s="112">
        <v>2820</v>
      </c>
      <c r="BV42" s="115">
        <v>380</v>
      </c>
      <c r="BW42" s="116">
        <v>5600</v>
      </c>
      <c r="BX42" s="112">
        <v>4220</v>
      </c>
      <c r="BY42" s="115">
        <v>305</v>
      </c>
      <c r="BZ42" s="116">
        <v>4600</v>
      </c>
      <c r="CA42" s="112">
        <v>3478</v>
      </c>
      <c r="CB42" s="115">
        <v>310</v>
      </c>
      <c r="CC42" s="116">
        <v>3820</v>
      </c>
      <c r="CD42" s="112">
        <v>3436</v>
      </c>
      <c r="CE42" s="115">
        <v>45</v>
      </c>
      <c r="CF42" s="116">
        <v>540</v>
      </c>
      <c r="CG42" s="112">
        <v>486</v>
      </c>
      <c r="CH42" s="115">
        <v>200</v>
      </c>
      <c r="CI42" s="116">
        <v>2500</v>
      </c>
      <c r="CJ42" s="112">
        <v>2248</v>
      </c>
      <c r="CK42" s="54">
        <f t="shared" si="6"/>
        <v>3140</v>
      </c>
      <c r="CL42" s="63">
        <f t="shared" si="7"/>
        <v>42560</v>
      </c>
      <c r="CM42" s="55">
        <f t="shared" si="8"/>
        <v>34957.199999999997</v>
      </c>
      <c r="CN42" s="54">
        <f t="shared" si="9"/>
        <v>261.66666666666669</v>
      </c>
      <c r="CO42" s="63">
        <f t="shared" si="10"/>
        <v>3546.6666666666665</v>
      </c>
      <c r="CP42" s="172">
        <f t="shared" si="11"/>
        <v>2913.1</v>
      </c>
      <c r="CQ42" s="9">
        <v>200</v>
      </c>
      <c r="CR42" s="62">
        <v>2600</v>
      </c>
      <c r="CS42" s="98">
        <v>2096</v>
      </c>
      <c r="CT42" s="9">
        <v>290</v>
      </c>
      <c r="CU42" s="62">
        <v>4420</v>
      </c>
      <c r="CV42" s="8">
        <v>3202</v>
      </c>
      <c r="CW42" s="9"/>
      <c r="CX42" s="62"/>
      <c r="CY42" s="98"/>
      <c r="CZ42" s="9"/>
      <c r="DA42" s="62"/>
      <c r="DB42" s="8"/>
      <c r="DC42" s="9"/>
      <c r="DD42" s="62"/>
      <c r="DE42" s="8"/>
      <c r="DF42" s="9"/>
      <c r="DG42" s="62"/>
      <c r="DH42" s="8"/>
      <c r="DI42" s="9"/>
      <c r="DJ42" s="62"/>
      <c r="DK42" s="8"/>
      <c r="DL42" s="9"/>
      <c r="DM42" s="62"/>
      <c r="DN42" s="8"/>
      <c r="DO42" s="9"/>
      <c r="DP42" s="62"/>
      <c r="DQ42" s="8"/>
      <c r="DR42" s="9"/>
      <c r="DS42" s="62"/>
      <c r="DT42" s="8"/>
      <c r="DU42" s="9"/>
      <c r="DV42" s="62"/>
      <c r="DW42" s="8"/>
      <c r="DX42" s="9"/>
      <c r="DY42" s="62"/>
      <c r="DZ42" s="8"/>
    </row>
    <row r="43" spans="1:130" s="2" customFormat="1" ht="34.9" customHeight="1" x14ac:dyDescent="0.6">
      <c r="A43" s="5">
        <v>40</v>
      </c>
      <c r="B43" s="131" t="s">
        <v>141</v>
      </c>
      <c r="C43" s="14" t="s">
        <v>142</v>
      </c>
      <c r="D43" s="132" t="s">
        <v>116</v>
      </c>
      <c r="E43" s="132" t="s">
        <v>117</v>
      </c>
      <c r="F43" s="7" t="s">
        <v>15</v>
      </c>
      <c r="G43" s="16" t="s">
        <v>776</v>
      </c>
      <c r="H43" s="133" t="s">
        <v>777</v>
      </c>
      <c r="I43" s="133" t="s">
        <v>778</v>
      </c>
      <c r="J43" s="41" t="s">
        <v>16</v>
      </c>
      <c r="K43" s="9">
        <v>1200</v>
      </c>
      <c r="L43" s="62">
        <v>16400</v>
      </c>
      <c r="M43" s="78">
        <v>10640</v>
      </c>
      <c r="N43" s="9">
        <v>0</v>
      </c>
      <c r="O43" s="62">
        <v>0</v>
      </c>
      <c r="P43" s="41">
        <v>0</v>
      </c>
      <c r="Q43" s="9">
        <v>1500</v>
      </c>
      <c r="R43" s="62">
        <v>20460</v>
      </c>
      <c r="S43" s="98">
        <v>13360.8</v>
      </c>
      <c r="T43" s="9">
        <v>0</v>
      </c>
      <c r="U43" s="62">
        <v>0</v>
      </c>
      <c r="V43" s="8">
        <v>0</v>
      </c>
      <c r="W43" s="9">
        <v>1200</v>
      </c>
      <c r="X43" s="62">
        <v>16400</v>
      </c>
      <c r="Y43" s="8">
        <v>10640</v>
      </c>
      <c r="Z43" s="9">
        <v>250</v>
      </c>
      <c r="AA43" s="62">
        <v>3300</v>
      </c>
      <c r="AB43" s="8">
        <v>2184</v>
      </c>
      <c r="AC43" s="9">
        <v>500</v>
      </c>
      <c r="AD43" s="62">
        <v>7000</v>
      </c>
      <c r="AE43" s="8">
        <v>4480</v>
      </c>
      <c r="AF43" s="9">
        <v>410</v>
      </c>
      <c r="AG43" s="62">
        <v>5540</v>
      </c>
      <c r="AH43" s="8">
        <v>3618</v>
      </c>
      <c r="AI43" s="9">
        <v>605</v>
      </c>
      <c r="AJ43" s="62">
        <v>8420</v>
      </c>
      <c r="AK43" s="8">
        <v>5406.8</v>
      </c>
      <c r="AL43" s="9">
        <v>600</v>
      </c>
      <c r="AM43" s="62">
        <v>8200</v>
      </c>
      <c r="AN43" s="8">
        <v>5320</v>
      </c>
      <c r="AO43" s="9">
        <v>600</v>
      </c>
      <c r="AP43" s="62">
        <v>8200</v>
      </c>
      <c r="AQ43" s="8">
        <v>5320</v>
      </c>
      <c r="AR43" s="9">
        <v>630</v>
      </c>
      <c r="AS43" s="62">
        <v>8620</v>
      </c>
      <c r="AT43" s="8">
        <v>5589</v>
      </c>
      <c r="AU43" s="54">
        <f t="shared" si="0"/>
        <v>7495</v>
      </c>
      <c r="AV43" s="63">
        <f t="shared" si="1"/>
        <v>102540</v>
      </c>
      <c r="AW43" s="55">
        <f t="shared" si="2"/>
        <v>66558.600000000006</v>
      </c>
      <c r="AX43" s="54">
        <f t="shared" si="3"/>
        <v>624.58333333333337</v>
      </c>
      <c r="AY43" s="63">
        <f t="shared" si="4"/>
        <v>52.048611111111114</v>
      </c>
      <c r="AZ43" s="55">
        <f t="shared" si="5"/>
        <v>5546.55</v>
      </c>
      <c r="BA43" s="10">
        <v>600</v>
      </c>
      <c r="BB43" s="15">
        <v>8200</v>
      </c>
      <c r="BC43" s="11">
        <v>5320</v>
      </c>
      <c r="BD43" s="10">
        <v>200</v>
      </c>
      <c r="BE43" s="15">
        <v>2600</v>
      </c>
      <c r="BF43" s="11">
        <v>1736</v>
      </c>
      <c r="BG43" s="10">
        <v>790</v>
      </c>
      <c r="BH43" s="15">
        <v>11060</v>
      </c>
      <c r="BI43" s="11">
        <v>7078.4</v>
      </c>
      <c r="BJ43" s="10">
        <v>310</v>
      </c>
      <c r="BK43" s="15">
        <v>4140</v>
      </c>
      <c r="BL43" s="11">
        <v>2721.6</v>
      </c>
      <c r="BM43" s="44">
        <v>600</v>
      </c>
      <c r="BN43" s="42">
        <v>8200</v>
      </c>
      <c r="BO43" s="45">
        <v>5320</v>
      </c>
      <c r="BP43" s="44">
        <v>830</v>
      </c>
      <c r="BQ43" s="42">
        <v>11420</v>
      </c>
      <c r="BR43" s="45">
        <v>7380.7999999999993</v>
      </c>
      <c r="BS43" s="44">
        <v>630</v>
      </c>
      <c r="BT43" s="42">
        <v>8820</v>
      </c>
      <c r="BU43" s="112">
        <v>5644.8</v>
      </c>
      <c r="BV43" s="115">
        <v>600</v>
      </c>
      <c r="BW43" s="116">
        <v>8200</v>
      </c>
      <c r="BX43" s="112">
        <v>5320</v>
      </c>
      <c r="BY43" s="115">
        <v>600</v>
      </c>
      <c r="BZ43" s="116">
        <v>8300</v>
      </c>
      <c r="CA43" s="112">
        <v>5348</v>
      </c>
      <c r="CB43" s="115">
        <v>700</v>
      </c>
      <c r="CC43" s="116">
        <v>9500</v>
      </c>
      <c r="CD43" s="112">
        <v>6188</v>
      </c>
      <c r="CE43" s="115">
        <v>400</v>
      </c>
      <c r="CF43" s="116">
        <v>5600</v>
      </c>
      <c r="CG43" s="112">
        <v>3584</v>
      </c>
      <c r="CH43" s="115">
        <v>580</v>
      </c>
      <c r="CI43" s="116">
        <v>8020</v>
      </c>
      <c r="CJ43" s="112">
        <v>5168.8</v>
      </c>
      <c r="CK43" s="54">
        <f t="shared" si="6"/>
        <v>6840</v>
      </c>
      <c r="CL43" s="63">
        <f t="shared" si="7"/>
        <v>94060</v>
      </c>
      <c r="CM43" s="55">
        <f t="shared" si="8"/>
        <v>60810.400000000001</v>
      </c>
      <c r="CN43" s="54">
        <f t="shared" si="9"/>
        <v>570</v>
      </c>
      <c r="CO43" s="63">
        <f t="shared" si="10"/>
        <v>7838.333333333333</v>
      </c>
      <c r="CP43" s="172">
        <f t="shared" si="11"/>
        <v>5067.5333333333338</v>
      </c>
      <c r="CQ43" s="9">
        <v>600</v>
      </c>
      <c r="CR43" s="62">
        <v>8200</v>
      </c>
      <c r="CS43" s="98">
        <v>5320</v>
      </c>
      <c r="CT43" s="9">
        <v>620</v>
      </c>
      <c r="CU43" s="62">
        <v>8680</v>
      </c>
      <c r="CV43" s="8">
        <v>5555.2</v>
      </c>
      <c r="CW43" s="9"/>
      <c r="CX43" s="62"/>
      <c r="CY43" s="98"/>
      <c r="CZ43" s="9"/>
      <c r="DA43" s="62"/>
      <c r="DB43" s="8"/>
      <c r="DC43" s="9"/>
      <c r="DD43" s="62"/>
      <c r="DE43" s="8"/>
      <c r="DF43" s="9"/>
      <c r="DG43" s="62"/>
      <c r="DH43" s="8"/>
      <c r="DI43" s="9"/>
      <c r="DJ43" s="62"/>
      <c r="DK43" s="8"/>
      <c r="DL43" s="9"/>
      <c r="DM43" s="62"/>
      <c r="DN43" s="8"/>
      <c r="DO43" s="9"/>
      <c r="DP43" s="62"/>
      <c r="DQ43" s="8"/>
      <c r="DR43" s="9"/>
      <c r="DS43" s="62"/>
      <c r="DT43" s="8"/>
      <c r="DU43" s="9"/>
      <c r="DV43" s="62"/>
      <c r="DW43" s="8"/>
      <c r="DX43" s="9"/>
      <c r="DY43" s="62"/>
      <c r="DZ43" s="8"/>
    </row>
    <row r="44" spans="1:130" s="81" customFormat="1" ht="31.5" customHeight="1" x14ac:dyDescent="0.6">
      <c r="A44" s="5">
        <v>41</v>
      </c>
      <c r="B44" s="137" t="s">
        <v>143</v>
      </c>
      <c r="C44" s="79" t="s">
        <v>144</v>
      </c>
      <c r="D44" s="137" t="s">
        <v>145</v>
      </c>
      <c r="E44" s="137" t="s">
        <v>146</v>
      </c>
      <c r="F44" s="77" t="s">
        <v>15</v>
      </c>
      <c r="G44" s="21" t="s">
        <v>779</v>
      </c>
      <c r="H44" s="21" t="s">
        <v>780</v>
      </c>
      <c r="I44" s="21" t="s">
        <v>781</v>
      </c>
      <c r="J44" s="78" t="s">
        <v>16</v>
      </c>
      <c r="K44" s="83">
        <v>1200</v>
      </c>
      <c r="L44" s="75">
        <v>14800</v>
      </c>
      <c r="M44" s="78">
        <v>13432</v>
      </c>
      <c r="N44" s="83">
        <v>700</v>
      </c>
      <c r="O44" s="75">
        <v>8600</v>
      </c>
      <c r="P44" s="78">
        <v>7736</v>
      </c>
      <c r="Q44" s="83">
        <v>700</v>
      </c>
      <c r="R44" s="75">
        <v>8600</v>
      </c>
      <c r="S44" s="98">
        <v>7300</v>
      </c>
      <c r="T44" s="83">
        <v>900</v>
      </c>
      <c r="U44" s="75">
        <v>11200</v>
      </c>
      <c r="V44" s="98">
        <v>9904</v>
      </c>
      <c r="W44" s="83">
        <v>690</v>
      </c>
      <c r="X44" s="75">
        <v>8360</v>
      </c>
      <c r="Y44" s="98">
        <v>7978.4</v>
      </c>
      <c r="Z44" s="83">
        <v>932</v>
      </c>
      <c r="AA44" s="75">
        <v>1486</v>
      </c>
      <c r="AB44" s="98">
        <v>10613.359999999999</v>
      </c>
      <c r="AC44" s="83">
        <v>406</v>
      </c>
      <c r="AD44" s="75">
        <v>5115</v>
      </c>
      <c r="AE44" s="98">
        <v>4396.16</v>
      </c>
      <c r="AF44" s="83">
        <v>952</v>
      </c>
      <c r="AG44" s="75">
        <v>11780</v>
      </c>
      <c r="AH44" s="98">
        <v>10612</v>
      </c>
      <c r="AI44" s="83">
        <v>600</v>
      </c>
      <c r="AJ44" s="75">
        <v>7400</v>
      </c>
      <c r="AK44" s="98">
        <v>6896</v>
      </c>
      <c r="AL44" s="83">
        <v>910</v>
      </c>
      <c r="AM44" s="75">
        <v>11040</v>
      </c>
      <c r="AN44" s="98">
        <v>10737.6</v>
      </c>
      <c r="AO44" s="83">
        <v>470</v>
      </c>
      <c r="AP44" s="75">
        <v>5780</v>
      </c>
      <c r="AQ44" s="98">
        <v>5427</v>
      </c>
      <c r="AR44" s="83">
        <v>870</v>
      </c>
      <c r="AS44" s="75">
        <v>10780</v>
      </c>
      <c r="AT44" s="98">
        <v>9923</v>
      </c>
      <c r="AU44" s="54">
        <f t="shared" si="0"/>
        <v>9330</v>
      </c>
      <c r="AV44" s="63">
        <f t="shared" si="1"/>
        <v>104941</v>
      </c>
      <c r="AW44" s="55">
        <f t="shared" si="2"/>
        <v>104955.52</v>
      </c>
      <c r="AX44" s="54">
        <f t="shared" si="3"/>
        <v>777.5</v>
      </c>
      <c r="AY44" s="63">
        <f t="shared" si="4"/>
        <v>64.791666666666671</v>
      </c>
      <c r="AZ44" s="55">
        <f t="shared" si="5"/>
        <v>8746.2933333333331</v>
      </c>
      <c r="BA44" s="88">
        <v>780</v>
      </c>
      <c r="BB44" s="79">
        <v>9560</v>
      </c>
      <c r="BC44" s="89">
        <v>8948</v>
      </c>
      <c r="BD44" s="88">
        <v>1190</v>
      </c>
      <c r="BE44" s="79">
        <v>14580</v>
      </c>
      <c r="BF44" s="89">
        <v>13680</v>
      </c>
      <c r="BG44" s="88">
        <v>880</v>
      </c>
      <c r="BH44" s="79">
        <v>10760</v>
      </c>
      <c r="BI44" s="89">
        <v>10256</v>
      </c>
      <c r="BJ44" s="88">
        <v>630</v>
      </c>
      <c r="BK44" s="79">
        <v>7960</v>
      </c>
      <c r="BL44" s="89">
        <v>6844</v>
      </c>
      <c r="BM44" s="93">
        <v>680</v>
      </c>
      <c r="BN44" s="80">
        <v>8360</v>
      </c>
      <c r="BO44" s="94">
        <v>7748</v>
      </c>
      <c r="BP44" s="93">
        <v>735</v>
      </c>
      <c r="BQ44" s="80">
        <v>9480</v>
      </c>
      <c r="BR44" s="94">
        <v>8618</v>
      </c>
      <c r="BS44" s="93">
        <v>705</v>
      </c>
      <c r="BT44" s="80">
        <v>8720</v>
      </c>
      <c r="BU44" s="113">
        <v>7974.8</v>
      </c>
      <c r="BV44" s="117">
        <v>950</v>
      </c>
      <c r="BW44" s="118">
        <v>11700</v>
      </c>
      <c r="BX44" s="113">
        <v>10944.24</v>
      </c>
      <c r="BY44" s="117">
        <v>600</v>
      </c>
      <c r="BZ44" s="118">
        <v>7300</v>
      </c>
      <c r="CA44" s="113">
        <v>7048</v>
      </c>
      <c r="CB44" s="117">
        <v>944</v>
      </c>
      <c r="CC44" s="118">
        <v>11628</v>
      </c>
      <c r="CD44" s="113">
        <v>10752.48</v>
      </c>
      <c r="CE44" s="117">
        <v>600</v>
      </c>
      <c r="CF44" s="118">
        <v>7540</v>
      </c>
      <c r="CG44" s="113">
        <v>6503.2</v>
      </c>
      <c r="CH44" s="117">
        <v>1100</v>
      </c>
      <c r="CI44" s="118">
        <v>13300</v>
      </c>
      <c r="CJ44" s="113">
        <v>13048</v>
      </c>
      <c r="CK44" s="54">
        <f t="shared" si="6"/>
        <v>9794</v>
      </c>
      <c r="CL44" s="63">
        <f t="shared" si="7"/>
        <v>120888</v>
      </c>
      <c r="CM44" s="55">
        <f t="shared" si="8"/>
        <v>112364.72</v>
      </c>
      <c r="CN44" s="54">
        <f t="shared" si="9"/>
        <v>816.16666666666663</v>
      </c>
      <c r="CO44" s="63">
        <f t="shared" si="10"/>
        <v>10074</v>
      </c>
      <c r="CP44" s="172">
        <f t="shared" si="11"/>
        <v>9363.7266666666674</v>
      </c>
      <c r="CQ44" s="83">
        <v>549</v>
      </c>
      <c r="CR44" s="75">
        <v>6788</v>
      </c>
      <c r="CS44" s="98">
        <v>6284</v>
      </c>
      <c r="CT44" s="83">
        <v>630</v>
      </c>
      <c r="CU44" s="75">
        <v>7800</v>
      </c>
      <c r="CV44" s="98">
        <v>7087.2</v>
      </c>
      <c r="CW44" s="83"/>
      <c r="CX44" s="75"/>
      <c r="CY44" s="98"/>
      <c r="CZ44" s="83"/>
      <c r="DA44" s="75"/>
      <c r="DB44" s="98"/>
      <c r="DC44" s="83"/>
      <c r="DD44" s="75"/>
      <c r="DE44" s="98"/>
      <c r="DF44" s="83"/>
      <c r="DG44" s="75"/>
      <c r="DH44" s="98"/>
      <c r="DI44" s="83"/>
      <c r="DJ44" s="75"/>
      <c r="DK44" s="98"/>
      <c r="DL44" s="83"/>
      <c r="DM44" s="75"/>
      <c r="DN44" s="98"/>
      <c r="DO44" s="83"/>
      <c r="DP44" s="75"/>
      <c r="DQ44" s="98"/>
      <c r="DR44" s="83"/>
      <c r="DS44" s="75"/>
      <c r="DT44" s="98"/>
      <c r="DU44" s="83"/>
      <c r="DV44" s="75"/>
      <c r="DW44" s="98"/>
      <c r="DX44" s="83"/>
      <c r="DY44" s="75"/>
      <c r="DZ44" s="98"/>
    </row>
    <row r="45" spans="1:130" s="2" customFormat="1" ht="34.9" customHeight="1" x14ac:dyDescent="0.6">
      <c r="A45" s="5">
        <v>42</v>
      </c>
      <c r="B45" s="21" t="s">
        <v>147</v>
      </c>
      <c r="C45" s="14" t="s">
        <v>147</v>
      </c>
      <c r="D45" s="15" t="s">
        <v>148</v>
      </c>
      <c r="E45" s="14" t="s">
        <v>149</v>
      </c>
      <c r="F45" s="7" t="s">
        <v>150</v>
      </c>
      <c r="G45" s="18" t="s">
        <v>782</v>
      </c>
      <c r="H45" s="18" t="s">
        <v>783</v>
      </c>
      <c r="I45" s="14" t="s">
        <v>784</v>
      </c>
      <c r="J45" s="49" t="s">
        <v>151</v>
      </c>
      <c r="K45" s="27">
        <v>175</v>
      </c>
      <c r="L45" s="58">
        <v>2464</v>
      </c>
      <c r="M45" s="121">
        <v>1810.48</v>
      </c>
      <c r="N45" s="27">
        <v>146</v>
      </c>
      <c r="O45" s="58">
        <v>2056</v>
      </c>
      <c r="P45" s="104">
        <v>1509.1200000000001</v>
      </c>
      <c r="Q45" s="27">
        <v>292</v>
      </c>
      <c r="R45" s="58">
        <v>4110</v>
      </c>
      <c r="S45" s="98">
        <v>2969.52</v>
      </c>
      <c r="T45" s="27">
        <v>123</v>
      </c>
      <c r="U45" s="58">
        <v>1672</v>
      </c>
      <c r="V45" s="107">
        <v>1263.6000000000001</v>
      </c>
      <c r="W45" s="27">
        <v>220</v>
      </c>
      <c r="X45" s="58">
        <v>3054</v>
      </c>
      <c r="Y45" s="107">
        <v>2274.48</v>
      </c>
      <c r="Z45" s="27">
        <v>146</v>
      </c>
      <c r="AA45" s="58">
        <v>1994</v>
      </c>
      <c r="AB45" s="107">
        <v>1517.8400000000001</v>
      </c>
      <c r="AC45" s="27">
        <v>162</v>
      </c>
      <c r="AD45" s="58">
        <v>2170</v>
      </c>
      <c r="AE45" s="12">
        <v>1686</v>
      </c>
      <c r="AF45" s="27">
        <v>220</v>
      </c>
      <c r="AG45" s="58">
        <v>3028</v>
      </c>
      <c r="AH45" s="107">
        <v>2269.44</v>
      </c>
      <c r="AI45" s="27">
        <v>160</v>
      </c>
      <c r="AJ45" s="58">
        <v>2188</v>
      </c>
      <c r="AK45" s="107">
        <v>1646.3200000000002</v>
      </c>
      <c r="AL45" s="27">
        <v>191</v>
      </c>
      <c r="AM45" s="58">
        <v>2616</v>
      </c>
      <c r="AN45" s="107">
        <v>1915.2</v>
      </c>
      <c r="AO45" s="27">
        <v>120</v>
      </c>
      <c r="AP45" s="58">
        <v>1752</v>
      </c>
      <c r="AQ45" s="107">
        <v>1359.6</v>
      </c>
      <c r="AR45" s="27">
        <v>84</v>
      </c>
      <c r="AS45" s="58">
        <v>1154</v>
      </c>
      <c r="AT45" s="12">
        <v>839.2</v>
      </c>
      <c r="AU45" s="54">
        <f t="shared" si="0"/>
        <v>2039</v>
      </c>
      <c r="AV45" s="63">
        <f t="shared" si="1"/>
        <v>28258</v>
      </c>
      <c r="AW45" s="55">
        <f t="shared" si="2"/>
        <v>21060.800000000003</v>
      </c>
      <c r="AX45" s="54">
        <f t="shared" si="3"/>
        <v>169.91666666666666</v>
      </c>
      <c r="AY45" s="63">
        <f t="shared" si="4"/>
        <v>14.159722222222221</v>
      </c>
      <c r="AZ45" s="55">
        <f t="shared" si="5"/>
        <v>1755.0666666666668</v>
      </c>
      <c r="BA45" s="10">
        <v>91</v>
      </c>
      <c r="BB45" s="15">
        <v>1238</v>
      </c>
      <c r="BC45" s="11">
        <v>944.8</v>
      </c>
      <c r="BD45" s="10">
        <v>83</v>
      </c>
      <c r="BE45" s="15">
        <v>1216</v>
      </c>
      <c r="BF45" s="11">
        <v>884.4</v>
      </c>
      <c r="BG45" s="10">
        <v>106</v>
      </c>
      <c r="BH45" s="15">
        <v>1540</v>
      </c>
      <c r="BI45" s="11">
        <v>1132</v>
      </c>
      <c r="BJ45" s="10">
        <v>74</v>
      </c>
      <c r="BK45" s="15">
        <v>1100</v>
      </c>
      <c r="BL45" s="11">
        <v>744</v>
      </c>
      <c r="BM45" s="44">
        <v>76</v>
      </c>
      <c r="BN45" s="42">
        <v>1322</v>
      </c>
      <c r="BO45" s="45">
        <v>798.31999999999994</v>
      </c>
      <c r="BP45" s="44">
        <v>107</v>
      </c>
      <c r="BQ45" s="42">
        <v>1580</v>
      </c>
      <c r="BR45" s="45">
        <v>1146</v>
      </c>
      <c r="BS45" s="44">
        <v>100</v>
      </c>
      <c r="BT45" s="42">
        <v>1394</v>
      </c>
      <c r="BU45" s="112">
        <v>1038.8</v>
      </c>
      <c r="BV45" s="115">
        <v>124</v>
      </c>
      <c r="BW45" s="116">
        <v>1850</v>
      </c>
      <c r="BX45" s="112">
        <v>1338.8000000000002</v>
      </c>
      <c r="BY45" s="115">
        <v>103</v>
      </c>
      <c r="BZ45" s="116">
        <v>1392</v>
      </c>
      <c r="CA45" s="112">
        <v>1066.4000000000001</v>
      </c>
      <c r="CB45" s="115">
        <v>92</v>
      </c>
      <c r="CC45" s="116">
        <v>1418</v>
      </c>
      <c r="CD45" s="112">
        <v>983.19999999999993</v>
      </c>
      <c r="CE45" s="115">
        <v>103</v>
      </c>
      <c r="CF45" s="116">
        <v>1622</v>
      </c>
      <c r="CG45" s="112">
        <v>1094.8800000000001</v>
      </c>
      <c r="CH45" s="115">
        <v>52</v>
      </c>
      <c r="CI45" s="116">
        <v>778</v>
      </c>
      <c r="CJ45" s="112">
        <v>612.72</v>
      </c>
      <c r="CK45" s="54">
        <f t="shared" si="6"/>
        <v>1111</v>
      </c>
      <c r="CL45" s="63">
        <f t="shared" si="7"/>
        <v>16450</v>
      </c>
      <c r="CM45" s="55">
        <f t="shared" si="8"/>
        <v>11784.320000000002</v>
      </c>
      <c r="CN45" s="54">
        <f t="shared" si="9"/>
        <v>92.583333333333329</v>
      </c>
      <c r="CO45" s="63">
        <f t="shared" si="10"/>
        <v>1370.8333333333333</v>
      </c>
      <c r="CP45" s="172">
        <f t="shared" si="11"/>
        <v>982.02666666666676</v>
      </c>
      <c r="CQ45" s="151">
        <v>117</v>
      </c>
      <c r="CR45" s="152">
        <v>1678</v>
      </c>
      <c r="CS45" s="97">
        <v>1203.1200000000001</v>
      </c>
      <c r="CT45" s="27">
        <v>127</v>
      </c>
      <c r="CU45" s="58">
        <v>1700</v>
      </c>
      <c r="CV45" s="107">
        <v>1345.6</v>
      </c>
      <c r="CW45" s="27"/>
      <c r="CX45" s="58"/>
      <c r="CY45" s="98"/>
      <c r="CZ45" s="27"/>
      <c r="DA45" s="58"/>
      <c r="DB45" s="107"/>
      <c r="DC45" s="27"/>
      <c r="DD45" s="58"/>
      <c r="DE45" s="107"/>
      <c r="DF45" s="27"/>
      <c r="DG45" s="58"/>
      <c r="DH45" s="107"/>
      <c r="DI45" s="27"/>
      <c r="DJ45" s="58"/>
      <c r="DK45" s="12"/>
      <c r="DL45" s="27"/>
      <c r="DM45" s="58"/>
      <c r="DN45" s="107"/>
      <c r="DO45" s="27"/>
      <c r="DP45" s="58"/>
      <c r="DQ45" s="107"/>
      <c r="DR45" s="27"/>
      <c r="DS45" s="58"/>
      <c r="DT45" s="107"/>
      <c r="DU45" s="27"/>
      <c r="DV45" s="58"/>
      <c r="DW45" s="107"/>
      <c r="DX45" s="27"/>
      <c r="DY45" s="58"/>
      <c r="DZ45" s="12"/>
    </row>
    <row r="46" spans="1:130" s="2" customFormat="1" ht="34.9" customHeight="1" x14ac:dyDescent="0.6">
      <c r="A46" s="5">
        <v>43</v>
      </c>
      <c r="B46" s="21" t="s">
        <v>154</v>
      </c>
      <c r="C46" s="16" t="s">
        <v>155</v>
      </c>
      <c r="D46" s="15" t="s">
        <v>128</v>
      </c>
      <c r="E46" s="14" t="s">
        <v>129</v>
      </c>
      <c r="F46" s="7" t="s">
        <v>150</v>
      </c>
      <c r="G46" s="18" t="s">
        <v>786</v>
      </c>
      <c r="H46" s="18" t="s">
        <v>787</v>
      </c>
      <c r="I46" s="14" t="s">
        <v>788</v>
      </c>
      <c r="J46" s="49" t="s">
        <v>151</v>
      </c>
      <c r="K46" s="27">
        <v>490</v>
      </c>
      <c r="L46" s="58">
        <v>7160</v>
      </c>
      <c r="M46" s="78">
        <v>5175.2</v>
      </c>
      <c r="N46" s="27">
        <v>520</v>
      </c>
      <c r="O46" s="58">
        <v>7680</v>
      </c>
      <c r="P46" s="104">
        <v>5538.8</v>
      </c>
      <c r="Q46" s="27">
        <v>530</v>
      </c>
      <c r="R46" s="58">
        <v>7780</v>
      </c>
      <c r="S46" s="98">
        <v>5665.2</v>
      </c>
      <c r="T46" s="27">
        <v>530</v>
      </c>
      <c r="U46" s="58">
        <v>7360</v>
      </c>
      <c r="V46" s="107">
        <v>5707.2</v>
      </c>
      <c r="W46" s="27">
        <v>605</v>
      </c>
      <c r="X46" s="58">
        <v>8760</v>
      </c>
      <c r="Y46" s="12">
        <v>6491.6</v>
      </c>
      <c r="Z46" s="27">
        <v>640</v>
      </c>
      <c r="AA46" s="58">
        <v>9150</v>
      </c>
      <c r="AB46" s="107">
        <v>6933.2000000000007</v>
      </c>
      <c r="AC46" s="27">
        <v>705</v>
      </c>
      <c r="AD46" s="58">
        <v>10300</v>
      </c>
      <c r="AE46" s="107">
        <v>7548.4</v>
      </c>
      <c r="AF46" s="27">
        <v>486</v>
      </c>
      <c r="AG46" s="58">
        <v>6772</v>
      </c>
      <c r="AH46" s="107">
        <v>5246.4</v>
      </c>
      <c r="AI46" s="27">
        <v>585</v>
      </c>
      <c r="AJ46" s="58">
        <v>7960</v>
      </c>
      <c r="AK46" s="107">
        <v>6398.4</v>
      </c>
      <c r="AL46" s="27">
        <v>620</v>
      </c>
      <c r="AM46" s="58">
        <v>9100</v>
      </c>
      <c r="AN46" s="107">
        <v>6874</v>
      </c>
      <c r="AO46" s="27">
        <v>495</v>
      </c>
      <c r="AP46" s="58">
        <v>7280</v>
      </c>
      <c r="AQ46" s="107">
        <v>5372.8</v>
      </c>
      <c r="AR46" s="27">
        <v>545</v>
      </c>
      <c r="AS46" s="58">
        <v>7800</v>
      </c>
      <c r="AT46" s="12">
        <v>5895.6</v>
      </c>
      <c r="AU46" s="54">
        <f t="shared" si="0"/>
        <v>6751</v>
      </c>
      <c r="AV46" s="63">
        <f t="shared" si="1"/>
        <v>97102</v>
      </c>
      <c r="AW46" s="55">
        <f t="shared" si="2"/>
        <v>72846.8</v>
      </c>
      <c r="AX46" s="54">
        <f t="shared" si="3"/>
        <v>562.58333333333337</v>
      </c>
      <c r="AY46" s="63">
        <f t="shared" si="4"/>
        <v>46.88194444444445</v>
      </c>
      <c r="AZ46" s="55">
        <f t="shared" si="5"/>
        <v>6070.5666666666666</v>
      </c>
      <c r="BA46" s="10">
        <v>575</v>
      </c>
      <c r="BB46" s="15">
        <v>8120</v>
      </c>
      <c r="BC46" s="11">
        <v>6358.4</v>
      </c>
      <c r="BD46" s="10">
        <v>505</v>
      </c>
      <c r="BE46" s="15">
        <v>6920</v>
      </c>
      <c r="BF46" s="11">
        <v>5578.0000000000009</v>
      </c>
      <c r="BG46" s="10">
        <v>960</v>
      </c>
      <c r="BH46" s="15">
        <v>13500</v>
      </c>
      <c r="BI46" s="11">
        <v>10642.400000000001</v>
      </c>
      <c r="BJ46" s="10">
        <v>215</v>
      </c>
      <c r="BK46" s="15">
        <v>3690</v>
      </c>
      <c r="BL46" s="11">
        <v>2404.4</v>
      </c>
      <c r="BM46" s="44">
        <v>515</v>
      </c>
      <c r="BN46" s="42">
        <v>6880</v>
      </c>
      <c r="BO46" s="45">
        <v>5561.6</v>
      </c>
      <c r="BP46" s="44">
        <v>462</v>
      </c>
      <c r="BQ46" s="42">
        <v>6640</v>
      </c>
      <c r="BR46" s="45">
        <v>5081.2</v>
      </c>
      <c r="BS46" s="44">
        <v>525</v>
      </c>
      <c r="BT46" s="42">
        <v>7230</v>
      </c>
      <c r="BU46" s="112">
        <v>5729.5999999999995</v>
      </c>
      <c r="BV46" s="115">
        <v>486</v>
      </c>
      <c r="BW46" s="116">
        <v>7562</v>
      </c>
      <c r="BX46" s="112">
        <v>5406.4000000000005</v>
      </c>
      <c r="BY46" s="115">
        <v>565</v>
      </c>
      <c r="BZ46" s="116">
        <v>9230</v>
      </c>
      <c r="CA46" s="112">
        <v>6350</v>
      </c>
      <c r="CB46" s="115">
        <v>410</v>
      </c>
      <c r="CC46" s="116">
        <v>5710</v>
      </c>
      <c r="CD46" s="112">
        <v>4610.3999999999996</v>
      </c>
      <c r="CE46" s="115">
        <v>460</v>
      </c>
      <c r="CF46" s="116">
        <v>7020</v>
      </c>
      <c r="CG46" s="112">
        <v>5149.2</v>
      </c>
      <c r="CH46" s="115">
        <v>545</v>
      </c>
      <c r="CI46" s="116">
        <v>8520</v>
      </c>
      <c r="CJ46" s="112">
        <v>6204</v>
      </c>
      <c r="CK46" s="54">
        <f t="shared" si="6"/>
        <v>6223</v>
      </c>
      <c r="CL46" s="63">
        <f t="shared" si="7"/>
        <v>91022</v>
      </c>
      <c r="CM46" s="55">
        <f t="shared" si="8"/>
        <v>69075.600000000006</v>
      </c>
      <c r="CN46" s="54">
        <f t="shared" si="9"/>
        <v>518.58333333333337</v>
      </c>
      <c r="CO46" s="63">
        <f t="shared" si="10"/>
        <v>7585.166666666667</v>
      </c>
      <c r="CP46" s="172">
        <f t="shared" si="11"/>
        <v>5756.3</v>
      </c>
      <c r="CQ46" s="151">
        <v>535</v>
      </c>
      <c r="CR46" s="152">
        <v>8080</v>
      </c>
      <c r="CS46" s="97">
        <v>6076.8</v>
      </c>
      <c r="CT46" s="27">
        <v>425</v>
      </c>
      <c r="CU46" s="58">
        <v>6500</v>
      </c>
      <c r="CV46" s="107">
        <v>4929.2</v>
      </c>
      <c r="CW46" s="27"/>
      <c r="CX46" s="58"/>
      <c r="CY46" s="98"/>
      <c r="CZ46" s="27"/>
      <c r="DA46" s="58"/>
      <c r="DB46" s="107"/>
      <c r="DC46" s="27"/>
      <c r="DD46" s="58"/>
      <c r="DE46" s="12"/>
      <c r="DF46" s="27"/>
      <c r="DG46" s="58"/>
      <c r="DH46" s="12"/>
      <c r="DI46" s="27"/>
      <c r="DJ46" s="58"/>
      <c r="DK46" s="12"/>
      <c r="DL46" s="27"/>
      <c r="DM46" s="58"/>
      <c r="DN46" s="107"/>
      <c r="DO46" s="27"/>
      <c r="DP46" s="58"/>
      <c r="DQ46" s="107"/>
      <c r="DR46" s="27"/>
      <c r="DS46" s="58"/>
      <c r="DT46" s="107"/>
      <c r="DU46" s="27"/>
      <c r="DV46" s="58"/>
      <c r="DW46" s="107"/>
      <c r="DX46" s="27"/>
      <c r="DY46" s="58"/>
      <c r="DZ46" s="12"/>
    </row>
    <row r="47" spans="1:130" s="2" customFormat="1" ht="34.9" customHeight="1" x14ac:dyDescent="0.6">
      <c r="A47" s="5">
        <v>44</v>
      </c>
      <c r="B47" s="21" t="s">
        <v>156</v>
      </c>
      <c r="C47" s="16" t="s">
        <v>157</v>
      </c>
      <c r="D47" s="15" t="s">
        <v>128</v>
      </c>
      <c r="E47" s="14" t="s">
        <v>129</v>
      </c>
      <c r="F47" s="7" t="s">
        <v>150</v>
      </c>
      <c r="G47" s="18" t="s">
        <v>789</v>
      </c>
      <c r="H47" s="18" t="s">
        <v>790</v>
      </c>
      <c r="I47" s="14" t="s">
        <v>791</v>
      </c>
      <c r="J47" s="49" t="s">
        <v>151</v>
      </c>
      <c r="K47" s="27">
        <v>78</v>
      </c>
      <c r="L47" s="58">
        <v>1260</v>
      </c>
      <c r="M47" s="78">
        <v>776</v>
      </c>
      <c r="N47" s="27">
        <v>116</v>
      </c>
      <c r="O47" s="58">
        <v>1800</v>
      </c>
      <c r="P47" s="49">
        <v>1214</v>
      </c>
      <c r="Q47" s="27">
        <v>147</v>
      </c>
      <c r="R47" s="58">
        <v>2420</v>
      </c>
      <c r="S47" s="98">
        <v>1500.4</v>
      </c>
      <c r="T47" s="27">
        <v>140</v>
      </c>
      <c r="U47" s="58">
        <v>2320</v>
      </c>
      <c r="V47" s="107">
        <v>1454.4</v>
      </c>
      <c r="W47" s="27">
        <v>65</v>
      </c>
      <c r="X47" s="58">
        <v>980</v>
      </c>
      <c r="Y47" s="12">
        <v>698.8</v>
      </c>
      <c r="Z47" s="27">
        <v>112</v>
      </c>
      <c r="AA47" s="58">
        <v>2030</v>
      </c>
      <c r="AB47" s="107">
        <v>1281.5999999999999</v>
      </c>
      <c r="AC47" s="27">
        <v>158</v>
      </c>
      <c r="AD47" s="58">
        <v>2250</v>
      </c>
      <c r="AE47" s="107">
        <v>1642.4</v>
      </c>
      <c r="AF47" s="27">
        <v>52</v>
      </c>
      <c r="AG47" s="58">
        <v>1130</v>
      </c>
      <c r="AH47" s="107">
        <v>588.4</v>
      </c>
      <c r="AI47" s="27">
        <v>93</v>
      </c>
      <c r="AJ47" s="58">
        <v>1440</v>
      </c>
      <c r="AK47" s="107">
        <v>956</v>
      </c>
      <c r="AL47" s="27">
        <v>133</v>
      </c>
      <c r="AM47" s="58">
        <v>2330</v>
      </c>
      <c r="AN47" s="107">
        <v>1457.2</v>
      </c>
      <c r="AO47" s="27">
        <v>73</v>
      </c>
      <c r="AP47" s="58">
        <v>1262</v>
      </c>
      <c r="AQ47" s="107">
        <v>819.2</v>
      </c>
      <c r="AR47" s="27">
        <v>136</v>
      </c>
      <c r="AS47" s="58">
        <v>2450</v>
      </c>
      <c r="AT47" s="12">
        <v>1475.2</v>
      </c>
      <c r="AU47" s="54">
        <f t="shared" si="0"/>
        <v>1303</v>
      </c>
      <c r="AV47" s="63">
        <f t="shared" si="1"/>
        <v>21672</v>
      </c>
      <c r="AW47" s="55">
        <f t="shared" si="2"/>
        <v>13863.600000000002</v>
      </c>
      <c r="AX47" s="54">
        <f t="shared" si="3"/>
        <v>108.58333333333333</v>
      </c>
      <c r="AY47" s="63">
        <f t="shared" si="4"/>
        <v>9.0486111111111107</v>
      </c>
      <c r="AZ47" s="55">
        <f t="shared" si="5"/>
        <v>1155.3000000000002</v>
      </c>
      <c r="BA47" s="10">
        <v>75</v>
      </c>
      <c r="BB47" s="15">
        <v>1276</v>
      </c>
      <c r="BC47" s="11">
        <v>824.8</v>
      </c>
      <c r="BD47" s="10">
        <v>67</v>
      </c>
      <c r="BE47" s="15">
        <v>1228</v>
      </c>
      <c r="BF47" s="11">
        <v>710</v>
      </c>
      <c r="BG47" s="10">
        <v>108</v>
      </c>
      <c r="BH47" s="15">
        <v>1972</v>
      </c>
      <c r="BI47" s="11">
        <v>1162.4000000000001</v>
      </c>
      <c r="BJ47" s="10">
        <v>57</v>
      </c>
      <c r="BK47" s="15">
        <v>920</v>
      </c>
      <c r="BL47" s="11">
        <v>613.20000000000005</v>
      </c>
      <c r="BM47" s="44">
        <v>68</v>
      </c>
      <c r="BN47" s="42">
        <v>1360</v>
      </c>
      <c r="BO47" s="45">
        <v>791.2</v>
      </c>
      <c r="BP47" s="44">
        <v>52</v>
      </c>
      <c r="BQ47" s="42">
        <v>1260</v>
      </c>
      <c r="BR47" s="45">
        <v>637.6</v>
      </c>
      <c r="BS47" s="44">
        <v>55</v>
      </c>
      <c r="BT47" s="42">
        <v>830</v>
      </c>
      <c r="BU47" s="112">
        <v>624.40000000000009</v>
      </c>
      <c r="BV47" s="115">
        <v>53</v>
      </c>
      <c r="BW47" s="116">
        <v>1313</v>
      </c>
      <c r="BX47" s="112">
        <v>614.44000000000005</v>
      </c>
      <c r="BY47" s="115">
        <v>48</v>
      </c>
      <c r="BZ47" s="116">
        <v>840</v>
      </c>
      <c r="CA47" s="112">
        <v>483.20000000000005</v>
      </c>
      <c r="CB47" s="115">
        <v>82</v>
      </c>
      <c r="CC47" s="116">
        <v>1490</v>
      </c>
      <c r="CD47" s="112">
        <v>900.40000000000009</v>
      </c>
      <c r="CE47" s="115">
        <v>33</v>
      </c>
      <c r="CF47" s="116">
        <v>724</v>
      </c>
      <c r="CG47" s="112">
        <v>378</v>
      </c>
      <c r="CH47" s="115">
        <v>66</v>
      </c>
      <c r="CI47" s="116">
        <v>1374</v>
      </c>
      <c r="CJ47" s="112">
        <v>720.40000000000009</v>
      </c>
      <c r="CK47" s="54">
        <f t="shared" si="6"/>
        <v>764</v>
      </c>
      <c r="CL47" s="63">
        <f t="shared" si="7"/>
        <v>14587</v>
      </c>
      <c r="CM47" s="55">
        <f t="shared" si="8"/>
        <v>8460.0400000000009</v>
      </c>
      <c r="CN47" s="54">
        <f t="shared" si="9"/>
        <v>63.666666666666664</v>
      </c>
      <c r="CO47" s="63">
        <f t="shared" si="10"/>
        <v>1215.5833333333333</v>
      </c>
      <c r="CP47" s="172">
        <f t="shared" si="11"/>
        <v>705.00333333333344</v>
      </c>
      <c r="CQ47" s="151">
        <v>48</v>
      </c>
      <c r="CR47" s="152">
        <v>1008</v>
      </c>
      <c r="CS47" s="97">
        <v>524</v>
      </c>
      <c r="CT47" s="27">
        <v>95</v>
      </c>
      <c r="CU47" s="58">
        <v>1554</v>
      </c>
      <c r="CV47" s="107">
        <v>1032.4000000000001</v>
      </c>
      <c r="CW47" s="27"/>
      <c r="CX47" s="58"/>
      <c r="CY47" s="98"/>
      <c r="CZ47" s="27"/>
      <c r="DA47" s="58"/>
      <c r="DB47" s="107"/>
      <c r="DC47" s="27"/>
      <c r="DD47" s="58"/>
      <c r="DE47" s="12"/>
      <c r="DF47" s="27"/>
      <c r="DG47" s="58"/>
      <c r="DH47" s="107"/>
      <c r="DI47" s="27"/>
      <c r="DJ47" s="58"/>
      <c r="DK47" s="107"/>
      <c r="DL47" s="27"/>
      <c r="DM47" s="58"/>
      <c r="DN47" s="107"/>
      <c r="DO47" s="27"/>
      <c r="DP47" s="58"/>
      <c r="DQ47" s="107"/>
      <c r="DR47" s="27"/>
      <c r="DS47" s="58"/>
      <c r="DT47" s="107"/>
      <c r="DU47" s="27"/>
      <c r="DV47" s="58"/>
      <c r="DW47" s="107"/>
      <c r="DX47" s="27"/>
      <c r="DY47" s="58"/>
      <c r="DZ47" s="12"/>
    </row>
    <row r="48" spans="1:130" s="2" customFormat="1" ht="34.9" customHeight="1" x14ac:dyDescent="0.6">
      <c r="A48" s="5">
        <v>45</v>
      </c>
      <c r="B48" s="21" t="s">
        <v>158</v>
      </c>
      <c r="C48" s="16" t="s">
        <v>159</v>
      </c>
      <c r="D48" s="15" t="s">
        <v>128</v>
      </c>
      <c r="E48" s="14" t="s">
        <v>129</v>
      </c>
      <c r="F48" s="7" t="s">
        <v>150</v>
      </c>
      <c r="G48" s="18" t="s">
        <v>158</v>
      </c>
      <c r="H48" s="18" t="s">
        <v>792</v>
      </c>
      <c r="I48" s="14" t="s">
        <v>793</v>
      </c>
      <c r="J48" s="49" t="s">
        <v>151</v>
      </c>
      <c r="K48" s="27">
        <v>295</v>
      </c>
      <c r="L48" s="58">
        <v>4460</v>
      </c>
      <c r="M48" s="78">
        <v>3454.4</v>
      </c>
      <c r="N48" s="27">
        <v>350</v>
      </c>
      <c r="O48" s="58">
        <v>5300</v>
      </c>
      <c r="P48" s="49">
        <v>4087.6</v>
      </c>
      <c r="Q48" s="27">
        <v>350</v>
      </c>
      <c r="R48" s="58">
        <v>4860</v>
      </c>
      <c r="S48" s="98">
        <v>4040</v>
      </c>
      <c r="T48" s="27">
        <v>535</v>
      </c>
      <c r="U48" s="58">
        <v>8440</v>
      </c>
      <c r="V48" s="12">
        <v>6150</v>
      </c>
      <c r="W48" s="27">
        <v>719</v>
      </c>
      <c r="X48" s="58">
        <v>11488</v>
      </c>
      <c r="Y48" s="12">
        <v>8693.6</v>
      </c>
      <c r="Z48" s="27">
        <v>131</v>
      </c>
      <c r="AA48" s="58">
        <v>1712</v>
      </c>
      <c r="AB48" s="107">
        <v>1354.4</v>
      </c>
      <c r="AC48" s="27">
        <v>340</v>
      </c>
      <c r="AD48" s="58">
        <v>4620</v>
      </c>
      <c r="AE48" s="107">
        <v>3927.6</v>
      </c>
      <c r="AF48" s="27">
        <v>260</v>
      </c>
      <c r="AG48" s="58">
        <v>3160</v>
      </c>
      <c r="AH48" s="107">
        <v>2987.2</v>
      </c>
      <c r="AI48" s="27">
        <v>385</v>
      </c>
      <c r="AJ48" s="58">
        <v>5140</v>
      </c>
      <c r="AK48" s="107">
        <v>4402</v>
      </c>
      <c r="AL48" s="27">
        <v>520</v>
      </c>
      <c r="AM48" s="58">
        <v>7500</v>
      </c>
      <c r="AN48" s="107">
        <v>6059.2</v>
      </c>
      <c r="AO48" s="27">
        <v>200</v>
      </c>
      <c r="AP48" s="58">
        <v>3380</v>
      </c>
      <c r="AQ48" s="107">
        <v>2422</v>
      </c>
      <c r="AR48" s="27">
        <v>325</v>
      </c>
      <c r="AS48" s="58">
        <v>4930</v>
      </c>
      <c r="AT48" s="12">
        <v>3894</v>
      </c>
      <c r="AU48" s="54">
        <f t="shared" si="0"/>
        <v>4410</v>
      </c>
      <c r="AV48" s="63">
        <f t="shared" si="1"/>
        <v>64990</v>
      </c>
      <c r="AW48" s="55">
        <f t="shared" si="2"/>
        <v>51471.999999999993</v>
      </c>
      <c r="AX48" s="54">
        <f t="shared" si="3"/>
        <v>367.5</v>
      </c>
      <c r="AY48" s="63">
        <f t="shared" si="4"/>
        <v>30.625</v>
      </c>
      <c r="AZ48" s="55">
        <f t="shared" si="5"/>
        <v>4289.333333333333</v>
      </c>
      <c r="BA48" s="10">
        <v>280</v>
      </c>
      <c r="BB48" s="15">
        <v>4540</v>
      </c>
      <c r="BC48" s="11">
        <v>3300.8</v>
      </c>
      <c r="BD48" s="10">
        <v>260</v>
      </c>
      <c r="BE48" s="15">
        <v>4480</v>
      </c>
      <c r="BF48" s="11">
        <v>3058</v>
      </c>
      <c r="BG48" s="10">
        <v>1305</v>
      </c>
      <c r="BH48" s="15">
        <v>23100</v>
      </c>
      <c r="BI48" s="11">
        <v>15138</v>
      </c>
      <c r="BJ48" s="10">
        <v>20</v>
      </c>
      <c r="BK48" s="15">
        <v>800</v>
      </c>
      <c r="BL48" s="11">
        <v>280</v>
      </c>
      <c r="BM48" s="44">
        <v>50</v>
      </c>
      <c r="BN48" s="42">
        <v>600</v>
      </c>
      <c r="BO48" s="45">
        <v>600</v>
      </c>
      <c r="BP48" s="44">
        <v>150</v>
      </c>
      <c r="BQ48" s="42">
        <v>1800</v>
      </c>
      <c r="BR48" s="45">
        <v>1800</v>
      </c>
      <c r="BS48" s="44">
        <v>50</v>
      </c>
      <c r="BT48" s="42">
        <v>600</v>
      </c>
      <c r="BU48" s="112">
        <v>600</v>
      </c>
      <c r="BV48" s="115">
        <v>51</v>
      </c>
      <c r="BW48" s="116">
        <v>652</v>
      </c>
      <c r="BX48" s="112">
        <v>547.36</v>
      </c>
      <c r="BY48" s="115">
        <v>130</v>
      </c>
      <c r="BZ48" s="116">
        <v>2400</v>
      </c>
      <c r="CA48" s="112">
        <v>1620</v>
      </c>
      <c r="CB48" s="115">
        <v>350</v>
      </c>
      <c r="CC48" s="116">
        <v>5080</v>
      </c>
      <c r="CD48" s="112">
        <v>4199.2</v>
      </c>
      <c r="CE48" s="115">
        <v>260</v>
      </c>
      <c r="CF48" s="116">
        <v>4920</v>
      </c>
      <c r="CG48" s="112">
        <v>3057.6000000000004</v>
      </c>
      <c r="CH48" s="115">
        <v>295</v>
      </c>
      <c r="CI48" s="116">
        <v>5220</v>
      </c>
      <c r="CJ48" s="112">
        <v>3660</v>
      </c>
      <c r="CK48" s="54">
        <f t="shared" si="6"/>
        <v>3201</v>
      </c>
      <c r="CL48" s="63">
        <f t="shared" si="7"/>
        <v>54192</v>
      </c>
      <c r="CM48" s="55">
        <f t="shared" si="8"/>
        <v>37860.959999999999</v>
      </c>
      <c r="CN48" s="54">
        <f t="shared" si="9"/>
        <v>266.75</v>
      </c>
      <c r="CO48" s="63">
        <f t="shared" si="10"/>
        <v>4516</v>
      </c>
      <c r="CP48" s="172">
        <f t="shared" si="11"/>
        <v>3155.08</v>
      </c>
      <c r="CQ48" s="151">
        <v>170</v>
      </c>
      <c r="CR48" s="152">
        <v>3080</v>
      </c>
      <c r="CS48" s="97">
        <v>2018.8</v>
      </c>
      <c r="CT48" s="27">
        <v>290</v>
      </c>
      <c r="CU48" s="58">
        <v>5680</v>
      </c>
      <c r="CV48" s="12">
        <v>3478</v>
      </c>
      <c r="CW48" s="27"/>
      <c r="CX48" s="58"/>
      <c r="CY48" s="98"/>
      <c r="CZ48" s="27"/>
      <c r="DA48" s="58"/>
      <c r="DB48" s="107"/>
      <c r="DC48" s="27"/>
      <c r="DD48" s="58"/>
      <c r="DE48" s="12"/>
      <c r="DF48" s="27"/>
      <c r="DG48" s="58"/>
      <c r="DH48" s="107"/>
      <c r="DI48" s="27"/>
      <c r="DJ48" s="58"/>
      <c r="DK48" s="107"/>
      <c r="DL48" s="27"/>
      <c r="DM48" s="58"/>
      <c r="DN48" s="107"/>
      <c r="DO48" s="27"/>
      <c r="DP48" s="58"/>
      <c r="DQ48" s="107"/>
      <c r="DR48" s="27"/>
      <c r="DS48" s="58"/>
      <c r="DT48" s="107"/>
      <c r="DU48" s="27"/>
      <c r="DV48" s="58"/>
      <c r="DW48" s="107"/>
      <c r="DX48" s="27"/>
      <c r="DY48" s="58"/>
      <c r="DZ48" s="12"/>
    </row>
    <row r="49" spans="1:130" s="2" customFormat="1" ht="34.9" customHeight="1" x14ac:dyDescent="0.6">
      <c r="A49" s="5">
        <v>46</v>
      </c>
      <c r="B49" s="21" t="s">
        <v>162</v>
      </c>
      <c r="C49" s="16" t="s">
        <v>163</v>
      </c>
      <c r="D49" s="15" t="s">
        <v>128</v>
      </c>
      <c r="E49" s="14" t="s">
        <v>129</v>
      </c>
      <c r="F49" s="7" t="s">
        <v>150</v>
      </c>
      <c r="G49" s="18" t="s">
        <v>795</v>
      </c>
      <c r="H49" s="18" t="s">
        <v>796</v>
      </c>
      <c r="I49" s="14" t="s">
        <v>797</v>
      </c>
      <c r="J49" s="49" t="s">
        <v>151</v>
      </c>
      <c r="K49" s="27">
        <v>220</v>
      </c>
      <c r="L49" s="58">
        <v>2856</v>
      </c>
      <c r="M49" s="78">
        <v>2275.6800000000003</v>
      </c>
      <c r="N49" s="27">
        <v>168</v>
      </c>
      <c r="O49" s="58">
        <v>2076</v>
      </c>
      <c r="P49" s="104">
        <v>1910.4</v>
      </c>
      <c r="Q49" s="27">
        <v>209</v>
      </c>
      <c r="R49" s="58">
        <v>2572</v>
      </c>
      <c r="S49" s="98">
        <v>2392.7200000000003</v>
      </c>
      <c r="T49" s="27">
        <v>166</v>
      </c>
      <c r="U49" s="58">
        <v>2032</v>
      </c>
      <c r="V49" s="107">
        <v>1909.6</v>
      </c>
      <c r="W49" s="27">
        <v>212</v>
      </c>
      <c r="X49" s="58">
        <v>2604</v>
      </c>
      <c r="Y49" s="12">
        <v>2424</v>
      </c>
      <c r="Z49" s="27">
        <v>159</v>
      </c>
      <c r="AA49" s="58">
        <v>1948</v>
      </c>
      <c r="AB49" s="107">
        <v>1829.2</v>
      </c>
      <c r="AC49" s="27">
        <v>174</v>
      </c>
      <c r="AD49" s="58">
        <v>2132</v>
      </c>
      <c r="AE49" s="107">
        <v>2006.72</v>
      </c>
      <c r="AF49" s="27">
        <v>180</v>
      </c>
      <c r="AG49" s="58">
        <v>2190</v>
      </c>
      <c r="AH49" s="107">
        <v>2110.8000000000002</v>
      </c>
      <c r="AI49" s="27">
        <v>149</v>
      </c>
      <c r="AJ49" s="58">
        <v>1804</v>
      </c>
      <c r="AK49" s="107">
        <v>1763.68</v>
      </c>
      <c r="AL49" s="27">
        <v>147</v>
      </c>
      <c r="AM49" s="58">
        <v>1770</v>
      </c>
      <c r="AN49" s="107">
        <v>1754.88</v>
      </c>
      <c r="AO49" s="27">
        <v>129</v>
      </c>
      <c r="AP49" s="58">
        <v>1550</v>
      </c>
      <c r="AQ49" s="107">
        <v>1544.96</v>
      </c>
      <c r="AR49" s="27">
        <v>115</v>
      </c>
      <c r="AS49" s="58">
        <v>1382</v>
      </c>
      <c r="AT49" s="12">
        <v>1376.96</v>
      </c>
      <c r="AU49" s="54">
        <f t="shared" si="0"/>
        <v>2028</v>
      </c>
      <c r="AV49" s="63">
        <f t="shared" si="1"/>
        <v>24916</v>
      </c>
      <c r="AW49" s="55">
        <f t="shared" si="2"/>
        <v>23299.599999999999</v>
      </c>
      <c r="AX49" s="54">
        <f t="shared" si="3"/>
        <v>169</v>
      </c>
      <c r="AY49" s="63">
        <f t="shared" si="4"/>
        <v>14.083333333333334</v>
      </c>
      <c r="AZ49" s="55">
        <f t="shared" si="5"/>
        <v>1941.6333333333332</v>
      </c>
      <c r="BA49" s="10">
        <v>126</v>
      </c>
      <c r="BB49" s="15">
        <v>1512</v>
      </c>
      <c r="BC49" s="11">
        <v>1512</v>
      </c>
      <c r="BD49" s="10">
        <v>150</v>
      </c>
      <c r="BE49" s="15">
        <v>1800</v>
      </c>
      <c r="BF49" s="11">
        <v>1800</v>
      </c>
      <c r="BG49" s="10">
        <v>143</v>
      </c>
      <c r="BH49" s="15">
        <v>1716</v>
      </c>
      <c r="BI49" s="11">
        <v>1716</v>
      </c>
      <c r="BJ49" s="10">
        <v>87</v>
      </c>
      <c r="BK49" s="15">
        <v>1044</v>
      </c>
      <c r="BL49" s="11">
        <v>1044</v>
      </c>
      <c r="BM49" s="44">
        <v>208</v>
      </c>
      <c r="BN49" s="42">
        <v>2496</v>
      </c>
      <c r="BO49" s="45">
        <v>2496</v>
      </c>
      <c r="BP49" s="44">
        <v>235</v>
      </c>
      <c r="BQ49" s="42">
        <v>2820</v>
      </c>
      <c r="BR49" s="45">
        <v>2820</v>
      </c>
      <c r="BS49" s="44">
        <v>250</v>
      </c>
      <c r="BT49" s="42">
        <v>3000</v>
      </c>
      <c r="BU49" s="112">
        <v>3000</v>
      </c>
      <c r="BV49" s="115">
        <v>239</v>
      </c>
      <c r="BW49" s="116">
        <v>2880</v>
      </c>
      <c r="BX49" s="112">
        <v>2876.16</v>
      </c>
      <c r="BY49" s="115">
        <v>157</v>
      </c>
      <c r="BZ49" s="116">
        <v>1884</v>
      </c>
      <c r="CA49" s="112">
        <v>1884</v>
      </c>
      <c r="CB49" s="115">
        <v>134</v>
      </c>
      <c r="CC49" s="116">
        <v>1608</v>
      </c>
      <c r="CD49" s="112">
        <v>1608</v>
      </c>
      <c r="CE49" s="115">
        <v>126</v>
      </c>
      <c r="CF49" s="116">
        <v>1512</v>
      </c>
      <c r="CG49" s="112">
        <v>1512</v>
      </c>
      <c r="CH49" s="115">
        <v>175</v>
      </c>
      <c r="CI49" s="116">
        <v>2100</v>
      </c>
      <c r="CJ49" s="112">
        <v>2100</v>
      </c>
      <c r="CK49" s="54">
        <f t="shared" si="6"/>
        <v>2030</v>
      </c>
      <c r="CL49" s="63">
        <f t="shared" si="7"/>
        <v>24372</v>
      </c>
      <c r="CM49" s="55">
        <f t="shared" si="8"/>
        <v>24368.16</v>
      </c>
      <c r="CN49" s="54">
        <f t="shared" si="9"/>
        <v>169.16666666666666</v>
      </c>
      <c r="CO49" s="63">
        <f t="shared" si="10"/>
        <v>2031</v>
      </c>
      <c r="CP49" s="172">
        <f t="shared" si="11"/>
        <v>2030.68</v>
      </c>
      <c r="CQ49" s="151">
        <v>147</v>
      </c>
      <c r="CR49" s="152">
        <v>1764</v>
      </c>
      <c r="CS49" s="97">
        <v>1764</v>
      </c>
      <c r="CT49" s="27">
        <v>109</v>
      </c>
      <c r="CU49" s="58">
        <v>1308</v>
      </c>
      <c r="CV49" s="12">
        <v>1308</v>
      </c>
      <c r="CW49" s="27"/>
      <c r="CX49" s="58"/>
      <c r="CY49" s="98"/>
      <c r="CZ49" s="27"/>
      <c r="DA49" s="58"/>
      <c r="DB49" s="12"/>
      <c r="DC49" s="27"/>
      <c r="DD49" s="58"/>
      <c r="DE49" s="12"/>
      <c r="DF49" s="27"/>
      <c r="DG49" s="58"/>
      <c r="DH49" s="107"/>
      <c r="DI49" s="27"/>
      <c r="DJ49" s="58"/>
      <c r="DK49" s="107"/>
      <c r="DL49" s="27"/>
      <c r="DM49" s="58"/>
      <c r="DN49" s="107"/>
      <c r="DO49" s="27"/>
      <c r="DP49" s="58"/>
      <c r="DQ49" s="107"/>
      <c r="DR49" s="27"/>
      <c r="DS49" s="58"/>
      <c r="DT49" s="107"/>
      <c r="DU49" s="27"/>
      <c r="DV49" s="58"/>
      <c r="DW49" s="107"/>
      <c r="DX49" s="27"/>
      <c r="DY49" s="58"/>
      <c r="DZ49" s="12"/>
    </row>
    <row r="50" spans="1:130" s="2" customFormat="1" ht="34.9" customHeight="1" x14ac:dyDescent="0.6">
      <c r="A50" s="5">
        <v>47</v>
      </c>
      <c r="B50" s="21" t="s">
        <v>164</v>
      </c>
      <c r="C50" s="16" t="s">
        <v>165</v>
      </c>
      <c r="D50" s="15" t="s">
        <v>128</v>
      </c>
      <c r="E50" s="14" t="s">
        <v>129</v>
      </c>
      <c r="F50" s="7" t="s">
        <v>150</v>
      </c>
      <c r="G50" s="18" t="s">
        <v>798</v>
      </c>
      <c r="H50" s="18" t="s">
        <v>799</v>
      </c>
      <c r="I50" s="14" t="s">
        <v>800</v>
      </c>
      <c r="J50" s="49" t="s">
        <v>151</v>
      </c>
      <c r="K50" s="27">
        <v>211</v>
      </c>
      <c r="L50" s="58">
        <v>3080</v>
      </c>
      <c r="M50" s="78">
        <v>2412</v>
      </c>
      <c r="N50" s="27">
        <v>135</v>
      </c>
      <c r="O50" s="58">
        <v>2040</v>
      </c>
      <c r="P50" s="104">
        <v>1427.2</v>
      </c>
      <c r="Q50" s="27">
        <v>246</v>
      </c>
      <c r="R50" s="58">
        <v>3392</v>
      </c>
      <c r="S50" s="98">
        <v>2704.8</v>
      </c>
      <c r="T50" s="27">
        <v>175</v>
      </c>
      <c r="U50" s="58">
        <v>2680</v>
      </c>
      <c r="V50" s="107">
        <v>1862.8000000000002</v>
      </c>
      <c r="W50" s="27">
        <v>310</v>
      </c>
      <c r="X50" s="58">
        <v>4210</v>
      </c>
      <c r="Y50" s="12">
        <v>3372.8</v>
      </c>
      <c r="Z50" s="27">
        <v>335</v>
      </c>
      <c r="AA50" s="58">
        <v>4620</v>
      </c>
      <c r="AB50" s="107">
        <v>3776.4</v>
      </c>
      <c r="AC50" s="27">
        <v>175</v>
      </c>
      <c r="AD50" s="58">
        <v>2370</v>
      </c>
      <c r="AE50" s="107">
        <v>1888.4</v>
      </c>
      <c r="AF50" s="27">
        <v>125</v>
      </c>
      <c r="AG50" s="58">
        <v>2200</v>
      </c>
      <c r="AH50" s="107">
        <v>1502</v>
      </c>
      <c r="AI50" s="27">
        <v>95</v>
      </c>
      <c r="AJ50" s="58">
        <v>1180</v>
      </c>
      <c r="AK50" s="107">
        <v>1079.2</v>
      </c>
      <c r="AL50" s="27">
        <v>222</v>
      </c>
      <c r="AM50" s="58">
        <v>3024</v>
      </c>
      <c r="AN50" s="107">
        <v>2552.8000000000002</v>
      </c>
      <c r="AO50" s="27">
        <v>62</v>
      </c>
      <c r="AP50" s="58">
        <v>744</v>
      </c>
      <c r="AQ50" s="107">
        <v>744</v>
      </c>
      <c r="AR50" s="27">
        <v>101</v>
      </c>
      <c r="AS50" s="58">
        <v>1420</v>
      </c>
      <c r="AT50" s="12">
        <v>1163.2</v>
      </c>
      <c r="AU50" s="54">
        <f t="shared" si="0"/>
        <v>2192</v>
      </c>
      <c r="AV50" s="63">
        <f t="shared" si="1"/>
        <v>30960</v>
      </c>
      <c r="AW50" s="55">
        <f t="shared" si="2"/>
        <v>24485.599999999999</v>
      </c>
      <c r="AX50" s="54">
        <f t="shared" si="3"/>
        <v>182.66666666666666</v>
      </c>
      <c r="AY50" s="63">
        <f t="shared" si="4"/>
        <v>15.222222222222221</v>
      </c>
      <c r="AZ50" s="55">
        <f t="shared" si="5"/>
        <v>2040.4666666666665</v>
      </c>
      <c r="BA50" s="10">
        <v>105</v>
      </c>
      <c r="BB50" s="15">
        <v>1420</v>
      </c>
      <c r="BC50" s="11">
        <v>1240</v>
      </c>
      <c r="BD50" s="10">
        <v>143</v>
      </c>
      <c r="BE50" s="15">
        <v>1820</v>
      </c>
      <c r="BF50" s="11">
        <v>1691.6</v>
      </c>
      <c r="BG50" s="10">
        <v>328</v>
      </c>
      <c r="BH50" s="15">
        <v>4160</v>
      </c>
      <c r="BI50" s="11">
        <v>3952</v>
      </c>
      <c r="BJ50" s="10">
        <v>28</v>
      </c>
      <c r="BK50" s="15">
        <v>636</v>
      </c>
      <c r="BL50" s="11">
        <v>325.60000000000002</v>
      </c>
      <c r="BM50" s="44">
        <v>110</v>
      </c>
      <c r="BN50" s="42">
        <v>1350</v>
      </c>
      <c r="BO50" s="45">
        <v>1274.3999999999999</v>
      </c>
      <c r="BP50" s="44">
        <v>146</v>
      </c>
      <c r="BQ50" s="42">
        <v>1826</v>
      </c>
      <c r="BR50" s="45">
        <v>1728.6399999999999</v>
      </c>
      <c r="BS50" s="44">
        <v>180</v>
      </c>
      <c r="BT50" s="42">
        <v>2382</v>
      </c>
      <c r="BU50" s="112">
        <v>2134.48</v>
      </c>
      <c r="BV50" s="115">
        <v>126</v>
      </c>
      <c r="BW50" s="116">
        <v>1703</v>
      </c>
      <c r="BX50" s="112">
        <v>1495.6399999999999</v>
      </c>
      <c r="BY50" s="115">
        <v>190</v>
      </c>
      <c r="BZ50" s="116">
        <v>2620</v>
      </c>
      <c r="CA50" s="112">
        <v>2208.8000000000002</v>
      </c>
      <c r="CB50" s="115">
        <v>146</v>
      </c>
      <c r="CC50" s="116">
        <v>1970</v>
      </c>
      <c r="CD50" s="112">
        <v>1688</v>
      </c>
      <c r="CE50" s="115">
        <v>134</v>
      </c>
      <c r="CF50" s="116">
        <v>1760</v>
      </c>
      <c r="CG50" s="112">
        <v>1555.2</v>
      </c>
      <c r="CH50" s="115">
        <v>143</v>
      </c>
      <c r="CI50" s="116">
        <v>1912</v>
      </c>
      <c r="CJ50" s="112">
        <v>1640.88</v>
      </c>
      <c r="CK50" s="54">
        <f t="shared" si="6"/>
        <v>1779</v>
      </c>
      <c r="CL50" s="63">
        <f t="shared" si="7"/>
        <v>23559</v>
      </c>
      <c r="CM50" s="55">
        <f t="shared" si="8"/>
        <v>20935.240000000002</v>
      </c>
      <c r="CN50" s="54">
        <f t="shared" si="9"/>
        <v>148.25</v>
      </c>
      <c r="CO50" s="63">
        <f t="shared" si="10"/>
        <v>1963.25</v>
      </c>
      <c r="CP50" s="172">
        <f t="shared" si="11"/>
        <v>1744.6033333333335</v>
      </c>
      <c r="CQ50" s="151">
        <v>83</v>
      </c>
      <c r="CR50" s="152">
        <v>1120</v>
      </c>
      <c r="CS50" s="97">
        <v>941.2</v>
      </c>
      <c r="CT50" s="27">
        <v>93</v>
      </c>
      <c r="CU50" s="58">
        <v>1220</v>
      </c>
      <c r="CV50" s="12">
        <v>1091.5999999999999</v>
      </c>
      <c r="CW50" s="27"/>
      <c r="CX50" s="58"/>
      <c r="CY50" s="98"/>
      <c r="CZ50" s="27"/>
      <c r="DA50" s="58"/>
      <c r="DB50" s="12"/>
      <c r="DC50" s="27"/>
      <c r="DD50" s="58"/>
      <c r="DE50" s="12"/>
      <c r="DF50" s="27"/>
      <c r="DG50" s="58"/>
      <c r="DH50" s="107"/>
      <c r="DI50" s="27"/>
      <c r="DJ50" s="58"/>
      <c r="DK50" s="107"/>
      <c r="DL50" s="27"/>
      <c r="DM50" s="58"/>
      <c r="DN50" s="107"/>
      <c r="DO50" s="27"/>
      <c r="DP50" s="58"/>
      <c r="DQ50" s="107"/>
      <c r="DR50" s="27"/>
      <c r="DS50" s="58"/>
      <c r="DT50" s="107"/>
      <c r="DU50" s="27"/>
      <c r="DV50" s="58"/>
      <c r="DW50" s="107"/>
      <c r="DX50" s="27"/>
      <c r="DY50" s="58"/>
      <c r="DZ50" s="12"/>
    </row>
    <row r="51" spans="1:130" s="2" customFormat="1" ht="34.9" customHeight="1" x14ac:dyDescent="0.6">
      <c r="A51" s="5">
        <v>48</v>
      </c>
      <c r="B51" s="21" t="s">
        <v>166</v>
      </c>
      <c r="C51" s="16" t="s">
        <v>167</v>
      </c>
      <c r="D51" s="15" t="s">
        <v>128</v>
      </c>
      <c r="E51" s="14" t="s">
        <v>129</v>
      </c>
      <c r="F51" s="7" t="s">
        <v>150</v>
      </c>
      <c r="G51" s="19" t="s">
        <v>752</v>
      </c>
      <c r="H51" s="19" t="s">
        <v>753</v>
      </c>
      <c r="I51" s="20" t="s">
        <v>801</v>
      </c>
      <c r="J51" s="49" t="s">
        <v>151</v>
      </c>
      <c r="K51" s="27">
        <v>164</v>
      </c>
      <c r="L51" s="58">
        <v>2280</v>
      </c>
      <c r="M51" s="78">
        <v>1870.8</v>
      </c>
      <c r="N51" s="27">
        <v>90</v>
      </c>
      <c r="O51" s="58">
        <v>1230</v>
      </c>
      <c r="P51" s="104">
        <v>1074.8</v>
      </c>
      <c r="Q51" s="27">
        <v>90</v>
      </c>
      <c r="R51" s="58">
        <v>1250</v>
      </c>
      <c r="S51" s="98">
        <v>1044.4000000000001</v>
      </c>
      <c r="T51" s="27">
        <v>90</v>
      </c>
      <c r="U51" s="58">
        <v>1540</v>
      </c>
      <c r="V51" s="107">
        <v>1049.2</v>
      </c>
      <c r="W51" s="27">
        <v>115</v>
      </c>
      <c r="X51" s="58">
        <v>1430</v>
      </c>
      <c r="Y51" s="12">
        <v>1304</v>
      </c>
      <c r="Z51" s="27">
        <v>85</v>
      </c>
      <c r="AA51" s="58">
        <v>1190</v>
      </c>
      <c r="AB51" s="12">
        <v>984.4</v>
      </c>
      <c r="AC51" s="27">
        <v>106</v>
      </c>
      <c r="AD51" s="58">
        <v>1490</v>
      </c>
      <c r="AE51" s="107">
        <v>1208</v>
      </c>
      <c r="AF51" s="27">
        <v>109</v>
      </c>
      <c r="AG51" s="58">
        <v>1646</v>
      </c>
      <c r="AH51" s="107">
        <v>1239.8400000000001</v>
      </c>
      <c r="AI51" s="27">
        <v>85</v>
      </c>
      <c r="AJ51" s="58">
        <v>1180</v>
      </c>
      <c r="AK51" s="107">
        <v>999.6</v>
      </c>
      <c r="AL51" s="27">
        <v>113</v>
      </c>
      <c r="AM51" s="58">
        <v>1610</v>
      </c>
      <c r="AN51" s="107">
        <v>1326.4</v>
      </c>
      <c r="AO51" s="27">
        <v>110</v>
      </c>
      <c r="AP51" s="58">
        <v>1660</v>
      </c>
      <c r="AQ51" s="107">
        <v>1248.8</v>
      </c>
      <c r="AR51" s="27">
        <v>115</v>
      </c>
      <c r="AS51" s="58">
        <v>1690</v>
      </c>
      <c r="AT51" s="12">
        <v>1354.4</v>
      </c>
      <c r="AU51" s="54">
        <f t="shared" si="0"/>
        <v>1272</v>
      </c>
      <c r="AV51" s="63">
        <f t="shared" si="1"/>
        <v>18196</v>
      </c>
      <c r="AW51" s="55">
        <f t="shared" si="2"/>
        <v>14704.639999999998</v>
      </c>
      <c r="AX51" s="54">
        <f t="shared" si="3"/>
        <v>106</v>
      </c>
      <c r="AY51" s="63">
        <f t="shared" si="4"/>
        <v>8.8333333333333339</v>
      </c>
      <c r="AZ51" s="55">
        <f t="shared" si="5"/>
        <v>1225.3866666666665</v>
      </c>
      <c r="BA51" s="10">
        <v>80</v>
      </c>
      <c r="BB51" s="15">
        <v>1130</v>
      </c>
      <c r="BC51" s="11">
        <v>924.40000000000009</v>
      </c>
      <c r="BD51" s="10">
        <v>105</v>
      </c>
      <c r="BE51" s="15">
        <v>1430</v>
      </c>
      <c r="BF51" s="11">
        <v>1224.3999999999999</v>
      </c>
      <c r="BG51" s="10">
        <v>125</v>
      </c>
      <c r="BH51" s="15">
        <v>1700</v>
      </c>
      <c r="BI51" s="11">
        <v>1418.8</v>
      </c>
      <c r="BJ51" s="10">
        <v>95</v>
      </c>
      <c r="BK51" s="15">
        <v>1300</v>
      </c>
      <c r="BL51" s="11">
        <v>1119.5999999999999</v>
      </c>
      <c r="BM51" s="44">
        <v>100</v>
      </c>
      <c r="BN51" s="42">
        <v>1210</v>
      </c>
      <c r="BO51" s="45">
        <v>1184.8</v>
      </c>
      <c r="BP51" s="44">
        <v>90</v>
      </c>
      <c r="BQ51" s="42">
        <v>1240</v>
      </c>
      <c r="BR51" s="45">
        <v>1059.5999999999999</v>
      </c>
      <c r="BS51" s="44">
        <v>105</v>
      </c>
      <c r="BT51" s="42">
        <v>1440</v>
      </c>
      <c r="BU51" s="112">
        <v>1209.1999999999998</v>
      </c>
      <c r="BV51" s="115">
        <v>81</v>
      </c>
      <c r="BW51" s="116">
        <v>1022</v>
      </c>
      <c r="BX51" s="112">
        <v>892.16000000000008</v>
      </c>
      <c r="BY51" s="115">
        <v>80</v>
      </c>
      <c r="BZ51" s="116">
        <v>1130</v>
      </c>
      <c r="CA51" s="112">
        <v>924.4</v>
      </c>
      <c r="CB51" s="115">
        <v>75</v>
      </c>
      <c r="CC51" s="116">
        <v>900</v>
      </c>
      <c r="CD51" s="112">
        <v>900</v>
      </c>
      <c r="CE51" s="115">
        <v>87</v>
      </c>
      <c r="CF51" s="116">
        <v>1140</v>
      </c>
      <c r="CG51" s="112">
        <v>987.2</v>
      </c>
      <c r="CH51" s="115">
        <v>88</v>
      </c>
      <c r="CI51" s="116">
        <v>1310</v>
      </c>
      <c r="CJ51" s="112">
        <v>1026.4000000000001</v>
      </c>
      <c r="CK51" s="54">
        <f t="shared" si="6"/>
        <v>1111</v>
      </c>
      <c r="CL51" s="63">
        <f t="shared" si="7"/>
        <v>14952</v>
      </c>
      <c r="CM51" s="55">
        <f t="shared" si="8"/>
        <v>12870.960000000001</v>
      </c>
      <c r="CN51" s="54">
        <f t="shared" si="9"/>
        <v>92.583333333333329</v>
      </c>
      <c r="CO51" s="63">
        <f t="shared" si="10"/>
        <v>1246</v>
      </c>
      <c r="CP51" s="172">
        <f t="shared" si="11"/>
        <v>1072.5800000000002</v>
      </c>
      <c r="CQ51" s="151">
        <v>162</v>
      </c>
      <c r="CR51" s="152">
        <v>2030</v>
      </c>
      <c r="CS51" s="97">
        <v>1902.3999999999999</v>
      </c>
      <c r="CT51" s="27">
        <v>137</v>
      </c>
      <c r="CU51" s="58">
        <v>1750</v>
      </c>
      <c r="CV51" s="107">
        <v>1572</v>
      </c>
      <c r="CW51" s="27"/>
      <c r="CX51" s="58"/>
      <c r="CY51" s="98"/>
      <c r="CZ51" s="27"/>
      <c r="DA51" s="58"/>
      <c r="DB51" s="107"/>
      <c r="DC51" s="27"/>
      <c r="DD51" s="58"/>
      <c r="DE51" s="12"/>
      <c r="DF51" s="27"/>
      <c r="DG51" s="58"/>
      <c r="DH51" s="107"/>
      <c r="DI51" s="27"/>
      <c r="DJ51" s="58"/>
      <c r="DK51" s="107"/>
      <c r="DL51" s="27"/>
      <c r="DM51" s="58"/>
      <c r="DN51" s="107"/>
      <c r="DO51" s="27"/>
      <c r="DP51" s="58"/>
      <c r="DQ51" s="107"/>
      <c r="DR51" s="27"/>
      <c r="DS51" s="58"/>
      <c r="DT51" s="107"/>
      <c r="DU51" s="27"/>
      <c r="DV51" s="58"/>
      <c r="DW51" s="107"/>
      <c r="DX51" s="27"/>
      <c r="DY51" s="58"/>
      <c r="DZ51" s="12"/>
    </row>
    <row r="52" spans="1:130" s="2" customFormat="1" ht="34.9" customHeight="1" x14ac:dyDescent="0.6">
      <c r="A52" s="5">
        <v>49</v>
      </c>
      <c r="B52" s="21" t="s">
        <v>168</v>
      </c>
      <c r="C52" s="16" t="s">
        <v>169</v>
      </c>
      <c r="D52" s="15" t="s">
        <v>128</v>
      </c>
      <c r="E52" s="14" t="s">
        <v>129</v>
      </c>
      <c r="F52" s="7" t="s">
        <v>150</v>
      </c>
      <c r="G52" s="142" t="s">
        <v>645</v>
      </c>
      <c r="H52" s="142" t="s">
        <v>645</v>
      </c>
      <c r="I52" s="20" t="s">
        <v>802</v>
      </c>
      <c r="J52" s="49" t="s">
        <v>151</v>
      </c>
      <c r="K52" s="27">
        <v>312</v>
      </c>
      <c r="L52" s="58">
        <v>4400</v>
      </c>
      <c r="M52" s="78">
        <v>3281.6000000000004</v>
      </c>
      <c r="N52" s="27">
        <v>290</v>
      </c>
      <c r="O52" s="58">
        <v>4020</v>
      </c>
      <c r="P52" s="49">
        <v>3104.8</v>
      </c>
      <c r="Q52" s="27">
        <v>256</v>
      </c>
      <c r="R52" s="58">
        <v>3530</v>
      </c>
      <c r="S52" s="98">
        <v>2643.2</v>
      </c>
      <c r="T52" s="27">
        <v>220</v>
      </c>
      <c r="U52" s="58">
        <v>2910</v>
      </c>
      <c r="V52" s="107">
        <v>2229.6000000000004</v>
      </c>
      <c r="W52" s="27">
        <v>238</v>
      </c>
      <c r="X52" s="58">
        <v>3220</v>
      </c>
      <c r="Y52" s="12">
        <v>2436.4</v>
      </c>
      <c r="Z52" s="27">
        <v>225</v>
      </c>
      <c r="AA52" s="58">
        <v>2970</v>
      </c>
      <c r="AB52" s="12">
        <v>2289.6000000000004</v>
      </c>
      <c r="AC52" s="27">
        <v>229</v>
      </c>
      <c r="AD52" s="58">
        <v>3090</v>
      </c>
      <c r="AE52" s="107">
        <v>2406.4</v>
      </c>
      <c r="AF52" s="27">
        <v>219</v>
      </c>
      <c r="AG52" s="58">
        <v>2980</v>
      </c>
      <c r="AH52" s="107">
        <v>2271.1999999999998</v>
      </c>
      <c r="AI52" s="27">
        <v>215</v>
      </c>
      <c r="AJ52" s="58">
        <v>2820</v>
      </c>
      <c r="AK52" s="107">
        <v>2215.1999999999998</v>
      </c>
      <c r="AL52" s="27">
        <v>175</v>
      </c>
      <c r="AM52" s="58">
        <v>2356</v>
      </c>
      <c r="AN52" s="107">
        <v>1755.44</v>
      </c>
      <c r="AO52" s="27">
        <v>165</v>
      </c>
      <c r="AP52" s="58">
        <v>2180</v>
      </c>
      <c r="AQ52" s="107">
        <v>1676</v>
      </c>
      <c r="AR52" s="27">
        <v>190</v>
      </c>
      <c r="AS52" s="58">
        <v>2480</v>
      </c>
      <c r="AT52" s="12">
        <v>1976</v>
      </c>
      <c r="AU52" s="54">
        <f t="shared" si="0"/>
        <v>2734</v>
      </c>
      <c r="AV52" s="63">
        <f t="shared" si="1"/>
        <v>36956</v>
      </c>
      <c r="AW52" s="55">
        <f t="shared" si="2"/>
        <v>28285.440000000002</v>
      </c>
      <c r="AX52" s="54">
        <f t="shared" si="3"/>
        <v>227.83333333333334</v>
      </c>
      <c r="AY52" s="63">
        <f t="shared" si="4"/>
        <v>18.986111111111111</v>
      </c>
      <c r="AZ52" s="55">
        <f t="shared" si="5"/>
        <v>2357.1200000000003</v>
      </c>
      <c r="BA52" s="10">
        <v>155</v>
      </c>
      <c r="BB52" s="15">
        <v>2020</v>
      </c>
      <c r="BC52" s="11">
        <v>1616.8</v>
      </c>
      <c r="BD52" s="10">
        <v>110</v>
      </c>
      <c r="BE52" s="15">
        <v>1440</v>
      </c>
      <c r="BF52" s="11">
        <v>1137.6000000000001</v>
      </c>
      <c r="BG52" s="10">
        <v>175</v>
      </c>
      <c r="BH52" s="15">
        <v>2280</v>
      </c>
      <c r="BI52" s="11">
        <v>1826.3999999999999</v>
      </c>
      <c r="BJ52" s="10">
        <v>95</v>
      </c>
      <c r="BK52" s="15">
        <v>1240</v>
      </c>
      <c r="BL52" s="11">
        <v>988</v>
      </c>
      <c r="BM52" s="44">
        <v>130</v>
      </c>
      <c r="BN52" s="42">
        <v>1808</v>
      </c>
      <c r="BO52" s="45">
        <v>1262.56</v>
      </c>
      <c r="BP52" s="44">
        <v>60</v>
      </c>
      <c r="BQ52" s="42">
        <v>780</v>
      </c>
      <c r="BR52" s="45">
        <v>628.79999999999995</v>
      </c>
      <c r="BS52" s="44">
        <v>100</v>
      </c>
      <c r="BT52" s="42">
        <v>1270</v>
      </c>
      <c r="BU52" s="112">
        <v>1093.5999999999999</v>
      </c>
      <c r="BV52" s="115">
        <v>120</v>
      </c>
      <c r="BW52" s="116">
        <v>1603</v>
      </c>
      <c r="BX52" s="112">
        <v>1198.8399999999999</v>
      </c>
      <c r="BY52" s="115">
        <v>80</v>
      </c>
      <c r="BZ52" s="116">
        <v>1040</v>
      </c>
      <c r="CA52" s="112">
        <v>838.40000000000009</v>
      </c>
      <c r="CB52" s="115">
        <v>170</v>
      </c>
      <c r="CC52" s="116">
        <v>2240</v>
      </c>
      <c r="CD52" s="112">
        <v>1736</v>
      </c>
      <c r="CE52" s="115">
        <v>120</v>
      </c>
      <c r="CF52" s="116">
        <v>1560</v>
      </c>
      <c r="CG52" s="112">
        <v>1257.5999999999999</v>
      </c>
      <c r="CH52" s="115">
        <v>130</v>
      </c>
      <c r="CI52" s="116">
        <v>1720</v>
      </c>
      <c r="CJ52" s="112">
        <v>1316.8</v>
      </c>
      <c r="CK52" s="54">
        <f t="shared" si="6"/>
        <v>1445</v>
      </c>
      <c r="CL52" s="63">
        <f t="shared" si="7"/>
        <v>19001</v>
      </c>
      <c r="CM52" s="55">
        <f t="shared" si="8"/>
        <v>14901.4</v>
      </c>
      <c r="CN52" s="54">
        <f t="shared" si="9"/>
        <v>120.41666666666667</v>
      </c>
      <c r="CO52" s="63">
        <f t="shared" si="10"/>
        <v>1583.4166666666667</v>
      </c>
      <c r="CP52" s="172">
        <f t="shared" si="11"/>
        <v>1241.7833333333333</v>
      </c>
      <c r="CQ52" s="151">
        <v>85</v>
      </c>
      <c r="CR52" s="152">
        <v>1080</v>
      </c>
      <c r="CS52" s="97">
        <v>928.8</v>
      </c>
      <c r="CT52" s="27">
        <v>130</v>
      </c>
      <c r="CU52" s="58">
        <v>1700</v>
      </c>
      <c r="CV52" s="107">
        <v>1347.1999999999998</v>
      </c>
      <c r="CW52" s="27"/>
      <c r="CX52" s="58"/>
      <c r="CY52" s="98"/>
      <c r="CZ52" s="27"/>
      <c r="DA52" s="58"/>
      <c r="DB52" s="107"/>
      <c r="DC52" s="27"/>
      <c r="DD52" s="58"/>
      <c r="DE52" s="12"/>
      <c r="DF52" s="27"/>
      <c r="DG52" s="58"/>
      <c r="DH52" s="107"/>
      <c r="DI52" s="27"/>
      <c r="DJ52" s="58"/>
      <c r="DK52" s="107"/>
      <c r="DL52" s="27"/>
      <c r="DM52" s="58"/>
      <c r="DN52" s="107"/>
      <c r="DO52" s="27"/>
      <c r="DP52" s="58"/>
      <c r="DQ52" s="107"/>
      <c r="DR52" s="27"/>
      <c r="DS52" s="58"/>
      <c r="DT52" s="107"/>
      <c r="DU52" s="27"/>
      <c r="DV52" s="58"/>
      <c r="DW52" s="107"/>
      <c r="DX52" s="27"/>
      <c r="DY52" s="58"/>
      <c r="DZ52" s="12"/>
    </row>
    <row r="53" spans="1:130" s="2" customFormat="1" ht="34.9" customHeight="1" x14ac:dyDescent="0.6">
      <c r="A53" s="5">
        <v>50</v>
      </c>
      <c r="B53" s="21" t="s">
        <v>170</v>
      </c>
      <c r="C53" s="16" t="s">
        <v>171</v>
      </c>
      <c r="D53" s="15" t="s">
        <v>128</v>
      </c>
      <c r="E53" s="14" t="s">
        <v>129</v>
      </c>
      <c r="F53" s="7" t="s">
        <v>150</v>
      </c>
      <c r="G53" s="18" t="s">
        <v>170</v>
      </c>
      <c r="H53" s="18" t="s">
        <v>171</v>
      </c>
      <c r="I53" s="14" t="s">
        <v>803</v>
      </c>
      <c r="J53" s="49" t="s">
        <v>151</v>
      </c>
      <c r="K53" s="27">
        <v>50</v>
      </c>
      <c r="L53" s="58">
        <v>640</v>
      </c>
      <c r="M53" s="78">
        <v>539.20000000000005</v>
      </c>
      <c r="N53" s="27">
        <v>80</v>
      </c>
      <c r="O53" s="58">
        <v>1000</v>
      </c>
      <c r="P53" s="49">
        <v>899.2</v>
      </c>
      <c r="Q53" s="27">
        <v>65</v>
      </c>
      <c r="R53" s="58">
        <v>800</v>
      </c>
      <c r="S53" s="98">
        <v>749.6</v>
      </c>
      <c r="T53" s="27">
        <v>120</v>
      </c>
      <c r="U53" s="58">
        <v>1580</v>
      </c>
      <c r="V53" s="107">
        <v>1227.2</v>
      </c>
      <c r="W53" s="27">
        <v>110</v>
      </c>
      <c r="X53" s="58">
        <v>1390</v>
      </c>
      <c r="Y53" s="12">
        <v>1213.5999999999999</v>
      </c>
      <c r="Z53" s="27">
        <v>50</v>
      </c>
      <c r="AA53" s="58">
        <v>640</v>
      </c>
      <c r="AB53" s="12">
        <v>539.20000000000005</v>
      </c>
      <c r="AC53" s="27">
        <v>90</v>
      </c>
      <c r="AD53" s="58">
        <v>1120</v>
      </c>
      <c r="AE53" s="107">
        <v>1019.2</v>
      </c>
      <c r="AF53" s="27">
        <v>125</v>
      </c>
      <c r="AG53" s="58">
        <v>1620</v>
      </c>
      <c r="AH53" s="107">
        <v>1317.6</v>
      </c>
      <c r="AI53" s="27">
        <v>80</v>
      </c>
      <c r="AJ53" s="58">
        <v>1000</v>
      </c>
      <c r="AK53" s="107">
        <v>899.2</v>
      </c>
      <c r="AL53" s="27">
        <v>115</v>
      </c>
      <c r="AM53" s="58">
        <v>1430</v>
      </c>
      <c r="AN53" s="107">
        <v>1304</v>
      </c>
      <c r="AO53" s="27">
        <v>110</v>
      </c>
      <c r="AP53" s="58">
        <v>1380</v>
      </c>
      <c r="AQ53" s="107">
        <v>1228.8</v>
      </c>
      <c r="AR53" s="27">
        <v>93</v>
      </c>
      <c r="AS53" s="58">
        <v>1186</v>
      </c>
      <c r="AT53" s="12">
        <v>1009.6</v>
      </c>
      <c r="AU53" s="54">
        <f t="shared" si="0"/>
        <v>1088</v>
      </c>
      <c r="AV53" s="63">
        <f t="shared" si="1"/>
        <v>13786</v>
      </c>
      <c r="AW53" s="55">
        <f t="shared" si="2"/>
        <v>11946.4</v>
      </c>
      <c r="AX53" s="54">
        <f t="shared" si="3"/>
        <v>90.666666666666671</v>
      </c>
      <c r="AY53" s="63">
        <f t="shared" si="4"/>
        <v>7.5555555555555562</v>
      </c>
      <c r="AZ53" s="55">
        <f t="shared" si="5"/>
        <v>995.5333333333333</v>
      </c>
      <c r="BA53" s="10">
        <v>92</v>
      </c>
      <c r="BB53" s="15">
        <v>1164</v>
      </c>
      <c r="BC53" s="11">
        <v>1003.2</v>
      </c>
      <c r="BD53" s="10">
        <v>125</v>
      </c>
      <c r="BE53" s="15">
        <v>1550</v>
      </c>
      <c r="BF53" s="11">
        <v>1424</v>
      </c>
      <c r="BG53" s="10">
        <v>75</v>
      </c>
      <c r="BH53" s="15">
        <v>940</v>
      </c>
      <c r="BI53" s="11">
        <v>839.2</v>
      </c>
      <c r="BJ53" s="10">
        <v>50</v>
      </c>
      <c r="BK53" s="15">
        <v>640</v>
      </c>
      <c r="BL53" s="11">
        <v>539.20000000000005</v>
      </c>
      <c r="BM53" s="44">
        <v>40</v>
      </c>
      <c r="BN53" s="42">
        <v>480</v>
      </c>
      <c r="BO53" s="45">
        <v>480</v>
      </c>
      <c r="BP53" s="44">
        <v>70</v>
      </c>
      <c r="BQ53" s="42">
        <v>900</v>
      </c>
      <c r="BR53" s="45">
        <v>748.8</v>
      </c>
      <c r="BS53" s="44">
        <v>90</v>
      </c>
      <c r="BT53" s="42">
        <v>1120</v>
      </c>
      <c r="BU53" s="112">
        <v>1019.2</v>
      </c>
      <c r="BV53" s="115">
        <v>65</v>
      </c>
      <c r="BW53" s="116">
        <v>813</v>
      </c>
      <c r="BX53" s="112">
        <v>736.43999999999994</v>
      </c>
      <c r="BY53" s="115">
        <v>70</v>
      </c>
      <c r="BZ53" s="116">
        <v>860</v>
      </c>
      <c r="CA53" s="112">
        <v>809.6</v>
      </c>
      <c r="CB53" s="115">
        <v>75</v>
      </c>
      <c r="CC53" s="116">
        <v>930</v>
      </c>
      <c r="CD53" s="112">
        <v>854.4</v>
      </c>
      <c r="CE53" s="115">
        <v>40</v>
      </c>
      <c r="CF53" s="116">
        <v>500</v>
      </c>
      <c r="CG53" s="112">
        <v>449.6</v>
      </c>
      <c r="CH53" s="115">
        <v>50</v>
      </c>
      <c r="CI53" s="116">
        <v>650</v>
      </c>
      <c r="CJ53" s="112">
        <v>524</v>
      </c>
      <c r="CK53" s="54">
        <f t="shared" si="6"/>
        <v>842</v>
      </c>
      <c r="CL53" s="63">
        <f t="shared" si="7"/>
        <v>10547</v>
      </c>
      <c r="CM53" s="55">
        <f t="shared" si="8"/>
        <v>9427.64</v>
      </c>
      <c r="CN53" s="54">
        <f t="shared" si="9"/>
        <v>70.166666666666671</v>
      </c>
      <c r="CO53" s="63">
        <f t="shared" si="10"/>
        <v>878.91666666666663</v>
      </c>
      <c r="CP53" s="172">
        <f t="shared" si="11"/>
        <v>785.63666666666666</v>
      </c>
      <c r="CQ53" s="151">
        <v>130</v>
      </c>
      <c r="CR53" s="152">
        <v>1760</v>
      </c>
      <c r="CS53" s="97">
        <v>1256</v>
      </c>
      <c r="CT53" s="27">
        <v>45</v>
      </c>
      <c r="CU53" s="58">
        <v>580</v>
      </c>
      <c r="CV53" s="107">
        <v>479.20000000000005</v>
      </c>
      <c r="CW53" s="27"/>
      <c r="CX53" s="58"/>
      <c r="CY53" s="98"/>
      <c r="CZ53" s="27"/>
      <c r="DA53" s="58"/>
      <c r="DB53" s="107"/>
      <c r="DC53" s="27"/>
      <c r="DD53" s="58"/>
      <c r="DE53" s="12"/>
      <c r="DF53" s="27"/>
      <c r="DG53" s="58"/>
      <c r="DH53" s="12"/>
      <c r="DI53" s="27"/>
      <c r="DJ53" s="58"/>
      <c r="DK53" s="107"/>
      <c r="DL53" s="27"/>
      <c r="DM53" s="58"/>
      <c r="DN53" s="107"/>
      <c r="DO53" s="27"/>
      <c r="DP53" s="58"/>
      <c r="DQ53" s="107"/>
      <c r="DR53" s="27"/>
      <c r="DS53" s="58"/>
      <c r="DT53" s="107"/>
      <c r="DU53" s="27"/>
      <c r="DV53" s="58"/>
      <c r="DW53" s="107"/>
      <c r="DX53" s="27"/>
      <c r="DY53" s="58"/>
      <c r="DZ53" s="12"/>
    </row>
    <row r="54" spans="1:130" s="2" customFormat="1" ht="34.9" customHeight="1" x14ac:dyDescent="0.6">
      <c r="A54" s="5">
        <v>51</v>
      </c>
      <c r="B54" s="21" t="s">
        <v>172</v>
      </c>
      <c r="C54" s="16" t="s">
        <v>173</v>
      </c>
      <c r="D54" s="15" t="s">
        <v>174</v>
      </c>
      <c r="E54" s="14" t="s">
        <v>129</v>
      </c>
      <c r="F54" s="7" t="s">
        <v>150</v>
      </c>
      <c r="G54" s="18" t="s">
        <v>804</v>
      </c>
      <c r="H54" s="18" t="s">
        <v>805</v>
      </c>
      <c r="I54" s="14" t="s">
        <v>806</v>
      </c>
      <c r="J54" s="49" t="s">
        <v>151</v>
      </c>
      <c r="K54" s="27">
        <v>71</v>
      </c>
      <c r="L54" s="58">
        <v>982</v>
      </c>
      <c r="M54" s="78">
        <v>654.4</v>
      </c>
      <c r="N54" s="27">
        <v>66</v>
      </c>
      <c r="O54" s="58">
        <v>902</v>
      </c>
      <c r="P54" s="49">
        <v>624.79999999999995</v>
      </c>
      <c r="Q54" s="27">
        <v>104</v>
      </c>
      <c r="R54" s="58">
        <v>1368</v>
      </c>
      <c r="S54" s="98">
        <v>1065.5999999999999</v>
      </c>
      <c r="T54" s="27">
        <v>140</v>
      </c>
      <c r="U54" s="58">
        <v>1794</v>
      </c>
      <c r="V54" s="107">
        <v>1506.72</v>
      </c>
      <c r="W54" s="27">
        <v>127</v>
      </c>
      <c r="X54" s="58">
        <v>1604</v>
      </c>
      <c r="Y54" s="12">
        <v>1402.4</v>
      </c>
      <c r="Z54" s="27">
        <v>285</v>
      </c>
      <c r="AA54" s="58">
        <v>3520</v>
      </c>
      <c r="AB54" s="12">
        <v>3268</v>
      </c>
      <c r="AC54" s="27">
        <v>325</v>
      </c>
      <c r="AD54" s="58">
        <v>4010</v>
      </c>
      <c r="AE54" s="107">
        <v>3732.8</v>
      </c>
      <c r="AF54" s="27">
        <v>265</v>
      </c>
      <c r="AG54" s="58">
        <v>3260</v>
      </c>
      <c r="AH54" s="107">
        <v>3058.4</v>
      </c>
      <c r="AI54" s="27">
        <v>265</v>
      </c>
      <c r="AJ54" s="58">
        <v>3300</v>
      </c>
      <c r="AK54" s="107">
        <v>2997.6</v>
      </c>
      <c r="AL54" s="27">
        <v>265</v>
      </c>
      <c r="AM54" s="58">
        <v>3300</v>
      </c>
      <c r="AN54" s="107">
        <v>2997.6</v>
      </c>
      <c r="AO54" s="27">
        <v>240</v>
      </c>
      <c r="AP54" s="58">
        <v>2950</v>
      </c>
      <c r="AQ54" s="107">
        <v>2773.6</v>
      </c>
      <c r="AR54" s="27">
        <v>295</v>
      </c>
      <c r="AS54" s="58">
        <v>3640</v>
      </c>
      <c r="AT54" s="12">
        <v>3388</v>
      </c>
      <c r="AU54" s="54">
        <f t="shared" si="0"/>
        <v>2448</v>
      </c>
      <c r="AV54" s="63">
        <f t="shared" si="1"/>
        <v>30630</v>
      </c>
      <c r="AW54" s="55">
        <f t="shared" si="2"/>
        <v>27469.919999999998</v>
      </c>
      <c r="AX54" s="54">
        <f t="shared" si="3"/>
        <v>204</v>
      </c>
      <c r="AY54" s="63">
        <f t="shared" si="4"/>
        <v>17</v>
      </c>
      <c r="AZ54" s="55">
        <f t="shared" si="5"/>
        <v>2289.16</v>
      </c>
      <c r="BA54" s="10">
        <v>305</v>
      </c>
      <c r="BB54" s="15">
        <v>3730</v>
      </c>
      <c r="BC54" s="11">
        <v>3553.6</v>
      </c>
      <c r="BD54" s="10">
        <v>305</v>
      </c>
      <c r="BE54" s="15">
        <v>3750</v>
      </c>
      <c r="BF54" s="11">
        <v>3523.2000000000003</v>
      </c>
      <c r="BG54" s="10">
        <v>737</v>
      </c>
      <c r="BH54" s="15">
        <v>8958</v>
      </c>
      <c r="BI54" s="11">
        <v>8670.7200000000012</v>
      </c>
      <c r="BJ54" s="10">
        <v>25</v>
      </c>
      <c r="BK54" s="15">
        <v>350</v>
      </c>
      <c r="BL54" s="11">
        <v>224</v>
      </c>
      <c r="BM54" s="44">
        <v>415</v>
      </c>
      <c r="BN54" s="42">
        <v>5060</v>
      </c>
      <c r="BO54" s="45">
        <v>4858.3999999999996</v>
      </c>
      <c r="BP54" s="44">
        <v>750</v>
      </c>
      <c r="BQ54" s="42">
        <v>9080</v>
      </c>
      <c r="BR54" s="45">
        <v>8878.4</v>
      </c>
      <c r="BS54" s="44">
        <v>700</v>
      </c>
      <c r="BT54" s="42">
        <v>8460</v>
      </c>
      <c r="BU54" s="112">
        <v>8308.7999999999993</v>
      </c>
      <c r="BV54" s="115">
        <v>680</v>
      </c>
      <c r="BW54" s="116">
        <v>8203</v>
      </c>
      <c r="BX54" s="112">
        <v>8101.24</v>
      </c>
      <c r="BY54" s="115">
        <v>751</v>
      </c>
      <c r="BZ54" s="116">
        <v>9034</v>
      </c>
      <c r="CA54" s="112">
        <v>8978.56</v>
      </c>
      <c r="CB54" s="115">
        <v>736</v>
      </c>
      <c r="CC54" s="116">
        <v>8884</v>
      </c>
      <c r="CD54" s="112">
        <v>8752.9599999999991</v>
      </c>
      <c r="CE54" s="115">
        <v>739</v>
      </c>
      <c r="CF54" s="116">
        <v>8910</v>
      </c>
      <c r="CG54" s="112">
        <v>8804.16</v>
      </c>
      <c r="CH54" s="115">
        <v>769</v>
      </c>
      <c r="CI54" s="116">
        <v>9246</v>
      </c>
      <c r="CJ54" s="112">
        <v>9200.6400000000012</v>
      </c>
      <c r="CK54" s="54">
        <f t="shared" si="6"/>
        <v>6912</v>
      </c>
      <c r="CL54" s="63">
        <f t="shared" si="7"/>
        <v>83665</v>
      </c>
      <c r="CM54" s="55">
        <f t="shared" si="8"/>
        <v>81854.679999999993</v>
      </c>
      <c r="CN54" s="54">
        <f t="shared" si="9"/>
        <v>576</v>
      </c>
      <c r="CO54" s="63">
        <f t="shared" si="10"/>
        <v>6972.083333333333</v>
      </c>
      <c r="CP54" s="172">
        <f t="shared" si="11"/>
        <v>6821.2233333333324</v>
      </c>
      <c r="CQ54" s="151">
        <v>715</v>
      </c>
      <c r="CR54" s="152">
        <v>8610</v>
      </c>
      <c r="CS54" s="97">
        <v>8534.4000000000015</v>
      </c>
      <c r="CT54" s="27">
        <v>623</v>
      </c>
      <c r="CU54" s="58">
        <v>7492</v>
      </c>
      <c r="CV54" s="12">
        <v>7451.68</v>
      </c>
      <c r="CW54" s="27"/>
      <c r="CX54" s="58"/>
      <c r="CY54" s="98"/>
      <c r="CZ54" s="27"/>
      <c r="DA54" s="58"/>
      <c r="DB54" s="107"/>
      <c r="DC54" s="27"/>
      <c r="DD54" s="58"/>
      <c r="DE54" s="12"/>
      <c r="DF54" s="27"/>
      <c r="DG54" s="58"/>
      <c r="DH54" s="12"/>
      <c r="DI54" s="27"/>
      <c r="DJ54" s="58"/>
      <c r="DK54" s="107"/>
      <c r="DL54" s="27"/>
      <c r="DM54" s="58"/>
      <c r="DN54" s="107"/>
      <c r="DO54" s="27"/>
      <c r="DP54" s="58"/>
      <c r="DQ54" s="107"/>
      <c r="DR54" s="27"/>
      <c r="DS54" s="58"/>
      <c r="DT54" s="107"/>
      <c r="DU54" s="27"/>
      <c r="DV54" s="58"/>
      <c r="DW54" s="107"/>
      <c r="DX54" s="27"/>
      <c r="DY54" s="58"/>
      <c r="DZ54" s="12"/>
    </row>
    <row r="55" spans="1:130" s="2" customFormat="1" ht="34.9" customHeight="1" x14ac:dyDescent="0.6">
      <c r="A55" s="5">
        <v>52</v>
      </c>
      <c r="B55" s="21" t="s">
        <v>175</v>
      </c>
      <c r="C55" s="16" t="s">
        <v>176</v>
      </c>
      <c r="D55" s="15" t="s">
        <v>145</v>
      </c>
      <c r="E55" s="14" t="s">
        <v>177</v>
      </c>
      <c r="F55" s="7" t="s">
        <v>150</v>
      </c>
      <c r="G55" s="142" t="s">
        <v>175</v>
      </c>
      <c r="H55" s="142" t="s">
        <v>176</v>
      </c>
      <c r="I55" s="20" t="s">
        <v>807</v>
      </c>
      <c r="J55" s="49" t="s">
        <v>151</v>
      </c>
      <c r="K55" s="27">
        <v>150</v>
      </c>
      <c r="L55" s="58">
        <v>1900</v>
      </c>
      <c r="M55" s="78">
        <v>1648</v>
      </c>
      <c r="N55" s="27">
        <v>150</v>
      </c>
      <c r="O55" s="58">
        <v>1800</v>
      </c>
      <c r="P55" s="49">
        <v>1800</v>
      </c>
      <c r="Q55" s="27">
        <v>0</v>
      </c>
      <c r="R55" s="58">
        <v>0</v>
      </c>
      <c r="S55" s="98">
        <v>0</v>
      </c>
      <c r="T55" s="27">
        <v>160</v>
      </c>
      <c r="U55" s="58">
        <v>2200</v>
      </c>
      <c r="V55" s="12">
        <v>1940</v>
      </c>
      <c r="W55" s="27">
        <v>0</v>
      </c>
      <c r="X55" s="58">
        <v>0</v>
      </c>
      <c r="Y55" s="12">
        <v>0</v>
      </c>
      <c r="Z55" s="27">
        <v>180</v>
      </c>
      <c r="AA55" s="58">
        <v>2260</v>
      </c>
      <c r="AB55" s="12">
        <v>2008</v>
      </c>
      <c r="AC55" s="27">
        <v>0</v>
      </c>
      <c r="AD55" s="58">
        <v>0</v>
      </c>
      <c r="AE55" s="107">
        <v>0</v>
      </c>
      <c r="AF55" s="27">
        <v>170</v>
      </c>
      <c r="AG55" s="58">
        <v>2100</v>
      </c>
      <c r="AH55" s="107">
        <v>1948.8</v>
      </c>
      <c r="AI55" s="27">
        <v>100</v>
      </c>
      <c r="AJ55" s="58">
        <v>1200</v>
      </c>
      <c r="AK55" s="107">
        <v>1200</v>
      </c>
      <c r="AL55" s="27">
        <v>150</v>
      </c>
      <c r="AM55" s="58">
        <v>1800</v>
      </c>
      <c r="AN55" s="107">
        <v>1800</v>
      </c>
      <c r="AO55" s="27">
        <v>150</v>
      </c>
      <c r="AP55" s="58">
        <v>1800</v>
      </c>
      <c r="AQ55" s="107">
        <v>1800</v>
      </c>
      <c r="AR55" s="27">
        <v>0</v>
      </c>
      <c r="AS55" s="58">
        <v>0</v>
      </c>
      <c r="AT55" s="12">
        <v>0</v>
      </c>
      <c r="AU55" s="54">
        <f t="shared" si="0"/>
        <v>1210</v>
      </c>
      <c r="AV55" s="63">
        <f t="shared" si="1"/>
        <v>15060</v>
      </c>
      <c r="AW55" s="55">
        <f t="shared" si="2"/>
        <v>14144.8</v>
      </c>
      <c r="AX55" s="54">
        <f t="shared" si="3"/>
        <v>100.83333333333333</v>
      </c>
      <c r="AY55" s="63">
        <f t="shared" si="4"/>
        <v>8.4027777777777768</v>
      </c>
      <c r="AZ55" s="55">
        <f t="shared" si="5"/>
        <v>1178.7333333333333</v>
      </c>
      <c r="BA55" s="10">
        <v>100</v>
      </c>
      <c r="BB55" s="15">
        <v>1200</v>
      </c>
      <c r="BC55" s="11">
        <v>1200</v>
      </c>
      <c r="BD55" s="10">
        <v>150</v>
      </c>
      <c r="BE55" s="15">
        <v>1900</v>
      </c>
      <c r="BF55" s="11">
        <v>1648</v>
      </c>
      <c r="BG55" s="10">
        <v>200</v>
      </c>
      <c r="BH55" s="15">
        <v>2400</v>
      </c>
      <c r="BI55" s="11">
        <v>2400</v>
      </c>
      <c r="BJ55" s="10">
        <v>100</v>
      </c>
      <c r="BK55" s="15">
        <v>1200</v>
      </c>
      <c r="BL55" s="11">
        <v>1200</v>
      </c>
      <c r="BM55" s="44">
        <v>180</v>
      </c>
      <c r="BN55" s="42">
        <v>2160</v>
      </c>
      <c r="BO55" s="45">
        <v>2160</v>
      </c>
      <c r="BP55" s="44">
        <v>0</v>
      </c>
      <c r="BQ55" s="42">
        <v>0</v>
      </c>
      <c r="BR55" s="45">
        <v>0</v>
      </c>
      <c r="BS55" s="44">
        <v>180</v>
      </c>
      <c r="BT55" s="42">
        <v>2220</v>
      </c>
      <c r="BU55" s="112">
        <v>2068.8000000000002</v>
      </c>
      <c r="BV55" s="115">
        <v>150</v>
      </c>
      <c r="BW55" s="116">
        <v>1806</v>
      </c>
      <c r="BX55" s="112">
        <v>1804.08</v>
      </c>
      <c r="BY55" s="115">
        <v>0</v>
      </c>
      <c r="BZ55" s="116">
        <v>0</v>
      </c>
      <c r="CA55" s="112">
        <v>0</v>
      </c>
      <c r="CB55" s="115">
        <v>135</v>
      </c>
      <c r="CC55" s="116">
        <v>1820</v>
      </c>
      <c r="CD55" s="112">
        <v>1538.8</v>
      </c>
      <c r="CE55" s="115">
        <v>0</v>
      </c>
      <c r="CF55" s="116">
        <v>0</v>
      </c>
      <c r="CG55" s="112">
        <v>0</v>
      </c>
      <c r="CH55" s="115">
        <v>150</v>
      </c>
      <c r="CI55" s="116">
        <v>1800</v>
      </c>
      <c r="CJ55" s="112">
        <v>1800</v>
      </c>
      <c r="CK55" s="54">
        <f t="shared" si="6"/>
        <v>1345</v>
      </c>
      <c r="CL55" s="63">
        <f t="shared" si="7"/>
        <v>16506</v>
      </c>
      <c r="CM55" s="55">
        <f t="shared" si="8"/>
        <v>15819.679999999998</v>
      </c>
      <c r="CN55" s="54">
        <f t="shared" si="9"/>
        <v>112.08333333333333</v>
      </c>
      <c r="CO55" s="63">
        <f t="shared" si="10"/>
        <v>1375.5</v>
      </c>
      <c r="CP55" s="172">
        <f t="shared" si="11"/>
        <v>1318.3066666666666</v>
      </c>
      <c r="CQ55" s="151">
        <v>180</v>
      </c>
      <c r="CR55" s="152">
        <v>2220</v>
      </c>
      <c r="CS55" s="97">
        <v>2068.8000000000002</v>
      </c>
      <c r="CT55" s="27">
        <v>0</v>
      </c>
      <c r="CU55" s="58">
        <v>0</v>
      </c>
      <c r="CV55" s="12">
        <v>0</v>
      </c>
      <c r="CW55" s="27"/>
      <c r="CX55" s="58"/>
      <c r="CY55" s="98"/>
      <c r="CZ55" s="27"/>
      <c r="DA55" s="58"/>
      <c r="DB55" s="107"/>
      <c r="DC55" s="27"/>
      <c r="DD55" s="58"/>
      <c r="DE55" s="12"/>
      <c r="DF55" s="27"/>
      <c r="DG55" s="58"/>
      <c r="DH55" s="12"/>
      <c r="DI55" s="27"/>
      <c r="DJ55" s="58"/>
      <c r="DK55" s="107"/>
      <c r="DL55" s="27"/>
      <c r="DM55" s="58"/>
      <c r="DN55" s="107"/>
      <c r="DO55" s="27"/>
      <c r="DP55" s="58"/>
      <c r="DQ55" s="107"/>
      <c r="DR55" s="27"/>
      <c r="DS55" s="58"/>
      <c r="DT55" s="107"/>
      <c r="DU55" s="27"/>
      <c r="DV55" s="58"/>
      <c r="DW55" s="107"/>
      <c r="DX55" s="27"/>
      <c r="DY55" s="58"/>
      <c r="DZ55" s="12"/>
    </row>
    <row r="56" spans="1:130" s="2" customFormat="1" ht="34.9" customHeight="1" x14ac:dyDescent="0.6">
      <c r="A56" s="5">
        <v>53</v>
      </c>
      <c r="B56" s="21" t="s">
        <v>178</v>
      </c>
      <c r="C56" s="16" t="s">
        <v>179</v>
      </c>
      <c r="D56" s="15" t="s">
        <v>37</v>
      </c>
      <c r="E56" s="14" t="s">
        <v>38</v>
      </c>
      <c r="F56" s="7" t="s">
        <v>150</v>
      </c>
      <c r="G56" s="142" t="s">
        <v>808</v>
      </c>
      <c r="H56" s="142" t="s">
        <v>809</v>
      </c>
      <c r="I56" s="20" t="s">
        <v>810</v>
      </c>
      <c r="J56" s="49" t="s">
        <v>151</v>
      </c>
      <c r="K56" s="27">
        <v>310</v>
      </c>
      <c r="L56" s="58">
        <v>4000</v>
      </c>
      <c r="M56" s="78">
        <v>3603.2</v>
      </c>
      <c r="N56" s="27">
        <v>515</v>
      </c>
      <c r="O56" s="58">
        <v>6890</v>
      </c>
      <c r="P56" s="49">
        <v>5546.4</v>
      </c>
      <c r="Q56" s="27">
        <v>571</v>
      </c>
      <c r="R56" s="58">
        <v>7692</v>
      </c>
      <c r="S56" s="98">
        <v>6240</v>
      </c>
      <c r="T56" s="27">
        <v>687</v>
      </c>
      <c r="U56" s="58">
        <v>9244</v>
      </c>
      <c r="V56" s="107">
        <v>7385.2</v>
      </c>
      <c r="W56" s="27">
        <v>525</v>
      </c>
      <c r="X56" s="58">
        <v>7110</v>
      </c>
      <c r="Y56" s="12">
        <v>5960</v>
      </c>
      <c r="Z56" s="27">
        <v>491</v>
      </c>
      <c r="AA56" s="58">
        <v>6592</v>
      </c>
      <c r="AB56" s="12">
        <v>5492.7999999999993</v>
      </c>
      <c r="AC56" s="27">
        <v>535</v>
      </c>
      <c r="AD56" s="58">
        <v>7200</v>
      </c>
      <c r="AE56" s="107">
        <v>5988.32</v>
      </c>
      <c r="AF56" s="27">
        <v>450</v>
      </c>
      <c r="AG56" s="58">
        <v>6120</v>
      </c>
      <c r="AH56" s="107">
        <v>4974</v>
      </c>
      <c r="AI56" s="27">
        <v>232</v>
      </c>
      <c r="AJ56" s="58">
        <v>3008</v>
      </c>
      <c r="AK56" s="107">
        <v>2666.32</v>
      </c>
      <c r="AL56" s="27">
        <v>405</v>
      </c>
      <c r="AM56" s="58">
        <v>5240</v>
      </c>
      <c r="AN56" s="107">
        <v>4728</v>
      </c>
      <c r="AO56" s="27">
        <v>500</v>
      </c>
      <c r="AP56" s="58">
        <v>6448</v>
      </c>
      <c r="AQ56" s="107">
        <v>5761.04</v>
      </c>
      <c r="AR56" s="27">
        <v>820</v>
      </c>
      <c r="AS56" s="58">
        <v>11530</v>
      </c>
      <c r="AT56" s="107">
        <v>9403.2000000000007</v>
      </c>
      <c r="AU56" s="54">
        <f t="shared" si="0"/>
        <v>6041</v>
      </c>
      <c r="AV56" s="63">
        <f t="shared" si="1"/>
        <v>81074</v>
      </c>
      <c r="AW56" s="55">
        <f t="shared" si="2"/>
        <v>67748.479999999996</v>
      </c>
      <c r="AX56" s="54">
        <f t="shared" si="3"/>
        <v>503.41666666666669</v>
      </c>
      <c r="AY56" s="63">
        <f t="shared" si="4"/>
        <v>41.951388888888893</v>
      </c>
      <c r="AZ56" s="55">
        <f t="shared" si="5"/>
        <v>5645.706666666666</v>
      </c>
      <c r="BA56" s="10">
        <v>369</v>
      </c>
      <c r="BB56" s="15">
        <v>4800</v>
      </c>
      <c r="BC56" s="11">
        <v>4263.3999999999996</v>
      </c>
      <c r="BD56" s="10">
        <v>300</v>
      </c>
      <c r="BE56" s="15">
        <v>4120</v>
      </c>
      <c r="BF56" s="11">
        <v>3478</v>
      </c>
      <c r="BG56" s="10">
        <v>478</v>
      </c>
      <c r="BH56" s="15">
        <v>6200</v>
      </c>
      <c r="BI56" s="11">
        <v>5610</v>
      </c>
      <c r="BJ56" s="10">
        <v>320</v>
      </c>
      <c r="BK56" s="15">
        <v>4540</v>
      </c>
      <c r="BL56" s="11">
        <v>3667.2</v>
      </c>
      <c r="BM56" s="44">
        <v>220</v>
      </c>
      <c r="BN56" s="42">
        <v>3340</v>
      </c>
      <c r="BO56" s="45">
        <v>2467.1999999999998</v>
      </c>
      <c r="BP56" s="44">
        <v>175</v>
      </c>
      <c r="BQ56" s="42">
        <v>2360</v>
      </c>
      <c r="BR56" s="45">
        <v>1927.6000000000001</v>
      </c>
      <c r="BS56" s="44">
        <v>233</v>
      </c>
      <c r="BT56" s="42">
        <v>3060</v>
      </c>
      <c r="BU56" s="112">
        <v>2751.2</v>
      </c>
      <c r="BV56" s="115">
        <v>163</v>
      </c>
      <c r="BW56" s="116">
        <v>2281</v>
      </c>
      <c r="BX56" s="112">
        <v>1790.1199999999997</v>
      </c>
      <c r="BY56" s="115">
        <v>150</v>
      </c>
      <c r="BZ56" s="116">
        <v>2120</v>
      </c>
      <c r="CA56" s="112">
        <v>1759.2</v>
      </c>
      <c r="CB56" s="115">
        <v>220</v>
      </c>
      <c r="CC56" s="116">
        <v>3020</v>
      </c>
      <c r="CD56" s="112">
        <v>2508</v>
      </c>
      <c r="CE56" s="115">
        <v>165</v>
      </c>
      <c r="CF56" s="116">
        <v>2440</v>
      </c>
      <c r="CG56" s="112">
        <v>1949.2</v>
      </c>
      <c r="CH56" s="115">
        <v>233</v>
      </c>
      <c r="CI56" s="116">
        <v>2960</v>
      </c>
      <c r="CJ56" s="112">
        <v>2680.4</v>
      </c>
      <c r="CK56" s="54">
        <f t="shared" si="6"/>
        <v>3026</v>
      </c>
      <c r="CL56" s="63">
        <f t="shared" si="7"/>
        <v>41241</v>
      </c>
      <c r="CM56" s="55">
        <f t="shared" si="8"/>
        <v>34851.519999999997</v>
      </c>
      <c r="CN56" s="54">
        <f t="shared" si="9"/>
        <v>252.16666666666666</v>
      </c>
      <c r="CO56" s="63">
        <f t="shared" si="10"/>
        <v>3436.75</v>
      </c>
      <c r="CP56" s="172">
        <f t="shared" si="11"/>
        <v>2904.2933333333331</v>
      </c>
      <c r="CQ56" s="151">
        <v>202</v>
      </c>
      <c r="CR56" s="152">
        <v>2638</v>
      </c>
      <c r="CS56" s="97">
        <v>2321.52</v>
      </c>
      <c r="CT56" s="27">
        <v>228</v>
      </c>
      <c r="CU56" s="58">
        <v>3320</v>
      </c>
      <c r="CV56" s="12">
        <v>2632.4</v>
      </c>
      <c r="CW56" s="27"/>
      <c r="CX56" s="58"/>
      <c r="CY56" s="98"/>
      <c r="CZ56" s="27"/>
      <c r="DA56" s="58"/>
      <c r="DB56" s="107"/>
      <c r="DC56" s="27"/>
      <c r="DD56" s="58"/>
      <c r="DE56" s="12"/>
      <c r="DF56" s="27"/>
      <c r="DG56" s="58"/>
      <c r="DH56" s="12"/>
      <c r="DI56" s="27"/>
      <c r="DJ56" s="58"/>
      <c r="DK56" s="107"/>
      <c r="DL56" s="27"/>
      <c r="DM56" s="58"/>
      <c r="DN56" s="107"/>
      <c r="DO56" s="27"/>
      <c r="DP56" s="58"/>
      <c r="DQ56" s="107"/>
      <c r="DR56" s="27"/>
      <c r="DS56" s="58"/>
      <c r="DT56" s="107"/>
      <c r="DU56" s="27"/>
      <c r="DV56" s="58"/>
      <c r="DW56" s="107"/>
      <c r="DX56" s="27"/>
      <c r="DY56" s="58"/>
      <c r="DZ56" s="12"/>
    </row>
    <row r="57" spans="1:130" s="2" customFormat="1" ht="34.9" customHeight="1" x14ac:dyDescent="0.6">
      <c r="A57" s="5">
        <v>54</v>
      </c>
      <c r="B57" s="21" t="s">
        <v>180</v>
      </c>
      <c r="C57" s="16" t="s">
        <v>181</v>
      </c>
      <c r="D57" s="15" t="s">
        <v>120</v>
      </c>
      <c r="E57" s="14" t="s">
        <v>20</v>
      </c>
      <c r="F57" s="7" t="s">
        <v>150</v>
      </c>
      <c r="G57" s="18"/>
      <c r="H57" s="18"/>
      <c r="I57" s="14" t="s">
        <v>1122</v>
      </c>
      <c r="J57" s="49" t="s">
        <v>151</v>
      </c>
      <c r="K57" s="27">
        <v>45</v>
      </c>
      <c r="L57" s="58">
        <v>540</v>
      </c>
      <c r="M57" s="78">
        <v>540</v>
      </c>
      <c r="N57" s="27">
        <v>48</v>
      </c>
      <c r="O57" s="58">
        <v>660</v>
      </c>
      <c r="P57" s="49">
        <v>582</v>
      </c>
      <c r="Q57" s="27">
        <v>45</v>
      </c>
      <c r="R57" s="58">
        <v>540</v>
      </c>
      <c r="S57" s="98">
        <v>540</v>
      </c>
      <c r="T57" s="27">
        <v>60</v>
      </c>
      <c r="U57" s="58">
        <v>720</v>
      </c>
      <c r="V57" s="12">
        <v>720</v>
      </c>
      <c r="W57" s="27">
        <v>60</v>
      </c>
      <c r="X57" s="58">
        <v>720</v>
      </c>
      <c r="Y57" s="12">
        <v>720</v>
      </c>
      <c r="Z57" s="27">
        <v>60</v>
      </c>
      <c r="AA57" s="58">
        <v>720</v>
      </c>
      <c r="AB57" s="12">
        <v>720</v>
      </c>
      <c r="AC57" s="27">
        <v>0</v>
      </c>
      <c r="AD57" s="58">
        <v>0</v>
      </c>
      <c r="AE57" s="107">
        <v>0</v>
      </c>
      <c r="AF57" s="27">
        <v>45</v>
      </c>
      <c r="AG57" s="58">
        <v>540</v>
      </c>
      <c r="AH57" s="107">
        <v>540</v>
      </c>
      <c r="AI57" s="27">
        <v>105</v>
      </c>
      <c r="AJ57" s="58">
        <v>1260</v>
      </c>
      <c r="AK57" s="107">
        <v>1260</v>
      </c>
      <c r="AL57" s="27">
        <v>75</v>
      </c>
      <c r="AM57" s="58">
        <v>900</v>
      </c>
      <c r="AN57" s="107">
        <v>900</v>
      </c>
      <c r="AO57" s="27">
        <v>0</v>
      </c>
      <c r="AP57" s="58">
        <v>0</v>
      </c>
      <c r="AQ57" s="107">
        <v>0</v>
      </c>
      <c r="AR57" s="27">
        <v>0</v>
      </c>
      <c r="AS57" s="58">
        <v>0</v>
      </c>
      <c r="AT57" s="107">
        <v>0</v>
      </c>
      <c r="AU57" s="54">
        <f t="shared" si="0"/>
        <v>543</v>
      </c>
      <c r="AV57" s="63">
        <f t="shared" si="1"/>
        <v>6600</v>
      </c>
      <c r="AW57" s="55">
        <f t="shared" si="2"/>
        <v>6522</v>
      </c>
      <c r="AX57" s="54">
        <f t="shared" si="3"/>
        <v>45.25</v>
      </c>
      <c r="AY57" s="63">
        <f t="shared" si="4"/>
        <v>3.7708333333333335</v>
      </c>
      <c r="AZ57" s="55">
        <f t="shared" si="5"/>
        <v>543.5</v>
      </c>
      <c r="BA57" s="10">
        <v>30</v>
      </c>
      <c r="BB57" s="15">
        <v>360</v>
      </c>
      <c r="BC57" s="11">
        <v>360</v>
      </c>
      <c r="BD57" s="10">
        <v>20</v>
      </c>
      <c r="BE57" s="15">
        <v>380</v>
      </c>
      <c r="BF57" s="11">
        <v>250</v>
      </c>
      <c r="BG57" s="10">
        <v>245</v>
      </c>
      <c r="BH57" s="15">
        <v>2940</v>
      </c>
      <c r="BI57" s="11">
        <v>2892</v>
      </c>
      <c r="BJ57" s="10">
        <v>55</v>
      </c>
      <c r="BK57" s="15">
        <v>800</v>
      </c>
      <c r="BL57" s="11">
        <v>670</v>
      </c>
      <c r="BM57" s="44">
        <v>195</v>
      </c>
      <c r="BN57" s="42">
        <v>2340</v>
      </c>
      <c r="BO57" s="45">
        <v>2340</v>
      </c>
      <c r="BP57" s="44">
        <v>100</v>
      </c>
      <c r="BQ57" s="42">
        <v>1200</v>
      </c>
      <c r="BR57" s="45">
        <v>1200</v>
      </c>
      <c r="BS57" s="44">
        <v>100</v>
      </c>
      <c r="BT57" s="42">
        <v>1213</v>
      </c>
      <c r="BU57" s="112">
        <v>1205</v>
      </c>
      <c r="BV57" s="115">
        <v>135</v>
      </c>
      <c r="BW57" s="116">
        <v>1763</v>
      </c>
      <c r="BX57" s="112">
        <v>1632.04</v>
      </c>
      <c r="BY57" s="115">
        <v>0</v>
      </c>
      <c r="BZ57" s="116">
        <v>0</v>
      </c>
      <c r="CA57" s="112">
        <v>0</v>
      </c>
      <c r="CB57" s="115">
        <v>0</v>
      </c>
      <c r="CC57" s="116">
        <v>0</v>
      </c>
      <c r="CD57" s="112">
        <v>0</v>
      </c>
      <c r="CE57" s="115">
        <v>0</v>
      </c>
      <c r="CF57" s="116">
        <v>0</v>
      </c>
      <c r="CG57" s="112">
        <v>0</v>
      </c>
      <c r="CH57" s="115">
        <v>0</v>
      </c>
      <c r="CI57" s="116">
        <v>0</v>
      </c>
      <c r="CJ57" s="112">
        <v>0</v>
      </c>
      <c r="CK57" s="54">
        <f t="shared" si="6"/>
        <v>880</v>
      </c>
      <c r="CL57" s="63">
        <f t="shared" si="7"/>
        <v>10996</v>
      </c>
      <c r="CM57" s="55">
        <f t="shared" si="8"/>
        <v>10549.04</v>
      </c>
      <c r="CN57" s="54">
        <f t="shared" si="9"/>
        <v>73.333333333333329</v>
      </c>
      <c r="CO57" s="63">
        <f t="shared" si="10"/>
        <v>916.33333333333337</v>
      </c>
      <c r="CP57" s="172">
        <f t="shared" si="11"/>
        <v>879.0866666666667</v>
      </c>
      <c r="CQ57" s="151">
        <v>0</v>
      </c>
      <c r="CR57" s="152">
        <v>0</v>
      </c>
      <c r="CS57" s="97">
        <v>0</v>
      </c>
      <c r="CT57" s="27">
        <v>0</v>
      </c>
      <c r="CU57" s="58">
        <v>0</v>
      </c>
      <c r="CV57" s="12">
        <v>0</v>
      </c>
      <c r="CW57" s="27"/>
      <c r="CX57" s="58"/>
      <c r="CY57" s="98"/>
      <c r="CZ57" s="27"/>
      <c r="DA57" s="58"/>
      <c r="DB57" s="12"/>
      <c r="DC57" s="27"/>
      <c r="DD57" s="58"/>
      <c r="DE57" s="12"/>
      <c r="DF57" s="27"/>
      <c r="DG57" s="58"/>
      <c r="DH57" s="12"/>
      <c r="DI57" s="27"/>
      <c r="DJ57" s="58"/>
      <c r="DK57" s="107"/>
      <c r="DL57" s="27"/>
      <c r="DM57" s="58"/>
      <c r="DN57" s="107"/>
      <c r="DO57" s="27"/>
      <c r="DP57" s="58"/>
      <c r="DQ57" s="107"/>
      <c r="DR57" s="27"/>
      <c r="DS57" s="58"/>
      <c r="DT57" s="107"/>
      <c r="DU57" s="27"/>
      <c r="DV57" s="58"/>
      <c r="DW57" s="107"/>
      <c r="DX57" s="27"/>
      <c r="DY57" s="58"/>
      <c r="DZ57" s="12"/>
    </row>
    <row r="58" spans="1:130" s="2" customFormat="1" ht="34.9" customHeight="1" x14ac:dyDescent="0.6">
      <c r="A58" s="5">
        <v>55</v>
      </c>
      <c r="B58" s="21" t="s">
        <v>182</v>
      </c>
      <c r="C58" s="16" t="s">
        <v>183</v>
      </c>
      <c r="D58" s="15" t="s">
        <v>120</v>
      </c>
      <c r="E58" s="14" t="s">
        <v>20</v>
      </c>
      <c r="F58" s="7" t="s">
        <v>150</v>
      </c>
      <c r="G58" s="18" t="s">
        <v>811</v>
      </c>
      <c r="H58" s="18" t="s">
        <v>812</v>
      </c>
      <c r="I58" s="14" t="s">
        <v>813</v>
      </c>
      <c r="J58" s="49" t="s">
        <v>151</v>
      </c>
      <c r="K58" s="27">
        <v>300</v>
      </c>
      <c r="L58" s="58">
        <v>4000</v>
      </c>
      <c r="M58" s="78">
        <v>2992</v>
      </c>
      <c r="N58" s="27">
        <v>250</v>
      </c>
      <c r="O58" s="58">
        <v>3400</v>
      </c>
      <c r="P58" s="49">
        <v>2392</v>
      </c>
      <c r="Q58" s="27">
        <v>300</v>
      </c>
      <c r="R58" s="58">
        <v>4100</v>
      </c>
      <c r="S58" s="98">
        <v>2840</v>
      </c>
      <c r="T58" s="27">
        <v>400</v>
      </c>
      <c r="U58" s="58">
        <v>5400</v>
      </c>
      <c r="V58" s="12">
        <v>3888</v>
      </c>
      <c r="W58" s="27">
        <v>500</v>
      </c>
      <c r="X58" s="58">
        <v>6800</v>
      </c>
      <c r="Y58" s="12">
        <v>4784</v>
      </c>
      <c r="Z58" s="27">
        <v>250</v>
      </c>
      <c r="AA58" s="58">
        <v>3400</v>
      </c>
      <c r="AB58" s="12">
        <v>2392</v>
      </c>
      <c r="AC58" s="27">
        <v>300</v>
      </c>
      <c r="AD58" s="58">
        <v>4000</v>
      </c>
      <c r="AE58" s="107">
        <v>2992</v>
      </c>
      <c r="AF58" s="27">
        <v>400</v>
      </c>
      <c r="AG58" s="58">
        <v>5400</v>
      </c>
      <c r="AH58" s="107">
        <v>3888</v>
      </c>
      <c r="AI58" s="27">
        <v>350</v>
      </c>
      <c r="AJ58" s="58">
        <v>4600</v>
      </c>
      <c r="AK58" s="107">
        <v>3592</v>
      </c>
      <c r="AL58" s="27">
        <v>355</v>
      </c>
      <c r="AM58" s="58">
        <v>4760</v>
      </c>
      <c r="AN58" s="107">
        <v>3500</v>
      </c>
      <c r="AO58" s="27">
        <v>460</v>
      </c>
      <c r="AP58" s="58">
        <v>6120</v>
      </c>
      <c r="AQ58" s="107">
        <v>4560</v>
      </c>
      <c r="AR58" s="27">
        <v>300</v>
      </c>
      <c r="AS58" s="58">
        <v>4000</v>
      </c>
      <c r="AT58" s="107">
        <v>2992</v>
      </c>
      <c r="AU58" s="54">
        <f t="shared" si="0"/>
        <v>4165</v>
      </c>
      <c r="AV58" s="63">
        <f t="shared" si="1"/>
        <v>55980</v>
      </c>
      <c r="AW58" s="55">
        <f t="shared" si="2"/>
        <v>40812</v>
      </c>
      <c r="AX58" s="54">
        <f t="shared" si="3"/>
        <v>347.08333333333331</v>
      </c>
      <c r="AY58" s="63">
        <f t="shared" si="4"/>
        <v>28.923611111111111</v>
      </c>
      <c r="AZ58" s="55">
        <f t="shared" si="5"/>
        <v>3401</v>
      </c>
      <c r="BA58" s="10">
        <v>400</v>
      </c>
      <c r="BB58" s="15">
        <v>5400</v>
      </c>
      <c r="BC58" s="11">
        <v>3888</v>
      </c>
      <c r="BD58" s="10">
        <v>475</v>
      </c>
      <c r="BE58" s="15">
        <v>6580</v>
      </c>
      <c r="BF58" s="11">
        <v>4736</v>
      </c>
      <c r="BG58" s="10">
        <v>600</v>
      </c>
      <c r="BH58" s="15">
        <v>8000</v>
      </c>
      <c r="BI58" s="11">
        <v>5984</v>
      </c>
      <c r="BJ58" s="10">
        <v>510</v>
      </c>
      <c r="BK58" s="15">
        <v>6720</v>
      </c>
      <c r="BL58" s="11">
        <v>5160</v>
      </c>
      <c r="BM58" s="44">
        <v>610</v>
      </c>
      <c r="BN58" s="42">
        <v>7920</v>
      </c>
      <c r="BO58" s="45">
        <v>6360</v>
      </c>
      <c r="BP58" s="44">
        <v>413</v>
      </c>
      <c r="BQ58" s="42">
        <v>5580</v>
      </c>
      <c r="BR58" s="45">
        <v>4340</v>
      </c>
      <c r="BS58" s="44">
        <v>356</v>
      </c>
      <c r="BT58" s="42">
        <v>4840</v>
      </c>
      <c r="BU58" s="112">
        <v>3676</v>
      </c>
      <c r="BV58" s="115">
        <v>355</v>
      </c>
      <c r="BW58" s="116">
        <v>4871</v>
      </c>
      <c r="BX58" s="112">
        <v>3670.3599999999997</v>
      </c>
      <c r="BY58" s="115">
        <v>363</v>
      </c>
      <c r="BZ58" s="116">
        <v>4740</v>
      </c>
      <c r="CA58" s="112">
        <v>3858</v>
      </c>
      <c r="CB58" s="115">
        <v>515</v>
      </c>
      <c r="CC58" s="116">
        <v>6890</v>
      </c>
      <c r="CD58" s="112">
        <v>5450.4</v>
      </c>
      <c r="CE58" s="115">
        <v>300</v>
      </c>
      <c r="CF58" s="116">
        <v>3820</v>
      </c>
      <c r="CG58" s="112">
        <v>3217.6</v>
      </c>
      <c r="CH58" s="115">
        <v>552</v>
      </c>
      <c r="CI58" s="116">
        <v>7306</v>
      </c>
      <c r="CJ58" s="112">
        <v>6005.52</v>
      </c>
      <c r="CK58" s="54">
        <f t="shared" si="6"/>
        <v>5449</v>
      </c>
      <c r="CL58" s="63">
        <f t="shared" si="7"/>
        <v>72667</v>
      </c>
      <c r="CM58" s="55">
        <f t="shared" si="8"/>
        <v>56345.880000000005</v>
      </c>
      <c r="CN58" s="54">
        <f t="shared" si="9"/>
        <v>454.08333333333331</v>
      </c>
      <c r="CO58" s="63">
        <f t="shared" si="10"/>
        <v>6055.583333333333</v>
      </c>
      <c r="CP58" s="172">
        <f t="shared" si="11"/>
        <v>4695.4900000000007</v>
      </c>
      <c r="CQ58" s="151">
        <v>600</v>
      </c>
      <c r="CR58" s="152">
        <v>7870</v>
      </c>
      <c r="CS58" s="97">
        <v>6531.2</v>
      </c>
      <c r="CT58" s="27">
        <v>610</v>
      </c>
      <c r="CU58" s="58">
        <v>7940</v>
      </c>
      <c r="CV58" s="12">
        <v>6504.4</v>
      </c>
      <c r="CW58" s="27"/>
      <c r="CX58" s="58"/>
      <c r="CY58" s="98"/>
      <c r="CZ58" s="27"/>
      <c r="DA58" s="58"/>
      <c r="DB58" s="107"/>
      <c r="DC58" s="27"/>
      <c r="DD58" s="58"/>
      <c r="DE58" s="12"/>
      <c r="DF58" s="27"/>
      <c r="DG58" s="58"/>
      <c r="DH58" s="12"/>
      <c r="DI58" s="27"/>
      <c r="DJ58" s="58"/>
      <c r="DK58" s="107"/>
      <c r="DL58" s="27"/>
      <c r="DM58" s="58"/>
      <c r="DN58" s="107"/>
      <c r="DO58" s="27"/>
      <c r="DP58" s="58"/>
      <c r="DQ58" s="107"/>
      <c r="DR58" s="27"/>
      <c r="DS58" s="58"/>
      <c r="DT58" s="107"/>
      <c r="DU58" s="27"/>
      <c r="DV58" s="58"/>
      <c r="DW58" s="107"/>
      <c r="DX58" s="27"/>
      <c r="DY58" s="58"/>
      <c r="DZ58" s="107"/>
    </row>
    <row r="59" spans="1:130" s="2" customFormat="1" ht="34.9" customHeight="1" x14ac:dyDescent="0.6">
      <c r="A59" s="5">
        <v>56</v>
      </c>
      <c r="B59" s="21" t="s">
        <v>184</v>
      </c>
      <c r="C59" s="16" t="s">
        <v>185</v>
      </c>
      <c r="D59" s="15" t="s">
        <v>186</v>
      </c>
      <c r="E59" s="14" t="s">
        <v>187</v>
      </c>
      <c r="F59" s="7" t="s">
        <v>150</v>
      </c>
      <c r="G59" s="18" t="s">
        <v>814</v>
      </c>
      <c r="H59" s="18" t="s">
        <v>815</v>
      </c>
      <c r="I59" s="14" t="s">
        <v>816</v>
      </c>
      <c r="J59" s="49" t="s">
        <v>151</v>
      </c>
      <c r="K59" s="27">
        <v>232</v>
      </c>
      <c r="L59" s="58">
        <v>3220</v>
      </c>
      <c r="M59" s="78">
        <v>2210.4</v>
      </c>
      <c r="N59" s="27">
        <v>222</v>
      </c>
      <c r="O59" s="58">
        <v>3032</v>
      </c>
      <c r="P59" s="104">
        <v>2144.3999999999996</v>
      </c>
      <c r="Q59" s="27">
        <v>235</v>
      </c>
      <c r="R59" s="58">
        <v>3236</v>
      </c>
      <c r="S59" s="98">
        <v>2262.4</v>
      </c>
      <c r="T59" s="27">
        <v>183</v>
      </c>
      <c r="U59" s="58">
        <v>2564</v>
      </c>
      <c r="V59" s="107">
        <v>1671.6000000000001</v>
      </c>
      <c r="W59" s="27">
        <v>205</v>
      </c>
      <c r="X59" s="58">
        <v>2836</v>
      </c>
      <c r="Y59" s="107">
        <v>1963.2</v>
      </c>
      <c r="Z59" s="27">
        <v>328</v>
      </c>
      <c r="AA59" s="58">
        <v>4460</v>
      </c>
      <c r="AB59" s="12">
        <v>3225.2</v>
      </c>
      <c r="AC59" s="27">
        <v>352</v>
      </c>
      <c r="AD59" s="58">
        <v>4736</v>
      </c>
      <c r="AE59" s="107">
        <v>3561.6</v>
      </c>
      <c r="AF59" s="27">
        <v>370</v>
      </c>
      <c r="AG59" s="58">
        <v>5432</v>
      </c>
      <c r="AH59" s="107">
        <v>3769.2000000000003</v>
      </c>
      <c r="AI59" s="27">
        <v>293</v>
      </c>
      <c r="AJ59" s="58">
        <v>3944</v>
      </c>
      <c r="AK59" s="107">
        <v>2900.4</v>
      </c>
      <c r="AL59" s="27">
        <v>297</v>
      </c>
      <c r="AM59" s="58">
        <v>3980</v>
      </c>
      <c r="AN59" s="107">
        <v>3006.4</v>
      </c>
      <c r="AO59" s="27">
        <v>296</v>
      </c>
      <c r="AP59" s="58">
        <v>3944</v>
      </c>
      <c r="AQ59" s="107">
        <v>3115.2000000000003</v>
      </c>
      <c r="AR59" s="27">
        <v>258</v>
      </c>
      <c r="AS59" s="58">
        <v>3392</v>
      </c>
      <c r="AT59" s="107">
        <v>2711.2</v>
      </c>
      <c r="AU59" s="54">
        <f t="shared" si="0"/>
        <v>3271</v>
      </c>
      <c r="AV59" s="63">
        <f t="shared" si="1"/>
        <v>44776</v>
      </c>
      <c r="AW59" s="55">
        <f t="shared" si="2"/>
        <v>32541.200000000004</v>
      </c>
      <c r="AX59" s="54">
        <f t="shared" si="3"/>
        <v>272.58333333333331</v>
      </c>
      <c r="AY59" s="63">
        <f t="shared" si="4"/>
        <v>22.715277777777775</v>
      </c>
      <c r="AZ59" s="55">
        <f t="shared" si="5"/>
        <v>2711.7666666666669</v>
      </c>
      <c r="BA59" s="10">
        <v>292</v>
      </c>
      <c r="BB59" s="15">
        <v>3828</v>
      </c>
      <c r="BC59" s="11">
        <v>3111.8</v>
      </c>
      <c r="BD59" s="10">
        <v>240</v>
      </c>
      <c r="BE59" s="15">
        <v>3224</v>
      </c>
      <c r="BF59" s="11">
        <v>2471.6000000000004</v>
      </c>
      <c r="BG59" s="10">
        <v>213</v>
      </c>
      <c r="BH59" s="15">
        <v>2878</v>
      </c>
      <c r="BI59" s="11">
        <v>2208</v>
      </c>
      <c r="BJ59" s="10">
        <v>209</v>
      </c>
      <c r="BK59" s="15">
        <v>2880</v>
      </c>
      <c r="BL59" s="11">
        <v>2068</v>
      </c>
      <c r="BM59" s="44">
        <v>204</v>
      </c>
      <c r="BN59" s="42">
        <v>2796</v>
      </c>
      <c r="BO59" s="45">
        <v>1920.4</v>
      </c>
      <c r="BP59" s="44">
        <v>310</v>
      </c>
      <c r="BQ59" s="42">
        <v>4158</v>
      </c>
      <c r="BR59" s="45">
        <v>3119.3599999999997</v>
      </c>
      <c r="BS59" s="44">
        <v>393</v>
      </c>
      <c r="BT59" s="42">
        <v>5180</v>
      </c>
      <c r="BU59" s="112">
        <v>4110.7999999999993</v>
      </c>
      <c r="BV59" s="115">
        <v>330</v>
      </c>
      <c r="BW59" s="116">
        <v>4418</v>
      </c>
      <c r="BX59" s="112">
        <v>3436.0800000000004</v>
      </c>
      <c r="BY59" s="115">
        <v>272</v>
      </c>
      <c r="BZ59" s="116">
        <v>3684</v>
      </c>
      <c r="CA59" s="112">
        <v>2814.8</v>
      </c>
      <c r="CB59" s="115">
        <v>321</v>
      </c>
      <c r="CC59" s="116">
        <v>4262</v>
      </c>
      <c r="CD59" s="112">
        <v>3413.2</v>
      </c>
      <c r="CE59" s="115">
        <v>285</v>
      </c>
      <c r="CF59" s="116">
        <v>3752</v>
      </c>
      <c r="CG59" s="112">
        <v>3060</v>
      </c>
      <c r="CH59" s="115">
        <v>321</v>
      </c>
      <c r="CI59" s="116">
        <v>4306</v>
      </c>
      <c r="CJ59" s="112">
        <v>3484.8</v>
      </c>
      <c r="CK59" s="54">
        <f t="shared" si="6"/>
        <v>3390</v>
      </c>
      <c r="CL59" s="63">
        <f t="shared" si="7"/>
        <v>45366</v>
      </c>
      <c r="CM59" s="55">
        <f t="shared" si="8"/>
        <v>35218.840000000004</v>
      </c>
      <c r="CN59" s="54">
        <f t="shared" si="9"/>
        <v>282.5</v>
      </c>
      <c r="CO59" s="63">
        <f t="shared" si="10"/>
        <v>3780.5</v>
      </c>
      <c r="CP59" s="172">
        <f t="shared" si="11"/>
        <v>2934.9033333333336</v>
      </c>
      <c r="CQ59" s="151">
        <v>293</v>
      </c>
      <c r="CR59" s="152">
        <v>3874</v>
      </c>
      <c r="CS59" s="97">
        <v>3191.2</v>
      </c>
      <c r="CT59" s="27">
        <v>283</v>
      </c>
      <c r="CU59" s="58">
        <v>3602</v>
      </c>
      <c r="CV59" s="12">
        <v>3128.8</v>
      </c>
      <c r="CW59" s="27"/>
      <c r="CX59" s="58"/>
      <c r="CY59" s="98"/>
      <c r="CZ59" s="27"/>
      <c r="DA59" s="58"/>
      <c r="DB59" s="12"/>
      <c r="DC59" s="27"/>
      <c r="DD59" s="58"/>
      <c r="DE59" s="12"/>
      <c r="DF59" s="27"/>
      <c r="DG59" s="58"/>
      <c r="DH59" s="12"/>
      <c r="DI59" s="27"/>
      <c r="DJ59" s="58"/>
      <c r="DK59" s="107"/>
      <c r="DL59" s="27"/>
      <c r="DM59" s="58"/>
      <c r="DN59" s="107"/>
      <c r="DO59" s="27"/>
      <c r="DP59" s="58"/>
      <c r="DQ59" s="107"/>
      <c r="DR59" s="27"/>
      <c r="DS59" s="58"/>
      <c r="DT59" s="107"/>
      <c r="DU59" s="27"/>
      <c r="DV59" s="58"/>
      <c r="DW59" s="107"/>
      <c r="DX59" s="27"/>
      <c r="DY59" s="58"/>
      <c r="DZ59" s="107"/>
    </row>
    <row r="60" spans="1:130" s="2" customFormat="1" ht="34.9" customHeight="1" x14ac:dyDescent="0.6">
      <c r="A60" s="5">
        <v>57</v>
      </c>
      <c r="B60" s="21" t="s">
        <v>188</v>
      </c>
      <c r="C60" s="16" t="s">
        <v>189</v>
      </c>
      <c r="D60" s="15" t="s">
        <v>190</v>
      </c>
      <c r="E60" s="14" t="s">
        <v>187</v>
      </c>
      <c r="F60" s="7" t="s">
        <v>150</v>
      </c>
      <c r="G60" s="18" t="s">
        <v>817</v>
      </c>
      <c r="H60" s="18" t="s">
        <v>818</v>
      </c>
      <c r="I60" s="14" t="s">
        <v>819</v>
      </c>
      <c r="J60" s="49" t="s">
        <v>151</v>
      </c>
      <c r="K60" s="27">
        <v>123</v>
      </c>
      <c r="L60" s="58">
        <v>1750</v>
      </c>
      <c r="M60" s="78">
        <v>1278</v>
      </c>
      <c r="N60" s="27">
        <v>160</v>
      </c>
      <c r="O60" s="58">
        <v>2340</v>
      </c>
      <c r="P60" s="104">
        <v>1607.2</v>
      </c>
      <c r="Q60" s="27">
        <v>105</v>
      </c>
      <c r="R60" s="58">
        <v>1430</v>
      </c>
      <c r="S60" s="98">
        <v>1104.4000000000001</v>
      </c>
      <c r="T60" s="27">
        <v>202</v>
      </c>
      <c r="U60" s="58">
        <v>2820</v>
      </c>
      <c r="V60" s="107">
        <v>2194.8000000000002</v>
      </c>
      <c r="W60" s="27">
        <v>84</v>
      </c>
      <c r="X60" s="58">
        <v>1348</v>
      </c>
      <c r="Y60" s="107">
        <v>869.59999999999991</v>
      </c>
      <c r="Z60" s="27">
        <v>110</v>
      </c>
      <c r="AA60" s="58">
        <v>1630</v>
      </c>
      <c r="AB60" s="12">
        <v>1138.4000000000001</v>
      </c>
      <c r="AC60" s="27">
        <v>118</v>
      </c>
      <c r="AD60" s="58">
        <v>1756</v>
      </c>
      <c r="AE60" s="107">
        <v>1214</v>
      </c>
      <c r="AF60" s="27">
        <v>109</v>
      </c>
      <c r="AG60" s="58">
        <v>1742</v>
      </c>
      <c r="AH60" s="107">
        <v>1143.5999999999999</v>
      </c>
      <c r="AI60" s="27">
        <v>128</v>
      </c>
      <c r="AJ60" s="58">
        <v>1772</v>
      </c>
      <c r="AK60" s="107">
        <v>1375.2</v>
      </c>
      <c r="AL60" s="27">
        <v>116</v>
      </c>
      <c r="AM60" s="58">
        <v>1712</v>
      </c>
      <c r="AN60" s="107">
        <v>1268.4000000000001</v>
      </c>
      <c r="AO60" s="27">
        <v>94</v>
      </c>
      <c r="AP60" s="58">
        <v>1214</v>
      </c>
      <c r="AQ60" s="107">
        <v>978.4</v>
      </c>
      <c r="AR60" s="27">
        <v>99</v>
      </c>
      <c r="AS60" s="58">
        <v>1478</v>
      </c>
      <c r="AT60" s="107">
        <v>1063.2</v>
      </c>
      <c r="AU60" s="54">
        <f t="shared" si="0"/>
        <v>1448</v>
      </c>
      <c r="AV60" s="63">
        <f t="shared" si="1"/>
        <v>20992</v>
      </c>
      <c r="AW60" s="55">
        <f t="shared" si="2"/>
        <v>15235.2</v>
      </c>
      <c r="AX60" s="54">
        <f t="shared" si="3"/>
        <v>120.66666666666667</v>
      </c>
      <c r="AY60" s="63">
        <f t="shared" si="4"/>
        <v>10.055555555555555</v>
      </c>
      <c r="AZ60" s="55">
        <f t="shared" si="5"/>
        <v>1269.6000000000001</v>
      </c>
      <c r="BA60" s="10">
        <v>49</v>
      </c>
      <c r="BB60" s="15">
        <v>700</v>
      </c>
      <c r="BC60" s="11">
        <v>530</v>
      </c>
      <c r="BD60" s="10">
        <v>105</v>
      </c>
      <c r="BE60" s="15">
        <v>1580</v>
      </c>
      <c r="BF60" s="11">
        <v>1111.2</v>
      </c>
      <c r="BG60" s="10">
        <v>136</v>
      </c>
      <c r="BH60" s="15">
        <v>1886</v>
      </c>
      <c r="BI60" s="11">
        <v>1405.6</v>
      </c>
      <c r="BJ60" s="10">
        <v>152</v>
      </c>
      <c r="BK60" s="15">
        <v>2108</v>
      </c>
      <c r="BL60" s="11">
        <v>1676.8000000000002</v>
      </c>
      <c r="BM60" s="44">
        <v>84</v>
      </c>
      <c r="BN60" s="42">
        <v>1130</v>
      </c>
      <c r="BO60" s="45">
        <v>928.8</v>
      </c>
      <c r="BP60" s="44">
        <v>126</v>
      </c>
      <c r="BQ60" s="42">
        <v>1710</v>
      </c>
      <c r="BR60" s="45">
        <v>1364.4</v>
      </c>
      <c r="BS60" s="44">
        <v>87</v>
      </c>
      <c r="BT60" s="42">
        <v>1176</v>
      </c>
      <c r="BU60" s="112">
        <v>962.8</v>
      </c>
      <c r="BV60" s="115">
        <v>86</v>
      </c>
      <c r="BW60" s="116">
        <v>1202</v>
      </c>
      <c r="BX60" s="112">
        <v>918.88000000000011</v>
      </c>
      <c r="BY60" s="115">
        <v>107</v>
      </c>
      <c r="BZ60" s="116">
        <v>1426</v>
      </c>
      <c r="CA60" s="112">
        <v>1154</v>
      </c>
      <c r="CB60" s="115">
        <v>26</v>
      </c>
      <c r="CC60" s="116">
        <v>322</v>
      </c>
      <c r="CD60" s="112">
        <v>293.2</v>
      </c>
      <c r="CE60" s="115">
        <v>35</v>
      </c>
      <c r="CF60" s="116">
        <v>496</v>
      </c>
      <c r="CG60" s="112">
        <v>382.8</v>
      </c>
      <c r="CH60" s="115">
        <v>75</v>
      </c>
      <c r="CI60" s="116">
        <v>1050</v>
      </c>
      <c r="CJ60" s="112">
        <v>876.8</v>
      </c>
      <c r="CK60" s="54">
        <f t="shared" si="6"/>
        <v>1068</v>
      </c>
      <c r="CL60" s="63">
        <f t="shared" si="7"/>
        <v>14786</v>
      </c>
      <c r="CM60" s="55">
        <f t="shared" si="8"/>
        <v>11605.28</v>
      </c>
      <c r="CN60" s="54">
        <f t="shared" si="9"/>
        <v>89</v>
      </c>
      <c r="CO60" s="63">
        <f t="shared" si="10"/>
        <v>1232.1666666666667</v>
      </c>
      <c r="CP60" s="172">
        <f t="shared" si="11"/>
        <v>967.10666666666668</v>
      </c>
      <c r="CQ60" s="151">
        <v>53</v>
      </c>
      <c r="CR60" s="152">
        <v>758</v>
      </c>
      <c r="CS60" s="97">
        <v>553.20000000000005</v>
      </c>
      <c r="CT60" s="27">
        <v>63</v>
      </c>
      <c r="CU60" s="58">
        <v>756</v>
      </c>
      <c r="CV60" s="12">
        <v>741.6</v>
      </c>
      <c r="CW60" s="27"/>
      <c r="CX60" s="58"/>
      <c r="CY60" s="98"/>
      <c r="CZ60" s="27"/>
      <c r="DA60" s="58"/>
      <c r="DB60" s="12"/>
      <c r="DC60" s="27"/>
      <c r="DD60" s="58"/>
      <c r="DE60" s="12"/>
      <c r="DF60" s="27"/>
      <c r="DG60" s="58"/>
      <c r="DH60" s="12"/>
      <c r="DI60" s="27"/>
      <c r="DJ60" s="58"/>
      <c r="DK60" s="107"/>
      <c r="DL60" s="27"/>
      <c r="DM60" s="58"/>
      <c r="DN60" s="107"/>
      <c r="DO60" s="27"/>
      <c r="DP60" s="58"/>
      <c r="DQ60" s="107"/>
      <c r="DR60" s="27"/>
      <c r="DS60" s="58"/>
      <c r="DT60" s="107"/>
      <c r="DU60" s="27"/>
      <c r="DV60" s="58"/>
      <c r="DW60" s="107"/>
      <c r="DX60" s="27"/>
      <c r="DY60" s="58"/>
      <c r="DZ60" s="107"/>
    </row>
    <row r="61" spans="1:130" s="2" customFormat="1" ht="34.9" customHeight="1" x14ac:dyDescent="0.6">
      <c r="A61" s="5">
        <v>58</v>
      </c>
      <c r="B61" s="21" t="s">
        <v>191</v>
      </c>
      <c r="C61" s="16" t="s">
        <v>192</v>
      </c>
      <c r="D61" s="15" t="s">
        <v>193</v>
      </c>
      <c r="E61" s="14" t="s">
        <v>194</v>
      </c>
      <c r="F61" s="7" t="s">
        <v>150</v>
      </c>
      <c r="G61" s="18" t="s">
        <v>820</v>
      </c>
      <c r="H61" s="18" t="s">
        <v>821</v>
      </c>
      <c r="I61" s="14" t="s">
        <v>822</v>
      </c>
      <c r="J61" s="49" t="s">
        <v>151</v>
      </c>
      <c r="K61" s="27">
        <v>273</v>
      </c>
      <c r="L61" s="58">
        <v>4312</v>
      </c>
      <c r="M61" s="78">
        <v>3328.4</v>
      </c>
      <c r="N61" s="27">
        <v>328</v>
      </c>
      <c r="O61" s="58">
        <v>4972</v>
      </c>
      <c r="P61" s="104">
        <v>3988.4</v>
      </c>
      <c r="Q61" s="27">
        <v>292</v>
      </c>
      <c r="R61" s="58">
        <v>4484</v>
      </c>
      <c r="S61" s="98">
        <v>3530.8</v>
      </c>
      <c r="T61" s="27">
        <v>245</v>
      </c>
      <c r="U61" s="58">
        <v>3444</v>
      </c>
      <c r="V61" s="107">
        <v>2950.8</v>
      </c>
      <c r="W61" s="27">
        <v>308</v>
      </c>
      <c r="X61" s="58">
        <v>5460</v>
      </c>
      <c r="Y61" s="107">
        <v>3822</v>
      </c>
      <c r="Z61" s="27">
        <v>350</v>
      </c>
      <c r="AA61" s="58">
        <v>5320</v>
      </c>
      <c r="AB61" s="12">
        <v>4280</v>
      </c>
      <c r="AC61" s="27">
        <v>412</v>
      </c>
      <c r="AD61" s="58">
        <v>6204</v>
      </c>
      <c r="AE61" s="107">
        <v>5008.8</v>
      </c>
      <c r="AF61" s="27">
        <v>322</v>
      </c>
      <c r="AG61" s="58">
        <v>5264</v>
      </c>
      <c r="AH61" s="107">
        <v>3956.8</v>
      </c>
      <c r="AI61" s="27">
        <v>356</v>
      </c>
      <c r="AJ61" s="58">
        <v>5560</v>
      </c>
      <c r="AK61" s="107">
        <v>4346</v>
      </c>
      <c r="AL61" s="27">
        <v>322</v>
      </c>
      <c r="AM61" s="58">
        <v>5180</v>
      </c>
      <c r="AN61" s="107">
        <v>3958</v>
      </c>
      <c r="AO61" s="27">
        <v>310</v>
      </c>
      <c r="AP61" s="58">
        <v>5036</v>
      </c>
      <c r="AQ61" s="107">
        <v>3803.2</v>
      </c>
      <c r="AR61" s="27">
        <v>309</v>
      </c>
      <c r="AS61" s="58">
        <v>4716</v>
      </c>
      <c r="AT61" s="107">
        <v>3769.2</v>
      </c>
      <c r="AU61" s="54">
        <f t="shared" si="0"/>
        <v>3827</v>
      </c>
      <c r="AV61" s="63">
        <f t="shared" si="1"/>
        <v>59952</v>
      </c>
      <c r="AW61" s="55">
        <f t="shared" si="2"/>
        <v>46742.399999999994</v>
      </c>
      <c r="AX61" s="54">
        <f t="shared" si="3"/>
        <v>318.91666666666669</v>
      </c>
      <c r="AY61" s="63">
        <f t="shared" si="4"/>
        <v>26.576388888888889</v>
      </c>
      <c r="AZ61" s="55">
        <f t="shared" si="5"/>
        <v>3895.1999999999994</v>
      </c>
      <c r="BA61" s="10">
        <v>284</v>
      </c>
      <c r="BB61" s="15">
        <v>4304</v>
      </c>
      <c r="BC61" s="11">
        <v>3446.6000000000004</v>
      </c>
      <c r="BD61" s="10">
        <v>269</v>
      </c>
      <c r="BE61" s="15">
        <v>3956</v>
      </c>
      <c r="BF61" s="11">
        <v>3262</v>
      </c>
      <c r="BG61" s="10">
        <v>219</v>
      </c>
      <c r="BH61" s="15">
        <v>3440</v>
      </c>
      <c r="BI61" s="11">
        <v>2668</v>
      </c>
      <c r="BJ61" s="10">
        <v>254</v>
      </c>
      <c r="BK61" s="15">
        <v>3692</v>
      </c>
      <c r="BL61" s="11">
        <v>3072.4</v>
      </c>
      <c r="BM61" s="44">
        <v>274</v>
      </c>
      <c r="BN61" s="42">
        <v>4044</v>
      </c>
      <c r="BO61" s="45">
        <v>3298.8</v>
      </c>
      <c r="BP61" s="44">
        <v>293</v>
      </c>
      <c r="BQ61" s="42">
        <v>4300</v>
      </c>
      <c r="BR61" s="45">
        <v>3500</v>
      </c>
      <c r="BS61" s="44">
        <v>366</v>
      </c>
      <c r="BT61" s="42">
        <v>5960</v>
      </c>
      <c r="BU61" s="112">
        <v>4450</v>
      </c>
      <c r="BV61" s="115">
        <v>240</v>
      </c>
      <c r="BW61" s="116">
        <v>3592</v>
      </c>
      <c r="BX61" s="112">
        <v>2938.16</v>
      </c>
      <c r="BY61" s="115">
        <v>258</v>
      </c>
      <c r="BZ61" s="116">
        <v>4020</v>
      </c>
      <c r="CA61" s="112">
        <v>3162</v>
      </c>
      <c r="CB61" s="115">
        <v>239</v>
      </c>
      <c r="CC61" s="116">
        <v>3680</v>
      </c>
      <c r="CD61" s="112">
        <v>2908</v>
      </c>
      <c r="CE61" s="115">
        <v>257</v>
      </c>
      <c r="CF61" s="116">
        <v>3980</v>
      </c>
      <c r="CG61" s="112">
        <v>3112</v>
      </c>
      <c r="CH61" s="115">
        <v>252</v>
      </c>
      <c r="CI61" s="116">
        <v>3920</v>
      </c>
      <c r="CJ61" s="112">
        <v>3070</v>
      </c>
      <c r="CK61" s="54">
        <f t="shared" si="6"/>
        <v>3205</v>
      </c>
      <c r="CL61" s="63">
        <f t="shared" si="7"/>
        <v>48888</v>
      </c>
      <c r="CM61" s="55">
        <f t="shared" si="8"/>
        <v>38887.96</v>
      </c>
      <c r="CN61" s="54">
        <f t="shared" si="9"/>
        <v>267.08333333333331</v>
      </c>
      <c r="CO61" s="63">
        <f t="shared" si="10"/>
        <v>4074</v>
      </c>
      <c r="CP61" s="172">
        <f t="shared" si="11"/>
        <v>3240.6633333333334</v>
      </c>
      <c r="CQ61" s="151">
        <v>253</v>
      </c>
      <c r="CR61" s="152">
        <v>4436</v>
      </c>
      <c r="CS61" s="97">
        <v>3125.2</v>
      </c>
      <c r="CT61" s="27">
        <v>240</v>
      </c>
      <c r="CU61" s="58">
        <v>3720</v>
      </c>
      <c r="CV61" s="107">
        <v>2922</v>
      </c>
      <c r="CW61" s="27"/>
      <c r="CX61" s="58"/>
      <c r="CY61" s="98"/>
      <c r="CZ61" s="27"/>
      <c r="DA61" s="58"/>
      <c r="DB61" s="107"/>
      <c r="DC61" s="27"/>
      <c r="DD61" s="58"/>
      <c r="DE61" s="107"/>
      <c r="DF61" s="27"/>
      <c r="DG61" s="58"/>
      <c r="DH61" s="12"/>
      <c r="DI61" s="27"/>
      <c r="DJ61" s="58"/>
      <c r="DK61" s="107"/>
      <c r="DL61" s="27"/>
      <c r="DM61" s="58"/>
      <c r="DN61" s="107"/>
      <c r="DO61" s="27"/>
      <c r="DP61" s="58"/>
      <c r="DQ61" s="107"/>
      <c r="DR61" s="27"/>
      <c r="DS61" s="58"/>
      <c r="DT61" s="107"/>
      <c r="DU61" s="27"/>
      <c r="DV61" s="58"/>
      <c r="DW61" s="107"/>
      <c r="DX61" s="27"/>
      <c r="DY61" s="58"/>
      <c r="DZ61" s="107"/>
    </row>
    <row r="62" spans="1:130" s="2" customFormat="1" ht="34.9" customHeight="1" x14ac:dyDescent="0.6">
      <c r="A62" s="5">
        <v>59</v>
      </c>
      <c r="B62" s="21" t="s">
        <v>195</v>
      </c>
      <c r="C62" s="16" t="s">
        <v>196</v>
      </c>
      <c r="D62" s="15" t="s">
        <v>136</v>
      </c>
      <c r="E62" s="14" t="s">
        <v>137</v>
      </c>
      <c r="F62" s="7" t="s">
        <v>150</v>
      </c>
      <c r="G62" s="18" t="s">
        <v>823</v>
      </c>
      <c r="H62" s="18" t="s">
        <v>824</v>
      </c>
      <c r="I62" s="14" t="s">
        <v>825</v>
      </c>
      <c r="J62" s="49" t="s">
        <v>151</v>
      </c>
      <c r="K62" s="27">
        <v>205</v>
      </c>
      <c r="L62" s="58">
        <v>2800</v>
      </c>
      <c r="M62" s="78">
        <v>1853.2</v>
      </c>
      <c r="N62" s="27">
        <v>400</v>
      </c>
      <c r="O62" s="58">
        <v>5440</v>
      </c>
      <c r="P62" s="104">
        <v>3611.2000000000003</v>
      </c>
      <c r="Q62" s="27">
        <v>445</v>
      </c>
      <c r="R62" s="58">
        <v>6140</v>
      </c>
      <c r="S62" s="98">
        <v>4052</v>
      </c>
      <c r="T62" s="27">
        <v>225</v>
      </c>
      <c r="U62" s="58">
        <v>3060</v>
      </c>
      <c r="V62" s="107">
        <v>2080.8000000000002</v>
      </c>
      <c r="W62" s="27">
        <v>430</v>
      </c>
      <c r="X62" s="58">
        <v>5930</v>
      </c>
      <c r="Y62" s="107">
        <v>3935.6</v>
      </c>
      <c r="Z62" s="27">
        <v>450</v>
      </c>
      <c r="AA62" s="58">
        <v>6200</v>
      </c>
      <c r="AB62" s="12">
        <v>4148</v>
      </c>
      <c r="AC62" s="27">
        <v>200</v>
      </c>
      <c r="AD62" s="58">
        <v>2650</v>
      </c>
      <c r="AE62" s="107">
        <v>1930</v>
      </c>
      <c r="AF62" s="27">
        <v>433</v>
      </c>
      <c r="AG62" s="58">
        <v>6036</v>
      </c>
      <c r="AH62" s="107">
        <v>3919.2000000000003</v>
      </c>
      <c r="AI62" s="27">
        <v>230</v>
      </c>
      <c r="AJ62" s="58">
        <v>3170</v>
      </c>
      <c r="AK62" s="107">
        <v>2046.8</v>
      </c>
      <c r="AL62" s="27">
        <v>210</v>
      </c>
      <c r="AM62" s="58">
        <v>2840</v>
      </c>
      <c r="AN62" s="107">
        <v>1925.6000000000001</v>
      </c>
      <c r="AO62" s="27">
        <v>430</v>
      </c>
      <c r="AP62" s="58">
        <v>5980</v>
      </c>
      <c r="AQ62" s="107">
        <v>3877.6</v>
      </c>
      <c r="AR62" s="27">
        <v>320</v>
      </c>
      <c r="AS62" s="58">
        <v>4440</v>
      </c>
      <c r="AT62" s="107">
        <v>2928</v>
      </c>
      <c r="AU62" s="54">
        <f t="shared" si="0"/>
        <v>3978</v>
      </c>
      <c r="AV62" s="63">
        <f t="shared" si="1"/>
        <v>54686</v>
      </c>
      <c r="AW62" s="55">
        <f t="shared" si="2"/>
        <v>36308</v>
      </c>
      <c r="AX62" s="54">
        <f t="shared" si="3"/>
        <v>331.5</v>
      </c>
      <c r="AY62" s="63">
        <f t="shared" si="4"/>
        <v>27.625</v>
      </c>
      <c r="AZ62" s="55">
        <f t="shared" si="5"/>
        <v>3025.6666666666665</v>
      </c>
      <c r="BA62" s="10">
        <v>310</v>
      </c>
      <c r="BB62" s="15">
        <v>4300</v>
      </c>
      <c r="BC62" s="11">
        <v>2802.4</v>
      </c>
      <c r="BD62" s="10">
        <v>305</v>
      </c>
      <c r="BE62" s="15">
        <v>4220</v>
      </c>
      <c r="BF62" s="11">
        <v>2790.8</v>
      </c>
      <c r="BG62" s="10">
        <v>600</v>
      </c>
      <c r="BH62" s="15">
        <v>8230</v>
      </c>
      <c r="BI62" s="11">
        <v>5526.4</v>
      </c>
      <c r="BJ62" s="10">
        <v>200</v>
      </c>
      <c r="BK62" s="15">
        <v>2720</v>
      </c>
      <c r="BL62" s="11">
        <v>1877.6000000000001</v>
      </c>
      <c r="BM62" s="44">
        <v>525</v>
      </c>
      <c r="BN62" s="42">
        <v>7200</v>
      </c>
      <c r="BO62" s="45">
        <v>4914</v>
      </c>
      <c r="BP62" s="44">
        <v>230</v>
      </c>
      <c r="BQ62" s="42">
        <v>3160</v>
      </c>
      <c r="BR62" s="45">
        <v>2116</v>
      </c>
      <c r="BS62" s="44">
        <v>530</v>
      </c>
      <c r="BT62" s="42">
        <v>7120</v>
      </c>
      <c r="BU62" s="112">
        <v>4970.8</v>
      </c>
      <c r="BV62" s="115">
        <v>425</v>
      </c>
      <c r="BW62" s="116">
        <v>5779</v>
      </c>
      <c r="BX62" s="112">
        <v>4054.6</v>
      </c>
      <c r="BY62" s="115">
        <v>240</v>
      </c>
      <c r="BZ62" s="116">
        <v>3230</v>
      </c>
      <c r="CA62" s="112">
        <v>2348</v>
      </c>
      <c r="CB62" s="115">
        <v>200</v>
      </c>
      <c r="CC62" s="116">
        <v>2700</v>
      </c>
      <c r="CD62" s="112">
        <v>1944</v>
      </c>
      <c r="CE62" s="115">
        <v>520</v>
      </c>
      <c r="CF62" s="116">
        <v>7160</v>
      </c>
      <c r="CG62" s="112">
        <v>4769.6000000000004</v>
      </c>
      <c r="CH62" s="115">
        <v>225</v>
      </c>
      <c r="CI62" s="116">
        <v>3070</v>
      </c>
      <c r="CJ62" s="112">
        <v>2101.6000000000004</v>
      </c>
      <c r="CK62" s="54">
        <f t="shared" si="6"/>
        <v>4310</v>
      </c>
      <c r="CL62" s="63">
        <f t="shared" si="7"/>
        <v>58889</v>
      </c>
      <c r="CM62" s="55">
        <f t="shared" si="8"/>
        <v>40215.799999999996</v>
      </c>
      <c r="CN62" s="54">
        <f t="shared" si="9"/>
        <v>359.16666666666669</v>
      </c>
      <c r="CO62" s="63">
        <f t="shared" si="10"/>
        <v>4907.416666666667</v>
      </c>
      <c r="CP62" s="172">
        <f t="shared" si="11"/>
        <v>3351.3166666666662</v>
      </c>
      <c r="CQ62" s="151">
        <v>300</v>
      </c>
      <c r="CR62" s="152">
        <v>4000</v>
      </c>
      <c r="CS62" s="97">
        <v>2902</v>
      </c>
      <c r="CT62" s="27">
        <v>420</v>
      </c>
      <c r="CU62" s="58">
        <v>5660</v>
      </c>
      <c r="CV62" s="107">
        <v>4043.6000000000004</v>
      </c>
      <c r="CW62" s="27"/>
      <c r="CX62" s="58"/>
      <c r="CY62" s="98"/>
      <c r="CZ62" s="27"/>
      <c r="DA62" s="58"/>
      <c r="DB62" s="107"/>
      <c r="DC62" s="27"/>
      <c r="DD62" s="58"/>
      <c r="DE62" s="107"/>
      <c r="DF62" s="27"/>
      <c r="DG62" s="58"/>
      <c r="DH62" s="12"/>
      <c r="DI62" s="27"/>
      <c r="DJ62" s="58"/>
      <c r="DK62" s="107"/>
      <c r="DL62" s="27"/>
      <c r="DM62" s="58"/>
      <c r="DN62" s="107"/>
      <c r="DO62" s="27"/>
      <c r="DP62" s="58"/>
      <c r="DQ62" s="107"/>
      <c r="DR62" s="27"/>
      <c r="DS62" s="58"/>
      <c r="DT62" s="107"/>
      <c r="DU62" s="27"/>
      <c r="DV62" s="58"/>
      <c r="DW62" s="107"/>
      <c r="DX62" s="27"/>
      <c r="DY62" s="58"/>
      <c r="DZ62" s="107"/>
    </row>
    <row r="63" spans="1:130" s="2" customFormat="1" ht="34.9" customHeight="1" x14ac:dyDescent="0.6">
      <c r="A63" s="5">
        <v>60</v>
      </c>
      <c r="B63" s="21" t="s">
        <v>197</v>
      </c>
      <c r="C63" s="16" t="s">
        <v>198</v>
      </c>
      <c r="D63" s="15" t="s">
        <v>53</v>
      </c>
      <c r="E63" s="14" t="s">
        <v>54</v>
      </c>
      <c r="F63" s="7" t="s">
        <v>150</v>
      </c>
      <c r="G63" s="18" t="s">
        <v>826</v>
      </c>
      <c r="H63" s="18" t="s">
        <v>827</v>
      </c>
      <c r="I63" s="14" t="s">
        <v>828</v>
      </c>
      <c r="J63" s="49" t="s">
        <v>151</v>
      </c>
      <c r="K63" s="27">
        <v>71</v>
      </c>
      <c r="L63" s="58">
        <v>852</v>
      </c>
      <c r="M63" s="78">
        <v>852</v>
      </c>
      <c r="N63" s="27">
        <v>50</v>
      </c>
      <c r="O63" s="58">
        <v>600</v>
      </c>
      <c r="P63" s="104">
        <v>510</v>
      </c>
      <c r="Q63" s="27">
        <v>70</v>
      </c>
      <c r="R63" s="58">
        <v>840</v>
      </c>
      <c r="S63" s="98">
        <v>840</v>
      </c>
      <c r="T63" s="27">
        <v>80</v>
      </c>
      <c r="U63" s="58">
        <v>960</v>
      </c>
      <c r="V63" s="12">
        <v>960</v>
      </c>
      <c r="W63" s="27">
        <v>140</v>
      </c>
      <c r="X63" s="58">
        <v>1700</v>
      </c>
      <c r="Y63" s="107">
        <v>1559.6</v>
      </c>
      <c r="Z63" s="27">
        <v>85</v>
      </c>
      <c r="AA63" s="58">
        <v>1040</v>
      </c>
      <c r="AB63" s="12">
        <v>989.6</v>
      </c>
      <c r="AC63" s="27">
        <v>92</v>
      </c>
      <c r="AD63" s="58">
        <v>1104</v>
      </c>
      <c r="AE63" s="107">
        <v>1104</v>
      </c>
      <c r="AF63" s="27">
        <v>102</v>
      </c>
      <c r="AG63" s="58">
        <v>1224</v>
      </c>
      <c r="AH63" s="107">
        <v>1224</v>
      </c>
      <c r="AI63" s="27">
        <v>55</v>
      </c>
      <c r="AJ63" s="58">
        <f>55*12</f>
        <v>660</v>
      </c>
      <c r="AK63" s="107">
        <v>660</v>
      </c>
      <c r="AL63" s="27">
        <v>49</v>
      </c>
      <c r="AM63" s="58">
        <f>AL63*12</f>
        <v>588</v>
      </c>
      <c r="AN63" s="107">
        <v>588</v>
      </c>
      <c r="AO63" s="27">
        <f>15+45</f>
        <v>60</v>
      </c>
      <c r="AP63" s="58">
        <f>AO63*12</f>
        <v>720</v>
      </c>
      <c r="AQ63" s="107">
        <v>720</v>
      </c>
      <c r="AR63" s="27">
        <v>46</v>
      </c>
      <c r="AS63" s="58">
        <v>552</v>
      </c>
      <c r="AT63" s="107">
        <v>534</v>
      </c>
      <c r="AU63" s="54">
        <f t="shared" si="0"/>
        <v>900</v>
      </c>
      <c r="AV63" s="63">
        <f t="shared" si="1"/>
        <v>10840</v>
      </c>
      <c r="AW63" s="55">
        <f t="shared" si="2"/>
        <v>10541.2</v>
      </c>
      <c r="AX63" s="54">
        <f t="shared" si="3"/>
        <v>75</v>
      </c>
      <c r="AY63" s="63">
        <f t="shared" si="4"/>
        <v>6.25</v>
      </c>
      <c r="AZ63" s="55">
        <f t="shared" si="5"/>
        <v>878.43333333333339</v>
      </c>
      <c r="BA63" s="10">
        <v>78</v>
      </c>
      <c r="BB63" s="15">
        <v>940</v>
      </c>
      <c r="BC63" s="11">
        <v>929.92000000000007</v>
      </c>
      <c r="BD63" s="10">
        <v>48</v>
      </c>
      <c r="BE63" s="15">
        <v>580</v>
      </c>
      <c r="BF63" s="11">
        <v>569.92000000000007</v>
      </c>
      <c r="BG63" s="10">
        <v>122</v>
      </c>
      <c r="BH63" s="15">
        <v>2150</v>
      </c>
      <c r="BI63" s="11">
        <v>1892.4</v>
      </c>
      <c r="BJ63" s="10">
        <v>86</v>
      </c>
      <c r="BK63" s="15">
        <v>1042</v>
      </c>
      <c r="BL63" s="11">
        <v>1016.8</v>
      </c>
      <c r="BM63" s="44">
        <v>171</v>
      </c>
      <c r="BN63" s="42">
        <v>2068</v>
      </c>
      <c r="BO63" s="45">
        <v>2027.6800000000003</v>
      </c>
      <c r="BP63" s="44">
        <v>129</v>
      </c>
      <c r="BQ63" s="42">
        <v>1573</v>
      </c>
      <c r="BR63" s="45">
        <v>1538.0500000000002</v>
      </c>
      <c r="BS63" s="44">
        <v>139</v>
      </c>
      <c r="BT63" s="42">
        <v>1674</v>
      </c>
      <c r="BU63" s="112">
        <v>1640.88</v>
      </c>
      <c r="BV63" s="115">
        <v>144</v>
      </c>
      <c r="BW63" s="116">
        <v>1742</v>
      </c>
      <c r="BX63" s="112">
        <v>1701.92</v>
      </c>
      <c r="BY63" s="115">
        <v>93</v>
      </c>
      <c r="BZ63" s="116">
        <v>1116</v>
      </c>
      <c r="CA63" s="112">
        <v>1098</v>
      </c>
      <c r="CB63" s="115">
        <v>151</v>
      </c>
      <c r="CC63" s="116">
        <v>1924</v>
      </c>
      <c r="CD63" s="112">
        <v>1802</v>
      </c>
      <c r="CE63" s="115">
        <v>115</v>
      </c>
      <c r="CF63" s="116">
        <v>1436</v>
      </c>
      <c r="CG63" s="112">
        <v>1366</v>
      </c>
      <c r="CH63" s="115">
        <v>149</v>
      </c>
      <c r="CI63" s="116">
        <v>1792</v>
      </c>
      <c r="CJ63" s="112">
        <v>1771.1200000000001</v>
      </c>
      <c r="CK63" s="54">
        <f t="shared" si="6"/>
        <v>1425</v>
      </c>
      <c r="CL63" s="63">
        <f t="shared" si="7"/>
        <v>18037</v>
      </c>
      <c r="CM63" s="55">
        <f t="shared" si="8"/>
        <v>17354.690000000002</v>
      </c>
      <c r="CN63" s="54">
        <f t="shared" si="9"/>
        <v>118.75</v>
      </c>
      <c r="CO63" s="63">
        <f t="shared" si="10"/>
        <v>1503.0833333333333</v>
      </c>
      <c r="CP63" s="172">
        <f t="shared" si="11"/>
        <v>1446.2241666666669</v>
      </c>
      <c r="CQ63" s="151">
        <v>161</v>
      </c>
      <c r="CR63" s="152">
        <v>1948</v>
      </c>
      <c r="CS63" s="97">
        <v>1909.8400000000001</v>
      </c>
      <c r="CT63" s="27">
        <v>206</v>
      </c>
      <c r="CU63" s="58">
        <v>2614</v>
      </c>
      <c r="CV63" s="107">
        <v>2460.96</v>
      </c>
      <c r="CW63" s="27"/>
      <c r="CX63" s="58"/>
      <c r="CY63" s="98"/>
      <c r="CZ63" s="27"/>
      <c r="DA63" s="58"/>
      <c r="DB63" s="107"/>
      <c r="DC63" s="27"/>
      <c r="DD63" s="58"/>
      <c r="DE63" s="107"/>
      <c r="DF63" s="27"/>
      <c r="DG63" s="58"/>
      <c r="DH63" s="12"/>
      <c r="DI63" s="27"/>
      <c r="DJ63" s="58"/>
      <c r="DK63" s="107"/>
      <c r="DL63" s="27"/>
      <c r="DM63" s="58"/>
      <c r="DN63" s="107"/>
      <c r="DO63" s="27"/>
      <c r="DP63" s="58"/>
      <c r="DQ63" s="107"/>
      <c r="DR63" s="27"/>
      <c r="DS63" s="58"/>
      <c r="DT63" s="107"/>
      <c r="DU63" s="27"/>
      <c r="DV63" s="58"/>
      <c r="DW63" s="107"/>
      <c r="DX63" s="27"/>
      <c r="DY63" s="58"/>
      <c r="DZ63" s="107"/>
    </row>
    <row r="64" spans="1:130" s="2" customFormat="1" ht="34.9" customHeight="1" x14ac:dyDescent="0.6">
      <c r="A64" s="5">
        <v>61</v>
      </c>
      <c r="B64" s="21" t="s">
        <v>199</v>
      </c>
      <c r="C64" s="16" t="s">
        <v>200</v>
      </c>
      <c r="D64" s="15" t="s">
        <v>53</v>
      </c>
      <c r="E64" s="14" t="s">
        <v>54</v>
      </c>
      <c r="F64" s="7" t="s">
        <v>150</v>
      </c>
      <c r="G64" s="18" t="s">
        <v>829</v>
      </c>
      <c r="H64" s="18" t="s">
        <v>830</v>
      </c>
      <c r="I64" s="14" t="s">
        <v>831</v>
      </c>
      <c r="J64" s="49" t="s">
        <v>151</v>
      </c>
      <c r="K64" s="27">
        <v>1100</v>
      </c>
      <c r="L64" s="58">
        <v>14400</v>
      </c>
      <c r="M64" s="78">
        <v>11376</v>
      </c>
      <c r="N64" s="27">
        <v>50</v>
      </c>
      <c r="O64" s="58">
        <v>600</v>
      </c>
      <c r="P64" s="104">
        <v>600</v>
      </c>
      <c r="Q64" s="27">
        <v>0</v>
      </c>
      <c r="R64" s="58">
        <v>0</v>
      </c>
      <c r="S64" s="98">
        <v>0</v>
      </c>
      <c r="T64" s="27">
        <v>250</v>
      </c>
      <c r="U64" s="58">
        <v>3200</v>
      </c>
      <c r="V64" s="12">
        <v>2696</v>
      </c>
      <c r="W64" s="27">
        <v>270</v>
      </c>
      <c r="X64" s="58">
        <v>3340</v>
      </c>
      <c r="Y64" s="107">
        <v>3088</v>
      </c>
      <c r="Z64" s="27">
        <v>525</v>
      </c>
      <c r="AA64" s="58">
        <v>6530</v>
      </c>
      <c r="AB64" s="12">
        <v>5950.4</v>
      </c>
      <c r="AC64" s="27">
        <v>310</v>
      </c>
      <c r="AD64" s="58">
        <v>3720</v>
      </c>
      <c r="AE64" s="107">
        <v>3702</v>
      </c>
      <c r="AF64" s="27">
        <v>203</v>
      </c>
      <c r="AG64" s="58">
        <v>2436</v>
      </c>
      <c r="AH64" s="107">
        <v>2436</v>
      </c>
      <c r="AI64" s="27">
        <v>305</v>
      </c>
      <c r="AJ64" s="58">
        <v>3660</v>
      </c>
      <c r="AK64" s="107">
        <v>3642</v>
      </c>
      <c r="AL64" s="27">
        <v>530</v>
      </c>
      <c r="AM64" s="58">
        <v>6360</v>
      </c>
      <c r="AN64" s="107">
        <v>6288</v>
      </c>
      <c r="AO64" s="27">
        <v>420</v>
      </c>
      <c r="AP64" s="58">
        <v>5040</v>
      </c>
      <c r="AQ64" s="107">
        <v>5004</v>
      </c>
      <c r="AR64" s="27">
        <v>590</v>
      </c>
      <c r="AS64" s="58">
        <v>7080</v>
      </c>
      <c r="AT64" s="107">
        <v>7080</v>
      </c>
      <c r="AU64" s="54">
        <f t="shared" si="0"/>
        <v>4553</v>
      </c>
      <c r="AV64" s="63">
        <f t="shared" si="1"/>
        <v>56366</v>
      </c>
      <c r="AW64" s="55">
        <f t="shared" si="2"/>
        <v>51862.400000000001</v>
      </c>
      <c r="AX64" s="54">
        <f t="shared" si="3"/>
        <v>379.41666666666669</v>
      </c>
      <c r="AY64" s="63">
        <f t="shared" si="4"/>
        <v>31.618055555555557</v>
      </c>
      <c r="AZ64" s="55">
        <f t="shared" si="5"/>
        <v>4321.8666666666668</v>
      </c>
      <c r="BA64" s="10">
        <v>645</v>
      </c>
      <c r="BB64" s="15">
        <v>7740</v>
      </c>
      <c r="BC64" s="11">
        <v>7740</v>
      </c>
      <c r="BD64" s="10">
        <v>569</v>
      </c>
      <c r="BE64" s="15">
        <v>6828</v>
      </c>
      <c r="BF64" s="11">
        <v>6828</v>
      </c>
      <c r="BG64" s="10">
        <v>786</v>
      </c>
      <c r="BH64" s="15">
        <v>9532</v>
      </c>
      <c r="BI64" s="11">
        <v>9280</v>
      </c>
      <c r="BJ64" s="10">
        <v>520</v>
      </c>
      <c r="BK64" s="15">
        <v>6520</v>
      </c>
      <c r="BL64" s="11">
        <v>6260</v>
      </c>
      <c r="BM64" s="44">
        <v>655</v>
      </c>
      <c r="BN64" s="42">
        <v>7860</v>
      </c>
      <c r="BO64" s="45">
        <v>7860</v>
      </c>
      <c r="BP64" s="44">
        <v>545</v>
      </c>
      <c r="BQ64" s="42">
        <v>6540</v>
      </c>
      <c r="BR64" s="45">
        <v>6540</v>
      </c>
      <c r="BS64" s="44">
        <v>480</v>
      </c>
      <c r="BT64" s="42">
        <v>6040</v>
      </c>
      <c r="BU64" s="112">
        <v>5780</v>
      </c>
      <c r="BV64" s="115">
        <v>510</v>
      </c>
      <c r="BW64" s="116">
        <v>6123</v>
      </c>
      <c r="BX64" s="112">
        <v>6122.04</v>
      </c>
      <c r="BY64" s="115">
        <v>600</v>
      </c>
      <c r="BZ64" s="116">
        <v>7200</v>
      </c>
      <c r="CA64" s="112">
        <v>7200</v>
      </c>
      <c r="CB64" s="115">
        <v>505</v>
      </c>
      <c r="CC64" s="116">
        <v>6340</v>
      </c>
      <c r="CD64" s="112">
        <v>6080</v>
      </c>
      <c r="CE64" s="115">
        <v>515</v>
      </c>
      <c r="CF64" s="116">
        <v>6320</v>
      </c>
      <c r="CG64" s="112">
        <v>6190</v>
      </c>
      <c r="CH64" s="115">
        <v>605</v>
      </c>
      <c r="CI64" s="116">
        <v>7400</v>
      </c>
      <c r="CJ64" s="112">
        <v>7252</v>
      </c>
      <c r="CK64" s="54">
        <f t="shared" si="6"/>
        <v>6935</v>
      </c>
      <c r="CL64" s="63">
        <f t="shared" si="7"/>
        <v>84443</v>
      </c>
      <c r="CM64" s="55">
        <f t="shared" si="8"/>
        <v>83132.040000000008</v>
      </c>
      <c r="CN64" s="54">
        <f t="shared" si="9"/>
        <v>577.91666666666663</v>
      </c>
      <c r="CO64" s="63">
        <f t="shared" si="10"/>
        <v>7036.916666666667</v>
      </c>
      <c r="CP64" s="172">
        <f t="shared" si="11"/>
        <v>6927.670000000001</v>
      </c>
      <c r="CQ64" s="151">
        <v>700</v>
      </c>
      <c r="CR64" s="152">
        <v>8740</v>
      </c>
      <c r="CS64" s="97">
        <v>8328.7999999999993</v>
      </c>
      <c r="CT64" s="27">
        <v>660</v>
      </c>
      <c r="CU64" s="58">
        <v>8300</v>
      </c>
      <c r="CV64" s="107">
        <v>7787.9999999999991</v>
      </c>
      <c r="CW64" s="27"/>
      <c r="CX64" s="58"/>
      <c r="CY64" s="98"/>
      <c r="CZ64" s="27"/>
      <c r="DA64" s="58"/>
      <c r="DB64" s="107"/>
      <c r="DC64" s="27"/>
      <c r="DD64" s="58"/>
      <c r="DE64" s="107"/>
      <c r="DF64" s="27"/>
      <c r="DG64" s="58"/>
      <c r="DH64" s="12"/>
      <c r="DI64" s="27"/>
      <c r="DJ64" s="58"/>
      <c r="DK64" s="107"/>
      <c r="DL64" s="27"/>
      <c r="DM64" s="58"/>
      <c r="DN64" s="107"/>
      <c r="DO64" s="27"/>
      <c r="DP64" s="58"/>
      <c r="DQ64" s="107"/>
      <c r="DR64" s="27"/>
      <c r="DS64" s="58"/>
      <c r="DT64" s="107"/>
      <c r="DU64" s="27"/>
      <c r="DV64" s="58"/>
      <c r="DW64" s="107"/>
      <c r="DX64" s="27"/>
      <c r="DY64" s="58"/>
      <c r="DZ64" s="107"/>
    </row>
    <row r="65" spans="1:130" s="2" customFormat="1" ht="34.9" customHeight="1" x14ac:dyDescent="0.6">
      <c r="A65" s="5">
        <v>62</v>
      </c>
      <c r="B65" s="21" t="s">
        <v>203</v>
      </c>
      <c r="C65" s="14" t="s">
        <v>204</v>
      </c>
      <c r="D65" s="15" t="s">
        <v>53</v>
      </c>
      <c r="E65" s="15" t="s">
        <v>54</v>
      </c>
      <c r="F65" s="7" t="s">
        <v>150</v>
      </c>
      <c r="G65" s="18" t="s">
        <v>203</v>
      </c>
      <c r="H65" s="18" t="s">
        <v>835</v>
      </c>
      <c r="I65" s="14" t="s">
        <v>836</v>
      </c>
      <c r="J65" s="49" t="s">
        <v>151</v>
      </c>
      <c r="K65" s="27">
        <v>700</v>
      </c>
      <c r="L65" s="58">
        <v>8400</v>
      </c>
      <c r="M65" s="78">
        <v>8400</v>
      </c>
      <c r="N65" s="27">
        <v>215</v>
      </c>
      <c r="O65" s="58">
        <v>2810</v>
      </c>
      <c r="P65" s="104">
        <v>2230.4</v>
      </c>
      <c r="Q65" s="27">
        <v>255</v>
      </c>
      <c r="R65" s="58">
        <v>3420</v>
      </c>
      <c r="S65" s="98">
        <v>2512.7999999999997</v>
      </c>
      <c r="T65" s="27">
        <v>1030</v>
      </c>
      <c r="U65" s="58">
        <v>13560</v>
      </c>
      <c r="V65" s="12">
        <v>11427.2</v>
      </c>
      <c r="W65" s="27">
        <v>690</v>
      </c>
      <c r="X65" s="58">
        <v>10110</v>
      </c>
      <c r="Y65" s="107">
        <v>7636.4</v>
      </c>
      <c r="Z65" s="27">
        <v>1855</v>
      </c>
      <c r="AA65" s="58">
        <v>24180</v>
      </c>
      <c r="AB65" s="12">
        <v>19341.599999999999</v>
      </c>
      <c r="AC65" s="27">
        <v>190</v>
      </c>
      <c r="AD65" s="58">
        <v>2840</v>
      </c>
      <c r="AE65" s="107">
        <v>2320</v>
      </c>
      <c r="AF65" s="27">
        <v>430</v>
      </c>
      <c r="AG65" s="58">
        <v>7262</v>
      </c>
      <c r="AH65" s="107">
        <v>5306.96</v>
      </c>
      <c r="AI65" s="27">
        <v>0</v>
      </c>
      <c r="AJ65" s="58">
        <v>0</v>
      </c>
      <c r="AK65" s="107">
        <v>0</v>
      </c>
      <c r="AL65" s="27">
        <v>200</v>
      </c>
      <c r="AM65" s="58">
        <v>2400</v>
      </c>
      <c r="AN65" s="107">
        <v>2400</v>
      </c>
      <c r="AO65" s="27">
        <v>100</v>
      </c>
      <c r="AP65" s="58">
        <v>4000</v>
      </c>
      <c r="AQ65" s="107">
        <v>1400</v>
      </c>
      <c r="AR65" s="27">
        <v>200</v>
      </c>
      <c r="AS65" s="58">
        <v>2400</v>
      </c>
      <c r="AT65" s="107">
        <v>2400</v>
      </c>
      <c r="AU65" s="54">
        <f t="shared" si="0"/>
        <v>5865</v>
      </c>
      <c r="AV65" s="63">
        <f t="shared" si="1"/>
        <v>81382</v>
      </c>
      <c r="AW65" s="55">
        <f t="shared" si="2"/>
        <v>65375.360000000001</v>
      </c>
      <c r="AX65" s="54">
        <f t="shared" si="3"/>
        <v>488.75</v>
      </c>
      <c r="AY65" s="63">
        <f t="shared" si="4"/>
        <v>40.729166666666664</v>
      </c>
      <c r="AZ65" s="55">
        <f t="shared" si="5"/>
        <v>5447.9466666666667</v>
      </c>
      <c r="BA65" s="10">
        <v>439</v>
      </c>
      <c r="BB65" s="15">
        <v>5310</v>
      </c>
      <c r="BC65" s="11">
        <v>5203.96</v>
      </c>
      <c r="BD65" s="10">
        <v>305</v>
      </c>
      <c r="BE65" s="15">
        <v>4560</v>
      </c>
      <c r="BF65" s="11">
        <v>3406</v>
      </c>
      <c r="BG65" s="10">
        <v>1240</v>
      </c>
      <c r="BH65" s="15">
        <v>18140</v>
      </c>
      <c r="BI65" s="11">
        <v>14380.8</v>
      </c>
      <c r="BJ65" s="10">
        <v>230</v>
      </c>
      <c r="BK65" s="15">
        <v>2900</v>
      </c>
      <c r="BL65" s="11">
        <v>2547.1999999999998</v>
      </c>
      <c r="BM65" s="44">
        <v>200</v>
      </c>
      <c r="BN65" s="42">
        <v>2400</v>
      </c>
      <c r="BO65" s="45">
        <v>2400</v>
      </c>
      <c r="BP65" s="44">
        <v>200</v>
      </c>
      <c r="BQ65" s="42">
        <v>2400</v>
      </c>
      <c r="BR65" s="45">
        <v>2400</v>
      </c>
      <c r="BS65" s="44">
        <v>180</v>
      </c>
      <c r="BT65" s="42">
        <v>2180</v>
      </c>
      <c r="BU65" s="112">
        <v>2129.6</v>
      </c>
      <c r="BV65" s="115">
        <v>201</v>
      </c>
      <c r="BW65" s="116">
        <v>2472</v>
      </c>
      <c r="BX65" s="112">
        <v>2316.96</v>
      </c>
      <c r="BY65" s="115">
        <v>300</v>
      </c>
      <c r="BZ65" s="116">
        <v>4360</v>
      </c>
      <c r="CA65" s="112">
        <v>3558.8</v>
      </c>
      <c r="CB65" s="115">
        <v>425</v>
      </c>
      <c r="CC65" s="116">
        <v>5320</v>
      </c>
      <c r="CD65" s="112">
        <v>4765.6000000000004</v>
      </c>
      <c r="CE65" s="115">
        <v>300</v>
      </c>
      <c r="CF65" s="116">
        <v>4880</v>
      </c>
      <c r="CG65" s="112">
        <v>3436.8</v>
      </c>
      <c r="CH65" s="115">
        <v>305</v>
      </c>
      <c r="CI65" s="116">
        <v>4370</v>
      </c>
      <c r="CJ65" s="112">
        <v>3472</v>
      </c>
      <c r="CK65" s="54">
        <f t="shared" si="6"/>
        <v>4325</v>
      </c>
      <c r="CL65" s="63">
        <f t="shared" si="7"/>
        <v>59292</v>
      </c>
      <c r="CM65" s="55">
        <f t="shared" si="8"/>
        <v>50017.72</v>
      </c>
      <c r="CN65" s="54">
        <f t="shared" si="9"/>
        <v>360.41666666666669</v>
      </c>
      <c r="CO65" s="63">
        <f t="shared" si="10"/>
        <v>4941</v>
      </c>
      <c r="CP65" s="172">
        <f t="shared" si="11"/>
        <v>4168.1433333333334</v>
      </c>
      <c r="CQ65" s="151">
        <v>560</v>
      </c>
      <c r="CR65" s="152">
        <v>7080</v>
      </c>
      <c r="CS65" s="97">
        <v>6172.8</v>
      </c>
      <c r="CT65" s="27">
        <v>350</v>
      </c>
      <c r="CU65" s="58">
        <v>5880</v>
      </c>
      <c r="CV65" s="107">
        <v>3874.4</v>
      </c>
      <c r="CW65" s="27"/>
      <c r="CX65" s="58"/>
      <c r="CY65" s="98"/>
      <c r="CZ65" s="27"/>
      <c r="DA65" s="58"/>
      <c r="DB65" s="12"/>
      <c r="DC65" s="27"/>
      <c r="DD65" s="58"/>
      <c r="DE65" s="107"/>
      <c r="DF65" s="27"/>
      <c r="DG65" s="58"/>
      <c r="DH65" s="12"/>
      <c r="DI65" s="27"/>
      <c r="DJ65" s="58"/>
      <c r="DK65" s="107"/>
      <c r="DL65" s="27"/>
      <c r="DM65" s="58"/>
      <c r="DN65" s="107"/>
      <c r="DO65" s="27"/>
      <c r="DP65" s="58"/>
      <c r="DQ65" s="107"/>
      <c r="DR65" s="27"/>
      <c r="DS65" s="58"/>
      <c r="DT65" s="107"/>
      <c r="DU65" s="27"/>
      <c r="DV65" s="58"/>
      <c r="DW65" s="107"/>
      <c r="DX65" s="27"/>
      <c r="DY65" s="58"/>
      <c r="DZ65" s="107"/>
    </row>
    <row r="66" spans="1:130" s="2" customFormat="1" ht="34.9" customHeight="1" x14ac:dyDescent="0.6">
      <c r="A66" s="5">
        <v>63</v>
      </c>
      <c r="B66" s="21" t="s">
        <v>205</v>
      </c>
      <c r="C66" s="14" t="s">
        <v>206</v>
      </c>
      <c r="D66" s="15" t="s">
        <v>53</v>
      </c>
      <c r="E66" s="15" t="s">
        <v>54</v>
      </c>
      <c r="F66" s="7" t="s">
        <v>150</v>
      </c>
      <c r="G66" s="18" t="s">
        <v>837</v>
      </c>
      <c r="H66" s="18" t="s">
        <v>838</v>
      </c>
      <c r="I66" s="14" t="s">
        <v>839</v>
      </c>
      <c r="J66" s="49" t="s">
        <v>151</v>
      </c>
      <c r="K66" s="27">
        <v>1000</v>
      </c>
      <c r="L66" s="58">
        <v>13000</v>
      </c>
      <c r="M66" s="78">
        <v>10480</v>
      </c>
      <c r="N66" s="27">
        <v>74</v>
      </c>
      <c r="O66" s="58">
        <v>888</v>
      </c>
      <c r="P66" s="104">
        <v>888</v>
      </c>
      <c r="Q66" s="27">
        <v>130</v>
      </c>
      <c r="R66" s="58">
        <v>1680</v>
      </c>
      <c r="S66" s="98">
        <v>1377.6</v>
      </c>
      <c r="T66" s="27">
        <v>270</v>
      </c>
      <c r="U66" s="58">
        <v>3440</v>
      </c>
      <c r="V66" s="12">
        <v>2936</v>
      </c>
      <c r="W66" s="27">
        <v>460</v>
      </c>
      <c r="X66" s="58">
        <v>5520</v>
      </c>
      <c r="Y66" s="107">
        <v>5520</v>
      </c>
      <c r="Z66" s="27">
        <v>1070</v>
      </c>
      <c r="AA66" s="58">
        <v>13780</v>
      </c>
      <c r="AB66" s="12">
        <v>11411.2</v>
      </c>
      <c r="AC66" s="27">
        <v>700</v>
      </c>
      <c r="AD66" s="58">
        <v>9000</v>
      </c>
      <c r="AE66" s="107">
        <v>7488</v>
      </c>
      <c r="AF66" s="27">
        <v>650</v>
      </c>
      <c r="AG66" s="58">
        <v>8200</v>
      </c>
      <c r="AH66" s="107">
        <v>7192</v>
      </c>
      <c r="AI66" s="27">
        <v>250</v>
      </c>
      <c r="AJ66" s="58">
        <v>3000</v>
      </c>
      <c r="AK66" s="107">
        <v>3000</v>
      </c>
      <c r="AL66" s="27">
        <v>1000</v>
      </c>
      <c r="AM66" s="58">
        <v>12600</v>
      </c>
      <c r="AN66" s="107">
        <v>11088</v>
      </c>
      <c r="AO66" s="27">
        <v>620</v>
      </c>
      <c r="AP66" s="58">
        <v>7880</v>
      </c>
      <c r="AQ66" s="107">
        <v>6771.2</v>
      </c>
      <c r="AR66" s="27">
        <v>650</v>
      </c>
      <c r="AS66" s="58">
        <v>8600</v>
      </c>
      <c r="AT66" s="107">
        <v>6584</v>
      </c>
      <c r="AU66" s="54">
        <f t="shared" ref="AU66:AU114" si="12">K66+N66+Q66+T66+W66+Z66+AC66+AF66+AI66+AL66+AO66+AR66</f>
        <v>6874</v>
      </c>
      <c r="AV66" s="63">
        <f t="shared" ref="AV66:AV114" si="13">L66+O66+R66+U66+X66+AA66+AD66+AG66+AJ66+AM66+AP66+AS66</f>
        <v>87588</v>
      </c>
      <c r="AW66" s="55">
        <f t="shared" ref="AW66:AW114" si="14">M66+P66+S66+V66+Y66+AB66+AE66+AH66+AK66+AN66+AQ66+AT66</f>
        <v>74736</v>
      </c>
      <c r="AX66" s="54">
        <f t="shared" ref="AX66:AX114" si="15">AU66/12</f>
        <v>572.83333333333337</v>
      </c>
      <c r="AY66" s="63">
        <f t="shared" ref="AY66:AY114" si="16">AX66/12</f>
        <v>47.736111111111114</v>
      </c>
      <c r="AZ66" s="55">
        <f t="shared" ref="AZ66:AZ114" si="17">AW66/12</f>
        <v>6228</v>
      </c>
      <c r="BA66" s="10">
        <v>950</v>
      </c>
      <c r="BB66" s="15">
        <v>12200</v>
      </c>
      <c r="BC66" s="11">
        <v>10184</v>
      </c>
      <c r="BD66" s="10">
        <v>1010</v>
      </c>
      <c r="BE66" s="15">
        <v>13140</v>
      </c>
      <c r="BF66" s="11">
        <v>10569.6</v>
      </c>
      <c r="BG66" s="10">
        <v>1620</v>
      </c>
      <c r="BH66" s="15">
        <v>20260</v>
      </c>
      <c r="BI66" s="11">
        <v>18193.599999999999</v>
      </c>
      <c r="BJ66" s="10">
        <v>300</v>
      </c>
      <c r="BK66" s="15">
        <v>4200</v>
      </c>
      <c r="BL66" s="11">
        <v>2688</v>
      </c>
      <c r="BM66" s="44">
        <v>600</v>
      </c>
      <c r="BN66" s="42">
        <v>7600</v>
      </c>
      <c r="BO66" s="45">
        <v>6592</v>
      </c>
      <c r="BP66" s="44">
        <v>1120</v>
      </c>
      <c r="BQ66" s="42">
        <v>14040</v>
      </c>
      <c r="BR66" s="45">
        <v>12528</v>
      </c>
      <c r="BS66" s="44">
        <v>1130</v>
      </c>
      <c r="BT66" s="42">
        <v>14360</v>
      </c>
      <c r="BU66" s="112">
        <v>12344</v>
      </c>
      <c r="BV66" s="115">
        <v>800</v>
      </c>
      <c r="BW66" s="116">
        <v>10103</v>
      </c>
      <c r="BX66" s="112">
        <v>8842.0400000000009</v>
      </c>
      <c r="BY66" s="115">
        <v>840</v>
      </c>
      <c r="BZ66" s="116">
        <v>10680</v>
      </c>
      <c r="CA66" s="112">
        <v>9168</v>
      </c>
      <c r="CB66" s="115">
        <v>1210</v>
      </c>
      <c r="CC66" s="116">
        <v>15020</v>
      </c>
      <c r="CD66" s="112">
        <v>13760</v>
      </c>
      <c r="CE66" s="115">
        <v>700</v>
      </c>
      <c r="CF66" s="116">
        <v>8800</v>
      </c>
      <c r="CG66" s="112">
        <v>7792</v>
      </c>
      <c r="CH66" s="115">
        <v>900</v>
      </c>
      <c r="CI66" s="116">
        <v>11200</v>
      </c>
      <c r="CJ66" s="112">
        <v>10192</v>
      </c>
      <c r="CK66" s="54">
        <f t="shared" ref="CK66:CK114" si="18">+BA66+BD66+BG66+BJ66+BM66+BP66+BS66+BV66+BY66+CB66+CE66+CH66</f>
        <v>11180</v>
      </c>
      <c r="CL66" s="63">
        <f t="shared" ref="CL66:CL114" si="19">+BB66+BE66+BH66+BK66+BN66+BQ66+BT66+BW66+BZ66+CC66+CF66+CI66</f>
        <v>141603</v>
      </c>
      <c r="CM66" s="55">
        <f t="shared" ref="CM66:CM114" si="20">+BC66+BF66+BI66+BL66+BO66+BR66+BU66+BX66+CA66+CD66+CG66+CJ66</f>
        <v>122853.23999999999</v>
      </c>
      <c r="CN66" s="54">
        <f t="shared" ref="CN66:CN114" si="21">CK66/12</f>
        <v>931.66666666666663</v>
      </c>
      <c r="CO66" s="63">
        <f t="shared" ref="CO66:CO114" si="22">CL66/12</f>
        <v>11800.25</v>
      </c>
      <c r="CP66" s="172">
        <f t="shared" ref="CP66:CP114" si="23">CM66/12</f>
        <v>10237.769999999999</v>
      </c>
      <c r="CQ66" s="151">
        <v>800</v>
      </c>
      <c r="CR66" s="152">
        <v>9900</v>
      </c>
      <c r="CS66" s="97">
        <v>9144</v>
      </c>
      <c r="CT66" s="27">
        <v>1250</v>
      </c>
      <c r="CU66" s="58">
        <v>15500</v>
      </c>
      <c r="CV66" s="107">
        <v>14240</v>
      </c>
      <c r="CW66" s="27"/>
      <c r="CX66" s="58"/>
      <c r="CY66" s="98"/>
      <c r="CZ66" s="27"/>
      <c r="DA66" s="58"/>
      <c r="DB66" s="12"/>
      <c r="DC66" s="27"/>
      <c r="DD66" s="58"/>
      <c r="DE66" s="107"/>
      <c r="DF66" s="27"/>
      <c r="DG66" s="58"/>
      <c r="DH66" s="12"/>
      <c r="DI66" s="27"/>
      <c r="DJ66" s="58"/>
      <c r="DK66" s="107"/>
      <c r="DL66" s="27"/>
      <c r="DM66" s="58"/>
      <c r="DN66" s="107"/>
      <c r="DO66" s="27"/>
      <c r="DP66" s="58"/>
      <c r="DQ66" s="107"/>
      <c r="DR66" s="27"/>
      <c r="DS66" s="58"/>
      <c r="DT66" s="107"/>
      <c r="DU66" s="27"/>
      <c r="DV66" s="58"/>
      <c r="DW66" s="107"/>
      <c r="DX66" s="27"/>
      <c r="DY66" s="58"/>
      <c r="DZ66" s="107"/>
    </row>
    <row r="67" spans="1:130" s="2" customFormat="1" ht="34.9" customHeight="1" x14ac:dyDescent="0.6">
      <c r="A67" s="5">
        <v>64</v>
      </c>
      <c r="B67" s="21" t="s">
        <v>207</v>
      </c>
      <c r="C67" s="16" t="s">
        <v>208</v>
      </c>
      <c r="D67" s="15" t="s">
        <v>209</v>
      </c>
      <c r="E67" s="16" t="s">
        <v>210</v>
      </c>
      <c r="F67" s="7" t="s">
        <v>150</v>
      </c>
      <c r="G67" s="18" t="s">
        <v>840</v>
      </c>
      <c r="H67" s="18" t="s">
        <v>841</v>
      </c>
      <c r="I67" s="14" t="s">
        <v>842</v>
      </c>
      <c r="J67" s="49" t="s">
        <v>151</v>
      </c>
      <c r="K67" s="27">
        <v>100</v>
      </c>
      <c r="L67" s="58">
        <v>1200</v>
      </c>
      <c r="M67" s="78">
        <v>1200</v>
      </c>
      <c r="N67" s="27">
        <v>290</v>
      </c>
      <c r="O67" s="58">
        <v>3920</v>
      </c>
      <c r="P67" s="104">
        <v>3256.8</v>
      </c>
      <c r="Q67" s="27">
        <v>100</v>
      </c>
      <c r="R67" s="58">
        <v>1200</v>
      </c>
      <c r="S67" s="98">
        <v>1200</v>
      </c>
      <c r="T67" s="27">
        <v>370</v>
      </c>
      <c r="U67" s="58">
        <v>4980</v>
      </c>
      <c r="V67" s="12">
        <v>4064.8</v>
      </c>
      <c r="W67" s="27">
        <v>200</v>
      </c>
      <c r="X67" s="58">
        <v>2500</v>
      </c>
      <c r="Y67" s="107">
        <v>2248</v>
      </c>
      <c r="Z67" s="27">
        <v>490</v>
      </c>
      <c r="AA67" s="58">
        <v>6540</v>
      </c>
      <c r="AB67" s="12">
        <v>5768</v>
      </c>
      <c r="AC67" s="27">
        <v>0</v>
      </c>
      <c r="AD67" s="58">
        <v>0</v>
      </c>
      <c r="AE67" s="107">
        <v>0</v>
      </c>
      <c r="AF67" s="27">
        <v>100</v>
      </c>
      <c r="AG67" s="58">
        <v>1200</v>
      </c>
      <c r="AH67" s="107">
        <v>1200</v>
      </c>
      <c r="AI67" s="27">
        <v>200</v>
      </c>
      <c r="AJ67" s="58">
        <v>2500</v>
      </c>
      <c r="AK67" s="107">
        <v>2248</v>
      </c>
      <c r="AL67" s="27">
        <v>60</v>
      </c>
      <c r="AM67" s="58">
        <v>760</v>
      </c>
      <c r="AN67" s="107">
        <v>659.2</v>
      </c>
      <c r="AO67" s="27">
        <v>200</v>
      </c>
      <c r="AP67" s="58">
        <v>2500</v>
      </c>
      <c r="AQ67" s="107">
        <v>2248</v>
      </c>
      <c r="AR67" s="27">
        <v>190</v>
      </c>
      <c r="AS67" s="58">
        <v>2380</v>
      </c>
      <c r="AT67" s="107">
        <v>2128</v>
      </c>
      <c r="AU67" s="54">
        <f t="shared" si="12"/>
        <v>2300</v>
      </c>
      <c r="AV67" s="63">
        <f t="shared" si="13"/>
        <v>29680</v>
      </c>
      <c r="AW67" s="55">
        <f t="shared" si="14"/>
        <v>26220.799999999999</v>
      </c>
      <c r="AX67" s="54">
        <f t="shared" si="15"/>
        <v>191.66666666666666</v>
      </c>
      <c r="AY67" s="63">
        <f t="shared" si="16"/>
        <v>15.972222222222221</v>
      </c>
      <c r="AZ67" s="55">
        <f t="shared" si="17"/>
        <v>2185.0666666666666</v>
      </c>
      <c r="BA67" s="10">
        <v>50</v>
      </c>
      <c r="BB67" s="15">
        <v>600</v>
      </c>
      <c r="BC67" s="11">
        <v>600</v>
      </c>
      <c r="BD67" s="10">
        <v>200</v>
      </c>
      <c r="BE67" s="15">
        <v>2560</v>
      </c>
      <c r="BF67" s="11">
        <v>2156.8000000000002</v>
      </c>
      <c r="BG67" s="10">
        <v>250</v>
      </c>
      <c r="BH67" s="15">
        <v>3660</v>
      </c>
      <c r="BI67" s="11">
        <v>2888</v>
      </c>
      <c r="BJ67" s="10">
        <v>60</v>
      </c>
      <c r="BK67" s="15">
        <v>720</v>
      </c>
      <c r="BL67" s="11">
        <v>720</v>
      </c>
      <c r="BM67" s="44">
        <v>100</v>
      </c>
      <c r="BN67" s="42">
        <v>1300</v>
      </c>
      <c r="BO67" s="45">
        <v>1048</v>
      </c>
      <c r="BP67" s="44">
        <v>100</v>
      </c>
      <c r="BQ67" s="42">
        <v>1200</v>
      </c>
      <c r="BR67" s="45">
        <v>1200</v>
      </c>
      <c r="BS67" s="44">
        <v>300</v>
      </c>
      <c r="BT67" s="42">
        <v>3740</v>
      </c>
      <c r="BU67" s="112">
        <v>3387.2</v>
      </c>
      <c r="BV67" s="115">
        <v>61</v>
      </c>
      <c r="BW67" s="116">
        <v>1052</v>
      </c>
      <c r="BX67" s="112">
        <v>687.36</v>
      </c>
      <c r="BY67" s="115">
        <v>140</v>
      </c>
      <c r="BZ67" s="116">
        <v>1680</v>
      </c>
      <c r="CA67" s="112">
        <v>1680</v>
      </c>
      <c r="CB67" s="115">
        <v>100</v>
      </c>
      <c r="CC67" s="116">
        <v>1260</v>
      </c>
      <c r="CD67" s="112">
        <v>1108.8</v>
      </c>
      <c r="CE67" s="115">
        <v>100</v>
      </c>
      <c r="CF67" s="116">
        <v>1240</v>
      </c>
      <c r="CG67" s="112">
        <v>1139.2</v>
      </c>
      <c r="CH67" s="115">
        <v>100</v>
      </c>
      <c r="CI67" s="116">
        <v>1200</v>
      </c>
      <c r="CJ67" s="112">
        <v>1200</v>
      </c>
      <c r="CK67" s="54">
        <f t="shared" si="18"/>
        <v>1561</v>
      </c>
      <c r="CL67" s="63">
        <f t="shared" si="19"/>
        <v>20212</v>
      </c>
      <c r="CM67" s="55">
        <f t="shared" si="20"/>
        <v>17815.36</v>
      </c>
      <c r="CN67" s="54">
        <f t="shared" si="21"/>
        <v>130.08333333333334</v>
      </c>
      <c r="CO67" s="63">
        <f t="shared" si="22"/>
        <v>1684.3333333333333</v>
      </c>
      <c r="CP67" s="172">
        <f t="shared" si="23"/>
        <v>1484.6133333333335</v>
      </c>
      <c r="CQ67" s="151">
        <v>100</v>
      </c>
      <c r="CR67" s="152">
        <v>1240</v>
      </c>
      <c r="CS67" s="97">
        <v>1139.2</v>
      </c>
      <c r="CT67" s="27">
        <v>100</v>
      </c>
      <c r="CU67" s="58">
        <v>1200</v>
      </c>
      <c r="CV67" s="107">
        <v>1200</v>
      </c>
      <c r="CW67" s="27"/>
      <c r="CX67" s="58"/>
      <c r="CY67" s="98"/>
      <c r="CZ67" s="27"/>
      <c r="DA67" s="58"/>
      <c r="DB67" s="12"/>
      <c r="DC67" s="27"/>
      <c r="DD67" s="58"/>
      <c r="DE67" s="107"/>
      <c r="DF67" s="27"/>
      <c r="DG67" s="58"/>
      <c r="DH67" s="12"/>
      <c r="DI67" s="27"/>
      <c r="DJ67" s="58"/>
      <c r="DK67" s="107"/>
      <c r="DL67" s="27"/>
      <c r="DM67" s="58"/>
      <c r="DN67" s="107"/>
      <c r="DO67" s="27"/>
      <c r="DP67" s="58"/>
      <c r="DQ67" s="107"/>
      <c r="DR67" s="27"/>
      <c r="DS67" s="58"/>
      <c r="DT67" s="107"/>
      <c r="DU67" s="27"/>
      <c r="DV67" s="58"/>
      <c r="DW67" s="107"/>
      <c r="DX67" s="27"/>
      <c r="DY67" s="58"/>
      <c r="DZ67" s="107"/>
    </row>
    <row r="68" spans="1:130" s="2" customFormat="1" ht="34.9" customHeight="1" x14ac:dyDescent="0.6">
      <c r="A68" s="5">
        <v>65</v>
      </c>
      <c r="B68" s="21" t="s">
        <v>211</v>
      </c>
      <c r="C68" s="16" t="s">
        <v>212</v>
      </c>
      <c r="D68" s="15" t="s">
        <v>213</v>
      </c>
      <c r="E68" s="14" t="s">
        <v>214</v>
      </c>
      <c r="F68" s="7" t="s">
        <v>150</v>
      </c>
      <c r="G68" s="18" t="s">
        <v>843</v>
      </c>
      <c r="H68" s="18" t="s">
        <v>844</v>
      </c>
      <c r="I68" s="14" t="s">
        <v>845</v>
      </c>
      <c r="J68" s="49" t="s">
        <v>151</v>
      </c>
      <c r="K68" s="27">
        <v>460</v>
      </c>
      <c r="L68" s="58">
        <v>6440</v>
      </c>
      <c r="M68" s="78">
        <v>4121.6000000000004</v>
      </c>
      <c r="N68" s="27">
        <v>230</v>
      </c>
      <c r="O68" s="58">
        <v>3020</v>
      </c>
      <c r="P68" s="104">
        <v>2364.8000000000002</v>
      </c>
      <c r="Q68" s="27">
        <v>0</v>
      </c>
      <c r="R68" s="58">
        <v>0</v>
      </c>
      <c r="S68" s="98">
        <v>0</v>
      </c>
      <c r="T68" s="27">
        <v>465</v>
      </c>
      <c r="U68" s="58">
        <v>6120</v>
      </c>
      <c r="V68" s="12">
        <v>4759.2000000000007</v>
      </c>
      <c r="W68" s="27">
        <v>455</v>
      </c>
      <c r="X68" s="58">
        <v>6540</v>
      </c>
      <c r="Y68" s="107">
        <v>4486.8</v>
      </c>
      <c r="Z68" s="27">
        <v>442</v>
      </c>
      <c r="AA68" s="58">
        <v>5968</v>
      </c>
      <c r="AB68" s="107">
        <v>4294.72</v>
      </c>
      <c r="AC68" s="27">
        <v>230</v>
      </c>
      <c r="AD68" s="58">
        <v>3060</v>
      </c>
      <c r="AE68" s="107">
        <v>2304</v>
      </c>
      <c r="AF68" s="27">
        <v>378</v>
      </c>
      <c r="AG68" s="58">
        <v>5260</v>
      </c>
      <c r="AH68" s="107">
        <v>3881.12</v>
      </c>
      <c r="AI68" s="27">
        <v>505</v>
      </c>
      <c r="AJ68" s="58">
        <v>7050</v>
      </c>
      <c r="AK68" s="107">
        <v>5199.6000000000004</v>
      </c>
      <c r="AL68" s="27">
        <v>238</v>
      </c>
      <c r="AM68" s="58">
        <v>3200</v>
      </c>
      <c r="AN68" s="107">
        <v>2442.8000000000002</v>
      </c>
      <c r="AO68" s="27">
        <v>395</v>
      </c>
      <c r="AP68" s="58">
        <v>5660</v>
      </c>
      <c r="AQ68" s="107">
        <v>4010</v>
      </c>
      <c r="AR68" s="27">
        <v>373</v>
      </c>
      <c r="AS68" s="58">
        <v>5140</v>
      </c>
      <c r="AT68" s="107">
        <v>3823.2</v>
      </c>
      <c r="AU68" s="54">
        <f t="shared" si="12"/>
        <v>4171</v>
      </c>
      <c r="AV68" s="63">
        <f t="shared" si="13"/>
        <v>57458</v>
      </c>
      <c r="AW68" s="55">
        <f t="shared" si="14"/>
        <v>41687.840000000004</v>
      </c>
      <c r="AX68" s="54">
        <f t="shared" si="15"/>
        <v>347.58333333333331</v>
      </c>
      <c r="AY68" s="63">
        <f t="shared" si="16"/>
        <v>28.965277777777775</v>
      </c>
      <c r="AZ68" s="55">
        <f t="shared" si="17"/>
        <v>3473.9866666666671</v>
      </c>
      <c r="BA68" s="10">
        <v>203</v>
      </c>
      <c r="BB68" s="15">
        <v>2920</v>
      </c>
      <c r="BC68" s="11">
        <v>2056.8000000000002</v>
      </c>
      <c r="BD68" s="10">
        <v>485</v>
      </c>
      <c r="BE68" s="15">
        <v>6800</v>
      </c>
      <c r="BF68" s="11">
        <v>4998.8</v>
      </c>
      <c r="BG68" s="10">
        <v>545</v>
      </c>
      <c r="BH68" s="15">
        <v>7960</v>
      </c>
      <c r="BI68" s="11">
        <v>5718.4</v>
      </c>
      <c r="BJ68" s="10">
        <v>450</v>
      </c>
      <c r="BK68" s="15">
        <v>6040</v>
      </c>
      <c r="BL68" s="11">
        <v>4427.2</v>
      </c>
      <c r="BM68" s="44">
        <v>460</v>
      </c>
      <c r="BN68" s="42">
        <v>6040</v>
      </c>
      <c r="BO68" s="45">
        <v>4729.6000000000004</v>
      </c>
      <c r="BP68" s="44">
        <v>723</v>
      </c>
      <c r="BQ68" s="42">
        <v>9760</v>
      </c>
      <c r="BR68" s="45">
        <v>7384.8</v>
      </c>
      <c r="BS68" s="44">
        <v>550</v>
      </c>
      <c r="BT68" s="42">
        <v>7540</v>
      </c>
      <c r="BU68" s="112">
        <v>5616.8</v>
      </c>
      <c r="BV68" s="115">
        <v>312</v>
      </c>
      <c r="BW68" s="116">
        <v>4763</v>
      </c>
      <c r="BX68" s="112">
        <v>3182.04</v>
      </c>
      <c r="BY68" s="115">
        <v>500</v>
      </c>
      <c r="BZ68" s="116">
        <v>6780</v>
      </c>
      <c r="CA68" s="112">
        <v>5260</v>
      </c>
      <c r="CB68" s="115">
        <v>555</v>
      </c>
      <c r="CC68" s="116">
        <v>7340</v>
      </c>
      <c r="CD68" s="112">
        <v>5849.2</v>
      </c>
      <c r="CE68" s="115">
        <v>285</v>
      </c>
      <c r="CF68" s="116">
        <v>3800</v>
      </c>
      <c r="CG68" s="112">
        <v>3065.2</v>
      </c>
      <c r="CH68" s="115">
        <v>565</v>
      </c>
      <c r="CI68" s="116">
        <v>7880</v>
      </c>
      <c r="CJ68" s="112">
        <v>6222</v>
      </c>
      <c r="CK68" s="54">
        <f t="shared" si="18"/>
        <v>5633</v>
      </c>
      <c r="CL68" s="63">
        <f t="shared" si="19"/>
        <v>77623</v>
      </c>
      <c r="CM68" s="55">
        <f t="shared" si="20"/>
        <v>58510.84</v>
      </c>
      <c r="CN68" s="54">
        <f t="shared" si="21"/>
        <v>469.41666666666669</v>
      </c>
      <c r="CO68" s="63">
        <f t="shared" si="22"/>
        <v>6468.583333333333</v>
      </c>
      <c r="CP68" s="172">
        <f t="shared" si="23"/>
        <v>4875.9033333333327</v>
      </c>
      <c r="CQ68" s="151">
        <v>295</v>
      </c>
      <c r="CR68" s="152">
        <v>3880</v>
      </c>
      <c r="CS68" s="97">
        <v>3246</v>
      </c>
      <c r="CT68" s="27">
        <v>545</v>
      </c>
      <c r="CU68" s="58">
        <v>7580</v>
      </c>
      <c r="CV68" s="107">
        <v>5850.4</v>
      </c>
      <c r="CW68" s="27"/>
      <c r="CX68" s="58"/>
      <c r="CY68" s="98"/>
      <c r="CZ68" s="27"/>
      <c r="DA68" s="58"/>
      <c r="DB68" s="12"/>
      <c r="DC68" s="27"/>
      <c r="DD68" s="58"/>
      <c r="DE68" s="107"/>
      <c r="DF68" s="27"/>
      <c r="DG68" s="58"/>
      <c r="DH68" s="12"/>
      <c r="DI68" s="27"/>
      <c r="DJ68" s="58"/>
      <c r="DK68" s="107"/>
      <c r="DL68" s="27"/>
      <c r="DM68" s="58"/>
      <c r="DN68" s="107"/>
      <c r="DO68" s="27"/>
      <c r="DP68" s="58"/>
      <c r="DQ68" s="107"/>
      <c r="DR68" s="27"/>
      <c r="DS68" s="58"/>
      <c r="DT68" s="107"/>
      <c r="DU68" s="27"/>
      <c r="DV68" s="58"/>
      <c r="DW68" s="107"/>
      <c r="DX68" s="27"/>
      <c r="DY68" s="58"/>
      <c r="DZ68" s="107"/>
    </row>
    <row r="69" spans="1:130" s="2" customFormat="1" ht="34.9" customHeight="1" x14ac:dyDescent="0.6">
      <c r="A69" s="5">
        <v>66</v>
      </c>
      <c r="B69" s="21" t="s">
        <v>215</v>
      </c>
      <c r="C69" s="16" t="s">
        <v>216</v>
      </c>
      <c r="D69" s="15" t="s">
        <v>190</v>
      </c>
      <c r="E69" s="14" t="s">
        <v>187</v>
      </c>
      <c r="F69" s="7" t="s">
        <v>150</v>
      </c>
      <c r="G69" s="18" t="s">
        <v>846</v>
      </c>
      <c r="H69" s="18" t="s">
        <v>847</v>
      </c>
      <c r="I69" s="14" t="s">
        <v>848</v>
      </c>
      <c r="J69" s="49" t="s">
        <v>151</v>
      </c>
      <c r="K69" s="27">
        <v>135</v>
      </c>
      <c r="L69" s="58">
        <v>1654</v>
      </c>
      <c r="M69" s="78">
        <v>1612.88</v>
      </c>
      <c r="N69" s="27">
        <v>180</v>
      </c>
      <c r="O69" s="58">
        <v>2160</v>
      </c>
      <c r="P69" s="49">
        <v>2160</v>
      </c>
      <c r="Q69" s="27">
        <v>140</v>
      </c>
      <c r="R69" s="58">
        <v>1680</v>
      </c>
      <c r="S69" s="98">
        <v>1680</v>
      </c>
      <c r="T69" s="27">
        <v>160</v>
      </c>
      <c r="U69" s="58">
        <v>1920</v>
      </c>
      <c r="V69" s="12">
        <v>1920</v>
      </c>
      <c r="W69" s="27">
        <v>195</v>
      </c>
      <c r="X69" s="58">
        <v>2340</v>
      </c>
      <c r="Y69" s="12">
        <v>2340</v>
      </c>
      <c r="Z69" s="27">
        <v>215</v>
      </c>
      <c r="AA69" s="58">
        <v>2580</v>
      </c>
      <c r="AB69" s="12">
        <v>2580</v>
      </c>
      <c r="AC69" s="27">
        <v>195</v>
      </c>
      <c r="AD69" s="58">
        <v>2340</v>
      </c>
      <c r="AE69" s="107">
        <v>2340</v>
      </c>
      <c r="AF69" s="27">
        <v>225</v>
      </c>
      <c r="AG69" s="58">
        <v>2700</v>
      </c>
      <c r="AH69" s="107">
        <v>2700</v>
      </c>
      <c r="AI69" s="27">
        <v>145</v>
      </c>
      <c r="AJ69" s="58">
        <v>1740</v>
      </c>
      <c r="AK69" s="107">
        <v>1740</v>
      </c>
      <c r="AL69" s="27">
        <v>175</v>
      </c>
      <c r="AM69" s="58">
        <v>2100</v>
      </c>
      <c r="AN69" s="107">
        <v>2100</v>
      </c>
      <c r="AO69" s="27">
        <v>165</v>
      </c>
      <c r="AP69" s="58">
        <v>1980</v>
      </c>
      <c r="AQ69" s="107">
        <v>1980</v>
      </c>
      <c r="AR69" s="27">
        <v>125</v>
      </c>
      <c r="AS69" s="58">
        <v>1500</v>
      </c>
      <c r="AT69" s="107">
        <v>1500</v>
      </c>
      <c r="AU69" s="54">
        <f t="shared" si="12"/>
        <v>2055</v>
      </c>
      <c r="AV69" s="63">
        <f t="shared" si="13"/>
        <v>24694</v>
      </c>
      <c r="AW69" s="55">
        <f t="shared" si="14"/>
        <v>24652.880000000001</v>
      </c>
      <c r="AX69" s="54">
        <f t="shared" si="15"/>
        <v>171.25</v>
      </c>
      <c r="AY69" s="63">
        <f t="shared" si="16"/>
        <v>14.270833333333334</v>
      </c>
      <c r="AZ69" s="55">
        <f t="shared" si="17"/>
        <v>2054.4066666666668</v>
      </c>
      <c r="BA69" s="10">
        <v>180</v>
      </c>
      <c r="BB69" s="15">
        <v>2160</v>
      </c>
      <c r="BC69" s="11">
        <v>2160</v>
      </c>
      <c r="BD69" s="10">
        <v>135</v>
      </c>
      <c r="BE69" s="15">
        <v>1620</v>
      </c>
      <c r="BF69" s="11">
        <v>1620</v>
      </c>
      <c r="BG69" s="10">
        <v>145</v>
      </c>
      <c r="BH69" s="15">
        <v>1740</v>
      </c>
      <c r="BI69" s="11">
        <v>1740</v>
      </c>
      <c r="BJ69" s="10">
        <v>95</v>
      </c>
      <c r="BK69" s="15">
        <v>1140</v>
      </c>
      <c r="BL69" s="11">
        <v>1140</v>
      </c>
      <c r="BM69" s="44">
        <v>120</v>
      </c>
      <c r="BN69" s="42">
        <v>1440</v>
      </c>
      <c r="BO69" s="45">
        <v>1440</v>
      </c>
      <c r="BP69" s="44">
        <v>110</v>
      </c>
      <c r="BQ69" s="42">
        <v>1320</v>
      </c>
      <c r="BR69" s="45">
        <v>1320</v>
      </c>
      <c r="BS69" s="44">
        <v>140</v>
      </c>
      <c r="BT69" s="42">
        <v>1680</v>
      </c>
      <c r="BU69" s="112">
        <v>1680</v>
      </c>
      <c r="BV69" s="115">
        <v>151</v>
      </c>
      <c r="BW69" s="116">
        <v>1812</v>
      </c>
      <c r="BX69" s="112">
        <v>1812</v>
      </c>
      <c r="BY69" s="115">
        <v>75</v>
      </c>
      <c r="BZ69" s="116">
        <v>900</v>
      </c>
      <c r="CA69" s="112">
        <v>900</v>
      </c>
      <c r="CB69" s="115">
        <v>130</v>
      </c>
      <c r="CC69" s="116">
        <v>1560</v>
      </c>
      <c r="CD69" s="112">
        <v>1560</v>
      </c>
      <c r="CE69" s="115">
        <v>140</v>
      </c>
      <c r="CF69" s="116">
        <v>1680</v>
      </c>
      <c r="CG69" s="112">
        <v>1680</v>
      </c>
      <c r="CH69" s="115">
        <v>130</v>
      </c>
      <c r="CI69" s="116">
        <v>1560</v>
      </c>
      <c r="CJ69" s="112">
        <v>1560</v>
      </c>
      <c r="CK69" s="54">
        <f t="shared" si="18"/>
        <v>1551</v>
      </c>
      <c r="CL69" s="63">
        <f t="shared" si="19"/>
        <v>18612</v>
      </c>
      <c r="CM69" s="55">
        <f t="shared" si="20"/>
        <v>18612</v>
      </c>
      <c r="CN69" s="54">
        <f t="shared" si="21"/>
        <v>129.25</v>
      </c>
      <c r="CO69" s="63">
        <f t="shared" si="22"/>
        <v>1551</v>
      </c>
      <c r="CP69" s="172">
        <f t="shared" si="23"/>
        <v>1551</v>
      </c>
      <c r="CQ69" s="151">
        <v>140</v>
      </c>
      <c r="CR69" s="152">
        <v>1680</v>
      </c>
      <c r="CS69" s="97">
        <v>1680</v>
      </c>
      <c r="CT69" s="27">
        <v>85</v>
      </c>
      <c r="CU69" s="58">
        <v>1020</v>
      </c>
      <c r="CV69" s="107">
        <v>1020</v>
      </c>
      <c r="CW69" s="27"/>
      <c r="CX69" s="58"/>
      <c r="CY69" s="98"/>
      <c r="CZ69" s="27"/>
      <c r="DA69" s="58"/>
      <c r="DB69" s="12"/>
      <c r="DC69" s="27"/>
      <c r="DD69" s="58"/>
      <c r="DE69" s="107"/>
      <c r="DF69" s="27"/>
      <c r="DG69" s="58"/>
      <c r="DH69" s="12"/>
      <c r="DI69" s="27"/>
      <c r="DJ69" s="58"/>
      <c r="DK69" s="107"/>
      <c r="DL69" s="27"/>
      <c r="DM69" s="58"/>
      <c r="DN69" s="107"/>
      <c r="DO69" s="27"/>
      <c r="DP69" s="58"/>
      <c r="DQ69" s="107"/>
      <c r="DR69" s="27"/>
      <c r="DS69" s="58"/>
      <c r="DT69" s="107"/>
      <c r="DU69" s="27"/>
      <c r="DV69" s="58"/>
      <c r="DW69" s="107"/>
      <c r="DX69" s="27"/>
      <c r="DY69" s="58"/>
      <c r="DZ69" s="107"/>
    </row>
    <row r="70" spans="1:130" s="2" customFormat="1" ht="34.9" customHeight="1" x14ac:dyDescent="0.6">
      <c r="A70" s="5">
        <v>67</v>
      </c>
      <c r="B70" s="21" t="s">
        <v>230</v>
      </c>
      <c r="C70" s="14" t="s">
        <v>231</v>
      </c>
      <c r="D70" s="14" t="s">
        <v>100</v>
      </c>
      <c r="E70" s="16" t="s">
        <v>101</v>
      </c>
      <c r="F70" s="7" t="s">
        <v>150</v>
      </c>
      <c r="G70" s="18"/>
      <c r="H70" s="18"/>
      <c r="I70" s="14" t="s">
        <v>855</v>
      </c>
      <c r="J70" s="49" t="s">
        <v>151</v>
      </c>
      <c r="K70" s="27">
        <v>815</v>
      </c>
      <c r="L70" s="58">
        <v>12380</v>
      </c>
      <c r="M70" s="78">
        <v>8780.7999999999993</v>
      </c>
      <c r="N70" s="27">
        <v>820</v>
      </c>
      <c r="O70" s="58">
        <v>11920</v>
      </c>
      <c r="P70" s="49">
        <v>8974</v>
      </c>
      <c r="Q70" s="27">
        <v>890</v>
      </c>
      <c r="R70" s="58">
        <v>13350</v>
      </c>
      <c r="S70" s="98">
        <v>9850.4</v>
      </c>
      <c r="T70" s="27">
        <v>855</v>
      </c>
      <c r="U70" s="58">
        <v>12920</v>
      </c>
      <c r="V70" s="12">
        <v>9397.6</v>
      </c>
      <c r="W70" s="27">
        <v>505</v>
      </c>
      <c r="X70" s="58">
        <v>8120</v>
      </c>
      <c r="Y70" s="12">
        <v>5712</v>
      </c>
      <c r="Z70" s="27">
        <v>1090</v>
      </c>
      <c r="AA70" s="58">
        <v>18020</v>
      </c>
      <c r="AB70" s="107">
        <v>12023.6</v>
      </c>
      <c r="AC70" s="27">
        <v>1230</v>
      </c>
      <c r="AD70" s="58">
        <v>18220</v>
      </c>
      <c r="AE70" s="107">
        <v>13512.8</v>
      </c>
      <c r="AF70" s="27">
        <v>635</v>
      </c>
      <c r="AG70" s="58">
        <v>9500</v>
      </c>
      <c r="AH70" s="107">
        <v>7016</v>
      </c>
      <c r="AI70" s="27">
        <v>535</v>
      </c>
      <c r="AJ70" s="58">
        <v>8340</v>
      </c>
      <c r="AK70" s="107">
        <v>5887.2</v>
      </c>
      <c r="AL70" s="27">
        <v>805</v>
      </c>
      <c r="AM70" s="58">
        <v>12540</v>
      </c>
      <c r="AN70" s="107">
        <v>8872.7999999999993</v>
      </c>
      <c r="AO70" s="27">
        <v>540</v>
      </c>
      <c r="AP70" s="58">
        <v>8640</v>
      </c>
      <c r="AQ70" s="107">
        <v>6124</v>
      </c>
      <c r="AR70" s="27">
        <v>780</v>
      </c>
      <c r="AS70" s="58">
        <v>11740</v>
      </c>
      <c r="AT70" s="107">
        <v>8712.4</v>
      </c>
      <c r="AU70" s="54">
        <f t="shared" si="12"/>
        <v>9500</v>
      </c>
      <c r="AV70" s="63">
        <f t="shared" si="13"/>
        <v>145690</v>
      </c>
      <c r="AW70" s="55">
        <f t="shared" si="14"/>
        <v>104863.59999999999</v>
      </c>
      <c r="AX70" s="54">
        <f t="shared" si="15"/>
        <v>791.66666666666663</v>
      </c>
      <c r="AY70" s="63">
        <f t="shared" si="16"/>
        <v>65.972222222222214</v>
      </c>
      <c r="AZ70" s="55">
        <f t="shared" si="17"/>
        <v>8738.6333333333332</v>
      </c>
      <c r="BA70" s="10">
        <v>275</v>
      </c>
      <c r="BB70" s="15">
        <v>3960</v>
      </c>
      <c r="BC70" s="11">
        <v>2996</v>
      </c>
      <c r="BD70" s="10">
        <v>765</v>
      </c>
      <c r="BE70" s="15">
        <v>11360</v>
      </c>
      <c r="BF70" s="11">
        <v>8583.5999999999985</v>
      </c>
      <c r="BG70" s="10">
        <v>1160</v>
      </c>
      <c r="BH70" s="15">
        <v>16980</v>
      </c>
      <c r="BI70" s="11">
        <v>12715.2</v>
      </c>
      <c r="BJ70" s="10">
        <v>285</v>
      </c>
      <c r="BK70" s="15">
        <v>4120</v>
      </c>
      <c r="BL70" s="11">
        <v>3151.2</v>
      </c>
      <c r="BM70" s="44">
        <v>265</v>
      </c>
      <c r="BN70" s="42">
        <v>3800</v>
      </c>
      <c r="BO70" s="45">
        <v>2966.8</v>
      </c>
      <c r="BP70" s="44">
        <v>490</v>
      </c>
      <c r="BQ70" s="42">
        <v>6610</v>
      </c>
      <c r="BR70" s="45">
        <v>5469.6</v>
      </c>
      <c r="BS70" s="44">
        <v>545</v>
      </c>
      <c r="BT70" s="42">
        <v>7320</v>
      </c>
      <c r="BU70" s="112">
        <v>6005.6</v>
      </c>
      <c r="BV70" s="115">
        <v>550</v>
      </c>
      <c r="BW70" s="116">
        <v>8180</v>
      </c>
      <c r="BX70" s="112">
        <v>6138.4</v>
      </c>
      <c r="BY70" s="115">
        <v>795</v>
      </c>
      <c r="BZ70" s="116">
        <v>11540</v>
      </c>
      <c r="CA70" s="112">
        <v>8561.6</v>
      </c>
      <c r="CB70" s="115">
        <v>724</v>
      </c>
      <c r="CC70" s="116">
        <v>10060</v>
      </c>
      <c r="CD70" s="112">
        <v>8456</v>
      </c>
      <c r="CE70" s="115">
        <v>555</v>
      </c>
      <c r="CF70" s="116">
        <v>7960</v>
      </c>
      <c r="CG70" s="112">
        <v>6256.4</v>
      </c>
      <c r="CH70" s="115">
        <v>540</v>
      </c>
      <c r="CI70" s="116">
        <v>8290</v>
      </c>
      <c r="CJ70" s="112">
        <v>6210.4</v>
      </c>
      <c r="CK70" s="54">
        <f t="shared" si="18"/>
        <v>6949</v>
      </c>
      <c r="CL70" s="63">
        <f t="shared" si="19"/>
        <v>100180</v>
      </c>
      <c r="CM70" s="55">
        <f t="shared" si="20"/>
        <v>77510.799999999988</v>
      </c>
      <c r="CN70" s="54">
        <f t="shared" si="21"/>
        <v>579.08333333333337</v>
      </c>
      <c r="CO70" s="63">
        <f t="shared" si="22"/>
        <v>8348.3333333333339</v>
      </c>
      <c r="CP70" s="172">
        <f t="shared" si="23"/>
        <v>6459.2333333333327</v>
      </c>
      <c r="CQ70" s="151">
        <v>515</v>
      </c>
      <c r="CR70" s="152">
        <v>9040</v>
      </c>
      <c r="CS70" s="97">
        <v>5940.8</v>
      </c>
      <c r="CT70" s="27">
        <v>245</v>
      </c>
      <c r="CU70" s="58">
        <v>4340</v>
      </c>
      <c r="CV70" s="107">
        <v>2878</v>
      </c>
      <c r="CW70" s="27"/>
      <c r="CX70" s="58"/>
      <c r="CY70" s="98"/>
      <c r="CZ70" s="27"/>
      <c r="DA70" s="58"/>
      <c r="DB70" s="12"/>
      <c r="DC70" s="27"/>
      <c r="DD70" s="58"/>
      <c r="DE70" s="107"/>
      <c r="DF70" s="27"/>
      <c r="DG70" s="58"/>
      <c r="DH70" s="12"/>
      <c r="DI70" s="27"/>
      <c r="DJ70" s="58"/>
      <c r="DK70" s="107"/>
      <c r="DL70" s="27"/>
      <c r="DM70" s="58"/>
      <c r="DN70" s="107"/>
      <c r="DO70" s="27"/>
      <c r="DP70" s="58"/>
      <c r="DQ70" s="107"/>
      <c r="DR70" s="27"/>
      <c r="DS70" s="58"/>
      <c r="DT70" s="107"/>
      <c r="DU70" s="27"/>
      <c r="DV70" s="58"/>
      <c r="DW70" s="107"/>
      <c r="DX70" s="27"/>
      <c r="DY70" s="58"/>
      <c r="DZ70" s="107"/>
    </row>
    <row r="71" spans="1:130" s="2" customFormat="1" ht="34.9" customHeight="1" x14ac:dyDescent="0.6">
      <c r="A71" s="5">
        <v>68</v>
      </c>
      <c r="B71" s="21" t="s">
        <v>232</v>
      </c>
      <c r="C71" s="19" t="s">
        <v>233</v>
      </c>
      <c r="D71" s="15" t="s">
        <v>128</v>
      </c>
      <c r="E71" s="20" t="s">
        <v>129</v>
      </c>
      <c r="F71" s="7" t="s">
        <v>150</v>
      </c>
      <c r="G71" s="18" t="s">
        <v>856</v>
      </c>
      <c r="H71" s="18"/>
      <c r="I71" s="14" t="s">
        <v>857</v>
      </c>
      <c r="J71" s="49" t="s">
        <v>151</v>
      </c>
      <c r="K71" s="27">
        <v>120</v>
      </c>
      <c r="L71" s="58">
        <v>1760</v>
      </c>
      <c r="M71" s="78">
        <v>1351.2</v>
      </c>
      <c r="N71" s="27">
        <v>30</v>
      </c>
      <c r="O71" s="58">
        <v>360</v>
      </c>
      <c r="P71" s="49">
        <v>360</v>
      </c>
      <c r="Q71" s="27">
        <v>0</v>
      </c>
      <c r="R71" s="58">
        <v>0</v>
      </c>
      <c r="S71" s="98">
        <v>0</v>
      </c>
      <c r="T71" s="27">
        <v>80</v>
      </c>
      <c r="U71" s="58">
        <v>1260</v>
      </c>
      <c r="V71" s="12">
        <v>949.6</v>
      </c>
      <c r="W71" s="27">
        <v>30</v>
      </c>
      <c r="X71" s="58">
        <v>360</v>
      </c>
      <c r="Y71" s="12">
        <v>360</v>
      </c>
      <c r="Z71" s="27">
        <v>0</v>
      </c>
      <c r="AA71" s="58">
        <v>0</v>
      </c>
      <c r="AB71" s="12">
        <v>0</v>
      </c>
      <c r="AC71" s="27">
        <v>40</v>
      </c>
      <c r="AD71" s="58">
        <v>480</v>
      </c>
      <c r="AE71" s="107">
        <v>432</v>
      </c>
      <c r="AF71" s="27">
        <v>30</v>
      </c>
      <c r="AG71" s="58">
        <v>360</v>
      </c>
      <c r="AH71" s="107">
        <v>360</v>
      </c>
      <c r="AI71" s="27">
        <v>110</v>
      </c>
      <c r="AJ71" s="58">
        <v>1900</v>
      </c>
      <c r="AK71" s="107">
        <v>1329.6</v>
      </c>
      <c r="AL71" s="27">
        <v>80</v>
      </c>
      <c r="AM71" s="58">
        <v>1020</v>
      </c>
      <c r="AN71" s="107">
        <v>772.8</v>
      </c>
      <c r="AO71" s="27">
        <v>80</v>
      </c>
      <c r="AP71" s="58">
        <v>960</v>
      </c>
      <c r="AQ71" s="107">
        <v>960</v>
      </c>
      <c r="AR71" s="27">
        <v>30</v>
      </c>
      <c r="AS71" s="58">
        <v>360</v>
      </c>
      <c r="AT71" s="107">
        <v>360</v>
      </c>
      <c r="AU71" s="54">
        <f t="shared" si="12"/>
        <v>630</v>
      </c>
      <c r="AV71" s="63">
        <f t="shared" si="13"/>
        <v>8820</v>
      </c>
      <c r="AW71" s="55">
        <f t="shared" si="14"/>
        <v>7235.2</v>
      </c>
      <c r="AX71" s="54">
        <f t="shared" si="15"/>
        <v>52.5</v>
      </c>
      <c r="AY71" s="63">
        <f t="shared" si="16"/>
        <v>4.375</v>
      </c>
      <c r="AZ71" s="55">
        <f t="shared" si="17"/>
        <v>602.93333333333328</v>
      </c>
      <c r="BA71" s="10">
        <v>30</v>
      </c>
      <c r="BB71" s="15">
        <v>360</v>
      </c>
      <c r="BC71" s="11">
        <v>360</v>
      </c>
      <c r="BD71" s="10">
        <v>65</v>
      </c>
      <c r="BE71" s="15">
        <v>1200</v>
      </c>
      <c r="BF71" s="11">
        <v>714</v>
      </c>
      <c r="BG71" s="10">
        <v>80</v>
      </c>
      <c r="BH71" s="15">
        <v>960</v>
      </c>
      <c r="BI71" s="11">
        <v>960</v>
      </c>
      <c r="BJ71" s="10">
        <v>0</v>
      </c>
      <c r="BK71" s="15">
        <v>0</v>
      </c>
      <c r="BL71" s="11">
        <v>0</v>
      </c>
      <c r="BM71" s="44">
        <v>30</v>
      </c>
      <c r="BN71" s="42">
        <v>360</v>
      </c>
      <c r="BO71" s="45">
        <v>360</v>
      </c>
      <c r="BP71" s="44">
        <v>120</v>
      </c>
      <c r="BQ71" s="42">
        <v>1720</v>
      </c>
      <c r="BR71" s="45">
        <v>1460</v>
      </c>
      <c r="BS71" s="44">
        <v>95</v>
      </c>
      <c r="BT71" s="42">
        <v>1880</v>
      </c>
      <c r="BU71" s="112">
        <v>1033.2</v>
      </c>
      <c r="BV71" s="115">
        <v>30</v>
      </c>
      <c r="BW71" s="116">
        <v>363</v>
      </c>
      <c r="BX71" s="112">
        <v>362.04</v>
      </c>
      <c r="BY71" s="115">
        <v>80</v>
      </c>
      <c r="BZ71" s="116">
        <v>1240</v>
      </c>
      <c r="CA71" s="112">
        <v>980</v>
      </c>
      <c r="CB71" s="115">
        <v>110</v>
      </c>
      <c r="CC71" s="116">
        <v>1320</v>
      </c>
      <c r="CD71" s="112">
        <v>1320</v>
      </c>
      <c r="CE71" s="115">
        <v>55</v>
      </c>
      <c r="CF71" s="116">
        <v>1360</v>
      </c>
      <c r="CG71" s="112">
        <v>710</v>
      </c>
      <c r="CH71" s="115">
        <v>30</v>
      </c>
      <c r="CI71" s="116">
        <v>360</v>
      </c>
      <c r="CJ71" s="112">
        <v>360</v>
      </c>
      <c r="CK71" s="54">
        <f t="shared" si="18"/>
        <v>725</v>
      </c>
      <c r="CL71" s="63">
        <f t="shared" si="19"/>
        <v>11123</v>
      </c>
      <c r="CM71" s="55">
        <f t="shared" si="20"/>
        <v>8619.24</v>
      </c>
      <c r="CN71" s="54">
        <f t="shared" si="21"/>
        <v>60.416666666666664</v>
      </c>
      <c r="CO71" s="63">
        <f t="shared" si="22"/>
        <v>926.91666666666663</v>
      </c>
      <c r="CP71" s="172">
        <f t="shared" si="23"/>
        <v>718.27</v>
      </c>
      <c r="CQ71" s="151">
        <v>80</v>
      </c>
      <c r="CR71" s="152">
        <v>1260</v>
      </c>
      <c r="CS71" s="97">
        <v>949.6</v>
      </c>
      <c r="CT71" s="27">
        <v>30</v>
      </c>
      <c r="CU71" s="58">
        <v>360</v>
      </c>
      <c r="CV71" s="107">
        <v>360</v>
      </c>
      <c r="CW71" s="27"/>
      <c r="CX71" s="58"/>
      <c r="CY71" s="98"/>
      <c r="CZ71" s="27"/>
      <c r="DA71" s="58"/>
      <c r="DB71" s="12"/>
      <c r="DC71" s="27"/>
      <c r="DD71" s="58"/>
      <c r="DE71" s="107"/>
      <c r="DF71" s="27"/>
      <c r="DG71" s="58"/>
      <c r="DH71" s="107"/>
      <c r="DI71" s="27"/>
      <c r="DJ71" s="58"/>
      <c r="DK71" s="107"/>
      <c r="DL71" s="27"/>
      <c r="DM71" s="58"/>
      <c r="DN71" s="107"/>
      <c r="DO71" s="27"/>
      <c r="DP71" s="58"/>
      <c r="DQ71" s="107"/>
      <c r="DR71" s="27"/>
      <c r="DS71" s="58"/>
      <c r="DT71" s="107"/>
      <c r="DU71" s="27"/>
      <c r="DV71" s="58"/>
      <c r="DW71" s="107"/>
      <c r="DX71" s="27"/>
      <c r="DY71" s="58"/>
      <c r="DZ71" s="107"/>
    </row>
    <row r="72" spans="1:130" s="2" customFormat="1" ht="34.9" customHeight="1" x14ac:dyDescent="0.6">
      <c r="A72" s="5">
        <v>69</v>
      </c>
      <c r="B72" s="21" t="s">
        <v>234</v>
      </c>
      <c r="C72" s="21" t="s">
        <v>235</v>
      </c>
      <c r="D72" s="14" t="s">
        <v>236</v>
      </c>
      <c r="E72" s="20" t="s">
        <v>237</v>
      </c>
      <c r="F72" s="7" t="s">
        <v>150</v>
      </c>
      <c r="G72" s="18" t="s">
        <v>858</v>
      </c>
      <c r="H72" s="18"/>
      <c r="I72" s="14" t="s">
        <v>859</v>
      </c>
      <c r="J72" s="49" t="s">
        <v>151</v>
      </c>
      <c r="K72" s="27">
        <v>400</v>
      </c>
      <c r="L72" s="58">
        <v>5400</v>
      </c>
      <c r="M72" s="78">
        <v>3528</v>
      </c>
      <c r="N72" s="27">
        <v>400</v>
      </c>
      <c r="O72" s="58">
        <v>5200</v>
      </c>
      <c r="P72" s="49">
        <v>3832</v>
      </c>
      <c r="Q72" s="27">
        <v>800</v>
      </c>
      <c r="R72" s="58">
        <v>12300</v>
      </c>
      <c r="S72" s="98">
        <v>7364</v>
      </c>
      <c r="T72" s="27">
        <v>0</v>
      </c>
      <c r="U72" s="58">
        <v>0</v>
      </c>
      <c r="V72" s="12">
        <v>0</v>
      </c>
      <c r="W72" s="27">
        <v>400</v>
      </c>
      <c r="X72" s="58">
        <v>5500</v>
      </c>
      <c r="Y72" s="12">
        <v>3556</v>
      </c>
      <c r="Z72" s="27">
        <v>820</v>
      </c>
      <c r="AA72" s="58">
        <v>11900</v>
      </c>
      <c r="AB72" s="12">
        <v>7420</v>
      </c>
      <c r="AC72" s="27">
        <v>0</v>
      </c>
      <c r="AD72" s="58">
        <v>0</v>
      </c>
      <c r="AE72" s="107">
        <v>0</v>
      </c>
      <c r="AF72" s="27">
        <v>400</v>
      </c>
      <c r="AG72" s="58">
        <v>5400</v>
      </c>
      <c r="AH72" s="107">
        <v>3528</v>
      </c>
      <c r="AI72" s="27">
        <v>415</v>
      </c>
      <c r="AJ72" s="58">
        <v>5780</v>
      </c>
      <c r="AK72" s="107">
        <v>3764</v>
      </c>
      <c r="AL72" s="27">
        <v>0</v>
      </c>
      <c r="AM72" s="58">
        <v>0</v>
      </c>
      <c r="AN72" s="107">
        <v>0</v>
      </c>
      <c r="AO72" s="27">
        <v>340</v>
      </c>
      <c r="AP72" s="58">
        <v>4580</v>
      </c>
      <c r="AQ72" s="107">
        <v>3320</v>
      </c>
      <c r="AR72" s="27">
        <v>300</v>
      </c>
      <c r="AS72" s="58">
        <v>4200</v>
      </c>
      <c r="AT72" s="107">
        <v>2688</v>
      </c>
      <c r="AU72" s="54">
        <f t="shared" si="12"/>
        <v>4275</v>
      </c>
      <c r="AV72" s="63">
        <f t="shared" si="13"/>
        <v>60260</v>
      </c>
      <c r="AW72" s="55">
        <f t="shared" si="14"/>
        <v>39000</v>
      </c>
      <c r="AX72" s="54">
        <f t="shared" si="15"/>
        <v>356.25</v>
      </c>
      <c r="AY72" s="63">
        <f t="shared" si="16"/>
        <v>29.6875</v>
      </c>
      <c r="AZ72" s="55">
        <f t="shared" si="17"/>
        <v>3250</v>
      </c>
      <c r="BA72" s="10">
        <v>0</v>
      </c>
      <c r="BB72" s="15">
        <v>0</v>
      </c>
      <c r="BC72" s="11">
        <v>0</v>
      </c>
      <c r="BD72" s="10">
        <v>410</v>
      </c>
      <c r="BE72" s="15">
        <v>6000</v>
      </c>
      <c r="BF72" s="11">
        <v>3724</v>
      </c>
      <c r="BG72" s="10">
        <v>415</v>
      </c>
      <c r="BH72" s="15">
        <v>6240</v>
      </c>
      <c r="BI72" s="11">
        <v>3956</v>
      </c>
      <c r="BJ72" s="10">
        <v>0</v>
      </c>
      <c r="BK72" s="15">
        <v>0</v>
      </c>
      <c r="BL72" s="11">
        <v>0</v>
      </c>
      <c r="BM72" s="44">
        <v>0</v>
      </c>
      <c r="BN72" s="42">
        <v>0</v>
      </c>
      <c r="BO72" s="45">
        <v>0</v>
      </c>
      <c r="BP72" s="44">
        <v>395</v>
      </c>
      <c r="BQ72" s="42">
        <v>5420</v>
      </c>
      <c r="BR72" s="45">
        <v>3972</v>
      </c>
      <c r="BS72" s="44">
        <v>420</v>
      </c>
      <c r="BT72" s="42">
        <v>5840</v>
      </c>
      <c r="BU72" s="112">
        <v>3752</v>
      </c>
      <c r="BV72" s="115">
        <v>400</v>
      </c>
      <c r="BW72" s="116">
        <v>6223</v>
      </c>
      <c r="BX72" s="112">
        <v>3872.44</v>
      </c>
      <c r="BY72" s="115">
        <v>0</v>
      </c>
      <c r="BZ72" s="116">
        <v>0</v>
      </c>
      <c r="CA72" s="112">
        <v>0</v>
      </c>
      <c r="CB72" s="115">
        <v>420</v>
      </c>
      <c r="CC72" s="116">
        <v>6000</v>
      </c>
      <c r="CD72" s="112">
        <v>4292</v>
      </c>
      <c r="CE72" s="115">
        <v>0</v>
      </c>
      <c r="CF72" s="116">
        <v>0</v>
      </c>
      <c r="CG72" s="112">
        <v>0</v>
      </c>
      <c r="CH72" s="115">
        <v>400</v>
      </c>
      <c r="CI72" s="116">
        <v>5600</v>
      </c>
      <c r="CJ72" s="112">
        <v>3584</v>
      </c>
      <c r="CK72" s="54">
        <f t="shared" si="18"/>
        <v>2860</v>
      </c>
      <c r="CL72" s="63">
        <f t="shared" si="19"/>
        <v>41323</v>
      </c>
      <c r="CM72" s="55">
        <f t="shared" si="20"/>
        <v>27152.44</v>
      </c>
      <c r="CN72" s="54">
        <f t="shared" si="21"/>
        <v>238.33333333333334</v>
      </c>
      <c r="CO72" s="63">
        <f t="shared" si="22"/>
        <v>3443.5833333333335</v>
      </c>
      <c r="CP72" s="172">
        <f t="shared" si="23"/>
        <v>2262.7033333333334</v>
      </c>
      <c r="CQ72" s="151">
        <v>0</v>
      </c>
      <c r="CR72" s="152">
        <v>0</v>
      </c>
      <c r="CS72" s="97">
        <v>0</v>
      </c>
      <c r="CT72" s="27">
        <v>420</v>
      </c>
      <c r="CU72" s="58">
        <v>6100</v>
      </c>
      <c r="CV72" s="12">
        <v>4320</v>
      </c>
      <c r="CW72" s="27"/>
      <c r="CX72" s="58"/>
      <c r="CY72" s="98"/>
      <c r="CZ72" s="27"/>
      <c r="DA72" s="58"/>
      <c r="DB72" s="12"/>
      <c r="DC72" s="27"/>
      <c r="DD72" s="58"/>
      <c r="DE72" s="12"/>
      <c r="DF72" s="27"/>
      <c r="DG72" s="58"/>
      <c r="DH72" s="12"/>
      <c r="DI72" s="27"/>
      <c r="DJ72" s="58"/>
      <c r="DK72" s="107"/>
      <c r="DL72" s="27"/>
      <c r="DM72" s="58"/>
      <c r="DN72" s="107"/>
      <c r="DO72" s="27"/>
      <c r="DP72" s="58"/>
      <c r="DQ72" s="107"/>
      <c r="DR72" s="27"/>
      <c r="DS72" s="58"/>
      <c r="DT72" s="107"/>
      <c r="DU72" s="27"/>
      <c r="DV72" s="58"/>
      <c r="DW72" s="107"/>
      <c r="DX72" s="27"/>
      <c r="DY72" s="58"/>
      <c r="DZ72" s="107"/>
    </row>
    <row r="73" spans="1:130" s="2" customFormat="1" ht="34.9" customHeight="1" x14ac:dyDescent="0.6">
      <c r="A73" s="5">
        <v>70</v>
      </c>
      <c r="B73" s="21" t="s">
        <v>238</v>
      </c>
      <c r="C73" s="21" t="s">
        <v>239</v>
      </c>
      <c r="D73" s="14" t="s">
        <v>53</v>
      </c>
      <c r="E73" s="20" t="s">
        <v>54</v>
      </c>
      <c r="F73" s="7" t="s">
        <v>150</v>
      </c>
      <c r="G73" s="18" t="s">
        <v>860</v>
      </c>
      <c r="H73" s="18"/>
      <c r="I73" s="14" t="s">
        <v>861</v>
      </c>
      <c r="J73" s="49" t="s">
        <v>151</v>
      </c>
      <c r="K73" s="27">
        <v>100</v>
      </c>
      <c r="L73" s="58">
        <v>1400</v>
      </c>
      <c r="M73" s="78">
        <v>896</v>
      </c>
      <c r="N73" s="27">
        <v>0</v>
      </c>
      <c r="O73" s="58">
        <v>0</v>
      </c>
      <c r="P73" s="49">
        <v>0</v>
      </c>
      <c r="Q73" s="27">
        <v>100</v>
      </c>
      <c r="R73" s="58">
        <v>1400</v>
      </c>
      <c r="S73" s="98">
        <v>896</v>
      </c>
      <c r="T73" s="27">
        <v>50</v>
      </c>
      <c r="U73" s="58">
        <v>700</v>
      </c>
      <c r="V73" s="12">
        <v>448</v>
      </c>
      <c r="W73" s="27">
        <v>50</v>
      </c>
      <c r="X73" s="58">
        <v>700</v>
      </c>
      <c r="Y73" s="12">
        <v>448</v>
      </c>
      <c r="Z73" s="27">
        <v>0</v>
      </c>
      <c r="AA73" s="58">
        <v>0</v>
      </c>
      <c r="AB73" s="12">
        <v>0</v>
      </c>
      <c r="AC73" s="27">
        <v>0</v>
      </c>
      <c r="AD73" s="58">
        <v>0</v>
      </c>
      <c r="AE73" s="107">
        <v>0</v>
      </c>
      <c r="AF73" s="27">
        <v>100</v>
      </c>
      <c r="AG73" s="58">
        <v>1400</v>
      </c>
      <c r="AH73" s="107">
        <v>896</v>
      </c>
      <c r="AI73" s="27">
        <v>50</v>
      </c>
      <c r="AJ73" s="58">
        <v>700</v>
      </c>
      <c r="AK73" s="107">
        <v>448</v>
      </c>
      <c r="AL73" s="27">
        <v>100</v>
      </c>
      <c r="AM73" s="58">
        <v>1340</v>
      </c>
      <c r="AN73" s="107">
        <v>987.2</v>
      </c>
      <c r="AO73" s="27">
        <v>4</v>
      </c>
      <c r="AP73" s="58">
        <v>56</v>
      </c>
      <c r="AQ73" s="107">
        <v>36</v>
      </c>
      <c r="AR73" s="27">
        <v>1</v>
      </c>
      <c r="AS73" s="58">
        <v>12</v>
      </c>
      <c r="AT73" s="107">
        <v>12</v>
      </c>
      <c r="AU73" s="54">
        <f t="shared" si="12"/>
        <v>555</v>
      </c>
      <c r="AV73" s="63">
        <f t="shared" si="13"/>
        <v>7708</v>
      </c>
      <c r="AW73" s="55">
        <f t="shared" si="14"/>
        <v>5067.2</v>
      </c>
      <c r="AX73" s="54">
        <f t="shared" si="15"/>
        <v>46.25</v>
      </c>
      <c r="AY73" s="63">
        <f t="shared" si="16"/>
        <v>3.8541666666666665</v>
      </c>
      <c r="AZ73" s="55">
        <f t="shared" si="17"/>
        <v>422.26666666666665</v>
      </c>
      <c r="BA73" s="10">
        <v>50</v>
      </c>
      <c r="BB73" s="15">
        <v>700</v>
      </c>
      <c r="BC73" s="11">
        <v>448</v>
      </c>
      <c r="BD73" s="10">
        <v>70</v>
      </c>
      <c r="BE73" s="15">
        <v>980</v>
      </c>
      <c r="BF73" s="11">
        <v>627.20000000000005</v>
      </c>
      <c r="BG73" s="10">
        <v>150</v>
      </c>
      <c r="BH73" s="15">
        <v>2100</v>
      </c>
      <c r="BI73" s="11">
        <v>1344</v>
      </c>
      <c r="BJ73" s="10">
        <v>20</v>
      </c>
      <c r="BK73" s="15">
        <v>380</v>
      </c>
      <c r="BL73" s="11">
        <v>250</v>
      </c>
      <c r="BM73" s="44">
        <v>200</v>
      </c>
      <c r="BN73" s="42">
        <v>2890</v>
      </c>
      <c r="BO73" s="45">
        <v>1878</v>
      </c>
      <c r="BP73" s="44">
        <v>130</v>
      </c>
      <c r="BQ73" s="42">
        <v>1790</v>
      </c>
      <c r="BR73" s="45">
        <v>1210.4000000000001</v>
      </c>
      <c r="BS73" s="44">
        <v>20</v>
      </c>
      <c r="BT73" s="42">
        <v>240</v>
      </c>
      <c r="BU73" s="112">
        <v>240</v>
      </c>
      <c r="BV73" s="115">
        <v>110</v>
      </c>
      <c r="BW73" s="116">
        <v>1543</v>
      </c>
      <c r="BX73" s="112">
        <v>987.6400000000001</v>
      </c>
      <c r="BY73" s="115">
        <v>0</v>
      </c>
      <c r="BZ73" s="116">
        <v>0</v>
      </c>
      <c r="CA73" s="112">
        <v>0</v>
      </c>
      <c r="CB73" s="115">
        <v>100</v>
      </c>
      <c r="CC73" s="116">
        <v>1480</v>
      </c>
      <c r="CD73" s="112">
        <v>997.2</v>
      </c>
      <c r="CE73" s="115">
        <v>0</v>
      </c>
      <c r="CF73" s="116">
        <v>0</v>
      </c>
      <c r="CG73" s="112">
        <v>0</v>
      </c>
      <c r="CH73" s="115">
        <v>0</v>
      </c>
      <c r="CI73" s="116">
        <v>0</v>
      </c>
      <c r="CJ73" s="112">
        <v>0</v>
      </c>
      <c r="CK73" s="54">
        <f t="shared" si="18"/>
        <v>850</v>
      </c>
      <c r="CL73" s="63">
        <f t="shared" si="19"/>
        <v>12103</v>
      </c>
      <c r="CM73" s="55">
        <f t="shared" si="20"/>
        <v>7982.4400000000005</v>
      </c>
      <c r="CN73" s="54">
        <f t="shared" si="21"/>
        <v>70.833333333333329</v>
      </c>
      <c r="CO73" s="63">
        <f t="shared" si="22"/>
        <v>1008.5833333333334</v>
      </c>
      <c r="CP73" s="172">
        <f t="shared" si="23"/>
        <v>665.20333333333338</v>
      </c>
      <c r="CQ73" s="151">
        <v>50</v>
      </c>
      <c r="CR73" s="152">
        <v>700</v>
      </c>
      <c r="CS73" s="97">
        <v>448</v>
      </c>
      <c r="CT73" s="27">
        <v>50</v>
      </c>
      <c r="CU73" s="58">
        <v>660</v>
      </c>
      <c r="CV73" s="12">
        <v>508.80000000000007</v>
      </c>
      <c r="CW73" s="27"/>
      <c r="CX73" s="58"/>
      <c r="CY73" s="98"/>
      <c r="CZ73" s="27"/>
      <c r="DA73" s="58"/>
      <c r="DB73" s="12"/>
      <c r="DC73" s="27"/>
      <c r="DD73" s="58"/>
      <c r="DE73" s="12"/>
      <c r="DF73" s="27"/>
      <c r="DG73" s="58"/>
      <c r="DH73" s="107"/>
      <c r="DI73" s="27"/>
      <c r="DJ73" s="58"/>
      <c r="DK73" s="107"/>
      <c r="DL73" s="27"/>
      <c r="DM73" s="58"/>
      <c r="DN73" s="107"/>
      <c r="DO73" s="27"/>
      <c r="DP73" s="58"/>
      <c r="DQ73" s="107"/>
      <c r="DR73" s="27"/>
      <c r="DS73" s="58"/>
      <c r="DT73" s="107"/>
      <c r="DU73" s="27"/>
      <c r="DV73" s="58"/>
      <c r="DW73" s="107"/>
      <c r="DX73" s="27"/>
      <c r="DY73" s="58"/>
      <c r="DZ73" s="107"/>
    </row>
    <row r="74" spans="1:130" s="2" customFormat="1" ht="34.9" customHeight="1" x14ac:dyDescent="0.6">
      <c r="A74" s="5">
        <v>71</v>
      </c>
      <c r="B74" s="21" t="s">
        <v>230</v>
      </c>
      <c r="C74" s="14" t="s">
        <v>241</v>
      </c>
      <c r="D74" s="15" t="s">
        <v>242</v>
      </c>
      <c r="E74" s="15" t="s">
        <v>243</v>
      </c>
      <c r="F74" s="7" t="s">
        <v>150</v>
      </c>
      <c r="G74" s="18"/>
      <c r="H74" s="18"/>
      <c r="I74" s="14" t="s">
        <v>862</v>
      </c>
      <c r="J74" s="49" t="s">
        <v>151</v>
      </c>
      <c r="K74" s="27">
        <v>60</v>
      </c>
      <c r="L74" s="58">
        <v>720</v>
      </c>
      <c r="M74" s="78">
        <v>720</v>
      </c>
      <c r="N74" s="27">
        <v>45</v>
      </c>
      <c r="O74" s="58">
        <v>540</v>
      </c>
      <c r="P74" s="49">
        <v>540</v>
      </c>
      <c r="Q74" s="27">
        <v>60</v>
      </c>
      <c r="R74" s="58">
        <v>720</v>
      </c>
      <c r="S74" s="98">
        <v>720</v>
      </c>
      <c r="T74" s="27">
        <v>60</v>
      </c>
      <c r="U74" s="58">
        <v>1140</v>
      </c>
      <c r="V74" s="12">
        <v>750</v>
      </c>
      <c r="W74" s="27">
        <v>45</v>
      </c>
      <c r="X74" s="58">
        <v>540</v>
      </c>
      <c r="Y74" s="12">
        <v>540</v>
      </c>
      <c r="Z74" s="27">
        <v>60</v>
      </c>
      <c r="AA74" s="58">
        <v>1140</v>
      </c>
      <c r="AB74" s="12">
        <v>750</v>
      </c>
      <c r="AC74" s="27">
        <v>45</v>
      </c>
      <c r="AD74" s="58">
        <v>540</v>
      </c>
      <c r="AE74" s="107">
        <v>540</v>
      </c>
      <c r="AF74" s="27">
        <v>75</v>
      </c>
      <c r="AG74" s="58">
        <v>1320</v>
      </c>
      <c r="AH74" s="107">
        <v>930</v>
      </c>
      <c r="AI74" s="27">
        <v>30</v>
      </c>
      <c r="AJ74" s="58">
        <v>360</v>
      </c>
      <c r="AK74" s="107">
        <v>360</v>
      </c>
      <c r="AL74" s="27">
        <v>30</v>
      </c>
      <c r="AM74" s="58">
        <v>780</v>
      </c>
      <c r="AN74" s="107">
        <v>390</v>
      </c>
      <c r="AO74" s="27">
        <v>60</v>
      </c>
      <c r="AP74" s="58">
        <v>1140</v>
      </c>
      <c r="AQ74" s="107">
        <v>750</v>
      </c>
      <c r="AR74" s="27">
        <v>54</v>
      </c>
      <c r="AS74" s="58">
        <v>676</v>
      </c>
      <c r="AT74" s="107">
        <v>640.4</v>
      </c>
      <c r="AU74" s="54">
        <f t="shared" si="12"/>
        <v>624</v>
      </c>
      <c r="AV74" s="63">
        <f t="shared" si="13"/>
        <v>9616</v>
      </c>
      <c r="AW74" s="55">
        <f t="shared" si="14"/>
        <v>7630.4</v>
      </c>
      <c r="AX74" s="54">
        <f t="shared" si="15"/>
        <v>52</v>
      </c>
      <c r="AY74" s="63">
        <f t="shared" si="16"/>
        <v>4.333333333333333</v>
      </c>
      <c r="AZ74" s="55">
        <f t="shared" si="17"/>
        <v>635.86666666666667</v>
      </c>
      <c r="BA74" s="10">
        <v>53</v>
      </c>
      <c r="BB74" s="15">
        <v>1112</v>
      </c>
      <c r="BC74" s="11">
        <v>665.2</v>
      </c>
      <c r="BD74" s="10">
        <v>45</v>
      </c>
      <c r="BE74" s="15">
        <v>540</v>
      </c>
      <c r="BF74" s="11">
        <v>540</v>
      </c>
      <c r="BG74" s="10">
        <v>75</v>
      </c>
      <c r="BH74" s="15">
        <v>1320</v>
      </c>
      <c r="BI74" s="11">
        <v>930</v>
      </c>
      <c r="BJ74" s="10">
        <v>60</v>
      </c>
      <c r="BK74" s="15">
        <v>1140</v>
      </c>
      <c r="BL74" s="11">
        <v>750</v>
      </c>
      <c r="BM74" s="44">
        <v>60</v>
      </c>
      <c r="BN74" s="42">
        <v>720</v>
      </c>
      <c r="BO74" s="45">
        <v>720</v>
      </c>
      <c r="BP74" s="44">
        <v>45</v>
      </c>
      <c r="BQ74" s="42">
        <v>540</v>
      </c>
      <c r="BR74" s="45">
        <v>540</v>
      </c>
      <c r="BS74" s="44">
        <v>60</v>
      </c>
      <c r="BT74" s="42">
        <v>1140</v>
      </c>
      <c r="BU74" s="112">
        <v>750</v>
      </c>
      <c r="BV74" s="115">
        <v>75</v>
      </c>
      <c r="BW74" s="116">
        <v>1320</v>
      </c>
      <c r="BX74" s="112">
        <v>930</v>
      </c>
      <c r="BY74" s="115">
        <v>60</v>
      </c>
      <c r="BZ74" s="116">
        <v>720</v>
      </c>
      <c r="CA74" s="112">
        <v>720</v>
      </c>
      <c r="CB74" s="115">
        <v>90</v>
      </c>
      <c r="CC74" s="116">
        <v>1500</v>
      </c>
      <c r="CD74" s="112">
        <v>1110</v>
      </c>
      <c r="CE74" s="115">
        <v>60</v>
      </c>
      <c r="CF74" s="116">
        <v>720</v>
      </c>
      <c r="CG74" s="112">
        <v>720</v>
      </c>
      <c r="CH74" s="115">
        <v>45</v>
      </c>
      <c r="CI74" s="116">
        <v>960</v>
      </c>
      <c r="CJ74" s="112">
        <v>570</v>
      </c>
      <c r="CK74" s="54">
        <f t="shared" si="18"/>
        <v>728</v>
      </c>
      <c r="CL74" s="63">
        <f t="shared" si="19"/>
        <v>11732</v>
      </c>
      <c r="CM74" s="55">
        <f t="shared" si="20"/>
        <v>8945.2000000000007</v>
      </c>
      <c r="CN74" s="54">
        <f t="shared" si="21"/>
        <v>60.666666666666664</v>
      </c>
      <c r="CO74" s="63">
        <f t="shared" si="22"/>
        <v>977.66666666666663</v>
      </c>
      <c r="CP74" s="172">
        <f t="shared" si="23"/>
        <v>745.43333333333339</v>
      </c>
      <c r="CQ74" s="151">
        <v>75</v>
      </c>
      <c r="CR74" s="152">
        <v>1320</v>
      </c>
      <c r="CS74" s="97">
        <v>930</v>
      </c>
      <c r="CT74" s="27">
        <v>45</v>
      </c>
      <c r="CU74" s="58">
        <v>540</v>
      </c>
      <c r="CV74" s="12">
        <v>540</v>
      </c>
      <c r="CW74" s="27"/>
      <c r="CX74" s="58"/>
      <c r="CY74" s="98"/>
      <c r="CZ74" s="27"/>
      <c r="DA74" s="58"/>
      <c r="DB74" s="12"/>
      <c r="DC74" s="27"/>
      <c r="DD74" s="58"/>
      <c r="DE74" s="107"/>
      <c r="DF74" s="27"/>
      <c r="DG74" s="58"/>
      <c r="DH74" s="107"/>
      <c r="DI74" s="27"/>
      <c r="DJ74" s="58"/>
      <c r="DK74" s="107"/>
      <c r="DL74" s="27"/>
      <c r="DM74" s="58"/>
      <c r="DN74" s="107"/>
      <c r="DO74" s="27"/>
      <c r="DP74" s="58"/>
      <c r="DQ74" s="107"/>
      <c r="DR74" s="27"/>
      <c r="DS74" s="58"/>
      <c r="DT74" s="107"/>
      <c r="DU74" s="27"/>
      <c r="DV74" s="58"/>
      <c r="DW74" s="107"/>
      <c r="DX74" s="27"/>
      <c r="DY74" s="58"/>
      <c r="DZ74" s="107"/>
    </row>
    <row r="75" spans="1:130" s="2" customFormat="1" ht="34.9" customHeight="1" x14ac:dyDescent="0.6">
      <c r="A75" s="5">
        <v>72</v>
      </c>
      <c r="B75" s="21" t="s">
        <v>640</v>
      </c>
      <c r="C75" s="21"/>
      <c r="D75" s="20" t="s">
        <v>661</v>
      </c>
      <c r="E75" s="20"/>
      <c r="F75" s="7" t="s">
        <v>150</v>
      </c>
      <c r="G75" s="143"/>
      <c r="H75" s="143"/>
      <c r="I75" s="144" t="s">
        <v>1124</v>
      </c>
      <c r="J75" s="49" t="s">
        <v>151</v>
      </c>
      <c r="K75" s="27">
        <v>0</v>
      </c>
      <c r="L75" s="58">
        <v>0</v>
      </c>
      <c r="M75" s="58">
        <v>0</v>
      </c>
      <c r="N75" s="27">
        <v>0</v>
      </c>
      <c r="O75" s="58">
        <v>0</v>
      </c>
      <c r="P75" s="49">
        <v>0</v>
      </c>
      <c r="Q75" s="27">
        <v>215</v>
      </c>
      <c r="R75" s="58">
        <v>2910</v>
      </c>
      <c r="S75" s="98">
        <v>2301.1999999999998</v>
      </c>
      <c r="T75" s="27">
        <v>208</v>
      </c>
      <c r="U75" s="58">
        <v>2626</v>
      </c>
      <c r="V75" s="12">
        <v>2298.4</v>
      </c>
      <c r="W75" s="27">
        <v>0</v>
      </c>
      <c r="X75" s="58">
        <v>0</v>
      </c>
      <c r="Y75" s="12">
        <v>0</v>
      </c>
      <c r="Z75" s="27">
        <v>0</v>
      </c>
      <c r="AA75" s="58">
        <v>0</v>
      </c>
      <c r="AB75" s="12">
        <v>0</v>
      </c>
      <c r="AC75" s="27">
        <v>0</v>
      </c>
      <c r="AD75" s="58">
        <v>0</v>
      </c>
      <c r="AE75" s="107">
        <v>0</v>
      </c>
      <c r="AF75" s="27">
        <v>0</v>
      </c>
      <c r="AG75" s="58">
        <v>0</v>
      </c>
      <c r="AH75" s="107">
        <v>0</v>
      </c>
      <c r="AI75" s="27">
        <v>0</v>
      </c>
      <c r="AJ75" s="58">
        <v>0</v>
      </c>
      <c r="AK75" s="107">
        <v>0</v>
      </c>
      <c r="AL75" s="27">
        <v>0</v>
      </c>
      <c r="AM75" s="58">
        <v>0</v>
      </c>
      <c r="AN75" s="107">
        <v>0</v>
      </c>
      <c r="AO75" s="27">
        <v>0</v>
      </c>
      <c r="AP75" s="58">
        <v>0</v>
      </c>
      <c r="AQ75" s="107">
        <v>0</v>
      </c>
      <c r="AR75" s="27">
        <v>0</v>
      </c>
      <c r="AS75" s="58">
        <v>0</v>
      </c>
      <c r="AT75" s="107">
        <v>0</v>
      </c>
      <c r="AU75" s="54">
        <f t="shared" si="12"/>
        <v>423</v>
      </c>
      <c r="AV75" s="63">
        <f t="shared" si="13"/>
        <v>5536</v>
      </c>
      <c r="AW75" s="55">
        <f t="shared" si="14"/>
        <v>4599.6000000000004</v>
      </c>
      <c r="AX75" s="54">
        <f t="shared" si="15"/>
        <v>35.25</v>
      </c>
      <c r="AY75" s="63">
        <f t="shared" si="16"/>
        <v>2.9375</v>
      </c>
      <c r="AZ75" s="55">
        <f t="shared" si="17"/>
        <v>383.3</v>
      </c>
      <c r="BA75" s="58">
        <v>0</v>
      </c>
      <c r="BB75" s="58">
        <v>0</v>
      </c>
      <c r="BC75" s="58">
        <v>0</v>
      </c>
      <c r="BD75" s="58">
        <v>0</v>
      </c>
      <c r="BE75" s="58">
        <v>0</v>
      </c>
      <c r="BF75" s="58">
        <v>0</v>
      </c>
      <c r="BG75" s="58">
        <v>0</v>
      </c>
      <c r="BH75" s="58">
        <v>0</v>
      </c>
      <c r="BI75" s="58">
        <v>0</v>
      </c>
      <c r="BJ75" s="58">
        <v>0</v>
      </c>
      <c r="BK75" s="58">
        <v>0</v>
      </c>
      <c r="BL75" s="58">
        <v>0</v>
      </c>
      <c r="BM75" s="44">
        <v>308</v>
      </c>
      <c r="BN75" s="42">
        <v>3920</v>
      </c>
      <c r="BO75" s="45">
        <v>3471.2</v>
      </c>
      <c r="BP75" s="44">
        <v>321</v>
      </c>
      <c r="BQ75" s="42">
        <v>4012</v>
      </c>
      <c r="BR75" s="45">
        <v>3608.7999999999997</v>
      </c>
      <c r="BS75" s="44">
        <v>164</v>
      </c>
      <c r="BT75" s="42">
        <v>2220</v>
      </c>
      <c r="BU75" s="112">
        <v>1763.2</v>
      </c>
      <c r="BV75" s="115">
        <v>135</v>
      </c>
      <c r="BW75" s="116">
        <v>1750</v>
      </c>
      <c r="BX75" s="112">
        <v>1422.4</v>
      </c>
      <c r="BY75" s="115">
        <v>110</v>
      </c>
      <c r="BZ75" s="116">
        <v>1420</v>
      </c>
      <c r="CA75" s="112">
        <v>1168</v>
      </c>
      <c r="CB75" s="115">
        <v>100</v>
      </c>
      <c r="CC75" s="116">
        <v>1200</v>
      </c>
      <c r="CD75" s="112">
        <v>1200</v>
      </c>
      <c r="CE75" s="115">
        <v>153</v>
      </c>
      <c r="CF75" s="116">
        <v>1936</v>
      </c>
      <c r="CG75" s="112">
        <v>1673.2</v>
      </c>
      <c r="CH75" s="115">
        <v>165</v>
      </c>
      <c r="CI75" s="116">
        <v>2080</v>
      </c>
      <c r="CJ75" s="112">
        <v>1804</v>
      </c>
      <c r="CK75" s="54">
        <f t="shared" si="18"/>
        <v>1456</v>
      </c>
      <c r="CL75" s="63">
        <f t="shared" si="19"/>
        <v>18538</v>
      </c>
      <c r="CM75" s="55">
        <f t="shared" si="20"/>
        <v>16110.800000000001</v>
      </c>
      <c r="CN75" s="54">
        <f t="shared" si="21"/>
        <v>121.33333333333333</v>
      </c>
      <c r="CO75" s="63">
        <f t="shared" si="22"/>
        <v>1544.8333333333333</v>
      </c>
      <c r="CP75" s="172">
        <f t="shared" si="23"/>
        <v>1342.5666666666668</v>
      </c>
      <c r="CQ75" s="151">
        <v>153</v>
      </c>
      <c r="CR75" s="152">
        <v>1936</v>
      </c>
      <c r="CS75" s="97">
        <v>1673.2</v>
      </c>
      <c r="CT75" s="27">
        <v>100</v>
      </c>
      <c r="CU75" s="58">
        <v>1260</v>
      </c>
      <c r="CV75" s="12">
        <v>1108.8</v>
      </c>
      <c r="CW75" s="27"/>
      <c r="CX75" s="58"/>
      <c r="CY75" s="98"/>
      <c r="CZ75" s="27"/>
      <c r="DA75" s="58"/>
      <c r="DB75" s="12"/>
      <c r="DC75" s="27"/>
      <c r="DD75" s="58"/>
      <c r="DE75" s="107"/>
      <c r="DF75" s="27"/>
      <c r="DG75" s="58"/>
      <c r="DH75" s="107"/>
      <c r="DI75" s="27"/>
      <c r="DJ75" s="58"/>
      <c r="DK75" s="107"/>
      <c r="DL75" s="27"/>
      <c r="DM75" s="58"/>
      <c r="DN75" s="107"/>
      <c r="DO75" s="27"/>
      <c r="DP75" s="58"/>
      <c r="DQ75" s="107"/>
      <c r="DR75" s="27"/>
      <c r="DS75" s="58"/>
      <c r="DT75" s="107"/>
      <c r="DU75" s="27"/>
      <c r="DV75" s="58"/>
      <c r="DW75" s="107"/>
      <c r="DX75" s="27"/>
      <c r="DY75" s="58"/>
      <c r="DZ75" s="107"/>
    </row>
    <row r="76" spans="1:130" s="2" customFormat="1" ht="34.9" customHeight="1" x14ac:dyDescent="0.6">
      <c r="A76" s="5">
        <v>73</v>
      </c>
      <c r="B76" s="21" t="s">
        <v>619</v>
      </c>
      <c r="C76" s="21"/>
      <c r="D76" s="20" t="s">
        <v>661</v>
      </c>
      <c r="E76" s="20"/>
      <c r="F76" s="7" t="s">
        <v>150</v>
      </c>
      <c r="G76" s="143"/>
      <c r="H76" s="143"/>
      <c r="I76" s="144" t="s">
        <v>1125</v>
      </c>
      <c r="J76" s="49" t="s">
        <v>151</v>
      </c>
      <c r="K76" s="27">
        <v>0</v>
      </c>
      <c r="L76" s="58">
        <v>0</v>
      </c>
      <c r="M76" s="58">
        <v>0</v>
      </c>
      <c r="N76" s="27">
        <v>0</v>
      </c>
      <c r="O76" s="58">
        <v>0</v>
      </c>
      <c r="P76" s="49">
        <v>0</v>
      </c>
      <c r="Q76" s="27">
        <v>385</v>
      </c>
      <c r="R76" s="58">
        <v>5330</v>
      </c>
      <c r="S76" s="98">
        <v>3468.8</v>
      </c>
      <c r="T76" s="27">
        <v>90</v>
      </c>
      <c r="U76" s="58">
        <v>1200</v>
      </c>
      <c r="V76" s="12">
        <v>861.6</v>
      </c>
      <c r="W76" s="27">
        <v>0</v>
      </c>
      <c r="X76" s="58">
        <v>0</v>
      </c>
      <c r="Y76" s="12">
        <v>0</v>
      </c>
      <c r="Z76" s="27">
        <v>0</v>
      </c>
      <c r="AA76" s="58">
        <v>0</v>
      </c>
      <c r="AB76" s="12">
        <v>0</v>
      </c>
      <c r="AC76" s="27">
        <v>0</v>
      </c>
      <c r="AD76" s="58">
        <v>0</v>
      </c>
      <c r="AE76" s="107">
        <v>0</v>
      </c>
      <c r="AF76" s="27">
        <v>0</v>
      </c>
      <c r="AG76" s="58">
        <v>0</v>
      </c>
      <c r="AH76" s="107">
        <v>0</v>
      </c>
      <c r="AI76" s="27">
        <v>0</v>
      </c>
      <c r="AJ76" s="58">
        <v>0</v>
      </c>
      <c r="AK76" s="107">
        <v>0</v>
      </c>
      <c r="AL76" s="27">
        <v>0</v>
      </c>
      <c r="AM76" s="58">
        <v>0</v>
      </c>
      <c r="AN76" s="107">
        <v>0</v>
      </c>
      <c r="AO76" s="27">
        <v>4</v>
      </c>
      <c r="AP76" s="58">
        <v>52</v>
      </c>
      <c r="AQ76" s="107">
        <v>41.92</v>
      </c>
      <c r="AR76" s="27">
        <v>3</v>
      </c>
      <c r="AS76" s="58">
        <v>42</v>
      </c>
      <c r="AT76" s="107">
        <v>26.88</v>
      </c>
      <c r="AU76" s="54">
        <f t="shared" si="12"/>
        <v>482</v>
      </c>
      <c r="AV76" s="63">
        <f t="shared" si="13"/>
        <v>6624</v>
      </c>
      <c r="AW76" s="55">
        <f t="shared" si="14"/>
        <v>4399.2000000000007</v>
      </c>
      <c r="AX76" s="54">
        <f t="shared" si="15"/>
        <v>40.166666666666664</v>
      </c>
      <c r="AY76" s="63">
        <f t="shared" si="16"/>
        <v>3.3472222222222219</v>
      </c>
      <c r="AZ76" s="55">
        <f t="shared" si="17"/>
        <v>366.60000000000008</v>
      </c>
      <c r="BA76" s="58">
        <v>0</v>
      </c>
      <c r="BB76" s="58">
        <v>0</v>
      </c>
      <c r="BC76" s="58">
        <v>0</v>
      </c>
      <c r="BD76" s="58">
        <v>0</v>
      </c>
      <c r="BE76" s="58">
        <v>0</v>
      </c>
      <c r="BF76" s="58">
        <v>0</v>
      </c>
      <c r="BG76" s="58">
        <v>0</v>
      </c>
      <c r="BH76" s="58">
        <v>0</v>
      </c>
      <c r="BI76" s="58">
        <v>0</v>
      </c>
      <c r="BJ76" s="58">
        <v>0</v>
      </c>
      <c r="BK76" s="58">
        <v>0</v>
      </c>
      <c r="BL76" s="58">
        <v>0</v>
      </c>
      <c r="BM76" s="44">
        <v>440</v>
      </c>
      <c r="BN76" s="42">
        <v>5920</v>
      </c>
      <c r="BO76" s="45">
        <v>4235.2</v>
      </c>
      <c r="BP76" s="44">
        <v>360</v>
      </c>
      <c r="BQ76" s="42">
        <v>4840</v>
      </c>
      <c r="BR76" s="45">
        <v>3529.6</v>
      </c>
      <c r="BS76" s="44">
        <v>520</v>
      </c>
      <c r="BT76" s="42">
        <v>7040</v>
      </c>
      <c r="BU76" s="112">
        <v>4952</v>
      </c>
      <c r="BV76" s="115">
        <v>230</v>
      </c>
      <c r="BW76" s="116">
        <v>3020</v>
      </c>
      <c r="BX76" s="112">
        <v>2364.8000000000002</v>
      </c>
      <c r="BY76" s="115">
        <v>180</v>
      </c>
      <c r="BZ76" s="116">
        <v>2460</v>
      </c>
      <c r="CA76" s="112">
        <v>1668</v>
      </c>
      <c r="CB76" s="115">
        <v>405</v>
      </c>
      <c r="CC76" s="116">
        <v>5390</v>
      </c>
      <c r="CD76" s="112">
        <v>4018.3999999999996</v>
      </c>
      <c r="CE76" s="115">
        <v>325</v>
      </c>
      <c r="CF76" s="116">
        <v>4360</v>
      </c>
      <c r="CG76" s="112">
        <v>3146.8</v>
      </c>
      <c r="CH76" s="115">
        <v>480</v>
      </c>
      <c r="CI76" s="116">
        <v>6540</v>
      </c>
      <c r="CJ76" s="112">
        <v>4574.3999999999996</v>
      </c>
      <c r="CK76" s="54">
        <f t="shared" si="18"/>
        <v>2940</v>
      </c>
      <c r="CL76" s="63">
        <f t="shared" si="19"/>
        <v>39570</v>
      </c>
      <c r="CM76" s="55">
        <f t="shared" si="20"/>
        <v>28489.199999999997</v>
      </c>
      <c r="CN76" s="54">
        <f t="shared" si="21"/>
        <v>245</v>
      </c>
      <c r="CO76" s="63">
        <f t="shared" si="22"/>
        <v>3297.5</v>
      </c>
      <c r="CP76" s="172">
        <f t="shared" si="23"/>
        <v>2374.1</v>
      </c>
      <c r="CQ76" s="151">
        <v>285</v>
      </c>
      <c r="CR76" s="152">
        <v>3780</v>
      </c>
      <c r="CS76" s="97">
        <v>2782.8</v>
      </c>
      <c r="CT76" s="27">
        <v>170</v>
      </c>
      <c r="CU76" s="58">
        <v>2280</v>
      </c>
      <c r="CV76" s="12">
        <v>1675.2</v>
      </c>
      <c r="CW76" s="27"/>
      <c r="CX76" s="58"/>
      <c r="CY76" s="98"/>
      <c r="CZ76" s="27"/>
      <c r="DA76" s="58"/>
      <c r="DB76" s="12"/>
      <c r="DC76" s="27"/>
      <c r="DD76" s="58"/>
      <c r="DE76" s="12"/>
      <c r="DF76" s="27"/>
      <c r="DG76" s="58"/>
      <c r="DH76" s="107"/>
      <c r="DI76" s="27"/>
      <c r="DJ76" s="58"/>
      <c r="DK76" s="107"/>
      <c r="DL76" s="27"/>
      <c r="DM76" s="58"/>
      <c r="DN76" s="107"/>
      <c r="DO76" s="27"/>
      <c r="DP76" s="58"/>
      <c r="DQ76" s="107"/>
      <c r="DR76" s="27"/>
      <c r="DS76" s="58"/>
      <c r="DT76" s="107"/>
      <c r="DU76" s="27"/>
      <c r="DV76" s="58"/>
      <c r="DW76" s="107"/>
      <c r="DX76" s="27"/>
      <c r="DY76" s="58"/>
      <c r="DZ76" s="107"/>
    </row>
    <row r="77" spans="1:130" s="2" customFormat="1" ht="34.9" customHeight="1" x14ac:dyDescent="0.6">
      <c r="A77" s="5">
        <v>74</v>
      </c>
      <c r="B77" s="21" t="s">
        <v>641</v>
      </c>
      <c r="C77" s="21"/>
      <c r="D77" s="20" t="s">
        <v>662</v>
      </c>
      <c r="E77" s="20"/>
      <c r="F77" s="7" t="s">
        <v>150</v>
      </c>
      <c r="G77" s="143"/>
      <c r="H77" s="143"/>
      <c r="I77" s="144" t="s">
        <v>1126</v>
      </c>
      <c r="J77" s="49" t="s">
        <v>151</v>
      </c>
      <c r="K77" s="27">
        <v>0</v>
      </c>
      <c r="L77" s="58">
        <v>0</v>
      </c>
      <c r="M77" s="58">
        <v>0</v>
      </c>
      <c r="N77" s="27">
        <v>0</v>
      </c>
      <c r="O77" s="58">
        <v>0</v>
      </c>
      <c r="P77" s="49">
        <v>0</v>
      </c>
      <c r="Q77" s="27">
        <v>50</v>
      </c>
      <c r="R77" s="58">
        <v>600</v>
      </c>
      <c r="S77" s="98">
        <v>600</v>
      </c>
      <c r="T77" s="27">
        <v>130</v>
      </c>
      <c r="U77" s="58">
        <v>1616</v>
      </c>
      <c r="V77" s="12">
        <v>1337.1999999999998</v>
      </c>
      <c r="W77" s="27">
        <v>0</v>
      </c>
      <c r="X77" s="58">
        <v>0</v>
      </c>
      <c r="Y77" s="12">
        <v>0</v>
      </c>
      <c r="Z77" s="27">
        <v>0</v>
      </c>
      <c r="AA77" s="58">
        <v>0</v>
      </c>
      <c r="AB77" s="12">
        <v>0</v>
      </c>
      <c r="AC77" s="27">
        <v>0</v>
      </c>
      <c r="AD77" s="58">
        <v>0</v>
      </c>
      <c r="AE77" s="107">
        <v>0</v>
      </c>
      <c r="AF77" s="27">
        <v>0</v>
      </c>
      <c r="AG77" s="58">
        <v>0</v>
      </c>
      <c r="AH77" s="107">
        <v>0</v>
      </c>
      <c r="AI77" s="27">
        <v>0</v>
      </c>
      <c r="AJ77" s="58">
        <v>0</v>
      </c>
      <c r="AK77" s="107">
        <v>0</v>
      </c>
      <c r="AL77" s="27">
        <v>0</v>
      </c>
      <c r="AM77" s="58">
        <v>0</v>
      </c>
      <c r="AN77" s="107">
        <v>0</v>
      </c>
      <c r="AO77" s="27">
        <v>0</v>
      </c>
      <c r="AP77" s="58">
        <v>0</v>
      </c>
      <c r="AQ77" s="107">
        <v>0</v>
      </c>
      <c r="AR77" s="27">
        <v>0</v>
      </c>
      <c r="AS77" s="58">
        <v>0</v>
      </c>
      <c r="AT77" s="107">
        <v>0</v>
      </c>
      <c r="AU77" s="54">
        <f t="shared" si="12"/>
        <v>180</v>
      </c>
      <c r="AV77" s="63">
        <f t="shared" si="13"/>
        <v>2216</v>
      </c>
      <c r="AW77" s="55">
        <f t="shared" si="14"/>
        <v>1937.1999999999998</v>
      </c>
      <c r="AX77" s="54">
        <f t="shared" si="15"/>
        <v>15</v>
      </c>
      <c r="AY77" s="63">
        <f t="shared" si="16"/>
        <v>1.25</v>
      </c>
      <c r="AZ77" s="55">
        <f t="shared" si="17"/>
        <v>161.43333333333331</v>
      </c>
      <c r="BA77" s="58">
        <v>0</v>
      </c>
      <c r="BB77" s="58">
        <v>0</v>
      </c>
      <c r="BC77" s="58">
        <v>0</v>
      </c>
      <c r="BD77" s="58">
        <v>0</v>
      </c>
      <c r="BE77" s="58">
        <v>0</v>
      </c>
      <c r="BF77" s="58">
        <v>0</v>
      </c>
      <c r="BG77" s="58">
        <v>0</v>
      </c>
      <c r="BH77" s="58">
        <v>0</v>
      </c>
      <c r="BI77" s="58">
        <v>0</v>
      </c>
      <c r="BJ77" s="58">
        <v>0</v>
      </c>
      <c r="BK77" s="58">
        <v>0</v>
      </c>
      <c r="BL77" s="58">
        <v>0</v>
      </c>
      <c r="BM77" s="44">
        <v>175</v>
      </c>
      <c r="BN77" s="42">
        <v>2100</v>
      </c>
      <c r="BO77" s="45">
        <v>1830</v>
      </c>
      <c r="BP77" s="44">
        <v>200</v>
      </c>
      <c r="BQ77" s="42">
        <v>2400</v>
      </c>
      <c r="BR77" s="45">
        <v>2220</v>
      </c>
      <c r="BS77" s="44">
        <v>150</v>
      </c>
      <c r="BT77" s="42">
        <v>1800</v>
      </c>
      <c r="BU77" s="112">
        <v>1620</v>
      </c>
      <c r="BV77" s="115">
        <v>151</v>
      </c>
      <c r="BW77" s="116">
        <v>1812</v>
      </c>
      <c r="BX77" s="112">
        <v>1628.16</v>
      </c>
      <c r="BY77" s="115">
        <v>100</v>
      </c>
      <c r="BZ77" s="116">
        <v>1200</v>
      </c>
      <c r="CA77" s="112">
        <v>1020</v>
      </c>
      <c r="CB77" s="115">
        <v>120</v>
      </c>
      <c r="CC77" s="116">
        <v>1480</v>
      </c>
      <c r="CD77" s="112">
        <v>1307.2</v>
      </c>
      <c r="CE77" s="115">
        <v>80</v>
      </c>
      <c r="CF77" s="116">
        <v>960</v>
      </c>
      <c r="CG77" s="112">
        <v>852</v>
      </c>
      <c r="CH77" s="115">
        <v>50</v>
      </c>
      <c r="CI77" s="116">
        <v>600</v>
      </c>
      <c r="CJ77" s="112">
        <v>600</v>
      </c>
      <c r="CK77" s="54">
        <f t="shared" si="18"/>
        <v>1026</v>
      </c>
      <c r="CL77" s="63">
        <f t="shared" si="19"/>
        <v>12352</v>
      </c>
      <c r="CM77" s="55">
        <f t="shared" si="20"/>
        <v>11077.36</v>
      </c>
      <c r="CN77" s="54">
        <f t="shared" si="21"/>
        <v>85.5</v>
      </c>
      <c r="CO77" s="63">
        <f t="shared" si="22"/>
        <v>1029.3333333333333</v>
      </c>
      <c r="CP77" s="172">
        <f t="shared" si="23"/>
        <v>923.11333333333334</v>
      </c>
      <c r="CQ77" s="151">
        <v>200</v>
      </c>
      <c r="CR77" s="152">
        <v>2400</v>
      </c>
      <c r="CS77" s="97">
        <v>2220</v>
      </c>
      <c r="CT77" s="27">
        <v>0</v>
      </c>
      <c r="CU77" s="58">
        <v>0</v>
      </c>
      <c r="CV77" s="12">
        <v>0</v>
      </c>
      <c r="CW77" s="27"/>
      <c r="CX77" s="58"/>
      <c r="CY77" s="98"/>
      <c r="CZ77" s="27"/>
      <c r="DA77" s="58"/>
      <c r="DB77" s="12"/>
      <c r="DC77" s="27"/>
      <c r="DD77" s="58"/>
      <c r="DE77" s="12"/>
      <c r="DF77" s="27"/>
      <c r="DG77" s="58"/>
      <c r="DH77" s="107"/>
      <c r="DI77" s="27"/>
      <c r="DJ77" s="58"/>
      <c r="DK77" s="107"/>
      <c r="DL77" s="27"/>
      <c r="DM77" s="58"/>
      <c r="DN77" s="107"/>
      <c r="DO77" s="27"/>
      <c r="DP77" s="58"/>
      <c r="DQ77" s="107"/>
      <c r="DR77" s="27"/>
      <c r="DS77" s="58"/>
      <c r="DT77" s="107"/>
      <c r="DU77" s="27"/>
      <c r="DV77" s="58"/>
      <c r="DW77" s="107"/>
      <c r="DX77" s="27"/>
      <c r="DY77" s="58"/>
      <c r="DZ77" s="107"/>
    </row>
    <row r="78" spans="1:130" s="2" customFormat="1" ht="34.9" customHeight="1" x14ac:dyDescent="0.6">
      <c r="A78" s="5">
        <v>75</v>
      </c>
      <c r="B78" s="21" t="s">
        <v>642</v>
      </c>
      <c r="C78" s="21"/>
      <c r="D78" s="20" t="s">
        <v>661</v>
      </c>
      <c r="E78" s="20"/>
      <c r="F78" s="7" t="s">
        <v>150</v>
      </c>
      <c r="G78" s="143"/>
      <c r="H78" s="143"/>
      <c r="I78" s="144" t="s">
        <v>1127</v>
      </c>
      <c r="J78" s="49" t="s">
        <v>151</v>
      </c>
      <c r="K78" s="27">
        <v>0</v>
      </c>
      <c r="L78" s="58">
        <v>0</v>
      </c>
      <c r="M78" s="58">
        <v>0</v>
      </c>
      <c r="N78" s="27">
        <v>0</v>
      </c>
      <c r="O78" s="58">
        <v>0</v>
      </c>
      <c r="P78" s="49">
        <v>0</v>
      </c>
      <c r="Q78" s="27">
        <v>138</v>
      </c>
      <c r="R78" s="58">
        <v>1856</v>
      </c>
      <c r="S78" s="98">
        <v>1352</v>
      </c>
      <c r="T78" s="27">
        <v>275</v>
      </c>
      <c r="U78" s="58">
        <v>3700</v>
      </c>
      <c r="V78" s="12">
        <v>2656</v>
      </c>
      <c r="W78" s="27">
        <v>0</v>
      </c>
      <c r="X78" s="58">
        <v>0</v>
      </c>
      <c r="Y78" s="12">
        <v>0</v>
      </c>
      <c r="Z78" s="27">
        <v>0</v>
      </c>
      <c r="AA78" s="58">
        <v>0</v>
      </c>
      <c r="AB78" s="12">
        <v>0</v>
      </c>
      <c r="AC78" s="27">
        <v>0</v>
      </c>
      <c r="AD78" s="58">
        <v>0</v>
      </c>
      <c r="AE78" s="107">
        <v>0</v>
      </c>
      <c r="AF78" s="27">
        <v>0</v>
      </c>
      <c r="AG78" s="58">
        <v>0</v>
      </c>
      <c r="AH78" s="107">
        <v>0</v>
      </c>
      <c r="AI78" s="27">
        <v>0</v>
      </c>
      <c r="AJ78" s="58">
        <v>0</v>
      </c>
      <c r="AK78" s="107">
        <v>0</v>
      </c>
      <c r="AL78" s="27">
        <v>0</v>
      </c>
      <c r="AM78" s="58">
        <v>0</v>
      </c>
      <c r="AN78" s="107">
        <v>0</v>
      </c>
      <c r="AO78" s="27">
        <v>0</v>
      </c>
      <c r="AP78" s="58">
        <v>0</v>
      </c>
      <c r="AQ78" s="107">
        <v>0</v>
      </c>
      <c r="AR78" s="27">
        <v>0</v>
      </c>
      <c r="AS78" s="58">
        <v>0</v>
      </c>
      <c r="AT78" s="107">
        <v>0</v>
      </c>
      <c r="AU78" s="54">
        <f t="shared" si="12"/>
        <v>413</v>
      </c>
      <c r="AV78" s="63">
        <f t="shared" si="13"/>
        <v>5556</v>
      </c>
      <c r="AW78" s="55">
        <f t="shared" si="14"/>
        <v>4008</v>
      </c>
      <c r="AX78" s="54">
        <f t="shared" si="15"/>
        <v>34.416666666666664</v>
      </c>
      <c r="AY78" s="63">
        <f t="shared" si="16"/>
        <v>2.8680555555555554</v>
      </c>
      <c r="AZ78" s="55">
        <f t="shared" si="17"/>
        <v>334</v>
      </c>
      <c r="BA78" s="58">
        <v>0</v>
      </c>
      <c r="BB78" s="58">
        <v>0</v>
      </c>
      <c r="BC78" s="58">
        <v>0</v>
      </c>
      <c r="BD78" s="58">
        <v>0</v>
      </c>
      <c r="BE78" s="58">
        <v>0</v>
      </c>
      <c r="BF78" s="58">
        <v>0</v>
      </c>
      <c r="BG78" s="58">
        <v>0</v>
      </c>
      <c r="BH78" s="58">
        <v>0</v>
      </c>
      <c r="BI78" s="58">
        <v>0</v>
      </c>
      <c r="BJ78" s="58">
        <v>0</v>
      </c>
      <c r="BK78" s="58">
        <v>0</v>
      </c>
      <c r="BL78" s="58">
        <v>0</v>
      </c>
      <c r="BM78" s="44">
        <v>50</v>
      </c>
      <c r="BN78" s="42">
        <v>600</v>
      </c>
      <c r="BO78" s="45">
        <v>600</v>
      </c>
      <c r="BP78" s="44">
        <v>310</v>
      </c>
      <c r="BQ78" s="42">
        <v>4120</v>
      </c>
      <c r="BR78" s="45">
        <v>3112</v>
      </c>
      <c r="BS78" s="44">
        <v>239</v>
      </c>
      <c r="BT78" s="42">
        <v>3066</v>
      </c>
      <c r="BU78" s="112">
        <v>2531.04</v>
      </c>
      <c r="BV78" s="115">
        <v>220</v>
      </c>
      <c r="BW78" s="116">
        <v>2900</v>
      </c>
      <c r="BX78" s="112">
        <v>2244.8000000000002</v>
      </c>
      <c r="BY78" s="115">
        <v>212</v>
      </c>
      <c r="BZ78" s="116">
        <v>2844</v>
      </c>
      <c r="CA78" s="112">
        <v>2044.32</v>
      </c>
      <c r="CB78" s="115">
        <v>420</v>
      </c>
      <c r="CC78" s="116">
        <v>5440</v>
      </c>
      <c r="CD78" s="112">
        <v>4360</v>
      </c>
      <c r="CE78" s="115">
        <v>100</v>
      </c>
      <c r="CF78" s="116">
        <v>1300</v>
      </c>
      <c r="CG78" s="112">
        <v>1048</v>
      </c>
      <c r="CH78" s="115">
        <v>235</v>
      </c>
      <c r="CI78" s="116">
        <v>3020</v>
      </c>
      <c r="CJ78" s="112">
        <v>2378</v>
      </c>
      <c r="CK78" s="54">
        <f t="shared" si="18"/>
        <v>1786</v>
      </c>
      <c r="CL78" s="63">
        <f t="shared" si="19"/>
        <v>23290</v>
      </c>
      <c r="CM78" s="55">
        <f t="shared" si="20"/>
        <v>18318.16</v>
      </c>
      <c r="CN78" s="54">
        <f t="shared" si="21"/>
        <v>148.83333333333334</v>
      </c>
      <c r="CO78" s="63">
        <f t="shared" si="22"/>
        <v>1940.8333333333333</v>
      </c>
      <c r="CP78" s="172">
        <f t="shared" si="23"/>
        <v>1526.5133333333333</v>
      </c>
      <c r="CQ78" s="151">
        <v>350</v>
      </c>
      <c r="CR78" s="152">
        <v>4500</v>
      </c>
      <c r="CS78" s="97">
        <v>3744</v>
      </c>
      <c r="CT78" s="27">
        <v>100</v>
      </c>
      <c r="CU78" s="58">
        <v>1200</v>
      </c>
      <c r="CV78" s="12">
        <v>1200</v>
      </c>
      <c r="CW78" s="27"/>
      <c r="CX78" s="58"/>
      <c r="CY78" s="98"/>
      <c r="CZ78" s="27"/>
      <c r="DA78" s="58"/>
      <c r="DB78" s="12"/>
      <c r="DC78" s="27"/>
      <c r="DD78" s="58"/>
      <c r="DE78" s="12"/>
      <c r="DF78" s="27"/>
      <c r="DG78" s="58"/>
      <c r="DH78" s="12"/>
      <c r="DI78" s="27"/>
      <c r="DJ78" s="58"/>
      <c r="DK78" s="107"/>
      <c r="DL78" s="27"/>
      <c r="DM78" s="58"/>
      <c r="DN78" s="107"/>
      <c r="DO78" s="27"/>
      <c r="DP78" s="58"/>
      <c r="DQ78" s="107"/>
      <c r="DR78" s="27"/>
      <c r="DS78" s="58"/>
      <c r="DT78" s="107"/>
      <c r="DU78" s="27"/>
      <c r="DV78" s="58"/>
      <c r="DW78" s="107"/>
      <c r="DX78" s="27"/>
      <c r="DY78" s="58"/>
      <c r="DZ78" s="107"/>
    </row>
    <row r="79" spans="1:130" s="2" customFormat="1" ht="34.9" customHeight="1" x14ac:dyDescent="0.6">
      <c r="A79" s="5">
        <v>76</v>
      </c>
      <c r="B79" s="21" t="s">
        <v>1154</v>
      </c>
      <c r="C79" s="21"/>
      <c r="D79" s="20" t="s">
        <v>661</v>
      </c>
      <c r="E79" s="20"/>
      <c r="F79" s="7" t="s">
        <v>150</v>
      </c>
      <c r="G79" s="143"/>
      <c r="H79" s="143"/>
      <c r="I79" s="144" t="s">
        <v>1128</v>
      </c>
      <c r="J79" s="49" t="s">
        <v>151</v>
      </c>
      <c r="K79" s="27">
        <v>0</v>
      </c>
      <c r="L79" s="58">
        <v>0</v>
      </c>
      <c r="M79" s="58">
        <v>0</v>
      </c>
      <c r="N79" s="27">
        <v>0</v>
      </c>
      <c r="O79" s="58">
        <v>0</v>
      </c>
      <c r="P79" s="49">
        <v>0</v>
      </c>
      <c r="Q79" s="27">
        <v>0</v>
      </c>
      <c r="R79" s="58">
        <v>0</v>
      </c>
      <c r="S79" s="98">
        <v>0</v>
      </c>
      <c r="T79" s="27">
        <v>0</v>
      </c>
      <c r="U79" s="58">
        <v>0</v>
      </c>
      <c r="V79" s="12">
        <v>0</v>
      </c>
      <c r="W79" s="27">
        <v>0</v>
      </c>
      <c r="X79" s="58">
        <v>0</v>
      </c>
      <c r="Y79" s="12">
        <v>0</v>
      </c>
      <c r="Z79" s="27">
        <v>0</v>
      </c>
      <c r="AA79" s="58">
        <v>0</v>
      </c>
      <c r="AB79" s="12">
        <v>0</v>
      </c>
      <c r="AC79" s="27">
        <v>0</v>
      </c>
      <c r="AD79" s="58">
        <v>0</v>
      </c>
      <c r="AE79" s="107">
        <v>0</v>
      </c>
      <c r="AF79" s="27">
        <v>0</v>
      </c>
      <c r="AG79" s="58">
        <v>0</v>
      </c>
      <c r="AH79" s="107">
        <v>0</v>
      </c>
      <c r="AI79" s="27">
        <v>0</v>
      </c>
      <c r="AJ79" s="58">
        <v>0</v>
      </c>
      <c r="AK79" s="107">
        <v>0</v>
      </c>
      <c r="AL79" s="27">
        <v>0</v>
      </c>
      <c r="AM79" s="58">
        <v>0</v>
      </c>
      <c r="AN79" s="107">
        <v>0</v>
      </c>
      <c r="AO79" s="27">
        <v>0</v>
      </c>
      <c r="AP79" s="58">
        <v>0</v>
      </c>
      <c r="AQ79" s="107">
        <v>0</v>
      </c>
      <c r="AR79" s="27">
        <v>0</v>
      </c>
      <c r="AS79" s="58">
        <v>0</v>
      </c>
      <c r="AT79" s="107">
        <v>0</v>
      </c>
      <c r="AU79" s="54">
        <f t="shared" si="12"/>
        <v>0</v>
      </c>
      <c r="AV79" s="63">
        <f t="shared" si="13"/>
        <v>0</v>
      </c>
      <c r="AW79" s="55">
        <f t="shared" si="14"/>
        <v>0</v>
      </c>
      <c r="AX79" s="54">
        <f t="shared" si="15"/>
        <v>0</v>
      </c>
      <c r="AY79" s="63">
        <f t="shared" si="16"/>
        <v>0</v>
      </c>
      <c r="AZ79" s="55">
        <f t="shared" si="17"/>
        <v>0</v>
      </c>
      <c r="BA79" s="58">
        <v>0</v>
      </c>
      <c r="BB79" s="58">
        <v>0</v>
      </c>
      <c r="BC79" s="58">
        <v>0</v>
      </c>
      <c r="BD79" s="58">
        <v>0</v>
      </c>
      <c r="BE79" s="58">
        <v>0</v>
      </c>
      <c r="BF79" s="58">
        <v>0</v>
      </c>
      <c r="BG79" s="58">
        <v>0</v>
      </c>
      <c r="BH79" s="58">
        <v>0</v>
      </c>
      <c r="BI79" s="58">
        <v>0</v>
      </c>
      <c r="BJ79" s="58">
        <v>0</v>
      </c>
      <c r="BK79" s="58">
        <v>0</v>
      </c>
      <c r="BL79" s="58">
        <v>0</v>
      </c>
      <c r="BM79" s="44">
        <v>435</v>
      </c>
      <c r="BN79" s="42">
        <v>5990</v>
      </c>
      <c r="BO79" s="45">
        <v>4049.6</v>
      </c>
      <c r="BP79" s="44">
        <v>400</v>
      </c>
      <c r="BQ79" s="42">
        <v>5540</v>
      </c>
      <c r="BR79" s="45">
        <v>3675.2</v>
      </c>
      <c r="BS79" s="44">
        <v>320</v>
      </c>
      <c r="BT79" s="42">
        <v>4440</v>
      </c>
      <c r="BU79" s="112">
        <v>2928</v>
      </c>
      <c r="BV79" s="115">
        <v>250</v>
      </c>
      <c r="BW79" s="116">
        <v>3384</v>
      </c>
      <c r="BX79" s="112">
        <v>2425.1199999999994</v>
      </c>
      <c r="BY79" s="115">
        <v>400</v>
      </c>
      <c r="BZ79" s="116">
        <v>5540</v>
      </c>
      <c r="CA79" s="112">
        <v>3675.2</v>
      </c>
      <c r="CB79" s="115">
        <v>150</v>
      </c>
      <c r="CC79" s="116">
        <v>2040</v>
      </c>
      <c r="CD79" s="112">
        <v>1435.2</v>
      </c>
      <c r="CE79" s="115">
        <v>460</v>
      </c>
      <c r="CF79" s="116">
        <v>6220</v>
      </c>
      <c r="CG79" s="112">
        <v>4456</v>
      </c>
      <c r="CH79" s="115">
        <v>340</v>
      </c>
      <c r="CI79" s="116">
        <v>4680</v>
      </c>
      <c r="CJ79" s="112">
        <v>3168</v>
      </c>
      <c r="CK79" s="54">
        <f t="shared" si="18"/>
        <v>2755</v>
      </c>
      <c r="CL79" s="63">
        <f t="shared" si="19"/>
        <v>37834</v>
      </c>
      <c r="CM79" s="55">
        <f t="shared" si="20"/>
        <v>25812.32</v>
      </c>
      <c r="CN79" s="54">
        <f t="shared" si="21"/>
        <v>229.58333333333334</v>
      </c>
      <c r="CO79" s="63">
        <f t="shared" si="22"/>
        <v>3152.8333333333335</v>
      </c>
      <c r="CP79" s="172">
        <f t="shared" si="23"/>
        <v>2151.0266666666666</v>
      </c>
      <c r="CQ79" s="151">
        <v>230</v>
      </c>
      <c r="CR79" s="152">
        <v>3160</v>
      </c>
      <c r="CS79" s="97">
        <v>2152</v>
      </c>
      <c r="CT79" s="27">
        <v>230</v>
      </c>
      <c r="CU79" s="58">
        <v>3160</v>
      </c>
      <c r="CV79" s="12">
        <v>2152</v>
      </c>
      <c r="CW79" s="27"/>
      <c r="CX79" s="58"/>
      <c r="CY79" s="98"/>
      <c r="CZ79" s="27"/>
      <c r="DA79" s="58"/>
      <c r="DB79" s="12"/>
      <c r="DC79" s="27"/>
      <c r="DD79" s="58"/>
      <c r="DE79" s="12"/>
      <c r="DF79" s="27"/>
      <c r="DG79" s="58"/>
      <c r="DH79" s="12"/>
      <c r="DI79" s="27"/>
      <c r="DJ79" s="58"/>
      <c r="DK79" s="107"/>
      <c r="DL79" s="27"/>
      <c r="DM79" s="58"/>
      <c r="DN79" s="107"/>
      <c r="DO79" s="27"/>
      <c r="DP79" s="58"/>
      <c r="DQ79" s="107"/>
      <c r="DR79" s="27"/>
      <c r="DS79" s="58"/>
      <c r="DT79" s="107"/>
      <c r="DU79" s="27"/>
      <c r="DV79" s="58"/>
      <c r="DW79" s="107"/>
      <c r="DX79" s="27"/>
      <c r="DY79" s="58"/>
      <c r="DZ79" s="107"/>
    </row>
    <row r="80" spans="1:130" s="2" customFormat="1" ht="34.9" customHeight="1" x14ac:dyDescent="0.6">
      <c r="A80" s="5">
        <v>77</v>
      </c>
      <c r="B80" s="21" t="s">
        <v>644</v>
      </c>
      <c r="C80" s="21"/>
      <c r="D80" s="20" t="s">
        <v>503</v>
      </c>
      <c r="E80" s="20"/>
      <c r="F80" s="7" t="s">
        <v>150</v>
      </c>
      <c r="G80" s="143"/>
      <c r="H80" s="143"/>
      <c r="I80" s="144" t="s">
        <v>1129</v>
      </c>
      <c r="J80" s="49" t="s">
        <v>151</v>
      </c>
      <c r="K80" s="27">
        <v>0</v>
      </c>
      <c r="L80" s="58">
        <v>0</v>
      </c>
      <c r="M80" s="58">
        <v>0</v>
      </c>
      <c r="N80" s="27">
        <v>0</v>
      </c>
      <c r="O80" s="58">
        <v>0</v>
      </c>
      <c r="P80" s="49">
        <v>0</v>
      </c>
      <c r="Q80" s="27">
        <v>15</v>
      </c>
      <c r="R80" s="58">
        <v>180</v>
      </c>
      <c r="S80" s="98">
        <v>180</v>
      </c>
      <c r="T80" s="27">
        <v>15</v>
      </c>
      <c r="U80" s="58">
        <v>180</v>
      </c>
      <c r="V80" s="12">
        <v>180</v>
      </c>
      <c r="W80" s="27">
        <v>0</v>
      </c>
      <c r="X80" s="58">
        <v>0</v>
      </c>
      <c r="Y80" s="12">
        <v>0</v>
      </c>
      <c r="Z80" s="27">
        <v>0</v>
      </c>
      <c r="AA80" s="58">
        <v>0</v>
      </c>
      <c r="AB80" s="12">
        <v>0</v>
      </c>
      <c r="AC80" s="27">
        <v>78</v>
      </c>
      <c r="AD80" s="58">
        <v>992</v>
      </c>
      <c r="AE80" s="107">
        <v>914.8</v>
      </c>
      <c r="AF80" s="27">
        <v>144</v>
      </c>
      <c r="AG80" s="58">
        <v>2148</v>
      </c>
      <c r="AH80" s="107">
        <v>1750.8</v>
      </c>
      <c r="AI80" s="27">
        <v>144</v>
      </c>
      <c r="AJ80" s="58">
        <v>2176</v>
      </c>
      <c r="AK80" s="107">
        <v>1708.4</v>
      </c>
      <c r="AL80" s="27">
        <v>153</v>
      </c>
      <c r="AM80" s="58">
        <v>2312</v>
      </c>
      <c r="AN80" s="107">
        <v>1814.8</v>
      </c>
      <c r="AO80" s="27">
        <v>123</v>
      </c>
      <c r="AP80" s="58">
        <v>1896</v>
      </c>
      <c r="AQ80" s="107">
        <v>1480.8</v>
      </c>
      <c r="AR80" s="27">
        <v>106</v>
      </c>
      <c r="AS80" s="58">
        <v>1608</v>
      </c>
      <c r="AT80" s="107">
        <v>1278</v>
      </c>
      <c r="AU80" s="54">
        <f t="shared" si="12"/>
        <v>778</v>
      </c>
      <c r="AV80" s="63">
        <f t="shared" si="13"/>
        <v>11492</v>
      </c>
      <c r="AW80" s="55">
        <f t="shared" si="14"/>
        <v>9307.6</v>
      </c>
      <c r="AX80" s="54">
        <f t="shared" si="15"/>
        <v>64.833333333333329</v>
      </c>
      <c r="AY80" s="63">
        <f t="shared" si="16"/>
        <v>5.4027777777777777</v>
      </c>
      <c r="AZ80" s="55">
        <f t="shared" si="17"/>
        <v>775.63333333333333</v>
      </c>
      <c r="BA80" s="58">
        <v>0</v>
      </c>
      <c r="BB80" s="58">
        <v>0</v>
      </c>
      <c r="BC80" s="58">
        <v>0</v>
      </c>
      <c r="BD80" s="58">
        <v>0</v>
      </c>
      <c r="BE80" s="58">
        <v>0</v>
      </c>
      <c r="BF80" s="58">
        <v>0</v>
      </c>
      <c r="BG80" s="58">
        <v>0</v>
      </c>
      <c r="BH80" s="58">
        <v>0</v>
      </c>
      <c r="BI80" s="58">
        <v>0</v>
      </c>
      <c r="BJ80" s="58">
        <v>0</v>
      </c>
      <c r="BK80" s="58">
        <v>0</v>
      </c>
      <c r="BL80" s="58">
        <v>0</v>
      </c>
      <c r="BM80" s="44">
        <v>96</v>
      </c>
      <c r="BN80" s="42">
        <v>1432</v>
      </c>
      <c r="BO80" s="45">
        <v>1144.4000000000001</v>
      </c>
      <c r="BP80" s="44">
        <v>104</v>
      </c>
      <c r="BQ80" s="42">
        <v>1612</v>
      </c>
      <c r="BR80" s="45">
        <v>1246.4000000000001</v>
      </c>
      <c r="BS80" s="44">
        <v>114</v>
      </c>
      <c r="BT80" s="42">
        <v>1732</v>
      </c>
      <c r="BU80" s="112">
        <v>1361.6</v>
      </c>
      <c r="BV80" s="115">
        <v>133</v>
      </c>
      <c r="BW80" s="116">
        <v>2016</v>
      </c>
      <c r="BX80" s="112">
        <v>1584</v>
      </c>
      <c r="BY80" s="115">
        <v>78</v>
      </c>
      <c r="BZ80" s="116">
        <v>1216</v>
      </c>
      <c r="CA80" s="112">
        <v>941.59999999999991</v>
      </c>
      <c r="CB80" s="115">
        <v>121</v>
      </c>
      <c r="CC80" s="116">
        <v>1788</v>
      </c>
      <c r="CD80" s="112">
        <v>1434</v>
      </c>
      <c r="CE80" s="115">
        <v>116</v>
      </c>
      <c r="CF80" s="116">
        <v>1784</v>
      </c>
      <c r="CG80" s="112">
        <v>1386.4</v>
      </c>
      <c r="CH80" s="115">
        <v>105</v>
      </c>
      <c r="CI80" s="116">
        <v>1512</v>
      </c>
      <c r="CJ80" s="112">
        <v>1273.2</v>
      </c>
      <c r="CK80" s="54">
        <f t="shared" si="18"/>
        <v>867</v>
      </c>
      <c r="CL80" s="63">
        <f t="shared" si="19"/>
        <v>13092</v>
      </c>
      <c r="CM80" s="55">
        <f t="shared" si="20"/>
        <v>10371.6</v>
      </c>
      <c r="CN80" s="54">
        <f t="shared" si="21"/>
        <v>72.25</v>
      </c>
      <c r="CO80" s="63">
        <f t="shared" si="22"/>
        <v>1091</v>
      </c>
      <c r="CP80" s="172">
        <f t="shared" si="23"/>
        <v>864.30000000000007</v>
      </c>
      <c r="CQ80" s="151">
        <v>82</v>
      </c>
      <c r="CR80" s="152">
        <v>1236</v>
      </c>
      <c r="CS80" s="97">
        <v>987.6</v>
      </c>
      <c r="CT80" s="27">
        <v>138</v>
      </c>
      <c r="CU80" s="58">
        <v>2132</v>
      </c>
      <c r="CV80" s="12">
        <v>1661.2</v>
      </c>
      <c r="CW80" s="27"/>
      <c r="CX80" s="58"/>
      <c r="CY80" s="98"/>
      <c r="CZ80" s="27"/>
      <c r="DA80" s="58"/>
      <c r="DB80" s="12"/>
      <c r="DC80" s="27"/>
      <c r="DD80" s="58"/>
      <c r="DE80" s="12"/>
      <c r="DF80" s="27"/>
      <c r="DG80" s="58"/>
      <c r="DH80" s="12"/>
      <c r="DI80" s="27"/>
      <c r="DJ80" s="58"/>
      <c r="DK80" s="107"/>
      <c r="DL80" s="27"/>
      <c r="DM80" s="58"/>
      <c r="DN80" s="107"/>
      <c r="DO80" s="27"/>
      <c r="DP80" s="58"/>
      <c r="DQ80" s="107"/>
      <c r="DR80" s="27"/>
      <c r="DS80" s="58"/>
      <c r="DT80" s="107"/>
      <c r="DU80" s="27"/>
      <c r="DV80" s="58"/>
      <c r="DW80" s="107"/>
      <c r="DX80" s="27"/>
      <c r="DY80" s="58"/>
      <c r="DZ80" s="107"/>
    </row>
    <row r="81" spans="1:130" s="2" customFormat="1" ht="34.9" customHeight="1" x14ac:dyDescent="0.6">
      <c r="A81" s="5">
        <v>78</v>
      </c>
      <c r="B81" s="21" t="s">
        <v>251</v>
      </c>
      <c r="C81" s="16" t="s">
        <v>252</v>
      </c>
      <c r="D81" s="15" t="s">
        <v>82</v>
      </c>
      <c r="E81" s="15" t="s">
        <v>83</v>
      </c>
      <c r="F81" s="7" t="s">
        <v>150</v>
      </c>
      <c r="G81" s="18" t="s">
        <v>865</v>
      </c>
      <c r="H81" s="18" t="s">
        <v>866</v>
      </c>
      <c r="I81" s="14" t="s">
        <v>867</v>
      </c>
      <c r="J81" s="49" t="s">
        <v>125</v>
      </c>
      <c r="K81" s="27">
        <v>415</v>
      </c>
      <c r="L81" s="58">
        <v>6070</v>
      </c>
      <c r="M81" s="78">
        <v>4034</v>
      </c>
      <c r="N81" s="27">
        <v>370</v>
      </c>
      <c r="O81" s="58">
        <v>5300</v>
      </c>
      <c r="P81" s="49">
        <v>4024</v>
      </c>
      <c r="Q81" s="27">
        <v>385</v>
      </c>
      <c r="R81" s="58">
        <v>5330</v>
      </c>
      <c r="S81" s="98">
        <v>4209.2</v>
      </c>
      <c r="T81" s="27">
        <v>475</v>
      </c>
      <c r="U81" s="58">
        <v>6780</v>
      </c>
      <c r="V81" s="12">
        <v>5172.3999999999996</v>
      </c>
      <c r="W81" s="27">
        <v>300</v>
      </c>
      <c r="X81" s="58">
        <v>4200</v>
      </c>
      <c r="Y81" s="107">
        <v>3133.6000000000004</v>
      </c>
      <c r="Z81" s="27">
        <v>250</v>
      </c>
      <c r="AA81" s="58">
        <v>3520</v>
      </c>
      <c r="AB81" s="12">
        <v>2655.2</v>
      </c>
      <c r="AC81" s="27">
        <v>345</v>
      </c>
      <c r="AD81" s="58">
        <v>5040</v>
      </c>
      <c r="AE81" s="107">
        <v>3663.2</v>
      </c>
      <c r="AF81" s="27">
        <v>175</v>
      </c>
      <c r="AG81" s="58">
        <v>2470</v>
      </c>
      <c r="AH81" s="107">
        <v>1983.2</v>
      </c>
      <c r="AI81" s="27">
        <v>212</v>
      </c>
      <c r="AJ81" s="58">
        <v>3080</v>
      </c>
      <c r="AK81" s="107">
        <v>2264</v>
      </c>
      <c r="AL81" s="27">
        <v>295</v>
      </c>
      <c r="AM81" s="58">
        <v>4310</v>
      </c>
      <c r="AN81" s="107">
        <v>3260.8</v>
      </c>
      <c r="AO81" s="27">
        <v>200</v>
      </c>
      <c r="AP81" s="58">
        <v>2570</v>
      </c>
      <c r="AQ81" s="107">
        <v>2141.6</v>
      </c>
      <c r="AR81" s="27">
        <v>334</v>
      </c>
      <c r="AS81" s="58">
        <v>4568</v>
      </c>
      <c r="AT81" s="107">
        <v>3602.4</v>
      </c>
      <c r="AU81" s="54">
        <f t="shared" si="12"/>
        <v>3756</v>
      </c>
      <c r="AV81" s="63">
        <f t="shared" si="13"/>
        <v>53238</v>
      </c>
      <c r="AW81" s="55">
        <f t="shared" si="14"/>
        <v>40143.599999999999</v>
      </c>
      <c r="AX81" s="54">
        <f t="shared" si="15"/>
        <v>313</v>
      </c>
      <c r="AY81" s="63">
        <f t="shared" si="16"/>
        <v>26.083333333333332</v>
      </c>
      <c r="AZ81" s="55">
        <f t="shared" si="17"/>
        <v>3345.2999999999997</v>
      </c>
      <c r="BA81" s="10">
        <v>240</v>
      </c>
      <c r="BB81" s="15">
        <v>3220</v>
      </c>
      <c r="BC81" s="11">
        <v>2586</v>
      </c>
      <c r="BD81" s="10">
        <v>285</v>
      </c>
      <c r="BE81" s="15">
        <v>2980</v>
      </c>
      <c r="BF81" s="11">
        <v>2266.4</v>
      </c>
      <c r="BG81" s="10">
        <v>295</v>
      </c>
      <c r="BH81" s="15">
        <v>4200</v>
      </c>
      <c r="BI81" s="11">
        <v>3205.2000000000007</v>
      </c>
      <c r="BJ81" s="10">
        <v>285</v>
      </c>
      <c r="BK81" s="15">
        <v>4040</v>
      </c>
      <c r="BL81" s="11">
        <v>3146</v>
      </c>
      <c r="BM81" s="44">
        <v>195</v>
      </c>
      <c r="BN81" s="42">
        <v>2820</v>
      </c>
      <c r="BO81" s="45">
        <v>2056</v>
      </c>
      <c r="BP81" s="44">
        <v>180</v>
      </c>
      <c r="BQ81" s="42">
        <v>2620</v>
      </c>
      <c r="BR81" s="45">
        <v>1906.4000000000003</v>
      </c>
      <c r="BS81" s="44">
        <v>220</v>
      </c>
      <c r="BT81" s="42">
        <v>3090</v>
      </c>
      <c r="BU81" s="112">
        <v>2401.6000000000004</v>
      </c>
      <c r="BV81" s="115">
        <v>160</v>
      </c>
      <c r="BW81" s="116">
        <v>2290</v>
      </c>
      <c r="BX81" s="112">
        <v>1803.2000000000003</v>
      </c>
      <c r="BY81" s="115">
        <v>155</v>
      </c>
      <c r="BZ81" s="116">
        <v>2240</v>
      </c>
      <c r="CA81" s="112">
        <v>1728</v>
      </c>
      <c r="CB81" s="115">
        <v>150</v>
      </c>
      <c r="CC81" s="116">
        <v>2190</v>
      </c>
      <c r="CD81" s="112">
        <v>1652.8000000000002</v>
      </c>
      <c r="CE81" s="115">
        <v>150</v>
      </c>
      <c r="CF81" s="116">
        <v>2240</v>
      </c>
      <c r="CG81" s="112">
        <v>1576.8000000000002</v>
      </c>
      <c r="CH81" s="115">
        <v>160</v>
      </c>
      <c r="CI81" s="116">
        <v>2350</v>
      </c>
      <c r="CJ81" s="112">
        <v>1712</v>
      </c>
      <c r="CK81" s="54">
        <f t="shared" si="18"/>
        <v>2475</v>
      </c>
      <c r="CL81" s="63">
        <f t="shared" si="19"/>
        <v>34280</v>
      </c>
      <c r="CM81" s="55">
        <f t="shared" si="20"/>
        <v>26040.399999999998</v>
      </c>
      <c r="CN81" s="54">
        <f t="shared" si="21"/>
        <v>206.25</v>
      </c>
      <c r="CO81" s="63">
        <f t="shared" si="22"/>
        <v>2856.6666666666665</v>
      </c>
      <c r="CP81" s="172">
        <f t="shared" si="23"/>
        <v>2170.0333333333333</v>
      </c>
      <c r="CQ81" s="151">
        <v>190</v>
      </c>
      <c r="CR81" s="152">
        <v>2750</v>
      </c>
      <c r="CS81" s="97">
        <v>2011.2</v>
      </c>
      <c r="CT81" s="27">
        <v>100</v>
      </c>
      <c r="CU81" s="58">
        <v>1450</v>
      </c>
      <c r="CV81" s="12">
        <v>1042.8000000000002</v>
      </c>
      <c r="CW81" s="27"/>
      <c r="CX81" s="58"/>
      <c r="CY81" s="98"/>
      <c r="CZ81" s="27"/>
      <c r="DA81" s="58"/>
      <c r="DB81" s="12"/>
      <c r="DC81" s="27"/>
      <c r="DD81" s="58"/>
      <c r="DE81" s="12"/>
      <c r="DF81" s="27"/>
      <c r="DG81" s="58"/>
      <c r="DH81" s="12"/>
      <c r="DI81" s="27"/>
      <c r="DJ81" s="58"/>
      <c r="DK81" s="107"/>
      <c r="DL81" s="27"/>
      <c r="DM81" s="58"/>
      <c r="DN81" s="107"/>
      <c r="DO81" s="27"/>
      <c r="DP81" s="58"/>
      <c r="DQ81" s="107"/>
      <c r="DR81" s="27"/>
      <c r="DS81" s="58"/>
      <c r="DT81" s="107"/>
      <c r="DU81" s="27"/>
      <c r="DV81" s="58"/>
      <c r="DW81" s="107"/>
      <c r="DX81" s="27"/>
      <c r="DY81" s="58"/>
      <c r="DZ81" s="107"/>
    </row>
    <row r="82" spans="1:130" s="2" customFormat="1" ht="34.9" customHeight="1" x14ac:dyDescent="0.6">
      <c r="A82" s="5">
        <v>79</v>
      </c>
      <c r="B82" s="21" t="s">
        <v>253</v>
      </c>
      <c r="C82" s="16" t="s">
        <v>254</v>
      </c>
      <c r="D82" s="15" t="s">
        <v>82</v>
      </c>
      <c r="E82" s="15" t="s">
        <v>83</v>
      </c>
      <c r="F82" s="7" t="s">
        <v>150</v>
      </c>
      <c r="G82" s="18" t="s">
        <v>868</v>
      </c>
      <c r="H82" s="18" t="s">
        <v>869</v>
      </c>
      <c r="I82" s="14" t="s">
        <v>870</v>
      </c>
      <c r="J82" s="49" t="s">
        <v>125</v>
      </c>
      <c r="K82" s="27">
        <v>111</v>
      </c>
      <c r="L82" s="58">
        <v>1684</v>
      </c>
      <c r="M82" s="78">
        <v>1064.3200000000002</v>
      </c>
      <c r="N82" s="27">
        <v>102</v>
      </c>
      <c r="O82" s="58">
        <v>1550</v>
      </c>
      <c r="P82" s="104">
        <v>1040.4000000000001</v>
      </c>
      <c r="Q82" s="27">
        <v>108</v>
      </c>
      <c r="R82" s="58">
        <v>1624</v>
      </c>
      <c r="S82" s="98">
        <v>1109.3600000000001</v>
      </c>
      <c r="T82" s="27">
        <v>104</v>
      </c>
      <c r="U82" s="58">
        <v>1620</v>
      </c>
      <c r="V82" s="12">
        <v>1083.5999999999999</v>
      </c>
      <c r="W82" s="27">
        <v>84</v>
      </c>
      <c r="X82" s="58">
        <v>1308</v>
      </c>
      <c r="Y82" s="107">
        <v>863.92000000000007</v>
      </c>
      <c r="Z82" s="27">
        <v>102</v>
      </c>
      <c r="AA82" s="58">
        <v>1570</v>
      </c>
      <c r="AB82" s="12">
        <v>1010</v>
      </c>
      <c r="AC82" s="27">
        <v>93</v>
      </c>
      <c r="AD82" s="58">
        <v>1340</v>
      </c>
      <c r="AE82" s="107">
        <v>909.2</v>
      </c>
      <c r="AF82" s="27">
        <v>99</v>
      </c>
      <c r="AG82" s="58">
        <v>1560</v>
      </c>
      <c r="AH82" s="107">
        <v>1023.6</v>
      </c>
      <c r="AI82" s="27">
        <v>101</v>
      </c>
      <c r="AJ82" s="58">
        <v>1500</v>
      </c>
      <c r="AK82" s="107">
        <v>1041.5999999999999</v>
      </c>
      <c r="AL82" s="27">
        <v>139</v>
      </c>
      <c r="AM82" s="58">
        <v>2132</v>
      </c>
      <c r="AN82" s="107">
        <v>1452.88</v>
      </c>
      <c r="AO82" s="27">
        <v>62</v>
      </c>
      <c r="AP82" s="58">
        <v>890</v>
      </c>
      <c r="AQ82" s="107">
        <v>611.20000000000005</v>
      </c>
      <c r="AR82" s="27">
        <v>95</v>
      </c>
      <c r="AS82" s="58">
        <v>1420</v>
      </c>
      <c r="AT82" s="107">
        <v>937.2</v>
      </c>
      <c r="AU82" s="54">
        <f t="shared" si="12"/>
        <v>1200</v>
      </c>
      <c r="AV82" s="63">
        <f t="shared" si="13"/>
        <v>18198</v>
      </c>
      <c r="AW82" s="55">
        <f t="shared" si="14"/>
        <v>12147.280000000002</v>
      </c>
      <c r="AX82" s="54">
        <f t="shared" si="15"/>
        <v>100</v>
      </c>
      <c r="AY82" s="63">
        <f t="shared" si="16"/>
        <v>8.3333333333333339</v>
      </c>
      <c r="AZ82" s="55">
        <f t="shared" si="17"/>
        <v>1012.2733333333335</v>
      </c>
      <c r="BA82" s="10">
        <v>113</v>
      </c>
      <c r="BB82" s="15">
        <v>1710</v>
      </c>
      <c r="BC82" s="11">
        <v>1174.4000000000001</v>
      </c>
      <c r="BD82" s="10">
        <v>97</v>
      </c>
      <c r="BE82" s="15">
        <v>2480</v>
      </c>
      <c r="BF82" s="11">
        <v>1743.6000000000001</v>
      </c>
      <c r="BG82" s="10">
        <v>104</v>
      </c>
      <c r="BH82" s="15">
        <v>1600</v>
      </c>
      <c r="BI82" s="11">
        <v>1114</v>
      </c>
      <c r="BJ82" s="10">
        <v>127</v>
      </c>
      <c r="BK82" s="15">
        <v>1834</v>
      </c>
      <c r="BL82" s="11">
        <v>1320.1599999999999</v>
      </c>
      <c r="BM82" s="44">
        <v>118</v>
      </c>
      <c r="BN82" s="42">
        <v>1580</v>
      </c>
      <c r="BO82" s="45">
        <v>1300.3999999999999</v>
      </c>
      <c r="BP82" s="44">
        <v>122</v>
      </c>
      <c r="BQ82" s="42">
        <v>1770</v>
      </c>
      <c r="BR82" s="45">
        <v>1310.8</v>
      </c>
      <c r="BS82" s="44">
        <v>107</v>
      </c>
      <c r="BT82" s="42">
        <v>1518</v>
      </c>
      <c r="BU82" s="112">
        <v>1151.1200000000001</v>
      </c>
      <c r="BV82" s="115">
        <v>80</v>
      </c>
      <c r="BW82" s="116">
        <v>1132</v>
      </c>
      <c r="BX82" s="112">
        <v>872.96</v>
      </c>
      <c r="BY82" s="115">
        <v>123</v>
      </c>
      <c r="BZ82" s="116">
        <v>1788</v>
      </c>
      <c r="CA82" s="112">
        <v>1358.24</v>
      </c>
      <c r="CB82" s="115">
        <v>128</v>
      </c>
      <c r="CC82" s="116">
        <v>1746</v>
      </c>
      <c r="CD82" s="112">
        <v>1428.08</v>
      </c>
      <c r="CE82" s="115">
        <v>118</v>
      </c>
      <c r="CF82" s="116">
        <v>1690</v>
      </c>
      <c r="CG82" s="112">
        <v>1356</v>
      </c>
      <c r="CH82" s="115">
        <v>69</v>
      </c>
      <c r="CI82" s="116">
        <v>940</v>
      </c>
      <c r="CJ82" s="112">
        <v>836</v>
      </c>
      <c r="CK82" s="54">
        <f t="shared" si="18"/>
        <v>1306</v>
      </c>
      <c r="CL82" s="63">
        <f t="shared" si="19"/>
        <v>19788</v>
      </c>
      <c r="CM82" s="55">
        <f t="shared" si="20"/>
        <v>14965.759999999998</v>
      </c>
      <c r="CN82" s="54">
        <f t="shared" si="21"/>
        <v>108.83333333333333</v>
      </c>
      <c r="CO82" s="63">
        <f t="shared" si="22"/>
        <v>1649</v>
      </c>
      <c r="CP82" s="172">
        <f t="shared" si="23"/>
        <v>1247.1466666666665</v>
      </c>
      <c r="CQ82" s="151">
        <v>79</v>
      </c>
      <c r="CR82" s="152">
        <v>1060</v>
      </c>
      <c r="CS82" s="97">
        <v>956</v>
      </c>
      <c r="CT82" s="27">
        <v>68</v>
      </c>
      <c r="CU82" s="58">
        <v>920</v>
      </c>
      <c r="CV82" s="12">
        <v>791.6</v>
      </c>
      <c r="CW82" s="27"/>
      <c r="CX82" s="58"/>
      <c r="CY82" s="98"/>
      <c r="CZ82" s="27"/>
      <c r="DA82" s="58"/>
      <c r="DB82" s="12"/>
      <c r="DC82" s="27"/>
      <c r="DD82" s="58"/>
      <c r="DE82" s="12"/>
      <c r="DF82" s="27"/>
      <c r="DG82" s="58"/>
      <c r="DH82" s="12"/>
      <c r="DI82" s="27"/>
      <c r="DJ82" s="58"/>
      <c r="DK82" s="107"/>
      <c r="DL82" s="27"/>
      <c r="DM82" s="58"/>
      <c r="DN82" s="107"/>
      <c r="DO82" s="27"/>
      <c r="DP82" s="58"/>
      <c r="DQ82" s="107"/>
      <c r="DR82" s="27"/>
      <c r="DS82" s="58"/>
      <c r="DT82" s="107"/>
      <c r="DU82" s="27"/>
      <c r="DV82" s="58"/>
      <c r="DW82" s="107"/>
      <c r="DX82" s="27"/>
      <c r="DY82" s="58"/>
      <c r="DZ82" s="107"/>
    </row>
    <row r="83" spans="1:130" s="2" customFormat="1" ht="34.9" customHeight="1" x14ac:dyDescent="0.6">
      <c r="A83" s="5">
        <v>80</v>
      </c>
      <c r="B83" s="21" t="s">
        <v>255</v>
      </c>
      <c r="C83" s="16" t="s">
        <v>256</v>
      </c>
      <c r="D83" s="15" t="s">
        <v>82</v>
      </c>
      <c r="E83" s="15" t="s">
        <v>83</v>
      </c>
      <c r="F83" s="7" t="s">
        <v>150</v>
      </c>
      <c r="G83" s="18" t="s">
        <v>871</v>
      </c>
      <c r="H83" s="18" t="s">
        <v>872</v>
      </c>
      <c r="I83" s="14" t="s">
        <v>873</v>
      </c>
      <c r="J83" s="49" t="s">
        <v>125</v>
      </c>
      <c r="K83" s="27">
        <v>315</v>
      </c>
      <c r="L83" s="58">
        <v>4400</v>
      </c>
      <c r="M83" s="78">
        <v>3060.4</v>
      </c>
      <c r="N83" s="27">
        <v>395</v>
      </c>
      <c r="O83" s="58">
        <v>5680</v>
      </c>
      <c r="P83" s="104">
        <v>3907.6000000000004</v>
      </c>
      <c r="Q83" s="27">
        <v>552</v>
      </c>
      <c r="R83" s="58">
        <v>8040</v>
      </c>
      <c r="S83" s="98">
        <v>5650.8</v>
      </c>
      <c r="T83" s="27">
        <v>455</v>
      </c>
      <c r="U83" s="58">
        <v>6270</v>
      </c>
      <c r="V83" s="12">
        <v>4626.3999999999996</v>
      </c>
      <c r="W83" s="27">
        <v>230</v>
      </c>
      <c r="X83" s="58">
        <v>3210</v>
      </c>
      <c r="Y83" s="107">
        <v>2298.8000000000002</v>
      </c>
      <c r="Z83" s="27">
        <v>380</v>
      </c>
      <c r="AA83" s="58">
        <v>5090</v>
      </c>
      <c r="AB83" s="12">
        <v>3754.4000000000005</v>
      </c>
      <c r="AC83" s="27">
        <v>345</v>
      </c>
      <c r="AD83" s="58">
        <v>4690</v>
      </c>
      <c r="AE83" s="107">
        <v>3304</v>
      </c>
      <c r="AF83" s="27">
        <v>255</v>
      </c>
      <c r="AG83" s="58">
        <v>3470</v>
      </c>
      <c r="AH83" s="107">
        <v>2659.6000000000004</v>
      </c>
      <c r="AI83" s="27">
        <v>390</v>
      </c>
      <c r="AJ83" s="58">
        <v>5400</v>
      </c>
      <c r="AK83" s="107">
        <v>4031.2</v>
      </c>
      <c r="AL83" s="27">
        <v>313</v>
      </c>
      <c r="AM83" s="58">
        <v>4280</v>
      </c>
      <c r="AN83" s="107">
        <v>3316</v>
      </c>
      <c r="AO83" s="27">
        <v>215</v>
      </c>
      <c r="AP83" s="58">
        <v>2920</v>
      </c>
      <c r="AQ83" s="107">
        <v>2063.1999999999998</v>
      </c>
      <c r="AR83" s="27">
        <v>371</v>
      </c>
      <c r="AS83" s="58">
        <v>5090</v>
      </c>
      <c r="AT83" s="107">
        <v>3749.6</v>
      </c>
      <c r="AU83" s="54">
        <f t="shared" si="12"/>
        <v>4216</v>
      </c>
      <c r="AV83" s="63">
        <f t="shared" si="13"/>
        <v>58540</v>
      </c>
      <c r="AW83" s="55">
        <f t="shared" si="14"/>
        <v>42421.999999999993</v>
      </c>
      <c r="AX83" s="54">
        <f t="shared" si="15"/>
        <v>351.33333333333331</v>
      </c>
      <c r="AY83" s="63">
        <f t="shared" si="16"/>
        <v>29.277777777777775</v>
      </c>
      <c r="AZ83" s="55">
        <f t="shared" si="17"/>
        <v>3535.1666666666661</v>
      </c>
      <c r="BA83" s="10">
        <v>288</v>
      </c>
      <c r="BB83" s="15">
        <v>3926</v>
      </c>
      <c r="BC83" s="11">
        <v>2940.4000000000005</v>
      </c>
      <c r="BD83" s="10">
        <v>272</v>
      </c>
      <c r="BE83" s="15">
        <v>3710</v>
      </c>
      <c r="BF83" s="11">
        <v>2675.2</v>
      </c>
      <c r="BG83" s="10">
        <v>547</v>
      </c>
      <c r="BH83" s="15">
        <v>7810</v>
      </c>
      <c r="BI83" s="11">
        <v>5650.4</v>
      </c>
      <c r="BJ83" s="10">
        <v>140</v>
      </c>
      <c r="BK83" s="15">
        <v>2160</v>
      </c>
      <c r="BL83" s="11">
        <v>1396</v>
      </c>
      <c r="BM83" s="44">
        <v>215</v>
      </c>
      <c r="BN83" s="42">
        <v>2790</v>
      </c>
      <c r="BO83" s="45">
        <v>2212.7999999999997</v>
      </c>
      <c r="BP83" s="44">
        <v>290</v>
      </c>
      <c r="BQ83" s="42">
        <v>4190</v>
      </c>
      <c r="BR83" s="45">
        <v>3069.2000000000003</v>
      </c>
      <c r="BS83" s="44">
        <v>330</v>
      </c>
      <c r="BT83" s="42">
        <v>4560</v>
      </c>
      <c r="BU83" s="112">
        <v>3493.5999999999995</v>
      </c>
      <c r="BV83" s="115">
        <v>310</v>
      </c>
      <c r="BW83" s="116">
        <v>4300</v>
      </c>
      <c r="BX83" s="112">
        <v>3284</v>
      </c>
      <c r="BY83" s="115">
        <v>295</v>
      </c>
      <c r="BZ83" s="116">
        <v>4130</v>
      </c>
      <c r="CA83" s="112">
        <v>3088.7999999999997</v>
      </c>
      <c r="CB83" s="115">
        <v>295</v>
      </c>
      <c r="CC83" s="116">
        <v>3860</v>
      </c>
      <c r="CD83" s="112">
        <v>3029.6000000000004</v>
      </c>
      <c r="CE83" s="115">
        <v>295</v>
      </c>
      <c r="CF83" s="116">
        <v>4500</v>
      </c>
      <c r="CG83" s="112">
        <v>3194.7999999999997</v>
      </c>
      <c r="CH83" s="115">
        <v>287</v>
      </c>
      <c r="CI83" s="116">
        <v>3880</v>
      </c>
      <c r="CJ83" s="112">
        <v>3093.2000000000003</v>
      </c>
      <c r="CK83" s="54">
        <f t="shared" si="18"/>
        <v>3564</v>
      </c>
      <c r="CL83" s="63">
        <f t="shared" si="19"/>
        <v>49816</v>
      </c>
      <c r="CM83" s="55">
        <f t="shared" si="20"/>
        <v>37128</v>
      </c>
      <c r="CN83" s="54">
        <f t="shared" si="21"/>
        <v>297</v>
      </c>
      <c r="CO83" s="63">
        <f t="shared" si="22"/>
        <v>4151.333333333333</v>
      </c>
      <c r="CP83" s="172">
        <f t="shared" si="23"/>
        <v>3094</v>
      </c>
      <c r="CQ83" s="151">
        <v>307</v>
      </c>
      <c r="CR83" s="152">
        <v>4130</v>
      </c>
      <c r="CS83" s="97">
        <v>3318</v>
      </c>
      <c r="CT83" s="27">
        <v>253</v>
      </c>
      <c r="CU83" s="58">
        <v>3600</v>
      </c>
      <c r="CV83" s="12">
        <v>2758</v>
      </c>
      <c r="CW83" s="27"/>
      <c r="CX83" s="58"/>
      <c r="CY83" s="98"/>
      <c r="CZ83" s="27"/>
      <c r="DA83" s="58"/>
      <c r="DB83" s="12"/>
      <c r="DC83" s="27"/>
      <c r="DD83" s="58"/>
      <c r="DE83" s="12"/>
      <c r="DF83" s="27"/>
      <c r="DG83" s="58"/>
      <c r="DH83" s="12"/>
      <c r="DI83" s="27"/>
      <c r="DJ83" s="58"/>
      <c r="DK83" s="107"/>
      <c r="DL83" s="27"/>
      <c r="DM83" s="58"/>
      <c r="DN83" s="107"/>
      <c r="DO83" s="27"/>
      <c r="DP83" s="58"/>
      <c r="DQ83" s="107"/>
      <c r="DR83" s="27"/>
      <c r="DS83" s="58"/>
      <c r="DT83" s="107"/>
      <c r="DU83" s="27"/>
      <c r="DV83" s="58"/>
      <c r="DW83" s="107"/>
      <c r="DX83" s="27"/>
      <c r="DY83" s="58"/>
      <c r="DZ83" s="107"/>
    </row>
    <row r="84" spans="1:130" s="2" customFormat="1" ht="34.9" customHeight="1" x14ac:dyDescent="0.6">
      <c r="A84" s="5">
        <v>81</v>
      </c>
      <c r="B84" s="21" t="s">
        <v>257</v>
      </c>
      <c r="C84" s="16" t="s">
        <v>258</v>
      </c>
      <c r="D84" s="15" t="s">
        <v>82</v>
      </c>
      <c r="E84" s="15" t="s">
        <v>83</v>
      </c>
      <c r="F84" s="7" t="s">
        <v>150</v>
      </c>
      <c r="G84" s="18" t="s">
        <v>257</v>
      </c>
      <c r="H84" s="18" t="s">
        <v>258</v>
      </c>
      <c r="I84" s="14" t="s">
        <v>874</v>
      </c>
      <c r="J84" s="49" t="s">
        <v>125</v>
      </c>
      <c r="K84" s="27">
        <v>685</v>
      </c>
      <c r="L84" s="58">
        <v>9870</v>
      </c>
      <c r="M84" s="78">
        <v>7228.7999999999993</v>
      </c>
      <c r="N84" s="27">
        <v>599</v>
      </c>
      <c r="O84" s="58">
        <v>8504</v>
      </c>
      <c r="P84" s="104">
        <v>6383.6</v>
      </c>
      <c r="Q84" s="27">
        <v>586</v>
      </c>
      <c r="R84" s="58">
        <v>8348</v>
      </c>
      <c r="S84" s="98">
        <v>6220.4</v>
      </c>
      <c r="T84" s="27">
        <v>559</v>
      </c>
      <c r="U84" s="58">
        <v>7834</v>
      </c>
      <c r="V84" s="12">
        <v>5746.8</v>
      </c>
      <c r="W84" s="27">
        <v>722</v>
      </c>
      <c r="X84" s="58">
        <v>10082</v>
      </c>
      <c r="Y84" s="107">
        <v>7660</v>
      </c>
      <c r="Z84" s="27">
        <v>764</v>
      </c>
      <c r="AA84" s="58">
        <v>10828</v>
      </c>
      <c r="AB84" s="12">
        <v>8190</v>
      </c>
      <c r="AC84" s="27">
        <v>815</v>
      </c>
      <c r="AD84" s="58">
        <v>11630</v>
      </c>
      <c r="AE84" s="107">
        <v>8750.4</v>
      </c>
      <c r="AF84" s="27">
        <v>759</v>
      </c>
      <c r="AG84" s="58">
        <v>10738</v>
      </c>
      <c r="AH84" s="107">
        <v>8227.3599999999988</v>
      </c>
      <c r="AI84" s="27">
        <v>738</v>
      </c>
      <c r="AJ84" s="58">
        <v>10584</v>
      </c>
      <c r="AK84" s="107">
        <v>8049.2</v>
      </c>
      <c r="AL84" s="27">
        <v>753</v>
      </c>
      <c r="AM84" s="58">
        <v>10658</v>
      </c>
      <c r="AN84" s="107">
        <v>8071.2</v>
      </c>
      <c r="AO84" s="27">
        <v>640</v>
      </c>
      <c r="AP84" s="58">
        <v>9050</v>
      </c>
      <c r="AQ84" s="107">
        <v>6934.4</v>
      </c>
      <c r="AR84" s="27">
        <v>435</v>
      </c>
      <c r="AS84" s="58">
        <v>6100</v>
      </c>
      <c r="AT84" s="107">
        <v>4773.6000000000004</v>
      </c>
      <c r="AU84" s="54">
        <f t="shared" si="12"/>
        <v>8055</v>
      </c>
      <c r="AV84" s="63">
        <f t="shared" si="13"/>
        <v>114226</v>
      </c>
      <c r="AW84" s="55">
        <f t="shared" si="14"/>
        <v>86235.76</v>
      </c>
      <c r="AX84" s="54">
        <f t="shared" si="15"/>
        <v>671.25</v>
      </c>
      <c r="AY84" s="63">
        <f t="shared" si="16"/>
        <v>55.9375</v>
      </c>
      <c r="AZ84" s="55">
        <f t="shared" si="17"/>
        <v>7186.3133333333326</v>
      </c>
      <c r="BA84" s="10">
        <v>592</v>
      </c>
      <c r="BB84" s="15">
        <v>8240</v>
      </c>
      <c r="BC84" s="11">
        <v>6358.8000000000011</v>
      </c>
      <c r="BD84" s="10">
        <v>439</v>
      </c>
      <c r="BE84" s="15">
        <v>6060</v>
      </c>
      <c r="BF84" s="11">
        <v>4688.0000000000009</v>
      </c>
      <c r="BG84" s="10">
        <v>350</v>
      </c>
      <c r="BH84" s="15">
        <v>4874</v>
      </c>
      <c r="BI84" s="11">
        <v>3754.8</v>
      </c>
      <c r="BJ84" s="10">
        <v>503</v>
      </c>
      <c r="BK84" s="15">
        <v>7010</v>
      </c>
      <c r="BL84" s="11">
        <v>5357.6</v>
      </c>
      <c r="BM84" s="44">
        <v>626</v>
      </c>
      <c r="BN84" s="42">
        <v>8480</v>
      </c>
      <c r="BO84" s="45">
        <v>6753.6</v>
      </c>
      <c r="BP84" s="44">
        <v>581</v>
      </c>
      <c r="BQ84" s="42">
        <v>8030</v>
      </c>
      <c r="BR84" s="45">
        <v>6299.6</v>
      </c>
      <c r="BS84" s="44">
        <v>729</v>
      </c>
      <c r="BT84" s="42">
        <v>9920</v>
      </c>
      <c r="BU84" s="112">
        <v>8035.9999999999982</v>
      </c>
      <c r="BV84" s="115">
        <v>733</v>
      </c>
      <c r="BW84" s="116">
        <v>10350</v>
      </c>
      <c r="BX84" s="112">
        <v>8127.2000000000016</v>
      </c>
      <c r="BY84" s="115">
        <v>671</v>
      </c>
      <c r="BZ84" s="116">
        <v>9348</v>
      </c>
      <c r="CA84" s="112">
        <v>7374.32</v>
      </c>
      <c r="CB84" s="115">
        <v>577</v>
      </c>
      <c r="CC84" s="116">
        <v>7930</v>
      </c>
      <c r="CD84" s="112">
        <v>6375.2000000000016</v>
      </c>
      <c r="CE84" s="115">
        <v>506</v>
      </c>
      <c r="CF84" s="116">
        <v>7020</v>
      </c>
      <c r="CG84" s="112">
        <v>5566.800000000002</v>
      </c>
      <c r="CH84" s="115">
        <v>589</v>
      </c>
      <c r="CI84" s="116">
        <v>8130</v>
      </c>
      <c r="CJ84" s="112">
        <v>6523.2000000000007</v>
      </c>
      <c r="CK84" s="54">
        <f t="shared" si="18"/>
        <v>6896</v>
      </c>
      <c r="CL84" s="63">
        <f t="shared" si="19"/>
        <v>95392</v>
      </c>
      <c r="CM84" s="55">
        <f t="shared" si="20"/>
        <v>75215.12000000001</v>
      </c>
      <c r="CN84" s="54">
        <f t="shared" si="21"/>
        <v>574.66666666666663</v>
      </c>
      <c r="CO84" s="63">
        <f t="shared" si="22"/>
        <v>7949.333333333333</v>
      </c>
      <c r="CP84" s="172">
        <f t="shared" si="23"/>
        <v>6267.9266666666672</v>
      </c>
      <c r="CQ84" s="151">
        <v>504</v>
      </c>
      <c r="CR84" s="152">
        <v>7070</v>
      </c>
      <c r="CS84" s="97">
        <v>5563.9999999999991</v>
      </c>
      <c r="CT84" s="27">
        <v>487</v>
      </c>
      <c r="CU84" s="58">
        <v>6640</v>
      </c>
      <c r="CV84" s="12">
        <v>5391.6</v>
      </c>
      <c r="CW84" s="27"/>
      <c r="CX84" s="58"/>
      <c r="CY84" s="98"/>
      <c r="CZ84" s="27"/>
      <c r="DA84" s="58"/>
      <c r="DB84" s="12"/>
      <c r="DC84" s="27"/>
      <c r="DD84" s="58"/>
      <c r="DE84" s="12"/>
      <c r="DF84" s="27"/>
      <c r="DG84" s="58"/>
      <c r="DH84" s="12"/>
      <c r="DI84" s="27"/>
      <c r="DJ84" s="58"/>
      <c r="DK84" s="107"/>
      <c r="DL84" s="27"/>
      <c r="DM84" s="58"/>
      <c r="DN84" s="107"/>
      <c r="DO84" s="27"/>
      <c r="DP84" s="58"/>
      <c r="DQ84" s="107"/>
      <c r="DR84" s="27"/>
      <c r="DS84" s="58"/>
      <c r="DT84" s="107"/>
      <c r="DU84" s="27"/>
      <c r="DV84" s="58"/>
      <c r="DW84" s="107"/>
      <c r="DX84" s="27"/>
      <c r="DY84" s="58"/>
      <c r="DZ84" s="107"/>
    </row>
    <row r="85" spans="1:130" s="2" customFormat="1" ht="34.9" customHeight="1" x14ac:dyDescent="0.6">
      <c r="A85" s="5">
        <v>82</v>
      </c>
      <c r="B85" s="21" t="s">
        <v>261</v>
      </c>
      <c r="C85" s="16" t="s">
        <v>262</v>
      </c>
      <c r="D85" s="15" t="s">
        <v>263</v>
      </c>
      <c r="E85" s="14" t="s">
        <v>264</v>
      </c>
      <c r="F85" s="7" t="s">
        <v>150</v>
      </c>
      <c r="G85" s="18" t="s">
        <v>878</v>
      </c>
      <c r="H85" s="18" t="s">
        <v>879</v>
      </c>
      <c r="I85" s="14" t="s">
        <v>880</v>
      </c>
      <c r="J85" s="49" t="s">
        <v>125</v>
      </c>
      <c r="K85" s="27">
        <v>445</v>
      </c>
      <c r="L85" s="58">
        <v>6226</v>
      </c>
      <c r="M85" s="78">
        <v>4402.88</v>
      </c>
      <c r="N85" s="27">
        <v>595</v>
      </c>
      <c r="O85" s="58">
        <v>8420</v>
      </c>
      <c r="P85" s="49">
        <v>5772.8</v>
      </c>
      <c r="Q85" s="27">
        <v>360</v>
      </c>
      <c r="R85" s="58">
        <v>5150</v>
      </c>
      <c r="S85" s="98">
        <v>3504</v>
      </c>
      <c r="T85" s="27">
        <v>481</v>
      </c>
      <c r="U85" s="58">
        <v>6872</v>
      </c>
      <c r="V85" s="12">
        <v>4811.2000000000007</v>
      </c>
      <c r="W85" s="27">
        <v>365</v>
      </c>
      <c r="X85" s="58">
        <v>4960</v>
      </c>
      <c r="Y85" s="107">
        <v>3498.4</v>
      </c>
      <c r="Z85" s="27">
        <v>403</v>
      </c>
      <c r="AA85" s="58">
        <v>5420</v>
      </c>
      <c r="AB85" s="12">
        <v>4028</v>
      </c>
      <c r="AC85" s="27">
        <v>330</v>
      </c>
      <c r="AD85" s="58">
        <v>4570</v>
      </c>
      <c r="AE85" s="107">
        <v>3255.6</v>
      </c>
      <c r="AF85" s="27">
        <v>366</v>
      </c>
      <c r="AG85" s="58">
        <v>5104</v>
      </c>
      <c r="AH85" s="107">
        <v>3627.84</v>
      </c>
      <c r="AI85" s="27">
        <v>245</v>
      </c>
      <c r="AJ85" s="58">
        <v>3280</v>
      </c>
      <c r="AK85" s="107">
        <v>2387.1999999999998</v>
      </c>
      <c r="AL85" s="27">
        <v>427</v>
      </c>
      <c r="AM85" s="58">
        <v>5776</v>
      </c>
      <c r="AN85" s="107">
        <v>4212.6399999999994</v>
      </c>
      <c r="AO85" s="27">
        <v>383</v>
      </c>
      <c r="AP85" s="58">
        <v>5160</v>
      </c>
      <c r="AQ85" s="107">
        <v>3812.4</v>
      </c>
      <c r="AR85" s="27">
        <v>340</v>
      </c>
      <c r="AS85" s="58">
        <v>4530</v>
      </c>
      <c r="AT85" s="107">
        <v>3396</v>
      </c>
      <c r="AU85" s="54">
        <f t="shared" si="12"/>
        <v>4740</v>
      </c>
      <c r="AV85" s="63">
        <f t="shared" si="13"/>
        <v>65468</v>
      </c>
      <c r="AW85" s="55">
        <f t="shared" si="14"/>
        <v>46708.959999999999</v>
      </c>
      <c r="AX85" s="54">
        <f t="shared" si="15"/>
        <v>395</v>
      </c>
      <c r="AY85" s="63">
        <f t="shared" si="16"/>
        <v>32.916666666666664</v>
      </c>
      <c r="AZ85" s="55">
        <f t="shared" si="17"/>
        <v>3892.4133333333334</v>
      </c>
      <c r="BA85" s="10">
        <v>399</v>
      </c>
      <c r="BB85" s="15">
        <v>5466</v>
      </c>
      <c r="BC85" s="11">
        <v>3989.6</v>
      </c>
      <c r="BD85" s="10">
        <v>403</v>
      </c>
      <c r="BE85" s="15">
        <v>4956</v>
      </c>
      <c r="BF85" s="11">
        <v>3886.8</v>
      </c>
      <c r="BG85" s="10">
        <v>518</v>
      </c>
      <c r="BH85" s="15">
        <v>7120</v>
      </c>
      <c r="BI85" s="11">
        <v>5411.2</v>
      </c>
      <c r="BJ85" s="10">
        <v>400</v>
      </c>
      <c r="BK85" s="15">
        <v>5350</v>
      </c>
      <c r="BL85" s="11">
        <v>4114.8</v>
      </c>
      <c r="BM85" s="44">
        <v>365</v>
      </c>
      <c r="BN85" s="42">
        <v>4940</v>
      </c>
      <c r="BO85" s="45">
        <v>3733.6000000000004</v>
      </c>
      <c r="BP85" s="44">
        <v>360</v>
      </c>
      <c r="BQ85" s="42">
        <v>4720</v>
      </c>
      <c r="BR85" s="45">
        <v>3694</v>
      </c>
      <c r="BS85" s="44">
        <v>381</v>
      </c>
      <c r="BT85" s="42">
        <v>5096</v>
      </c>
      <c r="BU85" s="112">
        <v>3876.8</v>
      </c>
      <c r="BV85" s="115">
        <v>390</v>
      </c>
      <c r="BW85" s="116">
        <v>5236</v>
      </c>
      <c r="BX85" s="112">
        <v>3912.4800000000005</v>
      </c>
      <c r="BY85" s="115">
        <v>336</v>
      </c>
      <c r="BZ85" s="116">
        <v>4520</v>
      </c>
      <c r="CA85" s="112">
        <v>3515.6000000000004</v>
      </c>
      <c r="CB85" s="115">
        <v>202</v>
      </c>
      <c r="CC85" s="116">
        <v>2700</v>
      </c>
      <c r="CD85" s="112">
        <v>2069.6000000000004</v>
      </c>
      <c r="CE85" s="115">
        <v>282</v>
      </c>
      <c r="CF85" s="116">
        <v>3760</v>
      </c>
      <c r="CG85" s="112">
        <v>2901.6</v>
      </c>
      <c r="CH85" s="115">
        <v>217</v>
      </c>
      <c r="CI85" s="116">
        <v>2910</v>
      </c>
      <c r="CJ85" s="112">
        <v>2228</v>
      </c>
      <c r="CK85" s="54">
        <f t="shared" si="18"/>
        <v>4253</v>
      </c>
      <c r="CL85" s="63">
        <f t="shared" si="19"/>
        <v>56774</v>
      </c>
      <c r="CM85" s="55">
        <f t="shared" si="20"/>
        <v>43334.079999999994</v>
      </c>
      <c r="CN85" s="54">
        <f t="shared" si="21"/>
        <v>354.41666666666669</v>
      </c>
      <c r="CO85" s="63">
        <f t="shared" si="22"/>
        <v>4731.166666666667</v>
      </c>
      <c r="CP85" s="172">
        <f t="shared" si="23"/>
        <v>3611.1733333333327</v>
      </c>
      <c r="CQ85" s="151">
        <v>287</v>
      </c>
      <c r="CR85" s="152">
        <v>3734</v>
      </c>
      <c r="CS85" s="97">
        <v>2993.6000000000004</v>
      </c>
      <c r="CT85" s="27">
        <v>260</v>
      </c>
      <c r="CU85" s="58">
        <v>3370</v>
      </c>
      <c r="CV85" s="12">
        <v>2740</v>
      </c>
      <c r="CW85" s="27"/>
      <c r="CX85" s="58"/>
      <c r="CY85" s="98"/>
      <c r="CZ85" s="27"/>
      <c r="DA85" s="58"/>
      <c r="DB85" s="12"/>
      <c r="DC85" s="27"/>
      <c r="DD85" s="58"/>
      <c r="DE85" s="12"/>
      <c r="DF85" s="27"/>
      <c r="DG85" s="58"/>
      <c r="DH85" s="12"/>
      <c r="DI85" s="27"/>
      <c r="DJ85" s="58"/>
      <c r="DK85" s="107"/>
      <c r="DL85" s="27"/>
      <c r="DM85" s="58"/>
      <c r="DN85" s="107"/>
      <c r="DO85" s="27"/>
      <c r="DP85" s="58"/>
      <c r="DQ85" s="107"/>
      <c r="DR85" s="27"/>
      <c r="DS85" s="58"/>
      <c r="DT85" s="107"/>
      <c r="DU85" s="27"/>
      <c r="DV85" s="58"/>
      <c r="DW85" s="107"/>
      <c r="DX85" s="27"/>
      <c r="DY85" s="58"/>
      <c r="DZ85" s="107"/>
    </row>
    <row r="86" spans="1:130" s="2" customFormat="1" ht="34.9" customHeight="1" x14ac:dyDescent="0.6">
      <c r="A86" s="5">
        <v>83</v>
      </c>
      <c r="B86" s="21" t="s">
        <v>268</v>
      </c>
      <c r="C86" s="16" t="s">
        <v>269</v>
      </c>
      <c r="D86" s="15" t="s">
        <v>267</v>
      </c>
      <c r="E86" s="14" t="s">
        <v>46</v>
      </c>
      <c r="F86" s="7" t="s">
        <v>150</v>
      </c>
      <c r="G86" s="18" t="s">
        <v>268</v>
      </c>
      <c r="H86" s="18" t="s">
        <v>269</v>
      </c>
      <c r="I86" s="14" t="s">
        <v>884</v>
      </c>
      <c r="J86" s="49" t="s">
        <v>125</v>
      </c>
      <c r="K86" s="27">
        <v>402</v>
      </c>
      <c r="L86" s="58">
        <v>5584</v>
      </c>
      <c r="M86" s="78">
        <v>3668.7999999999997</v>
      </c>
      <c r="N86" s="27">
        <v>300</v>
      </c>
      <c r="O86" s="58">
        <v>4200</v>
      </c>
      <c r="P86" s="49">
        <v>2688</v>
      </c>
      <c r="Q86" s="27">
        <v>350</v>
      </c>
      <c r="R86" s="58">
        <v>4990</v>
      </c>
      <c r="S86" s="98">
        <v>3222</v>
      </c>
      <c r="T86" s="27">
        <v>300</v>
      </c>
      <c r="U86" s="58">
        <v>4200</v>
      </c>
      <c r="V86" s="12">
        <v>2688</v>
      </c>
      <c r="W86" s="27">
        <v>400</v>
      </c>
      <c r="X86" s="58">
        <v>5560</v>
      </c>
      <c r="Y86" s="107">
        <v>3644.8</v>
      </c>
      <c r="Z86" s="27">
        <v>400</v>
      </c>
      <c r="AA86" s="58">
        <v>5600</v>
      </c>
      <c r="AB86" s="12">
        <v>3584</v>
      </c>
      <c r="AC86" s="27">
        <v>350</v>
      </c>
      <c r="AD86" s="58">
        <v>4900</v>
      </c>
      <c r="AE86" s="107">
        <v>3136</v>
      </c>
      <c r="AF86" s="27">
        <v>400</v>
      </c>
      <c r="AG86" s="58">
        <v>5600</v>
      </c>
      <c r="AH86" s="107">
        <v>3584</v>
      </c>
      <c r="AI86" s="27">
        <v>300</v>
      </c>
      <c r="AJ86" s="58">
        <v>4200</v>
      </c>
      <c r="AK86" s="107">
        <v>2688</v>
      </c>
      <c r="AL86" s="27">
        <v>375</v>
      </c>
      <c r="AM86" s="58">
        <v>5240</v>
      </c>
      <c r="AN86" s="107">
        <v>3375.2000000000003</v>
      </c>
      <c r="AO86" s="27">
        <v>300</v>
      </c>
      <c r="AP86" s="58">
        <v>4200</v>
      </c>
      <c r="AQ86" s="107">
        <v>2688</v>
      </c>
      <c r="AR86" s="27">
        <v>260</v>
      </c>
      <c r="AS86" s="58">
        <v>3640</v>
      </c>
      <c r="AT86" s="107">
        <v>2329.6</v>
      </c>
      <c r="AU86" s="54">
        <f t="shared" si="12"/>
        <v>4137</v>
      </c>
      <c r="AV86" s="63">
        <f t="shared" si="13"/>
        <v>57914</v>
      </c>
      <c r="AW86" s="55">
        <f t="shared" si="14"/>
        <v>37296.400000000001</v>
      </c>
      <c r="AX86" s="54">
        <f t="shared" si="15"/>
        <v>344.75</v>
      </c>
      <c r="AY86" s="63">
        <f t="shared" si="16"/>
        <v>28.729166666666668</v>
      </c>
      <c r="AZ86" s="55">
        <f t="shared" si="17"/>
        <v>3108.0333333333333</v>
      </c>
      <c r="BA86" s="10">
        <v>270</v>
      </c>
      <c r="BB86" s="15">
        <v>3780</v>
      </c>
      <c r="BC86" s="11">
        <v>2419.1999999999998</v>
      </c>
      <c r="BD86" s="10">
        <v>300</v>
      </c>
      <c r="BE86" s="15">
        <v>4200</v>
      </c>
      <c r="BF86" s="11">
        <v>2688</v>
      </c>
      <c r="BG86" s="10">
        <v>405</v>
      </c>
      <c r="BH86" s="15">
        <v>5760</v>
      </c>
      <c r="BI86" s="11">
        <v>3714.8</v>
      </c>
      <c r="BJ86" s="10">
        <v>200</v>
      </c>
      <c r="BK86" s="15">
        <v>2800</v>
      </c>
      <c r="BL86" s="11">
        <v>1792</v>
      </c>
      <c r="BM86" s="44">
        <v>300</v>
      </c>
      <c r="BN86" s="42">
        <v>4200</v>
      </c>
      <c r="BO86" s="45">
        <v>2688</v>
      </c>
      <c r="BP86" s="44">
        <v>250</v>
      </c>
      <c r="BQ86" s="42">
        <v>3500</v>
      </c>
      <c r="BR86" s="45">
        <v>2240</v>
      </c>
      <c r="BS86" s="44">
        <v>250</v>
      </c>
      <c r="BT86" s="42">
        <v>3500</v>
      </c>
      <c r="BU86" s="112">
        <v>2240</v>
      </c>
      <c r="BV86" s="115">
        <v>201</v>
      </c>
      <c r="BW86" s="116">
        <v>2812</v>
      </c>
      <c r="BX86" s="112">
        <v>1800.16</v>
      </c>
      <c r="BY86" s="115">
        <v>250</v>
      </c>
      <c r="BZ86" s="116">
        <v>3500</v>
      </c>
      <c r="CA86" s="112">
        <v>2240</v>
      </c>
      <c r="CB86" s="115">
        <v>200</v>
      </c>
      <c r="CC86" s="116">
        <v>2800</v>
      </c>
      <c r="CD86" s="112">
        <v>1792</v>
      </c>
      <c r="CE86" s="115">
        <v>200</v>
      </c>
      <c r="CF86" s="116">
        <v>2800</v>
      </c>
      <c r="CG86" s="112">
        <v>1792</v>
      </c>
      <c r="CH86" s="115">
        <v>200</v>
      </c>
      <c r="CI86" s="116">
        <v>2800</v>
      </c>
      <c r="CJ86" s="112">
        <v>1792</v>
      </c>
      <c r="CK86" s="54">
        <f t="shared" si="18"/>
        <v>3026</v>
      </c>
      <c r="CL86" s="63">
        <f t="shared" si="19"/>
        <v>42452</v>
      </c>
      <c r="CM86" s="55">
        <f t="shared" si="20"/>
        <v>27198.16</v>
      </c>
      <c r="CN86" s="54">
        <f t="shared" si="21"/>
        <v>252.16666666666666</v>
      </c>
      <c r="CO86" s="63">
        <f t="shared" si="22"/>
        <v>3537.6666666666665</v>
      </c>
      <c r="CP86" s="172">
        <f t="shared" si="23"/>
        <v>2266.5133333333333</v>
      </c>
      <c r="CQ86" s="151">
        <v>150</v>
      </c>
      <c r="CR86" s="152">
        <v>2100</v>
      </c>
      <c r="CS86" s="97">
        <v>1344</v>
      </c>
      <c r="CT86" s="27">
        <v>150</v>
      </c>
      <c r="CU86" s="58">
        <v>2100</v>
      </c>
      <c r="CV86" s="12">
        <v>1344</v>
      </c>
      <c r="CW86" s="27"/>
      <c r="CX86" s="58"/>
      <c r="CY86" s="98"/>
      <c r="CZ86" s="27"/>
      <c r="DA86" s="58"/>
      <c r="DB86" s="12"/>
      <c r="DC86" s="27"/>
      <c r="DD86" s="58"/>
      <c r="DE86" s="12"/>
      <c r="DF86" s="27"/>
      <c r="DG86" s="58"/>
      <c r="DH86" s="12"/>
      <c r="DI86" s="27"/>
      <c r="DJ86" s="58"/>
      <c r="DK86" s="107"/>
      <c r="DL86" s="27"/>
      <c r="DM86" s="58"/>
      <c r="DN86" s="107"/>
      <c r="DO86" s="27"/>
      <c r="DP86" s="58"/>
      <c r="DQ86" s="107"/>
      <c r="DR86" s="27"/>
      <c r="DS86" s="58"/>
      <c r="DT86" s="107"/>
      <c r="DU86" s="27"/>
      <c r="DV86" s="58"/>
      <c r="DW86" s="107"/>
      <c r="DX86" s="27"/>
      <c r="DY86" s="58"/>
      <c r="DZ86" s="107"/>
    </row>
    <row r="87" spans="1:130" s="2" customFormat="1" ht="34.9" customHeight="1" x14ac:dyDescent="0.6">
      <c r="A87" s="5">
        <v>84</v>
      </c>
      <c r="B87" s="21" t="s">
        <v>270</v>
      </c>
      <c r="C87" s="16" t="s">
        <v>271</v>
      </c>
      <c r="D87" s="15" t="s">
        <v>190</v>
      </c>
      <c r="E87" s="14" t="s">
        <v>187</v>
      </c>
      <c r="F87" s="7" t="s">
        <v>150</v>
      </c>
      <c r="G87" s="18" t="s">
        <v>885</v>
      </c>
      <c r="H87" s="18" t="s">
        <v>886</v>
      </c>
      <c r="I87" s="14" t="s">
        <v>887</v>
      </c>
      <c r="J87" s="49" t="s">
        <v>125</v>
      </c>
      <c r="K87" s="27">
        <v>0</v>
      </c>
      <c r="L87" s="58">
        <v>0</v>
      </c>
      <c r="M87" s="78">
        <v>0</v>
      </c>
      <c r="N87" s="27">
        <v>0</v>
      </c>
      <c r="O87" s="58">
        <v>0</v>
      </c>
      <c r="P87" s="49"/>
      <c r="Q87" s="27">
        <v>0</v>
      </c>
      <c r="R87" s="58">
        <v>0</v>
      </c>
      <c r="S87" s="98">
        <v>0</v>
      </c>
      <c r="T87" s="27">
        <v>233</v>
      </c>
      <c r="U87" s="58">
        <v>3360</v>
      </c>
      <c r="V87" s="12">
        <v>2518</v>
      </c>
      <c r="W87" s="27">
        <v>364</v>
      </c>
      <c r="X87" s="58">
        <v>5350</v>
      </c>
      <c r="Y87" s="107">
        <v>3944.8</v>
      </c>
      <c r="Z87" s="27">
        <v>272</v>
      </c>
      <c r="AA87" s="58">
        <v>3958</v>
      </c>
      <c r="AB87" s="12">
        <v>3011.2</v>
      </c>
      <c r="AC87" s="27">
        <v>190</v>
      </c>
      <c r="AD87" s="58">
        <v>3000</v>
      </c>
      <c r="AE87" s="107">
        <v>2076.8000000000002</v>
      </c>
      <c r="AF87" s="27">
        <v>188</v>
      </c>
      <c r="AG87" s="58">
        <v>2970</v>
      </c>
      <c r="AH87" s="107">
        <v>1972.8000000000002</v>
      </c>
      <c r="AI87" s="27">
        <v>232</v>
      </c>
      <c r="AJ87" s="58">
        <v>3840</v>
      </c>
      <c r="AK87" s="107">
        <v>2604.8000000000002</v>
      </c>
      <c r="AL87" s="27">
        <v>241</v>
      </c>
      <c r="AM87" s="58">
        <v>3480</v>
      </c>
      <c r="AN87" s="107">
        <v>2711.2</v>
      </c>
      <c r="AO87" s="27">
        <v>169</v>
      </c>
      <c r="AP87" s="58">
        <v>2554</v>
      </c>
      <c r="AQ87" s="107">
        <v>1807.76</v>
      </c>
      <c r="AR87" s="27">
        <v>150</v>
      </c>
      <c r="AS87" s="58">
        <v>2430</v>
      </c>
      <c r="AT87" s="107">
        <v>1510.8000000000002</v>
      </c>
      <c r="AU87" s="54">
        <f t="shared" si="12"/>
        <v>2039</v>
      </c>
      <c r="AV87" s="63">
        <f t="shared" si="13"/>
        <v>30942</v>
      </c>
      <c r="AW87" s="55">
        <f t="shared" si="14"/>
        <v>22158.159999999996</v>
      </c>
      <c r="AX87" s="54">
        <f t="shared" si="15"/>
        <v>169.91666666666666</v>
      </c>
      <c r="AY87" s="63">
        <f t="shared" si="16"/>
        <v>14.159722222222221</v>
      </c>
      <c r="AZ87" s="55">
        <f t="shared" si="17"/>
        <v>1846.5133333333331</v>
      </c>
      <c r="BA87" s="10">
        <v>155</v>
      </c>
      <c r="BB87" s="15">
        <v>2250</v>
      </c>
      <c r="BC87" s="11">
        <v>1712.8</v>
      </c>
      <c r="BD87" s="10">
        <v>210</v>
      </c>
      <c r="BE87" s="15">
        <v>3430</v>
      </c>
      <c r="BF87" s="11">
        <v>2250.8000000000002</v>
      </c>
      <c r="BG87" s="10">
        <v>225</v>
      </c>
      <c r="BH87" s="15">
        <v>3090</v>
      </c>
      <c r="BI87" s="11">
        <v>2552.8000000000002</v>
      </c>
      <c r="BJ87" s="10">
        <v>135</v>
      </c>
      <c r="BK87" s="15">
        <v>1700</v>
      </c>
      <c r="BL87" s="11">
        <v>1498.4</v>
      </c>
      <c r="BM87" s="44">
        <v>135</v>
      </c>
      <c r="BN87" s="42">
        <v>2030</v>
      </c>
      <c r="BO87" s="45">
        <v>1442.3999999999999</v>
      </c>
      <c r="BP87" s="44">
        <v>130</v>
      </c>
      <c r="BQ87" s="42">
        <v>2270</v>
      </c>
      <c r="BR87" s="45">
        <v>1372</v>
      </c>
      <c r="BS87" s="44">
        <v>250</v>
      </c>
      <c r="BT87" s="42">
        <v>3440</v>
      </c>
      <c r="BU87" s="112">
        <v>2554</v>
      </c>
      <c r="BV87" s="115">
        <v>136</v>
      </c>
      <c r="BW87" s="116">
        <v>1942</v>
      </c>
      <c r="BX87" s="112">
        <v>1379.76</v>
      </c>
      <c r="BY87" s="115">
        <v>215</v>
      </c>
      <c r="BZ87" s="116">
        <v>3330</v>
      </c>
      <c r="CA87" s="112">
        <v>2331.1999999999998</v>
      </c>
      <c r="CB87" s="115">
        <v>120</v>
      </c>
      <c r="CC87" s="116">
        <v>1750</v>
      </c>
      <c r="CD87" s="112">
        <v>1191.6000000000001</v>
      </c>
      <c r="CE87" s="115">
        <v>145</v>
      </c>
      <c r="CF87" s="116">
        <v>1910</v>
      </c>
      <c r="CG87" s="112">
        <v>1481.5999999999997</v>
      </c>
      <c r="CH87" s="115">
        <v>190</v>
      </c>
      <c r="CI87" s="116">
        <v>3160</v>
      </c>
      <c r="CJ87" s="112">
        <v>2056.4000000000005</v>
      </c>
      <c r="CK87" s="54">
        <f t="shared" si="18"/>
        <v>2046</v>
      </c>
      <c r="CL87" s="63">
        <f t="shared" si="19"/>
        <v>30302</v>
      </c>
      <c r="CM87" s="55">
        <f t="shared" si="20"/>
        <v>21823.759999999998</v>
      </c>
      <c r="CN87" s="54">
        <f t="shared" si="21"/>
        <v>170.5</v>
      </c>
      <c r="CO87" s="63">
        <f t="shared" si="22"/>
        <v>2525.1666666666665</v>
      </c>
      <c r="CP87" s="172">
        <f t="shared" si="23"/>
        <v>1818.6466666666665</v>
      </c>
      <c r="CQ87" s="151">
        <v>143</v>
      </c>
      <c r="CR87" s="152">
        <v>1866</v>
      </c>
      <c r="CS87" s="97">
        <v>1488</v>
      </c>
      <c r="CT87" s="27">
        <v>115</v>
      </c>
      <c r="CU87" s="58">
        <v>1670</v>
      </c>
      <c r="CV87" s="12">
        <v>1162</v>
      </c>
      <c r="CW87" s="27"/>
      <c r="CX87" s="58"/>
      <c r="CY87" s="98"/>
      <c r="CZ87" s="27"/>
      <c r="DA87" s="58"/>
      <c r="DB87" s="12"/>
      <c r="DC87" s="27"/>
      <c r="DD87" s="58"/>
      <c r="DE87" s="12"/>
      <c r="DF87" s="27"/>
      <c r="DG87" s="58"/>
      <c r="DH87" s="12"/>
      <c r="DI87" s="27"/>
      <c r="DJ87" s="58"/>
      <c r="DK87" s="107"/>
      <c r="DL87" s="27"/>
      <c r="DM87" s="58"/>
      <c r="DN87" s="107"/>
      <c r="DO87" s="27"/>
      <c r="DP87" s="58"/>
      <c r="DQ87" s="107"/>
      <c r="DR87" s="27"/>
      <c r="DS87" s="58"/>
      <c r="DT87" s="107"/>
      <c r="DU87" s="27"/>
      <c r="DV87" s="58"/>
      <c r="DW87" s="107"/>
      <c r="DX87" s="27"/>
      <c r="DY87" s="58"/>
      <c r="DZ87" s="107"/>
    </row>
    <row r="88" spans="1:130" s="2" customFormat="1" ht="34.9" customHeight="1" x14ac:dyDescent="0.6">
      <c r="A88" s="5">
        <v>85</v>
      </c>
      <c r="B88" s="21" t="s">
        <v>274</v>
      </c>
      <c r="C88" s="16" t="s">
        <v>275</v>
      </c>
      <c r="D88" s="15" t="s">
        <v>276</v>
      </c>
      <c r="E88" s="14" t="s">
        <v>277</v>
      </c>
      <c r="F88" s="7" t="s">
        <v>150</v>
      </c>
      <c r="G88" s="18" t="s">
        <v>274</v>
      </c>
      <c r="H88" s="18" t="s">
        <v>275</v>
      </c>
      <c r="I88" s="14" t="s">
        <v>888</v>
      </c>
      <c r="J88" s="49" t="s">
        <v>125</v>
      </c>
      <c r="K88" s="27">
        <v>260</v>
      </c>
      <c r="L88" s="58">
        <v>4780</v>
      </c>
      <c r="M88" s="78">
        <v>3047.6</v>
      </c>
      <c r="N88" s="27">
        <v>215</v>
      </c>
      <c r="O88" s="58">
        <v>3520</v>
      </c>
      <c r="P88" s="49">
        <v>2488</v>
      </c>
      <c r="Q88" s="27">
        <v>160</v>
      </c>
      <c r="R88" s="58">
        <v>2780</v>
      </c>
      <c r="S88" s="98">
        <v>1949.6</v>
      </c>
      <c r="T88" s="27">
        <v>300</v>
      </c>
      <c r="U88" s="58">
        <v>5100</v>
      </c>
      <c r="V88" s="12">
        <v>3458</v>
      </c>
      <c r="W88" s="27">
        <v>260</v>
      </c>
      <c r="X88" s="58">
        <v>4360</v>
      </c>
      <c r="Y88" s="107">
        <v>3017.6</v>
      </c>
      <c r="Z88" s="27">
        <v>320</v>
      </c>
      <c r="AA88" s="58">
        <v>5620</v>
      </c>
      <c r="AB88" s="12">
        <v>3808</v>
      </c>
      <c r="AC88" s="27">
        <v>375</v>
      </c>
      <c r="AD88" s="58">
        <v>6440</v>
      </c>
      <c r="AE88" s="107">
        <v>4357.5999999999995</v>
      </c>
      <c r="AF88" s="27">
        <v>230</v>
      </c>
      <c r="AG88" s="58">
        <v>4260</v>
      </c>
      <c r="AH88" s="107">
        <v>2708</v>
      </c>
      <c r="AI88" s="27">
        <v>220</v>
      </c>
      <c r="AJ88" s="58">
        <v>4100</v>
      </c>
      <c r="AK88" s="107">
        <v>2648.8</v>
      </c>
      <c r="AL88" s="27">
        <v>343</v>
      </c>
      <c r="AM88" s="58">
        <v>5636</v>
      </c>
      <c r="AN88" s="107">
        <v>4033.6</v>
      </c>
      <c r="AO88" s="27">
        <v>267</v>
      </c>
      <c r="AP88" s="58">
        <v>4404</v>
      </c>
      <c r="AQ88" s="107">
        <v>3162.4</v>
      </c>
      <c r="AR88" s="27">
        <v>180</v>
      </c>
      <c r="AS88" s="58">
        <v>4240</v>
      </c>
      <c r="AT88" s="107">
        <v>2117.6</v>
      </c>
      <c r="AU88" s="54">
        <f t="shared" si="12"/>
        <v>3130</v>
      </c>
      <c r="AV88" s="63">
        <f t="shared" si="13"/>
        <v>55240</v>
      </c>
      <c r="AW88" s="55">
        <f t="shared" si="14"/>
        <v>36796.799999999996</v>
      </c>
      <c r="AX88" s="54">
        <f t="shared" si="15"/>
        <v>260.83333333333331</v>
      </c>
      <c r="AY88" s="63">
        <f t="shared" si="16"/>
        <v>21.736111111111111</v>
      </c>
      <c r="AZ88" s="55">
        <f t="shared" si="17"/>
        <v>3066.3999999999996</v>
      </c>
      <c r="BA88" s="10">
        <v>370</v>
      </c>
      <c r="BB88" s="15">
        <v>6240</v>
      </c>
      <c r="BC88" s="11">
        <v>4269.6000000000004</v>
      </c>
      <c r="BD88" s="10">
        <v>130</v>
      </c>
      <c r="BE88" s="15">
        <v>2400</v>
      </c>
      <c r="BF88" s="11">
        <v>1620</v>
      </c>
      <c r="BG88" s="10">
        <v>310</v>
      </c>
      <c r="BH88" s="15">
        <v>5520</v>
      </c>
      <c r="BI88" s="11">
        <v>3657.6000000000004</v>
      </c>
      <c r="BJ88" s="10">
        <v>310</v>
      </c>
      <c r="BK88" s="15">
        <v>5180</v>
      </c>
      <c r="BL88" s="11">
        <v>3728.8</v>
      </c>
      <c r="BM88" s="44">
        <v>100</v>
      </c>
      <c r="BN88" s="42">
        <v>2100</v>
      </c>
      <c r="BO88" s="45">
        <v>1168.8</v>
      </c>
      <c r="BP88" s="44">
        <v>50</v>
      </c>
      <c r="BQ88" s="42">
        <v>660</v>
      </c>
      <c r="BR88" s="45">
        <v>508.8</v>
      </c>
      <c r="BS88" s="44">
        <v>270</v>
      </c>
      <c r="BT88" s="42">
        <v>5040</v>
      </c>
      <c r="BU88" s="112">
        <v>3177.6</v>
      </c>
      <c r="BV88" s="115">
        <v>120</v>
      </c>
      <c r="BW88" s="116">
        <v>1793</v>
      </c>
      <c r="BX88" s="112">
        <v>1355.6399999999999</v>
      </c>
      <c r="BY88" s="115">
        <v>210</v>
      </c>
      <c r="BZ88" s="116">
        <v>3420</v>
      </c>
      <c r="CA88" s="112">
        <v>2452.8000000000002</v>
      </c>
      <c r="CB88" s="115">
        <v>200</v>
      </c>
      <c r="CC88" s="116">
        <v>3600</v>
      </c>
      <c r="CD88" s="112">
        <v>2358.4</v>
      </c>
      <c r="CE88" s="115">
        <v>160</v>
      </c>
      <c r="CF88" s="116">
        <v>2540</v>
      </c>
      <c r="CG88" s="112">
        <v>1832.8</v>
      </c>
      <c r="CH88" s="115">
        <v>65</v>
      </c>
      <c r="CI88" s="116">
        <v>1120</v>
      </c>
      <c r="CJ88" s="112">
        <v>654.79999999999995</v>
      </c>
      <c r="CK88" s="54">
        <f t="shared" si="18"/>
        <v>2295</v>
      </c>
      <c r="CL88" s="63">
        <f t="shared" si="19"/>
        <v>39613</v>
      </c>
      <c r="CM88" s="55">
        <f t="shared" si="20"/>
        <v>26785.639999999996</v>
      </c>
      <c r="CN88" s="54">
        <f t="shared" si="21"/>
        <v>191.25</v>
      </c>
      <c r="CO88" s="63">
        <f t="shared" si="22"/>
        <v>3301.0833333333335</v>
      </c>
      <c r="CP88" s="172">
        <f t="shared" si="23"/>
        <v>2232.1366666666663</v>
      </c>
      <c r="CQ88" s="151">
        <v>150</v>
      </c>
      <c r="CR88" s="152">
        <v>2680</v>
      </c>
      <c r="CS88" s="97">
        <v>1799.2</v>
      </c>
      <c r="CT88" s="27">
        <v>68</v>
      </c>
      <c r="CU88" s="58">
        <v>966</v>
      </c>
      <c r="CV88" s="12">
        <v>766.24</v>
      </c>
      <c r="CW88" s="27"/>
      <c r="CX88" s="58"/>
      <c r="CY88" s="98"/>
      <c r="CZ88" s="27"/>
      <c r="DA88" s="58"/>
      <c r="DB88" s="12"/>
      <c r="DC88" s="27"/>
      <c r="DD88" s="58"/>
      <c r="DE88" s="12"/>
      <c r="DF88" s="27"/>
      <c r="DG88" s="58"/>
      <c r="DH88" s="12"/>
      <c r="DI88" s="27"/>
      <c r="DJ88" s="58"/>
      <c r="DK88" s="107"/>
      <c r="DL88" s="27"/>
      <c r="DM88" s="58"/>
      <c r="DN88" s="107"/>
      <c r="DO88" s="27"/>
      <c r="DP88" s="58"/>
      <c r="DQ88" s="107"/>
      <c r="DR88" s="27"/>
      <c r="DS88" s="58"/>
      <c r="DT88" s="107"/>
      <c r="DU88" s="27"/>
      <c r="DV88" s="58"/>
      <c r="DW88" s="107"/>
      <c r="DX88" s="27"/>
      <c r="DY88" s="58"/>
      <c r="DZ88" s="107"/>
    </row>
    <row r="89" spans="1:130" s="2" customFormat="1" ht="34.9" customHeight="1" x14ac:dyDescent="0.6">
      <c r="A89" s="5">
        <v>86</v>
      </c>
      <c r="B89" s="21" t="s">
        <v>278</v>
      </c>
      <c r="C89" s="16" t="s">
        <v>279</v>
      </c>
      <c r="D89" s="15" t="s">
        <v>280</v>
      </c>
      <c r="E89" s="14" t="s">
        <v>281</v>
      </c>
      <c r="F89" s="7" t="s">
        <v>150</v>
      </c>
      <c r="G89" s="18" t="s">
        <v>889</v>
      </c>
      <c r="H89" s="18" t="s">
        <v>890</v>
      </c>
      <c r="I89" s="14" t="s">
        <v>891</v>
      </c>
      <c r="J89" s="49" t="s">
        <v>125</v>
      </c>
      <c r="K89" s="27">
        <v>520</v>
      </c>
      <c r="L89" s="58">
        <v>7800</v>
      </c>
      <c r="M89" s="78">
        <v>5754</v>
      </c>
      <c r="N89" s="27">
        <v>525</v>
      </c>
      <c r="O89" s="58">
        <v>8110</v>
      </c>
      <c r="P89" s="104">
        <v>5879.5999999999995</v>
      </c>
      <c r="Q89" s="27">
        <v>585</v>
      </c>
      <c r="R89" s="58">
        <v>8670</v>
      </c>
      <c r="S89" s="98">
        <v>6632</v>
      </c>
      <c r="T89" s="27">
        <v>425</v>
      </c>
      <c r="U89" s="58">
        <v>6260</v>
      </c>
      <c r="V89" s="12">
        <v>4824.3999999999996</v>
      </c>
      <c r="W89" s="27">
        <v>425</v>
      </c>
      <c r="X89" s="58">
        <v>6500</v>
      </c>
      <c r="Y89" s="107">
        <v>4754.3999999999996</v>
      </c>
      <c r="Z89" s="27">
        <v>569</v>
      </c>
      <c r="AA89" s="58">
        <v>8768</v>
      </c>
      <c r="AB89" s="107">
        <v>6479.6</v>
      </c>
      <c r="AC89" s="27">
        <v>461</v>
      </c>
      <c r="AD89" s="58">
        <v>6662</v>
      </c>
      <c r="AE89" s="107">
        <v>5127.2</v>
      </c>
      <c r="AF89" s="27">
        <v>516</v>
      </c>
      <c r="AG89" s="58">
        <v>8274</v>
      </c>
      <c r="AH89" s="107">
        <v>5803.76</v>
      </c>
      <c r="AI89" s="27">
        <v>526</v>
      </c>
      <c r="AJ89" s="58">
        <v>8302</v>
      </c>
      <c r="AK89" s="107">
        <v>6046.48</v>
      </c>
      <c r="AL89" s="27">
        <v>580</v>
      </c>
      <c r="AM89" s="58">
        <v>9610</v>
      </c>
      <c r="AN89" s="107">
        <v>6653.5999999999995</v>
      </c>
      <c r="AO89" s="27">
        <v>400</v>
      </c>
      <c r="AP89" s="58">
        <v>5990</v>
      </c>
      <c r="AQ89" s="107">
        <v>4484.7999999999993</v>
      </c>
      <c r="AR89" s="27">
        <v>651</v>
      </c>
      <c r="AS89" s="58">
        <v>9900</v>
      </c>
      <c r="AT89" s="107">
        <v>7266.4</v>
      </c>
      <c r="AU89" s="54">
        <f t="shared" si="12"/>
        <v>6183</v>
      </c>
      <c r="AV89" s="63">
        <f t="shared" si="13"/>
        <v>94846</v>
      </c>
      <c r="AW89" s="55">
        <f t="shared" si="14"/>
        <v>69706.239999999991</v>
      </c>
      <c r="AX89" s="54">
        <f t="shared" si="15"/>
        <v>515.25</v>
      </c>
      <c r="AY89" s="63">
        <f t="shared" si="16"/>
        <v>42.9375</v>
      </c>
      <c r="AZ89" s="55">
        <f t="shared" si="17"/>
        <v>5808.8533333333326</v>
      </c>
      <c r="BA89" s="10">
        <v>528</v>
      </c>
      <c r="BB89" s="15">
        <v>8410</v>
      </c>
      <c r="BC89" s="11">
        <v>5942.7999999999993</v>
      </c>
      <c r="BD89" s="10">
        <v>518</v>
      </c>
      <c r="BE89" s="15">
        <v>7750</v>
      </c>
      <c r="BF89" s="11">
        <v>5668.4</v>
      </c>
      <c r="BG89" s="10">
        <v>660</v>
      </c>
      <c r="BH89" s="15">
        <v>9980</v>
      </c>
      <c r="BI89" s="11">
        <v>7390.4000000000005</v>
      </c>
      <c r="BJ89" s="10">
        <v>435</v>
      </c>
      <c r="BK89" s="15">
        <v>7230</v>
      </c>
      <c r="BL89" s="11">
        <v>4724.3999999999996</v>
      </c>
      <c r="BM89" s="44">
        <v>440</v>
      </c>
      <c r="BN89" s="42">
        <v>7100</v>
      </c>
      <c r="BO89" s="45">
        <v>5145.2</v>
      </c>
      <c r="BP89" s="44">
        <v>465</v>
      </c>
      <c r="BQ89" s="42">
        <v>7140</v>
      </c>
      <c r="BR89" s="45">
        <v>5298.8</v>
      </c>
      <c r="BS89" s="44">
        <v>525</v>
      </c>
      <c r="BT89" s="42">
        <v>8590</v>
      </c>
      <c r="BU89" s="112">
        <v>6047.2000000000007</v>
      </c>
      <c r="BV89" s="115">
        <v>531</v>
      </c>
      <c r="BW89" s="116">
        <v>8262</v>
      </c>
      <c r="BX89" s="112">
        <v>6000.9600000000009</v>
      </c>
      <c r="BY89" s="115">
        <v>514</v>
      </c>
      <c r="BZ89" s="116">
        <v>8176</v>
      </c>
      <c r="CA89" s="112">
        <v>5916.24</v>
      </c>
      <c r="CB89" s="115">
        <v>610</v>
      </c>
      <c r="CC89" s="116">
        <v>10290</v>
      </c>
      <c r="CD89" s="112">
        <v>7165.6</v>
      </c>
      <c r="CE89" s="115">
        <v>485</v>
      </c>
      <c r="CF89" s="116">
        <v>8010</v>
      </c>
      <c r="CG89" s="112">
        <v>5538.4</v>
      </c>
      <c r="CH89" s="115">
        <v>580</v>
      </c>
      <c r="CI89" s="116">
        <v>9160</v>
      </c>
      <c r="CJ89" s="112">
        <v>6591.1999999999989</v>
      </c>
      <c r="CK89" s="54">
        <f t="shared" si="18"/>
        <v>6291</v>
      </c>
      <c r="CL89" s="63">
        <f t="shared" si="19"/>
        <v>100098</v>
      </c>
      <c r="CM89" s="55">
        <f t="shared" si="20"/>
        <v>71429.599999999991</v>
      </c>
      <c r="CN89" s="54">
        <f t="shared" si="21"/>
        <v>524.25</v>
      </c>
      <c r="CO89" s="63">
        <f t="shared" si="22"/>
        <v>8341.5</v>
      </c>
      <c r="CP89" s="172">
        <f t="shared" si="23"/>
        <v>5952.4666666666662</v>
      </c>
      <c r="CQ89" s="151">
        <v>600</v>
      </c>
      <c r="CR89" s="152">
        <v>9310</v>
      </c>
      <c r="CS89" s="97">
        <v>6991.9999999999991</v>
      </c>
      <c r="CT89" s="27">
        <v>565</v>
      </c>
      <c r="CU89" s="58">
        <v>8330</v>
      </c>
      <c r="CV89" s="12">
        <v>6508</v>
      </c>
      <c r="CW89" s="27"/>
      <c r="CX89" s="58"/>
      <c r="CY89" s="98"/>
      <c r="CZ89" s="27"/>
      <c r="DA89" s="58"/>
      <c r="DB89" s="12"/>
      <c r="DC89" s="27"/>
      <c r="DD89" s="58"/>
      <c r="DE89" s="12"/>
      <c r="DF89" s="27"/>
      <c r="DG89" s="58"/>
      <c r="DH89" s="12"/>
      <c r="DI89" s="27"/>
      <c r="DJ89" s="58"/>
      <c r="DK89" s="107"/>
      <c r="DL89" s="27"/>
      <c r="DM89" s="58"/>
      <c r="DN89" s="107"/>
      <c r="DO89" s="27"/>
      <c r="DP89" s="58"/>
      <c r="DQ89" s="107"/>
      <c r="DR89" s="27"/>
      <c r="DS89" s="58"/>
      <c r="DT89" s="107"/>
      <c r="DU89" s="27"/>
      <c r="DV89" s="58"/>
      <c r="DW89" s="107"/>
      <c r="DX89" s="27"/>
      <c r="DY89" s="58"/>
      <c r="DZ89" s="107"/>
    </row>
    <row r="90" spans="1:130" s="2" customFormat="1" ht="34.9" customHeight="1" x14ac:dyDescent="0.6">
      <c r="A90" s="5">
        <v>87</v>
      </c>
      <c r="B90" s="150">
        <v>126</v>
      </c>
      <c r="C90" s="22">
        <v>126</v>
      </c>
      <c r="D90" s="15" t="s">
        <v>282</v>
      </c>
      <c r="E90" s="14" t="s">
        <v>91</v>
      </c>
      <c r="F90" s="7" t="s">
        <v>150</v>
      </c>
      <c r="G90" s="18" t="s">
        <v>892</v>
      </c>
      <c r="H90" s="18" t="s">
        <v>893</v>
      </c>
      <c r="I90" s="14" t="s">
        <v>894</v>
      </c>
      <c r="J90" s="49" t="s">
        <v>125</v>
      </c>
      <c r="K90" s="27">
        <v>50</v>
      </c>
      <c r="L90" s="58">
        <v>700</v>
      </c>
      <c r="M90" s="78">
        <v>448</v>
      </c>
      <c r="N90" s="27">
        <v>50</v>
      </c>
      <c r="O90" s="58">
        <v>700</v>
      </c>
      <c r="P90" s="49">
        <v>448</v>
      </c>
      <c r="Q90" s="27">
        <v>50</v>
      </c>
      <c r="R90" s="58">
        <v>700</v>
      </c>
      <c r="S90" s="98">
        <v>448</v>
      </c>
      <c r="T90" s="27">
        <v>40</v>
      </c>
      <c r="U90" s="58">
        <v>560</v>
      </c>
      <c r="V90" s="12">
        <v>358.40000000000003</v>
      </c>
      <c r="W90" s="27">
        <v>102</v>
      </c>
      <c r="X90" s="58">
        <v>1480</v>
      </c>
      <c r="Y90" s="12">
        <v>924</v>
      </c>
      <c r="Z90" s="27">
        <v>50</v>
      </c>
      <c r="AA90" s="58">
        <v>700</v>
      </c>
      <c r="AB90" s="12">
        <v>448</v>
      </c>
      <c r="AC90" s="27">
        <v>105</v>
      </c>
      <c r="AD90" s="58">
        <v>1600</v>
      </c>
      <c r="AE90" s="107">
        <v>966</v>
      </c>
      <c r="AF90" s="27">
        <v>115</v>
      </c>
      <c r="AG90" s="58">
        <v>2000</v>
      </c>
      <c r="AH90" s="107">
        <v>1106</v>
      </c>
      <c r="AI90" s="27">
        <v>75</v>
      </c>
      <c r="AJ90" s="58">
        <v>1180</v>
      </c>
      <c r="AK90" s="107">
        <v>697.2</v>
      </c>
      <c r="AL90" s="27">
        <v>85</v>
      </c>
      <c r="AM90" s="58">
        <v>1320</v>
      </c>
      <c r="AN90" s="107">
        <v>786.80000000000007</v>
      </c>
      <c r="AO90" s="27">
        <v>10</v>
      </c>
      <c r="AP90" s="58">
        <v>400</v>
      </c>
      <c r="AQ90" s="107">
        <v>140</v>
      </c>
      <c r="AR90" s="27">
        <v>102</v>
      </c>
      <c r="AS90" s="58">
        <v>1480</v>
      </c>
      <c r="AT90" s="107">
        <v>924</v>
      </c>
      <c r="AU90" s="54">
        <f t="shared" si="12"/>
        <v>834</v>
      </c>
      <c r="AV90" s="63">
        <f t="shared" si="13"/>
        <v>12820</v>
      </c>
      <c r="AW90" s="55">
        <f t="shared" si="14"/>
        <v>7694.4</v>
      </c>
      <c r="AX90" s="54">
        <f t="shared" si="15"/>
        <v>69.5</v>
      </c>
      <c r="AY90" s="63">
        <f t="shared" si="16"/>
        <v>5.791666666666667</v>
      </c>
      <c r="AZ90" s="55">
        <f t="shared" si="17"/>
        <v>641.19999999999993</v>
      </c>
      <c r="BA90" s="10">
        <v>55</v>
      </c>
      <c r="BB90" s="15">
        <v>900</v>
      </c>
      <c r="BC90" s="11">
        <v>518</v>
      </c>
      <c r="BD90" s="10">
        <v>60</v>
      </c>
      <c r="BE90" s="15">
        <v>1100</v>
      </c>
      <c r="BF90" s="11">
        <v>588</v>
      </c>
      <c r="BG90" s="10">
        <v>103</v>
      </c>
      <c r="BH90" s="15">
        <v>1520</v>
      </c>
      <c r="BI90" s="11">
        <v>938</v>
      </c>
      <c r="BJ90" s="10">
        <v>62</v>
      </c>
      <c r="BK90" s="15">
        <v>1180</v>
      </c>
      <c r="BL90" s="11">
        <v>616</v>
      </c>
      <c r="BM90" s="44">
        <v>80</v>
      </c>
      <c r="BN90" s="42">
        <v>1120</v>
      </c>
      <c r="BO90" s="45">
        <v>716.8</v>
      </c>
      <c r="BP90" s="44">
        <v>55</v>
      </c>
      <c r="BQ90" s="42">
        <v>900</v>
      </c>
      <c r="BR90" s="45">
        <v>518</v>
      </c>
      <c r="BS90" s="44">
        <v>90</v>
      </c>
      <c r="BT90" s="42">
        <v>1520</v>
      </c>
      <c r="BU90" s="112">
        <v>856.8</v>
      </c>
      <c r="BV90" s="115">
        <v>95</v>
      </c>
      <c r="BW90" s="116">
        <v>1690</v>
      </c>
      <c r="BX90" s="112">
        <v>972.40000000000009</v>
      </c>
      <c r="BY90" s="115">
        <v>50</v>
      </c>
      <c r="BZ90" s="116">
        <v>920</v>
      </c>
      <c r="CA90" s="112">
        <v>559.20000000000005</v>
      </c>
      <c r="CB90" s="115">
        <v>105</v>
      </c>
      <c r="CC90" s="116">
        <v>1700</v>
      </c>
      <c r="CD90" s="112">
        <v>1036.8</v>
      </c>
      <c r="CE90" s="115">
        <v>90</v>
      </c>
      <c r="CF90" s="116">
        <v>1580</v>
      </c>
      <c r="CG90" s="112">
        <v>988.40000000000009</v>
      </c>
      <c r="CH90" s="115">
        <v>50</v>
      </c>
      <c r="CI90" s="116">
        <v>780</v>
      </c>
      <c r="CJ90" s="112">
        <v>549.20000000000005</v>
      </c>
      <c r="CK90" s="54">
        <f t="shared" si="18"/>
        <v>895</v>
      </c>
      <c r="CL90" s="63">
        <f t="shared" si="19"/>
        <v>14910</v>
      </c>
      <c r="CM90" s="55">
        <f t="shared" si="20"/>
        <v>8857.6</v>
      </c>
      <c r="CN90" s="54">
        <f t="shared" si="21"/>
        <v>74.583333333333329</v>
      </c>
      <c r="CO90" s="63">
        <f t="shared" si="22"/>
        <v>1242.5</v>
      </c>
      <c r="CP90" s="172">
        <f t="shared" si="23"/>
        <v>738.13333333333333</v>
      </c>
      <c r="CQ90" s="151">
        <v>32</v>
      </c>
      <c r="CR90" s="152">
        <v>470</v>
      </c>
      <c r="CS90" s="97">
        <v>342.4</v>
      </c>
      <c r="CT90" s="27">
        <v>80</v>
      </c>
      <c r="CU90" s="58">
        <v>1160</v>
      </c>
      <c r="CV90" s="12">
        <v>878.80000000000007</v>
      </c>
      <c r="CW90" s="27"/>
      <c r="CX90" s="58"/>
      <c r="CY90" s="98"/>
      <c r="CZ90" s="27"/>
      <c r="DA90" s="58"/>
      <c r="DB90" s="12"/>
      <c r="DC90" s="27"/>
      <c r="DD90" s="58"/>
      <c r="DE90" s="107"/>
      <c r="DF90" s="27"/>
      <c r="DG90" s="58"/>
      <c r="DH90" s="12"/>
      <c r="DI90" s="27"/>
      <c r="DJ90" s="58"/>
      <c r="DK90" s="107"/>
      <c r="DL90" s="27"/>
      <c r="DM90" s="58"/>
      <c r="DN90" s="107"/>
      <c r="DO90" s="27"/>
      <c r="DP90" s="58"/>
      <c r="DQ90" s="107"/>
      <c r="DR90" s="27"/>
      <c r="DS90" s="58"/>
      <c r="DT90" s="107"/>
      <c r="DU90" s="27"/>
      <c r="DV90" s="58"/>
      <c r="DW90" s="107"/>
      <c r="DX90" s="27"/>
      <c r="DY90" s="58"/>
      <c r="DZ90" s="107"/>
    </row>
    <row r="91" spans="1:130" s="2" customFormat="1" ht="34.9" customHeight="1" x14ac:dyDescent="0.6">
      <c r="A91" s="5">
        <v>88</v>
      </c>
      <c r="B91" s="21" t="s">
        <v>285</v>
      </c>
      <c r="C91" s="16" t="s">
        <v>286</v>
      </c>
      <c r="D91" s="15" t="s">
        <v>49</v>
      </c>
      <c r="E91" s="14" t="s">
        <v>50</v>
      </c>
      <c r="F91" s="7" t="s">
        <v>150</v>
      </c>
      <c r="G91" s="18" t="s">
        <v>898</v>
      </c>
      <c r="H91" s="18" t="s">
        <v>899</v>
      </c>
      <c r="I91" s="14" t="s">
        <v>900</v>
      </c>
      <c r="J91" s="49" t="s">
        <v>125</v>
      </c>
      <c r="K91" s="27">
        <v>752</v>
      </c>
      <c r="L91" s="58">
        <v>10638</v>
      </c>
      <c r="M91" s="78">
        <v>8438.7999999999993</v>
      </c>
      <c r="N91" s="27">
        <v>707</v>
      </c>
      <c r="O91" s="58">
        <v>10082</v>
      </c>
      <c r="P91" s="104">
        <v>7836.4</v>
      </c>
      <c r="Q91" s="27">
        <v>727</v>
      </c>
      <c r="R91" s="58">
        <v>10024</v>
      </c>
      <c r="S91" s="98">
        <v>7991.2</v>
      </c>
      <c r="T91" s="27">
        <v>698</v>
      </c>
      <c r="U91" s="58">
        <v>10056</v>
      </c>
      <c r="V91" s="107">
        <v>7813.2000000000007</v>
      </c>
      <c r="W91" s="27">
        <v>672</v>
      </c>
      <c r="X91" s="58">
        <v>9024</v>
      </c>
      <c r="Y91" s="12">
        <v>7472</v>
      </c>
      <c r="Z91" s="27">
        <v>639</v>
      </c>
      <c r="AA91" s="58">
        <v>9196</v>
      </c>
      <c r="AB91" s="107">
        <v>7148.4</v>
      </c>
      <c r="AC91" s="27">
        <v>779</v>
      </c>
      <c r="AD91" s="58">
        <v>10616</v>
      </c>
      <c r="AE91" s="107">
        <v>8496.4000000000015</v>
      </c>
      <c r="AF91" s="27">
        <v>670</v>
      </c>
      <c r="AG91" s="58">
        <v>9180</v>
      </c>
      <c r="AH91" s="107">
        <v>7397.2</v>
      </c>
      <c r="AI91" s="27">
        <v>650</v>
      </c>
      <c r="AJ91" s="58">
        <v>8760</v>
      </c>
      <c r="AK91" s="107">
        <v>7232</v>
      </c>
      <c r="AL91" s="27">
        <v>702</v>
      </c>
      <c r="AM91" s="58">
        <v>10344</v>
      </c>
      <c r="AN91" s="107">
        <v>7661.6</v>
      </c>
      <c r="AO91" s="27">
        <v>421</v>
      </c>
      <c r="AP91" s="58">
        <v>5972</v>
      </c>
      <c r="AQ91" s="107">
        <v>4544.8</v>
      </c>
      <c r="AR91" s="27">
        <v>615</v>
      </c>
      <c r="AS91" s="58">
        <v>8590</v>
      </c>
      <c r="AT91" s="107">
        <v>6606.8</v>
      </c>
      <c r="AU91" s="54">
        <f t="shared" si="12"/>
        <v>8032</v>
      </c>
      <c r="AV91" s="63">
        <f t="shared" si="13"/>
        <v>112482</v>
      </c>
      <c r="AW91" s="55">
        <f t="shared" si="14"/>
        <v>88638.800000000017</v>
      </c>
      <c r="AX91" s="54">
        <f t="shared" si="15"/>
        <v>669.33333333333337</v>
      </c>
      <c r="AY91" s="63">
        <f t="shared" si="16"/>
        <v>55.777777777777779</v>
      </c>
      <c r="AZ91" s="55">
        <f t="shared" si="17"/>
        <v>7386.5666666666684</v>
      </c>
      <c r="BA91" s="10">
        <v>510</v>
      </c>
      <c r="BB91" s="15">
        <v>7160</v>
      </c>
      <c r="BC91" s="11">
        <v>5629.4000000000005</v>
      </c>
      <c r="BD91" s="10">
        <v>540</v>
      </c>
      <c r="BE91" s="15">
        <v>7420</v>
      </c>
      <c r="BF91" s="11">
        <v>5663.6</v>
      </c>
      <c r="BG91" s="10">
        <v>675</v>
      </c>
      <c r="BH91" s="15">
        <v>9580</v>
      </c>
      <c r="BI91" s="11">
        <v>7362</v>
      </c>
      <c r="BJ91" s="10">
        <v>295</v>
      </c>
      <c r="BK91" s="15">
        <v>4690</v>
      </c>
      <c r="BL91" s="11">
        <v>3303.6000000000004</v>
      </c>
      <c r="BM91" s="44">
        <v>564</v>
      </c>
      <c r="BN91" s="42">
        <v>8590</v>
      </c>
      <c r="BO91" s="45">
        <v>6356.7999999999993</v>
      </c>
      <c r="BP91" s="44">
        <v>600</v>
      </c>
      <c r="BQ91" s="42">
        <v>8660</v>
      </c>
      <c r="BR91" s="45">
        <v>6715.2000000000016</v>
      </c>
      <c r="BS91" s="44">
        <v>520</v>
      </c>
      <c r="BT91" s="42">
        <v>7180</v>
      </c>
      <c r="BU91" s="112">
        <v>5877.2000000000007</v>
      </c>
      <c r="BV91" s="115">
        <v>546</v>
      </c>
      <c r="BW91" s="116">
        <v>7892</v>
      </c>
      <c r="BX91" s="112">
        <v>6245.7600000000011</v>
      </c>
      <c r="BY91" s="115">
        <v>573</v>
      </c>
      <c r="BZ91" s="116">
        <v>8516</v>
      </c>
      <c r="CA91" s="112">
        <v>6563.2000000000007</v>
      </c>
      <c r="CB91" s="115">
        <v>562</v>
      </c>
      <c r="CC91" s="116">
        <v>8434</v>
      </c>
      <c r="CD91" s="112">
        <v>6324</v>
      </c>
      <c r="CE91" s="115">
        <v>500</v>
      </c>
      <c r="CF91" s="116">
        <v>7060</v>
      </c>
      <c r="CG91" s="112">
        <v>5701.6</v>
      </c>
      <c r="CH91" s="115">
        <v>563</v>
      </c>
      <c r="CI91" s="116">
        <v>8936</v>
      </c>
      <c r="CJ91" s="112">
        <v>6513.6</v>
      </c>
      <c r="CK91" s="54">
        <f t="shared" si="18"/>
        <v>6448</v>
      </c>
      <c r="CL91" s="63">
        <f t="shared" si="19"/>
        <v>94118</v>
      </c>
      <c r="CM91" s="55">
        <f t="shared" si="20"/>
        <v>72255.960000000021</v>
      </c>
      <c r="CN91" s="54">
        <f t="shared" si="21"/>
        <v>537.33333333333337</v>
      </c>
      <c r="CO91" s="63">
        <f t="shared" si="22"/>
        <v>7843.166666666667</v>
      </c>
      <c r="CP91" s="172">
        <f t="shared" si="23"/>
        <v>6021.3300000000017</v>
      </c>
      <c r="CQ91" s="151">
        <v>545</v>
      </c>
      <c r="CR91" s="152">
        <v>7610</v>
      </c>
      <c r="CS91" s="97">
        <v>6202.4000000000005</v>
      </c>
      <c r="CT91" s="27">
        <v>525</v>
      </c>
      <c r="CU91" s="58">
        <v>8050</v>
      </c>
      <c r="CV91" s="107">
        <v>6066.8</v>
      </c>
      <c r="CW91" s="27"/>
      <c r="CX91" s="58"/>
      <c r="CY91" s="98"/>
      <c r="CZ91" s="27"/>
      <c r="DA91" s="58"/>
      <c r="DB91" s="12"/>
      <c r="DC91" s="27"/>
      <c r="DD91" s="58"/>
      <c r="DE91" s="107"/>
      <c r="DF91" s="27"/>
      <c r="DG91" s="58"/>
      <c r="DH91" s="12"/>
      <c r="DI91" s="27"/>
      <c r="DJ91" s="58"/>
      <c r="DK91" s="107"/>
      <c r="DL91" s="27"/>
      <c r="DM91" s="58"/>
      <c r="DN91" s="107"/>
      <c r="DO91" s="27"/>
      <c r="DP91" s="58"/>
      <c r="DQ91" s="107"/>
      <c r="DR91" s="27"/>
      <c r="DS91" s="58"/>
      <c r="DT91" s="107"/>
      <c r="DU91" s="27"/>
      <c r="DV91" s="58"/>
      <c r="DW91" s="107"/>
      <c r="DX91" s="27"/>
      <c r="DY91" s="58"/>
      <c r="DZ91" s="107"/>
    </row>
    <row r="92" spans="1:130" s="2" customFormat="1" ht="34.9" customHeight="1" x14ac:dyDescent="0.6">
      <c r="A92" s="5">
        <v>89</v>
      </c>
      <c r="B92" s="21" t="s">
        <v>287</v>
      </c>
      <c r="C92" s="16" t="s">
        <v>288</v>
      </c>
      <c r="D92" s="15" t="s">
        <v>49</v>
      </c>
      <c r="E92" s="14" t="s">
        <v>50</v>
      </c>
      <c r="F92" s="7" t="s">
        <v>150</v>
      </c>
      <c r="G92" s="18" t="s">
        <v>287</v>
      </c>
      <c r="H92" s="18" t="s">
        <v>901</v>
      </c>
      <c r="I92" s="14" t="s">
        <v>902</v>
      </c>
      <c r="J92" s="49" t="s">
        <v>125</v>
      </c>
      <c r="K92" s="27">
        <v>185</v>
      </c>
      <c r="L92" s="58">
        <v>2530</v>
      </c>
      <c r="M92" s="78">
        <v>1748.8</v>
      </c>
      <c r="N92" s="27">
        <v>180</v>
      </c>
      <c r="O92" s="58">
        <v>2520</v>
      </c>
      <c r="P92" s="104">
        <v>1612.8</v>
      </c>
      <c r="Q92" s="27">
        <v>248</v>
      </c>
      <c r="R92" s="58">
        <v>3472</v>
      </c>
      <c r="S92" s="98">
        <v>2222.08</v>
      </c>
      <c r="T92" s="27">
        <v>150</v>
      </c>
      <c r="U92" s="58">
        <v>2040</v>
      </c>
      <c r="V92" s="107">
        <v>1435.2</v>
      </c>
      <c r="W92" s="27">
        <v>150</v>
      </c>
      <c r="X92" s="58">
        <v>2100</v>
      </c>
      <c r="Y92" s="12">
        <v>1344</v>
      </c>
      <c r="Z92" s="27">
        <v>324</v>
      </c>
      <c r="AA92" s="58">
        <v>4476</v>
      </c>
      <c r="AB92" s="107">
        <v>2994.2400000000002</v>
      </c>
      <c r="AC92" s="27">
        <v>225</v>
      </c>
      <c r="AD92" s="58">
        <v>3150</v>
      </c>
      <c r="AE92" s="107">
        <v>2016</v>
      </c>
      <c r="AF92" s="27">
        <v>203</v>
      </c>
      <c r="AG92" s="58">
        <v>3408</v>
      </c>
      <c r="AH92" s="107">
        <v>2072.56</v>
      </c>
      <c r="AI92" s="27">
        <v>190</v>
      </c>
      <c r="AJ92" s="58">
        <v>2930</v>
      </c>
      <c r="AK92" s="107">
        <v>1960.4</v>
      </c>
      <c r="AL92" s="27">
        <v>220</v>
      </c>
      <c r="AM92" s="58">
        <v>3130</v>
      </c>
      <c r="AN92" s="107">
        <v>2340.8000000000002</v>
      </c>
      <c r="AO92" s="27">
        <v>193</v>
      </c>
      <c r="AP92" s="58">
        <v>2972</v>
      </c>
      <c r="AQ92" s="107">
        <v>1987.28</v>
      </c>
      <c r="AR92" s="27">
        <v>185</v>
      </c>
      <c r="AS92" s="58">
        <v>2410</v>
      </c>
      <c r="AT92" s="107">
        <v>1931.2</v>
      </c>
      <c r="AU92" s="54">
        <f t="shared" si="12"/>
        <v>2453</v>
      </c>
      <c r="AV92" s="63">
        <f t="shared" si="13"/>
        <v>35138</v>
      </c>
      <c r="AW92" s="55">
        <f t="shared" si="14"/>
        <v>23665.360000000001</v>
      </c>
      <c r="AX92" s="54">
        <f t="shared" si="15"/>
        <v>204.41666666666666</v>
      </c>
      <c r="AY92" s="63">
        <f t="shared" si="16"/>
        <v>17.034722222222221</v>
      </c>
      <c r="AZ92" s="55">
        <f t="shared" si="17"/>
        <v>1972.1133333333335</v>
      </c>
      <c r="BA92" s="10">
        <v>159</v>
      </c>
      <c r="BB92" s="15">
        <v>2946</v>
      </c>
      <c r="BC92" s="11">
        <v>1667.04</v>
      </c>
      <c r="BD92" s="10">
        <v>130</v>
      </c>
      <c r="BE92" s="15">
        <v>1940</v>
      </c>
      <c r="BF92" s="11">
        <v>1436</v>
      </c>
      <c r="BG92" s="10">
        <v>360</v>
      </c>
      <c r="BH92" s="15">
        <v>6220</v>
      </c>
      <c r="BI92" s="11">
        <v>3660</v>
      </c>
      <c r="BJ92" s="10">
        <v>0</v>
      </c>
      <c r="BK92" s="15">
        <v>0</v>
      </c>
      <c r="BL92" s="11">
        <v>0</v>
      </c>
      <c r="BM92" s="44">
        <v>60</v>
      </c>
      <c r="BN92" s="42">
        <v>1560</v>
      </c>
      <c r="BO92" s="45">
        <v>780</v>
      </c>
      <c r="BP92" s="44">
        <v>160</v>
      </c>
      <c r="BQ92" s="42">
        <v>2120</v>
      </c>
      <c r="BR92" s="45">
        <v>1616</v>
      </c>
      <c r="BS92" s="44">
        <v>140</v>
      </c>
      <c r="BT92" s="42">
        <v>2350</v>
      </c>
      <c r="BU92" s="112">
        <v>1330</v>
      </c>
      <c r="BV92" s="115">
        <v>63</v>
      </c>
      <c r="BW92" s="116">
        <v>1176</v>
      </c>
      <c r="BX92" s="112">
        <v>774.48</v>
      </c>
      <c r="BY92" s="115">
        <v>143</v>
      </c>
      <c r="BZ92" s="116">
        <v>2656</v>
      </c>
      <c r="CA92" s="112">
        <v>1624</v>
      </c>
      <c r="CB92" s="115">
        <v>145</v>
      </c>
      <c r="CC92" s="116">
        <v>3530</v>
      </c>
      <c r="CD92" s="112">
        <v>1692.8</v>
      </c>
      <c r="CE92" s="115">
        <v>50</v>
      </c>
      <c r="CF92" s="116">
        <v>650</v>
      </c>
      <c r="CG92" s="112">
        <v>524</v>
      </c>
      <c r="CH92" s="115">
        <v>85</v>
      </c>
      <c r="CI92" s="116">
        <v>1070</v>
      </c>
      <c r="CJ92" s="112">
        <v>944</v>
      </c>
      <c r="CK92" s="54">
        <f t="shared" si="18"/>
        <v>1495</v>
      </c>
      <c r="CL92" s="63">
        <f t="shared" si="19"/>
        <v>26218</v>
      </c>
      <c r="CM92" s="55">
        <f t="shared" si="20"/>
        <v>16048.32</v>
      </c>
      <c r="CN92" s="54">
        <f t="shared" si="21"/>
        <v>124.58333333333333</v>
      </c>
      <c r="CO92" s="63">
        <f t="shared" si="22"/>
        <v>2184.8333333333335</v>
      </c>
      <c r="CP92" s="172">
        <f t="shared" si="23"/>
        <v>1337.36</v>
      </c>
      <c r="CQ92" s="151">
        <v>110</v>
      </c>
      <c r="CR92" s="152">
        <v>2210</v>
      </c>
      <c r="CS92" s="97">
        <v>1304</v>
      </c>
      <c r="CT92" s="27">
        <v>105</v>
      </c>
      <c r="CU92" s="58">
        <v>1410</v>
      </c>
      <c r="CV92" s="107">
        <v>1032</v>
      </c>
      <c r="CW92" s="27"/>
      <c r="CX92" s="58"/>
      <c r="CY92" s="98"/>
      <c r="CZ92" s="27"/>
      <c r="DA92" s="58"/>
      <c r="DB92" s="12"/>
      <c r="DC92" s="27"/>
      <c r="DD92" s="58"/>
      <c r="DE92" s="107"/>
      <c r="DF92" s="27"/>
      <c r="DG92" s="58"/>
      <c r="DH92" s="12"/>
      <c r="DI92" s="27"/>
      <c r="DJ92" s="58"/>
      <c r="DK92" s="107"/>
      <c r="DL92" s="27"/>
      <c r="DM92" s="58"/>
      <c r="DN92" s="107"/>
      <c r="DO92" s="27"/>
      <c r="DP92" s="58"/>
      <c r="DQ92" s="107"/>
      <c r="DR92" s="27"/>
      <c r="DS92" s="58"/>
      <c r="DT92" s="107"/>
      <c r="DU92" s="27"/>
      <c r="DV92" s="58"/>
      <c r="DW92" s="107"/>
      <c r="DX92" s="27"/>
      <c r="DY92" s="58"/>
      <c r="DZ92" s="107"/>
    </row>
    <row r="93" spans="1:130" s="2" customFormat="1" ht="34.9" customHeight="1" x14ac:dyDescent="0.6">
      <c r="A93" s="5">
        <v>90</v>
      </c>
      <c r="B93" s="21" t="s">
        <v>289</v>
      </c>
      <c r="C93" s="16" t="s">
        <v>290</v>
      </c>
      <c r="D93" s="15" t="s">
        <v>49</v>
      </c>
      <c r="E93" s="14" t="s">
        <v>50</v>
      </c>
      <c r="F93" s="7" t="s">
        <v>150</v>
      </c>
      <c r="G93" s="18" t="s">
        <v>903</v>
      </c>
      <c r="H93" s="18" t="s">
        <v>904</v>
      </c>
      <c r="I93" s="14" t="s">
        <v>905</v>
      </c>
      <c r="J93" s="49" t="s">
        <v>125</v>
      </c>
      <c r="K93" s="27">
        <v>420</v>
      </c>
      <c r="L93" s="58">
        <v>6200</v>
      </c>
      <c r="M93" s="78">
        <v>4168</v>
      </c>
      <c r="N93" s="27">
        <v>390</v>
      </c>
      <c r="O93" s="58">
        <v>5740</v>
      </c>
      <c r="P93" s="49">
        <v>3960</v>
      </c>
      <c r="Q93" s="27">
        <v>490</v>
      </c>
      <c r="R93" s="58">
        <v>7310</v>
      </c>
      <c r="S93" s="98">
        <v>5043.2000000000007</v>
      </c>
      <c r="T93" s="27">
        <v>508</v>
      </c>
      <c r="U93" s="58">
        <v>6962</v>
      </c>
      <c r="V93" s="107">
        <v>5225.2800000000007</v>
      </c>
      <c r="W93" s="27">
        <v>410</v>
      </c>
      <c r="X93" s="58">
        <v>5810</v>
      </c>
      <c r="Y93" s="107">
        <v>4235.6000000000004</v>
      </c>
      <c r="Z93" s="27">
        <v>500</v>
      </c>
      <c r="AA93" s="58">
        <v>7020</v>
      </c>
      <c r="AB93" s="12">
        <v>5118</v>
      </c>
      <c r="AC93" s="27">
        <v>480</v>
      </c>
      <c r="AD93" s="58">
        <v>6500</v>
      </c>
      <c r="AE93" s="107">
        <v>4858</v>
      </c>
      <c r="AF93" s="27">
        <v>462</v>
      </c>
      <c r="AG93" s="58">
        <v>6474</v>
      </c>
      <c r="AH93" s="107">
        <v>4798.8</v>
      </c>
      <c r="AI93" s="27">
        <v>455</v>
      </c>
      <c r="AJ93" s="58">
        <v>6410</v>
      </c>
      <c r="AK93" s="107">
        <v>4684.3999999999996</v>
      </c>
      <c r="AL93" s="27">
        <v>475</v>
      </c>
      <c r="AM93" s="58">
        <v>6510</v>
      </c>
      <c r="AN93" s="107">
        <v>4914.3999999999996</v>
      </c>
      <c r="AO93" s="27">
        <v>405</v>
      </c>
      <c r="AP93" s="58">
        <v>5630</v>
      </c>
      <c r="AQ93" s="107">
        <v>4135.2000000000007</v>
      </c>
      <c r="AR93" s="27">
        <v>435</v>
      </c>
      <c r="AS93" s="58">
        <v>6040</v>
      </c>
      <c r="AT93" s="107">
        <v>4419.2000000000007</v>
      </c>
      <c r="AU93" s="54">
        <f t="shared" si="12"/>
        <v>5430</v>
      </c>
      <c r="AV93" s="63">
        <f t="shared" si="13"/>
        <v>76606</v>
      </c>
      <c r="AW93" s="55">
        <f t="shared" si="14"/>
        <v>55560.08</v>
      </c>
      <c r="AX93" s="54">
        <f t="shared" si="15"/>
        <v>452.5</v>
      </c>
      <c r="AY93" s="63">
        <f t="shared" si="16"/>
        <v>37.708333333333336</v>
      </c>
      <c r="AZ93" s="55">
        <f t="shared" si="17"/>
        <v>4630.0066666666671</v>
      </c>
      <c r="BA93" s="10">
        <v>425</v>
      </c>
      <c r="BB93" s="15">
        <v>6040</v>
      </c>
      <c r="BC93" s="11">
        <v>4340.2000000000007</v>
      </c>
      <c r="BD93" s="10">
        <v>380</v>
      </c>
      <c r="BE93" s="15">
        <v>5320</v>
      </c>
      <c r="BF93" s="11">
        <v>3850.4</v>
      </c>
      <c r="BG93" s="10">
        <v>430</v>
      </c>
      <c r="BH93" s="15">
        <v>6110</v>
      </c>
      <c r="BI93" s="11">
        <v>4384.4000000000005</v>
      </c>
      <c r="BJ93" s="10">
        <v>415</v>
      </c>
      <c r="BK93" s="15">
        <v>5840</v>
      </c>
      <c r="BL93" s="11">
        <v>4341.2000000000007</v>
      </c>
      <c r="BM93" s="44">
        <v>370</v>
      </c>
      <c r="BN93" s="42">
        <v>5240</v>
      </c>
      <c r="BO93" s="45">
        <v>3892.4</v>
      </c>
      <c r="BP93" s="44">
        <v>370</v>
      </c>
      <c r="BQ93" s="42">
        <v>4990</v>
      </c>
      <c r="BR93" s="45">
        <v>3826.7999999999997</v>
      </c>
      <c r="BS93" s="44">
        <v>373</v>
      </c>
      <c r="BT93" s="42">
        <v>5080</v>
      </c>
      <c r="BU93" s="112">
        <v>3914.3999999999992</v>
      </c>
      <c r="BV93" s="115">
        <v>396</v>
      </c>
      <c r="BW93" s="116">
        <v>5602</v>
      </c>
      <c r="BX93" s="112">
        <v>4124.5600000000004</v>
      </c>
      <c r="BY93" s="115">
        <v>325</v>
      </c>
      <c r="BZ93" s="116">
        <v>4520</v>
      </c>
      <c r="CA93" s="112">
        <v>3403.2</v>
      </c>
      <c r="CB93" s="115">
        <v>425</v>
      </c>
      <c r="CC93" s="116">
        <v>6110</v>
      </c>
      <c r="CD93" s="112">
        <v>4455.9999999999991</v>
      </c>
      <c r="CE93" s="115">
        <v>360</v>
      </c>
      <c r="CF93" s="116">
        <v>5480</v>
      </c>
      <c r="CG93" s="112">
        <v>3893.5999999999995</v>
      </c>
      <c r="CH93" s="115">
        <v>465</v>
      </c>
      <c r="CI93" s="116">
        <v>6420</v>
      </c>
      <c r="CJ93" s="112">
        <v>4971.5999999999995</v>
      </c>
      <c r="CK93" s="54">
        <f t="shared" si="18"/>
        <v>4734</v>
      </c>
      <c r="CL93" s="63">
        <f t="shared" si="19"/>
        <v>66752</v>
      </c>
      <c r="CM93" s="55">
        <f t="shared" si="20"/>
        <v>49398.759999999995</v>
      </c>
      <c r="CN93" s="54">
        <f t="shared" si="21"/>
        <v>394.5</v>
      </c>
      <c r="CO93" s="63">
        <f t="shared" si="22"/>
        <v>5562.666666666667</v>
      </c>
      <c r="CP93" s="172">
        <f t="shared" si="23"/>
        <v>4116.5633333333326</v>
      </c>
      <c r="CQ93" s="151">
        <v>420</v>
      </c>
      <c r="CR93" s="152">
        <v>6270</v>
      </c>
      <c r="CS93" s="97">
        <v>4507.2</v>
      </c>
      <c r="CT93" s="27">
        <v>425</v>
      </c>
      <c r="CU93" s="58">
        <v>6030</v>
      </c>
      <c r="CV93" s="107">
        <v>4577.6000000000004</v>
      </c>
      <c r="CW93" s="27"/>
      <c r="CX93" s="58"/>
      <c r="CY93" s="98"/>
      <c r="CZ93" s="27"/>
      <c r="DA93" s="58"/>
      <c r="DB93" s="12"/>
      <c r="DC93" s="27"/>
      <c r="DD93" s="58"/>
      <c r="DE93" s="107"/>
      <c r="DF93" s="27"/>
      <c r="DG93" s="58"/>
      <c r="DH93" s="12"/>
      <c r="DI93" s="27"/>
      <c r="DJ93" s="58"/>
      <c r="DK93" s="107"/>
      <c r="DL93" s="27"/>
      <c r="DM93" s="58"/>
      <c r="DN93" s="107"/>
      <c r="DO93" s="27"/>
      <c r="DP93" s="58"/>
      <c r="DQ93" s="107"/>
      <c r="DR93" s="27"/>
      <c r="DS93" s="58"/>
      <c r="DT93" s="107"/>
      <c r="DU93" s="27"/>
      <c r="DV93" s="58"/>
      <c r="DW93" s="107"/>
      <c r="DX93" s="27"/>
      <c r="DY93" s="58"/>
      <c r="DZ93" s="107"/>
    </row>
    <row r="94" spans="1:130" s="2" customFormat="1" ht="34.9" customHeight="1" x14ac:dyDescent="0.6">
      <c r="A94" s="5">
        <v>91</v>
      </c>
      <c r="B94" s="21" t="s">
        <v>291</v>
      </c>
      <c r="C94" s="16" t="s">
        <v>292</v>
      </c>
      <c r="D94" s="15" t="s">
        <v>293</v>
      </c>
      <c r="E94" s="14" t="s">
        <v>50</v>
      </c>
      <c r="F94" s="7" t="s">
        <v>150</v>
      </c>
      <c r="G94" s="18" t="s">
        <v>906</v>
      </c>
      <c r="H94" s="18" t="s">
        <v>907</v>
      </c>
      <c r="I94" s="14" t="s">
        <v>908</v>
      </c>
      <c r="J94" s="49" t="s">
        <v>125</v>
      </c>
      <c r="K94" s="27">
        <v>52</v>
      </c>
      <c r="L94" s="58">
        <v>860</v>
      </c>
      <c r="M94" s="78">
        <v>559.20000000000005</v>
      </c>
      <c r="N94" s="27">
        <v>52</v>
      </c>
      <c r="O94" s="58">
        <v>850</v>
      </c>
      <c r="P94" s="49">
        <v>544.4</v>
      </c>
      <c r="Q94" s="27">
        <v>55</v>
      </c>
      <c r="R94" s="58">
        <v>840</v>
      </c>
      <c r="S94" s="98">
        <v>561.20000000000005</v>
      </c>
      <c r="T94" s="27">
        <v>103</v>
      </c>
      <c r="U94" s="58">
        <v>1660</v>
      </c>
      <c r="V94" s="107">
        <v>1104.8</v>
      </c>
      <c r="W94" s="27">
        <v>92</v>
      </c>
      <c r="X94" s="58">
        <v>1480</v>
      </c>
      <c r="Y94" s="107">
        <v>971.2</v>
      </c>
      <c r="Z94" s="27">
        <v>113</v>
      </c>
      <c r="AA94" s="58">
        <v>1630</v>
      </c>
      <c r="AB94" s="12">
        <v>1272</v>
      </c>
      <c r="AC94" s="27">
        <v>120</v>
      </c>
      <c r="AD94" s="58">
        <v>1770</v>
      </c>
      <c r="AE94" s="107">
        <v>1360</v>
      </c>
      <c r="AF94" s="27">
        <v>150</v>
      </c>
      <c r="AG94" s="58">
        <v>2250</v>
      </c>
      <c r="AH94" s="107">
        <v>1718.4</v>
      </c>
      <c r="AI94" s="27">
        <v>145</v>
      </c>
      <c r="AJ94" s="58">
        <v>2200</v>
      </c>
      <c r="AK94" s="107">
        <v>1643.2</v>
      </c>
      <c r="AL94" s="27">
        <v>125</v>
      </c>
      <c r="AM94" s="58">
        <v>1950</v>
      </c>
      <c r="AN94" s="107">
        <v>1436.4</v>
      </c>
      <c r="AO94" s="27">
        <v>115</v>
      </c>
      <c r="AP94" s="58">
        <v>1730</v>
      </c>
      <c r="AQ94" s="107">
        <v>1221.5999999999999</v>
      </c>
      <c r="AR94" s="27">
        <v>90</v>
      </c>
      <c r="AS94" s="58">
        <v>1400</v>
      </c>
      <c r="AT94" s="107">
        <v>991.2</v>
      </c>
      <c r="AU94" s="54">
        <f t="shared" si="12"/>
        <v>1212</v>
      </c>
      <c r="AV94" s="63">
        <f t="shared" si="13"/>
        <v>18620</v>
      </c>
      <c r="AW94" s="55">
        <f t="shared" si="14"/>
        <v>13383.600000000002</v>
      </c>
      <c r="AX94" s="54">
        <f t="shared" si="15"/>
        <v>101</v>
      </c>
      <c r="AY94" s="63">
        <f t="shared" si="16"/>
        <v>8.4166666666666661</v>
      </c>
      <c r="AZ94" s="55">
        <f t="shared" si="17"/>
        <v>1115.3000000000002</v>
      </c>
      <c r="BA94" s="10">
        <v>85</v>
      </c>
      <c r="BB94" s="15">
        <v>1480</v>
      </c>
      <c r="BC94" s="11">
        <v>917.2</v>
      </c>
      <c r="BD94" s="10">
        <v>90</v>
      </c>
      <c r="BE94" s="15">
        <v>1270</v>
      </c>
      <c r="BF94" s="11">
        <v>990</v>
      </c>
      <c r="BG94" s="10">
        <v>105</v>
      </c>
      <c r="BH94" s="15">
        <v>1590</v>
      </c>
      <c r="BI94" s="11">
        <v>1156</v>
      </c>
      <c r="BJ94" s="10">
        <v>30</v>
      </c>
      <c r="BK94" s="15">
        <v>530</v>
      </c>
      <c r="BL94" s="11">
        <v>324.40000000000003</v>
      </c>
      <c r="BM94" s="44">
        <v>100</v>
      </c>
      <c r="BN94" s="42">
        <v>1530</v>
      </c>
      <c r="BO94" s="45">
        <v>1072</v>
      </c>
      <c r="BP94" s="44">
        <v>103</v>
      </c>
      <c r="BQ94" s="42">
        <v>1530</v>
      </c>
      <c r="BR94" s="45">
        <v>1097.6000000000001</v>
      </c>
      <c r="BS94" s="44">
        <v>90</v>
      </c>
      <c r="BT94" s="42">
        <v>1300</v>
      </c>
      <c r="BU94" s="112">
        <v>944.40000000000009</v>
      </c>
      <c r="BV94" s="115">
        <v>141</v>
      </c>
      <c r="BW94" s="116">
        <v>2035</v>
      </c>
      <c r="BX94" s="112">
        <v>1503.8000000000002</v>
      </c>
      <c r="BY94" s="115">
        <v>109</v>
      </c>
      <c r="BZ94" s="116">
        <v>1506</v>
      </c>
      <c r="CA94" s="112">
        <v>1229.8400000000001</v>
      </c>
      <c r="CB94" s="115">
        <v>175</v>
      </c>
      <c r="CC94" s="116">
        <v>2640</v>
      </c>
      <c r="CD94" s="112">
        <v>1875.6000000000001</v>
      </c>
      <c r="CE94" s="115">
        <v>60</v>
      </c>
      <c r="CF94" s="116">
        <v>900</v>
      </c>
      <c r="CG94" s="112">
        <v>645.20000000000005</v>
      </c>
      <c r="CH94" s="115">
        <v>100</v>
      </c>
      <c r="CI94" s="116">
        <v>1520</v>
      </c>
      <c r="CJ94" s="112">
        <v>1063.2</v>
      </c>
      <c r="CK94" s="54">
        <f t="shared" si="18"/>
        <v>1188</v>
      </c>
      <c r="CL94" s="63">
        <f t="shared" si="19"/>
        <v>17831</v>
      </c>
      <c r="CM94" s="55">
        <f t="shared" si="20"/>
        <v>12819.240000000003</v>
      </c>
      <c r="CN94" s="54">
        <f t="shared" si="21"/>
        <v>99</v>
      </c>
      <c r="CO94" s="63">
        <f t="shared" si="22"/>
        <v>1485.9166666666667</v>
      </c>
      <c r="CP94" s="172">
        <f t="shared" si="23"/>
        <v>1068.2700000000002</v>
      </c>
      <c r="CQ94" s="151">
        <v>80</v>
      </c>
      <c r="CR94" s="152">
        <v>1120</v>
      </c>
      <c r="CS94" s="97">
        <v>867.6</v>
      </c>
      <c r="CT94" s="27">
        <v>70</v>
      </c>
      <c r="CU94" s="58">
        <v>1010</v>
      </c>
      <c r="CV94" s="12">
        <v>756.4</v>
      </c>
      <c r="CW94" s="27"/>
      <c r="CX94" s="58"/>
      <c r="CY94" s="98"/>
      <c r="CZ94" s="27"/>
      <c r="DA94" s="58"/>
      <c r="DB94" s="12"/>
      <c r="DC94" s="27"/>
      <c r="DD94" s="58"/>
      <c r="DE94" s="107"/>
      <c r="DF94" s="27"/>
      <c r="DG94" s="58"/>
      <c r="DH94" s="107"/>
      <c r="DI94" s="27"/>
      <c r="DJ94" s="58"/>
      <c r="DK94" s="107"/>
      <c r="DL94" s="27"/>
      <c r="DM94" s="58"/>
      <c r="DN94" s="107"/>
      <c r="DO94" s="27"/>
      <c r="DP94" s="58"/>
      <c r="DQ94" s="107"/>
      <c r="DR94" s="27"/>
      <c r="DS94" s="58"/>
      <c r="DT94" s="107"/>
      <c r="DU94" s="27"/>
      <c r="DV94" s="58"/>
      <c r="DW94" s="107"/>
      <c r="DX94" s="27"/>
      <c r="DY94" s="58"/>
      <c r="DZ94" s="107"/>
    </row>
    <row r="95" spans="1:130" s="2" customFormat="1" ht="34.9" customHeight="1" x14ac:dyDescent="0.6">
      <c r="A95" s="5">
        <v>92</v>
      </c>
      <c r="B95" s="21" t="s">
        <v>294</v>
      </c>
      <c r="C95" s="16" t="s">
        <v>295</v>
      </c>
      <c r="D95" s="15" t="s">
        <v>263</v>
      </c>
      <c r="E95" s="23" t="s">
        <v>264</v>
      </c>
      <c r="F95" s="7" t="s">
        <v>150</v>
      </c>
      <c r="G95" s="145" t="s">
        <v>645</v>
      </c>
      <c r="H95" s="145" t="s">
        <v>645</v>
      </c>
      <c r="I95" s="14" t="s">
        <v>909</v>
      </c>
      <c r="J95" s="49" t="s">
        <v>125</v>
      </c>
      <c r="K95" s="27">
        <v>225</v>
      </c>
      <c r="L95" s="58">
        <v>3040</v>
      </c>
      <c r="M95" s="78">
        <v>2165.1999999999998</v>
      </c>
      <c r="N95" s="27">
        <v>296</v>
      </c>
      <c r="O95" s="58">
        <v>4100</v>
      </c>
      <c r="P95" s="49">
        <v>2950.4</v>
      </c>
      <c r="Q95" s="27">
        <v>465</v>
      </c>
      <c r="R95" s="58">
        <v>6340</v>
      </c>
      <c r="S95" s="98">
        <v>4647.6000000000004</v>
      </c>
      <c r="T95" s="27">
        <v>300</v>
      </c>
      <c r="U95" s="58">
        <v>4460</v>
      </c>
      <c r="V95" s="12">
        <v>2871.2</v>
      </c>
      <c r="W95" s="27">
        <v>333</v>
      </c>
      <c r="X95" s="58">
        <v>4940</v>
      </c>
      <c r="Y95" s="107">
        <v>3140.4</v>
      </c>
      <c r="Z95" s="27">
        <v>198</v>
      </c>
      <c r="AA95" s="58">
        <v>2916</v>
      </c>
      <c r="AB95" s="12">
        <v>1972</v>
      </c>
      <c r="AC95" s="27">
        <v>200</v>
      </c>
      <c r="AD95" s="58">
        <v>2980</v>
      </c>
      <c r="AE95" s="107">
        <v>1928</v>
      </c>
      <c r="AF95" s="27">
        <v>150</v>
      </c>
      <c r="AG95" s="58">
        <v>2290</v>
      </c>
      <c r="AH95" s="107">
        <v>1482.8000000000002</v>
      </c>
      <c r="AI95" s="27">
        <v>65</v>
      </c>
      <c r="AJ95" s="58">
        <v>1090</v>
      </c>
      <c r="AK95" s="107">
        <v>754.4</v>
      </c>
      <c r="AL95" s="27">
        <v>188</v>
      </c>
      <c r="AM95" s="58">
        <v>2926</v>
      </c>
      <c r="AN95" s="107">
        <v>1895.2</v>
      </c>
      <c r="AO95" s="27">
        <v>135</v>
      </c>
      <c r="AP95" s="58">
        <v>1900</v>
      </c>
      <c r="AQ95" s="107">
        <v>1417.2</v>
      </c>
      <c r="AR95" s="27">
        <v>210</v>
      </c>
      <c r="AS95" s="58">
        <v>3040</v>
      </c>
      <c r="AT95" s="107">
        <v>2175.1999999999998</v>
      </c>
      <c r="AU95" s="54">
        <f t="shared" si="12"/>
        <v>2765</v>
      </c>
      <c r="AV95" s="63">
        <f t="shared" si="13"/>
        <v>40022</v>
      </c>
      <c r="AW95" s="55">
        <f t="shared" si="14"/>
        <v>27399.600000000006</v>
      </c>
      <c r="AX95" s="54">
        <f t="shared" si="15"/>
        <v>230.41666666666666</v>
      </c>
      <c r="AY95" s="63">
        <f t="shared" si="16"/>
        <v>19.201388888888889</v>
      </c>
      <c r="AZ95" s="55">
        <f t="shared" si="17"/>
        <v>2283.3000000000006</v>
      </c>
      <c r="BA95" s="10">
        <v>183</v>
      </c>
      <c r="BB95" s="15">
        <v>2920</v>
      </c>
      <c r="BC95" s="11">
        <v>1897.6</v>
      </c>
      <c r="BD95" s="10">
        <v>160</v>
      </c>
      <c r="BE95" s="15">
        <v>2510</v>
      </c>
      <c r="BF95" s="11">
        <v>1691.6</v>
      </c>
      <c r="BG95" s="10">
        <v>700</v>
      </c>
      <c r="BH95" s="15">
        <v>11420</v>
      </c>
      <c r="BI95" s="11">
        <v>7374.4</v>
      </c>
      <c r="BJ95" s="10">
        <v>25</v>
      </c>
      <c r="BK95" s="15">
        <v>300</v>
      </c>
      <c r="BL95" s="11">
        <v>210</v>
      </c>
      <c r="BM95" s="44">
        <v>30</v>
      </c>
      <c r="BN95" s="42">
        <v>360</v>
      </c>
      <c r="BO95" s="45">
        <v>360</v>
      </c>
      <c r="BP95" s="44">
        <v>100</v>
      </c>
      <c r="BQ95" s="42">
        <v>1480</v>
      </c>
      <c r="BR95" s="45">
        <v>1220</v>
      </c>
      <c r="BS95" s="44">
        <v>100</v>
      </c>
      <c r="BT95" s="42">
        <v>1860</v>
      </c>
      <c r="BU95" s="112">
        <v>1088</v>
      </c>
      <c r="BV95" s="115">
        <v>163</v>
      </c>
      <c r="BW95" s="116">
        <v>2336</v>
      </c>
      <c r="BX95" s="112">
        <v>1812.48</v>
      </c>
      <c r="BY95" s="115">
        <v>130</v>
      </c>
      <c r="BZ95" s="116">
        <v>2410</v>
      </c>
      <c r="CA95" s="112">
        <v>1382</v>
      </c>
      <c r="CB95" s="115">
        <v>100</v>
      </c>
      <c r="CC95" s="116">
        <v>1430</v>
      </c>
      <c r="CD95" s="112">
        <v>1073.2</v>
      </c>
      <c r="CE95" s="115">
        <v>185</v>
      </c>
      <c r="CF95" s="116">
        <v>3060</v>
      </c>
      <c r="CG95" s="112">
        <v>2057.2000000000003</v>
      </c>
      <c r="CH95" s="115">
        <v>185</v>
      </c>
      <c r="CI95" s="116">
        <v>3080</v>
      </c>
      <c r="CJ95" s="112">
        <v>2026.8</v>
      </c>
      <c r="CK95" s="54">
        <f t="shared" si="18"/>
        <v>2061</v>
      </c>
      <c r="CL95" s="63">
        <f t="shared" si="19"/>
        <v>33166</v>
      </c>
      <c r="CM95" s="55">
        <f t="shared" si="20"/>
        <v>22193.279999999999</v>
      </c>
      <c r="CN95" s="54">
        <f t="shared" si="21"/>
        <v>171.75</v>
      </c>
      <c r="CO95" s="63">
        <f t="shared" si="22"/>
        <v>2763.8333333333335</v>
      </c>
      <c r="CP95" s="172">
        <f t="shared" si="23"/>
        <v>1849.4399999999998</v>
      </c>
      <c r="CQ95" s="151">
        <v>160</v>
      </c>
      <c r="CR95" s="152">
        <v>2320</v>
      </c>
      <c r="CS95" s="97">
        <v>1757.6</v>
      </c>
      <c r="CT95" s="27">
        <v>200</v>
      </c>
      <c r="CU95" s="58">
        <v>2950</v>
      </c>
      <c r="CV95" s="12">
        <v>2232.4</v>
      </c>
      <c r="CW95" s="27"/>
      <c r="CX95" s="58"/>
      <c r="CY95" s="98"/>
      <c r="CZ95" s="27"/>
      <c r="DA95" s="58"/>
      <c r="DB95" s="12"/>
      <c r="DC95" s="27"/>
      <c r="DD95" s="58"/>
      <c r="DE95" s="107"/>
      <c r="DF95" s="27"/>
      <c r="DG95" s="58"/>
      <c r="DH95" s="12"/>
      <c r="DI95" s="27"/>
      <c r="DJ95" s="58"/>
      <c r="DK95" s="107"/>
      <c r="DL95" s="27"/>
      <c r="DM95" s="58"/>
      <c r="DN95" s="107"/>
      <c r="DO95" s="27"/>
      <c r="DP95" s="58"/>
      <c r="DQ95" s="107"/>
      <c r="DR95" s="27"/>
      <c r="DS95" s="58"/>
      <c r="DT95" s="107"/>
      <c r="DU95" s="27"/>
      <c r="DV95" s="58"/>
      <c r="DW95" s="107"/>
      <c r="DX95" s="27"/>
      <c r="DY95" s="58"/>
      <c r="DZ95" s="107"/>
    </row>
    <row r="96" spans="1:130" s="2" customFormat="1" ht="34.9" customHeight="1" x14ac:dyDescent="0.6">
      <c r="A96" s="5">
        <v>93</v>
      </c>
      <c r="B96" s="21" t="s">
        <v>296</v>
      </c>
      <c r="C96" s="16" t="s">
        <v>297</v>
      </c>
      <c r="D96" s="15" t="s">
        <v>298</v>
      </c>
      <c r="E96" s="14" t="s">
        <v>299</v>
      </c>
      <c r="F96" s="7" t="s">
        <v>150</v>
      </c>
      <c r="G96" s="18" t="s">
        <v>910</v>
      </c>
      <c r="H96" s="18" t="s">
        <v>911</v>
      </c>
      <c r="I96" s="14" t="s">
        <v>912</v>
      </c>
      <c r="J96" s="49" t="s">
        <v>125</v>
      </c>
      <c r="K96" s="27">
        <v>148</v>
      </c>
      <c r="L96" s="58">
        <v>2362</v>
      </c>
      <c r="M96" s="78">
        <v>1758.48</v>
      </c>
      <c r="N96" s="27">
        <v>65</v>
      </c>
      <c r="O96" s="58">
        <v>786</v>
      </c>
      <c r="P96" s="49">
        <v>763.68</v>
      </c>
      <c r="Q96" s="27">
        <v>161</v>
      </c>
      <c r="R96" s="58">
        <v>2324</v>
      </c>
      <c r="S96" s="98">
        <v>1960</v>
      </c>
      <c r="T96" s="27">
        <v>65</v>
      </c>
      <c r="U96" s="58">
        <v>920</v>
      </c>
      <c r="V96" s="12">
        <v>790</v>
      </c>
      <c r="W96" s="27">
        <v>132</v>
      </c>
      <c r="X96" s="58">
        <v>2144</v>
      </c>
      <c r="Y96" s="107">
        <v>1616.8</v>
      </c>
      <c r="Z96" s="27">
        <v>74</v>
      </c>
      <c r="AA96" s="58">
        <v>888</v>
      </c>
      <c r="AB96" s="107">
        <v>873.6</v>
      </c>
      <c r="AC96" s="27">
        <v>169</v>
      </c>
      <c r="AD96" s="58">
        <v>2492</v>
      </c>
      <c r="AE96" s="107">
        <v>2016.48</v>
      </c>
      <c r="AF96" s="27">
        <v>139</v>
      </c>
      <c r="AG96" s="58">
        <v>1950</v>
      </c>
      <c r="AH96" s="107">
        <v>1674.16</v>
      </c>
      <c r="AI96" s="27">
        <v>112</v>
      </c>
      <c r="AJ96" s="58">
        <v>1628</v>
      </c>
      <c r="AK96" s="107">
        <v>1354.32</v>
      </c>
      <c r="AL96" s="27">
        <v>127</v>
      </c>
      <c r="AM96" s="58">
        <v>1746</v>
      </c>
      <c r="AN96" s="107">
        <v>1494.88</v>
      </c>
      <c r="AO96" s="27">
        <v>82</v>
      </c>
      <c r="AP96" s="58">
        <v>1182</v>
      </c>
      <c r="AQ96" s="107">
        <v>987.76</v>
      </c>
      <c r="AR96" s="27">
        <v>133</v>
      </c>
      <c r="AS96" s="58">
        <v>2436</v>
      </c>
      <c r="AT96" s="107">
        <v>1648.8</v>
      </c>
      <c r="AU96" s="54">
        <f t="shared" si="12"/>
        <v>1407</v>
      </c>
      <c r="AV96" s="63">
        <f t="shared" si="13"/>
        <v>20858</v>
      </c>
      <c r="AW96" s="55">
        <f t="shared" si="14"/>
        <v>16938.960000000003</v>
      </c>
      <c r="AX96" s="54">
        <f t="shared" si="15"/>
        <v>117.25</v>
      </c>
      <c r="AY96" s="63">
        <f t="shared" si="16"/>
        <v>9.7708333333333339</v>
      </c>
      <c r="AZ96" s="55">
        <f t="shared" si="17"/>
        <v>1411.5800000000002</v>
      </c>
      <c r="BA96" s="10">
        <v>114</v>
      </c>
      <c r="BB96" s="15">
        <v>1456</v>
      </c>
      <c r="BC96" s="11">
        <v>1357.12</v>
      </c>
      <c r="BD96" s="10">
        <v>54</v>
      </c>
      <c r="BE96" s="15">
        <v>932</v>
      </c>
      <c r="BF96" s="11">
        <v>654.72</v>
      </c>
      <c r="BG96" s="10">
        <v>127</v>
      </c>
      <c r="BH96" s="15">
        <v>2240</v>
      </c>
      <c r="BI96" s="11">
        <v>1542.48</v>
      </c>
      <c r="BJ96" s="10">
        <v>88</v>
      </c>
      <c r="BK96" s="15">
        <v>1678</v>
      </c>
      <c r="BL96" s="11">
        <v>1080.08</v>
      </c>
      <c r="BM96" s="44">
        <v>164</v>
      </c>
      <c r="BN96" s="42">
        <v>2818</v>
      </c>
      <c r="BO96" s="45">
        <v>1998.3999999999999</v>
      </c>
      <c r="BP96" s="44">
        <v>71</v>
      </c>
      <c r="BQ96" s="42">
        <v>1552</v>
      </c>
      <c r="BR96" s="45">
        <v>898.4</v>
      </c>
      <c r="BS96" s="44">
        <v>151</v>
      </c>
      <c r="BT96" s="42">
        <v>2812</v>
      </c>
      <c r="BU96" s="112">
        <v>1848</v>
      </c>
      <c r="BV96" s="115">
        <v>135</v>
      </c>
      <c r="BW96" s="116">
        <v>2496</v>
      </c>
      <c r="BX96" s="112">
        <v>1620.4799999999998</v>
      </c>
      <c r="BY96" s="115">
        <v>46</v>
      </c>
      <c r="BZ96" s="116">
        <v>972</v>
      </c>
      <c r="CA96" s="112">
        <v>578.4</v>
      </c>
      <c r="CB96" s="115">
        <v>80</v>
      </c>
      <c r="CC96" s="116">
        <v>1380</v>
      </c>
      <c r="CD96" s="112">
        <v>972</v>
      </c>
      <c r="CE96" s="115">
        <v>5</v>
      </c>
      <c r="CF96" s="116">
        <v>60</v>
      </c>
      <c r="CG96" s="112">
        <v>60</v>
      </c>
      <c r="CH96" s="115">
        <v>11</v>
      </c>
      <c r="CI96" s="116">
        <v>132</v>
      </c>
      <c r="CJ96" s="112">
        <v>128.4</v>
      </c>
      <c r="CK96" s="54">
        <f t="shared" si="18"/>
        <v>1046</v>
      </c>
      <c r="CL96" s="63">
        <f t="shared" si="19"/>
        <v>18528</v>
      </c>
      <c r="CM96" s="55">
        <f t="shared" si="20"/>
        <v>12738.479999999998</v>
      </c>
      <c r="CN96" s="54">
        <f t="shared" si="21"/>
        <v>87.166666666666671</v>
      </c>
      <c r="CO96" s="63">
        <f t="shared" si="22"/>
        <v>1544</v>
      </c>
      <c r="CP96" s="172">
        <f t="shared" si="23"/>
        <v>1061.5399999999997</v>
      </c>
      <c r="CQ96" s="151">
        <v>15</v>
      </c>
      <c r="CR96" s="152">
        <v>180</v>
      </c>
      <c r="CS96" s="97">
        <v>180</v>
      </c>
      <c r="CT96" s="27">
        <v>5</v>
      </c>
      <c r="CU96" s="58">
        <v>60</v>
      </c>
      <c r="CV96" s="12">
        <v>60</v>
      </c>
      <c r="CW96" s="27"/>
      <c r="CX96" s="58"/>
      <c r="CY96" s="98"/>
      <c r="CZ96" s="27"/>
      <c r="DA96" s="58"/>
      <c r="DB96" s="12"/>
      <c r="DC96" s="27"/>
      <c r="DD96" s="58"/>
      <c r="DE96" s="107"/>
      <c r="DF96" s="27"/>
      <c r="DG96" s="58"/>
      <c r="DH96" s="107"/>
      <c r="DI96" s="27"/>
      <c r="DJ96" s="58"/>
      <c r="DK96" s="107"/>
      <c r="DL96" s="27"/>
      <c r="DM96" s="58"/>
      <c r="DN96" s="107"/>
      <c r="DO96" s="27"/>
      <c r="DP96" s="58"/>
      <c r="DQ96" s="107"/>
      <c r="DR96" s="27"/>
      <c r="DS96" s="58"/>
      <c r="DT96" s="107"/>
      <c r="DU96" s="27"/>
      <c r="DV96" s="58"/>
      <c r="DW96" s="107"/>
      <c r="DX96" s="27"/>
      <c r="DY96" s="58"/>
      <c r="DZ96" s="107"/>
    </row>
    <row r="97" spans="1:130" s="2" customFormat="1" ht="34.9" customHeight="1" x14ac:dyDescent="0.6">
      <c r="A97" s="5">
        <v>94</v>
      </c>
      <c r="B97" s="21" t="s">
        <v>170</v>
      </c>
      <c r="C97" s="16" t="s">
        <v>171</v>
      </c>
      <c r="D97" s="15" t="s">
        <v>300</v>
      </c>
      <c r="E97" s="14" t="s">
        <v>301</v>
      </c>
      <c r="F97" s="7" t="s">
        <v>150</v>
      </c>
      <c r="G97" s="18" t="s">
        <v>913</v>
      </c>
      <c r="H97" s="18" t="s">
        <v>914</v>
      </c>
      <c r="I97" s="14" t="s">
        <v>915</v>
      </c>
      <c r="J97" s="49" t="s">
        <v>125</v>
      </c>
      <c r="K97" s="27">
        <v>388</v>
      </c>
      <c r="L97" s="58">
        <v>5066</v>
      </c>
      <c r="M97" s="78">
        <v>3672.8</v>
      </c>
      <c r="N97" s="27">
        <v>512</v>
      </c>
      <c r="O97" s="58">
        <v>6800</v>
      </c>
      <c r="P97" s="49">
        <v>4876</v>
      </c>
      <c r="Q97" s="27">
        <v>472</v>
      </c>
      <c r="R97" s="58">
        <v>6280</v>
      </c>
      <c r="S97" s="98">
        <v>4456.8</v>
      </c>
      <c r="T97" s="27">
        <v>452</v>
      </c>
      <c r="U97" s="58">
        <v>5724</v>
      </c>
      <c r="V97" s="12">
        <v>4248</v>
      </c>
      <c r="W97" s="27">
        <v>530</v>
      </c>
      <c r="X97" s="58">
        <v>6960</v>
      </c>
      <c r="Y97" s="12">
        <v>5088</v>
      </c>
      <c r="Z97" s="27">
        <v>252</v>
      </c>
      <c r="AA97" s="58">
        <v>3128</v>
      </c>
      <c r="AB97" s="107">
        <v>2505.92</v>
      </c>
      <c r="AC97" s="27">
        <v>404</v>
      </c>
      <c r="AD97" s="58">
        <v>5308</v>
      </c>
      <c r="AE97" s="107">
        <v>4237.92</v>
      </c>
      <c r="AF97" s="27">
        <v>402</v>
      </c>
      <c r="AG97" s="58">
        <v>5226</v>
      </c>
      <c r="AH97" s="107">
        <v>3852.96</v>
      </c>
      <c r="AI97" s="27">
        <v>305</v>
      </c>
      <c r="AJ97" s="58">
        <v>3860</v>
      </c>
      <c r="AK97" s="107">
        <v>2996</v>
      </c>
      <c r="AL97" s="27">
        <v>415</v>
      </c>
      <c r="AM97" s="58">
        <v>5380</v>
      </c>
      <c r="AN97" s="107">
        <v>4372</v>
      </c>
      <c r="AO97" s="27">
        <v>305</v>
      </c>
      <c r="AP97" s="58">
        <v>3870</v>
      </c>
      <c r="AQ97" s="107">
        <v>2980.8</v>
      </c>
      <c r="AR97" s="27">
        <v>421</v>
      </c>
      <c r="AS97" s="58">
        <v>5542</v>
      </c>
      <c r="AT97" s="107">
        <v>4080.88</v>
      </c>
      <c r="AU97" s="54">
        <f t="shared" si="12"/>
        <v>4858</v>
      </c>
      <c r="AV97" s="63">
        <f t="shared" si="13"/>
        <v>63144</v>
      </c>
      <c r="AW97" s="55">
        <f t="shared" si="14"/>
        <v>47368.079999999994</v>
      </c>
      <c r="AX97" s="54">
        <f t="shared" si="15"/>
        <v>404.83333333333331</v>
      </c>
      <c r="AY97" s="63">
        <f t="shared" si="16"/>
        <v>33.736111111111107</v>
      </c>
      <c r="AZ97" s="55">
        <f t="shared" si="17"/>
        <v>3947.3399999999997</v>
      </c>
      <c r="BA97" s="10">
        <v>200</v>
      </c>
      <c r="BB97" s="15">
        <v>2600</v>
      </c>
      <c r="BC97" s="11">
        <v>2096</v>
      </c>
      <c r="BD97" s="10">
        <v>403</v>
      </c>
      <c r="BE97" s="15">
        <v>3842</v>
      </c>
      <c r="BF97" s="11">
        <v>2962.88</v>
      </c>
      <c r="BG97" s="10">
        <v>365</v>
      </c>
      <c r="BH97" s="15">
        <v>4680</v>
      </c>
      <c r="BI97" s="11">
        <v>3744</v>
      </c>
      <c r="BJ97" s="10">
        <v>103</v>
      </c>
      <c r="BK97" s="15">
        <v>1242</v>
      </c>
      <c r="BL97" s="11">
        <v>1226.8800000000001</v>
      </c>
      <c r="BM97" s="44">
        <v>317</v>
      </c>
      <c r="BN97" s="42">
        <v>4060</v>
      </c>
      <c r="BO97" s="45">
        <v>3144</v>
      </c>
      <c r="BP97" s="44">
        <v>316</v>
      </c>
      <c r="BQ97" s="42">
        <v>4020</v>
      </c>
      <c r="BR97" s="45">
        <v>3490</v>
      </c>
      <c r="BS97" s="44">
        <v>105</v>
      </c>
      <c r="BT97" s="42">
        <v>1270</v>
      </c>
      <c r="BU97" s="112">
        <v>1244.8</v>
      </c>
      <c r="BV97" s="115">
        <v>202</v>
      </c>
      <c r="BW97" s="116">
        <v>2680</v>
      </c>
      <c r="BX97" s="112">
        <v>2124</v>
      </c>
      <c r="BY97" s="115">
        <v>332</v>
      </c>
      <c r="BZ97" s="116">
        <v>4240</v>
      </c>
      <c r="CA97" s="112">
        <v>3684</v>
      </c>
      <c r="CB97" s="115">
        <v>200</v>
      </c>
      <c r="CC97" s="116">
        <v>2400</v>
      </c>
      <c r="CD97" s="112">
        <v>2040</v>
      </c>
      <c r="CE97" s="115">
        <v>330</v>
      </c>
      <c r="CF97" s="116">
        <v>4160</v>
      </c>
      <c r="CG97" s="112">
        <v>3656</v>
      </c>
      <c r="CH97" s="115">
        <v>100</v>
      </c>
      <c r="CI97" s="116">
        <v>1200</v>
      </c>
      <c r="CJ97" s="112">
        <v>1200</v>
      </c>
      <c r="CK97" s="54">
        <f t="shared" si="18"/>
        <v>2973</v>
      </c>
      <c r="CL97" s="63">
        <f t="shared" si="19"/>
        <v>36394</v>
      </c>
      <c r="CM97" s="55">
        <f t="shared" si="20"/>
        <v>30612.560000000001</v>
      </c>
      <c r="CN97" s="54">
        <f t="shared" si="21"/>
        <v>247.75</v>
      </c>
      <c r="CO97" s="63">
        <f t="shared" si="22"/>
        <v>3032.8333333333335</v>
      </c>
      <c r="CP97" s="172">
        <f t="shared" si="23"/>
        <v>2551.0466666666666</v>
      </c>
      <c r="CQ97" s="151">
        <v>330</v>
      </c>
      <c r="CR97" s="152">
        <v>3960</v>
      </c>
      <c r="CS97" s="97">
        <v>3960</v>
      </c>
      <c r="CT97" s="27">
        <v>230</v>
      </c>
      <c r="CU97" s="58">
        <v>2760</v>
      </c>
      <c r="CV97" s="12">
        <v>2760</v>
      </c>
      <c r="CW97" s="27"/>
      <c r="CX97" s="58"/>
      <c r="CY97" s="98"/>
      <c r="CZ97" s="27"/>
      <c r="DA97" s="58"/>
      <c r="DB97" s="12"/>
      <c r="DC97" s="27"/>
      <c r="DD97" s="58"/>
      <c r="DE97" s="107"/>
      <c r="DF97" s="27"/>
      <c r="DG97" s="58"/>
      <c r="DH97" s="12"/>
      <c r="DI97" s="27"/>
      <c r="DJ97" s="58"/>
      <c r="DK97" s="107"/>
      <c r="DL97" s="27"/>
      <c r="DM97" s="58"/>
      <c r="DN97" s="107"/>
      <c r="DO97" s="27"/>
      <c r="DP97" s="58"/>
      <c r="DQ97" s="107"/>
      <c r="DR97" s="27"/>
      <c r="DS97" s="58"/>
      <c r="DT97" s="107"/>
      <c r="DU97" s="27"/>
      <c r="DV97" s="58"/>
      <c r="DW97" s="107"/>
      <c r="DX97" s="27"/>
      <c r="DY97" s="58"/>
      <c r="DZ97" s="107"/>
    </row>
    <row r="98" spans="1:130" s="2" customFormat="1" ht="34.9" customHeight="1" x14ac:dyDescent="0.6">
      <c r="A98" s="5">
        <v>95</v>
      </c>
      <c r="B98" s="21" t="s">
        <v>302</v>
      </c>
      <c r="C98" s="16" t="s">
        <v>303</v>
      </c>
      <c r="D98" s="15" t="s">
        <v>57</v>
      </c>
      <c r="E98" s="14" t="s">
        <v>304</v>
      </c>
      <c r="F98" s="7" t="s">
        <v>150</v>
      </c>
      <c r="G98" s="19" t="s">
        <v>916</v>
      </c>
      <c r="H98" s="19" t="s">
        <v>917</v>
      </c>
      <c r="I98" s="20" t="s">
        <v>918</v>
      </c>
      <c r="J98" s="49" t="s">
        <v>125</v>
      </c>
      <c r="K98" s="27">
        <v>150</v>
      </c>
      <c r="L98" s="58">
        <v>3260</v>
      </c>
      <c r="M98" s="78">
        <v>1808.8</v>
      </c>
      <c r="N98" s="27">
        <v>150</v>
      </c>
      <c r="O98" s="58">
        <v>2760</v>
      </c>
      <c r="P98" s="104">
        <v>1677.6</v>
      </c>
      <c r="Q98" s="27">
        <v>160</v>
      </c>
      <c r="R98" s="58">
        <v>3030</v>
      </c>
      <c r="S98" s="98">
        <v>1792.4</v>
      </c>
      <c r="T98" s="27">
        <v>110</v>
      </c>
      <c r="U98" s="58">
        <v>2480</v>
      </c>
      <c r="V98" s="107">
        <v>1339.2</v>
      </c>
      <c r="W98" s="27">
        <v>95</v>
      </c>
      <c r="X98" s="58">
        <v>2400</v>
      </c>
      <c r="Y98" s="12">
        <v>1230</v>
      </c>
      <c r="Z98" s="27">
        <v>135</v>
      </c>
      <c r="AA98" s="58">
        <v>2280</v>
      </c>
      <c r="AB98" s="12">
        <v>1508</v>
      </c>
      <c r="AC98" s="27">
        <v>141</v>
      </c>
      <c r="AD98" s="58">
        <v>3020</v>
      </c>
      <c r="AE98" s="107">
        <v>1723.2</v>
      </c>
      <c r="AF98" s="27">
        <v>130</v>
      </c>
      <c r="AG98" s="58">
        <v>2480</v>
      </c>
      <c r="AH98" s="107">
        <v>1498.4</v>
      </c>
      <c r="AI98" s="27">
        <v>130</v>
      </c>
      <c r="AJ98" s="58">
        <v>3000</v>
      </c>
      <c r="AK98" s="107">
        <v>1599.2</v>
      </c>
      <c r="AL98" s="27">
        <v>115</v>
      </c>
      <c r="AM98" s="58">
        <v>2280</v>
      </c>
      <c r="AN98" s="107">
        <v>1348.8</v>
      </c>
      <c r="AO98" s="27">
        <v>100</v>
      </c>
      <c r="AP98" s="58">
        <v>2320</v>
      </c>
      <c r="AQ98" s="107">
        <v>1280</v>
      </c>
      <c r="AR98" s="27">
        <v>150</v>
      </c>
      <c r="AS98" s="58">
        <v>3260</v>
      </c>
      <c r="AT98" s="107">
        <v>1808.8</v>
      </c>
      <c r="AU98" s="54">
        <f t="shared" si="12"/>
        <v>1566</v>
      </c>
      <c r="AV98" s="63">
        <f t="shared" si="13"/>
        <v>32570</v>
      </c>
      <c r="AW98" s="55">
        <f t="shared" si="14"/>
        <v>18614.399999999998</v>
      </c>
      <c r="AX98" s="54">
        <f t="shared" si="15"/>
        <v>130.5</v>
      </c>
      <c r="AY98" s="63">
        <f t="shared" si="16"/>
        <v>10.875</v>
      </c>
      <c r="AZ98" s="55">
        <f t="shared" si="17"/>
        <v>1551.1999999999998</v>
      </c>
      <c r="BA98" s="10">
        <v>140</v>
      </c>
      <c r="BB98" s="15">
        <v>2990</v>
      </c>
      <c r="BC98" s="11">
        <v>1694</v>
      </c>
      <c r="BD98" s="10">
        <v>59</v>
      </c>
      <c r="BE98" s="15">
        <v>2486</v>
      </c>
      <c r="BF98" s="11">
        <v>1920.6399999999999</v>
      </c>
      <c r="BG98" s="10">
        <v>130</v>
      </c>
      <c r="BH98" s="15">
        <v>2740</v>
      </c>
      <c r="BI98" s="11">
        <v>1548.8</v>
      </c>
      <c r="BJ98" s="10">
        <v>100</v>
      </c>
      <c r="BK98" s="15">
        <v>1540</v>
      </c>
      <c r="BL98" s="11">
        <v>1128.8</v>
      </c>
      <c r="BM98" s="44">
        <v>100</v>
      </c>
      <c r="BN98" s="42">
        <v>2180</v>
      </c>
      <c r="BO98" s="45">
        <v>1270</v>
      </c>
      <c r="BP98" s="44">
        <v>190</v>
      </c>
      <c r="BQ98" s="42">
        <v>3460</v>
      </c>
      <c r="BR98" s="45">
        <v>2268.8000000000002</v>
      </c>
      <c r="BS98" s="44">
        <v>70</v>
      </c>
      <c r="BT98" s="42">
        <v>1420</v>
      </c>
      <c r="BU98" s="112">
        <v>849.6</v>
      </c>
      <c r="BV98" s="115">
        <v>100</v>
      </c>
      <c r="BW98" s="116">
        <v>2063</v>
      </c>
      <c r="BX98" s="112">
        <v>1231.6399999999999</v>
      </c>
      <c r="BY98" s="115">
        <v>115</v>
      </c>
      <c r="BZ98" s="116">
        <v>2220</v>
      </c>
      <c r="CA98" s="112">
        <v>1440</v>
      </c>
      <c r="CB98" s="115">
        <v>200</v>
      </c>
      <c r="CC98" s="116">
        <v>3590</v>
      </c>
      <c r="CD98" s="112">
        <v>2373.6000000000004</v>
      </c>
      <c r="CE98" s="115">
        <v>65</v>
      </c>
      <c r="CF98" s="116">
        <v>1480</v>
      </c>
      <c r="CG98" s="112">
        <v>830</v>
      </c>
      <c r="CH98" s="115">
        <v>50</v>
      </c>
      <c r="CI98" s="116">
        <v>880</v>
      </c>
      <c r="CJ98" s="112">
        <v>620</v>
      </c>
      <c r="CK98" s="54">
        <f t="shared" si="18"/>
        <v>1319</v>
      </c>
      <c r="CL98" s="63">
        <f t="shared" si="19"/>
        <v>27049</v>
      </c>
      <c r="CM98" s="55">
        <f t="shared" si="20"/>
        <v>17175.88</v>
      </c>
      <c r="CN98" s="54">
        <f t="shared" si="21"/>
        <v>109.91666666666667</v>
      </c>
      <c r="CO98" s="63">
        <f t="shared" si="22"/>
        <v>2254.0833333333335</v>
      </c>
      <c r="CP98" s="172">
        <f t="shared" si="23"/>
        <v>1431.3233333333335</v>
      </c>
      <c r="CQ98" s="151">
        <v>100</v>
      </c>
      <c r="CR98" s="152">
        <v>2320</v>
      </c>
      <c r="CS98" s="97">
        <v>1280</v>
      </c>
      <c r="CT98" s="27">
        <v>50</v>
      </c>
      <c r="CU98" s="58">
        <v>1160</v>
      </c>
      <c r="CV98" s="12">
        <v>640</v>
      </c>
      <c r="CW98" s="27"/>
      <c r="CX98" s="58"/>
      <c r="CY98" s="98"/>
      <c r="CZ98" s="27"/>
      <c r="DA98" s="58"/>
      <c r="DB98" s="12"/>
      <c r="DC98" s="27"/>
      <c r="DD98" s="58"/>
      <c r="DE98" s="107"/>
      <c r="DF98" s="27"/>
      <c r="DG98" s="58"/>
      <c r="DH98" s="12"/>
      <c r="DI98" s="27"/>
      <c r="DJ98" s="58"/>
      <c r="DK98" s="107"/>
      <c r="DL98" s="27"/>
      <c r="DM98" s="58"/>
      <c r="DN98" s="107"/>
      <c r="DO98" s="27"/>
      <c r="DP98" s="58"/>
      <c r="DQ98" s="107"/>
      <c r="DR98" s="27"/>
      <c r="DS98" s="58"/>
      <c r="DT98" s="107"/>
      <c r="DU98" s="27"/>
      <c r="DV98" s="58"/>
      <c r="DW98" s="107"/>
      <c r="DX98" s="27"/>
      <c r="DY98" s="58"/>
      <c r="DZ98" s="107"/>
    </row>
    <row r="99" spans="1:130" s="2" customFormat="1" ht="34.9" customHeight="1" x14ac:dyDescent="0.6">
      <c r="A99" s="5">
        <v>96</v>
      </c>
      <c r="B99" s="21" t="s">
        <v>305</v>
      </c>
      <c r="C99" s="16" t="s">
        <v>306</v>
      </c>
      <c r="D99" s="15" t="s">
        <v>307</v>
      </c>
      <c r="E99" s="14" t="s">
        <v>308</v>
      </c>
      <c r="F99" s="7" t="s">
        <v>150</v>
      </c>
      <c r="G99" s="18" t="s">
        <v>305</v>
      </c>
      <c r="H99" s="18" t="s">
        <v>919</v>
      </c>
      <c r="I99" s="14" t="s">
        <v>920</v>
      </c>
      <c r="J99" s="49" t="s">
        <v>125</v>
      </c>
      <c r="K99" s="27">
        <v>80</v>
      </c>
      <c r="L99" s="58">
        <v>1060</v>
      </c>
      <c r="M99" s="78">
        <v>808</v>
      </c>
      <c r="N99" s="27">
        <v>135</v>
      </c>
      <c r="O99" s="58">
        <v>1760</v>
      </c>
      <c r="P99" s="104">
        <v>1407.2</v>
      </c>
      <c r="Q99" s="27">
        <v>90</v>
      </c>
      <c r="R99" s="58">
        <v>1390</v>
      </c>
      <c r="S99" s="98">
        <v>1054.4000000000001</v>
      </c>
      <c r="T99" s="27">
        <v>290</v>
      </c>
      <c r="U99" s="58">
        <v>4400</v>
      </c>
      <c r="V99" s="107">
        <v>3147.6</v>
      </c>
      <c r="W99" s="27">
        <v>125</v>
      </c>
      <c r="X99" s="58">
        <v>1700</v>
      </c>
      <c r="Y99" s="12">
        <v>1148</v>
      </c>
      <c r="Z99" s="27">
        <v>190</v>
      </c>
      <c r="AA99" s="58">
        <v>2740</v>
      </c>
      <c r="AB99" s="107">
        <v>2026.4</v>
      </c>
      <c r="AC99" s="27">
        <v>0</v>
      </c>
      <c r="AD99" s="58">
        <v>0</v>
      </c>
      <c r="AE99" s="107">
        <v>0</v>
      </c>
      <c r="AF99" s="27">
        <v>100</v>
      </c>
      <c r="AG99" s="58">
        <v>1310</v>
      </c>
      <c r="AH99" s="107">
        <v>1032.8</v>
      </c>
      <c r="AI99" s="27">
        <v>115</v>
      </c>
      <c r="AJ99" s="58">
        <v>1720</v>
      </c>
      <c r="AK99" s="107">
        <v>1260.8</v>
      </c>
      <c r="AL99" s="27">
        <v>150</v>
      </c>
      <c r="AM99" s="58">
        <v>1980</v>
      </c>
      <c r="AN99" s="107">
        <v>1526.4</v>
      </c>
      <c r="AO99" s="27">
        <v>50</v>
      </c>
      <c r="AP99" s="58">
        <v>660</v>
      </c>
      <c r="AQ99" s="107">
        <v>508.8</v>
      </c>
      <c r="AR99" s="27">
        <v>115</v>
      </c>
      <c r="AS99" s="58">
        <v>1760</v>
      </c>
      <c r="AT99" s="107">
        <v>1200</v>
      </c>
      <c r="AU99" s="54">
        <f t="shared" si="12"/>
        <v>1440</v>
      </c>
      <c r="AV99" s="63">
        <f t="shared" si="13"/>
        <v>20480</v>
      </c>
      <c r="AW99" s="55">
        <f t="shared" si="14"/>
        <v>15120.399999999998</v>
      </c>
      <c r="AX99" s="54">
        <f t="shared" si="15"/>
        <v>120</v>
      </c>
      <c r="AY99" s="63">
        <f t="shared" si="16"/>
        <v>10</v>
      </c>
      <c r="AZ99" s="55">
        <f t="shared" si="17"/>
        <v>1260.0333333333331</v>
      </c>
      <c r="BA99" s="10">
        <v>100</v>
      </c>
      <c r="BB99" s="15">
        <v>1600</v>
      </c>
      <c r="BC99" s="11">
        <v>1037.5999999999999</v>
      </c>
      <c r="BD99" s="10">
        <v>0</v>
      </c>
      <c r="BE99" s="15">
        <v>0</v>
      </c>
      <c r="BF99" s="11">
        <v>0</v>
      </c>
      <c r="BG99" s="10">
        <v>330</v>
      </c>
      <c r="BH99" s="15">
        <v>4800</v>
      </c>
      <c r="BI99" s="11">
        <v>3478.4</v>
      </c>
      <c r="BJ99" s="10">
        <v>0</v>
      </c>
      <c r="BK99" s="15">
        <v>0</v>
      </c>
      <c r="BL99" s="11">
        <v>0</v>
      </c>
      <c r="BM99" s="44">
        <v>0</v>
      </c>
      <c r="BN99" s="42">
        <v>0</v>
      </c>
      <c r="BO99" s="45">
        <v>0</v>
      </c>
      <c r="BP99" s="44">
        <v>0</v>
      </c>
      <c r="BQ99" s="42">
        <v>0</v>
      </c>
      <c r="BR99" s="45">
        <v>0</v>
      </c>
      <c r="BS99" s="44">
        <v>100</v>
      </c>
      <c r="BT99" s="42">
        <v>1300</v>
      </c>
      <c r="BU99" s="112">
        <v>1048</v>
      </c>
      <c r="BV99" s="115">
        <v>101</v>
      </c>
      <c r="BW99" s="116">
        <v>1492</v>
      </c>
      <c r="BX99" s="112">
        <v>1228.1599999999999</v>
      </c>
      <c r="BY99" s="115">
        <v>0</v>
      </c>
      <c r="BZ99" s="116">
        <v>0</v>
      </c>
      <c r="CA99" s="112">
        <v>0</v>
      </c>
      <c r="CB99" s="115">
        <v>0</v>
      </c>
      <c r="CC99" s="116">
        <v>0</v>
      </c>
      <c r="CD99" s="112">
        <v>0</v>
      </c>
      <c r="CE99" s="115">
        <v>50</v>
      </c>
      <c r="CF99" s="116">
        <v>760</v>
      </c>
      <c r="CG99" s="112">
        <v>555.6</v>
      </c>
      <c r="CH99" s="115">
        <v>50</v>
      </c>
      <c r="CI99" s="116">
        <v>760</v>
      </c>
      <c r="CJ99" s="112">
        <v>555.6</v>
      </c>
      <c r="CK99" s="54">
        <f t="shared" si="18"/>
        <v>731</v>
      </c>
      <c r="CL99" s="63">
        <f t="shared" si="19"/>
        <v>10712</v>
      </c>
      <c r="CM99" s="55">
        <f t="shared" si="20"/>
        <v>7903.3600000000006</v>
      </c>
      <c r="CN99" s="54">
        <f t="shared" si="21"/>
        <v>60.916666666666664</v>
      </c>
      <c r="CO99" s="63">
        <f t="shared" si="22"/>
        <v>892.66666666666663</v>
      </c>
      <c r="CP99" s="172">
        <f t="shared" si="23"/>
        <v>658.61333333333334</v>
      </c>
      <c r="CQ99" s="151">
        <v>0</v>
      </c>
      <c r="CR99" s="152">
        <v>0</v>
      </c>
      <c r="CS99" s="97">
        <v>0</v>
      </c>
      <c r="CT99" s="27">
        <v>0</v>
      </c>
      <c r="CU99" s="58">
        <v>0</v>
      </c>
      <c r="CV99" s="12">
        <v>0</v>
      </c>
      <c r="CW99" s="27"/>
      <c r="CX99" s="58"/>
      <c r="CY99" s="98"/>
      <c r="CZ99" s="27"/>
      <c r="DA99" s="58"/>
      <c r="DB99" s="12"/>
      <c r="DC99" s="27"/>
      <c r="DD99" s="58"/>
      <c r="DE99" s="107"/>
      <c r="DF99" s="27"/>
      <c r="DG99" s="58"/>
      <c r="DH99" s="12"/>
      <c r="DI99" s="27"/>
      <c r="DJ99" s="58"/>
      <c r="DK99" s="107"/>
      <c r="DL99" s="27"/>
      <c r="DM99" s="58"/>
      <c r="DN99" s="107"/>
      <c r="DO99" s="27"/>
      <c r="DP99" s="58"/>
      <c r="DQ99" s="107"/>
      <c r="DR99" s="27"/>
      <c r="DS99" s="58"/>
      <c r="DT99" s="107"/>
      <c r="DU99" s="27"/>
      <c r="DV99" s="58"/>
      <c r="DW99" s="107"/>
      <c r="DX99" s="27"/>
      <c r="DY99" s="58"/>
      <c r="DZ99" s="107"/>
    </row>
    <row r="100" spans="1:130" s="2" customFormat="1" ht="34.9" customHeight="1" x14ac:dyDescent="0.6">
      <c r="A100" s="5">
        <v>97</v>
      </c>
      <c r="B100" s="21" t="s">
        <v>309</v>
      </c>
      <c r="C100" s="16" t="s">
        <v>309</v>
      </c>
      <c r="D100" s="15" t="s">
        <v>307</v>
      </c>
      <c r="E100" s="14" t="s">
        <v>308</v>
      </c>
      <c r="F100" s="7" t="s">
        <v>150</v>
      </c>
      <c r="G100" s="18" t="s">
        <v>921</v>
      </c>
      <c r="H100" s="18" t="s">
        <v>922</v>
      </c>
      <c r="I100" s="14" t="s">
        <v>923</v>
      </c>
      <c r="J100" s="49" t="s">
        <v>125</v>
      </c>
      <c r="K100" s="27">
        <v>150</v>
      </c>
      <c r="L100" s="58">
        <v>2000</v>
      </c>
      <c r="M100" s="78">
        <v>1496</v>
      </c>
      <c r="N100" s="27">
        <v>140</v>
      </c>
      <c r="O100" s="58">
        <v>2100</v>
      </c>
      <c r="P100" s="104">
        <v>1487.2</v>
      </c>
      <c r="Q100" s="27">
        <v>110</v>
      </c>
      <c r="R100" s="58">
        <v>1700</v>
      </c>
      <c r="S100" s="98">
        <v>1188</v>
      </c>
      <c r="T100" s="27">
        <v>170</v>
      </c>
      <c r="U100" s="58">
        <v>2460</v>
      </c>
      <c r="V100" s="12">
        <v>1847.2</v>
      </c>
      <c r="W100" s="27">
        <v>300</v>
      </c>
      <c r="X100" s="58">
        <v>4780</v>
      </c>
      <c r="Y100" s="107">
        <v>3143.2</v>
      </c>
      <c r="Z100" s="27">
        <v>170</v>
      </c>
      <c r="AA100" s="58">
        <v>2220</v>
      </c>
      <c r="AB100" s="107">
        <v>1766.4</v>
      </c>
      <c r="AC100" s="27">
        <v>0</v>
      </c>
      <c r="AD100" s="58">
        <v>0</v>
      </c>
      <c r="AE100" s="107">
        <v>0</v>
      </c>
      <c r="AF100" s="27">
        <v>290</v>
      </c>
      <c r="AG100" s="58">
        <v>4120</v>
      </c>
      <c r="AH100" s="107">
        <v>2952.8</v>
      </c>
      <c r="AI100" s="27">
        <v>0</v>
      </c>
      <c r="AJ100" s="58">
        <v>0</v>
      </c>
      <c r="AK100" s="107">
        <v>0</v>
      </c>
      <c r="AL100" s="27">
        <v>115</v>
      </c>
      <c r="AM100" s="58">
        <v>1480</v>
      </c>
      <c r="AN100" s="107">
        <v>1228</v>
      </c>
      <c r="AO100" s="27">
        <v>85</v>
      </c>
      <c r="AP100" s="58">
        <v>1540</v>
      </c>
      <c r="AQ100" s="107">
        <v>898</v>
      </c>
      <c r="AR100" s="27">
        <v>120</v>
      </c>
      <c r="AS100" s="58">
        <v>1580</v>
      </c>
      <c r="AT100" s="107">
        <v>1227.2</v>
      </c>
      <c r="AU100" s="54">
        <f t="shared" si="12"/>
        <v>1650</v>
      </c>
      <c r="AV100" s="63">
        <f t="shared" si="13"/>
        <v>23980</v>
      </c>
      <c r="AW100" s="55">
        <f t="shared" si="14"/>
        <v>17234</v>
      </c>
      <c r="AX100" s="54">
        <f t="shared" si="15"/>
        <v>137.5</v>
      </c>
      <c r="AY100" s="63">
        <f t="shared" si="16"/>
        <v>11.458333333333334</v>
      </c>
      <c r="AZ100" s="55">
        <f t="shared" si="17"/>
        <v>1436.1666666666667</v>
      </c>
      <c r="BA100" s="10">
        <v>80</v>
      </c>
      <c r="BB100" s="15">
        <v>1060</v>
      </c>
      <c r="BC100" s="11">
        <v>808</v>
      </c>
      <c r="BD100" s="10">
        <v>200</v>
      </c>
      <c r="BE100" s="15">
        <v>1900</v>
      </c>
      <c r="BF100" s="11">
        <v>1648</v>
      </c>
      <c r="BG100" s="10">
        <v>380</v>
      </c>
      <c r="BH100" s="15">
        <v>5480</v>
      </c>
      <c r="BI100" s="11">
        <v>4052.8</v>
      </c>
      <c r="BJ100" s="10">
        <v>0</v>
      </c>
      <c r="BK100" s="15">
        <v>0</v>
      </c>
      <c r="BL100" s="11">
        <v>0</v>
      </c>
      <c r="BM100" s="44">
        <v>60</v>
      </c>
      <c r="BN100" s="42">
        <v>1000</v>
      </c>
      <c r="BO100" s="45">
        <v>740</v>
      </c>
      <c r="BP100" s="44">
        <v>140</v>
      </c>
      <c r="BQ100" s="42">
        <v>2060</v>
      </c>
      <c r="BR100" s="45">
        <v>1548</v>
      </c>
      <c r="BS100" s="44">
        <v>150</v>
      </c>
      <c r="BT100" s="42">
        <v>2520</v>
      </c>
      <c r="BU100" s="112">
        <v>1596.8000000000002</v>
      </c>
      <c r="BV100" s="115">
        <v>153</v>
      </c>
      <c r="BW100" s="116">
        <v>1976</v>
      </c>
      <c r="BX100" s="112">
        <v>1611.68</v>
      </c>
      <c r="BY100" s="115">
        <v>100</v>
      </c>
      <c r="BZ100" s="116">
        <v>1860</v>
      </c>
      <c r="CA100" s="112">
        <v>1088</v>
      </c>
      <c r="CB100" s="115">
        <v>100</v>
      </c>
      <c r="CC100" s="116">
        <v>1260</v>
      </c>
      <c r="CD100" s="112">
        <v>1108.8</v>
      </c>
      <c r="CE100" s="115">
        <v>200</v>
      </c>
      <c r="CF100" s="116">
        <v>3060</v>
      </c>
      <c r="CG100" s="112">
        <v>2288</v>
      </c>
      <c r="CH100" s="115">
        <v>50</v>
      </c>
      <c r="CI100" s="116">
        <v>700</v>
      </c>
      <c r="CJ100" s="112">
        <v>448</v>
      </c>
      <c r="CK100" s="54">
        <f t="shared" si="18"/>
        <v>1613</v>
      </c>
      <c r="CL100" s="63">
        <f t="shared" si="19"/>
        <v>22876</v>
      </c>
      <c r="CM100" s="55">
        <f t="shared" si="20"/>
        <v>16938.079999999998</v>
      </c>
      <c r="CN100" s="54">
        <f t="shared" si="21"/>
        <v>134.41666666666666</v>
      </c>
      <c r="CO100" s="63">
        <f t="shared" si="22"/>
        <v>1906.3333333333333</v>
      </c>
      <c r="CP100" s="172">
        <f t="shared" si="23"/>
        <v>1411.5066666666664</v>
      </c>
      <c r="CQ100" s="151">
        <v>150</v>
      </c>
      <c r="CR100" s="152">
        <v>2200</v>
      </c>
      <c r="CS100" s="97">
        <v>1637.6</v>
      </c>
      <c r="CT100" s="27">
        <v>200</v>
      </c>
      <c r="CU100" s="58">
        <v>2810</v>
      </c>
      <c r="CV100" s="107">
        <v>2222.4</v>
      </c>
      <c r="CW100" s="27"/>
      <c r="CX100" s="58"/>
      <c r="CY100" s="98"/>
      <c r="CZ100" s="27"/>
      <c r="DA100" s="58"/>
      <c r="DB100" s="12"/>
      <c r="DC100" s="27"/>
      <c r="DD100" s="58"/>
      <c r="DE100" s="107"/>
      <c r="DF100" s="27"/>
      <c r="DG100" s="58"/>
      <c r="DH100" s="107"/>
      <c r="DI100" s="27"/>
      <c r="DJ100" s="58"/>
      <c r="DK100" s="107"/>
      <c r="DL100" s="27"/>
      <c r="DM100" s="58"/>
      <c r="DN100" s="107"/>
      <c r="DO100" s="27"/>
      <c r="DP100" s="58"/>
      <c r="DQ100" s="107"/>
      <c r="DR100" s="27"/>
      <c r="DS100" s="58"/>
      <c r="DT100" s="107"/>
      <c r="DU100" s="27"/>
      <c r="DV100" s="58"/>
      <c r="DW100" s="107"/>
      <c r="DX100" s="27"/>
      <c r="DY100" s="58"/>
      <c r="DZ100" s="107"/>
    </row>
    <row r="101" spans="1:130" s="2" customFormat="1" ht="34.9" customHeight="1" x14ac:dyDescent="0.6">
      <c r="A101" s="5">
        <v>98</v>
      </c>
      <c r="B101" s="21" t="s">
        <v>312</v>
      </c>
      <c r="C101" s="16" t="s">
        <v>313</v>
      </c>
      <c r="D101" s="15" t="s">
        <v>307</v>
      </c>
      <c r="E101" s="14" t="s">
        <v>308</v>
      </c>
      <c r="F101" s="7" t="s">
        <v>150</v>
      </c>
      <c r="G101" s="18" t="s">
        <v>927</v>
      </c>
      <c r="H101" s="18" t="s">
        <v>928</v>
      </c>
      <c r="I101" s="14" t="s">
        <v>929</v>
      </c>
      <c r="J101" s="49" t="s">
        <v>125</v>
      </c>
      <c r="K101" s="27">
        <v>390</v>
      </c>
      <c r="L101" s="58">
        <v>5600</v>
      </c>
      <c r="M101" s="78">
        <v>3727.2000000000003</v>
      </c>
      <c r="N101" s="27">
        <v>350</v>
      </c>
      <c r="O101" s="58">
        <v>4720</v>
      </c>
      <c r="P101" s="104">
        <v>3409.6</v>
      </c>
      <c r="Q101" s="27">
        <v>360</v>
      </c>
      <c r="R101" s="58">
        <v>5180</v>
      </c>
      <c r="S101" s="98">
        <v>3458.4</v>
      </c>
      <c r="T101" s="27">
        <v>410</v>
      </c>
      <c r="U101" s="58">
        <v>5840</v>
      </c>
      <c r="V101" s="12">
        <v>3967.2000000000003</v>
      </c>
      <c r="W101" s="27">
        <v>460</v>
      </c>
      <c r="X101" s="58">
        <v>6190</v>
      </c>
      <c r="Y101" s="107">
        <v>4501.6000000000004</v>
      </c>
      <c r="Z101" s="27">
        <v>550</v>
      </c>
      <c r="AA101" s="58">
        <v>7820</v>
      </c>
      <c r="AB101" s="107">
        <v>5191.2</v>
      </c>
      <c r="AC101" s="27">
        <v>395</v>
      </c>
      <c r="AD101" s="58">
        <v>5520</v>
      </c>
      <c r="AE101" s="107">
        <v>3777.2000000000003</v>
      </c>
      <c r="AF101" s="27">
        <v>460</v>
      </c>
      <c r="AG101" s="58">
        <v>6800</v>
      </c>
      <c r="AH101" s="107">
        <v>4465.6000000000004</v>
      </c>
      <c r="AI101" s="27">
        <v>310</v>
      </c>
      <c r="AJ101" s="58">
        <v>4240</v>
      </c>
      <c r="AK101" s="107">
        <v>2929.6</v>
      </c>
      <c r="AL101" s="27">
        <v>355</v>
      </c>
      <c r="AM101" s="58">
        <v>4800</v>
      </c>
      <c r="AN101" s="107">
        <v>3439.2000000000003</v>
      </c>
      <c r="AO101" s="27">
        <v>435</v>
      </c>
      <c r="AP101" s="58">
        <v>6320</v>
      </c>
      <c r="AQ101" s="107">
        <v>4216.3999999999996</v>
      </c>
      <c r="AR101" s="27">
        <v>410</v>
      </c>
      <c r="AS101" s="58">
        <v>5880</v>
      </c>
      <c r="AT101" s="107">
        <v>3906.4</v>
      </c>
      <c r="AU101" s="54">
        <f t="shared" si="12"/>
        <v>4885</v>
      </c>
      <c r="AV101" s="63">
        <f t="shared" si="13"/>
        <v>68910</v>
      </c>
      <c r="AW101" s="55">
        <f t="shared" si="14"/>
        <v>46989.599999999999</v>
      </c>
      <c r="AX101" s="54">
        <f t="shared" si="15"/>
        <v>407.08333333333331</v>
      </c>
      <c r="AY101" s="63">
        <f t="shared" si="16"/>
        <v>33.923611111111107</v>
      </c>
      <c r="AZ101" s="55">
        <f t="shared" si="17"/>
        <v>3915.7999999999997</v>
      </c>
      <c r="BA101" s="10">
        <v>415</v>
      </c>
      <c r="BB101" s="15">
        <v>6080</v>
      </c>
      <c r="BC101" s="11">
        <v>3976.6000000000004</v>
      </c>
      <c r="BD101" s="10">
        <v>350</v>
      </c>
      <c r="BE101" s="15">
        <v>4070</v>
      </c>
      <c r="BF101" s="11">
        <v>2885.6000000000004</v>
      </c>
      <c r="BG101" s="10">
        <v>590</v>
      </c>
      <c r="BH101" s="15">
        <v>8510</v>
      </c>
      <c r="BI101" s="11">
        <v>5797.6</v>
      </c>
      <c r="BJ101" s="10">
        <v>240</v>
      </c>
      <c r="BK101" s="15">
        <v>3520</v>
      </c>
      <c r="BL101" s="11">
        <v>2352.8000000000002</v>
      </c>
      <c r="BM101" s="44">
        <v>250</v>
      </c>
      <c r="BN101" s="42">
        <v>3760</v>
      </c>
      <c r="BO101" s="45">
        <v>2290.3999999999996</v>
      </c>
      <c r="BP101" s="44">
        <v>300</v>
      </c>
      <c r="BQ101" s="42">
        <v>4260</v>
      </c>
      <c r="BR101" s="45">
        <v>2819.6</v>
      </c>
      <c r="BS101" s="44">
        <v>350</v>
      </c>
      <c r="BT101" s="42">
        <v>5030</v>
      </c>
      <c r="BU101" s="112">
        <v>3360</v>
      </c>
      <c r="BV101" s="115">
        <v>348</v>
      </c>
      <c r="BW101" s="116">
        <v>5164</v>
      </c>
      <c r="BX101" s="112">
        <v>3464.8000000000006</v>
      </c>
      <c r="BY101" s="115">
        <v>325</v>
      </c>
      <c r="BZ101" s="116">
        <v>4760</v>
      </c>
      <c r="CA101" s="112">
        <v>3261.2000000000003</v>
      </c>
      <c r="CB101" s="115">
        <v>250</v>
      </c>
      <c r="CC101" s="116">
        <v>3500</v>
      </c>
      <c r="CD101" s="112">
        <v>2462.8000000000002</v>
      </c>
      <c r="CE101" s="115">
        <v>260</v>
      </c>
      <c r="CF101" s="116">
        <v>4060</v>
      </c>
      <c r="CG101" s="112">
        <v>2582.4</v>
      </c>
      <c r="CH101" s="115">
        <v>345</v>
      </c>
      <c r="CI101" s="116">
        <v>5050</v>
      </c>
      <c r="CJ101" s="112">
        <v>3425.2000000000007</v>
      </c>
      <c r="CK101" s="54">
        <f t="shared" si="18"/>
        <v>4023</v>
      </c>
      <c r="CL101" s="63">
        <f t="shared" si="19"/>
        <v>57764</v>
      </c>
      <c r="CM101" s="55">
        <f t="shared" si="20"/>
        <v>38679</v>
      </c>
      <c r="CN101" s="54">
        <f t="shared" si="21"/>
        <v>335.25</v>
      </c>
      <c r="CO101" s="63">
        <f t="shared" si="22"/>
        <v>4813.666666666667</v>
      </c>
      <c r="CP101" s="172">
        <f t="shared" si="23"/>
        <v>3223.25</v>
      </c>
      <c r="CQ101" s="151">
        <v>318</v>
      </c>
      <c r="CR101" s="152">
        <v>4500</v>
      </c>
      <c r="CS101" s="97">
        <v>3132.8</v>
      </c>
      <c r="CT101" s="27">
        <v>300</v>
      </c>
      <c r="CU101" s="58">
        <v>4670</v>
      </c>
      <c r="CV101" s="12">
        <v>3087.6000000000004</v>
      </c>
      <c r="CW101" s="27"/>
      <c r="CX101" s="58"/>
      <c r="CY101" s="98"/>
      <c r="CZ101" s="27"/>
      <c r="DA101" s="58"/>
      <c r="DB101" s="12"/>
      <c r="DC101" s="27"/>
      <c r="DD101" s="58"/>
      <c r="DE101" s="12"/>
      <c r="DF101" s="27"/>
      <c r="DG101" s="58"/>
      <c r="DH101" s="12"/>
      <c r="DI101" s="27"/>
      <c r="DJ101" s="58"/>
      <c r="DK101" s="107"/>
      <c r="DL101" s="27"/>
      <c r="DM101" s="58"/>
      <c r="DN101" s="107"/>
      <c r="DO101" s="27"/>
      <c r="DP101" s="58"/>
      <c r="DQ101" s="107"/>
      <c r="DR101" s="27"/>
      <c r="DS101" s="58"/>
      <c r="DT101" s="107"/>
      <c r="DU101" s="27"/>
      <c r="DV101" s="58"/>
      <c r="DW101" s="107"/>
      <c r="DX101" s="27"/>
      <c r="DY101" s="58"/>
      <c r="DZ101" s="107"/>
    </row>
    <row r="102" spans="1:130" s="2" customFormat="1" ht="34.9" customHeight="1" x14ac:dyDescent="0.6">
      <c r="A102" s="5">
        <v>99</v>
      </c>
      <c r="B102" s="21" t="s">
        <v>314</v>
      </c>
      <c r="C102" s="16" t="s">
        <v>315</v>
      </c>
      <c r="D102" s="15" t="s">
        <v>90</v>
      </c>
      <c r="E102" s="14" t="s">
        <v>91</v>
      </c>
      <c r="F102" s="7" t="s">
        <v>150</v>
      </c>
      <c r="G102" s="18" t="s">
        <v>930</v>
      </c>
      <c r="H102" s="18" t="s">
        <v>931</v>
      </c>
      <c r="I102" s="14" t="s">
        <v>932</v>
      </c>
      <c r="J102" s="49" t="s">
        <v>125</v>
      </c>
      <c r="K102" s="27">
        <v>120</v>
      </c>
      <c r="L102" s="58">
        <v>1440</v>
      </c>
      <c r="M102" s="78">
        <v>1440</v>
      </c>
      <c r="N102" s="27">
        <v>0</v>
      </c>
      <c r="O102" s="58">
        <v>0</v>
      </c>
      <c r="P102" s="49">
        <v>0</v>
      </c>
      <c r="Q102" s="27">
        <v>45</v>
      </c>
      <c r="R102" s="58">
        <v>540</v>
      </c>
      <c r="S102" s="98">
        <v>540</v>
      </c>
      <c r="T102" s="27">
        <v>45</v>
      </c>
      <c r="U102" s="58">
        <v>540</v>
      </c>
      <c r="V102" s="12">
        <v>540</v>
      </c>
      <c r="W102" s="27">
        <v>75</v>
      </c>
      <c r="X102" s="58">
        <v>900</v>
      </c>
      <c r="Y102" s="12">
        <v>900</v>
      </c>
      <c r="Z102" s="27">
        <v>229</v>
      </c>
      <c r="AA102" s="58">
        <v>2808</v>
      </c>
      <c r="AB102" s="107">
        <v>2462.3999999999996</v>
      </c>
      <c r="AC102" s="27">
        <v>0</v>
      </c>
      <c r="AD102" s="58">
        <v>0</v>
      </c>
      <c r="AE102" s="107">
        <v>0</v>
      </c>
      <c r="AF102" s="27">
        <v>510</v>
      </c>
      <c r="AG102" s="58">
        <v>6840</v>
      </c>
      <c r="AH102" s="107">
        <v>5844.8</v>
      </c>
      <c r="AI102" s="27">
        <v>365</v>
      </c>
      <c r="AJ102" s="58">
        <v>5360</v>
      </c>
      <c r="AK102" s="107">
        <v>4137.2</v>
      </c>
      <c r="AL102" s="27">
        <v>376</v>
      </c>
      <c r="AM102" s="58">
        <v>5512</v>
      </c>
      <c r="AN102" s="107">
        <v>4220.8</v>
      </c>
      <c r="AO102" s="27">
        <v>300</v>
      </c>
      <c r="AP102" s="58">
        <v>4260</v>
      </c>
      <c r="AQ102" s="107">
        <v>3488</v>
      </c>
      <c r="AR102" s="27">
        <v>300</v>
      </c>
      <c r="AS102" s="58">
        <v>4320</v>
      </c>
      <c r="AT102" s="107">
        <v>3306.8</v>
      </c>
      <c r="AU102" s="54">
        <f t="shared" si="12"/>
        <v>2365</v>
      </c>
      <c r="AV102" s="63">
        <f t="shared" si="13"/>
        <v>32520</v>
      </c>
      <c r="AW102" s="55">
        <f t="shared" si="14"/>
        <v>26880</v>
      </c>
      <c r="AX102" s="54">
        <f t="shared" si="15"/>
        <v>197.08333333333334</v>
      </c>
      <c r="AY102" s="63">
        <f t="shared" si="16"/>
        <v>16.423611111111111</v>
      </c>
      <c r="AZ102" s="55">
        <f t="shared" si="17"/>
        <v>2240</v>
      </c>
      <c r="BA102" s="10">
        <v>255</v>
      </c>
      <c r="BB102" s="15">
        <v>4080</v>
      </c>
      <c r="BC102" s="11">
        <v>2979.2</v>
      </c>
      <c r="BD102" s="10">
        <v>175</v>
      </c>
      <c r="BE102" s="15">
        <v>2820</v>
      </c>
      <c r="BF102" s="11">
        <v>2517.6</v>
      </c>
      <c r="BG102" s="10">
        <v>305</v>
      </c>
      <c r="BH102" s="15">
        <v>4560</v>
      </c>
      <c r="BI102" s="11">
        <v>3556.8</v>
      </c>
      <c r="BJ102" s="10">
        <v>300</v>
      </c>
      <c r="BK102" s="15">
        <v>4280</v>
      </c>
      <c r="BL102" s="11">
        <v>3349.6000000000004</v>
      </c>
      <c r="BM102" s="44">
        <v>130</v>
      </c>
      <c r="BN102" s="42">
        <v>2180</v>
      </c>
      <c r="BO102" s="45">
        <v>1508.8</v>
      </c>
      <c r="BP102" s="44">
        <v>290</v>
      </c>
      <c r="BQ102" s="42">
        <v>4840</v>
      </c>
      <c r="BR102" s="45">
        <v>3382</v>
      </c>
      <c r="BS102" s="44">
        <v>260</v>
      </c>
      <c r="BT102" s="42">
        <v>4180</v>
      </c>
      <c r="BU102" s="112">
        <v>3014.3999999999996</v>
      </c>
      <c r="BV102" s="115">
        <v>303</v>
      </c>
      <c r="BW102" s="116">
        <v>4536</v>
      </c>
      <c r="BX102" s="112">
        <v>3593.28</v>
      </c>
      <c r="BY102" s="115">
        <v>330</v>
      </c>
      <c r="BZ102" s="116">
        <v>5370</v>
      </c>
      <c r="CA102" s="112">
        <v>3738</v>
      </c>
      <c r="CB102" s="115">
        <v>420</v>
      </c>
      <c r="CC102" s="116">
        <v>6080</v>
      </c>
      <c r="CD102" s="112">
        <v>4928.8</v>
      </c>
      <c r="CE102" s="115">
        <v>225</v>
      </c>
      <c r="CF102" s="116">
        <v>4320</v>
      </c>
      <c r="CG102" s="112">
        <v>2652.4</v>
      </c>
      <c r="CH102" s="115">
        <v>365</v>
      </c>
      <c r="CI102" s="116">
        <v>5260</v>
      </c>
      <c r="CJ102" s="112">
        <v>4277.2</v>
      </c>
      <c r="CK102" s="54">
        <f t="shared" si="18"/>
        <v>3358</v>
      </c>
      <c r="CL102" s="63">
        <f t="shared" si="19"/>
        <v>52506</v>
      </c>
      <c r="CM102" s="55">
        <f t="shared" si="20"/>
        <v>39498.079999999994</v>
      </c>
      <c r="CN102" s="54">
        <f t="shared" si="21"/>
        <v>279.83333333333331</v>
      </c>
      <c r="CO102" s="63">
        <f t="shared" si="22"/>
        <v>4375.5</v>
      </c>
      <c r="CP102" s="172">
        <f t="shared" si="23"/>
        <v>3291.5066666666662</v>
      </c>
      <c r="CQ102" s="151">
        <v>385</v>
      </c>
      <c r="CR102" s="152">
        <v>6080</v>
      </c>
      <c r="CS102" s="97">
        <v>4490.8</v>
      </c>
      <c r="CT102" s="27">
        <v>305</v>
      </c>
      <c r="CU102" s="58">
        <v>4640</v>
      </c>
      <c r="CV102" s="12">
        <v>3507.2</v>
      </c>
      <c r="CW102" s="27"/>
      <c r="CX102" s="58"/>
      <c r="CY102" s="98"/>
      <c r="CZ102" s="27"/>
      <c r="DA102" s="58"/>
      <c r="DB102" s="12"/>
      <c r="DC102" s="27"/>
      <c r="DD102" s="58"/>
      <c r="DE102" s="107"/>
      <c r="DF102" s="27"/>
      <c r="DG102" s="58"/>
      <c r="DH102" s="107"/>
      <c r="DI102" s="27"/>
      <c r="DJ102" s="58"/>
      <c r="DK102" s="107"/>
      <c r="DL102" s="27"/>
      <c r="DM102" s="58"/>
      <c r="DN102" s="107"/>
      <c r="DO102" s="27"/>
      <c r="DP102" s="58"/>
      <c r="DQ102" s="107"/>
      <c r="DR102" s="27"/>
      <c r="DS102" s="58"/>
      <c r="DT102" s="107"/>
      <c r="DU102" s="27"/>
      <c r="DV102" s="58"/>
      <c r="DW102" s="107"/>
      <c r="DX102" s="27"/>
      <c r="DY102" s="58"/>
      <c r="DZ102" s="107"/>
    </row>
    <row r="103" spans="1:130" s="2" customFormat="1" ht="34.9" customHeight="1" x14ac:dyDescent="0.6">
      <c r="A103" s="5">
        <v>100</v>
      </c>
      <c r="B103" s="21" t="s">
        <v>322</v>
      </c>
      <c r="C103" s="16" t="s">
        <v>323</v>
      </c>
      <c r="D103" s="15" t="s">
        <v>90</v>
      </c>
      <c r="E103" s="14" t="s">
        <v>91</v>
      </c>
      <c r="F103" s="7" t="s">
        <v>150</v>
      </c>
      <c r="G103" s="18" t="s">
        <v>322</v>
      </c>
      <c r="H103" s="18" t="s">
        <v>323</v>
      </c>
      <c r="I103" s="14" t="s">
        <v>940</v>
      </c>
      <c r="J103" s="49" t="s">
        <v>125</v>
      </c>
      <c r="K103" s="27">
        <v>105</v>
      </c>
      <c r="L103" s="58">
        <v>1460</v>
      </c>
      <c r="M103" s="78">
        <v>956</v>
      </c>
      <c r="N103" s="27">
        <v>132</v>
      </c>
      <c r="O103" s="58">
        <v>1814</v>
      </c>
      <c r="P103" s="104">
        <v>1227.2</v>
      </c>
      <c r="Q103" s="27">
        <v>96</v>
      </c>
      <c r="R103" s="58">
        <v>1322</v>
      </c>
      <c r="S103" s="98">
        <v>857.6</v>
      </c>
      <c r="T103" s="27">
        <v>90</v>
      </c>
      <c r="U103" s="58">
        <v>1230</v>
      </c>
      <c r="V103" s="12">
        <v>834</v>
      </c>
      <c r="W103" s="27">
        <v>96</v>
      </c>
      <c r="X103" s="58">
        <v>1344</v>
      </c>
      <c r="Y103" s="107">
        <v>860.16000000000008</v>
      </c>
      <c r="Z103" s="27">
        <v>115</v>
      </c>
      <c r="AA103" s="58">
        <v>1600</v>
      </c>
      <c r="AB103" s="107">
        <v>1045.5999999999999</v>
      </c>
      <c r="AC103" s="27">
        <v>107</v>
      </c>
      <c r="AD103" s="58">
        <v>1474</v>
      </c>
      <c r="AE103" s="107">
        <v>995.2</v>
      </c>
      <c r="AF103" s="27">
        <v>132</v>
      </c>
      <c r="AG103" s="58">
        <v>1794</v>
      </c>
      <c r="AH103" s="107">
        <v>1246.8000000000002</v>
      </c>
      <c r="AI103" s="27">
        <v>69</v>
      </c>
      <c r="AJ103" s="58">
        <v>948</v>
      </c>
      <c r="AK103" s="107">
        <v>631.20000000000005</v>
      </c>
      <c r="AL103" s="27">
        <v>108</v>
      </c>
      <c r="AM103" s="58">
        <v>1486</v>
      </c>
      <c r="AN103" s="107">
        <v>1007.2</v>
      </c>
      <c r="AO103" s="27">
        <v>109</v>
      </c>
      <c r="AP103" s="58">
        <v>1488</v>
      </c>
      <c r="AQ103" s="107">
        <v>1020</v>
      </c>
      <c r="AR103" s="27">
        <v>120</v>
      </c>
      <c r="AS103" s="58">
        <v>1620</v>
      </c>
      <c r="AT103" s="107">
        <v>1148.4000000000001</v>
      </c>
      <c r="AU103" s="54">
        <f t="shared" si="12"/>
        <v>1279</v>
      </c>
      <c r="AV103" s="63">
        <f t="shared" si="13"/>
        <v>17580</v>
      </c>
      <c r="AW103" s="55">
        <f t="shared" si="14"/>
        <v>11829.36</v>
      </c>
      <c r="AX103" s="54">
        <f t="shared" si="15"/>
        <v>106.58333333333333</v>
      </c>
      <c r="AY103" s="63">
        <f t="shared" si="16"/>
        <v>8.8819444444444446</v>
      </c>
      <c r="AZ103" s="55">
        <f t="shared" si="17"/>
        <v>985.78000000000009</v>
      </c>
      <c r="BA103" s="10">
        <v>147</v>
      </c>
      <c r="BB103" s="15">
        <v>2388</v>
      </c>
      <c r="BC103" s="11">
        <v>1775.1999999999998</v>
      </c>
      <c r="BD103" s="10">
        <v>125</v>
      </c>
      <c r="BE103" s="15">
        <v>2414</v>
      </c>
      <c r="BF103" s="11">
        <v>1701.04</v>
      </c>
      <c r="BG103" s="10">
        <v>200</v>
      </c>
      <c r="BH103" s="15">
        <v>3512</v>
      </c>
      <c r="BI103" s="11">
        <v>2357.1999999999998</v>
      </c>
      <c r="BJ103" s="10">
        <v>185</v>
      </c>
      <c r="BK103" s="15">
        <v>2690</v>
      </c>
      <c r="BL103" s="11">
        <v>1940.4</v>
      </c>
      <c r="BM103" s="44">
        <v>267</v>
      </c>
      <c r="BN103" s="42">
        <v>3454</v>
      </c>
      <c r="BO103" s="45">
        <v>2816.8</v>
      </c>
      <c r="BP103" s="44">
        <v>184</v>
      </c>
      <c r="BQ103" s="42">
        <v>2482</v>
      </c>
      <c r="BR103" s="45">
        <v>1903.6</v>
      </c>
      <c r="BS103" s="44">
        <v>207</v>
      </c>
      <c r="BT103" s="42">
        <v>3056</v>
      </c>
      <c r="BU103" s="112">
        <v>2238.3999999999996</v>
      </c>
      <c r="BV103" s="115">
        <v>207</v>
      </c>
      <c r="BW103" s="116">
        <v>2937</v>
      </c>
      <c r="BX103" s="112">
        <v>2233</v>
      </c>
      <c r="BY103" s="115">
        <v>197</v>
      </c>
      <c r="BZ103" s="116">
        <v>2844</v>
      </c>
      <c r="CA103" s="112">
        <v>2062</v>
      </c>
      <c r="CB103" s="115">
        <v>211</v>
      </c>
      <c r="CC103" s="116">
        <v>3118</v>
      </c>
      <c r="CD103" s="112">
        <v>2309.6800000000003</v>
      </c>
      <c r="CE103" s="115">
        <v>159</v>
      </c>
      <c r="CF103" s="116">
        <v>2262</v>
      </c>
      <c r="CG103" s="112">
        <v>1719.2</v>
      </c>
      <c r="CH103" s="115">
        <v>188</v>
      </c>
      <c r="CI103" s="116">
        <v>2764</v>
      </c>
      <c r="CJ103" s="112">
        <v>1957.2</v>
      </c>
      <c r="CK103" s="54">
        <f t="shared" si="18"/>
        <v>2277</v>
      </c>
      <c r="CL103" s="63">
        <f t="shared" si="19"/>
        <v>33921</v>
      </c>
      <c r="CM103" s="55">
        <f t="shared" si="20"/>
        <v>25013.72</v>
      </c>
      <c r="CN103" s="54">
        <f t="shared" si="21"/>
        <v>189.75</v>
      </c>
      <c r="CO103" s="63">
        <f t="shared" si="22"/>
        <v>2826.75</v>
      </c>
      <c r="CP103" s="172">
        <f t="shared" si="23"/>
        <v>2084.4766666666669</v>
      </c>
      <c r="CQ103" s="151">
        <v>227</v>
      </c>
      <c r="CR103" s="152">
        <v>3516</v>
      </c>
      <c r="CS103" s="97">
        <v>2396.96</v>
      </c>
      <c r="CT103" s="27">
        <v>204</v>
      </c>
      <c r="CU103" s="58">
        <v>2998</v>
      </c>
      <c r="CV103" s="107">
        <v>2043.1999999999998</v>
      </c>
      <c r="CW103" s="27"/>
      <c r="CX103" s="58"/>
      <c r="CY103" s="98"/>
      <c r="CZ103" s="27"/>
      <c r="DA103" s="58"/>
      <c r="DB103" s="107"/>
      <c r="DC103" s="27"/>
      <c r="DD103" s="58"/>
      <c r="DE103" s="12"/>
      <c r="DF103" s="27"/>
      <c r="DG103" s="58"/>
      <c r="DH103" s="107"/>
      <c r="DI103" s="27"/>
      <c r="DJ103" s="58"/>
      <c r="DK103" s="107"/>
      <c r="DL103" s="27"/>
      <c r="DM103" s="58"/>
      <c r="DN103" s="107"/>
      <c r="DO103" s="27"/>
      <c r="DP103" s="58"/>
      <c r="DQ103" s="107"/>
      <c r="DR103" s="27"/>
      <c r="DS103" s="58"/>
      <c r="DT103" s="107"/>
      <c r="DU103" s="27"/>
      <c r="DV103" s="58"/>
      <c r="DW103" s="107"/>
      <c r="DX103" s="27"/>
      <c r="DY103" s="58"/>
      <c r="DZ103" s="107"/>
    </row>
    <row r="104" spans="1:130" s="2" customFormat="1" ht="34.9" customHeight="1" x14ac:dyDescent="0.6">
      <c r="A104" s="5">
        <v>101</v>
      </c>
      <c r="B104" s="21" t="s">
        <v>326</v>
      </c>
      <c r="C104" s="16" t="s">
        <v>327</v>
      </c>
      <c r="D104" s="15" t="s">
        <v>13</v>
      </c>
      <c r="E104" s="14" t="s">
        <v>79</v>
      </c>
      <c r="F104" s="7" t="s">
        <v>150</v>
      </c>
      <c r="G104" s="18" t="s">
        <v>944</v>
      </c>
      <c r="H104" s="18" t="s">
        <v>945</v>
      </c>
      <c r="I104" s="14" t="s">
        <v>946</v>
      </c>
      <c r="J104" s="49" t="s">
        <v>125</v>
      </c>
      <c r="K104" s="27">
        <v>150</v>
      </c>
      <c r="L104" s="58">
        <v>2100</v>
      </c>
      <c r="M104" s="78">
        <v>1344</v>
      </c>
      <c r="N104" s="27">
        <v>100</v>
      </c>
      <c r="O104" s="58">
        <v>1400</v>
      </c>
      <c r="P104" s="49">
        <v>896.00000000000011</v>
      </c>
      <c r="Q104" s="27">
        <v>160</v>
      </c>
      <c r="R104" s="58">
        <v>2220</v>
      </c>
      <c r="S104" s="98">
        <v>1464</v>
      </c>
      <c r="T104" s="27">
        <v>170</v>
      </c>
      <c r="U104" s="58">
        <v>2380</v>
      </c>
      <c r="V104" s="107">
        <v>1523.2</v>
      </c>
      <c r="W104" s="27">
        <v>80</v>
      </c>
      <c r="X104" s="58">
        <v>1120</v>
      </c>
      <c r="Y104" s="107">
        <v>716.80000000000007</v>
      </c>
      <c r="Z104" s="27">
        <v>100</v>
      </c>
      <c r="AA104" s="58">
        <v>1400</v>
      </c>
      <c r="AB104" s="12">
        <v>896</v>
      </c>
      <c r="AC104" s="27">
        <v>115</v>
      </c>
      <c r="AD104" s="58">
        <v>1600</v>
      </c>
      <c r="AE104" s="107">
        <v>1045.5999999999999</v>
      </c>
      <c r="AF104" s="27">
        <v>83</v>
      </c>
      <c r="AG104" s="58">
        <v>1156</v>
      </c>
      <c r="AH104" s="107">
        <v>752.80000000000007</v>
      </c>
      <c r="AI104" s="27">
        <v>100</v>
      </c>
      <c r="AJ104" s="58">
        <v>1400</v>
      </c>
      <c r="AK104" s="107">
        <v>896</v>
      </c>
      <c r="AL104" s="27">
        <v>113</v>
      </c>
      <c r="AM104" s="58">
        <v>1594</v>
      </c>
      <c r="AN104" s="107">
        <v>1073.7600000000002</v>
      </c>
      <c r="AO104" s="27">
        <v>90</v>
      </c>
      <c r="AP104" s="58">
        <v>1260</v>
      </c>
      <c r="AQ104" s="107">
        <v>806.4</v>
      </c>
      <c r="AR104" s="27">
        <v>115</v>
      </c>
      <c r="AS104" s="58">
        <v>1570</v>
      </c>
      <c r="AT104" s="107">
        <v>1091.2</v>
      </c>
      <c r="AU104" s="54">
        <f t="shared" si="12"/>
        <v>1376</v>
      </c>
      <c r="AV104" s="63">
        <f t="shared" si="13"/>
        <v>19200</v>
      </c>
      <c r="AW104" s="55">
        <f t="shared" si="14"/>
        <v>12505.76</v>
      </c>
      <c r="AX104" s="54">
        <f t="shared" si="15"/>
        <v>114.66666666666667</v>
      </c>
      <c r="AY104" s="63">
        <f t="shared" si="16"/>
        <v>9.5555555555555554</v>
      </c>
      <c r="AZ104" s="55">
        <f t="shared" si="17"/>
        <v>1042.1466666666668</v>
      </c>
      <c r="BA104" s="10">
        <v>100</v>
      </c>
      <c r="BB104" s="15">
        <v>1400</v>
      </c>
      <c r="BC104" s="11">
        <v>896</v>
      </c>
      <c r="BD104" s="10">
        <v>35</v>
      </c>
      <c r="BE104" s="15">
        <v>480</v>
      </c>
      <c r="BF104" s="11">
        <v>328.8</v>
      </c>
      <c r="BG104" s="10">
        <v>140</v>
      </c>
      <c r="BH104" s="15">
        <v>1960</v>
      </c>
      <c r="BI104" s="11">
        <v>1254.4000000000001</v>
      </c>
      <c r="BJ104" s="10">
        <v>60</v>
      </c>
      <c r="BK104" s="15">
        <v>840</v>
      </c>
      <c r="BL104" s="11">
        <v>537.6</v>
      </c>
      <c r="BM104" s="44">
        <v>135</v>
      </c>
      <c r="BN104" s="42">
        <v>1860</v>
      </c>
      <c r="BO104" s="45">
        <v>1255.2000000000003</v>
      </c>
      <c r="BP104" s="44">
        <v>80</v>
      </c>
      <c r="BQ104" s="42">
        <v>1120</v>
      </c>
      <c r="BR104" s="45">
        <v>716.8</v>
      </c>
      <c r="BS104" s="44">
        <v>105</v>
      </c>
      <c r="BT104" s="42">
        <v>1460</v>
      </c>
      <c r="BU104" s="112">
        <v>946.40000000000009</v>
      </c>
      <c r="BV104" s="115">
        <v>50</v>
      </c>
      <c r="BW104" s="116">
        <v>700</v>
      </c>
      <c r="BX104" s="112">
        <v>448</v>
      </c>
      <c r="BY104" s="115">
        <v>100</v>
      </c>
      <c r="BZ104" s="116">
        <v>1400</v>
      </c>
      <c r="CA104" s="112">
        <v>896</v>
      </c>
      <c r="CB104" s="115">
        <v>100</v>
      </c>
      <c r="CC104" s="116">
        <v>1400</v>
      </c>
      <c r="CD104" s="112">
        <v>896.00000000000011</v>
      </c>
      <c r="CE104" s="115">
        <v>55</v>
      </c>
      <c r="CF104" s="116">
        <v>770</v>
      </c>
      <c r="CG104" s="112">
        <v>492.80000000000007</v>
      </c>
      <c r="CH104" s="115">
        <v>55</v>
      </c>
      <c r="CI104" s="116">
        <v>770</v>
      </c>
      <c r="CJ104" s="112">
        <v>492.80000000000007</v>
      </c>
      <c r="CK104" s="54">
        <f t="shared" si="18"/>
        <v>1015</v>
      </c>
      <c r="CL104" s="63">
        <f t="shared" si="19"/>
        <v>14160</v>
      </c>
      <c r="CM104" s="55">
        <f t="shared" si="20"/>
        <v>9160.7999999999993</v>
      </c>
      <c r="CN104" s="54">
        <f t="shared" si="21"/>
        <v>84.583333333333329</v>
      </c>
      <c r="CO104" s="63">
        <f t="shared" si="22"/>
        <v>1180</v>
      </c>
      <c r="CP104" s="172">
        <f t="shared" si="23"/>
        <v>763.4</v>
      </c>
      <c r="CQ104" s="151">
        <v>80</v>
      </c>
      <c r="CR104" s="152">
        <v>1120</v>
      </c>
      <c r="CS104" s="97">
        <v>716.80000000000007</v>
      </c>
      <c r="CT104" s="27">
        <v>35</v>
      </c>
      <c r="CU104" s="58">
        <v>490</v>
      </c>
      <c r="CV104" s="107">
        <v>313.60000000000002</v>
      </c>
      <c r="CW104" s="27"/>
      <c r="CX104" s="58"/>
      <c r="CY104" s="98"/>
      <c r="CZ104" s="27"/>
      <c r="DA104" s="58"/>
      <c r="DB104" s="107"/>
      <c r="DC104" s="27"/>
      <c r="DD104" s="58"/>
      <c r="DE104" s="12"/>
      <c r="DF104" s="27"/>
      <c r="DG104" s="58"/>
      <c r="DH104" s="107"/>
      <c r="DI104" s="27"/>
      <c r="DJ104" s="58"/>
      <c r="DK104" s="107"/>
      <c r="DL104" s="27"/>
      <c r="DM104" s="58"/>
      <c r="DN104" s="107"/>
      <c r="DO104" s="27"/>
      <c r="DP104" s="58"/>
      <c r="DQ104" s="107"/>
      <c r="DR104" s="27"/>
      <c r="DS104" s="58"/>
      <c r="DT104" s="107"/>
      <c r="DU104" s="27"/>
      <c r="DV104" s="58"/>
      <c r="DW104" s="107"/>
      <c r="DX104" s="27"/>
      <c r="DY104" s="58"/>
      <c r="DZ104" s="107"/>
    </row>
    <row r="105" spans="1:130" s="2" customFormat="1" ht="34.9" customHeight="1" x14ac:dyDescent="0.6">
      <c r="A105" s="5">
        <v>102</v>
      </c>
      <c r="B105" s="21" t="s">
        <v>328</v>
      </c>
      <c r="C105" s="16" t="s">
        <v>329</v>
      </c>
      <c r="D105" s="15" t="s">
        <v>13</v>
      </c>
      <c r="E105" s="14" t="s">
        <v>79</v>
      </c>
      <c r="F105" s="7" t="s">
        <v>150</v>
      </c>
      <c r="G105" s="18" t="s">
        <v>947</v>
      </c>
      <c r="H105" s="18" t="s">
        <v>948</v>
      </c>
      <c r="I105" s="14" t="s">
        <v>949</v>
      </c>
      <c r="J105" s="49" t="s">
        <v>125</v>
      </c>
      <c r="K105" s="27">
        <v>1265</v>
      </c>
      <c r="L105" s="58">
        <v>17780</v>
      </c>
      <c r="M105" s="78">
        <v>13198.800000000001</v>
      </c>
      <c r="N105" s="27">
        <v>160</v>
      </c>
      <c r="O105" s="58">
        <v>2330</v>
      </c>
      <c r="P105" s="104">
        <v>1519.6000000000001</v>
      </c>
      <c r="Q105" s="27">
        <v>595</v>
      </c>
      <c r="R105" s="58">
        <v>8320</v>
      </c>
      <c r="S105" s="98">
        <v>6460.4</v>
      </c>
      <c r="T105" s="27">
        <v>600</v>
      </c>
      <c r="U105" s="58">
        <v>9140</v>
      </c>
      <c r="V105" s="107">
        <v>6239.2000000000007</v>
      </c>
      <c r="W105" s="27">
        <v>786</v>
      </c>
      <c r="X105" s="58">
        <v>11570</v>
      </c>
      <c r="Y105" s="107">
        <v>8310.7999999999993</v>
      </c>
      <c r="Z105" s="27">
        <v>965</v>
      </c>
      <c r="AA105" s="58">
        <v>13540</v>
      </c>
      <c r="AB105" s="107">
        <v>9920.4000000000015</v>
      </c>
      <c r="AC105" s="27">
        <v>140</v>
      </c>
      <c r="AD105" s="58">
        <v>2520</v>
      </c>
      <c r="AE105" s="107">
        <v>1740</v>
      </c>
      <c r="AF105" s="27">
        <v>657</v>
      </c>
      <c r="AG105" s="58">
        <v>9254</v>
      </c>
      <c r="AH105" s="107">
        <v>7138.4</v>
      </c>
      <c r="AI105" s="27">
        <v>800</v>
      </c>
      <c r="AJ105" s="58">
        <v>10540</v>
      </c>
      <c r="AK105" s="107">
        <v>6746</v>
      </c>
      <c r="AL105" s="27">
        <v>1035</v>
      </c>
      <c r="AM105" s="58">
        <v>17440</v>
      </c>
      <c r="AN105" s="107">
        <v>10246.400000000001</v>
      </c>
      <c r="AO105" s="27">
        <v>1030</v>
      </c>
      <c r="AP105" s="58">
        <v>15600</v>
      </c>
      <c r="AQ105" s="107">
        <v>10904</v>
      </c>
      <c r="AR105" s="27">
        <v>0</v>
      </c>
      <c r="AS105" s="58">
        <v>0</v>
      </c>
      <c r="AT105" s="107">
        <v>0</v>
      </c>
      <c r="AU105" s="54">
        <f t="shared" si="12"/>
        <v>8033</v>
      </c>
      <c r="AV105" s="63">
        <f t="shared" si="13"/>
        <v>118034</v>
      </c>
      <c r="AW105" s="55">
        <f t="shared" si="14"/>
        <v>82424</v>
      </c>
      <c r="AX105" s="54">
        <f t="shared" si="15"/>
        <v>669.41666666666663</v>
      </c>
      <c r="AY105" s="63">
        <f t="shared" si="16"/>
        <v>55.784722222222221</v>
      </c>
      <c r="AZ105" s="55">
        <f t="shared" si="17"/>
        <v>6868.666666666667</v>
      </c>
      <c r="BA105" s="10">
        <v>0</v>
      </c>
      <c r="BB105" s="15">
        <v>0</v>
      </c>
      <c r="BC105" s="11">
        <v>0</v>
      </c>
      <c r="BD105" s="10">
        <v>0</v>
      </c>
      <c r="BE105" s="15">
        <v>0</v>
      </c>
      <c r="BF105" s="11">
        <v>0</v>
      </c>
      <c r="BG105" s="10">
        <v>1125</v>
      </c>
      <c r="BH105" s="15">
        <v>15500</v>
      </c>
      <c r="BI105" s="11">
        <v>12448</v>
      </c>
      <c r="BJ105" s="10">
        <v>585</v>
      </c>
      <c r="BK105" s="15">
        <v>8660</v>
      </c>
      <c r="BL105" s="11">
        <v>6515.2</v>
      </c>
      <c r="BM105" s="44">
        <v>10</v>
      </c>
      <c r="BN105" s="42">
        <v>120</v>
      </c>
      <c r="BO105" s="45">
        <v>84</v>
      </c>
      <c r="BP105" s="44">
        <v>720</v>
      </c>
      <c r="BQ105" s="42">
        <v>9860</v>
      </c>
      <c r="BR105" s="45">
        <v>7340.8</v>
      </c>
      <c r="BS105" s="44">
        <v>765</v>
      </c>
      <c r="BT105" s="42">
        <v>10680</v>
      </c>
      <c r="BU105" s="112">
        <v>7654</v>
      </c>
      <c r="BV105" s="115">
        <v>1110</v>
      </c>
      <c r="BW105" s="116">
        <v>16830</v>
      </c>
      <c r="BX105" s="112">
        <v>11942.8</v>
      </c>
      <c r="BY105" s="115">
        <v>530</v>
      </c>
      <c r="BZ105" s="116">
        <v>7460</v>
      </c>
      <c r="CA105" s="112">
        <v>5736.8</v>
      </c>
      <c r="CB105" s="115">
        <v>570</v>
      </c>
      <c r="CC105" s="116">
        <v>8740</v>
      </c>
      <c r="CD105" s="112">
        <v>5940</v>
      </c>
      <c r="CE105" s="115">
        <v>540</v>
      </c>
      <c r="CF105" s="116">
        <v>8390</v>
      </c>
      <c r="CG105" s="112">
        <v>5546.8</v>
      </c>
      <c r="CH105" s="115">
        <v>200</v>
      </c>
      <c r="CI105" s="116">
        <v>2540</v>
      </c>
      <c r="CJ105" s="112">
        <v>2091.1999999999998</v>
      </c>
      <c r="CK105" s="54">
        <f t="shared" si="18"/>
        <v>6155</v>
      </c>
      <c r="CL105" s="63">
        <f t="shared" si="19"/>
        <v>88780</v>
      </c>
      <c r="CM105" s="55">
        <f t="shared" si="20"/>
        <v>65299.600000000006</v>
      </c>
      <c r="CN105" s="54">
        <f t="shared" si="21"/>
        <v>512.91666666666663</v>
      </c>
      <c r="CO105" s="63">
        <f t="shared" si="22"/>
        <v>7398.333333333333</v>
      </c>
      <c r="CP105" s="172">
        <f t="shared" si="23"/>
        <v>5441.6333333333341</v>
      </c>
      <c r="CQ105" s="151">
        <v>750</v>
      </c>
      <c r="CR105" s="152">
        <v>12620</v>
      </c>
      <c r="CS105" s="97">
        <v>7912.4</v>
      </c>
      <c r="CT105" s="27">
        <v>65</v>
      </c>
      <c r="CU105" s="58">
        <v>1160</v>
      </c>
      <c r="CV105" s="12">
        <v>630</v>
      </c>
      <c r="CW105" s="27"/>
      <c r="CX105" s="58"/>
      <c r="CY105" s="98"/>
      <c r="CZ105" s="27"/>
      <c r="DA105" s="58"/>
      <c r="DB105" s="107"/>
      <c r="DC105" s="27"/>
      <c r="DD105" s="58"/>
      <c r="DE105" s="107"/>
      <c r="DF105" s="27"/>
      <c r="DG105" s="58"/>
      <c r="DH105" s="12"/>
      <c r="DI105" s="27"/>
      <c r="DJ105" s="58"/>
      <c r="DK105" s="107"/>
      <c r="DL105" s="27"/>
      <c r="DM105" s="58"/>
      <c r="DN105" s="107"/>
      <c r="DO105" s="27"/>
      <c r="DP105" s="58"/>
      <c r="DQ105" s="107"/>
      <c r="DR105" s="27"/>
      <c r="DS105" s="58"/>
      <c r="DT105" s="107"/>
      <c r="DU105" s="27"/>
      <c r="DV105" s="58"/>
      <c r="DW105" s="107"/>
      <c r="DX105" s="27"/>
      <c r="DY105" s="58"/>
      <c r="DZ105" s="107"/>
    </row>
    <row r="106" spans="1:130" s="2" customFormat="1" ht="34.9" customHeight="1" x14ac:dyDescent="0.6">
      <c r="A106" s="5">
        <v>103</v>
      </c>
      <c r="B106" s="21" t="s">
        <v>330</v>
      </c>
      <c r="C106" s="16" t="s">
        <v>331</v>
      </c>
      <c r="D106" s="15" t="s">
        <v>13</v>
      </c>
      <c r="E106" s="14" t="s">
        <v>79</v>
      </c>
      <c r="F106" s="7" t="s">
        <v>150</v>
      </c>
      <c r="G106" s="18" t="s">
        <v>950</v>
      </c>
      <c r="H106" s="18" t="s">
        <v>951</v>
      </c>
      <c r="I106" s="14" t="s">
        <v>952</v>
      </c>
      <c r="J106" s="49" t="s">
        <v>125</v>
      </c>
      <c r="K106" s="27">
        <v>333</v>
      </c>
      <c r="L106" s="58">
        <v>4902</v>
      </c>
      <c r="M106" s="78">
        <v>3376.4</v>
      </c>
      <c r="N106" s="27">
        <v>263</v>
      </c>
      <c r="O106" s="58">
        <v>3906</v>
      </c>
      <c r="P106" s="104">
        <v>2684.4</v>
      </c>
      <c r="Q106" s="27">
        <v>193</v>
      </c>
      <c r="R106" s="58">
        <v>2856</v>
      </c>
      <c r="S106" s="98">
        <v>1930</v>
      </c>
      <c r="T106" s="27">
        <v>306</v>
      </c>
      <c r="U106" s="58">
        <v>4460</v>
      </c>
      <c r="V106" s="107">
        <v>3187.2</v>
      </c>
      <c r="W106" s="27">
        <v>267</v>
      </c>
      <c r="X106" s="58">
        <v>3752</v>
      </c>
      <c r="Y106" s="107">
        <v>2771.2</v>
      </c>
      <c r="Z106" s="27">
        <v>268</v>
      </c>
      <c r="AA106" s="58">
        <v>3890</v>
      </c>
      <c r="AB106" s="107">
        <v>2770.8</v>
      </c>
      <c r="AC106" s="27">
        <v>190</v>
      </c>
      <c r="AD106" s="58">
        <v>2760</v>
      </c>
      <c r="AE106" s="107">
        <v>1996</v>
      </c>
      <c r="AF106" s="27">
        <v>254</v>
      </c>
      <c r="AG106" s="58">
        <v>3456</v>
      </c>
      <c r="AH106" s="107">
        <v>2647.2</v>
      </c>
      <c r="AI106" s="27">
        <v>183</v>
      </c>
      <c r="AJ106" s="58">
        <v>2694</v>
      </c>
      <c r="AK106" s="107">
        <v>1724</v>
      </c>
      <c r="AL106" s="27">
        <v>148</v>
      </c>
      <c r="AM106" s="58">
        <v>2366</v>
      </c>
      <c r="AN106" s="107">
        <v>1547.6</v>
      </c>
      <c r="AO106" s="27">
        <v>141</v>
      </c>
      <c r="AP106" s="58">
        <v>1900</v>
      </c>
      <c r="AQ106" s="107">
        <v>1420.4</v>
      </c>
      <c r="AR106" s="27">
        <v>105</v>
      </c>
      <c r="AS106" s="58">
        <v>1790</v>
      </c>
      <c r="AT106" s="107">
        <v>1122.8</v>
      </c>
      <c r="AU106" s="54">
        <f t="shared" si="12"/>
        <v>2651</v>
      </c>
      <c r="AV106" s="63">
        <f t="shared" si="13"/>
        <v>38732</v>
      </c>
      <c r="AW106" s="55">
        <f t="shared" si="14"/>
        <v>27178</v>
      </c>
      <c r="AX106" s="54">
        <f t="shared" si="15"/>
        <v>220.91666666666666</v>
      </c>
      <c r="AY106" s="63">
        <f t="shared" si="16"/>
        <v>18.409722222222221</v>
      </c>
      <c r="AZ106" s="55">
        <f t="shared" si="17"/>
        <v>2264.8333333333335</v>
      </c>
      <c r="BA106" s="10">
        <v>126</v>
      </c>
      <c r="BB106" s="15">
        <v>2260</v>
      </c>
      <c r="BC106" s="11">
        <v>1286.8000000000002</v>
      </c>
      <c r="BD106" s="10">
        <v>162</v>
      </c>
      <c r="BE106" s="15">
        <v>2326</v>
      </c>
      <c r="BF106" s="11">
        <v>1750</v>
      </c>
      <c r="BG106" s="10">
        <v>284</v>
      </c>
      <c r="BH106" s="15">
        <v>4146</v>
      </c>
      <c r="BI106" s="11">
        <v>2951.2000000000003</v>
      </c>
      <c r="BJ106" s="10">
        <v>175</v>
      </c>
      <c r="BK106" s="15">
        <v>3226</v>
      </c>
      <c r="BL106" s="11">
        <v>1944.64</v>
      </c>
      <c r="BM106" s="44">
        <v>25</v>
      </c>
      <c r="BN106" s="42">
        <v>330</v>
      </c>
      <c r="BO106" s="45">
        <v>254.4</v>
      </c>
      <c r="BP106" s="44">
        <v>80</v>
      </c>
      <c r="BQ106" s="42">
        <v>1020</v>
      </c>
      <c r="BR106" s="45">
        <v>844.8</v>
      </c>
      <c r="BS106" s="44">
        <v>172</v>
      </c>
      <c r="BT106" s="42">
        <v>2440</v>
      </c>
      <c r="BU106" s="112">
        <v>1780.4</v>
      </c>
      <c r="BV106" s="115">
        <v>125</v>
      </c>
      <c r="BW106" s="116">
        <v>1900</v>
      </c>
      <c r="BX106" s="112">
        <v>1289.6000000000001</v>
      </c>
      <c r="BY106" s="115">
        <v>230</v>
      </c>
      <c r="BZ106" s="116">
        <v>4010</v>
      </c>
      <c r="CA106" s="112">
        <v>2642.4</v>
      </c>
      <c r="CB106" s="115">
        <v>75</v>
      </c>
      <c r="CC106" s="116">
        <v>1000</v>
      </c>
      <c r="CD106" s="112">
        <v>724</v>
      </c>
      <c r="CE106" s="115">
        <v>100</v>
      </c>
      <c r="CF106" s="116">
        <v>1510</v>
      </c>
      <c r="CG106" s="112">
        <v>1174.4000000000001</v>
      </c>
      <c r="CH106" s="115">
        <v>203</v>
      </c>
      <c r="CI106" s="116">
        <v>2940</v>
      </c>
      <c r="CJ106" s="112">
        <v>2147.1999999999998</v>
      </c>
      <c r="CK106" s="54">
        <f t="shared" si="18"/>
        <v>1757</v>
      </c>
      <c r="CL106" s="63">
        <f t="shared" si="19"/>
        <v>27108</v>
      </c>
      <c r="CM106" s="55">
        <f t="shared" si="20"/>
        <v>18789.84</v>
      </c>
      <c r="CN106" s="54">
        <f t="shared" si="21"/>
        <v>146.41666666666666</v>
      </c>
      <c r="CO106" s="63">
        <f t="shared" si="22"/>
        <v>2259</v>
      </c>
      <c r="CP106" s="172">
        <f t="shared" si="23"/>
        <v>1565.82</v>
      </c>
      <c r="CQ106" s="151">
        <v>118</v>
      </c>
      <c r="CR106" s="152">
        <v>1740</v>
      </c>
      <c r="CS106" s="97">
        <v>1220</v>
      </c>
      <c r="CT106" s="27">
        <v>137</v>
      </c>
      <c r="CU106" s="58">
        <v>1810</v>
      </c>
      <c r="CV106" s="12">
        <v>1480.8000000000002</v>
      </c>
      <c r="CW106" s="27"/>
      <c r="CX106" s="58"/>
      <c r="CY106" s="98"/>
      <c r="CZ106" s="27"/>
      <c r="DA106" s="58"/>
      <c r="DB106" s="107"/>
      <c r="DC106" s="27"/>
      <c r="DD106" s="58"/>
      <c r="DE106" s="107"/>
      <c r="DF106" s="27"/>
      <c r="DG106" s="58"/>
      <c r="DH106" s="12"/>
      <c r="DI106" s="27"/>
      <c r="DJ106" s="58"/>
      <c r="DK106" s="107"/>
      <c r="DL106" s="27"/>
      <c r="DM106" s="58"/>
      <c r="DN106" s="107"/>
      <c r="DO106" s="27"/>
      <c r="DP106" s="58"/>
      <c r="DQ106" s="107"/>
      <c r="DR106" s="27"/>
      <c r="DS106" s="58"/>
      <c r="DT106" s="107"/>
      <c r="DU106" s="27"/>
      <c r="DV106" s="58"/>
      <c r="DW106" s="107"/>
      <c r="DX106" s="27"/>
      <c r="DY106" s="58"/>
      <c r="DZ106" s="107"/>
    </row>
    <row r="107" spans="1:130" s="2" customFormat="1" ht="34.9" customHeight="1" x14ac:dyDescent="0.6">
      <c r="A107" s="5">
        <v>104</v>
      </c>
      <c r="B107" s="16" t="s">
        <v>332</v>
      </c>
      <c r="C107" s="16" t="s">
        <v>333</v>
      </c>
      <c r="D107" s="15" t="s">
        <v>13</v>
      </c>
      <c r="E107" s="14" t="s">
        <v>79</v>
      </c>
      <c r="F107" s="7" t="s">
        <v>150</v>
      </c>
      <c r="G107" s="18" t="s">
        <v>953</v>
      </c>
      <c r="H107" s="18" t="s">
        <v>954</v>
      </c>
      <c r="I107" s="14" t="s">
        <v>955</v>
      </c>
      <c r="J107" s="49" t="s">
        <v>125</v>
      </c>
      <c r="K107" s="27">
        <v>585</v>
      </c>
      <c r="L107" s="58">
        <v>8000</v>
      </c>
      <c r="M107" s="78">
        <v>6373.6</v>
      </c>
      <c r="N107" s="27">
        <v>240</v>
      </c>
      <c r="O107" s="58">
        <v>3200</v>
      </c>
      <c r="P107" s="104">
        <v>2839.2</v>
      </c>
      <c r="Q107" s="27">
        <v>620</v>
      </c>
      <c r="R107" s="58">
        <v>8740</v>
      </c>
      <c r="S107" s="98">
        <v>6307.2000000000007</v>
      </c>
      <c r="T107" s="27">
        <v>280</v>
      </c>
      <c r="U107" s="58">
        <v>3760</v>
      </c>
      <c r="V107" s="107">
        <v>3197.6</v>
      </c>
      <c r="W107" s="27">
        <v>245</v>
      </c>
      <c r="X107" s="58">
        <v>3140</v>
      </c>
      <c r="Y107" s="12">
        <v>2636</v>
      </c>
      <c r="Z107" s="27">
        <v>620</v>
      </c>
      <c r="AA107" s="58">
        <v>8500</v>
      </c>
      <c r="AB107" s="107">
        <v>6497.2</v>
      </c>
      <c r="AC107" s="27">
        <v>295</v>
      </c>
      <c r="AD107" s="58">
        <v>3950</v>
      </c>
      <c r="AE107" s="107">
        <v>3362.4</v>
      </c>
      <c r="AF107" s="27">
        <v>401</v>
      </c>
      <c r="AG107" s="58">
        <v>5532</v>
      </c>
      <c r="AH107" s="107">
        <v>4386</v>
      </c>
      <c r="AI107" s="27">
        <v>585</v>
      </c>
      <c r="AJ107" s="58">
        <v>8000</v>
      </c>
      <c r="AK107" s="107">
        <v>5120</v>
      </c>
      <c r="AL107" s="27">
        <v>420</v>
      </c>
      <c r="AM107" s="58">
        <v>6180</v>
      </c>
      <c r="AN107" s="107">
        <v>4397.2</v>
      </c>
      <c r="AO107" s="27">
        <v>90</v>
      </c>
      <c r="AP107" s="58">
        <v>1170</v>
      </c>
      <c r="AQ107" s="107">
        <v>943.2</v>
      </c>
      <c r="AR107" s="27">
        <v>510</v>
      </c>
      <c r="AS107" s="58">
        <v>7410</v>
      </c>
      <c r="AT107" s="107">
        <v>5472</v>
      </c>
      <c r="AU107" s="54">
        <f t="shared" si="12"/>
        <v>4891</v>
      </c>
      <c r="AV107" s="63">
        <f t="shared" si="13"/>
        <v>67582</v>
      </c>
      <c r="AW107" s="55">
        <f t="shared" si="14"/>
        <v>51531.599999999991</v>
      </c>
      <c r="AX107" s="54">
        <f t="shared" si="15"/>
        <v>407.58333333333331</v>
      </c>
      <c r="AY107" s="63">
        <f t="shared" si="16"/>
        <v>33.965277777777779</v>
      </c>
      <c r="AZ107" s="55">
        <f t="shared" si="17"/>
        <v>4294.2999999999993</v>
      </c>
      <c r="BA107" s="10">
        <v>375</v>
      </c>
      <c r="BB107" s="15">
        <v>5000</v>
      </c>
      <c r="BC107" s="11">
        <v>3962.8</v>
      </c>
      <c r="BD107" s="10">
        <v>380</v>
      </c>
      <c r="BE107" s="15">
        <v>5800</v>
      </c>
      <c r="BF107" s="11">
        <v>4012</v>
      </c>
      <c r="BG107" s="10">
        <v>625</v>
      </c>
      <c r="BH107" s="15">
        <v>8980</v>
      </c>
      <c r="BI107" s="11">
        <v>6762</v>
      </c>
      <c r="BJ107" s="10">
        <v>195</v>
      </c>
      <c r="BK107" s="15">
        <v>2700</v>
      </c>
      <c r="BL107" s="11">
        <v>1991.6000000000001</v>
      </c>
      <c r="BM107" s="44">
        <v>420</v>
      </c>
      <c r="BN107" s="42">
        <v>6700</v>
      </c>
      <c r="BO107" s="45">
        <v>4498</v>
      </c>
      <c r="BP107" s="44">
        <v>405</v>
      </c>
      <c r="BQ107" s="42">
        <v>6030</v>
      </c>
      <c r="BR107" s="45">
        <v>4418.3999999999996</v>
      </c>
      <c r="BS107" s="44">
        <v>275</v>
      </c>
      <c r="BT107" s="42">
        <v>3830</v>
      </c>
      <c r="BU107" s="112">
        <v>2916</v>
      </c>
      <c r="BV107" s="115">
        <v>323</v>
      </c>
      <c r="BW107" s="116">
        <v>4936</v>
      </c>
      <c r="BX107" s="112">
        <v>3367.2799999999997</v>
      </c>
      <c r="BY107" s="115">
        <v>290</v>
      </c>
      <c r="BZ107" s="116">
        <v>4120</v>
      </c>
      <c r="CA107" s="112">
        <v>2928.8</v>
      </c>
      <c r="CB107" s="115">
        <v>445</v>
      </c>
      <c r="CC107" s="116">
        <v>6690</v>
      </c>
      <c r="CD107" s="112">
        <v>4823.6000000000004</v>
      </c>
      <c r="CE107" s="115">
        <v>265</v>
      </c>
      <c r="CF107" s="116">
        <v>4160</v>
      </c>
      <c r="CG107" s="112">
        <v>2780.3999999999996</v>
      </c>
      <c r="CH107" s="115">
        <v>290</v>
      </c>
      <c r="CI107" s="116">
        <v>4440</v>
      </c>
      <c r="CJ107" s="112">
        <v>3086.8</v>
      </c>
      <c r="CK107" s="54">
        <f t="shared" si="18"/>
        <v>4288</v>
      </c>
      <c r="CL107" s="63">
        <f t="shared" si="19"/>
        <v>63386</v>
      </c>
      <c r="CM107" s="55">
        <f t="shared" si="20"/>
        <v>45547.68</v>
      </c>
      <c r="CN107" s="54">
        <f t="shared" si="21"/>
        <v>357.33333333333331</v>
      </c>
      <c r="CO107" s="63">
        <f t="shared" si="22"/>
        <v>5282.166666666667</v>
      </c>
      <c r="CP107" s="172">
        <f t="shared" si="23"/>
        <v>3795.64</v>
      </c>
      <c r="CQ107" s="151">
        <v>245</v>
      </c>
      <c r="CR107" s="152">
        <v>3170</v>
      </c>
      <c r="CS107" s="97">
        <v>2518.4</v>
      </c>
      <c r="CT107" s="27">
        <v>155</v>
      </c>
      <c r="CU107" s="58">
        <v>1960</v>
      </c>
      <c r="CV107" s="12">
        <v>1708</v>
      </c>
      <c r="CW107" s="27"/>
      <c r="CX107" s="58"/>
      <c r="CY107" s="98"/>
      <c r="CZ107" s="27"/>
      <c r="DA107" s="58"/>
      <c r="DB107" s="12"/>
      <c r="DC107" s="27"/>
      <c r="DD107" s="58"/>
      <c r="DE107" s="107"/>
      <c r="DF107" s="27"/>
      <c r="DG107" s="58"/>
      <c r="DH107" s="12"/>
      <c r="DI107" s="27"/>
      <c r="DJ107" s="58"/>
      <c r="DK107" s="107"/>
      <c r="DL107" s="27"/>
      <c r="DM107" s="58"/>
      <c r="DN107" s="107"/>
      <c r="DO107" s="27"/>
      <c r="DP107" s="58"/>
      <c r="DQ107" s="107"/>
      <c r="DR107" s="27"/>
      <c r="DS107" s="58"/>
      <c r="DT107" s="107"/>
      <c r="DU107" s="27"/>
      <c r="DV107" s="58"/>
      <c r="DW107" s="107"/>
      <c r="DX107" s="27"/>
      <c r="DY107" s="58"/>
      <c r="DZ107" s="107"/>
    </row>
    <row r="108" spans="1:130" s="2" customFormat="1" ht="34.9" customHeight="1" x14ac:dyDescent="0.6">
      <c r="A108" s="5">
        <v>105</v>
      </c>
      <c r="B108" s="16" t="s">
        <v>334</v>
      </c>
      <c r="C108" s="16" t="s">
        <v>335</v>
      </c>
      <c r="D108" s="15" t="s">
        <v>13</v>
      </c>
      <c r="E108" s="14" t="s">
        <v>79</v>
      </c>
      <c r="F108" s="7" t="s">
        <v>150</v>
      </c>
      <c r="G108" s="18" t="s">
        <v>334</v>
      </c>
      <c r="H108" s="18" t="s">
        <v>956</v>
      </c>
      <c r="I108" s="14" t="s">
        <v>957</v>
      </c>
      <c r="J108" s="49" t="s">
        <v>125</v>
      </c>
      <c r="K108" s="27">
        <v>235</v>
      </c>
      <c r="L108" s="58">
        <v>3300</v>
      </c>
      <c r="M108" s="78">
        <v>2265.1999999999998</v>
      </c>
      <c r="N108" s="27">
        <v>237</v>
      </c>
      <c r="O108" s="58">
        <v>3560</v>
      </c>
      <c r="P108" s="104">
        <v>2242.4</v>
      </c>
      <c r="Q108" s="27">
        <v>190</v>
      </c>
      <c r="R108" s="58">
        <v>2830</v>
      </c>
      <c r="S108" s="98">
        <v>1817.6000000000001</v>
      </c>
      <c r="T108" s="27">
        <v>286</v>
      </c>
      <c r="U108" s="58">
        <v>4174</v>
      </c>
      <c r="V108" s="107">
        <v>2677.76</v>
      </c>
      <c r="W108" s="27">
        <v>136</v>
      </c>
      <c r="X108" s="58">
        <v>1972</v>
      </c>
      <c r="Y108" s="107">
        <v>1309.2</v>
      </c>
      <c r="Z108" s="27">
        <v>231</v>
      </c>
      <c r="AA108" s="58">
        <v>3282</v>
      </c>
      <c r="AB108" s="107">
        <v>2147.6</v>
      </c>
      <c r="AC108" s="27">
        <v>255</v>
      </c>
      <c r="AD108" s="58">
        <v>3610</v>
      </c>
      <c r="AE108" s="107">
        <v>2374.8000000000002</v>
      </c>
      <c r="AF108" s="27">
        <v>190</v>
      </c>
      <c r="AG108" s="58">
        <v>2858</v>
      </c>
      <c r="AH108" s="107">
        <v>1799.04</v>
      </c>
      <c r="AI108" s="27">
        <v>235</v>
      </c>
      <c r="AJ108" s="58">
        <v>3300</v>
      </c>
      <c r="AK108" s="107">
        <v>2112</v>
      </c>
      <c r="AL108" s="27">
        <v>170</v>
      </c>
      <c r="AM108" s="58">
        <v>2530</v>
      </c>
      <c r="AN108" s="107">
        <v>1668.8000000000002</v>
      </c>
      <c r="AO108" s="27">
        <v>170</v>
      </c>
      <c r="AP108" s="58">
        <v>2450</v>
      </c>
      <c r="AQ108" s="107">
        <v>1591.6000000000001</v>
      </c>
      <c r="AR108" s="27">
        <v>140</v>
      </c>
      <c r="AS108" s="58">
        <v>2030</v>
      </c>
      <c r="AT108" s="107">
        <v>1322.8000000000002</v>
      </c>
      <c r="AU108" s="54">
        <f t="shared" si="12"/>
        <v>2475</v>
      </c>
      <c r="AV108" s="63">
        <f t="shared" si="13"/>
        <v>35896</v>
      </c>
      <c r="AW108" s="55">
        <f t="shared" si="14"/>
        <v>23328.799999999999</v>
      </c>
      <c r="AX108" s="54">
        <f t="shared" si="15"/>
        <v>206.25</v>
      </c>
      <c r="AY108" s="63">
        <f t="shared" si="16"/>
        <v>17.1875</v>
      </c>
      <c r="AZ108" s="55">
        <f t="shared" si="17"/>
        <v>1944.0666666666666</v>
      </c>
      <c r="BA108" s="10">
        <v>218</v>
      </c>
      <c r="BB108" s="15">
        <v>3160</v>
      </c>
      <c r="BC108" s="11">
        <v>2073.4</v>
      </c>
      <c r="BD108" s="10">
        <v>143</v>
      </c>
      <c r="BE108" s="15">
        <v>2160</v>
      </c>
      <c r="BF108" s="11">
        <v>1373.6000000000001</v>
      </c>
      <c r="BG108" s="10">
        <v>190</v>
      </c>
      <c r="BH108" s="15">
        <v>2970</v>
      </c>
      <c r="BI108" s="11">
        <v>1827.6000000000001</v>
      </c>
      <c r="BJ108" s="10">
        <v>185</v>
      </c>
      <c r="BK108" s="15">
        <v>2610</v>
      </c>
      <c r="BL108" s="11">
        <v>1778.0000000000002</v>
      </c>
      <c r="BM108" s="44">
        <v>170</v>
      </c>
      <c r="BN108" s="42">
        <v>2410</v>
      </c>
      <c r="BO108" s="45">
        <v>1628.4</v>
      </c>
      <c r="BP108" s="44">
        <v>131</v>
      </c>
      <c r="BQ108" s="42">
        <v>1996</v>
      </c>
      <c r="BR108" s="45">
        <v>1269.6000000000004</v>
      </c>
      <c r="BS108" s="44">
        <v>160</v>
      </c>
      <c r="BT108" s="42">
        <v>2430</v>
      </c>
      <c r="BU108" s="112">
        <v>1518.4</v>
      </c>
      <c r="BV108" s="115">
        <v>180</v>
      </c>
      <c r="BW108" s="116">
        <v>2693</v>
      </c>
      <c r="BX108" s="112">
        <v>1730.0400000000002</v>
      </c>
      <c r="BY108" s="115">
        <v>140</v>
      </c>
      <c r="BZ108" s="116">
        <v>2160</v>
      </c>
      <c r="CA108" s="112">
        <v>1348</v>
      </c>
      <c r="CB108" s="115">
        <v>110</v>
      </c>
      <c r="CC108" s="116">
        <v>1710</v>
      </c>
      <c r="CD108" s="112">
        <v>1100.8000000000002</v>
      </c>
      <c r="CE108" s="115">
        <v>140</v>
      </c>
      <c r="CF108" s="116">
        <v>2120</v>
      </c>
      <c r="CG108" s="112">
        <v>1360.8</v>
      </c>
      <c r="CH108" s="115">
        <v>125</v>
      </c>
      <c r="CI108" s="116">
        <v>1920</v>
      </c>
      <c r="CJ108" s="112">
        <v>1259.1999999999998</v>
      </c>
      <c r="CK108" s="54">
        <f t="shared" si="18"/>
        <v>1892</v>
      </c>
      <c r="CL108" s="63">
        <f t="shared" si="19"/>
        <v>28339</v>
      </c>
      <c r="CM108" s="55">
        <f t="shared" si="20"/>
        <v>18267.84</v>
      </c>
      <c r="CN108" s="54">
        <f t="shared" si="21"/>
        <v>157.66666666666666</v>
      </c>
      <c r="CO108" s="63">
        <f t="shared" si="22"/>
        <v>2361.5833333333335</v>
      </c>
      <c r="CP108" s="172">
        <f t="shared" si="23"/>
        <v>1522.32</v>
      </c>
      <c r="CQ108" s="151">
        <v>135</v>
      </c>
      <c r="CR108" s="152">
        <v>2090</v>
      </c>
      <c r="CS108" s="97">
        <v>1279.2</v>
      </c>
      <c r="CT108" s="27">
        <v>115</v>
      </c>
      <c r="CU108" s="58">
        <v>1770</v>
      </c>
      <c r="CV108" s="12">
        <v>1160.8000000000002</v>
      </c>
      <c r="CW108" s="27"/>
      <c r="CX108" s="58"/>
      <c r="CY108" s="98"/>
      <c r="CZ108" s="27"/>
      <c r="DA108" s="58"/>
      <c r="DB108" s="12"/>
      <c r="DC108" s="27"/>
      <c r="DD108" s="58"/>
      <c r="DE108" s="107"/>
      <c r="DF108" s="27"/>
      <c r="DG108" s="58"/>
      <c r="DH108" s="107"/>
      <c r="DI108" s="27"/>
      <c r="DJ108" s="58"/>
      <c r="DK108" s="107"/>
      <c r="DL108" s="27"/>
      <c r="DM108" s="58"/>
      <c r="DN108" s="107"/>
      <c r="DO108" s="27"/>
      <c r="DP108" s="58"/>
      <c r="DQ108" s="107"/>
      <c r="DR108" s="27"/>
      <c r="DS108" s="58"/>
      <c r="DT108" s="107"/>
      <c r="DU108" s="27"/>
      <c r="DV108" s="58"/>
      <c r="DW108" s="107"/>
      <c r="DX108" s="27"/>
      <c r="DY108" s="58"/>
      <c r="DZ108" s="107"/>
    </row>
    <row r="109" spans="1:130" s="2" customFormat="1" ht="34.9" customHeight="1" x14ac:dyDescent="0.6">
      <c r="A109" s="5">
        <v>106</v>
      </c>
      <c r="B109" s="21" t="s">
        <v>336</v>
      </c>
      <c r="C109" s="16" t="s">
        <v>337</v>
      </c>
      <c r="D109" s="15" t="s">
        <v>13</v>
      </c>
      <c r="E109" s="14" t="s">
        <v>79</v>
      </c>
      <c r="F109" s="7" t="s">
        <v>150</v>
      </c>
      <c r="G109" s="18" t="s">
        <v>958</v>
      </c>
      <c r="H109" s="18" t="s">
        <v>959</v>
      </c>
      <c r="I109" s="14" t="s">
        <v>960</v>
      </c>
      <c r="J109" s="49" t="s">
        <v>125</v>
      </c>
      <c r="K109" s="27">
        <v>485</v>
      </c>
      <c r="L109" s="58">
        <v>7580</v>
      </c>
      <c r="M109" s="78">
        <v>5156.7999999999993</v>
      </c>
      <c r="N109" s="27">
        <v>510</v>
      </c>
      <c r="O109" s="58">
        <v>7942</v>
      </c>
      <c r="P109" s="104">
        <v>5491.1200000000008</v>
      </c>
      <c r="Q109" s="27">
        <v>501</v>
      </c>
      <c r="R109" s="58">
        <v>7890</v>
      </c>
      <c r="S109" s="98">
        <v>5316</v>
      </c>
      <c r="T109" s="27">
        <v>531</v>
      </c>
      <c r="U109" s="58">
        <v>7874</v>
      </c>
      <c r="V109" s="107">
        <v>5715.3600000000006</v>
      </c>
      <c r="W109" s="27">
        <v>505</v>
      </c>
      <c r="X109" s="58">
        <v>7570</v>
      </c>
      <c r="Y109" s="107">
        <v>5258.4</v>
      </c>
      <c r="Z109" s="27">
        <v>495</v>
      </c>
      <c r="AA109" s="58">
        <v>7408</v>
      </c>
      <c r="AB109" s="107">
        <v>5216.8</v>
      </c>
      <c r="AC109" s="27">
        <v>701</v>
      </c>
      <c r="AD109" s="58">
        <v>10462</v>
      </c>
      <c r="AE109" s="107">
        <v>7380</v>
      </c>
      <c r="AF109" s="27">
        <v>415</v>
      </c>
      <c r="AG109" s="58">
        <v>6270</v>
      </c>
      <c r="AH109" s="107">
        <v>4224</v>
      </c>
      <c r="AI109" s="27">
        <v>470</v>
      </c>
      <c r="AJ109" s="58">
        <v>7440</v>
      </c>
      <c r="AK109" s="107">
        <v>4762</v>
      </c>
      <c r="AL109" s="27">
        <v>425</v>
      </c>
      <c r="AM109" s="58">
        <v>6640</v>
      </c>
      <c r="AN109" s="107">
        <v>4445.6000000000004</v>
      </c>
      <c r="AO109" s="27">
        <v>495</v>
      </c>
      <c r="AP109" s="58">
        <v>7380</v>
      </c>
      <c r="AQ109" s="107">
        <v>5166.8</v>
      </c>
      <c r="AR109" s="27">
        <v>485</v>
      </c>
      <c r="AS109" s="58">
        <v>7540</v>
      </c>
      <c r="AT109" s="107">
        <v>5210.8</v>
      </c>
      <c r="AU109" s="54">
        <f t="shared" si="12"/>
        <v>6018</v>
      </c>
      <c r="AV109" s="63">
        <f t="shared" si="13"/>
        <v>91996</v>
      </c>
      <c r="AW109" s="55">
        <f t="shared" si="14"/>
        <v>63343.68</v>
      </c>
      <c r="AX109" s="54">
        <f t="shared" si="15"/>
        <v>501.5</v>
      </c>
      <c r="AY109" s="63">
        <f t="shared" si="16"/>
        <v>41.791666666666664</v>
      </c>
      <c r="AZ109" s="55">
        <f t="shared" si="17"/>
        <v>5278.64</v>
      </c>
      <c r="BA109" s="10">
        <v>330</v>
      </c>
      <c r="BB109" s="15">
        <v>5020</v>
      </c>
      <c r="BC109" s="11">
        <v>3541.6000000000004</v>
      </c>
      <c r="BD109" s="10">
        <v>510</v>
      </c>
      <c r="BE109" s="15">
        <v>7330</v>
      </c>
      <c r="BF109" s="11">
        <v>5310.8</v>
      </c>
      <c r="BG109" s="10">
        <v>540</v>
      </c>
      <c r="BH109" s="15">
        <v>7980</v>
      </c>
      <c r="BI109" s="11">
        <v>5838.4</v>
      </c>
      <c r="BJ109" s="10">
        <v>560</v>
      </c>
      <c r="BK109" s="15">
        <v>8490</v>
      </c>
      <c r="BL109" s="11">
        <v>5890.7999999999993</v>
      </c>
      <c r="BM109" s="44">
        <v>376</v>
      </c>
      <c r="BN109" s="42">
        <v>5102</v>
      </c>
      <c r="BO109" s="45">
        <v>3946.7999999999997</v>
      </c>
      <c r="BP109" s="44">
        <v>625</v>
      </c>
      <c r="BQ109" s="42">
        <v>9150</v>
      </c>
      <c r="BR109" s="45">
        <v>6558.4</v>
      </c>
      <c r="BS109" s="44">
        <v>590</v>
      </c>
      <c r="BT109" s="42">
        <v>8710</v>
      </c>
      <c r="BU109" s="112">
        <v>6168.7999999999993</v>
      </c>
      <c r="BV109" s="115">
        <v>550</v>
      </c>
      <c r="BW109" s="116">
        <v>8230</v>
      </c>
      <c r="BX109" s="112">
        <v>5863.6</v>
      </c>
      <c r="BY109" s="115">
        <v>590</v>
      </c>
      <c r="BZ109" s="116">
        <v>8900</v>
      </c>
      <c r="CA109" s="112">
        <v>6253.5999999999995</v>
      </c>
      <c r="CB109" s="115">
        <v>585</v>
      </c>
      <c r="CC109" s="116">
        <v>8500</v>
      </c>
      <c r="CD109" s="112">
        <v>6264.8</v>
      </c>
      <c r="CE109" s="115">
        <v>515</v>
      </c>
      <c r="CF109" s="116">
        <v>7970</v>
      </c>
      <c r="CG109" s="112">
        <v>5519.2</v>
      </c>
      <c r="CH109" s="115">
        <v>550</v>
      </c>
      <c r="CI109" s="116">
        <v>8310</v>
      </c>
      <c r="CJ109" s="112">
        <v>5718</v>
      </c>
      <c r="CK109" s="54">
        <f t="shared" si="18"/>
        <v>6321</v>
      </c>
      <c r="CL109" s="63">
        <f t="shared" si="19"/>
        <v>93692</v>
      </c>
      <c r="CM109" s="55">
        <f t="shared" si="20"/>
        <v>66874.799999999988</v>
      </c>
      <c r="CN109" s="54">
        <f t="shared" si="21"/>
        <v>526.75</v>
      </c>
      <c r="CO109" s="63">
        <f t="shared" si="22"/>
        <v>7807.666666666667</v>
      </c>
      <c r="CP109" s="172">
        <f t="shared" si="23"/>
        <v>5572.8999999999987</v>
      </c>
      <c r="CQ109" s="151">
        <v>480</v>
      </c>
      <c r="CR109" s="152">
        <v>7140</v>
      </c>
      <c r="CS109" s="97">
        <v>5156.8</v>
      </c>
      <c r="CT109" s="27">
        <v>430</v>
      </c>
      <c r="CU109" s="58">
        <v>6940</v>
      </c>
      <c r="CV109" s="12">
        <v>4593.2</v>
      </c>
      <c r="CW109" s="27"/>
      <c r="CX109" s="58"/>
      <c r="CY109" s="98"/>
      <c r="CZ109" s="27"/>
      <c r="DA109" s="58"/>
      <c r="DB109" s="12"/>
      <c r="DC109" s="27"/>
      <c r="DD109" s="58"/>
      <c r="DE109" s="12"/>
      <c r="DF109" s="27"/>
      <c r="DG109" s="58"/>
      <c r="DH109" s="107"/>
      <c r="DI109" s="27"/>
      <c r="DJ109" s="58"/>
      <c r="DK109" s="107"/>
      <c r="DL109" s="27"/>
      <c r="DM109" s="58"/>
      <c r="DN109" s="107"/>
      <c r="DO109" s="27"/>
      <c r="DP109" s="58"/>
      <c r="DQ109" s="107"/>
      <c r="DR109" s="27"/>
      <c r="DS109" s="58"/>
      <c r="DT109" s="107"/>
      <c r="DU109" s="27"/>
      <c r="DV109" s="58"/>
      <c r="DW109" s="107"/>
      <c r="DX109" s="27"/>
      <c r="DY109" s="58"/>
      <c r="DZ109" s="107"/>
    </row>
    <row r="110" spans="1:130" s="2" customFormat="1" ht="34.9" customHeight="1" x14ac:dyDescent="0.6">
      <c r="A110" s="5">
        <v>107</v>
      </c>
      <c r="B110" s="21" t="s">
        <v>338</v>
      </c>
      <c r="C110" s="16" t="s">
        <v>339</v>
      </c>
      <c r="D110" s="15" t="s">
        <v>96</v>
      </c>
      <c r="E110" s="15" t="s">
        <v>97</v>
      </c>
      <c r="F110" s="7" t="s">
        <v>150</v>
      </c>
      <c r="G110" s="18" t="s">
        <v>961</v>
      </c>
      <c r="H110" s="18" t="s">
        <v>962</v>
      </c>
      <c r="I110" s="14" t="s">
        <v>963</v>
      </c>
      <c r="J110" s="49" t="s">
        <v>125</v>
      </c>
      <c r="K110" s="27">
        <v>190</v>
      </c>
      <c r="L110" s="58">
        <v>2780</v>
      </c>
      <c r="M110" s="78">
        <v>1917.6000000000001</v>
      </c>
      <c r="N110" s="27">
        <v>232</v>
      </c>
      <c r="O110" s="58">
        <v>3448</v>
      </c>
      <c r="P110" s="49">
        <v>2334.8000000000002</v>
      </c>
      <c r="Q110" s="27">
        <v>305</v>
      </c>
      <c r="R110" s="58">
        <v>4380</v>
      </c>
      <c r="S110" s="98">
        <v>3011.2</v>
      </c>
      <c r="T110" s="27">
        <v>110</v>
      </c>
      <c r="U110" s="58">
        <v>1610</v>
      </c>
      <c r="V110" s="12">
        <v>1078</v>
      </c>
      <c r="W110" s="27">
        <v>190</v>
      </c>
      <c r="X110" s="58">
        <v>2860</v>
      </c>
      <c r="Y110" s="12">
        <v>1844</v>
      </c>
      <c r="Z110" s="27">
        <v>231</v>
      </c>
      <c r="AA110" s="58">
        <v>3572</v>
      </c>
      <c r="AB110" s="107">
        <v>2196.8000000000002</v>
      </c>
      <c r="AC110" s="27">
        <v>186</v>
      </c>
      <c r="AD110" s="58">
        <v>2502</v>
      </c>
      <c r="AE110" s="107">
        <v>1818.0000000000002</v>
      </c>
      <c r="AF110" s="27">
        <v>193</v>
      </c>
      <c r="AG110" s="58">
        <v>2896</v>
      </c>
      <c r="AH110" s="107">
        <v>1872.8</v>
      </c>
      <c r="AI110" s="27">
        <v>221</v>
      </c>
      <c r="AJ110" s="58">
        <v>3232</v>
      </c>
      <c r="AK110" s="107">
        <v>2164.4</v>
      </c>
      <c r="AL110" s="27">
        <v>227</v>
      </c>
      <c r="AM110" s="58">
        <v>3228</v>
      </c>
      <c r="AN110" s="107">
        <v>2379.52</v>
      </c>
      <c r="AO110" s="27">
        <v>97</v>
      </c>
      <c r="AP110" s="58">
        <v>1484</v>
      </c>
      <c r="AQ110" s="107">
        <v>893.19999999999993</v>
      </c>
      <c r="AR110" s="27">
        <v>121</v>
      </c>
      <c r="AS110" s="58">
        <v>1932</v>
      </c>
      <c r="AT110" s="107">
        <v>1164.4000000000001</v>
      </c>
      <c r="AU110" s="54">
        <f t="shared" si="12"/>
        <v>2303</v>
      </c>
      <c r="AV110" s="63">
        <f t="shared" si="13"/>
        <v>33924</v>
      </c>
      <c r="AW110" s="55">
        <f t="shared" si="14"/>
        <v>22674.720000000005</v>
      </c>
      <c r="AX110" s="54">
        <f t="shared" si="15"/>
        <v>191.91666666666666</v>
      </c>
      <c r="AY110" s="63">
        <f t="shared" si="16"/>
        <v>15.993055555555555</v>
      </c>
      <c r="AZ110" s="55">
        <f t="shared" si="17"/>
        <v>1889.5600000000004</v>
      </c>
      <c r="BA110" s="10">
        <v>112</v>
      </c>
      <c r="BB110" s="15">
        <v>1764</v>
      </c>
      <c r="BC110" s="11">
        <v>1120</v>
      </c>
      <c r="BD110" s="10">
        <v>53</v>
      </c>
      <c r="BE110" s="15">
        <v>1236</v>
      </c>
      <c r="BF110" s="11">
        <v>556.4</v>
      </c>
      <c r="BG110" s="10">
        <v>200</v>
      </c>
      <c r="BH110" s="15">
        <v>3000</v>
      </c>
      <c r="BI110" s="11">
        <v>2132.4</v>
      </c>
      <c r="BJ110" s="10">
        <v>45</v>
      </c>
      <c r="BK110" s="15">
        <v>540</v>
      </c>
      <c r="BL110" s="11">
        <v>540</v>
      </c>
      <c r="BM110" s="44">
        <v>0</v>
      </c>
      <c r="BN110" s="42">
        <v>0</v>
      </c>
      <c r="BO110" s="45">
        <v>0</v>
      </c>
      <c r="BP110" s="44">
        <v>0</v>
      </c>
      <c r="BQ110" s="42">
        <v>0</v>
      </c>
      <c r="BR110" s="45">
        <v>0</v>
      </c>
      <c r="BS110" s="44">
        <v>117</v>
      </c>
      <c r="BT110" s="42">
        <v>1924</v>
      </c>
      <c r="BU110" s="112">
        <v>1226.8</v>
      </c>
      <c r="BV110" s="115">
        <v>116</v>
      </c>
      <c r="BW110" s="116">
        <v>2072</v>
      </c>
      <c r="BX110" s="112">
        <v>1245.76</v>
      </c>
      <c r="BY110" s="115">
        <v>117</v>
      </c>
      <c r="BZ110" s="116">
        <v>1644</v>
      </c>
      <c r="CA110" s="112">
        <v>1206.8</v>
      </c>
      <c r="CB110" s="115">
        <v>0</v>
      </c>
      <c r="CC110" s="116">
        <v>0</v>
      </c>
      <c r="CD110" s="112">
        <v>0</v>
      </c>
      <c r="CE110" s="115">
        <v>0</v>
      </c>
      <c r="CF110" s="116">
        <v>0</v>
      </c>
      <c r="CG110" s="112">
        <v>0</v>
      </c>
      <c r="CH110" s="115">
        <v>50</v>
      </c>
      <c r="CI110" s="116">
        <v>700</v>
      </c>
      <c r="CJ110" s="112">
        <v>448</v>
      </c>
      <c r="CK110" s="54">
        <f t="shared" si="18"/>
        <v>810</v>
      </c>
      <c r="CL110" s="63">
        <f t="shared" si="19"/>
        <v>12880</v>
      </c>
      <c r="CM110" s="55">
        <f t="shared" si="20"/>
        <v>8476.16</v>
      </c>
      <c r="CN110" s="54">
        <f t="shared" si="21"/>
        <v>67.5</v>
      </c>
      <c r="CO110" s="63">
        <f t="shared" si="22"/>
        <v>1073.3333333333333</v>
      </c>
      <c r="CP110" s="172">
        <f t="shared" si="23"/>
        <v>706.34666666666669</v>
      </c>
      <c r="CQ110" s="151">
        <v>68</v>
      </c>
      <c r="CR110" s="152">
        <v>1376</v>
      </c>
      <c r="CS110" s="97">
        <v>845.2</v>
      </c>
      <c r="CT110" s="27">
        <v>15</v>
      </c>
      <c r="CU110" s="58">
        <v>180</v>
      </c>
      <c r="CV110" s="107">
        <v>180</v>
      </c>
      <c r="CW110" s="27"/>
      <c r="CX110" s="58"/>
      <c r="CY110" s="98"/>
      <c r="CZ110" s="27"/>
      <c r="DA110" s="58"/>
      <c r="DB110" s="107"/>
      <c r="DC110" s="27"/>
      <c r="DD110" s="58"/>
      <c r="DE110" s="12"/>
      <c r="DF110" s="27"/>
      <c r="DG110" s="58"/>
      <c r="DH110" s="12"/>
      <c r="DI110" s="27"/>
      <c r="DJ110" s="58"/>
      <c r="DK110" s="107"/>
      <c r="DL110" s="27"/>
      <c r="DM110" s="58"/>
      <c r="DN110" s="107"/>
      <c r="DO110" s="27"/>
      <c r="DP110" s="58"/>
      <c r="DQ110" s="107"/>
      <c r="DR110" s="27"/>
      <c r="DS110" s="58"/>
      <c r="DT110" s="107"/>
      <c r="DU110" s="27"/>
      <c r="DV110" s="58"/>
      <c r="DW110" s="107"/>
      <c r="DX110" s="27"/>
      <c r="DY110" s="58"/>
      <c r="DZ110" s="107"/>
    </row>
    <row r="111" spans="1:130" s="2" customFormat="1" ht="34.9" customHeight="1" x14ac:dyDescent="0.6">
      <c r="A111" s="5">
        <v>108</v>
      </c>
      <c r="B111" s="21" t="s">
        <v>342</v>
      </c>
      <c r="C111" s="16" t="s">
        <v>342</v>
      </c>
      <c r="D111" s="14" t="s">
        <v>57</v>
      </c>
      <c r="E111" s="14" t="s">
        <v>58</v>
      </c>
      <c r="F111" s="7" t="s">
        <v>150</v>
      </c>
      <c r="G111" s="18" t="s">
        <v>967</v>
      </c>
      <c r="H111" s="18" t="s">
        <v>968</v>
      </c>
      <c r="I111" s="14" t="s">
        <v>969</v>
      </c>
      <c r="J111" s="49" t="s">
        <v>125</v>
      </c>
      <c r="K111" s="27">
        <v>430</v>
      </c>
      <c r="L111" s="58">
        <v>7080</v>
      </c>
      <c r="M111" s="78">
        <v>4915.2</v>
      </c>
      <c r="N111" s="27">
        <v>330</v>
      </c>
      <c r="O111" s="58">
        <v>5820</v>
      </c>
      <c r="P111" s="49">
        <v>3662.4</v>
      </c>
      <c r="Q111" s="27">
        <v>325</v>
      </c>
      <c r="R111" s="58">
        <v>6200</v>
      </c>
      <c r="S111" s="98">
        <v>3920.8</v>
      </c>
      <c r="T111" s="27">
        <v>320</v>
      </c>
      <c r="U111" s="58">
        <v>5440</v>
      </c>
      <c r="V111" s="12">
        <v>3540</v>
      </c>
      <c r="W111" s="27">
        <v>414</v>
      </c>
      <c r="X111" s="58">
        <v>6648</v>
      </c>
      <c r="Y111" s="107">
        <v>4948.8</v>
      </c>
      <c r="Z111" s="27">
        <v>240</v>
      </c>
      <c r="AA111" s="58">
        <v>3480</v>
      </c>
      <c r="AB111" s="107">
        <v>2811.2</v>
      </c>
      <c r="AC111" s="27">
        <v>686</v>
      </c>
      <c r="AD111" s="58">
        <v>10840</v>
      </c>
      <c r="AE111" s="107">
        <v>7860</v>
      </c>
      <c r="AF111" s="27">
        <v>339</v>
      </c>
      <c r="AG111" s="58">
        <v>6200</v>
      </c>
      <c r="AH111" s="107">
        <v>3758</v>
      </c>
      <c r="AI111" s="27">
        <v>210</v>
      </c>
      <c r="AJ111" s="58">
        <v>3640</v>
      </c>
      <c r="AK111" s="107">
        <v>2504</v>
      </c>
      <c r="AL111" s="27">
        <v>345</v>
      </c>
      <c r="AM111" s="58">
        <v>5960</v>
      </c>
      <c r="AN111" s="107">
        <v>4174</v>
      </c>
      <c r="AO111" s="27">
        <v>365</v>
      </c>
      <c r="AP111" s="58">
        <v>5880</v>
      </c>
      <c r="AQ111" s="107">
        <v>4136</v>
      </c>
      <c r="AR111" s="27">
        <v>300</v>
      </c>
      <c r="AS111" s="58">
        <v>5840</v>
      </c>
      <c r="AT111" s="107">
        <v>3664</v>
      </c>
      <c r="AU111" s="54">
        <f t="shared" si="12"/>
        <v>4304</v>
      </c>
      <c r="AV111" s="63">
        <f t="shared" si="13"/>
        <v>73028</v>
      </c>
      <c r="AW111" s="55">
        <f t="shared" si="14"/>
        <v>49894.400000000001</v>
      </c>
      <c r="AX111" s="54">
        <f t="shared" si="15"/>
        <v>358.66666666666669</v>
      </c>
      <c r="AY111" s="63">
        <f t="shared" si="16"/>
        <v>29.888888888888889</v>
      </c>
      <c r="AZ111" s="55">
        <f t="shared" si="17"/>
        <v>4157.8666666666668</v>
      </c>
      <c r="BA111" s="10">
        <v>530</v>
      </c>
      <c r="BB111" s="15">
        <v>7960</v>
      </c>
      <c r="BC111" s="11">
        <v>6012</v>
      </c>
      <c r="BD111" s="10">
        <v>270</v>
      </c>
      <c r="BE111" s="15">
        <v>4680</v>
      </c>
      <c r="BF111" s="11">
        <v>3231.2</v>
      </c>
      <c r="BG111" s="10">
        <v>445</v>
      </c>
      <c r="BH111" s="15">
        <v>7820</v>
      </c>
      <c r="BI111" s="11">
        <v>5166</v>
      </c>
      <c r="BJ111" s="10">
        <v>200</v>
      </c>
      <c r="BK111" s="15">
        <v>3300</v>
      </c>
      <c r="BL111" s="11">
        <v>2272.8000000000002</v>
      </c>
      <c r="BM111" s="44">
        <v>115</v>
      </c>
      <c r="BN111" s="42">
        <v>2640</v>
      </c>
      <c r="BO111" s="45">
        <v>1470</v>
      </c>
      <c r="BP111" s="44">
        <v>295</v>
      </c>
      <c r="BQ111" s="42">
        <v>5680</v>
      </c>
      <c r="BR111" s="45">
        <v>3629.2</v>
      </c>
      <c r="BS111" s="44">
        <v>315</v>
      </c>
      <c r="BT111" s="42">
        <v>5280</v>
      </c>
      <c r="BU111" s="112">
        <v>3656</v>
      </c>
      <c r="BV111" s="115">
        <v>135</v>
      </c>
      <c r="BW111" s="116">
        <v>2693</v>
      </c>
      <c r="BX111" s="112">
        <v>1555.24</v>
      </c>
      <c r="BY111" s="115">
        <v>315</v>
      </c>
      <c r="BZ111" s="116">
        <v>6180</v>
      </c>
      <c r="CA111" s="112">
        <v>3823.6</v>
      </c>
      <c r="CB111" s="115">
        <v>265</v>
      </c>
      <c r="CC111" s="116">
        <v>4540</v>
      </c>
      <c r="CD111" s="112">
        <v>3070</v>
      </c>
      <c r="CE111" s="115">
        <v>225</v>
      </c>
      <c r="CF111" s="116">
        <v>3980</v>
      </c>
      <c r="CG111" s="112">
        <v>2687.6</v>
      </c>
      <c r="CH111" s="115">
        <v>300</v>
      </c>
      <c r="CI111" s="116">
        <v>4540</v>
      </c>
      <c r="CJ111" s="112">
        <v>3508</v>
      </c>
      <c r="CK111" s="54">
        <f t="shared" si="18"/>
        <v>3410</v>
      </c>
      <c r="CL111" s="63">
        <f t="shared" si="19"/>
        <v>59293</v>
      </c>
      <c r="CM111" s="55">
        <f t="shared" si="20"/>
        <v>40081.64</v>
      </c>
      <c r="CN111" s="54">
        <f t="shared" si="21"/>
        <v>284.16666666666669</v>
      </c>
      <c r="CO111" s="63">
        <f t="shared" si="22"/>
        <v>4941.083333333333</v>
      </c>
      <c r="CP111" s="172">
        <f t="shared" si="23"/>
        <v>3340.1366666666668</v>
      </c>
      <c r="CQ111" s="151">
        <v>330</v>
      </c>
      <c r="CR111" s="152">
        <v>6240</v>
      </c>
      <c r="CS111" s="97">
        <v>4059.2</v>
      </c>
      <c r="CT111" s="27">
        <v>200</v>
      </c>
      <c r="CU111" s="58">
        <v>3300</v>
      </c>
      <c r="CV111" s="107">
        <v>2272.8000000000002</v>
      </c>
      <c r="CW111" s="27"/>
      <c r="CX111" s="58"/>
      <c r="CY111" s="98"/>
      <c r="CZ111" s="27"/>
      <c r="DA111" s="58"/>
      <c r="DB111" s="107"/>
      <c r="DC111" s="27"/>
      <c r="DD111" s="58"/>
      <c r="DE111" s="12"/>
      <c r="DF111" s="27"/>
      <c r="DG111" s="58"/>
      <c r="DH111" s="107"/>
      <c r="DI111" s="27"/>
      <c r="DJ111" s="58"/>
      <c r="DK111" s="107"/>
      <c r="DL111" s="27"/>
      <c r="DM111" s="58"/>
      <c r="DN111" s="107"/>
      <c r="DO111" s="27"/>
      <c r="DP111" s="58"/>
      <c r="DQ111" s="107"/>
      <c r="DR111" s="27"/>
      <c r="DS111" s="58"/>
      <c r="DT111" s="107"/>
      <c r="DU111" s="27"/>
      <c r="DV111" s="58"/>
      <c r="DW111" s="107"/>
      <c r="DX111" s="27"/>
      <c r="DY111" s="58"/>
      <c r="DZ111" s="107"/>
    </row>
    <row r="112" spans="1:130" s="2" customFormat="1" ht="34.9" customHeight="1" x14ac:dyDescent="0.6">
      <c r="A112" s="5">
        <v>109</v>
      </c>
      <c r="B112" s="21" t="s">
        <v>343</v>
      </c>
      <c r="C112" s="16" t="s">
        <v>344</v>
      </c>
      <c r="D112" s="14" t="s">
        <v>345</v>
      </c>
      <c r="E112" s="14" t="s">
        <v>346</v>
      </c>
      <c r="F112" s="7" t="s">
        <v>150</v>
      </c>
      <c r="G112" s="18" t="s">
        <v>970</v>
      </c>
      <c r="H112" s="18" t="s">
        <v>971</v>
      </c>
      <c r="I112" s="14" t="s">
        <v>972</v>
      </c>
      <c r="J112" s="49" t="s">
        <v>125</v>
      </c>
      <c r="K112" s="27">
        <v>0</v>
      </c>
      <c r="L112" s="58">
        <v>0</v>
      </c>
      <c r="M112" s="78">
        <v>0</v>
      </c>
      <c r="N112" s="27">
        <v>201</v>
      </c>
      <c r="O112" s="58">
        <v>2412</v>
      </c>
      <c r="P112" s="49">
        <v>2412</v>
      </c>
      <c r="Q112" s="27">
        <v>0</v>
      </c>
      <c r="R112" s="58">
        <v>0</v>
      </c>
      <c r="S112" s="98">
        <v>0</v>
      </c>
      <c r="T112" s="27">
        <v>150</v>
      </c>
      <c r="U112" s="58">
        <v>4600</v>
      </c>
      <c r="V112" s="12">
        <v>2000</v>
      </c>
      <c r="W112" s="27">
        <v>350</v>
      </c>
      <c r="X112" s="58">
        <v>4420</v>
      </c>
      <c r="Y112" s="107">
        <v>3865.6</v>
      </c>
      <c r="Z112" s="27">
        <v>50</v>
      </c>
      <c r="AA112" s="58">
        <v>600</v>
      </c>
      <c r="AB112" s="12">
        <v>600</v>
      </c>
      <c r="AC112" s="27">
        <v>325</v>
      </c>
      <c r="AD112" s="58">
        <v>4800</v>
      </c>
      <c r="AE112" s="107">
        <v>3646</v>
      </c>
      <c r="AF112" s="27">
        <v>60</v>
      </c>
      <c r="AG112" s="58">
        <v>720</v>
      </c>
      <c r="AH112" s="107">
        <v>720</v>
      </c>
      <c r="AI112" s="27">
        <v>40</v>
      </c>
      <c r="AJ112" s="58">
        <v>480</v>
      </c>
      <c r="AK112" s="107">
        <v>480</v>
      </c>
      <c r="AL112" s="27">
        <v>117</v>
      </c>
      <c r="AM112" s="58">
        <v>2284</v>
      </c>
      <c r="AN112" s="107">
        <v>1403.2</v>
      </c>
      <c r="AO112" s="27">
        <v>0</v>
      </c>
      <c r="AP112" s="58">
        <v>0</v>
      </c>
      <c r="AQ112" s="107">
        <v>0</v>
      </c>
      <c r="AR112" s="27">
        <v>0</v>
      </c>
      <c r="AS112" s="58">
        <v>0</v>
      </c>
      <c r="AT112" s="107">
        <v>0</v>
      </c>
      <c r="AU112" s="54">
        <f t="shared" si="12"/>
        <v>1293</v>
      </c>
      <c r="AV112" s="63">
        <f t="shared" si="13"/>
        <v>20316</v>
      </c>
      <c r="AW112" s="55">
        <f t="shared" si="14"/>
        <v>15126.800000000001</v>
      </c>
      <c r="AX112" s="54">
        <f t="shared" si="15"/>
        <v>107.75</v>
      </c>
      <c r="AY112" s="63">
        <f t="shared" si="16"/>
        <v>8.9791666666666661</v>
      </c>
      <c r="AZ112" s="55">
        <f t="shared" si="17"/>
        <v>1260.5666666666668</v>
      </c>
      <c r="BA112" s="10">
        <v>0</v>
      </c>
      <c r="BB112" s="15">
        <v>0</v>
      </c>
      <c r="BC112" s="11">
        <v>0</v>
      </c>
      <c r="BD112" s="10">
        <v>450</v>
      </c>
      <c r="BE112" s="15">
        <v>7420</v>
      </c>
      <c r="BF112" s="11">
        <v>5448.8</v>
      </c>
      <c r="BG112" s="10">
        <v>0</v>
      </c>
      <c r="BH112" s="15">
        <v>0</v>
      </c>
      <c r="BI112" s="11">
        <v>0</v>
      </c>
      <c r="BJ112" s="10">
        <v>300</v>
      </c>
      <c r="BK112" s="15">
        <v>3600</v>
      </c>
      <c r="BL112" s="11">
        <v>3600</v>
      </c>
      <c r="BM112" s="44">
        <v>0</v>
      </c>
      <c r="BN112" s="42">
        <v>0</v>
      </c>
      <c r="BO112" s="45">
        <v>0</v>
      </c>
      <c r="BP112" s="44">
        <v>100</v>
      </c>
      <c r="BQ112" s="42">
        <v>1200</v>
      </c>
      <c r="BR112" s="45">
        <v>1200</v>
      </c>
      <c r="BS112" s="44">
        <v>0</v>
      </c>
      <c r="BT112" s="42">
        <v>0</v>
      </c>
      <c r="BU112" s="112">
        <v>0</v>
      </c>
      <c r="BV112" s="115">
        <v>100</v>
      </c>
      <c r="BW112" s="116">
        <v>2703</v>
      </c>
      <c r="BX112" s="112">
        <v>1150.04</v>
      </c>
      <c r="BY112" s="115">
        <v>0</v>
      </c>
      <c r="BZ112" s="116">
        <v>0</v>
      </c>
      <c r="CA112" s="112">
        <v>0</v>
      </c>
      <c r="CB112" s="115">
        <v>0</v>
      </c>
      <c r="CC112" s="116">
        <v>0</v>
      </c>
      <c r="CD112" s="112">
        <v>0</v>
      </c>
      <c r="CE112" s="115">
        <v>300</v>
      </c>
      <c r="CF112" s="116">
        <v>3800</v>
      </c>
      <c r="CG112" s="112">
        <v>3296</v>
      </c>
      <c r="CH112" s="115">
        <v>0</v>
      </c>
      <c r="CI112" s="116">
        <v>0</v>
      </c>
      <c r="CJ112" s="112">
        <v>0</v>
      </c>
      <c r="CK112" s="54">
        <f t="shared" si="18"/>
        <v>1250</v>
      </c>
      <c r="CL112" s="63">
        <f t="shared" si="19"/>
        <v>18723</v>
      </c>
      <c r="CM112" s="55">
        <f t="shared" si="20"/>
        <v>14694.84</v>
      </c>
      <c r="CN112" s="54">
        <f t="shared" si="21"/>
        <v>104.16666666666667</v>
      </c>
      <c r="CO112" s="63">
        <f t="shared" si="22"/>
        <v>1560.25</v>
      </c>
      <c r="CP112" s="172">
        <f t="shared" si="23"/>
        <v>1224.57</v>
      </c>
      <c r="CQ112" s="151">
        <v>0</v>
      </c>
      <c r="CR112" s="152">
        <v>0</v>
      </c>
      <c r="CS112" s="97">
        <v>0</v>
      </c>
      <c r="CT112" s="27">
        <v>0</v>
      </c>
      <c r="CU112" s="58">
        <v>0</v>
      </c>
      <c r="CV112" s="107">
        <v>0</v>
      </c>
      <c r="CW112" s="27"/>
      <c r="CX112" s="58"/>
      <c r="CY112" s="98"/>
      <c r="CZ112" s="27"/>
      <c r="DA112" s="58"/>
      <c r="DB112" s="12"/>
      <c r="DC112" s="27"/>
      <c r="DD112" s="58"/>
      <c r="DE112" s="107"/>
      <c r="DF112" s="27"/>
      <c r="DG112" s="58"/>
      <c r="DH112" s="107"/>
      <c r="DI112" s="27"/>
      <c r="DJ112" s="58"/>
      <c r="DK112" s="107"/>
      <c r="DL112" s="27"/>
      <c r="DM112" s="58"/>
      <c r="DN112" s="107"/>
      <c r="DO112" s="27"/>
      <c r="DP112" s="58"/>
      <c r="DQ112" s="107"/>
      <c r="DR112" s="27"/>
      <c r="DS112" s="58"/>
      <c r="DT112" s="107"/>
      <c r="DU112" s="27"/>
      <c r="DV112" s="58"/>
      <c r="DW112" s="107"/>
      <c r="DX112" s="27"/>
      <c r="DY112" s="58"/>
      <c r="DZ112" s="107"/>
    </row>
    <row r="113" spans="1:130" s="2" customFormat="1" ht="34.9" customHeight="1" x14ac:dyDescent="0.6">
      <c r="A113" s="5">
        <v>110</v>
      </c>
      <c r="B113" s="16" t="s">
        <v>347</v>
      </c>
      <c r="C113" s="16" t="s">
        <v>348</v>
      </c>
      <c r="D113" s="14" t="s">
        <v>267</v>
      </c>
      <c r="E113" s="20" t="s">
        <v>46</v>
      </c>
      <c r="F113" s="7" t="s">
        <v>150</v>
      </c>
      <c r="G113" s="145"/>
      <c r="H113" s="145"/>
      <c r="I113" s="14" t="s">
        <v>1130</v>
      </c>
      <c r="J113" s="49" t="s">
        <v>125</v>
      </c>
      <c r="K113" s="27">
        <v>145</v>
      </c>
      <c r="L113" s="58">
        <v>2230</v>
      </c>
      <c r="M113" s="78">
        <v>1440.8000000000002</v>
      </c>
      <c r="N113" s="27">
        <v>130</v>
      </c>
      <c r="O113" s="58">
        <v>2040</v>
      </c>
      <c r="P113" s="49">
        <v>1276</v>
      </c>
      <c r="Q113" s="27">
        <v>270</v>
      </c>
      <c r="R113" s="58">
        <v>3960</v>
      </c>
      <c r="S113" s="98">
        <v>2591.1999999999998</v>
      </c>
      <c r="T113" s="27">
        <v>130</v>
      </c>
      <c r="U113" s="58">
        <v>2040</v>
      </c>
      <c r="V113" s="12">
        <v>1276</v>
      </c>
      <c r="W113" s="27">
        <v>145</v>
      </c>
      <c r="X113" s="58">
        <v>2230</v>
      </c>
      <c r="Y113" s="107">
        <v>1440.8000000000002</v>
      </c>
      <c r="Z113" s="27">
        <v>160</v>
      </c>
      <c r="AA113" s="58">
        <v>2420</v>
      </c>
      <c r="AB113" s="107">
        <v>1605.6</v>
      </c>
      <c r="AC113" s="27">
        <v>295</v>
      </c>
      <c r="AD113" s="58">
        <v>4380</v>
      </c>
      <c r="AE113" s="107">
        <v>2931.6000000000004</v>
      </c>
      <c r="AF113" s="27">
        <v>150</v>
      </c>
      <c r="AG113" s="58">
        <v>2280</v>
      </c>
      <c r="AH113" s="107">
        <v>1516</v>
      </c>
      <c r="AI113" s="27">
        <v>140</v>
      </c>
      <c r="AJ113" s="58">
        <v>2020</v>
      </c>
      <c r="AK113" s="107">
        <v>1386</v>
      </c>
      <c r="AL113" s="27">
        <v>290</v>
      </c>
      <c r="AM113" s="58">
        <v>4370</v>
      </c>
      <c r="AN113" s="107">
        <v>2795.6</v>
      </c>
      <c r="AO113" s="27">
        <v>115</v>
      </c>
      <c r="AP113" s="58">
        <v>1600</v>
      </c>
      <c r="AQ113" s="107">
        <v>1040.8</v>
      </c>
      <c r="AR113" s="27">
        <v>135</v>
      </c>
      <c r="AS113" s="58">
        <v>1980</v>
      </c>
      <c r="AT113" s="107">
        <v>1295.5999999999999</v>
      </c>
      <c r="AU113" s="54">
        <f t="shared" si="12"/>
        <v>2105</v>
      </c>
      <c r="AV113" s="63">
        <f t="shared" si="13"/>
        <v>31550</v>
      </c>
      <c r="AW113" s="55">
        <f t="shared" si="14"/>
        <v>20595.999999999996</v>
      </c>
      <c r="AX113" s="54">
        <f t="shared" si="15"/>
        <v>175.41666666666666</v>
      </c>
      <c r="AY113" s="63">
        <f t="shared" si="16"/>
        <v>14.618055555555555</v>
      </c>
      <c r="AZ113" s="55">
        <f t="shared" si="17"/>
        <v>1716.333333333333</v>
      </c>
      <c r="BA113" s="10">
        <v>145</v>
      </c>
      <c r="BB113" s="15">
        <v>1960</v>
      </c>
      <c r="BC113" s="11">
        <v>1405.6</v>
      </c>
      <c r="BD113" s="10">
        <v>157</v>
      </c>
      <c r="BE113" s="15">
        <v>2384</v>
      </c>
      <c r="BF113" s="11">
        <v>1562.3999999999999</v>
      </c>
      <c r="BG113" s="10">
        <v>270</v>
      </c>
      <c r="BH113" s="15">
        <v>3900</v>
      </c>
      <c r="BI113" s="11">
        <v>2682.4</v>
      </c>
      <c r="BJ113" s="10">
        <v>0</v>
      </c>
      <c r="BK113" s="15">
        <v>0</v>
      </c>
      <c r="BL113" s="11">
        <v>0</v>
      </c>
      <c r="BM113" s="44">
        <v>240</v>
      </c>
      <c r="BN113" s="42">
        <v>3460</v>
      </c>
      <c r="BO113" s="45">
        <v>2444</v>
      </c>
      <c r="BP113" s="44">
        <v>107</v>
      </c>
      <c r="BQ113" s="42">
        <v>1440</v>
      </c>
      <c r="BR113" s="45">
        <v>1136</v>
      </c>
      <c r="BS113" s="44">
        <v>225</v>
      </c>
      <c r="BT113" s="42">
        <v>3220</v>
      </c>
      <c r="BU113" s="112">
        <v>2132.4</v>
      </c>
      <c r="BV113" s="115">
        <v>161</v>
      </c>
      <c r="BW113" s="116">
        <v>2272</v>
      </c>
      <c r="BX113" s="112">
        <v>1614.96</v>
      </c>
      <c r="BY113" s="115">
        <v>165</v>
      </c>
      <c r="BZ113" s="116">
        <v>2304</v>
      </c>
      <c r="CA113" s="112">
        <v>1575.1200000000001</v>
      </c>
      <c r="CB113" s="115">
        <v>103</v>
      </c>
      <c r="CC113" s="116">
        <v>1620</v>
      </c>
      <c r="CD113" s="112">
        <v>1008.8000000000001</v>
      </c>
      <c r="CE113" s="115">
        <v>176</v>
      </c>
      <c r="CF113" s="116">
        <v>2800</v>
      </c>
      <c r="CG113" s="112">
        <v>1779.2</v>
      </c>
      <c r="CH113" s="115">
        <v>105</v>
      </c>
      <c r="CI113" s="116">
        <v>1520</v>
      </c>
      <c r="CJ113" s="112">
        <v>1068.4000000000001</v>
      </c>
      <c r="CK113" s="54">
        <f t="shared" si="18"/>
        <v>1854</v>
      </c>
      <c r="CL113" s="63">
        <f t="shared" si="19"/>
        <v>26880</v>
      </c>
      <c r="CM113" s="55">
        <f t="shared" si="20"/>
        <v>18409.28</v>
      </c>
      <c r="CN113" s="54">
        <f t="shared" si="21"/>
        <v>154.5</v>
      </c>
      <c r="CO113" s="63">
        <f t="shared" si="22"/>
        <v>2240</v>
      </c>
      <c r="CP113" s="172">
        <f t="shared" si="23"/>
        <v>1534.1066666666666</v>
      </c>
      <c r="CQ113" s="151">
        <v>168</v>
      </c>
      <c r="CR113" s="152">
        <v>2552</v>
      </c>
      <c r="CS113" s="97">
        <v>1712.96</v>
      </c>
      <c r="CT113" s="27">
        <v>187</v>
      </c>
      <c r="CU113" s="58">
        <v>2882</v>
      </c>
      <c r="CV113" s="107">
        <v>1874.08</v>
      </c>
      <c r="CW113" s="27"/>
      <c r="CX113" s="58"/>
      <c r="CY113" s="98"/>
      <c r="CZ113" s="27"/>
      <c r="DA113" s="58"/>
      <c r="DB113" s="12"/>
      <c r="DC113" s="27"/>
      <c r="DD113" s="58"/>
      <c r="DE113" s="107"/>
      <c r="DF113" s="27"/>
      <c r="DG113" s="58"/>
      <c r="DH113" s="107"/>
      <c r="DI113" s="27"/>
      <c r="DJ113" s="58"/>
      <c r="DK113" s="107"/>
      <c r="DL113" s="27"/>
      <c r="DM113" s="58"/>
      <c r="DN113" s="107"/>
      <c r="DO113" s="27"/>
      <c r="DP113" s="58"/>
      <c r="DQ113" s="107"/>
      <c r="DR113" s="27"/>
      <c r="DS113" s="58"/>
      <c r="DT113" s="107"/>
      <c r="DU113" s="27"/>
      <c r="DV113" s="58"/>
      <c r="DW113" s="107"/>
      <c r="DX113" s="27"/>
      <c r="DY113" s="58"/>
      <c r="DZ113" s="107"/>
    </row>
    <row r="114" spans="1:130" s="2" customFormat="1" ht="34.9" customHeight="1" x14ac:dyDescent="0.6">
      <c r="A114" s="5">
        <v>111</v>
      </c>
      <c r="B114" s="21" t="s">
        <v>349</v>
      </c>
      <c r="C114" s="14" t="s">
        <v>349</v>
      </c>
      <c r="D114" s="15" t="s">
        <v>190</v>
      </c>
      <c r="E114" s="14" t="s">
        <v>91</v>
      </c>
      <c r="F114" s="7" t="s">
        <v>150</v>
      </c>
      <c r="G114" s="145" t="s">
        <v>973</v>
      </c>
      <c r="H114" s="145"/>
      <c r="I114" s="14" t="s">
        <v>974</v>
      </c>
      <c r="J114" s="49" t="s">
        <v>125</v>
      </c>
      <c r="K114" s="27">
        <v>0</v>
      </c>
      <c r="L114" s="58">
        <v>0</v>
      </c>
      <c r="M114" s="78">
        <v>0</v>
      </c>
      <c r="N114" s="27">
        <v>0</v>
      </c>
      <c r="O114" s="58">
        <v>0</v>
      </c>
      <c r="P114" s="49">
        <v>0</v>
      </c>
      <c r="Q114" s="27">
        <v>0</v>
      </c>
      <c r="R114" s="58">
        <v>0</v>
      </c>
      <c r="S114" s="98">
        <v>0</v>
      </c>
      <c r="T114" s="27">
        <v>1555</v>
      </c>
      <c r="U114" s="58">
        <v>20580</v>
      </c>
      <c r="V114" s="12">
        <v>16857.2</v>
      </c>
      <c r="W114" s="27">
        <v>1105</v>
      </c>
      <c r="X114" s="58">
        <v>14740</v>
      </c>
      <c r="Y114" s="107">
        <v>11433.6</v>
      </c>
      <c r="Z114" s="27">
        <v>0</v>
      </c>
      <c r="AA114" s="58">
        <v>0</v>
      </c>
      <c r="AB114" s="12">
        <v>0</v>
      </c>
      <c r="AC114" s="27">
        <v>1045</v>
      </c>
      <c r="AD114" s="58">
        <v>15360</v>
      </c>
      <c r="AE114" s="107">
        <v>11150</v>
      </c>
      <c r="AF114" s="27">
        <v>642</v>
      </c>
      <c r="AG114" s="58">
        <v>10244</v>
      </c>
      <c r="AH114" s="107">
        <v>6928</v>
      </c>
      <c r="AI114" s="27">
        <v>0</v>
      </c>
      <c r="AJ114" s="58">
        <v>0</v>
      </c>
      <c r="AK114" s="107">
        <v>0</v>
      </c>
      <c r="AL114" s="27">
        <v>526</v>
      </c>
      <c r="AM114" s="58">
        <v>6692</v>
      </c>
      <c r="AN114" s="107">
        <v>5644.4</v>
      </c>
      <c r="AO114" s="27">
        <v>515</v>
      </c>
      <c r="AP114" s="58">
        <v>7890</v>
      </c>
      <c r="AQ114" s="107">
        <v>5363.2000000000007</v>
      </c>
      <c r="AR114" s="27">
        <v>530</v>
      </c>
      <c r="AS114" s="58">
        <v>6960</v>
      </c>
      <c r="AT114" s="107">
        <v>5448</v>
      </c>
      <c r="AU114" s="54">
        <f t="shared" si="12"/>
        <v>5918</v>
      </c>
      <c r="AV114" s="63">
        <f t="shared" si="13"/>
        <v>82466</v>
      </c>
      <c r="AW114" s="55">
        <f t="shared" si="14"/>
        <v>62824.400000000009</v>
      </c>
      <c r="AX114" s="54">
        <f t="shared" si="15"/>
        <v>493.16666666666669</v>
      </c>
      <c r="AY114" s="63">
        <f t="shared" si="16"/>
        <v>41.097222222222221</v>
      </c>
      <c r="AZ114" s="55">
        <f t="shared" si="17"/>
        <v>5235.3666666666677</v>
      </c>
      <c r="BA114" s="10">
        <v>536</v>
      </c>
      <c r="BB114" s="15">
        <v>8592</v>
      </c>
      <c r="BC114" s="11">
        <v>6250.8</v>
      </c>
      <c r="BD114" s="10">
        <v>750</v>
      </c>
      <c r="BE114" s="15">
        <v>10130</v>
      </c>
      <c r="BF114" s="11">
        <v>7860.8</v>
      </c>
      <c r="BG114" s="10">
        <v>1570</v>
      </c>
      <c r="BH114" s="15">
        <v>22920</v>
      </c>
      <c r="BI114" s="11">
        <v>16270.800000000001</v>
      </c>
      <c r="BJ114" s="10">
        <v>20</v>
      </c>
      <c r="BK114" s="15">
        <v>280</v>
      </c>
      <c r="BL114" s="11">
        <v>179.20000000000002</v>
      </c>
      <c r="BM114" s="44">
        <v>1480</v>
      </c>
      <c r="BN114" s="42">
        <v>21900</v>
      </c>
      <c r="BO114" s="45">
        <v>16346.4</v>
      </c>
      <c r="BP114" s="44">
        <v>500</v>
      </c>
      <c r="BQ114" s="42">
        <v>7600</v>
      </c>
      <c r="BR114" s="45">
        <v>5556</v>
      </c>
      <c r="BS114" s="44">
        <v>1085</v>
      </c>
      <c r="BT114" s="42">
        <v>15540</v>
      </c>
      <c r="BU114" s="112">
        <v>11972.8</v>
      </c>
      <c r="BV114" s="115">
        <v>1027</v>
      </c>
      <c r="BW114" s="116">
        <v>13544</v>
      </c>
      <c r="BX114" s="112">
        <v>11178.720000000001</v>
      </c>
      <c r="BY114" s="115">
        <v>25</v>
      </c>
      <c r="BZ114" s="116">
        <v>350</v>
      </c>
      <c r="CA114" s="112">
        <v>224.00000000000003</v>
      </c>
      <c r="CB114" s="115">
        <v>1150</v>
      </c>
      <c r="CC114" s="116">
        <v>17240</v>
      </c>
      <c r="CD114" s="112">
        <v>12787.2</v>
      </c>
      <c r="CE114" s="115">
        <v>850</v>
      </c>
      <c r="CF114" s="116">
        <v>12110</v>
      </c>
      <c r="CG114" s="112">
        <v>9243.6</v>
      </c>
      <c r="CH114" s="115">
        <v>735</v>
      </c>
      <c r="CI114" s="116">
        <v>11280</v>
      </c>
      <c r="CJ114" s="112">
        <v>7682.4</v>
      </c>
      <c r="CK114" s="54">
        <f t="shared" si="18"/>
        <v>9728</v>
      </c>
      <c r="CL114" s="63">
        <f t="shared" si="19"/>
        <v>141486</v>
      </c>
      <c r="CM114" s="55">
        <f t="shared" si="20"/>
        <v>105552.72</v>
      </c>
      <c r="CN114" s="54">
        <f t="shared" si="21"/>
        <v>810.66666666666663</v>
      </c>
      <c r="CO114" s="63">
        <f t="shared" si="22"/>
        <v>11790.5</v>
      </c>
      <c r="CP114" s="172">
        <f t="shared" si="23"/>
        <v>8796.06</v>
      </c>
      <c r="CQ114" s="151">
        <v>1040</v>
      </c>
      <c r="CR114" s="152">
        <v>14900</v>
      </c>
      <c r="CS114" s="97">
        <v>11536.8</v>
      </c>
      <c r="CT114" s="27">
        <v>650</v>
      </c>
      <c r="CU114" s="58">
        <v>9400</v>
      </c>
      <c r="CV114" s="107">
        <v>7356</v>
      </c>
      <c r="CW114" s="27"/>
      <c r="CX114" s="58"/>
      <c r="CY114" s="98"/>
      <c r="CZ114" s="27"/>
      <c r="DA114" s="58"/>
      <c r="DB114" s="12"/>
      <c r="DC114" s="27"/>
      <c r="DD114" s="58"/>
      <c r="DE114" s="107"/>
      <c r="DF114" s="27"/>
      <c r="DG114" s="58"/>
      <c r="DH114" s="107"/>
      <c r="DI114" s="27"/>
      <c r="DJ114" s="58"/>
      <c r="DK114" s="107"/>
      <c r="DL114" s="27"/>
      <c r="DM114" s="58"/>
      <c r="DN114" s="107"/>
      <c r="DO114" s="27"/>
      <c r="DP114" s="58"/>
      <c r="DQ114" s="107"/>
      <c r="DR114" s="27"/>
      <c r="DS114" s="58"/>
      <c r="DT114" s="107"/>
      <c r="DU114" s="27"/>
      <c r="DV114" s="58"/>
      <c r="DW114" s="107"/>
      <c r="DX114" s="27"/>
      <c r="DY114" s="58"/>
      <c r="DZ114" s="107"/>
    </row>
    <row r="115" spans="1:130" s="2" customFormat="1" ht="34.9" customHeight="1" x14ac:dyDescent="0.6">
      <c r="A115" s="5">
        <v>112</v>
      </c>
      <c r="B115" s="21" t="s">
        <v>350</v>
      </c>
      <c r="C115" s="21" t="s">
        <v>351</v>
      </c>
      <c r="D115" s="14" t="s">
        <v>267</v>
      </c>
      <c r="E115" s="20" t="s">
        <v>46</v>
      </c>
      <c r="F115" s="7" t="s">
        <v>150</v>
      </c>
      <c r="G115" s="145" t="s">
        <v>975</v>
      </c>
      <c r="H115" s="145"/>
      <c r="I115" s="14" t="s">
        <v>976</v>
      </c>
      <c r="J115" s="49" t="s">
        <v>125</v>
      </c>
      <c r="K115" s="27">
        <v>504</v>
      </c>
      <c r="L115" s="58">
        <v>7432</v>
      </c>
      <c r="M115" s="78">
        <v>4880.08</v>
      </c>
      <c r="N115" s="27">
        <v>390</v>
      </c>
      <c r="O115" s="58">
        <v>5740</v>
      </c>
      <c r="P115" s="104">
        <v>3737.2000000000003</v>
      </c>
      <c r="Q115" s="27">
        <v>375</v>
      </c>
      <c r="R115" s="58">
        <v>5434</v>
      </c>
      <c r="S115" s="98">
        <v>3659.6000000000004</v>
      </c>
      <c r="T115" s="27">
        <v>420</v>
      </c>
      <c r="U115" s="58">
        <v>6090</v>
      </c>
      <c r="V115" s="12">
        <v>4112.3999999999996</v>
      </c>
      <c r="W115" s="27">
        <v>575</v>
      </c>
      <c r="X115" s="58">
        <v>8430</v>
      </c>
      <c r="Y115" s="107">
        <v>5688.4</v>
      </c>
      <c r="Z115" s="27">
        <v>1605</v>
      </c>
      <c r="AA115" s="58">
        <v>22100</v>
      </c>
      <c r="AB115" s="107">
        <v>17407.599999999999</v>
      </c>
      <c r="AC115" s="27">
        <v>330</v>
      </c>
      <c r="AD115" s="58">
        <v>4810</v>
      </c>
      <c r="AE115" s="107">
        <v>3336.4</v>
      </c>
      <c r="AF115" s="27">
        <v>479</v>
      </c>
      <c r="AG115" s="58">
        <v>7322</v>
      </c>
      <c r="AH115" s="107">
        <v>4736.88</v>
      </c>
      <c r="AI115" s="27">
        <v>370</v>
      </c>
      <c r="AJ115" s="58">
        <v>5640</v>
      </c>
      <c r="AK115" s="107">
        <v>3730</v>
      </c>
      <c r="AL115" s="27">
        <v>433</v>
      </c>
      <c r="AM115" s="58">
        <v>6636</v>
      </c>
      <c r="AN115" s="107">
        <v>4344</v>
      </c>
      <c r="AO115" s="27">
        <v>235</v>
      </c>
      <c r="AP115" s="58">
        <v>3270</v>
      </c>
      <c r="AQ115" s="107">
        <v>2358.8000000000002</v>
      </c>
      <c r="AR115" s="27">
        <v>310</v>
      </c>
      <c r="AS115" s="58">
        <v>4600</v>
      </c>
      <c r="AT115" s="107">
        <v>3050.8</v>
      </c>
      <c r="AU115" s="54">
        <f t="shared" ref="AU115:AU127" si="24">K115+N115+Q115+T115+W115+Z115+AC115+AF115+AI115+AL115+AO115+AR115</f>
        <v>6026</v>
      </c>
      <c r="AV115" s="63">
        <f t="shared" ref="AV115:AV127" si="25">L115+O115+R115+U115+X115+AA115+AD115+AG115+AJ115+AM115+AP115+AS115</f>
        <v>87504</v>
      </c>
      <c r="AW115" s="55">
        <f t="shared" ref="AW115:AW127" si="26">M115+P115+S115+V115+Y115+AB115+AE115+AH115+AK115+AN115+AQ115+AT115</f>
        <v>61042.16</v>
      </c>
      <c r="AX115" s="54">
        <f t="shared" ref="AX115:AX127" si="27">AU115/12</f>
        <v>502.16666666666669</v>
      </c>
      <c r="AY115" s="63">
        <f t="shared" ref="AY115:AY127" si="28">AX115/12</f>
        <v>41.847222222222221</v>
      </c>
      <c r="AZ115" s="55">
        <f t="shared" ref="AZ115:AZ127" si="29">AW115/12</f>
        <v>5086.8466666666673</v>
      </c>
      <c r="BA115" s="10">
        <v>375</v>
      </c>
      <c r="BB115" s="15">
        <v>5640</v>
      </c>
      <c r="BC115" s="11">
        <v>3881.2000000000003</v>
      </c>
      <c r="BD115" s="10">
        <v>320</v>
      </c>
      <c r="BE115" s="15">
        <v>4980</v>
      </c>
      <c r="BF115" s="11">
        <v>3221.2</v>
      </c>
      <c r="BG115" s="10">
        <v>330</v>
      </c>
      <c r="BH115" s="15">
        <v>4560</v>
      </c>
      <c r="BI115" s="11">
        <v>3270.8</v>
      </c>
      <c r="BJ115" s="10">
        <v>430</v>
      </c>
      <c r="BK115" s="15">
        <v>6120</v>
      </c>
      <c r="BL115" s="11">
        <v>4592</v>
      </c>
      <c r="BM115" s="44">
        <v>200</v>
      </c>
      <c r="BN115" s="42">
        <v>3060</v>
      </c>
      <c r="BO115" s="45">
        <v>1842.4</v>
      </c>
      <c r="BP115" s="44">
        <v>290</v>
      </c>
      <c r="BQ115" s="42">
        <v>4490</v>
      </c>
      <c r="BR115" s="45">
        <v>2821.6</v>
      </c>
      <c r="BS115" s="44">
        <v>350</v>
      </c>
      <c r="BT115" s="42">
        <v>5340</v>
      </c>
      <c r="BU115" s="112">
        <v>3581.2000000000003</v>
      </c>
      <c r="BV115" s="115">
        <v>301</v>
      </c>
      <c r="BW115" s="116">
        <v>4594</v>
      </c>
      <c r="BX115" s="112">
        <v>3095.84</v>
      </c>
      <c r="BY115" s="115">
        <v>250</v>
      </c>
      <c r="BZ115" s="116">
        <v>3880</v>
      </c>
      <c r="CA115" s="112">
        <v>2505.6</v>
      </c>
      <c r="CB115" s="115">
        <v>300</v>
      </c>
      <c r="CC115" s="116">
        <v>4546</v>
      </c>
      <c r="CD115" s="112">
        <v>3029.28</v>
      </c>
      <c r="CE115" s="115">
        <v>350</v>
      </c>
      <c r="CF115" s="116">
        <v>5380</v>
      </c>
      <c r="CG115" s="112">
        <v>3448.3999999999996</v>
      </c>
      <c r="CH115" s="115">
        <v>250</v>
      </c>
      <c r="CI115" s="116">
        <v>3640</v>
      </c>
      <c r="CJ115" s="112">
        <v>2424.7999999999997</v>
      </c>
      <c r="CK115" s="54">
        <f t="shared" ref="CK115:CK170" si="30">+BA115+BD115+BG115+BJ115+BM115+BP115+BS115+BV115+BY115+CB115+CE115+CH115</f>
        <v>3746</v>
      </c>
      <c r="CL115" s="63">
        <f t="shared" ref="CL115:CL170" si="31">+BB115+BE115+BH115+BK115+BN115+BQ115+BT115+BW115+BZ115+CC115+CF115+CI115</f>
        <v>56230</v>
      </c>
      <c r="CM115" s="55">
        <f t="shared" ref="CM115:CM170" si="32">+BC115+BF115+BI115+BL115+BO115+BR115+BU115+BX115+CA115+CD115+CG115+CJ115</f>
        <v>37714.32</v>
      </c>
      <c r="CN115" s="54">
        <f t="shared" ref="CN115:CN170" si="33">CK115/12</f>
        <v>312.16666666666669</v>
      </c>
      <c r="CO115" s="63">
        <f t="shared" ref="CO115:CO170" si="34">CL115/12</f>
        <v>4685.833333333333</v>
      </c>
      <c r="CP115" s="172">
        <f t="shared" ref="CP115:CP170" si="35">CM115/12</f>
        <v>3142.86</v>
      </c>
      <c r="CQ115" s="151">
        <v>425</v>
      </c>
      <c r="CR115" s="152">
        <v>6670</v>
      </c>
      <c r="CS115" s="97">
        <v>4201.2</v>
      </c>
      <c r="CT115" s="27">
        <v>375</v>
      </c>
      <c r="CU115" s="58">
        <v>5610</v>
      </c>
      <c r="CV115" s="12">
        <v>3878.8</v>
      </c>
      <c r="CW115" s="27"/>
      <c r="CX115" s="58"/>
      <c r="CY115" s="98"/>
      <c r="CZ115" s="27"/>
      <c r="DA115" s="58"/>
      <c r="DB115" s="12"/>
      <c r="DC115" s="27"/>
      <c r="DD115" s="58"/>
      <c r="DE115" s="12"/>
      <c r="DF115" s="27"/>
      <c r="DG115" s="58"/>
      <c r="DH115" s="107"/>
      <c r="DI115" s="27"/>
      <c r="DJ115" s="58"/>
      <c r="DK115" s="107"/>
      <c r="DL115" s="27"/>
      <c r="DM115" s="58"/>
      <c r="DN115" s="107"/>
      <c r="DO115" s="27"/>
      <c r="DP115" s="58"/>
      <c r="DQ115" s="107"/>
      <c r="DR115" s="27"/>
      <c r="DS115" s="58"/>
      <c r="DT115" s="107"/>
      <c r="DU115" s="27"/>
      <c r="DV115" s="58"/>
      <c r="DW115" s="107"/>
      <c r="DX115" s="27"/>
      <c r="DY115" s="58"/>
      <c r="DZ115" s="107"/>
    </row>
    <row r="116" spans="1:130" s="2" customFormat="1" ht="34.9" customHeight="1" x14ac:dyDescent="0.6">
      <c r="A116" s="5">
        <v>113</v>
      </c>
      <c r="B116" s="21" t="s">
        <v>354</v>
      </c>
      <c r="C116" s="21" t="s">
        <v>355</v>
      </c>
      <c r="D116" s="14" t="s">
        <v>267</v>
      </c>
      <c r="E116" s="20" t="s">
        <v>46</v>
      </c>
      <c r="F116" s="7" t="s">
        <v>150</v>
      </c>
      <c r="G116" s="145" t="s">
        <v>979</v>
      </c>
      <c r="H116" s="145"/>
      <c r="I116" s="14" t="s">
        <v>980</v>
      </c>
      <c r="J116" s="49" t="s">
        <v>125</v>
      </c>
      <c r="K116" s="27">
        <v>800</v>
      </c>
      <c r="L116" s="58">
        <v>10880</v>
      </c>
      <c r="M116" s="78">
        <v>7859.2</v>
      </c>
      <c r="N116" s="27">
        <v>740</v>
      </c>
      <c r="O116" s="58">
        <v>10320</v>
      </c>
      <c r="P116" s="104">
        <v>7335.6</v>
      </c>
      <c r="Q116" s="27">
        <v>820</v>
      </c>
      <c r="R116" s="58">
        <v>11230</v>
      </c>
      <c r="S116" s="98">
        <v>8395.6</v>
      </c>
      <c r="T116" s="27">
        <v>810</v>
      </c>
      <c r="U116" s="58">
        <v>11240</v>
      </c>
      <c r="V116" s="12">
        <v>8060</v>
      </c>
      <c r="W116" s="27">
        <v>535</v>
      </c>
      <c r="X116" s="58">
        <v>7390</v>
      </c>
      <c r="Y116" s="107">
        <v>5391.2000000000007</v>
      </c>
      <c r="Z116" s="27">
        <v>745</v>
      </c>
      <c r="AA116" s="58">
        <v>10260</v>
      </c>
      <c r="AB116" s="107">
        <v>7602</v>
      </c>
      <c r="AC116" s="27">
        <v>704</v>
      </c>
      <c r="AD116" s="58">
        <v>9948</v>
      </c>
      <c r="AE116" s="107">
        <v>7691.6</v>
      </c>
      <c r="AF116" s="27">
        <v>400</v>
      </c>
      <c r="AG116" s="58">
        <v>5600</v>
      </c>
      <c r="AH116" s="107">
        <v>3584</v>
      </c>
      <c r="AI116" s="27">
        <v>460</v>
      </c>
      <c r="AJ116" s="58">
        <v>6540</v>
      </c>
      <c r="AK116" s="107">
        <v>4860.8</v>
      </c>
      <c r="AL116" s="27">
        <v>615</v>
      </c>
      <c r="AM116" s="58">
        <v>8740</v>
      </c>
      <c r="AN116" s="107">
        <v>6426.8</v>
      </c>
      <c r="AO116" s="27">
        <v>515</v>
      </c>
      <c r="AP116" s="58">
        <v>7640</v>
      </c>
      <c r="AQ116" s="107">
        <v>5279.6</v>
      </c>
      <c r="AR116" s="27">
        <v>605</v>
      </c>
      <c r="AS116" s="58">
        <v>8320</v>
      </c>
      <c r="AT116" s="107">
        <v>6094.4</v>
      </c>
      <c r="AU116" s="54">
        <f t="shared" si="24"/>
        <v>7749</v>
      </c>
      <c r="AV116" s="63">
        <f t="shared" si="25"/>
        <v>108108</v>
      </c>
      <c r="AW116" s="55">
        <f t="shared" si="26"/>
        <v>78580.800000000003</v>
      </c>
      <c r="AX116" s="54">
        <f t="shared" si="27"/>
        <v>645.75</v>
      </c>
      <c r="AY116" s="63">
        <f t="shared" si="28"/>
        <v>53.8125</v>
      </c>
      <c r="AZ116" s="55">
        <f t="shared" si="29"/>
        <v>6548.4000000000005</v>
      </c>
      <c r="BA116" s="10">
        <v>615</v>
      </c>
      <c r="BB116" s="15">
        <v>8420</v>
      </c>
      <c r="BC116" s="11">
        <v>6244.8</v>
      </c>
      <c r="BD116" s="10">
        <v>525</v>
      </c>
      <c r="BE116" s="15">
        <v>7800</v>
      </c>
      <c r="BF116" s="11">
        <v>5579.6</v>
      </c>
      <c r="BG116" s="10">
        <v>1765</v>
      </c>
      <c r="BH116" s="15">
        <v>25120</v>
      </c>
      <c r="BI116" s="11">
        <v>17768.8</v>
      </c>
      <c r="BJ116" s="10">
        <v>175</v>
      </c>
      <c r="BK116" s="15">
        <v>2380</v>
      </c>
      <c r="BL116" s="11">
        <v>1897.2</v>
      </c>
      <c r="BM116" s="46">
        <v>100</v>
      </c>
      <c r="BN116" s="43">
        <v>1400</v>
      </c>
      <c r="BO116" s="47">
        <v>896</v>
      </c>
      <c r="BP116" s="46">
        <v>550</v>
      </c>
      <c r="BQ116" s="43">
        <v>7720</v>
      </c>
      <c r="BR116" s="47">
        <v>5548</v>
      </c>
      <c r="BS116" s="46">
        <v>615</v>
      </c>
      <c r="BT116" s="43">
        <v>8820</v>
      </c>
      <c r="BU116" s="114">
        <v>6305.2</v>
      </c>
      <c r="BV116" s="119">
        <v>458</v>
      </c>
      <c r="BW116" s="120">
        <v>6416</v>
      </c>
      <c r="BX116" s="114">
        <v>4754.4800000000005</v>
      </c>
      <c r="BY116" s="119">
        <v>412</v>
      </c>
      <c r="BZ116" s="120">
        <v>5820</v>
      </c>
      <c r="CA116" s="114">
        <v>4147.2</v>
      </c>
      <c r="CB116" s="119">
        <v>588</v>
      </c>
      <c r="CC116" s="120">
        <v>8530</v>
      </c>
      <c r="CD116" s="114">
        <v>6045.2000000000007</v>
      </c>
      <c r="CE116" s="119">
        <v>415</v>
      </c>
      <c r="CF116" s="120">
        <v>6230</v>
      </c>
      <c r="CG116" s="114">
        <v>4416.8</v>
      </c>
      <c r="CH116" s="119">
        <v>370</v>
      </c>
      <c r="CI116" s="120">
        <v>5240</v>
      </c>
      <c r="CJ116" s="114">
        <v>3892.3999999999996</v>
      </c>
      <c r="CK116" s="54">
        <f t="shared" si="30"/>
        <v>6588</v>
      </c>
      <c r="CL116" s="63">
        <f t="shared" si="31"/>
        <v>93896</v>
      </c>
      <c r="CM116" s="55">
        <f t="shared" si="32"/>
        <v>67495.679999999993</v>
      </c>
      <c r="CN116" s="54">
        <f t="shared" si="33"/>
        <v>549</v>
      </c>
      <c r="CO116" s="63">
        <f t="shared" si="34"/>
        <v>7824.666666666667</v>
      </c>
      <c r="CP116" s="172">
        <f t="shared" si="35"/>
        <v>5624.6399999999994</v>
      </c>
      <c r="CQ116" s="151">
        <v>375</v>
      </c>
      <c r="CR116" s="152">
        <v>5520</v>
      </c>
      <c r="CS116" s="97">
        <v>4063.6</v>
      </c>
      <c r="CT116" s="27">
        <v>430</v>
      </c>
      <c r="CU116" s="58">
        <v>6420</v>
      </c>
      <c r="CV116" s="12">
        <v>4581.6000000000004</v>
      </c>
      <c r="CW116" s="27"/>
      <c r="CX116" s="58"/>
      <c r="CY116" s="98"/>
      <c r="CZ116" s="27"/>
      <c r="DA116" s="58"/>
      <c r="DB116" s="12"/>
      <c r="DC116" s="27"/>
      <c r="DD116" s="58"/>
      <c r="DE116" s="12"/>
      <c r="DF116" s="27"/>
      <c r="DG116" s="58"/>
      <c r="DH116" s="12"/>
      <c r="DI116" s="27"/>
      <c r="DJ116" s="58"/>
      <c r="DK116" s="107"/>
      <c r="DL116" s="27"/>
      <c r="DM116" s="58"/>
      <c r="DN116" s="107"/>
      <c r="DO116" s="27"/>
      <c r="DP116" s="58"/>
      <c r="DQ116" s="107"/>
      <c r="DR116" s="27"/>
      <c r="DS116" s="58"/>
      <c r="DT116" s="107"/>
      <c r="DU116" s="27"/>
      <c r="DV116" s="58"/>
      <c r="DW116" s="107"/>
      <c r="DX116" s="27"/>
      <c r="DY116" s="58"/>
      <c r="DZ116" s="107"/>
    </row>
    <row r="117" spans="1:130" ht="31.5" customHeight="1" x14ac:dyDescent="0.6">
      <c r="A117" s="5">
        <v>114</v>
      </c>
      <c r="B117" s="21" t="s">
        <v>356</v>
      </c>
      <c r="C117" s="21" t="s">
        <v>357</v>
      </c>
      <c r="D117" s="14" t="s">
        <v>267</v>
      </c>
      <c r="E117" s="20" t="s">
        <v>46</v>
      </c>
      <c r="F117" s="7" t="s">
        <v>150</v>
      </c>
      <c r="G117" s="145" t="s">
        <v>981</v>
      </c>
      <c r="H117" s="145"/>
      <c r="I117" s="14" t="s">
        <v>982</v>
      </c>
      <c r="J117" s="49" t="s">
        <v>125</v>
      </c>
      <c r="K117" s="27">
        <v>240</v>
      </c>
      <c r="L117" s="58">
        <v>3260</v>
      </c>
      <c r="M117" s="78">
        <v>2302.4</v>
      </c>
      <c r="N117" s="27">
        <v>160</v>
      </c>
      <c r="O117" s="58">
        <v>2180</v>
      </c>
      <c r="P117" s="104">
        <v>1524.8</v>
      </c>
      <c r="Q117" s="27">
        <v>360</v>
      </c>
      <c r="R117" s="58">
        <v>4920</v>
      </c>
      <c r="S117" s="98">
        <v>3408</v>
      </c>
      <c r="T117" s="27">
        <v>160</v>
      </c>
      <c r="U117" s="58">
        <v>2180</v>
      </c>
      <c r="V117" s="107">
        <v>1524.8</v>
      </c>
      <c r="W117" s="27">
        <v>320</v>
      </c>
      <c r="X117" s="58">
        <v>4400</v>
      </c>
      <c r="Y117" s="107">
        <v>2988.8</v>
      </c>
      <c r="Z117" s="27">
        <v>160</v>
      </c>
      <c r="AA117" s="58">
        <v>2160</v>
      </c>
      <c r="AB117" s="107">
        <v>1555.2</v>
      </c>
      <c r="AC117" s="27">
        <v>240</v>
      </c>
      <c r="AD117" s="58">
        <v>3280</v>
      </c>
      <c r="AE117" s="107">
        <v>2272</v>
      </c>
      <c r="AF117" s="27">
        <v>320</v>
      </c>
      <c r="AG117" s="58">
        <v>4340</v>
      </c>
      <c r="AH117" s="107">
        <v>3080</v>
      </c>
      <c r="AI117" s="27">
        <v>161</v>
      </c>
      <c r="AJ117" s="58">
        <v>2152</v>
      </c>
      <c r="AK117" s="107">
        <v>1592.8</v>
      </c>
      <c r="AL117" s="27">
        <v>241</v>
      </c>
      <c r="AM117" s="58">
        <v>3292</v>
      </c>
      <c r="AN117" s="107">
        <v>2284</v>
      </c>
      <c r="AO117" s="27">
        <v>240</v>
      </c>
      <c r="AP117" s="58">
        <v>3240</v>
      </c>
      <c r="AQ117" s="107">
        <v>2332.8000000000002</v>
      </c>
      <c r="AR117" s="27">
        <v>240</v>
      </c>
      <c r="AS117" s="58">
        <v>3240</v>
      </c>
      <c r="AT117" s="107">
        <v>2332.8000000000002</v>
      </c>
      <c r="AU117" s="54">
        <f t="shared" si="24"/>
        <v>2842</v>
      </c>
      <c r="AV117" s="63">
        <f t="shared" si="25"/>
        <v>38644</v>
      </c>
      <c r="AW117" s="55">
        <f t="shared" si="26"/>
        <v>27198.399999999998</v>
      </c>
      <c r="AX117" s="54">
        <f t="shared" si="27"/>
        <v>236.83333333333334</v>
      </c>
      <c r="AY117" s="63">
        <f t="shared" si="28"/>
        <v>19.736111111111111</v>
      </c>
      <c r="AZ117" s="55">
        <f t="shared" si="29"/>
        <v>2266.5333333333333</v>
      </c>
      <c r="BA117" s="10">
        <v>240</v>
      </c>
      <c r="BB117" s="15">
        <v>3260</v>
      </c>
      <c r="BC117" s="11">
        <v>2302.1999999999998</v>
      </c>
      <c r="BD117" s="10">
        <v>160</v>
      </c>
      <c r="BE117" s="15">
        <v>2140</v>
      </c>
      <c r="BF117" s="11">
        <v>1585.6</v>
      </c>
      <c r="BG117" s="10">
        <v>400</v>
      </c>
      <c r="BH117" s="15">
        <v>5280</v>
      </c>
      <c r="BI117" s="11">
        <v>4070.4000000000005</v>
      </c>
      <c r="BJ117" s="10">
        <v>160</v>
      </c>
      <c r="BK117" s="15">
        <v>2240</v>
      </c>
      <c r="BL117" s="11">
        <v>1433.6000000000001</v>
      </c>
      <c r="BM117" s="46">
        <v>240</v>
      </c>
      <c r="BN117" s="43">
        <v>3220</v>
      </c>
      <c r="BO117" s="47">
        <v>2363.1999999999998</v>
      </c>
      <c r="BP117" s="46">
        <v>160</v>
      </c>
      <c r="BQ117" s="43">
        <v>2140</v>
      </c>
      <c r="BR117" s="47">
        <v>1585.6</v>
      </c>
      <c r="BS117" s="46">
        <v>240</v>
      </c>
      <c r="BT117" s="43">
        <v>3240</v>
      </c>
      <c r="BU117" s="114">
        <v>2332.8000000000002</v>
      </c>
      <c r="BV117" s="119">
        <v>240</v>
      </c>
      <c r="BW117" s="120">
        <v>3243</v>
      </c>
      <c r="BX117" s="114">
        <v>2334.84</v>
      </c>
      <c r="BY117" s="119">
        <v>160</v>
      </c>
      <c r="BZ117" s="120">
        <v>2100</v>
      </c>
      <c r="CA117" s="114">
        <v>1646.4</v>
      </c>
      <c r="CB117" s="119">
        <v>240</v>
      </c>
      <c r="CC117" s="120">
        <v>3240</v>
      </c>
      <c r="CD117" s="114">
        <v>2332.8000000000002</v>
      </c>
      <c r="CE117" s="119">
        <v>100</v>
      </c>
      <c r="CF117" s="120">
        <v>1320</v>
      </c>
      <c r="CG117" s="114">
        <v>1017.6</v>
      </c>
      <c r="CH117" s="119">
        <v>240</v>
      </c>
      <c r="CI117" s="120">
        <v>3200</v>
      </c>
      <c r="CJ117" s="114">
        <v>2393.6000000000004</v>
      </c>
      <c r="CK117" s="54">
        <f t="shared" si="30"/>
        <v>2580</v>
      </c>
      <c r="CL117" s="63">
        <f t="shared" si="31"/>
        <v>34623</v>
      </c>
      <c r="CM117" s="55">
        <f t="shared" si="32"/>
        <v>25398.639999999999</v>
      </c>
      <c r="CN117" s="54">
        <f t="shared" si="33"/>
        <v>215</v>
      </c>
      <c r="CO117" s="63">
        <f t="shared" si="34"/>
        <v>2885.25</v>
      </c>
      <c r="CP117" s="172">
        <f t="shared" si="35"/>
        <v>2116.5533333333333</v>
      </c>
      <c r="CQ117" s="151">
        <v>160</v>
      </c>
      <c r="CR117" s="152">
        <v>2160</v>
      </c>
      <c r="CS117" s="97">
        <v>1555.2</v>
      </c>
      <c r="CT117" s="27">
        <v>240</v>
      </c>
      <c r="CU117" s="58">
        <v>3180</v>
      </c>
      <c r="CV117" s="12">
        <v>2424</v>
      </c>
      <c r="CW117" s="27"/>
      <c r="CX117" s="58"/>
      <c r="CY117" s="98"/>
      <c r="CZ117" s="27"/>
      <c r="DA117" s="58"/>
      <c r="DB117" s="107"/>
      <c r="DC117" s="27"/>
      <c r="DD117" s="58"/>
      <c r="DE117" s="12"/>
      <c r="DF117" s="27"/>
      <c r="DG117" s="58"/>
      <c r="DH117" s="107"/>
      <c r="DI117" s="27"/>
      <c r="DJ117" s="58"/>
      <c r="DK117" s="107"/>
      <c r="DL117" s="27"/>
      <c r="DM117" s="58"/>
      <c r="DN117" s="107"/>
      <c r="DO117" s="27"/>
      <c r="DP117" s="58"/>
      <c r="DQ117" s="107"/>
      <c r="DR117" s="27"/>
      <c r="DS117" s="58"/>
      <c r="DT117" s="107"/>
      <c r="DU117" s="27"/>
      <c r="DV117" s="58"/>
      <c r="DW117" s="107"/>
      <c r="DX117" s="27"/>
      <c r="DY117" s="58"/>
      <c r="DZ117" s="107"/>
    </row>
    <row r="118" spans="1:130" ht="31.5" customHeight="1" x14ac:dyDescent="0.6">
      <c r="A118" s="5">
        <v>115</v>
      </c>
      <c r="B118" s="21" t="s">
        <v>358</v>
      </c>
      <c r="C118" s="21" t="s">
        <v>358</v>
      </c>
      <c r="D118" s="20" t="s">
        <v>359</v>
      </c>
      <c r="E118" s="20" t="s">
        <v>76</v>
      </c>
      <c r="F118" s="7" t="s">
        <v>150</v>
      </c>
      <c r="G118" s="145" t="s">
        <v>983</v>
      </c>
      <c r="H118" s="145"/>
      <c r="I118" s="14" t="s">
        <v>984</v>
      </c>
      <c r="J118" s="49" t="s">
        <v>125</v>
      </c>
      <c r="K118" s="27">
        <v>890</v>
      </c>
      <c r="L118" s="58">
        <v>12520</v>
      </c>
      <c r="M118" s="78">
        <v>8328.7999999999993</v>
      </c>
      <c r="N118" s="27">
        <v>230</v>
      </c>
      <c r="O118" s="58">
        <v>3800</v>
      </c>
      <c r="P118" s="104">
        <v>2516</v>
      </c>
      <c r="Q118" s="27">
        <v>1000</v>
      </c>
      <c r="R118" s="58">
        <v>13600</v>
      </c>
      <c r="S118" s="98">
        <v>9568</v>
      </c>
      <c r="T118" s="27">
        <v>0</v>
      </c>
      <c r="U118" s="58">
        <v>0</v>
      </c>
      <c r="V118" s="12">
        <v>0</v>
      </c>
      <c r="W118" s="27">
        <v>562</v>
      </c>
      <c r="X118" s="58">
        <v>8124</v>
      </c>
      <c r="Y118" s="107">
        <v>5084.8</v>
      </c>
      <c r="Z118" s="27">
        <v>995</v>
      </c>
      <c r="AA118" s="58">
        <v>14320</v>
      </c>
      <c r="AB118" s="107">
        <v>8990.8000000000011</v>
      </c>
      <c r="AC118" s="27">
        <v>0</v>
      </c>
      <c r="AD118" s="58">
        <v>0</v>
      </c>
      <c r="AE118" s="107">
        <v>0</v>
      </c>
      <c r="AF118" s="27">
        <v>160</v>
      </c>
      <c r="AG118" s="58">
        <v>2160</v>
      </c>
      <c r="AH118" s="107">
        <v>1555.2</v>
      </c>
      <c r="AI118" s="27">
        <v>500</v>
      </c>
      <c r="AJ118" s="58">
        <v>7000</v>
      </c>
      <c r="AK118" s="107">
        <v>4480</v>
      </c>
      <c r="AL118" s="27">
        <v>111</v>
      </c>
      <c r="AM118" s="58">
        <v>1880</v>
      </c>
      <c r="AN118" s="107">
        <v>1212</v>
      </c>
      <c r="AO118" s="27">
        <v>540</v>
      </c>
      <c r="AP118" s="58">
        <v>7760</v>
      </c>
      <c r="AQ118" s="107">
        <v>4980</v>
      </c>
      <c r="AR118" s="27">
        <v>200</v>
      </c>
      <c r="AS118" s="58">
        <v>2600</v>
      </c>
      <c r="AT118" s="107">
        <v>2096</v>
      </c>
      <c r="AU118" s="54">
        <f t="shared" si="24"/>
        <v>5188</v>
      </c>
      <c r="AV118" s="63">
        <f t="shared" si="25"/>
        <v>73764</v>
      </c>
      <c r="AW118" s="55">
        <f t="shared" si="26"/>
        <v>48811.6</v>
      </c>
      <c r="AX118" s="54">
        <f t="shared" si="27"/>
        <v>432.33333333333331</v>
      </c>
      <c r="AY118" s="63">
        <f t="shared" si="28"/>
        <v>36.027777777777779</v>
      </c>
      <c r="AZ118" s="55">
        <f t="shared" si="29"/>
        <v>4067.6333333333332</v>
      </c>
      <c r="BA118" s="10">
        <v>270</v>
      </c>
      <c r="BB118" s="15">
        <v>4300</v>
      </c>
      <c r="BC118" s="11">
        <v>2520</v>
      </c>
      <c r="BD118" s="10">
        <v>200</v>
      </c>
      <c r="BE118" s="15">
        <v>2700</v>
      </c>
      <c r="BF118" s="11">
        <v>1944</v>
      </c>
      <c r="BG118" s="10">
        <v>510</v>
      </c>
      <c r="BH118" s="15">
        <v>7200</v>
      </c>
      <c r="BI118" s="11">
        <v>4924</v>
      </c>
      <c r="BJ118" s="10">
        <v>10</v>
      </c>
      <c r="BK118" s="15">
        <v>400</v>
      </c>
      <c r="BL118" s="11">
        <v>140</v>
      </c>
      <c r="BM118" s="46">
        <v>300</v>
      </c>
      <c r="BN118" s="43">
        <v>4200</v>
      </c>
      <c r="BO118" s="47">
        <v>2688</v>
      </c>
      <c r="BP118" s="46">
        <v>410</v>
      </c>
      <c r="BQ118" s="43">
        <v>5800</v>
      </c>
      <c r="BR118" s="47">
        <v>4028</v>
      </c>
      <c r="BS118" s="46">
        <v>400</v>
      </c>
      <c r="BT118" s="43">
        <v>5560</v>
      </c>
      <c r="BU118" s="114">
        <v>4090.4</v>
      </c>
      <c r="BV118" s="119">
        <v>225</v>
      </c>
      <c r="BW118" s="120">
        <v>3576</v>
      </c>
      <c r="BX118" s="114">
        <v>2166.48</v>
      </c>
      <c r="BY118" s="119">
        <v>505</v>
      </c>
      <c r="BZ118" s="120">
        <v>7280</v>
      </c>
      <c r="CA118" s="114">
        <v>4874</v>
      </c>
      <c r="CB118" s="119">
        <v>220</v>
      </c>
      <c r="CC118" s="120">
        <v>3400</v>
      </c>
      <c r="CD118" s="114">
        <v>2376</v>
      </c>
      <c r="CE118" s="119">
        <v>520</v>
      </c>
      <c r="CF118" s="120">
        <v>7860</v>
      </c>
      <c r="CG118" s="114">
        <v>5517.6</v>
      </c>
      <c r="CH118" s="119">
        <v>180</v>
      </c>
      <c r="CI118" s="120">
        <v>2700</v>
      </c>
      <c r="CJ118" s="114">
        <v>1944</v>
      </c>
      <c r="CK118" s="54">
        <f t="shared" si="30"/>
        <v>3750</v>
      </c>
      <c r="CL118" s="63">
        <f t="shared" si="31"/>
        <v>54976</v>
      </c>
      <c r="CM118" s="55">
        <f t="shared" si="32"/>
        <v>37212.480000000003</v>
      </c>
      <c r="CN118" s="54">
        <f t="shared" si="33"/>
        <v>312.5</v>
      </c>
      <c r="CO118" s="63">
        <f t="shared" si="34"/>
        <v>4581.333333333333</v>
      </c>
      <c r="CP118" s="172">
        <f t="shared" si="35"/>
        <v>3101.0400000000004</v>
      </c>
      <c r="CQ118" s="151">
        <v>500</v>
      </c>
      <c r="CR118" s="152">
        <v>7720</v>
      </c>
      <c r="CS118" s="97">
        <v>5168</v>
      </c>
      <c r="CT118" s="27">
        <v>160</v>
      </c>
      <c r="CU118" s="58">
        <v>2200</v>
      </c>
      <c r="CV118" s="12">
        <v>1696</v>
      </c>
      <c r="CW118" s="27"/>
      <c r="CX118" s="58"/>
      <c r="CY118" s="98"/>
      <c r="CZ118" s="27"/>
      <c r="DA118" s="58"/>
      <c r="DB118" s="12"/>
      <c r="DC118" s="27"/>
      <c r="DD118" s="58"/>
      <c r="DE118" s="12"/>
      <c r="DF118" s="27"/>
      <c r="DG118" s="58"/>
      <c r="DH118" s="107"/>
      <c r="DI118" s="27"/>
      <c r="DJ118" s="58"/>
      <c r="DK118" s="107"/>
      <c r="DL118" s="27"/>
      <c r="DM118" s="58"/>
      <c r="DN118" s="107"/>
      <c r="DO118" s="27"/>
      <c r="DP118" s="58"/>
      <c r="DQ118" s="107"/>
      <c r="DR118" s="27"/>
      <c r="DS118" s="58"/>
      <c r="DT118" s="107"/>
      <c r="DU118" s="27"/>
      <c r="DV118" s="58"/>
      <c r="DW118" s="107"/>
      <c r="DX118" s="27"/>
      <c r="DY118" s="58"/>
      <c r="DZ118" s="107"/>
    </row>
    <row r="119" spans="1:130" ht="31.5" customHeight="1" x14ac:dyDescent="0.6">
      <c r="A119" s="5">
        <v>116</v>
      </c>
      <c r="B119" s="21" t="s">
        <v>366</v>
      </c>
      <c r="C119" s="14" t="s">
        <v>367</v>
      </c>
      <c r="D119" s="15" t="s">
        <v>293</v>
      </c>
      <c r="E119" s="20" t="s">
        <v>50</v>
      </c>
      <c r="F119" s="7" t="s">
        <v>150</v>
      </c>
      <c r="G119" s="19" t="s">
        <v>991</v>
      </c>
      <c r="H119" s="19"/>
      <c r="I119" s="20" t="s">
        <v>992</v>
      </c>
      <c r="J119" s="49" t="s">
        <v>125</v>
      </c>
      <c r="K119" s="27">
        <v>75</v>
      </c>
      <c r="L119" s="58">
        <v>930</v>
      </c>
      <c r="M119" s="78">
        <v>854.4</v>
      </c>
      <c r="N119" s="27">
        <v>120</v>
      </c>
      <c r="O119" s="58">
        <v>1740</v>
      </c>
      <c r="P119" s="104">
        <v>1429.6</v>
      </c>
      <c r="Q119" s="27">
        <v>147</v>
      </c>
      <c r="R119" s="58">
        <v>2260</v>
      </c>
      <c r="S119" s="98">
        <v>1767.6</v>
      </c>
      <c r="T119" s="27">
        <v>0</v>
      </c>
      <c r="U119" s="58">
        <v>0</v>
      </c>
      <c r="V119" s="12">
        <v>0</v>
      </c>
      <c r="W119" s="27">
        <v>31</v>
      </c>
      <c r="X119" s="58">
        <v>400</v>
      </c>
      <c r="Y119" s="12">
        <v>374</v>
      </c>
      <c r="Z119" s="27">
        <v>113</v>
      </c>
      <c r="AA119" s="58">
        <v>2020</v>
      </c>
      <c r="AB119" s="12">
        <v>1371.6</v>
      </c>
      <c r="AC119" s="27">
        <v>61</v>
      </c>
      <c r="AD119" s="58">
        <v>752</v>
      </c>
      <c r="AE119" s="107">
        <v>701.6</v>
      </c>
      <c r="AF119" s="27">
        <v>60</v>
      </c>
      <c r="AG119" s="58">
        <v>1000</v>
      </c>
      <c r="AH119" s="107">
        <v>740</v>
      </c>
      <c r="AI119" s="27">
        <v>40</v>
      </c>
      <c r="AJ119" s="58">
        <v>500</v>
      </c>
      <c r="AK119" s="107">
        <v>449.6</v>
      </c>
      <c r="AL119" s="27">
        <v>85</v>
      </c>
      <c r="AM119" s="58">
        <v>1190</v>
      </c>
      <c r="AN119" s="107">
        <v>984.4</v>
      </c>
      <c r="AO119" s="27">
        <v>35</v>
      </c>
      <c r="AP119" s="58">
        <v>560</v>
      </c>
      <c r="AQ119" s="107">
        <v>430</v>
      </c>
      <c r="AR119" s="27">
        <v>30</v>
      </c>
      <c r="AS119" s="58">
        <v>500</v>
      </c>
      <c r="AT119" s="107">
        <v>370</v>
      </c>
      <c r="AU119" s="54">
        <f t="shared" si="24"/>
        <v>797</v>
      </c>
      <c r="AV119" s="63">
        <f t="shared" si="25"/>
        <v>11852</v>
      </c>
      <c r="AW119" s="55">
        <f t="shared" si="26"/>
        <v>9472.8000000000011</v>
      </c>
      <c r="AX119" s="54">
        <f t="shared" si="27"/>
        <v>66.416666666666671</v>
      </c>
      <c r="AY119" s="63">
        <f t="shared" si="28"/>
        <v>5.5347222222222223</v>
      </c>
      <c r="AZ119" s="55">
        <f t="shared" si="29"/>
        <v>789.40000000000009</v>
      </c>
      <c r="BA119" s="10">
        <v>125</v>
      </c>
      <c r="BB119" s="15">
        <v>2070</v>
      </c>
      <c r="BC119" s="11">
        <v>1524.8</v>
      </c>
      <c r="BD119" s="10">
        <v>30</v>
      </c>
      <c r="BE119" s="15">
        <v>360</v>
      </c>
      <c r="BF119" s="11">
        <v>360</v>
      </c>
      <c r="BG119" s="10">
        <v>90</v>
      </c>
      <c r="BH119" s="15">
        <v>1250</v>
      </c>
      <c r="BI119" s="11">
        <v>1044.4000000000001</v>
      </c>
      <c r="BJ119" s="10">
        <v>10</v>
      </c>
      <c r="BK119" s="15">
        <v>400</v>
      </c>
      <c r="BL119" s="11">
        <v>140</v>
      </c>
      <c r="BM119" s="46">
        <v>45</v>
      </c>
      <c r="BN119" s="43">
        <v>960</v>
      </c>
      <c r="BO119" s="47">
        <v>570</v>
      </c>
      <c r="BP119" s="46">
        <v>70</v>
      </c>
      <c r="BQ119" s="43">
        <v>1120</v>
      </c>
      <c r="BR119" s="47">
        <v>860</v>
      </c>
      <c r="BS119" s="46">
        <v>55</v>
      </c>
      <c r="BT119" s="43">
        <v>1100</v>
      </c>
      <c r="BU119" s="114">
        <v>659.6</v>
      </c>
      <c r="BV119" s="119">
        <v>101</v>
      </c>
      <c r="BW119" s="120">
        <v>1652</v>
      </c>
      <c r="BX119" s="114">
        <v>1207.7600000000002</v>
      </c>
      <c r="BY119" s="119">
        <v>41</v>
      </c>
      <c r="BZ119" s="120">
        <v>722</v>
      </c>
      <c r="CA119" s="114">
        <v>498.88</v>
      </c>
      <c r="CB119" s="119">
        <v>20</v>
      </c>
      <c r="CC119" s="120">
        <v>380</v>
      </c>
      <c r="CD119" s="114">
        <v>250</v>
      </c>
      <c r="CE119" s="119">
        <v>75</v>
      </c>
      <c r="CF119" s="120">
        <v>1190</v>
      </c>
      <c r="CG119" s="114">
        <v>904.8</v>
      </c>
      <c r="CH119" s="119">
        <v>80</v>
      </c>
      <c r="CI119" s="120">
        <v>1390</v>
      </c>
      <c r="CJ119" s="114">
        <v>974.8</v>
      </c>
      <c r="CK119" s="54">
        <f t="shared" si="30"/>
        <v>742</v>
      </c>
      <c r="CL119" s="63">
        <f t="shared" si="31"/>
        <v>12594</v>
      </c>
      <c r="CM119" s="55">
        <f t="shared" si="32"/>
        <v>8995.0400000000009</v>
      </c>
      <c r="CN119" s="54">
        <f t="shared" si="33"/>
        <v>61.833333333333336</v>
      </c>
      <c r="CO119" s="63">
        <f t="shared" si="34"/>
        <v>1049.5</v>
      </c>
      <c r="CP119" s="172">
        <f t="shared" si="35"/>
        <v>749.5866666666667</v>
      </c>
      <c r="CQ119" s="151">
        <v>55</v>
      </c>
      <c r="CR119" s="152">
        <v>1370</v>
      </c>
      <c r="CS119" s="97">
        <v>694.8</v>
      </c>
      <c r="CT119" s="27">
        <v>60</v>
      </c>
      <c r="CU119" s="58">
        <v>720</v>
      </c>
      <c r="CV119" s="107">
        <v>720</v>
      </c>
      <c r="CW119" s="27"/>
      <c r="CX119" s="58"/>
      <c r="CY119" s="98"/>
      <c r="CZ119" s="27"/>
      <c r="DA119" s="58"/>
      <c r="DB119" s="12"/>
      <c r="DC119" s="27"/>
      <c r="DD119" s="58"/>
      <c r="DE119" s="107"/>
      <c r="DF119" s="27"/>
      <c r="DG119" s="58"/>
      <c r="DH119" s="107"/>
      <c r="DI119" s="27"/>
      <c r="DJ119" s="58"/>
      <c r="DK119" s="107"/>
      <c r="DL119" s="27"/>
      <c r="DM119" s="58"/>
      <c r="DN119" s="107"/>
      <c r="DO119" s="27"/>
      <c r="DP119" s="58"/>
      <c r="DQ119" s="107"/>
      <c r="DR119" s="27"/>
      <c r="DS119" s="58"/>
      <c r="DT119" s="107"/>
      <c r="DU119" s="27"/>
      <c r="DV119" s="58"/>
      <c r="DW119" s="107"/>
      <c r="DX119" s="27"/>
      <c r="DY119" s="58"/>
      <c r="DZ119" s="107"/>
    </row>
    <row r="120" spans="1:130" ht="31.5" customHeight="1" x14ac:dyDescent="0.6">
      <c r="A120" s="5">
        <v>117</v>
      </c>
      <c r="B120" s="21" t="s">
        <v>368</v>
      </c>
      <c r="C120" s="14" t="s">
        <v>368</v>
      </c>
      <c r="D120" s="15" t="s">
        <v>82</v>
      </c>
      <c r="E120" s="24" t="s">
        <v>83</v>
      </c>
      <c r="F120" s="7" t="s">
        <v>150</v>
      </c>
      <c r="G120" s="19" t="s">
        <v>993</v>
      </c>
      <c r="H120" s="19"/>
      <c r="I120" s="20" t="s">
        <v>994</v>
      </c>
      <c r="J120" s="49" t="s">
        <v>125</v>
      </c>
      <c r="K120" s="27">
        <v>0</v>
      </c>
      <c r="L120" s="58">
        <v>0</v>
      </c>
      <c r="M120" s="78">
        <v>0</v>
      </c>
      <c r="N120" s="27">
        <v>0</v>
      </c>
      <c r="O120" s="58">
        <v>0</v>
      </c>
      <c r="P120" s="49">
        <v>0</v>
      </c>
      <c r="Q120" s="27">
        <v>0</v>
      </c>
      <c r="R120" s="58">
        <v>0</v>
      </c>
      <c r="S120" s="98">
        <v>0</v>
      </c>
      <c r="T120" s="27">
        <v>0</v>
      </c>
      <c r="U120" s="58">
        <v>0</v>
      </c>
      <c r="V120" s="12">
        <v>0</v>
      </c>
      <c r="W120" s="27">
        <v>0</v>
      </c>
      <c r="X120" s="58">
        <v>0</v>
      </c>
      <c r="Y120" s="12">
        <v>0</v>
      </c>
      <c r="Z120" s="27">
        <v>0</v>
      </c>
      <c r="AA120" s="58">
        <v>0</v>
      </c>
      <c r="AB120" s="12">
        <v>0</v>
      </c>
      <c r="AC120" s="27">
        <v>150</v>
      </c>
      <c r="AD120" s="58">
        <v>1800</v>
      </c>
      <c r="AE120" s="107">
        <v>1800</v>
      </c>
      <c r="AF120" s="27">
        <v>285</v>
      </c>
      <c r="AG120" s="58">
        <v>3980</v>
      </c>
      <c r="AH120" s="107">
        <v>3460</v>
      </c>
      <c r="AI120" s="27">
        <v>310</v>
      </c>
      <c r="AJ120" s="58">
        <v>5260</v>
      </c>
      <c r="AK120" s="107">
        <v>3607.2</v>
      </c>
      <c r="AL120" s="27">
        <v>355</v>
      </c>
      <c r="AM120" s="58">
        <v>5760</v>
      </c>
      <c r="AN120" s="107">
        <v>4208</v>
      </c>
      <c r="AO120" s="27">
        <v>285</v>
      </c>
      <c r="AP120" s="58">
        <v>4740</v>
      </c>
      <c r="AQ120" s="107">
        <v>3400.8</v>
      </c>
      <c r="AR120" s="27">
        <v>305</v>
      </c>
      <c r="AS120" s="58">
        <v>4570</v>
      </c>
      <c r="AT120" s="107">
        <v>3613.6</v>
      </c>
      <c r="AU120" s="54">
        <f t="shared" si="24"/>
        <v>1690</v>
      </c>
      <c r="AV120" s="63">
        <f t="shared" si="25"/>
        <v>26110</v>
      </c>
      <c r="AW120" s="55">
        <f t="shared" si="26"/>
        <v>20089.599999999999</v>
      </c>
      <c r="AX120" s="54">
        <f t="shared" si="27"/>
        <v>140.83333333333334</v>
      </c>
      <c r="AY120" s="63">
        <f t="shared" si="28"/>
        <v>11.736111111111112</v>
      </c>
      <c r="AZ120" s="55">
        <f t="shared" si="29"/>
        <v>1674.1333333333332</v>
      </c>
      <c r="BA120" s="10">
        <v>315</v>
      </c>
      <c r="BB120" s="15">
        <v>5020</v>
      </c>
      <c r="BC120" s="11">
        <v>3677.3999999999996</v>
      </c>
      <c r="BD120" s="10">
        <v>360</v>
      </c>
      <c r="BE120" s="15">
        <v>5300</v>
      </c>
      <c r="BF120" s="11">
        <v>4167.2</v>
      </c>
      <c r="BG120" s="10">
        <v>370</v>
      </c>
      <c r="BH120" s="15">
        <v>5400</v>
      </c>
      <c r="BI120" s="11">
        <v>4317.6000000000004</v>
      </c>
      <c r="BJ120" s="10">
        <v>275</v>
      </c>
      <c r="BK120" s="15">
        <v>4240</v>
      </c>
      <c r="BL120" s="11">
        <v>3208</v>
      </c>
      <c r="BM120" s="46">
        <v>435</v>
      </c>
      <c r="BN120" s="43">
        <v>6310</v>
      </c>
      <c r="BO120" s="47">
        <v>5122.7999999999993</v>
      </c>
      <c r="BP120" s="46">
        <v>415</v>
      </c>
      <c r="BQ120" s="43">
        <v>6110</v>
      </c>
      <c r="BR120" s="47">
        <v>4821.9999999999991</v>
      </c>
      <c r="BS120" s="46">
        <v>355</v>
      </c>
      <c r="BT120" s="43">
        <v>5530</v>
      </c>
      <c r="BU120" s="114">
        <v>4112</v>
      </c>
      <c r="BV120" s="119">
        <v>486</v>
      </c>
      <c r="BW120" s="120">
        <v>7122</v>
      </c>
      <c r="BX120" s="114">
        <v>5649.7599999999993</v>
      </c>
      <c r="BY120" s="119">
        <v>455</v>
      </c>
      <c r="BZ120" s="120">
        <v>7040</v>
      </c>
      <c r="CA120" s="114">
        <v>5286.4</v>
      </c>
      <c r="CB120" s="119">
        <v>445</v>
      </c>
      <c r="CC120" s="120">
        <v>6740</v>
      </c>
      <c r="CD120" s="114">
        <v>5217.2</v>
      </c>
      <c r="CE120" s="119">
        <v>360</v>
      </c>
      <c r="CF120" s="120">
        <v>5420</v>
      </c>
      <c r="CG120" s="114">
        <v>4207.5999999999995</v>
      </c>
      <c r="CH120" s="119">
        <v>475</v>
      </c>
      <c r="CI120" s="120">
        <v>8100</v>
      </c>
      <c r="CJ120" s="114">
        <v>5616.7999999999993</v>
      </c>
      <c r="CK120" s="54">
        <f t="shared" si="30"/>
        <v>4746</v>
      </c>
      <c r="CL120" s="63">
        <f t="shared" si="31"/>
        <v>72332</v>
      </c>
      <c r="CM120" s="55">
        <f t="shared" si="32"/>
        <v>55404.759999999995</v>
      </c>
      <c r="CN120" s="54">
        <f t="shared" si="33"/>
        <v>395.5</v>
      </c>
      <c r="CO120" s="63">
        <f t="shared" si="34"/>
        <v>6027.666666666667</v>
      </c>
      <c r="CP120" s="172">
        <f t="shared" si="35"/>
        <v>4617.0633333333326</v>
      </c>
      <c r="CQ120" s="151">
        <v>385</v>
      </c>
      <c r="CR120" s="152">
        <v>6400</v>
      </c>
      <c r="CS120" s="97">
        <v>4588</v>
      </c>
      <c r="CT120" s="27">
        <v>415</v>
      </c>
      <c r="CU120" s="58">
        <v>6660</v>
      </c>
      <c r="CV120" s="12">
        <v>4877.2</v>
      </c>
      <c r="CW120" s="27"/>
      <c r="CX120" s="58"/>
      <c r="CY120" s="98"/>
      <c r="CZ120" s="27"/>
      <c r="DA120" s="58"/>
      <c r="DB120" s="107"/>
      <c r="DC120" s="27"/>
      <c r="DD120" s="58"/>
      <c r="DE120" s="107"/>
      <c r="DF120" s="27"/>
      <c r="DG120" s="58"/>
      <c r="DH120" s="107"/>
      <c r="DI120" s="27"/>
      <c r="DJ120" s="58"/>
      <c r="DK120" s="107"/>
      <c r="DL120" s="27"/>
      <c r="DM120" s="58"/>
      <c r="DN120" s="107"/>
      <c r="DO120" s="27"/>
      <c r="DP120" s="58"/>
      <c r="DQ120" s="107"/>
      <c r="DR120" s="27"/>
      <c r="DS120" s="58"/>
      <c r="DT120" s="107"/>
      <c r="DU120" s="27"/>
      <c r="DV120" s="58"/>
      <c r="DW120" s="107"/>
      <c r="DX120" s="27"/>
      <c r="DY120" s="58"/>
      <c r="DZ120" s="107"/>
    </row>
    <row r="121" spans="1:130" ht="31.5" customHeight="1" x14ac:dyDescent="0.6">
      <c r="A121" s="5">
        <v>118</v>
      </c>
      <c r="B121" s="21" t="s">
        <v>369</v>
      </c>
      <c r="C121" s="14" t="s">
        <v>369</v>
      </c>
      <c r="D121" s="15" t="s">
        <v>82</v>
      </c>
      <c r="E121" s="24" t="s">
        <v>83</v>
      </c>
      <c r="F121" s="7" t="s">
        <v>150</v>
      </c>
      <c r="G121" s="19" t="s">
        <v>995</v>
      </c>
      <c r="H121" s="19"/>
      <c r="I121" s="20" t="s">
        <v>996</v>
      </c>
      <c r="J121" s="49" t="s">
        <v>125</v>
      </c>
      <c r="K121" s="27">
        <v>120</v>
      </c>
      <c r="L121" s="58">
        <v>1440</v>
      </c>
      <c r="M121" s="78">
        <v>921.6</v>
      </c>
      <c r="N121" s="27">
        <v>60</v>
      </c>
      <c r="O121" s="58">
        <v>720</v>
      </c>
      <c r="P121" s="49">
        <v>461</v>
      </c>
      <c r="Q121" s="27">
        <v>0</v>
      </c>
      <c r="R121" s="58">
        <v>0</v>
      </c>
      <c r="S121" s="98">
        <v>0</v>
      </c>
      <c r="T121" s="27">
        <v>60</v>
      </c>
      <c r="U121" s="58">
        <v>720</v>
      </c>
      <c r="V121" s="12">
        <v>461</v>
      </c>
      <c r="W121" s="27">
        <v>177</v>
      </c>
      <c r="X121" s="58">
        <v>2124</v>
      </c>
      <c r="Y121" s="12">
        <v>1359</v>
      </c>
      <c r="Z121" s="27">
        <v>59</v>
      </c>
      <c r="AA121" s="58">
        <v>708</v>
      </c>
      <c r="AB121" s="12">
        <v>453</v>
      </c>
      <c r="AC121" s="27">
        <v>59</v>
      </c>
      <c r="AD121" s="58">
        <v>708</v>
      </c>
      <c r="AE121" s="107">
        <v>453</v>
      </c>
      <c r="AF121" s="27">
        <v>177</v>
      </c>
      <c r="AG121" s="58">
        <v>2124</v>
      </c>
      <c r="AH121" s="107">
        <v>1359</v>
      </c>
      <c r="AI121" s="27">
        <v>59</v>
      </c>
      <c r="AJ121" s="58">
        <v>708</v>
      </c>
      <c r="AK121" s="107">
        <v>708</v>
      </c>
      <c r="AL121" s="27">
        <v>44</v>
      </c>
      <c r="AM121" s="58">
        <v>528</v>
      </c>
      <c r="AN121" s="107">
        <v>338</v>
      </c>
      <c r="AO121" s="27">
        <v>92</v>
      </c>
      <c r="AP121" s="58">
        <v>1104</v>
      </c>
      <c r="AQ121" s="107">
        <v>707</v>
      </c>
      <c r="AR121" s="27">
        <v>208</v>
      </c>
      <c r="AS121" s="58">
        <v>2496</v>
      </c>
      <c r="AT121" s="107">
        <f>AS121*0.64</f>
        <v>1597.44</v>
      </c>
      <c r="AU121" s="54">
        <f t="shared" si="24"/>
        <v>1115</v>
      </c>
      <c r="AV121" s="63">
        <f t="shared" si="25"/>
        <v>13380</v>
      </c>
      <c r="AW121" s="55">
        <f t="shared" si="26"/>
        <v>8818.0400000000009</v>
      </c>
      <c r="AX121" s="54">
        <f t="shared" si="27"/>
        <v>92.916666666666671</v>
      </c>
      <c r="AY121" s="63">
        <f t="shared" si="28"/>
        <v>7.7430555555555562</v>
      </c>
      <c r="AZ121" s="55">
        <f t="shared" si="29"/>
        <v>734.8366666666667</v>
      </c>
      <c r="BA121" s="10">
        <v>0</v>
      </c>
      <c r="BB121" s="15">
        <v>0</v>
      </c>
      <c r="BC121" s="11">
        <v>0</v>
      </c>
      <c r="BD121" s="10">
        <v>12</v>
      </c>
      <c r="BE121" s="15">
        <v>144</v>
      </c>
      <c r="BF121" s="11">
        <v>92.16</v>
      </c>
      <c r="BG121" s="10">
        <v>99</v>
      </c>
      <c r="BH121" s="15">
        <v>1188</v>
      </c>
      <c r="BI121" s="11">
        <v>760.32</v>
      </c>
      <c r="BJ121" s="10">
        <v>103</v>
      </c>
      <c r="BK121" s="15">
        <v>1247</v>
      </c>
      <c r="BL121" s="11">
        <v>798.07999999999993</v>
      </c>
      <c r="BM121" s="46">
        <v>130</v>
      </c>
      <c r="BN121" s="43">
        <v>1560</v>
      </c>
      <c r="BO121" s="47">
        <v>998.4</v>
      </c>
      <c r="BP121" s="46">
        <v>75</v>
      </c>
      <c r="BQ121" s="43">
        <v>900</v>
      </c>
      <c r="BR121" s="47">
        <v>576</v>
      </c>
      <c r="BS121" s="46">
        <v>152</v>
      </c>
      <c r="BT121" s="43">
        <v>1824</v>
      </c>
      <c r="BU121" s="114">
        <v>1167.3599999999999</v>
      </c>
      <c r="BV121" s="119">
        <v>128</v>
      </c>
      <c r="BW121" s="120">
        <v>1536</v>
      </c>
      <c r="BX121" s="114">
        <v>983.04</v>
      </c>
      <c r="BY121" s="119">
        <v>119</v>
      </c>
      <c r="BZ121" s="120">
        <v>1428</v>
      </c>
      <c r="CA121" s="114">
        <v>913.92</v>
      </c>
      <c r="CB121" s="119">
        <v>142</v>
      </c>
      <c r="CC121" s="120">
        <v>1704</v>
      </c>
      <c r="CD121" s="114">
        <v>1090.56</v>
      </c>
      <c r="CE121" s="119">
        <v>96</v>
      </c>
      <c r="CF121" s="120">
        <v>1152</v>
      </c>
      <c r="CG121" s="114">
        <v>737.28</v>
      </c>
      <c r="CH121" s="119">
        <v>121</v>
      </c>
      <c r="CI121" s="120">
        <v>1452</v>
      </c>
      <c r="CJ121" s="114">
        <v>929.28</v>
      </c>
      <c r="CK121" s="54">
        <f t="shared" si="30"/>
        <v>1177</v>
      </c>
      <c r="CL121" s="63">
        <f t="shared" si="31"/>
        <v>14135</v>
      </c>
      <c r="CM121" s="55">
        <f t="shared" si="32"/>
        <v>9046.4</v>
      </c>
      <c r="CN121" s="54">
        <f t="shared" si="33"/>
        <v>98.083333333333329</v>
      </c>
      <c r="CO121" s="63">
        <f t="shared" si="34"/>
        <v>1177.9166666666667</v>
      </c>
      <c r="CP121" s="172">
        <f t="shared" si="35"/>
        <v>753.86666666666667</v>
      </c>
      <c r="CQ121" s="151">
        <v>109</v>
      </c>
      <c r="CR121" s="152">
        <v>1308</v>
      </c>
      <c r="CS121" s="97">
        <v>837.12000000000012</v>
      </c>
      <c r="CT121" s="27">
        <v>114</v>
      </c>
      <c r="CU121" s="58">
        <v>1368</v>
      </c>
      <c r="CV121" s="12">
        <v>875.52</v>
      </c>
      <c r="CW121" s="27"/>
      <c r="CX121" s="58"/>
      <c r="CY121" s="98"/>
      <c r="CZ121" s="27"/>
      <c r="DA121" s="58"/>
      <c r="DB121" s="107"/>
      <c r="DC121" s="27"/>
      <c r="DD121" s="58"/>
      <c r="DE121" s="107"/>
      <c r="DF121" s="27"/>
      <c r="DG121" s="58"/>
      <c r="DH121" s="12"/>
      <c r="DI121" s="27"/>
      <c r="DJ121" s="58"/>
      <c r="DK121" s="107"/>
      <c r="DL121" s="27"/>
      <c r="DM121" s="58"/>
      <c r="DN121" s="107"/>
      <c r="DO121" s="27"/>
      <c r="DP121" s="58"/>
      <c r="DQ121" s="107"/>
      <c r="DR121" s="27"/>
      <c r="DS121" s="58"/>
      <c r="DT121" s="107"/>
      <c r="DU121" s="27"/>
      <c r="DV121" s="58"/>
      <c r="DW121" s="107"/>
      <c r="DX121" s="27"/>
      <c r="DY121" s="58"/>
      <c r="DZ121" s="107"/>
    </row>
    <row r="122" spans="1:130" ht="31.5" customHeight="1" x14ac:dyDescent="0.6">
      <c r="A122" s="5">
        <v>119</v>
      </c>
      <c r="B122" s="21" t="s">
        <v>373</v>
      </c>
      <c r="C122" s="21" t="s">
        <v>374</v>
      </c>
      <c r="D122" s="20" t="s">
        <v>41</v>
      </c>
      <c r="E122" s="23" t="s">
        <v>42</v>
      </c>
      <c r="F122" s="7" t="s">
        <v>150</v>
      </c>
      <c r="G122" s="19"/>
      <c r="H122" s="19"/>
      <c r="I122" s="20" t="s">
        <v>1133</v>
      </c>
      <c r="J122" s="49" t="s">
        <v>125</v>
      </c>
      <c r="K122" s="27">
        <v>813</v>
      </c>
      <c r="L122" s="58">
        <v>10032</v>
      </c>
      <c r="M122" s="78">
        <v>9336.48</v>
      </c>
      <c r="N122" s="27">
        <v>11</v>
      </c>
      <c r="O122" s="58">
        <v>154</v>
      </c>
      <c r="P122" s="104">
        <v>98.56</v>
      </c>
      <c r="Q122" s="27">
        <v>115</v>
      </c>
      <c r="R122" s="58">
        <v>1610</v>
      </c>
      <c r="S122" s="98">
        <v>1030.4000000000001</v>
      </c>
      <c r="T122" s="27">
        <v>113</v>
      </c>
      <c r="U122" s="58">
        <v>1582</v>
      </c>
      <c r="V122" s="12">
        <v>1012.48</v>
      </c>
      <c r="W122" s="27">
        <v>325</v>
      </c>
      <c r="X122" s="58">
        <v>4100</v>
      </c>
      <c r="Y122" s="12">
        <v>3596</v>
      </c>
      <c r="Z122" s="27">
        <v>0</v>
      </c>
      <c r="AA122" s="58">
        <v>0</v>
      </c>
      <c r="AB122" s="12">
        <v>0</v>
      </c>
      <c r="AC122" s="27">
        <v>120</v>
      </c>
      <c r="AD122" s="58">
        <v>1680</v>
      </c>
      <c r="AE122" s="107">
        <v>1075.2</v>
      </c>
      <c r="AF122" s="27">
        <v>0</v>
      </c>
      <c r="AG122" s="58">
        <v>0</v>
      </c>
      <c r="AH122" s="107">
        <v>0</v>
      </c>
      <c r="AI122" s="27">
        <v>5</v>
      </c>
      <c r="AJ122" s="58">
        <v>70</v>
      </c>
      <c r="AK122" s="107">
        <v>45</v>
      </c>
      <c r="AL122" s="27">
        <v>0</v>
      </c>
      <c r="AM122" s="58">
        <v>0</v>
      </c>
      <c r="AN122" s="107">
        <v>0</v>
      </c>
      <c r="AO122" s="27">
        <v>300</v>
      </c>
      <c r="AP122" s="58">
        <v>4000</v>
      </c>
      <c r="AQ122" s="107">
        <v>2992</v>
      </c>
      <c r="AR122" s="27">
        <v>210</v>
      </c>
      <c r="AS122" s="58">
        <v>2740</v>
      </c>
      <c r="AT122" s="107">
        <v>2185.6</v>
      </c>
      <c r="AU122" s="54">
        <f t="shared" si="24"/>
        <v>2012</v>
      </c>
      <c r="AV122" s="63">
        <f t="shared" si="25"/>
        <v>25968</v>
      </c>
      <c r="AW122" s="55">
        <f t="shared" si="26"/>
        <v>21371.719999999998</v>
      </c>
      <c r="AX122" s="54">
        <f t="shared" si="27"/>
        <v>167.66666666666666</v>
      </c>
      <c r="AY122" s="63">
        <f t="shared" si="28"/>
        <v>13.972222222222221</v>
      </c>
      <c r="AZ122" s="55">
        <f t="shared" si="29"/>
        <v>1780.9766666666665</v>
      </c>
      <c r="BA122" s="10">
        <v>400</v>
      </c>
      <c r="BB122" s="15">
        <v>5200</v>
      </c>
      <c r="BC122" s="11">
        <v>4192</v>
      </c>
      <c r="BD122" s="10">
        <v>200</v>
      </c>
      <c r="BE122" s="15">
        <v>2600</v>
      </c>
      <c r="BF122" s="11">
        <v>2096</v>
      </c>
      <c r="BG122" s="10">
        <v>655</v>
      </c>
      <c r="BH122" s="15">
        <v>8770</v>
      </c>
      <c r="BI122" s="11">
        <v>6476.8</v>
      </c>
      <c r="BJ122" s="58">
        <v>0</v>
      </c>
      <c r="BK122" s="58">
        <v>0</v>
      </c>
      <c r="BL122" s="58">
        <v>0</v>
      </c>
      <c r="BM122" s="46">
        <v>100</v>
      </c>
      <c r="BN122" s="43">
        <v>1200</v>
      </c>
      <c r="BO122" s="47">
        <v>1200</v>
      </c>
      <c r="BP122" s="46">
        <v>100</v>
      </c>
      <c r="BQ122" s="43">
        <v>1200</v>
      </c>
      <c r="BR122" s="47">
        <v>1200</v>
      </c>
      <c r="BS122" s="46">
        <v>200</v>
      </c>
      <c r="BT122" s="43">
        <v>2600</v>
      </c>
      <c r="BU122" s="114">
        <v>2096</v>
      </c>
      <c r="BV122" s="119">
        <v>203</v>
      </c>
      <c r="BW122" s="120">
        <v>2636</v>
      </c>
      <c r="BX122" s="114">
        <v>2120.48</v>
      </c>
      <c r="BY122" s="119">
        <v>200</v>
      </c>
      <c r="BZ122" s="120">
        <v>2600</v>
      </c>
      <c r="CA122" s="114">
        <v>2096</v>
      </c>
      <c r="CB122" s="119">
        <v>200</v>
      </c>
      <c r="CC122" s="120">
        <v>2600</v>
      </c>
      <c r="CD122" s="114">
        <v>2096</v>
      </c>
      <c r="CE122" s="119">
        <v>200</v>
      </c>
      <c r="CF122" s="120">
        <v>2600</v>
      </c>
      <c r="CG122" s="114">
        <v>2096</v>
      </c>
      <c r="CH122" s="119">
        <v>200</v>
      </c>
      <c r="CI122" s="120">
        <v>2600</v>
      </c>
      <c r="CJ122" s="114">
        <v>2096</v>
      </c>
      <c r="CK122" s="54">
        <f t="shared" si="30"/>
        <v>2658</v>
      </c>
      <c r="CL122" s="63">
        <f t="shared" si="31"/>
        <v>34606</v>
      </c>
      <c r="CM122" s="55">
        <f t="shared" si="32"/>
        <v>27765.279999999999</v>
      </c>
      <c r="CN122" s="54">
        <f t="shared" si="33"/>
        <v>221.5</v>
      </c>
      <c r="CO122" s="63">
        <f t="shared" si="34"/>
        <v>2883.8333333333335</v>
      </c>
      <c r="CP122" s="172">
        <f t="shared" si="35"/>
        <v>2313.7733333333331</v>
      </c>
      <c r="CQ122" s="151">
        <v>180</v>
      </c>
      <c r="CR122" s="152">
        <v>2260</v>
      </c>
      <c r="CS122" s="97">
        <v>2008</v>
      </c>
      <c r="CT122" s="27">
        <v>210</v>
      </c>
      <c r="CU122" s="58">
        <v>2820</v>
      </c>
      <c r="CV122" s="107">
        <v>2064</v>
      </c>
      <c r="CW122" s="27"/>
      <c r="CX122" s="58"/>
      <c r="CY122" s="98"/>
      <c r="CZ122" s="27"/>
      <c r="DA122" s="58"/>
      <c r="DB122" s="107"/>
      <c r="DC122" s="27"/>
      <c r="DD122" s="58"/>
      <c r="DE122" s="107"/>
      <c r="DF122" s="27"/>
      <c r="DG122" s="58"/>
      <c r="DH122" s="107"/>
      <c r="DI122" s="27"/>
      <c r="DJ122" s="58"/>
      <c r="DK122" s="107"/>
      <c r="DL122" s="27"/>
      <c r="DM122" s="58"/>
      <c r="DN122" s="107"/>
      <c r="DO122" s="27"/>
      <c r="DP122" s="58"/>
      <c r="DQ122" s="107"/>
      <c r="DR122" s="27"/>
      <c r="DS122" s="58"/>
      <c r="DT122" s="107"/>
      <c r="DU122" s="27"/>
      <c r="DV122" s="58"/>
      <c r="DW122" s="107"/>
      <c r="DX122" s="27"/>
      <c r="DY122" s="58"/>
      <c r="DZ122" s="107"/>
    </row>
    <row r="123" spans="1:130" ht="31.5" customHeight="1" x14ac:dyDescent="0.6">
      <c r="A123" s="5">
        <v>120</v>
      </c>
      <c r="B123" s="21" t="s">
        <v>429</v>
      </c>
      <c r="C123" s="21"/>
      <c r="D123" s="20" t="s">
        <v>82</v>
      </c>
      <c r="E123" s="23"/>
      <c r="F123" s="7" t="s">
        <v>150</v>
      </c>
      <c r="G123" s="146"/>
      <c r="H123" s="146"/>
      <c r="I123" s="147" t="s">
        <v>1134</v>
      </c>
      <c r="J123" s="49" t="s">
        <v>125</v>
      </c>
      <c r="K123" s="27">
        <v>0</v>
      </c>
      <c r="L123" s="58">
        <v>0</v>
      </c>
      <c r="M123" s="78">
        <v>0</v>
      </c>
      <c r="N123" s="27">
        <v>0</v>
      </c>
      <c r="O123" s="58">
        <v>0</v>
      </c>
      <c r="P123" s="49">
        <v>0</v>
      </c>
      <c r="Q123" s="27">
        <v>0</v>
      </c>
      <c r="R123" s="58">
        <v>0</v>
      </c>
      <c r="S123" s="98">
        <v>0</v>
      </c>
      <c r="T123" s="27">
        <v>0</v>
      </c>
      <c r="U123" s="58">
        <v>0</v>
      </c>
      <c r="V123" s="12">
        <v>0</v>
      </c>
      <c r="W123" s="27">
        <v>0</v>
      </c>
      <c r="X123" s="58">
        <v>0</v>
      </c>
      <c r="Y123" s="12">
        <v>0</v>
      </c>
      <c r="Z123" s="27">
        <v>0</v>
      </c>
      <c r="AA123" s="58">
        <v>0</v>
      </c>
      <c r="AB123" s="12">
        <v>0</v>
      </c>
      <c r="AC123" s="27">
        <v>0</v>
      </c>
      <c r="AD123" s="58">
        <v>0</v>
      </c>
      <c r="AE123" s="107">
        <v>0</v>
      </c>
      <c r="AF123" s="27">
        <v>0</v>
      </c>
      <c r="AG123" s="58">
        <v>0</v>
      </c>
      <c r="AH123" s="107">
        <v>0</v>
      </c>
      <c r="AI123" s="27">
        <v>0</v>
      </c>
      <c r="AJ123" s="58">
        <v>0</v>
      </c>
      <c r="AK123" s="107">
        <v>0</v>
      </c>
      <c r="AL123" s="27">
        <v>0</v>
      </c>
      <c r="AM123" s="58">
        <v>0</v>
      </c>
      <c r="AN123" s="107">
        <v>0</v>
      </c>
      <c r="AO123" s="27">
        <v>0</v>
      </c>
      <c r="AP123" s="58">
        <v>0</v>
      </c>
      <c r="AQ123" s="107">
        <v>0</v>
      </c>
      <c r="AR123" s="27">
        <v>0</v>
      </c>
      <c r="AS123" s="58">
        <v>0</v>
      </c>
      <c r="AT123" s="107">
        <v>0</v>
      </c>
      <c r="AU123" s="54">
        <f t="shared" si="24"/>
        <v>0</v>
      </c>
      <c r="AV123" s="63">
        <f t="shared" si="25"/>
        <v>0</v>
      </c>
      <c r="AW123" s="55">
        <f t="shared" si="26"/>
        <v>0</v>
      </c>
      <c r="AX123" s="54">
        <f t="shared" si="27"/>
        <v>0</v>
      </c>
      <c r="AY123" s="63">
        <f t="shared" si="28"/>
        <v>0</v>
      </c>
      <c r="AZ123" s="55">
        <f t="shared" si="29"/>
        <v>0</v>
      </c>
      <c r="BA123" s="58">
        <v>0</v>
      </c>
      <c r="BB123" s="58">
        <v>0</v>
      </c>
      <c r="BC123" s="58">
        <v>0</v>
      </c>
      <c r="BD123" s="58">
        <v>0</v>
      </c>
      <c r="BE123" s="58">
        <v>0</v>
      </c>
      <c r="BF123" s="58">
        <v>0</v>
      </c>
      <c r="BG123" s="58">
        <v>0</v>
      </c>
      <c r="BH123" s="58">
        <v>0</v>
      </c>
      <c r="BI123" s="58">
        <v>0</v>
      </c>
      <c r="BJ123" s="58">
        <v>0</v>
      </c>
      <c r="BK123" s="58">
        <v>0</v>
      </c>
      <c r="BL123" s="58">
        <v>0</v>
      </c>
      <c r="BM123" s="46">
        <v>250</v>
      </c>
      <c r="BN123" s="43">
        <v>4200</v>
      </c>
      <c r="BO123" s="47">
        <v>2958.4</v>
      </c>
      <c r="BP123" s="46">
        <v>300</v>
      </c>
      <c r="BQ123" s="43">
        <v>4800</v>
      </c>
      <c r="BR123" s="47">
        <v>3510.4</v>
      </c>
      <c r="BS123" s="46">
        <v>246</v>
      </c>
      <c r="BT123" s="43">
        <v>4002</v>
      </c>
      <c r="BU123" s="114">
        <v>2915.6</v>
      </c>
      <c r="BV123" s="119">
        <v>935</v>
      </c>
      <c r="BW123" s="120">
        <v>13658</v>
      </c>
      <c r="BX123" s="114">
        <v>11274</v>
      </c>
      <c r="BY123" s="119">
        <v>390</v>
      </c>
      <c r="BZ123" s="120">
        <v>7380</v>
      </c>
      <c r="CA123" s="114">
        <v>4809.2</v>
      </c>
      <c r="CB123" s="119">
        <v>450</v>
      </c>
      <c r="CC123" s="120">
        <v>8020</v>
      </c>
      <c r="CD123" s="114">
        <v>5356</v>
      </c>
      <c r="CE123" s="119">
        <v>340</v>
      </c>
      <c r="CF123" s="120">
        <v>5590</v>
      </c>
      <c r="CG123" s="114">
        <v>4012.8</v>
      </c>
      <c r="CH123" s="119">
        <v>515</v>
      </c>
      <c r="CI123" s="120">
        <v>9220</v>
      </c>
      <c r="CJ123" s="114">
        <v>6238</v>
      </c>
      <c r="CK123" s="54">
        <f t="shared" si="30"/>
        <v>3426</v>
      </c>
      <c r="CL123" s="63">
        <f t="shared" si="31"/>
        <v>56870</v>
      </c>
      <c r="CM123" s="55">
        <f t="shared" si="32"/>
        <v>41074.400000000001</v>
      </c>
      <c r="CN123" s="54">
        <f t="shared" si="33"/>
        <v>285.5</v>
      </c>
      <c r="CO123" s="63">
        <f t="shared" si="34"/>
        <v>4739.166666666667</v>
      </c>
      <c r="CP123" s="172">
        <f t="shared" si="35"/>
        <v>3422.8666666666668</v>
      </c>
      <c r="CQ123" s="151">
        <v>485</v>
      </c>
      <c r="CR123" s="152">
        <v>8100</v>
      </c>
      <c r="CS123" s="97">
        <v>5823.2</v>
      </c>
      <c r="CT123" s="27">
        <v>615</v>
      </c>
      <c r="CU123" s="58">
        <v>9860</v>
      </c>
      <c r="CV123" s="107">
        <v>7398</v>
      </c>
      <c r="CW123" s="27"/>
      <c r="CX123" s="58"/>
      <c r="CY123" s="98"/>
      <c r="CZ123" s="27"/>
      <c r="DA123" s="58"/>
      <c r="DB123" s="107"/>
      <c r="DC123" s="27"/>
      <c r="DD123" s="58"/>
      <c r="DE123" s="107"/>
      <c r="DF123" s="27"/>
      <c r="DG123" s="58"/>
      <c r="DH123" s="107"/>
      <c r="DI123" s="27"/>
      <c r="DJ123" s="58"/>
      <c r="DK123" s="107"/>
      <c r="DL123" s="27"/>
      <c r="DM123" s="58"/>
      <c r="DN123" s="107"/>
      <c r="DO123" s="27"/>
      <c r="DP123" s="58"/>
      <c r="DQ123" s="107"/>
      <c r="DR123" s="27"/>
      <c r="DS123" s="58"/>
      <c r="DT123" s="107"/>
      <c r="DU123" s="27"/>
      <c r="DV123" s="58"/>
      <c r="DW123" s="107"/>
      <c r="DX123" s="27"/>
      <c r="DY123" s="58"/>
      <c r="DZ123" s="107"/>
    </row>
    <row r="124" spans="1:130" ht="31.5" customHeight="1" x14ac:dyDescent="0.6">
      <c r="A124" s="5">
        <v>121</v>
      </c>
      <c r="B124" s="21" t="s">
        <v>471</v>
      </c>
      <c r="C124" s="21"/>
      <c r="D124" s="20" t="s">
        <v>82</v>
      </c>
      <c r="E124" s="23"/>
      <c r="F124" s="7" t="s">
        <v>150</v>
      </c>
      <c r="G124" s="146"/>
      <c r="H124" s="146"/>
      <c r="I124" s="147" t="s">
        <v>1135</v>
      </c>
      <c r="J124" s="49" t="s">
        <v>125</v>
      </c>
      <c r="K124" s="27">
        <v>0</v>
      </c>
      <c r="L124" s="58">
        <v>0</v>
      </c>
      <c r="M124" s="78">
        <v>0</v>
      </c>
      <c r="N124" s="27">
        <v>0</v>
      </c>
      <c r="O124" s="58">
        <v>0</v>
      </c>
      <c r="P124" s="49">
        <v>0</v>
      </c>
      <c r="Q124" s="27">
        <v>0</v>
      </c>
      <c r="R124" s="58">
        <v>0</v>
      </c>
      <c r="S124" s="98">
        <v>0</v>
      </c>
      <c r="T124" s="27">
        <v>0</v>
      </c>
      <c r="U124" s="58">
        <v>0</v>
      </c>
      <c r="V124" s="12">
        <v>0</v>
      </c>
      <c r="W124" s="27">
        <v>0</v>
      </c>
      <c r="X124" s="58">
        <v>0</v>
      </c>
      <c r="Y124" s="12">
        <v>0</v>
      </c>
      <c r="Z124" s="27">
        <v>0</v>
      </c>
      <c r="AA124" s="58">
        <v>0</v>
      </c>
      <c r="AB124" s="12">
        <v>0</v>
      </c>
      <c r="AC124" s="27">
        <v>0</v>
      </c>
      <c r="AD124" s="58">
        <v>0</v>
      </c>
      <c r="AE124" s="107">
        <v>0</v>
      </c>
      <c r="AF124" s="27">
        <v>0</v>
      </c>
      <c r="AG124" s="58">
        <v>0</v>
      </c>
      <c r="AH124" s="107">
        <v>0</v>
      </c>
      <c r="AI124" s="27">
        <v>0</v>
      </c>
      <c r="AJ124" s="58">
        <v>0</v>
      </c>
      <c r="AK124" s="107">
        <v>0</v>
      </c>
      <c r="AL124" s="27">
        <v>0</v>
      </c>
      <c r="AM124" s="58">
        <v>0</v>
      </c>
      <c r="AN124" s="107">
        <v>0</v>
      </c>
      <c r="AO124" s="27">
        <v>0</v>
      </c>
      <c r="AP124" s="58">
        <v>0</v>
      </c>
      <c r="AQ124" s="107">
        <v>0</v>
      </c>
      <c r="AR124" s="27">
        <v>0</v>
      </c>
      <c r="AS124" s="58">
        <v>0</v>
      </c>
      <c r="AT124" s="107">
        <v>0</v>
      </c>
      <c r="AU124" s="54">
        <f t="shared" si="24"/>
        <v>0</v>
      </c>
      <c r="AV124" s="63">
        <f t="shared" si="25"/>
        <v>0</v>
      </c>
      <c r="AW124" s="55">
        <f t="shared" si="26"/>
        <v>0</v>
      </c>
      <c r="AX124" s="54">
        <f t="shared" si="27"/>
        <v>0</v>
      </c>
      <c r="AY124" s="63">
        <f t="shared" si="28"/>
        <v>0</v>
      </c>
      <c r="AZ124" s="55">
        <f t="shared" si="29"/>
        <v>0</v>
      </c>
      <c r="BA124" s="58">
        <v>0</v>
      </c>
      <c r="BB124" s="58">
        <v>0</v>
      </c>
      <c r="BC124" s="58">
        <v>0</v>
      </c>
      <c r="BD124" s="58">
        <v>0</v>
      </c>
      <c r="BE124" s="58">
        <v>0</v>
      </c>
      <c r="BF124" s="58">
        <v>0</v>
      </c>
      <c r="BG124" s="58">
        <v>0</v>
      </c>
      <c r="BH124" s="58">
        <v>0</v>
      </c>
      <c r="BI124" s="58">
        <v>0</v>
      </c>
      <c r="BJ124" s="58">
        <v>0</v>
      </c>
      <c r="BK124" s="58">
        <v>0</v>
      </c>
      <c r="BL124" s="58">
        <v>0</v>
      </c>
      <c r="BM124" s="46">
        <v>237</v>
      </c>
      <c r="BN124" s="43">
        <v>3924</v>
      </c>
      <c r="BO124" s="47">
        <v>2762</v>
      </c>
      <c r="BP124" s="46">
        <v>295</v>
      </c>
      <c r="BQ124" s="43">
        <v>4750</v>
      </c>
      <c r="BR124" s="47">
        <v>3435.2000000000003</v>
      </c>
      <c r="BS124" s="46">
        <v>200</v>
      </c>
      <c r="BT124" s="43">
        <v>3600</v>
      </c>
      <c r="BU124" s="114">
        <v>2310.3999999999996</v>
      </c>
      <c r="BV124" s="119">
        <v>290</v>
      </c>
      <c r="BW124" s="120">
        <v>4426</v>
      </c>
      <c r="BX124" s="114">
        <v>3392.08</v>
      </c>
      <c r="BY124" s="119">
        <v>350</v>
      </c>
      <c r="BZ124" s="120">
        <v>5830</v>
      </c>
      <c r="CA124" s="114">
        <v>4101.2</v>
      </c>
      <c r="CB124" s="119">
        <v>270</v>
      </c>
      <c r="CC124" s="120">
        <v>5100</v>
      </c>
      <c r="CD124" s="114">
        <v>3261.2</v>
      </c>
      <c r="CE124" s="119">
        <v>255</v>
      </c>
      <c r="CF124" s="120">
        <v>4230</v>
      </c>
      <c r="CG124" s="114">
        <v>3040</v>
      </c>
      <c r="CH124" s="119">
        <v>410</v>
      </c>
      <c r="CI124" s="120">
        <v>7890</v>
      </c>
      <c r="CJ124" s="114">
        <v>5036.3999999999996</v>
      </c>
      <c r="CK124" s="54">
        <f t="shared" si="30"/>
        <v>2307</v>
      </c>
      <c r="CL124" s="63">
        <f t="shared" si="31"/>
        <v>39750</v>
      </c>
      <c r="CM124" s="55">
        <f t="shared" si="32"/>
        <v>27338.480000000003</v>
      </c>
      <c r="CN124" s="54">
        <f t="shared" si="33"/>
        <v>192.25</v>
      </c>
      <c r="CO124" s="63">
        <f t="shared" si="34"/>
        <v>3312.5</v>
      </c>
      <c r="CP124" s="172">
        <f t="shared" si="35"/>
        <v>2278.2066666666669</v>
      </c>
      <c r="CQ124" s="151">
        <v>245</v>
      </c>
      <c r="CR124" s="152">
        <v>4420</v>
      </c>
      <c r="CS124" s="97">
        <v>2870.4</v>
      </c>
      <c r="CT124" s="27">
        <v>352</v>
      </c>
      <c r="CU124" s="58">
        <v>6364</v>
      </c>
      <c r="CV124" s="107">
        <v>4258</v>
      </c>
      <c r="CW124" s="27"/>
      <c r="CX124" s="58"/>
      <c r="CY124" s="98"/>
      <c r="CZ124" s="27"/>
      <c r="DA124" s="58"/>
      <c r="DB124" s="107"/>
      <c r="DC124" s="27"/>
      <c r="DD124" s="58"/>
      <c r="DE124" s="12"/>
      <c r="DF124" s="27"/>
      <c r="DG124" s="58"/>
      <c r="DH124" s="107"/>
      <c r="DI124" s="27"/>
      <c r="DJ124" s="58"/>
      <c r="DK124" s="107"/>
      <c r="DL124" s="27"/>
      <c r="DM124" s="58"/>
      <c r="DN124" s="107"/>
      <c r="DO124" s="27"/>
      <c r="DP124" s="58"/>
      <c r="DQ124" s="107"/>
      <c r="DR124" s="27"/>
      <c r="DS124" s="58"/>
      <c r="DT124" s="107"/>
      <c r="DU124" s="27"/>
      <c r="DV124" s="58"/>
      <c r="DW124" s="107"/>
      <c r="DX124" s="27"/>
      <c r="DY124" s="58"/>
      <c r="DZ124" s="107"/>
    </row>
    <row r="125" spans="1:130" ht="31.5" customHeight="1" x14ac:dyDescent="0.6">
      <c r="A125" s="5">
        <v>122</v>
      </c>
      <c r="B125" s="21" t="s">
        <v>574</v>
      </c>
      <c r="C125" s="21"/>
      <c r="D125" s="20" t="s">
        <v>263</v>
      </c>
      <c r="E125" s="23"/>
      <c r="F125" s="7" t="s">
        <v>150</v>
      </c>
      <c r="G125" s="146"/>
      <c r="H125" s="146"/>
      <c r="I125" s="147" t="s">
        <v>1136</v>
      </c>
      <c r="J125" s="49" t="s">
        <v>125</v>
      </c>
      <c r="K125" s="27">
        <v>0</v>
      </c>
      <c r="L125" s="58">
        <v>0</v>
      </c>
      <c r="M125" s="78">
        <v>0</v>
      </c>
      <c r="N125" s="27">
        <v>0</v>
      </c>
      <c r="O125" s="58">
        <v>0</v>
      </c>
      <c r="P125" s="49">
        <v>0</v>
      </c>
      <c r="Q125" s="27">
        <v>40</v>
      </c>
      <c r="R125" s="58">
        <v>520</v>
      </c>
      <c r="S125" s="98">
        <v>419.20000000000005</v>
      </c>
      <c r="T125" s="27">
        <v>94</v>
      </c>
      <c r="U125" s="58">
        <v>1310</v>
      </c>
      <c r="V125" s="107">
        <v>1011.6</v>
      </c>
      <c r="W125" s="27">
        <v>0</v>
      </c>
      <c r="X125" s="58">
        <v>0</v>
      </c>
      <c r="Y125" s="12">
        <v>0</v>
      </c>
      <c r="Z125" s="27">
        <v>0</v>
      </c>
      <c r="AA125" s="58">
        <v>0</v>
      </c>
      <c r="AB125" s="12">
        <v>0</v>
      </c>
      <c r="AC125" s="27">
        <v>146</v>
      </c>
      <c r="AD125" s="58">
        <v>2032</v>
      </c>
      <c r="AE125" s="107">
        <v>1497.6000000000001</v>
      </c>
      <c r="AF125" s="27">
        <v>0</v>
      </c>
      <c r="AG125" s="58">
        <v>0</v>
      </c>
      <c r="AH125" s="107">
        <v>0</v>
      </c>
      <c r="AI125" s="27">
        <v>36</v>
      </c>
      <c r="AJ125" s="58">
        <v>460</v>
      </c>
      <c r="AK125" s="107">
        <v>398</v>
      </c>
      <c r="AL125" s="27">
        <v>0</v>
      </c>
      <c r="AM125" s="58">
        <v>0</v>
      </c>
      <c r="AN125" s="107">
        <v>0</v>
      </c>
      <c r="AO125" s="27">
        <v>9</v>
      </c>
      <c r="AP125" s="58">
        <v>114</v>
      </c>
      <c r="AQ125" s="107">
        <v>88.08</v>
      </c>
      <c r="AR125" s="27">
        <v>130</v>
      </c>
      <c r="AS125" s="58">
        <v>1786</v>
      </c>
      <c r="AT125" s="107">
        <v>1310.56</v>
      </c>
      <c r="AU125" s="54">
        <f t="shared" si="24"/>
        <v>455</v>
      </c>
      <c r="AV125" s="63">
        <f t="shared" si="25"/>
        <v>6222</v>
      </c>
      <c r="AW125" s="55">
        <f t="shared" si="26"/>
        <v>4725.0400000000009</v>
      </c>
      <c r="AX125" s="54">
        <f t="shared" si="27"/>
        <v>37.916666666666664</v>
      </c>
      <c r="AY125" s="63">
        <f t="shared" si="28"/>
        <v>3.1597222222222219</v>
      </c>
      <c r="AZ125" s="55">
        <f t="shared" si="29"/>
        <v>393.75333333333339</v>
      </c>
      <c r="BA125" s="58">
        <v>0</v>
      </c>
      <c r="BB125" s="58">
        <v>0</v>
      </c>
      <c r="BC125" s="58">
        <v>0</v>
      </c>
      <c r="BD125" s="58">
        <v>0</v>
      </c>
      <c r="BE125" s="58">
        <v>0</v>
      </c>
      <c r="BF125" s="58">
        <v>0</v>
      </c>
      <c r="BG125" s="58">
        <v>0</v>
      </c>
      <c r="BH125" s="58">
        <v>0</v>
      </c>
      <c r="BI125" s="58">
        <v>0</v>
      </c>
      <c r="BJ125" s="58">
        <v>0</v>
      </c>
      <c r="BK125" s="58">
        <v>0</v>
      </c>
      <c r="BL125" s="58">
        <v>0</v>
      </c>
      <c r="BM125" s="46">
        <v>48</v>
      </c>
      <c r="BN125" s="43">
        <v>664</v>
      </c>
      <c r="BO125" s="47">
        <v>479.6</v>
      </c>
      <c r="BP125" s="46">
        <v>79</v>
      </c>
      <c r="BQ125" s="43">
        <v>1203</v>
      </c>
      <c r="BR125" s="47">
        <v>803.5</v>
      </c>
      <c r="BS125" s="46">
        <v>221</v>
      </c>
      <c r="BT125" s="43">
        <v>3128</v>
      </c>
      <c r="BU125" s="114">
        <v>2172</v>
      </c>
      <c r="BV125" s="119">
        <v>188</v>
      </c>
      <c r="BW125" s="120">
        <v>2638</v>
      </c>
      <c r="BX125" s="114">
        <v>1802.4799999999998</v>
      </c>
      <c r="BY125" s="119">
        <v>189</v>
      </c>
      <c r="BZ125" s="120">
        <v>2704</v>
      </c>
      <c r="CA125" s="114">
        <v>1902.8</v>
      </c>
      <c r="CB125" s="119">
        <v>213</v>
      </c>
      <c r="CC125" s="120">
        <v>3030</v>
      </c>
      <c r="CD125" s="114">
        <v>2166.8000000000002</v>
      </c>
      <c r="CE125" s="119">
        <v>214</v>
      </c>
      <c r="CF125" s="120">
        <v>2968</v>
      </c>
      <c r="CG125" s="114">
        <v>2150.3999999999996</v>
      </c>
      <c r="CH125" s="119">
        <v>207.54166666666666</v>
      </c>
      <c r="CI125" s="120">
        <v>2913</v>
      </c>
      <c r="CJ125" s="114">
        <v>2080.9499999999998</v>
      </c>
      <c r="CK125" s="54">
        <f t="shared" si="30"/>
        <v>1359.5416666666667</v>
      </c>
      <c r="CL125" s="63">
        <f t="shared" si="31"/>
        <v>19248</v>
      </c>
      <c r="CM125" s="55">
        <f t="shared" si="32"/>
        <v>13558.529999999999</v>
      </c>
      <c r="CN125" s="54">
        <f t="shared" si="33"/>
        <v>113.2951388888889</v>
      </c>
      <c r="CO125" s="63">
        <f t="shared" si="34"/>
        <v>1604</v>
      </c>
      <c r="CP125" s="172">
        <f t="shared" si="35"/>
        <v>1129.8774999999998</v>
      </c>
      <c r="CQ125" s="151">
        <v>248</v>
      </c>
      <c r="CR125" s="152">
        <v>3446</v>
      </c>
      <c r="CS125" s="97">
        <v>2437.6000000000004</v>
      </c>
      <c r="CT125" s="27">
        <v>232</v>
      </c>
      <c r="CU125" s="58">
        <v>3196</v>
      </c>
      <c r="CV125" s="107">
        <v>2289.2000000000003</v>
      </c>
      <c r="CW125" s="27"/>
      <c r="CX125" s="58"/>
      <c r="CY125" s="98"/>
      <c r="CZ125" s="27"/>
      <c r="DA125" s="58"/>
      <c r="DB125" s="107"/>
      <c r="DC125" s="27"/>
      <c r="DD125" s="58"/>
      <c r="DE125" s="107"/>
      <c r="DF125" s="27"/>
      <c r="DG125" s="58"/>
      <c r="DH125" s="107"/>
      <c r="DI125" s="27"/>
      <c r="DJ125" s="58"/>
      <c r="DK125" s="107"/>
      <c r="DL125" s="27"/>
      <c r="DM125" s="58"/>
      <c r="DN125" s="107"/>
      <c r="DO125" s="27"/>
      <c r="DP125" s="58"/>
      <c r="DQ125" s="107"/>
      <c r="DR125" s="27"/>
      <c r="DS125" s="58"/>
      <c r="DT125" s="107"/>
      <c r="DU125" s="27"/>
      <c r="DV125" s="58"/>
      <c r="DW125" s="107"/>
      <c r="DX125" s="27"/>
      <c r="DY125" s="58"/>
      <c r="DZ125" s="107"/>
    </row>
    <row r="126" spans="1:130" ht="31.5" customHeight="1" x14ac:dyDescent="0.6">
      <c r="A126" s="5">
        <v>123</v>
      </c>
      <c r="B126" s="21" t="s">
        <v>636</v>
      </c>
      <c r="C126" s="21"/>
      <c r="D126" s="20" t="s">
        <v>359</v>
      </c>
      <c r="E126" s="23"/>
      <c r="F126" s="7" t="s">
        <v>150</v>
      </c>
      <c r="G126" s="146"/>
      <c r="H126" s="146"/>
      <c r="I126" s="147" t="s">
        <v>1138</v>
      </c>
      <c r="J126" s="49" t="s">
        <v>125</v>
      </c>
      <c r="K126" s="27">
        <v>0</v>
      </c>
      <c r="L126" s="58">
        <v>0</v>
      </c>
      <c r="M126" s="78">
        <v>0</v>
      </c>
      <c r="N126" s="27">
        <v>0</v>
      </c>
      <c r="O126" s="58">
        <v>0</v>
      </c>
      <c r="P126" s="49">
        <v>0</v>
      </c>
      <c r="Q126" s="27">
        <v>0</v>
      </c>
      <c r="R126" s="58">
        <v>0</v>
      </c>
      <c r="S126" s="98">
        <v>0</v>
      </c>
      <c r="T126" s="27">
        <v>0</v>
      </c>
      <c r="U126" s="58">
        <v>0</v>
      </c>
      <c r="V126" s="12">
        <v>0</v>
      </c>
      <c r="W126" s="27">
        <v>0</v>
      </c>
      <c r="X126" s="58">
        <v>0</v>
      </c>
      <c r="Y126" s="12">
        <v>0</v>
      </c>
      <c r="Z126" s="27">
        <v>0</v>
      </c>
      <c r="AA126" s="58">
        <v>0</v>
      </c>
      <c r="AB126" s="12">
        <v>0</v>
      </c>
      <c r="AC126" s="27">
        <v>22</v>
      </c>
      <c r="AD126" s="58">
        <v>264</v>
      </c>
      <c r="AE126" s="107">
        <v>264</v>
      </c>
      <c r="AF126" s="27">
        <v>15</v>
      </c>
      <c r="AG126" s="58">
        <v>180</v>
      </c>
      <c r="AH126" s="107">
        <v>180</v>
      </c>
      <c r="AI126" s="27">
        <v>13</v>
      </c>
      <c r="AJ126" s="58">
        <v>176</v>
      </c>
      <c r="AK126" s="107">
        <v>125.60000000000001</v>
      </c>
      <c r="AL126" s="27">
        <v>0</v>
      </c>
      <c r="AM126" s="58">
        <v>0</v>
      </c>
      <c r="AN126" s="107">
        <v>0</v>
      </c>
      <c r="AO126" s="27">
        <v>3</v>
      </c>
      <c r="AP126" s="58">
        <v>64</v>
      </c>
      <c r="AQ126" s="107">
        <v>38</v>
      </c>
      <c r="AR126" s="27">
        <v>725</v>
      </c>
      <c r="AS126" s="58">
        <v>9000</v>
      </c>
      <c r="AT126" s="107">
        <v>8196</v>
      </c>
      <c r="AU126" s="54">
        <f t="shared" si="24"/>
        <v>778</v>
      </c>
      <c r="AV126" s="63">
        <f t="shared" si="25"/>
        <v>9684</v>
      </c>
      <c r="AW126" s="55">
        <f t="shared" si="26"/>
        <v>8803.6</v>
      </c>
      <c r="AX126" s="54">
        <f t="shared" si="27"/>
        <v>64.833333333333329</v>
      </c>
      <c r="AY126" s="63">
        <f t="shared" si="28"/>
        <v>5.4027777777777777</v>
      </c>
      <c r="AZ126" s="55">
        <f t="shared" si="29"/>
        <v>733.63333333333333</v>
      </c>
      <c r="BA126" s="58">
        <v>0</v>
      </c>
      <c r="BB126" s="58">
        <v>0</v>
      </c>
      <c r="BC126" s="58">
        <v>0</v>
      </c>
      <c r="BD126" s="58">
        <v>0</v>
      </c>
      <c r="BE126" s="58">
        <v>0</v>
      </c>
      <c r="BF126" s="58">
        <v>0</v>
      </c>
      <c r="BG126" s="58">
        <v>0</v>
      </c>
      <c r="BH126" s="58">
        <v>0</v>
      </c>
      <c r="BI126" s="58">
        <v>0</v>
      </c>
      <c r="BJ126" s="58">
        <v>0</v>
      </c>
      <c r="BK126" s="58">
        <v>0</v>
      </c>
      <c r="BL126" s="58">
        <v>0</v>
      </c>
      <c r="BM126" s="46">
        <v>700</v>
      </c>
      <c r="BN126" s="43">
        <v>8600</v>
      </c>
      <c r="BO126" s="47">
        <v>8096</v>
      </c>
      <c r="BP126" s="46">
        <v>765</v>
      </c>
      <c r="BQ126" s="43">
        <v>9580</v>
      </c>
      <c r="BR126" s="47">
        <v>8572</v>
      </c>
      <c r="BS126" s="46">
        <v>800</v>
      </c>
      <c r="BT126" s="43">
        <v>9800</v>
      </c>
      <c r="BU126" s="114">
        <v>9296</v>
      </c>
      <c r="BV126" s="119">
        <v>718</v>
      </c>
      <c r="BW126" s="120">
        <v>9236</v>
      </c>
      <c r="BX126" s="114">
        <v>8330.48</v>
      </c>
      <c r="BY126" s="119">
        <v>650</v>
      </c>
      <c r="BZ126" s="120">
        <v>8000</v>
      </c>
      <c r="CA126" s="114">
        <v>7496</v>
      </c>
      <c r="CB126" s="119">
        <v>1400</v>
      </c>
      <c r="CC126" s="120">
        <v>17000</v>
      </c>
      <c r="CD126" s="114">
        <v>16496</v>
      </c>
      <c r="CE126" s="119">
        <v>650</v>
      </c>
      <c r="CF126" s="120">
        <v>8040</v>
      </c>
      <c r="CG126" s="114">
        <v>7291.2</v>
      </c>
      <c r="CH126" s="119">
        <v>750</v>
      </c>
      <c r="CI126" s="120">
        <v>9200</v>
      </c>
      <c r="CJ126" s="114">
        <v>8696</v>
      </c>
      <c r="CK126" s="54">
        <f t="shared" si="30"/>
        <v>6433</v>
      </c>
      <c r="CL126" s="63">
        <f t="shared" si="31"/>
        <v>79456</v>
      </c>
      <c r="CM126" s="55">
        <f t="shared" si="32"/>
        <v>74273.679999999993</v>
      </c>
      <c r="CN126" s="54">
        <f t="shared" si="33"/>
        <v>536.08333333333337</v>
      </c>
      <c r="CO126" s="63">
        <f t="shared" si="34"/>
        <v>6621.333333333333</v>
      </c>
      <c r="CP126" s="172">
        <f t="shared" si="35"/>
        <v>6189.4733333333324</v>
      </c>
      <c r="CQ126" s="151">
        <v>1100</v>
      </c>
      <c r="CR126" s="152">
        <v>13400</v>
      </c>
      <c r="CS126" s="97">
        <v>12896</v>
      </c>
      <c r="CT126" s="27">
        <v>550</v>
      </c>
      <c r="CU126" s="58">
        <v>7100</v>
      </c>
      <c r="CV126" s="107">
        <v>5840</v>
      </c>
      <c r="CW126" s="27"/>
      <c r="CX126" s="58"/>
      <c r="CY126" s="98"/>
      <c r="CZ126" s="27"/>
      <c r="DA126" s="58"/>
      <c r="DB126" s="107"/>
      <c r="DC126" s="27"/>
      <c r="DD126" s="58"/>
      <c r="DE126" s="107"/>
      <c r="DF126" s="27"/>
      <c r="DG126" s="58"/>
      <c r="DH126" s="107"/>
      <c r="DI126" s="27"/>
      <c r="DJ126" s="58"/>
      <c r="DK126" s="107"/>
      <c r="DL126" s="27"/>
      <c r="DM126" s="58"/>
      <c r="DN126" s="107"/>
      <c r="DO126" s="27"/>
      <c r="DP126" s="58"/>
      <c r="DQ126" s="107"/>
      <c r="DR126" s="27"/>
      <c r="DS126" s="58"/>
      <c r="DT126" s="107"/>
      <c r="DU126" s="27"/>
      <c r="DV126" s="58"/>
      <c r="DW126" s="107"/>
      <c r="DX126" s="27"/>
      <c r="DY126" s="58"/>
      <c r="DZ126" s="107"/>
    </row>
    <row r="127" spans="1:130" ht="31.5" customHeight="1" x14ac:dyDescent="0.6">
      <c r="A127" s="5">
        <v>124</v>
      </c>
      <c r="B127" s="21" t="s">
        <v>646</v>
      </c>
      <c r="C127" s="21"/>
      <c r="D127" s="20" t="s">
        <v>359</v>
      </c>
      <c r="E127" s="23"/>
      <c r="F127" s="7" t="s">
        <v>150</v>
      </c>
      <c r="G127" s="146"/>
      <c r="H127" s="146"/>
      <c r="I127" s="147" t="s">
        <v>1139</v>
      </c>
      <c r="J127" s="49" t="s">
        <v>125</v>
      </c>
      <c r="K127" s="27">
        <v>500</v>
      </c>
      <c r="L127" s="58">
        <v>7000</v>
      </c>
      <c r="M127" s="78">
        <v>4480</v>
      </c>
      <c r="N127" s="27">
        <v>110</v>
      </c>
      <c r="O127" s="58">
        <v>1200</v>
      </c>
      <c r="P127" s="49">
        <v>1200</v>
      </c>
      <c r="Q127" s="27">
        <v>200</v>
      </c>
      <c r="R127" s="58">
        <v>2600</v>
      </c>
      <c r="S127" s="98">
        <v>2096</v>
      </c>
      <c r="T127" s="27">
        <v>0</v>
      </c>
      <c r="U127" s="58">
        <v>0</v>
      </c>
      <c r="V127" s="12">
        <v>0</v>
      </c>
      <c r="W127" s="27">
        <v>300</v>
      </c>
      <c r="X127" s="58">
        <v>5100</v>
      </c>
      <c r="Y127" s="12">
        <v>3548</v>
      </c>
      <c r="Z127" s="27">
        <v>0</v>
      </c>
      <c r="AA127" s="58">
        <v>0</v>
      </c>
      <c r="AB127" s="12">
        <v>0</v>
      </c>
      <c r="AC127" s="27">
        <v>100</v>
      </c>
      <c r="AD127" s="58">
        <v>1400</v>
      </c>
      <c r="AE127" s="107">
        <v>896</v>
      </c>
      <c r="AF127" s="27">
        <v>0</v>
      </c>
      <c r="AG127" s="58">
        <v>0</v>
      </c>
      <c r="AH127" s="107">
        <v>0</v>
      </c>
      <c r="AI127" s="27">
        <v>0</v>
      </c>
      <c r="AJ127" s="58">
        <v>0</v>
      </c>
      <c r="AK127" s="107">
        <v>0</v>
      </c>
      <c r="AL127" s="27">
        <v>0</v>
      </c>
      <c r="AM127" s="58">
        <v>0</v>
      </c>
      <c r="AN127" s="107">
        <v>0</v>
      </c>
      <c r="AO127" s="27">
        <v>300</v>
      </c>
      <c r="AP127" s="58">
        <v>4000</v>
      </c>
      <c r="AQ127" s="107">
        <v>2992</v>
      </c>
      <c r="AR127" s="27">
        <v>0</v>
      </c>
      <c r="AS127" s="58">
        <v>0</v>
      </c>
      <c r="AT127" s="107">
        <v>0</v>
      </c>
      <c r="AU127" s="54">
        <f t="shared" si="24"/>
        <v>1510</v>
      </c>
      <c r="AV127" s="63">
        <f t="shared" si="25"/>
        <v>21300</v>
      </c>
      <c r="AW127" s="55">
        <f t="shared" si="26"/>
        <v>15212</v>
      </c>
      <c r="AX127" s="54">
        <f t="shared" si="27"/>
        <v>125.83333333333333</v>
      </c>
      <c r="AY127" s="63">
        <f t="shared" si="28"/>
        <v>10.486111111111111</v>
      </c>
      <c r="AZ127" s="55">
        <f t="shared" si="29"/>
        <v>1267.6666666666667</v>
      </c>
      <c r="BA127" s="58">
        <v>0</v>
      </c>
      <c r="BB127" s="58">
        <v>0</v>
      </c>
      <c r="BC127" s="58">
        <v>0</v>
      </c>
      <c r="BD127" s="58">
        <v>0</v>
      </c>
      <c r="BE127" s="58">
        <v>0</v>
      </c>
      <c r="BF127" s="58">
        <v>0</v>
      </c>
      <c r="BG127" s="58">
        <v>0</v>
      </c>
      <c r="BH127" s="58">
        <v>0</v>
      </c>
      <c r="BI127" s="58">
        <v>0</v>
      </c>
      <c r="BJ127" s="58">
        <v>0</v>
      </c>
      <c r="BK127" s="58">
        <v>0</v>
      </c>
      <c r="BL127" s="58">
        <v>0</v>
      </c>
      <c r="BM127" s="46">
        <v>0</v>
      </c>
      <c r="BN127" s="43">
        <v>0</v>
      </c>
      <c r="BO127" s="47">
        <v>0</v>
      </c>
      <c r="BP127" s="46">
        <v>300</v>
      </c>
      <c r="BQ127" s="43">
        <v>3800</v>
      </c>
      <c r="BR127" s="47">
        <v>3296</v>
      </c>
      <c r="BS127" s="46">
        <v>0</v>
      </c>
      <c r="BT127" s="43">
        <v>0</v>
      </c>
      <c r="BU127" s="114">
        <v>0</v>
      </c>
      <c r="BV127" s="119">
        <v>228</v>
      </c>
      <c r="BW127" s="120">
        <v>3216</v>
      </c>
      <c r="BX127" s="114">
        <v>2440.48</v>
      </c>
      <c r="BY127" s="119"/>
      <c r="BZ127" s="120"/>
      <c r="CA127" s="114"/>
      <c r="CB127" s="119">
        <v>250</v>
      </c>
      <c r="CC127" s="120">
        <v>4600</v>
      </c>
      <c r="CD127" s="114">
        <v>2796</v>
      </c>
      <c r="CE127" s="119"/>
      <c r="CF127" s="120"/>
      <c r="CG127" s="114"/>
      <c r="CH127" s="119">
        <v>200</v>
      </c>
      <c r="CI127" s="120">
        <v>2600</v>
      </c>
      <c r="CJ127" s="114">
        <v>2096</v>
      </c>
      <c r="CK127" s="54">
        <f t="shared" si="30"/>
        <v>978</v>
      </c>
      <c r="CL127" s="63">
        <f t="shared" si="31"/>
        <v>14216</v>
      </c>
      <c r="CM127" s="55">
        <f t="shared" si="32"/>
        <v>10628.48</v>
      </c>
      <c r="CN127" s="54">
        <f t="shared" si="33"/>
        <v>81.5</v>
      </c>
      <c r="CO127" s="63">
        <f t="shared" si="34"/>
        <v>1184.6666666666667</v>
      </c>
      <c r="CP127" s="172">
        <f t="shared" si="35"/>
        <v>885.70666666666659</v>
      </c>
      <c r="CQ127" s="27"/>
      <c r="CR127" s="58"/>
      <c r="CS127" s="98"/>
      <c r="CT127" s="27">
        <v>150</v>
      </c>
      <c r="CU127" s="58">
        <v>3400</v>
      </c>
      <c r="CV127" s="12">
        <v>1596</v>
      </c>
      <c r="CW127" s="27"/>
      <c r="CX127" s="58"/>
      <c r="CY127" s="98"/>
      <c r="CZ127" s="27"/>
      <c r="DA127" s="58"/>
      <c r="DB127" s="12"/>
      <c r="DC127" s="27"/>
      <c r="DD127" s="58"/>
      <c r="DE127" s="12"/>
      <c r="DF127" s="27"/>
      <c r="DG127" s="58"/>
      <c r="DH127" s="107"/>
      <c r="DI127" s="27"/>
      <c r="DJ127" s="58"/>
      <c r="DK127" s="107"/>
      <c r="DL127" s="27"/>
      <c r="DM127" s="58"/>
      <c r="DN127" s="107"/>
      <c r="DO127" s="27"/>
      <c r="DP127" s="58"/>
      <c r="DQ127" s="107"/>
      <c r="DR127" s="27"/>
      <c r="DS127" s="58"/>
      <c r="DT127" s="107"/>
      <c r="DU127" s="27"/>
      <c r="DV127" s="58"/>
      <c r="DW127" s="107"/>
      <c r="DX127" s="27"/>
      <c r="DY127" s="58"/>
      <c r="DZ127" s="107"/>
    </row>
    <row r="128" spans="1:130" ht="31.5" customHeight="1" x14ac:dyDescent="0.6">
      <c r="A128" s="5">
        <v>125</v>
      </c>
      <c r="B128" s="18" t="s">
        <v>375</v>
      </c>
      <c r="C128" s="18" t="s">
        <v>376</v>
      </c>
      <c r="D128" s="18" t="s">
        <v>49</v>
      </c>
      <c r="E128" s="23" t="s">
        <v>50</v>
      </c>
      <c r="F128" s="7" t="s">
        <v>377</v>
      </c>
      <c r="G128" s="123"/>
      <c r="H128" s="123"/>
      <c r="I128" s="123" t="s">
        <v>1000</v>
      </c>
      <c r="J128" s="49" t="s">
        <v>378</v>
      </c>
      <c r="K128" s="27"/>
      <c r="L128" s="58"/>
      <c r="M128" s="78"/>
      <c r="N128" s="27"/>
      <c r="O128" s="58"/>
      <c r="P128" s="49"/>
      <c r="Q128" s="27"/>
      <c r="R128" s="58"/>
      <c r="S128" s="98"/>
      <c r="T128" s="27"/>
      <c r="U128" s="58"/>
      <c r="V128" s="12"/>
      <c r="W128" s="27"/>
      <c r="X128" s="58"/>
      <c r="Y128" s="12"/>
      <c r="Z128" s="27"/>
      <c r="AA128" s="58"/>
      <c r="AB128" s="12"/>
      <c r="AC128" s="27">
        <v>40</v>
      </c>
      <c r="AD128" s="58">
        <v>620</v>
      </c>
      <c r="AE128" s="107"/>
      <c r="AF128" s="27">
        <v>0</v>
      </c>
      <c r="AG128" s="58">
        <v>0</v>
      </c>
      <c r="AH128" s="107"/>
      <c r="AI128" s="27">
        <v>0</v>
      </c>
      <c r="AJ128" s="58">
        <v>0</v>
      </c>
      <c r="AK128" s="107"/>
      <c r="AL128" s="27">
        <v>45</v>
      </c>
      <c r="AM128" s="58">
        <v>680</v>
      </c>
      <c r="AN128" s="107"/>
      <c r="AO128" s="27">
        <v>15</v>
      </c>
      <c r="AP128" s="58">
        <v>180</v>
      </c>
      <c r="AQ128" s="107"/>
      <c r="AR128" s="27">
        <v>30</v>
      </c>
      <c r="AS128" s="58">
        <v>360</v>
      </c>
      <c r="AT128" s="107"/>
      <c r="AU128" s="54"/>
      <c r="AV128" s="63"/>
      <c r="AW128" s="55"/>
      <c r="AX128" s="54"/>
      <c r="AY128" s="63"/>
      <c r="AZ128" s="55"/>
      <c r="BA128" s="10">
        <v>75</v>
      </c>
      <c r="BB128" s="15">
        <v>1002</v>
      </c>
      <c r="BC128" s="11">
        <v>937</v>
      </c>
      <c r="BD128" s="10">
        <v>60</v>
      </c>
      <c r="BE128" s="15">
        <v>720</v>
      </c>
      <c r="BF128" s="11">
        <v>720</v>
      </c>
      <c r="BG128" s="10">
        <v>42</v>
      </c>
      <c r="BH128" s="15">
        <v>1311</v>
      </c>
      <c r="BI128" s="11">
        <v>888</v>
      </c>
      <c r="BJ128" s="10">
        <v>60</v>
      </c>
      <c r="BK128" s="15">
        <v>900</v>
      </c>
      <c r="BL128" s="11">
        <v>900</v>
      </c>
      <c r="BM128" s="44">
        <v>75</v>
      </c>
      <c r="BN128" s="42">
        <v>900</v>
      </c>
      <c r="BO128" s="45">
        <v>900</v>
      </c>
      <c r="BP128" s="44">
        <v>60</v>
      </c>
      <c r="BQ128" s="42">
        <v>900</v>
      </c>
      <c r="BR128" s="45">
        <v>900</v>
      </c>
      <c r="BS128" s="44">
        <v>120</v>
      </c>
      <c r="BT128" s="42">
        <v>1440</v>
      </c>
      <c r="BU128" s="112">
        <v>1440</v>
      </c>
      <c r="BV128" s="115">
        <v>35.299999999999997</v>
      </c>
      <c r="BW128" s="116">
        <v>563</v>
      </c>
      <c r="BX128" s="112">
        <v>432.04</v>
      </c>
      <c r="BY128" s="115">
        <v>60</v>
      </c>
      <c r="BZ128" s="116">
        <v>720</v>
      </c>
      <c r="CA128" s="112">
        <v>720</v>
      </c>
      <c r="CB128" s="115">
        <v>91</v>
      </c>
      <c r="CC128" s="116">
        <v>1092</v>
      </c>
      <c r="CD128" s="112">
        <v>1092</v>
      </c>
      <c r="CE128" s="115">
        <v>75</v>
      </c>
      <c r="CF128" s="116">
        <v>900</v>
      </c>
      <c r="CG128" s="112">
        <v>900</v>
      </c>
      <c r="CH128" s="115">
        <v>105</v>
      </c>
      <c r="CI128" s="116">
        <v>1260</v>
      </c>
      <c r="CJ128" s="112">
        <v>1260</v>
      </c>
      <c r="CK128" s="54">
        <f t="shared" si="30"/>
        <v>858.3</v>
      </c>
      <c r="CL128" s="63">
        <f t="shared" si="31"/>
        <v>11708</v>
      </c>
      <c r="CM128" s="55">
        <f t="shared" si="32"/>
        <v>11089.04</v>
      </c>
      <c r="CN128" s="54">
        <f t="shared" si="33"/>
        <v>71.524999999999991</v>
      </c>
      <c r="CO128" s="63">
        <f t="shared" si="34"/>
        <v>975.66666666666663</v>
      </c>
      <c r="CP128" s="172">
        <f t="shared" si="35"/>
        <v>924.0866666666667</v>
      </c>
      <c r="CQ128" s="158">
        <v>66.415000000000006</v>
      </c>
      <c r="CR128" s="159">
        <v>826</v>
      </c>
      <c r="CS128" s="179">
        <v>782.66</v>
      </c>
      <c r="CT128" s="27">
        <v>60</v>
      </c>
      <c r="CU128" s="58">
        <v>720</v>
      </c>
      <c r="CV128" s="12">
        <v>720</v>
      </c>
      <c r="CW128" s="27"/>
      <c r="CX128" s="58"/>
      <c r="CY128" s="98"/>
      <c r="CZ128" s="27"/>
      <c r="DA128" s="58"/>
      <c r="DB128" s="12"/>
      <c r="DC128" s="27"/>
      <c r="DD128" s="58"/>
      <c r="DE128" s="107"/>
      <c r="DF128" s="27"/>
      <c r="DG128" s="58"/>
      <c r="DH128" s="12"/>
      <c r="DI128" s="27"/>
      <c r="DJ128" s="58"/>
      <c r="DK128" s="107"/>
      <c r="DL128" s="27"/>
      <c r="DM128" s="58"/>
      <c r="DN128" s="107"/>
      <c r="DO128" s="27"/>
      <c r="DP128" s="58"/>
      <c r="DQ128" s="107"/>
      <c r="DR128" s="27"/>
      <c r="DS128" s="58"/>
      <c r="DT128" s="107"/>
      <c r="DU128" s="27"/>
      <c r="DV128" s="58"/>
      <c r="DW128" s="107"/>
      <c r="DX128" s="27"/>
      <c r="DY128" s="58"/>
      <c r="DZ128" s="107"/>
    </row>
    <row r="129" spans="1:130" s="122" customFormat="1" ht="31.5" customHeight="1" x14ac:dyDescent="0.6">
      <c r="A129" s="5">
        <v>126</v>
      </c>
      <c r="B129" s="18" t="s">
        <v>379</v>
      </c>
      <c r="C129" s="18" t="s">
        <v>380</v>
      </c>
      <c r="D129" s="18" t="s">
        <v>49</v>
      </c>
      <c r="E129" s="23" t="s">
        <v>50</v>
      </c>
      <c r="F129" s="7" t="s">
        <v>377</v>
      </c>
      <c r="G129" s="123"/>
      <c r="H129" s="123"/>
      <c r="I129" s="123" t="s">
        <v>1001</v>
      </c>
      <c r="J129" s="49" t="s">
        <v>378</v>
      </c>
      <c r="K129" s="27"/>
      <c r="L129" s="58"/>
      <c r="M129" s="78"/>
      <c r="N129" s="27"/>
      <c r="O129" s="58"/>
      <c r="P129" s="49"/>
      <c r="Q129" s="27"/>
      <c r="R129" s="58"/>
      <c r="S129" s="98"/>
      <c r="T129" s="27"/>
      <c r="U129" s="58"/>
      <c r="V129" s="12"/>
      <c r="W129" s="27"/>
      <c r="X129" s="58"/>
      <c r="Y129" s="12"/>
      <c r="Z129" s="27"/>
      <c r="AA129" s="58"/>
      <c r="AB129" s="12"/>
      <c r="AC129" s="27">
        <v>0</v>
      </c>
      <c r="AD129" s="58">
        <v>0</v>
      </c>
      <c r="AE129" s="107"/>
      <c r="AF129" s="27">
        <v>45</v>
      </c>
      <c r="AG129" s="58">
        <v>540</v>
      </c>
      <c r="AH129" s="107"/>
      <c r="AI129" s="27">
        <v>50</v>
      </c>
      <c r="AJ129" s="58">
        <v>600</v>
      </c>
      <c r="AK129" s="107"/>
      <c r="AL129" s="27">
        <v>10</v>
      </c>
      <c r="AM129" s="58">
        <v>120</v>
      </c>
      <c r="AN129" s="107"/>
      <c r="AO129" s="27">
        <v>30</v>
      </c>
      <c r="AP129" s="58">
        <v>360</v>
      </c>
      <c r="AQ129" s="107"/>
      <c r="AR129" s="27">
        <v>30</v>
      </c>
      <c r="AS129" s="58">
        <v>360</v>
      </c>
      <c r="AT129" s="107"/>
      <c r="AU129" s="54"/>
      <c r="AV129" s="63"/>
      <c r="AW129" s="55"/>
      <c r="AX129" s="54"/>
      <c r="AY129" s="63"/>
      <c r="AZ129" s="55"/>
      <c r="BA129" s="10">
        <v>45</v>
      </c>
      <c r="BB129" s="15">
        <v>549</v>
      </c>
      <c r="BC129" s="11">
        <v>544</v>
      </c>
      <c r="BD129" s="10">
        <v>46</v>
      </c>
      <c r="BE129" s="15">
        <v>557</v>
      </c>
      <c r="BF129" s="11">
        <v>547.70000000000005</v>
      </c>
      <c r="BG129" s="10">
        <v>76</v>
      </c>
      <c r="BH129" s="15">
        <v>913</v>
      </c>
      <c r="BI129" s="11">
        <v>906</v>
      </c>
      <c r="BJ129" s="10">
        <v>15</v>
      </c>
      <c r="BK129" s="15">
        <v>180</v>
      </c>
      <c r="BL129" s="11">
        <v>180</v>
      </c>
      <c r="BM129" s="46">
        <v>60</v>
      </c>
      <c r="BN129" s="43">
        <v>720</v>
      </c>
      <c r="BO129" s="47">
        <v>720</v>
      </c>
      <c r="BP129" s="46">
        <v>30</v>
      </c>
      <c r="BQ129" s="43">
        <v>360</v>
      </c>
      <c r="BR129" s="47">
        <v>360</v>
      </c>
      <c r="BS129" s="46">
        <v>45</v>
      </c>
      <c r="BT129" s="43">
        <v>540</v>
      </c>
      <c r="BU129" s="114">
        <v>540</v>
      </c>
      <c r="BV129" s="119">
        <v>30</v>
      </c>
      <c r="BW129" s="120">
        <v>360</v>
      </c>
      <c r="BX129" s="114">
        <v>360</v>
      </c>
      <c r="BY129" s="119">
        <v>75</v>
      </c>
      <c r="BZ129" s="120">
        <v>900</v>
      </c>
      <c r="CA129" s="114">
        <v>900</v>
      </c>
      <c r="CB129" s="119">
        <v>45</v>
      </c>
      <c r="CC129" s="120">
        <v>540</v>
      </c>
      <c r="CD129" s="114">
        <v>540</v>
      </c>
      <c r="CE129" s="119">
        <v>75</v>
      </c>
      <c r="CF129" s="120">
        <v>900</v>
      </c>
      <c r="CG129" s="114">
        <v>900</v>
      </c>
      <c r="CH129" s="119">
        <v>90</v>
      </c>
      <c r="CI129" s="120">
        <v>1080</v>
      </c>
      <c r="CJ129" s="114">
        <v>1080</v>
      </c>
      <c r="CK129" s="54">
        <f t="shared" si="30"/>
        <v>632</v>
      </c>
      <c r="CL129" s="63">
        <f t="shared" si="31"/>
        <v>7599</v>
      </c>
      <c r="CM129" s="55">
        <f t="shared" si="32"/>
        <v>7577.7</v>
      </c>
      <c r="CN129" s="54">
        <f t="shared" si="33"/>
        <v>52.666666666666664</v>
      </c>
      <c r="CO129" s="63">
        <f t="shared" si="34"/>
        <v>633.25</v>
      </c>
      <c r="CP129" s="172">
        <f t="shared" si="35"/>
        <v>631.47500000000002</v>
      </c>
      <c r="CQ129" s="158">
        <v>60</v>
      </c>
      <c r="CR129" s="159">
        <v>720</v>
      </c>
      <c r="CS129" s="179">
        <v>720</v>
      </c>
      <c r="CT129" s="27">
        <v>95</v>
      </c>
      <c r="CU129" s="58">
        <v>1150</v>
      </c>
      <c r="CV129" s="12">
        <v>1124.8</v>
      </c>
      <c r="CW129" s="27"/>
      <c r="CX129" s="58"/>
      <c r="CY129" s="98"/>
      <c r="CZ129" s="27"/>
      <c r="DA129" s="58"/>
      <c r="DB129" s="12"/>
      <c r="DC129" s="27"/>
      <c r="DD129" s="58"/>
      <c r="DE129" s="107"/>
      <c r="DF129" s="27"/>
      <c r="DG129" s="58"/>
      <c r="DH129" s="107"/>
      <c r="DI129" s="27"/>
      <c r="DJ129" s="58"/>
      <c r="DK129" s="107"/>
      <c r="DL129" s="27"/>
      <c r="DM129" s="58"/>
      <c r="DN129" s="107"/>
      <c r="DO129" s="27"/>
      <c r="DP129" s="58"/>
      <c r="DQ129" s="107"/>
      <c r="DR129" s="27"/>
      <c r="DS129" s="58"/>
      <c r="DT129" s="107"/>
      <c r="DU129" s="27"/>
      <c r="DV129" s="58"/>
      <c r="DW129" s="107"/>
      <c r="DX129" s="27"/>
      <c r="DY129" s="58"/>
      <c r="DZ129" s="107"/>
    </row>
    <row r="130" spans="1:130" s="25" customFormat="1" ht="31.5" customHeight="1" x14ac:dyDescent="0.6">
      <c r="A130" s="5">
        <v>127</v>
      </c>
      <c r="B130" s="18" t="s">
        <v>381</v>
      </c>
      <c r="C130" s="18" t="s">
        <v>382</v>
      </c>
      <c r="D130" s="18" t="s">
        <v>383</v>
      </c>
      <c r="E130" s="23" t="s">
        <v>384</v>
      </c>
      <c r="F130" s="7" t="s">
        <v>377</v>
      </c>
      <c r="G130" s="123"/>
      <c r="H130" s="123"/>
      <c r="I130" s="123" t="s">
        <v>1002</v>
      </c>
      <c r="J130" s="49" t="s">
        <v>378</v>
      </c>
      <c r="K130" s="27"/>
      <c r="L130" s="58"/>
      <c r="M130" s="78"/>
      <c r="N130" s="27"/>
      <c r="O130" s="58"/>
      <c r="P130" s="49"/>
      <c r="Q130" s="27"/>
      <c r="R130" s="58"/>
      <c r="S130" s="98"/>
      <c r="T130" s="27"/>
      <c r="U130" s="58"/>
      <c r="V130" s="12"/>
      <c r="W130" s="27"/>
      <c r="X130" s="58"/>
      <c r="Y130" s="12"/>
      <c r="Z130" s="27"/>
      <c r="AA130" s="58"/>
      <c r="AB130" s="12"/>
      <c r="AC130" s="27">
        <v>0</v>
      </c>
      <c r="AD130" s="58">
        <v>0</v>
      </c>
      <c r="AE130" s="107"/>
      <c r="AF130" s="27">
        <v>0</v>
      </c>
      <c r="AG130" s="58">
        <v>0</v>
      </c>
      <c r="AH130" s="107"/>
      <c r="AI130" s="27">
        <v>15</v>
      </c>
      <c r="AJ130" s="58">
        <v>180</v>
      </c>
      <c r="AK130" s="107"/>
      <c r="AL130" s="27">
        <v>0</v>
      </c>
      <c r="AM130" s="58">
        <v>0</v>
      </c>
      <c r="AN130" s="107"/>
      <c r="AO130" s="27">
        <v>30</v>
      </c>
      <c r="AP130" s="58">
        <v>360</v>
      </c>
      <c r="AQ130" s="107"/>
      <c r="AR130" s="27">
        <v>45</v>
      </c>
      <c r="AS130" s="58">
        <v>540</v>
      </c>
      <c r="AT130" s="107"/>
      <c r="AU130" s="54"/>
      <c r="AV130" s="63"/>
      <c r="AW130" s="55"/>
      <c r="AX130" s="54"/>
      <c r="AY130" s="63"/>
      <c r="AZ130" s="55"/>
      <c r="BA130" s="10">
        <v>75</v>
      </c>
      <c r="BB130" s="15">
        <v>900</v>
      </c>
      <c r="BC130" s="11">
        <v>900</v>
      </c>
      <c r="BD130" s="10">
        <v>50</v>
      </c>
      <c r="BE130" s="15">
        <v>600</v>
      </c>
      <c r="BF130" s="11">
        <v>600</v>
      </c>
      <c r="BG130" s="10">
        <v>153</v>
      </c>
      <c r="BH130" s="15">
        <v>2692</v>
      </c>
      <c r="BI130" s="11">
        <v>1775.68</v>
      </c>
      <c r="BJ130" s="10">
        <v>45</v>
      </c>
      <c r="BK130" s="15">
        <v>540</v>
      </c>
      <c r="BL130" s="11">
        <v>540</v>
      </c>
      <c r="BM130" s="46">
        <v>80</v>
      </c>
      <c r="BN130" s="43">
        <v>1380</v>
      </c>
      <c r="BO130" s="47">
        <v>990</v>
      </c>
      <c r="BP130" s="46">
        <v>45</v>
      </c>
      <c r="BQ130" s="43">
        <v>540</v>
      </c>
      <c r="BR130" s="47">
        <v>540</v>
      </c>
      <c r="BS130" s="46">
        <v>90</v>
      </c>
      <c r="BT130" s="43">
        <v>1080</v>
      </c>
      <c r="BU130" s="114">
        <v>1080</v>
      </c>
      <c r="BV130" s="119">
        <v>45.1</v>
      </c>
      <c r="BW130" s="120">
        <v>961</v>
      </c>
      <c r="BX130" s="114">
        <v>570.67999999999995</v>
      </c>
      <c r="BY130" s="119">
        <v>75</v>
      </c>
      <c r="BZ130" s="120">
        <v>900</v>
      </c>
      <c r="CA130" s="114">
        <v>900</v>
      </c>
      <c r="CB130" s="119">
        <v>90</v>
      </c>
      <c r="CC130" s="120">
        <v>1500</v>
      </c>
      <c r="CD130" s="114">
        <v>1110</v>
      </c>
      <c r="CE130" s="119">
        <v>45</v>
      </c>
      <c r="CF130" s="120">
        <v>540</v>
      </c>
      <c r="CG130" s="114">
        <v>540</v>
      </c>
      <c r="CH130" s="119">
        <v>90</v>
      </c>
      <c r="CI130" s="120">
        <v>1080</v>
      </c>
      <c r="CJ130" s="114">
        <v>1080</v>
      </c>
      <c r="CK130" s="54">
        <f t="shared" si="30"/>
        <v>883.1</v>
      </c>
      <c r="CL130" s="63">
        <f t="shared" si="31"/>
        <v>12713</v>
      </c>
      <c r="CM130" s="55">
        <f t="shared" si="32"/>
        <v>10626.36</v>
      </c>
      <c r="CN130" s="54">
        <f t="shared" si="33"/>
        <v>73.591666666666669</v>
      </c>
      <c r="CO130" s="63">
        <f t="shared" si="34"/>
        <v>1059.4166666666667</v>
      </c>
      <c r="CP130" s="172">
        <f t="shared" si="35"/>
        <v>885.53000000000009</v>
      </c>
      <c r="CQ130" s="158">
        <v>105</v>
      </c>
      <c r="CR130" s="159">
        <v>1290</v>
      </c>
      <c r="CS130" s="179">
        <v>1214.4000000000001</v>
      </c>
      <c r="CT130" s="27">
        <v>100</v>
      </c>
      <c r="CU130" s="58">
        <v>1220</v>
      </c>
      <c r="CV130" s="12">
        <v>1169.5999999999999</v>
      </c>
      <c r="CW130" s="27"/>
      <c r="CX130" s="58"/>
      <c r="CY130" s="98"/>
      <c r="CZ130" s="27"/>
      <c r="DA130" s="58"/>
      <c r="DB130" s="12"/>
      <c r="DC130" s="27"/>
      <c r="DD130" s="58"/>
      <c r="DE130" s="107"/>
      <c r="DF130" s="27"/>
      <c r="DG130" s="58"/>
      <c r="DH130" s="12"/>
      <c r="DI130" s="27"/>
      <c r="DJ130" s="58"/>
      <c r="DK130" s="107"/>
      <c r="DL130" s="27"/>
      <c r="DM130" s="58"/>
      <c r="DN130" s="107"/>
      <c r="DO130" s="27"/>
      <c r="DP130" s="58"/>
      <c r="DQ130" s="107"/>
      <c r="DR130" s="27"/>
      <c r="DS130" s="58"/>
      <c r="DT130" s="107"/>
      <c r="DU130" s="27"/>
      <c r="DV130" s="58"/>
      <c r="DW130" s="107"/>
      <c r="DX130" s="27"/>
      <c r="DY130" s="58"/>
      <c r="DZ130" s="107"/>
    </row>
    <row r="131" spans="1:130" s="25" customFormat="1" ht="31.5" customHeight="1" x14ac:dyDescent="0.6">
      <c r="A131" s="5">
        <v>128</v>
      </c>
      <c r="B131" s="18" t="s">
        <v>385</v>
      </c>
      <c r="C131" s="18" t="s">
        <v>386</v>
      </c>
      <c r="D131" s="18" t="s">
        <v>49</v>
      </c>
      <c r="E131" s="23" t="s">
        <v>50</v>
      </c>
      <c r="F131" s="7" t="s">
        <v>377</v>
      </c>
      <c r="G131" s="123"/>
      <c r="H131" s="123"/>
      <c r="I131" s="123" t="s">
        <v>1003</v>
      </c>
      <c r="J131" s="49" t="s">
        <v>378</v>
      </c>
      <c r="K131" s="27"/>
      <c r="L131" s="58"/>
      <c r="M131" s="78"/>
      <c r="N131" s="27"/>
      <c r="O131" s="58"/>
      <c r="P131" s="49"/>
      <c r="Q131" s="27"/>
      <c r="R131" s="58"/>
      <c r="S131" s="98"/>
      <c r="T131" s="27"/>
      <c r="U131" s="58"/>
      <c r="V131" s="12"/>
      <c r="W131" s="27"/>
      <c r="X131" s="58"/>
      <c r="Y131" s="12"/>
      <c r="Z131" s="27"/>
      <c r="AA131" s="58"/>
      <c r="AB131" s="12"/>
      <c r="AC131" s="27">
        <v>3</v>
      </c>
      <c r="AD131" s="58">
        <v>36</v>
      </c>
      <c r="AE131" s="107"/>
      <c r="AF131" s="27">
        <v>0</v>
      </c>
      <c r="AG131" s="58">
        <v>0</v>
      </c>
      <c r="AH131" s="107"/>
      <c r="AI131" s="27">
        <v>30</v>
      </c>
      <c r="AJ131" s="58">
        <v>360</v>
      </c>
      <c r="AK131" s="107"/>
      <c r="AL131" s="27">
        <v>15</v>
      </c>
      <c r="AM131" s="58">
        <v>180</v>
      </c>
      <c r="AN131" s="107"/>
      <c r="AO131" s="27">
        <v>15</v>
      </c>
      <c r="AP131" s="58">
        <v>180</v>
      </c>
      <c r="AQ131" s="107"/>
      <c r="AR131" s="27">
        <v>30</v>
      </c>
      <c r="AS131" s="58">
        <v>360</v>
      </c>
      <c r="AT131" s="107"/>
      <c r="AU131" s="54"/>
      <c r="AV131" s="63"/>
      <c r="AW131" s="55"/>
      <c r="AX131" s="54"/>
      <c r="AY131" s="63"/>
      <c r="AZ131" s="55"/>
      <c r="BA131" s="10">
        <v>30</v>
      </c>
      <c r="BB131" s="15">
        <v>180</v>
      </c>
      <c r="BC131" s="11">
        <v>180</v>
      </c>
      <c r="BD131" s="10">
        <v>30</v>
      </c>
      <c r="BE131" s="15">
        <v>360</v>
      </c>
      <c r="BF131" s="11">
        <v>360</v>
      </c>
      <c r="BG131" s="10">
        <v>30</v>
      </c>
      <c r="BH131" s="15">
        <v>360</v>
      </c>
      <c r="BI131" s="11">
        <v>360</v>
      </c>
      <c r="BJ131" s="10">
        <v>30</v>
      </c>
      <c r="BK131" s="15">
        <v>360</v>
      </c>
      <c r="BL131" s="11">
        <v>360</v>
      </c>
      <c r="BM131" s="46">
        <v>45</v>
      </c>
      <c r="BN131" s="43">
        <v>540</v>
      </c>
      <c r="BO131" s="47">
        <v>540</v>
      </c>
      <c r="BP131" s="46">
        <v>60</v>
      </c>
      <c r="BQ131" s="43">
        <v>720</v>
      </c>
      <c r="BR131" s="47">
        <v>720</v>
      </c>
      <c r="BS131" s="46">
        <v>60</v>
      </c>
      <c r="BT131" s="43">
        <v>720</v>
      </c>
      <c r="BU131" s="114">
        <v>720</v>
      </c>
      <c r="BV131" s="119">
        <v>15.3</v>
      </c>
      <c r="BW131" s="120">
        <v>183</v>
      </c>
      <c r="BX131" s="114">
        <v>182.04</v>
      </c>
      <c r="BY131" s="119">
        <v>30</v>
      </c>
      <c r="BZ131" s="120">
        <v>360</v>
      </c>
      <c r="CA131" s="114">
        <v>360</v>
      </c>
      <c r="CB131" s="119">
        <v>45</v>
      </c>
      <c r="CC131" s="120">
        <v>540</v>
      </c>
      <c r="CD131" s="114">
        <v>540</v>
      </c>
      <c r="CE131" s="119">
        <v>60</v>
      </c>
      <c r="CF131" s="120">
        <v>720</v>
      </c>
      <c r="CG131" s="114">
        <v>720</v>
      </c>
      <c r="CH131" s="119">
        <v>45</v>
      </c>
      <c r="CI131" s="120">
        <v>540</v>
      </c>
      <c r="CJ131" s="114">
        <v>540</v>
      </c>
      <c r="CK131" s="54">
        <f t="shared" si="30"/>
        <v>480.3</v>
      </c>
      <c r="CL131" s="63">
        <f t="shared" si="31"/>
        <v>5583</v>
      </c>
      <c r="CM131" s="55">
        <f t="shared" si="32"/>
        <v>5582.04</v>
      </c>
      <c r="CN131" s="54">
        <f t="shared" si="33"/>
        <v>40.024999999999999</v>
      </c>
      <c r="CO131" s="63">
        <f t="shared" si="34"/>
        <v>465.25</v>
      </c>
      <c r="CP131" s="172">
        <f t="shared" si="35"/>
        <v>465.17</v>
      </c>
      <c r="CQ131" s="158">
        <v>60</v>
      </c>
      <c r="CR131" s="159">
        <v>720</v>
      </c>
      <c r="CS131" s="179">
        <v>720</v>
      </c>
      <c r="CT131" s="27">
        <v>85</v>
      </c>
      <c r="CU131" s="58">
        <v>1020</v>
      </c>
      <c r="CV131" s="12">
        <v>1020</v>
      </c>
      <c r="CW131" s="27"/>
      <c r="CX131" s="58"/>
      <c r="CY131" s="98"/>
      <c r="CZ131" s="27"/>
      <c r="DA131" s="58"/>
      <c r="DB131" s="12"/>
      <c r="DC131" s="27"/>
      <c r="DD131" s="58"/>
      <c r="DE131" s="107"/>
      <c r="DF131" s="27"/>
      <c r="DG131" s="58"/>
      <c r="DH131" s="107"/>
      <c r="DI131" s="27"/>
      <c r="DJ131" s="58"/>
      <c r="DK131" s="107"/>
      <c r="DL131" s="27"/>
      <c r="DM131" s="58"/>
      <c r="DN131" s="107"/>
      <c r="DO131" s="27"/>
      <c r="DP131" s="58"/>
      <c r="DQ131" s="107"/>
      <c r="DR131" s="27"/>
      <c r="DS131" s="58"/>
      <c r="DT131" s="107"/>
      <c r="DU131" s="27"/>
      <c r="DV131" s="58"/>
      <c r="DW131" s="107"/>
      <c r="DX131" s="27"/>
      <c r="DY131" s="58"/>
      <c r="DZ131" s="107"/>
    </row>
    <row r="132" spans="1:130" s="25" customFormat="1" ht="31.5" customHeight="1" x14ac:dyDescent="0.6">
      <c r="A132" s="5">
        <v>129</v>
      </c>
      <c r="B132" s="18" t="s">
        <v>387</v>
      </c>
      <c r="C132" s="18" t="s">
        <v>388</v>
      </c>
      <c r="D132" s="18" t="s">
        <v>49</v>
      </c>
      <c r="E132" s="23" t="s">
        <v>50</v>
      </c>
      <c r="F132" s="7" t="s">
        <v>377</v>
      </c>
      <c r="G132" s="123"/>
      <c r="H132" s="123"/>
      <c r="I132" s="123" t="s">
        <v>1004</v>
      </c>
      <c r="J132" s="49" t="s">
        <v>378</v>
      </c>
      <c r="K132" s="27"/>
      <c r="L132" s="58"/>
      <c r="M132" s="78"/>
      <c r="N132" s="27"/>
      <c r="O132" s="58"/>
      <c r="P132" s="49"/>
      <c r="Q132" s="27"/>
      <c r="R132" s="58"/>
      <c r="S132" s="98"/>
      <c r="T132" s="27"/>
      <c r="U132" s="58"/>
      <c r="V132" s="12"/>
      <c r="W132" s="27"/>
      <c r="X132" s="58"/>
      <c r="Y132" s="12"/>
      <c r="Z132" s="27"/>
      <c r="AA132" s="58"/>
      <c r="AB132" s="12"/>
      <c r="AC132" s="27">
        <v>52</v>
      </c>
      <c r="AD132" s="58">
        <v>634</v>
      </c>
      <c r="AE132" s="107"/>
      <c r="AF132" s="27">
        <v>0</v>
      </c>
      <c r="AG132" s="58">
        <v>0</v>
      </c>
      <c r="AH132" s="107"/>
      <c r="AI132" s="27">
        <v>15</v>
      </c>
      <c r="AJ132" s="58">
        <v>180</v>
      </c>
      <c r="AK132" s="107"/>
      <c r="AL132" s="27">
        <v>30</v>
      </c>
      <c r="AM132" s="58">
        <v>360</v>
      </c>
      <c r="AN132" s="107"/>
      <c r="AO132" s="27">
        <v>30</v>
      </c>
      <c r="AP132" s="58">
        <v>360</v>
      </c>
      <c r="AQ132" s="12"/>
      <c r="AR132" s="27">
        <v>15</v>
      </c>
      <c r="AS132" s="58">
        <v>180</v>
      </c>
      <c r="AT132" s="107"/>
      <c r="AU132" s="54"/>
      <c r="AV132" s="63"/>
      <c r="AW132" s="55"/>
      <c r="AX132" s="54"/>
      <c r="AY132" s="63"/>
      <c r="AZ132" s="55"/>
      <c r="BA132" s="10">
        <v>15</v>
      </c>
      <c r="BB132" s="15">
        <v>180</v>
      </c>
      <c r="BC132" s="11">
        <v>180</v>
      </c>
      <c r="BD132" s="10">
        <v>25</v>
      </c>
      <c r="BE132" s="15">
        <v>320</v>
      </c>
      <c r="BF132" s="11">
        <v>270</v>
      </c>
      <c r="BG132" s="10">
        <v>85</v>
      </c>
      <c r="BH132" s="15">
        <v>1340</v>
      </c>
      <c r="BI132" s="11">
        <v>979</v>
      </c>
      <c r="BJ132" s="10">
        <v>30</v>
      </c>
      <c r="BK132" s="15">
        <v>360</v>
      </c>
      <c r="BL132" s="11">
        <v>360</v>
      </c>
      <c r="BM132" s="46">
        <v>65</v>
      </c>
      <c r="BN132" s="43">
        <v>780</v>
      </c>
      <c r="BO132" s="47">
        <v>780</v>
      </c>
      <c r="BP132" s="46">
        <v>45</v>
      </c>
      <c r="BQ132" s="43">
        <v>540</v>
      </c>
      <c r="BR132" s="47">
        <v>540</v>
      </c>
      <c r="BS132" s="46">
        <v>30</v>
      </c>
      <c r="BT132" s="43">
        <v>360</v>
      </c>
      <c r="BU132" s="114">
        <v>360</v>
      </c>
      <c r="BV132" s="119">
        <v>15</v>
      </c>
      <c r="BW132" s="120">
        <v>180</v>
      </c>
      <c r="BX132" s="114">
        <v>180</v>
      </c>
      <c r="BY132" s="119">
        <v>45</v>
      </c>
      <c r="BZ132" s="120">
        <v>540</v>
      </c>
      <c r="CA132" s="114">
        <v>540</v>
      </c>
      <c r="CB132" s="119">
        <v>45</v>
      </c>
      <c r="CC132" s="120">
        <v>540</v>
      </c>
      <c r="CD132" s="114">
        <v>540</v>
      </c>
      <c r="CE132" s="119">
        <v>100</v>
      </c>
      <c r="CF132" s="120">
        <v>1220</v>
      </c>
      <c r="CG132" s="114">
        <v>1169.5999999999999</v>
      </c>
      <c r="CH132" s="119">
        <v>75.25</v>
      </c>
      <c r="CI132" s="120">
        <v>903</v>
      </c>
      <c r="CJ132" s="114">
        <v>902.04</v>
      </c>
      <c r="CK132" s="54">
        <f t="shared" si="30"/>
        <v>575.25</v>
      </c>
      <c r="CL132" s="63">
        <f t="shared" si="31"/>
        <v>7263</v>
      </c>
      <c r="CM132" s="55">
        <f t="shared" si="32"/>
        <v>6800.64</v>
      </c>
      <c r="CN132" s="54">
        <f t="shared" si="33"/>
        <v>47.9375</v>
      </c>
      <c r="CO132" s="63">
        <f t="shared" si="34"/>
        <v>605.25</v>
      </c>
      <c r="CP132" s="172">
        <f t="shared" si="35"/>
        <v>566.72</v>
      </c>
      <c r="CQ132" s="158">
        <v>30</v>
      </c>
      <c r="CR132" s="159">
        <v>360</v>
      </c>
      <c r="CS132" s="179">
        <v>360</v>
      </c>
      <c r="CT132" s="27">
        <v>45</v>
      </c>
      <c r="CU132" s="58">
        <v>540</v>
      </c>
      <c r="CV132" s="12">
        <v>540</v>
      </c>
      <c r="CW132" s="27"/>
      <c r="CX132" s="58"/>
      <c r="CY132" s="98"/>
      <c r="CZ132" s="27"/>
      <c r="DA132" s="58"/>
      <c r="DB132" s="12"/>
      <c r="DC132" s="27"/>
      <c r="DD132" s="58"/>
      <c r="DE132" s="107"/>
      <c r="DF132" s="27"/>
      <c r="DG132" s="58"/>
      <c r="DH132" s="12"/>
      <c r="DI132" s="27"/>
      <c r="DJ132" s="58"/>
      <c r="DK132" s="107"/>
      <c r="DL132" s="27"/>
      <c r="DM132" s="58"/>
      <c r="DN132" s="107"/>
      <c r="DO132" s="27"/>
      <c r="DP132" s="58"/>
      <c r="DQ132" s="107"/>
      <c r="DR132" s="27"/>
      <c r="DS132" s="58"/>
      <c r="DT132" s="107"/>
      <c r="DU132" s="27"/>
      <c r="DV132" s="58"/>
      <c r="DW132" s="107"/>
      <c r="DX132" s="27"/>
      <c r="DY132" s="58"/>
      <c r="DZ132" s="107"/>
    </row>
    <row r="133" spans="1:130" s="25" customFormat="1" ht="31.5" customHeight="1" x14ac:dyDescent="0.6">
      <c r="A133" s="5">
        <v>130</v>
      </c>
      <c r="B133" s="18" t="s">
        <v>389</v>
      </c>
      <c r="C133" s="18" t="s">
        <v>390</v>
      </c>
      <c r="D133" s="18" t="s">
        <v>49</v>
      </c>
      <c r="E133" s="23" t="s">
        <v>50</v>
      </c>
      <c r="F133" s="7" t="s">
        <v>377</v>
      </c>
      <c r="G133" s="123"/>
      <c r="H133" s="123"/>
      <c r="I133" s="123" t="s">
        <v>1005</v>
      </c>
      <c r="J133" s="49" t="s">
        <v>378</v>
      </c>
      <c r="K133" s="27"/>
      <c r="L133" s="58"/>
      <c r="M133" s="78"/>
      <c r="N133" s="27"/>
      <c r="O133" s="58"/>
      <c r="P133" s="49"/>
      <c r="Q133" s="27"/>
      <c r="R133" s="58"/>
      <c r="S133" s="98"/>
      <c r="T133" s="27"/>
      <c r="U133" s="58"/>
      <c r="V133" s="12"/>
      <c r="W133" s="27"/>
      <c r="X133" s="58"/>
      <c r="Y133" s="12"/>
      <c r="Z133" s="27"/>
      <c r="AA133" s="58"/>
      <c r="AB133" s="12"/>
      <c r="AC133" s="27">
        <v>0</v>
      </c>
      <c r="AD133" s="58">
        <v>0</v>
      </c>
      <c r="AE133" s="107"/>
      <c r="AF133" s="27">
        <v>50</v>
      </c>
      <c r="AG133" s="58">
        <v>816</v>
      </c>
      <c r="AH133" s="107"/>
      <c r="AI133" s="27">
        <v>30</v>
      </c>
      <c r="AJ133" s="58">
        <v>360</v>
      </c>
      <c r="AK133" s="107"/>
      <c r="AL133" s="27">
        <v>60</v>
      </c>
      <c r="AM133" s="58">
        <v>720</v>
      </c>
      <c r="AN133" s="107"/>
      <c r="AO133" s="27">
        <v>30</v>
      </c>
      <c r="AP133" s="58">
        <v>360</v>
      </c>
      <c r="AQ133" s="12"/>
      <c r="AR133" s="27">
        <v>60</v>
      </c>
      <c r="AS133" s="58">
        <v>720</v>
      </c>
      <c r="AT133" s="107"/>
      <c r="AU133" s="54"/>
      <c r="AV133" s="63"/>
      <c r="AW133" s="55"/>
      <c r="AX133" s="54"/>
      <c r="AY133" s="63"/>
      <c r="AZ133" s="55"/>
      <c r="BA133" s="10">
        <v>15</v>
      </c>
      <c r="BB133" s="15">
        <v>480</v>
      </c>
      <c r="BC133" s="11">
        <v>401</v>
      </c>
      <c r="BD133" s="10">
        <v>31</v>
      </c>
      <c r="BE133" s="15">
        <v>378</v>
      </c>
      <c r="BF133" s="11">
        <v>371</v>
      </c>
      <c r="BG133" s="10">
        <v>148</v>
      </c>
      <c r="BH133" s="15">
        <v>2509</v>
      </c>
      <c r="BI133" s="11">
        <v>1828</v>
      </c>
      <c r="BJ133" s="10">
        <v>60</v>
      </c>
      <c r="BK133" s="15">
        <v>720</v>
      </c>
      <c r="BL133" s="11">
        <v>720</v>
      </c>
      <c r="BM133" s="46">
        <v>30</v>
      </c>
      <c r="BN133" s="43">
        <v>360</v>
      </c>
      <c r="BO133" s="47">
        <v>360</v>
      </c>
      <c r="BP133" s="46">
        <v>60</v>
      </c>
      <c r="BQ133" s="43">
        <v>720</v>
      </c>
      <c r="BR133" s="47">
        <v>720</v>
      </c>
      <c r="BS133" s="46">
        <v>75</v>
      </c>
      <c r="BT133" s="43">
        <v>1320</v>
      </c>
      <c r="BU133" s="114">
        <v>930</v>
      </c>
      <c r="BV133" s="119">
        <v>61.75</v>
      </c>
      <c r="BW133" s="120">
        <v>755</v>
      </c>
      <c r="BX133" s="114">
        <v>735.90000000000009</v>
      </c>
      <c r="BY133" s="119">
        <v>60</v>
      </c>
      <c r="BZ133" s="120">
        <v>720</v>
      </c>
      <c r="CA133" s="114">
        <v>720</v>
      </c>
      <c r="CB133" s="119">
        <v>75</v>
      </c>
      <c r="CC133" s="120">
        <v>900</v>
      </c>
      <c r="CD133" s="114">
        <v>900</v>
      </c>
      <c r="CE133" s="119">
        <v>30</v>
      </c>
      <c r="CF133" s="120">
        <v>360</v>
      </c>
      <c r="CG133" s="114">
        <v>360</v>
      </c>
      <c r="CH133" s="119">
        <v>60.25</v>
      </c>
      <c r="CI133" s="120">
        <v>723</v>
      </c>
      <c r="CJ133" s="114">
        <v>722.04</v>
      </c>
      <c r="CK133" s="54">
        <f t="shared" si="30"/>
        <v>706</v>
      </c>
      <c r="CL133" s="63">
        <f t="shared" si="31"/>
        <v>9945</v>
      </c>
      <c r="CM133" s="55">
        <f t="shared" si="32"/>
        <v>8767.9399999999987</v>
      </c>
      <c r="CN133" s="54">
        <f t="shared" si="33"/>
        <v>58.833333333333336</v>
      </c>
      <c r="CO133" s="63">
        <f t="shared" si="34"/>
        <v>828.75</v>
      </c>
      <c r="CP133" s="172">
        <f t="shared" si="35"/>
        <v>730.66166666666652</v>
      </c>
      <c r="CQ133" s="158">
        <v>65</v>
      </c>
      <c r="CR133" s="159">
        <v>790</v>
      </c>
      <c r="CS133" s="179">
        <v>764.8</v>
      </c>
      <c r="CT133" s="27">
        <v>75</v>
      </c>
      <c r="CU133" s="58">
        <v>900</v>
      </c>
      <c r="CV133" s="107">
        <v>900</v>
      </c>
      <c r="CW133" s="27"/>
      <c r="CX133" s="58"/>
      <c r="CY133" s="98"/>
      <c r="CZ133" s="27"/>
      <c r="DA133" s="58"/>
      <c r="DB133" s="12"/>
      <c r="DC133" s="27"/>
      <c r="DD133" s="58"/>
      <c r="DE133" s="107"/>
      <c r="DF133" s="27"/>
      <c r="DG133" s="58"/>
      <c r="DH133" s="107"/>
      <c r="DI133" s="27"/>
      <c r="DJ133" s="58"/>
      <c r="DK133" s="107"/>
      <c r="DL133" s="27"/>
      <c r="DM133" s="58"/>
      <c r="DN133" s="107"/>
      <c r="DO133" s="27"/>
      <c r="DP133" s="58"/>
      <c r="DQ133" s="107"/>
      <c r="DR133" s="27"/>
      <c r="DS133" s="58"/>
      <c r="DT133" s="107"/>
      <c r="DU133" s="27"/>
      <c r="DV133" s="58"/>
      <c r="DW133" s="107"/>
      <c r="DX133" s="27"/>
      <c r="DY133" s="58"/>
      <c r="DZ133" s="107"/>
    </row>
    <row r="134" spans="1:130" s="25" customFormat="1" ht="31.5" customHeight="1" x14ac:dyDescent="0.6">
      <c r="A134" s="5">
        <v>131</v>
      </c>
      <c r="B134" s="18" t="s">
        <v>391</v>
      </c>
      <c r="C134" s="18" t="s">
        <v>392</v>
      </c>
      <c r="D134" s="18" t="s">
        <v>49</v>
      </c>
      <c r="E134" s="23" t="s">
        <v>50</v>
      </c>
      <c r="F134" s="7" t="s">
        <v>377</v>
      </c>
      <c r="G134" s="123"/>
      <c r="H134" s="123"/>
      <c r="I134" s="123" t="s">
        <v>1006</v>
      </c>
      <c r="J134" s="49" t="s">
        <v>378</v>
      </c>
      <c r="K134" s="27"/>
      <c r="L134" s="58"/>
      <c r="M134" s="78"/>
      <c r="N134" s="27"/>
      <c r="O134" s="58"/>
      <c r="P134" s="49"/>
      <c r="Q134" s="27"/>
      <c r="R134" s="58"/>
      <c r="S134" s="98"/>
      <c r="T134" s="27"/>
      <c r="U134" s="58"/>
      <c r="V134" s="12"/>
      <c r="W134" s="27"/>
      <c r="X134" s="58"/>
      <c r="Y134" s="12"/>
      <c r="Z134" s="27"/>
      <c r="AA134" s="58"/>
      <c r="AB134" s="12"/>
      <c r="AC134" s="27">
        <v>0</v>
      </c>
      <c r="AD134" s="58">
        <v>0</v>
      </c>
      <c r="AE134" s="107"/>
      <c r="AF134" s="27">
        <v>30</v>
      </c>
      <c r="AG134" s="58">
        <v>500</v>
      </c>
      <c r="AH134" s="107"/>
      <c r="AI134" s="27">
        <v>15</v>
      </c>
      <c r="AJ134" s="58">
        <v>180</v>
      </c>
      <c r="AK134" s="107"/>
      <c r="AL134" s="27">
        <v>34</v>
      </c>
      <c r="AM134" s="58">
        <v>408</v>
      </c>
      <c r="AN134" s="107"/>
      <c r="AO134" s="27">
        <v>30</v>
      </c>
      <c r="AP134" s="58">
        <v>360</v>
      </c>
      <c r="AQ134" s="12"/>
      <c r="AR134" s="27">
        <v>10</v>
      </c>
      <c r="AS134" s="58">
        <v>120</v>
      </c>
      <c r="AT134" s="107"/>
      <c r="AU134" s="54"/>
      <c r="AV134" s="63"/>
      <c r="AW134" s="55"/>
      <c r="AX134" s="54"/>
      <c r="AY134" s="63"/>
      <c r="AZ134" s="55"/>
      <c r="BA134" s="10">
        <v>45</v>
      </c>
      <c r="BB134" s="15">
        <v>540</v>
      </c>
      <c r="BC134" s="11">
        <v>540</v>
      </c>
      <c r="BD134" s="10">
        <v>35</v>
      </c>
      <c r="BE134" s="15">
        <v>420</v>
      </c>
      <c r="BF134" s="11">
        <v>420</v>
      </c>
      <c r="BG134" s="10">
        <v>0</v>
      </c>
      <c r="BH134" s="15">
        <v>0</v>
      </c>
      <c r="BI134" s="11">
        <v>0</v>
      </c>
      <c r="BJ134" s="10">
        <v>0</v>
      </c>
      <c r="BK134" s="15">
        <v>0</v>
      </c>
      <c r="BL134" s="11">
        <v>0</v>
      </c>
      <c r="BM134" s="46">
        <v>0</v>
      </c>
      <c r="BN134" s="43">
        <v>0</v>
      </c>
      <c r="BO134" s="47">
        <v>0</v>
      </c>
      <c r="BP134" s="46">
        <v>0</v>
      </c>
      <c r="BQ134" s="43">
        <v>0</v>
      </c>
      <c r="BR134" s="47">
        <v>0</v>
      </c>
      <c r="BS134" s="46">
        <v>0</v>
      </c>
      <c r="BT134" s="43">
        <v>0</v>
      </c>
      <c r="BU134" s="114">
        <v>0</v>
      </c>
      <c r="BV134" s="119">
        <v>0</v>
      </c>
      <c r="BW134" s="120">
        <v>0</v>
      </c>
      <c r="BX134" s="114">
        <v>0</v>
      </c>
      <c r="BY134" s="119">
        <v>0</v>
      </c>
      <c r="BZ134" s="120">
        <v>0</v>
      </c>
      <c r="CA134" s="114">
        <v>0</v>
      </c>
      <c r="CB134" s="119">
        <v>0</v>
      </c>
      <c r="CC134" s="120">
        <v>0</v>
      </c>
      <c r="CD134" s="114">
        <v>0</v>
      </c>
      <c r="CE134" s="119">
        <v>0</v>
      </c>
      <c r="CF134" s="120">
        <v>0</v>
      </c>
      <c r="CG134" s="114">
        <v>0</v>
      </c>
      <c r="CH134" s="119">
        <v>0</v>
      </c>
      <c r="CI134" s="120">
        <v>0</v>
      </c>
      <c r="CJ134" s="114">
        <v>0</v>
      </c>
      <c r="CK134" s="54">
        <f t="shared" si="30"/>
        <v>80</v>
      </c>
      <c r="CL134" s="63">
        <f t="shared" si="31"/>
        <v>960</v>
      </c>
      <c r="CM134" s="55">
        <f t="shared" si="32"/>
        <v>960</v>
      </c>
      <c r="CN134" s="54">
        <f t="shared" si="33"/>
        <v>6.666666666666667</v>
      </c>
      <c r="CO134" s="63">
        <f t="shared" si="34"/>
        <v>80</v>
      </c>
      <c r="CP134" s="172">
        <f t="shared" si="35"/>
        <v>80</v>
      </c>
      <c r="CQ134" s="158">
        <v>0</v>
      </c>
      <c r="CR134" s="159">
        <v>0</v>
      </c>
      <c r="CS134" s="179">
        <v>0</v>
      </c>
      <c r="CT134" s="27">
        <v>0</v>
      </c>
      <c r="CU134" s="58">
        <v>0</v>
      </c>
      <c r="CV134" s="107">
        <v>0</v>
      </c>
      <c r="CW134" s="27"/>
      <c r="CX134" s="58"/>
      <c r="CY134" s="98"/>
      <c r="CZ134" s="27"/>
      <c r="DA134" s="58"/>
      <c r="DB134" s="12"/>
      <c r="DC134" s="27"/>
      <c r="DD134" s="58"/>
      <c r="DE134" s="107"/>
      <c r="DF134" s="27"/>
      <c r="DG134" s="58"/>
      <c r="DH134" s="107"/>
      <c r="DI134" s="27"/>
      <c r="DJ134" s="58"/>
      <c r="DK134" s="107"/>
      <c r="DL134" s="27"/>
      <c r="DM134" s="58"/>
      <c r="DN134" s="107"/>
      <c r="DO134" s="27"/>
      <c r="DP134" s="58"/>
      <c r="DQ134" s="107"/>
      <c r="DR134" s="27"/>
      <c r="DS134" s="58"/>
      <c r="DT134" s="107"/>
      <c r="DU134" s="27"/>
      <c r="DV134" s="58"/>
      <c r="DW134" s="107"/>
      <c r="DX134" s="27"/>
      <c r="DY134" s="58"/>
      <c r="DZ134" s="107"/>
    </row>
    <row r="135" spans="1:130" s="25" customFormat="1" ht="31.5" customHeight="1" x14ac:dyDescent="0.6">
      <c r="A135" s="5">
        <v>132</v>
      </c>
      <c r="B135" s="18" t="s">
        <v>393</v>
      </c>
      <c r="C135" s="18" t="s">
        <v>394</v>
      </c>
      <c r="D135" s="18" t="s">
        <v>49</v>
      </c>
      <c r="E135" s="23" t="s">
        <v>50</v>
      </c>
      <c r="F135" s="7" t="s">
        <v>377</v>
      </c>
      <c r="G135" s="123" t="s">
        <v>393</v>
      </c>
      <c r="H135" s="123" t="s">
        <v>394</v>
      </c>
      <c r="I135" s="123" t="s">
        <v>1007</v>
      </c>
      <c r="J135" s="49" t="s">
        <v>378</v>
      </c>
      <c r="K135" s="27"/>
      <c r="L135" s="58"/>
      <c r="M135" s="78"/>
      <c r="N135" s="27"/>
      <c r="O135" s="58"/>
      <c r="P135" s="49"/>
      <c r="Q135" s="27"/>
      <c r="R135" s="58"/>
      <c r="S135" s="98"/>
      <c r="T135" s="27"/>
      <c r="U135" s="58"/>
      <c r="V135" s="12"/>
      <c r="W135" s="27"/>
      <c r="X135" s="58"/>
      <c r="Y135" s="12"/>
      <c r="Z135" s="27"/>
      <c r="AA135" s="58"/>
      <c r="AB135" s="12"/>
      <c r="AC135" s="27">
        <v>0</v>
      </c>
      <c r="AD135" s="58">
        <v>0</v>
      </c>
      <c r="AE135" s="107"/>
      <c r="AF135" s="27">
        <v>0</v>
      </c>
      <c r="AG135" s="58">
        <v>0</v>
      </c>
      <c r="AH135" s="107"/>
      <c r="AI135" s="27">
        <v>15</v>
      </c>
      <c r="AJ135" s="58">
        <v>180</v>
      </c>
      <c r="AK135" s="107"/>
      <c r="AL135" s="27">
        <v>0</v>
      </c>
      <c r="AM135" s="58">
        <v>0</v>
      </c>
      <c r="AN135" s="107"/>
      <c r="AO135" s="27">
        <v>15</v>
      </c>
      <c r="AP135" s="58">
        <v>180</v>
      </c>
      <c r="AQ135" s="12"/>
      <c r="AR135" s="27">
        <v>15</v>
      </c>
      <c r="AS135" s="58">
        <v>180</v>
      </c>
      <c r="AT135" s="12"/>
      <c r="AU135" s="54"/>
      <c r="AV135" s="63"/>
      <c r="AW135" s="55"/>
      <c r="AX135" s="54"/>
      <c r="AY135" s="63"/>
      <c r="AZ135" s="55"/>
      <c r="BA135" s="10">
        <v>30</v>
      </c>
      <c r="BB135" s="15">
        <v>360</v>
      </c>
      <c r="BC135" s="11">
        <v>360</v>
      </c>
      <c r="BD135" s="10">
        <v>30</v>
      </c>
      <c r="BE135" s="15">
        <v>360</v>
      </c>
      <c r="BF135" s="11">
        <v>360</v>
      </c>
      <c r="BG135" s="10">
        <v>60</v>
      </c>
      <c r="BH135" s="15">
        <v>1140</v>
      </c>
      <c r="BI135" s="11">
        <v>750</v>
      </c>
      <c r="BJ135" s="10">
        <v>90</v>
      </c>
      <c r="BK135" s="15">
        <v>1080</v>
      </c>
      <c r="BL135" s="11">
        <v>1080</v>
      </c>
      <c r="BM135" s="46">
        <v>60</v>
      </c>
      <c r="BN135" s="43">
        <v>720</v>
      </c>
      <c r="BO135" s="47">
        <v>720</v>
      </c>
      <c r="BP135" s="46">
        <v>45</v>
      </c>
      <c r="BQ135" s="43">
        <v>540</v>
      </c>
      <c r="BR135" s="47">
        <v>540</v>
      </c>
      <c r="BS135" s="46">
        <v>45</v>
      </c>
      <c r="BT135" s="43">
        <v>540</v>
      </c>
      <c r="BU135" s="114">
        <v>540</v>
      </c>
      <c r="BV135" s="119">
        <v>15</v>
      </c>
      <c r="BW135" s="120">
        <v>180</v>
      </c>
      <c r="BX135" s="114">
        <v>180</v>
      </c>
      <c r="BY135" s="119">
        <v>90</v>
      </c>
      <c r="BZ135" s="120">
        <v>1080</v>
      </c>
      <c r="CA135" s="114">
        <v>1080</v>
      </c>
      <c r="CB135" s="119">
        <v>75.25</v>
      </c>
      <c r="CC135" s="120">
        <v>903</v>
      </c>
      <c r="CD135" s="114">
        <v>902.04</v>
      </c>
      <c r="CE135" s="119">
        <v>60</v>
      </c>
      <c r="CF135" s="120">
        <v>720</v>
      </c>
      <c r="CG135" s="114">
        <v>720</v>
      </c>
      <c r="CH135" s="119">
        <v>90</v>
      </c>
      <c r="CI135" s="120">
        <v>1080</v>
      </c>
      <c r="CJ135" s="114">
        <v>1080</v>
      </c>
      <c r="CK135" s="54">
        <f t="shared" si="30"/>
        <v>690.25</v>
      </c>
      <c r="CL135" s="63">
        <f t="shared" si="31"/>
        <v>8703</v>
      </c>
      <c r="CM135" s="55">
        <f t="shared" si="32"/>
        <v>8312.0400000000009</v>
      </c>
      <c r="CN135" s="54">
        <f t="shared" si="33"/>
        <v>57.520833333333336</v>
      </c>
      <c r="CO135" s="63">
        <f t="shared" si="34"/>
        <v>725.25</v>
      </c>
      <c r="CP135" s="172">
        <f t="shared" si="35"/>
        <v>692.67000000000007</v>
      </c>
      <c r="CQ135" s="158">
        <v>76</v>
      </c>
      <c r="CR135" s="159">
        <v>912</v>
      </c>
      <c r="CS135" s="179">
        <v>912</v>
      </c>
      <c r="CT135" s="27">
        <v>75</v>
      </c>
      <c r="CU135" s="58">
        <v>900</v>
      </c>
      <c r="CV135" s="107">
        <v>900</v>
      </c>
      <c r="CW135" s="27"/>
      <c r="CX135" s="58"/>
      <c r="CY135" s="98"/>
      <c r="CZ135" s="27"/>
      <c r="DA135" s="58"/>
      <c r="DB135" s="12"/>
      <c r="DC135" s="27"/>
      <c r="DD135" s="58"/>
      <c r="DE135" s="107"/>
      <c r="DF135" s="27"/>
      <c r="DG135" s="58"/>
      <c r="DH135" s="107"/>
      <c r="DI135" s="27"/>
      <c r="DJ135" s="58"/>
      <c r="DK135" s="107"/>
      <c r="DL135" s="27"/>
      <c r="DM135" s="58"/>
      <c r="DN135" s="107"/>
      <c r="DO135" s="27"/>
      <c r="DP135" s="58"/>
      <c r="DQ135" s="107"/>
      <c r="DR135" s="27"/>
      <c r="DS135" s="58"/>
      <c r="DT135" s="107"/>
      <c r="DU135" s="27"/>
      <c r="DV135" s="58"/>
      <c r="DW135" s="107"/>
      <c r="DX135" s="27"/>
      <c r="DY135" s="58"/>
      <c r="DZ135" s="107"/>
    </row>
    <row r="136" spans="1:130" s="25" customFormat="1" ht="31.5" customHeight="1" x14ac:dyDescent="0.6">
      <c r="A136" s="5">
        <v>133</v>
      </c>
      <c r="B136" s="18" t="s">
        <v>395</v>
      </c>
      <c r="C136" s="18" t="s">
        <v>396</v>
      </c>
      <c r="D136" s="18" t="s">
        <v>49</v>
      </c>
      <c r="E136" s="23" t="s">
        <v>50</v>
      </c>
      <c r="F136" s="7" t="s">
        <v>377</v>
      </c>
      <c r="G136" s="123"/>
      <c r="H136" s="123"/>
      <c r="I136" s="123" t="s">
        <v>1008</v>
      </c>
      <c r="J136" s="49" t="s">
        <v>378</v>
      </c>
      <c r="K136" s="27"/>
      <c r="L136" s="58"/>
      <c r="M136" s="78"/>
      <c r="N136" s="27"/>
      <c r="O136" s="58"/>
      <c r="P136" s="49"/>
      <c r="Q136" s="27"/>
      <c r="R136" s="58"/>
      <c r="S136" s="98"/>
      <c r="T136" s="27"/>
      <c r="U136" s="58"/>
      <c r="V136" s="12"/>
      <c r="W136" s="27"/>
      <c r="X136" s="58"/>
      <c r="Y136" s="12"/>
      <c r="Z136" s="27"/>
      <c r="AA136" s="58"/>
      <c r="AB136" s="12"/>
      <c r="AC136" s="27">
        <v>25</v>
      </c>
      <c r="AD136" s="58">
        <v>300</v>
      </c>
      <c r="AE136" s="107"/>
      <c r="AF136" s="27">
        <v>30</v>
      </c>
      <c r="AG136" s="58">
        <v>360</v>
      </c>
      <c r="AH136" s="107"/>
      <c r="AI136" s="27">
        <v>35</v>
      </c>
      <c r="AJ136" s="58">
        <v>420</v>
      </c>
      <c r="AK136" s="107"/>
      <c r="AL136" s="27">
        <v>15</v>
      </c>
      <c r="AM136" s="58">
        <v>180</v>
      </c>
      <c r="AN136" s="107"/>
      <c r="AO136" s="27">
        <v>30</v>
      </c>
      <c r="AP136" s="58">
        <v>360</v>
      </c>
      <c r="AQ136" s="12"/>
      <c r="AR136" s="27">
        <v>45</v>
      </c>
      <c r="AS136" s="58">
        <v>960</v>
      </c>
      <c r="AT136" s="12"/>
      <c r="AU136" s="54"/>
      <c r="AV136" s="63"/>
      <c r="AW136" s="55"/>
      <c r="AX136" s="54"/>
      <c r="AY136" s="63"/>
      <c r="AZ136" s="55"/>
      <c r="BA136" s="10">
        <v>46</v>
      </c>
      <c r="BB136" s="15">
        <v>602</v>
      </c>
      <c r="BC136" s="11">
        <v>565</v>
      </c>
      <c r="BD136" s="10">
        <v>60</v>
      </c>
      <c r="BE136" s="15">
        <v>720</v>
      </c>
      <c r="BF136" s="11">
        <v>720</v>
      </c>
      <c r="BG136" s="10">
        <v>67</v>
      </c>
      <c r="BH136" s="15">
        <v>1373</v>
      </c>
      <c r="BI136" s="11">
        <v>836.6</v>
      </c>
      <c r="BJ136" s="10">
        <v>15</v>
      </c>
      <c r="BK136" s="15">
        <v>180</v>
      </c>
      <c r="BL136" s="11">
        <v>180</v>
      </c>
      <c r="BM136" s="46">
        <v>45</v>
      </c>
      <c r="BN136" s="43">
        <v>540</v>
      </c>
      <c r="BO136" s="47">
        <v>540</v>
      </c>
      <c r="BP136" s="46">
        <v>60</v>
      </c>
      <c r="BQ136" s="43">
        <v>720</v>
      </c>
      <c r="BR136" s="47">
        <v>720</v>
      </c>
      <c r="BS136" s="46">
        <v>105</v>
      </c>
      <c r="BT136" s="43">
        <v>1260</v>
      </c>
      <c r="BU136" s="114">
        <v>1260</v>
      </c>
      <c r="BV136" s="119">
        <v>33.1</v>
      </c>
      <c r="BW136" s="120">
        <v>407</v>
      </c>
      <c r="BX136" s="114">
        <v>382.34000000000009</v>
      </c>
      <c r="BY136" s="119">
        <v>65</v>
      </c>
      <c r="BZ136" s="120">
        <v>780</v>
      </c>
      <c r="CA136" s="114">
        <v>780</v>
      </c>
      <c r="CB136" s="119">
        <v>60</v>
      </c>
      <c r="CC136" s="120">
        <v>720</v>
      </c>
      <c r="CD136" s="114">
        <v>720</v>
      </c>
      <c r="CE136" s="119">
        <v>45</v>
      </c>
      <c r="CF136" s="120">
        <v>540</v>
      </c>
      <c r="CG136" s="114">
        <v>540</v>
      </c>
      <c r="CH136" s="119">
        <v>60</v>
      </c>
      <c r="CI136" s="120">
        <v>1140</v>
      </c>
      <c r="CJ136" s="114">
        <v>750</v>
      </c>
      <c r="CK136" s="54">
        <f t="shared" si="30"/>
        <v>661.1</v>
      </c>
      <c r="CL136" s="63">
        <f t="shared" si="31"/>
        <v>8982</v>
      </c>
      <c r="CM136" s="55">
        <f t="shared" si="32"/>
        <v>7993.9400000000005</v>
      </c>
      <c r="CN136" s="54">
        <f t="shared" si="33"/>
        <v>55.091666666666669</v>
      </c>
      <c r="CO136" s="63">
        <f t="shared" si="34"/>
        <v>748.5</v>
      </c>
      <c r="CP136" s="172">
        <f t="shared" si="35"/>
        <v>666.16166666666675</v>
      </c>
      <c r="CQ136" s="158">
        <v>85</v>
      </c>
      <c r="CR136" s="159">
        <v>1040</v>
      </c>
      <c r="CS136" s="179">
        <v>989.6</v>
      </c>
      <c r="CT136" s="27">
        <v>75</v>
      </c>
      <c r="CU136" s="58">
        <v>900</v>
      </c>
      <c r="CV136" s="107">
        <v>900</v>
      </c>
      <c r="CW136" s="27"/>
      <c r="CX136" s="58"/>
      <c r="CY136" s="98"/>
      <c r="CZ136" s="27"/>
      <c r="DA136" s="58"/>
      <c r="DB136" s="107"/>
      <c r="DC136" s="27"/>
      <c r="DD136" s="58"/>
      <c r="DE136" s="107"/>
      <c r="DF136" s="27"/>
      <c r="DG136" s="58"/>
      <c r="DH136" s="107"/>
      <c r="DI136" s="27"/>
      <c r="DJ136" s="58"/>
      <c r="DK136" s="107"/>
      <c r="DL136" s="27"/>
      <c r="DM136" s="58"/>
      <c r="DN136" s="107"/>
      <c r="DO136" s="27"/>
      <c r="DP136" s="58"/>
      <c r="DQ136" s="107"/>
      <c r="DR136" s="27"/>
      <c r="DS136" s="58"/>
      <c r="DT136" s="107"/>
      <c r="DU136" s="27"/>
      <c r="DV136" s="58"/>
      <c r="DW136" s="107"/>
      <c r="DX136" s="27"/>
      <c r="DY136" s="58"/>
      <c r="DZ136" s="107"/>
    </row>
    <row r="137" spans="1:130" s="25" customFormat="1" ht="31.5" customHeight="1" x14ac:dyDescent="0.6">
      <c r="A137" s="5">
        <v>134</v>
      </c>
      <c r="B137" s="18" t="s">
        <v>397</v>
      </c>
      <c r="C137" s="18" t="s">
        <v>398</v>
      </c>
      <c r="D137" s="18" t="s">
        <v>49</v>
      </c>
      <c r="E137" s="23" t="s">
        <v>50</v>
      </c>
      <c r="F137" s="7" t="s">
        <v>377</v>
      </c>
      <c r="G137" s="123"/>
      <c r="H137" s="123"/>
      <c r="I137" s="123" t="s">
        <v>1009</v>
      </c>
      <c r="J137" s="49" t="s">
        <v>378</v>
      </c>
      <c r="K137" s="27"/>
      <c r="L137" s="58"/>
      <c r="M137" s="78"/>
      <c r="N137" s="27"/>
      <c r="O137" s="58"/>
      <c r="P137" s="49"/>
      <c r="Q137" s="27"/>
      <c r="R137" s="58"/>
      <c r="S137" s="98"/>
      <c r="T137" s="27"/>
      <c r="U137" s="58"/>
      <c r="V137" s="12"/>
      <c r="W137" s="27"/>
      <c r="X137" s="58"/>
      <c r="Y137" s="12"/>
      <c r="Z137" s="27"/>
      <c r="AA137" s="58"/>
      <c r="AB137" s="12"/>
      <c r="AC137" s="27">
        <v>33</v>
      </c>
      <c r="AD137" s="58">
        <v>452</v>
      </c>
      <c r="AE137" s="107"/>
      <c r="AF137" s="27">
        <v>0</v>
      </c>
      <c r="AG137" s="58">
        <v>0</v>
      </c>
      <c r="AH137" s="107"/>
      <c r="AI137" s="27">
        <v>30</v>
      </c>
      <c r="AJ137" s="58">
        <v>360</v>
      </c>
      <c r="AK137" s="107"/>
      <c r="AL137" s="27">
        <v>31</v>
      </c>
      <c r="AM137" s="58">
        <v>374</v>
      </c>
      <c r="AN137" s="107"/>
      <c r="AO137" s="27">
        <v>16</v>
      </c>
      <c r="AP137" s="58">
        <v>194</v>
      </c>
      <c r="AQ137" s="12"/>
      <c r="AR137" s="27">
        <v>30</v>
      </c>
      <c r="AS137" s="58">
        <v>360</v>
      </c>
      <c r="AT137" s="12"/>
      <c r="AU137" s="54"/>
      <c r="AV137" s="63"/>
      <c r="AW137" s="55"/>
      <c r="AX137" s="54"/>
      <c r="AY137" s="63"/>
      <c r="AZ137" s="55"/>
      <c r="BA137" s="10">
        <v>16</v>
      </c>
      <c r="BB137" s="15">
        <v>180</v>
      </c>
      <c r="BC137" s="11">
        <v>180</v>
      </c>
      <c r="BD137" s="10">
        <v>30</v>
      </c>
      <c r="BE137" s="15">
        <v>360</v>
      </c>
      <c r="BF137" s="11">
        <v>360</v>
      </c>
      <c r="BG137" s="10">
        <v>80</v>
      </c>
      <c r="BH137" s="15">
        <v>960</v>
      </c>
      <c r="BI137" s="11">
        <v>960</v>
      </c>
      <c r="BJ137" s="10">
        <v>45</v>
      </c>
      <c r="BK137" s="15">
        <v>540</v>
      </c>
      <c r="BL137" s="11">
        <v>540</v>
      </c>
      <c r="BM137" s="46">
        <v>75</v>
      </c>
      <c r="BN137" s="43">
        <v>900</v>
      </c>
      <c r="BO137" s="47">
        <v>900</v>
      </c>
      <c r="BP137" s="46">
        <v>30</v>
      </c>
      <c r="BQ137" s="43">
        <v>360</v>
      </c>
      <c r="BR137" s="47">
        <v>360</v>
      </c>
      <c r="BS137" s="46">
        <v>30</v>
      </c>
      <c r="BT137" s="43">
        <v>360</v>
      </c>
      <c r="BU137" s="114">
        <v>360</v>
      </c>
      <c r="BV137" s="119">
        <v>2</v>
      </c>
      <c r="BW137" s="120">
        <v>28</v>
      </c>
      <c r="BX137" s="114">
        <v>17.920000000000002</v>
      </c>
      <c r="BY137" s="119">
        <v>45.25</v>
      </c>
      <c r="BZ137" s="120">
        <v>543</v>
      </c>
      <c r="CA137" s="114">
        <v>542.04</v>
      </c>
      <c r="CB137" s="119">
        <v>90</v>
      </c>
      <c r="CC137" s="120">
        <v>1080</v>
      </c>
      <c r="CD137" s="114">
        <v>1080</v>
      </c>
      <c r="CE137" s="119">
        <v>45</v>
      </c>
      <c r="CF137" s="120">
        <v>540</v>
      </c>
      <c r="CG137" s="114">
        <v>540</v>
      </c>
      <c r="CH137" s="119">
        <v>60</v>
      </c>
      <c r="CI137" s="120">
        <v>720</v>
      </c>
      <c r="CJ137" s="114">
        <v>720</v>
      </c>
      <c r="CK137" s="54">
        <f t="shared" si="30"/>
        <v>548.25</v>
      </c>
      <c r="CL137" s="63">
        <f t="shared" si="31"/>
        <v>6571</v>
      </c>
      <c r="CM137" s="55">
        <f t="shared" si="32"/>
        <v>6559.96</v>
      </c>
      <c r="CN137" s="54">
        <f t="shared" si="33"/>
        <v>45.6875</v>
      </c>
      <c r="CO137" s="63">
        <f t="shared" si="34"/>
        <v>547.58333333333337</v>
      </c>
      <c r="CP137" s="172">
        <f t="shared" si="35"/>
        <v>546.6633333333333</v>
      </c>
      <c r="CQ137" s="158">
        <v>45</v>
      </c>
      <c r="CR137" s="159">
        <v>540</v>
      </c>
      <c r="CS137" s="179">
        <v>540</v>
      </c>
      <c r="CT137" s="27">
        <v>30</v>
      </c>
      <c r="CU137" s="58">
        <v>360</v>
      </c>
      <c r="CV137" s="107">
        <v>360</v>
      </c>
      <c r="CW137" s="27"/>
      <c r="CX137" s="58"/>
      <c r="CY137" s="98"/>
      <c r="CZ137" s="27"/>
      <c r="DA137" s="58"/>
      <c r="DB137" s="12"/>
      <c r="DC137" s="27"/>
      <c r="DD137" s="58"/>
      <c r="DE137" s="107"/>
      <c r="DF137" s="27"/>
      <c r="DG137" s="58"/>
      <c r="DH137" s="107"/>
      <c r="DI137" s="27"/>
      <c r="DJ137" s="58"/>
      <c r="DK137" s="107"/>
      <c r="DL137" s="27"/>
      <c r="DM137" s="58"/>
      <c r="DN137" s="107"/>
      <c r="DO137" s="27"/>
      <c r="DP137" s="58"/>
      <c r="DQ137" s="107"/>
      <c r="DR137" s="27"/>
      <c r="DS137" s="58"/>
      <c r="DT137" s="107"/>
      <c r="DU137" s="27"/>
      <c r="DV137" s="58"/>
      <c r="DW137" s="107"/>
      <c r="DX137" s="27"/>
      <c r="DY137" s="58"/>
      <c r="DZ137" s="107"/>
    </row>
    <row r="138" spans="1:130" s="25" customFormat="1" ht="31.5" customHeight="1" x14ac:dyDescent="0.6">
      <c r="A138" s="5">
        <v>135</v>
      </c>
      <c r="B138" s="18" t="s">
        <v>399</v>
      </c>
      <c r="C138" s="18" t="s">
        <v>400</v>
      </c>
      <c r="D138" s="18" t="s">
        <v>49</v>
      </c>
      <c r="E138" s="23" t="s">
        <v>50</v>
      </c>
      <c r="F138" s="7" t="s">
        <v>377</v>
      </c>
      <c r="G138" s="123"/>
      <c r="H138" s="123"/>
      <c r="I138" s="123" t="s">
        <v>1010</v>
      </c>
      <c r="J138" s="49" t="s">
        <v>378</v>
      </c>
      <c r="K138" s="27"/>
      <c r="L138" s="58"/>
      <c r="M138" s="78"/>
      <c r="N138" s="27"/>
      <c r="O138" s="58"/>
      <c r="P138" s="49"/>
      <c r="Q138" s="27"/>
      <c r="R138" s="58"/>
      <c r="S138" s="98"/>
      <c r="T138" s="27"/>
      <c r="U138" s="58"/>
      <c r="V138" s="12"/>
      <c r="W138" s="27"/>
      <c r="X138" s="58"/>
      <c r="Y138" s="12"/>
      <c r="Z138" s="27"/>
      <c r="AA138" s="58"/>
      <c r="AB138" s="12"/>
      <c r="AC138" s="27">
        <v>0</v>
      </c>
      <c r="AD138" s="58">
        <v>0</v>
      </c>
      <c r="AE138" s="107"/>
      <c r="AF138" s="27">
        <v>20</v>
      </c>
      <c r="AG138" s="58">
        <v>240</v>
      </c>
      <c r="AH138" s="107"/>
      <c r="AI138" s="27">
        <v>15</v>
      </c>
      <c r="AJ138" s="58">
        <v>180</v>
      </c>
      <c r="AK138" s="107"/>
      <c r="AL138" s="27">
        <v>15</v>
      </c>
      <c r="AM138" s="58">
        <v>180</v>
      </c>
      <c r="AN138" s="107"/>
      <c r="AO138" s="27">
        <v>15</v>
      </c>
      <c r="AP138" s="58">
        <v>180</v>
      </c>
      <c r="AQ138" s="12"/>
      <c r="AR138" s="27">
        <v>45</v>
      </c>
      <c r="AS138" s="58">
        <v>960</v>
      </c>
      <c r="AT138" s="12"/>
      <c r="AU138" s="54"/>
      <c r="AV138" s="63"/>
      <c r="AW138" s="55"/>
      <c r="AX138" s="54"/>
      <c r="AY138" s="63"/>
      <c r="AZ138" s="55"/>
      <c r="BA138" s="10">
        <v>15</v>
      </c>
      <c r="BB138" s="15">
        <v>180</v>
      </c>
      <c r="BC138" s="11">
        <v>180</v>
      </c>
      <c r="BD138" s="10">
        <v>32</v>
      </c>
      <c r="BE138" s="15">
        <v>384</v>
      </c>
      <c r="BF138" s="11">
        <v>384</v>
      </c>
      <c r="BG138" s="10">
        <v>61</v>
      </c>
      <c r="BH138" s="15">
        <v>1180</v>
      </c>
      <c r="BI138" s="11">
        <v>764</v>
      </c>
      <c r="BJ138" s="10">
        <v>45</v>
      </c>
      <c r="BK138" s="15">
        <v>540</v>
      </c>
      <c r="BL138" s="11">
        <v>540</v>
      </c>
      <c r="BM138" s="46">
        <v>45</v>
      </c>
      <c r="BN138" s="43">
        <v>540</v>
      </c>
      <c r="BO138" s="47">
        <v>540</v>
      </c>
      <c r="BP138" s="46">
        <v>75</v>
      </c>
      <c r="BQ138" s="43">
        <v>900</v>
      </c>
      <c r="BR138" s="47">
        <v>900</v>
      </c>
      <c r="BS138" s="46">
        <v>60</v>
      </c>
      <c r="BT138" s="43">
        <v>720</v>
      </c>
      <c r="BU138" s="114">
        <v>720</v>
      </c>
      <c r="BV138" s="119">
        <v>36</v>
      </c>
      <c r="BW138" s="120">
        <v>432</v>
      </c>
      <c r="BX138" s="114">
        <v>432</v>
      </c>
      <c r="BY138" s="119">
        <v>45</v>
      </c>
      <c r="BZ138" s="120">
        <v>540</v>
      </c>
      <c r="CA138" s="114">
        <v>540</v>
      </c>
      <c r="CB138" s="119">
        <v>45</v>
      </c>
      <c r="CC138" s="120">
        <v>540</v>
      </c>
      <c r="CD138" s="114">
        <v>540</v>
      </c>
      <c r="CE138" s="119">
        <v>45</v>
      </c>
      <c r="CF138" s="120">
        <v>540</v>
      </c>
      <c r="CG138" s="114">
        <v>540</v>
      </c>
      <c r="CH138" s="119">
        <v>40</v>
      </c>
      <c r="CI138" s="120">
        <v>480</v>
      </c>
      <c r="CJ138" s="114">
        <v>480</v>
      </c>
      <c r="CK138" s="54">
        <f t="shared" si="30"/>
        <v>544</v>
      </c>
      <c r="CL138" s="63">
        <f t="shared" si="31"/>
        <v>6976</v>
      </c>
      <c r="CM138" s="55">
        <f t="shared" si="32"/>
        <v>6560</v>
      </c>
      <c r="CN138" s="54">
        <f t="shared" si="33"/>
        <v>45.333333333333336</v>
      </c>
      <c r="CO138" s="63">
        <f t="shared" si="34"/>
        <v>581.33333333333337</v>
      </c>
      <c r="CP138" s="172">
        <f t="shared" si="35"/>
        <v>546.66666666666663</v>
      </c>
      <c r="CQ138" s="158">
        <v>0</v>
      </c>
      <c r="CR138" s="159">
        <v>0</v>
      </c>
      <c r="CS138" s="179">
        <v>0</v>
      </c>
      <c r="CT138" s="27">
        <v>60</v>
      </c>
      <c r="CU138" s="58">
        <v>720</v>
      </c>
      <c r="CV138" s="107">
        <v>720</v>
      </c>
      <c r="CW138" s="27"/>
      <c r="CX138" s="58"/>
      <c r="CY138" s="98"/>
      <c r="CZ138" s="27"/>
      <c r="DA138" s="58"/>
      <c r="DB138" s="12"/>
      <c r="DC138" s="27"/>
      <c r="DD138" s="58"/>
      <c r="DE138" s="12"/>
      <c r="DF138" s="27"/>
      <c r="DG138" s="58"/>
      <c r="DH138" s="12"/>
      <c r="DI138" s="27"/>
      <c r="DJ138" s="58"/>
      <c r="DK138" s="107"/>
      <c r="DL138" s="27"/>
      <c r="DM138" s="58"/>
      <c r="DN138" s="107"/>
      <c r="DO138" s="27"/>
      <c r="DP138" s="58"/>
      <c r="DQ138" s="107"/>
      <c r="DR138" s="27"/>
      <c r="DS138" s="58"/>
      <c r="DT138" s="107"/>
      <c r="DU138" s="27"/>
      <c r="DV138" s="58"/>
      <c r="DW138" s="107"/>
      <c r="DX138" s="27"/>
      <c r="DY138" s="58"/>
      <c r="DZ138" s="107"/>
    </row>
    <row r="139" spans="1:130" s="25" customFormat="1" ht="31.5" customHeight="1" x14ac:dyDescent="0.6">
      <c r="A139" s="5">
        <v>136</v>
      </c>
      <c r="B139" s="18" t="s">
        <v>401</v>
      </c>
      <c r="C139" s="18" t="s">
        <v>402</v>
      </c>
      <c r="D139" s="18" t="s">
        <v>49</v>
      </c>
      <c r="E139" s="23" t="s">
        <v>50</v>
      </c>
      <c r="F139" s="7" t="s">
        <v>377</v>
      </c>
      <c r="G139" s="123"/>
      <c r="H139" s="123"/>
      <c r="I139" s="123" t="s">
        <v>1011</v>
      </c>
      <c r="J139" s="49" t="s">
        <v>378</v>
      </c>
      <c r="K139" s="27"/>
      <c r="L139" s="58"/>
      <c r="M139" s="78"/>
      <c r="N139" s="27"/>
      <c r="O139" s="58"/>
      <c r="P139" s="49"/>
      <c r="Q139" s="27"/>
      <c r="R139" s="58"/>
      <c r="S139" s="98"/>
      <c r="T139" s="27"/>
      <c r="U139" s="58"/>
      <c r="V139" s="12"/>
      <c r="W139" s="27"/>
      <c r="X139" s="58"/>
      <c r="Y139" s="12"/>
      <c r="Z139" s="27"/>
      <c r="AA139" s="58"/>
      <c r="AB139" s="12"/>
      <c r="AC139" s="27">
        <v>0</v>
      </c>
      <c r="AD139" s="58">
        <v>0</v>
      </c>
      <c r="AE139" s="107"/>
      <c r="AF139" s="27">
        <v>0</v>
      </c>
      <c r="AG139" s="58">
        <v>0</v>
      </c>
      <c r="AH139" s="107"/>
      <c r="AI139" s="27">
        <v>0</v>
      </c>
      <c r="AJ139" s="58">
        <v>0</v>
      </c>
      <c r="AK139" s="107"/>
      <c r="AL139" s="27">
        <v>0</v>
      </c>
      <c r="AM139" s="58">
        <v>0</v>
      </c>
      <c r="AN139" s="107"/>
      <c r="AO139" s="27">
        <v>0</v>
      </c>
      <c r="AP139" s="58">
        <v>0</v>
      </c>
      <c r="AQ139" s="12"/>
      <c r="AR139" s="27">
        <v>30</v>
      </c>
      <c r="AS139" s="58">
        <v>360</v>
      </c>
      <c r="AT139" s="12"/>
      <c r="AU139" s="54"/>
      <c r="AV139" s="63"/>
      <c r="AW139" s="55"/>
      <c r="AX139" s="54"/>
      <c r="AY139" s="63"/>
      <c r="AZ139" s="55"/>
      <c r="BA139" s="10">
        <v>30</v>
      </c>
      <c r="BB139" s="15">
        <v>376</v>
      </c>
      <c r="BC139" s="11">
        <v>366</v>
      </c>
      <c r="BD139" s="10">
        <v>16</v>
      </c>
      <c r="BE139" s="15">
        <v>220</v>
      </c>
      <c r="BF139" s="11">
        <v>194</v>
      </c>
      <c r="BG139" s="10">
        <v>136</v>
      </c>
      <c r="BH139" s="15">
        <v>1703</v>
      </c>
      <c r="BI139" s="11">
        <v>1488.75</v>
      </c>
      <c r="BJ139" s="10">
        <v>15</v>
      </c>
      <c r="BK139" s="15">
        <v>180</v>
      </c>
      <c r="BL139" s="11">
        <v>180</v>
      </c>
      <c r="BM139" s="46">
        <v>34</v>
      </c>
      <c r="BN139" s="43">
        <v>520</v>
      </c>
      <c r="BO139" s="47">
        <v>416</v>
      </c>
      <c r="BP139" s="46">
        <v>46</v>
      </c>
      <c r="BQ139" s="43">
        <v>558</v>
      </c>
      <c r="BR139" s="47">
        <v>546</v>
      </c>
      <c r="BS139" s="46">
        <v>60</v>
      </c>
      <c r="BT139" s="43">
        <v>720</v>
      </c>
      <c r="BU139" s="114">
        <v>720</v>
      </c>
      <c r="BV139" s="119">
        <v>30.4</v>
      </c>
      <c r="BW139" s="120">
        <v>364</v>
      </c>
      <c r="BX139" s="114">
        <v>362.72</v>
      </c>
      <c r="BY139" s="119">
        <v>55</v>
      </c>
      <c r="BZ139" s="120">
        <v>660</v>
      </c>
      <c r="CA139" s="114">
        <v>660</v>
      </c>
      <c r="CB139" s="119">
        <v>64</v>
      </c>
      <c r="CC139" s="120">
        <v>768</v>
      </c>
      <c r="CD139" s="114">
        <v>767.04</v>
      </c>
      <c r="CE139" s="119">
        <v>92</v>
      </c>
      <c r="CF139" s="120">
        <v>1104</v>
      </c>
      <c r="CG139" s="114">
        <v>1104</v>
      </c>
      <c r="CH139" s="119">
        <v>61</v>
      </c>
      <c r="CI139" s="120">
        <v>732</v>
      </c>
      <c r="CJ139" s="114">
        <v>732</v>
      </c>
      <c r="CK139" s="54">
        <f t="shared" si="30"/>
        <v>639.4</v>
      </c>
      <c r="CL139" s="63">
        <f t="shared" si="31"/>
        <v>7905</v>
      </c>
      <c r="CM139" s="55">
        <f t="shared" si="32"/>
        <v>7536.51</v>
      </c>
      <c r="CN139" s="54">
        <f t="shared" si="33"/>
        <v>53.283333333333331</v>
      </c>
      <c r="CO139" s="63">
        <f t="shared" si="34"/>
        <v>658.75</v>
      </c>
      <c r="CP139" s="172">
        <f t="shared" si="35"/>
        <v>628.04250000000002</v>
      </c>
      <c r="CQ139" s="158">
        <v>135.625</v>
      </c>
      <c r="CR139" s="159">
        <v>1725</v>
      </c>
      <c r="CS139" s="179">
        <v>1488.4500000000003</v>
      </c>
      <c r="CT139" s="27">
        <v>60</v>
      </c>
      <c r="CU139" s="58">
        <v>1140</v>
      </c>
      <c r="CV139" s="107">
        <v>750</v>
      </c>
      <c r="CW139" s="27"/>
      <c r="CX139" s="58"/>
      <c r="CY139" s="98"/>
      <c r="CZ139" s="27"/>
      <c r="DA139" s="58"/>
      <c r="DB139" s="12"/>
      <c r="DC139" s="27"/>
      <c r="DD139" s="58"/>
      <c r="DE139" s="12"/>
      <c r="DF139" s="27"/>
      <c r="DG139" s="58"/>
      <c r="DH139" s="107"/>
      <c r="DI139" s="27"/>
      <c r="DJ139" s="58"/>
      <c r="DK139" s="107"/>
      <c r="DL139" s="27"/>
      <c r="DM139" s="58"/>
      <c r="DN139" s="107"/>
      <c r="DO139" s="27"/>
      <c r="DP139" s="58"/>
      <c r="DQ139" s="107"/>
      <c r="DR139" s="27"/>
      <c r="DS139" s="58"/>
      <c r="DT139" s="107"/>
      <c r="DU139" s="27"/>
      <c r="DV139" s="58"/>
      <c r="DW139" s="107"/>
      <c r="DX139" s="27"/>
      <c r="DY139" s="58"/>
      <c r="DZ139" s="107"/>
    </row>
    <row r="140" spans="1:130" s="25" customFormat="1" ht="31.5" customHeight="1" x14ac:dyDescent="0.6">
      <c r="A140" s="5">
        <v>137</v>
      </c>
      <c r="B140" s="18" t="s">
        <v>403</v>
      </c>
      <c r="C140" s="18" t="s">
        <v>403</v>
      </c>
      <c r="D140" s="18" t="s">
        <v>49</v>
      </c>
      <c r="E140" s="23" t="s">
        <v>50</v>
      </c>
      <c r="F140" s="7" t="s">
        <v>377</v>
      </c>
      <c r="G140" s="123"/>
      <c r="H140" s="123"/>
      <c r="I140" s="123" t="s">
        <v>1012</v>
      </c>
      <c r="J140" s="49" t="s">
        <v>378</v>
      </c>
      <c r="K140" s="27"/>
      <c r="L140" s="58"/>
      <c r="M140" s="78"/>
      <c r="N140" s="27"/>
      <c r="O140" s="58"/>
      <c r="P140" s="49"/>
      <c r="Q140" s="27"/>
      <c r="R140" s="58"/>
      <c r="S140" s="98"/>
      <c r="T140" s="27"/>
      <c r="U140" s="58"/>
      <c r="V140" s="12"/>
      <c r="W140" s="27"/>
      <c r="X140" s="58"/>
      <c r="Y140" s="12"/>
      <c r="Z140" s="27"/>
      <c r="AA140" s="58"/>
      <c r="AB140" s="12"/>
      <c r="AC140" s="27">
        <v>0</v>
      </c>
      <c r="AD140" s="58">
        <v>0</v>
      </c>
      <c r="AE140" s="107"/>
      <c r="AF140" s="27">
        <v>0</v>
      </c>
      <c r="AG140" s="58">
        <v>0</v>
      </c>
      <c r="AH140" s="107"/>
      <c r="AI140" s="27">
        <v>0</v>
      </c>
      <c r="AJ140" s="58">
        <v>0</v>
      </c>
      <c r="AK140" s="107"/>
      <c r="AL140" s="27">
        <v>0</v>
      </c>
      <c r="AM140" s="58">
        <v>0</v>
      </c>
      <c r="AN140" s="107"/>
      <c r="AO140" s="27">
        <v>0</v>
      </c>
      <c r="AP140" s="58">
        <v>0</v>
      </c>
      <c r="AQ140" s="12"/>
      <c r="AR140" s="27">
        <v>30</v>
      </c>
      <c r="AS140" s="58">
        <v>360</v>
      </c>
      <c r="AT140" s="12"/>
      <c r="AU140" s="54"/>
      <c r="AV140" s="63"/>
      <c r="AW140" s="55"/>
      <c r="AX140" s="54"/>
      <c r="AY140" s="63"/>
      <c r="AZ140" s="55"/>
      <c r="BA140" s="10">
        <v>0</v>
      </c>
      <c r="BB140" s="15">
        <v>14</v>
      </c>
      <c r="BC140" s="11">
        <v>9</v>
      </c>
      <c r="BD140" s="10">
        <v>30</v>
      </c>
      <c r="BE140" s="15">
        <v>360</v>
      </c>
      <c r="BF140" s="11">
        <v>360</v>
      </c>
      <c r="BG140" s="10">
        <v>30</v>
      </c>
      <c r="BH140" s="15">
        <v>360</v>
      </c>
      <c r="BI140" s="11">
        <v>360</v>
      </c>
      <c r="BJ140" s="10">
        <v>45</v>
      </c>
      <c r="BK140" s="15">
        <v>540</v>
      </c>
      <c r="BL140" s="11">
        <v>540</v>
      </c>
      <c r="BM140" s="46">
        <v>45</v>
      </c>
      <c r="BN140" s="43">
        <v>540</v>
      </c>
      <c r="BO140" s="47">
        <v>540</v>
      </c>
      <c r="BP140" s="46">
        <v>90</v>
      </c>
      <c r="BQ140" s="43">
        <v>1080</v>
      </c>
      <c r="BR140" s="47">
        <v>1080</v>
      </c>
      <c r="BS140" s="46">
        <v>60</v>
      </c>
      <c r="BT140" s="43">
        <v>720</v>
      </c>
      <c r="BU140" s="114">
        <v>720</v>
      </c>
      <c r="BV140" s="119">
        <v>15</v>
      </c>
      <c r="BW140" s="120">
        <v>180</v>
      </c>
      <c r="BX140" s="114">
        <v>180</v>
      </c>
      <c r="BY140" s="119">
        <v>70</v>
      </c>
      <c r="BZ140" s="120">
        <v>840</v>
      </c>
      <c r="CA140" s="114">
        <v>840</v>
      </c>
      <c r="CB140" s="119">
        <v>60</v>
      </c>
      <c r="CC140" s="120">
        <v>720</v>
      </c>
      <c r="CD140" s="114">
        <v>720</v>
      </c>
      <c r="CE140" s="119">
        <v>45</v>
      </c>
      <c r="CF140" s="120">
        <v>540</v>
      </c>
      <c r="CG140" s="114">
        <v>540</v>
      </c>
      <c r="CH140" s="119">
        <v>75</v>
      </c>
      <c r="CI140" s="120">
        <v>900</v>
      </c>
      <c r="CJ140" s="114">
        <v>900</v>
      </c>
      <c r="CK140" s="54">
        <f t="shared" si="30"/>
        <v>565</v>
      </c>
      <c r="CL140" s="63">
        <f t="shared" si="31"/>
        <v>6794</v>
      </c>
      <c r="CM140" s="55">
        <f t="shared" si="32"/>
        <v>6789</v>
      </c>
      <c r="CN140" s="54">
        <f t="shared" si="33"/>
        <v>47.083333333333336</v>
      </c>
      <c r="CO140" s="63">
        <f t="shared" si="34"/>
        <v>566.16666666666663</v>
      </c>
      <c r="CP140" s="172">
        <f t="shared" si="35"/>
        <v>565.75</v>
      </c>
      <c r="CQ140" s="158">
        <v>50</v>
      </c>
      <c r="CR140" s="159">
        <v>610</v>
      </c>
      <c r="CS140" s="179">
        <v>584.79999999999995</v>
      </c>
      <c r="CT140" s="27">
        <v>45</v>
      </c>
      <c r="CU140" s="58">
        <v>540</v>
      </c>
      <c r="CV140" s="107">
        <v>540</v>
      </c>
      <c r="CW140" s="27"/>
      <c r="CX140" s="58"/>
      <c r="CY140" s="98"/>
      <c r="CZ140" s="27"/>
      <c r="DA140" s="58"/>
      <c r="DB140" s="12"/>
      <c r="DC140" s="27"/>
      <c r="DD140" s="58"/>
      <c r="DE140" s="12"/>
      <c r="DF140" s="27"/>
      <c r="DG140" s="58"/>
      <c r="DH140" s="12"/>
      <c r="DI140" s="27"/>
      <c r="DJ140" s="58"/>
      <c r="DK140" s="107"/>
      <c r="DL140" s="27"/>
      <c r="DM140" s="58"/>
      <c r="DN140" s="107"/>
      <c r="DO140" s="27"/>
      <c r="DP140" s="58"/>
      <c r="DQ140" s="107"/>
      <c r="DR140" s="27"/>
      <c r="DS140" s="58"/>
      <c r="DT140" s="107"/>
      <c r="DU140" s="27"/>
      <c r="DV140" s="58"/>
      <c r="DW140" s="107"/>
      <c r="DX140" s="27"/>
      <c r="DY140" s="58"/>
      <c r="DZ140" s="107"/>
    </row>
    <row r="141" spans="1:130" s="25" customFormat="1" ht="31.5" customHeight="1" x14ac:dyDescent="0.6">
      <c r="A141" s="5">
        <v>138</v>
      </c>
      <c r="B141" s="18" t="s">
        <v>283</v>
      </c>
      <c r="C141" s="18"/>
      <c r="D141" s="18"/>
      <c r="E141" s="23"/>
      <c r="F141" s="7"/>
      <c r="G141" s="123"/>
      <c r="H141" s="123"/>
      <c r="I141" s="123"/>
      <c r="J141" s="49"/>
      <c r="K141" s="27"/>
      <c r="L141" s="58"/>
      <c r="M141" s="78"/>
      <c r="N141" s="27"/>
      <c r="O141" s="58"/>
      <c r="P141" s="49"/>
      <c r="Q141" s="27"/>
      <c r="R141" s="58"/>
      <c r="S141" s="98"/>
      <c r="T141" s="27"/>
      <c r="U141" s="58"/>
      <c r="V141" s="12"/>
      <c r="W141" s="27"/>
      <c r="X141" s="58"/>
      <c r="Y141" s="12"/>
      <c r="Z141" s="27"/>
      <c r="AA141" s="58"/>
      <c r="AB141" s="12"/>
      <c r="AC141" s="27"/>
      <c r="AD141" s="58"/>
      <c r="AE141" s="107"/>
      <c r="AF141" s="27"/>
      <c r="AG141" s="58"/>
      <c r="AH141" s="107"/>
      <c r="AI141" s="27"/>
      <c r="AJ141" s="58"/>
      <c r="AK141" s="107"/>
      <c r="AL141" s="27"/>
      <c r="AM141" s="58"/>
      <c r="AN141" s="107"/>
      <c r="AO141" s="27"/>
      <c r="AP141" s="58"/>
      <c r="AQ141" s="12"/>
      <c r="AR141" s="27"/>
      <c r="AS141" s="58"/>
      <c r="AT141" s="12"/>
      <c r="AU141" s="54"/>
      <c r="AV141" s="63"/>
      <c r="AW141" s="55"/>
      <c r="AX141" s="54"/>
      <c r="AY141" s="63"/>
      <c r="AZ141" s="55"/>
      <c r="BA141" s="10"/>
      <c r="BB141" s="15"/>
      <c r="BC141" s="11"/>
      <c r="BD141" s="10"/>
      <c r="BE141" s="15"/>
      <c r="BF141" s="11"/>
      <c r="BG141" s="10"/>
      <c r="BH141" s="15"/>
      <c r="BI141" s="11"/>
      <c r="BJ141" s="10"/>
      <c r="BK141" s="15"/>
      <c r="BL141" s="11"/>
      <c r="BM141" s="46"/>
      <c r="BN141" s="43"/>
      <c r="BO141" s="47"/>
      <c r="BP141" s="46"/>
      <c r="BQ141" s="43"/>
      <c r="BR141" s="47"/>
      <c r="BS141" s="46"/>
      <c r="BT141" s="43"/>
      <c r="BU141" s="114"/>
      <c r="BV141" s="119"/>
      <c r="BW141" s="120"/>
      <c r="BX141" s="114"/>
      <c r="BY141" s="119"/>
      <c r="BZ141" s="120"/>
      <c r="CA141" s="114"/>
      <c r="CB141" s="119"/>
      <c r="CC141" s="120"/>
      <c r="CD141" s="114"/>
      <c r="CE141" s="119"/>
      <c r="CF141" s="120"/>
      <c r="CG141" s="114"/>
      <c r="CH141" s="119"/>
      <c r="CI141" s="120"/>
      <c r="CJ141" s="114"/>
      <c r="CK141" s="54"/>
      <c r="CL141" s="63"/>
      <c r="CM141" s="55"/>
      <c r="CN141" s="54"/>
      <c r="CO141" s="63"/>
      <c r="CP141" s="172"/>
      <c r="CQ141" s="158">
        <v>15</v>
      </c>
      <c r="CR141" s="159">
        <v>180</v>
      </c>
      <c r="CS141" s="179">
        <v>180</v>
      </c>
      <c r="CT141" s="27">
        <v>0</v>
      </c>
      <c r="CU141" s="58">
        <v>0</v>
      </c>
      <c r="CV141" s="107">
        <v>0</v>
      </c>
      <c r="CW141" s="27"/>
      <c r="CX141" s="58"/>
      <c r="CY141" s="98"/>
      <c r="CZ141" s="27"/>
      <c r="DA141" s="58"/>
      <c r="DB141" s="12"/>
      <c r="DC141" s="27"/>
      <c r="DD141" s="58"/>
      <c r="DE141" s="12"/>
      <c r="DF141" s="27"/>
      <c r="DG141" s="58"/>
      <c r="DH141" s="12"/>
      <c r="DI141" s="27"/>
      <c r="DJ141" s="58"/>
      <c r="DK141" s="107"/>
      <c r="DL141" s="27"/>
      <c r="DM141" s="58"/>
      <c r="DN141" s="107"/>
      <c r="DO141" s="27"/>
      <c r="DP141" s="58"/>
      <c r="DQ141" s="107"/>
      <c r="DR141" s="27"/>
      <c r="DS141" s="58"/>
      <c r="DT141" s="107"/>
      <c r="DU141" s="27"/>
      <c r="DV141" s="58"/>
      <c r="DW141" s="107"/>
      <c r="DX141" s="27"/>
      <c r="DY141" s="58"/>
      <c r="DZ141" s="107"/>
    </row>
    <row r="142" spans="1:130" s="25" customFormat="1" ht="31.5" customHeight="1" x14ac:dyDescent="0.6">
      <c r="A142" s="5">
        <v>139</v>
      </c>
      <c r="B142" s="18" t="s">
        <v>404</v>
      </c>
      <c r="C142" s="18" t="s">
        <v>405</v>
      </c>
      <c r="D142" s="18" t="s">
        <v>363</v>
      </c>
      <c r="E142" s="23" t="s">
        <v>79</v>
      </c>
      <c r="F142" s="7" t="s">
        <v>406</v>
      </c>
      <c r="G142" s="123"/>
      <c r="H142" s="123"/>
      <c r="I142" s="123" t="s">
        <v>1013</v>
      </c>
      <c r="J142" s="49" t="s">
        <v>407</v>
      </c>
      <c r="K142" s="27"/>
      <c r="L142" s="58"/>
      <c r="M142" s="78"/>
      <c r="N142" s="27"/>
      <c r="O142" s="58"/>
      <c r="P142" s="49"/>
      <c r="Q142" s="27"/>
      <c r="R142" s="58"/>
      <c r="S142" s="98"/>
      <c r="T142" s="27"/>
      <c r="U142" s="58"/>
      <c r="V142" s="12"/>
      <c r="W142" s="27"/>
      <c r="X142" s="58"/>
      <c r="Y142" s="12"/>
      <c r="Z142" s="27"/>
      <c r="AA142" s="58"/>
      <c r="AB142" s="12"/>
      <c r="AC142" s="27">
        <v>15</v>
      </c>
      <c r="AD142" s="58">
        <v>180</v>
      </c>
      <c r="AE142" s="107"/>
      <c r="AF142" s="27">
        <v>45</v>
      </c>
      <c r="AG142" s="58">
        <v>620</v>
      </c>
      <c r="AH142" s="107"/>
      <c r="AI142" s="27">
        <v>30</v>
      </c>
      <c r="AJ142" s="58">
        <v>360</v>
      </c>
      <c r="AK142" s="107"/>
      <c r="AL142" s="27">
        <v>115</v>
      </c>
      <c r="AM142" s="58">
        <v>1410</v>
      </c>
      <c r="AN142" s="107"/>
      <c r="AO142" s="27">
        <v>71</v>
      </c>
      <c r="AP142" s="58">
        <v>964</v>
      </c>
      <c r="AQ142" s="12"/>
      <c r="AR142" s="27">
        <v>60</v>
      </c>
      <c r="AS142" s="58">
        <v>720</v>
      </c>
      <c r="AT142" s="12"/>
      <c r="AU142" s="54"/>
      <c r="AV142" s="63"/>
      <c r="AW142" s="55"/>
      <c r="AX142" s="54"/>
      <c r="AY142" s="63"/>
      <c r="AZ142" s="55"/>
      <c r="BA142" s="10">
        <v>35</v>
      </c>
      <c r="BB142" s="15">
        <v>490</v>
      </c>
      <c r="BC142" s="11">
        <v>313</v>
      </c>
      <c r="BD142" s="10">
        <v>22</v>
      </c>
      <c r="BE142" s="15">
        <v>360</v>
      </c>
      <c r="BF142" s="11">
        <v>207</v>
      </c>
      <c r="BG142" s="10">
        <v>243</v>
      </c>
      <c r="BH142" s="15">
        <v>3370</v>
      </c>
      <c r="BI142" s="11">
        <v>2462.4</v>
      </c>
      <c r="BJ142" s="10">
        <v>20</v>
      </c>
      <c r="BK142" s="15">
        <v>240</v>
      </c>
      <c r="BL142" s="11">
        <v>240</v>
      </c>
      <c r="BM142" s="46">
        <v>55</v>
      </c>
      <c r="BN142" s="43">
        <v>720</v>
      </c>
      <c r="BO142" s="47">
        <v>568.79999999999995</v>
      </c>
      <c r="BP142" s="46">
        <v>0</v>
      </c>
      <c r="BQ142" s="43">
        <v>0</v>
      </c>
      <c r="BR142" s="47">
        <v>0</v>
      </c>
      <c r="BS142" s="46">
        <v>126</v>
      </c>
      <c r="BT142" s="43">
        <v>1930</v>
      </c>
      <c r="BU142" s="114">
        <v>1366.2</v>
      </c>
      <c r="BV142" s="119">
        <v>11</v>
      </c>
      <c r="BW142" s="120">
        <v>152</v>
      </c>
      <c r="BX142" s="114">
        <v>97.76</v>
      </c>
      <c r="BY142" s="119">
        <v>43</v>
      </c>
      <c r="BZ142" s="120">
        <v>572</v>
      </c>
      <c r="CA142" s="114">
        <v>430.88</v>
      </c>
      <c r="CB142" s="119">
        <v>46.5</v>
      </c>
      <c r="CC142" s="120">
        <v>618</v>
      </c>
      <c r="CD142" s="114">
        <v>466.8</v>
      </c>
      <c r="CE142" s="119">
        <v>43</v>
      </c>
      <c r="CF142" s="120">
        <v>602</v>
      </c>
      <c r="CG142" s="114">
        <v>385.28</v>
      </c>
      <c r="CH142" s="119">
        <v>93</v>
      </c>
      <c r="CI142" s="120">
        <v>1272</v>
      </c>
      <c r="CJ142" s="114">
        <v>878.88000000000011</v>
      </c>
      <c r="CK142" s="54">
        <f t="shared" si="30"/>
        <v>737.5</v>
      </c>
      <c r="CL142" s="63">
        <f t="shared" si="31"/>
        <v>10326</v>
      </c>
      <c r="CM142" s="55">
        <f t="shared" si="32"/>
        <v>7417</v>
      </c>
      <c r="CN142" s="54">
        <f t="shared" si="33"/>
        <v>61.458333333333336</v>
      </c>
      <c r="CO142" s="63">
        <f t="shared" si="34"/>
        <v>860.5</v>
      </c>
      <c r="CP142" s="172">
        <f t="shared" si="35"/>
        <v>618.08333333333337</v>
      </c>
      <c r="CQ142" s="158">
        <v>63</v>
      </c>
      <c r="CR142" s="159">
        <v>852</v>
      </c>
      <c r="CS142" s="179">
        <v>610.07999999999993</v>
      </c>
      <c r="CT142" s="27">
        <v>132</v>
      </c>
      <c r="CU142" s="58">
        <v>2056</v>
      </c>
      <c r="CV142" s="12">
        <v>1373.8400000000001</v>
      </c>
      <c r="CW142" s="27"/>
      <c r="CX142" s="58"/>
      <c r="CY142" s="98"/>
      <c r="CZ142" s="27"/>
      <c r="DA142" s="58"/>
      <c r="DB142" s="12"/>
      <c r="DC142" s="27"/>
      <c r="DD142" s="58"/>
      <c r="DE142" s="12"/>
      <c r="DF142" s="27"/>
      <c r="DG142" s="58"/>
      <c r="DH142" s="12"/>
      <c r="DI142" s="27"/>
      <c r="DJ142" s="58"/>
      <c r="DK142" s="107"/>
      <c r="DL142" s="27"/>
      <c r="DM142" s="58"/>
      <c r="DN142" s="107"/>
      <c r="DO142" s="27"/>
      <c r="DP142" s="58"/>
      <c r="DQ142" s="107"/>
      <c r="DR142" s="27"/>
      <c r="DS142" s="58"/>
      <c r="DT142" s="107"/>
      <c r="DU142" s="27"/>
      <c r="DV142" s="58"/>
      <c r="DW142" s="107"/>
      <c r="DX142" s="27"/>
      <c r="DY142" s="58"/>
      <c r="DZ142" s="107"/>
    </row>
    <row r="143" spans="1:130" s="25" customFormat="1" ht="31.5" customHeight="1" x14ac:dyDescent="0.6">
      <c r="A143" s="5">
        <v>140</v>
      </c>
      <c r="B143" s="18" t="s">
        <v>1155</v>
      </c>
      <c r="C143" s="18"/>
      <c r="D143" s="18"/>
      <c r="E143" s="23"/>
      <c r="F143" s="7"/>
      <c r="G143" s="123"/>
      <c r="H143" s="123"/>
      <c r="I143" s="123"/>
      <c r="J143" s="49"/>
      <c r="K143" s="27"/>
      <c r="L143" s="58"/>
      <c r="M143" s="78"/>
      <c r="N143" s="27"/>
      <c r="O143" s="58"/>
      <c r="P143" s="49"/>
      <c r="Q143" s="27"/>
      <c r="R143" s="58"/>
      <c r="S143" s="98"/>
      <c r="T143" s="27"/>
      <c r="U143" s="58"/>
      <c r="V143" s="12"/>
      <c r="W143" s="27"/>
      <c r="X143" s="58"/>
      <c r="Y143" s="12"/>
      <c r="Z143" s="27"/>
      <c r="AA143" s="58"/>
      <c r="AB143" s="12"/>
      <c r="AC143" s="27"/>
      <c r="AD143" s="58"/>
      <c r="AE143" s="107"/>
      <c r="AF143" s="27"/>
      <c r="AG143" s="58"/>
      <c r="AH143" s="107"/>
      <c r="AI143" s="27"/>
      <c r="AJ143" s="58"/>
      <c r="AK143" s="107"/>
      <c r="AL143" s="27"/>
      <c r="AM143" s="58"/>
      <c r="AN143" s="107"/>
      <c r="AO143" s="27"/>
      <c r="AP143" s="58"/>
      <c r="AQ143" s="12"/>
      <c r="AR143" s="27"/>
      <c r="AS143" s="58"/>
      <c r="AT143" s="12"/>
      <c r="AU143" s="54"/>
      <c r="AV143" s="63"/>
      <c r="AW143" s="55"/>
      <c r="AX143" s="54"/>
      <c r="AY143" s="63"/>
      <c r="AZ143" s="55"/>
      <c r="BA143" s="10"/>
      <c r="BB143" s="15"/>
      <c r="BC143" s="11"/>
      <c r="BD143" s="10"/>
      <c r="BE143" s="15"/>
      <c r="BF143" s="11"/>
      <c r="BG143" s="10"/>
      <c r="BH143" s="15"/>
      <c r="BI143" s="11"/>
      <c r="BJ143" s="10"/>
      <c r="BK143" s="15"/>
      <c r="BL143" s="11"/>
      <c r="BM143" s="46"/>
      <c r="BN143" s="43"/>
      <c r="BO143" s="47"/>
      <c r="BP143" s="46"/>
      <c r="BQ143" s="43"/>
      <c r="BR143" s="47"/>
      <c r="BS143" s="46"/>
      <c r="BT143" s="43"/>
      <c r="BU143" s="114"/>
      <c r="BV143" s="119"/>
      <c r="BW143" s="120"/>
      <c r="BX143" s="114"/>
      <c r="BY143" s="119"/>
      <c r="BZ143" s="120"/>
      <c r="CA143" s="114"/>
      <c r="CB143" s="119"/>
      <c r="CC143" s="120"/>
      <c r="CD143" s="114"/>
      <c r="CE143" s="119"/>
      <c r="CF143" s="120"/>
      <c r="CG143" s="114"/>
      <c r="CH143" s="119"/>
      <c r="CI143" s="120"/>
      <c r="CJ143" s="114"/>
      <c r="CK143" s="54"/>
      <c r="CL143" s="63"/>
      <c r="CM143" s="55"/>
      <c r="CN143" s="54"/>
      <c r="CO143" s="63"/>
      <c r="CP143" s="172"/>
      <c r="CQ143" s="158">
        <v>12</v>
      </c>
      <c r="CR143" s="159">
        <v>144</v>
      </c>
      <c r="CS143" s="179">
        <v>144</v>
      </c>
      <c r="CT143" s="27">
        <v>144</v>
      </c>
      <c r="CU143" s="58">
        <v>2158</v>
      </c>
      <c r="CV143" s="12">
        <v>1585.12</v>
      </c>
      <c r="CW143" s="27"/>
      <c r="CX143" s="58"/>
      <c r="CY143" s="98"/>
      <c r="CZ143" s="27"/>
      <c r="DA143" s="58"/>
      <c r="DB143" s="12"/>
      <c r="DC143" s="27"/>
      <c r="DD143" s="58"/>
      <c r="DE143" s="12"/>
      <c r="DF143" s="27"/>
      <c r="DG143" s="58"/>
      <c r="DH143" s="12"/>
      <c r="DI143" s="27"/>
      <c r="DJ143" s="58"/>
      <c r="DK143" s="107"/>
      <c r="DL143" s="27"/>
      <c r="DM143" s="58"/>
      <c r="DN143" s="107"/>
      <c r="DO143" s="27"/>
      <c r="DP143" s="58"/>
      <c r="DQ143" s="107"/>
      <c r="DR143" s="27"/>
      <c r="DS143" s="58"/>
      <c r="DT143" s="107"/>
      <c r="DU143" s="27"/>
      <c r="DV143" s="58"/>
      <c r="DW143" s="107"/>
      <c r="DX143" s="27"/>
      <c r="DY143" s="58"/>
      <c r="DZ143" s="107"/>
    </row>
    <row r="144" spans="1:130" s="25" customFormat="1" ht="31.5" customHeight="1" x14ac:dyDescent="0.6">
      <c r="A144" s="5">
        <v>141</v>
      </c>
      <c r="B144" s="18" t="s">
        <v>410</v>
      </c>
      <c r="C144" s="18" t="s">
        <v>411</v>
      </c>
      <c r="D144" s="18" t="s">
        <v>363</v>
      </c>
      <c r="E144" s="23" t="s">
        <v>79</v>
      </c>
      <c r="F144" s="7" t="s">
        <v>406</v>
      </c>
      <c r="G144" s="123"/>
      <c r="H144" s="123"/>
      <c r="I144" s="123" t="s">
        <v>1015</v>
      </c>
      <c r="J144" s="49" t="s">
        <v>407</v>
      </c>
      <c r="K144" s="27"/>
      <c r="L144" s="58"/>
      <c r="M144" s="78"/>
      <c r="N144" s="27"/>
      <c r="O144" s="58"/>
      <c r="P144" s="49"/>
      <c r="Q144" s="27"/>
      <c r="R144" s="58"/>
      <c r="S144" s="98"/>
      <c r="T144" s="27"/>
      <c r="U144" s="58"/>
      <c r="V144" s="12"/>
      <c r="W144" s="27"/>
      <c r="X144" s="58"/>
      <c r="Y144" s="12"/>
      <c r="Z144" s="27"/>
      <c r="AA144" s="58"/>
      <c r="AB144" s="12"/>
      <c r="AC144" s="27">
        <v>8</v>
      </c>
      <c r="AD144" s="58">
        <v>180</v>
      </c>
      <c r="AE144" s="107"/>
      <c r="AF144" s="27">
        <v>7</v>
      </c>
      <c r="AG144" s="58">
        <v>140</v>
      </c>
      <c r="AH144" s="107"/>
      <c r="AI144" s="27">
        <v>21</v>
      </c>
      <c r="AJ144" s="58">
        <v>336</v>
      </c>
      <c r="AK144" s="107"/>
      <c r="AL144" s="27">
        <v>15</v>
      </c>
      <c r="AM144" s="58">
        <v>180</v>
      </c>
      <c r="AN144" s="107"/>
      <c r="AO144" s="27">
        <v>37</v>
      </c>
      <c r="AP144" s="58">
        <v>444</v>
      </c>
      <c r="AQ144" s="12"/>
      <c r="AR144" s="27">
        <v>30</v>
      </c>
      <c r="AS144" s="58">
        <v>360</v>
      </c>
      <c r="AT144" s="12"/>
      <c r="AU144" s="54"/>
      <c r="AV144" s="63"/>
      <c r="AW144" s="55"/>
      <c r="AX144" s="54"/>
      <c r="AY144" s="63"/>
      <c r="AZ144" s="55"/>
      <c r="BA144" s="10">
        <v>15</v>
      </c>
      <c r="BB144" s="15">
        <v>180</v>
      </c>
      <c r="BC144" s="11">
        <v>180</v>
      </c>
      <c r="BD144" s="10">
        <v>50</v>
      </c>
      <c r="BE144" s="15">
        <v>640</v>
      </c>
      <c r="BF144" s="11">
        <v>539</v>
      </c>
      <c r="BG144" s="10">
        <v>79</v>
      </c>
      <c r="BH144" s="15">
        <v>1240</v>
      </c>
      <c r="BI144" s="11">
        <v>905.2</v>
      </c>
      <c r="BJ144" s="10">
        <v>109</v>
      </c>
      <c r="BK144" s="15">
        <v>1588</v>
      </c>
      <c r="BL144" s="11">
        <v>1304</v>
      </c>
      <c r="BM144" s="46">
        <v>75</v>
      </c>
      <c r="BN144" s="43">
        <v>962</v>
      </c>
      <c r="BO144" s="47">
        <v>805.76</v>
      </c>
      <c r="BP144" s="46">
        <v>20</v>
      </c>
      <c r="BQ144" s="43">
        <v>380</v>
      </c>
      <c r="BR144" s="47">
        <v>250</v>
      </c>
      <c r="BS144" s="46">
        <v>49</v>
      </c>
      <c r="BT144" s="43">
        <v>730</v>
      </c>
      <c r="BU144" s="114">
        <v>550.4</v>
      </c>
      <c r="BV144" s="119">
        <v>15.3</v>
      </c>
      <c r="BW144" s="120">
        <v>323</v>
      </c>
      <c r="BX144" s="114">
        <v>192.04</v>
      </c>
      <c r="BY144" s="119">
        <v>15</v>
      </c>
      <c r="BZ144" s="120">
        <v>180</v>
      </c>
      <c r="CA144" s="114">
        <v>180</v>
      </c>
      <c r="CB144" s="119">
        <v>20</v>
      </c>
      <c r="CC144" s="120">
        <v>300</v>
      </c>
      <c r="CD144" s="114">
        <v>233.12</v>
      </c>
      <c r="CE144" s="119">
        <v>23</v>
      </c>
      <c r="CF144" s="120">
        <v>388</v>
      </c>
      <c r="CG144" s="114">
        <v>284</v>
      </c>
      <c r="CH144" s="119">
        <v>22</v>
      </c>
      <c r="CI144" s="120">
        <v>330</v>
      </c>
      <c r="CJ144" s="114">
        <v>252.8</v>
      </c>
      <c r="CK144" s="54">
        <f t="shared" si="30"/>
        <v>492.3</v>
      </c>
      <c r="CL144" s="63">
        <f t="shared" si="31"/>
        <v>7241</v>
      </c>
      <c r="CM144" s="55">
        <f t="shared" si="32"/>
        <v>5676.32</v>
      </c>
      <c r="CN144" s="54">
        <f t="shared" si="33"/>
        <v>41.024999999999999</v>
      </c>
      <c r="CO144" s="63">
        <f t="shared" si="34"/>
        <v>603.41666666666663</v>
      </c>
      <c r="CP144" s="172">
        <f t="shared" si="35"/>
        <v>473.02666666666664</v>
      </c>
      <c r="CQ144" s="158">
        <v>0</v>
      </c>
      <c r="CR144" s="159">
        <v>0</v>
      </c>
      <c r="CS144" s="179">
        <v>0</v>
      </c>
      <c r="CT144" s="27">
        <v>8</v>
      </c>
      <c r="CU144" s="58">
        <v>96</v>
      </c>
      <c r="CV144" s="107">
        <v>96</v>
      </c>
      <c r="CW144" s="27"/>
      <c r="CX144" s="58"/>
      <c r="CY144" s="98"/>
      <c r="CZ144" s="27"/>
      <c r="DA144" s="58"/>
      <c r="DB144" s="12"/>
      <c r="DC144" s="27"/>
      <c r="DD144" s="58"/>
      <c r="DE144" s="12"/>
      <c r="DF144" s="27"/>
      <c r="DG144" s="58"/>
      <c r="DH144" s="12"/>
      <c r="DI144" s="27"/>
      <c r="DJ144" s="58"/>
      <c r="DK144" s="107"/>
      <c r="DL144" s="27"/>
      <c r="DM144" s="58"/>
      <c r="DN144" s="107"/>
      <c r="DO144" s="27"/>
      <c r="DP144" s="58"/>
      <c r="DQ144" s="107"/>
      <c r="DR144" s="27"/>
      <c r="DS144" s="58"/>
      <c r="DT144" s="107"/>
      <c r="DU144" s="27"/>
      <c r="DV144" s="58"/>
      <c r="DW144" s="107"/>
      <c r="DX144" s="27"/>
      <c r="DY144" s="58"/>
      <c r="DZ144" s="107"/>
    </row>
    <row r="145" spans="1:130" s="25" customFormat="1" ht="31.5" customHeight="1" x14ac:dyDescent="0.6">
      <c r="A145" s="5">
        <v>142</v>
      </c>
      <c r="B145" s="18" t="s">
        <v>412</v>
      </c>
      <c r="C145" s="18" t="s">
        <v>413</v>
      </c>
      <c r="D145" s="18" t="s">
        <v>82</v>
      </c>
      <c r="E145" s="23" t="s">
        <v>414</v>
      </c>
      <c r="F145" s="7" t="s">
        <v>406</v>
      </c>
      <c r="G145" s="123"/>
      <c r="H145" s="123"/>
      <c r="I145" s="123" t="s">
        <v>1016</v>
      </c>
      <c r="J145" s="49" t="s">
        <v>407</v>
      </c>
      <c r="K145" s="27"/>
      <c r="L145" s="58"/>
      <c r="M145" s="78"/>
      <c r="N145" s="27"/>
      <c r="O145" s="58"/>
      <c r="P145" s="49"/>
      <c r="Q145" s="27"/>
      <c r="R145" s="58"/>
      <c r="S145" s="98"/>
      <c r="T145" s="27"/>
      <c r="U145" s="58"/>
      <c r="V145" s="12"/>
      <c r="W145" s="27"/>
      <c r="X145" s="58"/>
      <c r="Y145" s="12"/>
      <c r="Z145" s="27"/>
      <c r="AA145" s="58"/>
      <c r="AB145" s="12"/>
      <c r="AC145" s="27">
        <v>15</v>
      </c>
      <c r="AD145" s="58">
        <v>320</v>
      </c>
      <c r="AE145" s="107"/>
      <c r="AF145" s="27">
        <v>0</v>
      </c>
      <c r="AG145" s="58">
        <v>0</v>
      </c>
      <c r="AH145" s="107"/>
      <c r="AI145" s="27">
        <v>46</v>
      </c>
      <c r="AJ145" s="58">
        <v>664</v>
      </c>
      <c r="AK145" s="107"/>
      <c r="AL145" s="27">
        <v>25</v>
      </c>
      <c r="AM145" s="58">
        <v>580</v>
      </c>
      <c r="AN145" s="107"/>
      <c r="AO145" s="27">
        <v>30</v>
      </c>
      <c r="AP145" s="58">
        <v>360</v>
      </c>
      <c r="AQ145" s="12"/>
      <c r="AR145" s="27">
        <v>50</v>
      </c>
      <c r="AS145" s="58">
        <v>1040</v>
      </c>
      <c r="AT145" s="12"/>
      <c r="AU145" s="54"/>
      <c r="AV145" s="63"/>
      <c r="AW145" s="55"/>
      <c r="AX145" s="54"/>
      <c r="AY145" s="63"/>
      <c r="AZ145" s="55"/>
      <c r="BA145" s="10">
        <v>30</v>
      </c>
      <c r="BB145" s="15">
        <v>380</v>
      </c>
      <c r="BC145" s="11">
        <v>330</v>
      </c>
      <c r="BD145" s="10">
        <v>23</v>
      </c>
      <c r="BE145" s="15">
        <v>292</v>
      </c>
      <c r="BF145" s="11">
        <v>251.6</v>
      </c>
      <c r="BG145" s="10">
        <v>60</v>
      </c>
      <c r="BH145" s="15">
        <v>720</v>
      </c>
      <c r="BI145" s="11">
        <v>720</v>
      </c>
      <c r="BJ145" s="10">
        <v>72</v>
      </c>
      <c r="BK145" s="15">
        <v>1004</v>
      </c>
      <c r="BL145" s="11">
        <v>768.4</v>
      </c>
      <c r="BM145" s="46">
        <v>30</v>
      </c>
      <c r="BN145" s="43">
        <v>360</v>
      </c>
      <c r="BO145" s="47">
        <v>360</v>
      </c>
      <c r="BP145" s="46">
        <v>0</v>
      </c>
      <c r="BQ145" s="43">
        <v>0</v>
      </c>
      <c r="BR145" s="47">
        <v>0</v>
      </c>
      <c r="BS145" s="46">
        <v>0</v>
      </c>
      <c r="BT145" s="43">
        <v>0</v>
      </c>
      <c r="BU145" s="114">
        <v>0</v>
      </c>
      <c r="BV145" s="119">
        <v>0</v>
      </c>
      <c r="BW145" s="120">
        <v>0</v>
      </c>
      <c r="BX145" s="114">
        <v>0</v>
      </c>
      <c r="BY145" s="119">
        <v>0</v>
      </c>
      <c r="BZ145" s="120">
        <v>0</v>
      </c>
      <c r="CA145" s="114">
        <v>0</v>
      </c>
      <c r="CB145" s="119">
        <v>0</v>
      </c>
      <c r="CC145" s="120">
        <v>0</v>
      </c>
      <c r="CD145" s="114">
        <v>0</v>
      </c>
      <c r="CE145" s="119">
        <v>0</v>
      </c>
      <c r="CF145" s="120">
        <v>0</v>
      </c>
      <c r="CG145" s="114">
        <v>0</v>
      </c>
      <c r="CH145" s="119">
        <v>0</v>
      </c>
      <c r="CI145" s="120">
        <v>0</v>
      </c>
      <c r="CJ145" s="114">
        <v>0</v>
      </c>
      <c r="CK145" s="54">
        <f t="shared" si="30"/>
        <v>215</v>
      </c>
      <c r="CL145" s="63">
        <f t="shared" si="31"/>
        <v>2756</v>
      </c>
      <c r="CM145" s="55">
        <f t="shared" si="32"/>
        <v>2430</v>
      </c>
      <c r="CN145" s="54">
        <f t="shared" si="33"/>
        <v>17.916666666666668</v>
      </c>
      <c r="CO145" s="63">
        <f t="shared" si="34"/>
        <v>229.66666666666666</v>
      </c>
      <c r="CP145" s="172">
        <f t="shared" si="35"/>
        <v>202.5</v>
      </c>
      <c r="CQ145" s="158">
        <v>0</v>
      </c>
      <c r="CR145" s="159">
        <v>0</v>
      </c>
      <c r="CS145" s="179">
        <v>0</v>
      </c>
      <c r="CT145" s="27">
        <v>0</v>
      </c>
      <c r="CU145" s="58">
        <v>0</v>
      </c>
      <c r="CV145" s="107">
        <v>0</v>
      </c>
      <c r="CW145" s="27"/>
      <c r="CX145" s="58"/>
      <c r="CY145" s="98"/>
      <c r="CZ145" s="27"/>
      <c r="DA145" s="58"/>
      <c r="DB145" s="12"/>
      <c r="DC145" s="27"/>
      <c r="DD145" s="58"/>
      <c r="DE145" s="12"/>
      <c r="DF145" s="27"/>
      <c r="DG145" s="58"/>
      <c r="DH145" s="12"/>
      <c r="DI145" s="27"/>
      <c r="DJ145" s="58"/>
      <c r="DK145" s="107"/>
      <c r="DL145" s="27"/>
      <c r="DM145" s="58"/>
      <c r="DN145" s="107"/>
      <c r="DO145" s="27"/>
      <c r="DP145" s="58"/>
      <c r="DQ145" s="107"/>
      <c r="DR145" s="27"/>
      <c r="DS145" s="58"/>
      <c r="DT145" s="107"/>
      <c r="DU145" s="27"/>
      <c r="DV145" s="58"/>
      <c r="DW145" s="107"/>
      <c r="DX145" s="27"/>
      <c r="DY145" s="58"/>
      <c r="DZ145" s="107"/>
    </row>
    <row r="146" spans="1:130" s="25" customFormat="1" ht="31.5" customHeight="1" x14ac:dyDescent="0.6">
      <c r="A146" s="5">
        <v>143</v>
      </c>
      <c r="B146" s="18" t="s">
        <v>415</v>
      </c>
      <c r="C146" s="18" t="s">
        <v>416</v>
      </c>
      <c r="D146" s="18" t="s">
        <v>82</v>
      </c>
      <c r="E146" s="23" t="s">
        <v>414</v>
      </c>
      <c r="F146" s="7" t="s">
        <v>406</v>
      </c>
      <c r="G146" s="123"/>
      <c r="H146" s="123"/>
      <c r="I146" s="123" t="s">
        <v>1017</v>
      </c>
      <c r="J146" s="49" t="s">
        <v>407</v>
      </c>
      <c r="K146" s="27"/>
      <c r="L146" s="58"/>
      <c r="M146" s="78"/>
      <c r="N146" s="27"/>
      <c r="O146" s="58"/>
      <c r="P146" s="49"/>
      <c r="Q146" s="27"/>
      <c r="R146" s="58"/>
      <c r="S146" s="98"/>
      <c r="T146" s="27"/>
      <c r="U146" s="58"/>
      <c r="V146" s="12"/>
      <c r="W146" s="27"/>
      <c r="X146" s="58"/>
      <c r="Y146" s="12"/>
      <c r="Z146" s="27"/>
      <c r="AA146" s="58"/>
      <c r="AB146" s="12"/>
      <c r="AC146" s="27">
        <v>0</v>
      </c>
      <c r="AD146" s="58">
        <v>0</v>
      </c>
      <c r="AE146" s="107"/>
      <c r="AF146" s="27">
        <v>30</v>
      </c>
      <c r="AG146" s="58">
        <v>360</v>
      </c>
      <c r="AH146" s="107"/>
      <c r="AI146" s="27">
        <v>90</v>
      </c>
      <c r="AJ146" s="58">
        <v>1080</v>
      </c>
      <c r="AK146" s="107"/>
      <c r="AL146" s="27">
        <v>60</v>
      </c>
      <c r="AM146" s="58">
        <v>720</v>
      </c>
      <c r="AN146" s="107"/>
      <c r="AO146" s="27">
        <v>49</v>
      </c>
      <c r="AP146" s="58">
        <v>700</v>
      </c>
      <c r="AQ146" s="12"/>
      <c r="AR146" s="27">
        <v>45</v>
      </c>
      <c r="AS146" s="58">
        <v>540</v>
      </c>
      <c r="AT146" s="12"/>
      <c r="AU146" s="54"/>
      <c r="AV146" s="63"/>
      <c r="AW146" s="55"/>
      <c r="AX146" s="54"/>
      <c r="AY146" s="63"/>
      <c r="AZ146" s="55"/>
      <c r="BA146" s="10">
        <v>33</v>
      </c>
      <c r="BB146" s="15">
        <v>396</v>
      </c>
      <c r="BC146" s="11">
        <v>396</v>
      </c>
      <c r="BD146" s="10">
        <v>30</v>
      </c>
      <c r="BE146" s="15">
        <v>360</v>
      </c>
      <c r="BF146" s="11">
        <v>360</v>
      </c>
      <c r="BG146" s="10">
        <v>33</v>
      </c>
      <c r="BH146" s="15">
        <v>398</v>
      </c>
      <c r="BI146" s="11">
        <v>383</v>
      </c>
      <c r="BJ146" s="10">
        <v>95</v>
      </c>
      <c r="BK146" s="15">
        <v>1140</v>
      </c>
      <c r="BL146" s="11">
        <v>1140</v>
      </c>
      <c r="BM146" s="46">
        <v>65</v>
      </c>
      <c r="BN146" s="43">
        <v>780</v>
      </c>
      <c r="BO146" s="47">
        <v>780</v>
      </c>
      <c r="BP146" s="46">
        <v>15</v>
      </c>
      <c r="BQ146" s="43">
        <v>180</v>
      </c>
      <c r="BR146" s="47">
        <v>180</v>
      </c>
      <c r="BS146" s="46">
        <v>45</v>
      </c>
      <c r="BT146" s="43">
        <v>540</v>
      </c>
      <c r="BU146" s="114">
        <v>540</v>
      </c>
      <c r="BV146" s="119">
        <v>15</v>
      </c>
      <c r="BW146" s="120">
        <v>181</v>
      </c>
      <c r="BX146" s="114">
        <v>180.68</v>
      </c>
      <c r="BY146" s="119">
        <v>56</v>
      </c>
      <c r="BZ146" s="120">
        <v>772</v>
      </c>
      <c r="CA146" s="114">
        <v>653.68000000000006</v>
      </c>
      <c r="CB146" s="119">
        <v>62</v>
      </c>
      <c r="CC146" s="120">
        <v>856</v>
      </c>
      <c r="CD146" s="114">
        <v>662.88</v>
      </c>
      <c r="CE146" s="119">
        <v>60</v>
      </c>
      <c r="CF146" s="120">
        <v>720</v>
      </c>
      <c r="CG146" s="114">
        <v>720</v>
      </c>
      <c r="CH146" s="119">
        <v>4</v>
      </c>
      <c r="CI146" s="120">
        <v>160</v>
      </c>
      <c r="CJ146" s="114">
        <v>56</v>
      </c>
      <c r="CK146" s="54">
        <f t="shared" si="30"/>
        <v>513</v>
      </c>
      <c r="CL146" s="63">
        <f t="shared" si="31"/>
        <v>6483</v>
      </c>
      <c r="CM146" s="55">
        <f t="shared" si="32"/>
        <v>6052.24</v>
      </c>
      <c r="CN146" s="54">
        <f t="shared" si="33"/>
        <v>42.75</v>
      </c>
      <c r="CO146" s="63">
        <f t="shared" si="34"/>
        <v>540.25</v>
      </c>
      <c r="CP146" s="172">
        <f t="shared" si="35"/>
        <v>504.3533333333333</v>
      </c>
      <c r="CQ146" s="158">
        <v>45</v>
      </c>
      <c r="CR146" s="159">
        <v>540</v>
      </c>
      <c r="CS146" s="179">
        <v>540</v>
      </c>
      <c r="CT146" s="27">
        <v>50</v>
      </c>
      <c r="CU146" s="58">
        <v>740</v>
      </c>
      <c r="CV146" s="107">
        <v>610</v>
      </c>
      <c r="CW146" s="27"/>
      <c r="CX146" s="58"/>
      <c r="CY146" s="98"/>
      <c r="CZ146" s="27"/>
      <c r="DA146" s="58"/>
      <c r="DB146" s="12"/>
      <c r="DC146" s="27"/>
      <c r="DD146" s="58"/>
      <c r="DE146" s="107"/>
      <c r="DF146" s="27"/>
      <c r="DG146" s="58"/>
      <c r="DH146" s="107"/>
      <c r="DI146" s="27"/>
      <c r="DJ146" s="58"/>
      <c r="DK146" s="107"/>
      <c r="DL146" s="27"/>
      <c r="DM146" s="58"/>
      <c r="DN146" s="107"/>
      <c r="DO146" s="27"/>
      <c r="DP146" s="58"/>
      <c r="DQ146" s="107"/>
      <c r="DR146" s="27"/>
      <c r="DS146" s="58"/>
      <c r="DT146" s="107"/>
      <c r="DU146" s="27"/>
      <c r="DV146" s="58"/>
      <c r="DW146" s="107"/>
      <c r="DX146" s="27"/>
      <c r="DY146" s="58"/>
      <c r="DZ146" s="107"/>
    </row>
    <row r="147" spans="1:130" s="25" customFormat="1" ht="31.5" customHeight="1" x14ac:dyDescent="0.6">
      <c r="A147" s="5">
        <v>144</v>
      </c>
      <c r="B147" s="18" t="s">
        <v>417</v>
      </c>
      <c r="C147" s="18" t="s">
        <v>418</v>
      </c>
      <c r="D147" s="18" t="s">
        <v>82</v>
      </c>
      <c r="E147" s="23" t="s">
        <v>414</v>
      </c>
      <c r="F147" s="7" t="s">
        <v>406</v>
      </c>
      <c r="G147" s="123"/>
      <c r="H147" s="123"/>
      <c r="I147" s="123" t="s">
        <v>1018</v>
      </c>
      <c r="J147" s="49" t="s">
        <v>407</v>
      </c>
      <c r="K147" s="27"/>
      <c r="L147" s="58"/>
      <c r="M147" s="78"/>
      <c r="N147" s="27"/>
      <c r="O147" s="58"/>
      <c r="P147" s="49"/>
      <c r="Q147" s="27"/>
      <c r="R147" s="58"/>
      <c r="S147" s="98"/>
      <c r="T147" s="27"/>
      <c r="U147" s="58"/>
      <c r="V147" s="12"/>
      <c r="W147" s="27"/>
      <c r="X147" s="58"/>
      <c r="Y147" s="12"/>
      <c r="Z147" s="27"/>
      <c r="AA147" s="58"/>
      <c r="AB147" s="12"/>
      <c r="AC147" s="27">
        <v>6</v>
      </c>
      <c r="AD147" s="58">
        <v>72</v>
      </c>
      <c r="AE147" s="107"/>
      <c r="AF147" s="27">
        <v>10</v>
      </c>
      <c r="AG147" s="58">
        <v>120</v>
      </c>
      <c r="AH147" s="107"/>
      <c r="AI147" s="27">
        <v>30</v>
      </c>
      <c r="AJ147" s="58">
        <v>360</v>
      </c>
      <c r="AK147" s="107"/>
      <c r="AL147" s="27">
        <v>66</v>
      </c>
      <c r="AM147" s="58">
        <v>1240</v>
      </c>
      <c r="AN147" s="107"/>
      <c r="AO147" s="27">
        <v>30</v>
      </c>
      <c r="AP147" s="58">
        <v>360</v>
      </c>
      <c r="AQ147" s="12"/>
      <c r="AR147" s="27">
        <v>20</v>
      </c>
      <c r="AS147" s="58">
        <v>240</v>
      </c>
      <c r="AT147" s="12"/>
      <c r="AU147" s="54"/>
      <c r="AV147" s="63"/>
      <c r="AW147" s="55"/>
      <c r="AX147" s="54"/>
      <c r="AY147" s="63"/>
      <c r="AZ147" s="55"/>
      <c r="BA147" s="10">
        <v>15</v>
      </c>
      <c r="BB147" s="15">
        <v>180</v>
      </c>
      <c r="BC147" s="11">
        <v>180</v>
      </c>
      <c r="BD147" s="10">
        <v>0</v>
      </c>
      <c r="BE147" s="15">
        <v>0</v>
      </c>
      <c r="BF147" s="11">
        <v>0</v>
      </c>
      <c r="BG147" s="10">
        <v>4</v>
      </c>
      <c r="BH147" s="15">
        <v>76</v>
      </c>
      <c r="BI147" s="11">
        <v>50</v>
      </c>
      <c r="BJ147" s="10">
        <v>65</v>
      </c>
      <c r="BK147" s="15">
        <v>1100</v>
      </c>
      <c r="BL147" s="11">
        <v>739</v>
      </c>
      <c r="BM147" s="46">
        <v>35</v>
      </c>
      <c r="BN147" s="43">
        <v>560</v>
      </c>
      <c r="BO147" s="47">
        <v>430</v>
      </c>
      <c r="BP147" s="46">
        <v>36</v>
      </c>
      <c r="BQ147" s="43">
        <v>444</v>
      </c>
      <c r="BR147" s="47">
        <v>413.76</v>
      </c>
      <c r="BS147" s="46">
        <v>0</v>
      </c>
      <c r="BT147" s="43">
        <v>12</v>
      </c>
      <c r="BU147" s="114">
        <v>4</v>
      </c>
      <c r="BV147" s="119">
        <v>0</v>
      </c>
      <c r="BW147" s="120">
        <v>1</v>
      </c>
      <c r="BX147" s="114">
        <v>0.68</v>
      </c>
      <c r="BY147" s="119">
        <v>65</v>
      </c>
      <c r="BZ147" s="120">
        <v>976</v>
      </c>
      <c r="CA147" s="114">
        <v>794</v>
      </c>
      <c r="CB147" s="119">
        <v>39</v>
      </c>
      <c r="CC147" s="120">
        <v>580</v>
      </c>
      <c r="CD147" s="114">
        <v>476</v>
      </c>
      <c r="CE147" s="119">
        <v>47</v>
      </c>
      <c r="CF147" s="120">
        <v>650</v>
      </c>
      <c r="CG147" s="114">
        <v>522.4</v>
      </c>
      <c r="CH147" s="119">
        <v>44</v>
      </c>
      <c r="CI147" s="120">
        <v>684</v>
      </c>
      <c r="CJ147" s="114">
        <v>508.88</v>
      </c>
      <c r="CK147" s="54">
        <f t="shared" si="30"/>
        <v>350</v>
      </c>
      <c r="CL147" s="63">
        <f t="shared" si="31"/>
        <v>5263</v>
      </c>
      <c r="CM147" s="55">
        <f t="shared" si="32"/>
        <v>4118.72</v>
      </c>
      <c r="CN147" s="54">
        <f t="shared" si="33"/>
        <v>29.166666666666668</v>
      </c>
      <c r="CO147" s="63">
        <f t="shared" si="34"/>
        <v>438.58333333333331</v>
      </c>
      <c r="CP147" s="172">
        <f t="shared" si="35"/>
        <v>343.22666666666669</v>
      </c>
      <c r="CQ147" s="158">
        <v>30</v>
      </c>
      <c r="CR147" s="159">
        <v>360</v>
      </c>
      <c r="CS147" s="179">
        <v>360</v>
      </c>
      <c r="CT147" s="27">
        <v>65</v>
      </c>
      <c r="CU147" s="58">
        <v>820</v>
      </c>
      <c r="CV147" s="107">
        <v>695.2</v>
      </c>
      <c r="CW147" s="27"/>
      <c r="CX147" s="58"/>
      <c r="CY147" s="98"/>
      <c r="CZ147" s="27"/>
      <c r="DA147" s="58"/>
      <c r="DB147" s="12"/>
      <c r="DC147" s="27"/>
      <c r="DD147" s="58"/>
      <c r="DE147" s="12"/>
      <c r="DF147" s="27"/>
      <c r="DG147" s="58"/>
      <c r="DH147" s="12"/>
      <c r="DI147" s="27"/>
      <c r="DJ147" s="58"/>
      <c r="DK147" s="107"/>
      <c r="DL147" s="27"/>
      <c r="DM147" s="58"/>
      <c r="DN147" s="107"/>
      <c r="DO147" s="27"/>
      <c r="DP147" s="58"/>
      <c r="DQ147" s="107"/>
      <c r="DR147" s="27"/>
      <c r="DS147" s="58"/>
      <c r="DT147" s="107"/>
      <c r="DU147" s="27"/>
      <c r="DV147" s="58"/>
      <c r="DW147" s="107"/>
      <c r="DX147" s="27"/>
      <c r="DY147" s="58"/>
      <c r="DZ147" s="107"/>
    </row>
    <row r="148" spans="1:130" s="25" customFormat="1" ht="31.5" customHeight="1" x14ac:dyDescent="0.6">
      <c r="A148" s="5">
        <v>145</v>
      </c>
      <c r="B148" s="18" t="s">
        <v>419</v>
      </c>
      <c r="C148" s="18" t="s">
        <v>420</v>
      </c>
      <c r="D148" s="18" t="s">
        <v>82</v>
      </c>
      <c r="E148" s="23" t="s">
        <v>414</v>
      </c>
      <c r="F148" s="7" t="s">
        <v>406</v>
      </c>
      <c r="G148" s="123"/>
      <c r="H148" s="123"/>
      <c r="I148" s="123" t="s">
        <v>1019</v>
      </c>
      <c r="J148" s="49" t="s">
        <v>407</v>
      </c>
      <c r="K148" s="27"/>
      <c r="L148" s="58"/>
      <c r="M148" s="78"/>
      <c r="N148" s="27"/>
      <c r="O148" s="58"/>
      <c r="P148" s="49"/>
      <c r="Q148" s="27"/>
      <c r="R148" s="58"/>
      <c r="S148" s="98"/>
      <c r="T148" s="27"/>
      <c r="U148" s="58"/>
      <c r="V148" s="12"/>
      <c r="W148" s="27"/>
      <c r="X148" s="58"/>
      <c r="Y148" s="12"/>
      <c r="Z148" s="27"/>
      <c r="AA148" s="58"/>
      <c r="AB148" s="12"/>
      <c r="AC148" s="27">
        <v>0</v>
      </c>
      <c r="AD148" s="58">
        <v>0</v>
      </c>
      <c r="AE148" s="107"/>
      <c r="AF148" s="27">
        <v>0</v>
      </c>
      <c r="AG148" s="58">
        <v>0</v>
      </c>
      <c r="AH148" s="107"/>
      <c r="AI148" s="27">
        <v>28</v>
      </c>
      <c r="AJ148" s="58">
        <v>364</v>
      </c>
      <c r="AK148" s="107"/>
      <c r="AL148" s="27">
        <v>56</v>
      </c>
      <c r="AM148" s="58">
        <v>700</v>
      </c>
      <c r="AN148" s="107"/>
      <c r="AO148" s="27">
        <v>45</v>
      </c>
      <c r="AP148" s="58">
        <v>680</v>
      </c>
      <c r="AQ148" s="12"/>
      <c r="AR148" s="27">
        <v>40</v>
      </c>
      <c r="AS148" s="58">
        <v>480</v>
      </c>
      <c r="AT148" s="12"/>
      <c r="AU148" s="54"/>
      <c r="AV148" s="63"/>
      <c r="AW148" s="55"/>
      <c r="AX148" s="54"/>
      <c r="AY148" s="63"/>
      <c r="AZ148" s="55"/>
      <c r="BA148" s="10">
        <v>15</v>
      </c>
      <c r="BB148" s="15">
        <v>180</v>
      </c>
      <c r="BC148" s="11">
        <v>180</v>
      </c>
      <c r="BD148" s="10">
        <v>0</v>
      </c>
      <c r="BE148" s="15">
        <v>0</v>
      </c>
      <c r="BF148" s="11">
        <v>0</v>
      </c>
      <c r="BG148" s="10">
        <v>30</v>
      </c>
      <c r="BH148" s="15">
        <v>360</v>
      </c>
      <c r="BI148" s="11">
        <v>360</v>
      </c>
      <c r="BJ148" s="10">
        <v>68</v>
      </c>
      <c r="BK148" s="15">
        <v>1286</v>
      </c>
      <c r="BL148" s="11">
        <v>770.6</v>
      </c>
      <c r="BM148" s="46">
        <v>80</v>
      </c>
      <c r="BN148" s="43">
        <v>1016</v>
      </c>
      <c r="BO148" s="47">
        <v>964</v>
      </c>
      <c r="BP148" s="46">
        <v>20</v>
      </c>
      <c r="BQ148" s="43">
        <v>240</v>
      </c>
      <c r="BR148" s="47">
        <v>240</v>
      </c>
      <c r="BS148" s="46">
        <v>46</v>
      </c>
      <c r="BT148" s="43">
        <v>664</v>
      </c>
      <c r="BU148" s="114">
        <v>560</v>
      </c>
      <c r="BV148" s="119">
        <v>30</v>
      </c>
      <c r="BW148" s="120">
        <v>360</v>
      </c>
      <c r="BX148" s="114">
        <v>360</v>
      </c>
      <c r="BY148" s="119">
        <v>15</v>
      </c>
      <c r="BZ148" s="120">
        <v>180</v>
      </c>
      <c r="CA148" s="114">
        <v>180</v>
      </c>
      <c r="CB148" s="119">
        <v>57.5</v>
      </c>
      <c r="CC148" s="120">
        <v>858</v>
      </c>
      <c r="CD148" s="114">
        <v>685.68000000000006</v>
      </c>
      <c r="CE148" s="119">
        <v>35</v>
      </c>
      <c r="CF148" s="120">
        <v>430</v>
      </c>
      <c r="CG148" s="114">
        <v>404.8</v>
      </c>
      <c r="CH148" s="119">
        <v>35</v>
      </c>
      <c r="CI148" s="120">
        <v>430</v>
      </c>
      <c r="CJ148" s="114">
        <v>404.8</v>
      </c>
      <c r="CK148" s="54">
        <f t="shared" si="30"/>
        <v>431.5</v>
      </c>
      <c r="CL148" s="63">
        <f t="shared" si="31"/>
        <v>6004</v>
      </c>
      <c r="CM148" s="55">
        <f t="shared" si="32"/>
        <v>5109.88</v>
      </c>
      <c r="CN148" s="54">
        <f t="shared" si="33"/>
        <v>35.958333333333336</v>
      </c>
      <c r="CO148" s="63">
        <f t="shared" si="34"/>
        <v>500.33333333333331</v>
      </c>
      <c r="CP148" s="172">
        <f t="shared" si="35"/>
        <v>425.82333333333332</v>
      </c>
      <c r="CQ148" s="158">
        <v>0</v>
      </c>
      <c r="CR148" s="159">
        <v>0</v>
      </c>
      <c r="CS148" s="179">
        <v>0</v>
      </c>
      <c r="CT148" s="27">
        <v>60</v>
      </c>
      <c r="CU148" s="58">
        <v>720</v>
      </c>
      <c r="CV148" s="12">
        <v>720</v>
      </c>
      <c r="CW148" s="27"/>
      <c r="CX148" s="58"/>
      <c r="CY148" s="98"/>
      <c r="CZ148" s="27"/>
      <c r="DA148" s="58"/>
      <c r="DB148" s="12"/>
      <c r="DC148" s="27"/>
      <c r="DD148" s="58"/>
      <c r="DE148" s="12"/>
      <c r="DF148" s="27"/>
      <c r="DG148" s="58"/>
      <c r="DH148" s="12"/>
      <c r="DI148" s="27"/>
      <c r="DJ148" s="58"/>
      <c r="DK148" s="107"/>
      <c r="DL148" s="27"/>
      <c r="DM148" s="58"/>
      <c r="DN148" s="107"/>
      <c r="DO148" s="27"/>
      <c r="DP148" s="58"/>
      <c r="DQ148" s="107"/>
      <c r="DR148" s="27"/>
      <c r="DS148" s="58"/>
      <c r="DT148" s="107"/>
      <c r="DU148" s="27"/>
      <c r="DV148" s="58"/>
      <c r="DW148" s="107"/>
      <c r="DX148" s="27"/>
      <c r="DY148" s="58"/>
      <c r="DZ148" s="107"/>
    </row>
    <row r="149" spans="1:130" s="25" customFormat="1" ht="31.5" customHeight="1" x14ac:dyDescent="0.6">
      <c r="A149" s="5">
        <v>146</v>
      </c>
      <c r="B149" s="18" t="s">
        <v>421</v>
      </c>
      <c r="C149" s="18" t="s">
        <v>422</v>
      </c>
      <c r="D149" s="18" t="s">
        <v>82</v>
      </c>
      <c r="E149" s="23" t="s">
        <v>414</v>
      </c>
      <c r="F149" s="7" t="s">
        <v>406</v>
      </c>
      <c r="G149" s="123"/>
      <c r="H149" s="123"/>
      <c r="I149" s="123" t="s">
        <v>1020</v>
      </c>
      <c r="J149" s="49" t="s">
        <v>407</v>
      </c>
      <c r="K149" s="27"/>
      <c r="L149" s="58"/>
      <c r="M149" s="78"/>
      <c r="N149" s="27"/>
      <c r="O149" s="58"/>
      <c r="P149" s="49"/>
      <c r="Q149" s="27"/>
      <c r="R149" s="58"/>
      <c r="S149" s="98"/>
      <c r="T149" s="27"/>
      <c r="U149" s="58"/>
      <c r="V149" s="12"/>
      <c r="W149" s="27"/>
      <c r="X149" s="58"/>
      <c r="Y149" s="12"/>
      <c r="Z149" s="27"/>
      <c r="AA149" s="58"/>
      <c r="AB149" s="12"/>
      <c r="AC149" s="27">
        <v>35</v>
      </c>
      <c r="AD149" s="58">
        <v>420</v>
      </c>
      <c r="AE149" s="107"/>
      <c r="AF149" s="27">
        <v>30</v>
      </c>
      <c r="AG149" s="58">
        <v>360</v>
      </c>
      <c r="AH149" s="107"/>
      <c r="AI149" s="27">
        <v>45</v>
      </c>
      <c r="AJ149" s="58">
        <v>540</v>
      </c>
      <c r="AK149" s="107"/>
      <c r="AL149" s="27">
        <v>91</v>
      </c>
      <c r="AM149" s="58">
        <v>1400</v>
      </c>
      <c r="AN149" s="107"/>
      <c r="AO149" s="27">
        <v>30</v>
      </c>
      <c r="AP149" s="58">
        <v>360</v>
      </c>
      <c r="AQ149" s="12"/>
      <c r="AR149" s="27">
        <v>6</v>
      </c>
      <c r="AS149" s="58">
        <v>100</v>
      </c>
      <c r="AT149" s="12"/>
      <c r="AU149" s="54"/>
      <c r="AV149" s="63"/>
      <c r="AW149" s="55"/>
      <c r="AX149" s="54"/>
      <c r="AY149" s="63"/>
      <c r="AZ149" s="55"/>
      <c r="BA149" s="10">
        <v>0</v>
      </c>
      <c r="BB149" s="15">
        <v>0</v>
      </c>
      <c r="BC149" s="11">
        <v>0</v>
      </c>
      <c r="BD149" s="10">
        <v>0</v>
      </c>
      <c r="BE149" s="15">
        <v>0</v>
      </c>
      <c r="BF149" s="11">
        <v>0</v>
      </c>
      <c r="BG149" s="10">
        <v>20</v>
      </c>
      <c r="BH149" s="15">
        <v>240</v>
      </c>
      <c r="BI149" s="11">
        <v>240</v>
      </c>
      <c r="BJ149" s="10">
        <v>76</v>
      </c>
      <c r="BK149" s="15">
        <v>1136</v>
      </c>
      <c r="BL149" s="11">
        <v>928</v>
      </c>
      <c r="BM149" s="46">
        <v>65</v>
      </c>
      <c r="BN149" s="43">
        <v>1340</v>
      </c>
      <c r="BO149" s="47">
        <v>820</v>
      </c>
      <c r="BP149" s="46">
        <v>28</v>
      </c>
      <c r="BQ149" s="43">
        <v>440</v>
      </c>
      <c r="BR149" s="47">
        <v>311.60000000000002</v>
      </c>
      <c r="BS149" s="46">
        <v>41</v>
      </c>
      <c r="BT149" s="43">
        <v>632</v>
      </c>
      <c r="BU149" s="114">
        <v>502</v>
      </c>
      <c r="BV149" s="119">
        <v>10</v>
      </c>
      <c r="BW149" s="120">
        <v>140</v>
      </c>
      <c r="BX149" s="114">
        <v>89.6</v>
      </c>
      <c r="BY149" s="119">
        <v>15.25</v>
      </c>
      <c r="BZ149" s="120">
        <v>183</v>
      </c>
      <c r="CA149" s="114">
        <v>182.04</v>
      </c>
      <c r="CB149" s="119">
        <v>62</v>
      </c>
      <c r="CC149" s="120">
        <v>856</v>
      </c>
      <c r="CD149" s="114">
        <v>752</v>
      </c>
      <c r="CE149" s="119">
        <v>17</v>
      </c>
      <c r="CF149" s="120">
        <v>260</v>
      </c>
      <c r="CG149" s="114">
        <v>208</v>
      </c>
      <c r="CH149" s="119">
        <v>15</v>
      </c>
      <c r="CI149" s="120">
        <v>180</v>
      </c>
      <c r="CJ149" s="114">
        <v>180</v>
      </c>
      <c r="CK149" s="54">
        <f t="shared" si="30"/>
        <v>349.25</v>
      </c>
      <c r="CL149" s="63">
        <f t="shared" si="31"/>
        <v>5407</v>
      </c>
      <c r="CM149" s="55">
        <f t="shared" si="32"/>
        <v>4213.24</v>
      </c>
      <c r="CN149" s="54">
        <f t="shared" si="33"/>
        <v>29.104166666666668</v>
      </c>
      <c r="CO149" s="63">
        <f t="shared" si="34"/>
        <v>450.58333333333331</v>
      </c>
      <c r="CP149" s="172">
        <f t="shared" si="35"/>
        <v>351.1033333333333</v>
      </c>
      <c r="CQ149" s="158">
        <v>15</v>
      </c>
      <c r="CR149" s="159">
        <v>180</v>
      </c>
      <c r="CS149" s="179">
        <v>180</v>
      </c>
      <c r="CT149" s="27">
        <v>30</v>
      </c>
      <c r="CU149" s="58">
        <v>360</v>
      </c>
      <c r="CV149" s="12">
        <v>360</v>
      </c>
      <c r="CW149" s="27"/>
      <c r="CX149" s="58"/>
      <c r="CY149" s="98"/>
      <c r="CZ149" s="27"/>
      <c r="DA149" s="58"/>
      <c r="DB149" s="12"/>
      <c r="DC149" s="27"/>
      <c r="DD149" s="58"/>
      <c r="DE149" s="12"/>
      <c r="DF149" s="27"/>
      <c r="DG149" s="58"/>
      <c r="DH149" s="12"/>
      <c r="DI149" s="27"/>
      <c r="DJ149" s="58"/>
      <c r="DK149" s="107"/>
      <c r="DL149" s="27"/>
      <c r="DM149" s="58"/>
      <c r="DN149" s="107"/>
      <c r="DO149" s="27"/>
      <c r="DP149" s="58"/>
      <c r="DQ149" s="107"/>
      <c r="DR149" s="27"/>
      <c r="DS149" s="58"/>
      <c r="DT149" s="107"/>
      <c r="DU149" s="27"/>
      <c r="DV149" s="58"/>
      <c r="DW149" s="107"/>
      <c r="DX149" s="27"/>
      <c r="DY149" s="58"/>
      <c r="DZ149" s="107"/>
    </row>
    <row r="150" spans="1:130" s="25" customFormat="1" ht="31.5" customHeight="1" x14ac:dyDescent="0.6">
      <c r="A150" s="5">
        <v>147</v>
      </c>
      <c r="B150" s="18" t="s">
        <v>423</v>
      </c>
      <c r="C150" s="18" t="s">
        <v>424</v>
      </c>
      <c r="D150" s="18" t="s">
        <v>82</v>
      </c>
      <c r="E150" s="23" t="s">
        <v>414</v>
      </c>
      <c r="F150" s="7" t="s">
        <v>406</v>
      </c>
      <c r="G150" s="123"/>
      <c r="H150" s="123"/>
      <c r="I150" s="123" t="s">
        <v>1021</v>
      </c>
      <c r="J150" s="49" t="s">
        <v>407</v>
      </c>
      <c r="K150" s="27"/>
      <c r="L150" s="58"/>
      <c r="M150" s="78"/>
      <c r="N150" s="27"/>
      <c r="O150" s="58"/>
      <c r="P150" s="49"/>
      <c r="Q150" s="27"/>
      <c r="R150" s="58"/>
      <c r="S150" s="98"/>
      <c r="T150" s="27"/>
      <c r="U150" s="58"/>
      <c r="V150" s="12"/>
      <c r="W150" s="27"/>
      <c r="X150" s="58"/>
      <c r="Y150" s="12"/>
      <c r="Z150" s="27"/>
      <c r="AA150" s="58"/>
      <c r="AB150" s="12"/>
      <c r="AC150" s="27">
        <v>34</v>
      </c>
      <c r="AD150" s="58">
        <v>468</v>
      </c>
      <c r="AE150" s="107"/>
      <c r="AF150" s="27">
        <v>51</v>
      </c>
      <c r="AG150" s="58">
        <v>728</v>
      </c>
      <c r="AH150" s="107"/>
      <c r="AI150" s="27">
        <v>83</v>
      </c>
      <c r="AJ150" s="58">
        <v>1056</v>
      </c>
      <c r="AK150" s="107"/>
      <c r="AL150" s="27">
        <v>85</v>
      </c>
      <c r="AM150" s="58">
        <v>1160</v>
      </c>
      <c r="AN150" s="107"/>
      <c r="AO150" s="27">
        <v>39</v>
      </c>
      <c r="AP150" s="58">
        <v>528</v>
      </c>
      <c r="AQ150" s="12"/>
      <c r="AR150" s="27">
        <v>50</v>
      </c>
      <c r="AS150" s="58">
        <v>600</v>
      </c>
      <c r="AT150" s="12"/>
      <c r="AU150" s="54"/>
      <c r="AV150" s="63"/>
      <c r="AW150" s="55"/>
      <c r="AX150" s="54"/>
      <c r="AY150" s="63"/>
      <c r="AZ150" s="55"/>
      <c r="BA150" s="10">
        <v>45</v>
      </c>
      <c r="BB150" s="15">
        <v>540</v>
      </c>
      <c r="BC150" s="11">
        <v>540</v>
      </c>
      <c r="BD150" s="10">
        <v>30</v>
      </c>
      <c r="BE150" s="15">
        <v>360</v>
      </c>
      <c r="BF150" s="11">
        <v>360</v>
      </c>
      <c r="BG150" s="10">
        <v>115</v>
      </c>
      <c r="BH150" s="15">
        <v>1410</v>
      </c>
      <c r="BI150" s="11">
        <v>1334.6</v>
      </c>
      <c r="BJ150" s="10">
        <v>70</v>
      </c>
      <c r="BK150" s="15">
        <v>1820</v>
      </c>
      <c r="BL150" s="11">
        <v>910</v>
      </c>
      <c r="BM150" s="46">
        <v>31</v>
      </c>
      <c r="BN150" s="43">
        <v>820</v>
      </c>
      <c r="BO150" s="47">
        <v>404</v>
      </c>
      <c r="BP150" s="46">
        <v>15</v>
      </c>
      <c r="BQ150" s="43">
        <v>180</v>
      </c>
      <c r="BR150" s="47">
        <v>180</v>
      </c>
      <c r="BS150" s="46">
        <v>16</v>
      </c>
      <c r="BT150" s="43">
        <v>192</v>
      </c>
      <c r="BU150" s="114">
        <v>192</v>
      </c>
      <c r="BV150" s="119">
        <v>5.3</v>
      </c>
      <c r="BW150" s="120">
        <v>203</v>
      </c>
      <c r="BX150" s="114">
        <v>72.040000000000006</v>
      </c>
      <c r="BY150" s="119">
        <v>60</v>
      </c>
      <c r="BZ150" s="120">
        <v>1140</v>
      </c>
      <c r="CA150" s="114">
        <v>750</v>
      </c>
      <c r="CB150" s="119">
        <v>70</v>
      </c>
      <c r="CC150" s="120">
        <v>870</v>
      </c>
      <c r="CD150" s="114">
        <v>794.4</v>
      </c>
      <c r="CE150" s="119">
        <v>71</v>
      </c>
      <c r="CF150" s="120">
        <v>1294</v>
      </c>
      <c r="CG150" s="114">
        <v>848.56</v>
      </c>
      <c r="CH150" s="119">
        <v>105</v>
      </c>
      <c r="CI150" s="120">
        <v>1740</v>
      </c>
      <c r="CJ150" s="114">
        <v>1198.8</v>
      </c>
      <c r="CK150" s="54">
        <f t="shared" si="30"/>
        <v>633.29999999999995</v>
      </c>
      <c r="CL150" s="63">
        <f t="shared" si="31"/>
        <v>10569</v>
      </c>
      <c r="CM150" s="55">
        <f t="shared" si="32"/>
        <v>7584.3999999999987</v>
      </c>
      <c r="CN150" s="54">
        <f t="shared" si="33"/>
        <v>52.774999999999999</v>
      </c>
      <c r="CO150" s="63">
        <f t="shared" si="34"/>
        <v>880.75</v>
      </c>
      <c r="CP150" s="172">
        <f t="shared" si="35"/>
        <v>632.03333333333319</v>
      </c>
      <c r="CQ150" s="158">
        <v>37</v>
      </c>
      <c r="CR150" s="159">
        <v>500</v>
      </c>
      <c r="CS150" s="179">
        <v>448</v>
      </c>
      <c r="CT150" s="27">
        <v>61</v>
      </c>
      <c r="CU150" s="58">
        <v>1320</v>
      </c>
      <c r="CV150" s="12">
        <v>774</v>
      </c>
      <c r="CW150" s="27"/>
      <c r="CX150" s="58"/>
      <c r="CY150" s="98"/>
      <c r="CZ150" s="27"/>
      <c r="DA150" s="58"/>
      <c r="DB150" s="107"/>
      <c r="DC150" s="27"/>
      <c r="DD150" s="58"/>
      <c r="DE150" s="12"/>
      <c r="DF150" s="27"/>
      <c r="DG150" s="58"/>
      <c r="DH150" s="12"/>
      <c r="DI150" s="27"/>
      <c r="DJ150" s="58"/>
      <c r="DK150" s="107"/>
      <c r="DL150" s="27"/>
      <c r="DM150" s="58"/>
      <c r="DN150" s="107"/>
      <c r="DO150" s="27"/>
      <c r="DP150" s="58"/>
      <c r="DQ150" s="107"/>
      <c r="DR150" s="27"/>
      <c r="DS150" s="58"/>
      <c r="DT150" s="107"/>
      <c r="DU150" s="27"/>
      <c r="DV150" s="58"/>
      <c r="DW150" s="107"/>
      <c r="DX150" s="27"/>
      <c r="DY150" s="58"/>
      <c r="DZ150" s="107"/>
    </row>
    <row r="151" spans="1:130" s="25" customFormat="1" ht="31.5" customHeight="1" x14ac:dyDescent="0.6">
      <c r="A151" s="5">
        <v>148</v>
      </c>
      <c r="B151" s="18" t="s">
        <v>425</v>
      </c>
      <c r="C151" s="18" t="s">
        <v>426</v>
      </c>
      <c r="D151" s="18" t="s">
        <v>82</v>
      </c>
      <c r="E151" s="23" t="s">
        <v>414</v>
      </c>
      <c r="F151" s="7" t="s">
        <v>406</v>
      </c>
      <c r="G151" s="123"/>
      <c r="H151" s="123"/>
      <c r="I151" s="123" t="s">
        <v>1022</v>
      </c>
      <c r="J151" s="49" t="s">
        <v>407</v>
      </c>
      <c r="K151" s="27"/>
      <c r="L151" s="58"/>
      <c r="M151" s="78"/>
      <c r="N151" s="27"/>
      <c r="O151" s="58"/>
      <c r="P151" s="49"/>
      <c r="Q151" s="27"/>
      <c r="R151" s="58"/>
      <c r="S151" s="98"/>
      <c r="T151" s="27"/>
      <c r="U151" s="58"/>
      <c r="V151" s="12"/>
      <c r="W151" s="27"/>
      <c r="X151" s="58"/>
      <c r="Y151" s="12"/>
      <c r="Z151" s="27"/>
      <c r="AA151" s="58"/>
      <c r="AB151" s="12"/>
      <c r="AC151" s="27">
        <v>57</v>
      </c>
      <c r="AD151" s="58">
        <v>1170</v>
      </c>
      <c r="AE151" s="107"/>
      <c r="AF151" s="27">
        <v>66</v>
      </c>
      <c r="AG151" s="58">
        <v>952</v>
      </c>
      <c r="AH151" s="107"/>
      <c r="AI151" s="27">
        <v>75</v>
      </c>
      <c r="AJ151" s="58">
        <v>900</v>
      </c>
      <c r="AK151" s="107"/>
      <c r="AL151" s="27">
        <v>0</v>
      </c>
      <c r="AM151" s="58">
        <v>0</v>
      </c>
      <c r="AN151" s="107"/>
      <c r="AO151" s="27">
        <v>16</v>
      </c>
      <c r="AP151" s="58">
        <v>192</v>
      </c>
      <c r="AQ151" s="12"/>
      <c r="AR151" s="27">
        <v>45</v>
      </c>
      <c r="AS151" s="58">
        <v>540</v>
      </c>
      <c r="AT151" s="12"/>
      <c r="AU151" s="54"/>
      <c r="AV151" s="63"/>
      <c r="AW151" s="55"/>
      <c r="AX151" s="54"/>
      <c r="AY151" s="63"/>
      <c r="AZ151" s="55"/>
      <c r="BA151" s="10">
        <v>0</v>
      </c>
      <c r="BB151" s="15">
        <v>0</v>
      </c>
      <c r="BC151" s="11">
        <v>0</v>
      </c>
      <c r="BD151" s="10">
        <v>20</v>
      </c>
      <c r="BE151" s="15">
        <v>250</v>
      </c>
      <c r="BF151" s="11">
        <v>224.8</v>
      </c>
      <c r="BG151" s="10">
        <v>20</v>
      </c>
      <c r="BH151" s="15">
        <v>240</v>
      </c>
      <c r="BI151" s="11">
        <v>240</v>
      </c>
      <c r="BJ151" s="10">
        <v>65</v>
      </c>
      <c r="BK151" s="15">
        <v>1520</v>
      </c>
      <c r="BL151" s="11">
        <v>769</v>
      </c>
      <c r="BM151" s="46">
        <v>10</v>
      </c>
      <c r="BN151" s="43">
        <v>400</v>
      </c>
      <c r="BO151" s="47">
        <v>140</v>
      </c>
      <c r="BP151" s="46">
        <v>62</v>
      </c>
      <c r="BQ151" s="43">
        <v>1333</v>
      </c>
      <c r="BR151" s="47">
        <v>765.76</v>
      </c>
      <c r="BS151" s="46">
        <v>70</v>
      </c>
      <c r="BT151" s="43">
        <v>966</v>
      </c>
      <c r="BU151" s="114">
        <v>826.72</v>
      </c>
      <c r="BV151" s="119">
        <v>12</v>
      </c>
      <c r="BW151" s="120">
        <v>200</v>
      </c>
      <c r="BX151" s="114">
        <v>148</v>
      </c>
      <c r="BY151" s="119">
        <v>35.25</v>
      </c>
      <c r="BZ151" s="120">
        <v>463</v>
      </c>
      <c r="CA151" s="114">
        <v>361.24</v>
      </c>
      <c r="CB151" s="119">
        <v>30</v>
      </c>
      <c r="CC151" s="120">
        <v>360</v>
      </c>
      <c r="CD151" s="114">
        <v>360</v>
      </c>
      <c r="CE151" s="119">
        <v>15</v>
      </c>
      <c r="CF151" s="120">
        <v>210</v>
      </c>
      <c r="CG151" s="114">
        <v>134.4</v>
      </c>
      <c r="CH151" s="119">
        <v>10</v>
      </c>
      <c r="CI151" s="120">
        <v>218</v>
      </c>
      <c r="CJ151" s="114">
        <v>104.72</v>
      </c>
      <c r="CK151" s="54">
        <f t="shared" si="30"/>
        <v>349.25</v>
      </c>
      <c r="CL151" s="63">
        <f t="shared" si="31"/>
        <v>6160</v>
      </c>
      <c r="CM151" s="55">
        <f t="shared" si="32"/>
        <v>4074.6399999999994</v>
      </c>
      <c r="CN151" s="54">
        <f t="shared" si="33"/>
        <v>29.104166666666668</v>
      </c>
      <c r="CO151" s="63">
        <f t="shared" si="34"/>
        <v>513.33333333333337</v>
      </c>
      <c r="CP151" s="172">
        <f t="shared" si="35"/>
        <v>339.55333333333328</v>
      </c>
      <c r="CQ151" s="158">
        <v>0</v>
      </c>
      <c r="CR151" s="159">
        <v>0</v>
      </c>
      <c r="CS151" s="179">
        <v>0</v>
      </c>
      <c r="CT151" s="27">
        <v>21</v>
      </c>
      <c r="CU151" s="58">
        <v>534</v>
      </c>
      <c r="CV151" s="12">
        <v>268.95999999999998</v>
      </c>
      <c r="CW151" s="27"/>
      <c r="CX151" s="58"/>
      <c r="CY151" s="98"/>
      <c r="CZ151" s="27"/>
      <c r="DA151" s="58"/>
      <c r="DB151" s="12"/>
      <c r="DC151" s="27"/>
      <c r="DD151" s="58"/>
      <c r="DE151" s="107"/>
      <c r="DF151" s="27"/>
      <c r="DG151" s="58"/>
      <c r="DH151" s="12"/>
      <c r="DI151" s="27"/>
      <c r="DJ151" s="58"/>
      <c r="DK151" s="107"/>
      <c r="DL151" s="27"/>
      <c r="DM151" s="58"/>
      <c r="DN151" s="107"/>
      <c r="DO151" s="27"/>
      <c r="DP151" s="58"/>
      <c r="DQ151" s="107"/>
      <c r="DR151" s="27"/>
      <c r="DS151" s="58"/>
      <c r="DT151" s="107"/>
      <c r="DU151" s="27"/>
      <c r="DV151" s="58"/>
      <c r="DW151" s="107"/>
      <c r="DX151" s="27"/>
      <c r="DY151" s="58"/>
      <c r="DZ151" s="107"/>
    </row>
    <row r="152" spans="1:130" s="25" customFormat="1" ht="31.5" customHeight="1" x14ac:dyDescent="0.6">
      <c r="A152" s="5">
        <v>149</v>
      </c>
      <c r="B152" s="18">
        <v>494</v>
      </c>
      <c r="C152" s="18">
        <v>494</v>
      </c>
      <c r="D152" s="18" t="s">
        <v>82</v>
      </c>
      <c r="E152" s="23" t="s">
        <v>414</v>
      </c>
      <c r="F152" s="7" t="s">
        <v>406</v>
      </c>
      <c r="G152" s="123"/>
      <c r="H152" s="123"/>
      <c r="I152" s="123" t="s">
        <v>1023</v>
      </c>
      <c r="J152" s="49" t="s">
        <v>407</v>
      </c>
      <c r="K152" s="27"/>
      <c r="L152" s="58"/>
      <c r="M152" s="78"/>
      <c r="N152" s="27"/>
      <c r="O152" s="58"/>
      <c r="P152" s="49"/>
      <c r="Q152" s="27"/>
      <c r="R152" s="58"/>
      <c r="S152" s="98"/>
      <c r="T152" s="27"/>
      <c r="U152" s="58"/>
      <c r="V152" s="12"/>
      <c r="W152" s="27"/>
      <c r="X152" s="58"/>
      <c r="Y152" s="12"/>
      <c r="Z152" s="27"/>
      <c r="AA152" s="58"/>
      <c r="AB152" s="12"/>
      <c r="AC152" s="27">
        <v>20</v>
      </c>
      <c r="AD152" s="58">
        <v>380</v>
      </c>
      <c r="AE152" s="107"/>
      <c r="AF152" s="27">
        <v>60</v>
      </c>
      <c r="AG152" s="58">
        <v>1000</v>
      </c>
      <c r="AH152" s="107"/>
      <c r="AI152" s="27">
        <v>40</v>
      </c>
      <c r="AJ152" s="58">
        <v>480</v>
      </c>
      <c r="AK152" s="107"/>
      <c r="AL152" s="27">
        <v>0</v>
      </c>
      <c r="AM152" s="58">
        <v>0</v>
      </c>
      <c r="AN152" s="12"/>
      <c r="AO152" s="27">
        <v>15</v>
      </c>
      <c r="AP152" s="58">
        <v>600</v>
      </c>
      <c r="AQ152" s="12"/>
      <c r="AR152" s="27">
        <v>35</v>
      </c>
      <c r="AS152" s="58">
        <v>560</v>
      </c>
      <c r="AT152" s="12"/>
      <c r="AU152" s="54"/>
      <c r="AV152" s="63"/>
      <c r="AW152" s="55"/>
      <c r="AX152" s="54"/>
      <c r="AY152" s="63"/>
      <c r="AZ152" s="55"/>
      <c r="BA152" s="10">
        <v>0</v>
      </c>
      <c r="BB152" s="15">
        <v>0</v>
      </c>
      <c r="BC152" s="11">
        <v>0</v>
      </c>
      <c r="BD152" s="10">
        <v>20</v>
      </c>
      <c r="BE152" s="15">
        <v>250</v>
      </c>
      <c r="BF152" s="11">
        <v>224.8</v>
      </c>
      <c r="BG152" s="10">
        <v>190</v>
      </c>
      <c r="BH152" s="15">
        <v>3608</v>
      </c>
      <c r="BI152" s="11">
        <v>2239.4</v>
      </c>
      <c r="BJ152" s="10">
        <v>40</v>
      </c>
      <c r="BK152" s="15">
        <v>480</v>
      </c>
      <c r="BL152" s="11">
        <v>480</v>
      </c>
      <c r="BM152" s="46">
        <v>105</v>
      </c>
      <c r="BN152" s="43">
        <v>1680</v>
      </c>
      <c r="BO152" s="47">
        <v>1290</v>
      </c>
      <c r="BP152" s="46">
        <v>15</v>
      </c>
      <c r="BQ152" s="43">
        <v>186</v>
      </c>
      <c r="BR152" s="47">
        <v>182</v>
      </c>
      <c r="BS152" s="46">
        <v>65</v>
      </c>
      <c r="BT152" s="43">
        <v>780</v>
      </c>
      <c r="BU152" s="114">
        <v>732</v>
      </c>
      <c r="BV152" s="119">
        <v>15.1</v>
      </c>
      <c r="BW152" s="120">
        <v>471</v>
      </c>
      <c r="BX152" s="114">
        <v>185.48000000000002</v>
      </c>
      <c r="BY152" s="119">
        <v>40</v>
      </c>
      <c r="BZ152" s="120">
        <v>630</v>
      </c>
      <c r="CA152" s="114">
        <v>474.8</v>
      </c>
      <c r="CB152" s="119">
        <v>21</v>
      </c>
      <c r="CC152" s="120">
        <v>420</v>
      </c>
      <c r="CD152" s="114">
        <v>264</v>
      </c>
      <c r="CE152" s="119">
        <v>81</v>
      </c>
      <c r="CF152" s="120">
        <v>1230</v>
      </c>
      <c r="CG152" s="114">
        <v>847.2</v>
      </c>
      <c r="CH152" s="119">
        <v>50</v>
      </c>
      <c r="CI152" s="120">
        <v>692</v>
      </c>
      <c r="CJ152" s="114">
        <v>549.28</v>
      </c>
      <c r="CK152" s="54">
        <f t="shared" si="30"/>
        <v>642.1</v>
      </c>
      <c r="CL152" s="63">
        <f t="shared" si="31"/>
        <v>10427</v>
      </c>
      <c r="CM152" s="55">
        <f t="shared" si="32"/>
        <v>7468.96</v>
      </c>
      <c r="CN152" s="54">
        <f t="shared" si="33"/>
        <v>53.508333333333333</v>
      </c>
      <c r="CO152" s="63">
        <f t="shared" si="34"/>
        <v>868.91666666666663</v>
      </c>
      <c r="CP152" s="172">
        <f t="shared" si="35"/>
        <v>622.4133333333333</v>
      </c>
      <c r="CQ152" s="158">
        <v>5</v>
      </c>
      <c r="CR152" s="159">
        <v>122</v>
      </c>
      <c r="CS152" s="179">
        <v>54.88</v>
      </c>
      <c r="CT152" s="27">
        <v>52</v>
      </c>
      <c r="CU152" s="58">
        <v>1162</v>
      </c>
      <c r="CV152" s="12">
        <v>652.88</v>
      </c>
      <c r="CW152" s="27"/>
      <c r="CX152" s="58"/>
      <c r="CY152" s="98"/>
      <c r="CZ152" s="27"/>
      <c r="DA152" s="58"/>
      <c r="DB152" s="12"/>
      <c r="DC152" s="27"/>
      <c r="DD152" s="58"/>
      <c r="DE152" s="12"/>
      <c r="DF152" s="27"/>
      <c r="DG152" s="58"/>
      <c r="DH152" s="12"/>
      <c r="DI152" s="27"/>
      <c r="DJ152" s="58"/>
      <c r="DK152" s="107"/>
      <c r="DL152" s="27"/>
      <c r="DM152" s="58"/>
      <c r="DN152" s="107"/>
      <c r="DO152" s="27"/>
      <c r="DP152" s="58"/>
      <c r="DQ152" s="107"/>
      <c r="DR152" s="27"/>
      <c r="DS152" s="58"/>
      <c r="DT152" s="107"/>
      <c r="DU152" s="27"/>
      <c r="DV152" s="58"/>
      <c r="DW152" s="107"/>
      <c r="DX152" s="27"/>
      <c r="DY152" s="58"/>
      <c r="DZ152" s="107"/>
    </row>
    <row r="153" spans="1:130" s="25" customFormat="1" ht="31.5" customHeight="1" x14ac:dyDescent="0.6">
      <c r="A153" s="5">
        <v>150</v>
      </c>
      <c r="B153" s="18" t="s">
        <v>427</v>
      </c>
      <c r="C153" s="18" t="s">
        <v>427</v>
      </c>
      <c r="D153" s="18" t="s">
        <v>67</v>
      </c>
      <c r="E153" s="23" t="s">
        <v>68</v>
      </c>
      <c r="F153" s="7" t="s">
        <v>406</v>
      </c>
      <c r="G153" s="123"/>
      <c r="H153" s="123"/>
      <c r="I153" s="123" t="s">
        <v>1024</v>
      </c>
      <c r="J153" s="49" t="s">
        <v>407</v>
      </c>
      <c r="K153" s="27"/>
      <c r="L153" s="58"/>
      <c r="M153" s="78"/>
      <c r="N153" s="27"/>
      <c r="O153" s="58"/>
      <c r="P153" s="49"/>
      <c r="Q153" s="27"/>
      <c r="R153" s="58"/>
      <c r="S153" s="98"/>
      <c r="T153" s="27"/>
      <c r="U153" s="58"/>
      <c r="V153" s="12"/>
      <c r="W153" s="27"/>
      <c r="X153" s="58"/>
      <c r="Y153" s="12"/>
      <c r="Z153" s="27"/>
      <c r="AA153" s="58"/>
      <c r="AB153" s="12"/>
      <c r="AC153" s="27">
        <v>55</v>
      </c>
      <c r="AD153" s="58">
        <v>940</v>
      </c>
      <c r="AE153" s="107"/>
      <c r="AF153" s="27">
        <v>15</v>
      </c>
      <c r="AG153" s="58">
        <v>600</v>
      </c>
      <c r="AH153" s="107"/>
      <c r="AI153" s="27">
        <v>60</v>
      </c>
      <c r="AJ153" s="58">
        <v>720</v>
      </c>
      <c r="AK153" s="107"/>
      <c r="AL153" s="27">
        <v>175</v>
      </c>
      <c r="AM153" s="58">
        <v>2940</v>
      </c>
      <c r="AN153" s="12"/>
      <c r="AO153" s="27">
        <v>15</v>
      </c>
      <c r="AP153" s="58">
        <v>180</v>
      </c>
      <c r="AQ153" s="12"/>
      <c r="AR153" s="27">
        <v>31</v>
      </c>
      <c r="AS153" s="58">
        <v>400</v>
      </c>
      <c r="AT153" s="12"/>
      <c r="AU153" s="54"/>
      <c r="AV153" s="63"/>
      <c r="AW153" s="55"/>
      <c r="AX153" s="54"/>
      <c r="AY153" s="63"/>
      <c r="AZ153" s="55"/>
      <c r="BA153" s="10">
        <v>40</v>
      </c>
      <c r="BB153" s="15">
        <v>620</v>
      </c>
      <c r="BC153" s="11">
        <v>466</v>
      </c>
      <c r="BD153" s="10">
        <v>15</v>
      </c>
      <c r="BE153" s="15">
        <v>180</v>
      </c>
      <c r="BF153" s="11">
        <v>180</v>
      </c>
      <c r="BG153" s="10">
        <v>48</v>
      </c>
      <c r="BH153" s="15">
        <v>660</v>
      </c>
      <c r="BI153" s="11">
        <v>582</v>
      </c>
      <c r="BJ153" s="10">
        <v>50</v>
      </c>
      <c r="BK153" s="15">
        <v>600</v>
      </c>
      <c r="BL153" s="11">
        <v>600</v>
      </c>
      <c r="BM153" s="46">
        <v>89</v>
      </c>
      <c r="BN153" s="43">
        <v>1776</v>
      </c>
      <c r="BO153" s="47">
        <v>1105.8399999999999</v>
      </c>
      <c r="BP153" s="46">
        <v>52</v>
      </c>
      <c r="BQ153" s="43">
        <v>680</v>
      </c>
      <c r="BR153" s="47">
        <v>628</v>
      </c>
      <c r="BS153" s="46">
        <v>105</v>
      </c>
      <c r="BT153" s="43">
        <v>1820</v>
      </c>
      <c r="BU153" s="114">
        <v>1300</v>
      </c>
      <c r="BV153" s="119">
        <v>15.3</v>
      </c>
      <c r="BW153" s="120">
        <v>603</v>
      </c>
      <c r="BX153" s="114">
        <v>212.04</v>
      </c>
      <c r="BY153" s="119">
        <v>0</v>
      </c>
      <c r="BZ153" s="120">
        <v>0</v>
      </c>
      <c r="CA153" s="114">
        <v>0</v>
      </c>
      <c r="CB153" s="119">
        <v>36</v>
      </c>
      <c r="CC153" s="120">
        <v>488</v>
      </c>
      <c r="CD153" s="114">
        <v>416.8</v>
      </c>
      <c r="CE153" s="119">
        <v>30</v>
      </c>
      <c r="CF153" s="120">
        <v>360</v>
      </c>
      <c r="CG153" s="114">
        <v>360</v>
      </c>
      <c r="CH153" s="119">
        <v>60</v>
      </c>
      <c r="CI153" s="120">
        <v>720</v>
      </c>
      <c r="CJ153" s="114">
        <v>720</v>
      </c>
      <c r="CK153" s="54">
        <f t="shared" si="30"/>
        <v>540.29999999999995</v>
      </c>
      <c r="CL153" s="63">
        <f t="shared" si="31"/>
        <v>8507</v>
      </c>
      <c r="CM153" s="55">
        <f t="shared" si="32"/>
        <v>6570.68</v>
      </c>
      <c r="CN153" s="54">
        <f t="shared" si="33"/>
        <v>45.024999999999999</v>
      </c>
      <c r="CO153" s="63">
        <f t="shared" si="34"/>
        <v>708.91666666666663</v>
      </c>
      <c r="CP153" s="172">
        <f t="shared" si="35"/>
        <v>547.55666666666673</v>
      </c>
      <c r="CQ153" s="158">
        <v>45</v>
      </c>
      <c r="CR153" s="159">
        <v>960</v>
      </c>
      <c r="CS153" s="179">
        <v>570</v>
      </c>
      <c r="CT153" s="27">
        <v>90</v>
      </c>
      <c r="CU153" s="58">
        <v>1510</v>
      </c>
      <c r="CV153" s="12">
        <v>1094.8</v>
      </c>
      <c r="CW153" s="27"/>
      <c r="CX153" s="58"/>
      <c r="CY153" s="98"/>
      <c r="CZ153" s="27"/>
      <c r="DA153" s="58"/>
      <c r="DB153" s="12"/>
      <c r="DC153" s="27"/>
      <c r="DD153" s="58"/>
      <c r="DE153" s="12"/>
      <c r="DF153" s="27"/>
      <c r="DG153" s="58"/>
      <c r="DH153" s="12"/>
      <c r="DI153" s="27"/>
      <c r="DJ153" s="58"/>
      <c r="DK153" s="107"/>
      <c r="DL153" s="27"/>
      <c r="DM153" s="58"/>
      <c r="DN153" s="107"/>
      <c r="DO153" s="27"/>
      <c r="DP153" s="58"/>
      <c r="DQ153" s="107"/>
      <c r="DR153" s="27"/>
      <c r="DS153" s="58"/>
      <c r="DT153" s="107"/>
      <c r="DU153" s="27"/>
      <c r="DV153" s="58"/>
      <c r="DW153" s="107"/>
      <c r="DX153" s="27"/>
      <c r="DY153" s="58"/>
      <c r="DZ153" s="107"/>
    </row>
    <row r="154" spans="1:130" s="25" customFormat="1" ht="31.5" customHeight="1" x14ac:dyDescent="0.6">
      <c r="A154" s="5">
        <v>151</v>
      </c>
      <c r="B154" s="18" t="s">
        <v>428</v>
      </c>
      <c r="C154" s="18" t="s">
        <v>428</v>
      </c>
      <c r="D154" s="18" t="s">
        <v>82</v>
      </c>
      <c r="E154" s="23" t="s">
        <v>414</v>
      </c>
      <c r="F154" s="7" t="s">
        <v>406</v>
      </c>
      <c r="G154" s="123"/>
      <c r="H154" s="123"/>
      <c r="I154" s="123" t="s">
        <v>1025</v>
      </c>
      <c r="J154" s="49" t="s">
        <v>407</v>
      </c>
      <c r="K154" s="27"/>
      <c r="L154" s="58"/>
      <c r="M154" s="78"/>
      <c r="N154" s="27"/>
      <c r="O154" s="58"/>
      <c r="P154" s="49"/>
      <c r="Q154" s="27"/>
      <c r="R154" s="58"/>
      <c r="S154" s="98"/>
      <c r="T154" s="27"/>
      <c r="U154" s="58"/>
      <c r="V154" s="12"/>
      <c r="W154" s="27"/>
      <c r="X154" s="58"/>
      <c r="Y154" s="12"/>
      <c r="Z154" s="27"/>
      <c r="AA154" s="58"/>
      <c r="AB154" s="12"/>
      <c r="AC154" s="27">
        <v>21</v>
      </c>
      <c r="AD154" s="58">
        <v>364</v>
      </c>
      <c r="AE154" s="107"/>
      <c r="AF154" s="27">
        <v>0</v>
      </c>
      <c r="AG154" s="58">
        <v>0</v>
      </c>
      <c r="AH154" s="107"/>
      <c r="AI154" s="27">
        <v>72</v>
      </c>
      <c r="AJ154" s="58">
        <v>976</v>
      </c>
      <c r="AK154" s="107"/>
      <c r="AL154" s="27">
        <v>110</v>
      </c>
      <c r="AM154" s="58">
        <v>1740</v>
      </c>
      <c r="AN154" s="12"/>
      <c r="AO154" s="27">
        <v>37</v>
      </c>
      <c r="AP154" s="58">
        <v>444</v>
      </c>
      <c r="AQ154" s="12"/>
      <c r="AR154" s="27">
        <v>30</v>
      </c>
      <c r="AS154" s="58">
        <v>360</v>
      </c>
      <c r="AT154" s="12"/>
      <c r="AU154" s="54"/>
      <c r="AV154" s="63"/>
      <c r="AW154" s="55"/>
      <c r="AX154" s="54"/>
      <c r="AY154" s="63"/>
      <c r="AZ154" s="55"/>
      <c r="BA154" s="10">
        <v>30</v>
      </c>
      <c r="BB154" s="15">
        <v>360</v>
      </c>
      <c r="BC154" s="11">
        <v>360</v>
      </c>
      <c r="BD154" s="10">
        <v>15</v>
      </c>
      <c r="BE154" s="15">
        <v>180</v>
      </c>
      <c r="BF154" s="11">
        <v>180</v>
      </c>
      <c r="BG154" s="10">
        <v>70</v>
      </c>
      <c r="BH154" s="15">
        <v>850</v>
      </c>
      <c r="BI154" s="11">
        <v>776.8</v>
      </c>
      <c r="BJ154" s="10">
        <v>0</v>
      </c>
      <c r="BK154" s="15">
        <v>0</v>
      </c>
      <c r="BL154" s="11">
        <v>0</v>
      </c>
      <c r="BM154" s="46">
        <v>15</v>
      </c>
      <c r="BN154" s="43">
        <v>180</v>
      </c>
      <c r="BO154" s="47">
        <v>180</v>
      </c>
      <c r="BP154" s="46">
        <v>40</v>
      </c>
      <c r="BQ154" s="43">
        <v>620</v>
      </c>
      <c r="BR154" s="47">
        <v>490</v>
      </c>
      <c r="BS154" s="46">
        <v>77</v>
      </c>
      <c r="BT154" s="43">
        <v>924</v>
      </c>
      <c r="BU154" s="114">
        <v>924</v>
      </c>
      <c r="BV154" s="119">
        <v>0</v>
      </c>
      <c r="BW154" s="120">
        <v>3</v>
      </c>
      <c r="BX154" s="114">
        <v>2.04</v>
      </c>
      <c r="BY154" s="119">
        <v>26</v>
      </c>
      <c r="BZ154" s="120">
        <v>480</v>
      </c>
      <c r="CA154" s="114">
        <v>324</v>
      </c>
      <c r="CB154" s="119">
        <v>5</v>
      </c>
      <c r="CC154" s="120">
        <v>70</v>
      </c>
      <c r="CD154" s="114">
        <v>44.8</v>
      </c>
      <c r="CE154" s="119">
        <v>47</v>
      </c>
      <c r="CF154" s="120">
        <v>620</v>
      </c>
      <c r="CG154" s="114">
        <v>568</v>
      </c>
      <c r="CH154" s="119">
        <v>45</v>
      </c>
      <c r="CI154" s="120">
        <v>540</v>
      </c>
      <c r="CJ154" s="114">
        <v>540</v>
      </c>
      <c r="CK154" s="54">
        <f t="shared" si="30"/>
        <v>370</v>
      </c>
      <c r="CL154" s="63">
        <f t="shared" si="31"/>
        <v>4827</v>
      </c>
      <c r="CM154" s="55">
        <f t="shared" si="32"/>
        <v>4389.6400000000003</v>
      </c>
      <c r="CN154" s="54">
        <f t="shared" si="33"/>
        <v>30.833333333333332</v>
      </c>
      <c r="CO154" s="63">
        <f t="shared" si="34"/>
        <v>402.25</v>
      </c>
      <c r="CP154" s="172">
        <f t="shared" si="35"/>
        <v>365.80333333333334</v>
      </c>
      <c r="CQ154" s="158">
        <v>30</v>
      </c>
      <c r="CR154" s="159">
        <v>780</v>
      </c>
      <c r="CS154" s="179">
        <v>390</v>
      </c>
      <c r="CT154" s="27">
        <v>49</v>
      </c>
      <c r="CU154" s="58">
        <v>980</v>
      </c>
      <c r="CV154" s="12">
        <v>592</v>
      </c>
      <c r="CW154" s="27"/>
      <c r="CX154" s="58"/>
      <c r="CY154" s="98"/>
      <c r="CZ154" s="27"/>
      <c r="DA154" s="58"/>
      <c r="DB154" s="12"/>
      <c r="DC154" s="27"/>
      <c r="DD154" s="58"/>
      <c r="DE154" s="12"/>
      <c r="DF154" s="27"/>
      <c r="DG154" s="58"/>
      <c r="DH154" s="12"/>
      <c r="DI154" s="27"/>
      <c r="DJ154" s="58"/>
      <c r="DK154" s="107"/>
      <c r="DL154" s="27"/>
      <c r="DM154" s="58"/>
      <c r="DN154" s="107"/>
      <c r="DO154" s="27"/>
      <c r="DP154" s="58"/>
      <c r="DQ154" s="107"/>
      <c r="DR154" s="27"/>
      <c r="DS154" s="58"/>
      <c r="DT154" s="107"/>
      <c r="DU154" s="27"/>
      <c r="DV154" s="58"/>
      <c r="DW154" s="107"/>
      <c r="DX154" s="27"/>
      <c r="DY154" s="58"/>
      <c r="DZ154" s="107"/>
    </row>
    <row r="155" spans="1:130" s="25" customFormat="1" ht="31.5" customHeight="1" x14ac:dyDescent="0.6">
      <c r="A155" s="5">
        <v>152</v>
      </c>
      <c r="B155" s="18" t="s">
        <v>431</v>
      </c>
      <c r="C155" s="18" t="s">
        <v>432</v>
      </c>
      <c r="D155" s="18" t="s">
        <v>363</v>
      </c>
      <c r="E155" s="23" t="s">
        <v>79</v>
      </c>
      <c r="F155" s="7" t="s">
        <v>406</v>
      </c>
      <c r="G155" s="123"/>
      <c r="H155" s="123"/>
      <c r="I155" s="123" t="s">
        <v>1026</v>
      </c>
      <c r="J155" s="49" t="s">
        <v>407</v>
      </c>
      <c r="K155" s="27"/>
      <c r="L155" s="58"/>
      <c r="M155" s="78"/>
      <c r="N155" s="27"/>
      <c r="O155" s="58"/>
      <c r="P155" s="49"/>
      <c r="Q155" s="27"/>
      <c r="R155" s="58"/>
      <c r="S155" s="98"/>
      <c r="T155" s="27"/>
      <c r="U155" s="58"/>
      <c r="V155" s="12"/>
      <c r="W155" s="27"/>
      <c r="X155" s="58"/>
      <c r="Y155" s="12"/>
      <c r="Z155" s="27"/>
      <c r="AA155" s="58"/>
      <c r="AB155" s="12"/>
      <c r="AC155" s="27">
        <v>0</v>
      </c>
      <c r="AD155" s="58">
        <v>0</v>
      </c>
      <c r="AE155" s="107"/>
      <c r="AF155" s="27">
        <v>0</v>
      </c>
      <c r="AG155" s="58">
        <v>0</v>
      </c>
      <c r="AH155" s="107"/>
      <c r="AI155" s="27">
        <v>0</v>
      </c>
      <c r="AJ155" s="58">
        <v>0</v>
      </c>
      <c r="AK155" s="107"/>
      <c r="AL155" s="27">
        <v>0</v>
      </c>
      <c r="AM155" s="58">
        <v>0</v>
      </c>
      <c r="AN155" s="12"/>
      <c r="AO155" s="27">
        <v>50</v>
      </c>
      <c r="AP155" s="58">
        <v>880</v>
      </c>
      <c r="AQ155" s="12"/>
      <c r="AR155" s="27">
        <v>85</v>
      </c>
      <c r="AS155" s="58">
        <v>1080</v>
      </c>
      <c r="AT155" s="12"/>
      <c r="AU155" s="54"/>
      <c r="AV155" s="63"/>
      <c r="AW155" s="55"/>
      <c r="AX155" s="54"/>
      <c r="AY155" s="63"/>
      <c r="AZ155" s="55"/>
      <c r="BA155" s="10">
        <v>115</v>
      </c>
      <c r="BB155" s="15">
        <v>180</v>
      </c>
      <c r="BC155" s="11">
        <v>180</v>
      </c>
      <c r="BD155" s="10">
        <v>15</v>
      </c>
      <c r="BE155" s="15">
        <v>180</v>
      </c>
      <c r="BF155" s="11">
        <v>180</v>
      </c>
      <c r="BG155" s="10">
        <v>305</v>
      </c>
      <c r="BH155" s="15">
        <v>4490</v>
      </c>
      <c r="BI155" s="11">
        <v>3194</v>
      </c>
      <c r="BJ155" s="10">
        <v>30</v>
      </c>
      <c r="BK155" s="15">
        <v>360</v>
      </c>
      <c r="BL155" s="11">
        <v>360</v>
      </c>
      <c r="BM155" s="46">
        <v>135</v>
      </c>
      <c r="BN155" s="43">
        <v>2600</v>
      </c>
      <c r="BO155" s="47">
        <v>1570</v>
      </c>
      <c r="BP155" s="46">
        <v>301</v>
      </c>
      <c r="BQ155" s="43">
        <v>3860</v>
      </c>
      <c r="BR155" s="47">
        <v>3231.6</v>
      </c>
      <c r="BS155" s="46">
        <v>70</v>
      </c>
      <c r="BT155" s="43">
        <v>860</v>
      </c>
      <c r="BU155" s="114">
        <v>569.6</v>
      </c>
      <c r="BV155" s="119">
        <v>295</v>
      </c>
      <c r="BW155" s="120">
        <v>5030</v>
      </c>
      <c r="BX155" s="114">
        <v>3503.2</v>
      </c>
      <c r="BY155" s="119">
        <v>270</v>
      </c>
      <c r="BZ155" s="120">
        <v>3460</v>
      </c>
      <c r="CA155" s="114">
        <v>2665.6</v>
      </c>
      <c r="CB155" s="119">
        <v>100</v>
      </c>
      <c r="CC155" s="120">
        <v>1200</v>
      </c>
      <c r="CD155" s="114">
        <v>1200</v>
      </c>
      <c r="CE155" s="119">
        <v>186</v>
      </c>
      <c r="CF155" s="120">
        <v>2892</v>
      </c>
      <c r="CG155" s="114">
        <v>1976</v>
      </c>
      <c r="CH155" s="119">
        <v>131</v>
      </c>
      <c r="CI155" s="120">
        <v>2190</v>
      </c>
      <c r="CJ155" s="114">
        <v>1345.6</v>
      </c>
      <c r="CK155" s="54">
        <f t="shared" si="30"/>
        <v>1953</v>
      </c>
      <c r="CL155" s="63">
        <f t="shared" si="31"/>
        <v>27302</v>
      </c>
      <c r="CM155" s="55">
        <f t="shared" si="32"/>
        <v>19975.599999999999</v>
      </c>
      <c r="CN155" s="54">
        <f t="shared" si="33"/>
        <v>162.75</v>
      </c>
      <c r="CO155" s="63">
        <f t="shared" si="34"/>
        <v>2275.1666666666665</v>
      </c>
      <c r="CP155" s="172">
        <f t="shared" si="35"/>
        <v>1664.6333333333332</v>
      </c>
      <c r="CQ155" s="158">
        <v>360</v>
      </c>
      <c r="CR155" s="159">
        <v>5460</v>
      </c>
      <c r="CS155" s="179">
        <v>3732</v>
      </c>
      <c r="CT155" s="27">
        <v>155</v>
      </c>
      <c r="CU155" s="58">
        <v>2560</v>
      </c>
      <c r="CV155" s="12">
        <v>1766</v>
      </c>
      <c r="CW155" s="27"/>
      <c r="CX155" s="58"/>
      <c r="CY155" s="98"/>
      <c r="CZ155" s="27"/>
      <c r="DA155" s="58"/>
      <c r="DB155" s="12"/>
      <c r="DC155" s="27"/>
      <c r="DD155" s="58"/>
      <c r="DE155" s="12"/>
      <c r="DF155" s="27"/>
      <c r="DG155" s="58"/>
      <c r="DH155" s="12"/>
      <c r="DI155" s="27"/>
      <c r="DJ155" s="58"/>
      <c r="DK155" s="107"/>
      <c r="DL155" s="27"/>
      <c r="DM155" s="58"/>
      <c r="DN155" s="107"/>
      <c r="DO155" s="27"/>
      <c r="DP155" s="58"/>
      <c r="DQ155" s="107"/>
      <c r="DR155" s="27"/>
      <c r="DS155" s="58"/>
      <c r="DT155" s="107"/>
      <c r="DU155" s="27"/>
      <c r="DV155" s="58"/>
      <c r="DW155" s="107"/>
      <c r="DX155" s="27"/>
      <c r="DY155" s="58"/>
      <c r="DZ155" s="107"/>
    </row>
    <row r="156" spans="1:130" s="25" customFormat="1" ht="31.5" customHeight="1" x14ac:dyDescent="0.6">
      <c r="A156" s="5">
        <v>153</v>
      </c>
      <c r="B156" s="18" t="s">
        <v>364</v>
      </c>
      <c r="C156" s="18"/>
      <c r="D156" s="18"/>
      <c r="E156" s="23"/>
      <c r="F156" s="7"/>
      <c r="G156" s="123"/>
      <c r="H156" s="123"/>
      <c r="I156" s="123"/>
      <c r="J156" s="49"/>
      <c r="K156" s="27"/>
      <c r="L156" s="58"/>
      <c r="M156" s="78"/>
      <c r="N156" s="27"/>
      <c r="O156" s="58"/>
      <c r="P156" s="49"/>
      <c r="Q156" s="27"/>
      <c r="R156" s="58"/>
      <c r="S156" s="98"/>
      <c r="T156" s="27"/>
      <c r="U156" s="58"/>
      <c r="V156" s="12"/>
      <c r="W156" s="27"/>
      <c r="X156" s="58"/>
      <c r="Y156" s="12"/>
      <c r="Z156" s="27"/>
      <c r="AA156" s="58"/>
      <c r="AB156" s="12"/>
      <c r="AC156" s="27"/>
      <c r="AD156" s="58"/>
      <c r="AE156" s="107"/>
      <c r="AF156" s="27"/>
      <c r="AG156" s="58"/>
      <c r="AH156" s="107"/>
      <c r="AI156" s="27"/>
      <c r="AJ156" s="58"/>
      <c r="AK156" s="107"/>
      <c r="AL156" s="27"/>
      <c r="AM156" s="58"/>
      <c r="AN156" s="12"/>
      <c r="AO156" s="27"/>
      <c r="AP156" s="58"/>
      <c r="AQ156" s="12"/>
      <c r="AR156" s="27"/>
      <c r="AS156" s="58"/>
      <c r="AT156" s="12"/>
      <c r="AU156" s="54"/>
      <c r="AV156" s="63"/>
      <c r="AW156" s="55"/>
      <c r="AX156" s="54"/>
      <c r="AY156" s="63"/>
      <c r="AZ156" s="55"/>
      <c r="BA156" s="10"/>
      <c r="BB156" s="15"/>
      <c r="BC156" s="11"/>
      <c r="BD156" s="10"/>
      <c r="BE156" s="15"/>
      <c r="BF156" s="11"/>
      <c r="BG156" s="10"/>
      <c r="BH156" s="15"/>
      <c r="BI156" s="11"/>
      <c r="BJ156" s="10"/>
      <c r="BK156" s="15"/>
      <c r="BL156" s="11"/>
      <c r="BM156" s="46"/>
      <c r="BN156" s="43"/>
      <c r="BO156" s="47"/>
      <c r="BP156" s="46"/>
      <c r="BQ156" s="43"/>
      <c r="BR156" s="47"/>
      <c r="BS156" s="46"/>
      <c r="BT156" s="43"/>
      <c r="BU156" s="114"/>
      <c r="BV156" s="119"/>
      <c r="BW156" s="120"/>
      <c r="BX156" s="114"/>
      <c r="BY156" s="119"/>
      <c r="BZ156" s="120"/>
      <c r="CA156" s="114"/>
      <c r="CB156" s="119"/>
      <c r="CC156" s="120"/>
      <c r="CD156" s="114"/>
      <c r="CE156" s="119"/>
      <c r="CF156" s="120"/>
      <c r="CG156" s="114"/>
      <c r="CH156" s="119"/>
      <c r="CI156" s="120"/>
      <c r="CJ156" s="114"/>
      <c r="CK156" s="54"/>
      <c r="CL156" s="63"/>
      <c r="CM156" s="55"/>
      <c r="CN156" s="54"/>
      <c r="CO156" s="63"/>
      <c r="CP156" s="172"/>
      <c r="CQ156" s="158">
        <v>0</v>
      </c>
      <c r="CR156" s="159">
        <v>0</v>
      </c>
      <c r="CS156" s="179">
        <v>0</v>
      </c>
      <c r="CT156" s="27">
        <v>10</v>
      </c>
      <c r="CU156" s="58">
        <v>120</v>
      </c>
      <c r="CV156" s="12">
        <v>96</v>
      </c>
      <c r="CW156" s="27"/>
      <c r="CX156" s="58"/>
      <c r="CY156" s="98"/>
      <c r="CZ156" s="27"/>
      <c r="DA156" s="58"/>
      <c r="DB156" s="12"/>
      <c r="DC156" s="27"/>
      <c r="DD156" s="58"/>
      <c r="DE156" s="12"/>
      <c r="DF156" s="27"/>
      <c r="DG156" s="58"/>
      <c r="DH156" s="12"/>
      <c r="DI156" s="27"/>
      <c r="DJ156" s="58"/>
      <c r="DK156" s="107"/>
      <c r="DL156" s="27"/>
      <c r="DM156" s="58"/>
      <c r="DN156" s="107"/>
      <c r="DO156" s="27"/>
      <c r="DP156" s="58"/>
      <c r="DQ156" s="107"/>
      <c r="DR156" s="27"/>
      <c r="DS156" s="58"/>
      <c r="DT156" s="107"/>
      <c r="DU156" s="27"/>
      <c r="DV156" s="58"/>
      <c r="DW156" s="107"/>
      <c r="DX156" s="27"/>
      <c r="DY156" s="58"/>
      <c r="DZ156" s="107"/>
    </row>
    <row r="157" spans="1:130" s="25" customFormat="1" ht="31.5" customHeight="1" x14ac:dyDescent="0.6">
      <c r="A157" s="5">
        <v>154</v>
      </c>
      <c r="B157" s="18" t="s">
        <v>360</v>
      </c>
      <c r="C157" s="18"/>
      <c r="D157" s="18"/>
      <c r="E157" s="23"/>
      <c r="F157" s="7"/>
      <c r="G157" s="123"/>
      <c r="H157" s="123"/>
      <c r="I157" s="123"/>
      <c r="J157" s="49"/>
      <c r="K157" s="27"/>
      <c r="L157" s="58"/>
      <c r="M157" s="78"/>
      <c r="N157" s="27"/>
      <c r="O157" s="58"/>
      <c r="P157" s="49"/>
      <c r="Q157" s="27"/>
      <c r="R157" s="58"/>
      <c r="S157" s="98"/>
      <c r="T157" s="27"/>
      <c r="U157" s="58"/>
      <c r="V157" s="12"/>
      <c r="W157" s="27"/>
      <c r="X157" s="58"/>
      <c r="Y157" s="12"/>
      <c r="Z157" s="27"/>
      <c r="AA157" s="58"/>
      <c r="AB157" s="12"/>
      <c r="AC157" s="27"/>
      <c r="AD157" s="58"/>
      <c r="AE157" s="107"/>
      <c r="AF157" s="27"/>
      <c r="AG157" s="58"/>
      <c r="AH157" s="107"/>
      <c r="AI157" s="27"/>
      <c r="AJ157" s="58"/>
      <c r="AK157" s="107"/>
      <c r="AL157" s="27"/>
      <c r="AM157" s="58"/>
      <c r="AN157" s="12"/>
      <c r="AO157" s="27"/>
      <c r="AP157" s="58"/>
      <c r="AQ157" s="12"/>
      <c r="AR157" s="27"/>
      <c r="AS157" s="58"/>
      <c r="AT157" s="12"/>
      <c r="AU157" s="54"/>
      <c r="AV157" s="63"/>
      <c r="AW157" s="55"/>
      <c r="AX157" s="54"/>
      <c r="AY157" s="63"/>
      <c r="AZ157" s="55"/>
      <c r="BA157" s="10"/>
      <c r="BB157" s="15"/>
      <c r="BC157" s="11"/>
      <c r="BD157" s="10"/>
      <c r="BE157" s="15"/>
      <c r="BF157" s="11"/>
      <c r="BG157" s="10"/>
      <c r="BH157" s="15"/>
      <c r="BI157" s="11"/>
      <c r="BJ157" s="10"/>
      <c r="BK157" s="15"/>
      <c r="BL157" s="11"/>
      <c r="BM157" s="46"/>
      <c r="BN157" s="43"/>
      <c r="BO157" s="47"/>
      <c r="BP157" s="46"/>
      <c r="BQ157" s="43"/>
      <c r="BR157" s="47"/>
      <c r="BS157" s="46"/>
      <c r="BT157" s="43"/>
      <c r="BU157" s="114"/>
      <c r="BV157" s="119"/>
      <c r="BW157" s="120"/>
      <c r="BX157" s="114"/>
      <c r="BY157" s="119"/>
      <c r="BZ157" s="120"/>
      <c r="CA157" s="114"/>
      <c r="CB157" s="119"/>
      <c r="CC157" s="120"/>
      <c r="CD157" s="114"/>
      <c r="CE157" s="119"/>
      <c r="CF157" s="120"/>
      <c r="CG157" s="114"/>
      <c r="CH157" s="119"/>
      <c r="CI157" s="120"/>
      <c r="CJ157" s="114"/>
      <c r="CK157" s="54"/>
      <c r="CL157" s="63"/>
      <c r="CM157" s="55"/>
      <c r="CN157" s="54"/>
      <c r="CO157" s="63"/>
      <c r="CP157" s="172"/>
      <c r="CQ157" s="158">
        <v>50</v>
      </c>
      <c r="CR157" s="159">
        <v>700</v>
      </c>
      <c r="CS157" s="179">
        <v>448</v>
      </c>
      <c r="CT157" s="27">
        <v>25</v>
      </c>
      <c r="CU157" s="58">
        <v>350</v>
      </c>
      <c r="CV157" s="12">
        <v>224</v>
      </c>
      <c r="CW157" s="27"/>
      <c r="CX157" s="58"/>
      <c r="CY157" s="98"/>
      <c r="CZ157" s="27"/>
      <c r="DA157" s="58"/>
      <c r="DB157" s="12"/>
      <c r="DC157" s="27"/>
      <c r="DD157" s="58"/>
      <c r="DE157" s="12"/>
      <c r="DF157" s="27"/>
      <c r="DG157" s="58"/>
      <c r="DH157" s="12"/>
      <c r="DI157" s="27"/>
      <c r="DJ157" s="58"/>
      <c r="DK157" s="107"/>
      <c r="DL157" s="27"/>
      <c r="DM157" s="58"/>
      <c r="DN157" s="107"/>
      <c r="DO157" s="27"/>
      <c r="DP157" s="58"/>
      <c r="DQ157" s="107"/>
      <c r="DR157" s="27"/>
      <c r="DS157" s="58"/>
      <c r="DT157" s="107"/>
      <c r="DU157" s="27"/>
      <c r="DV157" s="58"/>
      <c r="DW157" s="107"/>
      <c r="DX157" s="27"/>
      <c r="DY157" s="58"/>
      <c r="DZ157" s="107"/>
    </row>
    <row r="158" spans="1:130" s="25" customFormat="1" ht="31.5" customHeight="1" x14ac:dyDescent="0.6">
      <c r="A158" s="5">
        <v>155</v>
      </c>
      <c r="B158" s="18" t="s">
        <v>362</v>
      </c>
      <c r="C158" s="18"/>
      <c r="D158" s="18"/>
      <c r="E158" s="23"/>
      <c r="F158" s="7"/>
      <c r="G158" s="123"/>
      <c r="H158" s="123"/>
      <c r="I158" s="123"/>
      <c r="J158" s="49"/>
      <c r="K158" s="27"/>
      <c r="L158" s="58"/>
      <c r="M158" s="78"/>
      <c r="N158" s="27"/>
      <c r="O158" s="58"/>
      <c r="P158" s="49"/>
      <c r="Q158" s="27"/>
      <c r="R158" s="58"/>
      <c r="S158" s="98"/>
      <c r="T158" s="27"/>
      <c r="U158" s="58"/>
      <c r="V158" s="12"/>
      <c r="W158" s="27"/>
      <c r="X158" s="58"/>
      <c r="Y158" s="12"/>
      <c r="Z158" s="27"/>
      <c r="AA158" s="58"/>
      <c r="AB158" s="12"/>
      <c r="AC158" s="27"/>
      <c r="AD158" s="58"/>
      <c r="AE158" s="107"/>
      <c r="AF158" s="27"/>
      <c r="AG158" s="58"/>
      <c r="AH158" s="107"/>
      <c r="AI158" s="27"/>
      <c r="AJ158" s="58"/>
      <c r="AK158" s="107"/>
      <c r="AL158" s="27"/>
      <c r="AM158" s="58"/>
      <c r="AN158" s="12"/>
      <c r="AO158" s="27"/>
      <c r="AP158" s="58"/>
      <c r="AQ158" s="12"/>
      <c r="AR158" s="27"/>
      <c r="AS158" s="58"/>
      <c r="AT158" s="12"/>
      <c r="AU158" s="54"/>
      <c r="AV158" s="63"/>
      <c r="AW158" s="55"/>
      <c r="AX158" s="54"/>
      <c r="AY158" s="63"/>
      <c r="AZ158" s="55"/>
      <c r="BA158" s="10"/>
      <c r="BB158" s="15"/>
      <c r="BC158" s="11"/>
      <c r="BD158" s="10"/>
      <c r="BE158" s="15"/>
      <c r="BF158" s="11"/>
      <c r="BG158" s="10"/>
      <c r="BH158" s="15"/>
      <c r="BI158" s="11"/>
      <c r="BJ158" s="10"/>
      <c r="BK158" s="15"/>
      <c r="BL158" s="11"/>
      <c r="BM158" s="46"/>
      <c r="BN158" s="43"/>
      <c r="BO158" s="47"/>
      <c r="BP158" s="46"/>
      <c r="BQ158" s="43"/>
      <c r="BR158" s="47"/>
      <c r="BS158" s="46"/>
      <c r="BT158" s="43"/>
      <c r="BU158" s="114"/>
      <c r="BV158" s="119"/>
      <c r="BW158" s="120"/>
      <c r="BX158" s="114"/>
      <c r="BY158" s="119"/>
      <c r="BZ158" s="120"/>
      <c r="CA158" s="114"/>
      <c r="CB158" s="119"/>
      <c r="CC158" s="120"/>
      <c r="CD158" s="114"/>
      <c r="CE158" s="119"/>
      <c r="CF158" s="120"/>
      <c r="CG158" s="114"/>
      <c r="CH158" s="119"/>
      <c r="CI158" s="120"/>
      <c r="CJ158" s="114"/>
      <c r="CK158" s="54"/>
      <c r="CL158" s="63"/>
      <c r="CM158" s="55"/>
      <c r="CN158" s="54"/>
      <c r="CO158" s="63"/>
      <c r="CP158" s="172"/>
      <c r="CQ158" s="158">
        <v>30</v>
      </c>
      <c r="CR158" s="159">
        <v>464</v>
      </c>
      <c r="CS158" s="179">
        <v>302</v>
      </c>
      <c r="CT158" s="27">
        <v>38</v>
      </c>
      <c r="CU158" s="58">
        <v>564</v>
      </c>
      <c r="CV158" s="12">
        <v>401.52</v>
      </c>
      <c r="CW158" s="27"/>
      <c r="CX158" s="58"/>
      <c r="CY158" s="98"/>
      <c r="CZ158" s="27"/>
      <c r="DA158" s="58"/>
      <c r="DB158" s="12"/>
      <c r="DC158" s="27"/>
      <c r="DD158" s="58"/>
      <c r="DE158" s="12"/>
      <c r="DF158" s="27"/>
      <c r="DG158" s="58"/>
      <c r="DH158" s="12"/>
      <c r="DI158" s="27"/>
      <c r="DJ158" s="58"/>
      <c r="DK158" s="107"/>
      <c r="DL158" s="27"/>
      <c r="DM158" s="58"/>
      <c r="DN158" s="107"/>
      <c r="DO158" s="27"/>
      <c r="DP158" s="58"/>
      <c r="DQ158" s="107"/>
      <c r="DR158" s="27"/>
      <c r="DS158" s="58"/>
      <c r="DT158" s="107"/>
      <c r="DU158" s="27"/>
      <c r="DV158" s="58"/>
      <c r="DW158" s="107"/>
      <c r="DX158" s="27"/>
      <c r="DY158" s="58"/>
      <c r="DZ158" s="107"/>
    </row>
    <row r="159" spans="1:130" s="25" customFormat="1" ht="31.5" customHeight="1" x14ac:dyDescent="0.6">
      <c r="A159" s="5">
        <v>156</v>
      </c>
      <c r="B159" s="18" t="s">
        <v>433</v>
      </c>
      <c r="C159" s="18" t="s">
        <v>434</v>
      </c>
      <c r="D159" s="18" t="s">
        <v>272</v>
      </c>
      <c r="E159" s="23" t="s">
        <v>273</v>
      </c>
      <c r="F159" s="7" t="s">
        <v>435</v>
      </c>
      <c r="G159" s="123"/>
      <c r="H159" s="123"/>
      <c r="I159" s="123" t="s">
        <v>1027</v>
      </c>
      <c r="J159" s="49" t="s">
        <v>436</v>
      </c>
      <c r="K159" s="27"/>
      <c r="L159" s="58"/>
      <c r="M159" s="78"/>
      <c r="N159" s="27"/>
      <c r="O159" s="58"/>
      <c r="P159" s="49"/>
      <c r="Q159" s="27"/>
      <c r="R159" s="58"/>
      <c r="S159" s="98"/>
      <c r="T159" s="27"/>
      <c r="U159" s="58"/>
      <c r="V159" s="12"/>
      <c r="W159" s="27"/>
      <c r="X159" s="58"/>
      <c r="Y159" s="12"/>
      <c r="Z159" s="27"/>
      <c r="AA159" s="58"/>
      <c r="AB159" s="12"/>
      <c r="AC159" s="27">
        <v>40</v>
      </c>
      <c r="AD159" s="58">
        <v>536</v>
      </c>
      <c r="AE159" s="107"/>
      <c r="AF159" s="27">
        <v>20</v>
      </c>
      <c r="AG159" s="58">
        <v>240</v>
      </c>
      <c r="AH159" s="107"/>
      <c r="AI159" s="27">
        <v>42</v>
      </c>
      <c r="AJ159" s="58">
        <v>564</v>
      </c>
      <c r="AK159" s="107"/>
      <c r="AL159" s="27">
        <v>37</v>
      </c>
      <c r="AM159" s="58">
        <v>472</v>
      </c>
      <c r="AN159" s="12"/>
      <c r="AO159" s="27">
        <v>54</v>
      </c>
      <c r="AP159" s="58">
        <v>676</v>
      </c>
      <c r="AQ159" s="12"/>
      <c r="AR159" s="27">
        <v>13</v>
      </c>
      <c r="AS159" s="58">
        <v>156</v>
      </c>
      <c r="AT159" s="12"/>
      <c r="AU159" s="54"/>
      <c r="AV159" s="63"/>
      <c r="AW159" s="55"/>
      <c r="AX159" s="54"/>
      <c r="AY159" s="63"/>
      <c r="AZ159" s="55"/>
      <c r="BA159" s="10">
        <v>30</v>
      </c>
      <c r="BB159" s="15">
        <v>381</v>
      </c>
      <c r="BC159" s="11">
        <v>369</v>
      </c>
      <c r="BD159" s="10">
        <v>31</v>
      </c>
      <c r="BE159" s="15">
        <v>428</v>
      </c>
      <c r="BF159" s="11">
        <v>376</v>
      </c>
      <c r="BG159" s="10">
        <v>53</v>
      </c>
      <c r="BH159" s="15">
        <v>748</v>
      </c>
      <c r="BI159" s="11">
        <v>644</v>
      </c>
      <c r="BJ159" s="10">
        <v>1</v>
      </c>
      <c r="BK159" s="15">
        <v>12</v>
      </c>
      <c r="BL159" s="11">
        <v>4</v>
      </c>
      <c r="BM159" s="46">
        <v>38</v>
      </c>
      <c r="BN159" s="43">
        <v>456</v>
      </c>
      <c r="BO159" s="47">
        <v>456</v>
      </c>
      <c r="BP159" s="46">
        <v>43</v>
      </c>
      <c r="BQ159" s="43">
        <v>532</v>
      </c>
      <c r="BR159" s="47">
        <v>500.4</v>
      </c>
      <c r="BS159" s="46">
        <v>68</v>
      </c>
      <c r="BT159" s="43">
        <v>956</v>
      </c>
      <c r="BU159" s="114">
        <v>826</v>
      </c>
      <c r="BV159" s="119">
        <v>44.3</v>
      </c>
      <c r="BW159" s="120">
        <v>531</v>
      </c>
      <c r="BX159" s="114">
        <v>530.04</v>
      </c>
      <c r="BY159" s="119">
        <v>56</v>
      </c>
      <c r="BZ159" s="120">
        <v>728</v>
      </c>
      <c r="CA159" s="114">
        <v>672.16</v>
      </c>
      <c r="CB159" s="119">
        <v>16</v>
      </c>
      <c r="CC159" s="120">
        <v>192</v>
      </c>
      <c r="CD159" s="114">
        <v>188.16</v>
      </c>
      <c r="CE159" s="119">
        <v>67</v>
      </c>
      <c r="CF159" s="120">
        <v>972</v>
      </c>
      <c r="CG159" s="114">
        <v>812.16000000000008</v>
      </c>
      <c r="CH159" s="119">
        <v>24</v>
      </c>
      <c r="CI159" s="120">
        <v>288</v>
      </c>
      <c r="CJ159" s="114">
        <v>284.16000000000003</v>
      </c>
      <c r="CK159" s="54">
        <f t="shared" si="30"/>
        <v>471.3</v>
      </c>
      <c r="CL159" s="63">
        <f t="shared" si="31"/>
        <v>6224</v>
      </c>
      <c r="CM159" s="55">
        <f t="shared" si="32"/>
        <v>5662.08</v>
      </c>
      <c r="CN159" s="54">
        <f t="shared" si="33"/>
        <v>39.274999999999999</v>
      </c>
      <c r="CO159" s="63">
        <f t="shared" si="34"/>
        <v>518.66666666666663</v>
      </c>
      <c r="CP159" s="172">
        <f t="shared" si="35"/>
        <v>471.84</v>
      </c>
      <c r="CQ159" s="158">
        <v>37</v>
      </c>
      <c r="CR159" s="159">
        <v>472</v>
      </c>
      <c r="CS159" s="179">
        <v>442.15999999999997</v>
      </c>
      <c r="CT159" s="27">
        <v>50</v>
      </c>
      <c r="CU159" s="58">
        <v>600</v>
      </c>
      <c r="CV159" s="12">
        <v>600</v>
      </c>
      <c r="CW159" s="27"/>
      <c r="CX159" s="58"/>
      <c r="CY159" s="98"/>
      <c r="CZ159" s="27"/>
      <c r="DA159" s="58"/>
      <c r="DB159" s="12"/>
      <c r="DC159" s="27"/>
      <c r="DD159" s="58"/>
      <c r="DE159" s="12"/>
      <c r="DF159" s="27"/>
      <c r="DG159" s="58"/>
      <c r="DH159" s="12"/>
      <c r="DI159" s="27"/>
      <c r="DJ159" s="58"/>
      <c r="DK159" s="107"/>
      <c r="DL159" s="27"/>
      <c r="DM159" s="58"/>
      <c r="DN159" s="107"/>
      <c r="DO159" s="27"/>
      <c r="DP159" s="58"/>
      <c r="DQ159" s="107"/>
      <c r="DR159" s="27"/>
      <c r="DS159" s="58"/>
      <c r="DT159" s="107"/>
      <c r="DU159" s="27"/>
      <c r="DV159" s="58"/>
      <c r="DW159" s="12"/>
      <c r="DX159" s="27"/>
      <c r="DY159" s="58"/>
      <c r="DZ159" s="107"/>
    </row>
    <row r="160" spans="1:130" s="25" customFormat="1" ht="31.5" customHeight="1" x14ac:dyDescent="0.6">
      <c r="A160" s="5">
        <v>157</v>
      </c>
      <c r="B160" s="18" t="s">
        <v>437</v>
      </c>
      <c r="C160" s="18" t="s">
        <v>438</v>
      </c>
      <c r="D160" s="18" t="s">
        <v>272</v>
      </c>
      <c r="E160" s="23" t="s">
        <v>273</v>
      </c>
      <c r="F160" s="7" t="s">
        <v>435</v>
      </c>
      <c r="G160" s="123"/>
      <c r="H160" s="123"/>
      <c r="I160" s="123" t="s">
        <v>1028</v>
      </c>
      <c r="J160" s="49" t="s">
        <v>436</v>
      </c>
      <c r="K160" s="27"/>
      <c r="L160" s="58"/>
      <c r="M160" s="78"/>
      <c r="N160" s="27"/>
      <c r="O160" s="58"/>
      <c r="P160" s="49"/>
      <c r="Q160" s="27"/>
      <c r="R160" s="58"/>
      <c r="S160" s="98"/>
      <c r="T160" s="27"/>
      <c r="U160" s="58"/>
      <c r="V160" s="12"/>
      <c r="W160" s="27"/>
      <c r="X160" s="58"/>
      <c r="Y160" s="12"/>
      <c r="Z160" s="27"/>
      <c r="AA160" s="58"/>
      <c r="AB160" s="12"/>
      <c r="AC160" s="27">
        <v>27</v>
      </c>
      <c r="AD160" s="58">
        <v>354</v>
      </c>
      <c r="AE160" s="107"/>
      <c r="AF160" s="27">
        <v>0</v>
      </c>
      <c r="AG160" s="58">
        <v>0</v>
      </c>
      <c r="AH160" s="107"/>
      <c r="AI160" s="27">
        <v>95</v>
      </c>
      <c r="AJ160" s="58">
        <v>1420</v>
      </c>
      <c r="AK160" s="107"/>
      <c r="AL160" s="27">
        <v>46</v>
      </c>
      <c r="AM160" s="58">
        <v>554</v>
      </c>
      <c r="AN160" s="12"/>
      <c r="AO160" s="27">
        <v>32</v>
      </c>
      <c r="AP160" s="58">
        <v>394</v>
      </c>
      <c r="AQ160" s="12"/>
      <c r="AR160" s="27">
        <v>17</v>
      </c>
      <c r="AS160" s="58">
        <v>260</v>
      </c>
      <c r="AT160" s="12"/>
      <c r="AU160" s="54"/>
      <c r="AV160" s="63"/>
      <c r="AW160" s="55"/>
      <c r="AX160" s="54"/>
      <c r="AY160" s="63"/>
      <c r="AZ160" s="55"/>
      <c r="BA160" s="10">
        <v>17</v>
      </c>
      <c r="BB160" s="15">
        <v>343</v>
      </c>
      <c r="BC160" s="11">
        <v>243.92000000000002</v>
      </c>
      <c r="BD160" s="10">
        <v>11</v>
      </c>
      <c r="BE160" s="15">
        <v>242</v>
      </c>
      <c r="BF160" s="11">
        <v>127.4</v>
      </c>
      <c r="BG160" s="10">
        <v>121</v>
      </c>
      <c r="BH160" s="15">
        <v>2582</v>
      </c>
      <c r="BI160" s="11">
        <v>1491.6000000000001</v>
      </c>
      <c r="BJ160" s="10">
        <v>28</v>
      </c>
      <c r="BK160" s="15">
        <v>493</v>
      </c>
      <c r="BL160" s="11">
        <v>332.96</v>
      </c>
      <c r="BM160" s="46">
        <v>28</v>
      </c>
      <c r="BN160" s="43">
        <v>404</v>
      </c>
      <c r="BO160" s="47">
        <v>336.4</v>
      </c>
      <c r="BP160" s="46">
        <v>53.5</v>
      </c>
      <c r="BQ160" s="43">
        <v>795</v>
      </c>
      <c r="BR160" s="47">
        <v>636.20000000000005</v>
      </c>
      <c r="BS160" s="46">
        <v>42</v>
      </c>
      <c r="BT160" s="43">
        <v>528</v>
      </c>
      <c r="BU160" s="114">
        <v>496.8</v>
      </c>
      <c r="BV160" s="119">
        <v>10.3</v>
      </c>
      <c r="BW160" s="120">
        <v>403</v>
      </c>
      <c r="BX160" s="114">
        <v>142.04</v>
      </c>
      <c r="BY160" s="119">
        <v>3</v>
      </c>
      <c r="BZ160" s="120">
        <v>36</v>
      </c>
      <c r="CA160" s="114">
        <v>36</v>
      </c>
      <c r="CB160" s="119">
        <v>5</v>
      </c>
      <c r="CC160" s="120">
        <v>200</v>
      </c>
      <c r="CD160" s="114">
        <v>70</v>
      </c>
      <c r="CE160" s="119">
        <v>22.17</v>
      </c>
      <c r="CF160" s="120">
        <v>826</v>
      </c>
      <c r="CG160" s="114">
        <v>302.15999999999997</v>
      </c>
      <c r="CH160" s="119">
        <v>18</v>
      </c>
      <c r="CI160" s="120">
        <v>216</v>
      </c>
      <c r="CJ160" s="114">
        <v>212.16</v>
      </c>
      <c r="CK160" s="54">
        <f t="shared" si="30"/>
        <v>358.97</v>
      </c>
      <c r="CL160" s="63">
        <f t="shared" si="31"/>
        <v>7068</v>
      </c>
      <c r="CM160" s="55">
        <f t="shared" si="32"/>
        <v>4427.6400000000003</v>
      </c>
      <c r="CN160" s="54">
        <f t="shared" si="33"/>
        <v>29.91416666666667</v>
      </c>
      <c r="CO160" s="63">
        <f t="shared" si="34"/>
        <v>589</v>
      </c>
      <c r="CP160" s="172">
        <f t="shared" si="35"/>
        <v>368.97</v>
      </c>
      <c r="CQ160" s="158">
        <v>35</v>
      </c>
      <c r="CR160" s="159">
        <v>840</v>
      </c>
      <c r="CS160" s="179">
        <v>450</v>
      </c>
      <c r="CT160" s="27">
        <v>58</v>
      </c>
      <c r="CU160" s="58">
        <v>1000</v>
      </c>
      <c r="CV160" s="12">
        <v>708.8</v>
      </c>
      <c r="CW160" s="27"/>
      <c r="CX160" s="58"/>
      <c r="CY160" s="98"/>
      <c r="CZ160" s="27"/>
      <c r="DA160" s="58"/>
      <c r="DB160" s="12"/>
      <c r="DC160" s="27"/>
      <c r="DD160" s="58"/>
      <c r="DE160" s="12"/>
      <c r="DF160" s="27"/>
      <c r="DG160" s="58"/>
      <c r="DH160" s="12"/>
      <c r="DI160" s="27"/>
      <c r="DJ160" s="58"/>
      <c r="DK160" s="107"/>
      <c r="DL160" s="27"/>
      <c r="DM160" s="58"/>
      <c r="DN160" s="107"/>
      <c r="DO160" s="27"/>
      <c r="DP160" s="58"/>
      <c r="DQ160" s="107"/>
      <c r="DR160" s="27"/>
      <c r="DS160" s="58"/>
      <c r="DT160" s="107"/>
      <c r="DU160" s="27"/>
      <c r="DV160" s="58"/>
      <c r="DW160" s="12"/>
      <c r="DX160" s="27"/>
      <c r="DY160" s="58"/>
      <c r="DZ160" s="107"/>
    </row>
    <row r="161" spans="1:130" s="25" customFormat="1" ht="31.5" customHeight="1" x14ac:dyDescent="0.6">
      <c r="A161" s="5">
        <v>158</v>
      </c>
      <c r="B161" s="18" t="s">
        <v>440</v>
      </c>
      <c r="C161" s="18" t="s">
        <v>440</v>
      </c>
      <c r="D161" s="18" t="s">
        <v>272</v>
      </c>
      <c r="E161" s="23" t="s">
        <v>273</v>
      </c>
      <c r="F161" s="7" t="s">
        <v>435</v>
      </c>
      <c r="G161" s="123"/>
      <c r="H161" s="123"/>
      <c r="I161" s="123" t="s">
        <v>1030</v>
      </c>
      <c r="J161" s="49" t="s">
        <v>436</v>
      </c>
      <c r="K161" s="27"/>
      <c r="L161" s="58"/>
      <c r="M161" s="78"/>
      <c r="N161" s="27"/>
      <c r="O161" s="58"/>
      <c r="P161" s="49"/>
      <c r="Q161" s="27"/>
      <c r="R161" s="58"/>
      <c r="S161" s="98"/>
      <c r="T161" s="27"/>
      <c r="U161" s="58"/>
      <c r="V161" s="12"/>
      <c r="W161" s="27"/>
      <c r="X161" s="58"/>
      <c r="Y161" s="12"/>
      <c r="Z161" s="27"/>
      <c r="AA161" s="58"/>
      <c r="AB161" s="12"/>
      <c r="AC161" s="27">
        <v>8</v>
      </c>
      <c r="AD161" s="58">
        <v>102</v>
      </c>
      <c r="AE161" s="107"/>
      <c r="AF161" s="27">
        <v>15</v>
      </c>
      <c r="AG161" s="58">
        <v>180</v>
      </c>
      <c r="AH161" s="107"/>
      <c r="AI161" s="27">
        <v>15</v>
      </c>
      <c r="AJ161" s="58">
        <v>180</v>
      </c>
      <c r="AK161" s="107"/>
      <c r="AL161" s="27">
        <v>16</v>
      </c>
      <c r="AM161" s="58">
        <v>194</v>
      </c>
      <c r="AN161" s="12"/>
      <c r="AO161" s="27">
        <v>10</v>
      </c>
      <c r="AP161" s="58">
        <v>120</v>
      </c>
      <c r="AQ161" s="12"/>
      <c r="AR161" s="27">
        <v>15</v>
      </c>
      <c r="AS161" s="58">
        <v>180</v>
      </c>
      <c r="AT161" s="12"/>
      <c r="AU161" s="54"/>
      <c r="AV161" s="63"/>
      <c r="AW161" s="55"/>
      <c r="AX161" s="54"/>
      <c r="AY161" s="63"/>
      <c r="AZ161" s="55"/>
      <c r="BA161" s="10">
        <v>15</v>
      </c>
      <c r="BB161" s="15">
        <v>180</v>
      </c>
      <c r="BC161" s="11">
        <v>180</v>
      </c>
      <c r="BD161" s="10">
        <v>0.21</v>
      </c>
      <c r="BE161" s="15">
        <v>5</v>
      </c>
      <c r="BF161" s="11">
        <v>1.75</v>
      </c>
      <c r="BG161" s="10">
        <v>62</v>
      </c>
      <c r="BH161" s="15">
        <v>774</v>
      </c>
      <c r="BI161" s="11">
        <v>743</v>
      </c>
      <c r="BJ161" s="10">
        <v>0</v>
      </c>
      <c r="BK161" s="15">
        <v>0</v>
      </c>
      <c r="BL161" s="11">
        <v>0</v>
      </c>
      <c r="BM161" s="46">
        <v>15</v>
      </c>
      <c r="BN161" s="43">
        <v>180</v>
      </c>
      <c r="BO161" s="47">
        <v>180</v>
      </c>
      <c r="BP161" s="46">
        <v>0</v>
      </c>
      <c r="BQ161" s="43">
        <v>0</v>
      </c>
      <c r="BR161" s="47">
        <v>0</v>
      </c>
      <c r="BS161" s="46">
        <v>0</v>
      </c>
      <c r="BT161" s="43">
        <v>0</v>
      </c>
      <c r="BU161" s="114">
        <v>0</v>
      </c>
      <c r="BV161" s="119">
        <v>15</v>
      </c>
      <c r="BW161" s="120">
        <v>180</v>
      </c>
      <c r="BX161" s="114">
        <v>180</v>
      </c>
      <c r="BY161" s="119">
        <v>0</v>
      </c>
      <c r="BZ161" s="120">
        <v>0</v>
      </c>
      <c r="CA161" s="114">
        <v>0</v>
      </c>
      <c r="CB161" s="119">
        <v>15</v>
      </c>
      <c r="CC161" s="120">
        <v>180</v>
      </c>
      <c r="CD161" s="114">
        <v>180</v>
      </c>
      <c r="CE161" s="119">
        <v>30</v>
      </c>
      <c r="CF161" s="120">
        <v>360</v>
      </c>
      <c r="CG161" s="114">
        <v>360</v>
      </c>
      <c r="CH161" s="119">
        <v>60</v>
      </c>
      <c r="CI161" s="120">
        <v>720</v>
      </c>
      <c r="CJ161" s="114">
        <v>720</v>
      </c>
      <c r="CK161" s="54">
        <f t="shared" si="30"/>
        <v>212.21</v>
      </c>
      <c r="CL161" s="63">
        <f t="shared" si="31"/>
        <v>2579</v>
      </c>
      <c r="CM161" s="55">
        <f t="shared" si="32"/>
        <v>2544.75</v>
      </c>
      <c r="CN161" s="54">
        <f t="shared" si="33"/>
        <v>17.684166666666666</v>
      </c>
      <c r="CO161" s="63">
        <f t="shared" si="34"/>
        <v>214.91666666666666</v>
      </c>
      <c r="CP161" s="172">
        <f t="shared" si="35"/>
        <v>212.0625</v>
      </c>
      <c r="CQ161" s="158">
        <v>30</v>
      </c>
      <c r="CR161" s="159">
        <v>360</v>
      </c>
      <c r="CS161" s="179">
        <v>360</v>
      </c>
      <c r="CT161" s="27">
        <v>30</v>
      </c>
      <c r="CU161" s="58">
        <v>360</v>
      </c>
      <c r="CV161" s="12">
        <v>360</v>
      </c>
      <c r="CW161" s="27"/>
      <c r="CX161" s="58"/>
      <c r="CY161" s="98"/>
      <c r="CZ161" s="27"/>
      <c r="DA161" s="58"/>
      <c r="DB161" s="12"/>
      <c r="DC161" s="27"/>
      <c r="DD161" s="58"/>
      <c r="DE161" s="12"/>
      <c r="DF161" s="27"/>
      <c r="DG161" s="58"/>
      <c r="DH161" s="12"/>
      <c r="DI161" s="27"/>
      <c r="DJ161" s="58"/>
      <c r="DK161" s="107"/>
      <c r="DL161" s="27"/>
      <c r="DM161" s="58"/>
      <c r="DN161" s="107"/>
      <c r="DO161" s="27"/>
      <c r="DP161" s="58"/>
      <c r="DQ161" s="107"/>
      <c r="DR161" s="27"/>
      <c r="DS161" s="58"/>
      <c r="DT161" s="107"/>
      <c r="DU161" s="27"/>
      <c r="DV161" s="58"/>
      <c r="DW161" s="12"/>
      <c r="DX161" s="27"/>
      <c r="DY161" s="58"/>
      <c r="DZ161" s="107"/>
    </row>
    <row r="162" spans="1:130" s="25" customFormat="1" ht="31.5" customHeight="1" x14ac:dyDescent="0.6">
      <c r="A162" s="5">
        <v>159</v>
      </c>
      <c r="B162" s="18" t="s">
        <v>441</v>
      </c>
      <c r="C162" s="18" t="s">
        <v>442</v>
      </c>
      <c r="D162" s="18" t="s">
        <v>272</v>
      </c>
      <c r="E162" s="23" t="s">
        <v>273</v>
      </c>
      <c r="F162" s="7" t="s">
        <v>435</v>
      </c>
      <c r="G162" s="123"/>
      <c r="H162" s="123"/>
      <c r="I162" s="123" t="s">
        <v>1031</v>
      </c>
      <c r="J162" s="49" t="s">
        <v>436</v>
      </c>
      <c r="K162" s="27"/>
      <c r="L162" s="58"/>
      <c r="M162" s="78"/>
      <c r="N162" s="27"/>
      <c r="O162" s="58"/>
      <c r="P162" s="49"/>
      <c r="Q162" s="27"/>
      <c r="R162" s="58"/>
      <c r="S162" s="98"/>
      <c r="T162" s="27"/>
      <c r="U162" s="58"/>
      <c r="V162" s="12"/>
      <c r="W162" s="27"/>
      <c r="X162" s="58"/>
      <c r="Y162" s="12"/>
      <c r="Z162" s="27"/>
      <c r="AA162" s="58"/>
      <c r="AB162" s="12"/>
      <c r="AC162" s="27">
        <v>29</v>
      </c>
      <c r="AD162" s="58">
        <v>432</v>
      </c>
      <c r="AE162" s="107"/>
      <c r="AF162" s="27">
        <v>3</v>
      </c>
      <c r="AG162" s="58">
        <v>120</v>
      </c>
      <c r="AH162" s="107"/>
      <c r="AI162" s="27">
        <v>42</v>
      </c>
      <c r="AJ162" s="58">
        <v>588</v>
      </c>
      <c r="AK162" s="107"/>
      <c r="AL162" s="27">
        <v>52</v>
      </c>
      <c r="AM162" s="58">
        <v>764</v>
      </c>
      <c r="AN162" s="12"/>
      <c r="AO162" s="27">
        <v>4</v>
      </c>
      <c r="AP162" s="58">
        <v>48</v>
      </c>
      <c r="AQ162" s="12"/>
      <c r="AR162" s="27">
        <v>25</v>
      </c>
      <c r="AS162" s="58">
        <v>356</v>
      </c>
      <c r="AT162" s="12"/>
      <c r="AU162" s="54"/>
      <c r="AV162" s="63"/>
      <c r="AW162" s="55"/>
      <c r="AX162" s="54"/>
      <c r="AY162" s="63"/>
      <c r="AZ162" s="55"/>
      <c r="BA162" s="10">
        <v>20</v>
      </c>
      <c r="BB162" s="15">
        <v>243</v>
      </c>
      <c r="BC162" s="11">
        <v>241</v>
      </c>
      <c r="BD162" s="10">
        <v>35</v>
      </c>
      <c r="BE162" s="15">
        <v>420</v>
      </c>
      <c r="BF162" s="11">
        <v>420</v>
      </c>
      <c r="BG162" s="10">
        <v>89</v>
      </c>
      <c r="BH162" s="15">
        <v>1292</v>
      </c>
      <c r="BI162" s="11">
        <v>1045.5999999999999</v>
      </c>
      <c r="BJ162" s="10">
        <v>20</v>
      </c>
      <c r="BK162" s="15">
        <v>258</v>
      </c>
      <c r="BL162" s="11">
        <v>246</v>
      </c>
      <c r="BM162" s="46">
        <v>30</v>
      </c>
      <c r="BN162" s="43">
        <v>556</v>
      </c>
      <c r="BO162" s="47">
        <v>359.4</v>
      </c>
      <c r="BP162" s="46">
        <v>51</v>
      </c>
      <c r="BQ162" s="43">
        <v>745</v>
      </c>
      <c r="BR162" s="47">
        <v>613.29999999999995</v>
      </c>
      <c r="BS162" s="46">
        <v>37</v>
      </c>
      <c r="BT162" s="43">
        <v>472</v>
      </c>
      <c r="BU162" s="114">
        <v>436.4</v>
      </c>
      <c r="BV162" s="119">
        <v>57</v>
      </c>
      <c r="BW162" s="120">
        <v>796</v>
      </c>
      <c r="BX162" s="114">
        <v>677.6</v>
      </c>
      <c r="BY162" s="119">
        <v>26.25</v>
      </c>
      <c r="BZ162" s="120">
        <v>399</v>
      </c>
      <c r="CA162" s="114">
        <v>315.24</v>
      </c>
      <c r="CB162" s="119">
        <v>17</v>
      </c>
      <c r="CC162" s="120">
        <v>204</v>
      </c>
      <c r="CD162" s="114">
        <v>194.4</v>
      </c>
      <c r="CE162" s="119">
        <v>55.25</v>
      </c>
      <c r="CF162" s="120">
        <v>747</v>
      </c>
      <c r="CG162" s="114">
        <v>658.44</v>
      </c>
      <c r="CH162" s="119">
        <v>37</v>
      </c>
      <c r="CI162" s="120">
        <v>528</v>
      </c>
      <c r="CJ162" s="114">
        <v>440.4</v>
      </c>
      <c r="CK162" s="54">
        <f t="shared" si="30"/>
        <v>474.5</v>
      </c>
      <c r="CL162" s="63">
        <f t="shared" si="31"/>
        <v>6660</v>
      </c>
      <c r="CM162" s="55">
        <f t="shared" si="32"/>
        <v>5647.7799999999988</v>
      </c>
      <c r="CN162" s="54">
        <f t="shared" si="33"/>
        <v>39.541666666666664</v>
      </c>
      <c r="CO162" s="63">
        <f t="shared" si="34"/>
        <v>555</v>
      </c>
      <c r="CP162" s="172">
        <f t="shared" si="35"/>
        <v>470.64833333333326</v>
      </c>
      <c r="CQ162" s="158">
        <v>39</v>
      </c>
      <c r="CR162" s="159">
        <v>524</v>
      </c>
      <c r="CS162" s="179">
        <v>462.4</v>
      </c>
      <c r="CT162" s="27">
        <v>71</v>
      </c>
      <c r="CU162" s="58">
        <v>1160</v>
      </c>
      <c r="CV162" s="12">
        <v>874</v>
      </c>
      <c r="CW162" s="27"/>
      <c r="CX162" s="58"/>
      <c r="CY162" s="98"/>
      <c r="CZ162" s="27"/>
      <c r="DA162" s="58"/>
      <c r="DB162" s="12"/>
      <c r="DC162" s="27"/>
      <c r="DD162" s="58"/>
      <c r="DE162" s="12"/>
      <c r="DF162" s="27"/>
      <c r="DG162" s="58"/>
      <c r="DH162" s="12"/>
      <c r="DI162" s="27"/>
      <c r="DJ162" s="58"/>
      <c r="DK162" s="107"/>
      <c r="DL162" s="27"/>
      <c r="DM162" s="58"/>
      <c r="DN162" s="107"/>
      <c r="DO162" s="27"/>
      <c r="DP162" s="58"/>
      <c r="DQ162" s="107"/>
      <c r="DR162" s="27"/>
      <c r="DS162" s="58"/>
      <c r="DT162" s="107"/>
      <c r="DU162" s="27"/>
      <c r="DV162" s="58"/>
      <c r="DW162" s="12"/>
      <c r="DX162" s="27"/>
      <c r="DY162" s="58"/>
      <c r="DZ162" s="12"/>
    </row>
    <row r="163" spans="1:130" s="25" customFormat="1" ht="31.5" customHeight="1" x14ac:dyDescent="0.6">
      <c r="A163" s="5">
        <v>160</v>
      </c>
      <c r="B163" s="18" t="s">
        <v>401</v>
      </c>
      <c r="C163" s="18" t="s">
        <v>402</v>
      </c>
      <c r="D163" s="18" t="s">
        <v>443</v>
      </c>
      <c r="E163" s="23" t="s">
        <v>444</v>
      </c>
      <c r="F163" s="7" t="s">
        <v>435</v>
      </c>
      <c r="G163" s="123"/>
      <c r="H163" s="123"/>
      <c r="I163" s="123" t="s">
        <v>1011</v>
      </c>
      <c r="J163" s="49" t="s">
        <v>436</v>
      </c>
      <c r="K163" s="27"/>
      <c r="L163" s="58"/>
      <c r="M163" s="78"/>
      <c r="N163" s="27"/>
      <c r="O163" s="58"/>
      <c r="P163" s="49"/>
      <c r="Q163" s="27"/>
      <c r="R163" s="58"/>
      <c r="S163" s="98"/>
      <c r="T163" s="27"/>
      <c r="U163" s="58"/>
      <c r="V163" s="12"/>
      <c r="W163" s="27"/>
      <c r="X163" s="58"/>
      <c r="Y163" s="12"/>
      <c r="Z163" s="27"/>
      <c r="AA163" s="58"/>
      <c r="AB163" s="12"/>
      <c r="AC163" s="27">
        <v>36</v>
      </c>
      <c r="AD163" s="58">
        <v>820</v>
      </c>
      <c r="AE163" s="107"/>
      <c r="AF163" s="27">
        <v>32</v>
      </c>
      <c r="AG163" s="58">
        <v>716</v>
      </c>
      <c r="AH163" s="107"/>
      <c r="AI163" s="27">
        <v>64</v>
      </c>
      <c r="AJ163" s="58">
        <v>1180</v>
      </c>
      <c r="AK163" s="107"/>
      <c r="AL163" s="27">
        <v>28</v>
      </c>
      <c r="AM163" s="58">
        <v>584</v>
      </c>
      <c r="AN163" s="12"/>
      <c r="AO163" s="27">
        <v>76</v>
      </c>
      <c r="AP163" s="58">
        <v>1216</v>
      </c>
      <c r="AQ163" s="12"/>
      <c r="AR163" s="27">
        <v>38</v>
      </c>
      <c r="AS163" s="58">
        <v>760</v>
      </c>
      <c r="AT163" s="12"/>
      <c r="AU163" s="54"/>
      <c r="AV163" s="63"/>
      <c r="AW163" s="55"/>
      <c r="AX163" s="54"/>
      <c r="AY163" s="63"/>
      <c r="AZ163" s="55"/>
      <c r="BA163" s="10">
        <v>4</v>
      </c>
      <c r="BB163" s="15">
        <v>72</v>
      </c>
      <c r="BC163" s="11">
        <v>40.4</v>
      </c>
      <c r="BD163" s="10">
        <v>7</v>
      </c>
      <c r="BE163" s="15">
        <v>248</v>
      </c>
      <c r="BF163" s="11">
        <v>87</v>
      </c>
      <c r="BG163" s="10">
        <v>91</v>
      </c>
      <c r="BH163" s="15">
        <v>1516</v>
      </c>
      <c r="BI163" s="11">
        <v>974.8</v>
      </c>
      <c r="BJ163" s="10">
        <v>44</v>
      </c>
      <c r="BK163" s="15">
        <v>956</v>
      </c>
      <c r="BL163" s="11">
        <v>511.6</v>
      </c>
      <c r="BM163" s="46">
        <v>87</v>
      </c>
      <c r="BN163" s="43">
        <v>2036</v>
      </c>
      <c r="BO163" s="47">
        <v>1110.4000000000001</v>
      </c>
      <c r="BP163" s="46">
        <v>57.5</v>
      </c>
      <c r="BQ163" s="43">
        <v>1266</v>
      </c>
      <c r="BR163" s="47">
        <v>720.3</v>
      </c>
      <c r="BS163" s="46">
        <v>71</v>
      </c>
      <c r="BT163" s="43">
        <v>1248</v>
      </c>
      <c r="BU163" s="114">
        <v>828.8</v>
      </c>
      <c r="BV163" s="119">
        <v>33.5</v>
      </c>
      <c r="BW163" s="120">
        <v>486</v>
      </c>
      <c r="BX163" s="114">
        <v>367.68</v>
      </c>
      <c r="BY163" s="119">
        <v>50</v>
      </c>
      <c r="BZ163" s="120">
        <v>1140</v>
      </c>
      <c r="CA163" s="114">
        <v>606</v>
      </c>
      <c r="CB163" s="119">
        <v>34</v>
      </c>
      <c r="CC163" s="120">
        <v>908</v>
      </c>
      <c r="CD163" s="114">
        <v>434.79999999999995</v>
      </c>
      <c r="CE163" s="119">
        <v>22.5</v>
      </c>
      <c r="CF163" s="120">
        <v>590</v>
      </c>
      <c r="CG163" s="114">
        <v>262.48</v>
      </c>
      <c r="CH163" s="119">
        <v>51</v>
      </c>
      <c r="CI163" s="120">
        <v>1072</v>
      </c>
      <c r="CJ163" s="114">
        <v>621.20000000000005</v>
      </c>
      <c r="CK163" s="54">
        <f t="shared" si="30"/>
        <v>552.5</v>
      </c>
      <c r="CL163" s="63">
        <f t="shared" si="31"/>
        <v>11538</v>
      </c>
      <c r="CM163" s="55">
        <f t="shared" si="32"/>
        <v>6565.46</v>
      </c>
      <c r="CN163" s="54">
        <f t="shared" si="33"/>
        <v>46.041666666666664</v>
      </c>
      <c r="CO163" s="63">
        <f t="shared" si="34"/>
        <v>961.5</v>
      </c>
      <c r="CP163" s="172">
        <f t="shared" si="35"/>
        <v>547.12166666666667</v>
      </c>
      <c r="CQ163" s="158">
        <v>12</v>
      </c>
      <c r="CR163" s="159">
        <v>308</v>
      </c>
      <c r="CS163" s="179">
        <v>122.80000000000001</v>
      </c>
      <c r="CT163" s="27">
        <v>35</v>
      </c>
      <c r="CU163" s="58">
        <v>684</v>
      </c>
      <c r="CV163" s="12">
        <v>434.4</v>
      </c>
      <c r="CW163" s="27"/>
      <c r="CX163" s="58"/>
      <c r="CY163" s="98"/>
      <c r="CZ163" s="27"/>
      <c r="DA163" s="58"/>
      <c r="DB163" s="12"/>
      <c r="DC163" s="27"/>
      <c r="DD163" s="58"/>
      <c r="DE163" s="12"/>
      <c r="DF163" s="27"/>
      <c r="DG163" s="58"/>
      <c r="DH163" s="12"/>
      <c r="DI163" s="27"/>
      <c r="DJ163" s="58"/>
      <c r="DK163" s="107"/>
      <c r="DL163" s="27"/>
      <c r="DM163" s="58"/>
      <c r="DN163" s="107"/>
      <c r="DO163" s="27"/>
      <c r="DP163" s="58"/>
      <c r="DQ163" s="107"/>
      <c r="DR163" s="27"/>
      <c r="DS163" s="58"/>
      <c r="DT163" s="107"/>
      <c r="DU163" s="27"/>
      <c r="DV163" s="58"/>
      <c r="DW163" s="12"/>
      <c r="DX163" s="27"/>
      <c r="DY163" s="58"/>
      <c r="DZ163" s="12"/>
    </row>
    <row r="164" spans="1:130" s="25" customFormat="1" ht="31.5" customHeight="1" x14ac:dyDescent="0.6">
      <c r="A164" s="5">
        <v>161</v>
      </c>
      <c r="B164" s="18" t="s">
        <v>445</v>
      </c>
      <c r="C164" s="18" t="s">
        <v>445</v>
      </c>
      <c r="D164" s="18" t="s">
        <v>443</v>
      </c>
      <c r="E164" s="23" t="s">
        <v>444</v>
      </c>
      <c r="F164" s="7" t="s">
        <v>435</v>
      </c>
      <c r="G164" s="123"/>
      <c r="H164" s="123"/>
      <c r="I164" s="123" t="s">
        <v>1033</v>
      </c>
      <c r="J164" s="49" t="s">
        <v>436</v>
      </c>
      <c r="K164" s="27"/>
      <c r="L164" s="58"/>
      <c r="M164" s="78"/>
      <c r="N164" s="27"/>
      <c r="O164" s="58"/>
      <c r="P164" s="49"/>
      <c r="Q164" s="27"/>
      <c r="R164" s="58"/>
      <c r="S164" s="98"/>
      <c r="T164" s="27"/>
      <c r="U164" s="58"/>
      <c r="V164" s="12"/>
      <c r="W164" s="27"/>
      <c r="X164" s="58"/>
      <c r="Y164" s="12"/>
      <c r="Z164" s="27"/>
      <c r="AA164" s="58"/>
      <c r="AB164" s="12"/>
      <c r="AC164" s="27">
        <v>30</v>
      </c>
      <c r="AD164" s="58">
        <v>556</v>
      </c>
      <c r="AE164" s="107"/>
      <c r="AF164" s="27">
        <v>13</v>
      </c>
      <c r="AG164" s="58">
        <v>156</v>
      </c>
      <c r="AH164" s="107"/>
      <c r="AI164" s="27">
        <v>74</v>
      </c>
      <c r="AJ164" s="58">
        <v>1196</v>
      </c>
      <c r="AK164" s="107"/>
      <c r="AL164" s="27">
        <v>56</v>
      </c>
      <c r="AM164" s="58">
        <v>868</v>
      </c>
      <c r="AN164" s="12"/>
      <c r="AO164" s="27">
        <v>24</v>
      </c>
      <c r="AP164" s="58">
        <v>484</v>
      </c>
      <c r="AQ164" s="12"/>
      <c r="AR164" s="27">
        <v>31</v>
      </c>
      <c r="AS164" s="58">
        <v>596</v>
      </c>
      <c r="AT164" s="12"/>
      <c r="AU164" s="54"/>
      <c r="AV164" s="63"/>
      <c r="AW164" s="55"/>
      <c r="AX164" s="54"/>
      <c r="AY164" s="63"/>
      <c r="AZ164" s="55"/>
      <c r="BA164" s="10">
        <v>5</v>
      </c>
      <c r="BB164" s="15">
        <v>292</v>
      </c>
      <c r="BC164" s="11">
        <v>258</v>
      </c>
      <c r="BD164" s="10">
        <v>12</v>
      </c>
      <c r="BE164" s="15">
        <v>169</v>
      </c>
      <c r="BF164" s="11">
        <v>138.30000000000001</v>
      </c>
      <c r="BG164" s="10">
        <v>148</v>
      </c>
      <c r="BH164" s="15">
        <v>2056</v>
      </c>
      <c r="BI164" s="11">
        <v>1796</v>
      </c>
      <c r="BJ164" s="10">
        <v>31</v>
      </c>
      <c r="BK164" s="15">
        <v>446</v>
      </c>
      <c r="BL164" s="11">
        <v>374</v>
      </c>
      <c r="BM164" s="46">
        <v>63</v>
      </c>
      <c r="BN164" s="43">
        <v>868</v>
      </c>
      <c r="BO164" s="47">
        <v>764</v>
      </c>
      <c r="BP164" s="46">
        <v>67</v>
      </c>
      <c r="BQ164" s="43">
        <v>908</v>
      </c>
      <c r="BR164" s="47">
        <v>790.5</v>
      </c>
      <c r="BS164" s="46">
        <v>144</v>
      </c>
      <c r="BT164" s="43">
        <v>1806</v>
      </c>
      <c r="BU164" s="114">
        <v>1723</v>
      </c>
      <c r="BV164" s="119">
        <v>86.1</v>
      </c>
      <c r="BW164" s="120">
        <v>1201</v>
      </c>
      <c r="BX164" s="114">
        <v>1044.68</v>
      </c>
      <c r="BY164" s="119">
        <v>60</v>
      </c>
      <c r="BZ164" s="120">
        <v>720</v>
      </c>
      <c r="CA164" s="114">
        <v>720</v>
      </c>
      <c r="CB164" s="119">
        <v>15</v>
      </c>
      <c r="CC164" s="120">
        <v>180</v>
      </c>
      <c r="CD164" s="114">
        <v>180</v>
      </c>
      <c r="CE164" s="119">
        <v>62.75</v>
      </c>
      <c r="CF164" s="120">
        <v>753</v>
      </c>
      <c r="CG164" s="114">
        <v>750.12</v>
      </c>
      <c r="CH164" s="119">
        <v>82</v>
      </c>
      <c r="CI164" s="120">
        <v>1040</v>
      </c>
      <c r="CJ164" s="114">
        <v>988</v>
      </c>
      <c r="CK164" s="54">
        <f t="shared" si="30"/>
        <v>775.85</v>
      </c>
      <c r="CL164" s="63">
        <f t="shared" si="31"/>
        <v>10439</v>
      </c>
      <c r="CM164" s="55">
        <f t="shared" si="32"/>
        <v>9526.6</v>
      </c>
      <c r="CN164" s="54">
        <f t="shared" si="33"/>
        <v>64.654166666666669</v>
      </c>
      <c r="CO164" s="63">
        <f t="shared" si="34"/>
        <v>869.91666666666663</v>
      </c>
      <c r="CP164" s="172">
        <f t="shared" si="35"/>
        <v>793.88333333333333</v>
      </c>
      <c r="CQ164" s="158">
        <v>81</v>
      </c>
      <c r="CR164" s="159">
        <v>1000</v>
      </c>
      <c r="CS164" s="179">
        <v>974</v>
      </c>
      <c r="CT164" s="27">
        <v>62</v>
      </c>
      <c r="CU164" s="58">
        <v>772</v>
      </c>
      <c r="CV164" s="12">
        <v>742.16</v>
      </c>
      <c r="CW164" s="27"/>
      <c r="CX164" s="58"/>
      <c r="CY164" s="98"/>
      <c r="CZ164" s="27"/>
      <c r="DA164" s="58"/>
      <c r="DB164" s="12"/>
      <c r="DC164" s="27"/>
      <c r="DD164" s="58"/>
      <c r="DE164" s="12"/>
      <c r="DF164" s="27"/>
      <c r="DG164" s="58"/>
      <c r="DH164" s="12"/>
      <c r="DI164" s="27"/>
      <c r="DJ164" s="58"/>
      <c r="DK164" s="107"/>
      <c r="DL164" s="27"/>
      <c r="DM164" s="58"/>
      <c r="DN164" s="107"/>
      <c r="DO164" s="27"/>
      <c r="DP164" s="58"/>
      <c r="DQ164" s="107"/>
      <c r="DR164" s="27"/>
      <c r="DS164" s="58"/>
      <c r="DT164" s="107"/>
      <c r="DU164" s="27"/>
      <c r="DV164" s="58"/>
      <c r="DW164" s="12"/>
      <c r="DX164" s="27"/>
      <c r="DY164" s="58"/>
      <c r="DZ164" s="12"/>
    </row>
    <row r="165" spans="1:130" s="25" customFormat="1" ht="31.5" customHeight="1" x14ac:dyDescent="0.6">
      <c r="A165" s="5">
        <v>162</v>
      </c>
      <c r="B165" s="18" t="s">
        <v>446</v>
      </c>
      <c r="C165" s="18" t="s">
        <v>447</v>
      </c>
      <c r="D165" s="18" t="s">
        <v>448</v>
      </c>
      <c r="E165" s="23" t="s">
        <v>449</v>
      </c>
      <c r="F165" s="7" t="s">
        <v>435</v>
      </c>
      <c r="G165" s="123"/>
      <c r="H165" s="123"/>
      <c r="I165" s="123" t="s">
        <v>1034</v>
      </c>
      <c r="J165" s="49" t="s">
        <v>436</v>
      </c>
      <c r="K165" s="27"/>
      <c r="L165" s="58"/>
      <c r="M165" s="78"/>
      <c r="N165" s="27"/>
      <c r="O165" s="58"/>
      <c r="P165" s="49"/>
      <c r="Q165" s="27"/>
      <c r="R165" s="58"/>
      <c r="S165" s="98"/>
      <c r="T165" s="27"/>
      <c r="U165" s="58"/>
      <c r="V165" s="12"/>
      <c r="W165" s="27"/>
      <c r="X165" s="58"/>
      <c r="Y165" s="12"/>
      <c r="Z165" s="27"/>
      <c r="AA165" s="58"/>
      <c r="AB165" s="12"/>
      <c r="AC165" s="27">
        <v>185</v>
      </c>
      <c r="AD165" s="58">
        <v>2220</v>
      </c>
      <c r="AE165" s="107"/>
      <c r="AF165" s="27">
        <v>55</v>
      </c>
      <c r="AG165" s="58">
        <v>660</v>
      </c>
      <c r="AH165" s="107"/>
      <c r="AI165" s="27">
        <v>90</v>
      </c>
      <c r="AJ165" s="58">
        <v>1080</v>
      </c>
      <c r="AK165" s="107"/>
      <c r="AL165" s="27">
        <v>90</v>
      </c>
      <c r="AM165" s="58">
        <v>1080</v>
      </c>
      <c r="AN165" s="12"/>
      <c r="AO165" s="27">
        <v>50</v>
      </c>
      <c r="AP165" s="58">
        <v>600</v>
      </c>
      <c r="AQ165" s="12"/>
      <c r="AR165" s="27">
        <v>45</v>
      </c>
      <c r="AS165" s="58">
        <v>540</v>
      </c>
      <c r="AT165" s="12"/>
      <c r="AU165" s="54"/>
      <c r="AV165" s="63"/>
      <c r="AW165" s="55"/>
      <c r="AX165" s="54"/>
      <c r="AY165" s="63"/>
      <c r="AZ165" s="55"/>
      <c r="BA165" s="10">
        <v>25</v>
      </c>
      <c r="BB165" s="15">
        <v>300</v>
      </c>
      <c r="BC165" s="11">
        <v>300</v>
      </c>
      <c r="BD165" s="10">
        <v>30</v>
      </c>
      <c r="BE165" s="15">
        <v>360</v>
      </c>
      <c r="BF165" s="11">
        <v>360</v>
      </c>
      <c r="BG165" s="10">
        <v>85</v>
      </c>
      <c r="BH165" s="15">
        <v>1020</v>
      </c>
      <c r="BI165" s="11">
        <v>1020</v>
      </c>
      <c r="BJ165" s="10">
        <v>15</v>
      </c>
      <c r="BK165" s="15">
        <v>180</v>
      </c>
      <c r="BL165" s="11">
        <v>180</v>
      </c>
      <c r="BM165" s="46">
        <v>0</v>
      </c>
      <c r="BN165" s="43">
        <v>0</v>
      </c>
      <c r="BO165" s="47">
        <v>0</v>
      </c>
      <c r="BP165" s="46">
        <v>160</v>
      </c>
      <c r="BQ165" s="43">
        <v>2200</v>
      </c>
      <c r="BR165" s="47">
        <v>1940</v>
      </c>
      <c r="BS165" s="46">
        <v>100</v>
      </c>
      <c r="BT165" s="43">
        <v>1200</v>
      </c>
      <c r="BU165" s="114">
        <v>1200</v>
      </c>
      <c r="BV165" s="119">
        <v>20</v>
      </c>
      <c r="BW165" s="120">
        <v>243</v>
      </c>
      <c r="BX165" s="114">
        <v>242.04</v>
      </c>
      <c r="BY165" s="119">
        <v>2</v>
      </c>
      <c r="BZ165" s="120">
        <v>80</v>
      </c>
      <c r="CA165" s="114">
        <v>28</v>
      </c>
      <c r="CB165" s="119">
        <v>15</v>
      </c>
      <c r="CC165" s="120">
        <v>180</v>
      </c>
      <c r="CD165" s="114">
        <v>180</v>
      </c>
      <c r="CE165" s="119">
        <v>71.5</v>
      </c>
      <c r="CF165" s="120">
        <v>1026</v>
      </c>
      <c r="CG165" s="114">
        <v>868.08</v>
      </c>
      <c r="CH165" s="119">
        <v>70.5</v>
      </c>
      <c r="CI165" s="120">
        <v>1546</v>
      </c>
      <c r="CJ165" s="114">
        <v>896</v>
      </c>
      <c r="CK165" s="54">
        <f t="shared" si="30"/>
        <v>594</v>
      </c>
      <c r="CL165" s="63">
        <f t="shared" si="31"/>
        <v>8335</v>
      </c>
      <c r="CM165" s="55">
        <f t="shared" si="32"/>
        <v>7214.12</v>
      </c>
      <c r="CN165" s="54">
        <f t="shared" si="33"/>
        <v>49.5</v>
      </c>
      <c r="CO165" s="63">
        <f t="shared" si="34"/>
        <v>694.58333333333337</v>
      </c>
      <c r="CP165" s="172">
        <f t="shared" si="35"/>
        <v>601.17666666666662</v>
      </c>
      <c r="CQ165" s="158">
        <v>42</v>
      </c>
      <c r="CR165" s="159">
        <v>700</v>
      </c>
      <c r="CS165" s="179">
        <v>518</v>
      </c>
      <c r="CT165" s="27">
        <v>65</v>
      </c>
      <c r="CU165" s="58">
        <v>920</v>
      </c>
      <c r="CV165" s="12">
        <v>790</v>
      </c>
      <c r="CW165" s="27"/>
      <c r="CX165" s="58"/>
      <c r="CY165" s="98"/>
      <c r="CZ165" s="27"/>
      <c r="DA165" s="58"/>
      <c r="DB165" s="12"/>
      <c r="DC165" s="27"/>
      <c r="DD165" s="58"/>
      <c r="DE165" s="12"/>
      <c r="DF165" s="27"/>
      <c r="DG165" s="58"/>
      <c r="DH165" s="12"/>
      <c r="DI165" s="27"/>
      <c r="DJ165" s="58"/>
      <c r="DK165" s="107"/>
      <c r="DL165" s="27"/>
      <c r="DM165" s="58"/>
      <c r="DN165" s="107"/>
      <c r="DO165" s="27"/>
      <c r="DP165" s="58"/>
      <c r="DQ165" s="107"/>
      <c r="DR165" s="27"/>
      <c r="DS165" s="58"/>
      <c r="DT165" s="107"/>
      <c r="DU165" s="27"/>
      <c r="DV165" s="58"/>
      <c r="DW165" s="12"/>
      <c r="DX165" s="27"/>
      <c r="DY165" s="58"/>
      <c r="DZ165" s="12"/>
    </row>
    <row r="166" spans="1:130" s="25" customFormat="1" ht="31.5" customHeight="1" x14ac:dyDescent="0.6">
      <c r="A166" s="5">
        <v>163</v>
      </c>
      <c r="B166" s="18" t="s">
        <v>450</v>
      </c>
      <c r="C166" s="18" t="s">
        <v>451</v>
      </c>
      <c r="D166" s="18" t="s">
        <v>448</v>
      </c>
      <c r="E166" s="23" t="s">
        <v>449</v>
      </c>
      <c r="F166" s="7" t="s">
        <v>435</v>
      </c>
      <c r="G166" s="123"/>
      <c r="H166" s="123"/>
      <c r="I166" s="123" t="s">
        <v>1035</v>
      </c>
      <c r="J166" s="49" t="s">
        <v>436</v>
      </c>
      <c r="K166" s="27"/>
      <c r="L166" s="58"/>
      <c r="M166" s="78"/>
      <c r="N166" s="27"/>
      <c r="O166" s="58"/>
      <c r="P166" s="49"/>
      <c r="Q166" s="27"/>
      <c r="R166" s="58"/>
      <c r="S166" s="98"/>
      <c r="T166" s="27"/>
      <c r="U166" s="58"/>
      <c r="V166" s="12"/>
      <c r="W166" s="27"/>
      <c r="X166" s="58"/>
      <c r="Y166" s="12"/>
      <c r="Z166" s="27"/>
      <c r="AA166" s="58"/>
      <c r="AB166" s="12"/>
      <c r="AC166" s="27">
        <v>0</v>
      </c>
      <c r="AD166" s="58">
        <v>0</v>
      </c>
      <c r="AE166" s="107"/>
      <c r="AF166" s="27">
        <v>0</v>
      </c>
      <c r="AG166" s="58">
        <v>0</v>
      </c>
      <c r="AH166" s="107"/>
      <c r="AI166" s="27">
        <v>40</v>
      </c>
      <c r="AJ166" s="58">
        <v>480</v>
      </c>
      <c r="AK166" s="107"/>
      <c r="AL166" s="27">
        <v>22</v>
      </c>
      <c r="AM166" s="58">
        <v>264</v>
      </c>
      <c r="AN166" s="12"/>
      <c r="AO166" s="27">
        <v>45</v>
      </c>
      <c r="AP166" s="58">
        <v>540</v>
      </c>
      <c r="AQ166" s="12"/>
      <c r="AR166" s="27">
        <v>25</v>
      </c>
      <c r="AS166" s="58">
        <v>300</v>
      </c>
      <c r="AT166" s="12"/>
      <c r="AU166" s="54"/>
      <c r="AV166" s="63"/>
      <c r="AW166" s="55"/>
      <c r="AX166" s="54"/>
      <c r="AY166" s="63"/>
      <c r="AZ166" s="55"/>
      <c r="BA166" s="10">
        <v>30</v>
      </c>
      <c r="BB166" s="15">
        <v>360</v>
      </c>
      <c r="BC166" s="11">
        <v>360</v>
      </c>
      <c r="BD166" s="10">
        <v>25</v>
      </c>
      <c r="BE166" s="15">
        <v>300</v>
      </c>
      <c r="BF166" s="11">
        <v>300</v>
      </c>
      <c r="BG166" s="10">
        <v>45</v>
      </c>
      <c r="BH166" s="15">
        <v>540</v>
      </c>
      <c r="BI166" s="11">
        <v>540</v>
      </c>
      <c r="BJ166" s="10">
        <v>10</v>
      </c>
      <c r="BK166" s="15">
        <v>120</v>
      </c>
      <c r="BL166" s="11">
        <v>120</v>
      </c>
      <c r="BM166" s="46">
        <v>45</v>
      </c>
      <c r="BN166" s="43">
        <v>540</v>
      </c>
      <c r="BO166" s="47">
        <v>540</v>
      </c>
      <c r="BP166" s="46">
        <v>26</v>
      </c>
      <c r="BQ166" s="43">
        <v>312</v>
      </c>
      <c r="BR166" s="47">
        <v>312</v>
      </c>
      <c r="BS166" s="46">
        <v>25</v>
      </c>
      <c r="BT166" s="43">
        <v>300</v>
      </c>
      <c r="BU166" s="114">
        <v>300</v>
      </c>
      <c r="BV166" s="119">
        <v>30</v>
      </c>
      <c r="BW166" s="120">
        <v>360</v>
      </c>
      <c r="BX166" s="114">
        <v>360</v>
      </c>
      <c r="BY166" s="119">
        <v>29</v>
      </c>
      <c r="BZ166" s="120">
        <v>348</v>
      </c>
      <c r="CA166" s="114">
        <v>348</v>
      </c>
      <c r="CB166" s="119">
        <v>22</v>
      </c>
      <c r="CC166" s="120">
        <v>264</v>
      </c>
      <c r="CD166" s="114">
        <v>264</v>
      </c>
      <c r="CE166" s="119">
        <v>30</v>
      </c>
      <c r="CF166" s="120">
        <v>360</v>
      </c>
      <c r="CG166" s="114">
        <v>360</v>
      </c>
      <c r="CH166" s="119">
        <v>23</v>
      </c>
      <c r="CI166" s="120">
        <v>276</v>
      </c>
      <c r="CJ166" s="114">
        <v>276</v>
      </c>
      <c r="CK166" s="54">
        <f t="shared" si="30"/>
        <v>340</v>
      </c>
      <c r="CL166" s="63">
        <f t="shared" si="31"/>
        <v>4080</v>
      </c>
      <c r="CM166" s="55">
        <f t="shared" si="32"/>
        <v>4080</v>
      </c>
      <c r="CN166" s="54">
        <f t="shared" si="33"/>
        <v>28.333333333333332</v>
      </c>
      <c r="CO166" s="63">
        <f t="shared" si="34"/>
        <v>340</v>
      </c>
      <c r="CP166" s="172">
        <f t="shared" si="35"/>
        <v>340</v>
      </c>
      <c r="CQ166" s="158">
        <v>27</v>
      </c>
      <c r="CR166" s="159">
        <v>324</v>
      </c>
      <c r="CS166" s="179">
        <v>324</v>
      </c>
      <c r="CT166" s="27">
        <v>20</v>
      </c>
      <c r="CU166" s="58">
        <v>240</v>
      </c>
      <c r="CV166" s="12">
        <v>240</v>
      </c>
      <c r="CW166" s="27"/>
      <c r="CX166" s="58"/>
      <c r="CY166" s="98"/>
      <c r="CZ166" s="27"/>
      <c r="DA166" s="58"/>
      <c r="DB166" s="12"/>
      <c r="DC166" s="27"/>
      <c r="DD166" s="58"/>
      <c r="DE166" s="12"/>
      <c r="DF166" s="27"/>
      <c r="DG166" s="58"/>
      <c r="DH166" s="12"/>
      <c r="DI166" s="27"/>
      <c r="DJ166" s="58"/>
      <c r="DK166" s="107"/>
      <c r="DL166" s="27"/>
      <c r="DM166" s="58"/>
      <c r="DN166" s="107"/>
      <c r="DO166" s="27"/>
      <c r="DP166" s="58"/>
      <c r="DQ166" s="107"/>
      <c r="DR166" s="27"/>
      <c r="DS166" s="58"/>
      <c r="DT166" s="107"/>
      <c r="DU166" s="27"/>
      <c r="DV166" s="58"/>
      <c r="DW166" s="12"/>
      <c r="DX166" s="27"/>
      <c r="DY166" s="58"/>
      <c r="DZ166" s="12"/>
    </row>
    <row r="167" spans="1:130" s="25" customFormat="1" ht="31.5" customHeight="1" x14ac:dyDescent="0.6">
      <c r="A167" s="5">
        <v>164</v>
      </c>
      <c r="B167" s="18" t="s">
        <v>452</v>
      </c>
      <c r="C167" s="18" t="s">
        <v>452</v>
      </c>
      <c r="D167" s="18" t="s">
        <v>448</v>
      </c>
      <c r="E167" s="23" t="s">
        <v>449</v>
      </c>
      <c r="F167" s="7" t="s">
        <v>435</v>
      </c>
      <c r="G167" s="123"/>
      <c r="H167" s="123"/>
      <c r="I167" s="123" t="s">
        <v>1036</v>
      </c>
      <c r="J167" s="49" t="s">
        <v>436</v>
      </c>
      <c r="K167" s="27"/>
      <c r="L167" s="58"/>
      <c r="M167" s="78"/>
      <c r="N167" s="27"/>
      <c r="O167" s="58"/>
      <c r="P167" s="49"/>
      <c r="Q167" s="27"/>
      <c r="R167" s="58"/>
      <c r="S167" s="98"/>
      <c r="T167" s="27"/>
      <c r="U167" s="58"/>
      <c r="V167" s="12"/>
      <c r="W167" s="27"/>
      <c r="X167" s="58"/>
      <c r="Y167" s="12"/>
      <c r="Z167" s="27"/>
      <c r="AA167" s="58"/>
      <c r="AB167" s="12"/>
      <c r="AC167" s="27">
        <v>58</v>
      </c>
      <c r="AD167" s="58">
        <v>920</v>
      </c>
      <c r="AE167" s="107"/>
      <c r="AF167" s="27">
        <v>0</v>
      </c>
      <c r="AG167" s="58">
        <v>0</v>
      </c>
      <c r="AH167" s="107"/>
      <c r="AI167" s="27">
        <v>45</v>
      </c>
      <c r="AJ167" s="58">
        <v>540</v>
      </c>
      <c r="AK167" s="107"/>
      <c r="AL167" s="27">
        <v>27</v>
      </c>
      <c r="AM167" s="58">
        <v>380</v>
      </c>
      <c r="AN167" s="12"/>
      <c r="AO167" s="27">
        <v>70</v>
      </c>
      <c r="AP167" s="58">
        <v>840</v>
      </c>
      <c r="AQ167" s="12"/>
      <c r="AR167" s="27">
        <v>56</v>
      </c>
      <c r="AS167" s="58">
        <v>812</v>
      </c>
      <c r="AT167" s="12"/>
      <c r="AU167" s="54"/>
      <c r="AV167" s="63"/>
      <c r="AW167" s="55"/>
      <c r="AX167" s="54"/>
      <c r="AY167" s="63"/>
      <c r="AZ167" s="55"/>
      <c r="BA167" s="10">
        <v>43</v>
      </c>
      <c r="BB167" s="15">
        <v>600</v>
      </c>
      <c r="BC167" s="11">
        <v>522</v>
      </c>
      <c r="BD167" s="10">
        <v>40</v>
      </c>
      <c r="BE167" s="15">
        <v>480</v>
      </c>
      <c r="BF167" s="11">
        <v>480</v>
      </c>
      <c r="BG167" s="10">
        <v>123</v>
      </c>
      <c r="BH167" s="15">
        <v>1560</v>
      </c>
      <c r="BI167" s="11">
        <v>1482</v>
      </c>
      <c r="BJ167" s="10">
        <v>73</v>
      </c>
      <c r="BK167" s="15">
        <v>1212</v>
      </c>
      <c r="BL167" s="11">
        <v>900</v>
      </c>
      <c r="BM167" s="46">
        <v>62</v>
      </c>
      <c r="BN167" s="43">
        <v>940</v>
      </c>
      <c r="BO167" s="47">
        <v>758</v>
      </c>
      <c r="BP167" s="46">
        <v>149</v>
      </c>
      <c r="BQ167" s="43">
        <v>1981</v>
      </c>
      <c r="BR167" s="47">
        <v>1799</v>
      </c>
      <c r="BS167" s="46">
        <v>173</v>
      </c>
      <c r="BT167" s="43">
        <v>2104</v>
      </c>
      <c r="BU167" s="114">
        <v>2078</v>
      </c>
      <c r="BV167" s="119">
        <v>81.3</v>
      </c>
      <c r="BW167" s="120">
        <v>975</v>
      </c>
      <c r="BX167" s="114">
        <v>974.04</v>
      </c>
      <c r="BY167" s="119">
        <v>105</v>
      </c>
      <c r="BZ167" s="120">
        <v>1344</v>
      </c>
      <c r="CA167" s="114">
        <v>1258.8</v>
      </c>
      <c r="CB167" s="119">
        <v>125</v>
      </c>
      <c r="CC167" s="120">
        <v>1500</v>
      </c>
      <c r="CD167" s="114">
        <v>1500</v>
      </c>
      <c r="CE167" s="119">
        <v>146.5</v>
      </c>
      <c r="CF167" s="120">
        <v>1758</v>
      </c>
      <c r="CG167" s="114">
        <v>1752.48</v>
      </c>
      <c r="CH167" s="119">
        <v>99</v>
      </c>
      <c r="CI167" s="120">
        <v>1418</v>
      </c>
      <c r="CJ167" s="114">
        <v>1194.8800000000001</v>
      </c>
      <c r="CK167" s="54">
        <f t="shared" si="30"/>
        <v>1219.8</v>
      </c>
      <c r="CL167" s="63">
        <f t="shared" si="31"/>
        <v>15872</v>
      </c>
      <c r="CM167" s="55">
        <f t="shared" si="32"/>
        <v>14699.2</v>
      </c>
      <c r="CN167" s="54">
        <f t="shared" si="33"/>
        <v>101.64999999999999</v>
      </c>
      <c r="CO167" s="63">
        <f t="shared" si="34"/>
        <v>1322.6666666666667</v>
      </c>
      <c r="CP167" s="172">
        <f t="shared" si="35"/>
        <v>1224.9333333333334</v>
      </c>
      <c r="CQ167" s="158">
        <v>107</v>
      </c>
      <c r="CR167" s="159">
        <v>1736</v>
      </c>
      <c r="CS167" s="179">
        <v>1309.92</v>
      </c>
      <c r="CT167" s="27">
        <v>127</v>
      </c>
      <c r="CU167" s="58">
        <v>1860</v>
      </c>
      <c r="CV167" s="12">
        <v>1548</v>
      </c>
      <c r="CW167" s="27"/>
      <c r="CX167" s="58"/>
      <c r="CY167" s="98"/>
      <c r="CZ167" s="27"/>
      <c r="DA167" s="58"/>
      <c r="DB167" s="12"/>
      <c r="DC167" s="27"/>
      <c r="DD167" s="58"/>
      <c r="DE167" s="12"/>
      <c r="DF167" s="27"/>
      <c r="DG167" s="58"/>
      <c r="DH167" s="12"/>
      <c r="DI167" s="27"/>
      <c r="DJ167" s="58"/>
      <c r="DK167" s="107"/>
      <c r="DL167" s="27"/>
      <c r="DM167" s="58"/>
      <c r="DN167" s="107"/>
      <c r="DO167" s="27"/>
      <c r="DP167" s="58"/>
      <c r="DQ167" s="107"/>
      <c r="DR167" s="27"/>
      <c r="DS167" s="58"/>
      <c r="DT167" s="107"/>
      <c r="DU167" s="27"/>
      <c r="DV167" s="58"/>
      <c r="DW167" s="12"/>
      <c r="DX167" s="27"/>
      <c r="DY167" s="58"/>
      <c r="DZ167" s="12"/>
    </row>
    <row r="168" spans="1:130" s="25" customFormat="1" ht="31.5" customHeight="1" x14ac:dyDescent="0.6">
      <c r="A168" s="5">
        <v>165</v>
      </c>
      <c r="B168" s="18" t="s">
        <v>453</v>
      </c>
      <c r="C168" s="18" t="s">
        <v>453</v>
      </c>
      <c r="D168" s="18" t="s">
        <v>345</v>
      </c>
      <c r="E168" s="23" t="s">
        <v>454</v>
      </c>
      <c r="F168" s="7" t="s">
        <v>435</v>
      </c>
      <c r="G168" s="123"/>
      <c r="H168" s="123"/>
      <c r="I168" s="123" t="s">
        <v>1037</v>
      </c>
      <c r="J168" s="49" t="s">
        <v>436</v>
      </c>
      <c r="K168" s="27"/>
      <c r="L168" s="58"/>
      <c r="M168" s="78"/>
      <c r="N168" s="27"/>
      <c r="O168" s="58"/>
      <c r="P168" s="49"/>
      <c r="Q168" s="27"/>
      <c r="R168" s="58"/>
      <c r="S168" s="98"/>
      <c r="T168" s="27"/>
      <c r="U168" s="58"/>
      <c r="V168" s="12"/>
      <c r="W168" s="27"/>
      <c r="X168" s="58"/>
      <c r="Y168" s="12"/>
      <c r="Z168" s="27"/>
      <c r="AA168" s="58"/>
      <c r="AB168" s="12"/>
      <c r="AC168" s="27">
        <v>6</v>
      </c>
      <c r="AD168" s="58">
        <v>156</v>
      </c>
      <c r="AE168" s="107"/>
      <c r="AF168" s="27">
        <v>67</v>
      </c>
      <c r="AG168" s="58">
        <v>1000</v>
      </c>
      <c r="AH168" s="107"/>
      <c r="AI168" s="27">
        <v>105</v>
      </c>
      <c r="AJ168" s="58">
        <v>1540</v>
      </c>
      <c r="AK168" s="107"/>
      <c r="AL168" s="27">
        <v>30</v>
      </c>
      <c r="AM168" s="58">
        <v>360</v>
      </c>
      <c r="AN168" s="12"/>
      <c r="AO168" s="27">
        <v>40</v>
      </c>
      <c r="AP168" s="58">
        <v>620</v>
      </c>
      <c r="AQ168" s="12"/>
      <c r="AR168" s="27">
        <v>56</v>
      </c>
      <c r="AS168" s="58">
        <v>728</v>
      </c>
      <c r="AT168" s="12"/>
      <c r="AU168" s="54"/>
      <c r="AV168" s="63"/>
      <c r="AW168" s="55"/>
      <c r="AX168" s="54"/>
      <c r="AY168" s="63"/>
      <c r="AZ168" s="55"/>
      <c r="BA168" s="10">
        <v>36</v>
      </c>
      <c r="BB168" s="15">
        <v>432</v>
      </c>
      <c r="BC168" s="11">
        <v>429</v>
      </c>
      <c r="BD168" s="10">
        <v>22</v>
      </c>
      <c r="BE168" s="15">
        <v>292</v>
      </c>
      <c r="BF168" s="11">
        <v>263</v>
      </c>
      <c r="BG168" s="10">
        <v>203</v>
      </c>
      <c r="BH168" s="15">
        <v>3024</v>
      </c>
      <c r="BI168" s="11">
        <v>2470.8000000000002</v>
      </c>
      <c r="BJ168" s="10">
        <v>75</v>
      </c>
      <c r="BK168" s="15">
        <v>1040</v>
      </c>
      <c r="BL168" s="11">
        <v>892.8</v>
      </c>
      <c r="BM168" s="46">
        <v>62</v>
      </c>
      <c r="BN168" s="43">
        <v>1024</v>
      </c>
      <c r="BO168" s="47">
        <v>756.8</v>
      </c>
      <c r="BP168" s="46">
        <v>120</v>
      </c>
      <c r="BQ168" s="43">
        <v>1872</v>
      </c>
      <c r="BR168" s="47">
        <v>1463.05</v>
      </c>
      <c r="BS168" s="46">
        <v>101</v>
      </c>
      <c r="BT168" s="43">
        <v>1436</v>
      </c>
      <c r="BU168" s="114">
        <v>1216.8</v>
      </c>
      <c r="BV168" s="119">
        <v>32.299999999999997</v>
      </c>
      <c r="BW168" s="120">
        <v>527</v>
      </c>
      <c r="BX168" s="114">
        <v>388.84</v>
      </c>
      <c r="BY168" s="119">
        <v>64</v>
      </c>
      <c r="BZ168" s="120">
        <v>964</v>
      </c>
      <c r="CA168" s="114">
        <v>774.8</v>
      </c>
      <c r="CB168" s="119">
        <v>36</v>
      </c>
      <c r="CC168" s="120">
        <v>544</v>
      </c>
      <c r="CD168" s="114">
        <v>432.8</v>
      </c>
      <c r="CE168" s="119">
        <v>48</v>
      </c>
      <c r="CF168" s="120">
        <v>800</v>
      </c>
      <c r="CG168" s="114">
        <v>592</v>
      </c>
      <c r="CH168" s="119">
        <v>58</v>
      </c>
      <c r="CI168" s="120">
        <v>1004</v>
      </c>
      <c r="CJ168" s="114">
        <v>710.8</v>
      </c>
      <c r="CK168" s="54">
        <f t="shared" si="30"/>
        <v>857.3</v>
      </c>
      <c r="CL168" s="63">
        <f t="shared" si="31"/>
        <v>12959</v>
      </c>
      <c r="CM168" s="55">
        <f t="shared" si="32"/>
        <v>10391.49</v>
      </c>
      <c r="CN168" s="54">
        <f t="shared" si="33"/>
        <v>71.441666666666663</v>
      </c>
      <c r="CO168" s="63">
        <f t="shared" si="34"/>
        <v>1079.9166666666667</v>
      </c>
      <c r="CP168" s="172">
        <f t="shared" si="35"/>
        <v>865.95749999999998</v>
      </c>
      <c r="CQ168" s="158">
        <v>47</v>
      </c>
      <c r="CR168" s="159">
        <v>620</v>
      </c>
      <c r="CS168" s="179">
        <v>568</v>
      </c>
      <c r="CT168" s="27">
        <v>60</v>
      </c>
      <c r="CU168" s="58">
        <v>1000</v>
      </c>
      <c r="CV168" s="12">
        <v>740</v>
      </c>
      <c r="CW168" s="27"/>
      <c r="CX168" s="58"/>
      <c r="CY168" s="98"/>
      <c r="CZ168" s="27"/>
      <c r="DA168" s="58"/>
      <c r="DB168" s="12"/>
      <c r="DC168" s="27"/>
      <c r="DD168" s="58"/>
      <c r="DE168" s="12"/>
      <c r="DF168" s="27"/>
      <c r="DG168" s="58"/>
      <c r="DH168" s="12"/>
      <c r="DI168" s="27"/>
      <c r="DJ168" s="58"/>
      <c r="DK168" s="107"/>
      <c r="DL168" s="27"/>
      <c r="DM168" s="58"/>
      <c r="DN168" s="107"/>
      <c r="DO168" s="27"/>
      <c r="DP168" s="58"/>
      <c r="DQ168" s="107"/>
      <c r="DR168" s="27"/>
      <c r="DS168" s="58"/>
      <c r="DT168" s="107"/>
      <c r="DU168" s="27"/>
      <c r="DV168" s="58"/>
      <c r="DW168" s="12"/>
      <c r="DX168" s="27"/>
      <c r="DY168" s="58"/>
      <c r="DZ168" s="12"/>
    </row>
    <row r="169" spans="1:130" s="25" customFormat="1" ht="31.5" customHeight="1" x14ac:dyDescent="0.6">
      <c r="A169" s="5">
        <v>166</v>
      </c>
      <c r="B169" s="18" t="s">
        <v>455</v>
      </c>
      <c r="C169" s="18" t="s">
        <v>455</v>
      </c>
      <c r="D169" s="18" t="s">
        <v>345</v>
      </c>
      <c r="E169" s="23" t="s">
        <v>454</v>
      </c>
      <c r="F169" s="7" t="s">
        <v>435</v>
      </c>
      <c r="G169" s="123"/>
      <c r="H169" s="123"/>
      <c r="I169" s="123" t="s">
        <v>1038</v>
      </c>
      <c r="J169" s="49" t="s">
        <v>436</v>
      </c>
      <c r="K169" s="27"/>
      <c r="L169" s="58"/>
      <c r="M169" s="78"/>
      <c r="N169" s="27"/>
      <c r="O169" s="58"/>
      <c r="P169" s="49"/>
      <c r="Q169" s="27"/>
      <c r="R169" s="58"/>
      <c r="S169" s="98"/>
      <c r="T169" s="27"/>
      <c r="U169" s="58"/>
      <c r="V169" s="12"/>
      <c r="W169" s="27"/>
      <c r="X169" s="58"/>
      <c r="Y169" s="12"/>
      <c r="Z169" s="27"/>
      <c r="AA169" s="58"/>
      <c r="AB169" s="12"/>
      <c r="AC169" s="27">
        <v>3</v>
      </c>
      <c r="AD169" s="58">
        <v>96</v>
      </c>
      <c r="AE169" s="107"/>
      <c r="AF169" s="27">
        <v>32</v>
      </c>
      <c r="AG169" s="58">
        <v>944</v>
      </c>
      <c r="AH169" s="107"/>
      <c r="AI169" s="27">
        <v>43</v>
      </c>
      <c r="AJ169" s="58">
        <v>588</v>
      </c>
      <c r="AK169" s="107"/>
      <c r="AL169" s="27">
        <v>29</v>
      </c>
      <c r="AM169" s="58">
        <v>348</v>
      </c>
      <c r="AN169" s="12"/>
      <c r="AO169" s="27">
        <v>28</v>
      </c>
      <c r="AP169" s="58">
        <v>396</v>
      </c>
      <c r="AQ169" s="12"/>
      <c r="AR169" s="27">
        <v>25</v>
      </c>
      <c r="AS169" s="58">
        <v>440</v>
      </c>
      <c r="AT169" s="12"/>
      <c r="AU169" s="54"/>
      <c r="AV169" s="63"/>
      <c r="AW169" s="55"/>
      <c r="AX169" s="54"/>
      <c r="AY169" s="63"/>
      <c r="AZ169" s="55"/>
      <c r="BA169" s="10">
        <v>6</v>
      </c>
      <c r="BB169" s="15">
        <v>48</v>
      </c>
      <c r="BC169" s="11">
        <v>48</v>
      </c>
      <c r="BD169" s="10">
        <v>16</v>
      </c>
      <c r="BE169" s="15">
        <v>192</v>
      </c>
      <c r="BF169" s="11">
        <v>168</v>
      </c>
      <c r="BG169" s="10">
        <v>20</v>
      </c>
      <c r="BH169" s="15">
        <v>352</v>
      </c>
      <c r="BI169" s="11">
        <v>219.2</v>
      </c>
      <c r="BJ169" s="10">
        <v>34</v>
      </c>
      <c r="BK169" s="15">
        <v>744</v>
      </c>
      <c r="BL169" s="11">
        <v>399</v>
      </c>
      <c r="BM169" s="46">
        <v>16</v>
      </c>
      <c r="BN169" s="43">
        <v>332</v>
      </c>
      <c r="BO169" s="47">
        <v>187.6</v>
      </c>
      <c r="BP169" s="46">
        <v>17</v>
      </c>
      <c r="BQ169" s="43">
        <v>260</v>
      </c>
      <c r="BR169" s="47">
        <v>193.60000000000002</v>
      </c>
      <c r="BS169" s="46">
        <v>15</v>
      </c>
      <c r="BT169" s="43">
        <v>348</v>
      </c>
      <c r="BU169" s="114">
        <v>182.4</v>
      </c>
      <c r="BV169" s="119">
        <v>0</v>
      </c>
      <c r="BW169" s="120">
        <v>0</v>
      </c>
      <c r="BX169" s="114">
        <v>0</v>
      </c>
      <c r="BY169" s="119">
        <v>0</v>
      </c>
      <c r="BZ169" s="120">
        <v>0</v>
      </c>
      <c r="CA169" s="114">
        <v>0</v>
      </c>
      <c r="CB169" s="119">
        <v>0</v>
      </c>
      <c r="CC169" s="120">
        <v>0</v>
      </c>
      <c r="CD169" s="114">
        <v>0</v>
      </c>
      <c r="CE169" s="119">
        <v>0</v>
      </c>
      <c r="CF169" s="120">
        <v>0</v>
      </c>
      <c r="CG169" s="114">
        <v>0</v>
      </c>
      <c r="CH169" s="119">
        <v>0</v>
      </c>
      <c r="CI169" s="120">
        <v>0</v>
      </c>
      <c r="CJ169" s="114">
        <v>0</v>
      </c>
      <c r="CK169" s="54">
        <f t="shared" si="30"/>
        <v>124</v>
      </c>
      <c r="CL169" s="63">
        <f t="shared" si="31"/>
        <v>2276</v>
      </c>
      <c r="CM169" s="55">
        <f t="shared" si="32"/>
        <v>1397.8000000000002</v>
      </c>
      <c r="CN169" s="54">
        <f t="shared" si="33"/>
        <v>10.333333333333334</v>
      </c>
      <c r="CO169" s="63">
        <f t="shared" si="34"/>
        <v>189.66666666666666</v>
      </c>
      <c r="CP169" s="172">
        <f t="shared" si="35"/>
        <v>116.48333333333335</v>
      </c>
      <c r="CQ169" s="158">
        <v>0</v>
      </c>
      <c r="CR169" s="159">
        <v>0</v>
      </c>
      <c r="CS169" s="179">
        <v>0</v>
      </c>
      <c r="CT169" s="27">
        <v>0</v>
      </c>
      <c r="CU169" s="58">
        <v>0</v>
      </c>
      <c r="CV169" s="12">
        <v>0</v>
      </c>
      <c r="CW169" s="27"/>
      <c r="CX169" s="58"/>
      <c r="CY169" s="98"/>
      <c r="CZ169" s="27"/>
      <c r="DA169" s="58"/>
      <c r="DB169" s="12"/>
      <c r="DC169" s="27"/>
      <c r="DD169" s="58"/>
      <c r="DE169" s="12"/>
      <c r="DF169" s="27"/>
      <c r="DG169" s="58"/>
      <c r="DH169" s="12"/>
      <c r="DI169" s="27"/>
      <c r="DJ169" s="58"/>
      <c r="DK169" s="107"/>
      <c r="DL169" s="27"/>
      <c r="DM169" s="58"/>
      <c r="DN169" s="107"/>
      <c r="DO169" s="27"/>
      <c r="DP169" s="58"/>
      <c r="DQ169" s="107"/>
      <c r="DR169" s="27"/>
      <c r="DS169" s="58"/>
      <c r="DT169" s="107"/>
      <c r="DU169" s="27"/>
      <c r="DV169" s="58"/>
      <c r="DW169" s="12"/>
      <c r="DX169" s="27"/>
      <c r="DY169" s="58"/>
      <c r="DZ169" s="12"/>
    </row>
    <row r="170" spans="1:130" s="25" customFormat="1" ht="31.5" customHeight="1" x14ac:dyDescent="0.6">
      <c r="A170" s="5">
        <v>167</v>
      </c>
      <c r="B170" s="18" t="s">
        <v>456</v>
      </c>
      <c r="C170" s="18" t="s">
        <v>456</v>
      </c>
      <c r="D170" s="18" t="s">
        <v>345</v>
      </c>
      <c r="E170" s="23" t="s">
        <v>454</v>
      </c>
      <c r="F170" s="7" t="s">
        <v>435</v>
      </c>
      <c r="G170" s="123"/>
      <c r="H170" s="123"/>
      <c r="I170" s="123" t="s">
        <v>1039</v>
      </c>
      <c r="J170" s="49" t="s">
        <v>436</v>
      </c>
      <c r="K170" s="27"/>
      <c r="L170" s="58"/>
      <c r="M170" s="78"/>
      <c r="N170" s="27"/>
      <c r="O170" s="58"/>
      <c r="P170" s="49"/>
      <c r="Q170" s="27"/>
      <c r="R170" s="58"/>
      <c r="S170" s="98"/>
      <c r="T170" s="27"/>
      <c r="U170" s="58"/>
      <c r="V170" s="12"/>
      <c r="W170" s="27"/>
      <c r="X170" s="58"/>
      <c r="Y170" s="12"/>
      <c r="Z170" s="27"/>
      <c r="AA170" s="58"/>
      <c r="AB170" s="12"/>
      <c r="AC170" s="27">
        <v>7</v>
      </c>
      <c r="AD170" s="58">
        <v>120</v>
      </c>
      <c r="AE170" s="107"/>
      <c r="AF170" s="27">
        <v>13</v>
      </c>
      <c r="AG170" s="58">
        <v>240</v>
      </c>
      <c r="AH170" s="107"/>
      <c r="AI170" s="27">
        <v>24</v>
      </c>
      <c r="AJ170" s="58">
        <v>372</v>
      </c>
      <c r="AK170" s="107"/>
      <c r="AL170" s="27">
        <v>39</v>
      </c>
      <c r="AM170" s="58">
        <v>608</v>
      </c>
      <c r="AN170" s="12"/>
      <c r="AO170" s="27">
        <v>38</v>
      </c>
      <c r="AP170" s="58">
        <v>596</v>
      </c>
      <c r="AQ170" s="12"/>
      <c r="AR170" s="27">
        <v>13</v>
      </c>
      <c r="AS170" s="58">
        <v>212</v>
      </c>
      <c r="AT170" s="12"/>
      <c r="AU170" s="54"/>
      <c r="AV170" s="63"/>
      <c r="AW170" s="55"/>
      <c r="AX170" s="54"/>
      <c r="AY170" s="63"/>
      <c r="AZ170" s="55"/>
      <c r="BA170" s="10">
        <v>5</v>
      </c>
      <c r="BB170" s="15">
        <v>100</v>
      </c>
      <c r="BC170" s="11">
        <v>74</v>
      </c>
      <c r="BD170" s="10">
        <v>20</v>
      </c>
      <c r="BE170" s="15">
        <v>324</v>
      </c>
      <c r="BF170" s="11">
        <v>246</v>
      </c>
      <c r="BG170" s="10">
        <v>31</v>
      </c>
      <c r="BH170" s="15">
        <v>540</v>
      </c>
      <c r="BI170" s="11">
        <v>384</v>
      </c>
      <c r="BJ170" s="10">
        <v>55</v>
      </c>
      <c r="BK170" s="15">
        <v>800</v>
      </c>
      <c r="BL170" s="11">
        <v>670</v>
      </c>
      <c r="BM170" s="46">
        <v>26</v>
      </c>
      <c r="BN170" s="43">
        <v>480</v>
      </c>
      <c r="BO170" s="47">
        <v>324</v>
      </c>
      <c r="BP170" s="46">
        <v>60</v>
      </c>
      <c r="BQ170" s="43">
        <v>944</v>
      </c>
      <c r="BR170" s="47">
        <v>736</v>
      </c>
      <c r="BS170" s="46">
        <v>71</v>
      </c>
      <c r="BT170" s="43">
        <v>939</v>
      </c>
      <c r="BU170" s="114">
        <v>861</v>
      </c>
      <c r="BV170" s="119">
        <v>35.299999999999997</v>
      </c>
      <c r="BW170" s="120">
        <v>423</v>
      </c>
      <c r="BX170" s="114">
        <v>422.04</v>
      </c>
      <c r="BY170" s="119">
        <v>57</v>
      </c>
      <c r="BZ170" s="120">
        <v>740</v>
      </c>
      <c r="CA170" s="114">
        <v>688</v>
      </c>
      <c r="CB170" s="119">
        <v>58</v>
      </c>
      <c r="CC170" s="120">
        <v>780</v>
      </c>
      <c r="CD170" s="114">
        <v>702</v>
      </c>
      <c r="CE170" s="119">
        <v>47</v>
      </c>
      <c r="CF170" s="120">
        <v>620</v>
      </c>
      <c r="CG170" s="114">
        <v>568</v>
      </c>
      <c r="CH170" s="119">
        <v>55</v>
      </c>
      <c r="CI170" s="120">
        <v>660</v>
      </c>
      <c r="CJ170" s="114">
        <v>660</v>
      </c>
      <c r="CK170" s="54">
        <f t="shared" si="30"/>
        <v>520.29999999999995</v>
      </c>
      <c r="CL170" s="63">
        <f t="shared" si="31"/>
        <v>7350</v>
      </c>
      <c r="CM170" s="55">
        <f t="shared" si="32"/>
        <v>6335.04</v>
      </c>
      <c r="CN170" s="54">
        <f t="shared" si="33"/>
        <v>43.358333333333327</v>
      </c>
      <c r="CO170" s="63">
        <f t="shared" si="34"/>
        <v>612.5</v>
      </c>
      <c r="CP170" s="172">
        <f t="shared" si="35"/>
        <v>527.91999999999996</v>
      </c>
      <c r="CQ170" s="158">
        <v>35</v>
      </c>
      <c r="CR170" s="159">
        <v>420</v>
      </c>
      <c r="CS170" s="179">
        <v>420</v>
      </c>
      <c r="CT170" s="27">
        <v>30</v>
      </c>
      <c r="CU170" s="58">
        <v>360</v>
      </c>
      <c r="CV170" s="12">
        <v>360</v>
      </c>
      <c r="CW170" s="27"/>
      <c r="CX170" s="58"/>
      <c r="CY170" s="98"/>
      <c r="CZ170" s="27"/>
      <c r="DA170" s="58"/>
      <c r="DB170" s="12"/>
      <c r="DC170" s="27"/>
      <c r="DD170" s="58"/>
      <c r="DE170" s="12"/>
      <c r="DF170" s="27"/>
      <c r="DG170" s="58"/>
      <c r="DH170" s="12"/>
      <c r="DI170" s="27"/>
      <c r="DJ170" s="58"/>
      <c r="DK170" s="107"/>
      <c r="DL170" s="27"/>
      <c r="DM170" s="58"/>
      <c r="DN170" s="107"/>
      <c r="DO170" s="27"/>
      <c r="DP170" s="58"/>
      <c r="DQ170" s="107"/>
      <c r="DR170" s="27"/>
      <c r="DS170" s="58"/>
      <c r="DT170" s="107"/>
      <c r="DU170" s="27"/>
      <c r="DV170" s="58"/>
      <c r="DW170" s="12"/>
      <c r="DX170" s="27"/>
      <c r="DY170" s="58"/>
      <c r="DZ170" s="12"/>
    </row>
    <row r="171" spans="1:130" s="25" customFormat="1" ht="31.5" customHeight="1" x14ac:dyDescent="0.6">
      <c r="A171" s="5">
        <v>168</v>
      </c>
      <c r="B171" s="18" t="s">
        <v>457</v>
      </c>
      <c r="C171" s="18" t="s">
        <v>277</v>
      </c>
      <c r="D171" s="18" t="s">
        <v>345</v>
      </c>
      <c r="E171" s="23" t="s">
        <v>454</v>
      </c>
      <c r="F171" s="7" t="s">
        <v>435</v>
      </c>
      <c r="G171" s="123"/>
      <c r="H171" s="123"/>
      <c r="I171" s="123" t="s">
        <v>1040</v>
      </c>
      <c r="J171" s="49" t="s">
        <v>436</v>
      </c>
      <c r="K171" s="27"/>
      <c r="L171" s="58"/>
      <c r="M171" s="78"/>
      <c r="N171" s="27"/>
      <c r="O171" s="58"/>
      <c r="P171" s="49"/>
      <c r="Q171" s="27"/>
      <c r="R171" s="58"/>
      <c r="S171" s="98"/>
      <c r="T171" s="27"/>
      <c r="U171" s="58"/>
      <c r="V171" s="12"/>
      <c r="W171" s="27"/>
      <c r="X171" s="58"/>
      <c r="Y171" s="12"/>
      <c r="Z171" s="27"/>
      <c r="AA171" s="58"/>
      <c r="AB171" s="12"/>
      <c r="AC171" s="27">
        <v>24</v>
      </c>
      <c r="AD171" s="58">
        <v>312</v>
      </c>
      <c r="AE171" s="107"/>
      <c r="AF171" s="27">
        <v>0</v>
      </c>
      <c r="AG171" s="58">
        <v>0</v>
      </c>
      <c r="AH171" s="107"/>
      <c r="AI171" s="27">
        <v>20</v>
      </c>
      <c r="AJ171" s="58">
        <v>274</v>
      </c>
      <c r="AK171" s="107"/>
      <c r="AL171" s="27">
        <v>32</v>
      </c>
      <c r="AM171" s="58">
        <v>384</v>
      </c>
      <c r="AN171" s="12"/>
      <c r="AO171" s="27">
        <v>23</v>
      </c>
      <c r="AP171" s="58">
        <v>304</v>
      </c>
      <c r="AQ171" s="12"/>
      <c r="AR171" s="27">
        <v>8</v>
      </c>
      <c r="AS171" s="58">
        <v>124</v>
      </c>
      <c r="AT171" s="12"/>
      <c r="AU171" s="54"/>
      <c r="AV171" s="63"/>
      <c r="AW171" s="55"/>
      <c r="AX171" s="54"/>
      <c r="AY171" s="63"/>
      <c r="AZ171" s="55"/>
      <c r="BA171" s="10">
        <v>21</v>
      </c>
      <c r="BB171" s="15">
        <v>252</v>
      </c>
      <c r="BC171" s="11">
        <v>252</v>
      </c>
      <c r="BD171" s="10">
        <v>7</v>
      </c>
      <c r="BE171" s="15">
        <v>112</v>
      </c>
      <c r="BF171" s="11">
        <v>86</v>
      </c>
      <c r="BG171" s="10">
        <v>15</v>
      </c>
      <c r="BH171" s="15">
        <v>180</v>
      </c>
      <c r="BI171" s="11">
        <v>180</v>
      </c>
      <c r="BJ171" s="10">
        <v>17</v>
      </c>
      <c r="BK171" s="15">
        <v>260</v>
      </c>
      <c r="BL171" s="11">
        <v>208</v>
      </c>
      <c r="BM171" s="46">
        <v>50</v>
      </c>
      <c r="BN171" s="43">
        <v>600</v>
      </c>
      <c r="BO171" s="47">
        <v>600</v>
      </c>
      <c r="BP171" s="46">
        <v>70.599999999999994</v>
      </c>
      <c r="BQ171" s="43">
        <v>904</v>
      </c>
      <c r="BR171" s="47">
        <v>846.96</v>
      </c>
      <c r="BS171" s="46">
        <v>15</v>
      </c>
      <c r="BT171" s="43">
        <v>210</v>
      </c>
      <c r="BU171" s="114">
        <v>178.96</v>
      </c>
      <c r="BV171" s="119">
        <v>0</v>
      </c>
      <c r="BW171" s="120">
        <v>0</v>
      </c>
      <c r="BX171" s="114">
        <v>0</v>
      </c>
      <c r="BY171" s="119">
        <v>5</v>
      </c>
      <c r="BZ171" s="120">
        <v>118</v>
      </c>
      <c r="CA171" s="114">
        <v>60.96</v>
      </c>
      <c r="CB171" s="119">
        <v>36</v>
      </c>
      <c r="CC171" s="120">
        <v>432</v>
      </c>
      <c r="CD171" s="114">
        <v>432</v>
      </c>
      <c r="CE171" s="119">
        <v>0</v>
      </c>
      <c r="CF171" s="120">
        <v>0</v>
      </c>
      <c r="CG171" s="114">
        <v>0</v>
      </c>
      <c r="CH171" s="119">
        <v>30</v>
      </c>
      <c r="CI171" s="120">
        <v>360</v>
      </c>
      <c r="CJ171" s="114">
        <v>360</v>
      </c>
      <c r="CK171" s="54">
        <f t="shared" ref="CK171:CK242" si="36">+BA171+BD171+BG171+BJ171+BM171+BP171+BS171+BV171+BY171+CB171+CE171+CH171</f>
        <v>266.60000000000002</v>
      </c>
      <c r="CL171" s="63">
        <f t="shared" ref="CL171:CL242" si="37">+BB171+BE171+BH171+BK171+BN171+BQ171+BT171+BW171+BZ171+CC171+CF171+CI171</f>
        <v>3428</v>
      </c>
      <c r="CM171" s="55">
        <f t="shared" ref="CM171:CM242" si="38">+BC171+BF171+BI171+BL171+BO171+BR171+BU171+BX171+CA171+CD171+CG171+CJ171</f>
        <v>3204.88</v>
      </c>
      <c r="CN171" s="54">
        <f t="shared" ref="CN171:CN242" si="39">CK171/12</f>
        <v>22.216666666666669</v>
      </c>
      <c r="CO171" s="63">
        <f t="shared" ref="CO171:CO242" si="40">CL171/12</f>
        <v>285.66666666666669</v>
      </c>
      <c r="CP171" s="172">
        <f t="shared" ref="CP171:CP242" si="41">CM171/12</f>
        <v>267.07333333333332</v>
      </c>
      <c r="CQ171" s="158">
        <v>30</v>
      </c>
      <c r="CR171" s="159">
        <v>360</v>
      </c>
      <c r="CS171" s="179">
        <v>360</v>
      </c>
      <c r="CT171" s="27">
        <v>15</v>
      </c>
      <c r="CU171" s="58">
        <v>180</v>
      </c>
      <c r="CV171" s="12">
        <v>180</v>
      </c>
      <c r="CW171" s="27"/>
      <c r="CX171" s="58"/>
      <c r="CY171" s="98"/>
      <c r="CZ171" s="27"/>
      <c r="DA171" s="58"/>
      <c r="DB171" s="12"/>
      <c r="DC171" s="27"/>
      <c r="DD171" s="58"/>
      <c r="DE171" s="12"/>
      <c r="DF171" s="27"/>
      <c r="DG171" s="58"/>
      <c r="DH171" s="12"/>
      <c r="DI171" s="27"/>
      <c r="DJ171" s="58"/>
      <c r="DK171" s="107"/>
      <c r="DL171" s="27"/>
      <c r="DM171" s="58"/>
      <c r="DN171" s="107"/>
      <c r="DO171" s="27"/>
      <c r="DP171" s="58"/>
      <c r="DQ171" s="107"/>
      <c r="DR171" s="27"/>
      <c r="DS171" s="58"/>
      <c r="DT171" s="107"/>
      <c r="DU171" s="27"/>
      <c r="DV171" s="58"/>
      <c r="DW171" s="12"/>
      <c r="DX171" s="27"/>
      <c r="DY171" s="58"/>
      <c r="DZ171" s="12"/>
    </row>
    <row r="172" spans="1:130" s="25" customFormat="1" ht="31.5" customHeight="1" x14ac:dyDescent="0.6">
      <c r="A172" s="5">
        <v>169</v>
      </c>
      <c r="B172" s="18" t="s">
        <v>458</v>
      </c>
      <c r="C172" s="18" t="s">
        <v>459</v>
      </c>
      <c r="D172" s="18" t="s">
        <v>460</v>
      </c>
      <c r="E172" s="23" t="s">
        <v>91</v>
      </c>
      <c r="F172" s="7" t="s">
        <v>435</v>
      </c>
      <c r="G172" s="123"/>
      <c r="H172" s="123"/>
      <c r="I172" s="123" t="s">
        <v>1041</v>
      </c>
      <c r="J172" s="49" t="s">
        <v>436</v>
      </c>
      <c r="K172" s="27"/>
      <c r="L172" s="58"/>
      <c r="M172" s="78"/>
      <c r="N172" s="27"/>
      <c r="O172" s="58"/>
      <c r="P172" s="49"/>
      <c r="Q172" s="27"/>
      <c r="R172" s="58"/>
      <c r="S172" s="98"/>
      <c r="T172" s="27"/>
      <c r="U172" s="58"/>
      <c r="V172" s="12"/>
      <c r="W172" s="27"/>
      <c r="X172" s="58"/>
      <c r="Y172" s="12"/>
      <c r="Z172" s="27"/>
      <c r="AA172" s="58"/>
      <c r="AB172" s="12"/>
      <c r="AC172" s="27">
        <v>1</v>
      </c>
      <c r="AD172" s="58">
        <v>12</v>
      </c>
      <c r="AE172" s="107"/>
      <c r="AF172" s="27">
        <v>0</v>
      </c>
      <c r="AG172" s="58">
        <v>0</v>
      </c>
      <c r="AH172" s="107"/>
      <c r="AI172" s="27">
        <v>11</v>
      </c>
      <c r="AJ172" s="58">
        <v>144</v>
      </c>
      <c r="AK172" s="107"/>
      <c r="AL172" s="27">
        <v>5</v>
      </c>
      <c r="AM172" s="58">
        <v>60</v>
      </c>
      <c r="AN172" s="12"/>
      <c r="AO172" s="27">
        <v>10.6</v>
      </c>
      <c r="AP172" s="58">
        <v>126</v>
      </c>
      <c r="AQ172" s="12"/>
      <c r="AR172" s="27">
        <v>8</v>
      </c>
      <c r="AS172" s="58">
        <v>108</v>
      </c>
      <c r="AT172" s="12"/>
      <c r="AU172" s="54"/>
      <c r="AV172" s="63"/>
      <c r="AW172" s="55"/>
      <c r="AX172" s="54"/>
      <c r="AY172" s="63"/>
      <c r="AZ172" s="55"/>
      <c r="BA172" s="10">
        <v>13</v>
      </c>
      <c r="BB172" s="15">
        <v>0</v>
      </c>
      <c r="BC172" s="11">
        <v>0</v>
      </c>
      <c r="BD172" s="10">
        <v>6</v>
      </c>
      <c r="BE172" s="15">
        <v>81</v>
      </c>
      <c r="BF172" s="11">
        <v>69</v>
      </c>
      <c r="BG172" s="10">
        <v>40</v>
      </c>
      <c r="BH172" s="15">
        <v>480</v>
      </c>
      <c r="BI172" s="11">
        <v>480</v>
      </c>
      <c r="BJ172" s="10">
        <v>35</v>
      </c>
      <c r="BK172" s="15">
        <v>420</v>
      </c>
      <c r="BL172" s="11">
        <v>420</v>
      </c>
      <c r="BM172" s="46">
        <v>67</v>
      </c>
      <c r="BN172" s="43">
        <v>860</v>
      </c>
      <c r="BO172" s="47">
        <v>808</v>
      </c>
      <c r="BP172" s="46">
        <v>12</v>
      </c>
      <c r="BQ172" s="43">
        <v>202</v>
      </c>
      <c r="BR172" s="47">
        <v>145</v>
      </c>
      <c r="BS172" s="46">
        <v>63</v>
      </c>
      <c r="BT172" s="43">
        <v>896</v>
      </c>
      <c r="BU172" s="114">
        <v>766</v>
      </c>
      <c r="BV172" s="119">
        <v>15</v>
      </c>
      <c r="BW172" s="120">
        <v>180</v>
      </c>
      <c r="BX172" s="114">
        <v>180</v>
      </c>
      <c r="BY172" s="119">
        <v>0</v>
      </c>
      <c r="BZ172" s="120">
        <v>0</v>
      </c>
      <c r="CA172" s="114">
        <v>0</v>
      </c>
      <c r="CB172" s="119">
        <v>0</v>
      </c>
      <c r="CC172" s="120">
        <v>0</v>
      </c>
      <c r="CD172" s="114">
        <v>0</v>
      </c>
      <c r="CE172" s="119">
        <v>0</v>
      </c>
      <c r="CF172" s="120">
        <v>0</v>
      </c>
      <c r="CG172" s="114">
        <v>0</v>
      </c>
      <c r="CH172" s="119">
        <v>0</v>
      </c>
      <c r="CI172" s="120">
        <v>0</v>
      </c>
      <c r="CJ172" s="114">
        <v>0</v>
      </c>
      <c r="CK172" s="54">
        <f t="shared" si="36"/>
        <v>251</v>
      </c>
      <c r="CL172" s="63">
        <f t="shared" si="37"/>
        <v>3119</v>
      </c>
      <c r="CM172" s="55">
        <f t="shared" si="38"/>
        <v>2868</v>
      </c>
      <c r="CN172" s="54">
        <f t="shared" si="39"/>
        <v>20.916666666666668</v>
      </c>
      <c r="CO172" s="63">
        <f t="shared" si="40"/>
        <v>259.91666666666669</v>
      </c>
      <c r="CP172" s="172">
        <f t="shared" si="41"/>
        <v>239</v>
      </c>
      <c r="CQ172" s="158">
        <v>0</v>
      </c>
      <c r="CR172" s="159">
        <v>0</v>
      </c>
      <c r="CS172" s="179">
        <v>0</v>
      </c>
      <c r="CT172" s="27">
        <v>0</v>
      </c>
      <c r="CU172" s="58">
        <v>0</v>
      </c>
      <c r="CV172" s="12">
        <v>0</v>
      </c>
      <c r="CW172" s="27"/>
      <c r="CX172" s="58"/>
      <c r="CY172" s="98"/>
      <c r="CZ172" s="27"/>
      <c r="DA172" s="58"/>
      <c r="DB172" s="12"/>
      <c r="DC172" s="27"/>
      <c r="DD172" s="58"/>
      <c r="DE172" s="12"/>
      <c r="DF172" s="27"/>
      <c r="DG172" s="58"/>
      <c r="DH172" s="12"/>
      <c r="DI172" s="27"/>
      <c r="DJ172" s="58"/>
      <c r="DK172" s="107"/>
      <c r="DL172" s="27"/>
      <c r="DM172" s="58"/>
      <c r="DN172" s="107"/>
      <c r="DO172" s="27"/>
      <c r="DP172" s="58"/>
      <c r="DQ172" s="107"/>
      <c r="DR172" s="27"/>
      <c r="DS172" s="58"/>
      <c r="DT172" s="107"/>
      <c r="DU172" s="27"/>
      <c r="DV172" s="58"/>
      <c r="DW172" s="12"/>
      <c r="DX172" s="27"/>
      <c r="DY172" s="58"/>
      <c r="DZ172" s="12"/>
    </row>
    <row r="173" spans="1:130" s="25" customFormat="1" ht="31.5" customHeight="1" x14ac:dyDescent="0.6">
      <c r="A173" s="5">
        <v>170</v>
      </c>
      <c r="B173" s="18" t="s">
        <v>461</v>
      </c>
      <c r="C173" s="18" t="s">
        <v>462</v>
      </c>
      <c r="D173" s="18" t="s">
        <v>460</v>
      </c>
      <c r="E173" s="23" t="s">
        <v>91</v>
      </c>
      <c r="F173" s="7" t="s">
        <v>435</v>
      </c>
      <c r="G173" s="123"/>
      <c r="H173" s="123"/>
      <c r="I173" s="123" t="s">
        <v>1042</v>
      </c>
      <c r="J173" s="49" t="s">
        <v>436</v>
      </c>
      <c r="K173" s="27"/>
      <c r="L173" s="58"/>
      <c r="M173" s="78"/>
      <c r="N173" s="27"/>
      <c r="O173" s="58"/>
      <c r="P173" s="49"/>
      <c r="Q173" s="27"/>
      <c r="R173" s="58"/>
      <c r="S173" s="98"/>
      <c r="T173" s="27"/>
      <c r="U173" s="58"/>
      <c r="V173" s="12"/>
      <c r="W173" s="27"/>
      <c r="X173" s="58"/>
      <c r="Y173" s="12"/>
      <c r="Z173" s="27"/>
      <c r="AA173" s="58"/>
      <c r="AB173" s="12"/>
      <c r="AC173" s="27">
        <v>74</v>
      </c>
      <c r="AD173" s="58">
        <v>1060</v>
      </c>
      <c r="AE173" s="107"/>
      <c r="AF173" s="27">
        <v>143</v>
      </c>
      <c r="AG173" s="58">
        <v>2014</v>
      </c>
      <c r="AH173" s="107"/>
      <c r="AI173" s="27">
        <v>91</v>
      </c>
      <c r="AJ173" s="58">
        <v>1392</v>
      </c>
      <c r="AK173" s="107"/>
      <c r="AL173" s="27">
        <v>48</v>
      </c>
      <c r="AM173" s="58">
        <v>700</v>
      </c>
      <c r="AN173" s="12"/>
      <c r="AO173" s="27">
        <v>63</v>
      </c>
      <c r="AP173" s="58">
        <v>1290</v>
      </c>
      <c r="AQ173" s="12"/>
      <c r="AR173" s="27">
        <v>115</v>
      </c>
      <c r="AS173" s="58">
        <v>1604</v>
      </c>
      <c r="AT173" s="12"/>
      <c r="AU173" s="54"/>
      <c r="AV173" s="63"/>
      <c r="AW173" s="55"/>
      <c r="AX173" s="54"/>
      <c r="AY173" s="63"/>
      <c r="AZ173" s="55"/>
      <c r="BA173" s="10">
        <v>58</v>
      </c>
      <c r="BB173" s="15">
        <v>740</v>
      </c>
      <c r="BC173" s="11">
        <v>626</v>
      </c>
      <c r="BD173" s="10">
        <v>99</v>
      </c>
      <c r="BE173" s="15">
        <v>1296</v>
      </c>
      <c r="BF173" s="11">
        <v>1109</v>
      </c>
      <c r="BG173" s="10">
        <v>178</v>
      </c>
      <c r="BH173" s="15">
        <v>2444</v>
      </c>
      <c r="BI173" s="11">
        <v>1980.28</v>
      </c>
      <c r="BJ173" s="10">
        <v>5</v>
      </c>
      <c r="BK173" s="15">
        <v>70</v>
      </c>
      <c r="BL173" s="11">
        <v>44.8</v>
      </c>
      <c r="BM173" s="46">
        <v>61</v>
      </c>
      <c r="BN173" s="43">
        <v>790</v>
      </c>
      <c r="BO173" s="47">
        <v>688.40000000000009</v>
      </c>
      <c r="BP173" s="46">
        <v>44</v>
      </c>
      <c r="BQ173" s="43">
        <v>643</v>
      </c>
      <c r="BR173" s="47">
        <v>539</v>
      </c>
      <c r="BS173" s="46">
        <v>75</v>
      </c>
      <c r="BT173" s="43">
        <v>1070</v>
      </c>
      <c r="BU173" s="114">
        <v>864.8</v>
      </c>
      <c r="BV173" s="119">
        <v>21</v>
      </c>
      <c r="BW173" s="120">
        <v>262</v>
      </c>
      <c r="BX173" s="114">
        <v>232.96</v>
      </c>
      <c r="BY173" s="119">
        <v>56</v>
      </c>
      <c r="BZ173" s="120">
        <v>730</v>
      </c>
      <c r="CA173" s="114">
        <v>628.4</v>
      </c>
      <c r="CB173" s="119">
        <v>16</v>
      </c>
      <c r="CC173" s="120">
        <v>422</v>
      </c>
      <c r="CD173" s="114">
        <v>198.88</v>
      </c>
      <c r="CE173" s="119">
        <v>50</v>
      </c>
      <c r="CF173" s="120">
        <v>620</v>
      </c>
      <c r="CG173" s="114">
        <v>569.6</v>
      </c>
      <c r="CH173" s="119">
        <v>17</v>
      </c>
      <c r="CI173" s="120">
        <v>260</v>
      </c>
      <c r="CJ173" s="114">
        <v>208</v>
      </c>
      <c r="CK173" s="54">
        <f t="shared" si="36"/>
        <v>680</v>
      </c>
      <c r="CL173" s="63">
        <f t="shared" si="37"/>
        <v>9347</v>
      </c>
      <c r="CM173" s="55">
        <f t="shared" si="38"/>
        <v>7690.12</v>
      </c>
      <c r="CN173" s="54">
        <f t="shared" si="39"/>
        <v>56.666666666666664</v>
      </c>
      <c r="CO173" s="63">
        <f t="shared" si="40"/>
        <v>778.91666666666663</v>
      </c>
      <c r="CP173" s="172">
        <f t="shared" si="41"/>
        <v>640.84333333333336</v>
      </c>
      <c r="CQ173" s="158">
        <v>94</v>
      </c>
      <c r="CR173" s="159">
        <v>1794</v>
      </c>
      <c r="CS173" s="179">
        <v>1140.56</v>
      </c>
      <c r="CT173" s="27">
        <v>59</v>
      </c>
      <c r="CU173" s="58">
        <v>768</v>
      </c>
      <c r="CV173" s="12">
        <v>705.92</v>
      </c>
      <c r="CW173" s="27"/>
      <c r="CX173" s="58"/>
      <c r="CY173" s="98"/>
      <c r="CZ173" s="27"/>
      <c r="DA173" s="58"/>
      <c r="DB173" s="12"/>
      <c r="DC173" s="27"/>
      <c r="DD173" s="58"/>
      <c r="DE173" s="12"/>
      <c r="DF173" s="27"/>
      <c r="DG173" s="58"/>
      <c r="DH173" s="12"/>
      <c r="DI173" s="27"/>
      <c r="DJ173" s="58"/>
      <c r="DK173" s="107"/>
      <c r="DL173" s="27"/>
      <c r="DM173" s="58"/>
      <c r="DN173" s="107"/>
      <c r="DO173" s="27"/>
      <c r="DP173" s="58"/>
      <c r="DQ173" s="107"/>
      <c r="DR173" s="27"/>
      <c r="DS173" s="58"/>
      <c r="DT173" s="107"/>
      <c r="DU173" s="27"/>
      <c r="DV173" s="58"/>
      <c r="DW173" s="12"/>
      <c r="DX173" s="27"/>
      <c r="DY173" s="58"/>
      <c r="DZ173" s="12"/>
    </row>
    <row r="174" spans="1:130" s="25" customFormat="1" ht="31.5" customHeight="1" x14ac:dyDescent="0.6">
      <c r="A174" s="5">
        <v>171</v>
      </c>
      <c r="B174" s="18" t="s">
        <v>463</v>
      </c>
      <c r="C174" s="18" t="s">
        <v>464</v>
      </c>
      <c r="D174" s="18" t="s">
        <v>465</v>
      </c>
      <c r="E174" s="23" t="s">
        <v>466</v>
      </c>
      <c r="F174" s="7" t="s">
        <v>435</v>
      </c>
      <c r="G174" s="123"/>
      <c r="H174" s="123"/>
      <c r="I174" s="123" t="s">
        <v>1043</v>
      </c>
      <c r="J174" s="49" t="s">
        <v>436</v>
      </c>
      <c r="K174" s="27"/>
      <c r="L174" s="58"/>
      <c r="M174" s="78"/>
      <c r="N174" s="27"/>
      <c r="O174" s="58"/>
      <c r="P174" s="49"/>
      <c r="Q174" s="27"/>
      <c r="R174" s="58"/>
      <c r="S174" s="98"/>
      <c r="T174" s="27"/>
      <c r="U174" s="58"/>
      <c r="V174" s="12"/>
      <c r="W174" s="27"/>
      <c r="X174" s="58"/>
      <c r="Y174" s="12"/>
      <c r="Z174" s="27"/>
      <c r="AA174" s="58"/>
      <c r="AB174" s="12"/>
      <c r="AC174" s="27">
        <v>10</v>
      </c>
      <c r="AD174" s="58">
        <v>120</v>
      </c>
      <c r="AE174" s="107"/>
      <c r="AF174" s="27">
        <v>4</v>
      </c>
      <c r="AG174" s="58">
        <v>72</v>
      </c>
      <c r="AH174" s="107"/>
      <c r="AI174" s="27">
        <v>7</v>
      </c>
      <c r="AJ174" s="58">
        <v>84</v>
      </c>
      <c r="AK174" s="107"/>
      <c r="AL174" s="27">
        <v>2</v>
      </c>
      <c r="AM174" s="58">
        <v>24</v>
      </c>
      <c r="AN174" s="12"/>
      <c r="AO174" s="27">
        <v>6</v>
      </c>
      <c r="AP174" s="58">
        <v>84</v>
      </c>
      <c r="AQ174" s="12"/>
      <c r="AR174" s="27">
        <v>34</v>
      </c>
      <c r="AS174" s="58">
        <v>408</v>
      </c>
      <c r="AT174" s="12"/>
      <c r="AU174" s="54"/>
      <c r="AV174" s="63"/>
      <c r="AW174" s="55"/>
      <c r="AX174" s="54"/>
      <c r="AY174" s="63"/>
      <c r="AZ174" s="55"/>
      <c r="BA174" s="10">
        <v>29</v>
      </c>
      <c r="BB174" s="15">
        <v>0</v>
      </c>
      <c r="BC174" s="11">
        <v>0</v>
      </c>
      <c r="BD174" s="10">
        <v>4</v>
      </c>
      <c r="BE174" s="15">
        <v>60</v>
      </c>
      <c r="BF174" s="11">
        <v>52</v>
      </c>
      <c r="BG174" s="10">
        <v>44</v>
      </c>
      <c r="BH174" s="15">
        <v>724</v>
      </c>
      <c r="BI174" s="11">
        <v>542</v>
      </c>
      <c r="BJ174" s="10">
        <v>69</v>
      </c>
      <c r="BK174" s="15">
        <v>974</v>
      </c>
      <c r="BL174" s="11">
        <v>840</v>
      </c>
      <c r="BM174" s="46">
        <v>57</v>
      </c>
      <c r="BN174" s="43">
        <v>824</v>
      </c>
      <c r="BO174" s="47">
        <v>694</v>
      </c>
      <c r="BP174" s="46">
        <v>28</v>
      </c>
      <c r="BQ174" s="43">
        <v>420</v>
      </c>
      <c r="BR174" s="47">
        <v>342</v>
      </c>
      <c r="BS174" s="46">
        <v>10</v>
      </c>
      <c r="BT174" s="43">
        <v>120</v>
      </c>
      <c r="BU174" s="114">
        <v>120</v>
      </c>
      <c r="BV174" s="119">
        <v>37</v>
      </c>
      <c r="BW174" s="120">
        <v>500</v>
      </c>
      <c r="BX174" s="114">
        <v>448</v>
      </c>
      <c r="BY174" s="119">
        <v>30</v>
      </c>
      <c r="BZ174" s="120">
        <v>360</v>
      </c>
      <c r="CA174" s="114">
        <v>360</v>
      </c>
      <c r="CB174" s="119">
        <v>48</v>
      </c>
      <c r="CC174" s="120">
        <v>576</v>
      </c>
      <c r="CD174" s="114">
        <v>576</v>
      </c>
      <c r="CE174" s="119">
        <v>35</v>
      </c>
      <c r="CF174" s="120">
        <v>504</v>
      </c>
      <c r="CG174" s="114">
        <v>418.8</v>
      </c>
      <c r="CH174" s="119">
        <v>65</v>
      </c>
      <c r="CI174" s="120">
        <v>920</v>
      </c>
      <c r="CJ174" s="114">
        <v>790</v>
      </c>
      <c r="CK174" s="54">
        <f t="shared" si="36"/>
        <v>456</v>
      </c>
      <c r="CL174" s="63">
        <f t="shared" si="37"/>
        <v>5982</v>
      </c>
      <c r="CM174" s="55">
        <f t="shared" si="38"/>
        <v>5182.8</v>
      </c>
      <c r="CN174" s="54">
        <f t="shared" si="39"/>
        <v>38</v>
      </c>
      <c r="CO174" s="63">
        <f t="shared" si="40"/>
        <v>498.5</v>
      </c>
      <c r="CP174" s="172">
        <f t="shared" si="41"/>
        <v>431.90000000000003</v>
      </c>
      <c r="CQ174" s="158">
        <v>31</v>
      </c>
      <c r="CR174" s="159">
        <v>400</v>
      </c>
      <c r="CS174" s="179">
        <v>374</v>
      </c>
      <c r="CT174" s="27">
        <v>59</v>
      </c>
      <c r="CU174" s="58">
        <v>960</v>
      </c>
      <c r="CV174" s="12">
        <v>726</v>
      </c>
      <c r="CW174" s="27"/>
      <c r="CX174" s="58"/>
      <c r="CY174" s="98"/>
      <c r="CZ174" s="27"/>
      <c r="DA174" s="58"/>
      <c r="DB174" s="12"/>
      <c r="DC174" s="27"/>
      <c r="DD174" s="58"/>
      <c r="DE174" s="12"/>
      <c r="DF174" s="27"/>
      <c r="DG174" s="58"/>
      <c r="DH174" s="12"/>
      <c r="DI174" s="27"/>
      <c r="DJ174" s="58"/>
      <c r="DK174" s="107"/>
      <c r="DL174" s="27"/>
      <c r="DM174" s="58"/>
      <c r="DN174" s="107"/>
      <c r="DO174" s="27"/>
      <c r="DP174" s="58"/>
      <c r="DQ174" s="107"/>
      <c r="DR174" s="27"/>
      <c r="DS174" s="58"/>
      <c r="DT174" s="107"/>
      <c r="DU174" s="27"/>
      <c r="DV174" s="58"/>
      <c r="DW174" s="12"/>
      <c r="DX174" s="27"/>
      <c r="DY174" s="58"/>
      <c r="DZ174" s="12"/>
    </row>
    <row r="175" spans="1:130" s="25" customFormat="1" ht="31.5" customHeight="1" x14ac:dyDescent="0.6">
      <c r="A175" s="5">
        <v>172</v>
      </c>
      <c r="B175" s="18" t="s">
        <v>467</v>
      </c>
      <c r="C175" s="26" t="s">
        <v>468</v>
      </c>
      <c r="D175" s="18" t="s">
        <v>469</v>
      </c>
      <c r="E175" s="23" t="s">
        <v>470</v>
      </c>
      <c r="F175" s="7" t="s">
        <v>435</v>
      </c>
      <c r="G175" s="123"/>
      <c r="H175" s="123"/>
      <c r="I175" s="123" t="s">
        <v>1044</v>
      </c>
      <c r="J175" s="49" t="s">
        <v>436</v>
      </c>
      <c r="K175" s="27"/>
      <c r="L175" s="58"/>
      <c r="M175" s="78"/>
      <c r="N175" s="27"/>
      <c r="O175" s="58"/>
      <c r="P175" s="49"/>
      <c r="Q175" s="27"/>
      <c r="R175" s="58"/>
      <c r="S175" s="98"/>
      <c r="T175" s="27"/>
      <c r="U175" s="58"/>
      <c r="V175" s="12"/>
      <c r="W175" s="27"/>
      <c r="X175" s="58"/>
      <c r="Y175" s="12"/>
      <c r="Z175" s="27"/>
      <c r="AA175" s="58"/>
      <c r="AB175" s="12"/>
      <c r="AC175" s="27">
        <v>18</v>
      </c>
      <c r="AD175" s="58">
        <v>362</v>
      </c>
      <c r="AE175" s="107"/>
      <c r="AF175" s="27">
        <v>15</v>
      </c>
      <c r="AG175" s="58">
        <v>180</v>
      </c>
      <c r="AH175" s="107"/>
      <c r="AI175" s="27">
        <v>42</v>
      </c>
      <c r="AJ175" s="58">
        <v>508</v>
      </c>
      <c r="AK175" s="107"/>
      <c r="AL175" s="27">
        <v>20</v>
      </c>
      <c r="AM175" s="58">
        <v>240</v>
      </c>
      <c r="AN175" s="12"/>
      <c r="AO175" s="27">
        <v>25</v>
      </c>
      <c r="AP175" s="58">
        <v>300</v>
      </c>
      <c r="AQ175" s="12"/>
      <c r="AR175" s="27">
        <v>28.8</v>
      </c>
      <c r="AS175" s="58">
        <v>364</v>
      </c>
      <c r="AT175" s="12"/>
      <c r="AU175" s="54"/>
      <c r="AV175" s="63"/>
      <c r="AW175" s="55"/>
      <c r="AX175" s="54"/>
      <c r="AY175" s="63"/>
      <c r="AZ175" s="55"/>
      <c r="BA175" s="10">
        <v>15</v>
      </c>
      <c r="BB175" s="15">
        <v>180</v>
      </c>
      <c r="BC175" s="11">
        <v>180</v>
      </c>
      <c r="BD175" s="10">
        <v>10</v>
      </c>
      <c r="BE175" s="15">
        <v>120</v>
      </c>
      <c r="BF175" s="11">
        <v>120</v>
      </c>
      <c r="BG175" s="10">
        <v>65</v>
      </c>
      <c r="BH175" s="15">
        <v>960</v>
      </c>
      <c r="BI175" s="11">
        <v>729</v>
      </c>
      <c r="BJ175" s="10">
        <v>62</v>
      </c>
      <c r="BK175" s="15">
        <v>800</v>
      </c>
      <c r="BL175" s="11">
        <v>748</v>
      </c>
      <c r="BM175" s="46">
        <v>40</v>
      </c>
      <c r="BN175" s="43">
        <v>480</v>
      </c>
      <c r="BO175" s="47">
        <v>480</v>
      </c>
      <c r="BP175" s="46">
        <v>43</v>
      </c>
      <c r="BQ175" s="43">
        <v>575</v>
      </c>
      <c r="BR175" s="47">
        <v>523</v>
      </c>
      <c r="BS175" s="46">
        <v>103</v>
      </c>
      <c r="BT175" s="43">
        <v>1460</v>
      </c>
      <c r="BU175" s="114">
        <v>1252</v>
      </c>
      <c r="BV175" s="119">
        <v>40.299999999999997</v>
      </c>
      <c r="BW175" s="120">
        <v>483</v>
      </c>
      <c r="BX175" s="114">
        <v>482.04</v>
      </c>
      <c r="BY175" s="119">
        <v>20</v>
      </c>
      <c r="BZ175" s="120">
        <v>240</v>
      </c>
      <c r="CA175" s="114">
        <v>240</v>
      </c>
      <c r="CB175" s="119">
        <v>50</v>
      </c>
      <c r="CC175" s="120">
        <v>610</v>
      </c>
      <c r="CD175" s="114">
        <v>584.79999999999995</v>
      </c>
      <c r="CE175" s="119">
        <v>43</v>
      </c>
      <c r="CF175" s="120">
        <v>600</v>
      </c>
      <c r="CG175" s="114">
        <v>522</v>
      </c>
      <c r="CH175" s="119">
        <v>30</v>
      </c>
      <c r="CI175" s="120">
        <v>360</v>
      </c>
      <c r="CJ175" s="114">
        <v>360</v>
      </c>
      <c r="CK175" s="54">
        <f t="shared" si="36"/>
        <v>521.29999999999995</v>
      </c>
      <c r="CL175" s="63">
        <f t="shared" si="37"/>
        <v>6868</v>
      </c>
      <c r="CM175" s="55">
        <f t="shared" si="38"/>
        <v>6220.84</v>
      </c>
      <c r="CN175" s="54">
        <f t="shared" si="39"/>
        <v>43.441666666666663</v>
      </c>
      <c r="CO175" s="63">
        <f t="shared" si="40"/>
        <v>572.33333333333337</v>
      </c>
      <c r="CP175" s="172">
        <f t="shared" si="41"/>
        <v>518.40333333333331</v>
      </c>
      <c r="CQ175" s="158">
        <v>50</v>
      </c>
      <c r="CR175" s="159">
        <v>714</v>
      </c>
      <c r="CS175" s="179">
        <v>604.96</v>
      </c>
      <c r="CT175" s="27">
        <v>65</v>
      </c>
      <c r="CU175" s="58">
        <v>1060</v>
      </c>
      <c r="CV175" s="12">
        <v>800</v>
      </c>
      <c r="CW175" s="27"/>
      <c r="CX175" s="58"/>
      <c r="CY175" s="98"/>
      <c r="CZ175" s="27"/>
      <c r="DA175" s="58"/>
      <c r="DB175" s="12"/>
      <c r="DC175" s="27"/>
      <c r="DD175" s="58"/>
      <c r="DE175" s="12"/>
      <c r="DF175" s="27"/>
      <c r="DG175" s="58"/>
      <c r="DH175" s="12"/>
      <c r="DI175" s="27"/>
      <c r="DJ175" s="58"/>
      <c r="DK175" s="107"/>
      <c r="DL175" s="27"/>
      <c r="DM175" s="58"/>
      <c r="DN175" s="107"/>
      <c r="DO175" s="27"/>
      <c r="DP175" s="58"/>
      <c r="DQ175" s="107"/>
      <c r="DR175" s="27"/>
      <c r="DS175" s="58"/>
      <c r="DT175" s="107"/>
      <c r="DU175" s="27"/>
      <c r="DV175" s="58"/>
      <c r="DW175" s="12"/>
      <c r="DX175" s="27"/>
      <c r="DY175" s="58"/>
      <c r="DZ175" s="12"/>
    </row>
    <row r="176" spans="1:130" s="25" customFormat="1" ht="31.5" customHeight="1" x14ac:dyDescent="0.6">
      <c r="A176" s="5">
        <v>173</v>
      </c>
      <c r="B176" s="18" t="s">
        <v>259</v>
      </c>
      <c r="C176" s="26"/>
      <c r="D176" s="18"/>
      <c r="E176" s="23"/>
      <c r="F176" s="7"/>
      <c r="G176" s="123"/>
      <c r="H176" s="123"/>
      <c r="I176" s="123"/>
      <c r="J176" s="49"/>
      <c r="K176" s="27"/>
      <c r="L176" s="58"/>
      <c r="M176" s="78"/>
      <c r="N176" s="27"/>
      <c r="O176" s="58"/>
      <c r="P176" s="49"/>
      <c r="Q176" s="27"/>
      <c r="R176" s="58"/>
      <c r="S176" s="98"/>
      <c r="T176" s="27"/>
      <c r="U176" s="58"/>
      <c r="V176" s="12"/>
      <c r="W176" s="27"/>
      <c r="X176" s="58"/>
      <c r="Y176" s="12"/>
      <c r="Z176" s="27"/>
      <c r="AA176" s="58"/>
      <c r="AB176" s="12"/>
      <c r="AC176" s="27"/>
      <c r="AD176" s="58"/>
      <c r="AE176" s="107"/>
      <c r="AF176" s="27"/>
      <c r="AG176" s="58"/>
      <c r="AH176" s="107"/>
      <c r="AI176" s="27"/>
      <c r="AJ176" s="58"/>
      <c r="AK176" s="107"/>
      <c r="AL176" s="27"/>
      <c r="AM176" s="58"/>
      <c r="AN176" s="12"/>
      <c r="AO176" s="27"/>
      <c r="AP176" s="58"/>
      <c r="AQ176" s="12"/>
      <c r="AR176" s="27"/>
      <c r="AS176" s="58"/>
      <c r="AT176" s="12"/>
      <c r="AU176" s="54"/>
      <c r="AV176" s="63"/>
      <c r="AW176" s="55"/>
      <c r="AX176" s="54"/>
      <c r="AY176" s="63"/>
      <c r="AZ176" s="55"/>
      <c r="BA176" s="10"/>
      <c r="BB176" s="15"/>
      <c r="BC176" s="11"/>
      <c r="BD176" s="10"/>
      <c r="BE176" s="15"/>
      <c r="BF176" s="11"/>
      <c r="BG176" s="10"/>
      <c r="BH176" s="15"/>
      <c r="BI176" s="11"/>
      <c r="BJ176" s="10"/>
      <c r="BK176" s="15"/>
      <c r="BL176" s="11"/>
      <c r="BM176" s="46"/>
      <c r="BN176" s="43"/>
      <c r="BO176" s="47"/>
      <c r="BP176" s="46"/>
      <c r="BQ176" s="43"/>
      <c r="BR176" s="47"/>
      <c r="BS176" s="46"/>
      <c r="BT176" s="43"/>
      <c r="BU176" s="114"/>
      <c r="BV176" s="119"/>
      <c r="BW176" s="120"/>
      <c r="BX176" s="114"/>
      <c r="BY176" s="119"/>
      <c r="BZ176" s="120"/>
      <c r="CA176" s="114"/>
      <c r="CB176" s="119"/>
      <c r="CC176" s="120"/>
      <c r="CD176" s="114"/>
      <c r="CE176" s="119"/>
      <c r="CF176" s="120"/>
      <c r="CG176" s="114"/>
      <c r="CH176" s="119"/>
      <c r="CI176" s="120"/>
      <c r="CJ176" s="114"/>
      <c r="CK176" s="54"/>
      <c r="CL176" s="63"/>
      <c r="CM176" s="55"/>
      <c r="CN176" s="54"/>
      <c r="CO176" s="63"/>
      <c r="CP176" s="172"/>
      <c r="CQ176" s="158">
        <v>0</v>
      </c>
      <c r="CR176" s="159">
        <v>0</v>
      </c>
      <c r="CS176" s="179">
        <v>0</v>
      </c>
      <c r="CT176" s="27">
        <v>0</v>
      </c>
      <c r="CU176" s="58">
        <v>0</v>
      </c>
      <c r="CV176" s="12">
        <v>0</v>
      </c>
      <c r="CW176" s="27"/>
      <c r="CX176" s="58"/>
      <c r="CY176" s="98"/>
      <c r="CZ176" s="27"/>
      <c r="DA176" s="58"/>
      <c r="DB176" s="12"/>
      <c r="DC176" s="27"/>
      <c r="DD176" s="58"/>
      <c r="DE176" s="12"/>
      <c r="DF176" s="27"/>
      <c r="DG176" s="58"/>
      <c r="DH176" s="12"/>
      <c r="DI176" s="27"/>
      <c r="DJ176" s="58"/>
      <c r="DK176" s="107"/>
      <c r="DL176" s="27"/>
      <c r="DM176" s="58"/>
      <c r="DN176" s="107"/>
      <c r="DO176" s="27"/>
      <c r="DP176" s="58"/>
      <c r="DQ176" s="107"/>
      <c r="DR176" s="27"/>
      <c r="DS176" s="58"/>
      <c r="DT176" s="107"/>
      <c r="DU176" s="27"/>
      <c r="DV176" s="58"/>
      <c r="DW176" s="12"/>
      <c r="DX176" s="27"/>
      <c r="DY176" s="58"/>
      <c r="DZ176" s="12"/>
    </row>
    <row r="177" spans="1:130" s="25" customFormat="1" ht="31.5" customHeight="1" x14ac:dyDescent="0.6">
      <c r="A177" s="5">
        <v>174</v>
      </c>
      <c r="B177" s="18" t="s">
        <v>316</v>
      </c>
      <c r="C177" s="26"/>
      <c r="D177" s="18"/>
      <c r="E177" s="23"/>
      <c r="F177" s="7"/>
      <c r="G177" s="123"/>
      <c r="H177" s="123"/>
      <c r="I177" s="123"/>
      <c r="J177" s="49"/>
      <c r="K177" s="27"/>
      <c r="L177" s="58"/>
      <c r="M177" s="78"/>
      <c r="N177" s="27"/>
      <c r="O177" s="58"/>
      <c r="P177" s="49"/>
      <c r="Q177" s="27"/>
      <c r="R177" s="58"/>
      <c r="S177" s="98"/>
      <c r="T177" s="27"/>
      <c r="U177" s="58"/>
      <c r="V177" s="12"/>
      <c r="W177" s="27"/>
      <c r="X177" s="58"/>
      <c r="Y177" s="12"/>
      <c r="Z177" s="27"/>
      <c r="AA177" s="58"/>
      <c r="AB177" s="12"/>
      <c r="AC177" s="27"/>
      <c r="AD177" s="58"/>
      <c r="AE177" s="107"/>
      <c r="AF177" s="27"/>
      <c r="AG177" s="58"/>
      <c r="AH177" s="107"/>
      <c r="AI177" s="27"/>
      <c r="AJ177" s="58"/>
      <c r="AK177" s="107"/>
      <c r="AL177" s="27"/>
      <c r="AM177" s="58"/>
      <c r="AN177" s="12"/>
      <c r="AO177" s="27"/>
      <c r="AP177" s="58"/>
      <c r="AQ177" s="12"/>
      <c r="AR177" s="27"/>
      <c r="AS177" s="58"/>
      <c r="AT177" s="12"/>
      <c r="AU177" s="54"/>
      <c r="AV177" s="63"/>
      <c r="AW177" s="55"/>
      <c r="AX177" s="54"/>
      <c r="AY177" s="63"/>
      <c r="AZ177" s="55"/>
      <c r="BA177" s="10"/>
      <c r="BB177" s="15"/>
      <c r="BC177" s="11"/>
      <c r="BD177" s="10"/>
      <c r="BE177" s="15"/>
      <c r="BF177" s="11"/>
      <c r="BG177" s="10"/>
      <c r="BH177" s="15"/>
      <c r="BI177" s="11"/>
      <c r="BJ177" s="10"/>
      <c r="BK177" s="15"/>
      <c r="BL177" s="11"/>
      <c r="BM177" s="46"/>
      <c r="BN177" s="43"/>
      <c r="BO177" s="47"/>
      <c r="BP177" s="46"/>
      <c r="BQ177" s="43"/>
      <c r="BR177" s="47"/>
      <c r="BS177" s="46"/>
      <c r="BT177" s="43"/>
      <c r="BU177" s="114"/>
      <c r="BV177" s="119"/>
      <c r="BW177" s="120"/>
      <c r="BX177" s="114"/>
      <c r="BY177" s="119"/>
      <c r="BZ177" s="120"/>
      <c r="CA177" s="114"/>
      <c r="CB177" s="119"/>
      <c r="CC177" s="120"/>
      <c r="CD177" s="114"/>
      <c r="CE177" s="119"/>
      <c r="CF177" s="120"/>
      <c r="CG177" s="114"/>
      <c r="CH177" s="119"/>
      <c r="CI177" s="120"/>
      <c r="CJ177" s="114"/>
      <c r="CK177" s="54"/>
      <c r="CL177" s="63"/>
      <c r="CM177" s="55"/>
      <c r="CN177" s="54"/>
      <c r="CO177" s="63"/>
      <c r="CP177" s="172"/>
      <c r="CQ177" s="158">
        <v>0</v>
      </c>
      <c r="CR177" s="159">
        <v>0</v>
      </c>
      <c r="CS177" s="179">
        <v>0</v>
      </c>
      <c r="CT177" s="27">
        <v>0</v>
      </c>
      <c r="CU177" s="58">
        <v>0</v>
      </c>
      <c r="CV177" s="12">
        <v>0</v>
      </c>
      <c r="CW177" s="27"/>
      <c r="CX177" s="58"/>
      <c r="CY177" s="98"/>
      <c r="CZ177" s="27"/>
      <c r="DA177" s="58"/>
      <c r="DB177" s="12"/>
      <c r="DC177" s="27"/>
      <c r="DD177" s="58"/>
      <c r="DE177" s="12"/>
      <c r="DF177" s="27"/>
      <c r="DG177" s="58"/>
      <c r="DH177" s="12"/>
      <c r="DI177" s="27"/>
      <c r="DJ177" s="58"/>
      <c r="DK177" s="107"/>
      <c r="DL177" s="27"/>
      <c r="DM177" s="58"/>
      <c r="DN177" s="107"/>
      <c r="DO177" s="27"/>
      <c r="DP177" s="58"/>
      <c r="DQ177" s="107"/>
      <c r="DR177" s="27"/>
      <c r="DS177" s="58"/>
      <c r="DT177" s="107"/>
      <c r="DU177" s="27"/>
      <c r="DV177" s="58"/>
      <c r="DW177" s="12"/>
      <c r="DX177" s="27"/>
      <c r="DY177" s="58"/>
      <c r="DZ177" s="12"/>
    </row>
    <row r="178" spans="1:130" s="25" customFormat="1" ht="31.5" customHeight="1" x14ac:dyDescent="0.6">
      <c r="A178" s="5">
        <v>175</v>
      </c>
      <c r="B178" s="18" t="s">
        <v>318</v>
      </c>
      <c r="C178" s="26"/>
      <c r="D178" s="18"/>
      <c r="E178" s="23"/>
      <c r="F178" s="7"/>
      <c r="G178" s="123"/>
      <c r="H178" s="123"/>
      <c r="I178" s="123"/>
      <c r="J178" s="49"/>
      <c r="K178" s="27"/>
      <c r="L178" s="58"/>
      <c r="M178" s="78"/>
      <c r="N178" s="27"/>
      <c r="O178" s="58"/>
      <c r="P178" s="49"/>
      <c r="Q178" s="27"/>
      <c r="R178" s="58"/>
      <c r="S178" s="98"/>
      <c r="T178" s="27"/>
      <c r="U178" s="58"/>
      <c r="V178" s="12"/>
      <c r="W178" s="27"/>
      <c r="X178" s="58"/>
      <c r="Y178" s="12"/>
      <c r="Z178" s="27"/>
      <c r="AA178" s="58"/>
      <c r="AB178" s="12"/>
      <c r="AC178" s="27"/>
      <c r="AD178" s="58"/>
      <c r="AE178" s="107"/>
      <c r="AF178" s="27"/>
      <c r="AG178" s="58"/>
      <c r="AH178" s="107"/>
      <c r="AI178" s="27"/>
      <c r="AJ178" s="58"/>
      <c r="AK178" s="107"/>
      <c r="AL178" s="27"/>
      <c r="AM178" s="58"/>
      <c r="AN178" s="12"/>
      <c r="AO178" s="27"/>
      <c r="AP178" s="58"/>
      <c r="AQ178" s="12"/>
      <c r="AR178" s="27"/>
      <c r="AS178" s="58"/>
      <c r="AT178" s="12"/>
      <c r="AU178" s="54"/>
      <c r="AV178" s="63"/>
      <c r="AW178" s="55"/>
      <c r="AX178" s="54"/>
      <c r="AY178" s="63"/>
      <c r="AZ178" s="55"/>
      <c r="BA178" s="10"/>
      <c r="BB178" s="15"/>
      <c r="BC178" s="11"/>
      <c r="BD178" s="10"/>
      <c r="BE178" s="15"/>
      <c r="BF178" s="11"/>
      <c r="BG178" s="10"/>
      <c r="BH178" s="15"/>
      <c r="BI178" s="11"/>
      <c r="BJ178" s="10"/>
      <c r="BK178" s="15"/>
      <c r="BL178" s="11"/>
      <c r="BM178" s="46"/>
      <c r="BN178" s="43"/>
      <c r="BO178" s="47"/>
      <c r="BP178" s="46"/>
      <c r="BQ178" s="43"/>
      <c r="BR178" s="47"/>
      <c r="BS178" s="46"/>
      <c r="BT178" s="43"/>
      <c r="BU178" s="114"/>
      <c r="BV178" s="119"/>
      <c r="BW178" s="120"/>
      <c r="BX178" s="114"/>
      <c r="BY178" s="119"/>
      <c r="BZ178" s="120"/>
      <c r="CA178" s="114"/>
      <c r="CB178" s="119"/>
      <c r="CC178" s="120"/>
      <c r="CD178" s="114"/>
      <c r="CE178" s="119"/>
      <c r="CF178" s="120"/>
      <c r="CG178" s="114"/>
      <c r="CH178" s="119"/>
      <c r="CI178" s="120"/>
      <c r="CJ178" s="114"/>
      <c r="CK178" s="54"/>
      <c r="CL178" s="63"/>
      <c r="CM178" s="55"/>
      <c r="CN178" s="54"/>
      <c r="CO178" s="63"/>
      <c r="CP178" s="172"/>
      <c r="CQ178" s="158">
        <v>15</v>
      </c>
      <c r="CR178" s="159">
        <v>180</v>
      </c>
      <c r="CS178" s="179">
        <v>180</v>
      </c>
      <c r="CT178" s="27">
        <v>0</v>
      </c>
      <c r="CU178" s="58">
        <v>0</v>
      </c>
      <c r="CV178" s="12">
        <v>0</v>
      </c>
      <c r="CW178" s="27"/>
      <c r="CX178" s="58"/>
      <c r="CY178" s="98"/>
      <c r="CZ178" s="27"/>
      <c r="DA178" s="58"/>
      <c r="DB178" s="12"/>
      <c r="DC178" s="27"/>
      <c r="DD178" s="58"/>
      <c r="DE178" s="12"/>
      <c r="DF178" s="27"/>
      <c r="DG178" s="58"/>
      <c r="DH178" s="12"/>
      <c r="DI178" s="27"/>
      <c r="DJ178" s="58"/>
      <c r="DK178" s="107"/>
      <c r="DL178" s="27"/>
      <c r="DM178" s="58"/>
      <c r="DN178" s="107"/>
      <c r="DO178" s="27"/>
      <c r="DP178" s="58"/>
      <c r="DQ178" s="107"/>
      <c r="DR178" s="27"/>
      <c r="DS178" s="58"/>
      <c r="DT178" s="12"/>
      <c r="DU178" s="27"/>
      <c r="DV178" s="58"/>
      <c r="DW178" s="12"/>
      <c r="DX178" s="27"/>
      <c r="DY178" s="58"/>
      <c r="DZ178" s="12"/>
    </row>
    <row r="179" spans="1:130" s="25" customFormat="1" ht="31.5" customHeight="1" x14ac:dyDescent="0.6">
      <c r="A179" s="5">
        <v>176</v>
      </c>
      <c r="B179" s="18" t="s">
        <v>320</v>
      </c>
      <c r="C179" s="26"/>
      <c r="D179" s="18"/>
      <c r="E179" s="23"/>
      <c r="F179" s="7"/>
      <c r="G179" s="123"/>
      <c r="H179" s="123"/>
      <c r="I179" s="123"/>
      <c r="J179" s="49"/>
      <c r="K179" s="27"/>
      <c r="L179" s="58"/>
      <c r="M179" s="78"/>
      <c r="N179" s="27"/>
      <c r="O179" s="58"/>
      <c r="P179" s="49"/>
      <c r="Q179" s="27"/>
      <c r="R179" s="58"/>
      <c r="S179" s="98"/>
      <c r="T179" s="27"/>
      <c r="U179" s="58"/>
      <c r="V179" s="12"/>
      <c r="W179" s="27"/>
      <c r="X179" s="58"/>
      <c r="Y179" s="12"/>
      <c r="Z179" s="27"/>
      <c r="AA179" s="58"/>
      <c r="AB179" s="12"/>
      <c r="AC179" s="27"/>
      <c r="AD179" s="58"/>
      <c r="AE179" s="107"/>
      <c r="AF179" s="27"/>
      <c r="AG179" s="58"/>
      <c r="AH179" s="107"/>
      <c r="AI179" s="27"/>
      <c r="AJ179" s="58"/>
      <c r="AK179" s="107"/>
      <c r="AL179" s="27"/>
      <c r="AM179" s="58"/>
      <c r="AN179" s="12"/>
      <c r="AO179" s="27"/>
      <c r="AP179" s="58"/>
      <c r="AQ179" s="12"/>
      <c r="AR179" s="27"/>
      <c r="AS179" s="58"/>
      <c r="AT179" s="12"/>
      <c r="AU179" s="54"/>
      <c r="AV179" s="63"/>
      <c r="AW179" s="55"/>
      <c r="AX179" s="54"/>
      <c r="AY179" s="63"/>
      <c r="AZ179" s="55"/>
      <c r="BA179" s="10"/>
      <c r="BB179" s="15"/>
      <c r="BC179" s="11"/>
      <c r="BD179" s="10"/>
      <c r="BE179" s="15"/>
      <c r="BF179" s="11"/>
      <c r="BG179" s="10"/>
      <c r="BH179" s="15"/>
      <c r="BI179" s="11"/>
      <c r="BJ179" s="10"/>
      <c r="BK179" s="15"/>
      <c r="BL179" s="11"/>
      <c r="BM179" s="46"/>
      <c r="BN179" s="43"/>
      <c r="BO179" s="47"/>
      <c r="BP179" s="46"/>
      <c r="BQ179" s="43"/>
      <c r="BR179" s="47"/>
      <c r="BS179" s="46"/>
      <c r="BT179" s="43"/>
      <c r="BU179" s="114"/>
      <c r="BV179" s="119"/>
      <c r="BW179" s="120"/>
      <c r="BX179" s="114"/>
      <c r="BY179" s="119"/>
      <c r="BZ179" s="120"/>
      <c r="CA179" s="114"/>
      <c r="CB179" s="119"/>
      <c r="CC179" s="120"/>
      <c r="CD179" s="114"/>
      <c r="CE179" s="119"/>
      <c r="CF179" s="120"/>
      <c r="CG179" s="114"/>
      <c r="CH179" s="119"/>
      <c r="CI179" s="120"/>
      <c r="CJ179" s="114"/>
      <c r="CK179" s="54"/>
      <c r="CL179" s="63"/>
      <c r="CM179" s="55"/>
      <c r="CN179" s="54"/>
      <c r="CO179" s="63"/>
      <c r="CP179" s="172"/>
      <c r="CQ179" s="158">
        <v>50</v>
      </c>
      <c r="CR179" s="159">
        <v>700</v>
      </c>
      <c r="CS179" s="179">
        <v>448</v>
      </c>
      <c r="CT179" s="27">
        <v>50</v>
      </c>
      <c r="CU179" s="58">
        <v>700</v>
      </c>
      <c r="CV179" s="12">
        <v>448</v>
      </c>
      <c r="CW179" s="27"/>
      <c r="CX179" s="58"/>
      <c r="CY179" s="98"/>
      <c r="CZ179" s="27"/>
      <c r="DA179" s="58"/>
      <c r="DB179" s="12"/>
      <c r="DC179" s="27"/>
      <c r="DD179" s="58"/>
      <c r="DE179" s="12"/>
      <c r="DF179" s="27"/>
      <c r="DG179" s="58"/>
      <c r="DH179" s="12"/>
      <c r="DI179" s="27"/>
      <c r="DJ179" s="58"/>
      <c r="DK179" s="107"/>
      <c r="DL179" s="27"/>
      <c r="DM179" s="58"/>
      <c r="DN179" s="107"/>
      <c r="DO179" s="27"/>
      <c r="DP179" s="58"/>
      <c r="DQ179" s="107"/>
      <c r="DR179" s="27"/>
      <c r="DS179" s="58"/>
      <c r="DT179" s="12"/>
      <c r="DU179" s="27"/>
      <c r="DV179" s="58"/>
      <c r="DW179" s="12"/>
      <c r="DX179" s="27"/>
      <c r="DY179" s="58"/>
      <c r="DZ179" s="12"/>
    </row>
    <row r="180" spans="1:130" s="25" customFormat="1" ht="31.5" customHeight="1" x14ac:dyDescent="0.6">
      <c r="A180" s="5">
        <v>177</v>
      </c>
      <c r="B180" s="18" t="s">
        <v>340</v>
      </c>
      <c r="C180" s="26"/>
      <c r="D180" s="18"/>
      <c r="E180" s="23"/>
      <c r="F180" s="7"/>
      <c r="G180" s="123"/>
      <c r="H180" s="123"/>
      <c r="I180" s="123"/>
      <c r="J180" s="49"/>
      <c r="K180" s="27"/>
      <c r="L180" s="58"/>
      <c r="M180" s="78"/>
      <c r="N180" s="27"/>
      <c r="O180" s="58"/>
      <c r="P180" s="49"/>
      <c r="Q180" s="27"/>
      <c r="R180" s="58"/>
      <c r="S180" s="98"/>
      <c r="T180" s="27"/>
      <c r="U180" s="58"/>
      <c r="V180" s="12"/>
      <c r="W180" s="27"/>
      <c r="X180" s="58"/>
      <c r="Y180" s="12"/>
      <c r="Z180" s="27"/>
      <c r="AA180" s="58"/>
      <c r="AB180" s="12"/>
      <c r="AC180" s="27"/>
      <c r="AD180" s="58"/>
      <c r="AE180" s="107"/>
      <c r="AF180" s="27"/>
      <c r="AG180" s="58"/>
      <c r="AH180" s="107"/>
      <c r="AI180" s="27"/>
      <c r="AJ180" s="58"/>
      <c r="AK180" s="107"/>
      <c r="AL180" s="27"/>
      <c r="AM180" s="58"/>
      <c r="AN180" s="12"/>
      <c r="AO180" s="27"/>
      <c r="AP180" s="58"/>
      <c r="AQ180" s="12"/>
      <c r="AR180" s="27"/>
      <c r="AS180" s="58"/>
      <c r="AT180" s="12"/>
      <c r="AU180" s="54"/>
      <c r="AV180" s="63"/>
      <c r="AW180" s="55"/>
      <c r="AX180" s="54"/>
      <c r="AY180" s="63"/>
      <c r="AZ180" s="55"/>
      <c r="BA180" s="10"/>
      <c r="BB180" s="15"/>
      <c r="BC180" s="11"/>
      <c r="BD180" s="10"/>
      <c r="BE180" s="15"/>
      <c r="BF180" s="11"/>
      <c r="BG180" s="10"/>
      <c r="BH180" s="15"/>
      <c r="BI180" s="11"/>
      <c r="BJ180" s="10"/>
      <c r="BK180" s="15"/>
      <c r="BL180" s="11"/>
      <c r="BM180" s="46"/>
      <c r="BN180" s="43"/>
      <c r="BO180" s="47"/>
      <c r="BP180" s="46"/>
      <c r="BQ180" s="43"/>
      <c r="BR180" s="47"/>
      <c r="BS180" s="46"/>
      <c r="BT180" s="43"/>
      <c r="BU180" s="114"/>
      <c r="BV180" s="119"/>
      <c r="BW180" s="120"/>
      <c r="BX180" s="114"/>
      <c r="BY180" s="119"/>
      <c r="BZ180" s="120"/>
      <c r="CA180" s="114"/>
      <c r="CB180" s="119"/>
      <c r="CC180" s="120"/>
      <c r="CD180" s="114"/>
      <c r="CE180" s="119"/>
      <c r="CF180" s="120"/>
      <c r="CG180" s="114"/>
      <c r="CH180" s="119"/>
      <c r="CI180" s="120"/>
      <c r="CJ180" s="114"/>
      <c r="CK180" s="54"/>
      <c r="CL180" s="63"/>
      <c r="CM180" s="55"/>
      <c r="CN180" s="54"/>
      <c r="CO180" s="63"/>
      <c r="CP180" s="172"/>
      <c r="CQ180" s="158">
        <v>60</v>
      </c>
      <c r="CR180" s="159">
        <v>740</v>
      </c>
      <c r="CS180" s="179">
        <v>689.6</v>
      </c>
      <c r="CT180" s="27">
        <v>25</v>
      </c>
      <c r="CU180" s="58">
        <v>310</v>
      </c>
      <c r="CV180" s="12">
        <v>284.8</v>
      </c>
      <c r="CW180" s="27"/>
      <c r="CX180" s="58"/>
      <c r="CY180" s="98"/>
      <c r="CZ180" s="27"/>
      <c r="DA180" s="58"/>
      <c r="DB180" s="12"/>
      <c r="DC180" s="27"/>
      <c r="DD180" s="58"/>
      <c r="DE180" s="12"/>
      <c r="DF180" s="27"/>
      <c r="DG180" s="58"/>
      <c r="DH180" s="12"/>
      <c r="DI180" s="27"/>
      <c r="DJ180" s="58"/>
      <c r="DK180" s="107"/>
      <c r="DL180" s="27"/>
      <c r="DM180" s="58"/>
      <c r="DN180" s="107"/>
      <c r="DO180" s="27"/>
      <c r="DP180" s="58"/>
      <c r="DQ180" s="107"/>
      <c r="DR180" s="27"/>
      <c r="DS180" s="58"/>
      <c r="DT180" s="12"/>
      <c r="DU180" s="27"/>
      <c r="DV180" s="58"/>
      <c r="DW180" s="12"/>
      <c r="DX180" s="27"/>
      <c r="DY180" s="58"/>
      <c r="DZ180" s="12"/>
    </row>
    <row r="181" spans="1:130" s="25" customFormat="1" ht="31.5" customHeight="1" x14ac:dyDescent="0.6">
      <c r="A181" s="5">
        <v>178</v>
      </c>
      <c r="B181" s="18" t="s">
        <v>1156</v>
      </c>
      <c r="C181" s="26"/>
      <c r="D181" s="18"/>
      <c r="E181" s="23"/>
      <c r="F181" s="7"/>
      <c r="G181" s="123"/>
      <c r="H181" s="123"/>
      <c r="I181" s="123"/>
      <c r="J181" s="49"/>
      <c r="K181" s="27"/>
      <c r="L181" s="58"/>
      <c r="M181" s="78"/>
      <c r="N181" s="27"/>
      <c r="O181" s="58"/>
      <c r="P181" s="49"/>
      <c r="Q181" s="27"/>
      <c r="R181" s="58"/>
      <c r="S181" s="98"/>
      <c r="T181" s="27"/>
      <c r="U181" s="58"/>
      <c r="V181" s="12"/>
      <c r="W181" s="27"/>
      <c r="X181" s="58"/>
      <c r="Y181" s="12"/>
      <c r="Z181" s="27"/>
      <c r="AA181" s="58"/>
      <c r="AB181" s="12"/>
      <c r="AC181" s="27"/>
      <c r="AD181" s="58"/>
      <c r="AE181" s="107"/>
      <c r="AF181" s="27"/>
      <c r="AG181" s="58"/>
      <c r="AH181" s="107"/>
      <c r="AI181" s="27"/>
      <c r="AJ181" s="58"/>
      <c r="AK181" s="107"/>
      <c r="AL181" s="27"/>
      <c r="AM181" s="58"/>
      <c r="AN181" s="12"/>
      <c r="AO181" s="27"/>
      <c r="AP181" s="58"/>
      <c r="AQ181" s="12"/>
      <c r="AR181" s="27"/>
      <c r="AS181" s="58"/>
      <c r="AT181" s="12"/>
      <c r="AU181" s="54"/>
      <c r="AV181" s="63"/>
      <c r="AW181" s="55"/>
      <c r="AX181" s="54"/>
      <c r="AY181" s="63"/>
      <c r="AZ181" s="55"/>
      <c r="BA181" s="10"/>
      <c r="BB181" s="15"/>
      <c r="BC181" s="11"/>
      <c r="BD181" s="10"/>
      <c r="BE181" s="15"/>
      <c r="BF181" s="11"/>
      <c r="BG181" s="10"/>
      <c r="BH181" s="15"/>
      <c r="BI181" s="11"/>
      <c r="BJ181" s="10"/>
      <c r="BK181" s="15"/>
      <c r="BL181" s="11"/>
      <c r="BM181" s="46"/>
      <c r="BN181" s="43"/>
      <c r="BO181" s="47"/>
      <c r="BP181" s="46"/>
      <c r="BQ181" s="43"/>
      <c r="BR181" s="47"/>
      <c r="BS181" s="46"/>
      <c r="BT181" s="43"/>
      <c r="BU181" s="114"/>
      <c r="BV181" s="119"/>
      <c r="BW181" s="120"/>
      <c r="BX181" s="114"/>
      <c r="BY181" s="119"/>
      <c r="BZ181" s="120"/>
      <c r="CA181" s="114"/>
      <c r="CB181" s="119"/>
      <c r="CC181" s="120"/>
      <c r="CD181" s="114"/>
      <c r="CE181" s="119"/>
      <c r="CF181" s="120"/>
      <c r="CG181" s="114"/>
      <c r="CH181" s="119"/>
      <c r="CI181" s="120"/>
      <c r="CJ181" s="114"/>
      <c r="CK181" s="54"/>
      <c r="CL181" s="63"/>
      <c r="CM181" s="55"/>
      <c r="CN181" s="54"/>
      <c r="CO181" s="63"/>
      <c r="CP181" s="172"/>
      <c r="CQ181" s="158">
        <v>0</v>
      </c>
      <c r="CR181" s="159">
        <v>0</v>
      </c>
      <c r="CS181" s="179">
        <v>0</v>
      </c>
      <c r="CT181" s="27">
        <v>15</v>
      </c>
      <c r="CU181" s="58">
        <v>180</v>
      </c>
      <c r="CV181" s="12">
        <v>180</v>
      </c>
      <c r="CW181" s="27"/>
      <c r="CX181" s="58"/>
      <c r="CY181" s="98"/>
      <c r="CZ181" s="27"/>
      <c r="DA181" s="58"/>
      <c r="DB181" s="12"/>
      <c r="DC181" s="27"/>
      <c r="DD181" s="58"/>
      <c r="DE181" s="12"/>
      <c r="DF181" s="27"/>
      <c r="DG181" s="58"/>
      <c r="DH181" s="12"/>
      <c r="DI181" s="27"/>
      <c r="DJ181" s="58"/>
      <c r="DK181" s="107"/>
      <c r="DL181" s="27"/>
      <c r="DM181" s="58"/>
      <c r="DN181" s="107"/>
      <c r="DO181" s="27"/>
      <c r="DP181" s="58"/>
      <c r="DQ181" s="107"/>
      <c r="DR181" s="27"/>
      <c r="DS181" s="58"/>
      <c r="DT181" s="12"/>
      <c r="DU181" s="27"/>
      <c r="DV181" s="58"/>
      <c r="DW181" s="12"/>
      <c r="DX181" s="27"/>
      <c r="DY181" s="58"/>
      <c r="DZ181" s="12"/>
    </row>
    <row r="182" spans="1:130" s="25" customFormat="1" ht="37.5" customHeight="1" x14ac:dyDescent="0.6">
      <c r="A182" s="5">
        <v>179</v>
      </c>
      <c r="B182" s="18" t="s">
        <v>1157</v>
      </c>
      <c r="C182" s="26"/>
      <c r="D182" s="18"/>
      <c r="E182" s="23"/>
      <c r="F182" s="7"/>
      <c r="G182" s="123"/>
      <c r="H182" s="123"/>
      <c r="I182" s="123"/>
      <c r="J182" s="49"/>
      <c r="K182" s="27"/>
      <c r="L182" s="58"/>
      <c r="M182" s="78"/>
      <c r="N182" s="27"/>
      <c r="O182" s="58"/>
      <c r="P182" s="49"/>
      <c r="Q182" s="27"/>
      <c r="R182" s="58"/>
      <c r="S182" s="98"/>
      <c r="T182" s="27"/>
      <c r="U182" s="58"/>
      <c r="V182" s="12"/>
      <c r="W182" s="27"/>
      <c r="X182" s="58"/>
      <c r="Y182" s="12"/>
      <c r="Z182" s="27"/>
      <c r="AA182" s="58"/>
      <c r="AB182" s="12"/>
      <c r="AC182" s="27"/>
      <c r="AD182" s="58"/>
      <c r="AE182" s="107"/>
      <c r="AF182" s="27"/>
      <c r="AG182" s="58"/>
      <c r="AH182" s="107"/>
      <c r="AI182" s="27"/>
      <c r="AJ182" s="58"/>
      <c r="AK182" s="107"/>
      <c r="AL182" s="27"/>
      <c r="AM182" s="58"/>
      <c r="AN182" s="12"/>
      <c r="AO182" s="27"/>
      <c r="AP182" s="58"/>
      <c r="AQ182" s="12"/>
      <c r="AR182" s="27"/>
      <c r="AS182" s="58"/>
      <c r="AT182" s="12"/>
      <c r="AU182" s="54"/>
      <c r="AV182" s="63"/>
      <c r="AW182" s="55"/>
      <c r="AX182" s="54"/>
      <c r="AY182" s="63"/>
      <c r="AZ182" s="55"/>
      <c r="BA182" s="10"/>
      <c r="BB182" s="15"/>
      <c r="BC182" s="11"/>
      <c r="BD182" s="10"/>
      <c r="BE182" s="15"/>
      <c r="BF182" s="11"/>
      <c r="BG182" s="10"/>
      <c r="BH182" s="15"/>
      <c r="BI182" s="11"/>
      <c r="BJ182" s="10"/>
      <c r="BK182" s="15"/>
      <c r="BL182" s="11"/>
      <c r="BM182" s="46"/>
      <c r="BN182" s="43"/>
      <c r="BO182" s="47"/>
      <c r="BP182" s="46"/>
      <c r="BQ182" s="43"/>
      <c r="BR182" s="47"/>
      <c r="BS182" s="46"/>
      <c r="BT182" s="43"/>
      <c r="BU182" s="114"/>
      <c r="BV182" s="119"/>
      <c r="BW182" s="120"/>
      <c r="BX182" s="114"/>
      <c r="BY182" s="119"/>
      <c r="BZ182" s="120"/>
      <c r="CA182" s="114"/>
      <c r="CB182" s="119"/>
      <c r="CC182" s="120"/>
      <c r="CD182" s="114"/>
      <c r="CE182" s="119"/>
      <c r="CF182" s="120"/>
      <c r="CG182" s="114"/>
      <c r="CH182" s="119"/>
      <c r="CI182" s="120"/>
      <c r="CJ182" s="114"/>
      <c r="CK182" s="54"/>
      <c r="CL182" s="63"/>
      <c r="CM182" s="55"/>
      <c r="CN182" s="54"/>
      <c r="CO182" s="63"/>
      <c r="CP182" s="172"/>
      <c r="CQ182" s="158">
        <v>40</v>
      </c>
      <c r="CR182" s="159">
        <v>480</v>
      </c>
      <c r="CS182" s="179">
        <v>480</v>
      </c>
      <c r="CT182" s="27">
        <v>57</v>
      </c>
      <c r="CU182" s="58">
        <v>740</v>
      </c>
      <c r="CV182" s="12">
        <v>688</v>
      </c>
      <c r="CW182" s="27"/>
      <c r="CX182" s="58"/>
      <c r="CY182" s="98"/>
      <c r="CZ182" s="27"/>
      <c r="DA182" s="58"/>
      <c r="DB182" s="12"/>
      <c r="DC182" s="27"/>
      <c r="DD182" s="58"/>
      <c r="DE182" s="12"/>
      <c r="DF182" s="27"/>
      <c r="DG182" s="58"/>
      <c r="DH182" s="12"/>
      <c r="DI182" s="27"/>
      <c r="DJ182" s="58"/>
      <c r="DK182" s="107"/>
      <c r="DL182" s="27"/>
      <c r="DM182" s="58"/>
      <c r="DN182" s="107"/>
      <c r="DO182" s="27"/>
      <c r="DP182" s="58"/>
      <c r="DQ182" s="107"/>
      <c r="DR182" s="27"/>
      <c r="DS182" s="58"/>
      <c r="DT182" s="12"/>
      <c r="DU182" s="27"/>
      <c r="DV182" s="58"/>
      <c r="DW182" s="12"/>
      <c r="DX182" s="27"/>
      <c r="DY182" s="58"/>
      <c r="DZ182" s="12"/>
    </row>
    <row r="183" spans="1:130" s="25" customFormat="1" ht="31.5" customHeight="1" x14ac:dyDescent="0.6">
      <c r="A183" s="5">
        <v>180</v>
      </c>
      <c r="B183" s="18" t="s">
        <v>477</v>
      </c>
      <c r="C183" s="18" t="s">
        <v>478</v>
      </c>
      <c r="D183" s="18" t="s">
        <v>128</v>
      </c>
      <c r="E183" s="23" t="s">
        <v>129</v>
      </c>
      <c r="F183" s="7" t="s">
        <v>475</v>
      </c>
      <c r="G183" s="123"/>
      <c r="H183" s="123"/>
      <c r="I183" s="123" t="s">
        <v>1046</v>
      </c>
      <c r="J183" s="49" t="s">
        <v>476</v>
      </c>
      <c r="K183" s="27"/>
      <c r="L183" s="58"/>
      <c r="M183" s="78"/>
      <c r="N183" s="27"/>
      <c r="O183" s="58"/>
      <c r="P183" s="49"/>
      <c r="Q183" s="27"/>
      <c r="R183" s="58"/>
      <c r="S183" s="98"/>
      <c r="T183" s="27"/>
      <c r="U183" s="58"/>
      <c r="V183" s="12"/>
      <c r="W183" s="27"/>
      <c r="X183" s="58"/>
      <c r="Y183" s="12"/>
      <c r="Z183" s="27"/>
      <c r="AA183" s="58"/>
      <c r="AB183" s="12"/>
      <c r="AC183" s="27">
        <v>10</v>
      </c>
      <c r="AD183" s="58">
        <v>20</v>
      </c>
      <c r="AE183" s="107"/>
      <c r="AF183" s="27">
        <v>0</v>
      </c>
      <c r="AG183" s="58">
        <v>0</v>
      </c>
      <c r="AH183" s="107"/>
      <c r="AI183" s="27">
        <v>84</v>
      </c>
      <c r="AJ183" s="58">
        <v>1190</v>
      </c>
      <c r="AK183" s="107"/>
      <c r="AL183" s="27">
        <v>43</v>
      </c>
      <c r="AM183" s="58">
        <v>662</v>
      </c>
      <c r="AN183" s="12"/>
      <c r="AO183" s="27">
        <v>55</v>
      </c>
      <c r="AP183" s="58">
        <v>940</v>
      </c>
      <c r="AQ183" s="12"/>
      <c r="AR183" s="27">
        <v>112</v>
      </c>
      <c r="AS183" s="58">
        <v>1680</v>
      </c>
      <c r="AT183" s="12"/>
      <c r="AU183" s="54"/>
      <c r="AV183" s="63"/>
      <c r="AW183" s="55"/>
      <c r="AX183" s="54"/>
      <c r="AY183" s="63"/>
      <c r="AZ183" s="55"/>
      <c r="BA183" s="10">
        <v>50</v>
      </c>
      <c r="BB183" s="15">
        <v>740</v>
      </c>
      <c r="BC183" s="11">
        <v>514</v>
      </c>
      <c r="BD183" s="10">
        <v>0</v>
      </c>
      <c r="BE183" s="15">
        <v>0</v>
      </c>
      <c r="BF183" s="11">
        <v>0</v>
      </c>
      <c r="BG183" s="10">
        <v>140</v>
      </c>
      <c r="BH183" s="15">
        <v>2102</v>
      </c>
      <c r="BI183" s="11">
        <v>1487</v>
      </c>
      <c r="BJ183" s="10">
        <v>78</v>
      </c>
      <c r="BK183" s="15">
        <v>1092</v>
      </c>
      <c r="BL183" s="11">
        <v>864.8</v>
      </c>
      <c r="BM183" s="46">
        <v>162</v>
      </c>
      <c r="BN183" s="43">
        <v>2396</v>
      </c>
      <c r="BO183" s="47">
        <v>1766.5600000000002</v>
      </c>
      <c r="BP183" s="46">
        <v>136</v>
      </c>
      <c r="BQ183" s="43">
        <v>2068</v>
      </c>
      <c r="BR183" s="47">
        <v>1516.2</v>
      </c>
      <c r="BS183" s="46">
        <v>85</v>
      </c>
      <c r="BT183" s="43">
        <v>1384</v>
      </c>
      <c r="BU183" s="114">
        <v>926</v>
      </c>
      <c r="BV183" s="119">
        <v>44.3</v>
      </c>
      <c r="BW183" s="120">
        <v>731</v>
      </c>
      <c r="BX183" s="114">
        <v>489.96000000000004</v>
      </c>
      <c r="BY183" s="119">
        <v>79</v>
      </c>
      <c r="BZ183" s="120">
        <v>1428</v>
      </c>
      <c r="CA183" s="114">
        <v>865.52</v>
      </c>
      <c r="CB183" s="119">
        <v>72</v>
      </c>
      <c r="CC183" s="120">
        <v>1284</v>
      </c>
      <c r="CD183" s="114">
        <v>822</v>
      </c>
      <c r="CE183" s="119">
        <v>75</v>
      </c>
      <c r="CF183" s="120">
        <v>1294</v>
      </c>
      <c r="CG183" s="114">
        <v>852.96</v>
      </c>
      <c r="CH183" s="119">
        <v>81</v>
      </c>
      <c r="CI183" s="120">
        <v>1508</v>
      </c>
      <c r="CJ183" s="114">
        <v>883.92000000000007</v>
      </c>
      <c r="CK183" s="54">
        <f t="shared" si="36"/>
        <v>1002.3</v>
      </c>
      <c r="CL183" s="63">
        <f t="shared" si="37"/>
        <v>16027</v>
      </c>
      <c r="CM183" s="55">
        <f t="shared" si="38"/>
        <v>10988.92</v>
      </c>
      <c r="CN183" s="54">
        <f t="shared" si="39"/>
        <v>83.524999999999991</v>
      </c>
      <c r="CO183" s="63">
        <f t="shared" si="40"/>
        <v>1335.5833333333333</v>
      </c>
      <c r="CP183" s="172">
        <f t="shared" si="41"/>
        <v>915.74333333333334</v>
      </c>
      <c r="CQ183" s="158">
        <v>45.5</v>
      </c>
      <c r="CR183" s="159">
        <v>924</v>
      </c>
      <c r="CS183" s="179">
        <v>529.79999999999995</v>
      </c>
      <c r="CT183" s="27">
        <v>72</v>
      </c>
      <c r="CU183" s="58">
        <v>1228</v>
      </c>
      <c r="CV183" s="12">
        <v>808.4</v>
      </c>
      <c r="CW183" s="27"/>
      <c r="CX183" s="58"/>
      <c r="CY183" s="98"/>
      <c r="CZ183" s="27"/>
      <c r="DA183" s="58"/>
      <c r="DB183" s="12"/>
      <c r="DC183" s="27"/>
      <c r="DD183" s="58"/>
      <c r="DE183" s="12"/>
      <c r="DF183" s="27"/>
      <c r="DG183" s="58"/>
      <c r="DH183" s="12"/>
      <c r="DI183" s="27"/>
      <c r="DJ183" s="58"/>
      <c r="DK183" s="107"/>
      <c r="DL183" s="27"/>
      <c r="DM183" s="58"/>
      <c r="DN183" s="107"/>
      <c r="DO183" s="27"/>
      <c r="DP183" s="58"/>
      <c r="DQ183" s="107"/>
      <c r="DR183" s="27"/>
      <c r="DS183" s="58"/>
      <c r="DT183" s="12"/>
      <c r="DU183" s="27"/>
      <c r="DV183" s="58"/>
      <c r="DW183" s="12"/>
      <c r="DX183" s="27"/>
      <c r="DY183" s="58"/>
      <c r="DZ183" s="12"/>
    </row>
    <row r="184" spans="1:130" s="25" customFormat="1" ht="31.5" customHeight="1" x14ac:dyDescent="0.6">
      <c r="A184" s="5">
        <v>181</v>
      </c>
      <c r="B184" s="18" t="s">
        <v>479</v>
      </c>
      <c r="C184" s="18" t="s">
        <v>480</v>
      </c>
      <c r="D184" s="18" t="s">
        <v>128</v>
      </c>
      <c r="E184" s="23" t="s">
        <v>129</v>
      </c>
      <c r="F184" s="7" t="s">
        <v>475</v>
      </c>
      <c r="G184" s="123"/>
      <c r="H184" s="123"/>
      <c r="I184" s="123" t="s">
        <v>1047</v>
      </c>
      <c r="J184" s="49" t="s">
        <v>476</v>
      </c>
      <c r="K184" s="27"/>
      <c r="L184" s="58"/>
      <c r="M184" s="78"/>
      <c r="N184" s="27"/>
      <c r="O184" s="58"/>
      <c r="P184" s="49"/>
      <c r="Q184" s="27"/>
      <c r="R184" s="58"/>
      <c r="S184" s="98"/>
      <c r="T184" s="27"/>
      <c r="U184" s="58"/>
      <c r="V184" s="12"/>
      <c r="W184" s="27"/>
      <c r="X184" s="58"/>
      <c r="Y184" s="12"/>
      <c r="Z184" s="27"/>
      <c r="AA184" s="58"/>
      <c r="AB184" s="12"/>
      <c r="AC184" s="27">
        <v>0</v>
      </c>
      <c r="AD184" s="58">
        <v>0</v>
      </c>
      <c r="AE184" s="107"/>
      <c r="AF184" s="27">
        <v>47</v>
      </c>
      <c r="AG184" s="58">
        <v>620</v>
      </c>
      <c r="AH184" s="107"/>
      <c r="AI184" s="27">
        <v>45</v>
      </c>
      <c r="AJ184" s="58">
        <v>540</v>
      </c>
      <c r="AK184" s="107"/>
      <c r="AL184" s="27">
        <v>40</v>
      </c>
      <c r="AM184" s="58">
        <v>480</v>
      </c>
      <c r="AN184" s="12"/>
      <c r="AO184" s="27">
        <v>60</v>
      </c>
      <c r="AP184" s="58">
        <v>720</v>
      </c>
      <c r="AQ184" s="12"/>
      <c r="AR184" s="27">
        <v>17</v>
      </c>
      <c r="AS184" s="58">
        <v>204</v>
      </c>
      <c r="AT184" s="12"/>
      <c r="AU184" s="54"/>
      <c r="AV184" s="63"/>
      <c r="AW184" s="55"/>
      <c r="AX184" s="54"/>
      <c r="AY184" s="63"/>
      <c r="AZ184" s="55"/>
      <c r="BA184" s="10">
        <v>30</v>
      </c>
      <c r="BB184" s="15">
        <v>360</v>
      </c>
      <c r="BC184" s="11">
        <v>360</v>
      </c>
      <c r="BD184" s="10">
        <v>15</v>
      </c>
      <c r="BE184" s="15">
        <v>180</v>
      </c>
      <c r="BF184" s="11">
        <v>180</v>
      </c>
      <c r="BG184" s="10">
        <v>65</v>
      </c>
      <c r="BH184" s="15">
        <v>785</v>
      </c>
      <c r="BI184" s="11">
        <v>782</v>
      </c>
      <c r="BJ184" s="10">
        <v>30</v>
      </c>
      <c r="BK184" s="15">
        <v>360</v>
      </c>
      <c r="BL184" s="11">
        <v>360</v>
      </c>
      <c r="BM184" s="46">
        <v>93</v>
      </c>
      <c r="BN184" s="43">
        <v>1228</v>
      </c>
      <c r="BO184" s="47">
        <v>1124</v>
      </c>
      <c r="BP184" s="46">
        <v>45</v>
      </c>
      <c r="BQ184" s="43">
        <v>542</v>
      </c>
      <c r="BR184" s="47">
        <v>542</v>
      </c>
      <c r="BS184" s="46">
        <v>70</v>
      </c>
      <c r="BT184" s="43">
        <v>840</v>
      </c>
      <c r="BU184" s="114">
        <v>792</v>
      </c>
      <c r="BV184" s="119">
        <v>0.3</v>
      </c>
      <c r="BW184" s="120">
        <v>3</v>
      </c>
      <c r="BX184" s="114">
        <v>2.04</v>
      </c>
      <c r="BY184" s="119">
        <v>30</v>
      </c>
      <c r="BZ184" s="120">
        <v>360</v>
      </c>
      <c r="CA184" s="114">
        <v>360</v>
      </c>
      <c r="CB184" s="119">
        <v>0</v>
      </c>
      <c r="CC184" s="120">
        <v>0</v>
      </c>
      <c r="CD184" s="114">
        <v>0</v>
      </c>
      <c r="CE184" s="119">
        <v>1.08</v>
      </c>
      <c r="CF184" s="120">
        <v>13</v>
      </c>
      <c r="CG184" s="114">
        <v>12.68</v>
      </c>
      <c r="CH184" s="119">
        <v>0</v>
      </c>
      <c r="CI184" s="120">
        <v>0</v>
      </c>
      <c r="CJ184" s="114">
        <v>0</v>
      </c>
      <c r="CK184" s="54">
        <f t="shared" si="36"/>
        <v>379.38</v>
      </c>
      <c r="CL184" s="63">
        <f t="shared" si="37"/>
        <v>4671</v>
      </c>
      <c r="CM184" s="55">
        <f t="shared" si="38"/>
        <v>4514.72</v>
      </c>
      <c r="CN184" s="54">
        <f t="shared" si="39"/>
        <v>31.614999999999998</v>
      </c>
      <c r="CO184" s="63">
        <f t="shared" si="40"/>
        <v>389.25</v>
      </c>
      <c r="CP184" s="172">
        <f t="shared" si="41"/>
        <v>376.22666666666669</v>
      </c>
      <c r="CQ184" s="158">
        <v>15</v>
      </c>
      <c r="CR184" s="159">
        <v>180</v>
      </c>
      <c r="CS184" s="179">
        <v>180</v>
      </c>
      <c r="CT184" s="27">
        <v>28</v>
      </c>
      <c r="CU184" s="58">
        <v>336</v>
      </c>
      <c r="CV184" s="12">
        <v>336</v>
      </c>
      <c r="CW184" s="27"/>
      <c r="CX184" s="58"/>
      <c r="CY184" s="98"/>
      <c r="CZ184" s="27"/>
      <c r="DA184" s="58"/>
      <c r="DB184" s="12"/>
      <c r="DC184" s="27"/>
      <c r="DD184" s="58"/>
      <c r="DE184" s="12"/>
      <c r="DF184" s="27"/>
      <c r="DG184" s="58"/>
      <c r="DH184" s="12"/>
      <c r="DI184" s="27"/>
      <c r="DJ184" s="58"/>
      <c r="DK184" s="107"/>
      <c r="DL184" s="27"/>
      <c r="DM184" s="58"/>
      <c r="DN184" s="107"/>
      <c r="DO184" s="27"/>
      <c r="DP184" s="58"/>
      <c r="DQ184" s="107"/>
      <c r="DR184" s="27"/>
      <c r="DS184" s="58"/>
      <c r="DT184" s="12"/>
      <c r="DU184" s="27"/>
      <c r="DV184" s="58"/>
      <c r="DW184" s="12"/>
      <c r="DX184" s="27"/>
      <c r="DY184" s="58"/>
      <c r="DZ184" s="12"/>
    </row>
    <row r="185" spans="1:130" s="25" customFormat="1" ht="31.5" customHeight="1" x14ac:dyDescent="0.6">
      <c r="A185" s="5">
        <v>182</v>
      </c>
      <c r="B185" s="18" t="s">
        <v>481</v>
      </c>
      <c r="C185" s="18" t="s">
        <v>482</v>
      </c>
      <c r="D185" s="18" t="s">
        <v>128</v>
      </c>
      <c r="E185" s="23" t="s">
        <v>129</v>
      </c>
      <c r="F185" s="7" t="s">
        <v>475</v>
      </c>
      <c r="G185" s="123"/>
      <c r="H185" s="123"/>
      <c r="I185" s="123" t="s">
        <v>1048</v>
      </c>
      <c r="J185" s="49" t="s">
        <v>476</v>
      </c>
      <c r="K185" s="27"/>
      <c r="L185" s="58"/>
      <c r="M185" s="78"/>
      <c r="N185" s="27"/>
      <c r="O185" s="58"/>
      <c r="P185" s="49"/>
      <c r="Q185" s="27"/>
      <c r="R185" s="58"/>
      <c r="S185" s="98"/>
      <c r="T185" s="27"/>
      <c r="U185" s="58"/>
      <c r="V185" s="12"/>
      <c r="W185" s="27"/>
      <c r="X185" s="58"/>
      <c r="Y185" s="12"/>
      <c r="Z185" s="27"/>
      <c r="AA185" s="58"/>
      <c r="AB185" s="12"/>
      <c r="AC185" s="27">
        <v>27</v>
      </c>
      <c r="AD185" s="58">
        <v>352</v>
      </c>
      <c r="AE185" s="107"/>
      <c r="AF185" s="27">
        <v>9</v>
      </c>
      <c r="AG185" s="58">
        <v>260</v>
      </c>
      <c r="AH185" s="107"/>
      <c r="AI185" s="27">
        <v>1</v>
      </c>
      <c r="AJ185" s="58">
        <v>12</v>
      </c>
      <c r="AK185" s="107"/>
      <c r="AL185" s="27">
        <v>26</v>
      </c>
      <c r="AM185" s="58">
        <v>402</v>
      </c>
      <c r="AN185" s="12"/>
      <c r="AO185" s="27">
        <v>0</v>
      </c>
      <c r="AP185" s="58">
        <v>0</v>
      </c>
      <c r="AQ185" s="12"/>
      <c r="AR185" s="27">
        <v>16.75</v>
      </c>
      <c r="AS185" s="58">
        <v>390</v>
      </c>
      <c r="AT185" s="12"/>
      <c r="AU185" s="54"/>
      <c r="AV185" s="63"/>
      <c r="AW185" s="55"/>
      <c r="AX185" s="54"/>
      <c r="AY185" s="63"/>
      <c r="AZ185" s="55"/>
      <c r="BA185" s="10">
        <v>0</v>
      </c>
      <c r="BB185" s="15">
        <v>0</v>
      </c>
      <c r="BC185" s="11">
        <v>0</v>
      </c>
      <c r="BD185" s="10">
        <v>0</v>
      </c>
      <c r="BE185" s="15">
        <v>0</v>
      </c>
      <c r="BF185" s="11">
        <v>0</v>
      </c>
      <c r="BG185" s="10">
        <v>48</v>
      </c>
      <c r="BH185" s="15">
        <v>810</v>
      </c>
      <c r="BI185" s="11">
        <v>577</v>
      </c>
      <c r="BJ185" s="10">
        <v>1.6</v>
      </c>
      <c r="BK185" s="15">
        <v>30</v>
      </c>
      <c r="BL185" s="11">
        <v>12.6</v>
      </c>
      <c r="BM185" s="46">
        <v>13</v>
      </c>
      <c r="BN185" s="43">
        <v>359</v>
      </c>
      <c r="BO185" s="47">
        <v>153.80000000000001</v>
      </c>
      <c r="BP185" s="46">
        <v>2</v>
      </c>
      <c r="BQ185" s="43">
        <v>18</v>
      </c>
      <c r="BR185" s="47">
        <v>18</v>
      </c>
      <c r="BS185" s="46">
        <v>6</v>
      </c>
      <c r="BT185" s="43">
        <v>224</v>
      </c>
      <c r="BU185" s="114">
        <v>78.400000000000006</v>
      </c>
      <c r="BV185" s="119">
        <v>43.5</v>
      </c>
      <c r="BW185" s="120">
        <v>746</v>
      </c>
      <c r="BX185" s="114">
        <v>536.08000000000004</v>
      </c>
      <c r="BY185" s="119">
        <v>0</v>
      </c>
      <c r="BZ185" s="120">
        <v>0</v>
      </c>
      <c r="CA185" s="114">
        <v>0</v>
      </c>
      <c r="CB185" s="119">
        <v>25</v>
      </c>
      <c r="CC185" s="120">
        <v>440</v>
      </c>
      <c r="CD185" s="114">
        <v>310</v>
      </c>
      <c r="CE185" s="119">
        <v>16</v>
      </c>
      <c r="CF185" s="120">
        <v>276</v>
      </c>
      <c r="CG185" s="114">
        <v>194.16</v>
      </c>
      <c r="CH185" s="119">
        <v>12</v>
      </c>
      <c r="CI185" s="120">
        <v>200</v>
      </c>
      <c r="CJ185" s="114">
        <v>148</v>
      </c>
      <c r="CK185" s="54">
        <f t="shared" si="36"/>
        <v>167.1</v>
      </c>
      <c r="CL185" s="63">
        <f t="shared" si="37"/>
        <v>3103</v>
      </c>
      <c r="CM185" s="55">
        <f t="shared" si="38"/>
        <v>2028.0400000000002</v>
      </c>
      <c r="CN185" s="54">
        <f t="shared" si="39"/>
        <v>13.924999999999999</v>
      </c>
      <c r="CO185" s="63">
        <f t="shared" si="40"/>
        <v>258.58333333333331</v>
      </c>
      <c r="CP185" s="172">
        <f t="shared" si="41"/>
        <v>169.00333333333336</v>
      </c>
      <c r="CQ185" s="158">
        <v>22</v>
      </c>
      <c r="CR185" s="159">
        <v>432</v>
      </c>
      <c r="CS185" s="179">
        <v>276</v>
      </c>
      <c r="CT185" s="27">
        <v>48</v>
      </c>
      <c r="CU185" s="58">
        <v>800</v>
      </c>
      <c r="CV185" s="12">
        <v>592</v>
      </c>
      <c r="CW185" s="27"/>
      <c r="CX185" s="58"/>
      <c r="CY185" s="98"/>
      <c r="CZ185" s="27"/>
      <c r="DA185" s="58"/>
      <c r="DB185" s="12"/>
      <c r="DC185" s="27"/>
      <c r="DD185" s="58"/>
      <c r="DE185" s="12"/>
      <c r="DF185" s="27"/>
      <c r="DG185" s="58"/>
      <c r="DH185" s="12"/>
      <c r="DI185" s="27"/>
      <c r="DJ185" s="58"/>
      <c r="DK185" s="107"/>
      <c r="DL185" s="27"/>
      <c r="DM185" s="58"/>
      <c r="DN185" s="107"/>
      <c r="DO185" s="27"/>
      <c r="DP185" s="58"/>
      <c r="DQ185" s="107"/>
      <c r="DR185" s="27"/>
      <c r="DS185" s="58"/>
      <c r="DT185" s="12"/>
      <c r="DU185" s="27"/>
      <c r="DV185" s="58"/>
      <c r="DW185" s="12"/>
      <c r="DX185" s="27"/>
      <c r="DY185" s="58"/>
      <c r="DZ185" s="12"/>
    </row>
    <row r="186" spans="1:130" s="25" customFormat="1" ht="31.5" customHeight="1" x14ac:dyDescent="0.6">
      <c r="A186" s="5">
        <v>183</v>
      </c>
      <c r="B186" s="18" t="s">
        <v>483</v>
      </c>
      <c r="C186" s="18" t="s">
        <v>484</v>
      </c>
      <c r="D186" s="18" t="s">
        <v>128</v>
      </c>
      <c r="E186" s="23" t="s">
        <v>129</v>
      </c>
      <c r="F186" s="7" t="s">
        <v>475</v>
      </c>
      <c r="G186" s="123"/>
      <c r="H186" s="123"/>
      <c r="I186" s="123" t="s">
        <v>1049</v>
      </c>
      <c r="J186" s="49" t="s">
        <v>476</v>
      </c>
      <c r="K186" s="27"/>
      <c r="L186" s="58"/>
      <c r="M186" s="78"/>
      <c r="N186" s="27"/>
      <c r="O186" s="58"/>
      <c r="P186" s="49"/>
      <c r="Q186" s="27"/>
      <c r="R186" s="58"/>
      <c r="S186" s="98"/>
      <c r="T186" s="27"/>
      <c r="U186" s="58"/>
      <c r="V186" s="12"/>
      <c r="W186" s="27"/>
      <c r="X186" s="58"/>
      <c r="Y186" s="12"/>
      <c r="Z186" s="27"/>
      <c r="AA186" s="58"/>
      <c r="AB186" s="12"/>
      <c r="AC186" s="27">
        <v>30</v>
      </c>
      <c r="AD186" s="58">
        <v>360</v>
      </c>
      <c r="AE186" s="107"/>
      <c r="AF186" s="27">
        <v>50</v>
      </c>
      <c r="AG186" s="58">
        <v>740</v>
      </c>
      <c r="AH186" s="107"/>
      <c r="AI186" s="27">
        <v>40</v>
      </c>
      <c r="AJ186" s="58">
        <v>760</v>
      </c>
      <c r="AK186" s="107"/>
      <c r="AL186" s="27">
        <v>60</v>
      </c>
      <c r="AM186" s="58">
        <v>740</v>
      </c>
      <c r="AN186" s="12"/>
      <c r="AO186" s="27">
        <v>83</v>
      </c>
      <c r="AP186" s="58">
        <v>1416</v>
      </c>
      <c r="AQ186" s="12"/>
      <c r="AR186" s="27">
        <v>87</v>
      </c>
      <c r="AS186" s="58">
        <v>1660</v>
      </c>
      <c r="AT186" s="12"/>
      <c r="AU186" s="54"/>
      <c r="AV186" s="63"/>
      <c r="AW186" s="55"/>
      <c r="AX186" s="54"/>
      <c r="AY186" s="63"/>
      <c r="AZ186" s="55"/>
      <c r="BA186" s="10">
        <v>89</v>
      </c>
      <c r="BB186" s="15">
        <v>1348</v>
      </c>
      <c r="BC186" s="11">
        <v>1040</v>
      </c>
      <c r="BD186" s="10">
        <v>30</v>
      </c>
      <c r="BE186" s="15">
        <v>360</v>
      </c>
      <c r="BF186" s="11">
        <v>360</v>
      </c>
      <c r="BG186" s="10">
        <v>150</v>
      </c>
      <c r="BH186" s="15">
        <v>2920</v>
      </c>
      <c r="BI186" s="11">
        <v>1784</v>
      </c>
      <c r="BJ186" s="10">
        <v>45</v>
      </c>
      <c r="BK186" s="15">
        <v>540</v>
      </c>
      <c r="BL186" s="11">
        <v>516</v>
      </c>
      <c r="BM186" s="46">
        <v>135</v>
      </c>
      <c r="BN186" s="43">
        <v>2180</v>
      </c>
      <c r="BO186" s="47">
        <v>1564</v>
      </c>
      <c r="BP186" s="46">
        <v>65</v>
      </c>
      <c r="BQ186" s="43">
        <v>1200</v>
      </c>
      <c r="BR186" s="47">
        <v>786</v>
      </c>
      <c r="BS186" s="46">
        <v>164</v>
      </c>
      <c r="BT186" s="43">
        <v>2920</v>
      </c>
      <c r="BU186" s="114">
        <v>1916</v>
      </c>
      <c r="BV186" s="119">
        <v>45.3</v>
      </c>
      <c r="BW186" s="120">
        <v>1383</v>
      </c>
      <c r="BX186" s="114">
        <v>530.04</v>
      </c>
      <c r="BY186" s="119">
        <v>10.25</v>
      </c>
      <c r="BZ186" s="120">
        <v>123</v>
      </c>
      <c r="CA186" s="114">
        <v>74.040000000000006</v>
      </c>
      <c r="CB186" s="119">
        <v>83</v>
      </c>
      <c r="CC186" s="120">
        <v>1640</v>
      </c>
      <c r="CD186" s="114">
        <v>922</v>
      </c>
      <c r="CE186" s="119">
        <v>85</v>
      </c>
      <c r="CF186" s="120">
        <v>1642</v>
      </c>
      <c r="CG186" s="114">
        <v>958.88</v>
      </c>
      <c r="CH186" s="119">
        <v>55</v>
      </c>
      <c r="CI186" s="120">
        <v>950</v>
      </c>
      <c r="CJ186" s="114">
        <v>592.79999999999995</v>
      </c>
      <c r="CK186" s="54">
        <f t="shared" si="36"/>
        <v>956.55</v>
      </c>
      <c r="CL186" s="63">
        <f t="shared" si="37"/>
        <v>17206</v>
      </c>
      <c r="CM186" s="55">
        <f t="shared" si="38"/>
        <v>11043.76</v>
      </c>
      <c r="CN186" s="54">
        <f t="shared" si="39"/>
        <v>79.712499999999991</v>
      </c>
      <c r="CO186" s="63">
        <f t="shared" si="40"/>
        <v>1433.8333333333333</v>
      </c>
      <c r="CP186" s="172">
        <f t="shared" si="41"/>
        <v>920.31333333333339</v>
      </c>
      <c r="CQ186" s="158">
        <v>80</v>
      </c>
      <c r="CR186" s="159">
        <v>1530</v>
      </c>
      <c r="CS186" s="179">
        <v>888.8</v>
      </c>
      <c r="CT186" s="27">
        <v>70</v>
      </c>
      <c r="CU186" s="58">
        <v>1400</v>
      </c>
      <c r="CV186" s="12">
        <v>784</v>
      </c>
      <c r="CW186" s="27"/>
      <c r="CX186" s="58"/>
      <c r="CY186" s="98"/>
      <c r="CZ186" s="27"/>
      <c r="DA186" s="58"/>
      <c r="DB186" s="12"/>
      <c r="DC186" s="27"/>
      <c r="DD186" s="58"/>
      <c r="DE186" s="12"/>
      <c r="DF186" s="27"/>
      <c r="DG186" s="58"/>
      <c r="DH186" s="12"/>
      <c r="DI186" s="27"/>
      <c r="DJ186" s="58"/>
      <c r="DK186" s="107"/>
      <c r="DL186" s="27"/>
      <c r="DM186" s="58"/>
      <c r="DN186" s="107"/>
      <c r="DO186" s="27"/>
      <c r="DP186" s="58"/>
      <c r="DQ186" s="107"/>
      <c r="DR186" s="27"/>
      <c r="DS186" s="58"/>
      <c r="DT186" s="12"/>
      <c r="DU186" s="27"/>
      <c r="DV186" s="58"/>
      <c r="DW186" s="12"/>
      <c r="DX186" s="27"/>
      <c r="DY186" s="58"/>
      <c r="DZ186" s="12"/>
    </row>
    <row r="187" spans="1:130" s="25" customFormat="1" ht="31.5" customHeight="1" x14ac:dyDescent="0.6">
      <c r="A187" s="5">
        <v>184</v>
      </c>
      <c r="B187" s="18" t="s">
        <v>487</v>
      </c>
      <c r="C187" s="18" t="s">
        <v>488</v>
      </c>
      <c r="D187" s="18" t="s">
        <v>128</v>
      </c>
      <c r="E187" s="23" t="s">
        <v>129</v>
      </c>
      <c r="F187" s="7" t="s">
        <v>475</v>
      </c>
      <c r="G187" s="123"/>
      <c r="H187" s="123"/>
      <c r="I187" s="123" t="s">
        <v>1051</v>
      </c>
      <c r="J187" s="49" t="s">
        <v>476</v>
      </c>
      <c r="K187" s="27"/>
      <c r="L187" s="58"/>
      <c r="M187" s="78"/>
      <c r="N187" s="27"/>
      <c r="O187" s="58"/>
      <c r="P187" s="49"/>
      <c r="Q187" s="27"/>
      <c r="R187" s="58"/>
      <c r="S187" s="98"/>
      <c r="T187" s="27"/>
      <c r="U187" s="58"/>
      <c r="V187" s="12"/>
      <c r="W187" s="27"/>
      <c r="X187" s="58"/>
      <c r="Y187" s="12"/>
      <c r="Z187" s="27"/>
      <c r="AA187" s="58"/>
      <c r="AB187" s="12"/>
      <c r="AC187" s="27">
        <v>63</v>
      </c>
      <c r="AD187" s="58">
        <v>932</v>
      </c>
      <c r="AE187" s="107"/>
      <c r="AF187" s="27">
        <v>36</v>
      </c>
      <c r="AG187" s="58">
        <v>550</v>
      </c>
      <c r="AH187" s="107"/>
      <c r="AI187" s="27">
        <v>70</v>
      </c>
      <c r="AJ187" s="58">
        <v>980</v>
      </c>
      <c r="AK187" s="107"/>
      <c r="AL187" s="27">
        <v>41</v>
      </c>
      <c r="AM187" s="58">
        <v>638</v>
      </c>
      <c r="AN187" s="12"/>
      <c r="AO187" s="27">
        <v>46</v>
      </c>
      <c r="AP187" s="58">
        <v>642</v>
      </c>
      <c r="AQ187" s="12"/>
      <c r="AR187" s="27">
        <v>58</v>
      </c>
      <c r="AS187" s="58">
        <v>790</v>
      </c>
      <c r="AT187" s="12"/>
      <c r="AU187" s="54"/>
      <c r="AV187" s="63"/>
      <c r="AW187" s="55"/>
      <c r="AX187" s="54"/>
      <c r="AY187" s="63"/>
      <c r="AZ187" s="55"/>
      <c r="BA187" s="10">
        <v>44</v>
      </c>
      <c r="BB187" s="15">
        <v>640</v>
      </c>
      <c r="BC187" s="11">
        <v>536</v>
      </c>
      <c r="BD187" s="10">
        <v>17</v>
      </c>
      <c r="BE187" s="15">
        <v>208</v>
      </c>
      <c r="BF187" s="11">
        <v>200</v>
      </c>
      <c r="BG187" s="10">
        <v>55</v>
      </c>
      <c r="BH187" s="15">
        <v>866</v>
      </c>
      <c r="BI187" s="11">
        <v>647.95000000000005</v>
      </c>
      <c r="BJ187" s="10">
        <v>0</v>
      </c>
      <c r="BK187" s="15">
        <v>0</v>
      </c>
      <c r="BL187" s="11">
        <v>0</v>
      </c>
      <c r="BM187" s="46">
        <v>62</v>
      </c>
      <c r="BN187" s="43">
        <v>940</v>
      </c>
      <c r="BO187" s="47">
        <v>734</v>
      </c>
      <c r="BP187" s="46">
        <v>49</v>
      </c>
      <c r="BQ187" s="43">
        <v>616</v>
      </c>
      <c r="BR187" s="47">
        <v>582.79999999999995</v>
      </c>
      <c r="BS187" s="46">
        <v>47</v>
      </c>
      <c r="BT187" s="43">
        <v>620</v>
      </c>
      <c r="BU187" s="114">
        <v>553.6</v>
      </c>
      <c r="BV187" s="119">
        <v>31.3</v>
      </c>
      <c r="BW187" s="120">
        <v>487</v>
      </c>
      <c r="BX187" s="114">
        <v>374.84000000000003</v>
      </c>
      <c r="BY187" s="119">
        <v>32</v>
      </c>
      <c r="BZ187" s="120">
        <v>450</v>
      </c>
      <c r="CA187" s="114">
        <v>372.8</v>
      </c>
      <c r="CB187" s="119">
        <v>39</v>
      </c>
      <c r="CC187" s="120">
        <v>524</v>
      </c>
      <c r="CD187" s="114">
        <v>472</v>
      </c>
      <c r="CE187" s="119">
        <v>34.5</v>
      </c>
      <c r="CF187" s="120">
        <v>470</v>
      </c>
      <c r="CG187" s="114">
        <v>401.43999999999994</v>
      </c>
      <c r="CH187" s="119">
        <v>37</v>
      </c>
      <c r="CI187" s="120">
        <v>444</v>
      </c>
      <c r="CJ187" s="114">
        <v>436.8</v>
      </c>
      <c r="CK187" s="54">
        <f t="shared" si="36"/>
        <v>447.8</v>
      </c>
      <c r="CL187" s="63">
        <f t="shared" si="37"/>
        <v>6265</v>
      </c>
      <c r="CM187" s="55">
        <f t="shared" si="38"/>
        <v>5312.23</v>
      </c>
      <c r="CN187" s="54">
        <f t="shared" si="39"/>
        <v>37.31666666666667</v>
      </c>
      <c r="CO187" s="63">
        <f t="shared" si="40"/>
        <v>522.08333333333337</v>
      </c>
      <c r="CP187" s="172">
        <f t="shared" si="41"/>
        <v>442.68583333333328</v>
      </c>
      <c r="CQ187" s="158">
        <v>25</v>
      </c>
      <c r="CR187" s="159">
        <v>356</v>
      </c>
      <c r="CS187" s="179">
        <v>293.2</v>
      </c>
      <c r="CT187" s="27">
        <v>26</v>
      </c>
      <c r="CU187" s="58">
        <v>340</v>
      </c>
      <c r="CV187" s="12">
        <v>314</v>
      </c>
      <c r="CW187" s="27"/>
      <c r="CX187" s="58"/>
      <c r="CY187" s="98"/>
      <c r="CZ187" s="27"/>
      <c r="DA187" s="58"/>
      <c r="DB187" s="12"/>
      <c r="DC187" s="27"/>
      <c r="DD187" s="58"/>
      <c r="DE187" s="12"/>
      <c r="DF187" s="27"/>
      <c r="DG187" s="58"/>
      <c r="DH187" s="12"/>
      <c r="DI187" s="27"/>
      <c r="DJ187" s="58"/>
      <c r="DK187" s="107"/>
      <c r="DL187" s="27"/>
      <c r="DM187" s="58"/>
      <c r="DN187" s="107"/>
      <c r="DO187" s="27"/>
      <c r="DP187" s="58"/>
      <c r="DQ187" s="107"/>
      <c r="DR187" s="27"/>
      <c r="DS187" s="58"/>
      <c r="DT187" s="12"/>
      <c r="DU187" s="27"/>
      <c r="DV187" s="58"/>
      <c r="DW187" s="12"/>
      <c r="DX187" s="27"/>
      <c r="DY187" s="58"/>
      <c r="DZ187" s="12"/>
    </row>
    <row r="188" spans="1:130" s="25" customFormat="1" ht="31.5" customHeight="1" x14ac:dyDescent="0.6">
      <c r="A188" s="5">
        <v>185</v>
      </c>
      <c r="B188" s="18" t="s">
        <v>489</v>
      </c>
      <c r="C188" s="18" t="s">
        <v>490</v>
      </c>
      <c r="D188" s="18" t="s">
        <v>128</v>
      </c>
      <c r="E188" s="23" t="s">
        <v>129</v>
      </c>
      <c r="F188" s="7" t="s">
        <v>475</v>
      </c>
      <c r="G188" s="123"/>
      <c r="H188" s="123"/>
      <c r="I188" s="123" t="s">
        <v>1052</v>
      </c>
      <c r="J188" s="49" t="s">
        <v>476</v>
      </c>
      <c r="K188" s="27"/>
      <c r="L188" s="58"/>
      <c r="M188" s="78"/>
      <c r="N188" s="27"/>
      <c r="O188" s="58"/>
      <c r="P188" s="49"/>
      <c r="Q188" s="27"/>
      <c r="R188" s="58"/>
      <c r="S188" s="98"/>
      <c r="T188" s="27"/>
      <c r="U188" s="58"/>
      <c r="V188" s="12"/>
      <c r="W188" s="27"/>
      <c r="X188" s="58"/>
      <c r="Y188" s="12"/>
      <c r="Z188" s="27"/>
      <c r="AA188" s="58"/>
      <c r="AB188" s="12"/>
      <c r="AC188" s="27">
        <v>25</v>
      </c>
      <c r="AD188" s="58">
        <v>450</v>
      </c>
      <c r="AE188" s="107"/>
      <c r="AF188" s="27">
        <v>83</v>
      </c>
      <c r="AG188" s="58">
        <v>1800</v>
      </c>
      <c r="AH188" s="107"/>
      <c r="AI188" s="27">
        <v>56</v>
      </c>
      <c r="AJ188" s="58">
        <v>714</v>
      </c>
      <c r="AK188" s="107"/>
      <c r="AL188" s="27">
        <v>55</v>
      </c>
      <c r="AM188" s="58">
        <v>680</v>
      </c>
      <c r="AN188" s="12"/>
      <c r="AO188" s="27">
        <v>22</v>
      </c>
      <c r="AP188" s="58">
        <v>548</v>
      </c>
      <c r="AQ188" s="12"/>
      <c r="AR188" s="27">
        <v>31</v>
      </c>
      <c r="AS188" s="58">
        <v>400</v>
      </c>
      <c r="AT188" s="12"/>
      <c r="AU188" s="54"/>
      <c r="AV188" s="63"/>
      <c r="AW188" s="55"/>
      <c r="AX188" s="54"/>
      <c r="AY188" s="63"/>
      <c r="AZ188" s="55"/>
      <c r="BA188" s="10">
        <v>10</v>
      </c>
      <c r="BB188" s="15">
        <v>270</v>
      </c>
      <c r="BC188" s="11">
        <v>116</v>
      </c>
      <c r="BD188" s="10">
        <v>15</v>
      </c>
      <c r="BE188" s="15">
        <v>180</v>
      </c>
      <c r="BF188" s="11">
        <v>180</v>
      </c>
      <c r="BG188" s="10">
        <v>40</v>
      </c>
      <c r="BH188" s="15">
        <v>480</v>
      </c>
      <c r="BI188" s="11">
        <v>480</v>
      </c>
      <c r="BJ188" s="10">
        <v>8</v>
      </c>
      <c r="BK188" s="15">
        <v>264</v>
      </c>
      <c r="BL188" s="11">
        <v>100.8</v>
      </c>
      <c r="BM188" s="46">
        <v>85</v>
      </c>
      <c r="BN188" s="43">
        <v>1182</v>
      </c>
      <c r="BO188" s="47">
        <v>924.56</v>
      </c>
      <c r="BP188" s="46">
        <v>82</v>
      </c>
      <c r="BQ188" s="43">
        <v>1205</v>
      </c>
      <c r="BR188" s="47">
        <v>974.04</v>
      </c>
      <c r="BS188" s="46">
        <v>46</v>
      </c>
      <c r="BT188" s="43">
        <v>758</v>
      </c>
      <c r="BU188" s="114">
        <v>513.6</v>
      </c>
      <c r="BV188" s="119">
        <v>20</v>
      </c>
      <c r="BW188" s="120">
        <v>521</v>
      </c>
      <c r="BX188" s="114">
        <v>260.68</v>
      </c>
      <c r="BY188" s="119">
        <v>15</v>
      </c>
      <c r="BZ188" s="120">
        <v>180</v>
      </c>
      <c r="CA188" s="114">
        <v>180</v>
      </c>
      <c r="CB188" s="119">
        <v>20</v>
      </c>
      <c r="CC188" s="120">
        <v>520</v>
      </c>
      <c r="CD188" s="114">
        <v>260</v>
      </c>
      <c r="CE188" s="119">
        <v>25</v>
      </c>
      <c r="CF188" s="120">
        <v>320</v>
      </c>
      <c r="CG188" s="114">
        <v>269.60000000000002</v>
      </c>
      <c r="CH188" s="119">
        <v>17</v>
      </c>
      <c r="CI188" s="120">
        <v>260</v>
      </c>
      <c r="CJ188" s="114">
        <v>208</v>
      </c>
      <c r="CK188" s="54">
        <f t="shared" si="36"/>
        <v>383</v>
      </c>
      <c r="CL188" s="63">
        <f t="shared" si="37"/>
        <v>6140</v>
      </c>
      <c r="CM188" s="55">
        <f t="shared" si="38"/>
        <v>4467.28</v>
      </c>
      <c r="CN188" s="54">
        <f t="shared" si="39"/>
        <v>31.916666666666668</v>
      </c>
      <c r="CO188" s="63">
        <f t="shared" si="40"/>
        <v>511.66666666666669</v>
      </c>
      <c r="CP188" s="172">
        <f t="shared" si="41"/>
        <v>372.27333333333331</v>
      </c>
      <c r="CQ188" s="158">
        <v>10</v>
      </c>
      <c r="CR188" s="159">
        <v>260</v>
      </c>
      <c r="CS188" s="179">
        <v>130</v>
      </c>
      <c r="CT188" s="27">
        <v>12</v>
      </c>
      <c r="CU188" s="58">
        <v>480</v>
      </c>
      <c r="CV188" s="12">
        <v>168</v>
      </c>
      <c r="CW188" s="27"/>
      <c r="CX188" s="58"/>
      <c r="CY188" s="98"/>
      <c r="CZ188" s="27"/>
      <c r="DA188" s="58"/>
      <c r="DB188" s="12"/>
      <c r="DC188" s="27"/>
      <c r="DD188" s="58"/>
      <c r="DE188" s="12"/>
      <c r="DF188" s="27"/>
      <c r="DG188" s="58"/>
      <c r="DH188" s="12"/>
      <c r="DI188" s="27"/>
      <c r="DJ188" s="58"/>
      <c r="DK188" s="107"/>
      <c r="DL188" s="27"/>
      <c r="DM188" s="58"/>
      <c r="DN188" s="107"/>
      <c r="DO188" s="27"/>
      <c r="DP188" s="58"/>
      <c r="DQ188" s="107"/>
      <c r="DR188" s="27"/>
      <c r="DS188" s="58"/>
      <c r="DT188" s="12"/>
      <c r="DU188" s="27"/>
      <c r="DV188" s="58"/>
      <c r="DW188" s="12"/>
      <c r="DX188" s="27"/>
      <c r="DY188" s="58"/>
      <c r="DZ188" s="12"/>
    </row>
    <row r="189" spans="1:130" s="25" customFormat="1" ht="31.5" customHeight="1" x14ac:dyDescent="0.6">
      <c r="A189" s="5">
        <v>186</v>
      </c>
      <c r="B189" s="18" t="s">
        <v>491</v>
      </c>
      <c r="C189" s="18" t="s">
        <v>491</v>
      </c>
      <c r="D189" s="18" t="s">
        <v>128</v>
      </c>
      <c r="E189" s="23" t="s">
        <v>129</v>
      </c>
      <c r="F189" s="7" t="s">
        <v>475</v>
      </c>
      <c r="G189" s="123"/>
      <c r="H189" s="123"/>
      <c r="I189" s="123" t="s">
        <v>1053</v>
      </c>
      <c r="J189" s="49" t="s">
        <v>476</v>
      </c>
      <c r="K189" s="27"/>
      <c r="L189" s="58"/>
      <c r="M189" s="78"/>
      <c r="N189" s="27"/>
      <c r="O189" s="58"/>
      <c r="P189" s="49"/>
      <c r="Q189" s="27"/>
      <c r="R189" s="58"/>
      <c r="S189" s="98"/>
      <c r="T189" s="27"/>
      <c r="U189" s="58"/>
      <c r="V189" s="12"/>
      <c r="W189" s="27"/>
      <c r="X189" s="58"/>
      <c r="Y189" s="12"/>
      <c r="Z189" s="27"/>
      <c r="AA189" s="58"/>
      <c r="AB189" s="12"/>
      <c r="AC189" s="27">
        <v>60</v>
      </c>
      <c r="AD189" s="58">
        <v>720</v>
      </c>
      <c r="AE189" s="107"/>
      <c r="AF189" s="27">
        <v>0</v>
      </c>
      <c r="AG189" s="58">
        <v>0</v>
      </c>
      <c r="AH189" s="107"/>
      <c r="AI189" s="27">
        <v>134</v>
      </c>
      <c r="AJ189" s="58">
        <v>1916</v>
      </c>
      <c r="AK189" s="107"/>
      <c r="AL189" s="27">
        <v>66</v>
      </c>
      <c r="AM189" s="58">
        <v>932</v>
      </c>
      <c r="AN189" s="12"/>
      <c r="AO189" s="27">
        <v>112</v>
      </c>
      <c r="AP189" s="58">
        <v>1384</v>
      </c>
      <c r="AQ189" s="12"/>
      <c r="AR189" s="27">
        <v>107</v>
      </c>
      <c r="AS189" s="58">
        <v>1350</v>
      </c>
      <c r="AT189" s="12"/>
      <c r="AU189" s="54"/>
      <c r="AV189" s="63"/>
      <c r="AW189" s="55"/>
      <c r="AX189" s="54"/>
      <c r="AY189" s="63"/>
      <c r="AZ189" s="55"/>
      <c r="BA189" s="10">
        <v>75</v>
      </c>
      <c r="BB189" s="15">
        <v>920</v>
      </c>
      <c r="BC189" s="11">
        <v>868</v>
      </c>
      <c r="BD189" s="10">
        <v>45</v>
      </c>
      <c r="BE189" s="15">
        <v>540</v>
      </c>
      <c r="BF189" s="11">
        <v>540</v>
      </c>
      <c r="BG189" s="10">
        <v>180</v>
      </c>
      <c r="BH189" s="15">
        <v>2310</v>
      </c>
      <c r="BI189" s="11">
        <v>2154.8000000000002</v>
      </c>
      <c r="BJ189" s="10">
        <v>28</v>
      </c>
      <c r="BK189" s="15">
        <v>430</v>
      </c>
      <c r="BL189" s="11">
        <v>326.8</v>
      </c>
      <c r="BM189" s="46">
        <v>125</v>
      </c>
      <c r="BN189" s="43">
        <v>1640</v>
      </c>
      <c r="BO189" s="47">
        <v>1486</v>
      </c>
      <c r="BP189" s="46">
        <v>95</v>
      </c>
      <c r="BQ189" s="43">
        <v>1374</v>
      </c>
      <c r="BR189" s="47">
        <v>1116.8</v>
      </c>
      <c r="BS189" s="46">
        <v>140</v>
      </c>
      <c r="BT189" s="43">
        <v>1820</v>
      </c>
      <c r="BU189" s="114">
        <v>1666</v>
      </c>
      <c r="BV189" s="119">
        <v>50.5</v>
      </c>
      <c r="BW189" s="120">
        <v>606</v>
      </c>
      <c r="BX189" s="114">
        <v>604.08000000000004</v>
      </c>
      <c r="BY189" s="119">
        <v>109.25</v>
      </c>
      <c r="BZ189" s="120">
        <v>1591</v>
      </c>
      <c r="CA189" s="114">
        <v>1286.8400000000001</v>
      </c>
      <c r="CB189" s="119">
        <v>95</v>
      </c>
      <c r="CC189" s="120">
        <v>1280</v>
      </c>
      <c r="CD189" s="114">
        <v>1102</v>
      </c>
      <c r="CE189" s="119">
        <v>122</v>
      </c>
      <c r="CF189" s="120">
        <v>1744</v>
      </c>
      <c r="CG189" s="114">
        <v>1432.1599999999999</v>
      </c>
      <c r="CH189" s="119">
        <v>90</v>
      </c>
      <c r="CI189" s="120">
        <v>1304</v>
      </c>
      <c r="CJ189" s="114">
        <v>1072</v>
      </c>
      <c r="CK189" s="54">
        <f t="shared" si="36"/>
        <v>1154.75</v>
      </c>
      <c r="CL189" s="63">
        <f t="shared" si="37"/>
        <v>15559</v>
      </c>
      <c r="CM189" s="55">
        <f t="shared" si="38"/>
        <v>13655.480000000001</v>
      </c>
      <c r="CN189" s="54">
        <f t="shared" si="39"/>
        <v>96.229166666666671</v>
      </c>
      <c r="CO189" s="63">
        <f t="shared" si="40"/>
        <v>1296.5833333333333</v>
      </c>
      <c r="CP189" s="172">
        <f t="shared" si="41"/>
        <v>1137.9566666666667</v>
      </c>
      <c r="CQ189" s="158">
        <v>87</v>
      </c>
      <c r="CR189" s="159">
        <v>1240</v>
      </c>
      <c r="CS189" s="179">
        <v>1010</v>
      </c>
      <c r="CT189" s="27">
        <v>62</v>
      </c>
      <c r="CU189" s="58">
        <v>746</v>
      </c>
      <c r="CV189" s="12">
        <v>692.96</v>
      </c>
      <c r="CW189" s="27"/>
      <c r="CX189" s="58"/>
      <c r="CY189" s="98"/>
      <c r="CZ189" s="27"/>
      <c r="DA189" s="58"/>
      <c r="DB189" s="12"/>
      <c r="DC189" s="27"/>
      <c r="DD189" s="58"/>
      <c r="DE189" s="12"/>
      <c r="DF189" s="27"/>
      <c r="DG189" s="58"/>
      <c r="DH189" s="12"/>
      <c r="DI189" s="27"/>
      <c r="DJ189" s="58"/>
      <c r="DK189" s="107"/>
      <c r="DL189" s="27"/>
      <c r="DM189" s="58"/>
      <c r="DN189" s="107"/>
      <c r="DO189" s="27"/>
      <c r="DP189" s="58"/>
      <c r="DQ189" s="107"/>
      <c r="DR189" s="27"/>
      <c r="DS189" s="58"/>
      <c r="DT189" s="12"/>
      <c r="DU189" s="27"/>
      <c r="DV189" s="58"/>
      <c r="DW189" s="12"/>
      <c r="DX189" s="27"/>
      <c r="DY189" s="58"/>
      <c r="DZ189" s="12"/>
    </row>
    <row r="190" spans="1:130" s="25" customFormat="1" ht="31.5" customHeight="1" x14ac:dyDescent="0.6">
      <c r="A190" s="5">
        <v>187</v>
      </c>
      <c r="B190" s="18" t="s">
        <v>1158</v>
      </c>
      <c r="C190" s="18"/>
      <c r="D190" s="18"/>
      <c r="E190" s="23"/>
      <c r="F190" s="7"/>
      <c r="G190" s="123"/>
      <c r="H190" s="123"/>
      <c r="I190" s="123"/>
      <c r="J190" s="49"/>
      <c r="K190" s="27"/>
      <c r="L190" s="58"/>
      <c r="M190" s="78"/>
      <c r="N190" s="27"/>
      <c r="O190" s="58"/>
      <c r="P190" s="49"/>
      <c r="Q190" s="27"/>
      <c r="R190" s="58"/>
      <c r="S190" s="98"/>
      <c r="T190" s="27"/>
      <c r="U190" s="58"/>
      <c r="V190" s="12"/>
      <c r="W190" s="27"/>
      <c r="X190" s="58"/>
      <c r="Y190" s="12"/>
      <c r="Z190" s="27"/>
      <c r="AA190" s="58"/>
      <c r="AB190" s="12"/>
      <c r="AC190" s="27"/>
      <c r="AD190" s="58"/>
      <c r="AE190" s="107"/>
      <c r="AF190" s="27"/>
      <c r="AG190" s="58"/>
      <c r="AH190" s="107"/>
      <c r="AI190" s="27"/>
      <c r="AJ190" s="58"/>
      <c r="AK190" s="107"/>
      <c r="AL190" s="27"/>
      <c r="AM190" s="58"/>
      <c r="AN190" s="12"/>
      <c r="AO190" s="27"/>
      <c r="AP190" s="58"/>
      <c r="AQ190" s="12"/>
      <c r="AR190" s="27"/>
      <c r="AS190" s="58"/>
      <c r="AT190" s="12"/>
      <c r="AU190" s="54"/>
      <c r="AV190" s="63"/>
      <c r="AW190" s="55"/>
      <c r="AX190" s="54"/>
      <c r="AY190" s="63"/>
      <c r="AZ190" s="55"/>
      <c r="BA190" s="10"/>
      <c r="BB190" s="15"/>
      <c r="BC190" s="11"/>
      <c r="BD190" s="10"/>
      <c r="BE190" s="15"/>
      <c r="BF190" s="11"/>
      <c r="BG190" s="10"/>
      <c r="BH190" s="15"/>
      <c r="BI190" s="11"/>
      <c r="BJ190" s="10"/>
      <c r="BK190" s="15"/>
      <c r="BL190" s="11"/>
      <c r="BM190" s="46"/>
      <c r="BN190" s="43"/>
      <c r="BO190" s="47"/>
      <c r="BP190" s="46"/>
      <c r="BQ190" s="43"/>
      <c r="BR190" s="47"/>
      <c r="BS190" s="46"/>
      <c r="BT190" s="43"/>
      <c r="BU190" s="114"/>
      <c r="BV190" s="119"/>
      <c r="BW190" s="120"/>
      <c r="BX190" s="114"/>
      <c r="BY190" s="119"/>
      <c r="BZ190" s="120"/>
      <c r="CA190" s="114"/>
      <c r="CB190" s="119"/>
      <c r="CC190" s="120"/>
      <c r="CD190" s="114"/>
      <c r="CE190" s="119"/>
      <c r="CF190" s="120"/>
      <c r="CG190" s="114"/>
      <c r="CH190" s="119"/>
      <c r="CI190" s="120"/>
      <c r="CJ190" s="114"/>
      <c r="CK190" s="54"/>
      <c r="CL190" s="63"/>
      <c r="CM190" s="55"/>
      <c r="CN190" s="54"/>
      <c r="CO190" s="63"/>
      <c r="CP190" s="172"/>
      <c r="CQ190" s="158">
        <v>34</v>
      </c>
      <c r="CR190" s="159">
        <v>464</v>
      </c>
      <c r="CS190" s="179">
        <v>402.4</v>
      </c>
      <c r="CT190" s="27">
        <v>80</v>
      </c>
      <c r="CU190" s="58">
        <v>980</v>
      </c>
      <c r="CV190" s="12">
        <v>929.6</v>
      </c>
      <c r="CW190" s="27"/>
      <c r="CX190" s="58"/>
      <c r="CY190" s="98"/>
      <c r="CZ190" s="27"/>
      <c r="DA190" s="58"/>
      <c r="DB190" s="12"/>
      <c r="DC190" s="27"/>
      <c r="DD190" s="58"/>
      <c r="DE190" s="12"/>
      <c r="DF190" s="27"/>
      <c r="DG190" s="58"/>
      <c r="DH190" s="12"/>
      <c r="DI190" s="27"/>
      <c r="DJ190" s="58"/>
      <c r="DK190" s="107"/>
      <c r="DL190" s="27"/>
      <c r="DM190" s="58"/>
      <c r="DN190" s="107"/>
      <c r="DO190" s="27"/>
      <c r="DP190" s="58"/>
      <c r="DQ190" s="107"/>
      <c r="DR190" s="27"/>
      <c r="DS190" s="58"/>
      <c r="DT190" s="12"/>
      <c r="DU190" s="27"/>
      <c r="DV190" s="58"/>
      <c r="DW190" s="12"/>
      <c r="DX190" s="27"/>
      <c r="DY190" s="58"/>
      <c r="DZ190" s="12"/>
    </row>
    <row r="191" spans="1:130" s="25" customFormat="1" ht="31.5" customHeight="1" x14ac:dyDescent="0.6">
      <c r="A191" s="5">
        <v>188</v>
      </c>
      <c r="B191" s="18" t="s">
        <v>440</v>
      </c>
      <c r="C191" s="18" t="s">
        <v>440</v>
      </c>
      <c r="D191" s="18" t="s">
        <v>494</v>
      </c>
      <c r="E191" s="23" t="s">
        <v>495</v>
      </c>
      <c r="F191" s="7" t="s">
        <v>475</v>
      </c>
      <c r="G191" s="123"/>
      <c r="H191" s="123"/>
      <c r="I191" s="123" t="s">
        <v>1055</v>
      </c>
      <c r="J191" s="49" t="s">
        <v>476</v>
      </c>
      <c r="K191" s="27"/>
      <c r="L191" s="58"/>
      <c r="M191" s="78"/>
      <c r="N191" s="27"/>
      <c r="O191" s="58"/>
      <c r="P191" s="49"/>
      <c r="Q191" s="27"/>
      <c r="R191" s="58"/>
      <c r="S191" s="98"/>
      <c r="T191" s="27"/>
      <c r="U191" s="58"/>
      <c r="V191" s="12"/>
      <c r="W191" s="27"/>
      <c r="X191" s="58"/>
      <c r="Y191" s="12"/>
      <c r="Z191" s="27"/>
      <c r="AA191" s="58"/>
      <c r="AB191" s="12"/>
      <c r="AC191" s="27">
        <v>18</v>
      </c>
      <c r="AD191" s="58">
        <v>216</v>
      </c>
      <c r="AE191" s="107"/>
      <c r="AF191" s="27">
        <v>34</v>
      </c>
      <c r="AG191" s="58">
        <v>596</v>
      </c>
      <c r="AH191" s="107"/>
      <c r="AI191" s="27">
        <v>94</v>
      </c>
      <c r="AJ191" s="58">
        <v>1188</v>
      </c>
      <c r="AK191" s="107"/>
      <c r="AL191" s="27">
        <v>96</v>
      </c>
      <c r="AM191" s="58">
        <v>1360</v>
      </c>
      <c r="AN191" s="12"/>
      <c r="AO191" s="27">
        <v>60</v>
      </c>
      <c r="AP191" s="58">
        <v>992</v>
      </c>
      <c r="AQ191" s="12"/>
      <c r="AR191" s="27">
        <v>71</v>
      </c>
      <c r="AS191" s="58">
        <v>918</v>
      </c>
      <c r="AT191" s="12"/>
      <c r="AU191" s="54"/>
      <c r="AV191" s="63"/>
      <c r="AW191" s="55"/>
      <c r="AX191" s="54"/>
      <c r="AY191" s="63"/>
      <c r="AZ191" s="55"/>
      <c r="BA191" s="10">
        <v>51</v>
      </c>
      <c r="BB191" s="15">
        <v>742</v>
      </c>
      <c r="BC191" s="11">
        <v>572</v>
      </c>
      <c r="BD191" s="10">
        <v>55</v>
      </c>
      <c r="BE191" s="15">
        <v>772</v>
      </c>
      <c r="BF191" s="11">
        <v>603.79999999999995</v>
      </c>
      <c r="BG191" s="10">
        <v>115</v>
      </c>
      <c r="BH191" s="15">
        <v>1940</v>
      </c>
      <c r="BI191" s="11">
        <v>1372</v>
      </c>
      <c r="BJ191" s="10">
        <v>42</v>
      </c>
      <c r="BK191" s="15">
        <v>560</v>
      </c>
      <c r="BL191" s="11">
        <v>508</v>
      </c>
      <c r="BM191" s="46">
        <v>78</v>
      </c>
      <c r="BN191" s="43">
        <v>1188</v>
      </c>
      <c r="BO191" s="47">
        <v>902.28</v>
      </c>
      <c r="BP191" s="46">
        <v>101</v>
      </c>
      <c r="BQ191" s="43">
        <v>1492</v>
      </c>
      <c r="BR191" s="47">
        <v>1170.8800000000001</v>
      </c>
      <c r="BS191" s="46">
        <v>62</v>
      </c>
      <c r="BT191" s="43">
        <v>824</v>
      </c>
      <c r="BU191" s="114">
        <v>719.8</v>
      </c>
      <c r="BV191" s="119">
        <v>0.1</v>
      </c>
      <c r="BW191" s="120">
        <v>1</v>
      </c>
      <c r="BX191" s="114">
        <v>0.68</v>
      </c>
      <c r="BY191" s="119">
        <v>57</v>
      </c>
      <c r="BZ191" s="120">
        <v>892</v>
      </c>
      <c r="CA191" s="114">
        <v>680</v>
      </c>
      <c r="CB191" s="119">
        <v>49</v>
      </c>
      <c r="CC191" s="120">
        <v>700</v>
      </c>
      <c r="CD191" s="114">
        <v>596</v>
      </c>
      <c r="CE191" s="119">
        <v>35</v>
      </c>
      <c r="CF191" s="120">
        <v>488</v>
      </c>
      <c r="CG191" s="114">
        <v>413.2</v>
      </c>
      <c r="CH191" s="119">
        <v>53</v>
      </c>
      <c r="CI191" s="120">
        <v>882</v>
      </c>
      <c r="CJ191" s="114">
        <v>618.79999999999995</v>
      </c>
      <c r="CK191" s="54">
        <f t="shared" si="36"/>
        <v>698.1</v>
      </c>
      <c r="CL191" s="63">
        <f t="shared" si="37"/>
        <v>10481</v>
      </c>
      <c r="CM191" s="55">
        <f t="shared" si="38"/>
        <v>8157.4400000000005</v>
      </c>
      <c r="CN191" s="54">
        <f t="shared" si="39"/>
        <v>58.175000000000004</v>
      </c>
      <c r="CO191" s="63">
        <f t="shared" si="40"/>
        <v>873.41666666666663</v>
      </c>
      <c r="CP191" s="172">
        <f t="shared" si="41"/>
        <v>679.78666666666675</v>
      </c>
      <c r="CQ191" s="158">
        <v>93</v>
      </c>
      <c r="CR191" s="159">
        <v>1182</v>
      </c>
      <c r="CS191" s="179">
        <v>1083.2</v>
      </c>
      <c r="CT191" s="27">
        <v>21</v>
      </c>
      <c r="CU191" s="58">
        <v>320</v>
      </c>
      <c r="CV191" s="12">
        <v>241.6</v>
      </c>
      <c r="CW191" s="27"/>
      <c r="CX191" s="58"/>
      <c r="CY191" s="98"/>
      <c r="CZ191" s="27"/>
      <c r="DA191" s="58"/>
      <c r="DB191" s="12"/>
      <c r="DC191" s="27"/>
      <c r="DD191" s="58"/>
      <c r="DE191" s="12"/>
      <c r="DF191" s="27"/>
      <c r="DG191" s="58"/>
      <c r="DH191" s="12"/>
      <c r="DI191" s="27"/>
      <c r="DJ191" s="58"/>
      <c r="DK191" s="107"/>
      <c r="DL191" s="27"/>
      <c r="DM191" s="58"/>
      <c r="DN191" s="107"/>
      <c r="DO191" s="27"/>
      <c r="DP191" s="58"/>
      <c r="DQ191" s="107"/>
      <c r="DR191" s="27"/>
      <c r="DS191" s="58"/>
      <c r="DT191" s="12"/>
      <c r="DU191" s="27"/>
      <c r="DV191" s="58"/>
      <c r="DW191" s="12"/>
      <c r="DX191" s="27"/>
      <c r="DY191" s="58"/>
      <c r="DZ191" s="12"/>
    </row>
    <row r="192" spans="1:130" s="25" customFormat="1" ht="31.5" customHeight="1" x14ac:dyDescent="0.6">
      <c r="A192" s="5">
        <v>189</v>
      </c>
      <c r="B192" s="18" t="s">
        <v>496</v>
      </c>
      <c r="C192" s="18" t="s">
        <v>496</v>
      </c>
      <c r="D192" s="18" t="s">
        <v>494</v>
      </c>
      <c r="E192" s="23" t="s">
        <v>495</v>
      </c>
      <c r="F192" s="7" t="s">
        <v>475</v>
      </c>
      <c r="G192" s="123"/>
      <c r="H192" s="123"/>
      <c r="I192" s="123" t="s">
        <v>1056</v>
      </c>
      <c r="J192" s="49" t="s">
        <v>476</v>
      </c>
      <c r="K192" s="27"/>
      <c r="L192" s="58"/>
      <c r="M192" s="78"/>
      <c r="N192" s="27"/>
      <c r="O192" s="58"/>
      <c r="P192" s="49"/>
      <c r="Q192" s="27"/>
      <c r="R192" s="58"/>
      <c r="S192" s="98"/>
      <c r="T192" s="27"/>
      <c r="U192" s="58"/>
      <c r="V192" s="12"/>
      <c r="W192" s="27"/>
      <c r="X192" s="58"/>
      <c r="Y192" s="12"/>
      <c r="Z192" s="27"/>
      <c r="AA192" s="58"/>
      <c r="AB192" s="12"/>
      <c r="AC192" s="27">
        <v>17</v>
      </c>
      <c r="AD192" s="58">
        <v>276</v>
      </c>
      <c r="AE192" s="107"/>
      <c r="AF192" s="27">
        <v>0</v>
      </c>
      <c r="AG192" s="58">
        <v>0</v>
      </c>
      <c r="AH192" s="107"/>
      <c r="AI192" s="27">
        <v>15</v>
      </c>
      <c r="AJ192" s="58">
        <v>180</v>
      </c>
      <c r="AK192" s="107"/>
      <c r="AL192" s="27">
        <v>31</v>
      </c>
      <c r="AM192" s="58">
        <v>408</v>
      </c>
      <c r="AN192" s="12"/>
      <c r="AO192" s="27">
        <v>15</v>
      </c>
      <c r="AP192" s="58">
        <v>180</v>
      </c>
      <c r="AQ192" s="12"/>
      <c r="AR192" s="27">
        <v>15</v>
      </c>
      <c r="AS192" s="58">
        <v>180</v>
      </c>
      <c r="AT192" s="12"/>
      <c r="AU192" s="54"/>
      <c r="AV192" s="63"/>
      <c r="AW192" s="55"/>
      <c r="AX192" s="54"/>
      <c r="AY192" s="63"/>
      <c r="AZ192" s="55"/>
      <c r="BA192" s="10">
        <v>30</v>
      </c>
      <c r="BB192" s="15">
        <v>384</v>
      </c>
      <c r="BC192" s="11">
        <v>384</v>
      </c>
      <c r="BD192" s="10">
        <v>16</v>
      </c>
      <c r="BE192" s="15">
        <v>220</v>
      </c>
      <c r="BF192" s="11">
        <v>194</v>
      </c>
      <c r="BG192" s="10">
        <v>30</v>
      </c>
      <c r="BH192" s="15">
        <v>360</v>
      </c>
      <c r="BI192" s="11">
        <v>360</v>
      </c>
      <c r="BJ192" s="10">
        <v>0</v>
      </c>
      <c r="BK192" s="15">
        <v>0</v>
      </c>
      <c r="BL192" s="11">
        <v>0</v>
      </c>
      <c r="BM192" s="46">
        <v>16</v>
      </c>
      <c r="BN192" s="43">
        <v>220</v>
      </c>
      <c r="BO192" s="47">
        <v>194</v>
      </c>
      <c r="BP192" s="46">
        <v>15</v>
      </c>
      <c r="BQ192" s="43">
        <v>180</v>
      </c>
      <c r="BR192" s="47">
        <v>180</v>
      </c>
      <c r="BS192" s="46">
        <v>0</v>
      </c>
      <c r="BT192" s="43">
        <v>0</v>
      </c>
      <c r="BU192" s="114">
        <v>0</v>
      </c>
      <c r="BV192" s="119">
        <v>15</v>
      </c>
      <c r="BW192" s="120">
        <v>180</v>
      </c>
      <c r="BX192" s="114">
        <v>180</v>
      </c>
      <c r="BY192" s="119">
        <v>2.5</v>
      </c>
      <c r="BZ192" s="120">
        <v>30</v>
      </c>
      <c r="CA192" s="114">
        <v>28.08</v>
      </c>
      <c r="CB192" s="119">
        <v>0</v>
      </c>
      <c r="CC192" s="120">
        <v>0</v>
      </c>
      <c r="CD192" s="114">
        <v>0</v>
      </c>
      <c r="CE192" s="119">
        <v>0</v>
      </c>
      <c r="CF192" s="120">
        <v>0</v>
      </c>
      <c r="CG192" s="114">
        <v>0</v>
      </c>
      <c r="CH192" s="119">
        <v>30</v>
      </c>
      <c r="CI192" s="120">
        <v>360</v>
      </c>
      <c r="CJ192" s="114">
        <v>360</v>
      </c>
      <c r="CK192" s="54">
        <f t="shared" si="36"/>
        <v>154.5</v>
      </c>
      <c r="CL192" s="63">
        <f t="shared" si="37"/>
        <v>1934</v>
      </c>
      <c r="CM192" s="55">
        <f t="shared" si="38"/>
        <v>1880.08</v>
      </c>
      <c r="CN192" s="54">
        <f t="shared" si="39"/>
        <v>12.875</v>
      </c>
      <c r="CO192" s="63">
        <f t="shared" si="40"/>
        <v>161.16666666666666</v>
      </c>
      <c r="CP192" s="172">
        <f t="shared" si="41"/>
        <v>156.67333333333332</v>
      </c>
      <c r="CQ192" s="158">
        <v>5</v>
      </c>
      <c r="CR192" s="159">
        <v>60</v>
      </c>
      <c r="CS192" s="179">
        <v>60</v>
      </c>
      <c r="CT192" s="27">
        <v>0</v>
      </c>
      <c r="CU192" s="58">
        <v>0</v>
      </c>
      <c r="CV192" s="12">
        <v>0</v>
      </c>
      <c r="CW192" s="27"/>
      <c r="CX192" s="58"/>
      <c r="CY192" s="98"/>
      <c r="CZ192" s="27"/>
      <c r="DA192" s="58"/>
      <c r="DB192" s="12"/>
      <c r="DC192" s="27"/>
      <c r="DD192" s="58"/>
      <c r="DE192" s="12"/>
      <c r="DF192" s="27"/>
      <c r="DG192" s="58"/>
      <c r="DH192" s="12"/>
      <c r="DI192" s="27"/>
      <c r="DJ192" s="58"/>
      <c r="DK192" s="107"/>
      <c r="DL192" s="27"/>
      <c r="DM192" s="58"/>
      <c r="DN192" s="107"/>
      <c r="DO192" s="27"/>
      <c r="DP192" s="58"/>
      <c r="DQ192" s="107"/>
      <c r="DR192" s="27"/>
      <c r="DS192" s="58"/>
      <c r="DT192" s="12"/>
      <c r="DU192" s="27"/>
      <c r="DV192" s="58"/>
      <c r="DW192" s="12"/>
      <c r="DX192" s="27"/>
      <c r="DY192" s="58"/>
      <c r="DZ192" s="12"/>
    </row>
    <row r="193" spans="1:130" s="25" customFormat="1" ht="31.5" customHeight="1" x14ac:dyDescent="0.6">
      <c r="A193" s="5">
        <v>190</v>
      </c>
      <c r="B193" s="18" t="s">
        <v>497</v>
      </c>
      <c r="C193" s="18" t="s">
        <v>498</v>
      </c>
      <c r="D193" s="18" t="s">
        <v>494</v>
      </c>
      <c r="E193" s="23" t="s">
        <v>495</v>
      </c>
      <c r="F193" s="7" t="s">
        <v>475</v>
      </c>
      <c r="G193" s="123"/>
      <c r="H193" s="123"/>
      <c r="I193" s="123" t="s">
        <v>1057</v>
      </c>
      <c r="J193" s="49" t="s">
        <v>476</v>
      </c>
      <c r="K193" s="27"/>
      <c r="L193" s="58"/>
      <c r="M193" s="78"/>
      <c r="N193" s="27"/>
      <c r="O193" s="58"/>
      <c r="P193" s="49"/>
      <c r="Q193" s="27"/>
      <c r="R193" s="58"/>
      <c r="S193" s="98"/>
      <c r="T193" s="27"/>
      <c r="U193" s="58"/>
      <c r="V193" s="12"/>
      <c r="W193" s="27"/>
      <c r="X193" s="58"/>
      <c r="Y193" s="12"/>
      <c r="Z193" s="27"/>
      <c r="AA193" s="58"/>
      <c r="AB193" s="12"/>
      <c r="AC193" s="27">
        <v>30</v>
      </c>
      <c r="AD193" s="58">
        <v>360</v>
      </c>
      <c r="AE193" s="107"/>
      <c r="AF193" s="27">
        <v>0</v>
      </c>
      <c r="AG193" s="58">
        <v>0</v>
      </c>
      <c r="AH193" s="107"/>
      <c r="AI193" s="27">
        <v>0</v>
      </c>
      <c r="AJ193" s="58">
        <v>0</v>
      </c>
      <c r="AK193" s="107"/>
      <c r="AL193" s="27">
        <v>76</v>
      </c>
      <c r="AM193" s="58">
        <v>1344</v>
      </c>
      <c r="AN193" s="12"/>
      <c r="AO193" s="27">
        <v>27</v>
      </c>
      <c r="AP193" s="58">
        <v>348</v>
      </c>
      <c r="AQ193" s="12"/>
      <c r="AR193" s="27">
        <v>40</v>
      </c>
      <c r="AS193" s="58">
        <v>480</v>
      </c>
      <c r="AT193" s="12"/>
      <c r="AU193" s="54"/>
      <c r="AV193" s="63"/>
      <c r="AW193" s="55"/>
      <c r="AX193" s="54"/>
      <c r="AY193" s="63"/>
      <c r="AZ193" s="55"/>
      <c r="BA193" s="10">
        <v>15</v>
      </c>
      <c r="BB193" s="15">
        <v>180</v>
      </c>
      <c r="BC193" s="11">
        <v>180</v>
      </c>
      <c r="BD193" s="10">
        <v>27</v>
      </c>
      <c r="BE193" s="15">
        <v>380</v>
      </c>
      <c r="BF193" s="11">
        <v>304</v>
      </c>
      <c r="BG193" s="10">
        <v>84</v>
      </c>
      <c r="BH193" s="15">
        <v>1260</v>
      </c>
      <c r="BI193" s="11">
        <v>978</v>
      </c>
      <c r="BJ193" s="10">
        <v>0</v>
      </c>
      <c r="BK193" s="15">
        <v>0</v>
      </c>
      <c r="BL193" s="11">
        <v>0</v>
      </c>
      <c r="BM193" s="46">
        <v>51</v>
      </c>
      <c r="BN193" s="43">
        <v>668</v>
      </c>
      <c r="BO193" s="47">
        <v>582.4</v>
      </c>
      <c r="BP193" s="46">
        <v>42</v>
      </c>
      <c r="BQ193" s="43">
        <v>532</v>
      </c>
      <c r="BR193" s="47">
        <v>486.4</v>
      </c>
      <c r="BS193" s="46">
        <v>79.099999999999994</v>
      </c>
      <c r="BT193" s="43">
        <v>1184</v>
      </c>
      <c r="BU193" s="114">
        <v>940.6</v>
      </c>
      <c r="BV193" s="119">
        <v>65.3</v>
      </c>
      <c r="BW193" s="120">
        <v>923</v>
      </c>
      <c r="BX193" s="114">
        <v>744.04</v>
      </c>
      <c r="BY193" s="119">
        <v>50.25</v>
      </c>
      <c r="BZ193" s="120">
        <v>743</v>
      </c>
      <c r="CA193" s="114">
        <v>588.04</v>
      </c>
      <c r="CB193" s="119">
        <v>52</v>
      </c>
      <c r="CC193" s="120">
        <v>680</v>
      </c>
      <c r="CD193" s="114">
        <v>628</v>
      </c>
      <c r="CE193" s="119">
        <v>46</v>
      </c>
      <c r="CF193" s="120">
        <v>608</v>
      </c>
      <c r="CG193" s="114">
        <v>536.79999999999995</v>
      </c>
      <c r="CH193" s="119">
        <v>58</v>
      </c>
      <c r="CI193" s="120">
        <v>780</v>
      </c>
      <c r="CJ193" s="114">
        <v>692.4</v>
      </c>
      <c r="CK193" s="54">
        <f t="shared" si="36"/>
        <v>569.65000000000009</v>
      </c>
      <c r="CL193" s="63">
        <f t="shared" si="37"/>
        <v>7938</v>
      </c>
      <c r="CM193" s="55">
        <f t="shared" si="38"/>
        <v>6660.68</v>
      </c>
      <c r="CN193" s="54">
        <f t="shared" si="39"/>
        <v>47.470833333333339</v>
      </c>
      <c r="CO193" s="63">
        <f t="shared" si="40"/>
        <v>661.5</v>
      </c>
      <c r="CP193" s="172">
        <f t="shared" si="41"/>
        <v>555.05666666666673</v>
      </c>
      <c r="CQ193" s="158">
        <v>44</v>
      </c>
      <c r="CR193" s="159">
        <v>584</v>
      </c>
      <c r="CS193" s="179">
        <v>522.4</v>
      </c>
      <c r="CT193" s="27">
        <v>85</v>
      </c>
      <c r="CU193" s="58">
        <v>1132</v>
      </c>
      <c r="CV193" s="12">
        <v>1023.2</v>
      </c>
      <c r="CW193" s="27"/>
      <c r="CX193" s="58"/>
      <c r="CY193" s="98"/>
      <c r="CZ193" s="27"/>
      <c r="DA193" s="58"/>
      <c r="DB193" s="12"/>
      <c r="DC193" s="27"/>
      <c r="DD193" s="58"/>
      <c r="DE193" s="12"/>
      <c r="DF193" s="27"/>
      <c r="DG193" s="58"/>
      <c r="DH193" s="12"/>
      <c r="DI193" s="27"/>
      <c r="DJ193" s="58"/>
      <c r="DK193" s="107"/>
      <c r="DL193" s="27"/>
      <c r="DM193" s="58"/>
      <c r="DN193" s="107"/>
      <c r="DO193" s="27"/>
      <c r="DP193" s="58"/>
      <c r="DQ193" s="107"/>
      <c r="DR193" s="27"/>
      <c r="DS193" s="58"/>
      <c r="DT193" s="12"/>
      <c r="DU193" s="27"/>
      <c r="DV193" s="58"/>
      <c r="DW193" s="12"/>
      <c r="DX193" s="27"/>
      <c r="DY193" s="58"/>
      <c r="DZ193" s="12"/>
    </row>
    <row r="194" spans="1:130" s="25" customFormat="1" ht="31.5" customHeight="1" x14ac:dyDescent="0.6">
      <c r="A194" s="5">
        <v>191</v>
      </c>
      <c r="B194" s="18" t="s">
        <v>458</v>
      </c>
      <c r="C194" s="18" t="s">
        <v>459</v>
      </c>
      <c r="D194" s="18" t="s">
        <v>494</v>
      </c>
      <c r="E194" s="23" t="s">
        <v>495</v>
      </c>
      <c r="F194" s="7" t="s">
        <v>475</v>
      </c>
      <c r="G194" s="123"/>
      <c r="H194" s="123"/>
      <c r="I194" s="123" t="s">
        <v>1058</v>
      </c>
      <c r="J194" s="49" t="s">
        <v>476</v>
      </c>
      <c r="K194" s="27"/>
      <c r="L194" s="58"/>
      <c r="M194" s="78"/>
      <c r="N194" s="27"/>
      <c r="O194" s="58"/>
      <c r="P194" s="49"/>
      <c r="Q194" s="27"/>
      <c r="R194" s="58"/>
      <c r="S194" s="98"/>
      <c r="T194" s="27"/>
      <c r="U194" s="58"/>
      <c r="V194" s="12"/>
      <c r="W194" s="27"/>
      <c r="X194" s="58"/>
      <c r="Y194" s="12"/>
      <c r="Z194" s="27"/>
      <c r="AA194" s="58"/>
      <c r="AB194" s="12"/>
      <c r="AC194" s="27">
        <v>0</v>
      </c>
      <c r="AD194" s="58">
        <v>0</v>
      </c>
      <c r="AE194" s="107"/>
      <c r="AF194" s="27">
        <v>0</v>
      </c>
      <c r="AG194" s="58">
        <v>0</v>
      </c>
      <c r="AH194" s="107"/>
      <c r="AI194" s="27">
        <v>4</v>
      </c>
      <c r="AJ194" s="58">
        <v>76</v>
      </c>
      <c r="AK194" s="107"/>
      <c r="AL194" s="27">
        <v>36</v>
      </c>
      <c r="AM194" s="58">
        <v>444</v>
      </c>
      <c r="AN194" s="12"/>
      <c r="AO194" s="27">
        <v>0</v>
      </c>
      <c r="AP194" s="58">
        <v>0</v>
      </c>
      <c r="AQ194" s="12"/>
      <c r="AR194" s="27">
        <v>2</v>
      </c>
      <c r="AS194" s="58">
        <v>24</v>
      </c>
      <c r="AT194" s="12"/>
      <c r="AU194" s="54"/>
      <c r="AV194" s="63"/>
      <c r="AW194" s="55"/>
      <c r="AX194" s="54"/>
      <c r="AY194" s="63"/>
      <c r="AZ194" s="55"/>
      <c r="BA194" s="10">
        <v>16</v>
      </c>
      <c r="BB194" s="15">
        <v>204</v>
      </c>
      <c r="BC194" s="11">
        <v>188</v>
      </c>
      <c r="BD194" s="10">
        <v>30</v>
      </c>
      <c r="BE194" s="15">
        <v>360</v>
      </c>
      <c r="BF194" s="11">
        <v>360</v>
      </c>
      <c r="BG194" s="10">
        <v>58</v>
      </c>
      <c r="BH194" s="15">
        <v>696</v>
      </c>
      <c r="BI194" s="11">
        <v>682.4</v>
      </c>
      <c r="BJ194" s="10">
        <v>22</v>
      </c>
      <c r="BK194" s="15">
        <v>404</v>
      </c>
      <c r="BL194" s="11">
        <v>274</v>
      </c>
      <c r="BM194" s="46">
        <v>32</v>
      </c>
      <c r="BN194" s="43">
        <v>412</v>
      </c>
      <c r="BO194" s="47">
        <v>382.4</v>
      </c>
      <c r="BP194" s="46">
        <v>8</v>
      </c>
      <c r="BQ194" s="43">
        <v>96</v>
      </c>
      <c r="BR194" s="47">
        <v>85.2</v>
      </c>
      <c r="BS194" s="46">
        <v>0</v>
      </c>
      <c r="BT194" s="43">
        <v>0</v>
      </c>
      <c r="BU194" s="114">
        <v>0</v>
      </c>
      <c r="BV194" s="119">
        <v>15</v>
      </c>
      <c r="BW194" s="120">
        <v>180</v>
      </c>
      <c r="BX194" s="114">
        <v>180</v>
      </c>
      <c r="BY194" s="119">
        <v>4.25</v>
      </c>
      <c r="BZ194" s="120">
        <v>51</v>
      </c>
      <c r="CA194" s="114">
        <v>50.04</v>
      </c>
      <c r="CB194" s="119">
        <v>0</v>
      </c>
      <c r="CC194" s="120">
        <v>0</v>
      </c>
      <c r="CD194" s="114">
        <v>0</v>
      </c>
      <c r="CE194" s="119">
        <v>24</v>
      </c>
      <c r="CF194" s="120">
        <v>288</v>
      </c>
      <c r="CG194" s="114">
        <v>288</v>
      </c>
      <c r="CH194" s="119">
        <v>60</v>
      </c>
      <c r="CI194" s="120">
        <v>720</v>
      </c>
      <c r="CJ194" s="114">
        <v>720</v>
      </c>
      <c r="CK194" s="54">
        <f t="shared" si="36"/>
        <v>269.25</v>
      </c>
      <c r="CL194" s="63">
        <f t="shared" si="37"/>
        <v>3411</v>
      </c>
      <c r="CM194" s="55">
        <f t="shared" si="38"/>
        <v>3210.04</v>
      </c>
      <c r="CN194" s="54">
        <f t="shared" si="39"/>
        <v>22.4375</v>
      </c>
      <c r="CO194" s="63">
        <f t="shared" si="40"/>
        <v>284.25</v>
      </c>
      <c r="CP194" s="172">
        <f t="shared" si="41"/>
        <v>267.50333333333333</v>
      </c>
      <c r="CQ194" s="158">
        <v>0</v>
      </c>
      <c r="CR194" s="159">
        <v>0</v>
      </c>
      <c r="CS194" s="179">
        <v>0</v>
      </c>
      <c r="CT194" s="27">
        <v>40</v>
      </c>
      <c r="CU194" s="58">
        <v>480</v>
      </c>
      <c r="CV194" s="12">
        <v>480</v>
      </c>
      <c r="CW194" s="27"/>
      <c r="CX194" s="58"/>
      <c r="CY194" s="98"/>
      <c r="CZ194" s="27"/>
      <c r="DA194" s="58"/>
      <c r="DB194" s="12"/>
      <c r="DC194" s="27"/>
      <c r="DD194" s="58"/>
      <c r="DE194" s="12"/>
      <c r="DF194" s="27"/>
      <c r="DG194" s="58"/>
      <c r="DH194" s="12"/>
      <c r="DI194" s="27"/>
      <c r="DJ194" s="58"/>
      <c r="DK194" s="107"/>
      <c r="DL194" s="27"/>
      <c r="DM194" s="58"/>
      <c r="DN194" s="107"/>
      <c r="DO194" s="27"/>
      <c r="DP194" s="58"/>
      <c r="DQ194" s="107"/>
      <c r="DR194" s="27"/>
      <c r="DS194" s="58"/>
      <c r="DT194" s="12"/>
      <c r="DU194" s="27"/>
      <c r="DV194" s="58"/>
      <c r="DW194" s="12"/>
      <c r="DX194" s="27"/>
      <c r="DY194" s="58"/>
      <c r="DZ194" s="12"/>
    </row>
    <row r="195" spans="1:130" s="25" customFormat="1" ht="31.5" customHeight="1" x14ac:dyDescent="0.6">
      <c r="A195" s="5">
        <v>192</v>
      </c>
      <c r="B195" s="18" t="s">
        <v>499</v>
      </c>
      <c r="C195" s="18" t="s">
        <v>500</v>
      </c>
      <c r="D195" s="18" t="s">
        <v>494</v>
      </c>
      <c r="E195" s="23" t="s">
        <v>495</v>
      </c>
      <c r="F195" s="7" t="s">
        <v>475</v>
      </c>
      <c r="G195" s="123"/>
      <c r="H195" s="123"/>
      <c r="I195" s="123" t="s">
        <v>1059</v>
      </c>
      <c r="J195" s="49" t="s">
        <v>476</v>
      </c>
      <c r="K195" s="27"/>
      <c r="L195" s="58"/>
      <c r="M195" s="78"/>
      <c r="N195" s="27"/>
      <c r="O195" s="58"/>
      <c r="P195" s="49"/>
      <c r="Q195" s="27"/>
      <c r="R195" s="58"/>
      <c r="S195" s="98"/>
      <c r="T195" s="27"/>
      <c r="U195" s="58"/>
      <c r="V195" s="12"/>
      <c r="W195" s="27"/>
      <c r="X195" s="58"/>
      <c r="Y195" s="12"/>
      <c r="Z195" s="27"/>
      <c r="AA195" s="58"/>
      <c r="AB195" s="12"/>
      <c r="AC195" s="27">
        <v>13</v>
      </c>
      <c r="AD195" s="58">
        <v>192</v>
      </c>
      <c r="AE195" s="107"/>
      <c r="AF195" s="27">
        <v>21</v>
      </c>
      <c r="AG195" s="58">
        <v>360</v>
      </c>
      <c r="AH195" s="107"/>
      <c r="AI195" s="27">
        <v>13</v>
      </c>
      <c r="AJ195" s="58">
        <v>194</v>
      </c>
      <c r="AK195" s="107"/>
      <c r="AL195" s="27">
        <v>31</v>
      </c>
      <c r="AM195" s="58">
        <v>512</v>
      </c>
      <c r="AN195" s="12"/>
      <c r="AO195" s="27">
        <v>3</v>
      </c>
      <c r="AP195" s="58">
        <v>36</v>
      </c>
      <c r="AQ195" s="12"/>
      <c r="AR195" s="27">
        <v>7</v>
      </c>
      <c r="AS195" s="58">
        <v>84</v>
      </c>
      <c r="AT195" s="12"/>
      <c r="AU195" s="54"/>
      <c r="AV195" s="63"/>
      <c r="AW195" s="55"/>
      <c r="AX195" s="54"/>
      <c r="AY195" s="63"/>
      <c r="AZ195" s="55"/>
      <c r="BA195" s="10">
        <v>1</v>
      </c>
      <c r="BB195" s="15">
        <v>12</v>
      </c>
      <c r="BC195" s="11">
        <v>8</v>
      </c>
      <c r="BD195" s="10">
        <v>2</v>
      </c>
      <c r="BE195" s="15">
        <v>24</v>
      </c>
      <c r="BF195" s="11">
        <v>24</v>
      </c>
      <c r="BG195" s="10">
        <v>55</v>
      </c>
      <c r="BH195" s="15">
        <v>1008</v>
      </c>
      <c r="BI195" s="11">
        <v>670.4</v>
      </c>
      <c r="BJ195" s="10">
        <v>23</v>
      </c>
      <c r="BK195" s="15">
        <v>360</v>
      </c>
      <c r="BL195" s="11">
        <v>282</v>
      </c>
      <c r="BM195" s="46">
        <v>14</v>
      </c>
      <c r="BN195" s="43">
        <v>208</v>
      </c>
      <c r="BO195" s="47">
        <v>156</v>
      </c>
      <c r="BP195" s="46">
        <v>5</v>
      </c>
      <c r="BQ195" s="43">
        <v>60</v>
      </c>
      <c r="BR195" s="47">
        <v>60</v>
      </c>
      <c r="BS195" s="46">
        <v>21</v>
      </c>
      <c r="BT195" s="43">
        <v>342</v>
      </c>
      <c r="BU195" s="114">
        <v>248.4</v>
      </c>
      <c r="BV195" s="119">
        <v>24.1</v>
      </c>
      <c r="BW195" s="120">
        <v>415</v>
      </c>
      <c r="BX195" s="114">
        <v>275.64</v>
      </c>
      <c r="BY195" s="119">
        <v>3</v>
      </c>
      <c r="BZ195" s="120">
        <v>104</v>
      </c>
      <c r="CA195" s="114">
        <v>36.4</v>
      </c>
      <c r="CB195" s="119">
        <v>11</v>
      </c>
      <c r="CC195" s="120">
        <v>216</v>
      </c>
      <c r="CD195" s="114">
        <v>123.6</v>
      </c>
      <c r="CE195" s="119">
        <v>6</v>
      </c>
      <c r="CF195" s="120">
        <v>72</v>
      </c>
      <c r="CG195" s="114">
        <v>67.2</v>
      </c>
      <c r="CH195" s="119">
        <v>9</v>
      </c>
      <c r="CI195" s="120">
        <v>164</v>
      </c>
      <c r="CJ195" s="114">
        <v>102.4</v>
      </c>
      <c r="CK195" s="54">
        <f t="shared" si="36"/>
        <v>174.1</v>
      </c>
      <c r="CL195" s="63">
        <f t="shared" si="37"/>
        <v>2985</v>
      </c>
      <c r="CM195" s="55">
        <f t="shared" si="38"/>
        <v>2054.04</v>
      </c>
      <c r="CN195" s="54">
        <f t="shared" si="39"/>
        <v>14.508333333333333</v>
      </c>
      <c r="CO195" s="63">
        <f t="shared" si="40"/>
        <v>248.75</v>
      </c>
      <c r="CP195" s="172">
        <f t="shared" si="41"/>
        <v>171.17</v>
      </c>
      <c r="CQ195" s="158">
        <v>17</v>
      </c>
      <c r="CR195" s="159">
        <v>352</v>
      </c>
      <c r="CS195" s="179">
        <v>201.2</v>
      </c>
      <c r="CT195" s="27">
        <v>0</v>
      </c>
      <c r="CU195" s="58">
        <v>0</v>
      </c>
      <c r="CV195" s="12">
        <v>0</v>
      </c>
      <c r="CW195" s="27"/>
      <c r="CX195" s="58"/>
      <c r="CY195" s="98"/>
      <c r="CZ195" s="27"/>
      <c r="DA195" s="58"/>
      <c r="DB195" s="12"/>
      <c r="DC195" s="27"/>
      <c r="DD195" s="58"/>
      <c r="DE195" s="12"/>
      <c r="DF195" s="27"/>
      <c r="DG195" s="58"/>
      <c r="DH195" s="12"/>
      <c r="DI195" s="27"/>
      <c r="DJ195" s="58"/>
      <c r="DK195" s="107"/>
      <c r="DL195" s="27"/>
      <c r="DM195" s="58"/>
      <c r="DN195" s="107"/>
      <c r="DO195" s="27"/>
      <c r="DP195" s="58"/>
      <c r="DQ195" s="107"/>
      <c r="DR195" s="27"/>
      <c r="DS195" s="58"/>
      <c r="DT195" s="12"/>
      <c r="DU195" s="27"/>
      <c r="DV195" s="58"/>
      <c r="DW195" s="12"/>
      <c r="DX195" s="27"/>
      <c r="DY195" s="58"/>
      <c r="DZ195" s="12"/>
    </row>
    <row r="196" spans="1:130" s="25" customFormat="1" ht="31.5" customHeight="1" x14ac:dyDescent="0.6">
      <c r="A196" s="5">
        <v>193</v>
      </c>
      <c r="B196" s="18" t="s">
        <v>505</v>
      </c>
      <c r="C196" s="18" t="s">
        <v>505</v>
      </c>
      <c r="D196" s="18" t="s">
        <v>503</v>
      </c>
      <c r="E196" s="23" t="s">
        <v>504</v>
      </c>
      <c r="F196" s="7" t="s">
        <v>475</v>
      </c>
      <c r="G196" s="123"/>
      <c r="H196" s="123"/>
      <c r="I196" s="123" t="s">
        <v>1060</v>
      </c>
      <c r="J196" s="49" t="s">
        <v>476</v>
      </c>
      <c r="K196" s="27"/>
      <c r="L196" s="58"/>
      <c r="M196" s="78"/>
      <c r="N196" s="27"/>
      <c r="O196" s="58"/>
      <c r="P196" s="49"/>
      <c r="Q196" s="27"/>
      <c r="R196" s="58"/>
      <c r="S196" s="98"/>
      <c r="T196" s="27"/>
      <c r="U196" s="58"/>
      <c r="V196" s="12"/>
      <c r="W196" s="27"/>
      <c r="X196" s="58"/>
      <c r="Y196" s="12"/>
      <c r="Z196" s="27"/>
      <c r="AA196" s="58"/>
      <c r="AB196" s="12"/>
      <c r="AC196" s="27">
        <v>36</v>
      </c>
      <c r="AD196" s="58">
        <v>460</v>
      </c>
      <c r="AE196" s="107"/>
      <c r="AF196" s="27">
        <v>31</v>
      </c>
      <c r="AG196" s="58">
        <v>400</v>
      </c>
      <c r="AH196" s="107"/>
      <c r="AI196" s="27">
        <v>3</v>
      </c>
      <c r="AJ196" s="58">
        <v>36</v>
      </c>
      <c r="AK196" s="107"/>
      <c r="AL196" s="27">
        <v>49</v>
      </c>
      <c r="AM196" s="58">
        <v>588</v>
      </c>
      <c r="AN196" s="12"/>
      <c r="AO196" s="27">
        <v>27</v>
      </c>
      <c r="AP196" s="58">
        <v>352</v>
      </c>
      <c r="AQ196" s="12"/>
      <c r="AR196" s="27">
        <v>78</v>
      </c>
      <c r="AS196" s="58">
        <v>992</v>
      </c>
      <c r="AT196" s="12"/>
      <c r="AU196" s="54"/>
      <c r="AV196" s="63"/>
      <c r="AW196" s="55"/>
      <c r="AX196" s="54"/>
      <c r="AY196" s="63"/>
      <c r="AZ196" s="55"/>
      <c r="BA196" s="10">
        <v>18</v>
      </c>
      <c r="BB196" s="15">
        <v>272</v>
      </c>
      <c r="BC196" s="11">
        <v>215</v>
      </c>
      <c r="BD196" s="10">
        <v>18</v>
      </c>
      <c r="BE196" s="15">
        <v>244</v>
      </c>
      <c r="BF196" s="11">
        <v>218</v>
      </c>
      <c r="BG196" s="10">
        <v>108</v>
      </c>
      <c r="BH196" s="15">
        <v>1380</v>
      </c>
      <c r="BI196" s="11">
        <v>1278</v>
      </c>
      <c r="BJ196" s="10">
        <v>25</v>
      </c>
      <c r="BK196" s="15">
        <v>496</v>
      </c>
      <c r="BL196" s="11">
        <v>299.60000000000002</v>
      </c>
      <c r="BM196" s="46">
        <v>16</v>
      </c>
      <c r="BN196" s="43">
        <v>360</v>
      </c>
      <c r="BO196" s="47">
        <v>204</v>
      </c>
      <c r="BP196" s="46">
        <v>60</v>
      </c>
      <c r="BQ196" s="43">
        <v>888</v>
      </c>
      <c r="BR196" s="47">
        <v>703.2</v>
      </c>
      <c r="BS196" s="46">
        <v>66</v>
      </c>
      <c r="BT196" s="43">
        <v>904</v>
      </c>
      <c r="BU196" s="114">
        <v>786</v>
      </c>
      <c r="BV196" s="119">
        <v>24</v>
      </c>
      <c r="BW196" s="120">
        <v>316</v>
      </c>
      <c r="BX196" s="114">
        <v>266</v>
      </c>
      <c r="BY196" s="119">
        <v>44</v>
      </c>
      <c r="BZ196" s="120">
        <v>584</v>
      </c>
      <c r="CA196" s="114">
        <v>522.4</v>
      </c>
      <c r="CB196" s="119">
        <v>16</v>
      </c>
      <c r="CC196" s="120">
        <v>360</v>
      </c>
      <c r="CD196" s="114">
        <v>204</v>
      </c>
      <c r="CE196" s="119">
        <v>21</v>
      </c>
      <c r="CF196" s="120">
        <v>392</v>
      </c>
      <c r="CG196" s="114">
        <v>247.6</v>
      </c>
      <c r="CH196" s="119">
        <v>13</v>
      </c>
      <c r="CI196" s="120">
        <v>184</v>
      </c>
      <c r="CJ196" s="114">
        <v>148.4</v>
      </c>
      <c r="CK196" s="54">
        <f t="shared" si="36"/>
        <v>429</v>
      </c>
      <c r="CL196" s="63">
        <f t="shared" si="37"/>
        <v>6380</v>
      </c>
      <c r="CM196" s="55">
        <f t="shared" si="38"/>
        <v>5092.2</v>
      </c>
      <c r="CN196" s="54">
        <f t="shared" si="39"/>
        <v>35.75</v>
      </c>
      <c r="CO196" s="63">
        <f t="shared" si="40"/>
        <v>531.66666666666663</v>
      </c>
      <c r="CP196" s="172">
        <f t="shared" si="41"/>
        <v>424.34999999999997</v>
      </c>
      <c r="CQ196" s="158">
        <v>45</v>
      </c>
      <c r="CR196" s="159">
        <v>540</v>
      </c>
      <c r="CS196" s="179">
        <v>540</v>
      </c>
      <c r="CT196" s="27">
        <v>76</v>
      </c>
      <c r="CU196" s="58">
        <v>940</v>
      </c>
      <c r="CV196" s="12">
        <v>914</v>
      </c>
      <c r="CW196" s="27"/>
      <c r="CX196" s="58"/>
      <c r="CY196" s="98"/>
      <c r="CZ196" s="27"/>
      <c r="DA196" s="58"/>
      <c r="DB196" s="12"/>
      <c r="DC196" s="27"/>
      <c r="DD196" s="58"/>
      <c r="DE196" s="12"/>
      <c r="DF196" s="27"/>
      <c r="DG196" s="58"/>
      <c r="DH196" s="12"/>
      <c r="DI196" s="27"/>
      <c r="DJ196" s="58"/>
      <c r="DK196" s="107"/>
      <c r="DL196" s="27"/>
      <c r="DM196" s="58"/>
      <c r="DN196" s="107"/>
      <c r="DO196" s="27"/>
      <c r="DP196" s="58"/>
      <c r="DQ196" s="107"/>
      <c r="DR196" s="27"/>
      <c r="DS196" s="58"/>
      <c r="DT196" s="12"/>
      <c r="DU196" s="27"/>
      <c r="DV196" s="58"/>
      <c r="DW196" s="12"/>
      <c r="DX196" s="27"/>
      <c r="DY196" s="58"/>
      <c r="DZ196" s="12"/>
    </row>
    <row r="197" spans="1:130" s="25" customFormat="1" ht="31.5" customHeight="1" x14ac:dyDescent="0.6">
      <c r="A197" s="5">
        <v>194</v>
      </c>
      <c r="B197" s="18" t="s">
        <v>506</v>
      </c>
      <c r="C197" s="18" t="s">
        <v>507</v>
      </c>
      <c r="D197" s="18" t="s">
        <v>508</v>
      </c>
      <c r="E197" s="23" t="s">
        <v>509</v>
      </c>
      <c r="F197" s="7" t="s">
        <v>475</v>
      </c>
      <c r="G197" s="123"/>
      <c r="H197" s="123"/>
      <c r="I197" s="123" t="s">
        <v>1061</v>
      </c>
      <c r="J197" s="49" t="s">
        <v>476</v>
      </c>
      <c r="K197" s="27"/>
      <c r="L197" s="58"/>
      <c r="M197" s="78"/>
      <c r="N197" s="27"/>
      <c r="O197" s="58"/>
      <c r="P197" s="49"/>
      <c r="Q197" s="27"/>
      <c r="R197" s="58"/>
      <c r="S197" s="98"/>
      <c r="T197" s="27"/>
      <c r="U197" s="58"/>
      <c r="V197" s="12"/>
      <c r="W197" s="27"/>
      <c r="X197" s="58"/>
      <c r="Y197" s="12"/>
      <c r="Z197" s="27"/>
      <c r="AA197" s="58"/>
      <c r="AB197" s="12"/>
      <c r="AC197" s="27">
        <v>10</v>
      </c>
      <c r="AD197" s="58">
        <v>176</v>
      </c>
      <c r="AE197" s="107"/>
      <c r="AF197" s="27">
        <v>10</v>
      </c>
      <c r="AG197" s="58">
        <v>176</v>
      </c>
      <c r="AH197" s="107"/>
      <c r="AI197" s="27">
        <v>110</v>
      </c>
      <c r="AJ197" s="58">
        <v>1684</v>
      </c>
      <c r="AK197" s="107"/>
      <c r="AL197" s="27">
        <v>39</v>
      </c>
      <c r="AM197" s="58">
        <v>608</v>
      </c>
      <c r="AN197" s="12"/>
      <c r="AO197" s="27">
        <v>19</v>
      </c>
      <c r="AP197" s="58">
        <v>396</v>
      </c>
      <c r="AQ197" s="12"/>
      <c r="AR197" s="27">
        <v>37.6</v>
      </c>
      <c r="AS197" s="58">
        <v>652</v>
      </c>
      <c r="AT197" s="12"/>
      <c r="AU197" s="54"/>
      <c r="AV197" s="63"/>
      <c r="AW197" s="55"/>
      <c r="AX197" s="54"/>
      <c r="AY197" s="63"/>
      <c r="AZ197" s="55"/>
      <c r="BA197" s="10">
        <v>32</v>
      </c>
      <c r="BB197" s="15">
        <v>424</v>
      </c>
      <c r="BC197" s="11">
        <v>356</v>
      </c>
      <c r="BD197" s="10">
        <v>36</v>
      </c>
      <c r="BE197" s="15">
        <v>488</v>
      </c>
      <c r="BF197" s="11">
        <v>429</v>
      </c>
      <c r="BG197" s="10">
        <v>64</v>
      </c>
      <c r="BH197" s="15">
        <v>770</v>
      </c>
      <c r="BI197" s="11">
        <v>760.96</v>
      </c>
      <c r="BJ197" s="10">
        <v>46</v>
      </c>
      <c r="BK197" s="15">
        <v>610</v>
      </c>
      <c r="BL197" s="11">
        <v>543.5</v>
      </c>
      <c r="BM197" s="46">
        <v>71</v>
      </c>
      <c r="BN197" s="43">
        <v>1020</v>
      </c>
      <c r="BO197" s="47">
        <v>859.2</v>
      </c>
      <c r="BP197" s="46">
        <v>35</v>
      </c>
      <c r="BQ197" s="43">
        <v>553</v>
      </c>
      <c r="BR197" s="47">
        <v>414</v>
      </c>
      <c r="BS197" s="46">
        <v>21</v>
      </c>
      <c r="BT197" s="43">
        <v>392</v>
      </c>
      <c r="BU197" s="114">
        <v>262</v>
      </c>
      <c r="BV197" s="119">
        <v>26.1</v>
      </c>
      <c r="BW197" s="120">
        <v>394</v>
      </c>
      <c r="BX197" s="114">
        <v>322.68</v>
      </c>
      <c r="BY197" s="119">
        <v>18.25</v>
      </c>
      <c r="BZ197" s="120">
        <v>361</v>
      </c>
      <c r="CA197" s="114">
        <v>225</v>
      </c>
      <c r="CB197" s="119">
        <v>24</v>
      </c>
      <c r="CC197" s="120">
        <v>596</v>
      </c>
      <c r="CD197" s="114">
        <v>310</v>
      </c>
      <c r="CE197" s="119">
        <v>28</v>
      </c>
      <c r="CF197" s="120">
        <v>616</v>
      </c>
      <c r="CG197" s="114">
        <v>356</v>
      </c>
      <c r="CH197" s="119">
        <v>34.75</v>
      </c>
      <c r="CI197" s="120">
        <v>781</v>
      </c>
      <c r="CJ197" s="114">
        <v>433.4</v>
      </c>
      <c r="CK197" s="54">
        <f t="shared" si="36"/>
        <v>436.1</v>
      </c>
      <c r="CL197" s="63">
        <f t="shared" si="37"/>
        <v>7005</v>
      </c>
      <c r="CM197" s="55">
        <f t="shared" si="38"/>
        <v>5271.74</v>
      </c>
      <c r="CN197" s="54">
        <f t="shared" si="39"/>
        <v>36.341666666666669</v>
      </c>
      <c r="CO197" s="63">
        <f t="shared" si="40"/>
        <v>583.75</v>
      </c>
      <c r="CP197" s="172">
        <f t="shared" si="41"/>
        <v>439.31166666666667</v>
      </c>
      <c r="CQ197" s="158">
        <v>23</v>
      </c>
      <c r="CR197" s="159">
        <v>500</v>
      </c>
      <c r="CS197" s="179">
        <v>292</v>
      </c>
      <c r="CT197" s="27">
        <v>16</v>
      </c>
      <c r="CU197" s="58">
        <v>304</v>
      </c>
      <c r="CV197" s="12">
        <v>200</v>
      </c>
      <c r="CW197" s="27"/>
      <c r="CX197" s="58"/>
      <c r="CY197" s="98"/>
      <c r="CZ197" s="27"/>
      <c r="DA197" s="58"/>
      <c r="DB197" s="12"/>
      <c r="DC197" s="27"/>
      <c r="DD197" s="58"/>
      <c r="DE197" s="12"/>
      <c r="DF197" s="27"/>
      <c r="DG197" s="58"/>
      <c r="DH197" s="12"/>
      <c r="DI197" s="27"/>
      <c r="DJ197" s="58"/>
      <c r="DK197" s="107"/>
      <c r="DL197" s="27"/>
      <c r="DM197" s="58"/>
      <c r="DN197" s="107"/>
      <c r="DO197" s="27"/>
      <c r="DP197" s="58"/>
      <c r="DQ197" s="107"/>
      <c r="DR197" s="27"/>
      <c r="DS197" s="58"/>
      <c r="DT197" s="12"/>
      <c r="DU197" s="27"/>
      <c r="DV197" s="58"/>
      <c r="DW197" s="12"/>
      <c r="DX197" s="27"/>
      <c r="DY197" s="58"/>
      <c r="DZ197" s="12"/>
    </row>
    <row r="198" spans="1:130" s="25" customFormat="1" ht="31.5" customHeight="1" x14ac:dyDescent="0.6">
      <c r="A198" s="5">
        <v>195</v>
      </c>
      <c r="B198" s="18" t="s">
        <v>510</v>
      </c>
      <c r="C198" s="18" t="s">
        <v>510</v>
      </c>
      <c r="D198" s="18" t="s">
        <v>508</v>
      </c>
      <c r="E198" s="23" t="s">
        <v>509</v>
      </c>
      <c r="F198" s="7" t="s">
        <v>475</v>
      </c>
      <c r="G198" s="123"/>
      <c r="H198" s="123"/>
      <c r="I198" s="123" t="s">
        <v>1062</v>
      </c>
      <c r="J198" s="49" t="s">
        <v>476</v>
      </c>
      <c r="K198" s="27"/>
      <c r="L198" s="58"/>
      <c r="M198" s="78"/>
      <c r="N198" s="27"/>
      <c r="O198" s="58"/>
      <c r="P198" s="49"/>
      <c r="Q198" s="27"/>
      <c r="R198" s="58"/>
      <c r="S198" s="98"/>
      <c r="T198" s="27"/>
      <c r="U198" s="58"/>
      <c r="V198" s="12"/>
      <c r="W198" s="27"/>
      <c r="X198" s="58"/>
      <c r="Y198" s="12"/>
      <c r="Z198" s="27"/>
      <c r="AA198" s="58"/>
      <c r="AB198" s="12"/>
      <c r="AC198" s="27">
        <v>15</v>
      </c>
      <c r="AD198" s="58">
        <v>180</v>
      </c>
      <c r="AE198" s="107"/>
      <c r="AF198" s="27">
        <v>15</v>
      </c>
      <c r="AG198" s="58">
        <v>180</v>
      </c>
      <c r="AH198" s="107"/>
      <c r="AI198" s="27">
        <v>0</v>
      </c>
      <c r="AJ198" s="58">
        <v>0</v>
      </c>
      <c r="AK198" s="107"/>
      <c r="AL198" s="27">
        <v>15</v>
      </c>
      <c r="AM198" s="58">
        <v>180</v>
      </c>
      <c r="AN198" s="12"/>
      <c r="AO198" s="27">
        <v>16</v>
      </c>
      <c r="AP198" s="58">
        <v>192</v>
      </c>
      <c r="AQ198" s="12"/>
      <c r="AR198" s="27">
        <v>2</v>
      </c>
      <c r="AS198" s="58">
        <v>80</v>
      </c>
      <c r="AT198" s="12"/>
      <c r="AU198" s="54"/>
      <c r="AV198" s="63"/>
      <c r="AW198" s="55"/>
      <c r="AX198" s="54"/>
      <c r="AY198" s="63"/>
      <c r="AZ198" s="55"/>
      <c r="BA198" s="10">
        <v>25</v>
      </c>
      <c r="BB198" s="15">
        <v>300</v>
      </c>
      <c r="BC198" s="11">
        <v>300</v>
      </c>
      <c r="BD198" s="10">
        <v>30</v>
      </c>
      <c r="BE198" s="15">
        <v>360</v>
      </c>
      <c r="BF198" s="11">
        <v>360</v>
      </c>
      <c r="BG198" s="10">
        <v>45</v>
      </c>
      <c r="BH198" s="15">
        <v>540</v>
      </c>
      <c r="BI198" s="11">
        <v>540</v>
      </c>
      <c r="BJ198" s="10">
        <v>0</v>
      </c>
      <c r="BK198" s="15">
        <v>0</v>
      </c>
      <c r="BL198" s="11">
        <v>0</v>
      </c>
      <c r="BM198" s="46">
        <v>45</v>
      </c>
      <c r="BN198" s="43">
        <v>680</v>
      </c>
      <c r="BO198" s="47">
        <v>550</v>
      </c>
      <c r="BP198" s="46">
        <v>45</v>
      </c>
      <c r="BQ198" s="43">
        <v>540</v>
      </c>
      <c r="BR198" s="47">
        <v>540</v>
      </c>
      <c r="BS198" s="46">
        <v>0</v>
      </c>
      <c r="BT198" s="43">
        <v>0</v>
      </c>
      <c r="BU198" s="114">
        <v>0</v>
      </c>
      <c r="BV198" s="119">
        <v>30.3</v>
      </c>
      <c r="BW198" s="120">
        <v>363</v>
      </c>
      <c r="BX198" s="114">
        <v>362.04</v>
      </c>
      <c r="BY198" s="119">
        <v>15</v>
      </c>
      <c r="BZ198" s="120">
        <v>180</v>
      </c>
      <c r="CA198" s="114">
        <v>180</v>
      </c>
      <c r="CB198" s="119">
        <v>0</v>
      </c>
      <c r="CC198" s="120">
        <v>0</v>
      </c>
      <c r="CD198" s="114">
        <v>0</v>
      </c>
      <c r="CE198" s="119">
        <v>17</v>
      </c>
      <c r="CF198" s="120">
        <v>260</v>
      </c>
      <c r="CG198" s="114">
        <v>208</v>
      </c>
      <c r="CH198" s="119">
        <v>30</v>
      </c>
      <c r="CI198" s="120">
        <v>360</v>
      </c>
      <c r="CJ198" s="114">
        <v>360</v>
      </c>
      <c r="CK198" s="54">
        <f t="shared" si="36"/>
        <v>282.3</v>
      </c>
      <c r="CL198" s="63">
        <f t="shared" si="37"/>
        <v>3583</v>
      </c>
      <c r="CM198" s="55">
        <f t="shared" si="38"/>
        <v>3400.04</v>
      </c>
      <c r="CN198" s="54">
        <f t="shared" si="39"/>
        <v>23.525000000000002</v>
      </c>
      <c r="CO198" s="63">
        <f t="shared" si="40"/>
        <v>298.58333333333331</v>
      </c>
      <c r="CP198" s="172">
        <f t="shared" si="41"/>
        <v>283.33666666666664</v>
      </c>
      <c r="CQ198" s="158">
        <v>20</v>
      </c>
      <c r="CR198" s="159">
        <v>240</v>
      </c>
      <c r="CS198" s="179">
        <v>240</v>
      </c>
      <c r="CT198" s="27">
        <v>30</v>
      </c>
      <c r="CU198" s="58">
        <v>360</v>
      </c>
      <c r="CV198" s="12">
        <v>360</v>
      </c>
      <c r="CW198" s="27"/>
      <c r="CX198" s="58"/>
      <c r="CY198" s="98"/>
      <c r="CZ198" s="27"/>
      <c r="DA198" s="58"/>
      <c r="DB198" s="12"/>
      <c r="DC198" s="27"/>
      <c r="DD198" s="58"/>
      <c r="DE198" s="12"/>
      <c r="DF198" s="27"/>
      <c r="DG198" s="58"/>
      <c r="DH198" s="12"/>
      <c r="DI198" s="27"/>
      <c r="DJ198" s="58"/>
      <c r="DK198" s="107"/>
      <c r="DL198" s="27"/>
      <c r="DM198" s="58"/>
      <c r="DN198" s="107"/>
      <c r="DO198" s="27"/>
      <c r="DP198" s="58"/>
      <c r="DQ198" s="107"/>
      <c r="DR198" s="27"/>
      <c r="DS198" s="58"/>
      <c r="DT198" s="12"/>
      <c r="DU198" s="27"/>
      <c r="DV198" s="58"/>
      <c r="DW198" s="12"/>
      <c r="DX198" s="27"/>
      <c r="DY198" s="58"/>
      <c r="DZ198" s="12"/>
    </row>
    <row r="199" spans="1:130" s="25" customFormat="1" ht="31.5" customHeight="1" x14ac:dyDescent="0.6">
      <c r="A199" s="5">
        <v>196</v>
      </c>
      <c r="B199" s="18" t="s">
        <v>511</v>
      </c>
      <c r="C199" s="18" t="s">
        <v>511</v>
      </c>
      <c r="D199" s="18" t="s">
        <v>508</v>
      </c>
      <c r="E199" s="23" t="s">
        <v>509</v>
      </c>
      <c r="F199" s="7" t="s">
        <v>475</v>
      </c>
      <c r="G199" s="123"/>
      <c r="H199" s="123"/>
      <c r="I199" s="123" t="s">
        <v>1063</v>
      </c>
      <c r="J199" s="49" t="s">
        <v>476</v>
      </c>
      <c r="K199" s="27"/>
      <c r="L199" s="58"/>
      <c r="M199" s="78"/>
      <c r="N199" s="27"/>
      <c r="O199" s="58"/>
      <c r="P199" s="49"/>
      <c r="Q199" s="27"/>
      <c r="R199" s="58"/>
      <c r="S199" s="98"/>
      <c r="T199" s="27"/>
      <c r="U199" s="58"/>
      <c r="V199" s="12"/>
      <c r="W199" s="27"/>
      <c r="X199" s="58"/>
      <c r="Y199" s="12"/>
      <c r="Z199" s="27"/>
      <c r="AA199" s="58"/>
      <c r="AB199" s="12"/>
      <c r="AC199" s="27">
        <v>15</v>
      </c>
      <c r="AD199" s="58">
        <v>180</v>
      </c>
      <c r="AE199" s="107"/>
      <c r="AF199" s="27">
        <v>0</v>
      </c>
      <c r="AG199" s="58">
        <v>0</v>
      </c>
      <c r="AH199" s="107"/>
      <c r="AI199" s="27">
        <v>90</v>
      </c>
      <c r="AJ199" s="58">
        <v>1080</v>
      </c>
      <c r="AK199" s="107"/>
      <c r="AL199" s="27">
        <v>150</v>
      </c>
      <c r="AM199" s="58">
        <v>1800</v>
      </c>
      <c r="AN199" s="12"/>
      <c r="AO199" s="27">
        <v>5</v>
      </c>
      <c r="AP199" s="58">
        <v>96</v>
      </c>
      <c r="AQ199" s="12"/>
      <c r="AR199" s="27">
        <v>152</v>
      </c>
      <c r="AS199" s="58">
        <v>1880</v>
      </c>
      <c r="AT199" s="12"/>
      <c r="AU199" s="54"/>
      <c r="AV199" s="63"/>
      <c r="AW199" s="55"/>
      <c r="AX199" s="54"/>
      <c r="AY199" s="63"/>
      <c r="AZ199" s="55"/>
      <c r="BA199" s="10">
        <v>0</v>
      </c>
      <c r="BB199" s="15">
        <v>0</v>
      </c>
      <c r="BC199" s="11">
        <v>0</v>
      </c>
      <c r="BD199" s="10">
        <v>0</v>
      </c>
      <c r="BE199" s="15">
        <v>0</v>
      </c>
      <c r="BF199" s="11">
        <v>0</v>
      </c>
      <c r="BG199" s="10">
        <v>45</v>
      </c>
      <c r="BH199" s="15">
        <v>540</v>
      </c>
      <c r="BI199" s="11">
        <v>540</v>
      </c>
      <c r="BJ199" s="10">
        <v>0</v>
      </c>
      <c r="BK199" s="15">
        <v>0</v>
      </c>
      <c r="BL199" s="11">
        <v>0</v>
      </c>
      <c r="BM199" s="46">
        <v>150</v>
      </c>
      <c r="BN199" s="43">
        <v>1810</v>
      </c>
      <c r="BO199" s="47">
        <v>1784.8</v>
      </c>
      <c r="BP199" s="46">
        <v>30</v>
      </c>
      <c r="BQ199" s="43">
        <v>500</v>
      </c>
      <c r="BR199" s="47">
        <v>370</v>
      </c>
      <c r="BS199" s="46">
        <v>140</v>
      </c>
      <c r="BT199" s="43">
        <v>1828</v>
      </c>
      <c r="BU199" s="114">
        <v>1494.8</v>
      </c>
      <c r="BV199" s="119">
        <v>30.3</v>
      </c>
      <c r="BW199" s="120">
        <v>363</v>
      </c>
      <c r="BX199" s="114">
        <v>362.04</v>
      </c>
      <c r="BY199" s="119">
        <v>45</v>
      </c>
      <c r="BZ199" s="120">
        <v>540</v>
      </c>
      <c r="CA199" s="114">
        <v>540</v>
      </c>
      <c r="CB199" s="119">
        <v>69</v>
      </c>
      <c r="CC199" s="120">
        <v>828</v>
      </c>
      <c r="CD199" s="114">
        <v>828</v>
      </c>
      <c r="CE199" s="119">
        <v>9</v>
      </c>
      <c r="CF199" s="120">
        <v>136</v>
      </c>
      <c r="CG199" s="114">
        <v>105.2</v>
      </c>
      <c r="CH199" s="119">
        <v>30</v>
      </c>
      <c r="CI199" s="120">
        <v>360</v>
      </c>
      <c r="CJ199" s="114">
        <v>360</v>
      </c>
      <c r="CK199" s="54">
        <f t="shared" si="36"/>
        <v>548.29999999999995</v>
      </c>
      <c r="CL199" s="63">
        <f t="shared" si="37"/>
        <v>6905</v>
      </c>
      <c r="CM199" s="55">
        <f t="shared" si="38"/>
        <v>6384.84</v>
      </c>
      <c r="CN199" s="54">
        <f t="shared" si="39"/>
        <v>45.691666666666663</v>
      </c>
      <c r="CO199" s="63">
        <f t="shared" si="40"/>
        <v>575.41666666666663</v>
      </c>
      <c r="CP199" s="172">
        <f t="shared" si="41"/>
        <v>532.07000000000005</v>
      </c>
      <c r="CQ199" s="158">
        <v>15</v>
      </c>
      <c r="CR199" s="159">
        <v>180</v>
      </c>
      <c r="CS199" s="179">
        <v>180</v>
      </c>
      <c r="CT199" s="27">
        <v>40</v>
      </c>
      <c r="CU199" s="58">
        <v>480</v>
      </c>
      <c r="CV199" s="12">
        <v>480</v>
      </c>
      <c r="CW199" s="27"/>
      <c r="CX199" s="58"/>
      <c r="CY199" s="98"/>
      <c r="CZ199" s="27"/>
      <c r="DA199" s="58"/>
      <c r="DB199" s="12"/>
      <c r="DC199" s="27"/>
      <c r="DD199" s="58"/>
      <c r="DE199" s="12"/>
      <c r="DF199" s="27"/>
      <c r="DG199" s="58"/>
      <c r="DH199" s="12"/>
      <c r="DI199" s="27"/>
      <c r="DJ199" s="58"/>
      <c r="DK199" s="107"/>
      <c r="DL199" s="27"/>
      <c r="DM199" s="58"/>
      <c r="DN199" s="107"/>
      <c r="DO199" s="27"/>
      <c r="DP199" s="58"/>
      <c r="DQ199" s="107"/>
      <c r="DR199" s="27"/>
      <c r="DS199" s="58"/>
      <c r="DT199" s="12"/>
      <c r="DU199" s="27"/>
      <c r="DV199" s="58"/>
      <c r="DW199" s="12"/>
      <c r="DX199" s="27"/>
      <c r="DY199" s="58"/>
      <c r="DZ199" s="12"/>
    </row>
    <row r="200" spans="1:130" s="25" customFormat="1" ht="31.5" customHeight="1" x14ac:dyDescent="0.6">
      <c r="A200" s="5">
        <v>197</v>
      </c>
      <c r="B200" s="18" t="s">
        <v>512</v>
      </c>
      <c r="C200" s="18" t="s">
        <v>513</v>
      </c>
      <c r="D200" s="18" t="s">
        <v>190</v>
      </c>
      <c r="E200" s="23" t="s">
        <v>187</v>
      </c>
      <c r="F200" s="7" t="s">
        <v>475</v>
      </c>
      <c r="G200" s="123"/>
      <c r="H200" s="123"/>
      <c r="I200" s="123" t="s">
        <v>1064</v>
      </c>
      <c r="J200" s="49" t="s">
        <v>476</v>
      </c>
      <c r="K200" s="27"/>
      <c r="L200" s="58"/>
      <c r="M200" s="78"/>
      <c r="N200" s="27"/>
      <c r="O200" s="58"/>
      <c r="P200" s="49"/>
      <c r="Q200" s="27"/>
      <c r="R200" s="58"/>
      <c r="S200" s="98"/>
      <c r="T200" s="27"/>
      <c r="U200" s="58"/>
      <c r="V200" s="12"/>
      <c r="W200" s="27"/>
      <c r="X200" s="58"/>
      <c r="Y200" s="12"/>
      <c r="Z200" s="27"/>
      <c r="AA200" s="58"/>
      <c r="AB200" s="12"/>
      <c r="AC200" s="27">
        <v>0</v>
      </c>
      <c r="AD200" s="58">
        <v>0</v>
      </c>
      <c r="AE200" s="107"/>
      <c r="AF200" s="27">
        <v>20</v>
      </c>
      <c r="AG200" s="58">
        <v>268</v>
      </c>
      <c r="AH200" s="107"/>
      <c r="AI200" s="27">
        <v>44</v>
      </c>
      <c r="AJ200" s="58">
        <v>584</v>
      </c>
      <c r="AK200" s="107"/>
      <c r="AL200" s="27">
        <v>23</v>
      </c>
      <c r="AM200" s="58">
        <v>304</v>
      </c>
      <c r="AN200" s="12"/>
      <c r="AO200" s="27">
        <v>60</v>
      </c>
      <c r="AP200" s="58">
        <v>748</v>
      </c>
      <c r="AQ200" s="12"/>
      <c r="AR200" s="27">
        <v>78</v>
      </c>
      <c r="AS200" s="58">
        <v>1104</v>
      </c>
      <c r="AT200" s="12"/>
      <c r="AU200" s="54"/>
      <c r="AV200" s="63"/>
      <c r="AW200" s="55"/>
      <c r="AX200" s="54"/>
      <c r="AY200" s="63"/>
      <c r="AZ200" s="55"/>
      <c r="BA200" s="10">
        <v>44</v>
      </c>
      <c r="BB200" s="15">
        <v>640</v>
      </c>
      <c r="BC200" s="11">
        <v>536</v>
      </c>
      <c r="BD200" s="10">
        <v>15</v>
      </c>
      <c r="BE200" s="15">
        <v>180</v>
      </c>
      <c r="BF200" s="11">
        <v>180</v>
      </c>
      <c r="BG200" s="10">
        <v>111</v>
      </c>
      <c r="BH200" s="15">
        <v>1500</v>
      </c>
      <c r="BI200" s="11">
        <v>1335</v>
      </c>
      <c r="BJ200" s="10">
        <v>3</v>
      </c>
      <c r="BK200" s="15">
        <v>120</v>
      </c>
      <c r="BL200" s="11">
        <v>42</v>
      </c>
      <c r="BM200" s="46">
        <v>7</v>
      </c>
      <c r="BN200" s="43">
        <v>84</v>
      </c>
      <c r="BO200" s="47">
        <v>76.8</v>
      </c>
      <c r="BP200" s="46">
        <v>55</v>
      </c>
      <c r="BQ200" s="43">
        <v>718</v>
      </c>
      <c r="BR200" s="47">
        <v>653.76</v>
      </c>
      <c r="BS200" s="46">
        <v>63</v>
      </c>
      <c r="BT200" s="43">
        <v>840</v>
      </c>
      <c r="BU200" s="114">
        <v>745.14</v>
      </c>
      <c r="BV200" s="119">
        <v>27.3</v>
      </c>
      <c r="BW200" s="120">
        <v>467</v>
      </c>
      <c r="BX200" s="114">
        <v>329.04</v>
      </c>
      <c r="BY200" s="119">
        <v>43</v>
      </c>
      <c r="BZ200" s="120">
        <v>572</v>
      </c>
      <c r="CA200" s="114">
        <v>516.4</v>
      </c>
      <c r="CB200" s="119">
        <v>42</v>
      </c>
      <c r="CC200" s="120">
        <v>616</v>
      </c>
      <c r="CD200" s="114">
        <v>512</v>
      </c>
      <c r="CE200" s="119">
        <v>47</v>
      </c>
      <c r="CF200" s="120">
        <v>704</v>
      </c>
      <c r="CG200" s="114">
        <v>562.96</v>
      </c>
      <c r="CH200" s="119">
        <v>38</v>
      </c>
      <c r="CI200" s="120">
        <v>680</v>
      </c>
      <c r="CJ200" s="114">
        <v>472</v>
      </c>
      <c r="CK200" s="54">
        <f t="shared" si="36"/>
        <v>495.3</v>
      </c>
      <c r="CL200" s="63">
        <f t="shared" si="37"/>
        <v>7121</v>
      </c>
      <c r="CM200" s="55">
        <f t="shared" si="38"/>
        <v>5961.1</v>
      </c>
      <c r="CN200" s="54">
        <f t="shared" si="39"/>
        <v>41.274999999999999</v>
      </c>
      <c r="CO200" s="63">
        <f t="shared" si="40"/>
        <v>593.41666666666663</v>
      </c>
      <c r="CP200" s="172">
        <f t="shared" si="41"/>
        <v>496.75833333333338</v>
      </c>
      <c r="CQ200" s="158">
        <v>96</v>
      </c>
      <c r="CR200" s="159">
        <v>1516</v>
      </c>
      <c r="CS200" s="179">
        <v>1178</v>
      </c>
      <c r="CT200" s="27">
        <v>65</v>
      </c>
      <c r="CU200" s="58">
        <v>892</v>
      </c>
      <c r="CV200" s="12">
        <v>784.4</v>
      </c>
      <c r="CW200" s="27"/>
      <c r="CX200" s="58"/>
      <c r="CY200" s="98"/>
      <c r="CZ200" s="27"/>
      <c r="DA200" s="58"/>
      <c r="DB200" s="12"/>
      <c r="DC200" s="27"/>
      <c r="DD200" s="58"/>
      <c r="DE200" s="12"/>
      <c r="DF200" s="27"/>
      <c r="DG200" s="58"/>
      <c r="DH200" s="12"/>
      <c r="DI200" s="27"/>
      <c r="DJ200" s="58"/>
      <c r="DK200" s="107"/>
      <c r="DL200" s="27"/>
      <c r="DM200" s="58"/>
      <c r="DN200" s="107"/>
      <c r="DO200" s="27"/>
      <c r="DP200" s="58"/>
      <c r="DQ200" s="107"/>
      <c r="DR200" s="27"/>
      <c r="DS200" s="58"/>
      <c r="DT200" s="12"/>
      <c r="DU200" s="27"/>
      <c r="DV200" s="58"/>
      <c r="DW200" s="12"/>
      <c r="DX200" s="27"/>
      <c r="DY200" s="58"/>
      <c r="DZ200" s="12"/>
    </row>
    <row r="201" spans="1:130" s="25" customFormat="1" ht="31.5" customHeight="1" x14ac:dyDescent="0.6">
      <c r="A201" s="5">
        <v>198</v>
      </c>
      <c r="B201" s="18" t="s">
        <v>514</v>
      </c>
      <c r="C201" s="18" t="s">
        <v>515</v>
      </c>
      <c r="D201" s="18" t="s">
        <v>190</v>
      </c>
      <c r="E201" s="23" t="s">
        <v>187</v>
      </c>
      <c r="F201" s="7" t="s">
        <v>475</v>
      </c>
      <c r="G201" s="123"/>
      <c r="H201" s="123"/>
      <c r="I201" s="123" t="s">
        <v>1065</v>
      </c>
      <c r="J201" s="49" t="s">
        <v>476</v>
      </c>
      <c r="K201" s="27"/>
      <c r="L201" s="58"/>
      <c r="M201" s="78"/>
      <c r="N201" s="27"/>
      <c r="O201" s="58"/>
      <c r="P201" s="49"/>
      <c r="Q201" s="27"/>
      <c r="R201" s="58"/>
      <c r="S201" s="98"/>
      <c r="T201" s="27"/>
      <c r="U201" s="58"/>
      <c r="V201" s="12"/>
      <c r="W201" s="27"/>
      <c r="X201" s="58"/>
      <c r="Y201" s="12"/>
      <c r="Z201" s="27"/>
      <c r="AA201" s="58"/>
      <c r="AB201" s="12"/>
      <c r="AC201" s="27">
        <v>31</v>
      </c>
      <c r="AD201" s="58">
        <v>400</v>
      </c>
      <c r="AE201" s="107"/>
      <c r="AF201" s="27">
        <v>0</v>
      </c>
      <c r="AG201" s="58">
        <v>0</v>
      </c>
      <c r="AH201" s="107"/>
      <c r="AI201" s="27">
        <v>24</v>
      </c>
      <c r="AJ201" s="58">
        <v>536</v>
      </c>
      <c r="AK201" s="12"/>
      <c r="AL201" s="27">
        <v>58.6</v>
      </c>
      <c r="AM201" s="58">
        <v>898</v>
      </c>
      <c r="AN201" s="12"/>
      <c r="AO201" s="27">
        <v>5</v>
      </c>
      <c r="AP201" s="58">
        <v>96</v>
      </c>
      <c r="AQ201" s="12"/>
      <c r="AR201" s="27">
        <v>3</v>
      </c>
      <c r="AS201" s="58">
        <v>76</v>
      </c>
      <c r="AT201" s="12"/>
      <c r="AU201" s="54"/>
      <c r="AV201" s="63"/>
      <c r="AW201" s="55"/>
      <c r="AX201" s="54"/>
      <c r="AY201" s="63"/>
      <c r="AZ201" s="55"/>
      <c r="BA201" s="10">
        <v>0</v>
      </c>
      <c r="BB201" s="15">
        <v>0</v>
      </c>
      <c r="BC201" s="11">
        <v>0</v>
      </c>
      <c r="BD201" s="10">
        <v>5</v>
      </c>
      <c r="BE201" s="15">
        <v>60</v>
      </c>
      <c r="BF201" s="11">
        <v>60</v>
      </c>
      <c r="BG201" s="10">
        <v>32</v>
      </c>
      <c r="BH201" s="15">
        <v>580</v>
      </c>
      <c r="BI201" s="11">
        <v>374</v>
      </c>
      <c r="BJ201" s="10">
        <v>2</v>
      </c>
      <c r="BK201" s="15">
        <v>80</v>
      </c>
      <c r="BL201" s="11">
        <v>28</v>
      </c>
      <c r="BM201" s="46">
        <v>2</v>
      </c>
      <c r="BN201" s="43">
        <v>52</v>
      </c>
      <c r="BO201" s="47">
        <v>26</v>
      </c>
      <c r="BP201" s="46">
        <v>8.5</v>
      </c>
      <c r="BQ201" s="43">
        <v>130</v>
      </c>
      <c r="BR201" s="47">
        <v>104</v>
      </c>
      <c r="BS201" s="46">
        <v>25</v>
      </c>
      <c r="BT201" s="43">
        <v>302</v>
      </c>
      <c r="BU201" s="114">
        <v>302</v>
      </c>
      <c r="BV201" s="119">
        <v>12.600000000000001</v>
      </c>
      <c r="BW201" s="120">
        <v>234</v>
      </c>
      <c r="BX201" s="114">
        <v>154.07999999999998</v>
      </c>
      <c r="BY201" s="119">
        <v>11</v>
      </c>
      <c r="BZ201" s="120">
        <v>244</v>
      </c>
      <c r="CA201" s="114">
        <v>140</v>
      </c>
      <c r="CB201" s="119">
        <v>2</v>
      </c>
      <c r="CC201" s="120">
        <v>24</v>
      </c>
      <c r="CD201" s="114">
        <v>24</v>
      </c>
      <c r="CE201" s="119">
        <v>0</v>
      </c>
      <c r="CF201" s="120">
        <v>0</v>
      </c>
      <c r="CG201" s="114">
        <v>0</v>
      </c>
      <c r="CH201" s="119">
        <v>1</v>
      </c>
      <c r="CI201" s="120">
        <v>12</v>
      </c>
      <c r="CJ201" s="114">
        <v>12</v>
      </c>
      <c r="CK201" s="54">
        <f t="shared" si="36"/>
        <v>101.1</v>
      </c>
      <c r="CL201" s="63">
        <f t="shared" si="37"/>
        <v>1718</v>
      </c>
      <c r="CM201" s="55">
        <f t="shared" si="38"/>
        <v>1224.08</v>
      </c>
      <c r="CN201" s="54">
        <f t="shared" si="39"/>
        <v>8.4249999999999989</v>
      </c>
      <c r="CO201" s="63">
        <f t="shared" si="40"/>
        <v>143.16666666666666</v>
      </c>
      <c r="CP201" s="172">
        <f t="shared" si="41"/>
        <v>102.00666666666666</v>
      </c>
      <c r="CQ201" s="158">
        <v>2</v>
      </c>
      <c r="CR201" s="159">
        <v>24</v>
      </c>
      <c r="CS201" s="179">
        <v>24</v>
      </c>
      <c r="CT201" s="27">
        <v>25</v>
      </c>
      <c r="CU201" s="58">
        <v>300</v>
      </c>
      <c r="CV201" s="12">
        <v>300</v>
      </c>
      <c r="CW201" s="27"/>
      <c r="CX201" s="58"/>
      <c r="CY201" s="98"/>
      <c r="CZ201" s="27"/>
      <c r="DA201" s="58"/>
      <c r="DB201" s="12"/>
      <c r="DC201" s="27"/>
      <c r="DD201" s="58"/>
      <c r="DE201" s="12"/>
      <c r="DF201" s="27"/>
      <c r="DG201" s="58"/>
      <c r="DH201" s="12"/>
      <c r="DI201" s="27"/>
      <c r="DJ201" s="58"/>
      <c r="DK201" s="107"/>
      <c r="DL201" s="27"/>
      <c r="DM201" s="58"/>
      <c r="DN201" s="107"/>
      <c r="DO201" s="27"/>
      <c r="DP201" s="58"/>
      <c r="DQ201" s="107"/>
      <c r="DR201" s="27"/>
      <c r="DS201" s="58"/>
      <c r="DT201" s="12"/>
      <c r="DU201" s="27"/>
      <c r="DV201" s="58"/>
      <c r="DW201" s="12"/>
      <c r="DX201" s="27"/>
      <c r="DY201" s="58"/>
      <c r="DZ201" s="12"/>
    </row>
    <row r="202" spans="1:130" s="25" customFormat="1" ht="31.5" customHeight="1" x14ac:dyDescent="0.6">
      <c r="A202" s="5">
        <v>199</v>
      </c>
      <c r="B202" s="18" t="s">
        <v>516</v>
      </c>
      <c r="C202" s="18" t="s">
        <v>517</v>
      </c>
      <c r="D202" s="18" t="s">
        <v>190</v>
      </c>
      <c r="E202" s="23" t="s">
        <v>187</v>
      </c>
      <c r="F202" s="7" t="s">
        <v>475</v>
      </c>
      <c r="G202" s="123"/>
      <c r="H202" s="123"/>
      <c r="I202" s="123" t="s">
        <v>1066</v>
      </c>
      <c r="J202" s="49" t="s">
        <v>476</v>
      </c>
      <c r="K202" s="27"/>
      <c r="L202" s="58"/>
      <c r="M202" s="78"/>
      <c r="N202" s="27"/>
      <c r="O202" s="58"/>
      <c r="P202" s="49"/>
      <c r="Q202" s="27"/>
      <c r="R202" s="58"/>
      <c r="S202" s="98"/>
      <c r="T202" s="27"/>
      <c r="U202" s="58"/>
      <c r="V202" s="12"/>
      <c r="W202" s="27"/>
      <c r="X202" s="58"/>
      <c r="Y202" s="12"/>
      <c r="Z202" s="27"/>
      <c r="AA202" s="58"/>
      <c r="AB202" s="12"/>
      <c r="AC202" s="27">
        <v>30</v>
      </c>
      <c r="AD202" s="58">
        <v>416</v>
      </c>
      <c r="AE202" s="107"/>
      <c r="AF202" s="27">
        <v>27</v>
      </c>
      <c r="AG202" s="58">
        <v>380</v>
      </c>
      <c r="AH202" s="107"/>
      <c r="AI202" s="27">
        <v>78</v>
      </c>
      <c r="AJ202" s="58">
        <v>1108</v>
      </c>
      <c r="AK202" s="12"/>
      <c r="AL202" s="27">
        <v>50</v>
      </c>
      <c r="AM202" s="58">
        <v>760</v>
      </c>
      <c r="AN202" s="12"/>
      <c r="AO202" s="27">
        <v>23</v>
      </c>
      <c r="AP202" s="58">
        <v>360</v>
      </c>
      <c r="AQ202" s="12"/>
      <c r="AR202" s="27">
        <v>20</v>
      </c>
      <c r="AS202" s="58">
        <v>380</v>
      </c>
      <c r="AT202" s="12"/>
      <c r="AU202" s="54"/>
      <c r="AV202" s="63"/>
      <c r="AW202" s="55"/>
      <c r="AX202" s="54"/>
      <c r="AY202" s="63"/>
      <c r="AZ202" s="55"/>
      <c r="BA202" s="10">
        <v>32</v>
      </c>
      <c r="BB202" s="15">
        <v>440</v>
      </c>
      <c r="BC202" s="11">
        <v>388</v>
      </c>
      <c r="BD202" s="10">
        <v>15</v>
      </c>
      <c r="BE202" s="15">
        <v>180</v>
      </c>
      <c r="BF202" s="11">
        <v>180</v>
      </c>
      <c r="BG202" s="10">
        <v>49</v>
      </c>
      <c r="BH202" s="15">
        <v>730</v>
      </c>
      <c r="BI202" s="11">
        <v>580.55999999999995</v>
      </c>
      <c r="BJ202" s="10">
        <v>35</v>
      </c>
      <c r="BK202" s="15">
        <v>560</v>
      </c>
      <c r="BL202" s="11">
        <v>406</v>
      </c>
      <c r="BM202" s="46">
        <v>85</v>
      </c>
      <c r="BN202" s="43">
        <v>1272</v>
      </c>
      <c r="BO202" s="47">
        <v>1018.6</v>
      </c>
      <c r="BP202" s="46">
        <v>46</v>
      </c>
      <c r="BQ202" s="43">
        <v>664</v>
      </c>
      <c r="BR202" s="47">
        <v>560</v>
      </c>
      <c r="BS202" s="46">
        <v>80</v>
      </c>
      <c r="BT202" s="43">
        <v>1048</v>
      </c>
      <c r="BU202" s="114">
        <v>946</v>
      </c>
      <c r="BV202" s="119">
        <v>40.6</v>
      </c>
      <c r="BW202" s="120">
        <v>682</v>
      </c>
      <c r="BX202" s="114">
        <v>464.47999999999996</v>
      </c>
      <c r="BY202" s="119">
        <v>15</v>
      </c>
      <c r="BZ202" s="120">
        <v>180</v>
      </c>
      <c r="CA202" s="114">
        <v>175.2</v>
      </c>
      <c r="CB202" s="119">
        <v>56</v>
      </c>
      <c r="CC202" s="120">
        <v>728</v>
      </c>
      <c r="CD202" s="114">
        <v>652</v>
      </c>
      <c r="CE202" s="119">
        <v>15</v>
      </c>
      <c r="CF202" s="120">
        <v>180</v>
      </c>
      <c r="CG202" s="114">
        <v>180</v>
      </c>
      <c r="CH202" s="119">
        <v>26</v>
      </c>
      <c r="CI202" s="120">
        <v>424</v>
      </c>
      <c r="CJ202" s="114">
        <v>286.39999999999998</v>
      </c>
      <c r="CK202" s="54">
        <f t="shared" si="36"/>
        <v>494.6</v>
      </c>
      <c r="CL202" s="63">
        <f t="shared" si="37"/>
        <v>7088</v>
      </c>
      <c r="CM202" s="55">
        <f t="shared" si="38"/>
        <v>5837.2399999999989</v>
      </c>
      <c r="CN202" s="54">
        <f t="shared" si="39"/>
        <v>41.216666666666669</v>
      </c>
      <c r="CO202" s="63">
        <f t="shared" si="40"/>
        <v>590.66666666666663</v>
      </c>
      <c r="CP202" s="172">
        <f t="shared" si="41"/>
        <v>486.43666666666655</v>
      </c>
      <c r="CQ202" s="158">
        <v>52</v>
      </c>
      <c r="CR202" s="159">
        <v>764</v>
      </c>
      <c r="CS202" s="179">
        <v>586</v>
      </c>
      <c r="CT202" s="27">
        <v>42.082999999999998</v>
      </c>
      <c r="CU202" s="58">
        <v>561</v>
      </c>
      <c r="CV202" s="12">
        <v>494.6</v>
      </c>
      <c r="CW202" s="27"/>
      <c r="CX202" s="58"/>
      <c r="CY202" s="98"/>
      <c r="CZ202" s="27"/>
      <c r="DA202" s="58"/>
      <c r="DB202" s="12"/>
      <c r="DC202" s="27"/>
      <c r="DD202" s="58"/>
      <c r="DE202" s="12"/>
      <c r="DF202" s="27"/>
      <c r="DG202" s="58"/>
      <c r="DH202" s="12"/>
      <c r="DI202" s="27"/>
      <c r="DJ202" s="58"/>
      <c r="DK202" s="107"/>
      <c r="DL202" s="27"/>
      <c r="DM202" s="58"/>
      <c r="DN202" s="107"/>
      <c r="DO202" s="27"/>
      <c r="DP202" s="58"/>
      <c r="DQ202" s="107"/>
      <c r="DR202" s="27"/>
      <c r="DS202" s="58"/>
      <c r="DT202" s="12"/>
      <c r="DU202" s="27"/>
      <c r="DV202" s="58"/>
      <c r="DW202" s="12"/>
      <c r="DX202" s="27"/>
      <c r="DY202" s="58"/>
      <c r="DZ202" s="12"/>
    </row>
    <row r="203" spans="1:130" s="25" customFormat="1" ht="31.5" customHeight="1" x14ac:dyDescent="0.6">
      <c r="A203" s="5">
        <v>200</v>
      </c>
      <c r="B203" s="18" t="s">
        <v>518</v>
      </c>
      <c r="C203" s="18" t="s">
        <v>519</v>
      </c>
      <c r="D203" s="18" t="s">
        <v>190</v>
      </c>
      <c r="E203" s="23" t="s">
        <v>187</v>
      </c>
      <c r="F203" s="7" t="s">
        <v>475</v>
      </c>
      <c r="G203" s="123"/>
      <c r="H203" s="123"/>
      <c r="I203" s="123" t="s">
        <v>1067</v>
      </c>
      <c r="J203" s="49" t="s">
        <v>476</v>
      </c>
      <c r="K203" s="27"/>
      <c r="L203" s="58"/>
      <c r="M203" s="78"/>
      <c r="N203" s="27"/>
      <c r="O203" s="58"/>
      <c r="P203" s="49"/>
      <c r="Q203" s="27"/>
      <c r="R203" s="58"/>
      <c r="S203" s="98"/>
      <c r="T203" s="27"/>
      <c r="U203" s="58"/>
      <c r="V203" s="12"/>
      <c r="W203" s="27"/>
      <c r="X203" s="58"/>
      <c r="Y203" s="12"/>
      <c r="Z203" s="27"/>
      <c r="AA203" s="58"/>
      <c r="AB203" s="12"/>
      <c r="AC203" s="27">
        <v>16</v>
      </c>
      <c r="AD203" s="58">
        <v>192</v>
      </c>
      <c r="AE203" s="107"/>
      <c r="AF203" s="27">
        <v>0</v>
      </c>
      <c r="AG203" s="58">
        <v>0</v>
      </c>
      <c r="AH203" s="12"/>
      <c r="AI203" s="27">
        <v>30</v>
      </c>
      <c r="AJ203" s="58">
        <v>360</v>
      </c>
      <c r="AK203" s="12"/>
      <c r="AL203" s="27">
        <v>15</v>
      </c>
      <c r="AM203" s="58">
        <v>180</v>
      </c>
      <c r="AN203" s="12"/>
      <c r="AO203" s="27">
        <v>1</v>
      </c>
      <c r="AP203" s="58">
        <v>12</v>
      </c>
      <c r="AQ203" s="12"/>
      <c r="AR203" s="27">
        <v>16</v>
      </c>
      <c r="AS203" s="58">
        <v>192</v>
      </c>
      <c r="AT203" s="12"/>
      <c r="AU203" s="54"/>
      <c r="AV203" s="63"/>
      <c r="AW203" s="55"/>
      <c r="AX203" s="54"/>
      <c r="AY203" s="63"/>
      <c r="AZ203" s="55"/>
      <c r="BA203" s="10">
        <v>16</v>
      </c>
      <c r="BB203" s="15">
        <v>192</v>
      </c>
      <c r="BC203" s="11">
        <v>188</v>
      </c>
      <c r="BD203" s="10">
        <v>31</v>
      </c>
      <c r="BE203" s="15">
        <v>372</v>
      </c>
      <c r="BF203" s="11">
        <v>368</v>
      </c>
      <c r="BG203" s="10">
        <v>45</v>
      </c>
      <c r="BH203" s="15">
        <v>540</v>
      </c>
      <c r="BI203" s="11">
        <v>540</v>
      </c>
      <c r="BJ203" s="10">
        <v>10</v>
      </c>
      <c r="BK203" s="15">
        <v>120</v>
      </c>
      <c r="BL203" s="11">
        <v>120</v>
      </c>
      <c r="BM203" s="46">
        <v>2</v>
      </c>
      <c r="BN203" s="43">
        <v>24</v>
      </c>
      <c r="BO203" s="47">
        <v>15.4</v>
      </c>
      <c r="BP203" s="46">
        <v>4</v>
      </c>
      <c r="BQ203" s="43">
        <v>78</v>
      </c>
      <c r="BR203" s="47">
        <v>42.4</v>
      </c>
      <c r="BS203" s="46">
        <v>20</v>
      </c>
      <c r="BT203" s="43">
        <v>234</v>
      </c>
      <c r="BU203" s="114">
        <v>224.4</v>
      </c>
      <c r="BV203" s="119">
        <v>19</v>
      </c>
      <c r="BW203" s="120">
        <v>256</v>
      </c>
      <c r="BX203" s="114">
        <v>220.4</v>
      </c>
      <c r="BY203" s="119">
        <v>5</v>
      </c>
      <c r="BZ203" s="120">
        <v>88</v>
      </c>
      <c r="CA203" s="114">
        <v>62</v>
      </c>
      <c r="CB203" s="119">
        <v>16</v>
      </c>
      <c r="CC203" s="120">
        <v>192</v>
      </c>
      <c r="CD203" s="114">
        <v>192</v>
      </c>
      <c r="CE203" s="119">
        <v>35</v>
      </c>
      <c r="CF203" s="120">
        <v>448</v>
      </c>
      <c r="CG203" s="114">
        <v>417.2</v>
      </c>
      <c r="CH203" s="119">
        <v>2</v>
      </c>
      <c r="CI203" s="120">
        <v>52</v>
      </c>
      <c r="CJ203" s="114">
        <v>21.2</v>
      </c>
      <c r="CK203" s="54">
        <f t="shared" si="36"/>
        <v>205</v>
      </c>
      <c r="CL203" s="63">
        <f t="shared" si="37"/>
        <v>2596</v>
      </c>
      <c r="CM203" s="55">
        <f t="shared" si="38"/>
        <v>2411</v>
      </c>
      <c r="CN203" s="54">
        <f t="shared" si="39"/>
        <v>17.083333333333332</v>
      </c>
      <c r="CO203" s="63">
        <f t="shared" si="40"/>
        <v>216.33333333333334</v>
      </c>
      <c r="CP203" s="172">
        <f t="shared" si="41"/>
        <v>200.91666666666666</v>
      </c>
      <c r="CQ203" s="158">
        <v>33</v>
      </c>
      <c r="CR203" s="159">
        <v>424</v>
      </c>
      <c r="CS203" s="179">
        <v>388.4</v>
      </c>
      <c r="CT203" s="27">
        <v>19</v>
      </c>
      <c r="CU203" s="58">
        <v>256</v>
      </c>
      <c r="CV203" s="12">
        <v>220.4</v>
      </c>
      <c r="CW203" s="27"/>
      <c r="CX203" s="58"/>
      <c r="CY203" s="98"/>
      <c r="CZ203" s="27"/>
      <c r="DA203" s="58"/>
      <c r="DB203" s="12"/>
      <c r="DC203" s="27"/>
      <c r="DD203" s="58"/>
      <c r="DE203" s="12"/>
      <c r="DF203" s="27"/>
      <c r="DG203" s="58"/>
      <c r="DH203" s="12"/>
      <c r="DI203" s="27"/>
      <c r="DJ203" s="58"/>
      <c r="DK203" s="107"/>
      <c r="DL203" s="27"/>
      <c r="DM203" s="58"/>
      <c r="DN203" s="107"/>
      <c r="DO203" s="27"/>
      <c r="DP203" s="58"/>
      <c r="DQ203" s="107"/>
      <c r="DR203" s="27"/>
      <c r="DS203" s="58"/>
      <c r="DT203" s="12"/>
      <c r="DU203" s="27"/>
      <c r="DV203" s="58"/>
      <c r="DW203" s="12"/>
      <c r="DX203" s="27"/>
      <c r="DY203" s="58"/>
      <c r="DZ203" s="12"/>
    </row>
    <row r="204" spans="1:130" s="25" customFormat="1" ht="31.5" customHeight="1" x14ac:dyDescent="0.6">
      <c r="A204" s="5">
        <v>201</v>
      </c>
      <c r="B204" s="18">
        <v>185</v>
      </c>
      <c r="C204" s="18">
        <v>185</v>
      </c>
      <c r="D204" s="18" t="s">
        <v>520</v>
      </c>
      <c r="E204" s="23" t="s">
        <v>521</v>
      </c>
      <c r="F204" s="7" t="s">
        <v>475</v>
      </c>
      <c r="G204" s="123"/>
      <c r="H204" s="123"/>
      <c r="I204" s="123" t="s">
        <v>1068</v>
      </c>
      <c r="J204" s="49" t="s">
        <v>476</v>
      </c>
      <c r="K204" s="27"/>
      <c r="L204" s="58"/>
      <c r="M204" s="78"/>
      <c r="N204" s="27"/>
      <c r="O204" s="58"/>
      <c r="P204" s="49"/>
      <c r="Q204" s="27"/>
      <c r="R204" s="58"/>
      <c r="S204" s="98"/>
      <c r="T204" s="27"/>
      <c r="U204" s="58"/>
      <c r="V204" s="12"/>
      <c r="W204" s="27"/>
      <c r="X204" s="58"/>
      <c r="Y204" s="12"/>
      <c r="Z204" s="27"/>
      <c r="AA204" s="58"/>
      <c r="AB204" s="12"/>
      <c r="AC204" s="27">
        <v>0</v>
      </c>
      <c r="AD204" s="58">
        <v>0</v>
      </c>
      <c r="AE204" s="12"/>
      <c r="AF204" s="27">
        <v>0</v>
      </c>
      <c r="AG204" s="58">
        <v>0</v>
      </c>
      <c r="AH204" s="12"/>
      <c r="AI204" s="27">
        <v>0</v>
      </c>
      <c r="AJ204" s="58">
        <v>0</v>
      </c>
      <c r="AK204" s="12"/>
      <c r="AL204" s="27">
        <v>0</v>
      </c>
      <c r="AM204" s="58">
        <v>0</v>
      </c>
      <c r="AN204" s="12"/>
      <c r="AO204" s="27">
        <v>0</v>
      </c>
      <c r="AP204" s="58">
        <v>0</v>
      </c>
      <c r="AQ204" s="12"/>
      <c r="AR204" s="27">
        <v>50</v>
      </c>
      <c r="AS204" s="58">
        <v>730</v>
      </c>
      <c r="AT204" s="12"/>
      <c r="AU204" s="54"/>
      <c r="AV204" s="63"/>
      <c r="AW204" s="55"/>
      <c r="AX204" s="54"/>
      <c r="AY204" s="63"/>
      <c r="AZ204" s="55"/>
      <c r="BA204" s="10">
        <v>13</v>
      </c>
      <c r="BB204" s="15">
        <v>144</v>
      </c>
      <c r="BC204" s="11">
        <v>144</v>
      </c>
      <c r="BD204" s="10">
        <v>2</v>
      </c>
      <c r="BE204" s="15">
        <v>24</v>
      </c>
      <c r="BF204" s="11">
        <v>24</v>
      </c>
      <c r="BG204" s="10">
        <v>36</v>
      </c>
      <c r="BH204" s="15">
        <v>434</v>
      </c>
      <c r="BI204" s="11">
        <v>429</v>
      </c>
      <c r="BJ204" s="10">
        <v>9</v>
      </c>
      <c r="BK204" s="15">
        <v>108</v>
      </c>
      <c r="BL204" s="11">
        <v>108</v>
      </c>
      <c r="BM204" s="46">
        <v>10</v>
      </c>
      <c r="BN204" s="43">
        <v>148</v>
      </c>
      <c r="BO204" s="47">
        <v>122</v>
      </c>
      <c r="BP204" s="46">
        <v>10</v>
      </c>
      <c r="BQ204" s="43">
        <v>120</v>
      </c>
      <c r="BR204" s="47">
        <v>120</v>
      </c>
      <c r="BS204" s="46">
        <v>5</v>
      </c>
      <c r="BT204" s="43">
        <v>62</v>
      </c>
      <c r="BU204" s="114">
        <v>62</v>
      </c>
      <c r="BV204" s="119">
        <v>10.3</v>
      </c>
      <c r="BW204" s="120">
        <v>123</v>
      </c>
      <c r="BX204" s="114">
        <v>123</v>
      </c>
      <c r="BY204" s="119">
        <v>7</v>
      </c>
      <c r="BZ204" s="120">
        <v>84</v>
      </c>
      <c r="CA204" s="114">
        <v>84</v>
      </c>
      <c r="CB204" s="119">
        <v>0</v>
      </c>
      <c r="CC204" s="120">
        <v>0</v>
      </c>
      <c r="CD204" s="114">
        <v>0</v>
      </c>
      <c r="CE204" s="119">
        <v>8</v>
      </c>
      <c r="CF204" s="120">
        <v>96</v>
      </c>
      <c r="CG204" s="114">
        <v>96</v>
      </c>
      <c r="CH204" s="119">
        <v>6</v>
      </c>
      <c r="CI204" s="120">
        <v>72</v>
      </c>
      <c r="CJ204" s="114">
        <v>72</v>
      </c>
      <c r="CK204" s="54">
        <f t="shared" si="36"/>
        <v>116.3</v>
      </c>
      <c r="CL204" s="63">
        <f t="shared" si="37"/>
        <v>1415</v>
      </c>
      <c r="CM204" s="55">
        <f t="shared" si="38"/>
        <v>1384</v>
      </c>
      <c r="CN204" s="54">
        <f t="shared" si="39"/>
        <v>9.6916666666666664</v>
      </c>
      <c r="CO204" s="63">
        <f t="shared" si="40"/>
        <v>117.91666666666667</v>
      </c>
      <c r="CP204" s="172">
        <f t="shared" si="41"/>
        <v>115.33333333333333</v>
      </c>
      <c r="CQ204" s="158">
        <v>9</v>
      </c>
      <c r="CR204" s="159">
        <v>108</v>
      </c>
      <c r="CS204" s="179">
        <v>108</v>
      </c>
      <c r="CT204" s="27">
        <v>13</v>
      </c>
      <c r="CU204" s="58">
        <v>184</v>
      </c>
      <c r="CV204" s="12">
        <v>158</v>
      </c>
      <c r="CW204" s="27"/>
      <c r="CX204" s="58"/>
      <c r="CY204" s="98"/>
      <c r="CZ204" s="27"/>
      <c r="DA204" s="58"/>
      <c r="DB204" s="12"/>
      <c r="DC204" s="27"/>
      <c r="DD204" s="58"/>
      <c r="DE204" s="12"/>
      <c r="DF204" s="27"/>
      <c r="DG204" s="58"/>
      <c r="DH204" s="12"/>
      <c r="DI204" s="27"/>
      <c r="DJ204" s="58"/>
      <c r="DK204" s="107"/>
      <c r="DL204" s="27"/>
      <c r="DM204" s="58"/>
      <c r="DN204" s="107"/>
      <c r="DO204" s="27"/>
      <c r="DP204" s="58"/>
      <c r="DQ204" s="107"/>
      <c r="DR204" s="27"/>
      <c r="DS204" s="58"/>
      <c r="DT204" s="12"/>
      <c r="DU204" s="27"/>
      <c r="DV204" s="58"/>
      <c r="DW204" s="12"/>
      <c r="DX204" s="27"/>
      <c r="DY204" s="58"/>
      <c r="DZ204" s="12"/>
    </row>
    <row r="205" spans="1:130" s="25" customFormat="1" ht="31.5" customHeight="1" x14ac:dyDescent="0.6">
      <c r="A205" s="5">
        <v>202</v>
      </c>
      <c r="B205" s="18" t="s">
        <v>522</v>
      </c>
      <c r="C205" s="18" t="s">
        <v>523</v>
      </c>
      <c r="D205" s="18" t="s">
        <v>190</v>
      </c>
      <c r="E205" s="23" t="s">
        <v>187</v>
      </c>
      <c r="F205" s="7" t="s">
        <v>475</v>
      </c>
      <c r="G205" s="123"/>
      <c r="H205" s="123"/>
      <c r="I205" s="123" t="s">
        <v>1069</v>
      </c>
      <c r="J205" s="49" t="s">
        <v>476</v>
      </c>
      <c r="K205" s="27"/>
      <c r="L205" s="58"/>
      <c r="M205" s="78"/>
      <c r="N205" s="27"/>
      <c r="O205" s="58"/>
      <c r="P205" s="49"/>
      <c r="Q205" s="27"/>
      <c r="R205" s="58"/>
      <c r="S205" s="98"/>
      <c r="T205" s="27"/>
      <c r="U205" s="58"/>
      <c r="V205" s="12"/>
      <c r="W205" s="27"/>
      <c r="X205" s="58"/>
      <c r="Y205" s="12"/>
      <c r="Z205" s="27"/>
      <c r="AA205" s="58"/>
      <c r="AB205" s="12"/>
      <c r="AC205" s="27">
        <v>3</v>
      </c>
      <c r="AD205" s="58">
        <v>36</v>
      </c>
      <c r="AE205" s="12"/>
      <c r="AF205" s="27">
        <v>0</v>
      </c>
      <c r="AG205" s="58">
        <v>0</v>
      </c>
      <c r="AH205" s="12"/>
      <c r="AI205" s="27">
        <v>2</v>
      </c>
      <c r="AJ205" s="58">
        <v>24</v>
      </c>
      <c r="AK205" s="12"/>
      <c r="AL205" s="27">
        <v>12</v>
      </c>
      <c r="AM205" s="58">
        <v>156</v>
      </c>
      <c r="AN205" s="12"/>
      <c r="AO205" s="27">
        <v>4</v>
      </c>
      <c r="AP205" s="58">
        <v>60</v>
      </c>
      <c r="AQ205" s="12"/>
      <c r="AR205" s="27">
        <v>5</v>
      </c>
      <c r="AS205" s="58">
        <v>60</v>
      </c>
      <c r="AT205" s="12"/>
      <c r="AU205" s="54"/>
      <c r="AV205" s="63"/>
      <c r="AW205" s="55"/>
      <c r="AX205" s="54"/>
      <c r="AY205" s="63"/>
      <c r="AZ205" s="55"/>
      <c r="BA205" s="10">
        <v>0</v>
      </c>
      <c r="BB205" s="15">
        <v>0</v>
      </c>
      <c r="BC205" s="11">
        <v>0</v>
      </c>
      <c r="BD205" s="10">
        <v>10</v>
      </c>
      <c r="BE205" s="15">
        <v>136</v>
      </c>
      <c r="BF205" s="11">
        <v>95.68</v>
      </c>
      <c r="BG205" s="10">
        <v>20</v>
      </c>
      <c r="BH205" s="15">
        <v>240</v>
      </c>
      <c r="BI205" s="11">
        <v>240</v>
      </c>
      <c r="BJ205" s="10">
        <v>31</v>
      </c>
      <c r="BK205" s="15">
        <v>410</v>
      </c>
      <c r="BL205" s="11">
        <v>354</v>
      </c>
      <c r="BM205" s="46">
        <v>16</v>
      </c>
      <c r="BN205" s="43">
        <v>240</v>
      </c>
      <c r="BO205" s="47">
        <v>163.6</v>
      </c>
      <c r="BP205" s="46">
        <v>16</v>
      </c>
      <c r="BQ205" s="43">
        <v>240</v>
      </c>
      <c r="BR205" s="47">
        <v>163.6</v>
      </c>
      <c r="BS205" s="46">
        <v>30</v>
      </c>
      <c r="BT205" s="43">
        <v>462</v>
      </c>
      <c r="BU205" s="114">
        <v>314.64</v>
      </c>
      <c r="BV205" s="119">
        <v>26</v>
      </c>
      <c r="BW205" s="120">
        <v>360</v>
      </c>
      <c r="BX205" s="114">
        <v>274</v>
      </c>
      <c r="BY205" s="119">
        <v>72</v>
      </c>
      <c r="BZ205" s="120">
        <v>990</v>
      </c>
      <c r="CA205" s="114">
        <v>761.6</v>
      </c>
      <c r="CB205" s="119">
        <v>42</v>
      </c>
      <c r="CC205" s="120">
        <v>572</v>
      </c>
      <c r="CD205" s="114">
        <v>440.4</v>
      </c>
      <c r="CE205" s="119">
        <v>12</v>
      </c>
      <c r="CF205" s="120">
        <v>200</v>
      </c>
      <c r="CG205" s="114">
        <v>148</v>
      </c>
      <c r="CH205" s="119">
        <v>15</v>
      </c>
      <c r="CI205" s="120">
        <v>180</v>
      </c>
      <c r="CJ205" s="114">
        <v>180</v>
      </c>
      <c r="CK205" s="54">
        <f t="shared" si="36"/>
        <v>290</v>
      </c>
      <c r="CL205" s="63">
        <f t="shared" si="37"/>
        <v>4030</v>
      </c>
      <c r="CM205" s="55">
        <f t="shared" si="38"/>
        <v>3135.52</v>
      </c>
      <c r="CN205" s="54">
        <f t="shared" si="39"/>
        <v>24.166666666666668</v>
      </c>
      <c r="CO205" s="63">
        <f t="shared" si="40"/>
        <v>335.83333333333331</v>
      </c>
      <c r="CP205" s="172">
        <f t="shared" si="41"/>
        <v>261.29333333333335</v>
      </c>
      <c r="CQ205" s="158">
        <v>0</v>
      </c>
      <c r="CR205" s="159">
        <v>0</v>
      </c>
      <c r="CS205" s="179">
        <v>0</v>
      </c>
      <c r="CT205" s="27">
        <v>20</v>
      </c>
      <c r="CU205" s="58">
        <v>240</v>
      </c>
      <c r="CV205" s="12">
        <v>240</v>
      </c>
      <c r="CW205" s="27"/>
      <c r="CX205" s="58"/>
      <c r="CY205" s="98"/>
      <c r="CZ205" s="27"/>
      <c r="DA205" s="58"/>
      <c r="DB205" s="12"/>
      <c r="DC205" s="27"/>
      <c r="DD205" s="58"/>
      <c r="DE205" s="12"/>
      <c r="DF205" s="27"/>
      <c r="DG205" s="58"/>
      <c r="DH205" s="12"/>
      <c r="DI205" s="27"/>
      <c r="DJ205" s="58"/>
      <c r="DK205" s="107"/>
      <c r="DL205" s="27"/>
      <c r="DM205" s="58"/>
      <c r="DN205" s="107"/>
      <c r="DO205" s="27"/>
      <c r="DP205" s="58"/>
      <c r="DQ205" s="107"/>
      <c r="DR205" s="27"/>
      <c r="DS205" s="58"/>
      <c r="DT205" s="12"/>
      <c r="DU205" s="27"/>
      <c r="DV205" s="58"/>
      <c r="DW205" s="12"/>
      <c r="DX205" s="27"/>
      <c r="DY205" s="58"/>
      <c r="DZ205" s="12"/>
    </row>
    <row r="206" spans="1:130" s="25" customFormat="1" ht="31.5" customHeight="1" x14ac:dyDescent="0.6">
      <c r="A206" s="5">
        <v>203</v>
      </c>
      <c r="B206" s="18" t="s">
        <v>524</v>
      </c>
      <c r="C206" s="18" t="s">
        <v>525</v>
      </c>
      <c r="D206" s="148" t="s">
        <v>100</v>
      </c>
      <c r="E206" s="23" t="s">
        <v>526</v>
      </c>
      <c r="F206" s="7" t="s">
        <v>475</v>
      </c>
      <c r="G206" s="123"/>
      <c r="H206" s="123"/>
      <c r="I206" s="123"/>
      <c r="J206" s="49" t="s">
        <v>476</v>
      </c>
      <c r="K206" s="27"/>
      <c r="L206" s="58"/>
      <c r="M206" s="78"/>
      <c r="N206" s="27"/>
      <c r="O206" s="58"/>
      <c r="P206" s="49"/>
      <c r="Q206" s="27"/>
      <c r="R206" s="58"/>
      <c r="S206" s="98"/>
      <c r="T206" s="27"/>
      <c r="U206" s="58"/>
      <c r="V206" s="12"/>
      <c r="W206" s="27"/>
      <c r="X206" s="58"/>
      <c r="Y206" s="12"/>
      <c r="Z206" s="27"/>
      <c r="AA206" s="58"/>
      <c r="AB206" s="12"/>
      <c r="AC206" s="27">
        <v>0</v>
      </c>
      <c r="AD206" s="58">
        <v>0</v>
      </c>
      <c r="AE206" s="12"/>
      <c r="AF206" s="27">
        <v>0</v>
      </c>
      <c r="AG206" s="58">
        <v>0</v>
      </c>
      <c r="AH206" s="12"/>
      <c r="AI206" s="27">
        <v>0</v>
      </c>
      <c r="AJ206" s="58">
        <v>0</v>
      </c>
      <c r="AK206" s="12"/>
      <c r="AL206" s="27">
        <v>0</v>
      </c>
      <c r="AM206" s="58">
        <v>0</v>
      </c>
      <c r="AN206" s="12"/>
      <c r="AO206" s="27">
        <v>0</v>
      </c>
      <c r="AP206" s="58">
        <v>0</v>
      </c>
      <c r="AQ206" s="12"/>
      <c r="AR206" s="27">
        <v>90</v>
      </c>
      <c r="AS206" s="58">
        <v>1100</v>
      </c>
      <c r="AT206" s="12"/>
      <c r="AU206" s="54"/>
      <c r="AV206" s="63"/>
      <c r="AW206" s="55"/>
      <c r="AX206" s="54"/>
      <c r="AY206" s="63"/>
      <c r="AZ206" s="55"/>
      <c r="BA206" s="10">
        <v>80</v>
      </c>
      <c r="BB206" s="15">
        <v>1020</v>
      </c>
      <c r="BC206" s="11">
        <v>869.6</v>
      </c>
      <c r="BD206" s="10">
        <v>20</v>
      </c>
      <c r="BE206" s="15">
        <v>240</v>
      </c>
      <c r="BF206" s="11">
        <v>192</v>
      </c>
      <c r="BG206" s="10">
        <v>206</v>
      </c>
      <c r="BH206" s="15">
        <v>2532</v>
      </c>
      <c r="BI206" s="11">
        <v>2352</v>
      </c>
      <c r="BJ206" s="10">
        <v>250</v>
      </c>
      <c r="BK206" s="15">
        <v>3020</v>
      </c>
      <c r="BL206" s="11">
        <v>2969.6</v>
      </c>
      <c r="BM206" s="46">
        <v>106</v>
      </c>
      <c r="BN206" s="43">
        <v>1480</v>
      </c>
      <c r="BO206" s="47">
        <v>1223.2</v>
      </c>
      <c r="BP206" s="46">
        <v>230</v>
      </c>
      <c r="BQ206" s="43">
        <v>2840</v>
      </c>
      <c r="BR206" s="47">
        <v>2638.4</v>
      </c>
      <c r="BS206" s="46">
        <v>120</v>
      </c>
      <c r="BT206" s="43">
        <v>1480</v>
      </c>
      <c r="BU206" s="114">
        <v>1379.2</v>
      </c>
      <c r="BV206" s="119">
        <v>125.3</v>
      </c>
      <c r="BW206" s="120">
        <v>1593</v>
      </c>
      <c r="BX206" s="114">
        <v>1365.24</v>
      </c>
      <c r="BY206" s="119">
        <v>0</v>
      </c>
      <c r="BZ206" s="120">
        <v>0</v>
      </c>
      <c r="CA206" s="114">
        <v>0</v>
      </c>
      <c r="CB206" s="119">
        <v>190</v>
      </c>
      <c r="CC206" s="120">
        <v>2320</v>
      </c>
      <c r="CD206" s="114">
        <v>2219.1999999999998</v>
      </c>
      <c r="CE206" s="119">
        <v>72</v>
      </c>
      <c r="CF206" s="120">
        <v>904</v>
      </c>
      <c r="CG206" s="114">
        <v>803.2</v>
      </c>
      <c r="CH206" s="119">
        <v>225</v>
      </c>
      <c r="CI206" s="120">
        <v>2740</v>
      </c>
      <c r="CJ206" s="114">
        <v>2639.2</v>
      </c>
      <c r="CK206" s="54">
        <f t="shared" si="36"/>
        <v>1624.3</v>
      </c>
      <c r="CL206" s="63">
        <f t="shared" si="37"/>
        <v>20169</v>
      </c>
      <c r="CM206" s="55">
        <f t="shared" si="38"/>
        <v>18650.84</v>
      </c>
      <c r="CN206" s="54">
        <f t="shared" si="39"/>
        <v>135.35833333333332</v>
      </c>
      <c r="CO206" s="63">
        <f t="shared" si="40"/>
        <v>1680.75</v>
      </c>
      <c r="CP206" s="172">
        <f t="shared" si="41"/>
        <v>1554.2366666666667</v>
      </c>
      <c r="CQ206" s="158">
        <v>218</v>
      </c>
      <c r="CR206" s="159">
        <v>2692</v>
      </c>
      <c r="CS206" s="179">
        <v>2500.48</v>
      </c>
      <c r="CT206" s="27">
        <v>200</v>
      </c>
      <c r="CU206" s="58">
        <v>2430</v>
      </c>
      <c r="CV206" s="12">
        <v>2354.3999999999996</v>
      </c>
      <c r="CW206" s="27"/>
      <c r="CX206" s="58"/>
      <c r="CY206" s="98"/>
      <c r="CZ206" s="27"/>
      <c r="DA206" s="58"/>
      <c r="DB206" s="12"/>
      <c r="DC206" s="27"/>
      <c r="DD206" s="58"/>
      <c r="DE206" s="12"/>
      <c r="DF206" s="27"/>
      <c r="DG206" s="58"/>
      <c r="DH206" s="12"/>
      <c r="DI206" s="27"/>
      <c r="DJ206" s="58"/>
      <c r="DK206" s="107"/>
      <c r="DL206" s="27"/>
      <c r="DM206" s="58"/>
      <c r="DN206" s="107"/>
      <c r="DO206" s="27"/>
      <c r="DP206" s="58"/>
      <c r="DQ206" s="107"/>
      <c r="DR206" s="27"/>
      <c r="DS206" s="58"/>
      <c r="DT206" s="12"/>
      <c r="DU206" s="27"/>
      <c r="DV206" s="58"/>
      <c r="DW206" s="12"/>
      <c r="DX206" s="27"/>
      <c r="DY206" s="58"/>
      <c r="DZ206" s="12"/>
    </row>
    <row r="207" spans="1:130" s="25" customFormat="1" ht="31.5" customHeight="1" x14ac:dyDescent="0.6">
      <c r="A207" s="5">
        <v>204</v>
      </c>
      <c r="B207" s="18" t="s">
        <v>1159</v>
      </c>
      <c r="C207" s="18"/>
      <c r="D207" s="168"/>
      <c r="E207" s="23"/>
      <c r="F207" s="7"/>
      <c r="G207" s="123"/>
      <c r="H207" s="123"/>
      <c r="I207" s="123"/>
      <c r="J207" s="49"/>
      <c r="K207" s="27"/>
      <c r="L207" s="58"/>
      <c r="M207" s="78"/>
      <c r="N207" s="27"/>
      <c r="O207" s="58"/>
      <c r="P207" s="49"/>
      <c r="Q207" s="27"/>
      <c r="R207" s="58"/>
      <c r="S207" s="98"/>
      <c r="T207" s="27"/>
      <c r="U207" s="58"/>
      <c r="V207" s="12"/>
      <c r="W207" s="27"/>
      <c r="X207" s="58"/>
      <c r="Y207" s="12"/>
      <c r="Z207" s="27"/>
      <c r="AA207" s="58"/>
      <c r="AB207" s="12"/>
      <c r="AC207" s="27"/>
      <c r="AD207" s="58"/>
      <c r="AE207" s="12"/>
      <c r="AF207" s="27"/>
      <c r="AG207" s="58"/>
      <c r="AH207" s="12"/>
      <c r="AI207" s="27"/>
      <c r="AJ207" s="58"/>
      <c r="AK207" s="12"/>
      <c r="AL207" s="27"/>
      <c r="AM207" s="58"/>
      <c r="AN207" s="12"/>
      <c r="AO207" s="27"/>
      <c r="AP207" s="58"/>
      <c r="AQ207" s="12"/>
      <c r="AR207" s="27"/>
      <c r="AS207" s="58"/>
      <c r="AT207" s="12"/>
      <c r="AU207" s="54"/>
      <c r="AV207" s="63"/>
      <c r="AW207" s="55"/>
      <c r="AX207" s="54"/>
      <c r="AY207" s="63"/>
      <c r="AZ207" s="55"/>
      <c r="BA207" s="10"/>
      <c r="BB207" s="15"/>
      <c r="BC207" s="11"/>
      <c r="BD207" s="10"/>
      <c r="BE207" s="15"/>
      <c r="BF207" s="11"/>
      <c r="BG207" s="10"/>
      <c r="BH207" s="15"/>
      <c r="BI207" s="11"/>
      <c r="BJ207" s="10"/>
      <c r="BK207" s="15"/>
      <c r="BL207" s="11"/>
      <c r="BM207" s="46"/>
      <c r="BN207" s="43"/>
      <c r="BO207" s="47"/>
      <c r="BP207" s="46"/>
      <c r="BQ207" s="43"/>
      <c r="BR207" s="47"/>
      <c r="BS207" s="46"/>
      <c r="BT207" s="43"/>
      <c r="BU207" s="114"/>
      <c r="BV207" s="119"/>
      <c r="BW207" s="120"/>
      <c r="BX207" s="114"/>
      <c r="BY207" s="119"/>
      <c r="BZ207" s="120"/>
      <c r="CA207" s="114"/>
      <c r="CB207" s="119"/>
      <c r="CC207" s="120"/>
      <c r="CD207" s="114"/>
      <c r="CE207" s="119"/>
      <c r="CF207" s="120"/>
      <c r="CG207" s="114"/>
      <c r="CH207" s="119"/>
      <c r="CI207" s="120"/>
      <c r="CJ207" s="114"/>
      <c r="CK207" s="54"/>
      <c r="CL207" s="63"/>
      <c r="CM207" s="55"/>
      <c r="CN207" s="54"/>
      <c r="CO207" s="63"/>
      <c r="CP207" s="172"/>
      <c r="CQ207" s="158">
        <v>0</v>
      </c>
      <c r="CR207" s="159">
        <v>0</v>
      </c>
      <c r="CS207" s="179">
        <v>0</v>
      </c>
      <c r="CT207" s="27">
        <v>0</v>
      </c>
      <c r="CU207" s="58">
        <v>0</v>
      </c>
      <c r="CV207" s="12">
        <v>0</v>
      </c>
      <c r="CW207" s="27"/>
      <c r="CX207" s="58"/>
      <c r="CY207" s="98"/>
      <c r="CZ207" s="27"/>
      <c r="DA207" s="58"/>
      <c r="DB207" s="12"/>
      <c r="DC207" s="27"/>
      <c r="DD207" s="58"/>
      <c r="DE207" s="12"/>
      <c r="DF207" s="27"/>
      <c r="DG207" s="58"/>
      <c r="DH207" s="12"/>
      <c r="DI207" s="27"/>
      <c r="DJ207" s="58"/>
      <c r="DK207" s="107"/>
      <c r="DL207" s="27"/>
      <c r="DM207" s="58"/>
      <c r="DN207" s="107"/>
      <c r="DO207" s="27"/>
      <c r="DP207" s="58"/>
      <c r="DQ207" s="107"/>
      <c r="DR207" s="27"/>
      <c r="DS207" s="58"/>
      <c r="DT207" s="12"/>
      <c r="DU207" s="27"/>
      <c r="DV207" s="58"/>
      <c r="DW207" s="12"/>
      <c r="DX207" s="27"/>
      <c r="DY207" s="58"/>
      <c r="DZ207" s="12"/>
    </row>
    <row r="208" spans="1:130" s="25" customFormat="1" ht="31.5" customHeight="1" x14ac:dyDescent="0.6">
      <c r="A208" s="5">
        <v>205</v>
      </c>
      <c r="B208" s="18" t="s">
        <v>160</v>
      </c>
      <c r="C208" s="18"/>
      <c r="D208" s="168"/>
      <c r="E208" s="23"/>
      <c r="F208" s="7"/>
      <c r="G208" s="123"/>
      <c r="H208" s="123"/>
      <c r="I208" s="123"/>
      <c r="J208" s="49"/>
      <c r="K208" s="27"/>
      <c r="L208" s="58"/>
      <c r="M208" s="78"/>
      <c r="N208" s="27"/>
      <c r="O208" s="58"/>
      <c r="P208" s="49"/>
      <c r="Q208" s="27"/>
      <c r="R208" s="58"/>
      <c r="S208" s="98"/>
      <c r="T208" s="27"/>
      <c r="U208" s="58"/>
      <c r="V208" s="12"/>
      <c r="W208" s="27"/>
      <c r="X208" s="58"/>
      <c r="Y208" s="12"/>
      <c r="Z208" s="27"/>
      <c r="AA208" s="58"/>
      <c r="AB208" s="12"/>
      <c r="AC208" s="27"/>
      <c r="AD208" s="58"/>
      <c r="AE208" s="12"/>
      <c r="AF208" s="27"/>
      <c r="AG208" s="58"/>
      <c r="AH208" s="12"/>
      <c r="AI208" s="27"/>
      <c r="AJ208" s="58"/>
      <c r="AK208" s="12"/>
      <c r="AL208" s="27"/>
      <c r="AM208" s="58"/>
      <c r="AN208" s="12"/>
      <c r="AO208" s="27"/>
      <c r="AP208" s="58"/>
      <c r="AQ208" s="12"/>
      <c r="AR208" s="27"/>
      <c r="AS208" s="58"/>
      <c r="AT208" s="12"/>
      <c r="AU208" s="54"/>
      <c r="AV208" s="63"/>
      <c r="AW208" s="55"/>
      <c r="AX208" s="54"/>
      <c r="AY208" s="63"/>
      <c r="AZ208" s="55"/>
      <c r="BA208" s="10"/>
      <c r="BB208" s="15"/>
      <c r="BC208" s="11"/>
      <c r="BD208" s="10"/>
      <c r="BE208" s="15"/>
      <c r="BF208" s="11"/>
      <c r="BG208" s="10"/>
      <c r="BH208" s="15"/>
      <c r="BI208" s="11"/>
      <c r="BJ208" s="10"/>
      <c r="BK208" s="15"/>
      <c r="BL208" s="11"/>
      <c r="BM208" s="46"/>
      <c r="BN208" s="43"/>
      <c r="BO208" s="47"/>
      <c r="BP208" s="46"/>
      <c r="BQ208" s="43"/>
      <c r="BR208" s="47"/>
      <c r="BS208" s="46"/>
      <c r="BT208" s="43"/>
      <c r="BU208" s="114"/>
      <c r="BV208" s="119"/>
      <c r="BW208" s="120"/>
      <c r="BX208" s="114"/>
      <c r="BY208" s="119"/>
      <c r="BZ208" s="120"/>
      <c r="CA208" s="114"/>
      <c r="CB208" s="119"/>
      <c r="CC208" s="120"/>
      <c r="CD208" s="114"/>
      <c r="CE208" s="119"/>
      <c r="CF208" s="120"/>
      <c r="CG208" s="114"/>
      <c r="CH208" s="119"/>
      <c r="CI208" s="120"/>
      <c r="CJ208" s="114"/>
      <c r="CK208" s="54"/>
      <c r="CL208" s="63"/>
      <c r="CM208" s="55"/>
      <c r="CN208" s="54"/>
      <c r="CO208" s="63"/>
      <c r="CP208" s="172"/>
      <c r="CQ208" s="158">
        <v>45</v>
      </c>
      <c r="CR208" s="159">
        <v>540</v>
      </c>
      <c r="CS208" s="179">
        <v>540</v>
      </c>
      <c r="CT208" s="27">
        <v>55</v>
      </c>
      <c r="CU208" s="58">
        <v>830</v>
      </c>
      <c r="CV208" s="12">
        <v>624.4</v>
      </c>
      <c r="CW208" s="27"/>
      <c r="CX208" s="58"/>
      <c r="CY208" s="98"/>
      <c r="CZ208" s="27"/>
      <c r="DA208" s="58"/>
      <c r="DB208" s="12"/>
      <c r="DC208" s="27"/>
      <c r="DD208" s="58"/>
      <c r="DE208" s="12"/>
      <c r="DF208" s="27"/>
      <c r="DG208" s="58"/>
      <c r="DH208" s="12"/>
      <c r="DI208" s="27"/>
      <c r="DJ208" s="58"/>
      <c r="DK208" s="107"/>
      <c r="DL208" s="27"/>
      <c r="DM208" s="58"/>
      <c r="DN208" s="107"/>
      <c r="DO208" s="27"/>
      <c r="DP208" s="58"/>
      <c r="DQ208" s="107"/>
      <c r="DR208" s="27"/>
      <c r="DS208" s="58"/>
      <c r="DT208" s="12"/>
      <c r="DU208" s="27"/>
      <c r="DV208" s="58"/>
      <c r="DW208" s="12"/>
      <c r="DX208" s="27"/>
      <c r="DY208" s="58"/>
      <c r="DZ208" s="12"/>
    </row>
    <row r="209" spans="1:130" s="25" customFormat="1" ht="31.5" customHeight="1" x14ac:dyDescent="0.6">
      <c r="A209" s="5">
        <v>206</v>
      </c>
      <c r="B209" s="18" t="s">
        <v>217</v>
      </c>
      <c r="C209" s="18"/>
      <c r="D209" s="168"/>
      <c r="E209" s="23"/>
      <c r="F209" s="7"/>
      <c r="G209" s="123"/>
      <c r="H209" s="123"/>
      <c r="I209" s="123"/>
      <c r="J209" s="49"/>
      <c r="K209" s="27"/>
      <c r="L209" s="58"/>
      <c r="M209" s="78"/>
      <c r="N209" s="27"/>
      <c r="O209" s="58"/>
      <c r="P209" s="49"/>
      <c r="Q209" s="27"/>
      <c r="R209" s="58"/>
      <c r="S209" s="98"/>
      <c r="T209" s="27"/>
      <c r="U209" s="58"/>
      <c r="V209" s="12"/>
      <c r="W209" s="27"/>
      <c r="X209" s="58"/>
      <c r="Y209" s="12"/>
      <c r="Z209" s="27"/>
      <c r="AA209" s="58"/>
      <c r="AB209" s="12"/>
      <c r="AC209" s="27"/>
      <c r="AD209" s="58"/>
      <c r="AE209" s="12"/>
      <c r="AF209" s="27"/>
      <c r="AG209" s="58"/>
      <c r="AH209" s="12"/>
      <c r="AI209" s="27"/>
      <c r="AJ209" s="58"/>
      <c r="AK209" s="12"/>
      <c r="AL209" s="27"/>
      <c r="AM209" s="58"/>
      <c r="AN209" s="12"/>
      <c r="AO209" s="27"/>
      <c r="AP209" s="58"/>
      <c r="AQ209" s="12"/>
      <c r="AR209" s="27"/>
      <c r="AS209" s="58"/>
      <c r="AT209" s="12"/>
      <c r="AU209" s="54"/>
      <c r="AV209" s="63"/>
      <c r="AW209" s="55"/>
      <c r="AX209" s="54"/>
      <c r="AY209" s="63"/>
      <c r="AZ209" s="55"/>
      <c r="BA209" s="10"/>
      <c r="BB209" s="15"/>
      <c r="BC209" s="11"/>
      <c r="BD209" s="10"/>
      <c r="BE209" s="15"/>
      <c r="BF209" s="11"/>
      <c r="BG209" s="10"/>
      <c r="BH209" s="15"/>
      <c r="BI209" s="11"/>
      <c r="BJ209" s="10"/>
      <c r="BK209" s="15"/>
      <c r="BL209" s="11"/>
      <c r="BM209" s="46"/>
      <c r="BN209" s="43"/>
      <c r="BO209" s="47"/>
      <c r="BP209" s="46"/>
      <c r="BQ209" s="43"/>
      <c r="BR209" s="47"/>
      <c r="BS209" s="46"/>
      <c r="BT209" s="43"/>
      <c r="BU209" s="114"/>
      <c r="BV209" s="119"/>
      <c r="BW209" s="120"/>
      <c r="BX209" s="114"/>
      <c r="BY209" s="119"/>
      <c r="BZ209" s="120"/>
      <c r="CA209" s="114"/>
      <c r="CB209" s="119"/>
      <c r="CC209" s="120"/>
      <c r="CD209" s="114"/>
      <c r="CE209" s="119"/>
      <c r="CF209" s="120"/>
      <c r="CG209" s="114"/>
      <c r="CH209" s="119"/>
      <c r="CI209" s="120"/>
      <c r="CJ209" s="114"/>
      <c r="CK209" s="54"/>
      <c r="CL209" s="63"/>
      <c r="CM209" s="55"/>
      <c r="CN209" s="54"/>
      <c r="CO209" s="63"/>
      <c r="CP209" s="172"/>
      <c r="CQ209" s="158">
        <v>61</v>
      </c>
      <c r="CR209" s="159">
        <v>828</v>
      </c>
      <c r="CS209" s="179">
        <v>671.36</v>
      </c>
      <c r="CT209" s="27">
        <v>28</v>
      </c>
      <c r="CU209" s="58">
        <v>356</v>
      </c>
      <c r="CV209" s="12">
        <v>305.60000000000002</v>
      </c>
      <c r="CW209" s="27"/>
      <c r="CX209" s="58"/>
      <c r="CY209" s="98"/>
      <c r="CZ209" s="27"/>
      <c r="DA209" s="58"/>
      <c r="DB209" s="12"/>
      <c r="DC209" s="27"/>
      <c r="DD209" s="58"/>
      <c r="DE209" s="12"/>
      <c r="DF209" s="27"/>
      <c r="DG209" s="58"/>
      <c r="DH209" s="12"/>
      <c r="DI209" s="27"/>
      <c r="DJ209" s="58"/>
      <c r="DK209" s="107"/>
      <c r="DL209" s="27"/>
      <c r="DM209" s="58"/>
      <c r="DN209" s="107"/>
      <c r="DO209" s="27"/>
      <c r="DP209" s="58"/>
      <c r="DQ209" s="107"/>
      <c r="DR209" s="27"/>
      <c r="DS209" s="58"/>
      <c r="DT209" s="12"/>
      <c r="DU209" s="27"/>
      <c r="DV209" s="58"/>
      <c r="DW209" s="12"/>
      <c r="DX209" s="27"/>
      <c r="DY209" s="58"/>
      <c r="DZ209" s="12"/>
    </row>
    <row r="210" spans="1:130" s="25" customFormat="1" ht="31.5" customHeight="1" x14ac:dyDescent="0.6">
      <c r="A210" s="5">
        <v>207</v>
      </c>
      <c r="B210" s="18" t="s">
        <v>228</v>
      </c>
      <c r="C210" s="18"/>
      <c r="D210" s="168"/>
      <c r="E210" s="23"/>
      <c r="F210" s="7"/>
      <c r="G210" s="123"/>
      <c r="H210" s="123"/>
      <c r="I210" s="123"/>
      <c r="J210" s="49"/>
      <c r="K210" s="27"/>
      <c r="L210" s="58"/>
      <c r="M210" s="78"/>
      <c r="N210" s="27"/>
      <c r="O210" s="58"/>
      <c r="P210" s="49"/>
      <c r="Q210" s="27"/>
      <c r="R210" s="58"/>
      <c r="S210" s="98"/>
      <c r="T210" s="27"/>
      <c r="U210" s="58"/>
      <c r="V210" s="12"/>
      <c r="W210" s="27"/>
      <c r="X210" s="58"/>
      <c r="Y210" s="12"/>
      <c r="Z210" s="27"/>
      <c r="AA210" s="58"/>
      <c r="AB210" s="12"/>
      <c r="AC210" s="27"/>
      <c r="AD210" s="58"/>
      <c r="AE210" s="12"/>
      <c r="AF210" s="27"/>
      <c r="AG210" s="58"/>
      <c r="AH210" s="12"/>
      <c r="AI210" s="27"/>
      <c r="AJ210" s="58"/>
      <c r="AK210" s="12"/>
      <c r="AL210" s="27"/>
      <c r="AM210" s="58"/>
      <c r="AN210" s="12"/>
      <c r="AO210" s="27"/>
      <c r="AP210" s="58"/>
      <c r="AQ210" s="12"/>
      <c r="AR210" s="27"/>
      <c r="AS210" s="58"/>
      <c r="AT210" s="12"/>
      <c r="AU210" s="54"/>
      <c r="AV210" s="63"/>
      <c r="AW210" s="55"/>
      <c r="AX210" s="54"/>
      <c r="AY210" s="63"/>
      <c r="AZ210" s="55"/>
      <c r="BA210" s="10"/>
      <c r="BB210" s="15"/>
      <c r="BC210" s="11"/>
      <c r="BD210" s="10"/>
      <c r="BE210" s="15"/>
      <c r="BF210" s="11"/>
      <c r="BG210" s="10"/>
      <c r="BH210" s="15"/>
      <c r="BI210" s="11"/>
      <c r="BJ210" s="10"/>
      <c r="BK210" s="15"/>
      <c r="BL210" s="11"/>
      <c r="BM210" s="46"/>
      <c r="BN210" s="43"/>
      <c r="BO210" s="47"/>
      <c r="BP210" s="46"/>
      <c r="BQ210" s="43"/>
      <c r="BR210" s="47"/>
      <c r="BS210" s="46"/>
      <c r="BT210" s="43"/>
      <c r="BU210" s="114"/>
      <c r="BV210" s="119"/>
      <c r="BW210" s="120"/>
      <c r="BX210" s="114"/>
      <c r="BY210" s="119"/>
      <c r="BZ210" s="120"/>
      <c r="CA210" s="114"/>
      <c r="CB210" s="119"/>
      <c r="CC210" s="120"/>
      <c r="CD210" s="114"/>
      <c r="CE210" s="119"/>
      <c r="CF210" s="120"/>
      <c r="CG210" s="114"/>
      <c r="CH210" s="119"/>
      <c r="CI210" s="120"/>
      <c r="CJ210" s="114"/>
      <c r="CK210" s="54"/>
      <c r="CL210" s="63"/>
      <c r="CM210" s="55"/>
      <c r="CN210" s="54"/>
      <c r="CO210" s="63"/>
      <c r="CP210" s="172"/>
      <c r="CQ210" s="158">
        <v>0</v>
      </c>
      <c r="CR210" s="159">
        <v>0</v>
      </c>
      <c r="CS210" s="179">
        <v>0</v>
      </c>
      <c r="CT210" s="27">
        <v>0</v>
      </c>
      <c r="CU210" s="58">
        <v>0</v>
      </c>
      <c r="CV210" s="12">
        <v>0</v>
      </c>
      <c r="CW210" s="27"/>
      <c r="CX210" s="58"/>
      <c r="CY210" s="98"/>
      <c r="CZ210" s="27"/>
      <c r="DA210" s="58"/>
      <c r="DB210" s="12"/>
      <c r="DC210" s="27"/>
      <c r="DD210" s="58"/>
      <c r="DE210" s="12"/>
      <c r="DF210" s="27"/>
      <c r="DG210" s="58"/>
      <c r="DH210" s="12"/>
      <c r="DI210" s="27"/>
      <c r="DJ210" s="58"/>
      <c r="DK210" s="107"/>
      <c r="DL210" s="27"/>
      <c r="DM210" s="58"/>
      <c r="DN210" s="107"/>
      <c r="DO210" s="27"/>
      <c r="DP210" s="58"/>
      <c r="DQ210" s="107"/>
      <c r="DR210" s="27"/>
      <c r="DS210" s="58"/>
      <c r="DT210" s="12"/>
      <c r="DU210" s="27"/>
      <c r="DV210" s="58"/>
      <c r="DW210" s="12"/>
      <c r="DX210" s="27"/>
      <c r="DY210" s="58"/>
      <c r="DZ210" s="12"/>
    </row>
    <row r="211" spans="1:130" s="25" customFormat="1" ht="31.5" customHeight="1" x14ac:dyDescent="0.6">
      <c r="A211" s="5">
        <v>208</v>
      </c>
      <c r="B211" s="18" t="s">
        <v>527</v>
      </c>
      <c r="C211" s="18" t="s">
        <v>528</v>
      </c>
      <c r="D211" s="18" t="s">
        <v>529</v>
      </c>
      <c r="E211" s="23" t="s">
        <v>530</v>
      </c>
      <c r="F211" s="7" t="s">
        <v>531</v>
      </c>
      <c r="G211" s="123"/>
      <c r="H211" s="123"/>
      <c r="I211" s="123" t="s">
        <v>1070</v>
      </c>
      <c r="J211" s="49" t="s">
        <v>1165</v>
      </c>
      <c r="K211" s="27"/>
      <c r="L211" s="58"/>
      <c r="M211" s="78"/>
      <c r="N211" s="27"/>
      <c r="O211" s="58"/>
      <c r="P211" s="49"/>
      <c r="Q211" s="27"/>
      <c r="R211" s="58"/>
      <c r="S211" s="98"/>
      <c r="T211" s="27"/>
      <c r="U211" s="58"/>
      <c r="V211" s="12"/>
      <c r="W211" s="27"/>
      <c r="X211" s="58"/>
      <c r="Y211" s="12"/>
      <c r="Z211" s="27"/>
      <c r="AA211" s="58"/>
      <c r="AB211" s="12"/>
      <c r="AC211" s="27">
        <v>0</v>
      </c>
      <c r="AD211" s="58">
        <v>0</v>
      </c>
      <c r="AE211" s="12"/>
      <c r="AF211" s="27">
        <v>0</v>
      </c>
      <c r="AG211" s="58">
        <v>0</v>
      </c>
      <c r="AH211" s="12"/>
      <c r="AI211" s="27">
        <v>0</v>
      </c>
      <c r="AJ211" s="58">
        <v>0</v>
      </c>
      <c r="AK211" s="12"/>
      <c r="AL211" s="27">
        <v>0</v>
      </c>
      <c r="AM211" s="58">
        <v>0</v>
      </c>
      <c r="AN211" s="12"/>
      <c r="AO211" s="27">
        <v>0</v>
      </c>
      <c r="AP211" s="58">
        <v>0</v>
      </c>
      <c r="AQ211" s="12"/>
      <c r="AR211" s="27">
        <v>60</v>
      </c>
      <c r="AS211" s="58">
        <v>720</v>
      </c>
      <c r="AT211" s="12"/>
      <c r="AU211" s="54"/>
      <c r="AV211" s="63"/>
      <c r="AW211" s="55"/>
      <c r="AX211" s="54"/>
      <c r="AY211" s="63"/>
      <c r="AZ211" s="55"/>
      <c r="BA211" s="10">
        <v>0</v>
      </c>
      <c r="BB211" s="15">
        <v>12</v>
      </c>
      <c r="BC211" s="11">
        <v>5</v>
      </c>
      <c r="BD211" s="10">
        <v>0</v>
      </c>
      <c r="BE211" s="15">
        <v>0</v>
      </c>
      <c r="BF211" s="11">
        <v>0</v>
      </c>
      <c r="BG211" s="10">
        <v>84.24</v>
      </c>
      <c r="BH211" s="15">
        <v>1104</v>
      </c>
      <c r="BI211" s="11">
        <v>898.8</v>
      </c>
      <c r="BJ211" s="10">
        <v>1</v>
      </c>
      <c r="BK211" s="15">
        <v>37</v>
      </c>
      <c r="BL211" s="11">
        <v>13</v>
      </c>
      <c r="BM211" s="46">
        <v>45</v>
      </c>
      <c r="BN211" s="43">
        <v>570</v>
      </c>
      <c r="BO211" s="47">
        <v>494.4</v>
      </c>
      <c r="BP211" s="46">
        <v>126</v>
      </c>
      <c r="BQ211" s="43">
        <v>1578</v>
      </c>
      <c r="BR211" s="47">
        <v>1456.24</v>
      </c>
      <c r="BS211" s="46">
        <v>31</v>
      </c>
      <c r="BT211" s="43">
        <v>378</v>
      </c>
      <c r="BU211" s="114">
        <v>374</v>
      </c>
      <c r="BV211" s="119">
        <v>20</v>
      </c>
      <c r="BW211" s="120">
        <v>240</v>
      </c>
      <c r="BX211" s="114">
        <v>240</v>
      </c>
      <c r="BY211" s="119">
        <v>29.167000000000002</v>
      </c>
      <c r="BZ211" s="120">
        <v>354</v>
      </c>
      <c r="CA211" s="114">
        <v>343.28000000000003</v>
      </c>
      <c r="CB211" s="119">
        <v>79</v>
      </c>
      <c r="CC211" s="120">
        <v>1026</v>
      </c>
      <c r="CD211" s="114">
        <v>933.2</v>
      </c>
      <c r="CE211" s="119">
        <v>77</v>
      </c>
      <c r="CF211" s="120">
        <v>990</v>
      </c>
      <c r="CG211" s="114">
        <v>912.8</v>
      </c>
      <c r="CH211" s="119">
        <v>95.25</v>
      </c>
      <c r="CI211" s="120">
        <v>1180</v>
      </c>
      <c r="CJ211" s="114">
        <v>1107.1399999999999</v>
      </c>
      <c r="CK211" s="54">
        <f t="shared" si="36"/>
        <v>587.65700000000004</v>
      </c>
      <c r="CL211" s="63">
        <f t="shared" si="37"/>
        <v>7469</v>
      </c>
      <c r="CM211" s="55">
        <f t="shared" si="38"/>
        <v>6777.8600000000006</v>
      </c>
      <c r="CN211" s="54">
        <f t="shared" si="39"/>
        <v>48.97141666666667</v>
      </c>
      <c r="CO211" s="63">
        <f t="shared" si="40"/>
        <v>622.41666666666663</v>
      </c>
      <c r="CP211" s="172">
        <f t="shared" si="41"/>
        <v>564.82166666666672</v>
      </c>
      <c r="CQ211" s="158">
        <v>94.331999999999994</v>
      </c>
      <c r="CR211" s="159">
        <v>1141</v>
      </c>
      <c r="CS211" s="179">
        <v>1123.3600000000001</v>
      </c>
      <c r="CT211" s="27">
        <v>110</v>
      </c>
      <c r="CU211" s="58">
        <v>1340</v>
      </c>
      <c r="CV211" s="12">
        <v>1289.5999999999999</v>
      </c>
      <c r="CW211" s="27"/>
      <c r="CX211" s="58"/>
      <c r="CY211" s="98"/>
      <c r="CZ211" s="27"/>
      <c r="DA211" s="58"/>
      <c r="DB211" s="12"/>
      <c r="DC211" s="27"/>
      <c r="DD211" s="58"/>
      <c r="DE211" s="12"/>
      <c r="DF211" s="27"/>
      <c r="DG211" s="58"/>
      <c r="DH211" s="12"/>
      <c r="DI211" s="27"/>
      <c r="DJ211" s="58"/>
      <c r="DK211" s="107"/>
      <c r="DL211" s="27"/>
      <c r="DM211" s="58"/>
      <c r="DN211" s="107"/>
      <c r="DO211" s="27"/>
      <c r="DP211" s="58"/>
      <c r="DQ211" s="107"/>
      <c r="DR211" s="27"/>
      <c r="DS211" s="58"/>
      <c r="DT211" s="12"/>
      <c r="DU211" s="27"/>
      <c r="DV211" s="58"/>
      <c r="DW211" s="12"/>
      <c r="DX211" s="27"/>
      <c r="DY211" s="58"/>
      <c r="DZ211" s="12"/>
    </row>
    <row r="212" spans="1:130" s="25" customFormat="1" ht="31.5" customHeight="1" x14ac:dyDescent="0.6">
      <c r="A212" s="5">
        <v>209</v>
      </c>
      <c r="B212" s="18" t="s">
        <v>532</v>
      </c>
      <c r="C212" s="18" t="s">
        <v>533</v>
      </c>
      <c r="D212" s="18" t="s">
        <v>529</v>
      </c>
      <c r="E212" s="23" t="s">
        <v>530</v>
      </c>
      <c r="F212" s="7" t="s">
        <v>531</v>
      </c>
      <c r="G212" s="123"/>
      <c r="H212" s="123"/>
      <c r="I212" s="123" t="s">
        <v>1071</v>
      </c>
      <c r="J212" s="49" t="s">
        <v>1165</v>
      </c>
      <c r="K212" s="27"/>
      <c r="L212" s="58"/>
      <c r="M212" s="78"/>
      <c r="N212" s="27"/>
      <c r="O212" s="58"/>
      <c r="P212" s="49"/>
      <c r="Q212" s="27"/>
      <c r="R212" s="58"/>
      <c r="S212" s="98"/>
      <c r="T212" s="27"/>
      <c r="U212" s="58"/>
      <c r="V212" s="12"/>
      <c r="W212" s="27"/>
      <c r="X212" s="58"/>
      <c r="Y212" s="12"/>
      <c r="Z212" s="27"/>
      <c r="AA212" s="58"/>
      <c r="AB212" s="12"/>
      <c r="AC212" s="27">
        <v>0</v>
      </c>
      <c r="AD212" s="58">
        <v>0</v>
      </c>
      <c r="AE212" s="12"/>
      <c r="AF212" s="27">
        <v>0</v>
      </c>
      <c r="AG212" s="58">
        <v>0</v>
      </c>
      <c r="AH212" s="12"/>
      <c r="AI212" s="27">
        <v>0</v>
      </c>
      <c r="AJ212" s="58">
        <v>0</v>
      </c>
      <c r="AK212" s="12"/>
      <c r="AL212" s="27">
        <v>0</v>
      </c>
      <c r="AM212" s="58">
        <v>0</v>
      </c>
      <c r="AN212" s="12"/>
      <c r="AO212" s="27">
        <v>0</v>
      </c>
      <c r="AP212" s="58">
        <v>0</v>
      </c>
      <c r="AQ212" s="12"/>
      <c r="AR212" s="27">
        <v>45</v>
      </c>
      <c r="AS212" s="58">
        <v>540</v>
      </c>
      <c r="AT212" s="12"/>
      <c r="AU212" s="54"/>
      <c r="AV212" s="63"/>
      <c r="AW212" s="55"/>
      <c r="AX212" s="54"/>
      <c r="AY212" s="63"/>
      <c r="AZ212" s="55"/>
      <c r="BA212" s="10">
        <v>0</v>
      </c>
      <c r="BB212" s="15">
        <v>24</v>
      </c>
      <c r="BC212" s="11">
        <v>8</v>
      </c>
      <c r="BD212" s="10">
        <v>0</v>
      </c>
      <c r="BE212" s="15">
        <v>0</v>
      </c>
      <c r="BF212" s="11">
        <v>0</v>
      </c>
      <c r="BG212" s="10">
        <v>136</v>
      </c>
      <c r="BH212" s="15">
        <v>1709</v>
      </c>
      <c r="BI212" s="11">
        <v>1624.88</v>
      </c>
      <c r="BJ212" s="10">
        <v>103.3</v>
      </c>
      <c r="BK212" s="15">
        <v>1428</v>
      </c>
      <c r="BL212" s="11">
        <v>1224</v>
      </c>
      <c r="BM212" s="46">
        <v>71</v>
      </c>
      <c r="BN212" s="43">
        <v>890</v>
      </c>
      <c r="BO212" s="47">
        <v>838.8</v>
      </c>
      <c r="BP212" s="46">
        <v>74</v>
      </c>
      <c r="BQ212" s="43">
        <v>1012</v>
      </c>
      <c r="BR212" s="47">
        <v>863.36</v>
      </c>
      <c r="BS212" s="46">
        <v>29</v>
      </c>
      <c r="BT212" s="43">
        <v>520</v>
      </c>
      <c r="BU212" s="114">
        <v>349.12</v>
      </c>
      <c r="BV212" s="119">
        <v>15.3</v>
      </c>
      <c r="BW212" s="120">
        <v>189</v>
      </c>
      <c r="BX212" s="114">
        <v>172.92</v>
      </c>
      <c r="BY212" s="119">
        <v>35</v>
      </c>
      <c r="BZ212" s="120">
        <v>512</v>
      </c>
      <c r="CA212" s="114">
        <v>399.44</v>
      </c>
      <c r="CB212" s="119">
        <v>76</v>
      </c>
      <c r="CC212" s="120">
        <v>1058</v>
      </c>
      <c r="CD212" s="114">
        <v>912.88</v>
      </c>
      <c r="CE212" s="119">
        <v>59</v>
      </c>
      <c r="CF212" s="120">
        <v>850</v>
      </c>
      <c r="CG212" s="114">
        <v>705.36</v>
      </c>
      <c r="CH212" s="119">
        <v>92.915999999999997</v>
      </c>
      <c r="CI212" s="120">
        <v>1304</v>
      </c>
      <c r="CJ212" s="114">
        <v>1105.46</v>
      </c>
      <c r="CK212" s="54">
        <f t="shared" si="36"/>
        <v>691.51600000000008</v>
      </c>
      <c r="CL212" s="63">
        <f t="shared" si="37"/>
        <v>9496</v>
      </c>
      <c r="CM212" s="55">
        <f t="shared" si="38"/>
        <v>8204.2199999999993</v>
      </c>
      <c r="CN212" s="54">
        <f t="shared" si="39"/>
        <v>57.626333333333342</v>
      </c>
      <c r="CO212" s="63">
        <f t="shared" si="40"/>
        <v>791.33333333333337</v>
      </c>
      <c r="CP212" s="172">
        <f t="shared" si="41"/>
        <v>683.68499999999995</v>
      </c>
      <c r="CQ212" s="158">
        <v>79.415999999999997</v>
      </c>
      <c r="CR212" s="159">
        <v>1276</v>
      </c>
      <c r="CS212" s="179">
        <v>988.7600000000001</v>
      </c>
      <c r="CT212" s="27">
        <v>115</v>
      </c>
      <c r="CU212" s="58">
        <v>1400</v>
      </c>
      <c r="CV212" s="12">
        <v>1349.6</v>
      </c>
      <c r="CW212" s="27"/>
      <c r="CX212" s="58"/>
      <c r="CY212" s="98"/>
      <c r="CZ212" s="27"/>
      <c r="DA212" s="58"/>
      <c r="DB212" s="12"/>
      <c r="DC212" s="27"/>
      <c r="DD212" s="58"/>
      <c r="DE212" s="12"/>
      <c r="DF212" s="27"/>
      <c r="DG212" s="58"/>
      <c r="DH212" s="12"/>
      <c r="DI212" s="27"/>
      <c r="DJ212" s="58"/>
      <c r="DK212" s="107"/>
      <c r="DL212" s="27"/>
      <c r="DM212" s="58"/>
      <c r="DN212" s="107"/>
      <c r="DO212" s="27"/>
      <c r="DP212" s="58"/>
      <c r="DQ212" s="107"/>
      <c r="DR212" s="27"/>
      <c r="DS212" s="58"/>
      <c r="DT212" s="12"/>
      <c r="DU212" s="27"/>
      <c r="DV212" s="58"/>
      <c r="DW212" s="12"/>
      <c r="DX212" s="27"/>
      <c r="DY212" s="58"/>
      <c r="DZ212" s="12"/>
    </row>
    <row r="213" spans="1:130" s="25" customFormat="1" ht="31.5" customHeight="1" x14ac:dyDescent="0.6">
      <c r="A213" s="5">
        <v>210</v>
      </c>
      <c r="B213" s="18" t="s">
        <v>534</v>
      </c>
      <c r="C213" s="18" t="s">
        <v>535</v>
      </c>
      <c r="D213" s="18" t="s">
        <v>529</v>
      </c>
      <c r="E213" s="23" t="s">
        <v>530</v>
      </c>
      <c r="F213" s="7" t="s">
        <v>531</v>
      </c>
      <c r="G213" s="123"/>
      <c r="H213" s="123"/>
      <c r="I213" s="123" t="s">
        <v>1072</v>
      </c>
      <c r="J213" s="49" t="s">
        <v>1165</v>
      </c>
      <c r="K213" s="27"/>
      <c r="L213" s="58"/>
      <c r="M213" s="78"/>
      <c r="N213" s="27"/>
      <c r="O213" s="58"/>
      <c r="P213" s="49"/>
      <c r="Q213" s="27"/>
      <c r="R213" s="58"/>
      <c r="S213" s="98"/>
      <c r="T213" s="27"/>
      <c r="U213" s="58"/>
      <c r="V213" s="12"/>
      <c r="W213" s="27"/>
      <c r="X213" s="58"/>
      <c r="Y213" s="12"/>
      <c r="Z213" s="27"/>
      <c r="AA213" s="58"/>
      <c r="AB213" s="12"/>
      <c r="AC213" s="27">
        <v>0</v>
      </c>
      <c r="AD213" s="58">
        <v>0</v>
      </c>
      <c r="AE213" s="12"/>
      <c r="AF213" s="27">
        <v>0</v>
      </c>
      <c r="AG213" s="58">
        <v>0</v>
      </c>
      <c r="AH213" s="12"/>
      <c r="AI213" s="27">
        <v>0</v>
      </c>
      <c r="AJ213" s="58">
        <v>0</v>
      </c>
      <c r="AK213" s="12"/>
      <c r="AL213" s="27">
        <v>0</v>
      </c>
      <c r="AM213" s="58">
        <v>0</v>
      </c>
      <c r="AN213" s="12"/>
      <c r="AO213" s="27">
        <v>0</v>
      </c>
      <c r="AP213" s="58">
        <v>0</v>
      </c>
      <c r="AQ213" s="12"/>
      <c r="AR213" s="27">
        <v>37</v>
      </c>
      <c r="AS213" s="58">
        <v>640</v>
      </c>
      <c r="AT213" s="12"/>
      <c r="AU213" s="54"/>
      <c r="AV213" s="63"/>
      <c r="AW213" s="55"/>
      <c r="AX213" s="54"/>
      <c r="AY213" s="63"/>
      <c r="AZ213" s="55"/>
      <c r="BA213" s="10">
        <v>10</v>
      </c>
      <c r="BB213" s="15">
        <v>460</v>
      </c>
      <c r="BC213" s="11">
        <v>165</v>
      </c>
      <c r="BD213" s="10">
        <v>10</v>
      </c>
      <c r="BE213" s="15">
        <v>400</v>
      </c>
      <c r="BF213" s="11">
        <v>140</v>
      </c>
      <c r="BG213" s="10">
        <v>81</v>
      </c>
      <c r="BH213" s="15">
        <v>1484</v>
      </c>
      <c r="BI213" s="11">
        <v>950.6</v>
      </c>
      <c r="BJ213" s="10">
        <v>58.3</v>
      </c>
      <c r="BK213" s="15">
        <v>789</v>
      </c>
      <c r="BL213" s="11">
        <v>669.3</v>
      </c>
      <c r="BM213" s="46">
        <v>20</v>
      </c>
      <c r="BN213" s="43">
        <v>240</v>
      </c>
      <c r="BO213" s="47">
        <v>240</v>
      </c>
      <c r="BP213" s="46">
        <v>27</v>
      </c>
      <c r="BQ213" s="43">
        <v>756</v>
      </c>
      <c r="BR213" s="47">
        <v>350.4</v>
      </c>
      <c r="BS213" s="46">
        <v>57</v>
      </c>
      <c r="BT213" s="43">
        <v>756</v>
      </c>
      <c r="BU213" s="114">
        <v>657.8</v>
      </c>
      <c r="BV213" s="119">
        <v>40.299999999999997</v>
      </c>
      <c r="BW213" s="120">
        <v>903</v>
      </c>
      <c r="BX213" s="114">
        <v>512.04</v>
      </c>
      <c r="BY213" s="119">
        <v>17</v>
      </c>
      <c r="BZ213" s="120">
        <v>232</v>
      </c>
      <c r="CA213" s="114">
        <v>202.16</v>
      </c>
      <c r="CB213" s="119">
        <v>79</v>
      </c>
      <c r="CC213" s="120">
        <v>1676</v>
      </c>
      <c r="CD213" s="114">
        <v>981.76</v>
      </c>
      <c r="CE213" s="119">
        <v>63</v>
      </c>
      <c r="CF213" s="120">
        <v>924</v>
      </c>
      <c r="CG213" s="114">
        <v>722.88000000000011</v>
      </c>
      <c r="CH213" s="119">
        <v>105</v>
      </c>
      <c r="CI213" s="120">
        <v>1760</v>
      </c>
      <c r="CJ213" s="114">
        <v>1263.76</v>
      </c>
      <c r="CK213" s="54">
        <f t="shared" si="36"/>
        <v>567.6</v>
      </c>
      <c r="CL213" s="63">
        <f t="shared" si="37"/>
        <v>10380</v>
      </c>
      <c r="CM213" s="55">
        <f t="shared" si="38"/>
        <v>6855.7</v>
      </c>
      <c r="CN213" s="54">
        <f t="shared" si="39"/>
        <v>47.300000000000004</v>
      </c>
      <c r="CO213" s="63">
        <f t="shared" si="40"/>
        <v>865</v>
      </c>
      <c r="CP213" s="172">
        <f t="shared" si="41"/>
        <v>571.30833333333328</v>
      </c>
      <c r="CQ213" s="158">
        <v>122.5</v>
      </c>
      <c r="CR213" s="159">
        <v>1668</v>
      </c>
      <c r="CS213" s="179">
        <v>1450.3000000000002</v>
      </c>
      <c r="CT213" s="27">
        <v>63</v>
      </c>
      <c r="CU213" s="58">
        <v>860</v>
      </c>
      <c r="CV213" s="12">
        <v>731.6</v>
      </c>
      <c r="CW213" s="27"/>
      <c r="CX213" s="58"/>
      <c r="CY213" s="98"/>
      <c r="CZ213" s="27"/>
      <c r="DA213" s="58"/>
      <c r="DB213" s="12"/>
      <c r="DC213" s="27"/>
      <c r="DD213" s="58"/>
      <c r="DE213" s="12"/>
      <c r="DF213" s="27"/>
      <c r="DG213" s="58"/>
      <c r="DH213" s="12"/>
      <c r="DI213" s="27"/>
      <c r="DJ213" s="58"/>
      <c r="DK213" s="107"/>
      <c r="DL213" s="27"/>
      <c r="DM213" s="58"/>
      <c r="DN213" s="107"/>
      <c r="DO213" s="27"/>
      <c r="DP213" s="58"/>
      <c r="DQ213" s="107"/>
      <c r="DR213" s="27"/>
      <c r="DS213" s="58"/>
      <c r="DT213" s="12"/>
      <c r="DU213" s="27"/>
      <c r="DV213" s="58"/>
      <c r="DW213" s="12"/>
      <c r="DX213" s="27"/>
      <c r="DY213" s="58"/>
      <c r="DZ213" s="12"/>
    </row>
    <row r="214" spans="1:130" s="25" customFormat="1" ht="31.5" customHeight="1" x14ac:dyDescent="0.6">
      <c r="A214" s="5">
        <v>211</v>
      </c>
      <c r="B214" s="18" t="s">
        <v>536</v>
      </c>
      <c r="C214" s="18" t="s">
        <v>536</v>
      </c>
      <c r="D214" s="18" t="s">
        <v>529</v>
      </c>
      <c r="E214" s="23" t="s">
        <v>530</v>
      </c>
      <c r="F214" s="7" t="s">
        <v>531</v>
      </c>
      <c r="G214" s="123"/>
      <c r="H214" s="123"/>
      <c r="I214" s="123" t="s">
        <v>1073</v>
      </c>
      <c r="J214" s="49" t="s">
        <v>1165</v>
      </c>
      <c r="K214" s="27"/>
      <c r="L214" s="58"/>
      <c r="M214" s="78"/>
      <c r="N214" s="27"/>
      <c r="O214" s="58"/>
      <c r="P214" s="49"/>
      <c r="Q214" s="27"/>
      <c r="R214" s="58"/>
      <c r="S214" s="98"/>
      <c r="T214" s="27"/>
      <c r="U214" s="58"/>
      <c r="V214" s="12"/>
      <c r="W214" s="27"/>
      <c r="X214" s="58"/>
      <c r="Y214" s="12"/>
      <c r="Z214" s="27"/>
      <c r="AA214" s="58"/>
      <c r="AB214" s="12"/>
      <c r="AC214" s="27">
        <v>0</v>
      </c>
      <c r="AD214" s="58">
        <v>0</v>
      </c>
      <c r="AE214" s="12"/>
      <c r="AF214" s="27">
        <v>0</v>
      </c>
      <c r="AG214" s="58">
        <v>0</v>
      </c>
      <c r="AH214" s="12"/>
      <c r="AI214" s="27">
        <v>0</v>
      </c>
      <c r="AJ214" s="58">
        <v>0</v>
      </c>
      <c r="AK214" s="12"/>
      <c r="AL214" s="27">
        <v>0</v>
      </c>
      <c r="AM214" s="58">
        <v>0</v>
      </c>
      <c r="AN214" s="12"/>
      <c r="AO214" s="27">
        <v>0</v>
      </c>
      <c r="AP214" s="58">
        <v>0</v>
      </c>
      <c r="AQ214" s="12"/>
      <c r="AR214" s="27">
        <v>50</v>
      </c>
      <c r="AS214" s="58">
        <v>640</v>
      </c>
      <c r="AT214" s="12"/>
      <c r="AU214" s="54"/>
      <c r="AV214" s="63"/>
      <c r="AW214" s="55"/>
      <c r="AX214" s="54"/>
      <c r="AY214" s="63"/>
      <c r="AZ214" s="55"/>
      <c r="BA214" s="10">
        <v>43</v>
      </c>
      <c r="BB214" s="15">
        <v>684</v>
      </c>
      <c r="BC214" s="11">
        <v>439</v>
      </c>
      <c r="BD214" s="10">
        <v>50</v>
      </c>
      <c r="BE214" s="15">
        <v>700</v>
      </c>
      <c r="BF214" s="11">
        <v>448</v>
      </c>
      <c r="BG214" s="10">
        <v>192</v>
      </c>
      <c r="BH214" s="15">
        <v>2388</v>
      </c>
      <c r="BI214" s="11">
        <v>2176.3200000000002</v>
      </c>
      <c r="BJ214" s="10">
        <v>211</v>
      </c>
      <c r="BK214" s="15">
        <v>2780</v>
      </c>
      <c r="BL214" s="11">
        <v>2199.6</v>
      </c>
      <c r="BM214" s="46">
        <v>350</v>
      </c>
      <c r="BN214" s="43">
        <v>4300</v>
      </c>
      <c r="BO214" s="47">
        <v>4048</v>
      </c>
      <c r="BP214" s="46">
        <v>153</v>
      </c>
      <c r="BQ214" s="43">
        <v>1923</v>
      </c>
      <c r="BR214" s="47">
        <v>1845</v>
      </c>
      <c r="BS214" s="46">
        <v>317</v>
      </c>
      <c r="BT214" s="43">
        <v>4008</v>
      </c>
      <c r="BU214" s="114">
        <v>3627.6</v>
      </c>
      <c r="BV214" s="119">
        <v>71.3</v>
      </c>
      <c r="BW214" s="120">
        <v>983</v>
      </c>
      <c r="BX214" s="114">
        <v>704.04</v>
      </c>
      <c r="BY214" s="119">
        <v>47</v>
      </c>
      <c r="BZ214" s="120">
        <v>820</v>
      </c>
      <c r="CA214" s="114">
        <v>486.8</v>
      </c>
      <c r="CB214" s="119">
        <v>60</v>
      </c>
      <c r="CC214" s="120">
        <v>780</v>
      </c>
      <c r="CD214" s="114">
        <v>628.79999999999995</v>
      </c>
      <c r="CE214" s="119">
        <v>4</v>
      </c>
      <c r="CF214" s="120">
        <v>160</v>
      </c>
      <c r="CG214" s="114">
        <v>56</v>
      </c>
      <c r="CH214" s="119">
        <v>72</v>
      </c>
      <c r="CI214" s="120">
        <v>980</v>
      </c>
      <c r="CJ214" s="114">
        <v>776.8</v>
      </c>
      <c r="CK214" s="54">
        <f t="shared" si="36"/>
        <v>1570.3</v>
      </c>
      <c r="CL214" s="63">
        <f t="shared" si="37"/>
        <v>20506</v>
      </c>
      <c r="CM214" s="55">
        <f t="shared" si="38"/>
        <v>17435.96</v>
      </c>
      <c r="CN214" s="54">
        <f t="shared" si="39"/>
        <v>130.85833333333332</v>
      </c>
      <c r="CO214" s="63">
        <f t="shared" si="40"/>
        <v>1708.8333333333333</v>
      </c>
      <c r="CP214" s="172">
        <f t="shared" si="41"/>
        <v>1452.9966666666667</v>
      </c>
      <c r="CQ214" s="158">
        <v>77</v>
      </c>
      <c r="CR214" s="159">
        <v>1000</v>
      </c>
      <c r="CS214" s="179">
        <v>897.6</v>
      </c>
      <c r="CT214" s="27">
        <v>92</v>
      </c>
      <c r="CU214" s="58">
        <v>1220</v>
      </c>
      <c r="CV214" s="12">
        <v>1016.8</v>
      </c>
      <c r="CW214" s="27"/>
      <c r="CX214" s="58"/>
      <c r="CY214" s="98"/>
      <c r="CZ214" s="27"/>
      <c r="DA214" s="58"/>
      <c r="DB214" s="12"/>
      <c r="DC214" s="27"/>
      <c r="DD214" s="58"/>
      <c r="DE214" s="12"/>
      <c r="DF214" s="27"/>
      <c r="DG214" s="58"/>
      <c r="DH214" s="12"/>
      <c r="DI214" s="27"/>
      <c r="DJ214" s="58"/>
      <c r="DK214" s="107"/>
      <c r="DL214" s="27"/>
      <c r="DM214" s="58"/>
      <c r="DN214" s="107"/>
      <c r="DO214" s="27"/>
      <c r="DP214" s="58"/>
      <c r="DQ214" s="107"/>
      <c r="DR214" s="27"/>
      <c r="DS214" s="58"/>
      <c r="DT214" s="12"/>
      <c r="DU214" s="27"/>
      <c r="DV214" s="58"/>
      <c r="DW214" s="12"/>
      <c r="DX214" s="27"/>
      <c r="DY214" s="58"/>
      <c r="DZ214" s="12"/>
    </row>
    <row r="215" spans="1:130" s="25" customFormat="1" ht="31.5" customHeight="1" x14ac:dyDescent="0.6">
      <c r="A215" s="5">
        <v>212</v>
      </c>
      <c r="B215" s="18" t="s">
        <v>537</v>
      </c>
      <c r="C215" s="18" t="s">
        <v>538</v>
      </c>
      <c r="D215" s="18" t="s">
        <v>539</v>
      </c>
      <c r="E215" s="23" t="s">
        <v>530</v>
      </c>
      <c r="F215" s="7" t="s">
        <v>531</v>
      </c>
      <c r="G215" s="123"/>
      <c r="H215" s="123"/>
      <c r="I215" s="123" t="s">
        <v>1074</v>
      </c>
      <c r="J215" s="49" t="s">
        <v>1165</v>
      </c>
      <c r="K215" s="27"/>
      <c r="L215" s="58"/>
      <c r="M215" s="78"/>
      <c r="N215" s="27"/>
      <c r="O215" s="58"/>
      <c r="P215" s="49"/>
      <c r="Q215" s="27"/>
      <c r="R215" s="58"/>
      <c r="S215" s="98"/>
      <c r="T215" s="27"/>
      <c r="U215" s="58"/>
      <c r="V215" s="12"/>
      <c r="W215" s="27"/>
      <c r="X215" s="58"/>
      <c r="Y215" s="12"/>
      <c r="Z215" s="27"/>
      <c r="AA215" s="58"/>
      <c r="AB215" s="12"/>
      <c r="AC215" s="27">
        <v>0</v>
      </c>
      <c r="AD215" s="58">
        <v>0</v>
      </c>
      <c r="AE215" s="12"/>
      <c r="AF215" s="27">
        <v>0</v>
      </c>
      <c r="AG215" s="58">
        <v>0</v>
      </c>
      <c r="AH215" s="12"/>
      <c r="AI215" s="27">
        <v>0</v>
      </c>
      <c r="AJ215" s="58">
        <v>0</v>
      </c>
      <c r="AK215" s="12"/>
      <c r="AL215" s="27">
        <v>0</v>
      </c>
      <c r="AM215" s="58">
        <v>0</v>
      </c>
      <c r="AN215" s="12"/>
      <c r="AO215" s="27">
        <v>0</v>
      </c>
      <c r="AP215" s="58">
        <v>0</v>
      </c>
      <c r="AQ215" s="12"/>
      <c r="AR215" s="27">
        <v>0</v>
      </c>
      <c r="AS215" s="58">
        <v>0</v>
      </c>
      <c r="AT215" s="12"/>
      <c r="AU215" s="54"/>
      <c r="AV215" s="63"/>
      <c r="AW215" s="55"/>
      <c r="AX215" s="54"/>
      <c r="AY215" s="63"/>
      <c r="AZ215" s="55"/>
      <c r="BA215" s="10">
        <v>20</v>
      </c>
      <c r="BB215" s="15">
        <v>240</v>
      </c>
      <c r="BC215" s="11">
        <v>240</v>
      </c>
      <c r="BD215" s="10">
        <v>15</v>
      </c>
      <c r="BE215" s="15">
        <v>200</v>
      </c>
      <c r="BF215" s="11">
        <v>150</v>
      </c>
      <c r="BG215" s="10">
        <v>182</v>
      </c>
      <c r="BH215" s="15">
        <v>3780</v>
      </c>
      <c r="BI215" s="11">
        <v>2075</v>
      </c>
      <c r="BJ215" s="10">
        <v>125</v>
      </c>
      <c r="BK215" s="15">
        <v>1638</v>
      </c>
      <c r="BL215" s="11">
        <v>1267.5999999999999</v>
      </c>
      <c r="BM215" s="46">
        <v>29</v>
      </c>
      <c r="BN215" s="43">
        <v>460</v>
      </c>
      <c r="BO215" s="47">
        <v>356</v>
      </c>
      <c r="BP215" s="46">
        <v>167.5</v>
      </c>
      <c r="BQ215" s="43">
        <v>2190</v>
      </c>
      <c r="BR215" s="47">
        <v>1736.4</v>
      </c>
      <c r="BS215" s="46">
        <v>85</v>
      </c>
      <c r="BT215" s="43">
        <v>1384</v>
      </c>
      <c r="BU215" s="114">
        <v>1009.1</v>
      </c>
      <c r="BV215" s="119">
        <v>25</v>
      </c>
      <c r="BW215" s="120">
        <v>330</v>
      </c>
      <c r="BX215" s="114">
        <v>254.4</v>
      </c>
      <c r="BY215" s="119">
        <v>35.25</v>
      </c>
      <c r="BZ215" s="120">
        <v>591</v>
      </c>
      <c r="CA215" s="114">
        <v>434.03999999999996</v>
      </c>
      <c r="CB215" s="119">
        <v>61</v>
      </c>
      <c r="CC215" s="120">
        <v>740</v>
      </c>
      <c r="CD215" s="114">
        <v>719.84</v>
      </c>
      <c r="CE215" s="119">
        <v>46</v>
      </c>
      <c r="CF215" s="120">
        <v>556</v>
      </c>
      <c r="CG215" s="114">
        <v>542.08000000000004</v>
      </c>
      <c r="CH215" s="119">
        <v>87</v>
      </c>
      <c r="CI215" s="120">
        <v>1058</v>
      </c>
      <c r="CJ215" s="114">
        <v>998.72</v>
      </c>
      <c r="CK215" s="54">
        <f t="shared" si="36"/>
        <v>877.75</v>
      </c>
      <c r="CL215" s="63">
        <f t="shared" si="37"/>
        <v>13167</v>
      </c>
      <c r="CM215" s="55">
        <f t="shared" si="38"/>
        <v>9783.1799999999985</v>
      </c>
      <c r="CN215" s="54">
        <f t="shared" si="39"/>
        <v>73.145833333333329</v>
      </c>
      <c r="CO215" s="63">
        <f t="shared" si="40"/>
        <v>1097.25</v>
      </c>
      <c r="CP215" s="172">
        <f t="shared" si="41"/>
        <v>815.26499999999987</v>
      </c>
      <c r="CQ215" s="158">
        <v>71</v>
      </c>
      <c r="CR215" s="159">
        <v>1704</v>
      </c>
      <c r="CS215" s="179">
        <v>893.76</v>
      </c>
      <c r="CT215" s="27">
        <v>73</v>
      </c>
      <c r="CU215" s="58">
        <v>896</v>
      </c>
      <c r="CV215" s="12">
        <v>845.6</v>
      </c>
      <c r="CW215" s="27"/>
      <c r="CX215" s="58"/>
      <c r="CY215" s="98"/>
      <c r="CZ215" s="27"/>
      <c r="DA215" s="58"/>
      <c r="DB215" s="12"/>
      <c r="DC215" s="27"/>
      <c r="DD215" s="58"/>
      <c r="DE215" s="12"/>
      <c r="DF215" s="27"/>
      <c r="DG215" s="58"/>
      <c r="DH215" s="12"/>
      <c r="DI215" s="27"/>
      <c r="DJ215" s="58"/>
      <c r="DK215" s="107"/>
      <c r="DL215" s="27"/>
      <c r="DM215" s="58"/>
      <c r="DN215" s="107"/>
      <c r="DO215" s="27"/>
      <c r="DP215" s="58"/>
      <c r="DQ215" s="107"/>
      <c r="DR215" s="27"/>
      <c r="DS215" s="58"/>
      <c r="DT215" s="12"/>
      <c r="DU215" s="27"/>
      <c r="DV215" s="58"/>
      <c r="DW215" s="12"/>
      <c r="DX215" s="27"/>
      <c r="DY215" s="58"/>
      <c r="DZ215" s="12"/>
    </row>
    <row r="216" spans="1:130" s="25" customFormat="1" ht="31.5" customHeight="1" x14ac:dyDescent="0.6">
      <c r="A216" s="5">
        <v>213</v>
      </c>
      <c r="B216" s="18" t="s">
        <v>112</v>
      </c>
      <c r="C216" s="18" t="s">
        <v>113</v>
      </c>
      <c r="D216" s="18" t="s">
        <v>540</v>
      </c>
      <c r="E216" s="23" t="s">
        <v>530</v>
      </c>
      <c r="F216" s="7" t="s">
        <v>531</v>
      </c>
      <c r="G216" s="123"/>
      <c r="H216" s="123"/>
      <c r="I216" s="123" t="s">
        <v>1075</v>
      </c>
      <c r="J216" s="49" t="s">
        <v>1165</v>
      </c>
      <c r="K216" s="27"/>
      <c r="L216" s="58"/>
      <c r="M216" s="78"/>
      <c r="N216" s="27"/>
      <c r="O216" s="58"/>
      <c r="P216" s="49"/>
      <c r="Q216" s="27"/>
      <c r="R216" s="58"/>
      <c r="S216" s="98"/>
      <c r="T216" s="27"/>
      <c r="U216" s="58"/>
      <c r="V216" s="12"/>
      <c r="W216" s="27"/>
      <c r="X216" s="58"/>
      <c r="Y216" s="12"/>
      <c r="Z216" s="27"/>
      <c r="AA216" s="58"/>
      <c r="AB216" s="12"/>
      <c r="AC216" s="27">
        <v>0</v>
      </c>
      <c r="AD216" s="58">
        <v>0</v>
      </c>
      <c r="AE216" s="12"/>
      <c r="AF216" s="27">
        <v>0</v>
      </c>
      <c r="AG216" s="58">
        <v>0</v>
      </c>
      <c r="AH216" s="12"/>
      <c r="AI216" s="27">
        <v>0</v>
      </c>
      <c r="AJ216" s="58">
        <v>0</v>
      </c>
      <c r="AK216" s="12"/>
      <c r="AL216" s="27">
        <v>0</v>
      </c>
      <c r="AM216" s="58">
        <v>0</v>
      </c>
      <c r="AN216" s="12"/>
      <c r="AO216" s="27">
        <v>0</v>
      </c>
      <c r="AP216" s="58">
        <v>0</v>
      </c>
      <c r="AQ216" s="12"/>
      <c r="AR216" s="27">
        <v>20</v>
      </c>
      <c r="AS216" s="58">
        <v>240</v>
      </c>
      <c r="AT216" s="12"/>
      <c r="AU216" s="54"/>
      <c r="AV216" s="63"/>
      <c r="AW216" s="55"/>
      <c r="AX216" s="54"/>
      <c r="AY216" s="63"/>
      <c r="AZ216" s="55"/>
      <c r="BA216" s="10">
        <v>21</v>
      </c>
      <c r="BB216" s="15">
        <v>335</v>
      </c>
      <c r="BC216" s="11">
        <v>266.92</v>
      </c>
      <c r="BD216" s="10">
        <v>2.75</v>
      </c>
      <c r="BE216" s="15">
        <v>54</v>
      </c>
      <c r="BF216" s="11">
        <v>18.399999999999999</v>
      </c>
      <c r="BG216" s="10">
        <v>104</v>
      </c>
      <c r="BH216" s="15">
        <v>1284</v>
      </c>
      <c r="BI216" s="11">
        <v>1165</v>
      </c>
      <c r="BJ216" s="10">
        <v>130</v>
      </c>
      <c r="BK216" s="15">
        <v>1760</v>
      </c>
      <c r="BL216" s="11">
        <v>1256</v>
      </c>
      <c r="BM216" s="46">
        <v>89</v>
      </c>
      <c r="BN216" s="43">
        <v>1587</v>
      </c>
      <c r="BO216" s="47">
        <v>920.18</v>
      </c>
      <c r="BP216" s="46">
        <v>93</v>
      </c>
      <c r="BQ216" s="43">
        <v>1584</v>
      </c>
      <c r="BR216" s="47">
        <v>956.16000000000008</v>
      </c>
      <c r="BS216" s="46">
        <v>66</v>
      </c>
      <c r="BT216" s="43">
        <v>852</v>
      </c>
      <c r="BU216" s="114">
        <v>780.31999999999994</v>
      </c>
      <c r="BV216" s="119">
        <v>15.3</v>
      </c>
      <c r="BW216" s="120">
        <v>183</v>
      </c>
      <c r="BX216" s="114">
        <v>182.04</v>
      </c>
      <c r="BY216" s="119">
        <v>14.25</v>
      </c>
      <c r="BZ216" s="120">
        <v>227</v>
      </c>
      <c r="CA216" s="114">
        <v>174.04</v>
      </c>
      <c r="CB216" s="119">
        <v>73</v>
      </c>
      <c r="CC216" s="120">
        <v>1380</v>
      </c>
      <c r="CD216" s="114">
        <v>912</v>
      </c>
      <c r="CE216" s="119">
        <v>109</v>
      </c>
      <c r="CF216" s="120">
        <v>1308</v>
      </c>
      <c r="CG216" s="114">
        <v>1293.5999999999999</v>
      </c>
      <c r="CH216" s="119">
        <v>127</v>
      </c>
      <c r="CI216" s="120">
        <v>1636</v>
      </c>
      <c r="CJ216" s="114">
        <v>1517.6</v>
      </c>
      <c r="CK216" s="54">
        <f t="shared" si="36"/>
        <v>844.3</v>
      </c>
      <c r="CL216" s="63">
        <f t="shared" si="37"/>
        <v>12190</v>
      </c>
      <c r="CM216" s="55">
        <f t="shared" si="38"/>
        <v>9442.26</v>
      </c>
      <c r="CN216" s="54">
        <f t="shared" si="39"/>
        <v>70.358333333333334</v>
      </c>
      <c r="CO216" s="63">
        <f t="shared" si="40"/>
        <v>1015.8333333333334</v>
      </c>
      <c r="CP216" s="172">
        <f t="shared" si="41"/>
        <v>786.85500000000002</v>
      </c>
      <c r="CQ216" s="158">
        <v>60</v>
      </c>
      <c r="CR216" s="159">
        <v>776</v>
      </c>
      <c r="CS216" s="179">
        <v>709.6</v>
      </c>
      <c r="CT216" s="27">
        <v>83.081999999999994</v>
      </c>
      <c r="CU216" s="58">
        <v>1368</v>
      </c>
      <c r="CV216" s="12">
        <v>971.81999999999994</v>
      </c>
      <c r="CW216" s="27"/>
      <c r="CX216" s="58"/>
      <c r="CY216" s="98"/>
      <c r="CZ216" s="27"/>
      <c r="DA216" s="58"/>
      <c r="DB216" s="12"/>
      <c r="DC216" s="27"/>
      <c r="DD216" s="58"/>
      <c r="DE216" s="12"/>
      <c r="DF216" s="27"/>
      <c r="DG216" s="58"/>
      <c r="DH216" s="12"/>
      <c r="DI216" s="27"/>
      <c r="DJ216" s="58"/>
      <c r="DK216" s="107"/>
      <c r="DL216" s="27"/>
      <c r="DM216" s="58"/>
      <c r="DN216" s="107"/>
      <c r="DO216" s="27"/>
      <c r="DP216" s="58"/>
      <c r="DQ216" s="107"/>
      <c r="DR216" s="27"/>
      <c r="DS216" s="58"/>
      <c r="DT216" s="12"/>
      <c r="DU216" s="27"/>
      <c r="DV216" s="58"/>
      <c r="DW216" s="12"/>
      <c r="DX216" s="27"/>
      <c r="DY216" s="58"/>
      <c r="DZ216" s="12"/>
    </row>
    <row r="217" spans="1:130" s="25" customFormat="1" ht="31.5" customHeight="1" x14ac:dyDescent="0.6">
      <c r="A217" s="5">
        <v>214</v>
      </c>
      <c r="B217" s="18" t="s">
        <v>666</v>
      </c>
      <c r="C217" s="18"/>
      <c r="D217" s="18"/>
      <c r="E217" s="23"/>
      <c r="F217" s="7"/>
      <c r="G217" s="123"/>
      <c r="H217" s="123"/>
      <c r="I217" s="123"/>
      <c r="J217" s="49"/>
      <c r="K217" s="27"/>
      <c r="L217" s="58"/>
      <c r="M217" s="78"/>
      <c r="N217" s="27"/>
      <c r="O217" s="58"/>
      <c r="P217" s="49"/>
      <c r="Q217" s="27"/>
      <c r="R217" s="58"/>
      <c r="S217" s="98"/>
      <c r="T217" s="27"/>
      <c r="U217" s="58"/>
      <c r="V217" s="12"/>
      <c r="W217" s="27"/>
      <c r="X217" s="58"/>
      <c r="Y217" s="12"/>
      <c r="Z217" s="27"/>
      <c r="AA217" s="58"/>
      <c r="AB217" s="12"/>
      <c r="AC217" s="27"/>
      <c r="AD217" s="58"/>
      <c r="AE217" s="12"/>
      <c r="AF217" s="27"/>
      <c r="AG217" s="58"/>
      <c r="AH217" s="12"/>
      <c r="AI217" s="27"/>
      <c r="AJ217" s="58"/>
      <c r="AK217" s="12"/>
      <c r="AL217" s="27"/>
      <c r="AM217" s="58"/>
      <c r="AN217" s="12"/>
      <c r="AO217" s="27"/>
      <c r="AP217" s="58"/>
      <c r="AQ217" s="12"/>
      <c r="AR217" s="27"/>
      <c r="AS217" s="58"/>
      <c r="AT217" s="12"/>
      <c r="AU217" s="54"/>
      <c r="AV217" s="63"/>
      <c r="AW217" s="55"/>
      <c r="AX217" s="54"/>
      <c r="AY217" s="63"/>
      <c r="AZ217" s="55"/>
      <c r="BA217" s="10"/>
      <c r="BB217" s="15"/>
      <c r="BC217" s="11"/>
      <c r="BD217" s="10"/>
      <c r="BE217" s="15"/>
      <c r="BF217" s="11"/>
      <c r="BG217" s="10"/>
      <c r="BH217" s="15"/>
      <c r="BI217" s="11"/>
      <c r="BJ217" s="10"/>
      <c r="BK217" s="15"/>
      <c r="BL217" s="11"/>
      <c r="BM217" s="46"/>
      <c r="BN217" s="43"/>
      <c r="BO217" s="47"/>
      <c r="BP217" s="46"/>
      <c r="BQ217" s="43"/>
      <c r="BR217" s="47"/>
      <c r="BS217" s="46"/>
      <c r="BT217" s="43"/>
      <c r="BU217" s="114"/>
      <c r="BV217" s="119"/>
      <c r="BW217" s="120"/>
      <c r="BX217" s="114"/>
      <c r="BY217" s="119"/>
      <c r="BZ217" s="120"/>
      <c r="CA217" s="114"/>
      <c r="CB217" s="119"/>
      <c r="CC217" s="120"/>
      <c r="CD217" s="114"/>
      <c r="CE217" s="119"/>
      <c r="CF217" s="120"/>
      <c r="CG217" s="114"/>
      <c r="CH217" s="119"/>
      <c r="CI217" s="120"/>
      <c r="CJ217" s="114"/>
      <c r="CK217" s="54"/>
      <c r="CL217" s="63"/>
      <c r="CM217" s="55"/>
      <c r="CN217" s="54"/>
      <c r="CO217" s="63"/>
      <c r="CP217" s="172"/>
      <c r="CQ217" s="158">
        <v>150</v>
      </c>
      <c r="CR217" s="159">
        <v>2060</v>
      </c>
      <c r="CS217" s="179">
        <v>1404.8</v>
      </c>
      <c r="CT217" s="27">
        <v>121</v>
      </c>
      <c r="CU217" s="58">
        <v>1512</v>
      </c>
      <c r="CV217" s="12">
        <v>1360.8</v>
      </c>
      <c r="CW217" s="27"/>
      <c r="CX217" s="58"/>
      <c r="CY217" s="98"/>
      <c r="CZ217" s="27"/>
      <c r="DA217" s="58"/>
      <c r="DB217" s="12"/>
      <c r="DC217" s="27"/>
      <c r="DD217" s="58"/>
      <c r="DE217" s="12"/>
      <c r="DF217" s="27"/>
      <c r="DG217" s="58"/>
      <c r="DH217" s="12"/>
      <c r="DI217" s="27"/>
      <c r="DJ217" s="58"/>
      <c r="DK217" s="107"/>
      <c r="DL217" s="27"/>
      <c r="DM217" s="58"/>
      <c r="DN217" s="107"/>
      <c r="DO217" s="27"/>
      <c r="DP217" s="58"/>
      <c r="DQ217" s="107"/>
      <c r="DR217" s="27"/>
      <c r="DS217" s="58"/>
      <c r="DT217" s="12"/>
      <c r="DU217" s="27"/>
      <c r="DV217" s="58"/>
      <c r="DW217" s="12"/>
      <c r="DX217" s="27"/>
      <c r="DY217" s="58"/>
      <c r="DZ217" s="12"/>
    </row>
    <row r="218" spans="1:130" s="25" customFormat="1" ht="31.5" customHeight="1" x14ac:dyDescent="0.6">
      <c r="A218" s="5">
        <v>215</v>
      </c>
      <c r="B218" s="18" t="s">
        <v>1160</v>
      </c>
      <c r="C218" s="18"/>
      <c r="D218" s="18"/>
      <c r="E218" s="23"/>
      <c r="F218" s="7"/>
      <c r="G218" s="123"/>
      <c r="H218" s="123"/>
      <c r="I218" s="123"/>
      <c r="J218" s="49"/>
      <c r="K218" s="27"/>
      <c r="L218" s="58"/>
      <c r="M218" s="78"/>
      <c r="N218" s="27"/>
      <c r="O218" s="58"/>
      <c r="P218" s="49"/>
      <c r="Q218" s="27"/>
      <c r="R218" s="58"/>
      <c r="S218" s="98"/>
      <c r="T218" s="27"/>
      <c r="U218" s="58"/>
      <c r="V218" s="12"/>
      <c r="W218" s="27"/>
      <c r="X218" s="58"/>
      <c r="Y218" s="12"/>
      <c r="Z218" s="27"/>
      <c r="AA218" s="58"/>
      <c r="AB218" s="12"/>
      <c r="AC218" s="27"/>
      <c r="AD218" s="58"/>
      <c r="AE218" s="12"/>
      <c r="AF218" s="27"/>
      <c r="AG218" s="58"/>
      <c r="AH218" s="12"/>
      <c r="AI218" s="27"/>
      <c r="AJ218" s="58"/>
      <c r="AK218" s="12"/>
      <c r="AL218" s="27"/>
      <c r="AM218" s="58"/>
      <c r="AN218" s="12"/>
      <c r="AO218" s="27"/>
      <c r="AP218" s="58"/>
      <c r="AQ218" s="12"/>
      <c r="AR218" s="27"/>
      <c r="AS218" s="58"/>
      <c r="AT218" s="12"/>
      <c r="AU218" s="54"/>
      <c r="AV218" s="63"/>
      <c r="AW218" s="55"/>
      <c r="AX218" s="54"/>
      <c r="AY218" s="63"/>
      <c r="AZ218" s="55"/>
      <c r="BA218" s="10"/>
      <c r="BB218" s="15"/>
      <c r="BC218" s="11"/>
      <c r="BD218" s="10"/>
      <c r="BE218" s="15"/>
      <c r="BF218" s="11"/>
      <c r="BG218" s="10"/>
      <c r="BH218" s="15"/>
      <c r="BI218" s="11"/>
      <c r="BJ218" s="10"/>
      <c r="BK218" s="15"/>
      <c r="BL218" s="11"/>
      <c r="BM218" s="46"/>
      <c r="BN218" s="43"/>
      <c r="BO218" s="47"/>
      <c r="BP218" s="46"/>
      <c r="BQ218" s="43"/>
      <c r="BR218" s="47"/>
      <c r="BS218" s="46"/>
      <c r="BT218" s="43"/>
      <c r="BU218" s="114"/>
      <c r="BV218" s="119"/>
      <c r="BW218" s="120"/>
      <c r="BX218" s="114"/>
      <c r="BY218" s="119"/>
      <c r="BZ218" s="120"/>
      <c r="CA218" s="114"/>
      <c r="CB218" s="119"/>
      <c r="CC218" s="120"/>
      <c r="CD218" s="114"/>
      <c r="CE218" s="119"/>
      <c r="CF218" s="120"/>
      <c r="CG218" s="114"/>
      <c r="CH218" s="119"/>
      <c r="CI218" s="120"/>
      <c r="CJ218" s="114"/>
      <c r="CK218" s="54"/>
      <c r="CL218" s="63"/>
      <c r="CM218" s="55"/>
      <c r="CN218" s="54"/>
      <c r="CO218" s="63"/>
      <c r="CP218" s="172"/>
      <c r="CQ218" s="158">
        <v>107.333</v>
      </c>
      <c r="CR218" s="159">
        <v>1328</v>
      </c>
      <c r="CS218" s="179">
        <v>1285.1999999999998</v>
      </c>
      <c r="CT218" s="27">
        <v>181</v>
      </c>
      <c r="CU218" s="58">
        <v>2200</v>
      </c>
      <c r="CV218" s="12">
        <v>2174</v>
      </c>
      <c r="CW218" s="27"/>
      <c r="CX218" s="58"/>
      <c r="CY218" s="98"/>
      <c r="CZ218" s="27"/>
      <c r="DA218" s="58"/>
      <c r="DB218" s="12"/>
      <c r="DC218" s="27"/>
      <c r="DD218" s="58"/>
      <c r="DE218" s="12"/>
      <c r="DF218" s="27"/>
      <c r="DG218" s="58"/>
      <c r="DH218" s="12"/>
      <c r="DI218" s="27"/>
      <c r="DJ218" s="58"/>
      <c r="DK218" s="107"/>
      <c r="DL218" s="27"/>
      <c r="DM218" s="58"/>
      <c r="DN218" s="107"/>
      <c r="DO218" s="27"/>
      <c r="DP218" s="58"/>
      <c r="DQ218" s="107"/>
      <c r="DR218" s="27"/>
      <c r="DS218" s="58"/>
      <c r="DT218" s="12"/>
      <c r="DU218" s="27"/>
      <c r="DV218" s="58"/>
      <c r="DW218" s="12"/>
      <c r="DX218" s="27"/>
      <c r="DY218" s="58"/>
      <c r="DZ218" s="12"/>
    </row>
    <row r="219" spans="1:130" s="25" customFormat="1" ht="31.5" customHeight="1" x14ac:dyDescent="0.6">
      <c r="A219" s="5">
        <v>216</v>
      </c>
      <c r="B219" s="153" t="s">
        <v>541</v>
      </c>
      <c r="C219" s="18" t="s">
        <v>542</v>
      </c>
      <c r="D219" s="18" t="s">
        <v>543</v>
      </c>
      <c r="E219" s="23" t="s">
        <v>544</v>
      </c>
      <c r="F219" s="7" t="s">
        <v>545</v>
      </c>
      <c r="G219" s="123"/>
      <c r="H219" s="123"/>
      <c r="I219" s="123" t="s">
        <v>1076</v>
      </c>
      <c r="J219" s="49" t="s">
        <v>546</v>
      </c>
      <c r="K219" s="27"/>
      <c r="L219" s="58"/>
      <c r="M219" s="78"/>
      <c r="N219" s="27"/>
      <c r="O219" s="58"/>
      <c r="P219" s="49"/>
      <c r="Q219" s="27"/>
      <c r="R219" s="58"/>
      <c r="S219" s="98"/>
      <c r="T219" s="27"/>
      <c r="U219" s="58"/>
      <c r="V219" s="12"/>
      <c r="W219" s="27"/>
      <c r="X219" s="58"/>
      <c r="Y219" s="12"/>
      <c r="Z219" s="27"/>
      <c r="AA219" s="58"/>
      <c r="AB219" s="12"/>
      <c r="AC219" s="27">
        <v>40</v>
      </c>
      <c r="AD219" s="58">
        <v>620</v>
      </c>
      <c r="AE219" s="12"/>
      <c r="AF219" s="27">
        <v>35</v>
      </c>
      <c r="AG219" s="58">
        <v>560</v>
      </c>
      <c r="AH219" s="12"/>
      <c r="AI219" s="27">
        <v>42</v>
      </c>
      <c r="AJ219" s="58">
        <v>672</v>
      </c>
      <c r="AK219" s="12"/>
      <c r="AL219" s="27">
        <v>60</v>
      </c>
      <c r="AM219" s="58">
        <v>888</v>
      </c>
      <c r="AN219" s="12"/>
      <c r="AO219" s="27">
        <v>22</v>
      </c>
      <c r="AP219" s="58">
        <v>376</v>
      </c>
      <c r="AQ219" s="12"/>
      <c r="AR219" s="27">
        <v>18</v>
      </c>
      <c r="AS219" s="58">
        <v>216</v>
      </c>
      <c r="AT219" s="12"/>
      <c r="AU219" s="54"/>
      <c r="AV219" s="63"/>
      <c r="AW219" s="55"/>
      <c r="AX219" s="54"/>
      <c r="AY219" s="63"/>
      <c r="AZ219" s="55"/>
      <c r="BA219" s="10">
        <v>14</v>
      </c>
      <c r="BB219" s="15">
        <v>252</v>
      </c>
      <c r="BC219" s="11">
        <v>150</v>
      </c>
      <c r="BD219" s="10">
        <v>0</v>
      </c>
      <c r="BE219" s="15">
        <v>0</v>
      </c>
      <c r="BF219" s="11">
        <v>0</v>
      </c>
      <c r="BG219" s="10">
        <v>49</v>
      </c>
      <c r="BH219" s="15">
        <v>644</v>
      </c>
      <c r="BI219" s="11">
        <v>544</v>
      </c>
      <c r="BJ219" s="10">
        <v>36</v>
      </c>
      <c r="BK219" s="15">
        <v>516</v>
      </c>
      <c r="BL219" s="11">
        <v>423.6</v>
      </c>
      <c r="BM219" s="46">
        <v>94</v>
      </c>
      <c r="BN219" s="43">
        <v>1296</v>
      </c>
      <c r="BO219" s="47">
        <v>1078.8</v>
      </c>
      <c r="BP219" s="46">
        <v>30</v>
      </c>
      <c r="BQ219" s="43">
        <v>416</v>
      </c>
      <c r="BR219" s="47">
        <v>349.6</v>
      </c>
      <c r="BS219" s="46">
        <v>97</v>
      </c>
      <c r="BT219" s="43">
        <v>1480</v>
      </c>
      <c r="BU219" s="114">
        <v>1156.5999999999999</v>
      </c>
      <c r="BV219" s="119">
        <v>42.3</v>
      </c>
      <c r="BW219" s="120">
        <v>619</v>
      </c>
      <c r="BX219" s="114">
        <v>475.64</v>
      </c>
      <c r="BY219" s="119">
        <v>49</v>
      </c>
      <c r="BZ219" s="120">
        <v>644</v>
      </c>
      <c r="CA219" s="114">
        <v>554.55999999999995</v>
      </c>
      <c r="CB219" s="119">
        <v>38</v>
      </c>
      <c r="CC219" s="120">
        <v>484</v>
      </c>
      <c r="CD219" s="114">
        <v>448.4</v>
      </c>
      <c r="CE219" s="119">
        <v>79</v>
      </c>
      <c r="CF219" s="120">
        <v>1192</v>
      </c>
      <c r="CG219" s="114">
        <v>880.80000000000007</v>
      </c>
      <c r="CH219" s="119">
        <v>75</v>
      </c>
      <c r="CI219" s="120">
        <v>1012</v>
      </c>
      <c r="CJ219" s="114">
        <v>898.4</v>
      </c>
      <c r="CK219" s="54">
        <f t="shared" si="36"/>
        <v>603.29999999999995</v>
      </c>
      <c r="CL219" s="63">
        <f t="shared" si="37"/>
        <v>8555</v>
      </c>
      <c r="CM219" s="55">
        <f t="shared" si="38"/>
        <v>6960.3999999999987</v>
      </c>
      <c r="CN219" s="54">
        <f t="shared" si="39"/>
        <v>50.274999999999999</v>
      </c>
      <c r="CO219" s="63">
        <f t="shared" si="40"/>
        <v>712.91666666666663</v>
      </c>
      <c r="CP219" s="172">
        <f t="shared" si="41"/>
        <v>580.03333333333319</v>
      </c>
      <c r="CQ219" s="158">
        <v>62</v>
      </c>
      <c r="CR219" s="159">
        <v>1136</v>
      </c>
      <c r="CS219" s="179">
        <v>728.80000000000007</v>
      </c>
      <c r="CT219" s="27">
        <v>25</v>
      </c>
      <c r="CU219" s="58">
        <v>384</v>
      </c>
      <c r="CV219" s="12">
        <v>296.39999999999998</v>
      </c>
      <c r="CW219" s="27"/>
      <c r="CX219" s="58"/>
      <c r="CY219" s="98"/>
      <c r="CZ219" s="27"/>
      <c r="DA219" s="58"/>
      <c r="DB219" s="12"/>
      <c r="DC219" s="27"/>
      <c r="DD219" s="58"/>
      <c r="DE219" s="12"/>
      <c r="DF219" s="27"/>
      <c r="DG219" s="58"/>
      <c r="DH219" s="12"/>
      <c r="DI219" s="27"/>
      <c r="DJ219" s="58"/>
      <c r="DK219" s="107"/>
      <c r="DL219" s="27"/>
      <c r="DM219" s="58"/>
      <c r="DN219" s="107"/>
      <c r="DO219" s="27"/>
      <c r="DP219" s="58"/>
      <c r="DQ219" s="107"/>
      <c r="DR219" s="27"/>
      <c r="DS219" s="58"/>
      <c r="DT219" s="12"/>
      <c r="DU219" s="27"/>
      <c r="DV219" s="58"/>
      <c r="DW219" s="12"/>
      <c r="DX219" s="27"/>
      <c r="DY219" s="58"/>
      <c r="DZ219" s="12"/>
    </row>
    <row r="220" spans="1:130" s="25" customFormat="1" ht="31.5" customHeight="1" x14ac:dyDescent="0.6">
      <c r="A220" s="5">
        <v>217</v>
      </c>
      <c r="B220" s="18" t="s">
        <v>547</v>
      </c>
      <c r="C220" s="18" t="s">
        <v>548</v>
      </c>
      <c r="D220" s="18" t="s">
        <v>543</v>
      </c>
      <c r="E220" s="23" t="s">
        <v>544</v>
      </c>
      <c r="F220" s="7" t="s">
        <v>545</v>
      </c>
      <c r="G220" s="123"/>
      <c r="H220" s="123"/>
      <c r="I220" s="123" t="s">
        <v>1077</v>
      </c>
      <c r="J220" s="49" t="s">
        <v>546</v>
      </c>
      <c r="K220" s="27"/>
      <c r="L220" s="58"/>
      <c r="M220" s="78"/>
      <c r="N220" s="27"/>
      <c r="O220" s="58"/>
      <c r="P220" s="49"/>
      <c r="Q220" s="27"/>
      <c r="R220" s="58"/>
      <c r="S220" s="98"/>
      <c r="T220" s="27"/>
      <c r="U220" s="58"/>
      <c r="V220" s="12"/>
      <c r="W220" s="27"/>
      <c r="X220" s="58"/>
      <c r="Y220" s="12"/>
      <c r="Z220" s="27"/>
      <c r="AA220" s="58"/>
      <c r="AB220" s="12"/>
      <c r="AC220" s="27">
        <v>21</v>
      </c>
      <c r="AD220" s="58">
        <v>336</v>
      </c>
      <c r="AE220" s="12"/>
      <c r="AF220" s="27">
        <v>8</v>
      </c>
      <c r="AG220" s="58">
        <v>180</v>
      </c>
      <c r="AH220" s="12"/>
      <c r="AI220" s="27">
        <v>16</v>
      </c>
      <c r="AJ220" s="58">
        <v>248</v>
      </c>
      <c r="AK220" s="12"/>
      <c r="AL220" s="27">
        <v>18</v>
      </c>
      <c r="AM220" s="58">
        <v>216</v>
      </c>
      <c r="AN220" s="12"/>
      <c r="AO220" s="27">
        <v>16</v>
      </c>
      <c r="AP220" s="58">
        <v>304</v>
      </c>
      <c r="AQ220" s="12"/>
      <c r="AR220" s="27">
        <v>24</v>
      </c>
      <c r="AS220" s="58">
        <v>410</v>
      </c>
      <c r="AT220" s="12"/>
      <c r="AU220" s="54"/>
      <c r="AV220" s="63"/>
      <c r="AW220" s="55"/>
      <c r="AX220" s="54"/>
      <c r="AY220" s="63"/>
      <c r="AZ220" s="55"/>
      <c r="BA220" s="10">
        <v>32</v>
      </c>
      <c r="BB220" s="15">
        <v>468</v>
      </c>
      <c r="BC220" s="11">
        <v>347.2</v>
      </c>
      <c r="BD220" s="10">
        <v>54</v>
      </c>
      <c r="BE220" s="15">
        <v>676</v>
      </c>
      <c r="BF220" s="11">
        <v>611.20000000000005</v>
      </c>
      <c r="BG220" s="10">
        <v>29</v>
      </c>
      <c r="BH220" s="15">
        <v>432</v>
      </c>
      <c r="BI220" s="11">
        <v>325.2</v>
      </c>
      <c r="BJ220" s="10">
        <v>25</v>
      </c>
      <c r="BK220" s="15">
        <v>356</v>
      </c>
      <c r="BL220" s="11">
        <v>260.79999999999995</v>
      </c>
      <c r="BM220" s="46">
        <v>20</v>
      </c>
      <c r="BN220" s="43">
        <v>296</v>
      </c>
      <c r="BO220" s="47">
        <v>229.6</v>
      </c>
      <c r="BP220" s="46">
        <v>33</v>
      </c>
      <c r="BQ220" s="43">
        <v>536</v>
      </c>
      <c r="BR220" s="47">
        <v>367.4</v>
      </c>
      <c r="BS220" s="46">
        <v>19</v>
      </c>
      <c r="BT220" s="43">
        <v>256</v>
      </c>
      <c r="BU220" s="114">
        <v>201.2</v>
      </c>
      <c r="BV220" s="119">
        <v>17.3</v>
      </c>
      <c r="BW220" s="120">
        <v>263</v>
      </c>
      <c r="BX220" s="114">
        <v>210.04</v>
      </c>
      <c r="BY220" s="119">
        <v>26</v>
      </c>
      <c r="BZ220" s="120">
        <v>396</v>
      </c>
      <c r="CA220" s="114">
        <v>303.60000000000002</v>
      </c>
      <c r="CB220" s="119">
        <v>22</v>
      </c>
      <c r="CC220" s="120">
        <v>264</v>
      </c>
      <c r="CD220" s="114">
        <v>264</v>
      </c>
      <c r="CE220" s="119">
        <v>101</v>
      </c>
      <c r="CF220" s="120">
        <v>1352</v>
      </c>
      <c r="CG220" s="114">
        <v>1183.5999999999999</v>
      </c>
      <c r="CH220" s="119">
        <v>74</v>
      </c>
      <c r="CI220" s="120">
        <v>1252</v>
      </c>
      <c r="CJ220" s="114">
        <v>885.2</v>
      </c>
      <c r="CK220" s="54">
        <f t="shared" si="36"/>
        <v>452.3</v>
      </c>
      <c r="CL220" s="63">
        <f t="shared" si="37"/>
        <v>6547</v>
      </c>
      <c r="CM220" s="55">
        <f t="shared" si="38"/>
        <v>5189.04</v>
      </c>
      <c r="CN220" s="54">
        <f t="shared" si="39"/>
        <v>37.69166666666667</v>
      </c>
      <c r="CO220" s="63">
        <f t="shared" si="40"/>
        <v>545.58333333333337</v>
      </c>
      <c r="CP220" s="172">
        <f t="shared" si="41"/>
        <v>432.42</v>
      </c>
      <c r="CQ220" s="158">
        <v>66</v>
      </c>
      <c r="CR220" s="159">
        <v>876</v>
      </c>
      <c r="CS220" s="179">
        <v>783.6</v>
      </c>
      <c r="CT220" s="27">
        <v>30</v>
      </c>
      <c r="CU220" s="58">
        <v>500</v>
      </c>
      <c r="CV220" s="12">
        <v>370</v>
      </c>
      <c r="CW220" s="27"/>
      <c r="CX220" s="58"/>
      <c r="CY220" s="98"/>
      <c r="CZ220" s="27"/>
      <c r="DA220" s="58"/>
      <c r="DB220" s="12"/>
      <c r="DC220" s="27"/>
      <c r="DD220" s="58"/>
      <c r="DE220" s="12"/>
      <c r="DF220" s="27"/>
      <c r="DG220" s="58"/>
      <c r="DH220" s="12"/>
      <c r="DI220" s="27"/>
      <c r="DJ220" s="58"/>
      <c r="DK220" s="107"/>
      <c r="DL220" s="27"/>
      <c r="DM220" s="58"/>
      <c r="DN220" s="107"/>
      <c r="DO220" s="27"/>
      <c r="DP220" s="58"/>
      <c r="DQ220" s="107"/>
      <c r="DR220" s="27"/>
      <c r="DS220" s="58"/>
      <c r="DT220" s="12"/>
      <c r="DU220" s="27"/>
      <c r="DV220" s="58"/>
      <c r="DW220" s="12"/>
      <c r="DX220" s="27"/>
      <c r="DY220" s="58"/>
      <c r="DZ220" s="12"/>
    </row>
    <row r="221" spans="1:130" s="25" customFormat="1" ht="31.5" customHeight="1" x14ac:dyDescent="0.6">
      <c r="A221" s="5">
        <v>218</v>
      </c>
      <c r="B221" s="18" t="s">
        <v>549</v>
      </c>
      <c r="C221" s="18" t="s">
        <v>550</v>
      </c>
      <c r="D221" s="18" t="s">
        <v>543</v>
      </c>
      <c r="E221" s="23" t="s">
        <v>544</v>
      </c>
      <c r="F221" s="7" t="s">
        <v>545</v>
      </c>
      <c r="G221" s="123"/>
      <c r="H221" s="123"/>
      <c r="I221" s="123" t="s">
        <v>1078</v>
      </c>
      <c r="J221" s="49" t="s">
        <v>546</v>
      </c>
      <c r="K221" s="27"/>
      <c r="L221" s="58"/>
      <c r="M221" s="78"/>
      <c r="N221" s="27"/>
      <c r="O221" s="58"/>
      <c r="P221" s="49"/>
      <c r="Q221" s="27"/>
      <c r="R221" s="58"/>
      <c r="S221" s="98"/>
      <c r="T221" s="27"/>
      <c r="U221" s="58"/>
      <c r="V221" s="12"/>
      <c r="W221" s="27"/>
      <c r="X221" s="58"/>
      <c r="Y221" s="12"/>
      <c r="Z221" s="27"/>
      <c r="AA221" s="58"/>
      <c r="AB221" s="12"/>
      <c r="AC221" s="27">
        <v>35</v>
      </c>
      <c r="AD221" s="58">
        <v>490</v>
      </c>
      <c r="AE221" s="12"/>
      <c r="AF221" s="27">
        <v>0</v>
      </c>
      <c r="AG221" s="58">
        <v>0</v>
      </c>
      <c r="AH221" s="12"/>
      <c r="AI221" s="27">
        <v>12</v>
      </c>
      <c r="AJ221" s="58">
        <v>168</v>
      </c>
      <c r="AK221" s="12"/>
      <c r="AL221" s="27">
        <v>20</v>
      </c>
      <c r="AM221" s="58">
        <v>280</v>
      </c>
      <c r="AN221" s="12"/>
      <c r="AO221" s="27">
        <v>25</v>
      </c>
      <c r="AP221" s="58">
        <v>350</v>
      </c>
      <c r="AQ221" s="12"/>
      <c r="AR221" s="27">
        <v>40</v>
      </c>
      <c r="AS221" s="58">
        <v>560</v>
      </c>
      <c r="AT221" s="12"/>
      <c r="AU221" s="54"/>
      <c r="AV221" s="63"/>
      <c r="AW221" s="55"/>
      <c r="AX221" s="54"/>
      <c r="AY221" s="63"/>
      <c r="AZ221" s="55"/>
      <c r="BA221" s="10">
        <v>20</v>
      </c>
      <c r="BB221" s="15">
        <v>280</v>
      </c>
      <c r="BC221" s="11">
        <v>179.60000000000002</v>
      </c>
      <c r="BD221" s="10">
        <v>20</v>
      </c>
      <c r="BE221" s="15">
        <v>280</v>
      </c>
      <c r="BF221" s="11">
        <v>179.40000000000003</v>
      </c>
      <c r="BG221" s="10">
        <v>45</v>
      </c>
      <c r="BH221" s="15">
        <v>630</v>
      </c>
      <c r="BI221" s="11">
        <v>403.19999999999993</v>
      </c>
      <c r="BJ221" s="10">
        <v>5</v>
      </c>
      <c r="BK221" s="15">
        <v>70</v>
      </c>
      <c r="BL221" s="11">
        <v>45</v>
      </c>
      <c r="BM221" s="46">
        <v>22</v>
      </c>
      <c r="BN221" s="43">
        <v>308</v>
      </c>
      <c r="BO221" s="47">
        <v>197.12</v>
      </c>
      <c r="BP221" s="46">
        <v>27</v>
      </c>
      <c r="BQ221" s="43">
        <v>378</v>
      </c>
      <c r="BR221" s="47">
        <v>241.92000000000002</v>
      </c>
      <c r="BS221" s="46">
        <v>35</v>
      </c>
      <c r="BT221" s="43">
        <v>490</v>
      </c>
      <c r="BU221" s="114">
        <v>313.60000000000002</v>
      </c>
      <c r="BV221" s="119">
        <v>17</v>
      </c>
      <c r="BW221" s="120">
        <v>238</v>
      </c>
      <c r="BX221" s="114">
        <v>152.32</v>
      </c>
      <c r="BY221" s="119">
        <v>32</v>
      </c>
      <c r="BZ221" s="120">
        <v>448</v>
      </c>
      <c r="CA221" s="114">
        <v>286.72000000000003</v>
      </c>
      <c r="CB221" s="119">
        <v>34</v>
      </c>
      <c r="CC221" s="120">
        <v>476</v>
      </c>
      <c r="CD221" s="114">
        <v>304.64</v>
      </c>
      <c r="CE221" s="119">
        <v>36</v>
      </c>
      <c r="CF221" s="120">
        <v>504</v>
      </c>
      <c r="CG221" s="114">
        <v>322.56</v>
      </c>
      <c r="CH221" s="119">
        <v>62</v>
      </c>
      <c r="CI221" s="120">
        <v>824</v>
      </c>
      <c r="CJ221" s="114">
        <v>622.4</v>
      </c>
      <c r="CK221" s="54">
        <f t="shared" si="36"/>
        <v>355</v>
      </c>
      <c r="CL221" s="63">
        <f t="shared" si="37"/>
        <v>4926</v>
      </c>
      <c r="CM221" s="55">
        <f t="shared" si="38"/>
        <v>3248.48</v>
      </c>
      <c r="CN221" s="54">
        <f t="shared" si="39"/>
        <v>29.583333333333332</v>
      </c>
      <c r="CO221" s="63">
        <f t="shared" si="40"/>
        <v>410.5</v>
      </c>
      <c r="CP221" s="172">
        <f t="shared" si="41"/>
        <v>270.70666666666665</v>
      </c>
      <c r="CQ221" s="158">
        <v>31</v>
      </c>
      <c r="CR221" s="159">
        <v>432</v>
      </c>
      <c r="CS221" s="179">
        <v>280.8</v>
      </c>
      <c r="CT221" s="27">
        <v>19</v>
      </c>
      <c r="CU221" s="58">
        <v>266</v>
      </c>
      <c r="CV221" s="12">
        <v>170.23999999999998</v>
      </c>
      <c r="CW221" s="27"/>
      <c r="CX221" s="58"/>
      <c r="CY221" s="98"/>
      <c r="CZ221" s="27"/>
      <c r="DA221" s="58"/>
      <c r="DB221" s="12"/>
      <c r="DC221" s="27"/>
      <c r="DD221" s="58"/>
      <c r="DE221" s="12"/>
      <c r="DF221" s="27"/>
      <c r="DG221" s="58"/>
      <c r="DH221" s="12"/>
      <c r="DI221" s="27"/>
      <c r="DJ221" s="58"/>
      <c r="DK221" s="107"/>
      <c r="DL221" s="27"/>
      <c r="DM221" s="58"/>
      <c r="DN221" s="107"/>
      <c r="DO221" s="27"/>
      <c r="DP221" s="58"/>
      <c r="DQ221" s="107"/>
      <c r="DR221" s="27"/>
      <c r="DS221" s="58"/>
      <c r="DT221" s="12"/>
      <c r="DU221" s="27"/>
      <c r="DV221" s="58"/>
      <c r="DW221" s="12"/>
      <c r="DX221" s="27"/>
      <c r="DY221" s="58"/>
      <c r="DZ221" s="12"/>
    </row>
    <row r="222" spans="1:130" s="25" customFormat="1" ht="31.5" customHeight="1" x14ac:dyDescent="0.6">
      <c r="A222" s="5">
        <v>219</v>
      </c>
      <c r="B222" s="18" t="s">
        <v>551</v>
      </c>
      <c r="C222" s="18" t="s">
        <v>552</v>
      </c>
      <c r="D222" s="18" t="s">
        <v>543</v>
      </c>
      <c r="E222" s="23" t="s">
        <v>544</v>
      </c>
      <c r="F222" s="7" t="s">
        <v>545</v>
      </c>
      <c r="G222" s="123"/>
      <c r="H222" s="123"/>
      <c r="I222" s="123" t="s">
        <v>1079</v>
      </c>
      <c r="J222" s="49" t="s">
        <v>546</v>
      </c>
      <c r="K222" s="27"/>
      <c r="L222" s="58"/>
      <c r="M222" s="78"/>
      <c r="N222" s="27"/>
      <c r="O222" s="58"/>
      <c r="P222" s="49"/>
      <c r="Q222" s="27"/>
      <c r="R222" s="58"/>
      <c r="S222" s="98"/>
      <c r="T222" s="27"/>
      <c r="U222" s="58"/>
      <c r="V222" s="12"/>
      <c r="W222" s="27"/>
      <c r="X222" s="58"/>
      <c r="Y222" s="12"/>
      <c r="Z222" s="27"/>
      <c r="AA222" s="58"/>
      <c r="AB222" s="12"/>
      <c r="AC222" s="27">
        <v>103</v>
      </c>
      <c r="AD222" s="58">
        <v>1504</v>
      </c>
      <c r="AE222" s="12"/>
      <c r="AF222" s="27">
        <v>0</v>
      </c>
      <c r="AG222" s="58">
        <v>0</v>
      </c>
      <c r="AH222" s="12"/>
      <c r="AI222" s="27">
        <v>40</v>
      </c>
      <c r="AJ222" s="58">
        <v>788</v>
      </c>
      <c r="AK222" s="12"/>
      <c r="AL222" s="27">
        <v>239</v>
      </c>
      <c r="AM222" s="58">
        <v>3378</v>
      </c>
      <c r="AN222" s="12"/>
      <c r="AO222" s="27">
        <v>110</v>
      </c>
      <c r="AP222" s="58">
        <v>1520</v>
      </c>
      <c r="AQ222" s="12"/>
      <c r="AR222" s="27">
        <v>215</v>
      </c>
      <c r="AS222" s="58">
        <v>3020</v>
      </c>
      <c r="AT222" s="12"/>
      <c r="AU222" s="54"/>
      <c r="AV222" s="63"/>
      <c r="AW222" s="55"/>
      <c r="AX222" s="54"/>
      <c r="AY222" s="63"/>
      <c r="AZ222" s="55"/>
      <c r="BA222" s="10">
        <v>91</v>
      </c>
      <c r="BB222" s="15">
        <v>1340</v>
      </c>
      <c r="BC222" s="11">
        <v>958.72</v>
      </c>
      <c r="BD222" s="10">
        <v>47</v>
      </c>
      <c r="BE222" s="15">
        <v>704</v>
      </c>
      <c r="BF222" s="11">
        <v>536.4</v>
      </c>
      <c r="BG222" s="10">
        <v>199</v>
      </c>
      <c r="BH222" s="15">
        <v>2860</v>
      </c>
      <c r="BI222" s="11">
        <v>2242.88</v>
      </c>
      <c r="BJ222" s="10">
        <v>97</v>
      </c>
      <c r="BK222" s="15">
        <v>1354</v>
      </c>
      <c r="BL222" s="11">
        <v>1132.0999999999999</v>
      </c>
      <c r="BM222" s="46">
        <v>158</v>
      </c>
      <c r="BN222" s="43">
        <v>2310</v>
      </c>
      <c r="BO222" s="47">
        <v>1865.52</v>
      </c>
      <c r="BP222" s="46">
        <v>217</v>
      </c>
      <c r="BQ222" s="43">
        <v>3286</v>
      </c>
      <c r="BR222" s="47">
        <v>2689.2000000000003</v>
      </c>
      <c r="BS222" s="46">
        <v>151</v>
      </c>
      <c r="BT222" s="43">
        <v>2324</v>
      </c>
      <c r="BU222" s="114">
        <v>1927.04</v>
      </c>
      <c r="BV222" s="119">
        <v>60.3</v>
      </c>
      <c r="BW222" s="120">
        <v>1115</v>
      </c>
      <c r="BX222" s="114">
        <v>787.72</v>
      </c>
      <c r="BY222" s="119">
        <v>151</v>
      </c>
      <c r="BZ222" s="120">
        <v>2436</v>
      </c>
      <c r="CA222" s="114">
        <v>1943.52</v>
      </c>
      <c r="CB222" s="119">
        <v>98</v>
      </c>
      <c r="CC222" s="120">
        <v>1642</v>
      </c>
      <c r="CD222" s="114">
        <v>1379.6</v>
      </c>
      <c r="CE222" s="119">
        <v>162</v>
      </c>
      <c r="CF222" s="120">
        <v>2580</v>
      </c>
      <c r="CG222" s="114">
        <v>2092.8000000000002</v>
      </c>
      <c r="CH222" s="119">
        <v>173</v>
      </c>
      <c r="CI222" s="120">
        <v>3018</v>
      </c>
      <c r="CJ222" s="114">
        <v>2455.2000000000003</v>
      </c>
      <c r="CK222" s="54">
        <f t="shared" si="36"/>
        <v>1604.3</v>
      </c>
      <c r="CL222" s="63">
        <f t="shared" si="37"/>
        <v>24969</v>
      </c>
      <c r="CM222" s="55">
        <f t="shared" si="38"/>
        <v>20010.7</v>
      </c>
      <c r="CN222" s="54">
        <f t="shared" si="39"/>
        <v>133.69166666666666</v>
      </c>
      <c r="CO222" s="63">
        <f t="shared" si="40"/>
        <v>2080.75</v>
      </c>
      <c r="CP222" s="172">
        <f t="shared" si="41"/>
        <v>1667.5583333333334</v>
      </c>
      <c r="CQ222" s="158">
        <v>157</v>
      </c>
      <c r="CR222" s="159">
        <v>2436</v>
      </c>
      <c r="CS222" s="179">
        <v>2229.52</v>
      </c>
      <c r="CT222" s="27">
        <v>106</v>
      </c>
      <c r="CU222" s="58">
        <v>1758</v>
      </c>
      <c r="CV222" s="12">
        <v>1507.6</v>
      </c>
      <c r="CW222" s="27"/>
      <c r="CX222" s="58"/>
      <c r="CY222" s="98"/>
      <c r="CZ222" s="27"/>
      <c r="DA222" s="58"/>
      <c r="DB222" s="12"/>
      <c r="DC222" s="27"/>
      <c r="DD222" s="58"/>
      <c r="DE222" s="12"/>
      <c r="DF222" s="27"/>
      <c r="DG222" s="58"/>
      <c r="DH222" s="12"/>
      <c r="DI222" s="27"/>
      <c r="DJ222" s="58"/>
      <c r="DK222" s="107"/>
      <c r="DL222" s="27"/>
      <c r="DM222" s="58"/>
      <c r="DN222" s="107"/>
      <c r="DO222" s="27"/>
      <c r="DP222" s="58"/>
      <c r="DQ222" s="107"/>
      <c r="DR222" s="27"/>
      <c r="DS222" s="58"/>
      <c r="DT222" s="12"/>
      <c r="DU222" s="27"/>
      <c r="DV222" s="58"/>
      <c r="DW222" s="12"/>
      <c r="DX222" s="27"/>
      <c r="DY222" s="58"/>
      <c r="DZ222" s="12"/>
    </row>
    <row r="223" spans="1:130" s="25" customFormat="1" ht="31.5" customHeight="1" x14ac:dyDescent="0.6">
      <c r="A223" s="5">
        <v>220</v>
      </c>
      <c r="B223" s="18" t="s">
        <v>461</v>
      </c>
      <c r="C223" s="18" t="s">
        <v>462</v>
      </c>
      <c r="D223" s="18" t="s">
        <v>543</v>
      </c>
      <c r="E223" s="23" t="s">
        <v>544</v>
      </c>
      <c r="F223" s="7" t="s">
        <v>545</v>
      </c>
      <c r="G223" s="123"/>
      <c r="H223" s="123"/>
      <c r="I223" s="123" t="s">
        <v>1080</v>
      </c>
      <c r="J223" s="49" t="s">
        <v>546</v>
      </c>
      <c r="K223" s="27"/>
      <c r="L223" s="58"/>
      <c r="M223" s="78"/>
      <c r="N223" s="27"/>
      <c r="O223" s="58"/>
      <c r="P223" s="49"/>
      <c r="Q223" s="27"/>
      <c r="R223" s="58"/>
      <c r="S223" s="98"/>
      <c r="T223" s="27"/>
      <c r="U223" s="58"/>
      <c r="V223" s="12"/>
      <c r="W223" s="27"/>
      <c r="X223" s="58"/>
      <c r="Y223" s="12"/>
      <c r="Z223" s="27"/>
      <c r="AA223" s="58"/>
      <c r="AB223" s="12"/>
      <c r="AC223" s="27">
        <v>56</v>
      </c>
      <c r="AD223" s="58">
        <v>716</v>
      </c>
      <c r="AE223" s="12"/>
      <c r="AF223" s="27">
        <v>0</v>
      </c>
      <c r="AG223" s="58">
        <v>0</v>
      </c>
      <c r="AH223" s="12"/>
      <c r="AI223" s="27">
        <v>82</v>
      </c>
      <c r="AJ223" s="58">
        <v>1216</v>
      </c>
      <c r="AK223" s="12"/>
      <c r="AL223" s="27">
        <v>52</v>
      </c>
      <c r="AM223" s="58">
        <v>836</v>
      </c>
      <c r="AN223" s="12"/>
      <c r="AO223" s="27">
        <v>74</v>
      </c>
      <c r="AP223" s="58">
        <v>1178</v>
      </c>
      <c r="AQ223" s="12"/>
      <c r="AR223" s="27">
        <v>76</v>
      </c>
      <c r="AS223" s="58">
        <v>1156</v>
      </c>
      <c r="AT223" s="12"/>
      <c r="AU223" s="54"/>
      <c r="AV223" s="63"/>
      <c r="AW223" s="55"/>
      <c r="AX223" s="54"/>
      <c r="AY223" s="63"/>
      <c r="AZ223" s="55"/>
      <c r="BA223" s="10">
        <v>49</v>
      </c>
      <c r="BB223" s="15">
        <v>778</v>
      </c>
      <c r="BC223" s="11">
        <v>619.79999999999995</v>
      </c>
      <c r="BD223" s="10">
        <v>31</v>
      </c>
      <c r="BE223" s="15">
        <v>524</v>
      </c>
      <c r="BF223" s="11">
        <v>371.40000000000003</v>
      </c>
      <c r="BG223" s="10">
        <v>107</v>
      </c>
      <c r="BH223" s="15">
        <v>1558</v>
      </c>
      <c r="BI223" s="11">
        <v>1264.2</v>
      </c>
      <c r="BJ223" s="10">
        <v>117</v>
      </c>
      <c r="BK223" s="15">
        <v>1604</v>
      </c>
      <c r="BL223" s="11">
        <v>1337.8</v>
      </c>
      <c r="BM223" s="46">
        <v>125</v>
      </c>
      <c r="BN223" s="43">
        <v>1806</v>
      </c>
      <c r="BO223" s="47">
        <v>1456.2400000000002</v>
      </c>
      <c r="BP223" s="46">
        <v>154</v>
      </c>
      <c r="BQ223" s="43">
        <v>2168</v>
      </c>
      <c r="BR223" s="47">
        <v>1787.7199999999998</v>
      </c>
      <c r="BS223" s="46">
        <v>111</v>
      </c>
      <c r="BT223" s="43">
        <v>1608</v>
      </c>
      <c r="BU223" s="114">
        <v>1277.1999999999998</v>
      </c>
      <c r="BV223" s="119">
        <v>108.3</v>
      </c>
      <c r="BW223" s="120">
        <v>1633</v>
      </c>
      <c r="BX223" s="114">
        <v>1314.6399999999999</v>
      </c>
      <c r="BY223" s="119">
        <v>137</v>
      </c>
      <c r="BZ223" s="120">
        <v>2132</v>
      </c>
      <c r="CA223" s="114">
        <v>1602.48</v>
      </c>
      <c r="CB223" s="119">
        <v>103</v>
      </c>
      <c r="CC223" s="120">
        <v>1636</v>
      </c>
      <c r="CD223" s="114">
        <v>1203.2</v>
      </c>
      <c r="CE223" s="119">
        <v>127</v>
      </c>
      <c r="CF223" s="120">
        <v>1946</v>
      </c>
      <c r="CG223" s="114">
        <v>1553.3600000000001</v>
      </c>
      <c r="CH223" s="119">
        <v>178</v>
      </c>
      <c r="CI223" s="120">
        <v>3064</v>
      </c>
      <c r="CJ223" s="114">
        <v>2234.4</v>
      </c>
      <c r="CK223" s="54">
        <f t="shared" si="36"/>
        <v>1347.3</v>
      </c>
      <c r="CL223" s="63">
        <f t="shared" si="37"/>
        <v>20457</v>
      </c>
      <c r="CM223" s="55">
        <f t="shared" si="38"/>
        <v>16022.44</v>
      </c>
      <c r="CN223" s="54">
        <f t="shared" si="39"/>
        <v>112.27499999999999</v>
      </c>
      <c r="CO223" s="63">
        <f t="shared" si="40"/>
        <v>1704.75</v>
      </c>
      <c r="CP223" s="172">
        <f t="shared" si="41"/>
        <v>1335.2033333333334</v>
      </c>
      <c r="CQ223" s="158">
        <v>187</v>
      </c>
      <c r="CR223" s="159">
        <v>2706</v>
      </c>
      <c r="CS223" s="179">
        <v>2290</v>
      </c>
      <c r="CT223" s="27">
        <v>99</v>
      </c>
      <c r="CU223" s="58">
        <v>1618</v>
      </c>
      <c r="CV223" s="12">
        <v>1244</v>
      </c>
      <c r="CW223" s="27"/>
      <c r="CX223" s="58"/>
      <c r="CY223" s="98"/>
      <c r="CZ223" s="27"/>
      <c r="DA223" s="58"/>
      <c r="DB223" s="12"/>
      <c r="DC223" s="27"/>
      <c r="DD223" s="58"/>
      <c r="DE223" s="12"/>
      <c r="DF223" s="27"/>
      <c r="DG223" s="58"/>
      <c r="DH223" s="12"/>
      <c r="DI223" s="27"/>
      <c r="DJ223" s="58"/>
      <c r="DK223" s="107"/>
      <c r="DL223" s="27"/>
      <c r="DM223" s="58"/>
      <c r="DN223" s="107"/>
      <c r="DO223" s="27"/>
      <c r="DP223" s="58"/>
      <c r="DQ223" s="107"/>
      <c r="DR223" s="27"/>
      <c r="DS223" s="58"/>
      <c r="DT223" s="12"/>
      <c r="DU223" s="27"/>
      <c r="DV223" s="58"/>
      <c r="DW223" s="12"/>
      <c r="DX223" s="27"/>
      <c r="DY223" s="58"/>
      <c r="DZ223" s="12"/>
    </row>
    <row r="224" spans="1:130" s="25" customFormat="1" ht="31.5" customHeight="1" x14ac:dyDescent="0.6">
      <c r="A224" s="5">
        <v>221</v>
      </c>
      <c r="B224" s="18" t="s">
        <v>553</v>
      </c>
      <c r="C224" s="18" t="s">
        <v>554</v>
      </c>
      <c r="D224" s="18" t="s">
        <v>543</v>
      </c>
      <c r="E224" s="23" t="s">
        <v>544</v>
      </c>
      <c r="F224" s="7" t="s">
        <v>545</v>
      </c>
      <c r="G224" s="123"/>
      <c r="H224" s="123"/>
      <c r="I224" s="123" t="s">
        <v>1081</v>
      </c>
      <c r="J224" s="49" t="s">
        <v>546</v>
      </c>
      <c r="K224" s="27"/>
      <c r="L224" s="58"/>
      <c r="M224" s="78"/>
      <c r="N224" s="27"/>
      <c r="O224" s="58"/>
      <c r="P224" s="49"/>
      <c r="Q224" s="27"/>
      <c r="R224" s="58"/>
      <c r="S224" s="98"/>
      <c r="T224" s="27"/>
      <c r="U224" s="58"/>
      <c r="V224" s="12"/>
      <c r="W224" s="27"/>
      <c r="X224" s="58"/>
      <c r="Y224" s="12"/>
      <c r="Z224" s="27"/>
      <c r="AA224" s="58"/>
      <c r="AB224" s="12"/>
      <c r="AC224" s="27">
        <v>45</v>
      </c>
      <c r="AD224" s="58">
        <v>630</v>
      </c>
      <c r="AE224" s="12"/>
      <c r="AF224" s="27">
        <v>0</v>
      </c>
      <c r="AG224" s="58">
        <v>0</v>
      </c>
      <c r="AH224" s="12"/>
      <c r="AI224" s="27">
        <v>22</v>
      </c>
      <c r="AJ224" s="58">
        <v>308</v>
      </c>
      <c r="AK224" s="12"/>
      <c r="AL224" s="27">
        <v>45</v>
      </c>
      <c r="AM224" s="58">
        <v>630</v>
      </c>
      <c r="AN224" s="12"/>
      <c r="AO224" s="27">
        <v>16</v>
      </c>
      <c r="AP224" s="58">
        <v>222</v>
      </c>
      <c r="AQ224" s="12"/>
      <c r="AR224" s="27">
        <v>46</v>
      </c>
      <c r="AS224" s="58">
        <v>644</v>
      </c>
      <c r="AT224" s="12"/>
      <c r="AU224" s="54"/>
      <c r="AV224" s="63"/>
      <c r="AW224" s="55"/>
      <c r="AX224" s="54"/>
      <c r="AY224" s="63"/>
      <c r="AZ224" s="55"/>
      <c r="BA224" s="10">
        <v>60</v>
      </c>
      <c r="BB224" s="15">
        <v>840</v>
      </c>
      <c r="BC224" s="11">
        <v>537</v>
      </c>
      <c r="BD224" s="10">
        <v>75</v>
      </c>
      <c r="BE224" s="15">
        <v>1050</v>
      </c>
      <c r="BF224" s="11">
        <v>671.4</v>
      </c>
      <c r="BG224" s="10">
        <v>120</v>
      </c>
      <c r="BH224" s="15">
        <v>1680</v>
      </c>
      <c r="BI224" s="11">
        <v>1074.8</v>
      </c>
      <c r="BJ224" s="10">
        <v>115</v>
      </c>
      <c r="BK224" s="15">
        <v>1510</v>
      </c>
      <c r="BL224" s="11">
        <v>1183.4000000000001</v>
      </c>
      <c r="BM224" s="46">
        <v>75</v>
      </c>
      <c r="BN224" s="43">
        <v>1050</v>
      </c>
      <c r="BO224" s="47">
        <v>671.8</v>
      </c>
      <c r="BP224" s="46">
        <v>98</v>
      </c>
      <c r="BQ224" s="43">
        <v>1372</v>
      </c>
      <c r="BR224" s="47">
        <v>878.2</v>
      </c>
      <c r="BS224" s="46">
        <v>75</v>
      </c>
      <c r="BT224" s="43">
        <v>1050</v>
      </c>
      <c r="BU224" s="114">
        <v>672.4</v>
      </c>
      <c r="BV224" s="119">
        <v>60.3</v>
      </c>
      <c r="BW224" s="120">
        <v>843</v>
      </c>
      <c r="BX224" s="114">
        <v>539.44000000000005</v>
      </c>
      <c r="BY224" s="119">
        <v>95</v>
      </c>
      <c r="BZ224" s="120">
        <v>1330</v>
      </c>
      <c r="CA224" s="114">
        <v>851.2</v>
      </c>
      <c r="CB224" s="119">
        <v>75</v>
      </c>
      <c r="CC224" s="120">
        <v>1050</v>
      </c>
      <c r="CD224" s="114">
        <v>671.99999999999989</v>
      </c>
      <c r="CE224" s="119">
        <v>75</v>
      </c>
      <c r="CF224" s="120">
        <v>1080</v>
      </c>
      <c r="CG224" s="114">
        <v>727.2</v>
      </c>
      <c r="CH224" s="119">
        <v>105</v>
      </c>
      <c r="CI224" s="120">
        <v>1470</v>
      </c>
      <c r="CJ224" s="114">
        <v>940.80000000000018</v>
      </c>
      <c r="CK224" s="54">
        <f t="shared" si="36"/>
        <v>1028.3</v>
      </c>
      <c r="CL224" s="63">
        <f t="shared" si="37"/>
        <v>14325</v>
      </c>
      <c r="CM224" s="55">
        <f t="shared" si="38"/>
        <v>9419.64</v>
      </c>
      <c r="CN224" s="54">
        <f t="shared" si="39"/>
        <v>85.691666666666663</v>
      </c>
      <c r="CO224" s="63">
        <f t="shared" si="40"/>
        <v>1193.75</v>
      </c>
      <c r="CP224" s="172">
        <f t="shared" si="41"/>
        <v>784.96999999999991</v>
      </c>
      <c r="CQ224" s="158">
        <v>90</v>
      </c>
      <c r="CR224" s="159">
        <v>1260</v>
      </c>
      <c r="CS224" s="179">
        <v>806.4</v>
      </c>
      <c r="CT224" s="27">
        <v>85</v>
      </c>
      <c r="CU224" s="58">
        <v>1190</v>
      </c>
      <c r="CV224" s="12">
        <v>761.59999999999991</v>
      </c>
      <c r="CW224" s="27"/>
      <c r="CX224" s="58"/>
      <c r="CY224" s="98"/>
      <c r="CZ224" s="27"/>
      <c r="DA224" s="58"/>
      <c r="DB224" s="12"/>
      <c r="DC224" s="27"/>
      <c r="DD224" s="58"/>
      <c r="DE224" s="12"/>
      <c r="DF224" s="27"/>
      <c r="DG224" s="58"/>
      <c r="DH224" s="12"/>
      <c r="DI224" s="27"/>
      <c r="DJ224" s="58"/>
      <c r="DK224" s="107"/>
      <c r="DL224" s="27"/>
      <c r="DM224" s="58"/>
      <c r="DN224" s="107"/>
      <c r="DO224" s="27"/>
      <c r="DP224" s="58"/>
      <c r="DQ224" s="12"/>
      <c r="DR224" s="27"/>
      <c r="DS224" s="58"/>
      <c r="DT224" s="12"/>
      <c r="DU224" s="27"/>
      <c r="DV224" s="58"/>
      <c r="DW224" s="12"/>
      <c r="DX224" s="27"/>
      <c r="DY224" s="58"/>
      <c r="DZ224" s="12"/>
    </row>
    <row r="225" spans="1:130" s="25" customFormat="1" ht="31.5" customHeight="1" x14ac:dyDescent="0.6">
      <c r="A225" s="5">
        <v>222</v>
      </c>
      <c r="B225" s="18" t="s">
        <v>1161</v>
      </c>
      <c r="C225" s="18"/>
      <c r="D225" s="18"/>
      <c r="E225" s="23"/>
      <c r="F225" s="7"/>
      <c r="G225" s="123"/>
      <c r="H225" s="123"/>
      <c r="I225" s="123"/>
      <c r="J225" s="49"/>
      <c r="K225" s="27"/>
      <c r="L225" s="58"/>
      <c r="M225" s="78"/>
      <c r="N225" s="27"/>
      <c r="O225" s="58"/>
      <c r="P225" s="49"/>
      <c r="Q225" s="27"/>
      <c r="R225" s="58"/>
      <c r="S225" s="98"/>
      <c r="T225" s="27"/>
      <c r="U225" s="58"/>
      <c r="V225" s="12"/>
      <c r="W225" s="27"/>
      <c r="X225" s="58"/>
      <c r="Y225" s="12"/>
      <c r="Z225" s="27"/>
      <c r="AA225" s="58"/>
      <c r="AB225" s="12"/>
      <c r="AC225" s="27"/>
      <c r="AD225" s="58"/>
      <c r="AE225" s="12"/>
      <c r="AF225" s="27"/>
      <c r="AG225" s="58"/>
      <c r="AH225" s="12"/>
      <c r="AI225" s="27"/>
      <c r="AJ225" s="58"/>
      <c r="AK225" s="12"/>
      <c r="AL225" s="27"/>
      <c r="AM225" s="58"/>
      <c r="AN225" s="12"/>
      <c r="AO225" s="27"/>
      <c r="AP225" s="58"/>
      <c r="AQ225" s="12"/>
      <c r="AR225" s="27"/>
      <c r="AS225" s="58"/>
      <c r="AT225" s="12"/>
      <c r="AU225" s="54"/>
      <c r="AV225" s="63"/>
      <c r="AW225" s="55"/>
      <c r="AX225" s="54"/>
      <c r="AY225" s="63"/>
      <c r="AZ225" s="55"/>
      <c r="BA225" s="10"/>
      <c r="BB225" s="15"/>
      <c r="BC225" s="11"/>
      <c r="BD225" s="10"/>
      <c r="BE225" s="15"/>
      <c r="BF225" s="11"/>
      <c r="BG225" s="10"/>
      <c r="BH225" s="15"/>
      <c r="BI225" s="11"/>
      <c r="BJ225" s="10"/>
      <c r="BK225" s="15"/>
      <c r="BL225" s="11"/>
      <c r="BM225" s="46"/>
      <c r="BN225" s="43"/>
      <c r="BO225" s="47"/>
      <c r="BP225" s="46"/>
      <c r="BQ225" s="43"/>
      <c r="BR225" s="47"/>
      <c r="BS225" s="46"/>
      <c r="BT225" s="43"/>
      <c r="BU225" s="114"/>
      <c r="BV225" s="119"/>
      <c r="BW225" s="120"/>
      <c r="BX225" s="114"/>
      <c r="BY225" s="119"/>
      <c r="BZ225" s="120"/>
      <c r="CA225" s="114"/>
      <c r="CB225" s="119"/>
      <c r="CC225" s="120"/>
      <c r="CD225" s="114"/>
      <c r="CE225" s="119"/>
      <c r="CF225" s="120"/>
      <c r="CG225" s="114"/>
      <c r="CH225" s="119"/>
      <c r="CI225" s="120"/>
      <c r="CJ225" s="114"/>
      <c r="CK225" s="54"/>
      <c r="CL225" s="63"/>
      <c r="CM225" s="55"/>
      <c r="CN225" s="54"/>
      <c r="CO225" s="63"/>
      <c r="CP225" s="172"/>
      <c r="CQ225" s="158">
        <v>131</v>
      </c>
      <c r="CR225" s="159">
        <v>1730</v>
      </c>
      <c r="CS225" s="179">
        <v>1519.2</v>
      </c>
      <c r="CT225" s="27">
        <v>131</v>
      </c>
      <c r="CU225" s="58">
        <v>1972</v>
      </c>
      <c r="CV225" s="12">
        <v>1510.4</v>
      </c>
      <c r="CW225" s="27"/>
      <c r="CX225" s="58"/>
      <c r="CY225" s="98"/>
      <c r="CZ225" s="27"/>
      <c r="DA225" s="58"/>
      <c r="DB225" s="12"/>
      <c r="DC225" s="27"/>
      <c r="DD225" s="58"/>
      <c r="DE225" s="12"/>
      <c r="DF225" s="27"/>
      <c r="DG225" s="58"/>
      <c r="DH225" s="12"/>
      <c r="DI225" s="27"/>
      <c r="DJ225" s="58"/>
      <c r="DK225" s="107"/>
      <c r="DL225" s="27"/>
      <c r="DM225" s="58"/>
      <c r="DN225" s="107"/>
      <c r="DO225" s="27"/>
      <c r="DP225" s="58"/>
      <c r="DQ225" s="12"/>
      <c r="DR225" s="27"/>
      <c r="DS225" s="58"/>
      <c r="DT225" s="12"/>
      <c r="DU225" s="27"/>
      <c r="DV225" s="58"/>
      <c r="DW225" s="12"/>
      <c r="DX225" s="27"/>
      <c r="DY225" s="58"/>
      <c r="DZ225" s="12"/>
    </row>
    <row r="226" spans="1:130" s="25" customFormat="1" ht="31.5" customHeight="1" x14ac:dyDescent="0.6">
      <c r="A226" s="5">
        <v>223</v>
      </c>
      <c r="B226" s="18" t="s">
        <v>557</v>
      </c>
      <c r="C226" s="18" t="s">
        <v>558</v>
      </c>
      <c r="D226" s="18" t="s">
        <v>307</v>
      </c>
      <c r="E226" s="23" t="s">
        <v>308</v>
      </c>
      <c r="F226" s="7" t="s">
        <v>545</v>
      </c>
      <c r="G226" s="123"/>
      <c r="H226" s="123"/>
      <c r="I226" s="123" t="s">
        <v>1083</v>
      </c>
      <c r="J226" s="49" t="s">
        <v>546</v>
      </c>
      <c r="K226" s="27"/>
      <c r="L226" s="58"/>
      <c r="M226" s="78"/>
      <c r="N226" s="27"/>
      <c r="O226" s="58"/>
      <c r="P226" s="49"/>
      <c r="Q226" s="27"/>
      <c r="R226" s="58"/>
      <c r="S226" s="98"/>
      <c r="T226" s="27"/>
      <c r="U226" s="58"/>
      <c r="V226" s="12"/>
      <c r="W226" s="27"/>
      <c r="X226" s="58"/>
      <c r="Y226" s="12"/>
      <c r="Z226" s="27"/>
      <c r="AA226" s="58"/>
      <c r="AB226" s="12"/>
      <c r="AC226" s="27">
        <v>40</v>
      </c>
      <c r="AD226" s="58">
        <v>514</v>
      </c>
      <c r="AE226" s="12"/>
      <c r="AF226" s="27">
        <v>0</v>
      </c>
      <c r="AG226" s="58">
        <v>0</v>
      </c>
      <c r="AH226" s="12"/>
      <c r="AI226" s="27">
        <v>17</v>
      </c>
      <c r="AJ226" s="58">
        <v>218</v>
      </c>
      <c r="AK226" s="12"/>
      <c r="AL226" s="27">
        <v>46</v>
      </c>
      <c r="AM226" s="58">
        <v>592</v>
      </c>
      <c r="AN226" s="12"/>
      <c r="AO226" s="27">
        <v>21</v>
      </c>
      <c r="AP226" s="58">
        <v>272</v>
      </c>
      <c r="AQ226" s="12"/>
      <c r="AR226" s="27">
        <v>33</v>
      </c>
      <c r="AS226" s="58">
        <v>410</v>
      </c>
      <c r="AT226" s="12"/>
      <c r="AU226" s="54"/>
      <c r="AV226" s="63"/>
      <c r="AW226" s="55"/>
      <c r="AX226" s="54"/>
      <c r="AY226" s="63"/>
      <c r="AZ226" s="55"/>
      <c r="BA226" s="10">
        <v>9</v>
      </c>
      <c r="BB226" s="15">
        <v>136</v>
      </c>
      <c r="BC226" s="11">
        <v>79.8</v>
      </c>
      <c r="BD226" s="10">
        <v>39.200000000000003</v>
      </c>
      <c r="BE226" s="15">
        <v>556</v>
      </c>
      <c r="BF226" s="11">
        <v>417.6</v>
      </c>
      <c r="BG226" s="10">
        <v>41.5</v>
      </c>
      <c r="BH226" s="15">
        <v>534</v>
      </c>
      <c r="BI226" s="11">
        <v>442.6</v>
      </c>
      <c r="BJ226" s="10">
        <v>21</v>
      </c>
      <c r="BK226" s="15">
        <v>290</v>
      </c>
      <c r="BL226" s="11">
        <v>238.8</v>
      </c>
      <c r="BM226" s="46">
        <v>58</v>
      </c>
      <c r="BN226" s="43">
        <v>764</v>
      </c>
      <c r="BO226" s="47">
        <v>593.19999999999993</v>
      </c>
      <c r="BP226" s="46">
        <v>46</v>
      </c>
      <c r="BQ226" s="43">
        <v>626</v>
      </c>
      <c r="BR226" s="47">
        <v>484.08000000000004</v>
      </c>
      <c r="BS226" s="46">
        <v>38</v>
      </c>
      <c r="BT226" s="43">
        <v>536</v>
      </c>
      <c r="BU226" s="114">
        <v>423.76</v>
      </c>
      <c r="BV226" s="119">
        <v>26.3</v>
      </c>
      <c r="BW226" s="120">
        <v>397</v>
      </c>
      <c r="BX226" s="114">
        <v>278.52</v>
      </c>
      <c r="BY226" s="119">
        <v>15</v>
      </c>
      <c r="BZ226" s="120">
        <v>268</v>
      </c>
      <c r="CA226" s="114">
        <v>179.92000000000002</v>
      </c>
      <c r="CB226" s="119">
        <v>60</v>
      </c>
      <c r="CC226" s="120">
        <v>798</v>
      </c>
      <c r="CD226" s="114">
        <v>601.44000000000005</v>
      </c>
      <c r="CE226" s="119">
        <v>22</v>
      </c>
      <c r="CF226" s="120">
        <v>344</v>
      </c>
      <c r="CG226" s="114">
        <v>246.16000000000003</v>
      </c>
      <c r="CH226" s="119">
        <v>38</v>
      </c>
      <c r="CI226" s="120">
        <v>588</v>
      </c>
      <c r="CJ226" s="114">
        <v>433.6</v>
      </c>
      <c r="CK226" s="54">
        <f t="shared" si="36"/>
        <v>414</v>
      </c>
      <c r="CL226" s="63">
        <f t="shared" si="37"/>
        <v>5837</v>
      </c>
      <c r="CM226" s="55">
        <f t="shared" si="38"/>
        <v>4419.4800000000005</v>
      </c>
      <c r="CN226" s="54">
        <f t="shared" si="39"/>
        <v>34.5</v>
      </c>
      <c r="CO226" s="63">
        <f t="shared" si="40"/>
        <v>486.41666666666669</v>
      </c>
      <c r="CP226" s="172">
        <f t="shared" si="41"/>
        <v>368.29</v>
      </c>
      <c r="CQ226" s="158">
        <v>32</v>
      </c>
      <c r="CR226" s="159">
        <v>502</v>
      </c>
      <c r="CS226" s="179">
        <v>382.88</v>
      </c>
      <c r="CT226" s="27">
        <v>49</v>
      </c>
      <c r="CU226" s="58">
        <v>694</v>
      </c>
      <c r="CV226" s="12">
        <v>555.76</v>
      </c>
      <c r="CW226" s="27"/>
      <c r="CX226" s="58"/>
      <c r="CY226" s="98"/>
      <c r="CZ226" s="27"/>
      <c r="DA226" s="58"/>
      <c r="DB226" s="12"/>
      <c r="DC226" s="27"/>
      <c r="DD226" s="58"/>
      <c r="DE226" s="12"/>
      <c r="DF226" s="27"/>
      <c r="DG226" s="58"/>
      <c r="DH226" s="12"/>
      <c r="DI226" s="27"/>
      <c r="DJ226" s="58"/>
      <c r="DK226" s="107"/>
      <c r="DL226" s="27"/>
      <c r="DM226" s="58"/>
      <c r="DN226" s="12"/>
      <c r="DO226" s="27"/>
      <c r="DP226" s="58"/>
      <c r="DQ226" s="12"/>
      <c r="DR226" s="27"/>
      <c r="DS226" s="58"/>
      <c r="DT226" s="12"/>
      <c r="DU226" s="27"/>
      <c r="DV226" s="58"/>
      <c r="DW226" s="12"/>
      <c r="DX226" s="27"/>
      <c r="DY226" s="58"/>
      <c r="DZ226" s="12"/>
    </row>
    <row r="227" spans="1:130" s="25" customFormat="1" ht="31.5" customHeight="1" x14ac:dyDescent="0.6">
      <c r="A227" s="5">
        <v>224</v>
      </c>
      <c r="B227" s="18" t="s">
        <v>559</v>
      </c>
      <c r="C227" s="18" t="s">
        <v>560</v>
      </c>
      <c r="D227" s="18" t="s">
        <v>307</v>
      </c>
      <c r="E227" s="23" t="s">
        <v>308</v>
      </c>
      <c r="F227" s="7" t="s">
        <v>545</v>
      </c>
      <c r="G227" s="123"/>
      <c r="H227" s="123"/>
      <c r="I227" s="123"/>
      <c r="J227" s="49" t="s">
        <v>546</v>
      </c>
      <c r="K227" s="27"/>
      <c r="L227" s="58"/>
      <c r="M227" s="78"/>
      <c r="N227" s="27"/>
      <c r="O227" s="58"/>
      <c r="P227" s="49"/>
      <c r="Q227" s="27"/>
      <c r="R227" s="58"/>
      <c r="S227" s="98"/>
      <c r="T227" s="27"/>
      <c r="U227" s="58"/>
      <c r="V227" s="12"/>
      <c r="W227" s="27"/>
      <c r="X227" s="58"/>
      <c r="Y227" s="12"/>
      <c r="Z227" s="27"/>
      <c r="AA227" s="58"/>
      <c r="AB227" s="12"/>
      <c r="AC227" s="27">
        <v>13</v>
      </c>
      <c r="AD227" s="58">
        <v>198</v>
      </c>
      <c r="AE227" s="12"/>
      <c r="AF227" s="27">
        <v>0</v>
      </c>
      <c r="AG227" s="58">
        <v>0</v>
      </c>
      <c r="AH227" s="12"/>
      <c r="AI227" s="27">
        <v>10</v>
      </c>
      <c r="AJ227" s="58">
        <v>148</v>
      </c>
      <c r="AK227" s="12"/>
      <c r="AL227" s="27">
        <v>18</v>
      </c>
      <c r="AM227" s="58">
        <v>244</v>
      </c>
      <c r="AN227" s="12"/>
      <c r="AO227" s="27">
        <v>22</v>
      </c>
      <c r="AP227" s="58">
        <v>330</v>
      </c>
      <c r="AQ227" s="12"/>
      <c r="AR227" s="27">
        <v>12</v>
      </c>
      <c r="AS227" s="58">
        <v>174</v>
      </c>
      <c r="AT227" s="12"/>
      <c r="AU227" s="54"/>
      <c r="AV227" s="63"/>
      <c r="AW227" s="55"/>
      <c r="AX227" s="54"/>
      <c r="AY227" s="63"/>
      <c r="AZ227" s="55"/>
      <c r="BA227" s="10">
        <v>10.3</v>
      </c>
      <c r="BB227" s="15">
        <v>123</v>
      </c>
      <c r="BC227" s="11">
        <v>123</v>
      </c>
      <c r="BD227" s="10">
        <v>8</v>
      </c>
      <c r="BE227" s="15">
        <v>96</v>
      </c>
      <c r="BF227" s="11">
        <v>80.2</v>
      </c>
      <c r="BG227" s="10">
        <v>7</v>
      </c>
      <c r="BH227" s="15">
        <v>112</v>
      </c>
      <c r="BI227" s="11">
        <v>86</v>
      </c>
      <c r="BJ227" s="10">
        <v>12</v>
      </c>
      <c r="BK227" s="15">
        <v>204</v>
      </c>
      <c r="BL227" s="11">
        <v>139.4</v>
      </c>
      <c r="BM227" s="46">
        <v>6</v>
      </c>
      <c r="BN227" s="43">
        <v>104</v>
      </c>
      <c r="BO227" s="47">
        <v>61.2</v>
      </c>
      <c r="BP227" s="46">
        <v>8</v>
      </c>
      <c r="BQ227" s="43">
        <v>124</v>
      </c>
      <c r="BR227" s="47">
        <v>98</v>
      </c>
      <c r="BS227" s="46">
        <v>12</v>
      </c>
      <c r="BT227" s="43">
        <v>172</v>
      </c>
      <c r="BU227" s="114">
        <v>117</v>
      </c>
      <c r="BV227" s="119">
        <v>5.3</v>
      </c>
      <c r="BW227" s="120">
        <v>91</v>
      </c>
      <c r="BX227" s="114">
        <v>54.44</v>
      </c>
      <c r="BY227" s="119">
        <v>12</v>
      </c>
      <c r="BZ227" s="120">
        <v>144</v>
      </c>
      <c r="CA227" s="114">
        <v>136.32</v>
      </c>
      <c r="CB227" s="119">
        <v>12</v>
      </c>
      <c r="CC227" s="120">
        <v>172</v>
      </c>
      <c r="CD227" s="114">
        <v>146</v>
      </c>
      <c r="CE227" s="119">
        <v>6</v>
      </c>
      <c r="CF227" s="120">
        <v>156</v>
      </c>
      <c r="CG227" s="114">
        <v>73.2</v>
      </c>
      <c r="CH227" s="119">
        <v>9.5500000000000007</v>
      </c>
      <c r="CI227" s="120">
        <v>155</v>
      </c>
      <c r="CJ227" s="114">
        <v>99.789999999999992</v>
      </c>
      <c r="CK227" s="54">
        <f t="shared" si="36"/>
        <v>108.14999999999999</v>
      </c>
      <c r="CL227" s="63">
        <f t="shared" si="37"/>
        <v>1653</v>
      </c>
      <c r="CM227" s="55">
        <f t="shared" si="38"/>
        <v>1214.55</v>
      </c>
      <c r="CN227" s="54">
        <f t="shared" si="39"/>
        <v>9.0124999999999993</v>
      </c>
      <c r="CO227" s="63">
        <f t="shared" si="40"/>
        <v>137.75</v>
      </c>
      <c r="CP227" s="172">
        <f t="shared" si="41"/>
        <v>101.21249999999999</v>
      </c>
      <c r="CQ227" s="158">
        <v>5</v>
      </c>
      <c r="CR227" s="159">
        <v>116</v>
      </c>
      <c r="CS227" s="179">
        <v>64</v>
      </c>
      <c r="CT227" s="27">
        <v>10</v>
      </c>
      <c r="CU227" s="58">
        <v>154</v>
      </c>
      <c r="CV227" s="12">
        <v>112.88</v>
      </c>
      <c r="CW227" s="27"/>
      <c r="CX227" s="58"/>
      <c r="CY227" s="98"/>
      <c r="CZ227" s="27"/>
      <c r="DA227" s="58"/>
      <c r="DB227" s="12"/>
      <c r="DC227" s="27"/>
      <c r="DD227" s="58"/>
      <c r="DE227" s="12"/>
      <c r="DF227" s="27"/>
      <c r="DG227" s="58"/>
      <c r="DH227" s="12"/>
      <c r="DI227" s="27"/>
      <c r="DJ227" s="58"/>
      <c r="DK227" s="12"/>
      <c r="DL227" s="27"/>
      <c r="DM227" s="58"/>
      <c r="DN227" s="12"/>
      <c r="DO227" s="27"/>
      <c r="DP227" s="58"/>
      <c r="DQ227" s="12"/>
      <c r="DR227" s="27"/>
      <c r="DS227" s="58"/>
      <c r="DT227" s="12"/>
      <c r="DU227" s="27"/>
      <c r="DV227" s="58"/>
      <c r="DW227" s="12"/>
      <c r="DX227" s="27"/>
      <c r="DY227" s="58"/>
      <c r="DZ227" s="12"/>
    </row>
    <row r="228" spans="1:130" s="25" customFormat="1" ht="31.5" customHeight="1" x14ac:dyDescent="0.6">
      <c r="A228" s="5">
        <v>225</v>
      </c>
      <c r="B228" s="18" t="s">
        <v>561</v>
      </c>
      <c r="C228" s="18" t="s">
        <v>562</v>
      </c>
      <c r="D228" s="18" t="s">
        <v>307</v>
      </c>
      <c r="E228" s="23" t="s">
        <v>308</v>
      </c>
      <c r="F228" s="7" t="s">
        <v>545</v>
      </c>
      <c r="G228" s="123"/>
      <c r="H228" s="123"/>
      <c r="I228" s="123" t="s">
        <v>1084</v>
      </c>
      <c r="J228" s="49" t="s">
        <v>546</v>
      </c>
      <c r="K228" s="27"/>
      <c r="L228" s="58"/>
      <c r="M228" s="78"/>
      <c r="N228" s="27"/>
      <c r="O228" s="58"/>
      <c r="P228" s="49"/>
      <c r="Q228" s="27"/>
      <c r="R228" s="58"/>
      <c r="S228" s="98"/>
      <c r="T228" s="27"/>
      <c r="U228" s="58"/>
      <c r="V228" s="12"/>
      <c r="W228" s="27"/>
      <c r="X228" s="58"/>
      <c r="Y228" s="12"/>
      <c r="Z228" s="27"/>
      <c r="AA228" s="58"/>
      <c r="AB228" s="12"/>
      <c r="AC228" s="27">
        <v>39</v>
      </c>
      <c r="AD228" s="58">
        <v>536</v>
      </c>
      <c r="AE228" s="12"/>
      <c r="AF228" s="27">
        <v>0</v>
      </c>
      <c r="AG228" s="58">
        <v>0</v>
      </c>
      <c r="AH228" s="12"/>
      <c r="AI228" s="27">
        <v>21</v>
      </c>
      <c r="AJ228" s="58">
        <v>308</v>
      </c>
      <c r="AK228" s="12"/>
      <c r="AL228" s="27">
        <v>11</v>
      </c>
      <c r="AM228" s="58">
        <v>216</v>
      </c>
      <c r="AN228" s="12"/>
      <c r="AO228" s="27">
        <v>6</v>
      </c>
      <c r="AP228" s="58">
        <v>84</v>
      </c>
      <c r="AQ228" s="12"/>
      <c r="AR228" s="27">
        <v>18</v>
      </c>
      <c r="AS228" s="58">
        <v>244</v>
      </c>
      <c r="AT228" s="12"/>
      <c r="AU228" s="54"/>
      <c r="AV228" s="63"/>
      <c r="AW228" s="55"/>
      <c r="AX228" s="54"/>
      <c r="AY228" s="63"/>
      <c r="AZ228" s="55"/>
      <c r="BA228" s="10">
        <v>13</v>
      </c>
      <c r="BB228" s="15">
        <v>184</v>
      </c>
      <c r="BC228" s="11">
        <v>148</v>
      </c>
      <c r="BD228" s="10">
        <v>15</v>
      </c>
      <c r="BE228" s="15">
        <v>248</v>
      </c>
      <c r="BF228" s="11">
        <v>180.2</v>
      </c>
      <c r="BG228" s="10">
        <v>34</v>
      </c>
      <c r="BH228" s="15">
        <v>536</v>
      </c>
      <c r="BI228" s="11">
        <v>396.4</v>
      </c>
      <c r="BJ228" s="10">
        <v>36</v>
      </c>
      <c r="BK228" s="15">
        <v>508</v>
      </c>
      <c r="BL228" s="11">
        <v>404.29999999999995</v>
      </c>
      <c r="BM228" s="46">
        <v>28</v>
      </c>
      <c r="BN228" s="43">
        <v>452</v>
      </c>
      <c r="BO228" s="47">
        <v>348</v>
      </c>
      <c r="BP228" s="46">
        <v>28</v>
      </c>
      <c r="BQ228" s="43">
        <v>392</v>
      </c>
      <c r="BR228" s="47">
        <v>330.4</v>
      </c>
      <c r="BS228" s="46">
        <v>39</v>
      </c>
      <c r="BT228" s="43">
        <v>580</v>
      </c>
      <c r="BU228" s="114">
        <v>461.6</v>
      </c>
      <c r="BV228" s="119">
        <v>32.799999999999997</v>
      </c>
      <c r="BW228" s="120">
        <v>449</v>
      </c>
      <c r="BX228" s="114">
        <v>381.03999999999996</v>
      </c>
      <c r="BY228" s="119">
        <v>36</v>
      </c>
      <c r="BZ228" s="120">
        <v>572</v>
      </c>
      <c r="CA228" s="114">
        <v>438.15999999999997</v>
      </c>
      <c r="CB228" s="119">
        <v>19</v>
      </c>
      <c r="CC228" s="120">
        <v>284</v>
      </c>
      <c r="CD228" s="114">
        <v>217.6</v>
      </c>
      <c r="CE228" s="119">
        <v>35</v>
      </c>
      <c r="CF228" s="120">
        <v>784</v>
      </c>
      <c r="CG228" s="114">
        <v>431.6</v>
      </c>
      <c r="CH228" s="119">
        <v>26.25</v>
      </c>
      <c r="CI228" s="120">
        <v>374</v>
      </c>
      <c r="CJ228" s="114">
        <v>308.5</v>
      </c>
      <c r="CK228" s="54">
        <f t="shared" si="36"/>
        <v>342.05</v>
      </c>
      <c r="CL228" s="63">
        <f t="shared" si="37"/>
        <v>5363</v>
      </c>
      <c r="CM228" s="55">
        <f t="shared" si="38"/>
        <v>4045.7999999999993</v>
      </c>
      <c r="CN228" s="54">
        <f t="shared" si="39"/>
        <v>28.504166666666666</v>
      </c>
      <c r="CO228" s="63">
        <f t="shared" si="40"/>
        <v>446.91666666666669</v>
      </c>
      <c r="CP228" s="172">
        <f t="shared" si="41"/>
        <v>337.14999999999992</v>
      </c>
      <c r="CQ228" s="158">
        <v>31</v>
      </c>
      <c r="CR228" s="159">
        <v>512</v>
      </c>
      <c r="CS228" s="179">
        <v>353.20000000000005</v>
      </c>
      <c r="CT228" s="27">
        <v>23</v>
      </c>
      <c r="CU228" s="58">
        <v>332</v>
      </c>
      <c r="CV228" s="12">
        <v>270.39999999999998</v>
      </c>
      <c r="CW228" s="27"/>
      <c r="CX228" s="58"/>
      <c r="CY228" s="98"/>
      <c r="CZ228" s="27"/>
      <c r="DA228" s="58"/>
      <c r="DB228" s="12"/>
      <c r="DC228" s="27"/>
      <c r="DD228" s="58"/>
      <c r="DE228" s="12"/>
      <c r="DF228" s="27"/>
      <c r="DG228" s="58"/>
      <c r="DH228" s="12"/>
      <c r="DI228" s="27"/>
      <c r="DJ228" s="58"/>
      <c r="DK228" s="12"/>
      <c r="DL228" s="27"/>
      <c r="DM228" s="58"/>
      <c r="DN228" s="12"/>
      <c r="DO228" s="27"/>
      <c r="DP228" s="58"/>
      <c r="DQ228" s="12"/>
      <c r="DR228" s="27"/>
      <c r="DS228" s="58"/>
      <c r="DT228" s="12"/>
      <c r="DU228" s="27"/>
      <c r="DV228" s="58"/>
      <c r="DW228" s="12"/>
      <c r="DX228" s="27"/>
      <c r="DY228" s="58"/>
      <c r="DZ228" s="12"/>
    </row>
    <row r="229" spans="1:130" s="25" customFormat="1" ht="31.5" customHeight="1" x14ac:dyDescent="0.6">
      <c r="A229" s="5">
        <v>226</v>
      </c>
      <c r="B229" s="18" t="s">
        <v>563</v>
      </c>
      <c r="C229" s="18" t="s">
        <v>564</v>
      </c>
      <c r="D229" s="18" t="s">
        <v>307</v>
      </c>
      <c r="E229" s="23" t="s">
        <v>308</v>
      </c>
      <c r="F229" s="7" t="s">
        <v>545</v>
      </c>
      <c r="G229" s="123"/>
      <c r="H229" s="123"/>
      <c r="I229" s="123" t="s">
        <v>1085</v>
      </c>
      <c r="J229" s="49" t="s">
        <v>546</v>
      </c>
      <c r="K229" s="27"/>
      <c r="L229" s="58"/>
      <c r="M229" s="78"/>
      <c r="N229" s="27"/>
      <c r="O229" s="58"/>
      <c r="P229" s="49"/>
      <c r="Q229" s="27"/>
      <c r="R229" s="58"/>
      <c r="S229" s="98"/>
      <c r="T229" s="27"/>
      <c r="U229" s="58"/>
      <c r="V229" s="12"/>
      <c r="W229" s="27"/>
      <c r="X229" s="58"/>
      <c r="Y229" s="12"/>
      <c r="Z229" s="27"/>
      <c r="AA229" s="58"/>
      <c r="AB229" s="12"/>
      <c r="AC229" s="27">
        <v>21</v>
      </c>
      <c r="AD229" s="58">
        <v>480</v>
      </c>
      <c r="AE229" s="12"/>
      <c r="AF229" s="27">
        <v>0</v>
      </c>
      <c r="AG229" s="58">
        <v>0</v>
      </c>
      <c r="AH229" s="12"/>
      <c r="AI229" s="27">
        <v>21</v>
      </c>
      <c r="AJ229" s="58">
        <v>450</v>
      </c>
      <c r="AK229" s="12"/>
      <c r="AL229" s="27">
        <v>16</v>
      </c>
      <c r="AM229" s="58">
        <v>234</v>
      </c>
      <c r="AN229" s="12"/>
      <c r="AO229" s="27">
        <v>19</v>
      </c>
      <c r="AP229" s="58">
        <v>346</v>
      </c>
      <c r="AQ229" s="12"/>
      <c r="AR229" s="27">
        <v>22</v>
      </c>
      <c r="AS229" s="58">
        <v>528</v>
      </c>
      <c r="AT229" s="12"/>
      <c r="AU229" s="54"/>
      <c r="AV229" s="63"/>
      <c r="AW229" s="55"/>
      <c r="AX229" s="54"/>
      <c r="AY229" s="63"/>
      <c r="AZ229" s="55"/>
      <c r="BA229" s="10">
        <v>7</v>
      </c>
      <c r="BB229" s="15">
        <v>144</v>
      </c>
      <c r="BC229" s="11">
        <v>82</v>
      </c>
      <c r="BD229" s="10">
        <v>12</v>
      </c>
      <c r="BE229" s="15">
        <v>284</v>
      </c>
      <c r="BF229" s="11">
        <v>154</v>
      </c>
      <c r="BG229" s="10">
        <v>17</v>
      </c>
      <c r="BH229" s="15">
        <v>410</v>
      </c>
      <c r="BI229" s="11">
        <v>202.8</v>
      </c>
      <c r="BJ229" s="10">
        <v>18</v>
      </c>
      <c r="BK229" s="15">
        <v>394</v>
      </c>
      <c r="BL229" s="11">
        <v>201.52</v>
      </c>
      <c r="BM229" s="46">
        <v>12</v>
      </c>
      <c r="BN229" s="43">
        <v>260</v>
      </c>
      <c r="BO229" s="47">
        <v>150.96</v>
      </c>
      <c r="BP229" s="46">
        <v>12</v>
      </c>
      <c r="BQ229" s="43">
        <v>175</v>
      </c>
      <c r="BR229" s="47">
        <v>118.76</v>
      </c>
      <c r="BS229" s="46">
        <v>12</v>
      </c>
      <c r="BT229" s="43">
        <v>288</v>
      </c>
      <c r="BU229" s="114">
        <v>147.92000000000002</v>
      </c>
      <c r="BV229" s="119">
        <v>5.3</v>
      </c>
      <c r="BW229" s="120">
        <v>95</v>
      </c>
      <c r="BX229" s="114">
        <v>57.96</v>
      </c>
      <c r="BY229" s="119">
        <v>12</v>
      </c>
      <c r="BZ229" s="120">
        <v>204</v>
      </c>
      <c r="CA229" s="114">
        <v>141.92000000000002</v>
      </c>
      <c r="CB229" s="119">
        <v>5</v>
      </c>
      <c r="CC229" s="120">
        <v>90</v>
      </c>
      <c r="CD229" s="114">
        <v>49.36</v>
      </c>
      <c r="CE229" s="119">
        <v>8</v>
      </c>
      <c r="CF229" s="120">
        <v>154</v>
      </c>
      <c r="CG229" s="114">
        <v>96.960000000000008</v>
      </c>
      <c r="CH229" s="119">
        <v>5</v>
      </c>
      <c r="CI229" s="120">
        <v>66</v>
      </c>
      <c r="CJ229" s="114">
        <v>50.88</v>
      </c>
      <c r="CK229" s="54">
        <f t="shared" si="36"/>
        <v>125.3</v>
      </c>
      <c r="CL229" s="63">
        <f t="shared" si="37"/>
        <v>2564</v>
      </c>
      <c r="CM229" s="55">
        <f t="shared" si="38"/>
        <v>1455.0400000000002</v>
      </c>
      <c r="CN229" s="54">
        <f t="shared" si="39"/>
        <v>10.441666666666666</v>
      </c>
      <c r="CO229" s="63">
        <f t="shared" si="40"/>
        <v>213.66666666666666</v>
      </c>
      <c r="CP229" s="172">
        <f t="shared" si="41"/>
        <v>121.25333333333334</v>
      </c>
      <c r="CQ229" s="158">
        <v>16</v>
      </c>
      <c r="CR229" s="159">
        <v>310</v>
      </c>
      <c r="CS229" s="179">
        <v>190.88000000000002</v>
      </c>
      <c r="CT229" s="27">
        <v>10</v>
      </c>
      <c r="CU229" s="58">
        <v>206</v>
      </c>
      <c r="CV229" s="12">
        <v>122.96000000000001</v>
      </c>
      <c r="CW229" s="27"/>
      <c r="CX229" s="58"/>
      <c r="CY229" s="98"/>
      <c r="CZ229" s="27"/>
      <c r="DA229" s="58"/>
      <c r="DB229" s="12"/>
      <c r="DC229" s="27"/>
      <c r="DD229" s="58"/>
      <c r="DE229" s="12"/>
      <c r="DF229" s="27"/>
      <c r="DG229" s="58"/>
      <c r="DH229" s="12"/>
      <c r="DI229" s="27"/>
      <c r="DJ229" s="58"/>
      <c r="DK229" s="12"/>
      <c r="DL229" s="27"/>
      <c r="DM229" s="58"/>
      <c r="DN229" s="12"/>
      <c r="DO229" s="27"/>
      <c r="DP229" s="58"/>
      <c r="DQ229" s="12"/>
      <c r="DR229" s="27"/>
      <c r="DS229" s="58"/>
      <c r="DT229" s="12"/>
      <c r="DU229" s="27"/>
      <c r="DV229" s="58"/>
      <c r="DW229" s="12"/>
      <c r="DX229" s="27"/>
      <c r="DY229" s="58"/>
      <c r="DZ229" s="12"/>
    </row>
    <row r="230" spans="1:130" s="25" customFormat="1" ht="31.5" customHeight="1" x14ac:dyDescent="0.6">
      <c r="A230" s="5">
        <v>227</v>
      </c>
      <c r="B230" s="18" t="s">
        <v>565</v>
      </c>
      <c r="C230" s="18" t="s">
        <v>566</v>
      </c>
      <c r="D230" s="18" t="s">
        <v>307</v>
      </c>
      <c r="E230" s="23" t="s">
        <v>308</v>
      </c>
      <c r="F230" s="7" t="s">
        <v>545</v>
      </c>
      <c r="G230" s="123"/>
      <c r="H230" s="123"/>
      <c r="I230" s="123" t="s">
        <v>1086</v>
      </c>
      <c r="J230" s="49" t="s">
        <v>546</v>
      </c>
      <c r="K230" s="27"/>
      <c r="L230" s="58"/>
      <c r="M230" s="78"/>
      <c r="N230" s="27"/>
      <c r="O230" s="58"/>
      <c r="P230" s="49"/>
      <c r="Q230" s="27"/>
      <c r="R230" s="58"/>
      <c r="S230" s="98"/>
      <c r="T230" s="27"/>
      <c r="U230" s="58"/>
      <c r="V230" s="12"/>
      <c r="W230" s="27"/>
      <c r="X230" s="58"/>
      <c r="Y230" s="12"/>
      <c r="Z230" s="27"/>
      <c r="AA230" s="58"/>
      <c r="AB230" s="12"/>
      <c r="AC230" s="27">
        <v>47</v>
      </c>
      <c r="AD230" s="58">
        <v>718</v>
      </c>
      <c r="AE230" s="12"/>
      <c r="AF230" s="27">
        <v>46</v>
      </c>
      <c r="AG230" s="58">
        <v>688</v>
      </c>
      <c r="AH230" s="12"/>
      <c r="AI230" s="27">
        <v>25</v>
      </c>
      <c r="AJ230" s="58">
        <v>416</v>
      </c>
      <c r="AK230" s="12"/>
      <c r="AL230" s="27">
        <v>24</v>
      </c>
      <c r="AM230" s="58">
        <v>378</v>
      </c>
      <c r="AN230" s="12"/>
      <c r="AO230" s="27">
        <v>8</v>
      </c>
      <c r="AP230" s="58">
        <v>130</v>
      </c>
      <c r="AQ230" s="12"/>
      <c r="AR230" s="27">
        <v>28</v>
      </c>
      <c r="AS230" s="58">
        <v>490</v>
      </c>
      <c r="AT230" s="12"/>
      <c r="AU230" s="54"/>
      <c r="AV230" s="63"/>
      <c r="AW230" s="55"/>
      <c r="AX230" s="54"/>
      <c r="AY230" s="63"/>
      <c r="AZ230" s="55"/>
      <c r="BA230" s="10">
        <v>10</v>
      </c>
      <c r="BB230" s="15">
        <v>0</v>
      </c>
      <c r="BC230" s="11">
        <v>0</v>
      </c>
      <c r="BD230" s="10">
        <v>17</v>
      </c>
      <c r="BE230" s="15">
        <v>284</v>
      </c>
      <c r="BF230" s="11">
        <v>171.8</v>
      </c>
      <c r="BG230" s="10">
        <v>24</v>
      </c>
      <c r="BH230" s="15">
        <v>350</v>
      </c>
      <c r="BI230" s="11">
        <v>238.39999999999998</v>
      </c>
      <c r="BJ230" s="10">
        <v>23</v>
      </c>
      <c r="BK230" s="15">
        <v>364</v>
      </c>
      <c r="BL230" s="11">
        <v>232.6</v>
      </c>
      <c r="BM230" s="46">
        <v>19</v>
      </c>
      <c r="BN230" s="43">
        <v>326</v>
      </c>
      <c r="BO230" s="47">
        <v>192.56</v>
      </c>
      <c r="BP230" s="46">
        <v>24</v>
      </c>
      <c r="BQ230" s="43">
        <v>386</v>
      </c>
      <c r="BR230" s="47">
        <v>233.2</v>
      </c>
      <c r="BS230" s="46">
        <v>25</v>
      </c>
      <c r="BT230" s="43">
        <v>418</v>
      </c>
      <c r="BU230" s="114">
        <v>254.32</v>
      </c>
      <c r="BV230" s="119">
        <v>31.3</v>
      </c>
      <c r="BW230" s="120">
        <v>503</v>
      </c>
      <c r="BX230" s="114">
        <v>312.60000000000002</v>
      </c>
      <c r="BY230" s="119">
        <v>29</v>
      </c>
      <c r="BZ230" s="120">
        <v>522</v>
      </c>
      <c r="CA230" s="114">
        <v>302.48</v>
      </c>
      <c r="CB230" s="119">
        <v>22</v>
      </c>
      <c r="CC230" s="120">
        <v>378</v>
      </c>
      <c r="CD230" s="114">
        <v>224.4</v>
      </c>
      <c r="CE230" s="119">
        <v>19</v>
      </c>
      <c r="CF230" s="120">
        <v>338</v>
      </c>
      <c r="CG230" s="114">
        <v>194.48000000000002</v>
      </c>
      <c r="CH230" s="119">
        <v>21</v>
      </c>
      <c r="CI230" s="120">
        <v>390</v>
      </c>
      <c r="CJ230" s="114">
        <v>220.48000000000002</v>
      </c>
      <c r="CK230" s="54">
        <f t="shared" si="36"/>
        <v>264.3</v>
      </c>
      <c r="CL230" s="63">
        <f t="shared" si="37"/>
        <v>4259</v>
      </c>
      <c r="CM230" s="55">
        <f t="shared" si="38"/>
        <v>2577.3200000000002</v>
      </c>
      <c r="CN230" s="54">
        <f t="shared" si="39"/>
        <v>22.025000000000002</v>
      </c>
      <c r="CO230" s="63">
        <f t="shared" si="40"/>
        <v>354.91666666666669</v>
      </c>
      <c r="CP230" s="172">
        <f t="shared" si="41"/>
        <v>214.77666666666667</v>
      </c>
      <c r="CQ230" s="158">
        <v>31</v>
      </c>
      <c r="CR230" s="159">
        <v>528</v>
      </c>
      <c r="CS230" s="179">
        <v>313.12</v>
      </c>
      <c r="CT230" s="27">
        <v>32</v>
      </c>
      <c r="CU230" s="58">
        <v>536</v>
      </c>
      <c r="CV230" s="12">
        <v>331.2</v>
      </c>
      <c r="CW230" s="27"/>
      <c r="CX230" s="58"/>
      <c r="CY230" s="98"/>
      <c r="CZ230" s="27"/>
      <c r="DA230" s="58"/>
      <c r="DB230" s="12"/>
      <c r="DC230" s="27"/>
      <c r="DD230" s="58"/>
      <c r="DE230" s="12"/>
      <c r="DF230" s="27"/>
      <c r="DG230" s="58"/>
      <c r="DH230" s="12"/>
      <c r="DI230" s="27"/>
      <c r="DJ230" s="58"/>
      <c r="DK230" s="12"/>
      <c r="DL230" s="27"/>
      <c r="DM230" s="58"/>
      <c r="DN230" s="12"/>
      <c r="DO230" s="27"/>
      <c r="DP230" s="58"/>
      <c r="DQ230" s="12"/>
      <c r="DR230" s="27"/>
      <c r="DS230" s="58"/>
      <c r="DT230" s="12"/>
      <c r="DU230" s="27"/>
      <c r="DV230" s="58"/>
      <c r="DW230" s="12"/>
      <c r="DX230" s="27"/>
      <c r="DY230" s="58"/>
      <c r="DZ230" s="12"/>
    </row>
    <row r="231" spans="1:130" s="25" customFormat="1" ht="31.5" customHeight="1" x14ac:dyDescent="0.6">
      <c r="A231" s="5">
        <v>228</v>
      </c>
      <c r="B231" s="18" t="s">
        <v>567</v>
      </c>
      <c r="C231" s="18" t="s">
        <v>568</v>
      </c>
      <c r="D231" s="18" t="s">
        <v>307</v>
      </c>
      <c r="E231" s="23" t="s">
        <v>308</v>
      </c>
      <c r="F231" s="7" t="s">
        <v>545</v>
      </c>
      <c r="G231" s="123"/>
      <c r="H231" s="123"/>
      <c r="I231" s="123" t="s">
        <v>1087</v>
      </c>
      <c r="J231" s="49" t="s">
        <v>546</v>
      </c>
      <c r="K231" s="27"/>
      <c r="L231" s="58"/>
      <c r="M231" s="78"/>
      <c r="N231" s="27"/>
      <c r="O231" s="58"/>
      <c r="P231" s="49"/>
      <c r="Q231" s="27"/>
      <c r="R231" s="58"/>
      <c r="S231" s="98"/>
      <c r="T231" s="27"/>
      <c r="U231" s="58"/>
      <c r="V231" s="12"/>
      <c r="W231" s="27"/>
      <c r="X231" s="58"/>
      <c r="Y231" s="12"/>
      <c r="Z231" s="27"/>
      <c r="AA231" s="58"/>
      <c r="AB231" s="12"/>
      <c r="AC231" s="27">
        <v>17</v>
      </c>
      <c r="AD231" s="58">
        <v>222</v>
      </c>
      <c r="AE231" s="12"/>
      <c r="AF231" s="27">
        <v>0</v>
      </c>
      <c r="AG231" s="58">
        <v>0</v>
      </c>
      <c r="AH231" s="12"/>
      <c r="AI231" s="27">
        <v>23</v>
      </c>
      <c r="AJ231" s="58">
        <v>286</v>
      </c>
      <c r="AK231" s="12"/>
      <c r="AL231" s="27">
        <v>30</v>
      </c>
      <c r="AM231" s="58">
        <v>374</v>
      </c>
      <c r="AN231" s="12"/>
      <c r="AO231" s="27">
        <v>15</v>
      </c>
      <c r="AP231" s="58">
        <v>184</v>
      </c>
      <c r="AQ231" s="12"/>
      <c r="AR231" s="27">
        <v>27</v>
      </c>
      <c r="AS231" s="58">
        <v>390</v>
      </c>
      <c r="AT231" s="12"/>
      <c r="AU231" s="54"/>
      <c r="AV231" s="63"/>
      <c r="AW231" s="55"/>
      <c r="AX231" s="54"/>
      <c r="AY231" s="63"/>
      <c r="AZ231" s="55"/>
      <c r="BA231" s="10">
        <v>16</v>
      </c>
      <c r="BB231" s="15">
        <v>200</v>
      </c>
      <c r="BC231" s="11">
        <v>179.9</v>
      </c>
      <c r="BD231" s="10">
        <v>11</v>
      </c>
      <c r="BE231" s="15">
        <v>162</v>
      </c>
      <c r="BF231" s="11">
        <v>131</v>
      </c>
      <c r="BG231" s="10">
        <v>23</v>
      </c>
      <c r="BH231" s="15">
        <v>316</v>
      </c>
      <c r="BI231" s="11">
        <v>259.76</v>
      </c>
      <c r="BJ231" s="10">
        <v>28</v>
      </c>
      <c r="BK231" s="15">
        <v>378</v>
      </c>
      <c r="BL231" s="11">
        <v>316.7</v>
      </c>
      <c r="BM231" s="46">
        <v>19</v>
      </c>
      <c r="BN231" s="43">
        <v>236</v>
      </c>
      <c r="BO231" s="47">
        <v>220.88</v>
      </c>
      <c r="BP231" s="46">
        <v>12</v>
      </c>
      <c r="BQ231" s="43">
        <v>146</v>
      </c>
      <c r="BR231" s="47">
        <v>140.96</v>
      </c>
      <c r="BS231" s="46">
        <v>23</v>
      </c>
      <c r="BT231" s="43">
        <v>280</v>
      </c>
      <c r="BU231" s="114">
        <v>269.92</v>
      </c>
      <c r="BV231" s="119">
        <v>15.3</v>
      </c>
      <c r="BW231" s="120">
        <v>189</v>
      </c>
      <c r="BX231" s="114">
        <v>172.92000000000002</v>
      </c>
      <c r="BY231" s="119">
        <v>14</v>
      </c>
      <c r="BZ231" s="120">
        <v>174</v>
      </c>
      <c r="CA231" s="114">
        <v>155.04000000000002</v>
      </c>
      <c r="CB231" s="119">
        <v>13</v>
      </c>
      <c r="CC231" s="120">
        <v>188</v>
      </c>
      <c r="CD231" s="114">
        <v>151.92000000000002</v>
      </c>
      <c r="CE231" s="119">
        <v>7</v>
      </c>
      <c r="CF231" s="120">
        <v>88</v>
      </c>
      <c r="CG231" s="114">
        <v>77.92</v>
      </c>
      <c r="CH231" s="119">
        <v>9</v>
      </c>
      <c r="CI231" s="120">
        <v>110</v>
      </c>
      <c r="CJ231" s="114">
        <v>104.96000000000001</v>
      </c>
      <c r="CK231" s="54">
        <f t="shared" si="36"/>
        <v>190.3</v>
      </c>
      <c r="CL231" s="63">
        <f t="shared" si="37"/>
        <v>2467</v>
      </c>
      <c r="CM231" s="55">
        <f t="shared" si="38"/>
        <v>2181.88</v>
      </c>
      <c r="CN231" s="54">
        <f t="shared" si="39"/>
        <v>15.858333333333334</v>
      </c>
      <c r="CO231" s="63">
        <f t="shared" si="40"/>
        <v>205.58333333333334</v>
      </c>
      <c r="CP231" s="172">
        <f t="shared" si="41"/>
        <v>181.82333333333335</v>
      </c>
      <c r="CQ231" s="158">
        <v>12</v>
      </c>
      <c r="CR231" s="159">
        <v>146</v>
      </c>
      <c r="CS231" s="179">
        <v>140.96</v>
      </c>
      <c r="CT231" s="27">
        <v>29</v>
      </c>
      <c r="CU231" s="58">
        <v>348</v>
      </c>
      <c r="CV231" s="12">
        <v>324</v>
      </c>
      <c r="CW231" s="27"/>
      <c r="CX231" s="58"/>
      <c r="CY231" s="98"/>
      <c r="CZ231" s="27"/>
      <c r="DA231" s="58"/>
      <c r="DB231" s="12"/>
      <c r="DC231" s="27"/>
      <c r="DD231" s="58"/>
      <c r="DE231" s="12"/>
      <c r="DF231" s="27"/>
      <c r="DG231" s="58"/>
      <c r="DH231" s="12"/>
      <c r="DI231" s="27"/>
      <c r="DJ231" s="58"/>
      <c r="DK231" s="12"/>
      <c r="DL231" s="27"/>
      <c r="DM231" s="58"/>
      <c r="DN231" s="12"/>
      <c r="DO231" s="27"/>
      <c r="DP231" s="58"/>
      <c r="DQ231" s="12"/>
      <c r="DR231" s="27"/>
      <c r="DS231" s="58"/>
      <c r="DT231" s="12"/>
      <c r="DU231" s="27"/>
      <c r="DV231" s="58"/>
      <c r="DW231" s="12"/>
      <c r="DX231" s="27"/>
      <c r="DY231" s="58"/>
      <c r="DZ231" s="12"/>
    </row>
    <row r="232" spans="1:130" s="25" customFormat="1" ht="31.5" customHeight="1" x14ac:dyDescent="0.6">
      <c r="A232" s="5">
        <v>229</v>
      </c>
      <c r="B232" s="18" t="s">
        <v>569</v>
      </c>
      <c r="C232" s="18" t="s">
        <v>569</v>
      </c>
      <c r="D232" s="18" t="s">
        <v>307</v>
      </c>
      <c r="E232" s="23" t="s">
        <v>308</v>
      </c>
      <c r="F232" s="7" t="s">
        <v>545</v>
      </c>
      <c r="G232" s="123"/>
      <c r="H232" s="123"/>
      <c r="I232" s="123" t="s">
        <v>1088</v>
      </c>
      <c r="J232" s="49" t="s">
        <v>546</v>
      </c>
      <c r="K232" s="27"/>
      <c r="L232" s="58"/>
      <c r="M232" s="78"/>
      <c r="N232" s="27"/>
      <c r="O232" s="58"/>
      <c r="P232" s="49"/>
      <c r="Q232" s="27"/>
      <c r="R232" s="58"/>
      <c r="S232" s="98"/>
      <c r="T232" s="27"/>
      <c r="U232" s="58"/>
      <c r="V232" s="12"/>
      <c r="W232" s="27"/>
      <c r="X232" s="58"/>
      <c r="Y232" s="12"/>
      <c r="Z232" s="27"/>
      <c r="AA232" s="58"/>
      <c r="AB232" s="12"/>
      <c r="AC232" s="27">
        <v>8</v>
      </c>
      <c r="AD232" s="58">
        <v>102</v>
      </c>
      <c r="AE232" s="12"/>
      <c r="AF232" s="27">
        <v>0</v>
      </c>
      <c r="AG232" s="58">
        <v>0</v>
      </c>
      <c r="AH232" s="12"/>
      <c r="AI232" s="27">
        <v>0</v>
      </c>
      <c r="AJ232" s="58">
        <v>0</v>
      </c>
      <c r="AK232" s="12"/>
      <c r="AL232" s="27">
        <v>15</v>
      </c>
      <c r="AM232" s="58">
        <v>180</v>
      </c>
      <c r="AN232" s="12"/>
      <c r="AO232" s="27">
        <v>6</v>
      </c>
      <c r="AP232" s="58">
        <v>72</v>
      </c>
      <c r="AQ232" s="12"/>
      <c r="AR232" s="27">
        <v>3</v>
      </c>
      <c r="AS232" s="58">
        <v>64</v>
      </c>
      <c r="AT232" s="12"/>
      <c r="AU232" s="54"/>
      <c r="AV232" s="63"/>
      <c r="AW232" s="55"/>
      <c r="AX232" s="54"/>
      <c r="AY232" s="63"/>
      <c r="AZ232" s="55"/>
      <c r="BA232" s="10">
        <v>7</v>
      </c>
      <c r="BB232" s="15">
        <v>112</v>
      </c>
      <c r="BC232" s="11">
        <v>86</v>
      </c>
      <c r="BD232" s="10">
        <v>7</v>
      </c>
      <c r="BE232" s="15">
        <v>84</v>
      </c>
      <c r="BF232" s="11">
        <v>84</v>
      </c>
      <c r="BG232" s="10">
        <v>7</v>
      </c>
      <c r="BH232" s="15">
        <v>112</v>
      </c>
      <c r="BI232" s="11">
        <v>86</v>
      </c>
      <c r="BJ232" s="10">
        <v>15</v>
      </c>
      <c r="BK232" s="15">
        <v>186</v>
      </c>
      <c r="BL232" s="11">
        <v>170.9</v>
      </c>
      <c r="BM232" s="46">
        <v>11</v>
      </c>
      <c r="BN232" s="43">
        <v>138</v>
      </c>
      <c r="BO232" s="47">
        <v>134</v>
      </c>
      <c r="BP232" s="46">
        <v>16</v>
      </c>
      <c r="BQ232" s="43">
        <v>282</v>
      </c>
      <c r="BR232" s="47">
        <v>188.88</v>
      </c>
      <c r="BS232" s="46">
        <v>27</v>
      </c>
      <c r="BT232" s="43">
        <v>330</v>
      </c>
      <c r="BU232" s="114">
        <v>314.96000000000004</v>
      </c>
      <c r="BV232" s="119">
        <v>7.3</v>
      </c>
      <c r="BW232" s="120">
        <v>89</v>
      </c>
      <c r="BX232" s="114">
        <v>83.000000000000014</v>
      </c>
      <c r="BY232" s="119">
        <v>13</v>
      </c>
      <c r="BZ232" s="120">
        <v>216</v>
      </c>
      <c r="CA232" s="114">
        <v>153.92000000000002</v>
      </c>
      <c r="CB232" s="119">
        <v>20</v>
      </c>
      <c r="CC232" s="120">
        <v>242</v>
      </c>
      <c r="CD232" s="114">
        <v>236.95999999999998</v>
      </c>
      <c r="CE232" s="119">
        <v>8</v>
      </c>
      <c r="CF232" s="120">
        <v>98</v>
      </c>
      <c r="CG232" s="114">
        <v>92.960000000000008</v>
      </c>
      <c r="CH232" s="119">
        <v>12</v>
      </c>
      <c r="CI232" s="120">
        <v>176</v>
      </c>
      <c r="CJ232" s="114">
        <v>139.92000000000002</v>
      </c>
      <c r="CK232" s="54">
        <f t="shared" si="36"/>
        <v>150.30000000000001</v>
      </c>
      <c r="CL232" s="63">
        <f t="shared" si="37"/>
        <v>2065</v>
      </c>
      <c r="CM232" s="55">
        <f t="shared" si="38"/>
        <v>1771.5000000000002</v>
      </c>
      <c r="CN232" s="54">
        <f t="shared" si="39"/>
        <v>12.525</v>
      </c>
      <c r="CO232" s="63">
        <f t="shared" si="40"/>
        <v>172.08333333333334</v>
      </c>
      <c r="CP232" s="172">
        <f t="shared" si="41"/>
        <v>147.62500000000003</v>
      </c>
      <c r="CQ232" s="158">
        <v>26</v>
      </c>
      <c r="CR232" s="159">
        <v>342</v>
      </c>
      <c r="CS232" s="179">
        <v>310.96000000000004</v>
      </c>
      <c r="CT232" s="27">
        <v>25</v>
      </c>
      <c r="CU232" s="58">
        <v>308</v>
      </c>
      <c r="CV232" s="12">
        <v>287.84000000000003</v>
      </c>
      <c r="CW232" s="27"/>
      <c r="CX232" s="58"/>
      <c r="CY232" s="98"/>
      <c r="CZ232" s="27"/>
      <c r="DA232" s="58"/>
      <c r="DB232" s="12"/>
      <c r="DC232" s="27"/>
      <c r="DD232" s="58"/>
      <c r="DE232" s="12"/>
      <c r="DF232" s="27"/>
      <c r="DG232" s="58"/>
      <c r="DH232" s="12"/>
      <c r="DI232" s="27"/>
      <c r="DJ232" s="58"/>
      <c r="DK232" s="12"/>
      <c r="DL232" s="27"/>
      <c r="DM232" s="58"/>
      <c r="DN232" s="12"/>
      <c r="DO232" s="27"/>
      <c r="DP232" s="58"/>
      <c r="DQ232" s="12"/>
      <c r="DR232" s="27"/>
      <c r="DS232" s="58"/>
      <c r="DT232" s="12"/>
      <c r="DU232" s="27"/>
      <c r="DV232" s="58"/>
      <c r="DW232" s="12"/>
      <c r="DX232" s="27"/>
      <c r="DY232" s="58"/>
      <c r="DZ232" s="12"/>
    </row>
    <row r="233" spans="1:130" s="25" customFormat="1" ht="31.5" customHeight="1" x14ac:dyDescent="0.6">
      <c r="A233" s="5">
        <v>230</v>
      </c>
      <c r="B233" s="18" t="s">
        <v>570</v>
      </c>
      <c r="C233" s="18" t="s">
        <v>571</v>
      </c>
      <c r="D233" s="18" t="s">
        <v>263</v>
      </c>
      <c r="E233" s="23" t="s">
        <v>264</v>
      </c>
      <c r="F233" s="7" t="s">
        <v>545</v>
      </c>
      <c r="G233" s="123"/>
      <c r="H233" s="123"/>
      <c r="I233" s="123" t="s">
        <v>1089</v>
      </c>
      <c r="J233" s="49" t="s">
        <v>546</v>
      </c>
      <c r="K233" s="27"/>
      <c r="L233" s="58"/>
      <c r="M233" s="78"/>
      <c r="N233" s="27"/>
      <c r="O233" s="58"/>
      <c r="P233" s="49"/>
      <c r="Q233" s="27"/>
      <c r="R233" s="58"/>
      <c r="S233" s="98"/>
      <c r="T233" s="27"/>
      <c r="U233" s="58"/>
      <c r="V233" s="12"/>
      <c r="W233" s="27"/>
      <c r="X233" s="58"/>
      <c r="Y233" s="12"/>
      <c r="Z233" s="27"/>
      <c r="AA233" s="58"/>
      <c r="AB233" s="12"/>
      <c r="AC233" s="27">
        <v>93</v>
      </c>
      <c r="AD233" s="58">
        <v>1200</v>
      </c>
      <c r="AE233" s="12"/>
      <c r="AF233" s="27">
        <v>0</v>
      </c>
      <c r="AG233" s="58">
        <v>0</v>
      </c>
      <c r="AH233" s="12"/>
      <c r="AI233" s="27">
        <v>6</v>
      </c>
      <c r="AJ233" s="58">
        <v>156</v>
      </c>
      <c r="AK233" s="12"/>
      <c r="AL233" s="27">
        <v>7</v>
      </c>
      <c r="AM233" s="58">
        <v>124</v>
      </c>
      <c r="AN233" s="12"/>
      <c r="AO233" s="27">
        <v>20</v>
      </c>
      <c r="AP233" s="58">
        <v>288</v>
      </c>
      <c r="AQ233" s="12"/>
      <c r="AR233" s="27">
        <v>56</v>
      </c>
      <c r="AS233" s="58">
        <v>702</v>
      </c>
      <c r="AT233" s="12"/>
      <c r="AU233" s="54"/>
      <c r="AV233" s="63"/>
      <c r="AW233" s="55"/>
      <c r="AX233" s="54"/>
      <c r="AY233" s="63"/>
      <c r="AZ233" s="55"/>
      <c r="BA233" s="10">
        <v>13</v>
      </c>
      <c r="BB233" s="15">
        <v>176</v>
      </c>
      <c r="BC233" s="11">
        <v>116</v>
      </c>
      <c r="BD233" s="10">
        <v>35</v>
      </c>
      <c r="BE233" s="15">
        <v>460</v>
      </c>
      <c r="BF233" s="11">
        <v>335.4</v>
      </c>
      <c r="BG233" s="10">
        <v>105</v>
      </c>
      <c r="BH233" s="15">
        <v>1266</v>
      </c>
      <c r="BI233" s="11">
        <v>1250.8800000000001</v>
      </c>
      <c r="BJ233" s="10">
        <v>47</v>
      </c>
      <c r="BK233" s="15">
        <v>784</v>
      </c>
      <c r="BL233" s="11">
        <v>463.20000000000005</v>
      </c>
      <c r="BM233" s="46">
        <v>87</v>
      </c>
      <c r="BN233" s="43">
        <v>1270</v>
      </c>
      <c r="BO233" s="47">
        <v>862</v>
      </c>
      <c r="BP233" s="46">
        <v>79</v>
      </c>
      <c r="BQ233" s="43">
        <v>1126</v>
      </c>
      <c r="BR233" s="47">
        <v>828.43999999999994</v>
      </c>
      <c r="BS233" s="46">
        <v>69</v>
      </c>
      <c r="BT233" s="43">
        <v>990</v>
      </c>
      <c r="BU233" s="114">
        <v>762.07999999999993</v>
      </c>
      <c r="BV233" s="119">
        <v>27.3</v>
      </c>
      <c r="BW233" s="120">
        <v>335</v>
      </c>
      <c r="BX233" s="114">
        <v>313.88</v>
      </c>
      <c r="BY233" s="119">
        <v>30</v>
      </c>
      <c r="BZ233" s="120">
        <v>474</v>
      </c>
      <c r="CA233" s="114">
        <v>281.04000000000002</v>
      </c>
      <c r="CB233" s="119">
        <v>66</v>
      </c>
      <c r="CC233" s="120">
        <v>1088</v>
      </c>
      <c r="CD233" s="114">
        <v>780</v>
      </c>
      <c r="CE233" s="119">
        <v>103</v>
      </c>
      <c r="CF233" s="120">
        <v>1540</v>
      </c>
      <c r="CG233" s="114">
        <v>1058.3999999999999</v>
      </c>
      <c r="CH233" s="119">
        <v>49</v>
      </c>
      <c r="CI233" s="120">
        <v>656</v>
      </c>
      <c r="CJ233" s="114">
        <v>540.4</v>
      </c>
      <c r="CK233" s="54">
        <f t="shared" si="36"/>
        <v>710.3</v>
      </c>
      <c r="CL233" s="63">
        <f t="shared" si="37"/>
        <v>10165</v>
      </c>
      <c r="CM233" s="55">
        <f t="shared" si="38"/>
        <v>7591.7199999999993</v>
      </c>
      <c r="CN233" s="54">
        <f t="shared" si="39"/>
        <v>59.191666666666663</v>
      </c>
      <c r="CO233" s="63">
        <f t="shared" si="40"/>
        <v>847.08333333333337</v>
      </c>
      <c r="CP233" s="172">
        <f t="shared" si="41"/>
        <v>632.64333333333332</v>
      </c>
      <c r="CQ233" s="158">
        <v>101</v>
      </c>
      <c r="CR233" s="159">
        <v>1242</v>
      </c>
      <c r="CS233" s="179">
        <v>1118.4000000000001</v>
      </c>
      <c r="CT233" s="27">
        <v>58</v>
      </c>
      <c r="CU233" s="58">
        <v>768</v>
      </c>
      <c r="CV233" s="12">
        <v>661.28</v>
      </c>
      <c r="CW233" s="27"/>
      <c r="CX233" s="58"/>
      <c r="CY233" s="98"/>
      <c r="CZ233" s="27"/>
      <c r="DA233" s="58"/>
      <c r="DB233" s="12"/>
      <c r="DC233" s="27"/>
      <c r="DD233" s="58"/>
      <c r="DE233" s="12"/>
      <c r="DF233" s="27"/>
      <c r="DG233" s="58"/>
      <c r="DH233" s="12"/>
      <c r="DI233" s="27"/>
      <c r="DJ233" s="58"/>
      <c r="DK233" s="12"/>
      <c r="DL233" s="27"/>
      <c r="DM233" s="58"/>
      <c r="DN233" s="12"/>
      <c r="DO233" s="27"/>
      <c r="DP233" s="58"/>
      <c r="DQ233" s="12"/>
      <c r="DR233" s="27"/>
      <c r="DS233" s="58"/>
      <c r="DT233" s="12"/>
      <c r="DU233" s="27"/>
      <c r="DV233" s="58"/>
      <c r="DW233" s="12"/>
      <c r="DX233" s="27"/>
      <c r="DY233" s="58"/>
      <c r="DZ233" s="12"/>
    </row>
    <row r="234" spans="1:130" s="25" customFormat="1" ht="31.5" customHeight="1" x14ac:dyDescent="0.6">
      <c r="A234" s="5">
        <v>231</v>
      </c>
      <c r="B234" s="18" t="s">
        <v>572</v>
      </c>
      <c r="C234" s="18" t="s">
        <v>573</v>
      </c>
      <c r="D234" s="18" t="s">
        <v>263</v>
      </c>
      <c r="E234" s="23" t="s">
        <v>264</v>
      </c>
      <c r="F234" s="7" t="s">
        <v>545</v>
      </c>
      <c r="G234" s="123"/>
      <c r="H234" s="123"/>
      <c r="I234" s="123" t="s">
        <v>1090</v>
      </c>
      <c r="J234" s="49" t="s">
        <v>546</v>
      </c>
      <c r="K234" s="27"/>
      <c r="L234" s="58"/>
      <c r="M234" s="78"/>
      <c r="N234" s="27"/>
      <c r="O234" s="58"/>
      <c r="P234" s="49"/>
      <c r="Q234" s="27"/>
      <c r="R234" s="58"/>
      <c r="S234" s="98"/>
      <c r="T234" s="27"/>
      <c r="U234" s="58"/>
      <c r="V234" s="12"/>
      <c r="W234" s="27"/>
      <c r="X234" s="58"/>
      <c r="Y234" s="12"/>
      <c r="Z234" s="27"/>
      <c r="AA234" s="58"/>
      <c r="AB234" s="12"/>
      <c r="AC234" s="27">
        <v>75</v>
      </c>
      <c r="AD234" s="58">
        <v>1074</v>
      </c>
      <c r="AE234" s="12"/>
      <c r="AF234" s="27">
        <v>0</v>
      </c>
      <c r="AG234" s="58">
        <v>0</v>
      </c>
      <c r="AH234" s="12"/>
      <c r="AI234" s="27">
        <v>39</v>
      </c>
      <c r="AJ234" s="58">
        <v>542</v>
      </c>
      <c r="AK234" s="12"/>
      <c r="AL234" s="27">
        <v>45</v>
      </c>
      <c r="AM234" s="58">
        <v>710</v>
      </c>
      <c r="AN234" s="12"/>
      <c r="AO234" s="27">
        <v>19</v>
      </c>
      <c r="AP234" s="58">
        <v>388</v>
      </c>
      <c r="AQ234" s="12"/>
      <c r="AR234" s="27">
        <v>43</v>
      </c>
      <c r="AS234" s="58">
        <v>616</v>
      </c>
      <c r="AT234" s="12"/>
      <c r="AU234" s="54"/>
      <c r="AV234" s="63"/>
      <c r="AW234" s="55"/>
      <c r="AX234" s="54"/>
      <c r="AY234" s="63"/>
      <c r="AZ234" s="55"/>
      <c r="BA234" s="10">
        <v>18</v>
      </c>
      <c r="BB234" s="15">
        <v>270</v>
      </c>
      <c r="BC234" s="11">
        <v>175</v>
      </c>
      <c r="BD234" s="10">
        <v>49</v>
      </c>
      <c r="BE234" s="15">
        <v>768</v>
      </c>
      <c r="BF234" s="11">
        <v>498.8</v>
      </c>
      <c r="BG234" s="10">
        <v>73</v>
      </c>
      <c r="BH234" s="15">
        <v>1100</v>
      </c>
      <c r="BI234" s="11">
        <v>832</v>
      </c>
      <c r="BJ234" s="10">
        <v>71</v>
      </c>
      <c r="BK234" s="15">
        <v>1104</v>
      </c>
      <c r="BL234" s="11">
        <v>785.64</v>
      </c>
      <c r="BM234" s="46">
        <v>109</v>
      </c>
      <c r="BN234" s="43">
        <v>1582</v>
      </c>
      <c r="BO234" s="47">
        <v>1154.24</v>
      </c>
      <c r="BP234" s="46">
        <v>137</v>
      </c>
      <c r="BQ234" s="43">
        <v>1830</v>
      </c>
      <c r="BR234" s="47">
        <v>1338.9299999999998</v>
      </c>
      <c r="BS234" s="46">
        <v>82</v>
      </c>
      <c r="BT234" s="43">
        <v>1154</v>
      </c>
      <c r="BU234" s="114">
        <v>920.2</v>
      </c>
      <c r="BV234" s="119">
        <v>48.3</v>
      </c>
      <c r="BW234" s="120">
        <v>795</v>
      </c>
      <c r="BX234" s="114">
        <v>519.64</v>
      </c>
      <c r="BY234" s="119">
        <v>51</v>
      </c>
      <c r="BZ234" s="120">
        <v>960</v>
      </c>
      <c r="CA234" s="114">
        <v>610.07999999999993</v>
      </c>
      <c r="CB234" s="119">
        <v>60</v>
      </c>
      <c r="CC234" s="120">
        <v>942</v>
      </c>
      <c r="CD234" s="114">
        <v>659.68000000000006</v>
      </c>
      <c r="CE234" s="119">
        <v>109</v>
      </c>
      <c r="CF234" s="120">
        <v>1672</v>
      </c>
      <c r="CG234" s="114">
        <v>1234.08</v>
      </c>
      <c r="CH234" s="119">
        <v>42</v>
      </c>
      <c r="CI234" s="120">
        <v>680</v>
      </c>
      <c r="CJ234" s="114">
        <v>471.44</v>
      </c>
      <c r="CK234" s="54">
        <f t="shared" si="36"/>
        <v>849.3</v>
      </c>
      <c r="CL234" s="63">
        <f t="shared" si="37"/>
        <v>12857</v>
      </c>
      <c r="CM234" s="55">
        <f t="shared" si="38"/>
        <v>9199.7300000000014</v>
      </c>
      <c r="CN234" s="54">
        <f t="shared" si="39"/>
        <v>70.774999999999991</v>
      </c>
      <c r="CO234" s="63">
        <f t="shared" si="40"/>
        <v>1071.4166666666667</v>
      </c>
      <c r="CP234" s="172">
        <f t="shared" si="41"/>
        <v>766.64416666666682</v>
      </c>
      <c r="CQ234" s="158">
        <v>49</v>
      </c>
      <c r="CR234" s="159">
        <v>710</v>
      </c>
      <c r="CS234" s="179">
        <v>580.79999999999995</v>
      </c>
      <c r="CT234" s="27">
        <v>45</v>
      </c>
      <c r="CU234" s="58">
        <v>630</v>
      </c>
      <c r="CV234" s="12">
        <v>510.48</v>
      </c>
      <c r="CW234" s="27"/>
      <c r="CX234" s="58"/>
      <c r="CY234" s="98"/>
      <c r="CZ234" s="27"/>
      <c r="DA234" s="58"/>
      <c r="DB234" s="12"/>
      <c r="DC234" s="27"/>
      <c r="DD234" s="58"/>
      <c r="DE234" s="12"/>
      <c r="DF234" s="27"/>
      <c r="DG234" s="58"/>
      <c r="DH234" s="12"/>
      <c r="DI234" s="27"/>
      <c r="DJ234" s="58"/>
      <c r="DK234" s="12"/>
      <c r="DL234" s="27"/>
      <c r="DM234" s="58"/>
      <c r="DN234" s="12"/>
      <c r="DO234" s="27"/>
      <c r="DP234" s="58"/>
      <c r="DQ234" s="12"/>
      <c r="DR234" s="27"/>
      <c r="DS234" s="58"/>
      <c r="DT234" s="12"/>
      <c r="DU234" s="27"/>
      <c r="DV234" s="58"/>
      <c r="DW234" s="12"/>
      <c r="DX234" s="27"/>
      <c r="DY234" s="58"/>
      <c r="DZ234" s="12"/>
    </row>
    <row r="235" spans="1:130" s="25" customFormat="1" ht="31.5" customHeight="1" x14ac:dyDescent="0.6">
      <c r="A235" s="5">
        <v>232</v>
      </c>
      <c r="B235" s="18" t="s">
        <v>576</v>
      </c>
      <c r="C235" s="18" t="s">
        <v>577</v>
      </c>
      <c r="D235" s="18" t="s">
        <v>263</v>
      </c>
      <c r="E235" s="23" t="s">
        <v>264</v>
      </c>
      <c r="F235" s="7" t="s">
        <v>545</v>
      </c>
      <c r="G235" s="123"/>
      <c r="H235" s="123"/>
      <c r="I235" s="123" t="s">
        <v>1091</v>
      </c>
      <c r="J235" s="49" t="s">
        <v>546</v>
      </c>
      <c r="K235" s="27"/>
      <c r="L235" s="58"/>
      <c r="M235" s="78"/>
      <c r="N235" s="27"/>
      <c r="O235" s="58"/>
      <c r="P235" s="49"/>
      <c r="Q235" s="27"/>
      <c r="R235" s="58"/>
      <c r="S235" s="98"/>
      <c r="T235" s="27"/>
      <c r="U235" s="58"/>
      <c r="V235" s="12"/>
      <c r="W235" s="27"/>
      <c r="X235" s="58"/>
      <c r="Y235" s="12"/>
      <c r="Z235" s="27"/>
      <c r="AA235" s="58"/>
      <c r="AB235" s="12"/>
      <c r="AC235" s="27">
        <v>15</v>
      </c>
      <c r="AD235" s="58">
        <v>180</v>
      </c>
      <c r="AE235" s="12"/>
      <c r="AF235" s="27">
        <v>11</v>
      </c>
      <c r="AG235" s="58">
        <v>160</v>
      </c>
      <c r="AH235" s="12"/>
      <c r="AI235" s="27">
        <v>2</v>
      </c>
      <c r="AJ235" s="58">
        <v>48</v>
      </c>
      <c r="AK235" s="12"/>
      <c r="AL235" s="27">
        <v>2</v>
      </c>
      <c r="AM235" s="58">
        <v>48</v>
      </c>
      <c r="AN235" s="12"/>
      <c r="AO235" s="27">
        <v>7</v>
      </c>
      <c r="AP235" s="58">
        <v>90</v>
      </c>
      <c r="AQ235" s="12"/>
      <c r="AR235" s="27">
        <v>3</v>
      </c>
      <c r="AS235" s="58">
        <v>64</v>
      </c>
      <c r="AT235" s="12"/>
      <c r="AU235" s="54"/>
      <c r="AV235" s="63"/>
      <c r="AW235" s="55"/>
      <c r="AX235" s="54"/>
      <c r="AY235" s="63"/>
      <c r="AZ235" s="55"/>
      <c r="BA235" s="10">
        <v>0</v>
      </c>
      <c r="BB235" s="15">
        <v>0</v>
      </c>
      <c r="BC235" s="11">
        <v>0</v>
      </c>
      <c r="BD235" s="10">
        <v>0</v>
      </c>
      <c r="BE235" s="15">
        <v>0</v>
      </c>
      <c r="BF235" s="11">
        <v>0</v>
      </c>
      <c r="BG235" s="10">
        <v>0</v>
      </c>
      <c r="BH235" s="15">
        <v>0</v>
      </c>
      <c r="BI235" s="11">
        <v>0</v>
      </c>
      <c r="BJ235" s="10">
        <v>0</v>
      </c>
      <c r="BK235" s="15">
        <v>0</v>
      </c>
      <c r="BL235" s="11">
        <v>0</v>
      </c>
      <c r="BM235" s="46">
        <v>0</v>
      </c>
      <c r="BN235" s="43">
        <v>0</v>
      </c>
      <c r="BO235" s="47">
        <v>0</v>
      </c>
      <c r="BP235" s="46">
        <v>6</v>
      </c>
      <c r="BQ235" s="43">
        <v>100</v>
      </c>
      <c r="BR235" s="47">
        <v>74</v>
      </c>
      <c r="BS235" s="46">
        <v>16</v>
      </c>
      <c r="BT235" s="43">
        <v>192</v>
      </c>
      <c r="BU235" s="114">
        <v>187.2</v>
      </c>
      <c r="BV235" s="119">
        <v>16.3</v>
      </c>
      <c r="BW235" s="120">
        <v>195</v>
      </c>
      <c r="BX235" s="114">
        <v>194.04000000000002</v>
      </c>
      <c r="BY235" s="119">
        <v>11</v>
      </c>
      <c r="BZ235" s="120">
        <v>142</v>
      </c>
      <c r="CA235" s="114">
        <v>112.96000000000001</v>
      </c>
      <c r="CB235" s="119">
        <v>21</v>
      </c>
      <c r="CC235" s="120">
        <v>308</v>
      </c>
      <c r="CD235" s="114">
        <v>246.4</v>
      </c>
      <c r="CE235" s="119">
        <v>16</v>
      </c>
      <c r="CF235" s="120">
        <v>192</v>
      </c>
      <c r="CG235" s="114">
        <v>172.8</v>
      </c>
      <c r="CH235" s="119">
        <v>23</v>
      </c>
      <c r="CI235" s="120">
        <v>276</v>
      </c>
      <c r="CJ235" s="114">
        <v>276</v>
      </c>
      <c r="CK235" s="54">
        <f t="shared" si="36"/>
        <v>109.3</v>
      </c>
      <c r="CL235" s="63">
        <f t="shared" si="37"/>
        <v>1405</v>
      </c>
      <c r="CM235" s="55">
        <f t="shared" si="38"/>
        <v>1263.4000000000001</v>
      </c>
      <c r="CN235" s="54">
        <f t="shared" si="39"/>
        <v>9.1083333333333325</v>
      </c>
      <c r="CO235" s="63">
        <f t="shared" si="40"/>
        <v>117.08333333333333</v>
      </c>
      <c r="CP235" s="172">
        <f t="shared" si="41"/>
        <v>105.28333333333335</v>
      </c>
      <c r="CQ235" s="158">
        <v>15</v>
      </c>
      <c r="CR235" s="159">
        <v>208</v>
      </c>
      <c r="CS235" s="179">
        <v>177.2</v>
      </c>
      <c r="CT235" s="27">
        <v>12</v>
      </c>
      <c r="CU235" s="58">
        <v>172</v>
      </c>
      <c r="CV235" s="12">
        <v>131.60000000000002</v>
      </c>
      <c r="CW235" s="27"/>
      <c r="CX235" s="58"/>
      <c r="CY235" s="98"/>
      <c r="CZ235" s="27"/>
      <c r="DA235" s="58"/>
      <c r="DB235" s="12"/>
      <c r="DC235" s="27"/>
      <c r="DD235" s="58"/>
      <c r="DE235" s="12"/>
      <c r="DF235" s="27"/>
      <c r="DG235" s="58"/>
      <c r="DH235" s="12"/>
      <c r="DI235" s="27"/>
      <c r="DJ235" s="58"/>
      <c r="DK235" s="12"/>
      <c r="DL235" s="27"/>
      <c r="DM235" s="58"/>
      <c r="DN235" s="12"/>
      <c r="DO235" s="27"/>
      <c r="DP235" s="58"/>
      <c r="DQ235" s="12"/>
      <c r="DR235" s="27"/>
      <c r="DS235" s="58"/>
      <c r="DT235" s="12"/>
      <c r="DU235" s="27"/>
      <c r="DV235" s="58"/>
      <c r="DW235" s="12"/>
      <c r="DX235" s="27"/>
      <c r="DY235" s="58"/>
      <c r="DZ235" s="12"/>
    </row>
    <row r="236" spans="1:130" s="25" customFormat="1" ht="31.5" customHeight="1" x14ac:dyDescent="0.6">
      <c r="A236" s="5">
        <v>233</v>
      </c>
      <c r="B236" s="18" t="s">
        <v>578</v>
      </c>
      <c r="C236" s="18" t="s">
        <v>579</v>
      </c>
      <c r="D236" s="18" t="s">
        <v>263</v>
      </c>
      <c r="E236" s="23" t="s">
        <v>264</v>
      </c>
      <c r="F236" s="7" t="s">
        <v>545</v>
      </c>
      <c r="G236" s="123"/>
      <c r="H236" s="123"/>
      <c r="I236" s="123" t="s">
        <v>1092</v>
      </c>
      <c r="J236" s="49" t="s">
        <v>546</v>
      </c>
      <c r="K236" s="27"/>
      <c r="L236" s="58"/>
      <c r="M236" s="78"/>
      <c r="N236" s="27"/>
      <c r="O236" s="58"/>
      <c r="P236" s="49"/>
      <c r="Q236" s="27"/>
      <c r="R236" s="58"/>
      <c r="S236" s="98"/>
      <c r="T236" s="27"/>
      <c r="U236" s="58"/>
      <c r="V236" s="12"/>
      <c r="W236" s="27"/>
      <c r="X236" s="58"/>
      <c r="Y236" s="12"/>
      <c r="Z236" s="27"/>
      <c r="AA236" s="58"/>
      <c r="AB236" s="12"/>
      <c r="AC236" s="27">
        <v>0</v>
      </c>
      <c r="AD236" s="58">
        <v>0</v>
      </c>
      <c r="AE236" s="12"/>
      <c r="AF236" s="27">
        <v>0</v>
      </c>
      <c r="AG236" s="58">
        <v>0</v>
      </c>
      <c r="AH236" s="12"/>
      <c r="AI236" s="27">
        <v>125</v>
      </c>
      <c r="AJ236" s="58">
        <v>1780</v>
      </c>
      <c r="AK236" s="12"/>
      <c r="AL236" s="27">
        <v>0</v>
      </c>
      <c r="AM236" s="58">
        <v>0</v>
      </c>
      <c r="AN236" s="12"/>
      <c r="AO236" s="27">
        <v>20</v>
      </c>
      <c r="AP236" s="58">
        <v>296</v>
      </c>
      <c r="AQ236" s="12"/>
      <c r="AR236" s="27">
        <v>5</v>
      </c>
      <c r="AS236" s="58">
        <v>60</v>
      </c>
      <c r="AT236" s="12"/>
      <c r="AU236" s="54"/>
      <c r="AV236" s="63"/>
      <c r="AW236" s="55"/>
      <c r="AX236" s="54"/>
      <c r="AY236" s="63"/>
      <c r="AZ236" s="55"/>
      <c r="BA236" s="10">
        <v>125</v>
      </c>
      <c r="BB236" s="15">
        <v>1780</v>
      </c>
      <c r="BC236" s="11">
        <v>1280</v>
      </c>
      <c r="BD236" s="10">
        <v>0</v>
      </c>
      <c r="BE236" s="15">
        <v>0</v>
      </c>
      <c r="BF236" s="11">
        <v>0</v>
      </c>
      <c r="BG236" s="10">
        <v>0</v>
      </c>
      <c r="BH236" s="15">
        <v>0</v>
      </c>
      <c r="BI236" s="11">
        <v>0</v>
      </c>
      <c r="BJ236" s="10">
        <v>125</v>
      </c>
      <c r="BK236" s="15">
        <v>1780</v>
      </c>
      <c r="BL236" s="11">
        <v>1280</v>
      </c>
      <c r="BM236" s="46">
        <v>0</v>
      </c>
      <c r="BN236" s="43">
        <v>0</v>
      </c>
      <c r="BO236" s="47">
        <v>0</v>
      </c>
      <c r="BP236" s="46">
        <v>120</v>
      </c>
      <c r="BQ236" s="43">
        <v>1580</v>
      </c>
      <c r="BR236" s="47">
        <v>1210</v>
      </c>
      <c r="BS236" s="46">
        <v>0</v>
      </c>
      <c r="BT236" s="43">
        <v>0</v>
      </c>
      <c r="BU236" s="114">
        <v>0</v>
      </c>
      <c r="BV236" s="119">
        <v>70</v>
      </c>
      <c r="BW236" s="120">
        <v>840</v>
      </c>
      <c r="BX236" s="114">
        <v>822</v>
      </c>
      <c r="BY236" s="119">
        <v>0</v>
      </c>
      <c r="BZ236" s="120">
        <v>0</v>
      </c>
      <c r="CA236" s="114">
        <v>0</v>
      </c>
      <c r="CB236" s="119">
        <v>125</v>
      </c>
      <c r="CC236" s="120">
        <v>2080</v>
      </c>
      <c r="CD236" s="114">
        <v>1365.6</v>
      </c>
      <c r="CE236" s="119">
        <v>0</v>
      </c>
      <c r="CF236" s="120">
        <v>0</v>
      </c>
      <c r="CG236" s="114">
        <v>0</v>
      </c>
      <c r="CH236" s="119">
        <v>115</v>
      </c>
      <c r="CI236" s="120">
        <v>1380</v>
      </c>
      <c r="CJ236" s="114">
        <v>1140</v>
      </c>
      <c r="CK236" s="54">
        <f t="shared" si="36"/>
        <v>680</v>
      </c>
      <c r="CL236" s="63">
        <f t="shared" si="37"/>
        <v>9440</v>
      </c>
      <c r="CM236" s="55">
        <f t="shared" si="38"/>
        <v>7097.6</v>
      </c>
      <c r="CN236" s="54">
        <f t="shared" si="39"/>
        <v>56.666666666666664</v>
      </c>
      <c r="CO236" s="63">
        <f t="shared" si="40"/>
        <v>786.66666666666663</v>
      </c>
      <c r="CP236" s="172">
        <f t="shared" si="41"/>
        <v>591.4666666666667</v>
      </c>
      <c r="CQ236" s="158">
        <v>0</v>
      </c>
      <c r="CR236" s="159">
        <v>0</v>
      </c>
      <c r="CS236" s="179">
        <v>0</v>
      </c>
      <c r="CT236" s="27">
        <v>130</v>
      </c>
      <c r="CU236" s="58">
        <v>1560</v>
      </c>
      <c r="CV236" s="12">
        <v>1560</v>
      </c>
      <c r="CW236" s="27"/>
      <c r="CX236" s="58"/>
      <c r="CY236" s="98"/>
      <c r="CZ236" s="27"/>
      <c r="DA236" s="58"/>
      <c r="DB236" s="12"/>
      <c r="DC236" s="27"/>
      <c r="DD236" s="58"/>
      <c r="DE236" s="12"/>
      <c r="DF236" s="27"/>
      <c r="DG236" s="58"/>
      <c r="DH236" s="12"/>
      <c r="DI236" s="27"/>
      <c r="DJ236" s="58"/>
      <c r="DK236" s="12"/>
      <c r="DL236" s="27"/>
      <c r="DM236" s="58"/>
      <c r="DN236" s="12"/>
      <c r="DO236" s="27"/>
      <c r="DP236" s="58"/>
      <c r="DQ236" s="12"/>
      <c r="DR236" s="27"/>
      <c r="DS236" s="58"/>
      <c r="DT236" s="12"/>
      <c r="DU236" s="27"/>
      <c r="DV236" s="58"/>
      <c r="DW236" s="12"/>
      <c r="DX236" s="27"/>
      <c r="DY236" s="58"/>
      <c r="DZ236" s="12"/>
    </row>
    <row r="237" spans="1:130" s="25" customFormat="1" ht="31.5" customHeight="1" x14ac:dyDescent="0.6">
      <c r="A237" s="5">
        <v>234</v>
      </c>
      <c r="B237" s="18">
        <v>99</v>
      </c>
      <c r="C237" s="18"/>
      <c r="D237" s="18"/>
      <c r="E237" s="23"/>
      <c r="F237" s="7"/>
      <c r="G237" s="123"/>
      <c r="H237" s="123"/>
      <c r="I237" s="123"/>
      <c r="J237" s="49"/>
      <c r="K237" s="27"/>
      <c r="L237" s="58"/>
      <c r="M237" s="78"/>
      <c r="N237" s="27"/>
      <c r="O237" s="58"/>
      <c r="P237" s="49"/>
      <c r="Q237" s="27"/>
      <c r="R237" s="58"/>
      <c r="S237" s="98"/>
      <c r="T237" s="27"/>
      <c r="U237" s="58"/>
      <c r="V237" s="12"/>
      <c r="W237" s="27"/>
      <c r="X237" s="58"/>
      <c r="Y237" s="12"/>
      <c r="Z237" s="27"/>
      <c r="AA237" s="58"/>
      <c r="AB237" s="12"/>
      <c r="AC237" s="27"/>
      <c r="AD237" s="58"/>
      <c r="AE237" s="12"/>
      <c r="AF237" s="27"/>
      <c r="AG237" s="58"/>
      <c r="AH237" s="12"/>
      <c r="AI237" s="27"/>
      <c r="AJ237" s="58"/>
      <c r="AK237" s="12"/>
      <c r="AL237" s="27"/>
      <c r="AM237" s="58"/>
      <c r="AN237" s="12"/>
      <c r="AO237" s="27"/>
      <c r="AP237" s="58"/>
      <c r="AQ237" s="12"/>
      <c r="AR237" s="27"/>
      <c r="AS237" s="58"/>
      <c r="AT237" s="12"/>
      <c r="AU237" s="54"/>
      <c r="AV237" s="63"/>
      <c r="AW237" s="55"/>
      <c r="AX237" s="54"/>
      <c r="AY237" s="63"/>
      <c r="AZ237" s="55"/>
      <c r="BA237" s="10"/>
      <c r="BB237" s="15"/>
      <c r="BC237" s="11"/>
      <c r="BD237" s="10"/>
      <c r="BE237" s="15"/>
      <c r="BF237" s="11"/>
      <c r="BG237" s="10"/>
      <c r="BH237" s="15"/>
      <c r="BI237" s="11"/>
      <c r="BJ237" s="10"/>
      <c r="BK237" s="15"/>
      <c r="BL237" s="11"/>
      <c r="BM237" s="46"/>
      <c r="BN237" s="43"/>
      <c r="BO237" s="47"/>
      <c r="BP237" s="46"/>
      <c r="BQ237" s="43"/>
      <c r="BR237" s="47"/>
      <c r="BS237" s="46"/>
      <c r="BT237" s="43"/>
      <c r="BU237" s="114"/>
      <c r="BV237" s="119"/>
      <c r="BW237" s="120"/>
      <c r="BX237" s="114"/>
      <c r="BY237" s="119"/>
      <c r="BZ237" s="120"/>
      <c r="CA237" s="114"/>
      <c r="CB237" s="119"/>
      <c r="CC237" s="120"/>
      <c r="CD237" s="114"/>
      <c r="CE237" s="119"/>
      <c r="CF237" s="120"/>
      <c r="CG237" s="114"/>
      <c r="CH237" s="119"/>
      <c r="CI237" s="120"/>
      <c r="CJ237" s="114"/>
      <c r="CK237" s="54"/>
      <c r="CL237" s="63"/>
      <c r="CM237" s="55"/>
      <c r="CN237" s="54"/>
      <c r="CO237" s="63"/>
      <c r="CP237" s="172"/>
      <c r="CQ237" s="158">
        <v>73</v>
      </c>
      <c r="CR237" s="159">
        <v>970</v>
      </c>
      <c r="CS237" s="179">
        <v>845.2</v>
      </c>
      <c r="CT237" s="27">
        <v>50</v>
      </c>
      <c r="CU237" s="58">
        <v>682</v>
      </c>
      <c r="CV237" s="12">
        <v>539.28</v>
      </c>
      <c r="CW237" s="27"/>
      <c r="CX237" s="58"/>
      <c r="CY237" s="98"/>
      <c r="CZ237" s="27"/>
      <c r="DA237" s="58"/>
      <c r="DB237" s="12"/>
      <c r="DC237" s="27"/>
      <c r="DD237" s="58"/>
      <c r="DE237" s="12"/>
      <c r="DF237" s="27"/>
      <c r="DG237" s="58"/>
      <c r="DH237" s="12"/>
      <c r="DI237" s="27"/>
      <c r="DJ237" s="58"/>
      <c r="DK237" s="12"/>
      <c r="DL237" s="27"/>
      <c r="DM237" s="58"/>
      <c r="DN237" s="12"/>
      <c r="DO237" s="27"/>
      <c r="DP237" s="58"/>
      <c r="DQ237" s="12"/>
      <c r="DR237" s="27"/>
      <c r="DS237" s="58"/>
      <c r="DT237" s="12"/>
      <c r="DU237" s="27"/>
      <c r="DV237" s="58"/>
      <c r="DW237" s="12"/>
      <c r="DX237" s="27"/>
      <c r="DY237" s="58"/>
      <c r="DZ237" s="12"/>
    </row>
    <row r="238" spans="1:130" s="25" customFormat="1" ht="31.5" customHeight="1" x14ac:dyDescent="0.6">
      <c r="A238" s="5">
        <v>235</v>
      </c>
      <c r="B238" s="18" t="s">
        <v>582</v>
      </c>
      <c r="C238" s="18" t="s">
        <v>583</v>
      </c>
      <c r="D238" s="18" t="s">
        <v>584</v>
      </c>
      <c r="E238" s="23" t="s">
        <v>281</v>
      </c>
      <c r="F238" s="7" t="s">
        <v>545</v>
      </c>
      <c r="G238" s="123"/>
      <c r="H238" s="123"/>
      <c r="I238" s="123" t="s">
        <v>1094</v>
      </c>
      <c r="J238" s="49" t="s">
        <v>546</v>
      </c>
      <c r="K238" s="27"/>
      <c r="L238" s="58"/>
      <c r="M238" s="78"/>
      <c r="N238" s="27"/>
      <c r="O238" s="58"/>
      <c r="P238" s="49"/>
      <c r="Q238" s="27"/>
      <c r="R238" s="58"/>
      <c r="S238" s="98"/>
      <c r="T238" s="27"/>
      <c r="U238" s="58"/>
      <c r="V238" s="12"/>
      <c r="W238" s="27"/>
      <c r="X238" s="58"/>
      <c r="Y238" s="12"/>
      <c r="Z238" s="27"/>
      <c r="AA238" s="58"/>
      <c r="AB238" s="12"/>
      <c r="AC238" s="27">
        <v>3</v>
      </c>
      <c r="AD238" s="58">
        <v>36</v>
      </c>
      <c r="AE238" s="12"/>
      <c r="AF238" s="27">
        <v>12</v>
      </c>
      <c r="AG238" s="58">
        <v>144</v>
      </c>
      <c r="AH238" s="12"/>
      <c r="AI238" s="27">
        <v>11</v>
      </c>
      <c r="AJ238" s="58">
        <v>148</v>
      </c>
      <c r="AK238" s="12"/>
      <c r="AL238" s="27">
        <v>4</v>
      </c>
      <c r="AM238" s="58">
        <v>56</v>
      </c>
      <c r="AN238" s="12"/>
      <c r="AO238" s="27">
        <v>15</v>
      </c>
      <c r="AP238" s="58">
        <v>212</v>
      </c>
      <c r="AQ238" s="12"/>
      <c r="AR238" s="27">
        <v>5</v>
      </c>
      <c r="AS238" s="58">
        <v>88</v>
      </c>
      <c r="AT238" s="12"/>
      <c r="AU238" s="54"/>
      <c r="AV238" s="63"/>
      <c r="AW238" s="55"/>
      <c r="AX238" s="54"/>
      <c r="AY238" s="63"/>
      <c r="AZ238" s="55"/>
      <c r="BA238" s="10">
        <v>14</v>
      </c>
      <c r="BB238" s="15">
        <v>204</v>
      </c>
      <c r="BC238" s="11">
        <v>174</v>
      </c>
      <c r="BD238" s="10">
        <v>13</v>
      </c>
      <c r="BE238" s="15">
        <v>176</v>
      </c>
      <c r="BF238" s="11">
        <v>142.13999999999999</v>
      </c>
      <c r="BG238" s="10">
        <v>17</v>
      </c>
      <c r="BH238" s="15">
        <v>240</v>
      </c>
      <c r="BI238" s="11">
        <v>162.64000000000001</v>
      </c>
      <c r="BJ238" s="10">
        <v>11</v>
      </c>
      <c r="BK238" s="15">
        <v>148</v>
      </c>
      <c r="BL238" s="11">
        <v>120.64</v>
      </c>
      <c r="BM238" s="46">
        <v>9</v>
      </c>
      <c r="BN238" s="43">
        <v>130</v>
      </c>
      <c r="BO238" s="47">
        <v>100.47999999999999</v>
      </c>
      <c r="BP238" s="46">
        <v>8</v>
      </c>
      <c r="BQ238" s="43">
        <v>108</v>
      </c>
      <c r="BR238" s="47">
        <v>83</v>
      </c>
      <c r="BS238" s="46">
        <v>25</v>
      </c>
      <c r="BT238" s="43">
        <v>394</v>
      </c>
      <c r="BU238" s="114">
        <v>274</v>
      </c>
      <c r="BV238" s="119">
        <v>5</v>
      </c>
      <c r="BW238" s="120">
        <v>66</v>
      </c>
      <c r="BX238" s="114">
        <v>43.68</v>
      </c>
      <c r="BY238" s="119">
        <v>15</v>
      </c>
      <c r="BZ238" s="120">
        <v>190</v>
      </c>
      <c r="CA238" s="114">
        <v>129.76</v>
      </c>
      <c r="CB238" s="119">
        <v>23</v>
      </c>
      <c r="CC238" s="120">
        <v>346</v>
      </c>
      <c r="CD238" s="114">
        <v>283.12</v>
      </c>
      <c r="CE238" s="119">
        <v>38</v>
      </c>
      <c r="CF238" s="120">
        <v>502</v>
      </c>
      <c r="CG238" s="114">
        <v>388.24</v>
      </c>
      <c r="CH238" s="119">
        <v>15</v>
      </c>
      <c r="CI238" s="120">
        <v>194</v>
      </c>
      <c r="CJ238" s="114">
        <v>151.51999999999998</v>
      </c>
      <c r="CK238" s="54">
        <f t="shared" si="36"/>
        <v>193</v>
      </c>
      <c r="CL238" s="63">
        <f t="shared" si="37"/>
        <v>2698</v>
      </c>
      <c r="CM238" s="55">
        <f t="shared" si="38"/>
        <v>2053.2200000000003</v>
      </c>
      <c r="CN238" s="54">
        <f t="shared" si="39"/>
        <v>16.083333333333332</v>
      </c>
      <c r="CO238" s="63">
        <f t="shared" si="40"/>
        <v>224.83333333333334</v>
      </c>
      <c r="CP238" s="172">
        <f t="shared" si="41"/>
        <v>171.10166666666669</v>
      </c>
      <c r="CQ238" s="158">
        <v>32</v>
      </c>
      <c r="CR238" s="159">
        <v>384</v>
      </c>
      <c r="CS238" s="179">
        <v>376.8</v>
      </c>
      <c r="CT238" s="27">
        <v>31</v>
      </c>
      <c r="CU238" s="58">
        <v>518</v>
      </c>
      <c r="CV238" s="12">
        <v>369.28</v>
      </c>
      <c r="CW238" s="27"/>
      <c r="CX238" s="58"/>
      <c r="CY238" s="98"/>
      <c r="CZ238" s="27"/>
      <c r="DA238" s="58"/>
      <c r="DB238" s="12"/>
      <c r="DC238" s="27"/>
      <c r="DD238" s="58"/>
      <c r="DE238" s="12"/>
      <c r="DF238" s="27"/>
      <c r="DG238" s="58"/>
      <c r="DH238" s="12"/>
      <c r="DI238" s="27"/>
      <c r="DJ238" s="58"/>
      <c r="DK238" s="12"/>
      <c r="DL238" s="27"/>
      <c r="DM238" s="58"/>
      <c r="DN238" s="12"/>
      <c r="DO238" s="27"/>
      <c r="DP238" s="58"/>
      <c r="DQ238" s="12"/>
      <c r="DR238" s="27"/>
      <c r="DS238" s="58"/>
      <c r="DT238" s="12"/>
      <c r="DU238" s="27"/>
      <c r="DV238" s="58"/>
      <c r="DW238" s="12"/>
      <c r="DX238" s="27"/>
      <c r="DY238" s="58"/>
      <c r="DZ238" s="12"/>
    </row>
    <row r="239" spans="1:130" s="25" customFormat="1" ht="31.5" customHeight="1" x14ac:dyDescent="0.6">
      <c r="A239" s="5">
        <v>236</v>
      </c>
      <c r="B239" s="18" t="s">
        <v>585</v>
      </c>
      <c r="C239" s="18" t="s">
        <v>586</v>
      </c>
      <c r="D239" s="18" t="s">
        <v>584</v>
      </c>
      <c r="E239" s="23" t="s">
        <v>281</v>
      </c>
      <c r="F239" s="7" t="s">
        <v>545</v>
      </c>
      <c r="G239" s="123"/>
      <c r="H239" s="123"/>
      <c r="I239" s="123" t="s">
        <v>1095</v>
      </c>
      <c r="J239" s="49" t="s">
        <v>546</v>
      </c>
      <c r="K239" s="27"/>
      <c r="L239" s="58"/>
      <c r="M239" s="78"/>
      <c r="N239" s="27"/>
      <c r="O239" s="58"/>
      <c r="P239" s="49"/>
      <c r="Q239" s="27"/>
      <c r="R239" s="58"/>
      <c r="S239" s="98"/>
      <c r="T239" s="27"/>
      <c r="U239" s="58"/>
      <c r="V239" s="12"/>
      <c r="W239" s="27"/>
      <c r="X239" s="58"/>
      <c r="Y239" s="12"/>
      <c r="Z239" s="27"/>
      <c r="AA239" s="58"/>
      <c r="AB239" s="12"/>
      <c r="AC239" s="27">
        <v>61</v>
      </c>
      <c r="AD239" s="58">
        <v>734</v>
      </c>
      <c r="AE239" s="12"/>
      <c r="AF239" s="27">
        <v>0</v>
      </c>
      <c r="AG239" s="58">
        <v>0</v>
      </c>
      <c r="AH239" s="12"/>
      <c r="AI239" s="27">
        <v>60</v>
      </c>
      <c r="AJ239" s="58">
        <v>720</v>
      </c>
      <c r="AK239" s="12"/>
      <c r="AL239" s="27">
        <v>120</v>
      </c>
      <c r="AM239" s="58">
        <v>1600</v>
      </c>
      <c r="AN239" s="12"/>
      <c r="AO239" s="27">
        <v>16</v>
      </c>
      <c r="AP239" s="58">
        <v>202</v>
      </c>
      <c r="AQ239" s="12"/>
      <c r="AR239" s="27">
        <v>0</v>
      </c>
      <c r="AS239" s="58">
        <v>0</v>
      </c>
      <c r="AT239" s="12"/>
      <c r="AU239" s="54"/>
      <c r="AV239" s="63"/>
      <c r="AW239" s="55"/>
      <c r="AX239" s="54"/>
      <c r="AY239" s="63"/>
      <c r="AZ239" s="55"/>
      <c r="BA239" s="10">
        <v>45</v>
      </c>
      <c r="BB239" s="15">
        <v>630</v>
      </c>
      <c r="BC239" s="11">
        <v>403</v>
      </c>
      <c r="BD239" s="10">
        <v>0</v>
      </c>
      <c r="BE239" s="15">
        <v>0</v>
      </c>
      <c r="BF239" s="11">
        <v>0</v>
      </c>
      <c r="BG239" s="10">
        <v>60</v>
      </c>
      <c r="BH239" s="15">
        <v>870</v>
      </c>
      <c r="BI239" s="11">
        <v>714.8</v>
      </c>
      <c r="BJ239" s="10">
        <v>0</v>
      </c>
      <c r="BK239" s="15">
        <v>0</v>
      </c>
      <c r="BL239" s="11">
        <v>0</v>
      </c>
      <c r="BM239" s="46">
        <v>43</v>
      </c>
      <c r="BN239" s="43">
        <v>672</v>
      </c>
      <c r="BO239" s="47">
        <v>501.8</v>
      </c>
      <c r="BP239" s="46">
        <v>18</v>
      </c>
      <c r="BQ239" s="43">
        <v>310</v>
      </c>
      <c r="BR239" s="47">
        <v>206.8</v>
      </c>
      <c r="BS239" s="46">
        <v>101</v>
      </c>
      <c r="BT239" s="43">
        <v>2756</v>
      </c>
      <c r="BU239" s="114">
        <v>1226.8</v>
      </c>
      <c r="BV239" s="119">
        <v>20</v>
      </c>
      <c r="BW239" s="120">
        <v>380</v>
      </c>
      <c r="BX239" s="114">
        <v>250</v>
      </c>
      <c r="BY239" s="119">
        <v>17.25</v>
      </c>
      <c r="BZ239" s="120">
        <v>297</v>
      </c>
      <c r="CA239" s="114">
        <v>202.92000000000002</v>
      </c>
      <c r="CB239" s="119">
        <v>71.33</v>
      </c>
      <c r="CC239" s="120">
        <v>1024</v>
      </c>
      <c r="CD239" s="114">
        <v>822.80000000000007</v>
      </c>
      <c r="CE239" s="119">
        <v>37</v>
      </c>
      <c r="CF239" s="120">
        <v>616</v>
      </c>
      <c r="CG239" s="114">
        <v>440.32</v>
      </c>
      <c r="CH239" s="119">
        <v>27</v>
      </c>
      <c r="CI239" s="120">
        <v>498</v>
      </c>
      <c r="CJ239" s="114">
        <v>326.88</v>
      </c>
      <c r="CK239" s="54">
        <f t="shared" si="36"/>
        <v>439.58</v>
      </c>
      <c r="CL239" s="63">
        <f t="shared" si="37"/>
        <v>8053</v>
      </c>
      <c r="CM239" s="55">
        <f t="shared" si="38"/>
        <v>5096.12</v>
      </c>
      <c r="CN239" s="54">
        <f t="shared" si="39"/>
        <v>36.631666666666668</v>
      </c>
      <c r="CO239" s="63">
        <f t="shared" si="40"/>
        <v>671.08333333333337</v>
      </c>
      <c r="CP239" s="172">
        <f t="shared" si="41"/>
        <v>424.67666666666668</v>
      </c>
      <c r="CQ239" s="158">
        <v>73</v>
      </c>
      <c r="CR239" s="159">
        <v>876</v>
      </c>
      <c r="CS239" s="179">
        <v>876</v>
      </c>
      <c r="CT239" s="27">
        <v>28</v>
      </c>
      <c r="CU239" s="58">
        <v>448</v>
      </c>
      <c r="CV239" s="12">
        <v>310.39999999999998</v>
      </c>
      <c r="CW239" s="27"/>
      <c r="CX239" s="58"/>
      <c r="CY239" s="98"/>
      <c r="CZ239" s="27"/>
      <c r="DA239" s="58"/>
      <c r="DB239" s="12"/>
      <c r="DC239" s="27"/>
      <c r="DD239" s="58"/>
      <c r="DE239" s="12"/>
      <c r="DF239" s="27"/>
      <c r="DG239" s="58"/>
      <c r="DH239" s="12"/>
      <c r="DI239" s="27"/>
      <c r="DJ239" s="58"/>
      <c r="DK239" s="12"/>
      <c r="DL239" s="27"/>
      <c r="DM239" s="58"/>
      <c r="DN239" s="12"/>
      <c r="DO239" s="27"/>
      <c r="DP239" s="58"/>
      <c r="DQ239" s="12"/>
      <c r="DR239" s="27"/>
      <c r="DS239" s="58"/>
      <c r="DT239" s="12"/>
      <c r="DU239" s="27"/>
      <c r="DV239" s="58"/>
      <c r="DW239" s="12"/>
      <c r="DX239" s="27"/>
      <c r="DY239" s="58"/>
      <c r="DZ239" s="12"/>
    </row>
    <row r="240" spans="1:130" s="25" customFormat="1" ht="31.5" customHeight="1" x14ac:dyDescent="0.6">
      <c r="A240" s="5">
        <v>237</v>
      </c>
      <c r="B240" s="18" t="s">
        <v>587</v>
      </c>
      <c r="C240" s="18" t="s">
        <v>588</v>
      </c>
      <c r="D240" s="18" t="s">
        <v>584</v>
      </c>
      <c r="E240" s="23" t="s">
        <v>281</v>
      </c>
      <c r="F240" s="7" t="s">
        <v>545</v>
      </c>
      <c r="G240" s="123"/>
      <c r="H240" s="123"/>
      <c r="I240" s="123" t="s">
        <v>1096</v>
      </c>
      <c r="J240" s="49" t="s">
        <v>546</v>
      </c>
      <c r="K240" s="27"/>
      <c r="L240" s="58"/>
      <c r="M240" s="78"/>
      <c r="N240" s="27"/>
      <c r="O240" s="58"/>
      <c r="P240" s="49"/>
      <c r="Q240" s="27"/>
      <c r="R240" s="58"/>
      <c r="S240" s="98"/>
      <c r="T240" s="27"/>
      <c r="U240" s="58"/>
      <c r="V240" s="12"/>
      <c r="W240" s="27"/>
      <c r="X240" s="58"/>
      <c r="Y240" s="12"/>
      <c r="Z240" s="27"/>
      <c r="AA240" s="58"/>
      <c r="AB240" s="12"/>
      <c r="AC240" s="27">
        <v>14</v>
      </c>
      <c r="AD240" s="58">
        <v>280</v>
      </c>
      <c r="AE240" s="12"/>
      <c r="AF240" s="27">
        <v>0</v>
      </c>
      <c r="AG240" s="58">
        <v>0</v>
      </c>
      <c r="AH240" s="12"/>
      <c r="AI240" s="27">
        <v>4</v>
      </c>
      <c r="AJ240" s="58">
        <v>56</v>
      </c>
      <c r="AK240" s="12"/>
      <c r="AL240" s="27">
        <v>17</v>
      </c>
      <c r="AM240" s="58">
        <v>354</v>
      </c>
      <c r="AN240" s="12"/>
      <c r="AO240" s="27">
        <v>12</v>
      </c>
      <c r="AP240" s="58">
        <v>158</v>
      </c>
      <c r="AQ240" s="12"/>
      <c r="AR240" s="27">
        <v>2</v>
      </c>
      <c r="AS240" s="58">
        <v>52</v>
      </c>
      <c r="AT240" s="12"/>
      <c r="AU240" s="54"/>
      <c r="AV240" s="63"/>
      <c r="AW240" s="55"/>
      <c r="AX240" s="54"/>
      <c r="AY240" s="63"/>
      <c r="AZ240" s="55"/>
      <c r="BA240" s="10">
        <v>11</v>
      </c>
      <c r="BB240" s="15">
        <v>160</v>
      </c>
      <c r="BC240" s="11">
        <v>134</v>
      </c>
      <c r="BD240" s="10">
        <v>39</v>
      </c>
      <c r="BE240" s="15">
        <v>614</v>
      </c>
      <c r="BF240" s="11">
        <v>424.3</v>
      </c>
      <c r="BG240" s="10">
        <v>26</v>
      </c>
      <c r="BH240" s="15">
        <v>432</v>
      </c>
      <c r="BI240" s="11">
        <v>263.48</v>
      </c>
      <c r="BJ240" s="10">
        <v>20</v>
      </c>
      <c r="BK240" s="15">
        <v>378</v>
      </c>
      <c r="BL240" s="11">
        <v>208.45999999999998</v>
      </c>
      <c r="BM240" s="46">
        <v>24</v>
      </c>
      <c r="BN240" s="43">
        <v>368</v>
      </c>
      <c r="BO240" s="47">
        <v>255.52</v>
      </c>
      <c r="BP240" s="46">
        <v>30</v>
      </c>
      <c r="BQ240" s="43">
        <v>504</v>
      </c>
      <c r="BR240" s="47">
        <v>324.60000000000002</v>
      </c>
      <c r="BS240" s="46">
        <v>13</v>
      </c>
      <c r="BT240" s="43">
        <v>250</v>
      </c>
      <c r="BU240" s="114">
        <v>146.80000000000001</v>
      </c>
      <c r="BV240" s="119">
        <v>22.3</v>
      </c>
      <c r="BW240" s="120">
        <v>343</v>
      </c>
      <c r="BX240" s="114">
        <v>239.64</v>
      </c>
      <c r="BY240" s="119">
        <v>42.5</v>
      </c>
      <c r="BZ240" s="120">
        <v>694</v>
      </c>
      <c r="CA240" s="114">
        <v>496.72</v>
      </c>
      <c r="CB240" s="119">
        <v>28</v>
      </c>
      <c r="CC240" s="120">
        <v>432</v>
      </c>
      <c r="CD240" s="114">
        <v>279.20000000000005</v>
      </c>
      <c r="CE240" s="119">
        <v>26</v>
      </c>
      <c r="CF240" s="120">
        <v>492</v>
      </c>
      <c r="CG240" s="114">
        <v>305.76</v>
      </c>
      <c r="CH240" s="119">
        <v>24.417000000000002</v>
      </c>
      <c r="CI240" s="120">
        <v>478</v>
      </c>
      <c r="CJ240" s="114">
        <v>285.26</v>
      </c>
      <c r="CK240" s="54">
        <f t="shared" si="36"/>
        <v>306.21699999999998</v>
      </c>
      <c r="CL240" s="63">
        <f t="shared" si="37"/>
        <v>5145</v>
      </c>
      <c r="CM240" s="55">
        <f t="shared" si="38"/>
        <v>3363.7400000000007</v>
      </c>
      <c r="CN240" s="54">
        <f t="shared" si="39"/>
        <v>25.518083333333333</v>
      </c>
      <c r="CO240" s="63">
        <f t="shared" si="40"/>
        <v>428.75</v>
      </c>
      <c r="CP240" s="172">
        <f t="shared" si="41"/>
        <v>280.31166666666672</v>
      </c>
      <c r="CQ240" s="158">
        <v>27</v>
      </c>
      <c r="CR240" s="159">
        <v>510</v>
      </c>
      <c r="CS240" s="179">
        <v>308.64</v>
      </c>
      <c r="CT240" s="27">
        <v>42</v>
      </c>
      <c r="CU240" s="58">
        <v>716</v>
      </c>
      <c r="CV240" s="12">
        <v>445.68000000000006</v>
      </c>
      <c r="CW240" s="27"/>
      <c r="CX240" s="58"/>
      <c r="CY240" s="98"/>
      <c r="CZ240" s="27"/>
      <c r="DA240" s="58"/>
      <c r="DB240" s="12"/>
      <c r="DC240" s="27"/>
      <c r="DD240" s="58"/>
      <c r="DE240" s="12"/>
      <c r="DF240" s="27"/>
      <c r="DG240" s="58"/>
      <c r="DH240" s="12"/>
      <c r="DI240" s="27"/>
      <c r="DJ240" s="58"/>
      <c r="DK240" s="12"/>
      <c r="DL240" s="27"/>
      <c r="DM240" s="58"/>
      <c r="DN240" s="12"/>
      <c r="DO240" s="27"/>
      <c r="DP240" s="58"/>
      <c r="DQ240" s="12"/>
      <c r="DR240" s="27"/>
      <c r="DS240" s="58"/>
      <c r="DT240" s="12"/>
      <c r="DU240" s="27"/>
      <c r="DV240" s="58"/>
      <c r="DW240" s="12"/>
      <c r="DX240" s="27"/>
      <c r="DY240" s="58"/>
      <c r="DZ240" s="12"/>
    </row>
    <row r="241" spans="1:130" s="25" customFormat="1" ht="31.5" customHeight="1" x14ac:dyDescent="0.6">
      <c r="A241" s="5">
        <v>238</v>
      </c>
      <c r="B241" s="18" t="s">
        <v>589</v>
      </c>
      <c r="C241" s="18" t="s">
        <v>590</v>
      </c>
      <c r="D241" s="18" t="s">
        <v>584</v>
      </c>
      <c r="E241" s="23" t="s">
        <v>281</v>
      </c>
      <c r="F241" s="7" t="s">
        <v>545</v>
      </c>
      <c r="G241" s="123"/>
      <c r="H241" s="123"/>
      <c r="I241" s="123" t="s">
        <v>1097</v>
      </c>
      <c r="J241" s="49" t="s">
        <v>546</v>
      </c>
      <c r="K241" s="27"/>
      <c r="L241" s="58"/>
      <c r="M241" s="78"/>
      <c r="N241" s="27"/>
      <c r="O241" s="58"/>
      <c r="P241" s="49"/>
      <c r="Q241" s="27"/>
      <c r="R241" s="58"/>
      <c r="S241" s="98"/>
      <c r="T241" s="27"/>
      <c r="U241" s="58"/>
      <c r="V241" s="12"/>
      <c r="W241" s="27"/>
      <c r="X241" s="58"/>
      <c r="Y241" s="12"/>
      <c r="Z241" s="27"/>
      <c r="AA241" s="58"/>
      <c r="AB241" s="12"/>
      <c r="AC241" s="27">
        <v>0</v>
      </c>
      <c r="AD241" s="58">
        <v>0</v>
      </c>
      <c r="AE241" s="12"/>
      <c r="AF241" s="27">
        <v>4</v>
      </c>
      <c r="AG241" s="58">
        <v>66</v>
      </c>
      <c r="AH241" s="12"/>
      <c r="AI241" s="27">
        <v>5</v>
      </c>
      <c r="AJ241" s="58">
        <v>106</v>
      </c>
      <c r="AK241" s="12"/>
      <c r="AL241" s="27">
        <v>6</v>
      </c>
      <c r="AM241" s="58">
        <v>268</v>
      </c>
      <c r="AN241" s="12"/>
      <c r="AO241" s="27">
        <v>2</v>
      </c>
      <c r="AP241" s="58">
        <v>28</v>
      </c>
      <c r="AQ241" s="12"/>
      <c r="AR241" s="27">
        <v>5</v>
      </c>
      <c r="AS241" s="58">
        <v>70</v>
      </c>
      <c r="AT241" s="12"/>
      <c r="AU241" s="54"/>
      <c r="AV241" s="63"/>
      <c r="AW241" s="55"/>
      <c r="AX241" s="54"/>
      <c r="AY241" s="63"/>
      <c r="AZ241" s="55"/>
      <c r="BA241" s="10">
        <v>19</v>
      </c>
      <c r="BB241" s="15">
        <v>266</v>
      </c>
      <c r="BC241" s="11">
        <v>171</v>
      </c>
      <c r="BD241" s="10">
        <v>2</v>
      </c>
      <c r="BE241" s="15">
        <v>48</v>
      </c>
      <c r="BF241" s="11">
        <v>24</v>
      </c>
      <c r="BG241" s="10">
        <v>3</v>
      </c>
      <c r="BH241" s="15">
        <v>49</v>
      </c>
      <c r="BI241" s="11">
        <v>32.96</v>
      </c>
      <c r="BJ241" s="10">
        <v>5</v>
      </c>
      <c r="BK241" s="15">
        <v>96</v>
      </c>
      <c r="BL241" s="11">
        <v>49.760000000000005</v>
      </c>
      <c r="BM241" s="46">
        <v>11</v>
      </c>
      <c r="BN241" s="43">
        <v>153</v>
      </c>
      <c r="BO241" s="47">
        <v>101.76</v>
      </c>
      <c r="BP241" s="46">
        <v>11</v>
      </c>
      <c r="BQ241" s="43">
        <v>150</v>
      </c>
      <c r="BR241" s="47">
        <v>104.72</v>
      </c>
      <c r="BS241" s="46">
        <v>1</v>
      </c>
      <c r="BT241" s="43">
        <v>14</v>
      </c>
      <c r="BU241" s="114">
        <v>8.9600000000000009</v>
      </c>
      <c r="BV241" s="119">
        <v>7.3</v>
      </c>
      <c r="BW241" s="120">
        <v>105</v>
      </c>
      <c r="BX241" s="114">
        <v>66.760000000000005</v>
      </c>
      <c r="BY241" s="119">
        <v>18</v>
      </c>
      <c r="BZ241" s="120">
        <v>222</v>
      </c>
      <c r="CA241" s="114">
        <v>203.04</v>
      </c>
      <c r="CB241" s="119">
        <v>6</v>
      </c>
      <c r="CC241" s="120">
        <v>78</v>
      </c>
      <c r="CD241" s="114">
        <v>62.88</v>
      </c>
      <c r="CE241" s="119">
        <v>3</v>
      </c>
      <c r="CF241" s="120">
        <v>36</v>
      </c>
      <c r="CG241" s="114">
        <v>36</v>
      </c>
      <c r="CH241" s="119">
        <v>7.4169999999999998</v>
      </c>
      <c r="CI241" s="120">
        <v>125</v>
      </c>
      <c r="CJ241" s="114">
        <v>83.42</v>
      </c>
      <c r="CK241" s="54">
        <f t="shared" si="36"/>
        <v>93.716999999999999</v>
      </c>
      <c r="CL241" s="63">
        <f t="shared" si="37"/>
        <v>1342</v>
      </c>
      <c r="CM241" s="55">
        <f t="shared" si="38"/>
        <v>945.26</v>
      </c>
      <c r="CN241" s="54">
        <f t="shared" si="39"/>
        <v>7.8097500000000002</v>
      </c>
      <c r="CO241" s="63">
        <f t="shared" si="40"/>
        <v>111.83333333333333</v>
      </c>
      <c r="CP241" s="172">
        <f t="shared" si="41"/>
        <v>78.771666666666661</v>
      </c>
      <c r="CQ241" s="158">
        <v>6</v>
      </c>
      <c r="CR241" s="159">
        <v>132</v>
      </c>
      <c r="CS241" s="179">
        <v>69.92</v>
      </c>
      <c r="CT241" s="27">
        <v>11</v>
      </c>
      <c r="CU241" s="58">
        <v>134</v>
      </c>
      <c r="CV241" s="12">
        <v>128.96</v>
      </c>
      <c r="CW241" s="27"/>
      <c r="CX241" s="58"/>
      <c r="CY241" s="98"/>
      <c r="CZ241" s="27"/>
      <c r="DA241" s="58"/>
      <c r="DB241" s="12"/>
      <c r="DC241" s="27"/>
      <c r="DD241" s="58"/>
      <c r="DE241" s="12"/>
      <c r="DF241" s="27"/>
      <c r="DG241" s="58"/>
      <c r="DH241" s="12"/>
      <c r="DI241" s="27"/>
      <c r="DJ241" s="58"/>
      <c r="DK241" s="12"/>
      <c r="DL241" s="27"/>
      <c r="DM241" s="58"/>
      <c r="DN241" s="12"/>
      <c r="DO241" s="27"/>
      <c r="DP241" s="58"/>
      <c r="DQ241" s="12"/>
      <c r="DR241" s="27"/>
      <c r="DS241" s="58"/>
      <c r="DT241" s="12"/>
      <c r="DU241" s="27"/>
      <c r="DV241" s="58"/>
      <c r="DW241" s="12"/>
      <c r="DX241" s="27"/>
      <c r="DY241" s="58"/>
      <c r="DZ241" s="12"/>
    </row>
    <row r="242" spans="1:130" s="25" customFormat="1" ht="31.5" customHeight="1" x14ac:dyDescent="0.6">
      <c r="A242" s="5">
        <v>239</v>
      </c>
      <c r="B242" s="18" t="s">
        <v>591</v>
      </c>
      <c r="C242" s="18" t="s">
        <v>592</v>
      </c>
      <c r="D242" s="18" t="s">
        <v>584</v>
      </c>
      <c r="E242" s="23" t="s">
        <v>281</v>
      </c>
      <c r="F242" s="7" t="s">
        <v>545</v>
      </c>
      <c r="G242" s="123"/>
      <c r="H242" s="123"/>
      <c r="I242" s="123" t="s">
        <v>1098</v>
      </c>
      <c r="J242" s="49" t="s">
        <v>546</v>
      </c>
      <c r="K242" s="27"/>
      <c r="L242" s="58"/>
      <c r="M242" s="78"/>
      <c r="N242" s="27"/>
      <c r="O242" s="58"/>
      <c r="P242" s="49"/>
      <c r="Q242" s="27"/>
      <c r="R242" s="58"/>
      <c r="S242" s="98"/>
      <c r="T242" s="27"/>
      <c r="U242" s="58"/>
      <c r="V242" s="12"/>
      <c r="W242" s="27"/>
      <c r="X242" s="58"/>
      <c r="Y242" s="12"/>
      <c r="Z242" s="27"/>
      <c r="AA242" s="58"/>
      <c r="AB242" s="12"/>
      <c r="AC242" s="27">
        <v>12</v>
      </c>
      <c r="AD242" s="58">
        <v>236</v>
      </c>
      <c r="AE242" s="12"/>
      <c r="AF242" s="27">
        <v>9</v>
      </c>
      <c r="AG242" s="58">
        <v>144</v>
      </c>
      <c r="AH242" s="12"/>
      <c r="AI242" s="27">
        <v>18</v>
      </c>
      <c r="AJ242" s="58">
        <v>312</v>
      </c>
      <c r="AK242" s="12"/>
      <c r="AL242" s="27">
        <v>6</v>
      </c>
      <c r="AM242" s="58">
        <v>72</v>
      </c>
      <c r="AN242" s="12"/>
      <c r="AO242" s="27">
        <v>8</v>
      </c>
      <c r="AP242" s="58">
        <v>124</v>
      </c>
      <c r="AQ242" s="12"/>
      <c r="AR242" s="27">
        <v>13</v>
      </c>
      <c r="AS242" s="58">
        <v>156</v>
      </c>
      <c r="AT242" s="12"/>
      <c r="AU242" s="54"/>
      <c r="AV242" s="63"/>
      <c r="AW242" s="55"/>
      <c r="AX242" s="54"/>
      <c r="AY242" s="63"/>
      <c r="AZ242" s="55"/>
      <c r="BA242" s="10">
        <v>11</v>
      </c>
      <c r="BB242" s="15">
        <v>188</v>
      </c>
      <c r="BC242" s="11">
        <v>136</v>
      </c>
      <c r="BD242" s="10">
        <v>11</v>
      </c>
      <c r="BE242" s="15">
        <v>166</v>
      </c>
      <c r="BF242" s="11">
        <v>136</v>
      </c>
      <c r="BG242" s="10">
        <v>12</v>
      </c>
      <c r="BH242" s="15">
        <v>200</v>
      </c>
      <c r="BI242" s="11">
        <v>148</v>
      </c>
      <c r="BJ242" s="10">
        <v>1</v>
      </c>
      <c r="BK242" s="15">
        <v>12</v>
      </c>
      <c r="BL242" s="11">
        <v>12</v>
      </c>
      <c r="BM242" s="46">
        <v>7</v>
      </c>
      <c r="BN242" s="43">
        <v>99</v>
      </c>
      <c r="BO242" s="47">
        <v>90</v>
      </c>
      <c r="BP242" s="46">
        <v>5</v>
      </c>
      <c r="BQ242" s="43">
        <v>88</v>
      </c>
      <c r="BR242" s="47">
        <v>62</v>
      </c>
      <c r="BS242" s="46">
        <v>18</v>
      </c>
      <c r="BT242" s="43">
        <v>244</v>
      </c>
      <c r="BU242" s="114">
        <v>218</v>
      </c>
      <c r="BV242" s="119">
        <v>16.600000000000001</v>
      </c>
      <c r="BW242" s="120">
        <v>201</v>
      </c>
      <c r="BX242" s="114">
        <v>196.14</v>
      </c>
      <c r="BY242" s="119">
        <v>10.5</v>
      </c>
      <c r="BZ242" s="120">
        <v>126</v>
      </c>
      <c r="CA242" s="114">
        <v>122.16</v>
      </c>
      <c r="CB242" s="119">
        <v>23</v>
      </c>
      <c r="CC242" s="120">
        <v>276</v>
      </c>
      <c r="CD242" s="114">
        <v>276</v>
      </c>
      <c r="CE242" s="119">
        <v>28</v>
      </c>
      <c r="CF242" s="120">
        <v>336</v>
      </c>
      <c r="CG242" s="114">
        <v>336</v>
      </c>
      <c r="CH242" s="119">
        <v>13.08</v>
      </c>
      <c r="CI242" s="120">
        <v>172</v>
      </c>
      <c r="CJ242" s="114">
        <v>141.66</v>
      </c>
      <c r="CK242" s="54">
        <f t="shared" si="36"/>
        <v>156.18</v>
      </c>
      <c r="CL242" s="63">
        <f t="shared" si="37"/>
        <v>2108</v>
      </c>
      <c r="CM242" s="55">
        <f t="shared" si="38"/>
        <v>1873.96</v>
      </c>
      <c r="CN242" s="54">
        <f t="shared" si="39"/>
        <v>13.015000000000001</v>
      </c>
      <c r="CO242" s="63">
        <f t="shared" si="40"/>
        <v>175.66666666666666</v>
      </c>
      <c r="CP242" s="172">
        <f t="shared" si="41"/>
        <v>156.16333333333333</v>
      </c>
      <c r="CQ242" s="158">
        <v>10</v>
      </c>
      <c r="CR242" s="159">
        <v>120</v>
      </c>
      <c r="CS242" s="179">
        <v>108.47999999999999</v>
      </c>
      <c r="CT242" s="27">
        <v>12</v>
      </c>
      <c r="CU242" s="58">
        <v>200</v>
      </c>
      <c r="CV242" s="12">
        <v>148</v>
      </c>
      <c r="CW242" s="27"/>
      <c r="CX242" s="58"/>
      <c r="CY242" s="98"/>
      <c r="CZ242" s="27"/>
      <c r="DA242" s="58"/>
      <c r="DB242" s="12"/>
      <c r="DC242" s="27"/>
      <c r="DD242" s="58"/>
      <c r="DE242" s="12"/>
      <c r="DF242" s="27"/>
      <c r="DG242" s="58"/>
      <c r="DH242" s="12"/>
      <c r="DI242" s="27"/>
      <c r="DJ242" s="58"/>
      <c r="DK242" s="12"/>
      <c r="DL242" s="27"/>
      <c r="DM242" s="58"/>
      <c r="DN242" s="12"/>
      <c r="DO242" s="27"/>
      <c r="DP242" s="58"/>
      <c r="DQ242" s="12"/>
      <c r="DR242" s="27"/>
      <c r="DS242" s="58"/>
      <c r="DT242" s="12"/>
      <c r="DU242" s="27"/>
      <c r="DV242" s="58"/>
      <c r="DW242" s="12"/>
      <c r="DX242" s="27"/>
      <c r="DY242" s="58"/>
      <c r="DZ242" s="12"/>
    </row>
    <row r="243" spans="1:130" s="25" customFormat="1" ht="31.5" customHeight="1" x14ac:dyDescent="0.6">
      <c r="A243" s="5">
        <v>240</v>
      </c>
      <c r="B243" s="18" t="s">
        <v>593</v>
      </c>
      <c r="C243" s="18" t="s">
        <v>594</v>
      </c>
      <c r="D243" s="18" t="s">
        <v>584</v>
      </c>
      <c r="E243" s="23" t="s">
        <v>281</v>
      </c>
      <c r="F243" s="7" t="s">
        <v>545</v>
      </c>
      <c r="G243" s="123"/>
      <c r="H243" s="123"/>
      <c r="I243" s="123" t="s">
        <v>1099</v>
      </c>
      <c r="J243" s="49" t="s">
        <v>546</v>
      </c>
      <c r="K243" s="27"/>
      <c r="L243" s="58"/>
      <c r="M243" s="78"/>
      <c r="N243" s="27"/>
      <c r="O243" s="58"/>
      <c r="P243" s="49"/>
      <c r="Q243" s="27"/>
      <c r="R243" s="58"/>
      <c r="S243" s="98"/>
      <c r="T243" s="27"/>
      <c r="U243" s="58"/>
      <c r="V243" s="12"/>
      <c r="W243" s="27"/>
      <c r="X243" s="58"/>
      <c r="Y243" s="12"/>
      <c r="Z243" s="27"/>
      <c r="AA243" s="58"/>
      <c r="AB243" s="12"/>
      <c r="AC243" s="27">
        <v>9</v>
      </c>
      <c r="AD243" s="58">
        <v>248</v>
      </c>
      <c r="AE243" s="12"/>
      <c r="AF243" s="27">
        <v>15</v>
      </c>
      <c r="AG243" s="58">
        <v>320</v>
      </c>
      <c r="AH243" s="12"/>
      <c r="AI243" s="27">
        <v>6</v>
      </c>
      <c r="AJ243" s="58">
        <v>72</v>
      </c>
      <c r="AK243" s="12"/>
      <c r="AL243" s="27">
        <v>60</v>
      </c>
      <c r="AM243" s="58">
        <v>1280</v>
      </c>
      <c r="AN243" s="12"/>
      <c r="AO243" s="27">
        <v>6.5</v>
      </c>
      <c r="AP243" s="58">
        <v>84</v>
      </c>
      <c r="AQ243" s="12"/>
      <c r="AR243" s="27">
        <v>5</v>
      </c>
      <c r="AS243" s="58">
        <v>66</v>
      </c>
      <c r="AT243" s="12"/>
      <c r="AU243" s="54"/>
      <c r="AV243" s="63"/>
      <c r="AW243" s="55"/>
      <c r="AX243" s="54"/>
      <c r="AY243" s="63"/>
      <c r="AZ243" s="55"/>
      <c r="BA243" s="10">
        <v>1</v>
      </c>
      <c r="BB243" s="15">
        <v>14</v>
      </c>
      <c r="BC243" s="11">
        <v>9</v>
      </c>
      <c r="BD243" s="10">
        <v>9.5</v>
      </c>
      <c r="BE243" s="15">
        <v>150</v>
      </c>
      <c r="BF243" s="11">
        <v>86</v>
      </c>
      <c r="BG243" s="10">
        <v>20</v>
      </c>
      <c r="BH243" s="15">
        <v>240</v>
      </c>
      <c r="BI243" s="11">
        <v>192</v>
      </c>
      <c r="BJ243" s="10">
        <v>0</v>
      </c>
      <c r="BK243" s="15">
        <v>0</v>
      </c>
      <c r="BL243" s="11">
        <v>0</v>
      </c>
      <c r="BM243" s="46">
        <v>6</v>
      </c>
      <c r="BN243" s="43">
        <v>223</v>
      </c>
      <c r="BO243" s="47">
        <v>79.5</v>
      </c>
      <c r="BP243" s="46">
        <v>0</v>
      </c>
      <c r="BQ243" s="43">
        <v>0</v>
      </c>
      <c r="BR243" s="47">
        <v>0</v>
      </c>
      <c r="BS243" s="46">
        <v>5</v>
      </c>
      <c r="BT243" s="43">
        <v>70</v>
      </c>
      <c r="BU243" s="114">
        <v>44.8</v>
      </c>
      <c r="BV243" s="119">
        <v>6.1</v>
      </c>
      <c r="BW243" s="120">
        <v>109</v>
      </c>
      <c r="BX243" s="114">
        <v>60.74</v>
      </c>
      <c r="BY243" s="119">
        <v>1</v>
      </c>
      <c r="BZ243" s="120">
        <v>12</v>
      </c>
      <c r="CA243" s="114">
        <v>8.16</v>
      </c>
      <c r="CB243" s="119">
        <v>5</v>
      </c>
      <c r="CC243" s="120">
        <v>88</v>
      </c>
      <c r="CD243" s="114">
        <v>58.16</v>
      </c>
      <c r="CE243" s="119">
        <v>5</v>
      </c>
      <c r="CF243" s="120">
        <v>60</v>
      </c>
      <c r="CG243" s="114">
        <v>36</v>
      </c>
      <c r="CH243" s="119">
        <v>8</v>
      </c>
      <c r="CI243" s="120">
        <v>96</v>
      </c>
      <c r="CJ243" s="114">
        <v>81.599999999999994</v>
      </c>
      <c r="CK243" s="54">
        <f t="shared" ref="CK243:CK266" si="42">+BA243+BD243+BG243+BJ243+BM243+BP243+BS243+BV243+BY243+CB243+CE243+CH243</f>
        <v>66.599999999999994</v>
      </c>
      <c r="CL243" s="63">
        <f t="shared" ref="CL243:CL271" si="43">+BB243+BE243+BH243+BK243+BN243+BQ243+BT243+BW243+BZ243+CC243+CF243+CI243</f>
        <v>1062</v>
      </c>
      <c r="CM243" s="55">
        <f t="shared" ref="CM243:CM271" si="44">+BC243+BF243+BI243+BL243+BO243+BR243+BU243+BX243+CA243+CD243+CG243+CJ243</f>
        <v>655.96</v>
      </c>
      <c r="CN243" s="54">
        <f t="shared" ref="CN243:CN271" si="45">CK243/12</f>
        <v>5.55</v>
      </c>
      <c r="CO243" s="63">
        <f t="shared" ref="CO243:CO271" si="46">CL243/12</f>
        <v>88.5</v>
      </c>
      <c r="CP243" s="172">
        <f t="shared" ref="CP243:CP271" si="47">CM243/12</f>
        <v>54.663333333333334</v>
      </c>
      <c r="CQ243" s="158">
        <v>10</v>
      </c>
      <c r="CR243" s="159">
        <v>120</v>
      </c>
      <c r="CS243" s="179">
        <v>120</v>
      </c>
      <c r="CT243" s="27">
        <v>25</v>
      </c>
      <c r="CU243" s="58">
        <v>300</v>
      </c>
      <c r="CV243" s="12">
        <v>300</v>
      </c>
      <c r="CW243" s="27"/>
      <c r="CX243" s="58"/>
      <c r="CY243" s="98"/>
      <c r="CZ243" s="27"/>
      <c r="DA243" s="58"/>
      <c r="DB243" s="12"/>
      <c r="DC243" s="27"/>
      <c r="DD243" s="58"/>
      <c r="DE243" s="12"/>
      <c r="DF243" s="27"/>
      <c r="DG243" s="58"/>
      <c r="DH243" s="12"/>
      <c r="DI243" s="27"/>
      <c r="DJ243" s="58"/>
      <c r="DK243" s="12"/>
      <c r="DL243" s="27"/>
      <c r="DM243" s="58"/>
      <c r="DN243" s="12"/>
      <c r="DO243" s="27"/>
      <c r="DP243" s="58"/>
      <c r="DQ243" s="12"/>
      <c r="DR243" s="27"/>
      <c r="DS243" s="58"/>
      <c r="DT243" s="12"/>
      <c r="DU243" s="27"/>
      <c r="DV243" s="58"/>
      <c r="DW243" s="12"/>
      <c r="DX243" s="27"/>
      <c r="DY243" s="58"/>
      <c r="DZ243" s="12"/>
    </row>
    <row r="244" spans="1:130" s="25" customFormat="1" ht="31.5" customHeight="1" x14ac:dyDescent="0.6">
      <c r="A244" s="5">
        <v>241</v>
      </c>
      <c r="B244" s="18" t="s">
        <v>595</v>
      </c>
      <c r="C244" s="18" t="s">
        <v>595</v>
      </c>
      <c r="D244" s="18" t="s">
        <v>584</v>
      </c>
      <c r="E244" s="23" t="s">
        <v>281</v>
      </c>
      <c r="F244" s="7" t="s">
        <v>545</v>
      </c>
      <c r="G244" s="123"/>
      <c r="H244" s="123"/>
      <c r="I244" s="123" t="s">
        <v>1100</v>
      </c>
      <c r="J244" s="49" t="s">
        <v>546</v>
      </c>
      <c r="K244" s="27"/>
      <c r="L244" s="58"/>
      <c r="M244" s="78"/>
      <c r="N244" s="27"/>
      <c r="O244" s="58"/>
      <c r="P244" s="49"/>
      <c r="Q244" s="27"/>
      <c r="R244" s="58"/>
      <c r="S244" s="98"/>
      <c r="T244" s="27"/>
      <c r="U244" s="58"/>
      <c r="V244" s="12"/>
      <c r="W244" s="27"/>
      <c r="X244" s="58"/>
      <c r="Y244" s="12"/>
      <c r="Z244" s="27"/>
      <c r="AA244" s="58"/>
      <c r="AB244" s="12"/>
      <c r="AC244" s="27">
        <v>13</v>
      </c>
      <c r="AD244" s="58">
        <v>240</v>
      </c>
      <c r="AE244" s="12"/>
      <c r="AF244" s="27">
        <v>18</v>
      </c>
      <c r="AG244" s="58">
        <v>226</v>
      </c>
      <c r="AH244" s="12"/>
      <c r="AI244" s="27">
        <v>14</v>
      </c>
      <c r="AJ244" s="58">
        <v>196</v>
      </c>
      <c r="AK244" s="12"/>
      <c r="AL244" s="27">
        <v>18</v>
      </c>
      <c r="AM244" s="58">
        <v>274</v>
      </c>
      <c r="AN244" s="12"/>
      <c r="AO244" s="27">
        <v>21</v>
      </c>
      <c r="AP244" s="58">
        <v>346</v>
      </c>
      <c r="AQ244" s="12"/>
      <c r="AR244" s="27">
        <v>11</v>
      </c>
      <c r="AS244" s="58">
        <v>132</v>
      </c>
      <c r="AT244" s="12"/>
      <c r="AU244" s="54"/>
      <c r="AV244" s="63"/>
      <c r="AW244" s="55"/>
      <c r="AX244" s="54"/>
      <c r="AY244" s="63"/>
      <c r="AZ244" s="55"/>
      <c r="BA244" s="10">
        <v>15</v>
      </c>
      <c r="BB244" s="15">
        <v>220</v>
      </c>
      <c r="BC244" s="11">
        <v>190</v>
      </c>
      <c r="BD244" s="10">
        <v>18</v>
      </c>
      <c r="BE244" s="15">
        <v>330</v>
      </c>
      <c r="BF244" s="11">
        <v>213</v>
      </c>
      <c r="BG244" s="10">
        <v>18</v>
      </c>
      <c r="BH244" s="15">
        <v>278</v>
      </c>
      <c r="BI244" s="11">
        <v>204.28</v>
      </c>
      <c r="BJ244" s="10">
        <v>0</v>
      </c>
      <c r="BK244" s="15">
        <v>0</v>
      </c>
      <c r="BL244" s="11">
        <v>0</v>
      </c>
      <c r="BM244" s="46">
        <v>15</v>
      </c>
      <c r="BN244" s="43">
        <v>276</v>
      </c>
      <c r="BO244" s="47">
        <v>164.16</v>
      </c>
      <c r="BP244" s="46">
        <v>14</v>
      </c>
      <c r="BQ244" s="43">
        <v>196</v>
      </c>
      <c r="BR244" s="47">
        <v>161.6</v>
      </c>
      <c r="BS244" s="46">
        <v>8</v>
      </c>
      <c r="BT244" s="43">
        <v>100</v>
      </c>
      <c r="BU244" s="114">
        <v>73.12</v>
      </c>
      <c r="BV244" s="119">
        <v>18.3</v>
      </c>
      <c r="BW244" s="120">
        <v>247</v>
      </c>
      <c r="BX244" s="114">
        <v>220.04</v>
      </c>
      <c r="BY244" s="119">
        <v>2</v>
      </c>
      <c r="BZ244" s="120">
        <v>24</v>
      </c>
      <c r="CA244" s="114">
        <v>15.599999999999998</v>
      </c>
      <c r="CB244" s="119">
        <v>17</v>
      </c>
      <c r="CC244" s="120">
        <v>232</v>
      </c>
      <c r="CD244" s="114">
        <v>170</v>
      </c>
      <c r="CE244" s="119">
        <v>10</v>
      </c>
      <c r="CF244" s="120">
        <v>148</v>
      </c>
      <c r="CG244" s="114">
        <v>114.8</v>
      </c>
      <c r="CH244" s="119">
        <v>8</v>
      </c>
      <c r="CI244" s="120">
        <v>124</v>
      </c>
      <c r="CJ244" s="114">
        <v>74</v>
      </c>
      <c r="CK244" s="54">
        <f t="shared" si="42"/>
        <v>143.30000000000001</v>
      </c>
      <c r="CL244" s="63">
        <f t="shared" si="43"/>
        <v>2175</v>
      </c>
      <c r="CM244" s="55">
        <f t="shared" si="44"/>
        <v>1600.6</v>
      </c>
      <c r="CN244" s="54">
        <f t="shared" si="45"/>
        <v>11.941666666666668</v>
      </c>
      <c r="CO244" s="63">
        <f t="shared" si="46"/>
        <v>181.25</v>
      </c>
      <c r="CP244" s="172">
        <f t="shared" si="47"/>
        <v>133.38333333333333</v>
      </c>
      <c r="CQ244" s="158">
        <v>27</v>
      </c>
      <c r="CR244" s="159">
        <v>470</v>
      </c>
      <c r="CS244" s="179">
        <v>310.48</v>
      </c>
      <c r="CT244" s="27">
        <v>20</v>
      </c>
      <c r="CU244" s="58">
        <v>240</v>
      </c>
      <c r="CV244" s="12">
        <v>240</v>
      </c>
      <c r="CW244" s="27"/>
      <c r="CX244" s="58"/>
      <c r="CY244" s="98"/>
      <c r="CZ244" s="27"/>
      <c r="DA244" s="58"/>
      <c r="DB244" s="12"/>
      <c r="DC244" s="27"/>
      <c r="DD244" s="58"/>
      <c r="DE244" s="12"/>
      <c r="DF244" s="27"/>
      <c r="DG244" s="58"/>
      <c r="DH244" s="12"/>
      <c r="DI244" s="27"/>
      <c r="DJ244" s="58"/>
      <c r="DK244" s="12"/>
      <c r="DL244" s="27"/>
      <c r="DM244" s="58"/>
      <c r="DN244" s="12"/>
      <c r="DO244" s="27"/>
      <c r="DP244" s="58"/>
      <c r="DQ244" s="12"/>
      <c r="DR244" s="27"/>
      <c r="DS244" s="58"/>
      <c r="DT244" s="12"/>
      <c r="DU244" s="27"/>
      <c r="DV244" s="58"/>
      <c r="DW244" s="12"/>
      <c r="DX244" s="27"/>
      <c r="DY244" s="58"/>
      <c r="DZ244" s="12"/>
    </row>
    <row r="245" spans="1:130" s="25" customFormat="1" ht="31.5" customHeight="1" x14ac:dyDescent="0.6">
      <c r="A245" s="5">
        <v>242</v>
      </c>
      <c r="B245" s="18" t="s">
        <v>310</v>
      </c>
      <c r="C245" s="18"/>
      <c r="D245" s="18"/>
      <c r="E245" s="23"/>
      <c r="F245" s="7"/>
      <c r="G245" s="123"/>
      <c r="H245" s="123"/>
      <c r="I245" s="123"/>
      <c r="J245" s="49"/>
      <c r="K245" s="27"/>
      <c r="L245" s="58"/>
      <c r="M245" s="78"/>
      <c r="N245" s="27"/>
      <c r="O245" s="58"/>
      <c r="P245" s="49"/>
      <c r="Q245" s="27"/>
      <c r="R245" s="58"/>
      <c r="S245" s="98"/>
      <c r="T245" s="27"/>
      <c r="U245" s="58"/>
      <c r="V245" s="12"/>
      <c r="W245" s="27"/>
      <c r="X245" s="58"/>
      <c r="Y245" s="12"/>
      <c r="Z245" s="27"/>
      <c r="AA245" s="58"/>
      <c r="AB245" s="12"/>
      <c r="AC245" s="27"/>
      <c r="AD245" s="58"/>
      <c r="AE245" s="12"/>
      <c r="AF245" s="27"/>
      <c r="AG245" s="58"/>
      <c r="AH245" s="12"/>
      <c r="AI245" s="27"/>
      <c r="AJ245" s="58"/>
      <c r="AK245" s="12"/>
      <c r="AL245" s="27"/>
      <c r="AM245" s="58"/>
      <c r="AN245" s="12"/>
      <c r="AO245" s="27"/>
      <c r="AP245" s="58"/>
      <c r="AQ245" s="12"/>
      <c r="AR245" s="27"/>
      <c r="AS245" s="58"/>
      <c r="AT245" s="12"/>
      <c r="AU245" s="54"/>
      <c r="AV245" s="63"/>
      <c r="AW245" s="55"/>
      <c r="AX245" s="54"/>
      <c r="AY245" s="63"/>
      <c r="AZ245" s="55"/>
      <c r="BA245" s="10"/>
      <c r="BB245" s="15"/>
      <c r="BC245" s="11"/>
      <c r="BD245" s="10"/>
      <c r="BE245" s="15"/>
      <c r="BF245" s="11"/>
      <c r="BG245" s="10"/>
      <c r="BH245" s="15"/>
      <c r="BI245" s="11"/>
      <c r="BJ245" s="10"/>
      <c r="BK245" s="15"/>
      <c r="BL245" s="11"/>
      <c r="BM245" s="46"/>
      <c r="BN245" s="43"/>
      <c r="BO245" s="47"/>
      <c r="BP245" s="46"/>
      <c r="BQ245" s="43"/>
      <c r="BR245" s="47"/>
      <c r="BS245" s="46"/>
      <c r="BT245" s="43"/>
      <c r="BU245" s="114"/>
      <c r="BV245" s="119"/>
      <c r="BW245" s="120"/>
      <c r="BX245" s="114"/>
      <c r="BY245" s="119"/>
      <c r="BZ245" s="120"/>
      <c r="CA245" s="114"/>
      <c r="CB245" s="119"/>
      <c r="CC245" s="120"/>
      <c r="CD245" s="114"/>
      <c r="CE245" s="119"/>
      <c r="CF245" s="120"/>
      <c r="CG245" s="114"/>
      <c r="CH245" s="119"/>
      <c r="CI245" s="120"/>
      <c r="CJ245" s="114"/>
      <c r="CK245" s="54"/>
      <c r="CL245" s="63"/>
      <c r="CM245" s="55"/>
      <c r="CN245" s="54"/>
      <c r="CO245" s="63"/>
      <c r="CP245" s="172"/>
      <c r="CQ245" s="158">
        <v>0</v>
      </c>
      <c r="CR245" s="159">
        <v>0</v>
      </c>
      <c r="CS245" s="179">
        <v>0</v>
      </c>
      <c r="CT245" s="27">
        <v>0</v>
      </c>
      <c r="CU245" s="58">
        <v>0</v>
      </c>
      <c r="CV245" s="12">
        <v>0</v>
      </c>
      <c r="CW245" s="27"/>
      <c r="CX245" s="58"/>
      <c r="CY245" s="98"/>
      <c r="CZ245" s="27"/>
      <c r="DA245" s="58"/>
      <c r="DB245" s="12"/>
      <c r="DC245" s="27"/>
      <c r="DD245" s="58"/>
      <c r="DE245" s="12"/>
      <c r="DF245" s="27"/>
      <c r="DG245" s="58"/>
      <c r="DH245" s="12"/>
      <c r="DI245" s="27"/>
      <c r="DJ245" s="58"/>
      <c r="DK245" s="12"/>
      <c r="DL245" s="27"/>
      <c r="DM245" s="58"/>
      <c r="DN245" s="12"/>
      <c r="DO245" s="27"/>
      <c r="DP245" s="58"/>
      <c r="DQ245" s="12"/>
      <c r="DR245" s="27"/>
      <c r="DS245" s="58"/>
      <c r="DT245" s="12"/>
      <c r="DU245" s="27"/>
      <c r="DV245" s="58"/>
      <c r="DW245" s="12"/>
      <c r="DX245" s="27"/>
      <c r="DY245" s="58"/>
      <c r="DZ245" s="12"/>
    </row>
    <row r="246" spans="1:130" s="25" customFormat="1" ht="31.5" customHeight="1" x14ac:dyDescent="0.6">
      <c r="A246" s="5">
        <v>243</v>
      </c>
      <c r="B246" s="18" t="s">
        <v>371</v>
      </c>
      <c r="C246" s="18"/>
      <c r="D246" s="18"/>
      <c r="E246" s="23"/>
      <c r="F246" s="7"/>
      <c r="G246" s="123"/>
      <c r="H246" s="123"/>
      <c r="I246" s="123"/>
      <c r="J246" s="49"/>
      <c r="K246" s="27"/>
      <c r="L246" s="58"/>
      <c r="M246" s="78"/>
      <c r="N246" s="27"/>
      <c r="O246" s="58"/>
      <c r="P246" s="49"/>
      <c r="Q246" s="27"/>
      <c r="R246" s="58"/>
      <c r="S246" s="98"/>
      <c r="T246" s="27"/>
      <c r="U246" s="58"/>
      <c r="V246" s="12"/>
      <c r="W246" s="27"/>
      <c r="X246" s="58"/>
      <c r="Y246" s="12"/>
      <c r="Z246" s="27"/>
      <c r="AA246" s="58"/>
      <c r="AB246" s="12"/>
      <c r="AC246" s="27"/>
      <c r="AD246" s="58"/>
      <c r="AE246" s="12"/>
      <c r="AF246" s="27"/>
      <c r="AG246" s="58"/>
      <c r="AH246" s="12"/>
      <c r="AI246" s="27"/>
      <c r="AJ246" s="58"/>
      <c r="AK246" s="12"/>
      <c r="AL246" s="27"/>
      <c r="AM246" s="58"/>
      <c r="AN246" s="12"/>
      <c r="AO246" s="27"/>
      <c r="AP246" s="58"/>
      <c r="AQ246" s="12"/>
      <c r="AR246" s="27"/>
      <c r="AS246" s="58"/>
      <c r="AT246" s="12"/>
      <c r="AU246" s="54"/>
      <c r="AV246" s="63"/>
      <c r="AW246" s="55"/>
      <c r="AX246" s="54"/>
      <c r="AY246" s="63"/>
      <c r="AZ246" s="55"/>
      <c r="BA246" s="10"/>
      <c r="BB246" s="15"/>
      <c r="BC246" s="11"/>
      <c r="BD246" s="10"/>
      <c r="BE246" s="15"/>
      <c r="BF246" s="11"/>
      <c r="BG246" s="10"/>
      <c r="BH246" s="15"/>
      <c r="BI246" s="11"/>
      <c r="BJ246" s="10"/>
      <c r="BK246" s="15"/>
      <c r="BL246" s="11"/>
      <c r="BM246" s="46"/>
      <c r="BN246" s="43"/>
      <c r="BO246" s="47"/>
      <c r="BP246" s="46"/>
      <c r="BQ246" s="43"/>
      <c r="BR246" s="47"/>
      <c r="BS246" s="46"/>
      <c r="BT246" s="43"/>
      <c r="BU246" s="114"/>
      <c r="BV246" s="119"/>
      <c r="BW246" s="120"/>
      <c r="BX246" s="114"/>
      <c r="BY246" s="119"/>
      <c r="BZ246" s="120"/>
      <c r="CA246" s="114"/>
      <c r="CB246" s="119"/>
      <c r="CC246" s="120"/>
      <c r="CD246" s="114"/>
      <c r="CE246" s="119"/>
      <c r="CF246" s="120"/>
      <c r="CG246" s="114"/>
      <c r="CH246" s="119"/>
      <c r="CI246" s="120"/>
      <c r="CJ246" s="114"/>
      <c r="CK246" s="54"/>
      <c r="CL246" s="63"/>
      <c r="CM246" s="55"/>
      <c r="CN246" s="54"/>
      <c r="CO246" s="63"/>
      <c r="CP246" s="172"/>
      <c r="CQ246" s="158">
        <v>0</v>
      </c>
      <c r="CR246" s="159">
        <v>0</v>
      </c>
      <c r="CS246" s="179">
        <v>0</v>
      </c>
      <c r="CT246" s="27">
        <v>0</v>
      </c>
      <c r="CU246" s="58">
        <v>0</v>
      </c>
      <c r="CV246" s="12">
        <v>0</v>
      </c>
      <c r="CW246" s="27"/>
      <c r="CX246" s="58"/>
      <c r="CY246" s="98"/>
      <c r="CZ246" s="27"/>
      <c r="DA246" s="58"/>
      <c r="DB246" s="12"/>
      <c r="DC246" s="27"/>
      <c r="DD246" s="58"/>
      <c r="DE246" s="12"/>
      <c r="DF246" s="27"/>
      <c r="DG246" s="58"/>
      <c r="DH246" s="12"/>
      <c r="DI246" s="27"/>
      <c r="DJ246" s="58"/>
      <c r="DK246" s="12"/>
      <c r="DL246" s="27"/>
      <c r="DM246" s="58"/>
      <c r="DN246" s="12"/>
      <c r="DO246" s="27"/>
      <c r="DP246" s="58"/>
      <c r="DQ246" s="12"/>
      <c r="DR246" s="27"/>
      <c r="DS246" s="58"/>
      <c r="DT246" s="12"/>
      <c r="DU246" s="27"/>
      <c r="DV246" s="58"/>
      <c r="DW246" s="12"/>
      <c r="DX246" s="27"/>
      <c r="DY246" s="58"/>
      <c r="DZ246" s="12"/>
    </row>
    <row r="247" spans="1:130" s="25" customFormat="1" ht="31.5" customHeight="1" x14ac:dyDescent="0.6">
      <c r="A247" s="5">
        <v>244</v>
      </c>
      <c r="B247" s="18" t="s">
        <v>596</v>
      </c>
      <c r="C247" s="18" t="s">
        <v>596</v>
      </c>
      <c r="D247" s="18" t="s">
        <v>267</v>
      </c>
      <c r="E247" s="23" t="s">
        <v>46</v>
      </c>
      <c r="F247" s="7" t="s">
        <v>597</v>
      </c>
      <c r="G247" s="123"/>
      <c r="H247" s="123"/>
      <c r="I247" s="123" t="s">
        <v>1101</v>
      </c>
      <c r="J247" s="49" t="s">
        <v>598</v>
      </c>
      <c r="K247" s="27"/>
      <c r="L247" s="58"/>
      <c r="M247" s="78"/>
      <c r="N247" s="27"/>
      <c r="O247" s="58"/>
      <c r="P247" s="49"/>
      <c r="Q247" s="27"/>
      <c r="R247" s="58"/>
      <c r="S247" s="98"/>
      <c r="T247" s="27"/>
      <c r="U247" s="58"/>
      <c r="V247" s="12"/>
      <c r="W247" s="27"/>
      <c r="X247" s="58"/>
      <c r="Y247" s="12"/>
      <c r="Z247" s="27"/>
      <c r="AA247" s="58"/>
      <c r="AB247" s="12"/>
      <c r="AC247" s="27">
        <v>0</v>
      </c>
      <c r="AD247" s="58">
        <v>0</v>
      </c>
      <c r="AE247" s="12"/>
      <c r="AF247" s="27">
        <v>0</v>
      </c>
      <c r="AG247" s="58">
        <v>0</v>
      </c>
      <c r="AH247" s="12"/>
      <c r="AI247" s="27">
        <v>25</v>
      </c>
      <c r="AJ247" s="58">
        <v>300</v>
      </c>
      <c r="AK247" s="12"/>
      <c r="AL247" s="27">
        <v>15</v>
      </c>
      <c r="AM247" s="58">
        <v>180</v>
      </c>
      <c r="AN247" s="12"/>
      <c r="AO247" s="27">
        <v>0</v>
      </c>
      <c r="AP247" s="58">
        <v>0</v>
      </c>
      <c r="AQ247" s="12"/>
      <c r="AR247" s="27">
        <v>30</v>
      </c>
      <c r="AS247" s="58">
        <v>360</v>
      </c>
      <c r="AT247" s="12"/>
      <c r="AU247" s="54"/>
      <c r="AV247" s="63"/>
      <c r="AW247" s="55"/>
      <c r="AX247" s="54"/>
      <c r="AY247" s="63"/>
      <c r="AZ247" s="55"/>
      <c r="BA247" s="10">
        <v>17</v>
      </c>
      <c r="BB247" s="15">
        <v>220</v>
      </c>
      <c r="BC247" s="11">
        <v>210</v>
      </c>
      <c r="BD247" s="10">
        <v>15</v>
      </c>
      <c r="BE247" s="15">
        <v>180</v>
      </c>
      <c r="BF247" s="11">
        <v>180</v>
      </c>
      <c r="BG247" s="10">
        <v>32</v>
      </c>
      <c r="BH247" s="15">
        <v>387</v>
      </c>
      <c r="BI247" s="11">
        <v>370</v>
      </c>
      <c r="BJ247" s="10">
        <v>32</v>
      </c>
      <c r="BK247" s="15">
        <v>440</v>
      </c>
      <c r="BL247" s="11">
        <v>388</v>
      </c>
      <c r="BM247" s="46">
        <v>16</v>
      </c>
      <c r="BN247" s="43">
        <v>204</v>
      </c>
      <c r="BO247" s="47">
        <v>197.1</v>
      </c>
      <c r="BP247" s="46">
        <v>45</v>
      </c>
      <c r="BQ247" s="43">
        <v>540</v>
      </c>
      <c r="BR247" s="47">
        <v>540</v>
      </c>
      <c r="BS247" s="46">
        <v>45</v>
      </c>
      <c r="BT247" s="43">
        <v>540</v>
      </c>
      <c r="BU247" s="114">
        <v>540</v>
      </c>
      <c r="BV247" s="119">
        <v>17.3</v>
      </c>
      <c r="BW247" s="120">
        <v>231</v>
      </c>
      <c r="BX247" s="114">
        <v>201.23999999999998</v>
      </c>
      <c r="BY247" s="119">
        <v>22</v>
      </c>
      <c r="BZ247" s="120">
        <v>264</v>
      </c>
      <c r="CA247" s="114">
        <v>244.8</v>
      </c>
      <c r="CB247" s="119">
        <v>15</v>
      </c>
      <c r="CC247" s="120">
        <v>180</v>
      </c>
      <c r="CD247" s="114">
        <v>180</v>
      </c>
      <c r="CE247" s="119">
        <v>15</v>
      </c>
      <c r="CF247" s="120">
        <v>180</v>
      </c>
      <c r="CG247" s="114">
        <v>180</v>
      </c>
      <c r="CH247" s="119">
        <v>0</v>
      </c>
      <c r="CI247" s="120">
        <v>0</v>
      </c>
      <c r="CJ247" s="114">
        <v>0</v>
      </c>
      <c r="CK247" s="54">
        <f t="shared" si="42"/>
        <v>271.3</v>
      </c>
      <c r="CL247" s="63">
        <f t="shared" si="43"/>
        <v>3366</v>
      </c>
      <c r="CM247" s="55">
        <f t="shared" si="44"/>
        <v>3231.14</v>
      </c>
      <c r="CN247" s="54">
        <f t="shared" si="45"/>
        <v>22.608333333333334</v>
      </c>
      <c r="CO247" s="63">
        <f t="shared" si="46"/>
        <v>280.5</v>
      </c>
      <c r="CP247" s="172">
        <f t="shared" si="47"/>
        <v>269.26166666666666</v>
      </c>
      <c r="CQ247" s="158">
        <v>0</v>
      </c>
      <c r="CR247" s="159">
        <v>0</v>
      </c>
      <c r="CS247" s="179">
        <v>0</v>
      </c>
      <c r="CT247" s="27">
        <v>5.1660000000000004</v>
      </c>
      <c r="CU247" s="58">
        <v>74</v>
      </c>
      <c r="CV247" s="12">
        <v>53.96</v>
      </c>
      <c r="CW247" s="27"/>
      <c r="CX247" s="58"/>
      <c r="CY247" s="98"/>
      <c r="CZ247" s="27"/>
      <c r="DA247" s="58"/>
      <c r="DB247" s="12"/>
      <c r="DC247" s="27"/>
      <c r="DD247" s="58"/>
      <c r="DE247" s="12"/>
      <c r="DF247" s="27"/>
      <c r="DG247" s="58"/>
      <c r="DH247" s="12"/>
      <c r="DI247" s="27"/>
      <c r="DJ247" s="58"/>
      <c r="DK247" s="12"/>
      <c r="DL247" s="27"/>
      <c r="DM247" s="58"/>
      <c r="DN247" s="12"/>
      <c r="DO247" s="27"/>
      <c r="DP247" s="58"/>
      <c r="DQ247" s="12"/>
      <c r="DR247" s="27"/>
      <c r="DS247" s="58"/>
      <c r="DT247" s="12"/>
      <c r="DU247" s="27"/>
      <c r="DV247" s="58"/>
      <c r="DW247" s="12"/>
      <c r="DX247" s="27"/>
      <c r="DY247" s="58"/>
      <c r="DZ247" s="12"/>
    </row>
    <row r="248" spans="1:130" s="25" customFormat="1" ht="31.5" customHeight="1" x14ac:dyDescent="0.6">
      <c r="A248" s="5">
        <v>245</v>
      </c>
      <c r="B248" s="18" t="s">
        <v>496</v>
      </c>
      <c r="C248" s="18" t="s">
        <v>496</v>
      </c>
      <c r="D248" s="18" t="s">
        <v>267</v>
      </c>
      <c r="E248" s="23" t="s">
        <v>46</v>
      </c>
      <c r="F248" s="7" t="s">
        <v>597</v>
      </c>
      <c r="G248" s="123"/>
      <c r="H248" s="123"/>
      <c r="I248" s="123" t="s">
        <v>1102</v>
      </c>
      <c r="J248" s="49" t="s">
        <v>598</v>
      </c>
      <c r="K248" s="27"/>
      <c r="L248" s="58"/>
      <c r="M248" s="78"/>
      <c r="N248" s="27"/>
      <c r="O248" s="58"/>
      <c r="P248" s="49"/>
      <c r="Q248" s="27"/>
      <c r="R248" s="58"/>
      <c r="S248" s="98"/>
      <c r="T248" s="27"/>
      <c r="U248" s="58"/>
      <c r="V248" s="12"/>
      <c r="W248" s="27"/>
      <c r="X248" s="58"/>
      <c r="Y248" s="12"/>
      <c r="Z248" s="27"/>
      <c r="AA248" s="58"/>
      <c r="AB248" s="12"/>
      <c r="AC248" s="27">
        <v>16</v>
      </c>
      <c r="AD248" s="58">
        <v>192</v>
      </c>
      <c r="AE248" s="12"/>
      <c r="AF248" s="27">
        <v>23</v>
      </c>
      <c r="AG248" s="58">
        <v>316</v>
      </c>
      <c r="AH248" s="12"/>
      <c r="AI248" s="27">
        <v>14</v>
      </c>
      <c r="AJ248" s="58">
        <v>170</v>
      </c>
      <c r="AK248" s="12"/>
      <c r="AL248" s="27">
        <v>7</v>
      </c>
      <c r="AM248" s="58">
        <v>112</v>
      </c>
      <c r="AN248" s="12"/>
      <c r="AO248" s="27">
        <v>2</v>
      </c>
      <c r="AP248" s="58">
        <v>80</v>
      </c>
      <c r="AQ248" s="12"/>
      <c r="AR248" s="27">
        <v>4</v>
      </c>
      <c r="AS248" s="58">
        <v>88</v>
      </c>
      <c r="AT248" s="12"/>
      <c r="AU248" s="54"/>
      <c r="AV248" s="63"/>
      <c r="AW248" s="55"/>
      <c r="AX248" s="54"/>
      <c r="AY248" s="63"/>
      <c r="AZ248" s="55"/>
      <c r="BA248" s="10">
        <v>0</v>
      </c>
      <c r="BB248" s="15">
        <v>24</v>
      </c>
      <c r="BC248" s="11">
        <v>8</v>
      </c>
      <c r="BD248" s="10">
        <v>5</v>
      </c>
      <c r="BE248" s="15">
        <v>60</v>
      </c>
      <c r="BF248" s="11">
        <v>60</v>
      </c>
      <c r="BG248" s="10">
        <v>2</v>
      </c>
      <c r="BH248" s="15">
        <v>36</v>
      </c>
      <c r="BI248" s="11">
        <v>12</v>
      </c>
      <c r="BJ248" s="10">
        <v>0</v>
      </c>
      <c r="BK248" s="15">
        <v>0</v>
      </c>
      <c r="BL248" s="11">
        <v>0</v>
      </c>
      <c r="BM248" s="46">
        <v>14</v>
      </c>
      <c r="BN248" s="43">
        <v>188</v>
      </c>
      <c r="BO248" s="47">
        <v>141.60000000000002</v>
      </c>
      <c r="BP248" s="46">
        <v>11</v>
      </c>
      <c r="BQ248" s="43">
        <v>188</v>
      </c>
      <c r="BR248" s="47">
        <v>136</v>
      </c>
      <c r="BS248" s="46">
        <v>5</v>
      </c>
      <c r="BT248" s="43">
        <v>66</v>
      </c>
      <c r="BU248" s="114">
        <v>62</v>
      </c>
      <c r="BV248" s="119">
        <v>1</v>
      </c>
      <c r="BW248" s="120">
        <v>24</v>
      </c>
      <c r="BX248" s="114">
        <v>8</v>
      </c>
      <c r="BY248" s="119">
        <v>1.75</v>
      </c>
      <c r="BZ248" s="120">
        <v>21</v>
      </c>
      <c r="CA248" s="114">
        <v>19.079999999999998</v>
      </c>
      <c r="CB248" s="119">
        <v>0</v>
      </c>
      <c r="CC248" s="120">
        <v>0</v>
      </c>
      <c r="CD248" s="114">
        <v>0</v>
      </c>
      <c r="CE248" s="119">
        <v>2</v>
      </c>
      <c r="CF248" s="120">
        <v>28</v>
      </c>
      <c r="CG248" s="114">
        <v>17.920000000000002</v>
      </c>
      <c r="CH248" s="119">
        <v>0</v>
      </c>
      <c r="CI248" s="120">
        <v>0</v>
      </c>
      <c r="CJ248" s="114">
        <v>0</v>
      </c>
      <c r="CK248" s="54">
        <f t="shared" si="42"/>
        <v>41.75</v>
      </c>
      <c r="CL248" s="63">
        <f t="shared" si="43"/>
        <v>635</v>
      </c>
      <c r="CM248" s="55">
        <f t="shared" si="44"/>
        <v>464.6</v>
      </c>
      <c r="CN248" s="54">
        <f t="shared" si="45"/>
        <v>3.4791666666666665</v>
      </c>
      <c r="CO248" s="63">
        <f t="shared" si="46"/>
        <v>52.916666666666664</v>
      </c>
      <c r="CP248" s="172">
        <f t="shared" si="47"/>
        <v>38.716666666666669</v>
      </c>
      <c r="CQ248" s="158">
        <v>0</v>
      </c>
      <c r="CR248" s="159">
        <v>0</v>
      </c>
      <c r="CS248" s="179">
        <v>0</v>
      </c>
      <c r="CT248" s="27">
        <v>2.4169999999999998</v>
      </c>
      <c r="CU248" s="58">
        <v>41</v>
      </c>
      <c r="CV248" s="12">
        <v>23.9</v>
      </c>
      <c r="CW248" s="27"/>
      <c r="CX248" s="58"/>
      <c r="CY248" s="98"/>
      <c r="CZ248" s="27"/>
      <c r="DA248" s="58"/>
      <c r="DB248" s="12"/>
      <c r="DC248" s="27"/>
      <c r="DD248" s="58"/>
      <c r="DE248" s="12"/>
      <c r="DF248" s="27"/>
      <c r="DG248" s="58"/>
      <c r="DH248" s="12"/>
      <c r="DI248" s="27"/>
      <c r="DJ248" s="58"/>
      <c r="DK248" s="12"/>
      <c r="DL248" s="27"/>
      <c r="DM248" s="58"/>
      <c r="DN248" s="12"/>
      <c r="DO248" s="27"/>
      <c r="DP248" s="58"/>
      <c r="DQ248" s="12"/>
      <c r="DR248" s="27"/>
      <c r="DS248" s="58"/>
      <c r="DT248" s="12"/>
      <c r="DU248" s="27"/>
      <c r="DV248" s="58"/>
      <c r="DW248" s="12"/>
      <c r="DX248" s="27"/>
      <c r="DY248" s="58"/>
      <c r="DZ248" s="12"/>
    </row>
    <row r="249" spans="1:130" s="25" customFormat="1" ht="31.5" customHeight="1" x14ac:dyDescent="0.6">
      <c r="A249" s="5">
        <v>246</v>
      </c>
      <c r="B249" s="18" t="s">
        <v>599</v>
      </c>
      <c r="C249" s="18" t="s">
        <v>600</v>
      </c>
      <c r="D249" s="18" t="s">
        <v>267</v>
      </c>
      <c r="E249" s="23" t="s">
        <v>46</v>
      </c>
      <c r="F249" s="7" t="s">
        <v>597</v>
      </c>
      <c r="G249" s="123"/>
      <c r="H249" s="123"/>
      <c r="I249" s="123" t="s">
        <v>1103</v>
      </c>
      <c r="J249" s="49" t="s">
        <v>598</v>
      </c>
      <c r="K249" s="27"/>
      <c r="L249" s="58"/>
      <c r="M249" s="78"/>
      <c r="N249" s="27"/>
      <c r="O249" s="58"/>
      <c r="P249" s="49"/>
      <c r="Q249" s="27"/>
      <c r="R249" s="58"/>
      <c r="S249" s="98"/>
      <c r="T249" s="27"/>
      <c r="U249" s="58"/>
      <c r="V249" s="12"/>
      <c r="W249" s="27"/>
      <c r="X249" s="58"/>
      <c r="Y249" s="12"/>
      <c r="Z249" s="27"/>
      <c r="AA249" s="58"/>
      <c r="AB249" s="12"/>
      <c r="AC249" s="27">
        <v>30</v>
      </c>
      <c r="AD249" s="58">
        <v>360</v>
      </c>
      <c r="AE249" s="12"/>
      <c r="AF249" s="27">
        <v>0</v>
      </c>
      <c r="AG249" s="58">
        <v>0</v>
      </c>
      <c r="AH249" s="12"/>
      <c r="AI249" s="27">
        <v>64</v>
      </c>
      <c r="AJ249" s="58">
        <v>780</v>
      </c>
      <c r="AK249" s="12"/>
      <c r="AL249" s="27">
        <v>62</v>
      </c>
      <c r="AM249" s="58">
        <v>756</v>
      </c>
      <c r="AN249" s="12"/>
      <c r="AO249" s="27">
        <v>15</v>
      </c>
      <c r="AP249" s="58">
        <v>180</v>
      </c>
      <c r="AQ249" s="12"/>
      <c r="AR249" s="27">
        <v>30</v>
      </c>
      <c r="AS249" s="58">
        <v>360</v>
      </c>
      <c r="AT249" s="12"/>
      <c r="AU249" s="54"/>
      <c r="AV249" s="63"/>
      <c r="AW249" s="55"/>
      <c r="AX249" s="54"/>
      <c r="AY249" s="63"/>
      <c r="AZ249" s="55"/>
      <c r="BA249" s="10">
        <v>30</v>
      </c>
      <c r="BB249" s="15">
        <v>360</v>
      </c>
      <c r="BC249" s="11">
        <v>360</v>
      </c>
      <c r="BD249" s="10">
        <v>50</v>
      </c>
      <c r="BE249" s="15">
        <v>600</v>
      </c>
      <c r="BF249" s="11">
        <v>600</v>
      </c>
      <c r="BG249" s="10">
        <v>86</v>
      </c>
      <c r="BH249" s="15">
        <v>1091</v>
      </c>
      <c r="BI249" s="11">
        <v>1024.5</v>
      </c>
      <c r="BJ249" s="10">
        <v>60</v>
      </c>
      <c r="BK249" s="15">
        <v>720</v>
      </c>
      <c r="BL249" s="11">
        <v>720</v>
      </c>
      <c r="BM249" s="46">
        <v>75</v>
      </c>
      <c r="BN249" s="43">
        <v>900</v>
      </c>
      <c r="BO249" s="47">
        <v>900</v>
      </c>
      <c r="BP249" s="46">
        <v>45</v>
      </c>
      <c r="BQ249" s="43">
        <v>540</v>
      </c>
      <c r="BR249" s="47">
        <v>540</v>
      </c>
      <c r="BS249" s="46">
        <v>45</v>
      </c>
      <c r="BT249" s="43">
        <v>540</v>
      </c>
      <c r="BU249" s="114">
        <v>540</v>
      </c>
      <c r="BV249" s="119">
        <v>60.3</v>
      </c>
      <c r="BW249" s="120">
        <v>723</v>
      </c>
      <c r="BX249" s="114">
        <v>722.04</v>
      </c>
      <c r="BY249" s="119">
        <v>62</v>
      </c>
      <c r="BZ249" s="120">
        <v>744</v>
      </c>
      <c r="CA249" s="114">
        <v>740.16000000000008</v>
      </c>
      <c r="CB249" s="119">
        <v>45</v>
      </c>
      <c r="CC249" s="120">
        <v>540</v>
      </c>
      <c r="CD249" s="114">
        <v>540</v>
      </c>
      <c r="CE249" s="119">
        <v>75</v>
      </c>
      <c r="CF249" s="120">
        <v>900</v>
      </c>
      <c r="CG249" s="114">
        <v>900</v>
      </c>
      <c r="CH249" s="119">
        <v>45</v>
      </c>
      <c r="CI249" s="120">
        <v>540</v>
      </c>
      <c r="CJ249" s="114">
        <v>540</v>
      </c>
      <c r="CK249" s="54">
        <f t="shared" si="42"/>
        <v>678.3</v>
      </c>
      <c r="CL249" s="63">
        <f t="shared" si="43"/>
        <v>8198</v>
      </c>
      <c r="CM249" s="55">
        <f t="shared" si="44"/>
        <v>8126.7</v>
      </c>
      <c r="CN249" s="54">
        <f t="shared" si="45"/>
        <v>56.524999999999999</v>
      </c>
      <c r="CO249" s="63">
        <f t="shared" si="46"/>
        <v>683.16666666666663</v>
      </c>
      <c r="CP249" s="172">
        <f t="shared" si="47"/>
        <v>677.22500000000002</v>
      </c>
      <c r="CQ249" s="158">
        <v>75</v>
      </c>
      <c r="CR249" s="159">
        <v>900</v>
      </c>
      <c r="CS249" s="179">
        <v>900</v>
      </c>
      <c r="CT249" s="27">
        <v>30</v>
      </c>
      <c r="CU249" s="58">
        <v>360</v>
      </c>
      <c r="CV249" s="12">
        <v>360</v>
      </c>
      <c r="CW249" s="27"/>
      <c r="CX249" s="58"/>
      <c r="CY249" s="98"/>
      <c r="CZ249" s="27"/>
      <c r="DA249" s="58"/>
      <c r="DB249" s="12"/>
      <c r="DC249" s="27"/>
      <c r="DD249" s="58"/>
      <c r="DE249" s="12"/>
      <c r="DF249" s="27"/>
      <c r="DG249" s="58"/>
      <c r="DH249" s="12"/>
      <c r="DI249" s="27"/>
      <c r="DJ249" s="58"/>
      <c r="DK249" s="12"/>
      <c r="DL249" s="27"/>
      <c r="DM249" s="58"/>
      <c r="DN249" s="12"/>
      <c r="DO249" s="27"/>
      <c r="DP249" s="58"/>
      <c r="DQ249" s="12"/>
      <c r="DR249" s="27"/>
      <c r="DS249" s="58"/>
      <c r="DT249" s="12"/>
      <c r="DU249" s="27"/>
      <c r="DV249" s="58"/>
      <c r="DW249" s="12"/>
      <c r="DX249" s="27"/>
      <c r="DY249" s="58"/>
      <c r="DZ249" s="12"/>
    </row>
    <row r="250" spans="1:130" s="25" customFormat="1" ht="31.5" customHeight="1" x14ac:dyDescent="0.6">
      <c r="A250" s="5">
        <v>247</v>
      </c>
      <c r="B250" s="18" t="s">
        <v>601</v>
      </c>
      <c r="C250" s="18" t="s">
        <v>602</v>
      </c>
      <c r="D250" s="18" t="s">
        <v>267</v>
      </c>
      <c r="E250" s="23" t="s">
        <v>46</v>
      </c>
      <c r="F250" s="7" t="s">
        <v>597</v>
      </c>
      <c r="G250" s="123"/>
      <c r="H250" s="123"/>
      <c r="I250" s="123" t="s">
        <v>1104</v>
      </c>
      <c r="J250" s="49" t="s">
        <v>598</v>
      </c>
      <c r="K250" s="27"/>
      <c r="L250" s="58"/>
      <c r="M250" s="78"/>
      <c r="N250" s="27"/>
      <c r="O250" s="58"/>
      <c r="P250" s="49"/>
      <c r="Q250" s="27"/>
      <c r="R250" s="58"/>
      <c r="S250" s="98"/>
      <c r="T250" s="27"/>
      <c r="U250" s="58"/>
      <c r="V250" s="12"/>
      <c r="W250" s="27"/>
      <c r="X250" s="58"/>
      <c r="Y250" s="12"/>
      <c r="Z250" s="27"/>
      <c r="AA250" s="58"/>
      <c r="AB250" s="12"/>
      <c r="AC250" s="27">
        <v>49</v>
      </c>
      <c r="AD250" s="58">
        <v>638</v>
      </c>
      <c r="AE250" s="12"/>
      <c r="AF250" s="27">
        <v>36</v>
      </c>
      <c r="AG250" s="58">
        <v>514</v>
      </c>
      <c r="AH250" s="12"/>
      <c r="AI250" s="27">
        <v>108</v>
      </c>
      <c r="AJ250" s="58">
        <v>1420</v>
      </c>
      <c r="AK250" s="12"/>
      <c r="AL250" s="27">
        <v>67</v>
      </c>
      <c r="AM250" s="58">
        <v>962</v>
      </c>
      <c r="AN250" s="12"/>
      <c r="AO250" s="27">
        <v>70</v>
      </c>
      <c r="AP250" s="58">
        <v>900</v>
      </c>
      <c r="AQ250" s="12"/>
      <c r="AR250" s="27">
        <v>103</v>
      </c>
      <c r="AS250" s="58">
        <v>1448</v>
      </c>
      <c r="AT250" s="12"/>
      <c r="AU250" s="54"/>
      <c r="AV250" s="63"/>
      <c r="AW250" s="55"/>
      <c r="AX250" s="54"/>
      <c r="AY250" s="63"/>
      <c r="AZ250" s="55"/>
      <c r="BA250" s="10">
        <v>33</v>
      </c>
      <c r="BB250" s="15">
        <v>0</v>
      </c>
      <c r="BC250" s="11">
        <v>0</v>
      </c>
      <c r="BD250" s="10">
        <v>0</v>
      </c>
      <c r="BE250" s="15">
        <v>0</v>
      </c>
      <c r="BF250" s="11">
        <v>0</v>
      </c>
      <c r="BG250" s="10">
        <v>0</v>
      </c>
      <c r="BH250" s="15">
        <v>12</v>
      </c>
      <c r="BI250" s="11">
        <v>6</v>
      </c>
      <c r="BJ250" s="10">
        <v>0</v>
      </c>
      <c r="BK250" s="15">
        <v>0</v>
      </c>
      <c r="BL250" s="11">
        <v>0</v>
      </c>
      <c r="BM250" s="46">
        <v>13</v>
      </c>
      <c r="BN250" s="43">
        <v>328</v>
      </c>
      <c r="BO250" s="47">
        <v>173.8</v>
      </c>
      <c r="BP250" s="46">
        <v>0</v>
      </c>
      <c r="BQ250" s="43">
        <v>0</v>
      </c>
      <c r="BR250" s="47">
        <v>0</v>
      </c>
      <c r="BS250" s="46">
        <v>7</v>
      </c>
      <c r="BT250" s="43">
        <v>133</v>
      </c>
      <c r="BU250" s="114">
        <v>114.7</v>
      </c>
      <c r="BV250" s="119">
        <v>1</v>
      </c>
      <c r="BW250" s="120">
        <v>24</v>
      </c>
      <c r="BX250" s="114">
        <v>8</v>
      </c>
      <c r="BY250" s="119">
        <v>16</v>
      </c>
      <c r="BZ250" s="120">
        <v>192</v>
      </c>
      <c r="CA250" s="114">
        <v>192</v>
      </c>
      <c r="CB250" s="119">
        <v>0</v>
      </c>
      <c r="CC250" s="120">
        <v>0</v>
      </c>
      <c r="CD250" s="114">
        <v>0</v>
      </c>
      <c r="CE250" s="119">
        <v>8</v>
      </c>
      <c r="CF250" s="120">
        <v>130</v>
      </c>
      <c r="CG250" s="114">
        <v>104.8</v>
      </c>
      <c r="CH250" s="119">
        <v>17</v>
      </c>
      <c r="CI250" s="120">
        <v>308</v>
      </c>
      <c r="CJ250" s="114">
        <v>231.04</v>
      </c>
      <c r="CK250" s="54">
        <f t="shared" si="42"/>
        <v>95</v>
      </c>
      <c r="CL250" s="63">
        <f t="shared" si="43"/>
        <v>1127</v>
      </c>
      <c r="CM250" s="55">
        <f t="shared" si="44"/>
        <v>830.33999999999992</v>
      </c>
      <c r="CN250" s="54">
        <f t="shared" si="45"/>
        <v>7.916666666666667</v>
      </c>
      <c r="CO250" s="63">
        <f t="shared" si="46"/>
        <v>93.916666666666671</v>
      </c>
      <c r="CP250" s="172">
        <f t="shared" si="47"/>
        <v>69.194999999999993</v>
      </c>
      <c r="CQ250" s="158">
        <v>16</v>
      </c>
      <c r="CR250" s="159">
        <v>296</v>
      </c>
      <c r="CS250" s="179">
        <v>214.24</v>
      </c>
      <c r="CT250" s="27">
        <v>1</v>
      </c>
      <c r="CU250" s="58">
        <v>12</v>
      </c>
      <c r="CV250" s="12">
        <v>12</v>
      </c>
      <c r="CW250" s="27"/>
      <c r="CX250" s="58"/>
      <c r="CY250" s="98"/>
      <c r="CZ250" s="27"/>
      <c r="DA250" s="58"/>
      <c r="DB250" s="12"/>
      <c r="DC250" s="27"/>
      <c r="DD250" s="58"/>
      <c r="DE250" s="12"/>
      <c r="DF250" s="27"/>
      <c r="DG250" s="58"/>
      <c r="DH250" s="12"/>
      <c r="DI250" s="27"/>
      <c r="DJ250" s="58"/>
      <c r="DK250" s="12"/>
      <c r="DL250" s="27"/>
      <c r="DM250" s="58"/>
      <c r="DN250" s="12"/>
      <c r="DO250" s="27"/>
      <c r="DP250" s="58"/>
      <c r="DQ250" s="12"/>
      <c r="DR250" s="27"/>
      <c r="DS250" s="58"/>
      <c r="DT250" s="12"/>
      <c r="DU250" s="27"/>
      <c r="DV250" s="58"/>
      <c r="DW250" s="12"/>
      <c r="DX250" s="27"/>
      <c r="DY250" s="58"/>
      <c r="DZ250" s="12"/>
    </row>
    <row r="251" spans="1:130" s="25" customFormat="1" ht="31.5" customHeight="1" x14ac:dyDescent="0.6">
      <c r="A251" s="5">
        <v>248</v>
      </c>
      <c r="B251" s="18" t="s">
        <v>603</v>
      </c>
      <c r="C251" s="18" t="s">
        <v>604</v>
      </c>
      <c r="D251" s="18" t="s">
        <v>267</v>
      </c>
      <c r="E251" s="23" t="s">
        <v>46</v>
      </c>
      <c r="F251" s="7" t="s">
        <v>597</v>
      </c>
      <c r="G251" s="123"/>
      <c r="H251" s="123"/>
      <c r="I251" s="123" t="s">
        <v>1105</v>
      </c>
      <c r="J251" s="49" t="s">
        <v>598</v>
      </c>
      <c r="K251" s="27"/>
      <c r="L251" s="58"/>
      <c r="M251" s="78"/>
      <c r="N251" s="27"/>
      <c r="O251" s="58"/>
      <c r="P251" s="49"/>
      <c r="Q251" s="27"/>
      <c r="R251" s="58"/>
      <c r="S251" s="98"/>
      <c r="T251" s="27"/>
      <c r="U251" s="58"/>
      <c r="V251" s="12"/>
      <c r="W251" s="27"/>
      <c r="X251" s="58"/>
      <c r="Y251" s="12"/>
      <c r="Z251" s="27"/>
      <c r="AA251" s="58"/>
      <c r="AB251" s="12"/>
      <c r="AC251" s="27">
        <v>29</v>
      </c>
      <c r="AD251" s="58">
        <v>540</v>
      </c>
      <c r="AE251" s="12"/>
      <c r="AF251" s="27">
        <v>0</v>
      </c>
      <c r="AG251" s="58">
        <v>0</v>
      </c>
      <c r="AH251" s="12"/>
      <c r="AI251" s="27">
        <v>6</v>
      </c>
      <c r="AJ251" s="58">
        <v>162</v>
      </c>
      <c r="AK251" s="12"/>
      <c r="AL251" s="27">
        <v>16</v>
      </c>
      <c r="AM251" s="58">
        <v>276</v>
      </c>
      <c r="AN251" s="12"/>
      <c r="AO251" s="27">
        <v>6</v>
      </c>
      <c r="AP251" s="58">
        <v>240</v>
      </c>
      <c r="AQ251" s="12"/>
      <c r="AR251" s="27">
        <v>7</v>
      </c>
      <c r="AS251" s="58">
        <v>84</v>
      </c>
      <c r="AT251" s="12"/>
      <c r="AU251" s="54"/>
      <c r="AV251" s="63"/>
      <c r="AW251" s="55"/>
      <c r="AX251" s="54"/>
      <c r="AY251" s="63"/>
      <c r="AZ251" s="55"/>
      <c r="BA251" s="10">
        <v>27</v>
      </c>
      <c r="BB251" s="15">
        <v>504</v>
      </c>
      <c r="BC251" s="11">
        <v>309</v>
      </c>
      <c r="BD251" s="10">
        <v>40</v>
      </c>
      <c r="BE251" s="15">
        <v>582</v>
      </c>
      <c r="BF251" s="11">
        <v>454.64</v>
      </c>
      <c r="BG251" s="10">
        <v>27</v>
      </c>
      <c r="BH251" s="15">
        <v>484</v>
      </c>
      <c r="BI251" s="11">
        <v>303.58</v>
      </c>
      <c r="BJ251" s="10">
        <v>39</v>
      </c>
      <c r="BK251" s="15">
        <v>680</v>
      </c>
      <c r="BL251" s="11">
        <v>454.08000000000004</v>
      </c>
      <c r="BM251" s="46">
        <v>34</v>
      </c>
      <c r="BN251" s="43">
        <v>737</v>
      </c>
      <c r="BO251" s="47">
        <v>390</v>
      </c>
      <c r="BP251" s="46">
        <v>22</v>
      </c>
      <c r="BQ251" s="43">
        <v>424</v>
      </c>
      <c r="BR251" s="47">
        <v>258.24</v>
      </c>
      <c r="BS251" s="46">
        <v>41</v>
      </c>
      <c r="BT251" s="43">
        <v>728</v>
      </c>
      <c r="BU251" s="114">
        <v>456.64</v>
      </c>
      <c r="BV251" s="119">
        <v>26</v>
      </c>
      <c r="BW251" s="120">
        <v>600</v>
      </c>
      <c r="BX251" s="114">
        <v>298.32</v>
      </c>
      <c r="BY251" s="119">
        <v>45</v>
      </c>
      <c r="BZ251" s="120">
        <v>934</v>
      </c>
      <c r="CA251" s="114">
        <v>512</v>
      </c>
      <c r="CB251" s="119">
        <v>32</v>
      </c>
      <c r="CC251" s="120">
        <v>570</v>
      </c>
      <c r="CD251" s="114">
        <v>364.79999999999995</v>
      </c>
      <c r="CE251" s="119">
        <v>73</v>
      </c>
      <c r="CF251" s="120">
        <v>1556</v>
      </c>
      <c r="CG251" s="114">
        <v>852.88000000000011</v>
      </c>
      <c r="CH251" s="119">
        <v>43</v>
      </c>
      <c r="CI251" s="120">
        <v>824</v>
      </c>
      <c r="CJ251" s="114">
        <v>493.44000000000005</v>
      </c>
      <c r="CK251" s="54">
        <f t="shared" si="42"/>
        <v>449</v>
      </c>
      <c r="CL251" s="63">
        <f t="shared" si="43"/>
        <v>8623</v>
      </c>
      <c r="CM251" s="55">
        <f t="shared" si="44"/>
        <v>5147.6200000000008</v>
      </c>
      <c r="CN251" s="54">
        <f t="shared" si="45"/>
        <v>37.416666666666664</v>
      </c>
      <c r="CO251" s="63">
        <f t="shared" si="46"/>
        <v>718.58333333333337</v>
      </c>
      <c r="CP251" s="172">
        <f t="shared" si="47"/>
        <v>428.96833333333342</v>
      </c>
      <c r="CQ251" s="158">
        <v>36</v>
      </c>
      <c r="CR251" s="159">
        <v>840</v>
      </c>
      <c r="CS251" s="179">
        <v>430.88</v>
      </c>
      <c r="CT251" s="27">
        <v>23</v>
      </c>
      <c r="CU251" s="58">
        <v>524</v>
      </c>
      <c r="CV251" s="12">
        <v>272.08</v>
      </c>
      <c r="CW251" s="27"/>
      <c r="CX251" s="58"/>
      <c r="CY251" s="98"/>
      <c r="CZ251" s="27"/>
      <c r="DA251" s="58"/>
      <c r="DB251" s="12"/>
      <c r="DC251" s="27"/>
      <c r="DD251" s="58"/>
      <c r="DE251" s="12"/>
      <c r="DF251" s="27"/>
      <c r="DG251" s="58"/>
      <c r="DH251" s="12"/>
      <c r="DI251" s="27"/>
      <c r="DJ251" s="58"/>
      <c r="DK251" s="12"/>
      <c r="DL251" s="27"/>
      <c r="DM251" s="58"/>
      <c r="DN251" s="12"/>
      <c r="DO251" s="27"/>
      <c r="DP251" s="58"/>
      <c r="DQ251" s="12"/>
      <c r="DR251" s="27"/>
      <c r="DS251" s="58"/>
      <c r="DT251" s="12"/>
      <c r="DU251" s="27"/>
      <c r="DV251" s="58"/>
      <c r="DW251" s="12"/>
      <c r="DX251" s="27"/>
      <c r="DY251" s="58"/>
      <c r="DZ251" s="12"/>
    </row>
    <row r="252" spans="1:130" s="25" customFormat="1" ht="31.5" customHeight="1" x14ac:dyDescent="0.6">
      <c r="A252" s="5">
        <v>249</v>
      </c>
      <c r="B252" s="18" t="s">
        <v>605</v>
      </c>
      <c r="C252" s="18" t="s">
        <v>605</v>
      </c>
      <c r="D252" s="18" t="s">
        <v>75</v>
      </c>
      <c r="E252" s="23" t="s">
        <v>76</v>
      </c>
      <c r="F252" s="7" t="s">
        <v>597</v>
      </c>
      <c r="G252" s="123"/>
      <c r="H252" s="123"/>
      <c r="I252" s="123" t="s">
        <v>1106</v>
      </c>
      <c r="J252" s="49" t="s">
        <v>598</v>
      </c>
      <c r="K252" s="27"/>
      <c r="L252" s="58"/>
      <c r="M252" s="78"/>
      <c r="N252" s="27"/>
      <c r="O252" s="58"/>
      <c r="P252" s="49"/>
      <c r="Q252" s="27"/>
      <c r="R252" s="58"/>
      <c r="S252" s="98"/>
      <c r="T252" s="27"/>
      <c r="U252" s="58"/>
      <c r="V252" s="12"/>
      <c r="W252" s="27"/>
      <c r="X252" s="58"/>
      <c r="Y252" s="12"/>
      <c r="Z252" s="27"/>
      <c r="AA252" s="58"/>
      <c r="AB252" s="12"/>
      <c r="AC252" s="27">
        <v>12</v>
      </c>
      <c r="AD252" s="58">
        <v>180</v>
      </c>
      <c r="AE252" s="12"/>
      <c r="AF252" s="27">
        <v>22</v>
      </c>
      <c r="AG252" s="58">
        <v>320</v>
      </c>
      <c r="AH252" s="12"/>
      <c r="AI252" s="27">
        <v>22</v>
      </c>
      <c r="AJ252" s="58">
        <v>358</v>
      </c>
      <c r="AK252" s="12"/>
      <c r="AL252" s="27">
        <v>6</v>
      </c>
      <c r="AM252" s="58">
        <v>100</v>
      </c>
      <c r="AN252" s="12"/>
      <c r="AO252" s="27">
        <v>6</v>
      </c>
      <c r="AP252" s="58">
        <v>128</v>
      </c>
      <c r="AQ252" s="12"/>
      <c r="AR252" s="27">
        <v>12</v>
      </c>
      <c r="AS252" s="58">
        <v>178</v>
      </c>
      <c r="AT252" s="12"/>
      <c r="AU252" s="54"/>
      <c r="AV252" s="63"/>
      <c r="AW252" s="55"/>
      <c r="AX252" s="54"/>
      <c r="AY252" s="63"/>
      <c r="AZ252" s="55"/>
      <c r="BA252" s="10">
        <v>10</v>
      </c>
      <c r="BB252" s="15">
        <v>166</v>
      </c>
      <c r="BC252" s="11">
        <v>115</v>
      </c>
      <c r="BD252" s="10">
        <v>16</v>
      </c>
      <c r="BE252" s="15">
        <v>258</v>
      </c>
      <c r="BF252" s="11">
        <v>180.8</v>
      </c>
      <c r="BG252" s="10">
        <v>13</v>
      </c>
      <c r="BH252" s="15">
        <v>220</v>
      </c>
      <c r="BI252" s="11">
        <v>147.82</v>
      </c>
      <c r="BJ252" s="10">
        <v>18</v>
      </c>
      <c r="BK252" s="15">
        <v>244</v>
      </c>
      <c r="BL252" s="11">
        <v>218</v>
      </c>
      <c r="BM252" s="46">
        <v>32</v>
      </c>
      <c r="BN252" s="43">
        <v>430</v>
      </c>
      <c r="BO252" s="47">
        <v>378.8</v>
      </c>
      <c r="BP252" s="46">
        <v>28</v>
      </c>
      <c r="BQ252" s="43">
        <v>376</v>
      </c>
      <c r="BR252" s="47">
        <v>339.9</v>
      </c>
      <c r="BS252" s="46">
        <v>21</v>
      </c>
      <c r="BT252" s="43">
        <v>306</v>
      </c>
      <c r="BU252" s="114">
        <v>254.8</v>
      </c>
      <c r="BV252" s="119">
        <v>32.299999999999997</v>
      </c>
      <c r="BW252" s="120">
        <v>453</v>
      </c>
      <c r="BX252" s="114">
        <v>410.92</v>
      </c>
      <c r="BY252" s="119">
        <v>48</v>
      </c>
      <c r="BZ252" s="120">
        <v>642</v>
      </c>
      <c r="CA252" s="114">
        <v>600.88</v>
      </c>
      <c r="CB252" s="119">
        <v>38</v>
      </c>
      <c r="CC252" s="120">
        <v>564</v>
      </c>
      <c r="CD252" s="114">
        <v>454.32</v>
      </c>
      <c r="CE252" s="119">
        <v>22</v>
      </c>
      <c r="CF252" s="120">
        <v>320</v>
      </c>
      <c r="CG252" s="114">
        <v>283.91999999999996</v>
      </c>
      <c r="CH252" s="119">
        <v>28.9</v>
      </c>
      <c r="CI252" s="120">
        <v>456</v>
      </c>
      <c r="CJ252" s="114">
        <v>381.62</v>
      </c>
      <c r="CK252" s="54">
        <f t="shared" si="42"/>
        <v>307.2</v>
      </c>
      <c r="CL252" s="63">
        <f t="shared" si="43"/>
        <v>4435</v>
      </c>
      <c r="CM252" s="55">
        <f t="shared" si="44"/>
        <v>3766.78</v>
      </c>
      <c r="CN252" s="54">
        <f t="shared" si="45"/>
        <v>25.599999999999998</v>
      </c>
      <c r="CO252" s="63">
        <f t="shared" si="46"/>
        <v>369.58333333333331</v>
      </c>
      <c r="CP252" s="172">
        <f t="shared" si="47"/>
        <v>313.89833333333337</v>
      </c>
      <c r="CQ252" s="158">
        <v>27.216999999999999</v>
      </c>
      <c r="CR252" s="159">
        <v>422</v>
      </c>
      <c r="CS252" s="179">
        <v>353.46</v>
      </c>
      <c r="CT252" s="27">
        <v>17</v>
      </c>
      <c r="CU252" s="58">
        <v>276</v>
      </c>
      <c r="CV252" s="12">
        <v>224</v>
      </c>
      <c r="CW252" s="27"/>
      <c r="CX252" s="58"/>
      <c r="CY252" s="98"/>
      <c r="CZ252" s="27"/>
      <c r="DA252" s="58"/>
      <c r="DB252" s="12"/>
      <c r="DC252" s="27"/>
      <c r="DD252" s="58"/>
      <c r="DE252" s="12"/>
      <c r="DF252" s="27"/>
      <c r="DG252" s="58"/>
      <c r="DH252" s="12"/>
      <c r="DI252" s="27"/>
      <c r="DJ252" s="58"/>
      <c r="DK252" s="12"/>
      <c r="DL252" s="27"/>
      <c r="DM252" s="58"/>
      <c r="DN252" s="12"/>
      <c r="DO252" s="27"/>
      <c r="DP252" s="58"/>
      <c r="DQ252" s="12"/>
      <c r="DR252" s="27"/>
      <c r="DS252" s="58"/>
      <c r="DT252" s="12"/>
      <c r="DU252" s="27"/>
      <c r="DV252" s="58"/>
      <c r="DW252" s="12"/>
      <c r="DX252" s="27"/>
      <c r="DY252" s="58"/>
      <c r="DZ252" s="12"/>
    </row>
    <row r="253" spans="1:130" s="25" customFormat="1" ht="31.5" customHeight="1" x14ac:dyDescent="0.6">
      <c r="A253" s="5">
        <v>250</v>
      </c>
      <c r="B253" s="18" t="s">
        <v>606</v>
      </c>
      <c r="C253" s="18" t="s">
        <v>606</v>
      </c>
      <c r="D253" s="18" t="s">
        <v>75</v>
      </c>
      <c r="E253" s="23" t="s">
        <v>76</v>
      </c>
      <c r="F253" s="7" t="s">
        <v>597</v>
      </c>
      <c r="G253" s="123"/>
      <c r="H253" s="123"/>
      <c r="I253" s="123" t="s">
        <v>1107</v>
      </c>
      <c r="J253" s="49" t="s">
        <v>598</v>
      </c>
      <c r="K253" s="27"/>
      <c r="L253" s="58"/>
      <c r="M253" s="78"/>
      <c r="N253" s="27"/>
      <c r="O253" s="58"/>
      <c r="P253" s="49"/>
      <c r="Q253" s="27"/>
      <c r="R253" s="58"/>
      <c r="S253" s="98"/>
      <c r="T253" s="27"/>
      <c r="U253" s="58"/>
      <c r="V253" s="12"/>
      <c r="W253" s="27"/>
      <c r="X253" s="58"/>
      <c r="Y253" s="12"/>
      <c r="Z253" s="27"/>
      <c r="AA253" s="58"/>
      <c r="AB253" s="12"/>
      <c r="AC253" s="27">
        <v>21</v>
      </c>
      <c r="AD253" s="58">
        <v>430</v>
      </c>
      <c r="AE253" s="12"/>
      <c r="AF253" s="27">
        <v>0</v>
      </c>
      <c r="AG253" s="58">
        <v>0</v>
      </c>
      <c r="AH253" s="12"/>
      <c r="AI253" s="27">
        <v>27</v>
      </c>
      <c r="AJ253" s="58">
        <v>468</v>
      </c>
      <c r="AK253" s="12"/>
      <c r="AL253" s="27">
        <v>23</v>
      </c>
      <c r="AM253" s="58">
        <v>322</v>
      </c>
      <c r="AN253" s="12"/>
      <c r="AO253" s="27">
        <v>53</v>
      </c>
      <c r="AP253" s="58">
        <v>742</v>
      </c>
      <c r="AQ253" s="12"/>
      <c r="AR253" s="27">
        <v>105</v>
      </c>
      <c r="AS253" s="58">
        <v>1494</v>
      </c>
      <c r="AT253" s="12"/>
      <c r="AU253" s="54"/>
      <c r="AV253" s="63"/>
      <c r="AW253" s="55"/>
      <c r="AX253" s="54"/>
      <c r="AY253" s="63"/>
      <c r="AZ253" s="55"/>
      <c r="BA253" s="10">
        <v>84</v>
      </c>
      <c r="BB253" s="15">
        <v>1190</v>
      </c>
      <c r="BC253" s="11">
        <v>860</v>
      </c>
      <c r="BD253" s="10">
        <v>107</v>
      </c>
      <c r="BE253" s="15">
        <v>1540</v>
      </c>
      <c r="BF253" s="11">
        <v>1109.2</v>
      </c>
      <c r="BG253" s="10">
        <v>97</v>
      </c>
      <c r="BH253" s="15">
        <v>1410</v>
      </c>
      <c r="BI253" s="11">
        <v>1004</v>
      </c>
      <c r="BJ253" s="10">
        <v>133</v>
      </c>
      <c r="BK253" s="15">
        <v>1940</v>
      </c>
      <c r="BL253" s="11">
        <v>1331.8</v>
      </c>
      <c r="BM253" s="46">
        <v>114</v>
      </c>
      <c r="BN253" s="43">
        <v>1648</v>
      </c>
      <c r="BO253" s="47">
        <v>1160.96</v>
      </c>
      <c r="BP253" s="46">
        <v>72</v>
      </c>
      <c r="BQ253" s="43">
        <v>1045</v>
      </c>
      <c r="BR253" s="47">
        <v>741</v>
      </c>
      <c r="BS253" s="46">
        <v>84</v>
      </c>
      <c r="BT253" s="43">
        <v>1182</v>
      </c>
      <c r="BU253" s="114">
        <v>828.4</v>
      </c>
      <c r="BV253" s="119">
        <v>107.3</v>
      </c>
      <c r="BW253" s="120">
        <v>1545</v>
      </c>
      <c r="BX253" s="114">
        <v>1088.04</v>
      </c>
      <c r="BY253" s="119">
        <v>56</v>
      </c>
      <c r="BZ253" s="120">
        <v>750</v>
      </c>
      <c r="CA253" s="114">
        <v>598</v>
      </c>
      <c r="CB253" s="119">
        <v>37</v>
      </c>
      <c r="CC253" s="120">
        <v>480</v>
      </c>
      <c r="CD253" s="114">
        <v>454</v>
      </c>
      <c r="CE253" s="119">
        <v>53</v>
      </c>
      <c r="CF253" s="120">
        <v>702</v>
      </c>
      <c r="CG253" s="114">
        <v>555.83999999999992</v>
      </c>
      <c r="CH253" s="119">
        <v>46</v>
      </c>
      <c r="CI253" s="120">
        <v>600</v>
      </c>
      <c r="CJ253" s="114">
        <v>523.6</v>
      </c>
      <c r="CK253" s="54">
        <f t="shared" si="42"/>
        <v>990.3</v>
      </c>
      <c r="CL253" s="63">
        <f t="shared" si="43"/>
        <v>14032</v>
      </c>
      <c r="CM253" s="55">
        <f t="shared" si="44"/>
        <v>10254.84</v>
      </c>
      <c r="CN253" s="54">
        <f t="shared" si="45"/>
        <v>82.524999999999991</v>
      </c>
      <c r="CO253" s="63">
        <f t="shared" si="46"/>
        <v>1169.3333333333333</v>
      </c>
      <c r="CP253" s="172">
        <f t="shared" si="47"/>
        <v>854.57</v>
      </c>
      <c r="CQ253" s="158">
        <v>49</v>
      </c>
      <c r="CR253" s="159">
        <v>692</v>
      </c>
      <c r="CS253" s="179">
        <v>563.6</v>
      </c>
      <c r="CT253" s="27">
        <v>42</v>
      </c>
      <c r="CU253" s="58">
        <v>580</v>
      </c>
      <c r="CV253" s="12">
        <v>453.2</v>
      </c>
      <c r="CW253" s="27"/>
      <c r="CX253" s="58"/>
      <c r="CY253" s="98"/>
      <c r="CZ253" s="27"/>
      <c r="DA253" s="58"/>
      <c r="DB253" s="12"/>
      <c r="DC253" s="27"/>
      <c r="DD253" s="58"/>
      <c r="DE253" s="12"/>
      <c r="DF253" s="27"/>
      <c r="DG253" s="58"/>
      <c r="DH253" s="12"/>
      <c r="DI253" s="27"/>
      <c r="DJ253" s="58"/>
      <c r="DK253" s="12"/>
      <c r="DL253" s="27"/>
      <c r="DM253" s="58"/>
      <c r="DN253" s="12"/>
      <c r="DO253" s="27"/>
      <c r="DP253" s="58"/>
      <c r="DQ253" s="12"/>
      <c r="DR253" s="27"/>
      <c r="DS253" s="58"/>
      <c r="DT253" s="12"/>
      <c r="DU253" s="27"/>
      <c r="DV253" s="58"/>
      <c r="DW253" s="12"/>
      <c r="DX253" s="27"/>
      <c r="DY253" s="58"/>
      <c r="DZ253" s="12"/>
    </row>
    <row r="254" spans="1:130" s="25" customFormat="1" ht="31.5" customHeight="1" x14ac:dyDescent="0.6">
      <c r="A254" s="5">
        <v>251</v>
      </c>
      <c r="B254" s="18" t="s">
        <v>607</v>
      </c>
      <c r="C254" s="18" t="s">
        <v>608</v>
      </c>
      <c r="D254" s="18" t="s">
        <v>75</v>
      </c>
      <c r="E254" s="23" t="s">
        <v>76</v>
      </c>
      <c r="F254" s="7" t="s">
        <v>597</v>
      </c>
      <c r="G254" s="123"/>
      <c r="H254" s="123"/>
      <c r="I254" s="123" t="s">
        <v>1108</v>
      </c>
      <c r="J254" s="49" t="s">
        <v>598</v>
      </c>
      <c r="K254" s="27"/>
      <c r="L254" s="58"/>
      <c r="M254" s="78"/>
      <c r="N254" s="27"/>
      <c r="O254" s="58"/>
      <c r="P254" s="49"/>
      <c r="Q254" s="27"/>
      <c r="R254" s="58"/>
      <c r="S254" s="98"/>
      <c r="T254" s="27"/>
      <c r="U254" s="58"/>
      <c r="V254" s="12"/>
      <c r="W254" s="27"/>
      <c r="X254" s="58"/>
      <c r="Y254" s="12"/>
      <c r="Z254" s="27"/>
      <c r="AA254" s="58"/>
      <c r="AB254" s="12"/>
      <c r="AC254" s="27">
        <v>15</v>
      </c>
      <c r="AD254" s="58">
        <v>300</v>
      </c>
      <c r="AE254" s="12"/>
      <c r="AF254" s="27">
        <v>0</v>
      </c>
      <c r="AG254" s="58">
        <v>0</v>
      </c>
      <c r="AH254" s="12"/>
      <c r="AI254" s="27">
        <v>18</v>
      </c>
      <c r="AJ254" s="58">
        <v>316</v>
      </c>
      <c r="AK254" s="12"/>
      <c r="AL254" s="27">
        <v>12</v>
      </c>
      <c r="AM254" s="58">
        <v>204</v>
      </c>
      <c r="AN254" s="12"/>
      <c r="AO254" s="27">
        <v>5</v>
      </c>
      <c r="AP254" s="58">
        <v>70</v>
      </c>
      <c r="AQ254" s="12"/>
      <c r="AR254" s="27">
        <v>6</v>
      </c>
      <c r="AS254" s="58">
        <v>124</v>
      </c>
      <c r="AT254" s="12"/>
      <c r="AU254" s="54"/>
      <c r="AV254" s="63"/>
      <c r="AW254" s="55"/>
      <c r="AX254" s="54"/>
      <c r="AY254" s="63"/>
      <c r="AZ254" s="55"/>
      <c r="BA254" s="10">
        <v>18</v>
      </c>
      <c r="BB254" s="15">
        <v>320</v>
      </c>
      <c r="BC254" s="11">
        <v>268</v>
      </c>
      <c r="BD254" s="10">
        <v>22</v>
      </c>
      <c r="BE254" s="15">
        <v>340</v>
      </c>
      <c r="BF254" s="11">
        <v>314</v>
      </c>
      <c r="BG254" s="10">
        <v>25</v>
      </c>
      <c r="BH254" s="15">
        <v>420</v>
      </c>
      <c r="BI254" s="11">
        <v>368</v>
      </c>
      <c r="BJ254" s="10">
        <v>29</v>
      </c>
      <c r="BK254" s="15">
        <v>490</v>
      </c>
      <c r="BL254" s="11">
        <v>438.8</v>
      </c>
      <c r="BM254" s="46">
        <v>42</v>
      </c>
      <c r="BN254" s="43">
        <v>740</v>
      </c>
      <c r="BO254" s="47">
        <v>569.68000000000006</v>
      </c>
      <c r="BP254" s="46">
        <v>21</v>
      </c>
      <c r="BQ254" s="43">
        <v>316</v>
      </c>
      <c r="BR254" s="47">
        <v>316</v>
      </c>
      <c r="BS254" s="46">
        <v>24</v>
      </c>
      <c r="BT254" s="43">
        <v>432</v>
      </c>
      <c r="BU254" s="114">
        <v>380</v>
      </c>
      <c r="BV254" s="119">
        <v>32.299999999999997</v>
      </c>
      <c r="BW254" s="120">
        <v>549</v>
      </c>
      <c r="BX254" s="114">
        <v>470.84000000000003</v>
      </c>
      <c r="BY254" s="119">
        <v>38</v>
      </c>
      <c r="BZ254" s="120">
        <v>612</v>
      </c>
      <c r="CA254" s="114">
        <v>545.68000000000006</v>
      </c>
      <c r="CB254" s="119">
        <v>31</v>
      </c>
      <c r="CC254" s="120">
        <v>506</v>
      </c>
      <c r="CD254" s="114">
        <v>411.04</v>
      </c>
      <c r="CE254" s="119">
        <v>27</v>
      </c>
      <c r="CF254" s="120">
        <v>432</v>
      </c>
      <c r="CG254" s="114">
        <v>365.68</v>
      </c>
      <c r="CH254" s="119">
        <v>30.92</v>
      </c>
      <c r="CI254" s="120">
        <v>526</v>
      </c>
      <c r="CJ254" s="114">
        <v>448.58000000000004</v>
      </c>
      <c r="CK254" s="54">
        <f t="shared" si="42"/>
        <v>340.22</v>
      </c>
      <c r="CL254" s="63">
        <f t="shared" si="43"/>
        <v>5683</v>
      </c>
      <c r="CM254" s="55">
        <f t="shared" si="44"/>
        <v>4896.3</v>
      </c>
      <c r="CN254" s="54">
        <f t="shared" si="45"/>
        <v>28.35166666666667</v>
      </c>
      <c r="CO254" s="63">
        <f t="shared" si="46"/>
        <v>473.58333333333331</v>
      </c>
      <c r="CP254" s="172">
        <f t="shared" si="47"/>
        <v>408.02500000000003</v>
      </c>
      <c r="CQ254" s="158">
        <v>39.700000000000003</v>
      </c>
      <c r="CR254" s="159">
        <v>640</v>
      </c>
      <c r="CS254" s="179">
        <v>564.48</v>
      </c>
      <c r="CT254" s="27">
        <v>65</v>
      </c>
      <c r="CU254" s="58">
        <v>960</v>
      </c>
      <c r="CV254" s="12">
        <v>841.68</v>
      </c>
      <c r="CW254" s="27"/>
      <c r="CX254" s="58"/>
      <c r="CY254" s="98"/>
      <c r="CZ254" s="27"/>
      <c r="DA254" s="58"/>
      <c r="DB254" s="12"/>
      <c r="DC254" s="27"/>
      <c r="DD254" s="58"/>
      <c r="DE254" s="12"/>
      <c r="DF254" s="27"/>
      <c r="DG254" s="58"/>
      <c r="DH254" s="12"/>
      <c r="DI254" s="27"/>
      <c r="DJ254" s="58"/>
      <c r="DK254" s="12"/>
      <c r="DL254" s="27"/>
      <c r="DM254" s="58"/>
      <c r="DN254" s="12"/>
      <c r="DO254" s="27"/>
      <c r="DP254" s="58"/>
      <c r="DQ254" s="12"/>
      <c r="DR254" s="27"/>
      <c r="DS254" s="58"/>
      <c r="DT254" s="12"/>
      <c r="DU254" s="27"/>
      <c r="DV254" s="58"/>
      <c r="DW254" s="12"/>
      <c r="DX254" s="27"/>
      <c r="DY254" s="58"/>
      <c r="DZ254" s="12"/>
    </row>
    <row r="255" spans="1:130" s="25" customFormat="1" ht="31.5" customHeight="1" x14ac:dyDescent="0.6">
      <c r="A255" s="5">
        <v>252</v>
      </c>
      <c r="B255" s="18" t="s">
        <v>609</v>
      </c>
      <c r="C255" s="18" t="s">
        <v>610</v>
      </c>
      <c r="D255" s="18" t="s">
        <v>75</v>
      </c>
      <c r="E255" s="23" t="s">
        <v>76</v>
      </c>
      <c r="F255" s="7" t="s">
        <v>597</v>
      </c>
      <c r="G255" s="123"/>
      <c r="H255" s="123"/>
      <c r="I255" s="123" t="s">
        <v>1109</v>
      </c>
      <c r="J255" s="49" t="s">
        <v>598</v>
      </c>
      <c r="K255" s="27"/>
      <c r="L255" s="58"/>
      <c r="M255" s="78"/>
      <c r="N255" s="27"/>
      <c r="O255" s="58"/>
      <c r="P255" s="49"/>
      <c r="Q255" s="27"/>
      <c r="R255" s="58"/>
      <c r="S255" s="98"/>
      <c r="T255" s="27"/>
      <c r="U255" s="58"/>
      <c r="V255" s="12"/>
      <c r="W255" s="27"/>
      <c r="X255" s="58"/>
      <c r="Y255" s="12"/>
      <c r="Z255" s="27"/>
      <c r="AA255" s="58"/>
      <c r="AB255" s="12"/>
      <c r="AC255" s="27">
        <v>18</v>
      </c>
      <c r="AD255" s="58">
        <v>280</v>
      </c>
      <c r="AE255" s="12"/>
      <c r="AF255" s="27">
        <v>0</v>
      </c>
      <c r="AG255" s="58">
        <v>0</v>
      </c>
      <c r="AH255" s="12"/>
      <c r="AI255" s="27">
        <v>6</v>
      </c>
      <c r="AJ255" s="58">
        <v>72</v>
      </c>
      <c r="AK255" s="12"/>
      <c r="AL255" s="27">
        <v>8</v>
      </c>
      <c r="AM255" s="58">
        <v>160</v>
      </c>
      <c r="AN255" s="12"/>
      <c r="AO255" s="27">
        <v>1</v>
      </c>
      <c r="AP255" s="58">
        <v>14</v>
      </c>
      <c r="AQ255" s="12"/>
      <c r="AR255" s="27">
        <v>3</v>
      </c>
      <c r="AS255" s="58">
        <v>36</v>
      </c>
      <c r="AT255" s="12"/>
      <c r="AU255" s="54"/>
      <c r="AV255" s="63"/>
      <c r="AW255" s="55"/>
      <c r="AX255" s="54"/>
      <c r="AY255" s="63"/>
      <c r="AZ255" s="55"/>
      <c r="BA255" s="10">
        <v>9</v>
      </c>
      <c r="BB255" s="15">
        <v>200</v>
      </c>
      <c r="BC255" s="11">
        <v>122</v>
      </c>
      <c r="BD255" s="10">
        <v>17</v>
      </c>
      <c r="BE255" s="15">
        <v>280</v>
      </c>
      <c r="BF255" s="11">
        <v>177.6</v>
      </c>
      <c r="BG255" s="10">
        <v>36</v>
      </c>
      <c r="BH255" s="15">
        <v>480</v>
      </c>
      <c r="BI255" s="11">
        <v>403.8</v>
      </c>
      <c r="BJ255" s="10">
        <v>20</v>
      </c>
      <c r="BK255" s="15">
        <v>380</v>
      </c>
      <c r="BL255" s="11">
        <v>250</v>
      </c>
      <c r="BM255" s="46">
        <v>21</v>
      </c>
      <c r="BN255" s="43">
        <v>336</v>
      </c>
      <c r="BO255" s="47">
        <v>258</v>
      </c>
      <c r="BP255" s="46">
        <v>44</v>
      </c>
      <c r="BQ255" s="43">
        <v>652</v>
      </c>
      <c r="BR255" s="47">
        <v>474.40000000000003</v>
      </c>
      <c r="BS255" s="46">
        <v>35</v>
      </c>
      <c r="BT255" s="43">
        <v>580</v>
      </c>
      <c r="BU255" s="114">
        <v>399.6</v>
      </c>
      <c r="BV255" s="119">
        <v>65.3</v>
      </c>
      <c r="BW255" s="120">
        <v>955</v>
      </c>
      <c r="BX255" s="114">
        <v>698.83999999999992</v>
      </c>
      <c r="BY255" s="119">
        <v>39</v>
      </c>
      <c r="BZ255" s="120">
        <v>600</v>
      </c>
      <c r="CA255" s="114">
        <v>445.6</v>
      </c>
      <c r="CB255" s="119">
        <v>39</v>
      </c>
      <c r="CC255" s="120">
        <v>636</v>
      </c>
      <c r="CD255" s="114">
        <v>476.15999999999997</v>
      </c>
      <c r="CE255" s="119">
        <v>46</v>
      </c>
      <c r="CF255" s="120">
        <v>848</v>
      </c>
      <c r="CG255" s="114">
        <v>547.68000000000006</v>
      </c>
      <c r="CH255" s="119">
        <v>47.75</v>
      </c>
      <c r="CI255" s="120">
        <v>770</v>
      </c>
      <c r="CJ255" s="114">
        <v>548.05999999999995</v>
      </c>
      <c r="CK255" s="54">
        <f t="shared" si="42"/>
        <v>419.05</v>
      </c>
      <c r="CL255" s="63">
        <f t="shared" si="43"/>
        <v>6717</v>
      </c>
      <c r="CM255" s="55">
        <f t="shared" si="44"/>
        <v>4801.74</v>
      </c>
      <c r="CN255" s="54">
        <f t="shared" si="45"/>
        <v>34.920833333333334</v>
      </c>
      <c r="CO255" s="63">
        <f t="shared" si="46"/>
        <v>559.75</v>
      </c>
      <c r="CP255" s="172">
        <f t="shared" si="47"/>
        <v>400.14499999999998</v>
      </c>
      <c r="CQ255" s="158">
        <v>65</v>
      </c>
      <c r="CR255" s="159">
        <v>1090</v>
      </c>
      <c r="CS255" s="179">
        <v>754.40000000000009</v>
      </c>
      <c r="CT255" s="27">
        <v>42</v>
      </c>
      <c r="CU255" s="58">
        <v>618</v>
      </c>
      <c r="CV255" s="12">
        <v>464.4</v>
      </c>
      <c r="CW255" s="27"/>
      <c r="CX255" s="58"/>
      <c r="CY255" s="98"/>
      <c r="CZ255" s="27"/>
      <c r="DA255" s="58"/>
      <c r="DB255" s="12"/>
      <c r="DC255" s="27"/>
      <c r="DD255" s="58"/>
      <c r="DE255" s="12"/>
      <c r="DF255" s="27"/>
      <c r="DG255" s="58"/>
      <c r="DH255" s="12"/>
      <c r="DI255" s="27"/>
      <c r="DJ255" s="58"/>
      <c r="DK255" s="12"/>
      <c r="DL255" s="27"/>
      <c r="DM255" s="58"/>
      <c r="DN255" s="12"/>
      <c r="DO255" s="27"/>
      <c r="DP255" s="58"/>
      <c r="DQ255" s="12"/>
      <c r="DR255" s="27"/>
      <c r="DS255" s="58"/>
      <c r="DT255" s="12"/>
      <c r="DU255" s="27"/>
      <c r="DV255" s="58"/>
      <c r="DW255" s="12"/>
      <c r="DX255" s="27"/>
      <c r="DY255" s="58"/>
      <c r="DZ255" s="12"/>
    </row>
    <row r="256" spans="1:130" s="25" customFormat="1" ht="31.5" customHeight="1" x14ac:dyDescent="0.6">
      <c r="A256" s="5">
        <v>253</v>
      </c>
      <c r="B256" s="18" t="s">
        <v>615</v>
      </c>
      <c r="C256" s="18" t="s">
        <v>616</v>
      </c>
      <c r="D256" s="18" t="s">
        <v>613</v>
      </c>
      <c r="E256" s="23" t="s">
        <v>614</v>
      </c>
      <c r="F256" s="7" t="s">
        <v>597</v>
      </c>
      <c r="G256" s="123"/>
      <c r="H256" s="123"/>
      <c r="I256" s="123" t="s">
        <v>1110</v>
      </c>
      <c r="J256" s="49" t="s">
        <v>598</v>
      </c>
      <c r="K256" s="27"/>
      <c r="L256" s="58"/>
      <c r="M256" s="78"/>
      <c r="N256" s="27"/>
      <c r="O256" s="58"/>
      <c r="P256" s="49"/>
      <c r="Q256" s="27"/>
      <c r="R256" s="58"/>
      <c r="S256" s="98"/>
      <c r="T256" s="27"/>
      <c r="U256" s="58"/>
      <c r="V256" s="12"/>
      <c r="W256" s="27"/>
      <c r="X256" s="58"/>
      <c r="Y256" s="12"/>
      <c r="Z256" s="27"/>
      <c r="AA256" s="58"/>
      <c r="AB256" s="12"/>
      <c r="AC256" s="27">
        <v>25</v>
      </c>
      <c r="AD256" s="58">
        <v>300</v>
      </c>
      <c r="AE256" s="12"/>
      <c r="AF256" s="27">
        <v>0</v>
      </c>
      <c r="AG256" s="58">
        <v>0</v>
      </c>
      <c r="AH256" s="12"/>
      <c r="AI256" s="27">
        <v>19</v>
      </c>
      <c r="AJ256" s="58">
        <v>228</v>
      </c>
      <c r="AK256" s="12"/>
      <c r="AL256" s="27">
        <v>25</v>
      </c>
      <c r="AM256" s="58">
        <v>300</v>
      </c>
      <c r="AN256" s="12"/>
      <c r="AO256" s="27">
        <v>20</v>
      </c>
      <c r="AP256" s="58">
        <v>296</v>
      </c>
      <c r="AQ256" s="12"/>
      <c r="AR256" s="27">
        <v>20</v>
      </c>
      <c r="AS256" s="58">
        <v>240</v>
      </c>
      <c r="AT256" s="12"/>
      <c r="AU256" s="54"/>
      <c r="AV256" s="63"/>
      <c r="AW256" s="55"/>
      <c r="AX256" s="54"/>
      <c r="AY256" s="63"/>
      <c r="AZ256" s="55"/>
      <c r="BA256" s="10">
        <v>1</v>
      </c>
      <c r="BB256" s="15">
        <v>40</v>
      </c>
      <c r="BC256" s="11">
        <v>14</v>
      </c>
      <c r="BD256" s="10">
        <v>17</v>
      </c>
      <c r="BE256" s="15">
        <v>204</v>
      </c>
      <c r="BF256" s="11">
        <v>204</v>
      </c>
      <c r="BG256" s="10">
        <v>21</v>
      </c>
      <c r="BH256" s="15">
        <v>280</v>
      </c>
      <c r="BI256" s="11">
        <v>254</v>
      </c>
      <c r="BJ256" s="10">
        <v>0</v>
      </c>
      <c r="BK256" s="15">
        <v>0</v>
      </c>
      <c r="BL256" s="11">
        <v>0</v>
      </c>
      <c r="BM256" s="46">
        <v>8</v>
      </c>
      <c r="BN256" s="43">
        <v>180</v>
      </c>
      <c r="BO256" s="47">
        <v>102</v>
      </c>
      <c r="BP256" s="46">
        <v>57</v>
      </c>
      <c r="BQ256" s="43">
        <v>743</v>
      </c>
      <c r="BR256" s="47">
        <v>641.4</v>
      </c>
      <c r="BS256" s="46">
        <v>6</v>
      </c>
      <c r="BT256" s="43">
        <v>100</v>
      </c>
      <c r="BU256" s="114">
        <v>74</v>
      </c>
      <c r="BV256" s="119">
        <v>0.3</v>
      </c>
      <c r="BW256" s="120">
        <v>3</v>
      </c>
      <c r="BX256" s="114">
        <v>2.04</v>
      </c>
      <c r="BY256" s="119">
        <v>16</v>
      </c>
      <c r="BZ256" s="120">
        <v>248</v>
      </c>
      <c r="CA256" s="114">
        <v>196</v>
      </c>
      <c r="CB256" s="119">
        <v>31</v>
      </c>
      <c r="CC256" s="120">
        <v>400</v>
      </c>
      <c r="CD256" s="114">
        <v>374</v>
      </c>
      <c r="CE256" s="119">
        <v>20</v>
      </c>
      <c r="CF256" s="120">
        <v>240</v>
      </c>
      <c r="CG256" s="114">
        <v>240</v>
      </c>
      <c r="CH256" s="119">
        <v>14</v>
      </c>
      <c r="CI256" s="120">
        <v>168</v>
      </c>
      <c r="CJ256" s="114">
        <v>168</v>
      </c>
      <c r="CK256" s="54">
        <f t="shared" si="42"/>
        <v>191.3</v>
      </c>
      <c r="CL256" s="63">
        <f t="shared" si="43"/>
        <v>2606</v>
      </c>
      <c r="CM256" s="55">
        <f t="shared" si="44"/>
        <v>2269.44</v>
      </c>
      <c r="CN256" s="54">
        <f t="shared" si="45"/>
        <v>15.941666666666668</v>
      </c>
      <c r="CO256" s="63">
        <f t="shared" si="46"/>
        <v>217.16666666666666</v>
      </c>
      <c r="CP256" s="172">
        <f t="shared" si="47"/>
        <v>189.12</v>
      </c>
      <c r="CQ256" s="158">
        <v>12</v>
      </c>
      <c r="CR256" s="159">
        <v>144</v>
      </c>
      <c r="CS256" s="179">
        <v>144</v>
      </c>
      <c r="CT256" s="27">
        <v>9</v>
      </c>
      <c r="CU256" s="58">
        <v>108</v>
      </c>
      <c r="CV256" s="12">
        <v>108</v>
      </c>
      <c r="CW256" s="27"/>
      <c r="CX256" s="58"/>
      <c r="CY256" s="98"/>
      <c r="CZ256" s="27"/>
      <c r="DA256" s="58"/>
      <c r="DB256" s="12"/>
      <c r="DC256" s="27"/>
      <c r="DD256" s="58"/>
      <c r="DE256" s="12"/>
      <c r="DF256" s="27"/>
      <c r="DG256" s="58"/>
      <c r="DH256" s="12"/>
      <c r="DI256" s="27"/>
      <c r="DJ256" s="58"/>
      <c r="DK256" s="12"/>
      <c r="DL256" s="27"/>
      <c r="DM256" s="58"/>
      <c r="DN256" s="12"/>
      <c r="DO256" s="27"/>
      <c r="DP256" s="58"/>
      <c r="DQ256" s="12"/>
      <c r="DR256" s="27"/>
      <c r="DS256" s="58"/>
      <c r="DT256" s="12"/>
      <c r="DU256" s="27"/>
      <c r="DV256" s="58"/>
      <c r="DW256" s="12"/>
      <c r="DX256" s="27"/>
      <c r="DY256" s="58"/>
      <c r="DZ256" s="12"/>
    </row>
    <row r="257" spans="1:130" s="25" customFormat="1" ht="31.5" customHeight="1" x14ac:dyDescent="0.6">
      <c r="A257" s="5">
        <v>254</v>
      </c>
      <c r="B257" s="18" t="s">
        <v>617</v>
      </c>
      <c r="C257" s="18" t="s">
        <v>618</v>
      </c>
      <c r="D257" s="18" t="s">
        <v>613</v>
      </c>
      <c r="E257" s="23" t="s">
        <v>614</v>
      </c>
      <c r="F257" s="7" t="s">
        <v>597</v>
      </c>
      <c r="G257" s="123"/>
      <c r="H257" s="123"/>
      <c r="I257" s="123"/>
      <c r="J257" s="49" t="s">
        <v>598</v>
      </c>
      <c r="K257" s="27"/>
      <c r="L257" s="58"/>
      <c r="M257" s="78"/>
      <c r="N257" s="27"/>
      <c r="O257" s="58"/>
      <c r="P257" s="49"/>
      <c r="Q257" s="27"/>
      <c r="R257" s="58"/>
      <c r="S257" s="98"/>
      <c r="T257" s="27"/>
      <c r="U257" s="58"/>
      <c r="V257" s="12"/>
      <c r="W257" s="27"/>
      <c r="X257" s="58"/>
      <c r="Y257" s="12"/>
      <c r="Z257" s="27"/>
      <c r="AA257" s="58"/>
      <c r="AB257" s="12"/>
      <c r="AC257" s="27">
        <v>60</v>
      </c>
      <c r="AD257" s="58">
        <v>932</v>
      </c>
      <c r="AE257" s="12"/>
      <c r="AF257" s="27">
        <v>0</v>
      </c>
      <c r="AG257" s="58">
        <v>0</v>
      </c>
      <c r="AH257" s="12"/>
      <c r="AI257" s="27">
        <v>93</v>
      </c>
      <c r="AJ257" s="58">
        <v>1342</v>
      </c>
      <c r="AK257" s="12"/>
      <c r="AL257" s="27">
        <v>44</v>
      </c>
      <c r="AM257" s="58">
        <v>664</v>
      </c>
      <c r="AN257" s="12"/>
      <c r="AO257" s="27">
        <v>103</v>
      </c>
      <c r="AP257" s="58">
        <v>1538</v>
      </c>
      <c r="AQ257" s="12"/>
      <c r="AR257" s="27">
        <v>141</v>
      </c>
      <c r="AS257" s="58">
        <v>2038</v>
      </c>
      <c r="AT257" s="12"/>
      <c r="AU257" s="54"/>
      <c r="AV257" s="63"/>
      <c r="AW257" s="55"/>
      <c r="AX257" s="54"/>
      <c r="AY257" s="63"/>
      <c r="AZ257" s="55"/>
      <c r="BA257" s="10">
        <v>91</v>
      </c>
      <c r="BB257" s="15">
        <v>1420</v>
      </c>
      <c r="BC257" s="11">
        <v>860</v>
      </c>
      <c r="BD257" s="10">
        <v>100</v>
      </c>
      <c r="BE257" s="15">
        <v>1408</v>
      </c>
      <c r="BF257" s="11">
        <v>928</v>
      </c>
      <c r="BG257" s="10">
        <v>169</v>
      </c>
      <c r="BH257" s="15">
        <v>2376</v>
      </c>
      <c r="BI257" s="11">
        <v>1543.6</v>
      </c>
      <c r="BJ257" s="10">
        <v>61</v>
      </c>
      <c r="BK257" s="15">
        <v>802</v>
      </c>
      <c r="BL257" s="11">
        <v>625.4</v>
      </c>
      <c r="BM257" s="46">
        <v>0</v>
      </c>
      <c r="BN257" s="43">
        <v>0</v>
      </c>
      <c r="BO257" s="47">
        <v>0</v>
      </c>
      <c r="BP257" s="46">
        <v>0</v>
      </c>
      <c r="BQ257" s="43">
        <v>0</v>
      </c>
      <c r="BR257" s="47">
        <v>0</v>
      </c>
      <c r="BS257" s="46">
        <v>217</v>
      </c>
      <c r="BT257" s="43">
        <v>3138</v>
      </c>
      <c r="BU257" s="114">
        <v>1970.3600000000001</v>
      </c>
      <c r="BV257" s="119">
        <v>137.6</v>
      </c>
      <c r="BW257" s="120">
        <v>1966</v>
      </c>
      <c r="BX257" s="114">
        <v>1257.24</v>
      </c>
      <c r="BY257" s="119">
        <v>98</v>
      </c>
      <c r="BZ257" s="120">
        <v>1366</v>
      </c>
      <c r="CA257" s="114">
        <v>887.2</v>
      </c>
      <c r="CB257" s="119">
        <v>164</v>
      </c>
      <c r="CC257" s="120">
        <v>2324</v>
      </c>
      <c r="CD257" s="114">
        <v>1516</v>
      </c>
      <c r="CE257" s="119">
        <v>92</v>
      </c>
      <c r="CF257" s="120">
        <v>1274</v>
      </c>
      <c r="CG257" s="114">
        <v>845.59999999999991</v>
      </c>
      <c r="CH257" s="119">
        <v>107</v>
      </c>
      <c r="CI257" s="120">
        <v>1530</v>
      </c>
      <c r="CJ257" s="114">
        <v>999.2</v>
      </c>
      <c r="CK257" s="54">
        <f t="shared" si="42"/>
        <v>1236.5999999999999</v>
      </c>
      <c r="CL257" s="63">
        <f t="shared" si="43"/>
        <v>17604</v>
      </c>
      <c r="CM257" s="55">
        <f t="shared" si="44"/>
        <v>11432.6</v>
      </c>
      <c r="CN257" s="54">
        <f t="shared" si="45"/>
        <v>103.05</v>
      </c>
      <c r="CO257" s="63">
        <f t="shared" si="46"/>
        <v>1467</v>
      </c>
      <c r="CP257" s="172">
        <f t="shared" si="47"/>
        <v>952.7166666666667</v>
      </c>
      <c r="CQ257" s="158">
        <v>116</v>
      </c>
      <c r="CR257" s="159">
        <v>1658</v>
      </c>
      <c r="CS257" s="179">
        <v>1076.8</v>
      </c>
      <c r="CT257" s="27">
        <v>128</v>
      </c>
      <c r="CU257" s="58">
        <v>1766</v>
      </c>
      <c r="CV257" s="12">
        <v>1186.4000000000001</v>
      </c>
      <c r="CW257" s="27"/>
      <c r="CX257" s="58"/>
      <c r="CY257" s="98"/>
      <c r="CZ257" s="27"/>
      <c r="DA257" s="58"/>
      <c r="DB257" s="12"/>
      <c r="DC257" s="27"/>
      <c r="DD257" s="58"/>
      <c r="DE257" s="12"/>
      <c r="DF257" s="27"/>
      <c r="DG257" s="58"/>
      <c r="DH257" s="12"/>
      <c r="DI257" s="27"/>
      <c r="DJ257" s="58"/>
      <c r="DK257" s="12"/>
      <c r="DL257" s="27"/>
      <c r="DM257" s="58"/>
      <c r="DN257" s="12"/>
      <c r="DO257" s="27"/>
      <c r="DP257" s="58"/>
      <c r="DQ257" s="12"/>
      <c r="DR257" s="27"/>
      <c r="DS257" s="58"/>
      <c r="DT257" s="12"/>
      <c r="DU257" s="27"/>
      <c r="DV257" s="58"/>
      <c r="DW257" s="12"/>
      <c r="DX257" s="27"/>
      <c r="DY257" s="58"/>
      <c r="DZ257" s="12"/>
    </row>
    <row r="258" spans="1:130" s="25" customFormat="1" ht="31.5" customHeight="1" x14ac:dyDescent="0.6">
      <c r="A258" s="5">
        <v>255</v>
      </c>
      <c r="B258" s="18" t="s">
        <v>1162</v>
      </c>
      <c r="C258" s="18"/>
      <c r="D258" s="18"/>
      <c r="E258" s="23"/>
      <c r="F258" s="7"/>
      <c r="G258" s="123"/>
      <c r="H258" s="123"/>
      <c r="I258" s="123"/>
      <c r="J258" s="49"/>
      <c r="K258" s="27"/>
      <c r="L258" s="58"/>
      <c r="M258" s="78"/>
      <c r="N258" s="27"/>
      <c r="O258" s="58"/>
      <c r="P258" s="49"/>
      <c r="Q258" s="27"/>
      <c r="R258" s="58"/>
      <c r="S258" s="98"/>
      <c r="T258" s="27"/>
      <c r="U258" s="58"/>
      <c r="V258" s="12"/>
      <c r="W258" s="27"/>
      <c r="X258" s="58"/>
      <c r="Y258" s="12"/>
      <c r="Z258" s="27"/>
      <c r="AA258" s="58"/>
      <c r="AB258" s="12"/>
      <c r="AC258" s="27"/>
      <c r="AD258" s="58"/>
      <c r="AE258" s="12"/>
      <c r="AF258" s="27"/>
      <c r="AG258" s="58"/>
      <c r="AH258" s="12"/>
      <c r="AI258" s="27"/>
      <c r="AJ258" s="58"/>
      <c r="AK258" s="12"/>
      <c r="AL258" s="27"/>
      <c r="AM258" s="58"/>
      <c r="AN258" s="12"/>
      <c r="AO258" s="27"/>
      <c r="AP258" s="58"/>
      <c r="AQ258" s="12"/>
      <c r="AR258" s="27"/>
      <c r="AS258" s="58"/>
      <c r="AT258" s="12"/>
      <c r="AU258" s="54"/>
      <c r="AV258" s="63"/>
      <c r="AW258" s="55"/>
      <c r="AX258" s="54"/>
      <c r="AY258" s="63"/>
      <c r="AZ258" s="55"/>
      <c r="BA258" s="10"/>
      <c r="BB258" s="15"/>
      <c r="BC258" s="11"/>
      <c r="BD258" s="10"/>
      <c r="BE258" s="15"/>
      <c r="BF258" s="11"/>
      <c r="BG258" s="10"/>
      <c r="BH258" s="15"/>
      <c r="BI258" s="11"/>
      <c r="BJ258" s="10"/>
      <c r="BK258" s="15"/>
      <c r="BL258" s="11"/>
      <c r="BM258" s="46"/>
      <c r="BN258" s="43"/>
      <c r="BO258" s="47"/>
      <c r="BP258" s="46"/>
      <c r="BQ258" s="43"/>
      <c r="BR258" s="47"/>
      <c r="BS258" s="46"/>
      <c r="BT258" s="43"/>
      <c r="BU258" s="114"/>
      <c r="BV258" s="119"/>
      <c r="BW258" s="120"/>
      <c r="BX258" s="114"/>
      <c r="BY258" s="119"/>
      <c r="BZ258" s="120"/>
      <c r="CA258" s="114"/>
      <c r="CB258" s="119"/>
      <c r="CC258" s="120"/>
      <c r="CD258" s="114"/>
      <c r="CE258" s="119"/>
      <c r="CF258" s="120"/>
      <c r="CG258" s="114"/>
      <c r="CH258" s="119"/>
      <c r="CI258" s="120"/>
      <c r="CJ258" s="114"/>
      <c r="CK258" s="54"/>
      <c r="CL258" s="63"/>
      <c r="CM258" s="55"/>
      <c r="CN258" s="54"/>
      <c r="CO258" s="63"/>
      <c r="CP258" s="172"/>
      <c r="CQ258" s="158">
        <v>0</v>
      </c>
      <c r="CR258" s="159">
        <v>0</v>
      </c>
      <c r="CS258" s="179">
        <v>0</v>
      </c>
      <c r="CT258" s="27">
        <v>10</v>
      </c>
      <c r="CU258" s="58">
        <v>120</v>
      </c>
      <c r="CV258" s="12">
        <v>120</v>
      </c>
      <c r="CW258" s="27"/>
      <c r="CX258" s="58"/>
      <c r="CY258" s="98"/>
      <c r="CZ258" s="27"/>
      <c r="DA258" s="58"/>
      <c r="DB258" s="12"/>
      <c r="DC258" s="27"/>
      <c r="DD258" s="58"/>
      <c r="DE258" s="12"/>
      <c r="DF258" s="27"/>
      <c r="DG258" s="58"/>
      <c r="DH258" s="12"/>
      <c r="DI258" s="27"/>
      <c r="DJ258" s="58"/>
      <c r="DK258" s="12"/>
      <c r="DL258" s="27"/>
      <c r="DM258" s="58"/>
      <c r="DN258" s="12"/>
      <c r="DO258" s="27"/>
      <c r="DP258" s="58"/>
      <c r="DQ258" s="12"/>
      <c r="DR258" s="27"/>
      <c r="DS258" s="58"/>
      <c r="DT258" s="12"/>
      <c r="DU258" s="27"/>
      <c r="DV258" s="58"/>
      <c r="DW258" s="12"/>
      <c r="DX258" s="27"/>
      <c r="DY258" s="58"/>
      <c r="DZ258" s="12"/>
    </row>
    <row r="259" spans="1:130" s="25" customFormat="1" ht="31.5" customHeight="1" x14ac:dyDescent="0.6">
      <c r="A259" s="5">
        <v>256</v>
      </c>
      <c r="B259" s="18" t="s">
        <v>623</v>
      </c>
      <c r="C259" s="18" t="s">
        <v>623</v>
      </c>
      <c r="D259" s="18" t="s">
        <v>620</v>
      </c>
      <c r="E259" s="23" t="s">
        <v>621</v>
      </c>
      <c r="F259" s="7" t="s">
        <v>597</v>
      </c>
      <c r="G259" s="123"/>
      <c r="H259" s="123"/>
      <c r="I259" s="123" t="s">
        <v>1112</v>
      </c>
      <c r="J259" s="49" t="s">
        <v>598</v>
      </c>
      <c r="K259" s="27"/>
      <c r="L259" s="58"/>
      <c r="M259" s="78"/>
      <c r="N259" s="27"/>
      <c r="O259" s="58"/>
      <c r="P259" s="49"/>
      <c r="Q259" s="27"/>
      <c r="R259" s="58"/>
      <c r="S259" s="98"/>
      <c r="T259" s="27"/>
      <c r="U259" s="58"/>
      <c r="V259" s="12"/>
      <c r="W259" s="27"/>
      <c r="X259" s="58"/>
      <c r="Y259" s="12"/>
      <c r="Z259" s="27"/>
      <c r="AA259" s="58"/>
      <c r="AB259" s="12"/>
      <c r="AC259" s="27">
        <v>38</v>
      </c>
      <c r="AD259" s="58">
        <v>560</v>
      </c>
      <c r="AE259" s="12"/>
      <c r="AF259" s="27">
        <v>15</v>
      </c>
      <c r="AG259" s="58">
        <v>180</v>
      </c>
      <c r="AH259" s="12"/>
      <c r="AI259" s="27">
        <v>58</v>
      </c>
      <c r="AJ259" s="58">
        <v>980</v>
      </c>
      <c r="AK259" s="12"/>
      <c r="AL259" s="27">
        <v>99</v>
      </c>
      <c r="AM259" s="58">
        <v>1546</v>
      </c>
      <c r="AN259" s="12"/>
      <c r="AO259" s="27">
        <v>48</v>
      </c>
      <c r="AP259" s="58">
        <v>602</v>
      </c>
      <c r="AQ259" s="12"/>
      <c r="AR259" s="27">
        <v>113</v>
      </c>
      <c r="AS259" s="58">
        <v>1624</v>
      </c>
      <c r="AT259" s="12"/>
      <c r="AU259" s="54"/>
      <c r="AV259" s="63"/>
      <c r="AW259" s="55"/>
      <c r="AX259" s="54"/>
      <c r="AY259" s="63"/>
      <c r="AZ259" s="55"/>
      <c r="BA259" s="10">
        <v>111</v>
      </c>
      <c r="BB259" s="15">
        <v>1450</v>
      </c>
      <c r="BC259" s="11">
        <v>1198</v>
      </c>
      <c r="BD259" s="10">
        <v>58</v>
      </c>
      <c r="BE259" s="15">
        <v>810</v>
      </c>
      <c r="BF259" s="11">
        <v>656.40000000000009</v>
      </c>
      <c r="BG259" s="10">
        <v>118</v>
      </c>
      <c r="BH259" s="15">
        <v>1742</v>
      </c>
      <c r="BI259" s="11">
        <v>1366</v>
      </c>
      <c r="BJ259" s="10">
        <v>8</v>
      </c>
      <c r="BK259" s="15">
        <v>112</v>
      </c>
      <c r="BL259" s="11">
        <v>71.680000000000007</v>
      </c>
      <c r="BM259" s="46">
        <v>37</v>
      </c>
      <c r="BN259" s="43">
        <v>576</v>
      </c>
      <c r="BO259" s="47">
        <v>377.03999999999996</v>
      </c>
      <c r="BP259" s="46">
        <v>95</v>
      </c>
      <c r="BQ259" s="43">
        <v>1382</v>
      </c>
      <c r="BR259" s="47">
        <v>1084.08</v>
      </c>
      <c r="BS259" s="46">
        <v>84</v>
      </c>
      <c r="BT259" s="43">
        <v>1094</v>
      </c>
      <c r="BU259" s="114">
        <v>966.4</v>
      </c>
      <c r="BV259" s="119">
        <v>68.3</v>
      </c>
      <c r="BW259" s="120">
        <v>971</v>
      </c>
      <c r="BX259" s="114">
        <v>765.24</v>
      </c>
      <c r="BY259" s="119">
        <v>77</v>
      </c>
      <c r="BZ259" s="120">
        <v>1202</v>
      </c>
      <c r="CA259" s="114">
        <v>857.92</v>
      </c>
      <c r="CB259" s="119">
        <v>90</v>
      </c>
      <c r="CC259" s="120">
        <v>1314</v>
      </c>
      <c r="CD259" s="114">
        <v>972.48</v>
      </c>
      <c r="CE259" s="119">
        <v>76</v>
      </c>
      <c r="CF259" s="120">
        <v>1088</v>
      </c>
      <c r="CG259" s="114">
        <v>859.6</v>
      </c>
      <c r="CH259" s="119">
        <v>103.9</v>
      </c>
      <c r="CI259" s="120">
        <v>1582</v>
      </c>
      <c r="CJ259" s="114">
        <v>1166.9000000000001</v>
      </c>
      <c r="CK259" s="54">
        <f t="shared" si="42"/>
        <v>926.19999999999993</v>
      </c>
      <c r="CL259" s="63">
        <f t="shared" si="43"/>
        <v>13323</v>
      </c>
      <c r="CM259" s="55">
        <f t="shared" si="44"/>
        <v>10341.74</v>
      </c>
      <c r="CN259" s="54">
        <f t="shared" si="45"/>
        <v>77.183333333333323</v>
      </c>
      <c r="CO259" s="63">
        <f t="shared" si="46"/>
        <v>1110.25</v>
      </c>
      <c r="CP259" s="172">
        <f t="shared" si="47"/>
        <v>861.81166666666661</v>
      </c>
      <c r="CQ259" s="158">
        <v>159.916</v>
      </c>
      <c r="CR259" s="159">
        <v>2294</v>
      </c>
      <c r="CS259" s="179">
        <v>1894.1</v>
      </c>
      <c r="CT259" s="27">
        <v>139</v>
      </c>
      <c r="CU259" s="58">
        <v>1808</v>
      </c>
      <c r="CV259" s="12">
        <v>1588.88</v>
      </c>
      <c r="CW259" s="27"/>
      <c r="CX259" s="58"/>
      <c r="CY259" s="98"/>
      <c r="CZ259" s="27"/>
      <c r="DA259" s="58"/>
      <c r="DB259" s="12"/>
      <c r="DC259" s="27"/>
      <c r="DD259" s="58"/>
      <c r="DE259" s="12"/>
      <c r="DF259" s="27"/>
      <c r="DG259" s="58"/>
      <c r="DH259" s="12"/>
      <c r="DI259" s="27"/>
      <c r="DJ259" s="58"/>
      <c r="DK259" s="12"/>
      <c r="DL259" s="27"/>
      <c r="DM259" s="58"/>
      <c r="DN259" s="12"/>
      <c r="DO259" s="27"/>
      <c r="DP259" s="58"/>
      <c r="DQ259" s="12"/>
      <c r="DR259" s="27"/>
      <c r="DS259" s="58"/>
      <c r="DT259" s="12"/>
      <c r="DU259" s="27"/>
      <c r="DV259" s="58"/>
      <c r="DW259" s="12"/>
      <c r="DX259" s="27"/>
      <c r="DY259" s="58"/>
      <c r="DZ259" s="12"/>
    </row>
    <row r="260" spans="1:130" s="25" customFormat="1" ht="31.5" customHeight="1" x14ac:dyDescent="0.6">
      <c r="A260" s="5">
        <v>257</v>
      </c>
      <c r="B260" s="18" t="s">
        <v>624</v>
      </c>
      <c r="C260" s="18" t="s">
        <v>625</v>
      </c>
      <c r="D260" s="18" t="s">
        <v>620</v>
      </c>
      <c r="E260" s="23" t="s">
        <v>621</v>
      </c>
      <c r="F260" s="7" t="s">
        <v>597</v>
      </c>
      <c r="G260" s="123"/>
      <c r="H260" s="123"/>
      <c r="I260" s="123" t="s">
        <v>1113</v>
      </c>
      <c r="J260" s="49" t="s">
        <v>598</v>
      </c>
      <c r="K260" s="27"/>
      <c r="L260" s="58"/>
      <c r="M260" s="78"/>
      <c r="N260" s="27"/>
      <c r="O260" s="58"/>
      <c r="P260" s="49"/>
      <c r="Q260" s="27"/>
      <c r="R260" s="58"/>
      <c r="S260" s="98"/>
      <c r="T260" s="27"/>
      <c r="U260" s="58"/>
      <c r="V260" s="12"/>
      <c r="W260" s="27"/>
      <c r="X260" s="58"/>
      <c r="Y260" s="12"/>
      <c r="Z260" s="27"/>
      <c r="AA260" s="58"/>
      <c r="AB260" s="12"/>
      <c r="AC260" s="27">
        <v>0</v>
      </c>
      <c r="AD260" s="58">
        <v>0</v>
      </c>
      <c r="AE260" s="12"/>
      <c r="AF260" s="27">
        <v>42</v>
      </c>
      <c r="AG260" s="58">
        <v>574</v>
      </c>
      <c r="AH260" s="12"/>
      <c r="AI260" s="27">
        <v>93</v>
      </c>
      <c r="AJ260" s="58">
        <v>1122</v>
      </c>
      <c r="AK260" s="12"/>
      <c r="AL260" s="27">
        <v>3</v>
      </c>
      <c r="AM260" s="58">
        <v>36</v>
      </c>
      <c r="AN260" s="12"/>
      <c r="AO260" s="27">
        <v>0</v>
      </c>
      <c r="AP260" s="58">
        <v>0</v>
      </c>
      <c r="AQ260" s="12"/>
      <c r="AR260" s="27">
        <v>3</v>
      </c>
      <c r="AS260" s="58">
        <v>36</v>
      </c>
      <c r="AT260" s="12"/>
      <c r="AU260" s="54"/>
      <c r="AV260" s="63"/>
      <c r="AW260" s="55"/>
      <c r="AX260" s="54"/>
      <c r="AY260" s="63"/>
      <c r="AZ260" s="55"/>
      <c r="BA260" s="10">
        <v>5</v>
      </c>
      <c r="BB260" s="15">
        <v>116</v>
      </c>
      <c r="BC260" s="11">
        <v>64</v>
      </c>
      <c r="BD260" s="10">
        <v>0</v>
      </c>
      <c r="BE260" s="15">
        <v>0</v>
      </c>
      <c r="BF260" s="11">
        <v>0</v>
      </c>
      <c r="BG260" s="10">
        <v>5</v>
      </c>
      <c r="BH260" s="15">
        <v>60</v>
      </c>
      <c r="BI260" s="11">
        <v>60</v>
      </c>
      <c r="BJ260" s="10">
        <v>25</v>
      </c>
      <c r="BK260" s="15">
        <v>440</v>
      </c>
      <c r="BL260" s="11">
        <v>310</v>
      </c>
      <c r="BM260" s="46">
        <v>5</v>
      </c>
      <c r="BN260" s="43">
        <v>60</v>
      </c>
      <c r="BO260" s="47">
        <v>60</v>
      </c>
      <c r="BP260" s="46">
        <v>7</v>
      </c>
      <c r="BQ260" s="43">
        <v>144</v>
      </c>
      <c r="BR260" s="47">
        <v>81.92</v>
      </c>
      <c r="BS260" s="46">
        <v>22</v>
      </c>
      <c r="BT260" s="43">
        <v>320</v>
      </c>
      <c r="BU260" s="114">
        <v>268</v>
      </c>
      <c r="BV260" s="119">
        <v>15.3</v>
      </c>
      <c r="BW260" s="120">
        <v>183</v>
      </c>
      <c r="BX260" s="114">
        <v>182.04000000000002</v>
      </c>
      <c r="BY260" s="119">
        <v>47</v>
      </c>
      <c r="BZ260" s="120">
        <v>732</v>
      </c>
      <c r="CA260" s="114">
        <v>576</v>
      </c>
      <c r="CB260" s="119">
        <v>12.5</v>
      </c>
      <c r="CC260" s="120">
        <v>150</v>
      </c>
      <c r="CD260" s="114">
        <v>146.16</v>
      </c>
      <c r="CE260" s="119">
        <v>10</v>
      </c>
      <c r="CF260" s="120">
        <v>120</v>
      </c>
      <c r="CG260" s="114">
        <v>120</v>
      </c>
      <c r="CH260" s="119">
        <v>36.6</v>
      </c>
      <c r="CI260" s="120">
        <v>444</v>
      </c>
      <c r="CJ260" s="114">
        <v>435.02</v>
      </c>
      <c r="CK260" s="54">
        <f t="shared" si="42"/>
        <v>190.4</v>
      </c>
      <c r="CL260" s="63">
        <f t="shared" si="43"/>
        <v>2769</v>
      </c>
      <c r="CM260" s="55">
        <f t="shared" si="44"/>
        <v>2303.1400000000003</v>
      </c>
      <c r="CN260" s="54">
        <f t="shared" si="45"/>
        <v>15.866666666666667</v>
      </c>
      <c r="CO260" s="63">
        <f t="shared" si="46"/>
        <v>230.75</v>
      </c>
      <c r="CP260" s="172">
        <f t="shared" si="47"/>
        <v>191.92833333333337</v>
      </c>
      <c r="CQ260" s="158">
        <v>28</v>
      </c>
      <c r="CR260" s="159">
        <v>420</v>
      </c>
      <c r="CS260" s="179">
        <v>342</v>
      </c>
      <c r="CT260" s="27">
        <v>42</v>
      </c>
      <c r="CU260" s="58">
        <v>560</v>
      </c>
      <c r="CV260" s="12">
        <v>508</v>
      </c>
      <c r="CW260" s="27"/>
      <c r="CX260" s="58"/>
      <c r="CY260" s="98"/>
      <c r="CZ260" s="27"/>
      <c r="DA260" s="58"/>
      <c r="DB260" s="12"/>
      <c r="DC260" s="27"/>
      <c r="DD260" s="58"/>
      <c r="DE260" s="12"/>
      <c r="DF260" s="27"/>
      <c r="DG260" s="58"/>
      <c r="DH260" s="12"/>
      <c r="DI260" s="27"/>
      <c r="DJ260" s="58"/>
      <c r="DK260" s="12"/>
      <c r="DL260" s="27"/>
      <c r="DM260" s="58"/>
      <c r="DN260" s="12"/>
      <c r="DO260" s="27"/>
      <c r="DP260" s="58"/>
      <c r="DQ260" s="12"/>
      <c r="DR260" s="27"/>
      <c r="DS260" s="58"/>
      <c r="DT260" s="12"/>
      <c r="DU260" s="27"/>
      <c r="DV260" s="58"/>
      <c r="DW260" s="12"/>
      <c r="DX260" s="27"/>
      <c r="DY260" s="58"/>
      <c r="DZ260" s="12"/>
    </row>
    <row r="261" spans="1:130" s="25" customFormat="1" ht="31.5" customHeight="1" x14ac:dyDescent="0.6">
      <c r="A261" s="5">
        <v>258</v>
      </c>
      <c r="B261" s="18" t="s">
        <v>626</v>
      </c>
      <c r="C261" s="18" t="s">
        <v>627</v>
      </c>
      <c r="D261" s="18" t="s">
        <v>620</v>
      </c>
      <c r="E261" s="23" t="s">
        <v>621</v>
      </c>
      <c r="F261" s="7" t="s">
        <v>597</v>
      </c>
      <c r="G261" s="123"/>
      <c r="H261" s="123"/>
      <c r="I261" s="123" t="s">
        <v>1114</v>
      </c>
      <c r="J261" s="49" t="s">
        <v>598</v>
      </c>
      <c r="K261" s="27"/>
      <c r="L261" s="58"/>
      <c r="M261" s="78"/>
      <c r="N261" s="27"/>
      <c r="O261" s="58"/>
      <c r="P261" s="49"/>
      <c r="Q261" s="27"/>
      <c r="R261" s="58"/>
      <c r="S261" s="98"/>
      <c r="T261" s="27"/>
      <c r="U261" s="58"/>
      <c r="V261" s="12"/>
      <c r="W261" s="27"/>
      <c r="X261" s="58"/>
      <c r="Y261" s="12"/>
      <c r="Z261" s="27"/>
      <c r="AA261" s="58"/>
      <c r="AB261" s="12"/>
      <c r="AC261" s="27">
        <v>12</v>
      </c>
      <c r="AD261" s="58">
        <v>200</v>
      </c>
      <c r="AE261" s="12"/>
      <c r="AF261" s="27">
        <v>0</v>
      </c>
      <c r="AG261" s="58">
        <v>0</v>
      </c>
      <c r="AH261" s="12"/>
      <c r="AI261" s="27">
        <v>66</v>
      </c>
      <c r="AJ261" s="58">
        <v>918</v>
      </c>
      <c r="AK261" s="12"/>
      <c r="AL261" s="27">
        <v>5</v>
      </c>
      <c r="AM261" s="58">
        <v>60</v>
      </c>
      <c r="AN261" s="12"/>
      <c r="AO261" s="27">
        <v>2</v>
      </c>
      <c r="AP261" s="58">
        <v>24</v>
      </c>
      <c r="AQ261" s="12"/>
      <c r="AR261" s="27">
        <v>31</v>
      </c>
      <c r="AS261" s="58">
        <v>466</v>
      </c>
      <c r="AT261" s="12"/>
      <c r="AU261" s="54"/>
      <c r="AV261" s="63"/>
      <c r="AW261" s="55"/>
      <c r="AX261" s="54"/>
      <c r="AY261" s="63"/>
      <c r="AZ261" s="55"/>
      <c r="BA261" s="10">
        <v>5</v>
      </c>
      <c r="BB261" s="15">
        <v>201</v>
      </c>
      <c r="BC261" s="11">
        <v>106</v>
      </c>
      <c r="BD261" s="10">
        <v>33</v>
      </c>
      <c r="BE261" s="15">
        <v>490</v>
      </c>
      <c r="BF261" s="11">
        <v>387</v>
      </c>
      <c r="BG261" s="10">
        <v>130</v>
      </c>
      <c r="BH261" s="15">
        <v>1956</v>
      </c>
      <c r="BI261" s="11">
        <v>1270</v>
      </c>
      <c r="BJ261" s="10">
        <v>0</v>
      </c>
      <c r="BK261" s="15">
        <v>0</v>
      </c>
      <c r="BL261" s="11">
        <v>0</v>
      </c>
      <c r="BM261" s="46">
        <v>60</v>
      </c>
      <c r="BN261" s="43">
        <v>866</v>
      </c>
      <c r="BO261" s="47">
        <v>617.16</v>
      </c>
      <c r="BP261" s="46">
        <v>50</v>
      </c>
      <c r="BQ261" s="43">
        <v>704</v>
      </c>
      <c r="BR261" s="47">
        <v>575.6</v>
      </c>
      <c r="BS261" s="46">
        <v>35</v>
      </c>
      <c r="BT261" s="43">
        <v>480</v>
      </c>
      <c r="BU261" s="114">
        <v>328.8</v>
      </c>
      <c r="BV261" s="119">
        <v>40</v>
      </c>
      <c r="BW261" s="120">
        <v>520</v>
      </c>
      <c r="BX261" s="114">
        <v>419.20000000000005</v>
      </c>
      <c r="BY261" s="119">
        <v>6.5</v>
      </c>
      <c r="BZ261" s="120">
        <v>106</v>
      </c>
      <c r="CA261" s="114">
        <v>78.08</v>
      </c>
      <c r="CB261" s="119">
        <v>22</v>
      </c>
      <c r="CC261" s="120">
        <v>264</v>
      </c>
      <c r="CD261" s="114">
        <v>264</v>
      </c>
      <c r="CE261" s="119">
        <v>6.5</v>
      </c>
      <c r="CF261" s="120">
        <v>108</v>
      </c>
      <c r="CG261" s="114">
        <v>75.039999999999992</v>
      </c>
      <c r="CH261" s="119">
        <v>26</v>
      </c>
      <c r="CI261" s="120">
        <v>340</v>
      </c>
      <c r="CJ261" s="114">
        <v>310.16000000000003</v>
      </c>
      <c r="CK261" s="54">
        <f t="shared" si="42"/>
        <v>414</v>
      </c>
      <c r="CL261" s="63">
        <f t="shared" si="43"/>
        <v>6035</v>
      </c>
      <c r="CM261" s="55">
        <f t="shared" si="44"/>
        <v>4431.04</v>
      </c>
      <c r="CN261" s="54">
        <f t="shared" si="45"/>
        <v>34.5</v>
      </c>
      <c r="CO261" s="63">
        <f t="shared" si="46"/>
        <v>502.91666666666669</v>
      </c>
      <c r="CP261" s="172">
        <f t="shared" si="47"/>
        <v>369.25333333333333</v>
      </c>
      <c r="CQ261" s="158">
        <v>34</v>
      </c>
      <c r="CR261" s="159">
        <v>436</v>
      </c>
      <c r="CS261" s="179">
        <v>410</v>
      </c>
      <c r="CT261" s="27">
        <v>159</v>
      </c>
      <c r="CU261" s="58">
        <v>2192</v>
      </c>
      <c r="CV261" s="12">
        <v>1610</v>
      </c>
      <c r="CW261" s="27"/>
      <c r="CX261" s="58"/>
      <c r="CY261" s="98"/>
      <c r="CZ261" s="27"/>
      <c r="DA261" s="58"/>
      <c r="DB261" s="12"/>
      <c r="DC261" s="27"/>
      <c r="DD261" s="58"/>
      <c r="DE261" s="12"/>
      <c r="DF261" s="27"/>
      <c r="DG261" s="58"/>
      <c r="DH261" s="12"/>
      <c r="DI261" s="27"/>
      <c r="DJ261" s="58"/>
      <c r="DK261" s="12"/>
      <c r="DL261" s="27"/>
      <c r="DM261" s="58"/>
      <c r="DN261" s="12"/>
      <c r="DO261" s="27"/>
      <c r="DP261" s="58"/>
      <c r="DQ261" s="12"/>
      <c r="DR261" s="27"/>
      <c r="DS261" s="58"/>
      <c r="DT261" s="12"/>
      <c r="DU261" s="27"/>
      <c r="DV261" s="58"/>
      <c r="DW261" s="12"/>
      <c r="DX261" s="27"/>
      <c r="DY261" s="58"/>
      <c r="DZ261" s="12"/>
    </row>
    <row r="262" spans="1:130" s="25" customFormat="1" ht="31.5" customHeight="1" x14ac:dyDescent="0.6">
      <c r="A262" s="5">
        <v>259</v>
      </c>
      <c r="B262" s="18" t="s">
        <v>628</v>
      </c>
      <c r="C262" s="18" t="s">
        <v>629</v>
      </c>
      <c r="D262" s="18" t="s">
        <v>620</v>
      </c>
      <c r="E262" s="23" t="s">
        <v>621</v>
      </c>
      <c r="F262" s="7" t="s">
        <v>597</v>
      </c>
      <c r="G262" s="123"/>
      <c r="H262" s="123"/>
      <c r="I262" s="123" t="s">
        <v>1115</v>
      </c>
      <c r="J262" s="49" t="s">
        <v>598</v>
      </c>
      <c r="K262" s="27"/>
      <c r="L262" s="58"/>
      <c r="M262" s="78"/>
      <c r="N262" s="27"/>
      <c r="O262" s="58"/>
      <c r="P262" s="49"/>
      <c r="Q262" s="27"/>
      <c r="R262" s="58"/>
      <c r="S262" s="98"/>
      <c r="T262" s="27"/>
      <c r="U262" s="58"/>
      <c r="V262" s="12"/>
      <c r="W262" s="27"/>
      <c r="X262" s="58"/>
      <c r="Y262" s="12"/>
      <c r="Z262" s="27"/>
      <c r="AA262" s="58"/>
      <c r="AB262" s="12"/>
      <c r="AC262" s="27">
        <v>18</v>
      </c>
      <c r="AD262" s="58">
        <v>2280</v>
      </c>
      <c r="AE262" s="12"/>
      <c r="AF262" s="27">
        <v>0</v>
      </c>
      <c r="AG262" s="58">
        <v>0</v>
      </c>
      <c r="AH262" s="12"/>
      <c r="AI262" s="27">
        <v>14</v>
      </c>
      <c r="AJ262" s="58">
        <v>234</v>
      </c>
      <c r="AK262" s="12"/>
      <c r="AL262" s="27">
        <v>0</v>
      </c>
      <c r="AM262" s="58">
        <v>0</v>
      </c>
      <c r="AN262" s="12"/>
      <c r="AO262" s="27">
        <v>1</v>
      </c>
      <c r="AP262" s="58">
        <v>14</v>
      </c>
      <c r="AQ262" s="12"/>
      <c r="AR262" s="27">
        <v>3</v>
      </c>
      <c r="AS262" s="58">
        <v>64</v>
      </c>
      <c r="AT262" s="12"/>
      <c r="AU262" s="54"/>
      <c r="AV262" s="63"/>
      <c r="AW262" s="55"/>
      <c r="AX262" s="54"/>
      <c r="AY262" s="63"/>
      <c r="AZ262" s="55"/>
      <c r="BA262" s="10">
        <v>5</v>
      </c>
      <c r="BB262" s="15">
        <v>60</v>
      </c>
      <c r="BC262" s="11">
        <v>60</v>
      </c>
      <c r="BD262" s="10">
        <v>5</v>
      </c>
      <c r="BE262" s="15">
        <v>144</v>
      </c>
      <c r="BF262" s="11">
        <v>66</v>
      </c>
      <c r="BG262" s="10">
        <v>220</v>
      </c>
      <c r="BH262" s="15">
        <v>3140</v>
      </c>
      <c r="BI262" s="11">
        <v>2103</v>
      </c>
      <c r="BJ262" s="10">
        <v>10</v>
      </c>
      <c r="BK262" s="15">
        <v>192</v>
      </c>
      <c r="BL262" s="11">
        <v>99.68</v>
      </c>
      <c r="BM262" s="46">
        <v>15</v>
      </c>
      <c r="BN262" s="43">
        <v>258</v>
      </c>
      <c r="BO262" s="47">
        <v>151.76</v>
      </c>
      <c r="BP262" s="46">
        <v>13.5</v>
      </c>
      <c r="BQ262" s="43">
        <v>228</v>
      </c>
      <c r="BR262" s="47">
        <v>150.80000000000001</v>
      </c>
      <c r="BS262" s="46">
        <v>22</v>
      </c>
      <c r="BT262" s="43">
        <v>452</v>
      </c>
      <c r="BU262" s="114">
        <v>245.6</v>
      </c>
      <c r="BV262" s="119">
        <v>24.3</v>
      </c>
      <c r="BW262" s="120">
        <v>351</v>
      </c>
      <c r="BX262" s="114">
        <v>243.39999999999998</v>
      </c>
      <c r="BY262" s="119">
        <v>19</v>
      </c>
      <c r="BZ262" s="120">
        <v>370</v>
      </c>
      <c r="CA262" s="114">
        <v>190.39999999999998</v>
      </c>
      <c r="CB262" s="119">
        <v>22.5</v>
      </c>
      <c r="CC262" s="120">
        <v>402</v>
      </c>
      <c r="CD262" s="114">
        <v>230.32</v>
      </c>
      <c r="CE262" s="119">
        <v>38</v>
      </c>
      <c r="CF262" s="120">
        <v>532</v>
      </c>
      <c r="CG262" s="114">
        <v>340.47999999999996</v>
      </c>
      <c r="CH262" s="119">
        <v>37.92</v>
      </c>
      <c r="CI262" s="120">
        <v>618</v>
      </c>
      <c r="CJ262" s="114">
        <v>388.18000000000006</v>
      </c>
      <c r="CK262" s="54">
        <f t="shared" si="42"/>
        <v>432.22</v>
      </c>
      <c r="CL262" s="63">
        <f t="shared" si="43"/>
        <v>6747</v>
      </c>
      <c r="CM262" s="55">
        <f t="shared" si="44"/>
        <v>4269.62</v>
      </c>
      <c r="CN262" s="54">
        <f t="shared" si="45"/>
        <v>36.018333333333338</v>
      </c>
      <c r="CO262" s="63">
        <f t="shared" si="46"/>
        <v>562.25</v>
      </c>
      <c r="CP262" s="172">
        <f t="shared" si="47"/>
        <v>355.80166666666668</v>
      </c>
      <c r="CQ262" s="158">
        <v>76.165999999999997</v>
      </c>
      <c r="CR262" s="159">
        <v>1042</v>
      </c>
      <c r="CS262" s="179">
        <v>763.4</v>
      </c>
      <c r="CT262" s="27">
        <v>50</v>
      </c>
      <c r="CU262" s="58">
        <v>724</v>
      </c>
      <c r="CV262" s="12">
        <v>545.20000000000005</v>
      </c>
      <c r="CW262" s="27"/>
      <c r="CX262" s="58"/>
      <c r="CY262" s="98"/>
      <c r="CZ262" s="27"/>
      <c r="DA262" s="58"/>
      <c r="DB262" s="12"/>
      <c r="DC262" s="27"/>
      <c r="DD262" s="58"/>
      <c r="DE262" s="12"/>
      <c r="DF262" s="27"/>
      <c r="DG262" s="58"/>
      <c r="DH262" s="12"/>
      <c r="DI262" s="27"/>
      <c r="DJ262" s="58"/>
      <c r="DK262" s="12"/>
      <c r="DL262" s="27"/>
      <c r="DM262" s="58"/>
      <c r="DN262" s="12"/>
      <c r="DO262" s="27"/>
      <c r="DP262" s="58"/>
      <c r="DQ262" s="12"/>
      <c r="DR262" s="27"/>
      <c r="DS262" s="58"/>
      <c r="DT262" s="12"/>
      <c r="DU262" s="27"/>
      <c r="DV262" s="58"/>
      <c r="DW262" s="12"/>
      <c r="DX262" s="27"/>
      <c r="DY262" s="58"/>
      <c r="DZ262" s="12"/>
    </row>
    <row r="263" spans="1:130" s="25" customFormat="1" ht="31.5" customHeight="1" x14ac:dyDescent="0.6">
      <c r="A263" s="5">
        <v>260</v>
      </c>
      <c r="B263" s="18" t="s">
        <v>632</v>
      </c>
      <c r="C263" s="18" t="s">
        <v>633</v>
      </c>
      <c r="D263" s="18" t="s">
        <v>300</v>
      </c>
      <c r="E263" s="23" t="s">
        <v>301</v>
      </c>
      <c r="F263" s="7" t="s">
        <v>597</v>
      </c>
      <c r="G263" s="123"/>
      <c r="H263" s="123"/>
      <c r="I263" s="123" t="s">
        <v>1117</v>
      </c>
      <c r="J263" s="49" t="s">
        <v>598</v>
      </c>
      <c r="K263" s="27"/>
      <c r="L263" s="58"/>
      <c r="M263" s="78"/>
      <c r="N263" s="27"/>
      <c r="O263" s="58"/>
      <c r="P263" s="49"/>
      <c r="Q263" s="27"/>
      <c r="R263" s="58"/>
      <c r="S263" s="98"/>
      <c r="T263" s="27"/>
      <c r="U263" s="58"/>
      <c r="V263" s="12"/>
      <c r="W263" s="27"/>
      <c r="X263" s="58"/>
      <c r="Y263" s="12"/>
      <c r="Z263" s="27"/>
      <c r="AA263" s="58"/>
      <c r="AB263" s="12"/>
      <c r="AC263" s="27">
        <v>23</v>
      </c>
      <c r="AD263" s="58">
        <v>296</v>
      </c>
      <c r="AE263" s="12"/>
      <c r="AF263" s="27">
        <v>11</v>
      </c>
      <c r="AG263" s="58">
        <v>160</v>
      </c>
      <c r="AH263" s="12"/>
      <c r="AI263" s="27">
        <v>47</v>
      </c>
      <c r="AJ263" s="58">
        <v>650</v>
      </c>
      <c r="AK263" s="12"/>
      <c r="AL263" s="27">
        <v>5</v>
      </c>
      <c r="AM263" s="58">
        <v>60</v>
      </c>
      <c r="AN263" s="12"/>
      <c r="AO263" s="27">
        <v>6</v>
      </c>
      <c r="AP263" s="58">
        <v>104</v>
      </c>
      <c r="AQ263" s="12"/>
      <c r="AR263" s="27">
        <v>11</v>
      </c>
      <c r="AS263" s="58">
        <v>134</v>
      </c>
      <c r="AT263" s="12"/>
      <c r="AU263" s="54"/>
      <c r="AV263" s="63"/>
      <c r="AW263" s="55"/>
      <c r="AX263" s="54"/>
      <c r="AY263" s="63"/>
      <c r="AZ263" s="55"/>
      <c r="BA263" s="10">
        <v>27.5</v>
      </c>
      <c r="BB263" s="15">
        <v>405</v>
      </c>
      <c r="BC263" s="11">
        <v>295</v>
      </c>
      <c r="BD263" s="10">
        <v>12</v>
      </c>
      <c r="BE263" s="15">
        <v>148</v>
      </c>
      <c r="BF263" s="11">
        <v>130.4</v>
      </c>
      <c r="BG263" s="10">
        <v>32</v>
      </c>
      <c r="BH263" s="15">
        <v>416</v>
      </c>
      <c r="BI263" s="11">
        <v>325.88</v>
      </c>
      <c r="BJ263" s="10">
        <v>27</v>
      </c>
      <c r="BK263" s="15">
        <v>344</v>
      </c>
      <c r="BL263" s="11">
        <v>286</v>
      </c>
      <c r="BM263" s="46">
        <v>32</v>
      </c>
      <c r="BN263" s="43">
        <v>432</v>
      </c>
      <c r="BO263" s="47">
        <v>352.8</v>
      </c>
      <c r="BP263" s="46">
        <v>40</v>
      </c>
      <c r="BQ263" s="43">
        <v>541</v>
      </c>
      <c r="BR263" s="47">
        <v>432.2</v>
      </c>
      <c r="BS263" s="46">
        <v>55</v>
      </c>
      <c r="BT263" s="43">
        <v>764</v>
      </c>
      <c r="BU263" s="114">
        <v>632</v>
      </c>
      <c r="BV263" s="119">
        <v>50</v>
      </c>
      <c r="BW263" s="120">
        <v>698</v>
      </c>
      <c r="BX263" s="114">
        <v>532.71999999999991</v>
      </c>
      <c r="BY263" s="119">
        <v>36</v>
      </c>
      <c r="BZ263" s="120">
        <v>468</v>
      </c>
      <c r="CA263" s="114">
        <v>373.68</v>
      </c>
      <c r="CB263" s="119">
        <v>39</v>
      </c>
      <c r="CC263" s="120">
        <v>558</v>
      </c>
      <c r="CD263" s="114">
        <v>416.71999999999997</v>
      </c>
      <c r="CE263" s="119">
        <v>45</v>
      </c>
      <c r="CF263" s="120">
        <v>692</v>
      </c>
      <c r="CG263" s="114">
        <v>483.59999999999997</v>
      </c>
      <c r="CH263" s="119">
        <v>56</v>
      </c>
      <c r="CI263" s="120">
        <v>836</v>
      </c>
      <c r="CJ263" s="114">
        <v>597.36</v>
      </c>
      <c r="CK263" s="54">
        <f t="shared" si="42"/>
        <v>451.5</v>
      </c>
      <c r="CL263" s="63">
        <f t="shared" si="43"/>
        <v>6302</v>
      </c>
      <c r="CM263" s="55">
        <f t="shared" si="44"/>
        <v>4858.3599999999988</v>
      </c>
      <c r="CN263" s="54">
        <f t="shared" si="45"/>
        <v>37.625</v>
      </c>
      <c r="CO263" s="63">
        <f t="shared" si="46"/>
        <v>525.16666666666663</v>
      </c>
      <c r="CP263" s="172">
        <f t="shared" si="47"/>
        <v>404.86333333333323</v>
      </c>
      <c r="CQ263" s="158">
        <v>34</v>
      </c>
      <c r="CR263" s="159">
        <v>476</v>
      </c>
      <c r="CS263" s="179">
        <v>393.76</v>
      </c>
      <c r="CT263" s="27">
        <v>44</v>
      </c>
      <c r="CU263" s="58">
        <v>636</v>
      </c>
      <c r="CV263" s="12">
        <v>493.91999999999996</v>
      </c>
      <c r="CW263" s="27"/>
      <c r="CX263" s="58"/>
      <c r="CY263" s="98"/>
      <c r="CZ263" s="27"/>
      <c r="DA263" s="58"/>
      <c r="DB263" s="12"/>
      <c r="DC263" s="27"/>
      <c r="DD263" s="58"/>
      <c r="DE263" s="12"/>
      <c r="DF263" s="27"/>
      <c r="DG263" s="58"/>
      <c r="DH263" s="12"/>
      <c r="DI263" s="27"/>
      <c r="DJ263" s="58"/>
      <c r="DK263" s="12"/>
      <c r="DL263" s="27"/>
      <c r="DM263" s="58"/>
      <c r="DN263" s="12"/>
      <c r="DO263" s="27"/>
      <c r="DP263" s="58"/>
      <c r="DQ263" s="12"/>
      <c r="DR263" s="27"/>
      <c r="DS263" s="58"/>
      <c r="DT263" s="12"/>
      <c r="DU263" s="27"/>
      <c r="DV263" s="58"/>
      <c r="DW263" s="12"/>
      <c r="DX263" s="27"/>
      <c r="DY263" s="58"/>
      <c r="DZ263" s="12"/>
    </row>
    <row r="264" spans="1:130" s="25" customFormat="1" ht="31.5" customHeight="1" x14ac:dyDescent="0.6">
      <c r="A264" s="5">
        <v>261</v>
      </c>
      <c r="B264" s="18" t="s">
        <v>634</v>
      </c>
      <c r="C264" s="18" t="s">
        <v>635</v>
      </c>
      <c r="D264" s="18" t="s">
        <v>300</v>
      </c>
      <c r="E264" s="23" t="s">
        <v>301</v>
      </c>
      <c r="F264" s="7" t="s">
        <v>597</v>
      </c>
      <c r="G264" s="123"/>
      <c r="H264" s="123"/>
      <c r="I264" s="123" t="s">
        <v>1118</v>
      </c>
      <c r="J264" s="49" t="s">
        <v>598</v>
      </c>
      <c r="K264" s="27"/>
      <c r="L264" s="58"/>
      <c r="M264" s="78"/>
      <c r="N264" s="27"/>
      <c r="O264" s="58"/>
      <c r="P264" s="49"/>
      <c r="Q264" s="27"/>
      <c r="R264" s="58"/>
      <c r="S264" s="98"/>
      <c r="T264" s="27"/>
      <c r="U264" s="58"/>
      <c r="V264" s="12"/>
      <c r="W264" s="27"/>
      <c r="X264" s="58"/>
      <c r="Y264" s="12"/>
      <c r="Z264" s="27"/>
      <c r="AA264" s="58"/>
      <c r="AB264" s="12"/>
      <c r="AC264" s="27">
        <v>29</v>
      </c>
      <c r="AD264" s="58">
        <v>466</v>
      </c>
      <c r="AE264" s="12"/>
      <c r="AF264" s="27">
        <v>0</v>
      </c>
      <c r="AG264" s="58">
        <v>0</v>
      </c>
      <c r="AH264" s="12"/>
      <c r="AI264" s="27">
        <v>21</v>
      </c>
      <c r="AJ264" s="58">
        <v>336</v>
      </c>
      <c r="AK264" s="12"/>
      <c r="AL264" s="27">
        <v>9</v>
      </c>
      <c r="AM264" s="58">
        <v>138</v>
      </c>
      <c r="AN264" s="12"/>
      <c r="AO264" s="27">
        <v>12</v>
      </c>
      <c r="AP264" s="58">
        <v>200</v>
      </c>
      <c r="AQ264" s="12"/>
      <c r="AR264" s="27">
        <v>19</v>
      </c>
      <c r="AS264" s="58">
        <v>256</v>
      </c>
      <c r="AT264" s="12"/>
      <c r="AU264" s="54"/>
      <c r="AV264" s="63"/>
      <c r="AW264" s="55"/>
      <c r="AX264" s="54"/>
      <c r="AY264" s="63"/>
      <c r="AZ264" s="55"/>
      <c r="BA264" s="10">
        <v>27</v>
      </c>
      <c r="BB264" s="15">
        <v>496</v>
      </c>
      <c r="BC264" s="11">
        <v>330</v>
      </c>
      <c r="BD264" s="10">
        <v>33</v>
      </c>
      <c r="BE264" s="15">
        <v>648</v>
      </c>
      <c r="BF264" s="11">
        <v>390.8</v>
      </c>
      <c r="BG264" s="10">
        <v>20</v>
      </c>
      <c r="BH264" s="15">
        <v>380</v>
      </c>
      <c r="BI264" s="11">
        <v>240</v>
      </c>
      <c r="BJ264" s="10">
        <v>39</v>
      </c>
      <c r="BK264" s="15">
        <v>720</v>
      </c>
      <c r="BL264" s="11">
        <v>468</v>
      </c>
      <c r="BM264" s="46">
        <v>53</v>
      </c>
      <c r="BN264" s="43">
        <v>1004</v>
      </c>
      <c r="BO264" s="47">
        <v>655.92</v>
      </c>
      <c r="BP264" s="46">
        <v>50</v>
      </c>
      <c r="BQ264" s="43">
        <v>796</v>
      </c>
      <c r="BR264" s="47">
        <v>593.4</v>
      </c>
      <c r="BS264" s="46">
        <v>72</v>
      </c>
      <c r="BT264" s="43">
        <v>1092</v>
      </c>
      <c r="BU264" s="114">
        <v>868.92</v>
      </c>
      <c r="BV264" s="119">
        <v>46</v>
      </c>
      <c r="BW264" s="120">
        <v>776</v>
      </c>
      <c r="BX264" s="114">
        <v>551.8599999999999</v>
      </c>
      <c r="BY264" s="119">
        <v>49</v>
      </c>
      <c r="BZ264" s="120">
        <v>756</v>
      </c>
      <c r="CA264" s="114">
        <v>585.6</v>
      </c>
      <c r="CB264" s="119">
        <v>65</v>
      </c>
      <c r="CC264" s="120">
        <v>1060</v>
      </c>
      <c r="CD264" s="114">
        <v>800</v>
      </c>
      <c r="CE264" s="119">
        <v>53</v>
      </c>
      <c r="CF264" s="120">
        <v>804</v>
      </c>
      <c r="CG264" s="114">
        <v>628.79999999999995</v>
      </c>
      <c r="CH264" s="119">
        <v>64</v>
      </c>
      <c r="CI264" s="120">
        <v>964</v>
      </c>
      <c r="CJ264" s="114">
        <v>777.2</v>
      </c>
      <c r="CK264" s="54">
        <f t="shared" si="42"/>
        <v>571</v>
      </c>
      <c r="CL264" s="63">
        <f t="shared" si="43"/>
        <v>9496</v>
      </c>
      <c r="CM264" s="55">
        <f t="shared" si="44"/>
        <v>6890.5</v>
      </c>
      <c r="CN264" s="54">
        <f t="shared" si="45"/>
        <v>47.583333333333336</v>
      </c>
      <c r="CO264" s="63">
        <f t="shared" si="46"/>
        <v>791.33333333333337</v>
      </c>
      <c r="CP264" s="172">
        <f t="shared" si="47"/>
        <v>574.20833333333337</v>
      </c>
      <c r="CQ264" s="158">
        <v>63</v>
      </c>
      <c r="CR264" s="159">
        <v>980</v>
      </c>
      <c r="CS264" s="179">
        <v>749.19999999999993</v>
      </c>
      <c r="CT264" s="27">
        <v>58</v>
      </c>
      <c r="CU264" s="58">
        <v>976</v>
      </c>
      <c r="CV264" s="12">
        <v>716</v>
      </c>
      <c r="CW264" s="27"/>
      <c r="CX264" s="58"/>
      <c r="CY264" s="98"/>
      <c r="CZ264" s="27"/>
      <c r="DA264" s="58"/>
      <c r="DB264" s="12"/>
      <c r="DC264" s="27"/>
      <c r="DD264" s="58"/>
      <c r="DE264" s="12"/>
      <c r="DF264" s="27"/>
      <c r="DG264" s="58"/>
      <c r="DH264" s="12"/>
      <c r="DI264" s="27"/>
      <c r="DJ264" s="58"/>
      <c r="DK264" s="12"/>
      <c r="DL264" s="27"/>
      <c r="DM264" s="58"/>
      <c r="DN264" s="12"/>
      <c r="DO264" s="27"/>
      <c r="DP264" s="58"/>
      <c r="DQ264" s="12"/>
      <c r="DR264" s="27"/>
      <c r="DS264" s="58"/>
      <c r="DT264" s="12"/>
      <c r="DU264" s="27"/>
      <c r="DV264" s="58"/>
      <c r="DW264" s="12"/>
      <c r="DX264" s="27"/>
      <c r="DY264" s="58"/>
      <c r="DZ264" s="12"/>
    </row>
    <row r="265" spans="1:130" s="25" customFormat="1" ht="31.5" customHeight="1" x14ac:dyDescent="0.6">
      <c r="A265" s="5">
        <v>262</v>
      </c>
      <c r="B265" s="18" t="s">
        <v>663</v>
      </c>
      <c r="C265" s="109" t="s">
        <v>664</v>
      </c>
      <c r="D265" s="19" t="s">
        <v>620</v>
      </c>
      <c r="E265" s="24" t="s">
        <v>621</v>
      </c>
      <c r="F265" s="110" t="s">
        <v>597</v>
      </c>
      <c r="G265" s="124"/>
      <c r="H265" s="124"/>
      <c r="I265" s="124"/>
      <c r="J265" s="49" t="s">
        <v>598</v>
      </c>
      <c r="K265" s="27"/>
      <c r="L265" s="58"/>
      <c r="M265" s="78"/>
      <c r="N265" s="27"/>
      <c r="O265" s="58"/>
      <c r="P265" s="49"/>
      <c r="Q265" s="27"/>
      <c r="R265" s="58"/>
      <c r="S265" s="98"/>
      <c r="T265" s="27"/>
      <c r="U265" s="58"/>
      <c r="V265" s="12"/>
      <c r="W265" s="27"/>
      <c r="X265" s="58"/>
      <c r="Y265" s="12"/>
      <c r="Z265" s="27"/>
      <c r="AA265" s="58"/>
      <c r="AB265" s="12"/>
      <c r="AC265" s="27"/>
      <c r="AD265" s="58"/>
      <c r="AE265" s="12"/>
      <c r="AF265" s="27"/>
      <c r="AG265" s="58"/>
      <c r="AH265" s="12"/>
      <c r="AI265" s="27"/>
      <c r="AJ265" s="58"/>
      <c r="AK265" s="12"/>
      <c r="AL265" s="27"/>
      <c r="AM265" s="58"/>
      <c r="AN265" s="12"/>
      <c r="AO265" s="27"/>
      <c r="AP265" s="58"/>
      <c r="AQ265" s="12"/>
      <c r="AR265" s="27"/>
      <c r="AS265" s="58"/>
      <c r="AT265" s="12"/>
      <c r="AU265" s="54"/>
      <c r="AV265" s="63"/>
      <c r="AW265" s="55"/>
      <c r="AX265" s="54"/>
      <c r="AY265" s="63"/>
      <c r="AZ265" s="55"/>
      <c r="BA265" s="10"/>
      <c r="BB265" s="15"/>
      <c r="BC265" s="11"/>
      <c r="BD265" s="10"/>
      <c r="BE265" s="15"/>
      <c r="BF265" s="11"/>
      <c r="BG265" s="10"/>
      <c r="BH265" s="15"/>
      <c r="BI265" s="11"/>
      <c r="BJ265" s="10"/>
      <c r="BK265" s="15"/>
      <c r="BL265" s="11"/>
      <c r="BM265" s="46"/>
      <c r="BN265" s="43"/>
      <c r="BO265" s="47"/>
      <c r="BP265" s="46"/>
      <c r="BQ265" s="43"/>
      <c r="BR265" s="47"/>
      <c r="BS265" s="46"/>
      <c r="BT265" s="43"/>
      <c r="BU265" s="47"/>
      <c r="BV265" s="46">
        <v>58</v>
      </c>
      <c r="BW265" s="43">
        <v>835</v>
      </c>
      <c r="BX265" s="47">
        <v>705.6400000000001</v>
      </c>
      <c r="BY265" s="46">
        <v>54</v>
      </c>
      <c r="BZ265" s="43">
        <v>800</v>
      </c>
      <c r="CA265" s="47">
        <v>595.20000000000005</v>
      </c>
      <c r="CB265" s="46">
        <v>80</v>
      </c>
      <c r="CC265" s="43">
        <v>1106</v>
      </c>
      <c r="CD265" s="47">
        <v>885.6</v>
      </c>
      <c r="CE265" s="46">
        <v>87.5</v>
      </c>
      <c r="CF265" s="43">
        <v>1286</v>
      </c>
      <c r="CG265" s="47">
        <v>1001.28</v>
      </c>
      <c r="CH265" s="46">
        <v>58.67</v>
      </c>
      <c r="CI265" s="43">
        <v>762</v>
      </c>
      <c r="CJ265" s="47">
        <v>629.5200000000001</v>
      </c>
      <c r="CK265" s="54">
        <f t="shared" si="42"/>
        <v>338.17</v>
      </c>
      <c r="CL265" s="63">
        <f t="shared" si="43"/>
        <v>4789</v>
      </c>
      <c r="CM265" s="55">
        <f t="shared" si="44"/>
        <v>3817.2400000000002</v>
      </c>
      <c r="CN265" s="54">
        <f t="shared" si="45"/>
        <v>28.180833333333336</v>
      </c>
      <c r="CO265" s="63">
        <f t="shared" si="46"/>
        <v>399.08333333333331</v>
      </c>
      <c r="CP265" s="172">
        <f t="shared" si="47"/>
        <v>318.10333333333335</v>
      </c>
      <c r="CQ265" s="158">
        <v>121.5</v>
      </c>
      <c r="CR265" s="159">
        <v>2054</v>
      </c>
      <c r="CS265" s="179">
        <v>1446.76</v>
      </c>
      <c r="CT265" s="27">
        <v>124</v>
      </c>
      <c r="CU265" s="58">
        <v>1642</v>
      </c>
      <c r="CV265" s="12">
        <v>1432.1599999999999</v>
      </c>
      <c r="CW265" s="27"/>
      <c r="CX265" s="58"/>
      <c r="CY265" s="98"/>
      <c r="CZ265" s="27"/>
      <c r="DA265" s="58"/>
      <c r="DB265" s="12"/>
      <c r="DC265" s="27"/>
      <c r="DD265" s="58"/>
      <c r="DE265" s="12"/>
      <c r="DF265" s="27"/>
      <c r="DG265" s="58"/>
      <c r="DH265" s="12"/>
      <c r="DI265" s="27"/>
      <c r="DJ265" s="58"/>
      <c r="DK265" s="12"/>
      <c r="DL265" s="27"/>
      <c r="DM265" s="58"/>
      <c r="DN265" s="12"/>
      <c r="DO265" s="27"/>
      <c r="DP265" s="58"/>
      <c r="DQ265" s="12"/>
      <c r="DR265" s="27"/>
      <c r="DS265" s="58"/>
      <c r="DT265" s="12"/>
      <c r="DU265" s="27"/>
      <c r="DV265" s="58"/>
      <c r="DW265" s="12"/>
      <c r="DX265" s="27"/>
      <c r="DY265" s="58"/>
      <c r="DZ265" s="12"/>
    </row>
    <row r="266" spans="1:130" s="25" customFormat="1" ht="31.5" customHeight="1" x14ac:dyDescent="0.6">
      <c r="A266" s="5">
        <v>263</v>
      </c>
      <c r="B266" s="18" t="s">
        <v>665</v>
      </c>
      <c r="C266" s="109" t="s">
        <v>665</v>
      </c>
      <c r="D266" s="19" t="s">
        <v>620</v>
      </c>
      <c r="E266" s="24" t="s">
        <v>621</v>
      </c>
      <c r="F266" s="110" t="s">
        <v>597</v>
      </c>
      <c r="G266" s="124"/>
      <c r="H266" s="124"/>
      <c r="I266" s="124"/>
      <c r="J266" s="49" t="s">
        <v>598</v>
      </c>
      <c r="K266" s="27"/>
      <c r="L266" s="58"/>
      <c r="M266" s="78"/>
      <c r="N266" s="27"/>
      <c r="O266" s="58"/>
      <c r="P266" s="49"/>
      <c r="Q266" s="27"/>
      <c r="R266" s="58"/>
      <c r="S266" s="98"/>
      <c r="T266" s="27"/>
      <c r="U266" s="58"/>
      <c r="V266" s="12"/>
      <c r="W266" s="27"/>
      <c r="X266" s="58"/>
      <c r="Y266" s="12"/>
      <c r="Z266" s="27"/>
      <c r="AA266" s="58"/>
      <c r="AB266" s="12"/>
      <c r="AC266" s="27"/>
      <c r="AD266" s="58"/>
      <c r="AE266" s="12"/>
      <c r="AF266" s="27"/>
      <c r="AG266" s="58"/>
      <c r="AH266" s="12"/>
      <c r="AI266" s="27"/>
      <c r="AJ266" s="58"/>
      <c r="AK266" s="12"/>
      <c r="AL266" s="27"/>
      <c r="AM266" s="58"/>
      <c r="AN266" s="12"/>
      <c r="AO266" s="27"/>
      <c r="AP266" s="58"/>
      <c r="AQ266" s="12"/>
      <c r="AR266" s="27"/>
      <c r="AS266" s="58"/>
      <c r="AT266" s="12"/>
      <c r="AU266" s="54"/>
      <c r="AV266" s="63"/>
      <c r="AW266" s="55"/>
      <c r="AX266" s="54"/>
      <c r="AY266" s="63"/>
      <c r="AZ266" s="55"/>
      <c r="BA266" s="10"/>
      <c r="BB266" s="15"/>
      <c r="BC266" s="11"/>
      <c r="BD266" s="10"/>
      <c r="BE266" s="15"/>
      <c r="BF266" s="11"/>
      <c r="BG266" s="10"/>
      <c r="BH266" s="15"/>
      <c r="BI266" s="11"/>
      <c r="BJ266" s="10"/>
      <c r="BK266" s="15"/>
      <c r="BL266" s="11"/>
      <c r="BM266" s="46"/>
      <c r="BN266" s="43"/>
      <c r="BO266" s="47"/>
      <c r="BP266" s="46"/>
      <c r="BQ266" s="43"/>
      <c r="BR266" s="47"/>
      <c r="BS266" s="46"/>
      <c r="BT266" s="43"/>
      <c r="BU266" s="47"/>
      <c r="BV266" s="46">
        <v>81.5</v>
      </c>
      <c r="BW266" s="43">
        <v>1201</v>
      </c>
      <c r="BX266" s="47">
        <v>946.88</v>
      </c>
      <c r="BY266" s="46">
        <v>51</v>
      </c>
      <c r="BZ266" s="43">
        <v>992</v>
      </c>
      <c r="CA266" s="47">
        <v>613.68000000000006</v>
      </c>
      <c r="CB266" s="46">
        <v>50</v>
      </c>
      <c r="CC266" s="43">
        <v>802</v>
      </c>
      <c r="CD266" s="47">
        <v>604.88</v>
      </c>
      <c r="CE266" s="46">
        <v>47.93</v>
      </c>
      <c r="CF266" s="43">
        <v>807</v>
      </c>
      <c r="CG266" s="47">
        <v>564.79999999999995</v>
      </c>
      <c r="CH266" s="46">
        <v>72.09</v>
      </c>
      <c r="CI266" s="43">
        <v>1054</v>
      </c>
      <c r="CJ266" s="47">
        <v>851.02</v>
      </c>
      <c r="CK266" s="54">
        <f t="shared" si="42"/>
        <v>302.52</v>
      </c>
      <c r="CL266" s="63">
        <f t="shared" si="43"/>
        <v>4856</v>
      </c>
      <c r="CM266" s="55">
        <f t="shared" si="44"/>
        <v>3581.2599999999998</v>
      </c>
      <c r="CN266" s="54">
        <f t="shared" si="45"/>
        <v>25.209999999999997</v>
      </c>
      <c r="CO266" s="63">
        <f t="shared" si="46"/>
        <v>404.66666666666669</v>
      </c>
      <c r="CP266" s="172">
        <f t="shared" si="47"/>
        <v>298.43833333333333</v>
      </c>
      <c r="CQ266" s="158">
        <v>157.208</v>
      </c>
      <c r="CR266" s="159">
        <v>2657</v>
      </c>
      <c r="CS266" s="179">
        <v>1884.15</v>
      </c>
      <c r="CT266" s="27">
        <v>58.5</v>
      </c>
      <c r="CU266" s="58">
        <v>820</v>
      </c>
      <c r="CV266" s="12">
        <v>698.96</v>
      </c>
      <c r="CW266" s="27"/>
      <c r="CX266" s="58"/>
      <c r="CY266" s="98"/>
      <c r="CZ266" s="27"/>
      <c r="DA266" s="58"/>
      <c r="DB266" s="12"/>
      <c r="DC266" s="27"/>
      <c r="DD266" s="58"/>
      <c r="DE266" s="12"/>
      <c r="DF266" s="27"/>
      <c r="DG266" s="58"/>
      <c r="DH266" s="12"/>
      <c r="DI266" s="27"/>
      <c r="DJ266" s="58"/>
      <c r="DK266" s="12"/>
      <c r="DL266" s="27"/>
      <c r="DM266" s="58"/>
      <c r="DN266" s="12"/>
      <c r="DO266" s="27"/>
      <c r="DP266" s="58"/>
      <c r="DQ266" s="12"/>
      <c r="DR266" s="27"/>
      <c r="DS266" s="58"/>
      <c r="DT266" s="12"/>
      <c r="DU266" s="27"/>
      <c r="DV266" s="58"/>
      <c r="DW266" s="12"/>
      <c r="DX266" s="27"/>
      <c r="DY266" s="58"/>
      <c r="DZ266" s="12"/>
    </row>
    <row r="267" spans="1:130" s="25" customFormat="1" ht="31.5" customHeight="1" x14ac:dyDescent="0.6">
      <c r="A267" s="5">
        <v>264</v>
      </c>
      <c r="B267" s="18" t="s">
        <v>265</v>
      </c>
      <c r="C267" s="109"/>
      <c r="D267" s="19"/>
      <c r="E267" s="24"/>
      <c r="F267" s="110"/>
      <c r="G267" s="124"/>
      <c r="H267" s="124"/>
      <c r="I267" s="124"/>
      <c r="J267" s="49"/>
      <c r="K267" s="27"/>
      <c r="L267" s="58"/>
      <c r="M267" s="78"/>
      <c r="N267" s="27"/>
      <c r="O267" s="58"/>
      <c r="P267" s="49"/>
      <c r="Q267" s="27"/>
      <c r="R267" s="58"/>
      <c r="S267" s="98"/>
      <c r="T267" s="27"/>
      <c r="U267" s="58"/>
      <c r="V267" s="12"/>
      <c r="W267" s="27"/>
      <c r="X267" s="58"/>
      <c r="Y267" s="12"/>
      <c r="Z267" s="27"/>
      <c r="AA267" s="58"/>
      <c r="AB267" s="12"/>
      <c r="AC267" s="27"/>
      <c r="AD267" s="58"/>
      <c r="AE267" s="12"/>
      <c r="AF267" s="27"/>
      <c r="AG267" s="58"/>
      <c r="AH267" s="12"/>
      <c r="AI267" s="27"/>
      <c r="AJ267" s="58"/>
      <c r="AK267" s="12"/>
      <c r="AL267" s="27"/>
      <c r="AM267" s="58"/>
      <c r="AN267" s="12"/>
      <c r="AO267" s="27"/>
      <c r="AP267" s="58"/>
      <c r="AQ267" s="12"/>
      <c r="AR267" s="27"/>
      <c r="AS267" s="58"/>
      <c r="AT267" s="12"/>
      <c r="AU267" s="54"/>
      <c r="AV267" s="63"/>
      <c r="AW267" s="55"/>
      <c r="AX267" s="54"/>
      <c r="AY267" s="63"/>
      <c r="AZ267" s="55"/>
      <c r="BA267" s="10"/>
      <c r="BB267" s="15"/>
      <c r="BC267" s="11"/>
      <c r="BD267" s="10"/>
      <c r="BE267" s="15"/>
      <c r="BF267" s="11"/>
      <c r="BG267" s="10"/>
      <c r="BH267" s="15"/>
      <c r="BI267" s="11"/>
      <c r="BJ267" s="10"/>
      <c r="BK267" s="15"/>
      <c r="BL267" s="11"/>
      <c r="BM267" s="46"/>
      <c r="BN267" s="43"/>
      <c r="BO267" s="47"/>
      <c r="BP267" s="46"/>
      <c r="BQ267" s="43"/>
      <c r="BR267" s="47"/>
      <c r="BS267" s="46"/>
      <c r="BT267" s="43"/>
      <c r="BU267" s="47"/>
      <c r="BV267" s="46"/>
      <c r="BW267" s="43"/>
      <c r="BX267" s="47"/>
      <c r="BY267" s="46"/>
      <c r="BZ267" s="43"/>
      <c r="CA267" s="47"/>
      <c r="CB267" s="46"/>
      <c r="CC267" s="43"/>
      <c r="CD267" s="47"/>
      <c r="CE267" s="46"/>
      <c r="CF267" s="43"/>
      <c r="CG267" s="47"/>
      <c r="CH267" s="46"/>
      <c r="CI267" s="43"/>
      <c r="CJ267" s="47"/>
      <c r="CK267" s="54"/>
      <c r="CL267" s="63"/>
      <c r="CM267" s="55"/>
      <c r="CN267" s="54"/>
      <c r="CO267" s="63"/>
      <c r="CP267" s="172"/>
      <c r="CQ267" s="158">
        <v>0</v>
      </c>
      <c r="CR267" s="159">
        <v>0</v>
      </c>
      <c r="CS267" s="179">
        <v>0</v>
      </c>
      <c r="CT267" s="27"/>
      <c r="CU267" s="58"/>
      <c r="CV267" s="12"/>
      <c r="CW267" s="27"/>
      <c r="CX267" s="58"/>
      <c r="CY267" s="98"/>
      <c r="CZ267" s="27"/>
      <c r="DA267" s="58"/>
      <c r="DB267" s="12"/>
      <c r="DC267" s="27"/>
      <c r="DD267" s="58"/>
      <c r="DE267" s="12"/>
      <c r="DF267" s="27"/>
      <c r="DG267" s="58"/>
      <c r="DH267" s="12"/>
      <c r="DI267" s="27"/>
      <c r="DJ267" s="58"/>
      <c r="DK267" s="12"/>
      <c r="DL267" s="27"/>
      <c r="DM267" s="58"/>
      <c r="DN267" s="12"/>
      <c r="DO267" s="27"/>
      <c r="DP267" s="58"/>
      <c r="DQ267" s="12"/>
      <c r="DR267" s="27"/>
      <c r="DS267" s="58"/>
      <c r="DT267" s="12"/>
      <c r="DU267" s="27"/>
      <c r="DV267" s="58"/>
      <c r="DW267" s="12"/>
      <c r="DX267" s="27"/>
      <c r="DY267" s="58"/>
      <c r="DZ267" s="12"/>
    </row>
    <row r="268" spans="1:130" s="25" customFormat="1" ht="31.5" customHeight="1" x14ac:dyDescent="0.6">
      <c r="A268" s="5">
        <v>265</v>
      </c>
      <c r="B268" s="108" t="s">
        <v>352</v>
      </c>
      <c r="C268" s="109"/>
      <c r="D268" s="19"/>
      <c r="E268" s="24"/>
      <c r="F268" s="110"/>
      <c r="G268" s="124"/>
      <c r="H268" s="124"/>
      <c r="I268" s="124"/>
      <c r="J268" s="49"/>
      <c r="K268" s="27"/>
      <c r="L268" s="58"/>
      <c r="M268" s="78"/>
      <c r="N268" s="27"/>
      <c r="O268" s="58"/>
      <c r="P268" s="49"/>
      <c r="Q268" s="27"/>
      <c r="R268" s="58"/>
      <c r="S268" s="98"/>
      <c r="T268" s="27"/>
      <c r="U268" s="58"/>
      <c r="V268" s="12"/>
      <c r="W268" s="27"/>
      <c r="X268" s="58"/>
      <c r="Y268" s="12"/>
      <c r="Z268" s="27"/>
      <c r="AA268" s="58"/>
      <c r="AB268" s="12"/>
      <c r="AC268" s="27"/>
      <c r="AD268" s="58"/>
      <c r="AE268" s="12"/>
      <c r="AF268" s="27"/>
      <c r="AG268" s="58"/>
      <c r="AH268" s="12"/>
      <c r="AI268" s="27"/>
      <c r="AJ268" s="58"/>
      <c r="AK268" s="12"/>
      <c r="AL268" s="27"/>
      <c r="AM268" s="58"/>
      <c r="AN268" s="12"/>
      <c r="AO268" s="27"/>
      <c r="AP268" s="58"/>
      <c r="AQ268" s="12"/>
      <c r="AR268" s="27"/>
      <c r="AS268" s="58"/>
      <c r="AT268" s="12"/>
      <c r="AU268" s="54"/>
      <c r="AV268" s="63"/>
      <c r="AW268" s="55"/>
      <c r="AX268" s="54"/>
      <c r="AY268" s="63"/>
      <c r="AZ268" s="55"/>
      <c r="BA268" s="10"/>
      <c r="BB268" s="15"/>
      <c r="BC268" s="11"/>
      <c r="BD268" s="10"/>
      <c r="BE268" s="15"/>
      <c r="BF268" s="11"/>
      <c r="BG268" s="10"/>
      <c r="BH268" s="15"/>
      <c r="BI268" s="11"/>
      <c r="BJ268" s="10"/>
      <c r="BK268" s="15"/>
      <c r="BL268" s="11"/>
      <c r="BM268" s="46"/>
      <c r="BN268" s="43"/>
      <c r="BO268" s="47"/>
      <c r="BP268" s="46"/>
      <c r="BQ268" s="43"/>
      <c r="BR268" s="47"/>
      <c r="BS268" s="46"/>
      <c r="BT268" s="43"/>
      <c r="BU268" s="47"/>
      <c r="BV268" s="46"/>
      <c r="BW268" s="43"/>
      <c r="BX268" s="47"/>
      <c r="BY268" s="46"/>
      <c r="BZ268" s="43"/>
      <c r="CA268" s="47"/>
      <c r="CB268" s="46"/>
      <c r="CC268" s="43"/>
      <c r="CD268" s="47"/>
      <c r="CE268" s="46"/>
      <c r="CF268" s="43"/>
      <c r="CG268" s="47"/>
      <c r="CH268" s="46"/>
      <c r="CI268" s="43"/>
      <c r="CJ268" s="47"/>
      <c r="CK268" s="54"/>
      <c r="CL268" s="63"/>
      <c r="CM268" s="55"/>
      <c r="CN268" s="54"/>
      <c r="CO268" s="63"/>
      <c r="CP268" s="172"/>
      <c r="CQ268" s="158">
        <v>30</v>
      </c>
      <c r="CR268" s="159">
        <v>420</v>
      </c>
      <c r="CS268" s="179">
        <v>268.8</v>
      </c>
      <c r="CT268" s="27"/>
      <c r="CU268" s="58"/>
      <c r="CV268" s="12"/>
      <c r="CW268" s="27"/>
      <c r="CX268" s="58"/>
      <c r="CY268" s="98"/>
      <c r="CZ268" s="27"/>
      <c r="DA268" s="58"/>
      <c r="DB268" s="12"/>
      <c r="DC268" s="27"/>
      <c r="DD268" s="58"/>
      <c r="DE268" s="12"/>
      <c r="DF268" s="27"/>
      <c r="DG268" s="58"/>
      <c r="DH268" s="12"/>
      <c r="DI268" s="27"/>
      <c r="DJ268" s="58"/>
      <c r="DK268" s="12"/>
      <c r="DL268" s="27"/>
      <c r="DM268" s="58"/>
      <c r="DN268" s="12"/>
      <c r="DO268" s="27"/>
      <c r="DP268" s="58"/>
      <c r="DQ268" s="12"/>
      <c r="DR268" s="27"/>
      <c r="DS268" s="58"/>
      <c r="DT268" s="12"/>
      <c r="DU268" s="27"/>
      <c r="DV268" s="58"/>
      <c r="DW268" s="12"/>
      <c r="DX268" s="27"/>
      <c r="DY268" s="58"/>
      <c r="DZ268" s="12"/>
    </row>
    <row r="269" spans="1:130" s="25" customFormat="1" ht="31.5" customHeight="1" x14ac:dyDescent="0.6">
      <c r="A269" s="5">
        <v>266</v>
      </c>
      <c r="B269" s="153" t="s">
        <v>201</v>
      </c>
      <c r="C269" s="109"/>
      <c r="D269" s="19"/>
      <c r="E269" s="24"/>
      <c r="F269" s="110"/>
      <c r="G269" s="124"/>
      <c r="H269" s="124"/>
      <c r="I269" s="124"/>
      <c r="J269" s="49"/>
      <c r="K269" s="27"/>
      <c r="L269" s="58"/>
      <c r="M269" s="78"/>
      <c r="N269" s="27"/>
      <c r="O269" s="58"/>
      <c r="P269" s="49"/>
      <c r="Q269" s="27"/>
      <c r="R269" s="58"/>
      <c r="S269" s="98"/>
      <c r="T269" s="27"/>
      <c r="U269" s="58"/>
      <c r="V269" s="12"/>
      <c r="W269" s="27"/>
      <c r="X269" s="58"/>
      <c r="Y269" s="12"/>
      <c r="Z269" s="27"/>
      <c r="AA269" s="58"/>
      <c r="AB269" s="12"/>
      <c r="AC269" s="27"/>
      <c r="AD269" s="58"/>
      <c r="AE269" s="12"/>
      <c r="AF269" s="27"/>
      <c r="AG269" s="58"/>
      <c r="AH269" s="12"/>
      <c r="AI269" s="27"/>
      <c r="AJ269" s="58"/>
      <c r="AK269" s="12"/>
      <c r="AL269" s="27"/>
      <c r="AM269" s="58"/>
      <c r="AN269" s="12"/>
      <c r="AO269" s="27"/>
      <c r="AP269" s="58"/>
      <c r="AQ269" s="12"/>
      <c r="AR269" s="27"/>
      <c r="AS269" s="58"/>
      <c r="AT269" s="12"/>
      <c r="AU269" s="54"/>
      <c r="AV269" s="63"/>
      <c r="AW269" s="55"/>
      <c r="AX269" s="54"/>
      <c r="AY269" s="63"/>
      <c r="AZ269" s="55"/>
      <c r="BA269" s="10"/>
      <c r="BB269" s="15"/>
      <c r="BC269" s="11"/>
      <c r="BD269" s="10"/>
      <c r="BE269" s="15"/>
      <c r="BF269" s="11"/>
      <c r="BG269" s="10"/>
      <c r="BH269" s="15"/>
      <c r="BI269" s="11"/>
      <c r="BJ269" s="10"/>
      <c r="BK269" s="15"/>
      <c r="BL269" s="11"/>
      <c r="BM269" s="46"/>
      <c r="BN269" s="43"/>
      <c r="BO269" s="47"/>
      <c r="BP269" s="46"/>
      <c r="BQ269" s="43"/>
      <c r="BR269" s="47"/>
      <c r="BS269" s="46"/>
      <c r="BT269" s="43"/>
      <c r="BU269" s="47"/>
      <c r="BV269" s="46"/>
      <c r="BW269" s="43"/>
      <c r="BX269" s="47"/>
      <c r="BY269" s="46"/>
      <c r="BZ269" s="43"/>
      <c r="CA269" s="47"/>
      <c r="CB269" s="46"/>
      <c r="CC269" s="43"/>
      <c r="CD269" s="47"/>
      <c r="CE269" s="46"/>
      <c r="CF269" s="43"/>
      <c r="CG269" s="47"/>
      <c r="CH269" s="46"/>
      <c r="CI269" s="43"/>
      <c r="CJ269" s="47"/>
      <c r="CK269" s="54"/>
      <c r="CL269" s="63"/>
      <c r="CM269" s="55"/>
      <c r="CN269" s="54"/>
      <c r="CO269" s="63"/>
      <c r="CP269" s="172"/>
      <c r="CQ269" s="158">
        <v>0</v>
      </c>
      <c r="CR269" s="159">
        <v>0</v>
      </c>
      <c r="CS269" s="179">
        <v>0</v>
      </c>
      <c r="CT269" s="27"/>
      <c r="CU269" s="58"/>
      <c r="CV269" s="12"/>
      <c r="CW269" s="27"/>
      <c r="CX269" s="58"/>
      <c r="CY269" s="98"/>
      <c r="CZ269" s="27"/>
      <c r="DA269" s="58"/>
      <c r="DB269" s="12"/>
      <c r="DC269" s="27"/>
      <c r="DD269" s="58"/>
      <c r="DE269" s="12"/>
      <c r="DF269" s="27"/>
      <c r="DG269" s="58"/>
      <c r="DH269" s="12"/>
      <c r="DI269" s="27"/>
      <c r="DJ269" s="58"/>
      <c r="DK269" s="12"/>
      <c r="DL269" s="27"/>
      <c r="DM269" s="58"/>
      <c r="DN269" s="12"/>
      <c r="DO269" s="27"/>
      <c r="DP269" s="58"/>
      <c r="DQ269" s="12"/>
      <c r="DR269" s="27"/>
      <c r="DS269" s="58"/>
      <c r="DT269" s="12"/>
      <c r="DU269" s="27"/>
      <c r="DV269" s="58"/>
      <c r="DW269" s="12"/>
      <c r="DX269" s="27"/>
      <c r="DY269" s="58"/>
      <c r="DZ269" s="12"/>
    </row>
    <row r="270" spans="1:130" s="25" customFormat="1" ht="31.5" customHeight="1" x14ac:dyDescent="0.6">
      <c r="A270" s="5">
        <v>267</v>
      </c>
      <c r="B270" s="153" t="s">
        <v>1163</v>
      </c>
      <c r="C270" s="109"/>
      <c r="D270" s="19"/>
      <c r="E270" s="24"/>
      <c r="F270" s="110"/>
      <c r="G270" s="124"/>
      <c r="H270" s="124"/>
      <c r="I270" s="124"/>
      <c r="J270" s="49"/>
      <c r="K270" s="27"/>
      <c r="L270" s="58"/>
      <c r="M270" s="78"/>
      <c r="N270" s="27"/>
      <c r="O270" s="58"/>
      <c r="P270" s="49"/>
      <c r="Q270" s="27"/>
      <c r="R270" s="58"/>
      <c r="S270" s="98"/>
      <c r="T270" s="27"/>
      <c r="U270" s="58"/>
      <c r="V270" s="12"/>
      <c r="W270" s="27"/>
      <c r="X270" s="58"/>
      <c r="Y270" s="12"/>
      <c r="Z270" s="27"/>
      <c r="AA270" s="58"/>
      <c r="AB270" s="12"/>
      <c r="AC270" s="27"/>
      <c r="AD270" s="58"/>
      <c r="AE270" s="12"/>
      <c r="AF270" s="27"/>
      <c r="AG270" s="58"/>
      <c r="AH270" s="12"/>
      <c r="AI270" s="27"/>
      <c r="AJ270" s="58"/>
      <c r="AK270" s="12"/>
      <c r="AL270" s="27"/>
      <c r="AM270" s="58"/>
      <c r="AN270" s="12"/>
      <c r="AO270" s="27"/>
      <c r="AP270" s="58"/>
      <c r="AQ270" s="12"/>
      <c r="AR270" s="27"/>
      <c r="AS270" s="58"/>
      <c r="AT270" s="12"/>
      <c r="AU270" s="54"/>
      <c r="AV270" s="63"/>
      <c r="AW270" s="55"/>
      <c r="AX270" s="54"/>
      <c r="AY270" s="63"/>
      <c r="AZ270" s="55"/>
      <c r="BA270" s="10"/>
      <c r="BB270" s="15"/>
      <c r="BC270" s="11"/>
      <c r="BD270" s="10"/>
      <c r="BE270" s="15"/>
      <c r="BF270" s="11"/>
      <c r="BG270" s="10"/>
      <c r="BH270" s="15"/>
      <c r="BI270" s="11"/>
      <c r="BJ270" s="10"/>
      <c r="BK270" s="15"/>
      <c r="BL270" s="11"/>
      <c r="BM270" s="46"/>
      <c r="BN270" s="43"/>
      <c r="BO270" s="47"/>
      <c r="BP270" s="46"/>
      <c r="BQ270" s="43"/>
      <c r="BR270" s="47"/>
      <c r="BS270" s="46"/>
      <c r="BT270" s="43"/>
      <c r="BU270" s="47"/>
      <c r="BV270" s="46"/>
      <c r="BW270" s="43"/>
      <c r="BX270" s="47"/>
      <c r="BY270" s="46"/>
      <c r="BZ270" s="43"/>
      <c r="CA270" s="47"/>
      <c r="CB270" s="46"/>
      <c r="CC270" s="43"/>
      <c r="CD270" s="47"/>
      <c r="CE270" s="46"/>
      <c r="CF270" s="43"/>
      <c r="CG270" s="47"/>
      <c r="CH270" s="46"/>
      <c r="CI270" s="43"/>
      <c r="CJ270" s="47"/>
      <c r="CK270" s="54"/>
      <c r="CL270" s="63"/>
      <c r="CM270" s="55"/>
      <c r="CN270" s="54"/>
      <c r="CO270" s="63"/>
      <c r="CP270" s="172"/>
      <c r="CQ270" s="158">
        <v>100</v>
      </c>
      <c r="CR270" s="159">
        <v>1400</v>
      </c>
      <c r="CS270" s="179">
        <v>896</v>
      </c>
      <c r="CT270" s="27"/>
      <c r="CU270" s="58"/>
      <c r="CV270" s="12"/>
      <c r="CW270" s="27"/>
      <c r="CX270" s="58"/>
      <c r="CY270" s="98"/>
      <c r="CZ270" s="27"/>
      <c r="DA270" s="58"/>
      <c r="DB270" s="12"/>
      <c r="DC270" s="27"/>
      <c r="DD270" s="58"/>
      <c r="DE270" s="12"/>
      <c r="DF270" s="27"/>
      <c r="DG270" s="58"/>
      <c r="DH270" s="12"/>
      <c r="DI270" s="27"/>
      <c r="DJ270" s="58"/>
      <c r="DK270" s="12"/>
      <c r="DL270" s="27"/>
      <c r="DM270" s="58"/>
      <c r="DN270" s="12"/>
      <c r="DO270" s="27"/>
      <c r="DP270" s="58"/>
      <c r="DQ270" s="12"/>
      <c r="DR270" s="27"/>
      <c r="DS270" s="58"/>
      <c r="DT270" s="12"/>
      <c r="DU270" s="27"/>
      <c r="DV270" s="58"/>
      <c r="DW270" s="12"/>
      <c r="DX270" s="27"/>
      <c r="DY270" s="58"/>
      <c r="DZ270" s="12"/>
    </row>
    <row r="271" spans="1:130" s="25" customFormat="1" ht="31.5" customHeight="1" x14ac:dyDescent="0.6">
      <c r="A271" s="5">
        <v>268</v>
      </c>
      <c r="B271" s="169" t="s">
        <v>666</v>
      </c>
      <c r="C271" s="109" t="s">
        <v>667</v>
      </c>
      <c r="D271" s="109" t="s">
        <v>120</v>
      </c>
      <c r="E271" s="109" t="s">
        <v>20</v>
      </c>
      <c r="F271" s="110" t="s">
        <v>597</v>
      </c>
      <c r="G271" s="124"/>
      <c r="H271" s="124"/>
      <c r="I271" s="124"/>
      <c r="J271" s="49" t="s">
        <v>598</v>
      </c>
      <c r="K271" s="27"/>
      <c r="L271" s="58"/>
      <c r="M271" s="78"/>
      <c r="N271" s="27"/>
      <c r="O271" s="58"/>
      <c r="P271" s="49"/>
      <c r="Q271" s="27"/>
      <c r="R271" s="58"/>
      <c r="S271" s="98"/>
      <c r="T271" s="27"/>
      <c r="U271" s="58"/>
      <c r="V271" s="12"/>
      <c r="W271" s="27"/>
      <c r="X271" s="58"/>
      <c r="Y271" s="12"/>
      <c r="Z271" s="27"/>
      <c r="AA271" s="58"/>
      <c r="AB271" s="12"/>
      <c r="AC271" s="27"/>
      <c r="AD271" s="58"/>
      <c r="AE271" s="12"/>
      <c r="AF271" s="27"/>
      <c r="AG271" s="58"/>
      <c r="AH271" s="12"/>
      <c r="AI271" s="27"/>
      <c r="AJ271" s="58"/>
      <c r="AK271" s="12"/>
      <c r="AL271" s="27"/>
      <c r="AM271" s="58"/>
      <c r="AN271" s="12"/>
      <c r="AO271" s="27"/>
      <c r="AP271" s="58"/>
      <c r="AQ271" s="12"/>
      <c r="AR271" s="27"/>
      <c r="AS271" s="58"/>
      <c r="AT271" s="12"/>
      <c r="AU271" s="56"/>
      <c r="AV271" s="64"/>
      <c r="AW271" s="57"/>
      <c r="AX271" s="56"/>
      <c r="AY271" s="64"/>
      <c r="AZ271" s="57"/>
      <c r="BA271" s="28"/>
      <c r="BB271" s="65"/>
      <c r="BC271" s="29"/>
      <c r="BD271" s="28"/>
      <c r="BE271" s="65"/>
      <c r="BF271" s="29"/>
      <c r="BG271" s="28"/>
      <c r="BH271" s="65"/>
      <c r="BI271" s="29"/>
      <c r="BJ271" s="28"/>
      <c r="BK271" s="65"/>
      <c r="BL271" s="29"/>
      <c r="BM271" s="46"/>
      <c r="BN271" s="43"/>
      <c r="BO271" s="47"/>
      <c r="BP271" s="46"/>
      <c r="BQ271" s="43"/>
      <c r="BR271" s="47"/>
      <c r="BS271" s="46"/>
      <c r="BT271" s="43"/>
      <c r="BU271" s="47"/>
      <c r="BV271" s="46">
        <v>312</v>
      </c>
      <c r="BW271" s="43">
        <v>5014</v>
      </c>
      <c r="BX271" s="47">
        <v>3097.87</v>
      </c>
      <c r="BY271" s="46">
        <v>110.25</v>
      </c>
      <c r="BZ271" s="43">
        <v>1323</v>
      </c>
      <c r="CA271" s="47">
        <v>1322.04</v>
      </c>
      <c r="CB271" s="46">
        <v>260</v>
      </c>
      <c r="CC271" s="43">
        <v>3320</v>
      </c>
      <c r="CD271" s="47">
        <v>2806</v>
      </c>
      <c r="CE271" s="46">
        <v>141</v>
      </c>
      <c r="CF271" s="43">
        <v>1894</v>
      </c>
      <c r="CG271" s="47">
        <v>1384.96</v>
      </c>
      <c r="CH271" s="46">
        <v>140</v>
      </c>
      <c r="CI271" s="43">
        <v>1880</v>
      </c>
      <c r="CJ271" s="47">
        <v>1376</v>
      </c>
      <c r="CK271" s="54">
        <f t="shared" ref="CK271:CK314" si="48">+BA271+BD271+BG271+BJ271+BM271+BP271+BS271+BV271+BY271+CB271+CE271+CH271</f>
        <v>963.25</v>
      </c>
      <c r="CL271" s="63">
        <f t="shared" si="43"/>
        <v>13431</v>
      </c>
      <c r="CM271" s="55">
        <f t="shared" si="44"/>
        <v>9986.869999999999</v>
      </c>
      <c r="CN271" s="54">
        <f t="shared" si="45"/>
        <v>80.270833333333329</v>
      </c>
      <c r="CO271" s="63">
        <f t="shared" si="46"/>
        <v>1119.25</v>
      </c>
      <c r="CP271" s="172">
        <f t="shared" si="47"/>
        <v>832.23916666666662</v>
      </c>
      <c r="CQ271" s="173"/>
      <c r="CR271" s="174"/>
      <c r="CS271" s="170"/>
      <c r="CT271" s="173"/>
      <c r="CU271" s="174"/>
      <c r="CV271" s="175"/>
      <c r="CW271" s="173"/>
      <c r="CX271" s="174"/>
      <c r="CY271" s="170"/>
      <c r="CZ271" s="173"/>
      <c r="DA271" s="174"/>
      <c r="DB271" s="175"/>
      <c r="DC271" s="173"/>
      <c r="DD271" s="174"/>
      <c r="DE271" s="175"/>
      <c r="DF271" s="173"/>
      <c r="DG271" s="174"/>
      <c r="DH271" s="175"/>
      <c r="DI271" s="173"/>
      <c r="DJ271" s="174"/>
      <c r="DK271" s="175"/>
      <c r="DL271" s="173"/>
      <c r="DM271" s="174"/>
      <c r="DN271" s="175"/>
      <c r="DO271" s="173"/>
      <c r="DP271" s="174"/>
      <c r="DQ271" s="175"/>
      <c r="DR271" s="173"/>
      <c r="DS271" s="174"/>
      <c r="DT271" s="175"/>
      <c r="DU271" s="173"/>
      <c r="DV271" s="174"/>
      <c r="DW271" s="175"/>
      <c r="DX271" s="173"/>
      <c r="DY271" s="174"/>
      <c r="DZ271" s="175"/>
    </row>
    <row r="272" spans="1:130" s="25" customFormat="1" ht="31.5" customHeight="1" x14ac:dyDescent="0.6">
      <c r="A272" s="5">
        <v>269</v>
      </c>
      <c r="B272" s="165" t="s">
        <v>152</v>
      </c>
      <c r="C272" s="16" t="s">
        <v>153</v>
      </c>
      <c r="D272" s="15" t="s">
        <v>148</v>
      </c>
      <c r="E272" s="14" t="s">
        <v>149</v>
      </c>
      <c r="F272" s="7" t="s">
        <v>150</v>
      </c>
      <c r="G272" s="18" t="s">
        <v>152</v>
      </c>
      <c r="H272" s="18" t="s">
        <v>153</v>
      </c>
      <c r="I272" s="14" t="s">
        <v>785</v>
      </c>
      <c r="J272" s="49" t="s">
        <v>151</v>
      </c>
      <c r="K272" s="27">
        <v>155</v>
      </c>
      <c r="L272" s="58">
        <v>2090</v>
      </c>
      <c r="M272" s="78">
        <v>1510.4</v>
      </c>
      <c r="N272" s="27">
        <v>135</v>
      </c>
      <c r="O272" s="58">
        <v>1800</v>
      </c>
      <c r="P272" s="104">
        <v>1346.4</v>
      </c>
      <c r="Q272" s="27">
        <v>130</v>
      </c>
      <c r="R272" s="58">
        <v>1780</v>
      </c>
      <c r="S272" s="98">
        <v>1225.5999999999999</v>
      </c>
      <c r="T272" s="27">
        <v>115</v>
      </c>
      <c r="U272" s="58">
        <v>1540</v>
      </c>
      <c r="V272" s="107">
        <v>1136.8000000000002</v>
      </c>
      <c r="W272" s="27">
        <v>120</v>
      </c>
      <c r="X272" s="58">
        <v>1640</v>
      </c>
      <c r="Y272" s="12">
        <v>1136</v>
      </c>
      <c r="Z272" s="27">
        <v>25</v>
      </c>
      <c r="AA272" s="58">
        <v>300</v>
      </c>
      <c r="AB272" s="12">
        <v>300</v>
      </c>
      <c r="AC272" s="27">
        <v>70</v>
      </c>
      <c r="AD272" s="58">
        <v>940</v>
      </c>
      <c r="AE272" s="12">
        <v>688</v>
      </c>
      <c r="AF272" s="27">
        <v>80</v>
      </c>
      <c r="AG272" s="58">
        <v>1050</v>
      </c>
      <c r="AH272" s="107">
        <v>823.2</v>
      </c>
      <c r="AI272" s="27">
        <v>60</v>
      </c>
      <c r="AJ272" s="58">
        <v>780</v>
      </c>
      <c r="AK272" s="107">
        <v>628.79999999999995</v>
      </c>
      <c r="AL272" s="27">
        <v>50</v>
      </c>
      <c r="AM272" s="58">
        <v>690</v>
      </c>
      <c r="AN272" s="107">
        <v>463.2</v>
      </c>
      <c r="AO272" s="27">
        <v>50</v>
      </c>
      <c r="AP272" s="58">
        <v>680</v>
      </c>
      <c r="AQ272" s="107">
        <v>478.40000000000003</v>
      </c>
      <c r="AR272" s="27">
        <v>25</v>
      </c>
      <c r="AS272" s="58">
        <v>340</v>
      </c>
      <c r="AT272" s="12">
        <v>239.20000000000002</v>
      </c>
      <c r="AU272" s="54">
        <f t="shared" ref="AU272:AU298" si="49">K272+N272+Q272+T272+W272+Z272+AC272+AF272+AI272+AL272+AO272+AR272</f>
        <v>1015</v>
      </c>
      <c r="AV272" s="63">
        <f t="shared" ref="AV272:AV298" si="50">L272+O272+R272+U272+X272+AA272+AD272+AG272+AJ272+AM272+AP272+AS272</f>
        <v>13630</v>
      </c>
      <c r="AW272" s="55">
        <f t="shared" ref="AW272:AW298" si="51">M272+P272+S272+V272+Y272+AB272+AE272+AH272+AK272+AN272+AQ272+AT272</f>
        <v>9976.0000000000018</v>
      </c>
      <c r="AX272" s="54">
        <f t="shared" ref="AX272:AX298" si="52">AU272/12</f>
        <v>84.583333333333329</v>
      </c>
      <c r="AY272" s="63">
        <f t="shared" ref="AY272:AY298" si="53">AX272/12</f>
        <v>7.0486111111111107</v>
      </c>
      <c r="AZ272" s="55">
        <f t="shared" ref="AZ272:AZ298" si="54">AW272/12</f>
        <v>831.33333333333348</v>
      </c>
      <c r="BA272" s="10">
        <v>35</v>
      </c>
      <c r="BB272" s="15">
        <v>480</v>
      </c>
      <c r="BC272" s="11">
        <v>328.8</v>
      </c>
      <c r="BD272" s="10">
        <v>40</v>
      </c>
      <c r="BE272" s="15">
        <v>544</v>
      </c>
      <c r="BF272" s="11">
        <v>382.72</v>
      </c>
      <c r="BG272" s="10">
        <v>90</v>
      </c>
      <c r="BH272" s="15">
        <v>1214</v>
      </c>
      <c r="BI272" s="11">
        <v>876.32000000000016</v>
      </c>
      <c r="BJ272" s="10">
        <v>0</v>
      </c>
      <c r="BK272" s="15">
        <v>0</v>
      </c>
      <c r="BL272" s="11">
        <v>0</v>
      </c>
      <c r="BM272" s="44">
        <v>5</v>
      </c>
      <c r="BN272" s="42">
        <v>60</v>
      </c>
      <c r="BO272" s="45">
        <v>60</v>
      </c>
      <c r="BP272" s="44">
        <v>0</v>
      </c>
      <c r="BQ272" s="42">
        <v>0</v>
      </c>
      <c r="BR272" s="45">
        <v>0</v>
      </c>
      <c r="BS272" s="44">
        <v>9</v>
      </c>
      <c r="BT272" s="42">
        <v>146</v>
      </c>
      <c r="BU272" s="112">
        <v>94.800000000000011</v>
      </c>
      <c r="BV272" s="115">
        <v>5</v>
      </c>
      <c r="BW272" s="116">
        <v>70</v>
      </c>
      <c r="BX272" s="112">
        <v>44.800000000000004</v>
      </c>
      <c r="BY272" s="115">
        <v>0</v>
      </c>
      <c r="BZ272" s="116">
        <v>0</v>
      </c>
      <c r="CA272" s="112">
        <v>0</v>
      </c>
      <c r="CB272" s="115">
        <v>5</v>
      </c>
      <c r="CC272" s="116">
        <v>60</v>
      </c>
      <c r="CD272" s="112">
        <v>60</v>
      </c>
      <c r="CE272" s="115">
        <v>0</v>
      </c>
      <c r="CF272" s="116">
        <v>0</v>
      </c>
      <c r="CG272" s="112">
        <v>0</v>
      </c>
      <c r="CH272" s="115">
        <v>5</v>
      </c>
      <c r="CI272" s="116">
        <v>60</v>
      </c>
      <c r="CJ272" s="112">
        <v>60</v>
      </c>
      <c r="CK272" s="54">
        <f t="shared" si="48"/>
        <v>194</v>
      </c>
      <c r="CL272" s="63">
        <f t="shared" ref="CL272:CL314" si="55">+BB272+BE272+BH272+BK272+BN272+BQ272+BT272+BW272+BZ272+CC272+CF272+CI272</f>
        <v>2634</v>
      </c>
      <c r="CM272" s="55">
        <f t="shared" ref="CM272:CM314" si="56">+BC272+BF272+BI272+BL272+BO272+BR272+BU272+BX272+CA272+CD272+CG272+CJ272</f>
        <v>1907.44</v>
      </c>
      <c r="CN272" s="54">
        <f t="shared" ref="CN272:CN314" si="57">CK272/12</f>
        <v>16.166666666666668</v>
      </c>
      <c r="CO272" s="63">
        <f t="shared" ref="CO272:CO314" si="58">CL272/12</f>
        <v>219.5</v>
      </c>
      <c r="CP272" s="172">
        <f t="shared" ref="CP272:CP314" si="59">CM272/12</f>
        <v>158.95333333333335</v>
      </c>
      <c r="CQ272" s="180"/>
      <c r="CR272" s="150"/>
      <c r="CS272" s="181"/>
      <c r="CT272" s="180"/>
      <c r="CU272" s="150"/>
      <c r="CV272" s="181"/>
      <c r="CW272" s="180"/>
      <c r="CX272" s="150"/>
      <c r="CY272" s="181"/>
      <c r="CZ272" s="180"/>
      <c r="DA272" s="150"/>
      <c r="DB272" s="181"/>
      <c r="DC272" s="180"/>
      <c r="DD272" s="150"/>
      <c r="DE272" s="181"/>
      <c r="DF272" s="180"/>
      <c r="DG272" s="150"/>
      <c r="DH272" s="181"/>
      <c r="DI272" s="180"/>
      <c r="DJ272" s="150"/>
      <c r="DK272" s="181"/>
      <c r="DL272" s="180"/>
      <c r="DM272" s="150"/>
      <c r="DN272" s="181"/>
      <c r="DO272" s="180"/>
      <c r="DP272" s="150"/>
      <c r="DQ272" s="181"/>
      <c r="DR272" s="180"/>
      <c r="DS272" s="150"/>
      <c r="DT272" s="181"/>
      <c r="DU272" s="180"/>
      <c r="DV272" s="150"/>
      <c r="DW272" s="181"/>
      <c r="DX272" s="180"/>
      <c r="DY272" s="150"/>
      <c r="DZ272" s="181"/>
    </row>
    <row r="273" spans="1:130" s="2" customFormat="1" ht="34.9" customHeight="1" x14ac:dyDescent="0.6">
      <c r="A273" s="5">
        <v>270</v>
      </c>
      <c r="B273" s="165" t="s">
        <v>160</v>
      </c>
      <c r="C273" s="16" t="s">
        <v>161</v>
      </c>
      <c r="D273" s="15" t="s">
        <v>128</v>
      </c>
      <c r="E273" s="14" t="s">
        <v>129</v>
      </c>
      <c r="F273" s="7" t="s">
        <v>150</v>
      </c>
      <c r="G273" s="141" t="s">
        <v>794</v>
      </c>
      <c r="H273" s="141"/>
      <c r="I273" s="141" t="s">
        <v>1121</v>
      </c>
      <c r="J273" s="49" t="s">
        <v>151</v>
      </c>
      <c r="K273" s="27">
        <v>65</v>
      </c>
      <c r="L273" s="58">
        <v>970</v>
      </c>
      <c r="M273" s="78">
        <v>714</v>
      </c>
      <c r="N273" s="27">
        <v>65</v>
      </c>
      <c r="O273" s="58">
        <v>830</v>
      </c>
      <c r="P273" s="49">
        <v>686</v>
      </c>
      <c r="Q273" s="27">
        <v>70</v>
      </c>
      <c r="R273" s="58">
        <v>1050</v>
      </c>
      <c r="S273" s="98">
        <v>743.6</v>
      </c>
      <c r="T273" s="27">
        <v>70</v>
      </c>
      <c r="U273" s="58">
        <v>890</v>
      </c>
      <c r="V273" s="12">
        <v>746</v>
      </c>
      <c r="W273" s="27">
        <v>80</v>
      </c>
      <c r="X273" s="58">
        <v>1150</v>
      </c>
      <c r="Y273" s="12">
        <v>894</v>
      </c>
      <c r="Z273" s="27">
        <v>110</v>
      </c>
      <c r="AA273" s="58">
        <v>1540</v>
      </c>
      <c r="AB273" s="107">
        <v>1208.4000000000001</v>
      </c>
      <c r="AC273" s="27">
        <v>85</v>
      </c>
      <c r="AD273" s="58">
        <v>1100</v>
      </c>
      <c r="AE273" s="107">
        <v>898.40000000000009</v>
      </c>
      <c r="AF273" s="27">
        <v>80</v>
      </c>
      <c r="AG273" s="58">
        <v>1130</v>
      </c>
      <c r="AH273" s="107">
        <v>924.4</v>
      </c>
      <c r="AI273" s="27">
        <v>80</v>
      </c>
      <c r="AJ273" s="58">
        <v>1140</v>
      </c>
      <c r="AK273" s="107">
        <v>909.2</v>
      </c>
      <c r="AL273" s="27">
        <v>90</v>
      </c>
      <c r="AM273" s="58">
        <v>1250</v>
      </c>
      <c r="AN273" s="107">
        <v>1044.4000000000001</v>
      </c>
      <c r="AO273" s="27">
        <v>60</v>
      </c>
      <c r="AP273" s="58">
        <v>890</v>
      </c>
      <c r="AQ273" s="107">
        <v>684.4</v>
      </c>
      <c r="AR273" s="27">
        <v>60</v>
      </c>
      <c r="AS273" s="58">
        <v>760</v>
      </c>
      <c r="AT273" s="12">
        <v>659.2</v>
      </c>
      <c r="AU273" s="54">
        <f t="shared" si="49"/>
        <v>915</v>
      </c>
      <c r="AV273" s="63">
        <f t="shared" si="50"/>
        <v>12700</v>
      </c>
      <c r="AW273" s="55">
        <f t="shared" si="51"/>
        <v>10112</v>
      </c>
      <c r="AX273" s="54">
        <f t="shared" si="52"/>
        <v>76.25</v>
      </c>
      <c r="AY273" s="63">
        <f t="shared" si="53"/>
        <v>6.354166666666667</v>
      </c>
      <c r="AZ273" s="55">
        <f t="shared" si="54"/>
        <v>842.66666666666663</v>
      </c>
      <c r="BA273" s="10">
        <v>75</v>
      </c>
      <c r="BB273" s="15">
        <v>1110</v>
      </c>
      <c r="BC273" s="11">
        <v>803.6</v>
      </c>
      <c r="BD273" s="10">
        <v>60</v>
      </c>
      <c r="BE273" s="15">
        <v>750</v>
      </c>
      <c r="BF273" s="11">
        <v>674.4</v>
      </c>
      <c r="BG273" s="10">
        <v>75</v>
      </c>
      <c r="BH273" s="15">
        <v>930</v>
      </c>
      <c r="BI273" s="11">
        <v>854.4</v>
      </c>
      <c r="BJ273" s="10">
        <v>55</v>
      </c>
      <c r="BK273" s="15">
        <v>830</v>
      </c>
      <c r="BL273" s="11">
        <v>624.4</v>
      </c>
      <c r="BM273" s="44">
        <v>55</v>
      </c>
      <c r="BN273" s="42">
        <v>830</v>
      </c>
      <c r="BO273" s="45">
        <v>624.4</v>
      </c>
      <c r="BP273" s="44">
        <v>50</v>
      </c>
      <c r="BQ273" s="42">
        <v>600</v>
      </c>
      <c r="BR273" s="45">
        <v>600</v>
      </c>
      <c r="BS273" s="44">
        <v>65</v>
      </c>
      <c r="BT273" s="42">
        <v>840</v>
      </c>
      <c r="BU273" s="112">
        <v>688.8</v>
      </c>
      <c r="BV273" s="115">
        <v>55</v>
      </c>
      <c r="BW273" s="116">
        <v>823</v>
      </c>
      <c r="BX273" s="112">
        <v>641.64</v>
      </c>
      <c r="BY273" s="115">
        <v>40</v>
      </c>
      <c r="BZ273" s="116">
        <v>510</v>
      </c>
      <c r="CA273" s="112">
        <v>434.4</v>
      </c>
      <c r="CB273" s="115">
        <v>55</v>
      </c>
      <c r="CC273" s="116">
        <v>830</v>
      </c>
      <c r="CD273" s="112">
        <v>624.4</v>
      </c>
      <c r="CE273" s="115">
        <v>50</v>
      </c>
      <c r="CF273" s="116">
        <v>630</v>
      </c>
      <c r="CG273" s="112">
        <v>554.4</v>
      </c>
      <c r="CH273" s="115">
        <v>55</v>
      </c>
      <c r="CI273" s="116">
        <v>830</v>
      </c>
      <c r="CJ273" s="112">
        <v>624.4</v>
      </c>
      <c r="CK273" s="54">
        <f t="shared" si="48"/>
        <v>690</v>
      </c>
      <c r="CL273" s="63">
        <f t="shared" si="55"/>
        <v>9513</v>
      </c>
      <c r="CM273" s="55">
        <f t="shared" si="56"/>
        <v>7749.24</v>
      </c>
      <c r="CN273" s="54">
        <f t="shared" si="57"/>
        <v>57.5</v>
      </c>
      <c r="CO273" s="63">
        <f t="shared" si="58"/>
        <v>792.75</v>
      </c>
      <c r="CP273" s="172">
        <f t="shared" si="59"/>
        <v>645.77</v>
      </c>
      <c r="CQ273" s="182"/>
      <c r="CR273" s="16"/>
      <c r="CS273" s="183"/>
      <c r="CT273" s="182"/>
      <c r="CU273" s="16"/>
      <c r="CV273" s="183"/>
      <c r="CW273" s="182"/>
      <c r="CX273" s="16"/>
      <c r="CY273" s="183"/>
      <c r="CZ273" s="182"/>
      <c r="DA273" s="16"/>
      <c r="DB273" s="183"/>
      <c r="DC273" s="182"/>
      <c r="DD273" s="16"/>
      <c r="DE273" s="183"/>
      <c r="DF273" s="182"/>
      <c r="DG273" s="16"/>
      <c r="DH273" s="183"/>
      <c r="DI273" s="182"/>
      <c r="DJ273" s="16"/>
      <c r="DK273" s="183"/>
      <c r="DL273" s="182"/>
      <c r="DM273" s="16"/>
      <c r="DN273" s="183"/>
      <c r="DO273" s="182"/>
      <c r="DP273" s="16"/>
      <c r="DQ273" s="183"/>
      <c r="DR273" s="182"/>
      <c r="DS273" s="16"/>
      <c r="DT273" s="183"/>
      <c r="DU273" s="182"/>
      <c r="DV273" s="16"/>
      <c r="DW273" s="183"/>
      <c r="DX273" s="182"/>
      <c r="DY273" s="16"/>
      <c r="DZ273" s="183"/>
    </row>
    <row r="274" spans="1:130" s="2" customFormat="1" ht="34.9" customHeight="1" x14ac:dyDescent="0.6">
      <c r="A274" s="5">
        <v>271</v>
      </c>
      <c r="B274" s="166" t="s">
        <v>201</v>
      </c>
      <c r="C274" s="14" t="s">
        <v>202</v>
      </c>
      <c r="D274" s="15" t="s">
        <v>53</v>
      </c>
      <c r="E274" s="15" t="s">
        <v>54</v>
      </c>
      <c r="F274" s="7" t="s">
        <v>150</v>
      </c>
      <c r="G274" s="18" t="s">
        <v>832</v>
      </c>
      <c r="H274" s="18" t="s">
        <v>833</v>
      </c>
      <c r="I274" s="14" t="s">
        <v>834</v>
      </c>
      <c r="J274" s="49" t="s">
        <v>151</v>
      </c>
      <c r="K274" s="27">
        <v>1170</v>
      </c>
      <c r="L274" s="58">
        <v>17260</v>
      </c>
      <c r="M274" s="78">
        <v>10136</v>
      </c>
      <c r="N274" s="27">
        <v>0</v>
      </c>
      <c r="O274" s="58">
        <v>0</v>
      </c>
      <c r="P274" s="104">
        <v>0</v>
      </c>
      <c r="Q274" s="27">
        <v>400</v>
      </c>
      <c r="R274" s="58">
        <v>5500</v>
      </c>
      <c r="S274" s="98">
        <v>3736</v>
      </c>
      <c r="T274" s="27">
        <v>865</v>
      </c>
      <c r="U274" s="58">
        <v>12780</v>
      </c>
      <c r="V274" s="12">
        <v>7978.8</v>
      </c>
      <c r="W274" s="27">
        <v>285</v>
      </c>
      <c r="X274" s="58">
        <v>3880</v>
      </c>
      <c r="Y274" s="107">
        <v>2630.7999999999997</v>
      </c>
      <c r="Z274" s="27">
        <v>60</v>
      </c>
      <c r="AA274" s="58">
        <v>740</v>
      </c>
      <c r="AB274" s="12">
        <v>689.6</v>
      </c>
      <c r="AC274" s="27">
        <v>21</v>
      </c>
      <c r="AD274" s="58">
        <v>254</v>
      </c>
      <c r="AE274" s="107">
        <v>248.96</v>
      </c>
      <c r="AF274" s="27">
        <v>100</v>
      </c>
      <c r="AG274" s="58">
        <v>1260</v>
      </c>
      <c r="AH274" s="107">
        <v>1108.8</v>
      </c>
      <c r="AI274" s="27">
        <v>0</v>
      </c>
      <c r="AJ274" s="58">
        <v>0</v>
      </c>
      <c r="AK274" s="107">
        <v>0</v>
      </c>
      <c r="AL274" s="27">
        <v>0</v>
      </c>
      <c r="AM274" s="58">
        <v>0</v>
      </c>
      <c r="AN274" s="107">
        <v>0</v>
      </c>
      <c r="AO274" s="27">
        <v>0</v>
      </c>
      <c r="AP274" s="58">
        <v>0</v>
      </c>
      <c r="AQ274" s="107">
        <v>0</v>
      </c>
      <c r="AR274" s="27">
        <v>0</v>
      </c>
      <c r="AS274" s="58">
        <v>0</v>
      </c>
      <c r="AT274" s="107">
        <v>0</v>
      </c>
      <c r="AU274" s="54">
        <f t="shared" si="49"/>
        <v>2901</v>
      </c>
      <c r="AV274" s="63">
        <f t="shared" si="50"/>
        <v>41674</v>
      </c>
      <c r="AW274" s="55">
        <f t="shared" si="51"/>
        <v>26528.959999999995</v>
      </c>
      <c r="AX274" s="54">
        <f t="shared" si="52"/>
        <v>241.75</v>
      </c>
      <c r="AY274" s="63">
        <f t="shared" si="53"/>
        <v>20.145833333333332</v>
      </c>
      <c r="AZ274" s="55">
        <f t="shared" si="54"/>
        <v>2210.7466666666664</v>
      </c>
      <c r="BA274" s="10">
        <v>0</v>
      </c>
      <c r="BB274" s="15">
        <v>0</v>
      </c>
      <c r="BC274" s="11">
        <v>0</v>
      </c>
      <c r="BD274" s="10">
        <v>0</v>
      </c>
      <c r="BE274" s="15">
        <v>0</v>
      </c>
      <c r="BF274" s="11">
        <v>0</v>
      </c>
      <c r="BG274" s="10">
        <v>0</v>
      </c>
      <c r="BH274" s="15">
        <v>0</v>
      </c>
      <c r="BI274" s="11">
        <v>0</v>
      </c>
      <c r="BJ274" s="10">
        <v>0</v>
      </c>
      <c r="BK274" s="15">
        <v>0</v>
      </c>
      <c r="BL274" s="11">
        <v>0</v>
      </c>
      <c r="BM274" s="44">
        <v>0</v>
      </c>
      <c r="BN274" s="42">
        <v>0</v>
      </c>
      <c r="BO274" s="45">
        <v>0</v>
      </c>
      <c r="BP274" s="44">
        <v>0</v>
      </c>
      <c r="BQ274" s="42">
        <v>0</v>
      </c>
      <c r="BR274" s="45">
        <v>0</v>
      </c>
      <c r="BS274" s="44">
        <v>0</v>
      </c>
      <c r="BT274" s="42">
        <v>0</v>
      </c>
      <c r="BU274" s="112">
        <v>0</v>
      </c>
      <c r="BV274" s="115">
        <v>0</v>
      </c>
      <c r="BW274" s="116">
        <v>0</v>
      </c>
      <c r="BX274" s="112">
        <v>0</v>
      </c>
      <c r="BY274" s="115">
        <v>0</v>
      </c>
      <c r="BZ274" s="116">
        <v>0</v>
      </c>
      <c r="CA274" s="112">
        <v>0</v>
      </c>
      <c r="CB274" s="115">
        <v>0</v>
      </c>
      <c r="CC274" s="116">
        <v>0</v>
      </c>
      <c r="CD274" s="112">
        <v>0</v>
      </c>
      <c r="CE274" s="115">
        <v>0</v>
      </c>
      <c r="CF274" s="116">
        <v>0</v>
      </c>
      <c r="CG274" s="112">
        <v>0</v>
      </c>
      <c r="CH274" s="115">
        <v>0</v>
      </c>
      <c r="CI274" s="116">
        <v>0</v>
      </c>
      <c r="CJ274" s="112">
        <v>0</v>
      </c>
      <c r="CK274" s="54">
        <f t="shared" si="48"/>
        <v>0</v>
      </c>
      <c r="CL274" s="63">
        <f t="shared" si="55"/>
        <v>0</v>
      </c>
      <c r="CM274" s="55">
        <f t="shared" si="56"/>
        <v>0</v>
      </c>
      <c r="CN274" s="54">
        <f t="shared" si="57"/>
        <v>0</v>
      </c>
      <c r="CO274" s="63">
        <f t="shared" si="58"/>
        <v>0</v>
      </c>
      <c r="CP274" s="172">
        <f t="shared" si="59"/>
        <v>0</v>
      </c>
      <c r="CQ274" s="182"/>
      <c r="CR274" s="16"/>
      <c r="CS274" s="183"/>
      <c r="CT274" s="182"/>
      <c r="CU274" s="16"/>
      <c r="CV274" s="183"/>
      <c r="CW274" s="182"/>
      <c r="CX274" s="16"/>
      <c r="CY274" s="183"/>
      <c r="CZ274" s="182"/>
      <c r="DA274" s="16"/>
      <c r="DB274" s="183"/>
      <c r="DC274" s="182"/>
      <c r="DD274" s="16"/>
      <c r="DE274" s="183"/>
      <c r="DF274" s="182"/>
      <c r="DG274" s="16"/>
      <c r="DH274" s="183"/>
      <c r="DI274" s="182"/>
      <c r="DJ274" s="16"/>
      <c r="DK274" s="183"/>
      <c r="DL274" s="182"/>
      <c r="DM274" s="16"/>
      <c r="DN274" s="183"/>
      <c r="DO274" s="182"/>
      <c r="DP274" s="16"/>
      <c r="DQ274" s="183"/>
      <c r="DR274" s="182"/>
      <c r="DS274" s="16"/>
      <c r="DT274" s="183"/>
      <c r="DU274" s="182"/>
      <c r="DV274" s="16"/>
      <c r="DW274" s="183"/>
      <c r="DX274" s="182"/>
      <c r="DY274" s="16"/>
      <c r="DZ274" s="183"/>
    </row>
    <row r="275" spans="1:130" s="2" customFormat="1" ht="34.9" customHeight="1" x14ac:dyDescent="0.6">
      <c r="A275" s="5">
        <v>272</v>
      </c>
      <c r="B275" s="165" t="s">
        <v>217</v>
      </c>
      <c r="C275" s="16" t="s">
        <v>218</v>
      </c>
      <c r="D275" s="15" t="s">
        <v>219</v>
      </c>
      <c r="E275" s="14" t="s">
        <v>101</v>
      </c>
      <c r="F275" s="7" t="s">
        <v>150</v>
      </c>
      <c r="G275" s="18" t="s">
        <v>217</v>
      </c>
      <c r="H275" s="18" t="s">
        <v>849</v>
      </c>
      <c r="I275" s="14" t="s">
        <v>850</v>
      </c>
      <c r="J275" s="49" t="s">
        <v>151</v>
      </c>
      <c r="K275" s="27">
        <v>51</v>
      </c>
      <c r="L275" s="58">
        <v>700</v>
      </c>
      <c r="M275" s="78">
        <v>522.79999999999995</v>
      </c>
      <c r="N275" s="27">
        <v>71</v>
      </c>
      <c r="O275" s="58">
        <v>950</v>
      </c>
      <c r="P275" s="49">
        <v>744</v>
      </c>
      <c r="Q275" s="27">
        <v>48</v>
      </c>
      <c r="R275" s="58">
        <v>644</v>
      </c>
      <c r="S275" s="98">
        <v>510</v>
      </c>
      <c r="T275" s="27">
        <v>41</v>
      </c>
      <c r="U275" s="58">
        <v>580</v>
      </c>
      <c r="V275" s="12">
        <v>402.8</v>
      </c>
      <c r="W275" s="27">
        <v>71</v>
      </c>
      <c r="X275" s="58">
        <v>980</v>
      </c>
      <c r="Y275" s="12">
        <v>702</v>
      </c>
      <c r="Z275" s="27">
        <v>89</v>
      </c>
      <c r="AA275" s="58">
        <v>1202</v>
      </c>
      <c r="AB275" s="107">
        <v>908.88</v>
      </c>
      <c r="AC275" s="27">
        <v>87</v>
      </c>
      <c r="AD275" s="58">
        <v>1164</v>
      </c>
      <c r="AE275" s="107">
        <v>906.16000000000008</v>
      </c>
      <c r="AF275" s="27">
        <v>42</v>
      </c>
      <c r="AG275" s="58">
        <v>610</v>
      </c>
      <c r="AH275" s="107">
        <v>432</v>
      </c>
      <c r="AI275" s="27">
        <v>41</v>
      </c>
      <c r="AJ275" s="58">
        <v>580</v>
      </c>
      <c r="AK275" s="107">
        <v>402.8</v>
      </c>
      <c r="AL275" s="27">
        <v>83</v>
      </c>
      <c r="AM275" s="58">
        <v>1072</v>
      </c>
      <c r="AN275" s="107">
        <v>866.08</v>
      </c>
      <c r="AO275" s="27">
        <v>58</v>
      </c>
      <c r="AP275" s="58">
        <v>822</v>
      </c>
      <c r="AQ275" s="107">
        <v>593.6</v>
      </c>
      <c r="AR275" s="27">
        <v>78</v>
      </c>
      <c r="AS275" s="58">
        <v>1074</v>
      </c>
      <c r="AT275" s="107">
        <v>770.8</v>
      </c>
      <c r="AU275" s="54">
        <f t="shared" si="49"/>
        <v>760</v>
      </c>
      <c r="AV275" s="63">
        <f t="shared" si="50"/>
        <v>10378</v>
      </c>
      <c r="AW275" s="55">
        <f t="shared" si="51"/>
        <v>7761.920000000001</v>
      </c>
      <c r="AX275" s="54">
        <f t="shared" si="52"/>
        <v>63.333333333333336</v>
      </c>
      <c r="AY275" s="63">
        <f t="shared" si="53"/>
        <v>5.2777777777777777</v>
      </c>
      <c r="AZ275" s="55">
        <f t="shared" si="54"/>
        <v>646.82666666666671</v>
      </c>
      <c r="BA275" s="10">
        <v>26</v>
      </c>
      <c r="BB275" s="15">
        <v>370</v>
      </c>
      <c r="BC275" s="11">
        <v>268.40000000000003</v>
      </c>
      <c r="BD275" s="10">
        <v>48</v>
      </c>
      <c r="BE275" s="15">
        <v>650</v>
      </c>
      <c r="BF275" s="11">
        <v>508.08000000000004</v>
      </c>
      <c r="BG275" s="10">
        <v>46</v>
      </c>
      <c r="BH275" s="15">
        <v>612</v>
      </c>
      <c r="BI275" s="11">
        <v>456.00000000000006</v>
      </c>
      <c r="BJ275" s="10">
        <v>37</v>
      </c>
      <c r="BK275" s="15">
        <v>560</v>
      </c>
      <c r="BL275" s="11">
        <v>356.80000000000007</v>
      </c>
      <c r="BM275" s="44">
        <v>30</v>
      </c>
      <c r="BN275" s="42">
        <v>390</v>
      </c>
      <c r="BO275" s="45">
        <v>314.40000000000003</v>
      </c>
      <c r="BP275" s="44">
        <v>57</v>
      </c>
      <c r="BQ275" s="42">
        <v>820</v>
      </c>
      <c r="BR275" s="45">
        <v>566.40000000000009</v>
      </c>
      <c r="BS275" s="44">
        <v>75</v>
      </c>
      <c r="BT275" s="42">
        <v>1074</v>
      </c>
      <c r="BU275" s="112">
        <v>769.19999999999993</v>
      </c>
      <c r="BV275" s="115">
        <v>49</v>
      </c>
      <c r="BW275" s="116">
        <v>690</v>
      </c>
      <c r="BX275" s="112">
        <v>531.44000000000005</v>
      </c>
      <c r="BY275" s="115">
        <v>75</v>
      </c>
      <c r="BZ275" s="116">
        <v>1102</v>
      </c>
      <c r="CA275" s="112">
        <v>752</v>
      </c>
      <c r="CB275" s="115">
        <v>77</v>
      </c>
      <c r="CC275" s="116">
        <v>1086</v>
      </c>
      <c r="CD275" s="112">
        <v>856</v>
      </c>
      <c r="CE275" s="115">
        <v>56</v>
      </c>
      <c r="CF275" s="116">
        <v>778</v>
      </c>
      <c r="CG275" s="112">
        <v>596.16000000000008</v>
      </c>
      <c r="CH275" s="115">
        <v>65</v>
      </c>
      <c r="CI275" s="116">
        <v>906</v>
      </c>
      <c r="CJ275" s="112">
        <v>673.76</v>
      </c>
      <c r="CK275" s="54">
        <f t="shared" si="48"/>
        <v>641</v>
      </c>
      <c r="CL275" s="63">
        <f t="shared" si="55"/>
        <v>9038</v>
      </c>
      <c r="CM275" s="55">
        <f t="shared" si="56"/>
        <v>6648.64</v>
      </c>
      <c r="CN275" s="54">
        <f t="shared" si="57"/>
        <v>53.416666666666664</v>
      </c>
      <c r="CO275" s="63">
        <f t="shared" si="58"/>
        <v>753.16666666666663</v>
      </c>
      <c r="CP275" s="172">
        <f t="shared" si="59"/>
        <v>554.0533333333334</v>
      </c>
      <c r="CQ275" s="182"/>
      <c r="CR275" s="16"/>
      <c r="CS275" s="183"/>
      <c r="CT275" s="182"/>
      <c r="CU275" s="16"/>
      <c r="CV275" s="183"/>
      <c r="CW275" s="182"/>
      <c r="CX275" s="16"/>
      <c r="CY275" s="183"/>
      <c r="CZ275" s="182"/>
      <c r="DA275" s="16"/>
      <c r="DB275" s="183"/>
      <c r="DC275" s="182"/>
      <c r="DD275" s="16"/>
      <c r="DE275" s="183"/>
      <c r="DF275" s="182"/>
      <c r="DG275" s="16"/>
      <c r="DH275" s="183"/>
      <c r="DI275" s="182"/>
      <c r="DJ275" s="16"/>
      <c r="DK275" s="183"/>
      <c r="DL275" s="182"/>
      <c r="DM275" s="16"/>
      <c r="DN275" s="183"/>
      <c r="DO275" s="182"/>
      <c r="DP275" s="16"/>
      <c r="DQ275" s="183"/>
      <c r="DR275" s="182"/>
      <c r="DS275" s="16"/>
      <c r="DT275" s="183"/>
      <c r="DU275" s="182"/>
      <c r="DV275" s="16"/>
      <c r="DW275" s="183"/>
      <c r="DX275" s="182"/>
      <c r="DY275" s="16"/>
      <c r="DZ275" s="183"/>
    </row>
    <row r="276" spans="1:130" s="2" customFormat="1" ht="34.9" customHeight="1" x14ac:dyDescent="0.6">
      <c r="A276" s="5">
        <v>273</v>
      </c>
      <c r="B276" s="165" t="s">
        <v>220</v>
      </c>
      <c r="C276" s="16" t="s">
        <v>221</v>
      </c>
      <c r="D276" s="15" t="s">
        <v>222</v>
      </c>
      <c r="E276" s="14" t="s">
        <v>223</v>
      </c>
      <c r="F276" s="7" t="s">
        <v>150</v>
      </c>
      <c r="G276" s="18" t="s">
        <v>851</v>
      </c>
      <c r="H276" s="18" t="s">
        <v>221</v>
      </c>
      <c r="I276" s="14" t="s">
        <v>852</v>
      </c>
      <c r="J276" s="49" t="s">
        <v>151</v>
      </c>
      <c r="K276" s="27">
        <v>85</v>
      </c>
      <c r="L276" s="58">
        <v>1200</v>
      </c>
      <c r="M276" s="78">
        <v>969</v>
      </c>
      <c r="N276" s="27">
        <v>115</v>
      </c>
      <c r="O276" s="58">
        <v>1420</v>
      </c>
      <c r="P276" s="49">
        <v>1295.2</v>
      </c>
      <c r="Q276" s="27">
        <v>40</v>
      </c>
      <c r="R276" s="58">
        <v>500</v>
      </c>
      <c r="S276" s="98">
        <v>449.6</v>
      </c>
      <c r="T276" s="27">
        <v>75</v>
      </c>
      <c r="U276" s="58">
        <v>1060</v>
      </c>
      <c r="V276" s="12">
        <v>879.6</v>
      </c>
      <c r="W276" s="27">
        <v>70</v>
      </c>
      <c r="X276" s="58">
        <v>860</v>
      </c>
      <c r="Y276" s="107">
        <v>809.6</v>
      </c>
      <c r="Z276" s="27">
        <v>70</v>
      </c>
      <c r="AA276" s="58">
        <v>880</v>
      </c>
      <c r="AB276" s="107">
        <v>779.2</v>
      </c>
      <c r="AC276" s="27">
        <v>90</v>
      </c>
      <c r="AD276" s="58">
        <v>1140</v>
      </c>
      <c r="AE276" s="107">
        <v>988.8</v>
      </c>
      <c r="AF276" s="27">
        <v>135</v>
      </c>
      <c r="AG276" s="58">
        <v>1840</v>
      </c>
      <c r="AH276" s="107">
        <v>1508.4</v>
      </c>
      <c r="AI276" s="27">
        <v>90</v>
      </c>
      <c r="AJ276" s="58">
        <v>1140</v>
      </c>
      <c r="AK276" s="107">
        <v>988.8</v>
      </c>
      <c r="AL276" s="27">
        <v>35</v>
      </c>
      <c r="AM276" s="58">
        <v>460</v>
      </c>
      <c r="AN276" s="107">
        <v>359.20000000000005</v>
      </c>
      <c r="AO276" s="27">
        <v>0</v>
      </c>
      <c r="AP276" s="58">
        <v>0</v>
      </c>
      <c r="AQ276" s="107">
        <v>0</v>
      </c>
      <c r="AR276" s="27">
        <v>0</v>
      </c>
      <c r="AS276" s="58">
        <v>0</v>
      </c>
      <c r="AT276" s="107">
        <v>0</v>
      </c>
      <c r="AU276" s="54">
        <f t="shared" si="49"/>
        <v>805</v>
      </c>
      <c r="AV276" s="63">
        <f t="shared" si="50"/>
        <v>10500</v>
      </c>
      <c r="AW276" s="55">
        <f t="shared" si="51"/>
        <v>9027.4</v>
      </c>
      <c r="AX276" s="54">
        <f t="shared" si="52"/>
        <v>67.083333333333329</v>
      </c>
      <c r="AY276" s="63">
        <f t="shared" si="53"/>
        <v>5.5902777777777777</v>
      </c>
      <c r="AZ276" s="55">
        <f t="shared" si="54"/>
        <v>752.2833333333333</v>
      </c>
      <c r="BA276" s="10">
        <v>100</v>
      </c>
      <c r="BB276" s="15">
        <v>1300</v>
      </c>
      <c r="BC276" s="11">
        <v>1048</v>
      </c>
      <c r="BD276" s="10">
        <v>0</v>
      </c>
      <c r="BE276" s="15">
        <v>0</v>
      </c>
      <c r="BF276" s="11">
        <v>0</v>
      </c>
      <c r="BG276" s="10">
        <v>0</v>
      </c>
      <c r="BH276" s="15">
        <v>0</v>
      </c>
      <c r="BI276" s="11">
        <v>0</v>
      </c>
      <c r="BJ276" s="10">
        <v>0</v>
      </c>
      <c r="BK276" s="15">
        <v>0</v>
      </c>
      <c r="BL276" s="11">
        <v>0</v>
      </c>
      <c r="BM276" s="44">
        <v>0</v>
      </c>
      <c r="BN276" s="42">
        <v>0</v>
      </c>
      <c r="BO276" s="45">
        <v>0</v>
      </c>
      <c r="BP276" s="44">
        <v>0</v>
      </c>
      <c r="BQ276" s="42">
        <v>0</v>
      </c>
      <c r="BR276" s="45">
        <v>0</v>
      </c>
      <c r="BS276" s="44">
        <v>0</v>
      </c>
      <c r="BT276" s="42">
        <v>0</v>
      </c>
      <c r="BU276" s="112">
        <v>0</v>
      </c>
      <c r="BV276" s="115">
        <v>0</v>
      </c>
      <c r="BW276" s="116">
        <v>0</v>
      </c>
      <c r="BX276" s="112">
        <v>0</v>
      </c>
      <c r="BY276" s="115">
        <v>0</v>
      </c>
      <c r="BZ276" s="116">
        <v>0</v>
      </c>
      <c r="CA276" s="112">
        <v>0</v>
      </c>
      <c r="CB276" s="115">
        <v>0</v>
      </c>
      <c r="CC276" s="116">
        <v>0</v>
      </c>
      <c r="CD276" s="112">
        <v>0</v>
      </c>
      <c r="CE276" s="115">
        <v>0</v>
      </c>
      <c r="CF276" s="116">
        <v>0</v>
      </c>
      <c r="CG276" s="112">
        <v>0</v>
      </c>
      <c r="CH276" s="115">
        <v>0</v>
      </c>
      <c r="CI276" s="116">
        <v>0</v>
      </c>
      <c r="CJ276" s="112">
        <v>0</v>
      </c>
      <c r="CK276" s="54">
        <f t="shared" si="48"/>
        <v>100</v>
      </c>
      <c r="CL276" s="63">
        <f t="shared" si="55"/>
        <v>1300</v>
      </c>
      <c r="CM276" s="55">
        <f t="shared" si="56"/>
        <v>1048</v>
      </c>
      <c r="CN276" s="54">
        <f t="shared" si="57"/>
        <v>8.3333333333333339</v>
      </c>
      <c r="CO276" s="63">
        <f t="shared" si="58"/>
        <v>108.33333333333333</v>
      </c>
      <c r="CP276" s="172">
        <f t="shared" si="59"/>
        <v>87.333333333333329</v>
      </c>
      <c r="CQ276" s="182"/>
      <c r="CR276" s="16"/>
      <c r="CS276" s="183"/>
      <c r="CT276" s="182"/>
      <c r="CU276" s="16"/>
      <c r="CV276" s="183"/>
      <c r="CW276" s="182"/>
      <c r="CX276" s="16"/>
      <c r="CY276" s="183"/>
      <c r="CZ276" s="182"/>
      <c r="DA276" s="16"/>
      <c r="DB276" s="183"/>
      <c r="DC276" s="182"/>
      <c r="DD276" s="16"/>
      <c r="DE276" s="183"/>
      <c r="DF276" s="182"/>
      <c r="DG276" s="16"/>
      <c r="DH276" s="183"/>
      <c r="DI276" s="182"/>
      <c r="DJ276" s="16"/>
      <c r="DK276" s="183"/>
      <c r="DL276" s="182"/>
      <c r="DM276" s="16"/>
      <c r="DN276" s="183"/>
      <c r="DO276" s="182"/>
      <c r="DP276" s="16"/>
      <c r="DQ276" s="183"/>
      <c r="DR276" s="182"/>
      <c r="DS276" s="16"/>
      <c r="DT276" s="183"/>
      <c r="DU276" s="182"/>
      <c r="DV276" s="16"/>
      <c r="DW276" s="183"/>
      <c r="DX276" s="182"/>
      <c r="DY276" s="16"/>
      <c r="DZ276" s="183"/>
    </row>
    <row r="277" spans="1:130" s="2" customFormat="1" ht="34.9" customHeight="1" x14ac:dyDescent="0.6">
      <c r="A277" s="5">
        <v>274</v>
      </c>
      <c r="B277" s="165" t="s">
        <v>224</v>
      </c>
      <c r="C277" s="16" t="s">
        <v>225</v>
      </c>
      <c r="D277" s="15" t="s">
        <v>226</v>
      </c>
      <c r="E277" s="14" t="s">
        <v>227</v>
      </c>
      <c r="F277" s="7" t="s">
        <v>150</v>
      </c>
      <c r="G277" s="18" t="s">
        <v>224</v>
      </c>
      <c r="H277" s="18" t="s">
        <v>225</v>
      </c>
      <c r="I277" s="14" t="s">
        <v>853</v>
      </c>
      <c r="J277" s="49" t="s">
        <v>151</v>
      </c>
      <c r="K277" s="27">
        <v>144</v>
      </c>
      <c r="L277" s="58">
        <v>3384</v>
      </c>
      <c r="M277" s="78">
        <v>2191.6799999999998</v>
      </c>
      <c r="N277" s="27">
        <v>125</v>
      </c>
      <c r="O277" s="58">
        <v>3160</v>
      </c>
      <c r="P277" s="49">
        <v>1906.4</v>
      </c>
      <c r="Q277" s="27">
        <v>58</v>
      </c>
      <c r="R277" s="58">
        <v>1392</v>
      </c>
      <c r="S277" s="98">
        <v>890.88</v>
      </c>
      <c r="T277" s="27">
        <v>0</v>
      </c>
      <c r="U277" s="58">
        <v>0</v>
      </c>
      <c r="V277" s="12">
        <v>0</v>
      </c>
      <c r="W277" s="27">
        <v>21</v>
      </c>
      <c r="X277" s="58">
        <v>504</v>
      </c>
      <c r="Y277" s="107">
        <v>322.56</v>
      </c>
      <c r="Z277" s="27">
        <v>14</v>
      </c>
      <c r="AA277" s="58">
        <v>336</v>
      </c>
      <c r="AB277" s="107">
        <v>215.04</v>
      </c>
      <c r="AC277" s="27">
        <v>10</v>
      </c>
      <c r="AD277" s="58">
        <v>240</v>
      </c>
      <c r="AE277" s="107">
        <v>153.6</v>
      </c>
      <c r="AF277" s="27">
        <v>18</v>
      </c>
      <c r="AG277" s="58">
        <v>432</v>
      </c>
      <c r="AH277" s="107">
        <v>276.48</v>
      </c>
      <c r="AI277" s="27">
        <v>3</v>
      </c>
      <c r="AJ277" s="58">
        <v>72</v>
      </c>
      <c r="AK277" s="107">
        <v>46.08</v>
      </c>
      <c r="AL277" s="27">
        <v>10</v>
      </c>
      <c r="AM277" s="58">
        <v>240</v>
      </c>
      <c r="AN277" s="107">
        <v>153.6</v>
      </c>
      <c r="AO277" s="27">
        <v>5</v>
      </c>
      <c r="AP277" s="58">
        <v>120</v>
      </c>
      <c r="AQ277" s="107">
        <v>77</v>
      </c>
      <c r="AR277" s="27">
        <v>0</v>
      </c>
      <c r="AS277" s="58">
        <v>0</v>
      </c>
      <c r="AT277" s="107">
        <v>0</v>
      </c>
      <c r="AU277" s="54">
        <f t="shared" si="49"/>
        <v>408</v>
      </c>
      <c r="AV277" s="63">
        <f t="shared" si="50"/>
        <v>9880</v>
      </c>
      <c r="AW277" s="55">
        <f t="shared" si="51"/>
        <v>6233.3200000000015</v>
      </c>
      <c r="AX277" s="54">
        <f t="shared" si="52"/>
        <v>34</v>
      </c>
      <c r="AY277" s="63">
        <f t="shared" si="53"/>
        <v>2.8333333333333335</v>
      </c>
      <c r="AZ277" s="55">
        <f t="shared" si="54"/>
        <v>519.4433333333335</v>
      </c>
      <c r="BA277" s="10">
        <v>0</v>
      </c>
      <c r="BB277" s="15">
        <v>0</v>
      </c>
      <c r="BC277" s="11">
        <v>0</v>
      </c>
      <c r="BD277" s="10">
        <v>0</v>
      </c>
      <c r="BE277" s="15">
        <v>0</v>
      </c>
      <c r="BF277" s="11">
        <v>0</v>
      </c>
      <c r="BG277" s="10">
        <v>0</v>
      </c>
      <c r="BH277" s="15">
        <v>0</v>
      </c>
      <c r="BI277" s="11">
        <v>0</v>
      </c>
      <c r="BJ277" s="10">
        <v>0</v>
      </c>
      <c r="BK277" s="15">
        <v>0</v>
      </c>
      <c r="BL277" s="11">
        <v>0</v>
      </c>
      <c r="BM277" s="44">
        <v>0</v>
      </c>
      <c r="BN277" s="42">
        <v>0</v>
      </c>
      <c r="BO277" s="45">
        <v>0</v>
      </c>
      <c r="BP277" s="44">
        <v>0</v>
      </c>
      <c r="BQ277" s="42">
        <v>0</v>
      </c>
      <c r="BR277" s="45">
        <v>0</v>
      </c>
      <c r="BS277" s="44">
        <v>0</v>
      </c>
      <c r="BT277" s="42">
        <v>0</v>
      </c>
      <c r="BU277" s="112">
        <v>0</v>
      </c>
      <c r="BV277" s="115">
        <v>0</v>
      </c>
      <c r="BW277" s="116">
        <v>0</v>
      </c>
      <c r="BX277" s="112">
        <v>0</v>
      </c>
      <c r="BY277" s="115">
        <v>0</v>
      </c>
      <c r="BZ277" s="116">
        <v>0</v>
      </c>
      <c r="CA277" s="112">
        <v>0</v>
      </c>
      <c r="CB277" s="115">
        <v>0</v>
      </c>
      <c r="CC277" s="116">
        <v>0</v>
      </c>
      <c r="CD277" s="112">
        <v>0</v>
      </c>
      <c r="CE277" s="115">
        <v>0</v>
      </c>
      <c r="CF277" s="116">
        <v>0</v>
      </c>
      <c r="CG277" s="112">
        <v>0</v>
      </c>
      <c r="CH277" s="115">
        <v>0</v>
      </c>
      <c r="CI277" s="116">
        <v>0</v>
      </c>
      <c r="CJ277" s="112">
        <v>0</v>
      </c>
      <c r="CK277" s="54">
        <f t="shared" si="48"/>
        <v>0</v>
      </c>
      <c r="CL277" s="63">
        <f t="shared" si="55"/>
        <v>0</v>
      </c>
      <c r="CM277" s="55">
        <f t="shared" si="56"/>
        <v>0</v>
      </c>
      <c r="CN277" s="54">
        <f t="shared" si="57"/>
        <v>0</v>
      </c>
      <c r="CO277" s="63">
        <f t="shared" si="58"/>
        <v>0</v>
      </c>
      <c r="CP277" s="172">
        <f t="shared" si="59"/>
        <v>0</v>
      </c>
      <c r="CQ277" s="182"/>
      <c r="CR277" s="16"/>
      <c r="CS277" s="183"/>
      <c r="CT277" s="182"/>
      <c r="CU277" s="16"/>
      <c r="CV277" s="183"/>
      <c r="CW277" s="182"/>
      <c r="CX277" s="16"/>
      <c r="CY277" s="183"/>
      <c r="CZ277" s="182"/>
      <c r="DA277" s="16"/>
      <c r="DB277" s="183"/>
      <c r="DC277" s="182"/>
      <c r="DD277" s="16"/>
      <c r="DE277" s="183"/>
      <c r="DF277" s="182"/>
      <c r="DG277" s="16"/>
      <c r="DH277" s="183"/>
      <c r="DI277" s="182"/>
      <c r="DJ277" s="16"/>
      <c r="DK277" s="183"/>
      <c r="DL277" s="182"/>
      <c r="DM277" s="16"/>
      <c r="DN277" s="183"/>
      <c r="DO277" s="182"/>
      <c r="DP277" s="16"/>
      <c r="DQ277" s="183"/>
      <c r="DR277" s="182"/>
      <c r="DS277" s="16"/>
      <c r="DT277" s="183"/>
      <c r="DU277" s="182"/>
      <c r="DV277" s="16"/>
      <c r="DW277" s="183"/>
      <c r="DX277" s="182"/>
      <c r="DY277" s="16"/>
      <c r="DZ277" s="183"/>
    </row>
    <row r="278" spans="1:130" s="2" customFormat="1" ht="34.9" customHeight="1" x14ac:dyDescent="0.6">
      <c r="A278" s="5">
        <v>275</v>
      </c>
      <c r="B278" s="177" t="s">
        <v>228</v>
      </c>
      <c r="C278" s="16" t="s">
        <v>229</v>
      </c>
      <c r="D278" s="14" t="s">
        <v>128</v>
      </c>
      <c r="E278" s="14" t="s">
        <v>129</v>
      </c>
      <c r="F278" s="7" t="s">
        <v>150</v>
      </c>
      <c r="G278" s="18"/>
      <c r="H278" s="18"/>
      <c r="I278" s="14" t="s">
        <v>854</v>
      </c>
      <c r="J278" s="49" t="s">
        <v>151</v>
      </c>
      <c r="K278" s="27">
        <v>65</v>
      </c>
      <c r="L278" s="58">
        <v>910</v>
      </c>
      <c r="M278" s="78">
        <v>582</v>
      </c>
      <c r="N278" s="27">
        <v>40</v>
      </c>
      <c r="O278" s="58">
        <v>550</v>
      </c>
      <c r="P278" s="49">
        <v>373.6</v>
      </c>
      <c r="Q278" s="27">
        <v>30</v>
      </c>
      <c r="R278" s="58">
        <v>420</v>
      </c>
      <c r="S278" s="98">
        <v>268.8</v>
      </c>
      <c r="T278" s="27">
        <v>51</v>
      </c>
      <c r="U278" s="58">
        <v>702</v>
      </c>
      <c r="V278" s="12">
        <v>475.2</v>
      </c>
      <c r="W278" s="27">
        <v>50</v>
      </c>
      <c r="X278" s="58">
        <v>700</v>
      </c>
      <c r="Y278" s="12">
        <v>448</v>
      </c>
      <c r="Z278" s="27">
        <v>35</v>
      </c>
      <c r="AA278" s="58">
        <v>490</v>
      </c>
      <c r="AB278" s="107">
        <v>313.60000000000002</v>
      </c>
      <c r="AC278" s="27">
        <v>6</v>
      </c>
      <c r="AD278" s="58">
        <v>78</v>
      </c>
      <c r="AE278" s="107">
        <v>62.879999999999995</v>
      </c>
      <c r="AF278" s="27">
        <v>9</v>
      </c>
      <c r="AG278" s="58">
        <v>120</v>
      </c>
      <c r="AH278" s="107">
        <v>89.759999999999991</v>
      </c>
      <c r="AI278" s="27">
        <v>15</v>
      </c>
      <c r="AJ278" s="58">
        <v>210</v>
      </c>
      <c r="AK278" s="107">
        <v>134.4</v>
      </c>
      <c r="AL278" s="27">
        <v>3</v>
      </c>
      <c r="AM278" s="58">
        <v>36</v>
      </c>
      <c r="AN278" s="107">
        <v>36</v>
      </c>
      <c r="AO278" s="27">
        <v>5</v>
      </c>
      <c r="AP278" s="58">
        <v>70</v>
      </c>
      <c r="AQ278" s="107">
        <v>44.800000000000004</v>
      </c>
      <c r="AR278" s="27">
        <v>15</v>
      </c>
      <c r="AS278" s="58">
        <v>200</v>
      </c>
      <c r="AT278" s="107">
        <v>149.60000000000002</v>
      </c>
      <c r="AU278" s="54">
        <f t="shared" si="49"/>
        <v>324</v>
      </c>
      <c r="AV278" s="63">
        <f t="shared" si="50"/>
        <v>4486</v>
      </c>
      <c r="AW278" s="55">
        <f t="shared" si="51"/>
        <v>2978.6400000000003</v>
      </c>
      <c r="AX278" s="54">
        <f t="shared" si="52"/>
        <v>27</v>
      </c>
      <c r="AY278" s="63">
        <f t="shared" si="53"/>
        <v>2.25</v>
      </c>
      <c r="AZ278" s="55">
        <f t="shared" si="54"/>
        <v>248.22000000000003</v>
      </c>
      <c r="BA278" s="10">
        <v>13</v>
      </c>
      <c r="BB278" s="15">
        <v>176</v>
      </c>
      <c r="BC278" s="11">
        <v>125.60000000000002</v>
      </c>
      <c r="BD278" s="10">
        <v>5</v>
      </c>
      <c r="BE278" s="15">
        <v>70</v>
      </c>
      <c r="BF278" s="11">
        <v>44.800000000000004</v>
      </c>
      <c r="BG278" s="10">
        <v>30</v>
      </c>
      <c r="BH278" s="15">
        <v>420</v>
      </c>
      <c r="BI278" s="11">
        <v>268.8</v>
      </c>
      <c r="BJ278" s="10">
        <v>3</v>
      </c>
      <c r="BK278" s="15">
        <v>36</v>
      </c>
      <c r="BL278" s="11">
        <v>36</v>
      </c>
      <c r="BM278" s="44">
        <v>5</v>
      </c>
      <c r="BN278" s="42">
        <v>70</v>
      </c>
      <c r="BO278" s="45">
        <v>44.800000000000004</v>
      </c>
      <c r="BP278" s="44">
        <v>13</v>
      </c>
      <c r="BQ278" s="42">
        <v>176</v>
      </c>
      <c r="BR278" s="45">
        <v>125.60000000000001</v>
      </c>
      <c r="BS278" s="44">
        <v>5</v>
      </c>
      <c r="BT278" s="42">
        <v>70</v>
      </c>
      <c r="BU278" s="112">
        <v>44.800000000000004</v>
      </c>
      <c r="BV278" s="115">
        <v>10</v>
      </c>
      <c r="BW278" s="116">
        <v>143</v>
      </c>
      <c r="BX278" s="112">
        <v>91.640000000000015</v>
      </c>
      <c r="BY278" s="115">
        <v>5</v>
      </c>
      <c r="BZ278" s="116">
        <v>70</v>
      </c>
      <c r="CA278" s="112">
        <v>44.800000000000004</v>
      </c>
      <c r="CB278" s="115">
        <v>12</v>
      </c>
      <c r="CC278" s="116">
        <v>154</v>
      </c>
      <c r="CD278" s="112">
        <v>128.80000000000001</v>
      </c>
      <c r="CE278" s="115">
        <v>5</v>
      </c>
      <c r="CF278" s="116">
        <v>70</v>
      </c>
      <c r="CG278" s="112">
        <v>44.800000000000004</v>
      </c>
      <c r="CH278" s="115">
        <v>0</v>
      </c>
      <c r="CI278" s="116">
        <v>0</v>
      </c>
      <c r="CJ278" s="112">
        <v>0</v>
      </c>
      <c r="CK278" s="54">
        <f t="shared" si="48"/>
        <v>106</v>
      </c>
      <c r="CL278" s="63">
        <f t="shared" si="55"/>
        <v>1455</v>
      </c>
      <c r="CM278" s="55">
        <f t="shared" si="56"/>
        <v>1000.4399999999998</v>
      </c>
      <c r="CN278" s="54">
        <f t="shared" si="57"/>
        <v>8.8333333333333339</v>
      </c>
      <c r="CO278" s="63">
        <f t="shared" si="58"/>
        <v>121.25</v>
      </c>
      <c r="CP278" s="172">
        <f t="shared" si="59"/>
        <v>83.36999999999999</v>
      </c>
      <c r="CQ278" s="182"/>
      <c r="CR278" s="16"/>
      <c r="CS278" s="183"/>
      <c r="CT278" s="182"/>
      <c r="CU278" s="16"/>
      <c r="CV278" s="183"/>
      <c r="CW278" s="182"/>
      <c r="CX278" s="16"/>
      <c r="CY278" s="183"/>
      <c r="CZ278" s="182"/>
      <c r="DA278" s="16"/>
      <c r="DB278" s="183"/>
      <c r="DC278" s="182"/>
      <c r="DD278" s="16"/>
      <c r="DE278" s="183"/>
      <c r="DF278" s="182"/>
      <c r="DG278" s="16"/>
      <c r="DH278" s="183"/>
      <c r="DI278" s="182"/>
      <c r="DJ278" s="16"/>
      <c r="DK278" s="183"/>
      <c r="DL278" s="182"/>
      <c r="DM278" s="16"/>
      <c r="DN278" s="183"/>
      <c r="DO278" s="182"/>
      <c r="DP278" s="16"/>
      <c r="DQ278" s="183"/>
      <c r="DR278" s="182"/>
      <c r="DS278" s="16"/>
      <c r="DT278" s="183"/>
      <c r="DU278" s="182"/>
      <c r="DV278" s="16"/>
      <c r="DW278" s="183"/>
      <c r="DX278" s="182"/>
      <c r="DY278" s="16"/>
      <c r="DZ278" s="183"/>
    </row>
    <row r="279" spans="1:130" s="2" customFormat="1" ht="34.9" customHeight="1" x14ac:dyDescent="0.6">
      <c r="A279" s="5">
        <v>276</v>
      </c>
      <c r="B279" s="165" t="s">
        <v>244</v>
      </c>
      <c r="C279" s="14" t="s">
        <v>245</v>
      </c>
      <c r="D279" s="15" t="s">
        <v>33</v>
      </c>
      <c r="E279" s="14" t="s">
        <v>246</v>
      </c>
      <c r="F279" s="7" t="s">
        <v>150</v>
      </c>
      <c r="G279" s="18" t="s">
        <v>863</v>
      </c>
      <c r="H279" s="18"/>
      <c r="I279" s="14" t="s">
        <v>864</v>
      </c>
      <c r="J279" s="49" t="s">
        <v>151</v>
      </c>
      <c r="K279" s="27">
        <v>0</v>
      </c>
      <c r="L279" s="58">
        <v>0</v>
      </c>
      <c r="M279" s="58">
        <v>0</v>
      </c>
      <c r="N279" s="27">
        <v>100</v>
      </c>
      <c r="O279" s="58">
        <v>1400</v>
      </c>
      <c r="P279" s="49">
        <v>896</v>
      </c>
      <c r="Q279" s="27">
        <v>100</v>
      </c>
      <c r="R279" s="58">
        <v>1400</v>
      </c>
      <c r="S279" s="98">
        <v>896</v>
      </c>
      <c r="T279" s="27">
        <v>0</v>
      </c>
      <c r="U279" s="58">
        <v>0</v>
      </c>
      <c r="V279" s="12">
        <v>0</v>
      </c>
      <c r="W279" s="27">
        <v>100</v>
      </c>
      <c r="X279" s="58">
        <v>1400</v>
      </c>
      <c r="Y279" s="12">
        <v>896</v>
      </c>
      <c r="Z279" s="27">
        <v>0</v>
      </c>
      <c r="AA279" s="58">
        <v>0</v>
      </c>
      <c r="AB279" s="12">
        <v>0</v>
      </c>
      <c r="AC279" s="27">
        <v>100</v>
      </c>
      <c r="AD279" s="58">
        <v>1400</v>
      </c>
      <c r="AE279" s="107">
        <v>896</v>
      </c>
      <c r="AF279" s="27">
        <v>0</v>
      </c>
      <c r="AG279" s="58">
        <v>0</v>
      </c>
      <c r="AH279" s="107">
        <v>0</v>
      </c>
      <c r="AI279" s="27">
        <v>100</v>
      </c>
      <c r="AJ279" s="58">
        <v>1400</v>
      </c>
      <c r="AK279" s="107">
        <v>896</v>
      </c>
      <c r="AL279" s="27">
        <v>100</v>
      </c>
      <c r="AM279" s="58">
        <v>1400</v>
      </c>
      <c r="AN279" s="107">
        <v>896</v>
      </c>
      <c r="AO279" s="27">
        <v>0</v>
      </c>
      <c r="AP279" s="58">
        <v>0</v>
      </c>
      <c r="AQ279" s="107">
        <v>0</v>
      </c>
      <c r="AR279" s="27">
        <v>100</v>
      </c>
      <c r="AS279" s="58">
        <v>1400</v>
      </c>
      <c r="AT279" s="107">
        <v>896</v>
      </c>
      <c r="AU279" s="54">
        <f t="shared" si="49"/>
        <v>700</v>
      </c>
      <c r="AV279" s="63">
        <f t="shared" si="50"/>
        <v>9800</v>
      </c>
      <c r="AW279" s="55">
        <f t="shared" si="51"/>
        <v>6272</v>
      </c>
      <c r="AX279" s="54">
        <f t="shared" si="52"/>
        <v>58.333333333333336</v>
      </c>
      <c r="AY279" s="63">
        <f t="shared" si="53"/>
        <v>4.8611111111111116</v>
      </c>
      <c r="AZ279" s="55">
        <f t="shared" si="54"/>
        <v>522.66666666666663</v>
      </c>
      <c r="BA279" s="58">
        <v>0</v>
      </c>
      <c r="BB279" s="58">
        <v>0</v>
      </c>
      <c r="BC279" s="58">
        <v>0</v>
      </c>
      <c r="BD279" s="58">
        <v>0</v>
      </c>
      <c r="BE279" s="58">
        <v>0</v>
      </c>
      <c r="BF279" s="58">
        <v>0</v>
      </c>
      <c r="BG279" s="10">
        <v>100</v>
      </c>
      <c r="BH279" s="15">
        <v>1400</v>
      </c>
      <c r="BI279" s="11">
        <v>896</v>
      </c>
      <c r="BJ279" s="58">
        <v>0</v>
      </c>
      <c r="BK279" s="58">
        <v>0</v>
      </c>
      <c r="BL279" s="58">
        <v>0</v>
      </c>
      <c r="BM279" s="44">
        <v>0</v>
      </c>
      <c r="BN279" s="42">
        <v>0</v>
      </c>
      <c r="BO279" s="45">
        <v>0</v>
      </c>
      <c r="BP279" s="44">
        <v>100</v>
      </c>
      <c r="BQ279" s="42">
        <v>1400</v>
      </c>
      <c r="BR279" s="45">
        <v>896</v>
      </c>
      <c r="BS279" s="44">
        <v>100</v>
      </c>
      <c r="BT279" s="42">
        <v>1400</v>
      </c>
      <c r="BU279" s="112">
        <v>896</v>
      </c>
      <c r="BV279" s="115">
        <v>0</v>
      </c>
      <c r="BW279" s="116">
        <v>3</v>
      </c>
      <c r="BX279" s="112">
        <v>2.04</v>
      </c>
      <c r="BY279" s="115">
        <v>0</v>
      </c>
      <c r="BZ279" s="116">
        <v>0</v>
      </c>
      <c r="CA279" s="112">
        <v>0</v>
      </c>
      <c r="CB279" s="115">
        <v>100</v>
      </c>
      <c r="CC279" s="116">
        <v>1400</v>
      </c>
      <c r="CD279" s="112">
        <v>896</v>
      </c>
      <c r="CE279" s="115">
        <v>0</v>
      </c>
      <c r="CF279" s="116">
        <v>0</v>
      </c>
      <c r="CG279" s="112">
        <v>0</v>
      </c>
      <c r="CH279" s="115">
        <v>0</v>
      </c>
      <c r="CI279" s="116">
        <v>0</v>
      </c>
      <c r="CJ279" s="112">
        <v>0</v>
      </c>
      <c r="CK279" s="54">
        <f t="shared" si="48"/>
        <v>400</v>
      </c>
      <c r="CL279" s="63">
        <f t="shared" si="55"/>
        <v>5603</v>
      </c>
      <c r="CM279" s="55">
        <f t="shared" si="56"/>
        <v>3586.04</v>
      </c>
      <c r="CN279" s="54">
        <f t="shared" si="57"/>
        <v>33.333333333333336</v>
      </c>
      <c r="CO279" s="63">
        <f t="shared" si="58"/>
        <v>466.91666666666669</v>
      </c>
      <c r="CP279" s="172">
        <f t="shared" si="59"/>
        <v>298.83666666666664</v>
      </c>
      <c r="CQ279" s="182"/>
      <c r="CR279" s="16"/>
      <c r="CS279" s="183"/>
      <c r="CT279" s="182"/>
      <c r="CU279" s="16"/>
      <c r="CV279" s="183"/>
      <c r="CW279" s="182"/>
      <c r="CX279" s="16"/>
      <c r="CY279" s="183"/>
      <c r="CZ279" s="182"/>
      <c r="DA279" s="16"/>
      <c r="DB279" s="183"/>
      <c r="DC279" s="182"/>
      <c r="DD279" s="16"/>
      <c r="DE279" s="183"/>
      <c r="DF279" s="182"/>
      <c r="DG279" s="16"/>
      <c r="DH279" s="183"/>
      <c r="DI279" s="182"/>
      <c r="DJ279" s="16"/>
      <c r="DK279" s="183"/>
      <c r="DL279" s="182"/>
      <c r="DM279" s="16"/>
      <c r="DN279" s="183"/>
      <c r="DO279" s="182"/>
      <c r="DP279" s="16"/>
      <c r="DQ279" s="183"/>
      <c r="DR279" s="182"/>
      <c r="DS279" s="16"/>
      <c r="DT279" s="183"/>
      <c r="DU279" s="182"/>
      <c r="DV279" s="16"/>
      <c r="DW279" s="183"/>
      <c r="DX279" s="182"/>
      <c r="DY279" s="16"/>
      <c r="DZ279" s="183"/>
    </row>
    <row r="280" spans="1:130" s="2" customFormat="1" ht="34.9" customHeight="1" x14ac:dyDescent="0.6">
      <c r="A280" s="5">
        <v>277</v>
      </c>
      <c r="B280" s="165" t="s">
        <v>247</v>
      </c>
      <c r="C280" s="21" t="s">
        <v>248</v>
      </c>
      <c r="D280" s="20" t="s">
        <v>249</v>
      </c>
      <c r="E280" s="20" t="s">
        <v>250</v>
      </c>
      <c r="F280" s="7" t="s">
        <v>150</v>
      </c>
      <c r="G280" s="18"/>
      <c r="H280" s="18"/>
      <c r="I280" s="14" t="s">
        <v>1123</v>
      </c>
      <c r="J280" s="49" t="s">
        <v>151</v>
      </c>
      <c r="K280" s="27">
        <v>0</v>
      </c>
      <c r="L280" s="58">
        <v>0</v>
      </c>
      <c r="M280" s="58">
        <v>0</v>
      </c>
      <c r="N280" s="27">
        <v>0</v>
      </c>
      <c r="O280" s="58">
        <v>0</v>
      </c>
      <c r="P280" s="49">
        <v>0</v>
      </c>
      <c r="Q280" s="27">
        <v>0</v>
      </c>
      <c r="R280" s="58">
        <v>0</v>
      </c>
      <c r="S280" s="98">
        <v>0</v>
      </c>
      <c r="T280" s="27">
        <v>0</v>
      </c>
      <c r="U280" s="58">
        <v>0</v>
      </c>
      <c r="V280" s="12">
        <v>0</v>
      </c>
      <c r="W280" s="27">
        <v>0</v>
      </c>
      <c r="X280" s="58">
        <v>0</v>
      </c>
      <c r="Y280" s="12">
        <v>0</v>
      </c>
      <c r="Z280" s="27">
        <v>0</v>
      </c>
      <c r="AA280" s="58">
        <v>0</v>
      </c>
      <c r="AB280" s="12">
        <v>0</v>
      </c>
      <c r="AC280" s="27">
        <v>0</v>
      </c>
      <c r="AD280" s="58">
        <v>0</v>
      </c>
      <c r="AE280" s="107">
        <v>0</v>
      </c>
      <c r="AF280" s="27">
        <v>0</v>
      </c>
      <c r="AG280" s="58">
        <v>0</v>
      </c>
      <c r="AH280" s="107">
        <v>0</v>
      </c>
      <c r="AI280" s="27">
        <v>11</v>
      </c>
      <c r="AJ280" s="58">
        <v>132</v>
      </c>
      <c r="AK280" s="107">
        <v>132</v>
      </c>
      <c r="AL280" s="27">
        <v>0</v>
      </c>
      <c r="AM280" s="58">
        <v>0</v>
      </c>
      <c r="AN280" s="107">
        <v>0</v>
      </c>
      <c r="AO280" s="27">
        <v>5</v>
      </c>
      <c r="AP280" s="58">
        <v>60</v>
      </c>
      <c r="AQ280" s="107">
        <v>60</v>
      </c>
      <c r="AR280" s="27">
        <v>0</v>
      </c>
      <c r="AS280" s="58">
        <v>0</v>
      </c>
      <c r="AT280" s="107">
        <v>0</v>
      </c>
      <c r="AU280" s="54">
        <f t="shared" si="49"/>
        <v>16</v>
      </c>
      <c r="AV280" s="63">
        <f t="shared" si="50"/>
        <v>192</v>
      </c>
      <c r="AW280" s="55">
        <f t="shared" si="51"/>
        <v>192</v>
      </c>
      <c r="AX280" s="54">
        <f t="shared" si="52"/>
        <v>1.3333333333333333</v>
      </c>
      <c r="AY280" s="63">
        <f t="shared" si="53"/>
        <v>0.1111111111111111</v>
      </c>
      <c r="AZ280" s="55">
        <f t="shared" si="54"/>
        <v>16</v>
      </c>
      <c r="BA280" s="58">
        <v>0</v>
      </c>
      <c r="BB280" s="58">
        <v>0</v>
      </c>
      <c r="BC280" s="58">
        <v>0</v>
      </c>
      <c r="BD280" s="58">
        <v>0</v>
      </c>
      <c r="BE280" s="58">
        <v>0</v>
      </c>
      <c r="BF280" s="58">
        <v>0</v>
      </c>
      <c r="BG280" s="10">
        <v>15</v>
      </c>
      <c r="BH280" s="15">
        <v>180</v>
      </c>
      <c r="BI280" s="11">
        <v>156</v>
      </c>
      <c r="BJ280" s="58">
        <v>0</v>
      </c>
      <c r="BK280" s="58">
        <v>0</v>
      </c>
      <c r="BL280" s="58">
        <v>0</v>
      </c>
      <c r="BM280" s="44">
        <v>10</v>
      </c>
      <c r="BN280" s="42">
        <v>120</v>
      </c>
      <c r="BO280" s="45">
        <v>120</v>
      </c>
      <c r="BP280" s="44">
        <v>0</v>
      </c>
      <c r="BQ280" s="42">
        <v>0</v>
      </c>
      <c r="BR280" s="45">
        <v>0</v>
      </c>
      <c r="BS280" s="44">
        <v>0</v>
      </c>
      <c r="BT280" s="42">
        <v>0</v>
      </c>
      <c r="BU280" s="112">
        <v>0</v>
      </c>
      <c r="BV280" s="115">
        <v>0</v>
      </c>
      <c r="BW280" s="116">
        <v>0</v>
      </c>
      <c r="BX280" s="112">
        <v>0</v>
      </c>
      <c r="BY280" s="115">
        <v>0</v>
      </c>
      <c r="BZ280" s="116">
        <v>0</v>
      </c>
      <c r="CA280" s="112">
        <v>0</v>
      </c>
      <c r="CB280" s="115">
        <v>0</v>
      </c>
      <c r="CC280" s="116">
        <v>0</v>
      </c>
      <c r="CD280" s="112">
        <v>0</v>
      </c>
      <c r="CE280" s="115">
        <v>0</v>
      </c>
      <c r="CF280" s="116">
        <v>0</v>
      </c>
      <c r="CG280" s="112">
        <v>0</v>
      </c>
      <c r="CH280" s="115">
        <v>0</v>
      </c>
      <c r="CI280" s="116">
        <v>0</v>
      </c>
      <c r="CJ280" s="112">
        <v>0</v>
      </c>
      <c r="CK280" s="54">
        <f t="shared" si="48"/>
        <v>25</v>
      </c>
      <c r="CL280" s="63">
        <f t="shared" si="55"/>
        <v>300</v>
      </c>
      <c r="CM280" s="55">
        <f t="shared" si="56"/>
        <v>276</v>
      </c>
      <c r="CN280" s="54">
        <f t="shared" si="57"/>
        <v>2.0833333333333335</v>
      </c>
      <c r="CO280" s="63">
        <f t="shared" si="58"/>
        <v>25</v>
      </c>
      <c r="CP280" s="172">
        <f t="shared" si="59"/>
        <v>23</v>
      </c>
      <c r="CQ280" s="182"/>
      <c r="CR280" s="16"/>
      <c r="CS280" s="183"/>
      <c r="CT280" s="182"/>
      <c r="CU280" s="16"/>
      <c r="CV280" s="183"/>
      <c r="CW280" s="182"/>
      <c r="CX280" s="16"/>
      <c r="CY280" s="183"/>
      <c r="CZ280" s="182"/>
      <c r="DA280" s="16"/>
      <c r="DB280" s="183"/>
      <c r="DC280" s="182"/>
      <c r="DD280" s="16"/>
      <c r="DE280" s="183"/>
      <c r="DF280" s="182"/>
      <c r="DG280" s="16"/>
      <c r="DH280" s="183"/>
      <c r="DI280" s="182"/>
      <c r="DJ280" s="16"/>
      <c r="DK280" s="183"/>
      <c r="DL280" s="182"/>
      <c r="DM280" s="16"/>
      <c r="DN280" s="183"/>
      <c r="DO280" s="182"/>
      <c r="DP280" s="16"/>
      <c r="DQ280" s="183"/>
      <c r="DR280" s="182"/>
      <c r="DS280" s="16"/>
      <c r="DT280" s="183"/>
      <c r="DU280" s="182"/>
      <c r="DV280" s="16"/>
      <c r="DW280" s="183"/>
      <c r="DX280" s="182"/>
      <c r="DY280" s="16"/>
      <c r="DZ280" s="183"/>
    </row>
    <row r="281" spans="1:130" s="2" customFormat="1" ht="34.9" customHeight="1" x14ac:dyDescent="0.6">
      <c r="A281" s="5">
        <v>278</v>
      </c>
      <c r="B281" s="165" t="s">
        <v>259</v>
      </c>
      <c r="C281" s="16" t="s">
        <v>260</v>
      </c>
      <c r="D281" s="15" t="s">
        <v>96</v>
      </c>
      <c r="E281" s="15" t="s">
        <v>97</v>
      </c>
      <c r="F281" s="7" t="s">
        <v>150</v>
      </c>
      <c r="G281" s="18" t="s">
        <v>875</v>
      </c>
      <c r="H281" s="18" t="s">
        <v>876</v>
      </c>
      <c r="I281" s="14" t="s">
        <v>877</v>
      </c>
      <c r="J281" s="49" t="s">
        <v>125</v>
      </c>
      <c r="K281" s="27">
        <v>136</v>
      </c>
      <c r="L281" s="58">
        <v>1924</v>
      </c>
      <c r="M281" s="78">
        <v>1232.72</v>
      </c>
      <c r="N281" s="27">
        <v>163</v>
      </c>
      <c r="O281" s="58">
        <v>2378</v>
      </c>
      <c r="P281" s="49">
        <v>1492.8</v>
      </c>
      <c r="Q281" s="27">
        <v>168</v>
      </c>
      <c r="R281" s="58">
        <v>2420</v>
      </c>
      <c r="S281" s="98">
        <v>1535.6000000000001</v>
      </c>
      <c r="T281" s="27">
        <v>106</v>
      </c>
      <c r="U281" s="58">
        <v>1530</v>
      </c>
      <c r="V281" s="12">
        <v>968.96</v>
      </c>
      <c r="W281" s="27">
        <v>132</v>
      </c>
      <c r="X281" s="58">
        <v>1944</v>
      </c>
      <c r="Y281" s="107">
        <v>1215.04</v>
      </c>
      <c r="Z281" s="27">
        <v>97</v>
      </c>
      <c r="AA281" s="58">
        <v>1406</v>
      </c>
      <c r="AB281" s="107">
        <v>885.28</v>
      </c>
      <c r="AC281" s="27">
        <v>128</v>
      </c>
      <c r="AD281" s="58">
        <v>1890</v>
      </c>
      <c r="AE281" s="107">
        <v>1176.1600000000001</v>
      </c>
      <c r="AF281" s="27">
        <v>128</v>
      </c>
      <c r="AG281" s="58">
        <v>1838</v>
      </c>
      <c r="AH281" s="107">
        <v>1166.08</v>
      </c>
      <c r="AI281" s="27">
        <v>63</v>
      </c>
      <c r="AJ281" s="58">
        <v>932</v>
      </c>
      <c r="AK281" s="107">
        <v>577.6</v>
      </c>
      <c r="AL281" s="27">
        <v>69</v>
      </c>
      <c r="AM281" s="58">
        <v>1036</v>
      </c>
      <c r="AN281" s="107">
        <v>645.52</v>
      </c>
      <c r="AO281" s="27">
        <v>31</v>
      </c>
      <c r="AP281" s="58">
        <v>432</v>
      </c>
      <c r="AQ281" s="107">
        <v>280.8</v>
      </c>
      <c r="AR281" s="27">
        <v>0</v>
      </c>
      <c r="AS281" s="58">
        <v>0</v>
      </c>
      <c r="AT281" s="107">
        <v>0</v>
      </c>
      <c r="AU281" s="54">
        <f t="shared" si="49"/>
        <v>1221</v>
      </c>
      <c r="AV281" s="63">
        <f t="shared" si="50"/>
        <v>17730</v>
      </c>
      <c r="AW281" s="55">
        <f t="shared" si="51"/>
        <v>11176.56</v>
      </c>
      <c r="AX281" s="54">
        <f t="shared" si="52"/>
        <v>101.75</v>
      </c>
      <c r="AY281" s="63">
        <f t="shared" si="53"/>
        <v>8.4791666666666661</v>
      </c>
      <c r="AZ281" s="55">
        <f t="shared" si="54"/>
        <v>931.38</v>
      </c>
      <c r="BA281" s="10">
        <v>0</v>
      </c>
      <c r="BB281" s="15">
        <v>0</v>
      </c>
      <c r="BC281" s="11">
        <v>0</v>
      </c>
      <c r="BD281" s="10">
        <v>0</v>
      </c>
      <c r="BE281" s="15">
        <v>0</v>
      </c>
      <c r="BF281" s="11">
        <v>0</v>
      </c>
      <c r="BG281" s="10">
        <v>0</v>
      </c>
      <c r="BH281" s="15">
        <v>0</v>
      </c>
      <c r="BI281" s="11">
        <v>0</v>
      </c>
      <c r="BJ281" s="10">
        <v>0</v>
      </c>
      <c r="BK281" s="15">
        <v>0</v>
      </c>
      <c r="BL281" s="11">
        <v>0</v>
      </c>
      <c r="BM281" s="44">
        <v>0</v>
      </c>
      <c r="BN281" s="42">
        <v>0</v>
      </c>
      <c r="BO281" s="45">
        <v>0</v>
      </c>
      <c r="BP281" s="44">
        <v>0</v>
      </c>
      <c r="BQ281" s="42">
        <v>0</v>
      </c>
      <c r="BR281" s="45">
        <v>0</v>
      </c>
      <c r="BS281" s="44">
        <v>0</v>
      </c>
      <c r="BT281" s="42">
        <v>0</v>
      </c>
      <c r="BU281" s="112">
        <v>0</v>
      </c>
      <c r="BV281" s="115">
        <v>0</v>
      </c>
      <c r="BW281" s="116">
        <v>0</v>
      </c>
      <c r="BX281" s="112">
        <v>0</v>
      </c>
      <c r="BY281" s="115">
        <v>0</v>
      </c>
      <c r="BZ281" s="116">
        <v>0</v>
      </c>
      <c r="CA281" s="112">
        <v>0</v>
      </c>
      <c r="CB281" s="115">
        <v>0</v>
      </c>
      <c r="CC281" s="116">
        <v>0</v>
      </c>
      <c r="CD281" s="112">
        <v>0</v>
      </c>
      <c r="CE281" s="115">
        <v>0</v>
      </c>
      <c r="CF281" s="116">
        <v>0</v>
      </c>
      <c r="CG281" s="112">
        <v>0</v>
      </c>
      <c r="CH281" s="115">
        <v>0</v>
      </c>
      <c r="CI281" s="116">
        <v>0</v>
      </c>
      <c r="CJ281" s="112">
        <v>0</v>
      </c>
      <c r="CK281" s="54">
        <f t="shared" si="48"/>
        <v>0</v>
      </c>
      <c r="CL281" s="63">
        <f t="shared" si="55"/>
        <v>0</v>
      </c>
      <c r="CM281" s="55">
        <f t="shared" si="56"/>
        <v>0</v>
      </c>
      <c r="CN281" s="54">
        <f t="shared" si="57"/>
        <v>0</v>
      </c>
      <c r="CO281" s="63">
        <f t="shared" si="58"/>
        <v>0</v>
      </c>
      <c r="CP281" s="172">
        <f t="shared" si="59"/>
        <v>0</v>
      </c>
      <c r="CQ281" s="182"/>
      <c r="CR281" s="16"/>
      <c r="CS281" s="183"/>
      <c r="CT281" s="182"/>
      <c r="CU281" s="16"/>
      <c r="CV281" s="183"/>
      <c r="CW281" s="182"/>
      <c r="CX281" s="16"/>
      <c r="CY281" s="183"/>
      <c r="CZ281" s="182"/>
      <c r="DA281" s="16"/>
      <c r="DB281" s="183"/>
      <c r="DC281" s="182"/>
      <c r="DD281" s="16"/>
      <c r="DE281" s="183"/>
      <c r="DF281" s="182"/>
      <c r="DG281" s="16"/>
      <c r="DH281" s="183"/>
      <c r="DI281" s="182"/>
      <c r="DJ281" s="16"/>
      <c r="DK281" s="183"/>
      <c r="DL281" s="182"/>
      <c r="DM281" s="16"/>
      <c r="DN281" s="183"/>
      <c r="DO281" s="182"/>
      <c r="DP281" s="16"/>
      <c r="DQ281" s="183"/>
      <c r="DR281" s="182"/>
      <c r="DS281" s="16"/>
      <c r="DT281" s="183"/>
      <c r="DU281" s="182"/>
      <c r="DV281" s="16"/>
      <c r="DW281" s="183"/>
      <c r="DX281" s="182"/>
      <c r="DY281" s="16"/>
      <c r="DZ281" s="183"/>
    </row>
    <row r="282" spans="1:130" s="2" customFormat="1" ht="34.9" customHeight="1" x14ac:dyDescent="0.6">
      <c r="A282" s="5">
        <v>279</v>
      </c>
      <c r="B282" s="165" t="s">
        <v>265</v>
      </c>
      <c r="C282" s="16" t="s">
        <v>266</v>
      </c>
      <c r="D282" s="15" t="s">
        <v>267</v>
      </c>
      <c r="E282" s="14" t="s">
        <v>46</v>
      </c>
      <c r="F282" s="7" t="s">
        <v>150</v>
      </c>
      <c r="G282" s="18" t="s">
        <v>881</v>
      </c>
      <c r="H282" s="18" t="s">
        <v>882</v>
      </c>
      <c r="I282" s="14" t="s">
        <v>883</v>
      </c>
      <c r="J282" s="49" t="s">
        <v>125</v>
      </c>
      <c r="K282" s="27">
        <v>55</v>
      </c>
      <c r="L282" s="58">
        <v>890</v>
      </c>
      <c r="M282" s="78">
        <v>515.20000000000005</v>
      </c>
      <c r="N282" s="27">
        <v>0</v>
      </c>
      <c r="O282" s="58">
        <v>0</v>
      </c>
      <c r="P282" s="49">
        <v>0</v>
      </c>
      <c r="Q282" s="27">
        <v>90</v>
      </c>
      <c r="R282" s="58">
        <v>1480</v>
      </c>
      <c r="S282" s="98">
        <v>917.6</v>
      </c>
      <c r="T282" s="27">
        <v>50</v>
      </c>
      <c r="U282" s="58">
        <v>680</v>
      </c>
      <c r="V282" s="12">
        <v>478.40000000000003</v>
      </c>
      <c r="W282" s="27">
        <v>30</v>
      </c>
      <c r="X282" s="58">
        <v>550</v>
      </c>
      <c r="Y282" s="107">
        <v>294</v>
      </c>
      <c r="Z282" s="27">
        <v>90</v>
      </c>
      <c r="AA282" s="58">
        <v>1480</v>
      </c>
      <c r="AB282" s="107">
        <v>917.6</v>
      </c>
      <c r="AC282" s="27">
        <v>0</v>
      </c>
      <c r="AD282" s="58">
        <v>0</v>
      </c>
      <c r="AE282" s="107">
        <v>0</v>
      </c>
      <c r="AF282" s="27">
        <v>90</v>
      </c>
      <c r="AG282" s="58">
        <v>1580</v>
      </c>
      <c r="AH282" s="107">
        <v>970.40000000000009</v>
      </c>
      <c r="AI282" s="27">
        <v>0</v>
      </c>
      <c r="AJ282" s="58">
        <v>0</v>
      </c>
      <c r="AK282" s="107">
        <v>0</v>
      </c>
      <c r="AL282" s="27">
        <v>73</v>
      </c>
      <c r="AM282" s="58">
        <v>996</v>
      </c>
      <c r="AN282" s="107">
        <v>693.6</v>
      </c>
      <c r="AO282" s="27">
        <v>0</v>
      </c>
      <c r="AP282" s="58">
        <v>0</v>
      </c>
      <c r="AQ282" s="107">
        <v>0</v>
      </c>
      <c r="AR282" s="27">
        <v>77</v>
      </c>
      <c r="AS282" s="58">
        <v>1164</v>
      </c>
      <c r="AT282" s="107">
        <v>774.8</v>
      </c>
      <c r="AU282" s="54">
        <f t="shared" si="49"/>
        <v>555</v>
      </c>
      <c r="AV282" s="63">
        <f t="shared" si="50"/>
        <v>8820</v>
      </c>
      <c r="AW282" s="55">
        <f t="shared" si="51"/>
        <v>5561.6</v>
      </c>
      <c r="AX282" s="54">
        <f t="shared" si="52"/>
        <v>46.25</v>
      </c>
      <c r="AY282" s="63">
        <f t="shared" si="53"/>
        <v>3.8541666666666665</v>
      </c>
      <c r="AZ282" s="55">
        <f t="shared" si="54"/>
        <v>463.4666666666667</v>
      </c>
      <c r="BA282" s="10">
        <v>40</v>
      </c>
      <c r="BB282" s="15">
        <v>540</v>
      </c>
      <c r="BC282" s="11">
        <v>388.8</v>
      </c>
      <c r="BD282" s="10">
        <v>0</v>
      </c>
      <c r="BE282" s="15">
        <v>300</v>
      </c>
      <c r="BF282" s="11">
        <v>252</v>
      </c>
      <c r="BG282" s="10">
        <v>110</v>
      </c>
      <c r="BH282" s="15">
        <v>1800</v>
      </c>
      <c r="BI282" s="11">
        <v>1036</v>
      </c>
      <c r="BJ282" s="10">
        <v>0</v>
      </c>
      <c r="BK282" s="15">
        <v>0</v>
      </c>
      <c r="BL282" s="11">
        <v>0</v>
      </c>
      <c r="BM282" s="44">
        <v>50</v>
      </c>
      <c r="BN282" s="42">
        <v>700</v>
      </c>
      <c r="BO282" s="45">
        <v>448</v>
      </c>
      <c r="BP282" s="44">
        <v>50</v>
      </c>
      <c r="BQ282" s="42">
        <v>660</v>
      </c>
      <c r="BR282" s="45">
        <v>508.8</v>
      </c>
      <c r="BS282" s="44">
        <v>0</v>
      </c>
      <c r="BT282" s="42">
        <v>0</v>
      </c>
      <c r="BU282" s="112">
        <v>0</v>
      </c>
      <c r="BV282" s="115">
        <v>3</v>
      </c>
      <c r="BW282" s="116">
        <v>36</v>
      </c>
      <c r="BX282" s="112">
        <v>24.48</v>
      </c>
      <c r="BY282" s="115">
        <v>0</v>
      </c>
      <c r="BZ282" s="116">
        <v>0</v>
      </c>
      <c r="CA282" s="112">
        <v>0</v>
      </c>
      <c r="CB282" s="115">
        <v>0</v>
      </c>
      <c r="CC282" s="116">
        <v>0</v>
      </c>
      <c r="CD282" s="112">
        <v>0</v>
      </c>
      <c r="CE282" s="115">
        <v>0</v>
      </c>
      <c r="CF282" s="116">
        <v>0</v>
      </c>
      <c r="CG282" s="112">
        <v>0</v>
      </c>
      <c r="CH282" s="115">
        <v>0</v>
      </c>
      <c r="CI282" s="116">
        <v>0</v>
      </c>
      <c r="CJ282" s="112">
        <v>0</v>
      </c>
      <c r="CK282" s="54">
        <f t="shared" si="48"/>
        <v>253</v>
      </c>
      <c r="CL282" s="63">
        <f t="shared" si="55"/>
        <v>4036</v>
      </c>
      <c r="CM282" s="55">
        <f t="shared" si="56"/>
        <v>2658.0800000000004</v>
      </c>
      <c r="CN282" s="54">
        <f t="shared" si="57"/>
        <v>21.083333333333332</v>
      </c>
      <c r="CO282" s="63">
        <f t="shared" si="58"/>
        <v>336.33333333333331</v>
      </c>
      <c r="CP282" s="172">
        <f t="shared" si="59"/>
        <v>221.50666666666669</v>
      </c>
      <c r="CQ282" s="182"/>
      <c r="CR282" s="16"/>
      <c r="CS282" s="183"/>
      <c r="CT282" s="182"/>
      <c r="CU282" s="16"/>
      <c r="CV282" s="183"/>
      <c r="CW282" s="182"/>
      <c r="CX282" s="16"/>
      <c r="CY282" s="183"/>
      <c r="CZ282" s="182"/>
      <c r="DA282" s="16"/>
      <c r="DB282" s="183"/>
      <c r="DC282" s="182"/>
      <c r="DD282" s="16"/>
      <c r="DE282" s="183"/>
      <c r="DF282" s="182"/>
      <c r="DG282" s="16"/>
      <c r="DH282" s="183"/>
      <c r="DI282" s="182"/>
      <c r="DJ282" s="16"/>
      <c r="DK282" s="183"/>
      <c r="DL282" s="182"/>
      <c r="DM282" s="16"/>
      <c r="DN282" s="183"/>
      <c r="DO282" s="182"/>
      <c r="DP282" s="16"/>
      <c r="DQ282" s="183"/>
      <c r="DR282" s="182"/>
      <c r="DS282" s="16"/>
      <c r="DT282" s="183"/>
      <c r="DU282" s="182"/>
      <c r="DV282" s="16"/>
      <c r="DW282" s="183"/>
      <c r="DX282" s="182"/>
      <c r="DY282" s="16"/>
      <c r="DZ282" s="183"/>
    </row>
    <row r="283" spans="1:130" s="2" customFormat="1" ht="34.9" customHeight="1" x14ac:dyDescent="0.6">
      <c r="A283" s="5">
        <v>280</v>
      </c>
      <c r="B283" s="165" t="s">
        <v>283</v>
      </c>
      <c r="C283" s="16" t="s">
        <v>284</v>
      </c>
      <c r="D283" s="15" t="s">
        <v>49</v>
      </c>
      <c r="E283" s="14" t="s">
        <v>50</v>
      </c>
      <c r="F283" s="7" t="s">
        <v>150</v>
      </c>
      <c r="G283" s="18" t="s">
        <v>895</v>
      </c>
      <c r="H283" s="18" t="s">
        <v>896</v>
      </c>
      <c r="I283" s="14" t="s">
        <v>897</v>
      </c>
      <c r="J283" s="49" t="s">
        <v>125</v>
      </c>
      <c r="K283" s="27">
        <v>728</v>
      </c>
      <c r="L283" s="58">
        <v>9660</v>
      </c>
      <c r="M283" s="78">
        <v>8133.6</v>
      </c>
      <c r="N283" s="27">
        <v>622</v>
      </c>
      <c r="O283" s="58">
        <v>8224</v>
      </c>
      <c r="P283" s="49">
        <v>6970</v>
      </c>
      <c r="Q283" s="27">
        <v>685</v>
      </c>
      <c r="R283" s="58">
        <v>9190</v>
      </c>
      <c r="S283" s="98">
        <v>7636.8</v>
      </c>
      <c r="T283" s="27">
        <v>562</v>
      </c>
      <c r="U283" s="58">
        <v>7454</v>
      </c>
      <c r="V283" s="12">
        <v>6326</v>
      </c>
      <c r="W283" s="27">
        <v>538</v>
      </c>
      <c r="X283" s="58">
        <v>7130</v>
      </c>
      <c r="Y283" s="107">
        <v>6010.8</v>
      </c>
      <c r="Z283" s="27">
        <v>437</v>
      </c>
      <c r="AA283" s="58">
        <v>5810</v>
      </c>
      <c r="AB283" s="107">
        <v>4918.3999999999996</v>
      </c>
      <c r="AC283" s="27">
        <v>405</v>
      </c>
      <c r="AD283" s="58">
        <v>5360</v>
      </c>
      <c r="AE283" s="107">
        <v>4545.6000000000004</v>
      </c>
      <c r="AF283" s="27">
        <v>209</v>
      </c>
      <c r="AG283" s="58">
        <v>2760</v>
      </c>
      <c r="AH283" s="107">
        <v>2303.1999999999998</v>
      </c>
      <c r="AI283" s="27">
        <v>135</v>
      </c>
      <c r="AJ283" s="58">
        <v>1860</v>
      </c>
      <c r="AK283" s="107">
        <v>1478</v>
      </c>
      <c r="AL283" s="27">
        <v>117</v>
      </c>
      <c r="AM283" s="58">
        <v>1570</v>
      </c>
      <c r="AN283" s="107">
        <v>1240.8</v>
      </c>
      <c r="AO283" s="27">
        <v>93</v>
      </c>
      <c r="AP283" s="58">
        <v>1378</v>
      </c>
      <c r="AQ283" s="107">
        <v>985.12</v>
      </c>
      <c r="AR283" s="27">
        <v>30</v>
      </c>
      <c r="AS283" s="58">
        <v>380</v>
      </c>
      <c r="AT283" s="107">
        <v>329.6</v>
      </c>
      <c r="AU283" s="54">
        <f t="shared" si="49"/>
        <v>4561</v>
      </c>
      <c r="AV283" s="63">
        <f t="shared" si="50"/>
        <v>60776</v>
      </c>
      <c r="AW283" s="55">
        <f t="shared" si="51"/>
        <v>50877.920000000006</v>
      </c>
      <c r="AX283" s="54">
        <f t="shared" si="52"/>
        <v>380.08333333333331</v>
      </c>
      <c r="AY283" s="63">
        <f t="shared" si="53"/>
        <v>31.673611111111111</v>
      </c>
      <c r="AZ283" s="55">
        <f t="shared" si="54"/>
        <v>4239.8266666666668</v>
      </c>
      <c r="BA283" s="10">
        <v>11</v>
      </c>
      <c r="BB283" s="15">
        <v>180</v>
      </c>
      <c r="BC283" s="11">
        <v>104</v>
      </c>
      <c r="BD283" s="10">
        <v>0</v>
      </c>
      <c r="BE283" s="15">
        <v>0</v>
      </c>
      <c r="BF283" s="11">
        <v>0</v>
      </c>
      <c r="BG283" s="10">
        <v>0</v>
      </c>
      <c r="BH283" s="15">
        <v>0</v>
      </c>
      <c r="BI283" s="11">
        <v>0</v>
      </c>
      <c r="BJ283" s="10">
        <v>0</v>
      </c>
      <c r="BK283" s="15">
        <v>0</v>
      </c>
      <c r="BL283" s="11">
        <v>0</v>
      </c>
      <c r="BM283" s="44">
        <v>0</v>
      </c>
      <c r="BN283" s="42">
        <v>0</v>
      </c>
      <c r="BO283" s="45">
        <v>0</v>
      </c>
      <c r="BP283" s="44">
        <v>0</v>
      </c>
      <c r="BQ283" s="42">
        <v>0</v>
      </c>
      <c r="BR283" s="45">
        <v>0</v>
      </c>
      <c r="BS283" s="44">
        <v>0</v>
      </c>
      <c r="BT283" s="42">
        <v>0</v>
      </c>
      <c r="BU283" s="112">
        <v>0</v>
      </c>
      <c r="BV283" s="115">
        <v>0</v>
      </c>
      <c r="BW283" s="116">
        <v>0</v>
      </c>
      <c r="BX283" s="112">
        <v>0</v>
      </c>
      <c r="BY283" s="115">
        <v>0</v>
      </c>
      <c r="BZ283" s="116">
        <v>0</v>
      </c>
      <c r="CA283" s="112">
        <v>0</v>
      </c>
      <c r="CB283" s="115">
        <v>0</v>
      </c>
      <c r="CC283" s="116">
        <v>0</v>
      </c>
      <c r="CD283" s="112">
        <v>0</v>
      </c>
      <c r="CE283" s="115">
        <v>0</v>
      </c>
      <c r="CF283" s="116">
        <v>0</v>
      </c>
      <c r="CG283" s="112">
        <v>0</v>
      </c>
      <c r="CH283" s="115">
        <v>0</v>
      </c>
      <c r="CI283" s="116">
        <v>0</v>
      </c>
      <c r="CJ283" s="112">
        <v>0</v>
      </c>
      <c r="CK283" s="54">
        <f t="shared" si="48"/>
        <v>11</v>
      </c>
      <c r="CL283" s="63">
        <f t="shared" si="55"/>
        <v>180</v>
      </c>
      <c r="CM283" s="55">
        <f t="shared" si="56"/>
        <v>104</v>
      </c>
      <c r="CN283" s="54">
        <f t="shared" si="57"/>
        <v>0.91666666666666663</v>
      </c>
      <c r="CO283" s="63">
        <f t="shared" si="58"/>
        <v>15</v>
      </c>
      <c r="CP283" s="172">
        <f t="shared" si="59"/>
        <v>8.6666666666666661</v>
      </c>
      <c r="CQ283" s="182"/>
      <c r="CR283" s="16"/>
      <c r="CS283" s="183"/>
      <c r="CT283" s="182"/>
      <c r="CU283" s="16"/>
      <c r="CV283" s="183"/>
      <c r="CW283" s="182"/>
      <c r="CX283" s="16"/>
      <c r="CY283" s="183"/>
      <c r="CZ283" s="182"/>
      <c r="DA283" s="16"/>
      <c r="DB283" s="183"/>
      <c r="DC283" s="182"/>
      <c r="DD283" s="16"/>
      <c r="DE283" s="183"/>
      <c r="DF283" s="182"/>
      <c r="DG283" s="16"/>
      <c r="DH283" s="183"/>
      <c r="DI283" s="182"/>
      <c r="DJ283" s="16"/>
      <c r="DK283" s="183"/>
      <c r="DL283" s="182"/>
      <c r="DM283" s="16"/>
      <c r="DN283" s="183"/>
      <c r="DO283" s="182"/>
      <c r="DP283" s="16"/>
      <c r="DQ283" s="183"/>
      <c r="DR283" s="182"/>
      <c r="DS283" s="16"/>
      <c r="DT283" s="183"/>
      <c r="DU283" s="182"/>
      <c r="DV283" s="16"/>
      <c r="DW283" s="183"/>
      <c r="DX283" s="182"/>
      <c r="DY283" s="16"/>
      <c r="DZ283" s="183"/>
    </row>
    <row r="284" spans="1:130" s="2" customFormat="1" ht="34.9" customHeight="1" x14ac:dyDescent="0.6">
      <c r="A284" s="5">
        <v>281</v>
      </c>
      <c r="B284" s="165" t="s">
        <v>310</v>
      </c>
      <c r="C284" s="16" t="s">
        <v>311</v>
      </c>
      <c r="D284" s="15" t="s">
        <v>307</v>
      </c>
      <c r="E284" s="14" t="s">
        <v>308</v>
      </c>
      <c r="F284" s="7" t="s">
        <v>150</v>
      </c>
      <c r="G284" s="18" t="s">
        <v>924</v>
      </c>
      <c r="H284" s="18" t="s">
        <v>925</v>
      </c>
      <c r="I284" s="14" t="s">
        <v>926</v>
      </c>
      <c r="J284" s="49" t="s">
        <v>125</v>
      </c>
      <c r="K284" s="27">
        <v>150</v>
      </c>
      <c r="L284" s="58">
        <v>2080</v>
      </c>
      <c r="M284" s="78">
        <v>1597.2</v>
      </c>
      <c r="N284" s="27">
        <v>210</v>
      </c>
      <c r="O284" s="58">
        <v>3010</v>
      </c>
      <c r="P284" s="104">
        <v>2220.8000000000002</v>
      </c>
      <c r="Q284" s="27">
        <v>128</v>
      </c>
      <c r="R284" s="58">
        <v>1980</v>
      </c>
      <c r="S284" s="98">
        <v>1440.4</v>
      </c>
      <c r="T284" s="27">
        <v>125</v>
      </c>
      <c r="U284" s="58">
        <v>1630</v>
      </c>
      <c r="V284" s="12">
        <v>1302.4000000000001</v>
      </c>
      <c r="W284" s="27">
        <v>140</v>
      </c>
      <c r="X284" s="58">
        <v>1990</v>
      </c>
      <c r="Y284" s="107">
        <v>1431.6</v>
      </c>
      <c r="Z284" s="27">
        <v>115</v>
      </c>
      <c r="AA284" s="58">
        <v>1540</v>
      </c>
      <c r="AB284" s="107">
        <v>1136.8000000000002</v>
      </c>
      <c r="AC284" s="27">
        <v>80</v>
      </c>
      <c r="AD284" s="58">
        <v>1120</v>
      </c>
      <c r="AE284" s="107">
        <v>716.80000000000007</v>
      </c>
      <c r="AF284" s="27">
        <v>182</v>
      </c>
      <c r="AG284" s="58">
        <v>2604</v>
      </c>
      <c r="AH284" s="107">
        <v>1991.2</v>
      </c>
      <c r="AI284" s="27">
        <v>134</v>
      </c>
      <c r="AJ284" s="58">
        <v>1968</v>
      </c>
      <c r="AK284" s="107">
        <v>1506.4</v>
      </c>
      <c r="AL284" s="27">
        <v>130</v>
      </c>
      <c r="AM284" s="58">
        <v>1700</v>
      </c>
      <c r="AN284" s="107">
        <v>1347.2</v>
      </c>
      <c r="AO284" s="27">
        <v>120</v>
      </c>
      <c r="AP284" s="58">
        <v>1660</v>
      </c>
      <c r="AQ284" s="107">
        <v>1328.4</v>
      </c>
      <c r="AR284" s="27">
        <v>112</v>
      </c>
      <c r="AS284" s="58">
        <v>1584</v>
      </c>
      <c r="AT284" s="107">
        <v>1202</v>
      </c>
      <c r="AU284" s="54">
        <f t="shared" si="49"/>
        <v>1626</v>
      </c>
      <c r="AV284" s="63">
        <f t="shared" si="50"/>
        <v>22866</v>
      </c>
      <c r="AW284" s="55">
        <f t="shared" si="51"/>
        <v>17221.2</v>
      </c>
      <c r="AX284" s="54">
        <f t="shared" si="52"/>
        <v>135.5</v>
      </c>
      <c r="AY284" s="63">
        <f t="shared" si="53"/>
        <v>11.291666666666666</v>
      </c>
      <c r="AZ284" s="55">
        <f t="shared" si="54"/>
        <v>1435.1000000000001</v>
      </c>
      <c r="BA284" s="10">
        <v>54</v>
      </c>
      <c r="BB284" s="15">
        <v>820</v>
      </c>
      <c r="BC284" s="11">
        <v>564.79999999999995</v>
      </c>
      <c r="BD284" s="10">
        <v>105</v>
      </c>
      <c r="BE284" s="15">
        <v>2160</v>
      </c>
      <c r="BF284" s="11">
        <v>1626.8</v>
      </c>
      <c r="BG284" s="10">
        <v>55</v>
      </c>
      <c r="BH284" s="15">
        <v>1440</v>
      </c>
      <c r="BI284" s="11">
        <v>1058</v>
      </c>
      <c r="BJ284" s="10">
        <v>20</v>
      </c>
      <c r="BK284" s="15">
        <v>240</v>
      </c>
      <c r="BL284" s="11">
        <v>240</v>
      </c>
      <c r="BM284" s="44">
        <v>45</v>
      </c>
      <c r="BN284" s="42">
        <v>600</v>
      </c>
      <c r="BO284" s="45">
        <v>448.8</v>
      </c>
      <c r="BP284" s="44">
        <v>0</v>
      </c>
      <c r="BQ284" s="42">
        <v>0</v>
      </c>
      <c r="BR284" s="45">
        <v>0</v>
      </c>
      <c r="BS284" s="44">
        <v>0</v>
      </c>
      <c r="BT284" s="42">
        <v>0</v>
      </c>
      <c r="BU284" s="112">
        <v>0</v>
      </c>
      <c r="BV284" s="115">
        <v>118</v>
      </c>
      <c r="BW284" s="116">
        <v>1646</v>
      </c>
      <c r="BX284" s="112">
        <v>1277.68</v>
      </c>
      <c r="BY284" s="115">
        <v>0</v>
      </c>
      <c r="BZ284" s="116">
        <v>0</v>
      </c>
      <c r="CA284" s="112">
        <v>0</v>
      </c>
      <c r="CB284" s="115">
        <v>0</v>
      </c>
      <c r="CC284" s="116">
        <v>0</v>
      </c>
      <c r="CD284" s="112">
        <v>0</v>
      </c>
      <c r="CE284" s="115">
        <v>0</v>
      </c>
      <c r="CF284" s="116">
        <v>0</v>
      </c>
      <c r="CG284" s="112">
        <v>0</v>
      </c>
      <c r="CH284" s="115">
        <v>60</v>
      </c>
      <c r="CI284" s="116">
        <v>1040</v>
      </c>
      <c r="CJ284" s="112">
        <v>679.2</v>
      </c>
      <c r="CK284" s="54">
        <f t="shared" si="48"/>
        <v>457</v>
      </c>
      <c r="CL284" s="63">
        <f t="shared" si="55"/>
        <v>7946</v>
      </c>
      <c r="CM284" s="55">
        <f t="shared" si="56"/>
        <v>5895.28</v>
      </c>
      <c r="CN284" s="54">
        <f t="shared" si="57"/>
        <v>38.083333333333336</v>
      </c>
      <c r="CO284" s="63">
        <f t="shared" si="58"/>
        <v>662.16666666666663</v>
      </c>
      <c r="CP284" s="172">
        <f t="shared" si="59"/>
        <v>491.27333333333331</v>
      </c>
      <c r="CQ284" s="182"/>
      <c r="CR284" s="16"/>
      <c r="CS284" s="183"/>
      <c r="CT284" s="182"/>
      <c r="CU284" s="16"/>
      <c r="CV284" s="183"/>
      <c r="CW284" s="182"/>
      <c r="CX284" s="16"/>
      <c r="CY284" s="183"/>
      <c r="CZ284" s="182"/>
      <c r="DA284" s="16"/>
      <c r="DB284" s="183"/>
      <c r="DC284" s="182"/>
      <c r="DD284" s="16"/>
      <c r="DE284" s="183"/>
      <c r="DF284" s="182"/>
      <c r="DG284" s="16"/>
      <c r="DH284" s="183"/>
      <c r="DI284" s="182"/>
      <c r="DJ284" s="16"/>
      <c r="DK284" s="183"/>
      <c r="DL284" s="182"/>
      <c r="DM284" s="16"/>
      <c r="DN284" s="183"/>
      <c r="DO284" s="182"/>
      <c r="DP284" s="16"/>
      <c r="DQ284" s="183"/>
      <c r="DR284" s="182"/>
      <c r="DS284" s="16"/>
      <c r="DT284" s="183"/>
      <c r="DU284" s="182"/>
      <c r="DV284" s="16"/>
      <c r="DW284" s="183"/>
      <c r="DX284" s="182"/>
      <c r="DY284" s="16"/>
      <c r="DZ284" s="183"/>
    </row>
    <row r="285" spans="1:130" s="2" customFormat="1" ht="34.9" customHeight="1" x14ac:dyDescent="0.6">
      <c r="A285" s="5">
        <v>282</v>
      </c>
      <c r="B285" s="165" t="s">
        <v>316</v>
      </c>
      <c r="C285" s="16" t="s">
        <v>317</v>
      </c>
      <c r="D285" s="15" t="s">
        <v>90</v>
      </c>
      <c r="E285" s="14" t="s">
        <v>91</v>
      </c>
      <c r="F285" s="7" t="s">
        <v>150</v>
      </c>
      <c r="G285" s="18" t="s">
        <v>933</v>
      </c>
      <c r="H285" s="18" t="s">
        <v>934</v>
      </c>
      <c r="I285" s="14" t="s">
        <v>935</v>
      </c>
      <c r="J285" s="49" t="s">
        <v>125</v>
      </c>
      <c r="K285" s="27">
        <v>15</v>
      </c>
      <c r="L285" s="58">
        <v>180</v>
      </c>
      <c r="M285" s="78">
        <v>180</v>
      </c>
      <c r="N285" s="27">
        <v>30</v>
      </c>
      <c r="O285" s="58">
        <v>360</v>
      </c>
      <c r="P285" s="49">
        <v>360</v>
      </c>
      <c r="Q285" s="27">
        <v>30</v>
      </c>
      <c r="R285" s="58">
        <v>360</v>
      </c>
      <c r="S285" s="98">
        <v>360</v>
      </c>
      <c r="T285" s="27">
        <v>15</v>
      </c>
      <c r="U285" s="58">
        <v>180</v>
      </c>
      <c r="V285" s="12">
        <v>180</v>
      </c>
      <c r="W285" s="27">
        <v>30</v>
      </c>
      <c r="X285" s="58">
        <v>360</v>
      </c>
      <c r="Y285" s="12">
        <v>360</v>
      </c>
      <c r="Z285" s="27">
        <v>15</v>
      </c>
      <c r="AA285" s="58">
        <v>180</v>
      </c>
      <c r="AB285" s="12">
        <v>180</v>
      </c>
      <c r="AC285" s="27">
        <v>19</v>
      </c>
      <c r="AD285" s="58">
        <v>228</v>
      </c>
      <c r="AE285" s="107">
        <v>224.4</v>
      </c>
      <c r="AF285" s="27">
        <v>15</v>
      </c>
      <c r="AG285" s="58">
        <v>180</v>
      </c>
      <c r="AH285" s="107">
        <v>180</v>
      </c>
      <c r="AI285" s="27">
        <v>30</v>
      </c>
      <c r="AJ285" s="58">
        <v>360</v>
      </c>
      <c r="AK285" s="107">
        <v>360</v>
      </c>
      <c r="AL285" s="27">
        <v>30</v>
      </c>
      <c r="AM285" s="58">
        <v>360</v>
      </c>
      <c r="AN285" s="107">
        <v>360</v>
      </c>
      <c r="AO285" s="27">
        <v>15</v>
      </c>
      <c r="AP285" s="58">
        <v>180</v>
      </c>
      <c r="AQ285" s="107">
        <v>180</v>
      </c>
      <c r="AR285" s="27">
        <v>15</v>
      </c>
      <c r="AS285" s="58">
        <v>180</v>
      </c>
      <c r="AT285" s="107">
        <v>180</v>
      </c>
      <c r="AU285" s="54">
        <f t="shared" si="49"/>
        <v>259</v>
      </c>
      <c r="AV285" s="63">
        <f t="shared" si="50"/>
        <v>3108</v>
      </c>
      <c r="AW285" s="55">
        <f t="shared" si="51"/>
        <v>3104.4</v>
      </c>
      <c r="AX285" s="54">
        <f t="shared" si="52"/>
        <v>21.583333333333332</v>
      </c>
      <c r="AY285" s="63">
        <f t="shared" si="53"/>
        <v>1.7986111111111109</v>
      </c>
      <c r="AZ285" s="55">
        <f t="shared" si="54"/>
        <v>258.7</v>
      </c>
      <c r="BA285" s="10">
        <v>15</v>
      </c>
      <c r="BB285" s="15">
        <v>180</v>
      </c>
      <c r="BC285" s="11">
        <v>180</v>
      </c>
      <c r="BD285" s="10">
        <v>15</v>
      </c>
      <c r="BE285" s="15">
        <v>180</v>
      </c>
      <c r="BF285" s="11">
        <v>180</v>
      </c>
      <c r="BG285" s="10">
        <v>30</v>
      </c>
      <c r="BH285" s="15">
        <v>360</v>
      </c>
      <c r="BI285" s="11">
        <v>360</v>
      </c>
      <c r="BJ285" s="10">
        <v>15</v>
      </c>
      <c r="BK285" s="15">
        <v>180</v>
      </c>
      <c r="BL285" s="11">
        <v>180</v>
      </c>
      <c r="BM285" s="44">
        <v>15</v>
      </c>
      <c r="BN285" s="42">
        <v>180</v>
      </c>
      <c r="BO285" s="45">
        <v>180</v>
      </c>
      <c r="BP285" s="44">
        <v>0</v>
      </c>
      <c r="BQ285" s="42">
        <v>0</v>
      </c>
      <c r="BR285" s="45">
        <v>0</v>
      </c>
      <c r="BS285" s="44">
        <v>0</v>
      </c>
      <c r="BT285" s="42">
        <v>0</v>
      </c>
      <c r="BU285" s="112">
        <v>0</v>
      </c>
      <c r="BV285" s="115">
        <v>0</v>
      </c>
      <c r="BW285" s="116">
        <v>0</v>
      </c>
      <c r="BX285" s="112">
        <v>0</v>
      </c>
      <c r="BY285" s="115">
        <v>0</v>
      </c>
      <c r="BZ285" s="116">
        <v>0</v>
      </c>
      <c r="CA285" s="112">
        <v>0</v>
      </c>
      <c r="CB285" s="115">
        <v>3</v>
      </c>
      <c r="CC285" s="116">
        <v>120</v>
      </c>
      <c r="CD285" s="112">
        <v>42</v>
      </c>
      <c r="CE285" s="115">
        <v>0</v>
      </c>
      <c r="CF285" s="116">
        <v>0</v>
      </c>
      <c r="CG285" s="112">
        <v>0</v>
      </c>
      <c r="CH285" s="115">
        <v>0</v>
      </c>
      <c r="CI285" s="116">
        <v>0</v>
      </c>
      <c r="CJ285" s="112">
        <v>0</v>
      </c>
      <c r="CK285" s="54">
        <f t="shared" si="48"/>
        <v>93</v>
      </c>
      <c r="CL285" s="63">
        <f t="shared" si="55"/>
        <v>1200</v>
      </c>
      <c r="CM285" s="55">
        <f t="shared" si="56"/>
        <v>1122</v>
      </c>
      <c r="CN285" s="54">
        <f t="shared" si="57"/>
        <v>7.75</v>
      </c>
      <c r="CO285" s="63">
        <f t="shared" si="58"/>
        <v>100</v>
      </c>
      <c r="CP285" s="172">
        <f t="shared" si="59"/>
        <v>93.5</v>
      </c>
      <c r="CQ285" s="182"/>
      <c r="CR285" s="16"/>
      <c r="CS285" s="183"/>
      <c r="CT285" s="182"/>
      <c r="CU285" s="16"/>
      <c r="CV285" s="183"/>
      <c r="CW285" s="182"/>
      <c r="CX285" s="16"/>
      <c r="CY285" s="183"/>
      <c r="CZ285" s="182"/>
      <c r="DA285" s="16"/>
      <c r="DB285" s="183"/>
      <c r="DC285" s="182"/>
      <c r="DD285" s="16"/>
      <c r="DE285" s="183"/>
      <c r="DF285" s="182"/>
      <c r="DG285" s="16"/>
      <c r="DH285" s="183"/>
      <c r="DI285" s="182"/>
      <c r="DJ285" s="16"/>
      <c r="DK285" s="183"/>
      <c r="DL285" s="182"/>
      <c r="DM285" s="16"/>
      <c r="DN285" s="183"/>
      <c r="DO285" s="182"/>
      <c r="DP285" s="16"/>
      <c r="DQ285" s="183"/>
      <c r="DR285" s="182"/>
      <c r="DS285" s="16"/>
      <c r="DT285" s="183"/>
      <c r="DU285" s="182"/>
      <c r="DV285" s="16"/>
      <c r="DW285" s="183"/>
      <c r="DX285" s="182"/>
      <c r="DY285" s="16"/>
      <c r="DZ285" s="183"/>
    </row>
    <row r="286" spans="1:130" s="2" customFormat="1" ht="34.9" customHeight="1" x14ac:dyDescent="0.6">
      <c r="A286" s="5">
        <v>283</v>
      </c>
      <c r="B286" s="165" t="s">
        <v>318</v>
      </c>
      <c r="C286" s="16" t="s">
        <v>319</v>
      </c>
      <c r="D286" s="15" t="s">
        <v>90</v>
      </c>
      <c r="E286" s="14" t="s">
        <v>91</v>
      </c>
      <c r="F286" s="7" t="s">
        <v>150</v>
      </c>
      <c r="G286" s="18" t="s">
        <v>936</v>
      </c>
      <c r="H286" s="18" t="s">
        <v>937</v>
      </c>
      <c r="I286" s="14" t="s">
        <v>938</v>
      </c>
      <c r="J286" s="49" t="s">
        <v>125</v>
      </c>
      <c r="K286" s="27">
        <v>0</v>
      </c>
      <c r="L286" s="58">
        <v>0</v>
      </c>
      <c r="M286" s="78">
        <v>0</v>
      </c>
      <c r="N286" s="27">
        <v>0</v>
      </c>
      <c r="O286" s="58">
        <v>0</v>
      </c>
      <c r="P286" s="49">
        <v>0</v>
      </c>
      <c r="Q286" s="27">
        <v>32</v>
      </c>
      <c r="R286" s="58">
        <v>468</v>
      </c>
      <c r="S286" s="98">
        <v>333.6</v>
      </c>
      <c r="T286" s="27">
        <v>80</v>
      </c>
      <c r="U286" s="58">
        <v>1240</v>
      </c>
      <c r="V286" s="107">
        <v>840.8</v>
      </c>
      <c r="W286" s="27">
        <v>30</v>
      </c>
      <c r="X286" s="58">
        <v>500</v>
      </c>
      <c r="Y286" s="12">
        <v>322</v>
      </c>
      <c r="Z286" s="27">
        <v>59</v>
      </c>
      <c r="AA286" s="58">
        <v>876</v>
      </c>
      <c r="AB286" s="107">
        <v>585.6</v>
      </c>
      <c r="AC286" s="27">
        <v>0</v>
      </c>
      <c r="AD286" s="58">
        <v>0</v>
      </c>
      <c r="AE286" s="107">
        <v>0</v>
      </c>
      <c r="AF286" s="27">
        <v>85</v>
      </c>
      <c r="AG286" s="58">
        <v>1440</v>
      </c>
      <c r="AH286" s="107">
        <v>1050</v>
      </c>
      <c r="AI286" s="27">
        <v>0</v>
      </c>
      <c r="AJ286" s="58">
        <v>0</v>
      </c>
      <c r="AK286" s="107">
        <v>0</v>
      </c>
      <c r="AL286" s="27">
        <v>40</v>
      </c>
      <c r="AM286" s="58">
        <v>586</v>
      </c>
      <c r="AN286" s="107">
        <v>376.8</v>
      </c>
      <c r="AO286" s="27">
        <v>68</v>
      </c>
      <c r="AP286" s="58">
        <v>900</v>
      </c>
      <c r="AQ286" s="107">
        <v>694.8</v>
      </c>
      <c r="AR286" s="27">
        <v>9</v>
      </c>
      <c r="AS286" s="58">
        <v>192</v>
      </c>
      <c r="AT286" s="107">
        <v>114</v>
      </c>
      <c r="AU286" s="54">
        <f t="shared" si="49"/>
        <v>403</v>
      </c>
      <c r="AV286" s="63">
        <f t="shared" si="50"/>
        <v>6202</v>
      </c>
      <c r="AW286" s="55">
        <f t="shared" si="51"/>
        <v>4317.6000000000004</v>
      </c>
      <c r="AX286" s="54">
        <f t="shared" si="52"/>
        <v>33.583333333333336</v>
      </c>
      <c r="AY286" s="63">
        <f t="shared" si="53"/>
        <v>2.7986111111111112</v>
      </c>
      <c r="AZ286" s="55">
        <f t="shared" si="54"/>
        <v>359.8</v>
      </c>
      <c r="BA286" s="10">
        <v>102</v>
      </c>
      <c r="BB286" s="15">
        <v>1476</v>
      </c>
      <c r="BC286" s="11">
        <v>1030.8</v>
      </c>
      <c r="BD286" s="10">
        <v>6</v>
      </c>
      <c r="BE286" s="15">
        <v>156</v>
      </c>
      <c r="BF286" s="11">
        <v>78</v>
      </c>
      <c r="BG286" s="10">
        <v>116</v>
      </c>
      <c r="BH286" s="15">
        <v>1700</v>
      </c>
      <c r="BI286" s="11">
        <v>1188.4000000000001</v>
      </c>
      <c r="BJ286" s="10">
        <v>5</v>
      </c>
      <c r="BK286" s="15">
        <v>200</v>
      </c>
      <c r="BL286" s="11">
        <v>70</v>
      </c>
      <c r="BM286" s="44">
        <v>0</v>
      </c>
      <c r="BN286" s="42">
        <v>0</v>
      </c>
      <c r="BO286" s="45">
        <v>0</v>
      </c>
      <c r="BP286" s="44">
        <v>15</v>
      </c>
      <c r="BQ286" s="42">
        <v>180</v>
      </c>
      <c r="BR286" s="45">
        <v>180</v>
      </c>
      <c r="BS286" s="44">
        <v>28</v>
      </c>
      <c r="BT286" s="42">
        <v>560</v>
      </c>
      <c r="BU286" s="112">
        <v>352</v>
      </c>
      <c r="BV286" s="115">
        <v>148</v>
      </c>
      <c r="BW286" s="116">
        <v>1978</v>
      </c>
      <c r="BX286" s="112">
        <v>1570.6399999999999</v>
      </c>
      <c r="BY286" s="115">
        <v>0</v>
      </c>
      <c r="BZ286" s="116">
        <v>0</v>
      </c>
      <c r="CA286" s="112">
        <v>0</v>
      </c>
      <c r="CB286" s="115">
        <v>15</v>
      </c>
      <c r="CC286" s="116">
        <v>180</v>
      </c>
      <c r="CD286" s="112">
        <v>180</v>
      </c>
      <c r="CE286" s="115">
        <v>18</v>
      </c>
      <c r="CF286" s="116">
        <v>300</v>
      </c>
      <c r="CG286" s="112">
        <v>222</v>
      </c>
      <c r="CH286" s="115">
        <v>0</v>
      </c>
      <c r="CI286" s="116">
        <v>0</v>
      </c>
      <c r="CJ286" s="112">
        <v>0</v>
      </c>
      <c r="CK286" s="54">
        <f t="shared" si="48"/>
        <v>453</v>
      </c>
      <c r="CL286" s="63">
        <f t="shared" si="55"/>
        <v>6730</v>
      </c>
      <c r="CM286" s="55">
        <f t="shared" si="56"/>
        <v>4871.84</v>
      </c>
      <c r="CN286" s="54">
        <f t="shared" si="57"/>
        <v>37.75</v>
      </c>
      <c r="CO286" s="63">
        <f t="shared" si="58"/>
        <v>560.83333333333337</v>
      </c>
      <c r="CP286" s="172">
        <f t="shared" si="59"/>
        <v>405.98666666666668</v>
      </c>
      <c r="CQ286" s="182"/>
      <c r="CR286" s="16"/>
      <c r="CS286" s="183"/>
      <c r="CT286" s="182"/>
      <c r="CU286" s="16"/>
      <c r="CV286" s="183"/>
      <c r="CW286" s="182"/>
      <c r="CX286" s="16"/>
      <c r="CY286" s="183"/>
      <c r="CZ286" s="182"/>
      <c r="DA286" s="16"/>
      <c r="DB286" s="183"/>
      <c r="DC286" s="182"/>
      <c r="DD286" s="16"/>
      <c r="DE286" s="183"/>
      <c r="DF286" s="182"/>
      <c r="DG286" s="16"/>
      <c r="DH286" s="183"/>
      <c r="DI286" s="182"/>
      <c r="DJ286" s="16"/>
      <c r="DK286" s="183"/>
      <c r="DL286" s="182"/>
      <c r="DM286" s="16"/>
      <c r="DN286" s="183"/>
      <c r="DO286" s="182"/>
      <c r="DP286" s="16"/>
      <c r="DQ286" s="183"/>
      <c r="DR286" s="182"/>
      <c r="DS286" s="16"/>
      <c r="DT286" s="183"/>
      <c r="DU286" s="182"/>
      <c r="DV286" s="16"/>
      <c r="DW286" s="183"/>
      <c r="DX286" s="182"/>
      <c r="DY286" s="16"/>
      <c r="DZ286" s="183"/>
    </row>
    <row r="287" spans="1:130" s="2" customFormat="1" ht="34.9" customHeight="1" x14ac:dyDescent="0.6">
      <c r="A287" s="5">
        <v>284</v>
      </c>
      <c r="B287" s="165" t="s">
        <v>320</v>
      </c>
      <c r="C287" s="16" t="s">
        <v>321</v>
      </c>
      <c r="D287" s="15" t="s">
        <v>90</v>
      </c>
      <c r="E287" s="14" t="s">
        <v>91</v>
      </c>
      <c r="F287" s="7" t="s">
        <v>150</v>
      </c>
      <c r="G287" s="18" t="s">
        <v>320</v>
      </c>
      <c r="H287" s="18" t="s">
        <v>321</v>
      </c>
      <c r="I287" s="14" t="s">
        <v>939</v>
      </c>
      <c r="J287" s="49" t="s">
        <v>125</v>
      </c>
      <c r="K287" s="27">
        <v>50</v>
      </c>
      <c r="L287" s="58">
        <v>700</v>
      </c>
      <c r="M287" s="78">
        <v>448</v>
      </c>
      <c r="N287" s="27">
        <v>50</v>
      </c>
      <c r="O287" s="58">
        <v>700</v>
      </c>
      <c r="P287" s="49">
        <v>448</v>
      </c>
      <c r="Q287" s="27">
        <v>100</v>
      </c>
      <c r="R287" s="58">
        <v>1400</v>
      </c>
      <c r="S287" s="98">
        <v>896</v>
      </c>
      <c r="T287" s="27">
        <v>100</v>
      </c>
      <c r="U287" s="58">
        <v>1400</v>
      </c>
      <c r="V287" s="12">
        <v>896</v>
      </c>
      <c r="W287" s="27">
        <v>100</v>
      </c>
      <c r="X287" s="58">
        <v>1400</v>
      </c>
      <c r="Y287" s="12">
        <v>896</v>
      </c>
      <c r="Z287" s="27">
        <v>50</v>
      </c>
      <c r="AA287" s="58">
        <v>700</v>
      </c>
      <c r="AB287" s="107">
        <v>448</v>
      </c>
      <c r="AC287" s="27">
        <v>100</v>
      </c>
      <c r="AD287" s="58">
        <v>1400</v>
      </c>
      <c r="AE287" s="107">
        <v>896</v>
      </c>
      <c r="AF287" s="27">
        <v>50</v>
      </c>
      <c r="AG287" s="58">
        <v>700</v>
      </c>
      <c r="AH287" s="107">
        <v>448</v>
      </c>
      <c r="AI287" s="27">
        <v>50</v>
      </c>
      <c r="AJ287" s="58">
        <v>700</v>
      </c>
      <c r="AK287" s="107">
        <v>448</v>
      </c>
      <c r="AL287" s="27">
        <v>103</v>
      </c>
      <c r="AM287" s="58">
        <v>1436</v>
      </c>
      <c r="AN287" s="107">
        <v>932</v>
      </c>
      <c r="AO287" s="27">
        <v>50</v>
      </c>
      <c r="AP287" s="58">
        <v>700</v>
      </c>
      <c r="AQ287" s="107">
        <v>448</v>
      </c>
      <c r="AR287" s="27">
        <v>49</v>
      </c>
      <c r="AS287" s="58">
        <v>686</v>
      </c>
      <c r="AT287" s="107">
        <v>439.04</v>
      </c>
      <c r="AU287" s="54">
        <f t="shared" si="49"/>
        <v>852</v>
      </c>
      <c r="AV287" s="63">
        <f t="shared" si="50"/>
        <v>11922</v>
      </c>
      <c r="AW287" s="55">
        <f t="shared" si="51"/>
        <v>7643.04</v>
      </c>
      <c r="AX287" s="54">
        <f t="shared" si="52"/>
        <v>71</v>
      </c>
      <c r="AY287" s="63">
        <f t="shared" si="53"/>
        <v>5.916666666666667</v>
      </c>
      <c r="AZ287" s="55">
        <f t="shared" si="54"/>
        <v>636.91999999999996</v>
      </c>
      <c r="BA287" s="10">
        <v>50</v>
      </c>
      <c r="BB287" s="15">
        <v>700</v>
      </c>
      <c r="BC287" s="11">
        <v>448.00000000000006</v>
      </c>
      <c r="BD287" s="10">
        <v>100</v>
      </c>
      <c r="BE287" s="15">
        <v>700</v>
      </c>
      <c r="BF287" s="11">
        <v>448.00000000000006</v>
      </c>
      <c r="BG287" s="10">
        <v>100</v>
      </c>
      <c r="BH287" s="15">
        <v>1400</v>
      </c>
      <c r="BI287" s="11">
        <v>896</v>
      </c>
      <c r="BJ287" s="10">
        <v>0</v>
      </c>
      <c r="BK287" s="15">
        <v>0</v>
      </c>
      <c r="BL287" s="11">
        <v>0</v>
      </c>
      <c r="BM287" s="44">
        <v>50</v>
      </c>
      <c r="BN287" s="42">
        <v>700</v>
      </c>
      <c r="BO287" s="45">
        <v>448</v>
      </c>
      <c r="BP287" s="44">
        <v>50</v>
      </c>
      <c r="BQ287" s="42">
        <v>700</v>
      </c>
      <c r="BR287" s="45">
        <v>448.00000000000006</v>
      </c>
      <c r="BS287" s="44">
        <v>50</v>
      </c>
      <c r="BT287" s="42">
        <v>700</v>
      </c>
      <c r="BU287" s="112">
        <v>448.00000000000006</v>
      </c>
      <c r="BV287" s="115">
        <v>0</v>
      </c>
      <c r="BW287" s="116">
        <v>3</v>
      </c>
      <c r="BX287" s="112">
        <v>2.04</v>
      </c>
      <c r="BY287" s="115">
        <v>50</v>
      </c>
      <c r="BZ287" s="116">
        <v>700</v>
      </c>
      <c r="CA287" s="112">
        <v>448.00000000000006</v>
      </c>
      <c r="CB287" s="115">
        <v>50</v>
      </c>
      <c r="CC287" s="116">
        <v>700</v>
      </c>
      <c r="CD287" s="112">
        <v>448</v>
      </c>
      <c r="CE287" s="115">
        <v>50</v>
      </c>
      <c r="CF287" s="116">
        <v>700</v>
      </c>
      <c r="CG287" s="112">
        <v>448.00000000000006</v>
      </c>
      <c r="CH287" s="115">
        <v>50</v>
      </c>
      <c r="CI287" s="116">
        <v>700</v>
      </c>
      <c r="CJ287" s="112">
        <v>448.00000000000006</v>
      </c>
      <c r="CK287" s="54">
        <f t="shared" si="48"/>
        <v>600</v>
      </c>
      <c r="CL287" s="63">
        <f t="shared" si="55"/>
        <v>7703</v>
      </c>
      <c r="CM287" s="55">
        <f t="shared" si="56"/>
        <v>4930.04</v>
      </c>
      <c r="CN287" s="54">
        <f t="shared" si="57"/>
        <v>50</v>
      </c>
      <c r="CO287" s="63">
        <f t="shared" si="58"/>
        <v>641.91666666666663</v>
      </c>
      <c r="CP287" s="172">
        <f t="shared" si="59"/>
        <v>410.83666666666664</v>
      </c>
      <c r="CQ287" s="182"/>
      <c r="CR287" s="16"/>
      <c r="CS287" s="183"/>
      <c r="CT287" s="182"/>
      <c r="CU287" s="16"/>
      <c r="CV287" s="183"/>
      <c r="CW287" s="182"/>
      <c r="CX287" s="16"/>
      <c r="CY287" s="183"/>
      <c r="CZ287" s="182"/>
      <c r="DA287" s="16"/>
      <c r="DB287" s="183"/>
      <c r="DC287" s="182"/>
      <c r="DD287" s="16"/>
      <c r="DE287" s="183"/>
      <c r="DF287" s="182"/>
      <c r="DG287" s="16"/>
      <c r="DH287" s="183"/>
      <c r="DI287" s="182"/>
      <c r="DJ287" s="16"/>
      <c r="DK287" s="183"/>
      <c r="DL287" s="182"/>
      <c r="DM287" s="16"/>
      <c r="DN287" s="183"/>
      <c r="DO287" s="182"/>
      <c r="DP287" s="16"/>
      <c r="DQ287" s="183"/>
      <c r="DR287" s="182"/>
      <c r="DS287" s="16"/>
      <c r="DT287" s="183"/>
      <c r="DU287" s="182"/>
      <c r="DV287" s="16"/>
      <c r="DW287" s="183"/>
      <c r="DX287" s="182"/>
      <c r="DY287" s="16"/>
      <c r="DZ287" s="183"/>
    </row>
    <row r="288" spans="1:130" s="2" customFormat="1" ht="34.9" customHeight="1" x14ac:dyDescent="0.6">
      <c r="A288" s="5">
        <v>285</v>
      </c>
      <c r="B288" s="165" t="s">
        <v>324</v>
      </c>
      <c r="C288" s="16" t="s">
        <v>325</v>
      </c>
      <c r="D288" s="15" t="s">
        <v>90</v>
      </c>
      <c r="E288" s="14" t="s">
        <v>91</v>
      </c>
      <c r="F288" s="7" t="s">
        <v>150</v>
      </c>
      <c r="G288" s="18" t="s">
        <v>941</v>
      </c>
      <c r="H288" s="18" t="s">
        <v>942</v>
      </c>
      <c r="I288" s="14" t="s">
        <v>943</v>
      </c>
      <c r="J288" s="49" t="s">
        <v>125</v>
      </c>
      <c r="K288" s="27">
        <v>0</v>
      </c>
      <c r="L288" s="58">
        <v>0</v>
      </c>
      <c r="M288" s="78">
        <v>0</v>
      </c>
      <c r="N288" s="27">
        <v>0</v>
      </c>
      <c r="O288" s="58">
        <v>0</v>
      </c>
      <c r="P288" s="49">
        <v>0</v>
      </c>
      <c r="Q288" s="27">
        <v>0</v>
      </c>
      <c r="R288" s="58">
        <v>0</v>
      </c>
      <c r="S288" s="98">
        <v>0</v>
      </c>
      <c r="T288" s="27">
        <v>33</v>
      </c>
      <c r="U288" s="58">
        <v>396</v>
      </c>
      <c r="V288" s="107">
        <v>381.6</v>
      </c>
      <c r="W288" s="27">
        <v>0</v>
      </c>
      <c r="X288" s="58">
        <v>0</v>
      </c>
      <c r="Y288" s="107">
        <v>0</v>
      </c>
      <c r="Z288" s="27">
        <v>27</v>
      </c>
      <c r="AA288" s="58">
        <v>390</v>
      </c>
      <c r="AB288" s="107">
        <v>312.8</v>
      </c>
      <c r="AC288" s="27">
        <v>55</v>
      </c>
      <c r="AD288" s="58">
        <v>680</v>
      </c>
      <c r="AE288" s="107">
        <v>629.6</v>
      </c>
      <c r="AF288" s="27">
        <v>71</v>
      </c>
      <c r="AG288" s="58">
        <v>862</v>
      </c>
      <c r="AH288" s="107">
        <v>836.8</v>
      </c>
      <c r="AI288" s="27">
        <v>74</v>
      </c>
      <c r="AJ288" s="58">
        <v>1016</v>
      </c>
      <c r="AK288" s="107">
        <v>871.68000000000006</v>
      </c>
      <c r="AL288" s="27">
        <v>63</v>
      </c>
      <c r="AM288" s="58">
        <v>794</v>
      </c>
      <c r="AN288" s="107">
        <v>742.8</v>
      </c>
      <c r="AO288" s="27">
        <v>72</v>
      </c>
      <c r="AP288" s="58">
        <v>1154</v>
      </c>
      <c r="AQ288" s="107">
        <v>868.8</v>
      </c>
      <c r="AR288" s="27">
        <v>79</v>
      </c>
      <c r="AS288" s="58">
        <v>1284</v>
      </c>
      <c r="AT288" s="107">
        <v>972</v>
      </c>
      <c r="AU288" s="54">
        <f t="shared" si="49"/>
        <v>474</v>
      </c>
      <c r="AV288" s="63">
        <f t="shared" si="50"/>
        <v>6576</v>
      </c>
      <c r="AW288" s="55">
        <f t="shared" si="51"/>
        <v>5616.0800000000008</v>
      </c>
      <c r="AX288" s="54">
        <f t="shared" si="52"/>
        <v>39.5</v>
      </c>
      <c r="AY288" s="63">
        <f t="shared" si="53"/>
        <v>3.2916666666666665</v>
      </c>
      <c r="AZ288" s="55">
        <f t="shared" si="54"/>
        <v>468.00666666666672</v>
      </c>
      <c r="BA288" s="10">
        <v>17</v>
      </c>
      <c r="BB288" s="15">
        <v>0</v>
      </c>
      <c r="BC288" s="11">
        <v>0</v>
      </c>
      <c r="BD288" s="10">
        <v>0</v>
      </c>
      <c r="BE288" s="15">
        <v>0</v>
      </c>
      <c r="BF288" s="11">
        <v>0</v>
      </c>
      <c r="BG288" s="10">
        <v>17</v>
      </c>
      <c r="BH288" s="15">
        <v>0</v>
      </c>
      <c r="BI288" s="11">
        <v>0</v>
      </c>
      <c r="BJ288" s="10">
        <v>0</v>
      </c>
      <c r="BK288" s="15">
        <v>0</v>
      </c>
      <c r="BL288" s="11">
        <v>0</v>
      </c>
      <c r="BM288" s="44">
        <v>0</v>
      </c>
      <c r="BN288" s="42">
        <v>0</v>
      </c>
      <c r="BO288" s="45">
        <v>0</v>
      </c>
      <c r="BP288" s="44">
        <v>30</v>
      </c>
      <c r="BQ288" s="42">
        <v>360</v>
      </c>
      <c r="BR288" s="45">
        <v>360</v>
      </c>
      <c r="BS288" s="44">
        <v>0</v>
      </c>
      <c r="BT288" s="42">
        <v>0</v>
      </c>
      <c r="BU288" s="112">
        <v>0</v>
      </c>
      <c r="BV288" s="115">
        <v>0</v>
      </c>
      <c r="BW288" s="116">
        <v>0</v>
      </c>
      <c r="BX288" s="112">
        <v>0</v>
      </c>
      <c r="BY288" s="115">
        <v>0</v>
      </c>
      <c r="BZ288" s="116">
        <v>0</v>
      </c>
      <c r="CA288" s="112">
        <v>0</v>
      </c>
      <c r="CB288" s="115">
        <v>0</v>
      </c>
      <c r="CC288" s="116">
        <v>0</v>
      </c>
      <c r="CD288" s="112">
        <v>0</v>
      </c>
      <c r="CE288" s="115">
        <v>0</v>
      </c>
      <c r="CF288" s="116">
        <v>0</v>
      </c>
      <c r="CG288" s="112">
        <v>0</v>
      </c>
      <c r="CH288" s="115">
        <v>0</v>
      </c>
      <c r="CI288" s="116">
        <v>0</v>
      </c>
      <c r="CJ288" s="112">
        <v>0</v>
      </c>
      <c r="CK288" s="54">
        <f t="shared" si="48"/>
        <v>64</v>
      </c>
      <c r="CL288" s="63">
        <f t="shared" si="55"/>
        <v>360</v>
      </c>
      <c r="CM288" s="55">
        <f t="shared" si="56"/>
        <v>360</v>
      </c>
      <c r="CN288" s="54">
        <f t="shared" si="57"/>
        <v>5.333333333333333</v>
      </c>
      <c r="CO288" s="63">
        <f t="shared" si="58"/>
        <v>30</v>
      </c>
      <c r="CP288" s="172">
        <f t="shared" si="59"/>
        <v>30</v>
      </c>
      <c r="CQ288" s="182"/>
      <c r="CR288" s="16"/>
      <c r="CS288" s="183"/>
      <c r="CT288" s="182"/>
      <c r="CU288" s="16"/>
      <c r="CV288" s="183"/>
      <c r="CW288" s="182"/>
      <c r="CX288" s="16"/>
      <c r="CY288" s="183"/>
      <c r="CZ288" s="182"/>
      <c r="DA288" s="16"/>
      <c r="DB288" s="183"/>
      <c r="DC288" s="182"/>
      <c r="DD288" s="16"/>
      <c r="DE288" s="183"/>
      <c r="DF288" s="182"/>
      <c r="DG288" s="16"/>
      <c r="DH288" s="183"/>
      <c r="DI288" s="182"/>
      <c r="DJ288" s="16"/>
      <c r="DK288" s="183"/>
      <c r="DL288" s="182"/>
      <c r="DM288" s="16"/>
      <c r="DN288" s="183"/>
      <c r="DO288" s="182"/>
      <c r="DP288" s="16"/>
      <c r="DQ288" s="183"/>
      <c r="DR288" s="182"/>
      <c r="DS288" s="16"/>
      <c r="DT288" s="183"/>
      <c r="DU288" s="182"/>
      <c r="DV288" s="16"/>
      <c r="DW288" s="183"/>
      <c r="DX288" s="182"/>
      <c r="DY288" s="16"/>
      <c r="DZ288" s="183"/>
    </row>
    <row r="289" spans="1:130" s="2" customFormat="1" ht="34.9" customHeight="1" x14ac:dyDescent="0.6">
      <c r="A289" s="5">
        <v>286</v>
      </c>
      <c r="B289" s="165" t="s">
        <v>340</v>
      </c>
      <c r="C289" s="16" t="s">
        <v>341</v>
      </c>
      <c r="D289" s="14" t="s">
        <v>90</v>
      </c>
      <c r="E289" s="14" t="s">
        <v>273</v>
      </c>
      <c r="F289" s="7" t="s">
        <v>150</v>
      </c>
      <c r="G289" s="18" t="s">
        <v>964</v>
      </c>
      <c r="H289" s="18" t="s">
        <v>965</v>
      </c>
      <c r="I289" s="14" t="s">
        <v>966</v>
      </c>
      <c r="J289" s="49" t="s">
        <v>125</v>
      </c>
      <c r="K289" s="27">
        <v>0</v>
      </c>
      <c r="L289" s="58">
        <v>0</v>
      </c>
      <c r="M289" s="78">
        <v>0</v>
      </c>
      <c r="N289" s="27">
        <v>0</v>
      </c>
      <c r="O289" s="58">
        <v>0</v>
      </c>
      <c r="P289" s="49">
        <v>0</v>
      </c>
      <c r="Q289" s="27">
        <v>0</v>
      </c>
      <c r="R289" s="58">
        <v>0</v>
      </c>
      <c r="S289" s="98">
        <v>0</v>
      </c>
      <c r="T289" s="27">
        <v>60</v>
      </c>
      <c r="U289" s="58">
        <v>770</v>
      </c>
      <c r="V289" s="12">
        <v>644</v>
      </c>
      <c r="W289" s="27">
        <v>145</v>
      </c>
      <c r="X289" s="58">
        <v>1820</v>
      </c>
      <c r="Y289" s="107">
        <v>1618.4</v>
      </c>
      <c r="Z289" s="27">
        <v>45</v>
      </c>
      <c r="AA289" s="58">
        <v>540</v>
      </c>
      <c r="AB289" s="12">
        <v>540</v>
      </c>
      <c r="AC289" s="27">
        <v>135</v>
      </c>
      <c r="AD289" s="58">
        <v>1670</v>
      </c>
      <c r="AE289" s="107">
        <v>1508</v>
      </c>
      <c r="AF289" s="27">
        <v>0</v>
      </c>
      <c r="AG289" s="58">
        <v>0</v>
      </c>
      <c r="AH289" s="107">
        <v>0</v>
      </c>
      <c r="AI289" s="27">
        <v>40</v>
      </c>
      <c r="AJ289" s="58">
        <v>500</v>
      </c>
      <c r="AK289" s="107">
        <v>449.6</v>
      </c>
      <c r="AL289" s="27">
        <v>95</v>
      </c>
      <c r="AM289" s="58">
        <v>1180</v>
      </c>
      <c r="AN289" s="107">
        <v>1061.2</v>
      </c>
      <c r="AO289" s="27">
        <v>0</v>
      </c>
      <c r="AP289" s="58">
        <v>0</v>
      </c>
      <c r="AQ289" s="107">
        <v>0</v>
      </c>
      <c r="AR289" s="27">
        <v>55</v>
      </c>
      <c r="AS289" s="58">
        <v>710</v>
      </c>
      <c r="AT289" s="107">
        <v>584</v>
      </c>
      <c r="AU289" s="54">
        <f t="shared" si="49"/>
        <v>575</v>
      </c>
      <c r="AV289" s="63">
        <f t="shared" si="50"/>
        <v>7190</v>
      </c>
      <c r="AW289" s="55">
        <f t="shared" si="51"/>
        <v>6405.2</v>
      </c>
      <c r="AX289" s="54">
        <f t="shared" si="52"/>
        <v>47.916666666666664</v>
      </c>
      <c r="AY289" s="63">
        <f t="shared" si="53"/>
        <v>3.9930555555555554</v>
      </c>
      <c r="AZ289" s="55">
        <f t="shared" si="54"/>
        <v>533.76666666666665</v>
      </c>
      <c r="BA289" s="10">
        <v>20</v>
      </c>
      <c r="BB289" s="15">
        <v>240</v>
      </c>
      <c r="BC289" s="11">
        <v>240</v>
      </c>
      <c r="BD289" s="10">
        <v>65</v>
      </c>
      <c r="BE289" s="15">
        <v>810</v>
      </c>
      <c r="BF289" s="11">
        <v>734.4</v>
      </c>
      <c r="BG289" s="10">
        <v>70</v>
      </c>
      <c r="BH289" s="15">
        <v>860</v>
      </c>
      <c r="BI289" s="11">
        <v>809.6</v>
      </c>
      <c r="BJ289" s="10">
        <v>0</v>
      </c>
      <c r="BK289" s="15">
        <v>0</v>
      </c>
      <c r="BL289" s="11">
        <v>0</v>
      </c>
      <c r="BM289" s="44">
        <v>30</v>
      </c>
      <c r="BN289" s="42">
        <v>420</v>
      </c>
      <c r="BO289" s="45">
        <v>268.8</v>
      </c>
      <c r="BP289" s="44">
        <v>70</v>
      </c>
      <c r="BQ289" s="42">
        <v>840</v>
      </c>
      <c r="BR289" s="45">
        <v>840</v>
      </c>
      <c r="BS289" s="44">
        <v>40</v>
      </c>
      <c r="BT289" s="42">
        <v>500</v>
      </c>
      <c r="BU289" s="112">
        <v>449.6</v>
      </c>
      <c r="BV289" s="115">
        <v>1</v>
      </c>
      <c r="BW289" s="116">
        <v>12</v>
      </c>
      <c r="BX289" s="112">
        <v>8.16</v>
      </c>
      <c r="BY289" s="115">
        <v>100</v>
      </c>
      <c r="BZ289" s="116">
        <v>1240</v>
      </c>
      <c r="CA289" s="112">
        <v>1139.2</v>
      </c>
      <c r="CB289" s="115">
        <v>0</v>
      </c>
      <c r="CC289" s="116">
        <v>0</v>
      </c>
      <c r="CD289" s="112">
        <v>0</v>
      </c>
      <c r="CE289" s="115">
        <v>15</v>
      </c>
      <c r="CF289" s="116">
        <v>180</v>
      </c>
      <c r="CG289" s="112">
        <v>180</v>
      </c>
      <c r="CH289" s="115">
        <v>0</v>
      </c>
      <c r="CI289" s="116">
        <v>0</v>
      </c>
      <c r="CJ289" s="112">
        <v>0</v>
      </c>
      <c r="CK289" s="54">
        <f t="shared" si="48"/>
        <v>411</v>
      </c>
      <c r="CL289" s="63">
        <f t="shared" si="55"/>
        <v>5102</v>
      </c>
      <c r="CM289" s="55">
        <f t="shared" si="56"/>
        <v>4669.76</v>
      </c>
      <c r="CN289" s="54">
        <f t="shared" si="57"/>
        <v>34.25</v>
      </c>
      <c r="CO289" s="63">
        <f t="shared" si="58"/>
        <v>425.16666666666669</v>
      </c>
      <c r="CP289" s="172">
        <f t="shared" si="59"/>
        <v>389.1466666666667</v>
      </c>
      <c r="CQ289" s="182"/>
      <c r="CR289" s="16"/>
      <c r="CS289" s="183"/>
      <c r="CT289" s="182"/>
      <c r="CU289" s="16"/>
      <c r="CV289" s="183"/>
      <c r="CW289" s="182"/>
      <c r="CX289" s="16"/>
      <c r="CY289" s="183"/>
      <c r="CZ289" s="182"/>
      <c r="DA289" s="16"/>
      <c r="DB289" s="183"/>
      <c r="DC289" s="182"/>
      <c r="DD289" s="16"/>
      <c r="DE289" s="183"/>
      <c r="DF289" s="182"/>
      <c r="DG289" s="16"/>
      <c r="DH289" s="183"/>
      <c r="DI289" s="182"/>
      <c r="DJ289" s="16"/>
      <c r="DK289" s="183"/>
      <c r="DL289" s="182"/>
      <c r="DM289" s="16"/>
      <c r="DN289" s="183"/>
      <c r="DO289" s="182"/>
      <c r="DP289" s="16"/>
      <c r="DQ289" s="183"/>
      <c r="DR289" s="182"/>
      <c r="DS289" s="16"/>
      <c r="DT289" s="183"/>
      <c r="DU289" s="182"/>
      <c r="DV289" s="16"/>
      <c r="DW289" s="183"/>
      <c r="DX289" s="182"/>
      <c r="DY289" s="16"/>
      <c r="DZ289" s="183"/>
    </row>
    <row r="290" spans="1:130" s="2" customFormat="1" ht="34.9" customHeight="1" x14ac:dyDescent="0.6">
      <c r="A290" s="5">
        <v>287</v>
      </c>
      <c r="B290" s="165" t="s">
        <v>352</v>
      </c>
      <c r="C290" s="21" t="s">
        <v>353</v>
      </c>
      <c r="D290" s="14" t="s">
        <v>267</v>
      </c>
      <c r="E290" s="20" t="s">
        <v>46</v>
      </c>
      <c r="F290" s="7" t="s">
        <v>150</v>
      </c>
      <c r="G290" s="145" t="s">
        <v>977</v>
      </c>
      <c r="H290" s="145"/>
      <c r="I290" s="14" t="s">
        <v>978</v>
      </c>
      <c r="J290" s="49" t="s">
        <v>125</v>
      </c>
      <c r="K290" s="27">
        <v>0</v>
      </c>
      <c r="L290" s="58">
        <v>0</v>
      </c>
      <c r="M290" s="78">
        <v>0</v>
      </c>
      <c r="N290" s="27">
        <v>230</v>
      </c>
      <c r="O290" s="58">
        <v>3600</v>
      </c>
      <c r="P290" s="104">
        <v>2338.4</v>
      </c>
      <c r="Q290" s="27">
        <v>50</v>
      </c>
      <c r="R290" s="58">
        <v>700</v>
      </c>
      <c r="S290" s="98">
        <v>448</v>
      </c>
      <c r="T290" s="27">
        <v>50</v>
      </c>
      <c r="U290" s="58">
        <v>700</v>
      </c>
      <c r="V290" s="12">
        <v>448</v>
      </c>
      <c r="W290" s="27">
        <v>100</v>
      </c>
      <c r="X290" s="58">
        <v>1340</v>
      </c>
      <c r="Y290" s="107">
        <v>987.2</v>
      </c>
      <c r="Z290" s="27">
        <v>120</v>
      </c>
      <c r="AA290" s="58">
        <v>1940</v>
      </c>
      <c r="AB290" s="107">
        <v>1125.5999999999999</v>
      </c>
      <c r="AC290" s="27">
        <v>10</v>
      </c>
      <c r="AD290" s="58">
        <v>140</v>
      </c>
      <c r="AE290" s="107">
        <v>89.600000000000009</v>
      </c>
      <c r="AF290" s="27">
        <v>174</v>
      </c>
      <c r="AG290" s="58">
        <v>2596</v>
      </c>
      <c r="AH290" s="107">
        <v>1761.44</v>
      </c>
      <c r="AI290" s="27">
        <v>0</v>
      </c>
      <c r="AJ290" s="58">
        <v>0</v>
      </c>
      <c r="AK290" s="107">
        <v>0</v>
      </c>
      <c r="AL290" s="27">
        <v>169</v>
      </c>
      <c r="AM290" s="58">
        <v>2520</v>
      </c>
      <c r="AN290" s="107">
        <v>1725.76</v>
      </c>
      <c r="AO290" s="27">
        <v>21</v>
      </c>
      <c r="AP290" s="58">
        <v>840</v>
      </c>
      <c r="AQ290" s="107">
        <v>294</v>
      </c>
      <c r="AR290" s="27">
        <v>100</v>
      </c>
      <c r="AS290" s="58">
        <v>1340</v>
      </c>
      <c r="AT290" s="107">
        <v>987.2</v>
      </c>
      <c r="AU290" s="54">
        <f t="shared" si="49"/>
        <v>1024</v>
      </c>
      <c r="AV290" s="63">
        <f t="shared" si="50"/>
        <v>15716</v>
      </c>
      <c r="AW290" s="55">
        <f t="shared" si="51"/>
        <v>10205.200000000003</v>
      </c>
      <c r="AX290" s="54">
        <f t="shared" si="52"/>
        <v>85.333333333333329</v>
      </c>
      <c r="AY290" s="63">
        <f t="shared" si="53"/>
        <v>7.1111111111111107</v>
      </c>
      <c r="AZ290" s="55">
        <f t="shared" si="54"/>
        <v>850.43333333333351</v>
      </c>
      <c r="BA290" s="10">
        <v>0</v>
      </c>
      <c r="BB290" s="15">
        <v>0</v>
      </c>
      <c r="BC290" s="11">
        <v>0</v>
      </c>
      <c r="BD290" s="10">
        <v>120</v>
      </c>
      <c r="BE290" s="15">
        <v>1560</v>
      </c>
      <c r="BF290" s="11">
        <v>1257.5999999999999</v>
      </c>
      <c r="BG290" s="10">
        <v>150</v>
      </c>
      <c r="BH290" s="15">
        <v>2560</v>
      </c>
      <c r="BI290" s="11">
        <v>1536</v>
      </c>
      <c r="BJ290" s="10">
        <v>0</v>
      </c>
      <c r="BK290" s="15">
        <v>0</v>
      </c>
      <c r="BL290" s="11">
        <v>0</v>
      </c>
      <c r="BM290" s="44">
        <v>0</v>
      </c>
      <c r="BN290" s="42">
        <v>0</v>
      </c>
      <c r="BO290" s="45">
        <v>0</v>
      </c>
      <c r="BP290" s="44">
        <v>0</v>
      </c>
      <c r="BQ290" s="42">
        <v>0</v>
      </c>
      <c r="BR290" s="45">
        <v>0</v>
      </c>
      <c r="BS290" s="44">
        <v>150</v>
      </c>
      <c r="BT290" s="42">
        <v>2560</v>
      </c>
      <c r="BU290" s="112">
        <v>1536</v>
      </c>
      <c r="BV290" s="115">
        <v>3</v>
      </c>
      <c r="BW290" s="116">
        <v>36</v>
      </c>
      <c r="BX290" s="112">
        <v>24.48</v>
      </c>
      <c r="BY290" s="115">
        <v>102</v>
      </c>
      <c r="BZ290" s="116">
        <v>1380</v>
      </c>
      <c r="CA290" s="112">
        <v>1076</v>
      </c>
      <c r="CB290" s="115">
        <v>10</v>
      </c>
      <c r="CC290" s="116">
        <v>400</v>
      </c>
      <c r="CD290" s="112">
        <v>140</v>
      </c>
      <c r="CE290" s="115">
        <v>0</v>
      </c>
      <c r="CF290" s="116">
        <v>0</v>
      </c>
      <c r="CG290" s="112">
        <v>0</v>
      </c>
      <c r="CH290" s="115">
        <v>70</v>
      </c>
      <c r="CI290" s="116">
        <v>1460</v>
      </c>
      <c r="CJ290" s="112">
        <v>788.8</v>
      </c>
      <c r="CK290" s="54">
        <f t="shared" si="48"/>
        <v>605</v>
      </c>
      <c r="CL290" s="63">
        <f t="shared" si="55"/>
        <v>9956</v>
      </c>
      <c r="CM290" s="55">
        <f t="shared" si="56"/>
        <v>6358.88</v>
      </c>
      <c r="CN290" s="54">
        <f t="shared" si="57"/>
        <v>50.416666666666664</v>
      </c>
      <c r="CO290" s="63">
        <f t="shared" si="58"/>
        <v>829.66666666666663</v>
      </c>
      <c r="CP290" s="172">
        <f t="shared" si="59"/>
        <v>529.90666666666664</v>
      </c>
      <c r="CQ290" s="182"/>
      <c r="CR290" s="16"/>
      <c r="CS290" s="183"/>
      <c r="CT290" s="182"/>
      <c r="CU290" s="16"/>
      <c r="CV290" s="183"/>
      <c r="CW290" s="182"/>
      <c r="CX290" s="16"/>
      <c r="CY290" s="183"/>
      <c r="CZ290" s="182"/>
      <c r="DA290" s="16"/>
      <c r="DB290" s="183"/>
      <c r="DC290" s="182"/>
      <c r="DD290" s="16"/>
      <c r="DE290" s="183"/>
      <c r="DF290" s="182"/>
      <c r="DG290" s="16"/>
      <c r="DH290" s="183"/>
      <c r="DI290" s="182"/>
      <c r="DJ290" s="16"/>
      <c r="DK290" s="183"/>
      <c r="DL290" s="182"/>
      <c r="DM290" s="16"/>
      <c r="DN290" s="183"/>
      <c r="DO290" s="182"/>
      <c r="DP290" s="16"/>
      <c r="DQ290" s="183"/>
      <c r="DR290" s="182"/>
      <c r="DS290" s="16"/>
      <c r="DT290" s="183"/>
      <c r="DU290" s="182"/>
      <c r="DV290" s="16"/>
      <c r="DW290" s="183"/>
      <c r="DX290" s="182"/>
      <c r="DY290" s="16"/>
      <c r="DZ290" s="183"/>
    </row>
    <row r="291" spans="1:130" ht="31.5" customHeight="1" x14ac:dyDescent="0.6">
      <c r="A291" s="5">
        <v>288</v>
      </c>
      <c r="B291" s="165" t="s">
        <v>360</v>
      </c>
      <c r="C291" s="14" t="s">
        <v>361</v>
      </c>
      <c r="D291" s="15" t="s">
        <v>82</v>
      </c>
      <c r="E291" s="24" t="s">
        <v>83</v>
      </c>
      <c r="F291" s="7" t="s">
        <v>150</v>
      </c>
      <c r="G291" s="19" t="s">
        <v>985</v>
      </c>
      <c r="H291" s="19"/>
      <c r="I291" s="20" t="s">
        <v>986</v>
      </c>
      <c r="J291" s="49" t="s">
        <v>125</v>
      </c>
      <c r="K291" s="27">
        <v>100</v>
      </c>
      <c r="L291" s="58">
        <v>1400</v>
      </c>
      <c r="M291" s="78">
        <v>896</v>
      </c>
      <c r="N291" s="27">
        <v>0</v>
      </c>
      <c r="O291" s="58">
        <v>0</v>
      </c>
      <c r="P291" s="104">
        <v>0</v>
      </c>
      <c r="Q291" s="27">
        <v>100</v>
      </c>
      <c r="R291" s="58">
        <v>1400</v>
      </c>
      <c r="S291" s="98">
        <v>896</v>
      </c>
      <c r="T291" s="27">
        <v>100</v>
      </c>
      <c r="U291" s="58">
        <v>1400</v>
      </c>
      <c r="V291" s="12">
        <v>896</v>
      </c>
      <c r="W291" s="27">
        <v>50</v>
      </c>
      <c r="X291" s="58">
        <v>700</v>
      </c>
      <c r="Y291" s="12">
        <v>448</v>
      </c>
      <c r="Z291" s="27">
        <v>100</v>
      </c>
      <c r="AA291" s="58">
        <v>1400</v>
      </c>
      <c r="AB291" s="12">
        <v>896</v>
      </c>
      <c r="AC291" s="27">
        <v>0</v>
      </c>
      <c r="AD291" s="58">
        <v>0</v>
      </c>
      <c r="AE291" s="107">
        <v>0</v>
      </c>
      <c r="AF291" s="27">
        <v>95</v>
      </c>
      <c r="AG291" s="58">
        <v>1300</v>
      </c>
      <c r="AH291" s="107">
        <v>896.80000000000007</v>
      </c>
      <c r="AI291" s="27">
        <v>85</v>
      </c>
      <c r="AJ291" s="58">
        <v>1070</v>
      </c>
      <c r="AK291" s="107">
        <v>944</v>
      </c>
      <c r="AL291" s="27">
        <v>65</v>
      </c>
      <c r="AM291" s="58">
        <v>870</v>
      </c>
      <c r="AN291" s="107">
        <v>643.20000000000005</v>
      </c>
      <c r="AO291" s="27">
        <v>30</v>
      </c>
      <c r="AP291" s="58">
        <v>360</v>
      </c>
      <c r="AQ291" s="107">
        <v>360</v>
      </c>
      <c r="AR291" s="27">
        <v>30</v>
      </c>
      <c r="AS291" s="58">
        <v>360</v>
      </c>
      <c r="AT291" s="107">
        <v>360</v>
      </c>
      <c r="AU291" s="54">
        <f t="shared" si="49"/>
        <v>755</v>
      </c>
      <c r="AV291" s="63">
        <f t="shared" si="50"/>
        <v>10260</v>
      </c>
      <c r="AW291" s="55">
        <f t="shared" si="51"/>
        <v>7236</v>
      </c>
      <c r="AX291" s="54">
        <f t="shared" si="52"/>
        <v>62.916666666666664</v>
      </c>
      <c r="AY291" s="63">
        <f t="shared" si="53"/>
        <v>5.2430555555555554</v>
      </c>
      <c r="AZ291" s="55">
        <f t="shared" si="54"/>
        <v>603</v>
      </c>
      <c r="BA291" s="10">
        <v>40</v>
      </c>
      <c r="BB291" s="15">
        <v>530</v>
      </c>
      <c r="BC291" s="11">
        <v>404</v>
      </c>
      <c r="BD291" s="10">
        <v>50</v>
      </c>
      <c r="BE291" s="15">
        <v>700</v>
      </c>
      <c r="BF291" s="11">
        <v>448</v>
      </c>
      <c r="BG291" s="10">
        <v>100</v>
      </c>
      <c r="BH291" s="15">
        <v>1400</v>
      </c>
      <c r="BI291" s="11">
        <v>896</v>
      </c>
      <c r="BJ291" s="10">
        <v>0</v>
      </c>
      <c r="BK291" s="15">
        <v>0</v>
      </c>
      <c r="BL291" s="11">
        <v>0</v>
      </c>
      <c r="BM291" s="46">
        <v>101</v>
      </c>
      <c r="BN291" s="43">
        <v>1414</v>
      </c>
      <c r="BO291" s="47">
        <v>904.96</v>
      </c>
      <c r="BP291" s="46">
        <v>0</v>
      </c>
      <c r="BQ291" s="43">
        <v>0</v>
      </c>
      <c r="BR291" s="47">
        <v>0</v>
      </c>
      <c r="BS291" s="46">
        <v>60</v>
      </c>
      <c r="BT291" s="43">
        <v>840</v>
      </c>
      <c r="BU291" s="114">
        <v>537.6</v>
      </c>
      <c r="BV291" s="119">
        <v>50</v>
      </c>
      <c r="BW291" s="120">
        <v>700</v>
      </c>
      <c r="BX291" s="114">
        <v>448</v>
      </c>
      <c r="BY291" s="119">
        <v>50</v>
      </c>
      <c r="BZ291" s="120">
        <v>700</v>
      </c>
      <c r="CA291" s="114">
        <v>448.00000000000006</v>
      </c>
      <c r="CB291" s="119">
        <v>50</v>
      </c>
      <c r="CC291" s="120">
        <v>700</v>
      </c>
      <c r="CD291" s="114">
        <v>448.00000000000006</v>
      </c>
      <c r="CE291" s="119">
        <v>50</v>
      </c>
      <c r="CF291" s="120">
        <v>700</v>
      </c>
      <c r="CG291" s="114">
        <v>448.00000000000006</v>
      </c>
      <c r="CH291" s="119">
        <v>50</v>
      </c>
      <c r="CI291" s="120">
        <v>700</v>
      </c>
      <c r="CJ291" s="114">
        <v>448.00000000000006</v>
      </c>
      <c r="CK291" s="54">
        <f t="shared" si="48"/>
        <v>601</v>
      </c>
      <c r="CL291" s="63">
        <f t="shared" si="55"/>
        <v>8384</v>
      </c>
      <c r="CM291" s="55">
        <f t="shared" si="56"/>
        <v>5430.56</v>
      </c>
      <c r="CN291" s="54">
        <f t="shared" si="57"/>
        <v>50.083333333333336</v>
      </c>
      <c r="CO291" s="63">
        <f t="shared" si="58"/>
        <v>698.66666666666663</v>
      </c>
      <c r="CP291" s="172">
        <f t="shared" si="59"/>
        <v>452.54666666666668</v>
      </c>
      <c r="CQ291" s="184"/>
      <c r="CR291" s="21"/>
      <c r="CS291" s="185"/>
      <c r="CT291" s="184"/>
      <c r="CU291" s="21"/>
      <c r="CV291" s="185"/>
      <c r="CW291" s="184"/>
      <c r="CX291" s="21"/>
      <c r="CY291" s="185"/>
      <c r="CZ291" s="184"/>
      <c r="DA291" s="21"/>
      <c r="DB291" s="185"/>
      <c r="DC291" s="184"/>
      <c r="DD291" s="21"/>
      <c r="DE291" s="185"/>
      <c r="DF291" s="184"/>
      <c r="DG291" s="21"/>
      <c r="DH291" s="185"/>
      <c r="DI291" s="184"/>
      <c r="DJ291" s="21"/>
      <c r="DK291" s="185"/>
      <c r="DL291" s="184"/>
      <c r="DM291" s="21"/>
      <c r="DN291" s="185"/>
      <c r="DO291" s="184"/>
      <c r="DP291" s="21"/>
      <c r="DQ291" s="185"/>
      <c r="DR291" s="184"/>
      <c r="DS291" s="21"/>
      <c r="DT291" s="185"/>
      <c r="DU291" s="184"/>
      <c r="DV291" s="21"/>
      <c r="DW291" s="185"/>
      <c r="DX291" s="184"/>
      <c r="DY291" s="21"/>
      <c r="DZ291" s="185"/>
    </row>
    <row r="292" spans="1:130" ht="31.5" customHeight="1" x14ac:dyDescent="0.6">
      <c r="A292" s="5">
        <v>289</v>
      </c>
      <c r="B292" s="165" t="s">
        <v>362</v>
      </c>
      <c r="C292" s="14" t="s">
        <v>32</v>
      </c>
      <c r="D292" s="15" t="s">
        <v>363</v>
      </c>
      <c r="E292" s="20" t="s">
        <v>79</v>
      </c>
      <c r="F292" s="7" t="s">
        <v>150</v>
      </c>
      <c r="G292" s="19" t="s">
        <v>987</v>
      </c>
      <c r="H292" s="19"/>
      <c r="I292" s="20" t="s">
        <v>988</v>
      </c>
      <c r="J292" s="49" t="s">
        <v>125</v>
      </c>
      <c r="K292" s="27">
        <v>110</v>
      </c>
      <c r="L292" s="58">
        <v>1360</v>
      </c>
      <c r="M292" s="78">
        <v>1163.2</v>
      </c>
      <c r="N292" s="27">
        <v>20</v>
      </c>
      <c r="O292" s="58">
        <v>280</v>
      </c>
      <c r="P292" s="104">
        <v>179.20000000000002</v>
      </c>
      <c r="Q292" s="27">
        <v>80</v>
      </c>
      <c r="R292" s="58">
        <v>1080</v>
      </c>
      <c r="S292" s="98">
        <v>777.6</v>
      </c>
      <c r="T292" s="27">
        <v>100</v>
      </c>
      <c r="U292" s="58">
        <v>1330</v>
      </c>
      <c r="V292" s="12">
        <v>978.4</v>
      </c>
      <c r="W292" s="27">
        <v>0</v>
      </c>
      <c r="X292" s="58">
        <v>0</v>
      </c>
      <c r="Y292" s="12">
        <v>0</v>
      </c>
      <c r="Z292" s="27">
        <v>42</v>
      </c>
      <c r="AA292" s="58">
        <v>534</v>
      </c>
      <c r="AB292" s="107">
        <v>424.79999999999995</v>
      </c>
      <c r="AC292" s="27">
        <v>65</v>
      </c>
      <c r="AD292" s="58">
        <v>820</v>
      </c>
      <c r="AE292" s="107">
        <v>695.2</v>
      </c>
      <c r="AF292" s="27">
        <v>61</v>
      </c>
      <c r="AG292" s="58">
        <v>1072</v>
      </c>
      <c r="AH292" s="107">
        <v>660.8</v>
      </c>
      <c r="AI292" s="27">
        <v>51</v>
      </c>
      <c r="AJ292" s="58">
        <v>690</v>
      </c>
      <c r="AK292" s="107">
        <v>442</v>
      </c>
      <c r="AL292" s="27">
        <v>61</v>
      </c>
      <c r="AM292" s="58">
        <v>820</v>
      </c>
      <c r="AN292" s="107">
        <v>594.79999999999995</v>
      </c>
      <c r="AO292" s="27">
        <v>42</v>
      </c>
      <c r="AP292" s="58">
        <v>600</v>
      </c>
      <c r="AQ292" s="107">
        <v>423.20000000000005</v>
      </c>
      <c r="AR292" s="27">
        <v>0</v>
      </c>
      <c r="AS292" s="58">
        <v>0</v>
      </c>
      <c r="AT292" s="107">
        <v>0</v>
      </c>
      <c r="AU292" s="54">
        <f t="shared" si="49"/>
        <v>632</v>
      </c>
      <c r="AV292" s="63">
        <f t="shared" si="50"/>
        <v>8586</v>
      </c>
      <c r="AW292" s="55">
        <f t="shared" si="51"/>
        <v>6339.2</v>
      </c>
      <c r="AX292" s="54">
        <f t="shared" si="52"/>
        <v>52.666666666666664</v>
      </c>
      <c r="AY292" s="63">
        <f t="shared" si="53"/>
        <v>4.3888888888888884</v>
      </c>
      <c r="AZ292" s="55">
        <f t="shared" si="54"/>
        <v>528.26666666666665</v>
      </c>
      <c r="BA292" s="10">
        <v>53</v>
      </c>
      <c r="BB292" s="15">
        <v>884</v>
      </c>
      <c r="BC292" s="11">
        <v>522.96</v>
      </c>
      <c r="BD292" s="10">
        <v>30</v>
      </c>
      <c r="BE292" s="15">
        <v>390</v>
      </c>
      <c r="BF292" s="11">
        <v>314.40000000000003</v>
      </c>
      <c r="BG292" s="10">
        <v>81</v>
      </c>
      <c r="BH292" s="15">
        <v>1366</v>
      </c>
      <c r="BI292" s="11">
        <v>880.4</v>
      </c>
      <c r="BJ292" s="10">
        <v>70</v>
      </c>
      <c r="BK292" s="15">
        <v>920</v>
      </c>
      <c r="BL292" s="11">
        <v>694.40000000000009</v>
      </c>
      <c r="BM292" s="46">
        <v>42</v>
      </c>
      <c r="BN292" s="43">
        <v>580</v>
      </c>
      <c r="BO292" s="47">
        <v>429.6</v>
      </c>
      <c r="BP292" s="46">
        <v>60</v>
      </c>
      <c r="BQ292" s="43">
        <v>760</v>
      </c>
      <c r="BR292" s="47">
        <v>659.2</v>
      </c>
      <c r="BS292" s="46">
        <v>42</v>
      </c>
      <c r="BT292" s="43">
        <v>600</v>
      </c>
      <c r="BU292" s="114">
        <v>399.20000000000005</v>
      </c>
      <c r="BV292" s="119">
        <v>62</v>
      </c>
      <c r="BW292" s="120">
        <v>917</v>
      </c>
      <c r="BX292" s="114">
        <v>676.83999999999992</v>
      </c>
      <c r="BY292" s="119">
        <v>40</v>
      </c>
      <c r="BZ292" s="120">
        <v>650</v>
      </c>
      <c r="CA292" s="114">
        <v>444.4</v>
      </c>
      <c r="CB292" s="119">
        <v>77</v>
      </c>
      <c r="CC292" s="120">
        <v>1138</v>
      </c>
      <c r="CD292" s="114">
        <v>773.52</v>
      </c>
      <c r="CE292" s="119">
        <v>0</v>
      </c>
      <c r="CF292" s="120">
        <v>0</v>
      </c>
      <c r="CG292" s="114">
        <v>0</v>
      </c>
      <c r="CH292" s="119">
        <v>21</v>
      </c>
      <c r="CI292" s="120">
        <v>290</v>
      </c>
      <c r="CJ292" s="114">
        <v>214.8</v>
      </c>
      <c r="CK292" s="54">
        <f t="shared" si="48"/>
        <v>578</v>
      </c>
      <c r="CL292" s="63">
        <f t="shared" si="55"/>
        <v>8495</v>
      </c>
      <c r="CM292" s="55">
        <f t="shared" si="56"/>
        <v>6009.72</v>
      </c>
      <c r="CN292" s="54">
        <f t="shared" si="57"/>
        <v>48.166666666666664</v>
      </c>
      <c r="CO292" s="63">
        <f t="shared" si="58"/>
        <v>707.91666666666663</v>
      </c>
      <c r="CP292" s="172">
        <f t="shared" si="59"/>
        <v>500.81</v>
      </c>
      <c r="CQ292" s="184"/>
      <c r="CR292" s="21"/>
      <c r="CS292" s="185"/>
      <c r="CT292" s="184"/>
      <c r="CU292" s="21"/>
      <c r="CV292" s="185"/>
      <c r="CW292" s="184"/>
      <c r="CX292" s="21"/>
      <c r="CY292" s="185"/>
      <c r="CZ292" s="184"/>
      <c r="DA292" s="21"/>
      <c r="DB292" s="185"/>
      <c r="DC292" s="184"/>
      <c r="DD292" s="21"/>
      <c r="DE292" s="185"/>
      <c r="DF292" s="184"/>
      <c r="DG292" s="21"/>
      <c r="DH292" s="185"/>
      <c r="DI292" s="184"/>
      <c r="DJ292" s="21"/>
      <c r="DK292" s="185"/>
      <c r="DL292" s="184"/>
      <c r="DM292" s="21"/>
      <c r="DN292" s="185"/>
      <c r="DO292" s="184"/>
      <c r="DP292" s="21"/>
      <c r="DQ292" s="185"/>
      <c r="DR292" s="184"/>
      <c r="DS292" s="21"/>
      <c r="DT292" s="185"/>
      <c r="DU292" s="184"/>
      <c r="DV292" s="21"/>
      <c r="DW292" s="185"/>
      <c r="DX292" s="184"/>
      <c r="DY292" s="21"/>
      <c r="DZ292" s="185"/>
    </row>
    <row r="293" spans="1:130" ht="31.5" customHeight="1" x14ac:dyDescent="0.6">
      <c r="A293" s="5">
        <v>290</v>
      </c>
      <c r="B293" s="165" t="s">
        <v>364</v>
      </c>
      <c r="C293" s="14" t="s">
        <v>365</v>
      </c>
      <c r="D293" s="15" t="s">
        <v>363</v>
      </c>
      <c r="E293" s="20" t="s">
        <v>79</v>
      </c>
      <c r="F293" s="7" t="s">
        <v>150</v>
      </c>
      <c r="G293" s="19" t="s">
        <v>989</v>
      </c>
      <c r="H293" s="19"/>
      <c r="I293" s="20" t="s">
        <v>990</v>
      </c>
      <c r="J293" s="49" t="s">
        <v>125</v>
      </c>
      <c r="K293" s="27">
        <v>0</v>
      </c>
      <c r="L293" s="58">
        <v>0</v>
      </c>
      <c r="M293" s="78">
        <v>0</v>
      </c>
      <c r="N293" s="27">
        <v>0</v>
      </c>
      <c r="O293" s="58">
        <v>0</v>
      </c>
      <c r="P293" s="104">
        <v>0</v>
      </c>
      <c r="Q293" s="27">
        <v>115</v>
      </c>
      <c r="R293" s="58">
        <v>1820</v>
      </c>
      <c r="S293" s="98">
        <v>1331.6</v>
      </c>
      <c r="T293" s="27">
        <v>0</v>
      </c>
      <c r="U293" s="58">
        <v>0</v>
      </c>
      <c r="V293" s="12">
        <v>0</v>
      </c>
      <c r="W293" s="27">
        <v>1</v>
      </c>
      <c r="X293" s="58">
        <v>12</v>
      </c>
      <c r="Y293" s="12">
        <v>12</v>
      </c>
      <c r="Z293" s="27">
        <v>126</v>
      </c>
      <c r="AA293" s="58">
        <v>1892</v>
      </c>
      <c r="AB293" s="12">
        <v>1284</v>
      </c>
      <c r="AC293" s="27">
        <v>100</v>
      </c>
      <c r="AD293" s="58">
        <v>1860</v>
      </c>
      <c r="AE293" s="107">
        <v>1040</v>
      </c>
      <c r="AF293" s="27">
        <v>2</v>
      </c>
      <c r="AG293" s="58">
        <v>24</v>
      </c>
      <c r="AH293" s="107">
        <v>24</v>
      </c>
      <c r="AI293" s="27">
        <v>1</v>
      </c>
      <c r="AJ293" s="58">
        <v>12</v>
      </c>
      <c r="AK293" s="107">
        <v>8</v>
      </c>
      <c r="AL293" s="27">
        <v>21</v>
      </c>
      <c r="AM293" s="58">
        <v>814</v>
      </c>
      <c r="AN293" s="107">
        <v>288.95999999999998</v>
      </c>
      <c r="AO293" s="27">
        <v>2</v>
      </c>
      <c r="AP293" s="58">
        <v>24</v>
      </c>
      <c r="AQ293" s="107">
        <v>24</v>
      </c>
      <c r="AR293" s="27">
        <v>1</v>
      </c>
      <c r="AS293" s="58">
        <v>12</v>
      </c>
      <c r="AT293" s="107">
        <v>12</v>
      </c>
      <c r="AU293" s="54">
        <f t="shared" si="49"/>
        <v>369</v>
      </c>
      <c r="AV293" s="63">
        <f t="shared" si="50"/>
        <v>6470</v>
      </c>
      <c r="AW293" s="55">
        <f t="shared" si="51"/>
        <v>4024.56</v>
      </c>
      <c r="AX293" s="54">
        <f t="shared" si="52"/>
        <v>30.75</v>
      </c>
      <c r="AY293" s="63">
        <f t="shared" si="53"/>
        <v>2.5625</v>
      </c>
      <c r="AZ293" s="55">
        <f t="shared" si="54"/>
        <v>335.38</v>
      </c>
      <c r="BA293" s="10">
        <v>0</v>
      </c>
      <c r="BB293" s="15">
        <v>0</v>
      </c>
      <c r="BC293" s="11">
        <v>0</v>
      </c>
      <c r="BD293" s="10">
        <v>1</v>
      </c>
      <c r="BE293" s="15">
        <v>12</v>
      </c>
      <c r="BF293" s="11">
        <v>12</v>
      </c>
      <c r="BG293" s="10">
        <v>0</v>
      </c>
      <c r="BH293" s="15">
        <v>0</v>
      </c>
      <c r="BI293" s="11">
        <v>0</v>
      </c>
      <c r="BJ293" s="10">
        <v>0</v>
      </c>
      <c r="BK293" s="15">
        <v>0</v>
      </c>
      <c r="BL293" s="11">
        <v>0</v>
      </c>
      <c r="BM293" s="46">
        <v>0</v>
      </c>
      <c r="BN293" s="43">
        <v>0</v>
      </c>
      <c r="BO293" s="47">
        <v>0</v>
      </c>
      <c r="BP293" s="46">
        <v>0</v>
      </c>
      <c r="BQ293" s="43">
        <v>0</v>
      </c>
      <c r="BR293" s="47">
        <v>0</v>
      </c>
      <c r="BS293" s="46">
        <v>0</v>
      </c>
      <c r="BT293" s="43">
        <v>0</v>
      </c>
      <c r="BU293" s="114">
        <v>0</v>
      </c>
      <c r="BV293" s="119">
        <v>0</v>
      </c>
      <c r="BW293" s="120">
        <v>0</v>
      </c>
      <c r="BX293" s="114">
        <v>0</v>
      </c>
      <c r="BY293" s="119">
        <v>0</v>
      </c>
      <c r="BZ293" s="120">
        <v>0</v>
      </c>
      <c r="CA293" s="114">
        <v>0</v>
      </c>
      <c r="CB293" s="119">
        <v>0</v>
      </c>
      <c r="CC293" s="120">
        <v>0</v>
      </c>
      <c r="CD293" s="114">
        <v>0</v>
      </c>
      <c r="CE293" s="119">
        <v>0</v>
      </c>
      <c r="CF293" s="120">
        <v>0</v>
      </c>
      <c r="CG293" s="114">
        <v>0</v>
      </c>
      <c r="CH293" s="119">
        <v>0</v>
      </c>
      <c r="CI293" s="120">
        <v>0</v>
      </c>
      <c r="CJ293" s="114">
        <v>0</v>
      </c>
      <c r="CK293" s="54">
        <f t="shared" si="48"/>
        <v>1</v>
      </c>
      <c r="CL293" s="63">
        <f t="shared" si="55"/>
        <v>12</v>
      </c>
      <c r="CM293" s="55">
        <f t="shared" si="56"/>
        <v>12</v>
      </c>
      <c r="CN293" s="54">
        <f t="shared" si="57"/>
        <v>8.3333333333333329E-2</v>
      </c>
      <c r="CO293" s="63">
        <f t="shared" si="58"/>
        <v>1</v>
      </c>
      <c r="CP293" s="172">
        <f t="shared" si="59"/>
        <v>1</v>
      </c>
      <c r="CQ293" s="184"/>
      <c r="CR293" s="21"/>
      <c r="CS293" s="185"/>
      <c r="CT293" s="184"/>
      <c r="CU293" s="21"/>
      <c r="CV293" s="185"/>
      <c r="CW293" s="184"/>
      <c r="CX293" s="21"/>
      <c r="CY293" s="185"/>
      <c r="CZ293" s="184"/>
      <c r="DA293" s="21"/>
      <c r="DB293" s="185"/>
      <c r="DC293" s="184"/>
      <c r="DD293" s="21"/>
      <c r="DE293" s="185"/>
      <c r="DF293" s="184"/>
      <c r="DG293" s="21"/>
      <c r="DH293" s="185"/>
      <c r="DI293" s="184"/>
      <c r="DJ293" s="21"/>
      <c r="DK293" s="185"/>
      <c r="DL293" s="184"/>
      <c r="DM293" s="21"/>
      <c r="DN293" s="185"/>
      <c r="DO293" s="184"/>
      <c r="DP293" s="21"/>
      <c r="DQ293" s="185"/>
      <c r="DR293" s="184"/>
      <c r="DS293" s="21"/>
      <c r="DT293" s="185"/>
      <c r="DU293" s="184"/>
      <c r="DV293" s="21"/>
      <c r="DW293" s="185"/>
      <c r="DX293" s="184"/>
      <c r="DY293" s="21"/>
      <c r="DZ293" s="185"/>
    </row>
    <row r="294" spans="1:130" ht="31.5" customHeight="1" x14ac:dyDescent="0.6">
      <c r="A294" s="5">
        <v>291</v>
      </c>
      <c r="B294" s="165" t="s">
        <v>370</v>
      </c>
      <c r="C294" s="14" t="s">
        <v>370</v>
      </c>
      <c r="D294" s="15" t="s">
        <v>222</v>
      </c>
      <c r="E294" s="14" t="s">
        <v>223</v>
      </c>
      <c r="F294" s="7" t="s">
        <v>150</v>
      </c>
      <c r="G294" s="19" t="s">
        <v>997</v>
      </c>
      <c r="H294" s="19"/>
      <c r="I294" s="20"/>
      <c r="J294" s="49" t="s">
        <v>125</v>
      </c>
      <c r="K294" s="27">
        <v>25</v>
      </c>
      <c r="L294" s="58">
        <v>340</v>
      </c>
      <c r="M294" s="78">
        <v>221.20000000000002</v>
      </c>
      <c r="N294" s="27">
        <v>10</v>
      </c>
      <c r="O294" s="58">
        <v>140</v>
      </c>
      <c r="P294" s="104">
        <v>89.600000000000009</v>
      </c>
      <c r="Q294" s="27">
        <v>12</v>
      </c>
      <c r="R294" s="58">
        <v>164</v>
      </c>
      <c r="S294" s="98">
        <v>106.4</v>
      </c>
      <c r="T294" s="27">
        <v>0</v>
      </c>
      <c r="U294" s="58">
        <v>0</v>
      </c>
      <c r="V294" s="12">
        <v>0</v>
      </c>
      <c r="W294" s="27">
        <v>0</v>
      </c>
      <c r="X294" s="58">
        <v>0</v>
      </c>
      <c r="Y294" s="12">
        <v>0</v>
      </c>
      <c r="Z294" s="27">
        <v>14</v>
      </c>
      <c r="AA294" s="58">
        <v>178</v>
      </c>
      <c r="AB294" s="12">
        <v>145.60000000000002</v>
      </c>
      <c r="AC294" s="27">
        <v>15</v>
      </c>
      <c r="AD294" s="58">
        <v>180</v>
      </c>
      <c r="AE294" s="107">
        <v>180</v>
      </c>
      <c r="AF294" s="27">
        <v>15</v>
      </c>
      <c r="AG294" s="58">
        <v>180</v>
      </c>
      <c r="AH294" s="107">
        <v>180</v>
      </c>
      <c r="AI294" s="27">
        <v>0</v>
      </c>
      <c r="AJ294" s="58">
        <v>0</v>
      </c>
      <c r="AK294" s="107">
        <v>0</v>
      </c>
      <c r="AL294" s="27">
        <v>16</v>
      </c>
      <c r="AM294" s="58">
        <v>192</v>
      </c>
      <c r="AN294" s="107">
        <v>192</v>
      </c>
      <c r="AO294" s="27">
        <v>0</v>
      </c>
      <c r="AP294" s="58">
        <v>0</v>
      </c>
      <c r="AQ294" s="107">
        <v>0</v>
      </c>
      <c r="AR294" s="27">
        <v>6</v>
      </c>
      <c r="AS294" s="58">
        <v>72</v>
      </c>
      <c r="AT294" s="107">
        <v>72</v>
      </c>
      <c r="AU294" s="54">
        <f t="shared" si="49"/>
        <v>113</v>
      </c>
      <c r="AV294" s="63">
        <f t="shared" si="50"/>
        <v>1446</v>
      </c>
      <c r="AW294" s="55">
        <f t="shared" si="51"/>
        <v>1186.8000000000002</v>
      </c>
      <c r="AX294" s="54">
        <f t="shared" si="52"/>
        <v>9.4166666666666661</v>
      </c>
      <c r="AY294" s="63">
        <f t="shared" si="53"/>
        <v>0.78472222222222221</v>
      </c>
      <c r="AZ294" s="55">
        <f t="shared" si="54"/>
        <v>98.90000000000002</v>
      </c>
      <c r="BA294" s="10">
        <v>15</v>
      </c>
      <c r="BB294" s="15">
        <v>180</v>
      </c>
      <c r="BC294" s="11">
        <v>180</v>
      </c>
      <c r="BD294" s="10">
        <v>0</v>
      </c>
      <c r="BE294" s="15">
        <v>0</v>
      </c>
      <c r="BF294" s="11">
        <v>0</v>
      </c>
      <c r="BG294" s="10">
        <v>15</v>
      </c>
      <c r="BH294" s="15">
        <v>180</v>
      </c>
      <c r="BI294" s="11">
        <v>180</v>
      </c>
      <c r="BJ294" s="10">
        <v>15</v>
      </c>
      <c r="BK294" s="15">
        <v>180</v>
      </c>
      <c r="BL294" s="11">
        <v>180</v>
      </c>
      <c r="BM294" s="46">
        <v>0</v>
      </c>
      <c r="BN294" s="43">
        <v>0</v>
      </c>
      <c r="BO294" s="47">
        <v>0</v>
      </c>
      <c r="BP294" s="46">
        <v>15</v>
      </c>
      <c r="BQ294" s="43">
        <v>180</v>
      </c>
      <c r="BR294" s="47">
        <v>180</v>
      </c>
      <c r="BS294" s="46">
        <v>15</v>
      </c>
      <c r="BT294" s="43">
        <v>180</v>
      </c>
      <c r="BU294" s="114">
        <v>180</v>
      </c>
      <c r="BV294" s="119">
        <v>15</v>
      </c>
      <c r="BW294" s="120">
        <v>180</v>
      </c>
      <c r="BX294" s="114">
        <v>180</v>
      </c>
      <c r="BY294" s="119">
        <v>15</v>
      </c>
      <c r="BZ294" s="120">
        <v>180</v>
      </c>
      <c r="CA294" s="114">
        <v>180</v>
      </c>
      <c r="CB294" s="119">
        <v>0</v>
      </c>
      <c r="CC294" s="120">
        <v>0</v>
      </c>
      <c r="CD294" s="114">
        <v>0</v>
      </c>
      <c r="CE294" s="119">
        <v>15</v>
      </c>
      <c r="CF294" s="120">
        <v>180</v>
      </c>
      <c r="CG294" s="114">
        <v>180</v>
      </c>
      <c r="CH294" s="119">
        <v>0</v>
      </c>
      <c r="CI294" s="120">
        <v>0</v>
      </c>
      <c r="CJ294" s="114">
        <v>0</v>
      </c>
      <c r="CK294" s="54">
        <f t="shared" si="48"/>
        <v>120</v>
      </c>
      <c r="CL294" s="63">
        <f t="shared" si="55"/>
        <v>1440</v>
      </c>
      <c r="CM294" s="55">
        <f t="shared" si="56"/>
        <v>1440</v>
      </c>
      <c r="CN294" s="54">
        <f t="shared" si="57"/>
        <v>10</v>
      </c>
      <c r="CO294" s="63">
        <f t="shared" si="58"/>
        <v>120</v>
      </c>
      <c r="CP294" s="172">
        <f t="shared" si="59"/>
        <v>120</v>
      </c>
      <c r="CQ294" s="184"/>
      <c r="CR294" s="21"/>
      <c r="CS294" s="185"/>
      <c r="CT294" s="184"/>
      <c r="CU294" s="21"/>
      <c r="CV294" s="185"/>
      <c r="CW294" s="184"/>
      <c r="CX294" s="21"/>
      <c r="CY294" s="185"/>
      <c r="CZ294" s="184"/>
      <c r="DA294" s="21"/>
      <c r="DB294" s="185"/>
      <c r="DC294" s="184"/>
      <c r="DD294" s="21"/>
      <c r="DE294" s="185"/>
      <c r="DF294" s="184"/>
      <c r="DG294" s="21"/>
      <c r="DH294" s="185"/>
      <c r="DI294" s="184"/>
      <c r="DJ294" s="21"/>
      <c r="DK294" s="185"/>
      <c r="DL294" s="184"/>
      <c r="DM294" s="21"/>
      <c r="DN294" s="185"/>
      <c r="DO294" s="184"/>
      <c r="DP294" s="21"/>
      <c r="DQ294" s="185"/>
      <c r="DR294" s="184"/>
      <c r="DS294" s="21"/>
      <c r="DT294" s="185"/>
      <c r="DU294" s="184"/>
      <c r="DV294" s="21"/>
      <c r="DW294" s="185"/>
      <c r="DX294" s="184"/>
      <c r="DY294" s="21"/>
      <c r="DZ294" s="185"/>
    </row>
    <row r="295" spans="1:130" ht="31.5" customHeight="1" x14ac:dyDescent="0.6">
      <c r="A295" s="5">
        <v>292</v>
      </c>
      <c r="B295" s="165" t="s">
        <v>371</v>
      </c>
      <c r="C295" s="21"/>
      <c r="D295" s="20" t="s">
        <v>307</v>
      </c>
      <c r="E295" s="14"/>
      <c r="F295" s="7" t="s">
        <v>150</v>
      </c>
      <c r="G295" s="19"/>
      <c r="H295" s="19"/>
      <c r="I295" s="20" t="s">
        <v>1131</v>
      </c>
      <c r="J295" s="49" t="s">
        <v>125</v>
      </c>
      <c r="K295" s="27">
        <v>0</v>
      </c>
      <c r="L295" s="58">
        <v>0</v>
      </c>
      <c r="M295" s="78">
        <v>0</v>
      </c>
      <c r="N295" s="27">
        <v>100</v>
      </c>
      <c r="O295" s="58">
        <v>1270</v>
      </c>
      <c r="P295" s="104">
        <v>1093.5999999999999</v>
      </c>
      <c r="Q295" s="27">
        <v>0</v>
      </c>
      <c r="R295" s="58">
        <v>0</v>
      </c>
      <c r="S295" s="98">
        <v>0</v>
      </c>
      <c r="T295" s="27">
        <v>0</v>
      </c>
      <c r="U295" s="58">
        <v>0</v>
      </c>
      <c r="V295" s="12">
        <v>0</v>
      </c>
      <c r="W295" s="27">
        <v>0</v>
      </c>
      <c r="X295" s="58">
        <v>0</v>
      </c>
      <c r="Y295" s="12">
        <v>0</v>
      </c>
      <c r="Z295" s="27">
        <v>0</v>
      </c>
      <c r="AA295" s="58">
        <v>0</v>
      </c>
      <c r="AB295" s="12">
        <v>0</v>
      </c>
      <c r="AC295" s="27">
        <v>0</v>
      </c>
      <c r="AD295" s="58">
        <v>0</v>
      </c>
      <c r="AE295" s="107">
        <v>0</v>
      </c>
      <c r="AF295" s="27">
        <v>0</v>
      </c>
      <c r="AG295" s="58">
        <v>0</v>
      </c>
      <c r="AH295" s="107">
        <v>0</v>
      </c>
      <c r="AI295" s="27">
        <v>50</v>
      </c>
      <c r="AJ295" s="58">
        <v>660</v>
      </c>
      <c r="AK295" s="107">
        <v>508.8</v>
      </c>
      <c r="AL295" s="27">
        <v>50</v>
      </c>
      <c r="AM295" s="58">
        <v>640</v>
      </c>
      <c r="AN295" s="107">
        <v>539.20000000000005</v>
      </c>
      <c r="AO295" s="27">
        <v>0</v>
      </c>
      <c r="AP295" s="58">
        <v>0</v>
      </c>
      <c r="AQ295" s="107">
        <v>0</v>
      </c>
      <c r="AR295" s="27">
        <v>0</v>
      </c>
      <c r="AS295" s="58">
        <v>0</v>
      </c>
      <c r="AT295" s="107">
        <v>0</v>
      </c>
      <c r="AU295" s="54">
        <f t="shared" si="49"/>
        <v>200</v>
      </c>
      <c r="AV295" s="63">
        <f t="shared" si="50"/>
        <v>2570</v>
      </c>
      <c r="AW295" s="55">
        <f t="shared" si="51"/>
        <v>2141.6</v>
      </c>
      <c r="AX295" s="54">
        <f t="shared" si="52"/>
        <v>16.666666666666668</v>
      </c>
      <c r="AY295" s="63">
        <f t="shared" si="53"/>
        <v>1.3888888888888891</v>
      </c>
      <c r="AZ295" s="55">
        <f t="shared" si="54"/>
        <v>178.46666666666667</v>
      </c>
      <c r="BA295" s="10">
        <v>0</v>
      </c>
      <c r="BB295" s="15">
        <v>0</v>
      </c>
      <c r="BC295" s="11">
        <v>0</v>
      </c>
      <c r="BD295" s="10">
        <v>100</v>
      </c>
      <c r="BE295" s="15">
        <v>1290</v>
      </c>
      <c r="BF295" s="11">
        <v>1063.2</v>
      </c>
      <c r="BG295" s="10">
        <v>0</v>
      </c>
      <c r="BH295" s="15">
        <v>0</v>
      </c>
      <c r="BI295" s="11">
        <v>0</v>
      </c>
      <c r="BJ295" s="10">
        <v>50</v>
      </c>
      <c r="BK295" s="15">
        <v>650</v>
      </c>
      <c r="BL295" s="11">
        <v>524</v>
      </c>
      <c r="BM295" s="46">
        <v>50</v>
      </c>
      <c r="BN295" s="43">
        <v>600</v>
      </c>
      <c r="BO295" s="47">
        <v>600</v>
      </c>
      <c r="BP295" s="46">
        <v>0</v>
      </c>
      <c r="BQ295" s="43">
        <v>0</v>
      </c>
      <c r="BR295" s="47">
        <v>0</v>
      </c>
      <c r="BS295" s="46">
        <v>0</v>
      </c>
      <c r="BT295" s="43">
        <v>0</v>
      </c>
      <c r="BU295" s="114">
        <v>0</v>
      </c>
      <c r="BV295" s="119">
        <v>1</v>
      </c>
      <c r="BW295" s="120">
        <v>12</v>
      </c>
      <c r="BX295" s="114">
        <v>8.16</v>
      </c>
      <c r="BY295" s="119">
        <v>50</v>
      </c>
      <c r="BZ295" s="120">
        <v>640</v>
      </c>
      <c r="CA295" s="114">
        <v>539.20000000000005</v>
      </c>
      <c r="CB295" s="119">
        <v>0</v>
      </c>
      <c r="CC295" s="120">
        <v>0</v>
      </c>
      <c r="CD295" s="114">
        <v>0</v>
      </c>
      <c r="CE295" s="119">
        <v>50</v>
      </c>
      <c r="CF295" s="120">
        <v>600</v>
      </c>
      <c r="CG295" s="114">
        <v>600</v>
      </c>
      <c r="CH295" s="119">
        <v>50</v>
      </c>
      <c r="CI295" s="120">
        <v>620</v>
      </c>
      <c r="CJ295" s="114">
        <v>569.6</v>
      </c>
      <c r="CK295" s="54">
        <f t="shared" si="48"/>
        <v>351</v>
      </c>
      <c r="CL295" s="63">
        <f t="shared" si="55"/>
        <v>4412</v>
      </c>
      <c r="CM295" s="55">
        <f t="shared" si="56"/>
        <v>3904.1599999999994</v>
      </c>
      <c r="CN295" s="54">
        <f t="shared" si="57"/>
        <v>29.25</v>
      </c>
      <c r="CO295" s="63">
        <f t="shared" si="58"/>
        <v>367.66666666666669</v>
      </c>
      <c r="CP295" s="172">
        <f t="shared" si="59"/>
        <v>325.34666666666664</v>
      </c>
      <c r="CQ295" s="184"/>
      <c r="CR295" s="21"/>
      <c r="CS295" s="185"/>
      <c r="CT295" s="184"/>
      <c r="CU295" s="21"/>
      <c r="CV295" s="185"/>
      <c r="CW295" s="184"/>
      <c r="CX295" s="21"/>
      <c r="CY295" s="185"/>
      <c r="CZ295" s="184"/>
      <c r="DA295" s="21"/>
      <c r="DB295" s="185"/>
      <c r="DC295" s="184"/>
      <c r="DD295" s="21"/>
      <c r="DE295" s="185"/>
      <c r="DF295" s="184"/>
      <c r="DG295" s="21"/>
      <c r="DH295" s="185"/>
      <c r="DI295" s="184"/>
      <c r="DJ295" s="21"/>
      <c r="DK295" s="185"/>
      <c r="DL295" s="184"/>
      <c r="DM295" s="21"/>
      <c r="DN295" s="185"/>
      <c r="DO295" s="184"/>
      <c r="DP295" s="21"/>
      <c r="DQ295" s="185"/>
      <c r="DR295" s="184"/>
      <c r="DS295" s="21"/>
      <c r="DT295" s="185"/>
      <c r="DU295" s="184"/>
      <c r="DV295" s="21"/>
      <c r="DW295" s="185"/>
      <c r="DX295" s="184"/>
      <c r="DY295" s="21"/>
      <c r="DZ295" s="185"/>
    </row>
    <row r="296" spans="1:130" ht="31.5" customHeight="1" x14ac:dyDescent="0.6">
      <c r="A296" s="5">
        <v>293</v>
      </c>
      <c r="B296" s="165" t="s">
        <v>372</v>
      </c>
      <c r="C296" s="21"/>
      <c r="D296" s="20" t="s">
        <v>263</v>
      </c>
      <c r="E296" s="23"/>
      <c r="F296" s="7" t="s">
        <v>150</v>
      </c>
      <c r="G296" s="19"/>
      <c r="H296" s="19"/>
      <c r="I296" s="20" t="s">
        <v>1132</v>
      </c>
      <c r="J296" s="49" t="s">
        <v>125</v>
      </c>
      <c r="K296" s="27">
        <v>128</v>
      </c>
      <c r="L296" s="58">
        <v>1212</v>
      </c>
      <c r="M296" s="78">
        <v>847.19999999999993</v>
      </c>
      <c r="N296" s="27">
        <v>93</v>
      </c>
      <c r="O296" s="58">
        <v>1344</v>
      </c>
      <c r="P296" s="104">
        <v>975.59999999999991</v>
      </c>
      <c r="Q296" s="27">
        <v>63</v>
      </c>
      <c r="R296" s="58">
        <v>1000</v>
      </c>
      <c r="S296" s="98">
        <v>723.6</v>
      </c>
      <c r="T296" s="27">
        <v>20</v>
      </c>
      <c r="U296" s="58">
        <v>306</v>
      </c>
      <c r="V296" s="12">
        <v>218</v>
      </c>
      <c r="W296" s="27">
        <v>28</v>
      </c>
      <c r="X296" s="58">
        <v>440</v>
      </c>
      <c r="Y296" s="107">
        <v>293.60000000000002</v>
      </c>
      <c r="Z296" s="27">
        <v>38</v>
      </c>
      <c r="AA296" s="58">
        <v>560</v>
      </c>
      <c r="AB296" s="107">
        <v>413.6</v>
      </c>
      <c r="AC296" s="27">
        <v>26</v>
      </c>
      <c r="AD296" s="58">
        <v>416</v>
      </c>
      <c r="AE296" s="107">
        <v>276.8</v>
      </c>
      <c r="AF296" s="27">
        <v>0</v>
      </c>
      <c r="AG296" s="58">
        <v>0</v>
      </c>
      <c r="AH296" s="107">
        <v>0</v>
      </c>
      <c r="AI296" s="27">
        <v>0</v>
      </c>
      <c r="AJ296" s="58">
        <v>0</v>
      </c>
      <c r="AK296" s="107">
        <v>0</v>
      </c>
      <c r="AL296" s="27">
        <v>36</v>
      </c>
      <c r="AM296" s="58">
        <v>510</v>
      </c>
      <c r="AN296" s="107">
        <v>391.76</v>
      </c>
      <c r="AO296" s="27">
        <v>15</v>
      </c>
      <c r="AP296" s="58">
        <v>180</v>
      </c>
      <c r="AQ296" s="107">
        <v>162</v>
      </c>
      <c r="AR296" s="27">
        <v>18</v>
      </c>
      <c r="AS296" s="58">
        <v>310</v>
      </c>
      <c r="AT296" s="107">
        <v>188.8</v>
      </c>
      <c r="AU296" s="54">
        <f t="shared" si="49"/>
        <v>465</v>
      </c>
      <c r="AV296" s="63">
        <f t="shared" si="50"/>
        <v>6278</v>
      </c>
      <c r="AW296" s="55">
        <f t="shared" si="51"/>
        <v>4490.96</v>
      </c>
      <c r="AX296" s="54">
        <f t="shared" si="52"/>
        <v>38.75</v>
      </c>
      <c r="AY296" s="63">
        <f t="shared" si="53"/>
        <v>3.2291666666666665</v>
      </c>
      <c r="AZ296" s="55">
        <f t="shared" si="54"/>
        <v>374.24666666666667</v>
      </c>
      <c r="BA296" s="10">
        <v>0</v>
      </c>
      <c r="BB296" s="15">
        <v>0</v>
      </c>
      <c r="BC296" s="11">
        <v>0</v>
      </c>
      <c r="BD296" s="10">
        <v>38</v>
      </c>
      <c r="BE296" s="15">
        <v>560</v>
      </c>
      <c r="BF296" s="11">
        <v>413.6</v>
      </c>
      <c r="BG296" s="10">
        <v>33</v>
      </c>
      <c r="BH296" s="15">
        <v>480</v>
      </c>
      <c r="BI296" s="11">
        <v>402</v>
      </c>
      <c r="BJ296" s="10">
        <v>24</v>
      </c>
      <c r="BK296" s="15">
        <v>456</v>
      </c>
      <c r="BL296" s="11">
        <v>271.2</v>
      </c>
      <c r="BM296" s="46">
        <v>40</v>
      </c>
      <c r="BN296" s="43">
        <v>564</v>
      </c>
      <c r="BO296" s="47">
        <v>468</v>
      </c>
      <c r="BP296" s="46">
        <v>45</v>
      </c>
      <c r="BQ296" s="43">
        <v>714</v>
      </c>
      <c r="BR296" s="47">
        <v>521.28</v>
      </c>
      <c r="BS296" s="46">
        <v>28</v>
      </c>
      <c r="BT296" s="43">
        <v>476</v>
      </c>
      <c r="BU296" s="114">
        <v>335.2</v>
      </c>
      <c r="BV296" s="119">
        <v>1</v>
      </c>
      <c r="BW296" s="120">
        <v>12</v>
      </c>
      <c r="BX296" s="114">
        <v>8.16</v>
      </c>
      <c r="BY296" s="119">
        <v>8</v>
      </c>
      <c r="BZ296" s="120">
        <v>96</v>
      </c>
      <c r="CA296" s="114">
        <v>85.2</v>
      </c>
      <c r="CB296" s="119">
        <v>0</v>
      </c>
      <c r="CC296" s="120">
        <v>0</v>
      </c>
      <c r="CD296" s="114">
        <v>0</v>
      </c>
      <c r="CE296" s="119">
        <v>0</v>
      </c>
      <c r="CF296" s="120">
        <v>0</v>
      </c>
      <c r="CG296" s="114">
        <v>0</v>
      </c>
      <c r="CH296" s="119">
        <v>0</v>
      </c>
      <c r="CI296" s="120">
        <v>0</v>
      </c>
      <c r="CJ296" s="114">
        <v>0</v>
      </c>
      <c r="CK296" s="54">
        <f t="shared" si="48"/>
        <v>217</v>
      </c>
      <c r="CL296" s="63">
        <f t="shared" si="55"/>
        <v>3358</v>
      </c>
      <c r="CM296" s="55">
        <f t="shared" si="56"/>
        <v>2504.6399999999994</v>
      </c>
      <c r="CN296" s="54">
        <f t="shared" si="57"/>
        <v>18.083333333333332</v>
      </c>
      <c r="CO296" s="63">
        <f t="shared" si="58"/>
        <v>279.83333333333331</v>
      </c>
      <c r="CP296" s="172">
        <f t="shared" si="59"/>
        <v>208.71999999999994</v>
      </c>
      <c r="CQ296" s="184"/>
      <c r="CR296" s="21"/>
      <c r="CS296" s="185"/>
      <c r="CT296" s="184"/>
      <c r="CU296" s="21"/>
      <c r="CV296" s="185"/>
      <c r="CW296" s="184"/>
      <c r="CX296" s="21"/>
      <c r="CY296" s="185"/>
      <c r="CZ296" s="184"/>
      <c r="DA296" s="21"/>
      <c r="DB296" s="185"/>
      <c r="DC296" s="184"/>
      <c r="DD296" s="21"/>
      <c r="DE296" s="185"/>
      <c r="DF296" s="184"/>
      <c r="DG296" s="21"/>
      <c r="DH296" s="185"/>
      <c r="DI296" s="184"/>
      <c r="DJ296" s="21"/>
      <c r="DK296" s="185"/>
      <c r="DL296" s="184"/>
      <c r="DM296" s="21"/>
      <c r="DN296" s="185"/>
      <c r="DO296" s="184"/>
      <c r="DP296" s="21"/>
      <c r="DQ296" s="185"/>
      <c r="DR296" s="184"/>
      <c r="DS296" s="21"/>
      <c r="DT296" s="185"/>
      <c r="DU296" s="184"/>
      <c r="DV296" s="21"/>
      <c r="DW296" s="185"/>
      <c r="DX296" s="184"/>
      <c r="DY296" s="21"/>
      <c r="DZ296" s="185"/>
    </row>
    <row r="297" spans="1:130" ht="31.5" customHeight="1" x14ac:dyDescent="0.6">
      <c r="A297" s="5">
        <v>294</v>
      </c>
      <c r="B297" s="165" t="s">
        <v>611</v>
      </c>
      <c r="C297" s="21"/>
      <c r="D297" s="20" t="s">
        <v>359</v>
      </c>
      <c r="E297" s="23"/>
      <c r="F297" s="7" t="s">
        <v>150</v>
      </c>
      <c r="G297" s="146"/>
      <c r="H297" s="146"/>
      <c r="I297" s="147" t="s">
        <v>1137</v>
      </c>
      <c r="J297" s="49" t="s">
        <v>125</v>
      </c>
      <c r="K297" s="27">
        <v>253</v>
      </c>
      <c r="L297" s="58">
        <v>3292</v>
      </c>
      <c r="M297" s="78">
        <v>2944.4</v>
      </c>
      <c r="N297" s="27">
        <v>264</v>
      </c>
      <c r="O297" s="58">
        <v>3406</v>
      </c>
      <c r="P297" s="49">
        <v>3049.6</v>
      </c>
      <c r="Q297" s="27">
        <v>282</v>
      </c>
      <c r="R297" s="58">
        <v>3612</v>
      </c>
      <c r="S297" s="98">
        <v>3252</v>
      </c>
      <c r="T297" s="27">
        <v>305</v>
      </c>
      <c r="U297" s="58">
        <v>3926</v>
      </c>
      <c r="V297" s="12">
        <v>3529.2</v>
      </c>
      <c r="W297" s="27">
        <v>294</v>
      </c>
      <c r="X297" s="58">
        <v>3794</v>
      </c>
      <c r="Y297" s="107">
        <v>3411.6</v>
      </c>
      <c r="Z297" s="27">
        <v>223</v>
      </c>
      <c r="AA297" s="58">
        <v>2918</v>
      </c>
      <c r="AB297" s="12">
        <v>2596.08</v>
      </c>
      <c r="AC297" s="27">
        <v>259</v>
      </c>
      <c r="AD297" s="58">
        <v>3410</v>
      </c>
      <c r="AE297" s="107">
        <v>3016.4</v>
      </c>
      <c r="AF297" s="27">
        <v>220</v>
      </c>
      <c r="AG297" s="58">
        <v>2960</v>
      </c>
      <c r="AH297" s="107">
        <v>2578.8000000000002</v>
      </c>
      <c r="AI297" s="27">
        <v>280</v>
      </c>
      <c r="AJ297" s="58">
        <v>3624</v>
      </c>
      <c r="AK297" s="107">
        <v>3281.6</v>
      </c>
      <c r="AL297" s="27">
        <v>0</v>
      </c>
      <c r="AM297" s="58">
        <v>0</v>
      </c>
      <c r="AN297" s="107">
        <v>0</v>
      </c>
      <c r="AO297" s="27">
        <v>208</v>
      </c>
      <c r="AP297" s="58">
        <v>2566</v>
      </c>
      <c r="AQ297" s="107">
        <v>2351.1999999999998</v>
      </c>
      <c r="AR297" s="27">
        <v>245</v>
      </c>
      <c r="AS297" s="58">
        <v>3244</v>
      </c>
      <c r="AT297" s="107">
        <v>2824.8</v>
      </c>
      <c r="AU297" s="54">
        <f t="shared" si="49"/>
        <v>2833</v>
      </c>
      <c r="AV297" s="63">
        <f t="shared" si="50"/>
        <v>36752</v>
      </c>
      <c r="AW297" s="55">
        <f t="shared" si="51"/>
        <v>32835.68</v>
      </c>
      <c r="AX297" s="54">
        <f t="shared" si="52"/>
        <v>236.08333333333334</v>
      </c>
      <c r="AY297" s="63">
        <f t="shared" si="53"/>
        <v>19.673611111111111</v>
      </c>
      <c r="AZ297" s="55">
        <f t="shared" si="54"/>
        <v>2736.3066666666668</v>
      </c>
      <c r="BA297" s="58">
        <v>0</v>
      </c>
      <c r="BB297" s="58">
        <v>0</v>
      </c>
      <c r="BC297" s="58">
        <v>0</v>
      </c>
      <c r="BD297" s="58">
        <v>0</v>
      </c>
      <c r="BE297" s="58">
        <v>0</v>
      </c>
      <c r="BF297" s="58">
        <v>0</v>
      </c>
      <c r="BG297" s="58">
        <v>0</v>
      </c>
      <c r="BH297" s="58">
        <v>0</v>
      </c>
      <c r="BI297" s="58">
        <v>0</v>
      </c>
      <c r="BJ297" s="58">
        <v>0</v>
      </c>
      <c r="BK297" s="58">
        <v>0</v>
      </c>
      <c r="BL297" s="58">
        <v>0</v>
      </c>
      <c r="BM297" s="46">
        <v>294</v>
      </c>
      <c r="BN297" s="43">
        <v>3830</v>
      </c>
      <c r="BO297" s="47">
        <v>3469.9999999999995</v>
      </c>
      <c r="BP297" s="46">
        <v>217</v>
      </c>
      <c r="BQ297" s="43">
        <v>2812</v>
      </c>
      <c r="BR297" s="47">
        <v>2540.8000000000002</v>
      </c>
      <c r="BS297" s="46">
        <v>269</v>
      </c>
      <c r="BT297" s="43">
        <v>3606</v>
      </c>
      <c r="BU297" s="114">
        <v>3099.04</v>
      </c>
      <c r="BV297" s="119">
        <v>153</v>
      </c>
      <c r="BW297" s="120">
        <v>1836</v>
      </c>
      <c r="BX297" s="114">
        <v>1824.48</v>
      </c>
      <c r="BY297" s="119">
        <v>53</v>
      </c>
      <c r="BZ297" s="120">
        <v>720</v>
      </c>
      <c r="CA297" s="114">
        <v>642</v>
      </c>
      <c r="CB297" s="119">
        <v>0</v>
      </c>
      <c r="CC297" s="120">
        <v>0</v>
      </c>
      <c r="CD297" s="114">
        <v>0</v>
      </c>
      <c r="CE297" s="119">
        <v>0</v>
      </c>
      <c r="CF297" s="120">
        <v>0</v>
      </c>
      <c r="CG297" s="114">
        <v>0</v>
      </c>
      <c r="CH297" s="119">
        <v>0</v>
      </c>
      <c r="CI297" s="120">
        <v>0</v>
      </c>
      <c r="CJ297" s="114">
        <v>0</v>
      </c>
      <c r="CK297" s="54">
        <f t="shared" si="48"/>
        <v>986</v>
      </c>
      <c r="CL297" s="63">
        <f t="shared" si="55"/>
        <v>12804</v>
      </c>
      <c r="CM297" s="55">
        <f t="shared" si="56"/>
        <v>11576.32</v>
      </c>
      <c r="CN297" s="54">
        <f t="shared" si="57"/>
        <v>82.166666666666671</v>
      </c>
      <c r="CO297" s="63">
        <f t="shared" si="58"/>
        <v>1067</v>
      </c>
      <c r="CP297" s="172">
        <f t="shared" si="59"/>
        <v>964.69333333333327</v>
      </c>
      <c r="CQ297" s="184"/>
      <c r="CR297" s="21"/>
      <c r="CS297" s="185"/>
      <c r="CT297" s="184"/>
      <c r="CU297" s="21"/>
      <c r="CV297" s="185"/>
      <c r="CW297" s="184"/>
      <c r="CX297" s="21"/>
      <c r="CY297" s="185"/>
      <c r="CZ297" s="184"/>
      <c r="DA297" s="21"/>
      <c r="DB297" s="185"/>
      <c r="DC297" s="184"/>
      <c r="DD297" s="21"/>
      <c r="DE297" s="185"/>
      <c r="DF297" s="184"/>
      <c r="DG297" s="21"/>
      <c r="DH297" s="185"/>
      <c r="DI297" s="184"/>
      <c r="DJ297" s="21"/>
      <c r="DK297" s="185"/>
      <c r="DL297" s="184"/>
      <c r="DM297" s="21"/>
      <c r="DN297" s="185"/>
      <c r="DO297" s="184"/>
      <c r="DP297" s="21"/>
      <c r="DQ297" s="185"/>
      <c r="DR297" s="184"/>
      <c r="DS297" s="21"/>
      <c r="DT297" s="185"/>
      <c r="DU297" s="184"/>
      <c r="DV297" s="21"/>
      <c r="DW297" s="185"/>
      <c r="DX297" s="184"/>
      <c r="DY297" s="21"/>
      <c r="DZ297" s="185"/>
    </row>
    <row r="298" spans="1:130" ht="31.5" customHeight="1" x14ac:dyDescent="0.6">
      <c r="A298" s="5">
        <v>295</v>
      </c>
      <c r="B298" s="165" t="s">
        <v>617</v>
      </c>
      <c r="C298" s="21"/>
      <c r="D298" s="20" t="s">
        <v>359</v>
      </c>
      <c r="E298" s="23"/>
      <c r="F298" s="7" t="s">
        <v>150</v>
      </c>
      <c r="G298" s="146"/>
      <c r="H298" s="146"/>
      <c r="I298" s="147"/>
      <c r="J298" s="49" t="s">
        <v>125</v>
      </c>
      <c r="K298" s="27">
        <v>0</v>
      </c>
      <c r="L298" s="58">
        <v>0</v>
      </c>
      <c r="M298" s="78">
        <v>0</v>
      </c>
      <c r="N298" s="27">
        <v>0</v>
      </c>
      <c r="O298" s="58">
        <v>0</v>
      </c>
      <c r="P298" s="49">
        <v>0</v>
      </c>
      <c r="Q298" s="27">
        <v>0</v>
      </c>
      <c r="R298" s="58">
        <v>0</v>
      </c>
      <c r="S298" s="98">
        <v>0</v>
      </c>
      <c r="T298" s="27">
        <v>0</v>
      </c>
      <c r="U298" s="58">
        <v>0</v>
      </c>
      <c r="V298" s="12">
        <v>0</v>
      </c>
      <c r="W298" s="27">
        <v>0</v>
      </c>
      <c r="X298" s="58">
        <v>0</v>
      </c>
      <c r="Y298" s="12">
        <v>0</v>
      </c>
      <c r="Z298" s="27">
        <v>0</v>
      </c>
      <c r="AA298" s="58">
        <v>0</v>
      </c>
      <c r="AB298" s="12">
        <v>0</v>
      </c>
      <c r="AC298" s="27">
        <v>0</v>
      </c>
      <c r="AD298" s="58">
        <v>0</v>
      </c>
      <c r="AE298" s="107">
        <v>0</v>
      </c>
      <c r="AF298" s="27">
        <v>0</v>
      </c>
      <c r="AG298" s="58">
        <v>0</v>
      </c>
      <c r="AH298" s="107">
        <v>0</v>
      </c>
      <c r="AI298" s="27">
        <v>0</v>
      </c>
      <c r="AJ298" s="58">
        <v>0</v>
      </c>
      <c r="AK298" s="107">
        <v>0</v>
      </c>
      <c r="AL298" s="27">
        <v>0</v>
      </c>
      <c r="AM298" s="58">
        <v>0</v>
      </c>
      <c r="AN298" s="107">
        <v>0</v>
      </c>
      <c r="AO298" s="27">
        <v>103</v>
      </c>
      <c r="AP298" s="58">
        <v>1538</v>
      </c>
      <c r="AQ298" s="107">
        <v>955.2</v>
      </c>
      <c r="AR298" s="27">
        <v>141</v>
      </c>
      <c r="AS298" s="58">
        <v>2038</v>
      </c>
      <c r="AT298" s="107">
        <v>1299.76</v>
      </c>
      <c r="AU298" s="54">
        <f t="shared" si="49"/>
        <v>244</v>
      </c>
      <c r="AV298" s="63">
        <f t="shared" si="50"/>
        <v>3576</v>
      </c>
      <c r="AW298" s="55">
        <f t="shared" si="51"/>
        <v>2254.96</v>
      </c>
      <c r="AX298" s="54">
        <f t="shared" si="52"/>
        <v>20.333333333333332</v>
      </c>
      <c r="AY298" s="63">
        <f t="shared" si="53"/>
        <v>1.6944444444444444</v>
      </c>
      <c r="AZ298" s="55">
        <f t="shared" si="54"/>
        <v>187.91333333333333</v>
      </c>
      <c r="BA298" s="58">
        <v>0</v>
      </c>
      <c r="BB298" s="58">
        <v>0</v>
      </c>
      <c r="BC298" s="58">
        <v>0</v>
      </c>
      <c r="BD298" s="58">
        <v>0</v>
      </c>
      <c r="BE298" s="58">
        <v>0</v>
      </c>
      <c r="BF298" s="58">
        <v>0</v>
      </c>
      <c r="BG298" s="58">
        <v>0</v>
      </c>
      <c r="BH298" s="58">
        <v>0</v>
      </c>
      <c r="BI298" s="58">
        <v>0</v>
      </c>
      <c r="BJ298" s="58">
        <v>0</v>
      </c>
      <c r="BK298" s="58">
        <v>0</v>
      </c>
      <c r="BL298" s="58">
        <v>0</v>
      </c>
      <c r="BM298" s="46">
        <v>117</v>
      </c>
      <c r="BN298" s="43">
        <v>1772</v>
      </c>
      <c r="BO298" s="47">
        <v>1112</v>
      </c>
      <c r="BP298" s="46">
        <v>105</v>
      </c>
      <c r="BQ298" s="43">
        <v>1470</v>
      </c>
      <c r="BR298" s="47">
        <v>940.8</v>
      </c>
      <c r="BS298" s="46">
        <v>0</v>
      </c>
      <c r="BT298" s="43">
        <v>0</v>
      </c>
      <c r="BU298" s="114">
        <v>0</v>
      </c>
      <c r="BV298" s="119">
        <v>0</v>
      </c>
      <c r="BW298" s="120">
        <v>0</v>
      </c>
      <c r="BX298" s="114">
        <v>0</v>
      </c>
      <c r="BY298" s="119">
        <v>0</v>
      </c>
      <c r="BZ298" s="120">
        <v>0</v>
      </c>
      <c r="CA298" s="114">
        <v>0</v>
      </c>
      <c r="CB298" s="119">
        <v>0</v>
      </c>
      <c r="CC298" s="120">
        <v>0</v>
      </c>
      <c r="CD298" s="114">
        <v>0</v>
      </c>
      <c r="CE298" s="119">
        <v>0</v>
      </c>
      <c r="CF298" s="120">
        <v>0</v>
      </c>
      <c r="CG298" s="114">
        <v>0</v>
      </c>
      <c r="CH298" s="119">
        <v>0</v>
      </c>
      <c r="CI298" s="120">
        <v>0</v>
      </c>
      <c r="CJ298" s="114">
        <v>0</v>
      </c>
      <c r="CK298" s="54">
        <f t="shared" si="48"/>
        <v>222</v>
      </c>
      <c r="CL298" s="63">
        <f t="shared" si="55"/>
        <v>3242</v>
      </c>
      <c r="CM298" s="55">
        <f t="shared" si="56"/>
        <v>2052.8000000000002</v>
      </c>
      <c r="CN298" s="54">
        <f t="shared" si="57"/>
        <v>18.5</v>
      </c>
      <c r="CO298" s="63">
        <f t="shared" si="58"/>
        <v>270.16666666666669</v>
      </c>
      <c r="CP298" s="172">
        <f t="shared" si="59"/>
        <v>171.06666666666669</v>
      </c>
      <c r="CQ298" s="184"/>
      <c r="CR298" s="21"/>
      <c r="CS298" s="185"/>
      <c r="CT298" s="184"/>
      <c r="CU298" s="21"/>
      <c r="CV298" s="185"/>
      <c r="CW298" s="184"/>
      <c r="CX298" s="21"/>
      <c r="CY298" s="185"/>
      <c r="CZ298" s="184"/>
      <c r="DA298" s="21"/>
      <c r="DB298" s="185"/>
      <c r="DC298" s="184"/>
      <c r="DD298" s="21"/>
      <c r="DE298" s="185"/>
      <c r="DF298" s="184"/>
      <c r="DG298" s="21"/>
      <c r="DH298" s="185"/>
      <c r="DI298" s="184"/>
      <c r="DJ298" s="21"/>
      <c r="DK298" s="185"/>
      <c r="DL298" s="184"/>
      <c r="DM298" s="21"/>
      <c r="DN298" s="185"/>
      <c r="DO298" s="184"/>
      <c r="DP298" s="21"/>
      <c r="DQ298" s="185"/>
      <c r="DR298" s="184"/>
      <c r="DS298" s="21"/>
      <c r="DT298" s="185"/>
      <c r="DU298" s="184"/>
      <c r="DV298" s="21"/>
      <c r="DW298" s="185"/>
      <c r="DX298" s="184"/>
      <c r="DY298" s="21"/>
      <c r="DZ298" s="185"/>
    </row>
    <row r="299" spans="1:130" s="25" customFormat="1" ht="31.5" customHeight="1" x14ac:dyDescent="0.6">
      <c r="A299" s="5">
        <v>296</v>
      </c>
      <c r="B299" s="167" t="s">
        <v>408</v>
      </c>
      <c r="C299" s="18" t="s">
        <v>409</v>
      </c>
      <c r="D299" s="18" t="s">
        <v>363</v>
      </c>
      <c r="E299" s="23" t="s">
        <v>79</v>
      </c>
      <c r="F299" s="7" t="s">
        <v>406</v>
      </c>
      <c r="G299" s="123"/>
      <c r="H299" s="123"/>
      <c r="I299" s="123" t="s">
        <v>1014</v>
      </c>
      <c r="J299" s="49" t="s">
        <v>407</v>
      </c>
      <c r="K299" s="27"/>
      <c r="L299" s="58"/>
      <c r="M299" s="78"/>
      <c r="N299" s="27"/>
      <c r="O299" s="58"/>
      <c r="P299" s="49"/>
      <c r="Q299" s="27"/>
      <c r="R299" s="58"/>
      <c r="S299" s="98"/>
      <c r="T299" s="27"/>
      <c r="U299" s="58"/>
      <c r="V299" s="12"/>
      <c r="W299" s="27"/>
      <c r="X299" s="58"/>
      <c r="Y299" s="12"/>
      <c r="Z299" s="27"/>
      <c r="AA299" s="58"/>
      <c r="AB299" s="12"/>
      <c r="AC299" s="27">
        <v>0</v>
      </c>
      <c r="AD299" s="58">
        <v>0</v>
      </c>
      <c r="AE299" s="107"/>
      <c r="AF299" s="27">
        <v>17</v>
      </c>
      <c r="AG299" s="58">
        <v>260</v>
      </c>
      <c r="AH299" s="107"/>
      <c r="AI299" s="27">
        <v>73</v>
      </c>
      <c r="AJ299" s="58">
        <v>876</v>
      </c>
      <c r="AK299" s="107"/>
      <c r="AL299" s="27">
        <v>30</v>
      </c>
      <c r="AM299" s="58">
        <v>360</v>
      </c>
      <c r="AN299" s="107"/>
      <c r="AO299" s="27">
        <v>30</v>
      </c>
      <c r="AP299" s="58">
        <v>360</v>
      </c>
      <c r="AQ299" s="12"/>
      <c r="AR299" s="27">
        <v>15</v>
      </c>
      <c r="AS299" s="58">
        <v>210</v>
      </c>
      <c r="AT299" s="12"/>
      <c r="AU299" s="54"/>
      <c r="AV299" s="63"/>
      <c r="AW299" s="55"/>
      <c r="AX299" s="54"/>
      <c r="AY299" s="63"/>
      <c r="AZ299" s="55"/>
      <c r="BA299" s="10">
        <v>26</v>
      </c>
      <c r="BB299" s="15">
        <v>364</v>
      </c>
      <c r="BC299" s="11">
        <v>233</v>
      </c>
      <c r="BD299" s="10">
        <v>15</v>
      </c>
      <c r="BE299" s="15">
        <v>180</v>
      </c>
      <c r="BF299" s="11">
        <v>180</v>
      </c>
      <c r="BG299" s="10">
        <v>48</v>
      </c>
      <c r="BH299" s="15">
        <v>670</v>
      </c>
      <c r="BI299" s="11">
        <v>566.79999999999995</v>
      </c>
      <c r="BJ299" s="10">
        <v>20</v>
      </c>
      <c r="BK299" s="15">
        <v>660</v>
      </c>
      <c r="BL299" s="11">
        <v>270</v>
      </c>
      <c r="BM299" s="46">
        <v>30</v>
      </c>
      <c r="BN299" s="43">
        <v>360</v>
      </c>
      <c r="BO299" s="47">
        <v>360</v>
      </c>
      <c r="BP299" s="46">
        <v>70</v>
      </c>
      <c r="BQ299" s="43">
        <v>1020</v>
      </c>
      <c r="BR299" s="47">
        <v>789.2</v>
      </c>
      <c r="BS299" s="46">
        <v>51</v>
      </c>
      <c r="BT299" s="43">
        <v>1034</v>
      </c>
      <c r="BU299" s="114">
        <v>639</v>
      </c>
      <c r="BV299" s="119">
        <v>30</v>
      </c>
      <c r="BW299" s="120">
        <v>391</v>
      </c>
      <c r="BX299" s="114">
        <v>315.08</v>
      </c>
      <c r="BY299" s="119">
        <v>0</v>
      </c>
      <c r="BZ299" s="120">
        <v>0</v>
      </c>
      <c r="CA299" s="114">
        <v>0</v>
      </c>
      <c r="CB299" s="119">
        <v>11</v>
      </c>
      <c r="CC299" s="120">
        <v>180</v>
      </c>
      <c r="CD299" s="114">
        <v>103.6</v>
      </c>
      <c r="CE299" s="119">
        <v>0</v>
      </c>
      <c r="CF299" s="120">
        <v>0</v>
      </c>
      <c r="CG299" s="114">
        <v>0</v>
      </c>
      <c r="CH299" s="119">
        <v>6</v>
      </c>
      <c r="CI299" s="120">
        <v>84</v>
      </c>
      <c r="CJ299" s="114">
        <v>53.76</v>
      </c>
      <c r="CK299" s="54">
        <f t="shared" si="48"/>
        <v>307</v>
      </c>
      <c r="CL299" s="63">
        <f t="shared" si="55"/>
        <v>4943</v>
      </c>
      <c r="CM299" s="55">
        <f t="shared" si="56"/>
        <v>3510.44</v>
      </c>
      <c r="CN299" s="54">
        <f t="shared" si="57"/>
        <v>25.583333333333332</v>
      </c>
      <c r="CO299" s="63">
        <f t="shared" si="58"/>
        <v>411.91666666666669</v>
      </c>
      <c r="CP299" s="172">
        <f t="shared" si="59"/>
        <v>292.53666666666669</v>
      </c>
      <c r="CQ299" s="180"/>
      <c r="CR299" s="150"/>
      <c r="CS299" s="181"/>
      <c r="CT299" s="180"/>
      <c r="CU299" s="150"/>
      <c r="CV299" s="181"/>
      <c r="CW299" s="180"/>
      <c r="CX299" s="150"/>
      <c r="CY299" s="181"/>
      <c r="CZ299" s="180"/>
      <c r="DA299" s="150"/>
      <c r="DB299" s="181"/>
      <c r="DC299" s="180"/>
      <c r="DD299" s="150"/>
      <c r="DE299" s="181"/>
      <c r="DF299" s="180"/>
      <c r="DG299" s="150"/>
      <c r="DH299" s="181"/>
      <c r="DI299" s="180"/>
      <c r="DJ299" s="150"/>
      <c r="DK299" s="181"/>
      <c r="DL299" s="180"/>
      <c r="DM299" s="150"/>
      <c r="DN299" s="181"/>
      <c r="DO299" s="180"/>
      <c r="DP299" s="150"/>
      <c r="DQ299" s="181"/>
      <c r="DR299" s="180"/>
      <c r="DS299" s="150"/>
      <c r="DT299" s="181"/>
      <c r="DU299" s="180"/>
      <c r="DV299" s="150"/>
      <c r="DW299" s="181"/>
      <c r="DX299" s="180"/>
      <c r="DY299" s="150"/>
      <c r="DZ299" s="181"/>
    </row>
    <row r="300" spans="1:130" s="25" customFormat="1" ht="31.5" customHeight="1" x14ac:dyDescent="0.6">
      <c r="A300" s="5">
        <v>297</v>
      </c>
      <c r="B300" s="167" t="s">
        <v>429</v>
      </c>
      <c r="C300" s="18" t="s">
        <v>430</v>
      </c>
      <c r="D300" s="18" t="s">
        <v>82</v>
      </c>
      <c r="E300" s="23" t="s">
        <v>414</v>
      </c>
      <c r="F300" s="7" t="s">
        <v>406</v>
      </c>
      <c r="G300" s="123"/>
      <c r="H300" s="123"/>
      <c r="I300" s="123"/>
      <c r="J300" s="49" t="s">
        <v>407</v>
      </c>
      <c r="K300" s="27"/>
      <c r="L300" s="58"/>
      <c r="M300" s="78"/>
      <c r="N300" s="27"/>
      <c r="O300" s="58"/>
      <c r="P300" s="49"/>
      <c r="Q300" s="27"/>
      <c r="R300" s="58"/>
      <c r="S300" s="98"/>
      <c r="T300" s="27"/>
      <c r="U300" s="58"/>
      <c r="V300" s="12"/>
      <c r="W300" s="27"/>
      <c r="X300" s="58"/>
      <c r="Y300" s="12"/>
      <c r="Z300" s="27"/>
      <c r="AA300" s="58"/>
      <c r="AB300" s="12"/>
      <c r="AC300" s="27">
        <v>0</v>
      </c>
      <c r="AD300" s="58">
        <v>0</v>
      </c>
      <c r="AE300" s="107"/>
      <c r="AF300" s="27">
        <v>0</v>
      </c>
      <c r="AG300" s="58">
        <v>0</v>
      </c>
      <c r="AH300" s="107"/>
      <c r="AI300" s="27">
        <v>0</v>
      </c>
      <c r="AJ300" s="58">
        <v>0</v>
      </c>
      <c r="AK300" s="107"/>
      <c r="AL300" s="27">
        <v>77</v>
      </c>
      <c r="AM300" s="58">
        <v>700</v>
      </c>
      <c r="AN300" s="12"/>
      <c r="AO300" s="27">
        <v>148</v>
      </c>
      <c r="AP300" s="58">
        <v>1816</v>
      </c>
      <c r="AQ300" s="12"/>
      <c r="AR300" s="27">
        <v>120</v>
      </c>
      <c r="AS300" s="58">
        <v>2060</v>
      </c>
      <c r="AT300" s="12"/>
      <c r="AU300" s="54"/>
      <c r="AV300" s="63"/>
      <c r="AW300" s="55"/>
      <c r="AX300" s="54"/>
      <c r="AY300" s="63"/>
      <c r="AZ300" s="55"/>
      <c r="BA300" s="10">
        <v>75</v>
      </c>
      <c r="BB300" s="15">
        <v>1320</v>
      </c>
      <c r="BC300" s="11">
        <v>930</v>
      </c>
      <c r="BD300" s="10">
        <v>115</v>
      </c>
      <c r="BE300" s="15">
        <v>1620</v>
      </c>
      <c r="BF300" s="11">
        <v>1238</v>
      </c>
      <c r="BG300" s="10">
        <v>280</v>
      </c>
      <c r="BH300" s="15">
        <v>4650</v>
      </c>
      <c r="BI300" s="11">
        <v>3404.4</v>
      </c>
      <c r="BJ300" s="10">
        <v>0</v>
      </c>
      <c r="BK300" s="15">
        <v>0</v>
      </c>
      <c r="BL300" s="11">
        <v>0</v>
      </c>
      <c r="BM300" s="46">
        <v>0</v>
      </c>
      <c r="BN300" s="43">
        <v>0</v>
      </c>
      <c r="BO300" s="47">
        <v>0</v>
      </c>
      <c r="BP300" s="46">
        <v>0</v>
      </c>
      <c r="BQ300" s="43">
        <v>0</v>
      </c>
      <c r="BR300" s="47">
        <v>0</v>
      </c>
      <c r="BS300" s="46">
        <v>0</v>
      </c>
      <c r="BT300" s="43">
        <v>0</v>
      </c>
      <c r="BU300" s="114">
        <v>0</v>
      </c>
      <c r="BV300" s="119">
        <v>0</v>
      </c>
      <c r="BW300" s="120">
        <v>0</v>
      </c>
      <c r="BX300" s="114">
        <v>0</v>
      </c>
      <c r="BY300" s="119">
        <v>0</v>
      </c>
      <c r="BZ300" s="120">
        <v>0</v>
      </c>
      <c r="CA300" s="114">
        <v>0</v>
      </c>
      <c r="CB300" s="119">
        <v>0</v>
      </c>
      <c r="CC300" s="120">
        <v>0</v>
      </c>
      <c r="CD300" s="114">
        <v>0</v>
      </c>
      <c r="CE300" s="119">
        <v>0</v>
      </c>
      <c r="CF300" s="120">
        <v>0</v>
      </c>
      <c r="CG300" s="114">
        <v>0</v>
      </c>
      <c r="CH300" s="119">
        <v>0</v>
      </c>
      <c r="CI300" s="120">
        <v>0</v>
      </c>
      <c r="CJ300" s="114">
        <v>0</v>
      </c>
      <c r="CK300" s="54">
        <f t="shared" si="48"/>
        <v>470</v>
      </c>
      <c r="CL300" s="63">
        <f t="shared" si="55"/>
        <v>7590</v>
      </c>
      <c r="CM300" s="55">
        <f t="shared" si="56"/>
        <v>5572.4</v>
      </c>
      <c r="CN300" s="54">
        <f t="shared" si="57"/>
        <v>39.166666666666664</v>
      </c>
      <c r="CO300" s="63">
        <f t="shared" si="58"/>
        <v>632.5</v>
      </c>
      <c r="CP300" s="172">
        <f t="shared" si="59"/>
        <v>464.36666666666662</v>
      </c>
      <c r="CQ300" s="180"/>
      <c r="CR300" s="150"/>
      <c r="CS300" s="181"/>
      <c r="CT300" s="180"/>
      <c r="CU300" s="150"/>
      <c r="CV300" s="181"/>
      <c r="CW300" s="180"/>
      <c r="CX300" s="150"/>
      <c r="CY300" s="181"/>
      <c r="CZ300" s="180"/>
      <c r="DA300" s="150"/>
      <c r="DB300" s="181"/>
      <c r="DC300" s="180"/>
      <c r="DD300" s="150"/>
      <c r="DE300" s="181"/>
      <c r="DF300" s="180"/>
      <c r="DG300" s="150"/>
      <c r="DH300" s="181"/>
      <c r="DI300" s="180"/>
      <c r="DJ300" s="150"/>
      <c r="DK300" s="181"/>
      <c r="DL300" s="180"/>
      <c r="DM300" s="150"/>
      <c r="DN300" s="181"/>
      <c r="DO300" s="180"/>
      <c r="DP300" s="150"/>
      <c r="DQ300" s="181"/>
      <c r="DR300" s="180"/>
      <c r="DS300" s="150"/>
      <c r="DT300" s="181"/>
      <c r="DU300" s="180"/>
      <c r="DV300" s="150"/>
      <c r="DW300" s="181"/>
      <c r="DX300" s="180"/>
      <c r="DY300" s="150"/>
      <c r="DZ300" s="181"/>
    </row>
    <row r="301" spans="1:130" s="25" customFormat="1" ht="31.5" customHeight="1" x14ac:dyDescent="0.6">
      <c r="A301" s="5">
        <v>298</v>
      </c>
      <c r="B301" s="167" t="s">
        <v>439</v>
      </c>
      <c r="C301" s="18" t="s">
        <v>439</v>
      </c>
      <c r="D301" s="18" t="s">
        <v>272</v>
      </c>
      <c r="E301" s="23" t="s">
        <v>273</v>
      </c>
      <c r="F301" s="7" t="s">
        <v>435</v>
      </c>
      <c r="G301" s="123"/>
      <c r="H301" s="123"/>
      <c r="I301" s="123" t="s">
        <v>1029</v>
      </c>
      <c r="J301" s="49" t="s">
        <v>436</v>
      </c>
      <c r="K301" s="27"/>
      <c r="L301" s="58"/>
      <c r="M301" s="78"/>
      <c r="N301" s="27"/>
      <c r="O301" s="58"/>
      <c r="P301" s="49"/>
      <c r="Q301" s="27"/>
      <c r="R301" s="58"/>
      <c r="S301" s="98"/>
      <c r="T301" s="27"/>
      <c r="U301" s="58"/>
      <c r="V301" s="12"/>
      <c r="W301" s="27"/>
      <c r="X301" s="58"/>
      <c r="Y301" s="12"/>
      <c r="Z301" s="27"/>
      <c r="AA301" s="58"/>
      <c r="AB301" s="12"/>
      <c r="AC301" s="27">
        <v>11</v>
      </c>
      <c r="AD301" s="58">
        <v>160</v>
      </c>
      <c r="AE301" s="107"/>
      <c r="AF301" s="27">
        <v>0</v>
      </c>
      <c r="AG301" s="58">
        <v>0</v>
      </c>
      <c r="AH301" s="107"/>
      <c r="AI301" s="27">
        <v>0</v>
      </c>
      <c r="AJ301" s="58">
        <v>0</v>
      </c>
      <c r="AK301" s="107"/>
      <c r="AL301" s="27">
        <v>9</v>
      </c>
      <c r="AM301" s="58">
        <v>108</v>
      </c>
      <c r="AN301" s="12"/>
      <c r="AO301" s="27">
        <v>20</v>
      </c>
      <c r="AP301" s="58">
        <v>240</v>
      </c>
      <c r="AQ301" s="12"/>
      <c r="AR301" s="27">
        <v>17</v>
      </c>
      <c r="AS301" s="58">
        <v>260</v>
      </c>
      <c r="AT301" s="12"/>
      <c r="AU301" s="54"/>
      <c r="AV301" s="63"/>
      <c r="AW301" s="55"/>
      <c r="AX301" s="54"/>
      <c r="AY301" s="63"/>
      <c r="AZ301" s="55"/>
      <c r="BA301" s="10">
        <v>0</v>
      </c>
      <c r="BB301" s="15">
        <v>72</v>
      </c>
      <c r="BC301" s="11">
        <v>72</v>
      </c>
      <c r="BD301" s="10">
        <v>5</v>
      </c>
      <c r="BE301" s="15">
        <v>60</v>
      </c>
      <c r="BF301" s="11">
        <v>60</v>
      </c>
      <c r="BG301" s="10">
        <v>36</v>
      </c>
      <c r="BH301" s="15">
        <v>460</v>
      </c>
      <c r="BI301" s="11">
        <v>434</v>
      </c>
      <c r="BJ301" s="10">
        <v>3</v>
      </c>
      <c r="BK301" s="15">
        <v>36</v>
      </c>
      <c r="BL301" s="11">
        <v>36</v>
      </c>
      <c r="BM301" s="46">
        <v>5</v>
      </c>
      <c r="BN301" s="43">
        <v>60</v>
      </c>
      <c r="BO301" s="47">
        <v>60</v>
      </c>
      <c r="BP301" s="46">
        <v>6</v>
      </c>
      <c r="BQ301" s="43">
        <v>72</v>
      </c>
      <c r="BR301" s="47">
        <v>72</v>
      </c>
      <c r="BS301" s="46">
        <v>15</v>
      </c>
      <c r="BT301" s="43">
        <v>180</v>
      </c>
      <c r="BU301" s="114">
        <v>180</v>
      </c>
      <c r="BV301" s="119">
        <v>5</v>
      </c>
      <c r="BW301" s="120">
        <v>60</v>
      </c>
      <c r="BX301" s="114">
        <v>60</v>
      </c>
      <c r="BY301" s="119">
        <v>0.25</v>
      </c>
      <c r="BZ301" s="120">
        <v>3</v>
      </c>
      <c r="CA301" s="114">
        <v>2.04</v>
      </c>
      <c r="CB301" s="119">
        <v>10</v>
      </c>
      <c r="CC301" s="120">
        <v>120</v>
      </c>
      <c r="CD301" s="114">
        <v>120</v>
      </c>
      <c r="CE301" s="119">
        <v>0</v>
      </c>
      <c r="CF301" s="120">
        <v>0</v>
      </c>
      <c r="CG301" s="114">
        <v>0</v>
      </c>
      <c r="CH301" s="119">
        <v>0</v>
      </c>
      <c r="CI301" s="120">
        <v>0</v>
      </c>
      <c r="CJ301" s="114">
        <v>0</v>
      </c>
      <c r="CK301" s="54">
        <f t="shared" si="48"/>
        <v>85.25</v>
      </c>
      <c r="CL301" s="63">
        <f t="shared" si="55"/>
        <v>1123</v>
      </c>
      <c r="CM301" s="55">
        <f t="shared" si="56"/>
        <v>1096.04</v>
      </c>
      <c r="CN301" s="54">
        <f t="shared" si="57"/>
        <v>7.104166666666667</v>
      </c>
      <c r="CO301" s="63">
        <f t="shared" si="58"/>
        <v>93.583333333333329</v>
      </c>
      <c r="CP301" s="172">
        <f t="shared" si="59"/>
        <v>91.336666666666659</v>
      </c>
      <c r="CQ301" s="180"/>
      <c r="CR301" s="150"/>
      <c r="CS301" s="181"/>
      <c r="CT301" s="180"/>
      <c r="CU301" s="150"/>
      <c r="CV301" s="181"/>
      <c r="CW301" s="180"/>
      <c r="CX301" s="150"/>
      <c r="CY301" s="181"/>
      <c r="CZ301" s="180"/>
      <c r="DA301" s="150"/>
      <c r="DB301" s="181"/>
      <c r="DC301" s="180"/>
      <c r="DD301" s="150"/>
      <c r="DE301" s="181"/>
      <c r="DF301" s="180"/>
      <c r="DG301" s="150"/>
      <c r="DH301" s="181"/>
      <c r="DI301" s="180"/>
      <c r="DJ301" s="150"/>
      <c r="DK301" s="181"/>
      <c r="DL301" s="180"/>
      <c r="DM301" s="150"/>
      <c r="DN301" s="181"/>
      <c r="DO301" s="180"/>
      <c r="DP301" s="150"/>
      <c r="DQ301" s="181"/>
      <c r="DR301" s="180"/>
      <c r="DS301" s="150"/>
      <c r="DT301" s="181"/>
      <c r="DU301" s="180"/>
      <c r="DV301" s="150"/>
      <c r="DW301" s="181"/>
      <c r="DX301" s="180"/>
      <c r="DY301" s="150"/>
      <c r="DZ301" s="181"/>
    </row>
    <row r="302" spans="1:130" s="25" customFormat="1" ht="31.5" customHeight="1" x14ac:dyDescent="0.6">
      <c r="A302" s="5">
        <v>299</v>
      </c>
      <c r="B302" s="167" t="s">
        <v>440</v>
      </c>
      <c r="C302" s="18" t="s">
        <v>440</v>
      </c>
      <c r="D302" s="18" t="s">
        <v>443</v>
      </c>
      <c r="E302" s="23" t="s">
        <v>444</v>
      </c>
      <c r="F302" s="7" t="s">
        <v>435</v>
      </c>
      <c r="G302" s="123"/>
      <c r="H302" s="123"/>
      <c r="I302" s="123" t="s">
        <v>1032</v>
      </c>
      <c r="J302" s="49" t="s">
        <v>436</v>
      </c>
      <c r="K302" s="27"/>
      <c r="L302" s="58"/>
      <c r="M302" s="78"/>
      <c r="N302" s="27"/>
      <c r="O302" s="58"/>
      <c r="P302" s="49"/>
      <c r="Q302" s="27"/>
      <c r="R302" s="58"/>
      <c r="S302" s="98"/>
      <c r="T302" s="27"/>
      <c r="U302" s="58"/>
      <c r="V302" s="12"/>
      <c r="W302" s="27"/>
      <c r="X302" s="58"/>
      <c r="Y302" s="12"/>
      <c r="Z302" s="27"/>
      <c r="AA302" s="58"/>
      <c r="AB302" s="12"/>
      <c r="AC302" s="27">
        <v>2</v>
      </c>
      <c r="AD302" s="58">
        <v>24</v>
      </c>
      <c r="AE302" s="107"/>
      <c r="AF302" s="27">
        <v>0</v>
      </c>
      <c r="AG302" s="58">
        <v>0</v>
      </c>
      <c r="AH302" s="107"/>
      <c r="AI302" s="27">
        <v>1</v>
      </c>
      <c r="AJ302" s="58">
        <v>12</v>
      </c>
      <c r="AK302" s="107"/>
      <c r="AL302" s="27">
        <v>4</v>
      </c>
      <c r="AM302" s="58">
        <v>48</v>
      </c>
      <c r="AN302" s="12"/>
      <c r="AO302" s="27">
        <v>1</v>
      </c>
      <c r="AP302" s="58">
        <v>12</v>
      </c>
      <c r="AQ302" s="12"/>
      <c r="AR302" s="27">
        <v>1</v>
      </c>
      <c r="AS302" s="58">
        <v>12</v>
      </c>
      <c r="AT302" s="12"/>
      <c r="AU302" s="54"/>
      <c r="AV302" s="63"/>
      <c r="AW302" s="55"/>
      <c r="AX302" s="54"/>
      <c r="AY302" s="63"/>
      <c r="AZ302" s="55"/>
      <c r="BA302" s="10">
        <v>2</v>
      </c>
      <c r="BB302" s="15">
        <v>24</v>
      </c>
      <c r="BC302" s="11">
        <v>16</v>
      </c>
      <c r="BD302" s="10">
        <v>1</v>
      </c>
      <c r="BE302" s="15">
        <v>12</v>
      </c>
      <c r="BF302" s="11">
        <v>8</v>
      </c>
      <c r="BG302" s="10">
        <v>2</v>
      </c>
      <c r="BH302" s="15">
        <v>24</v>
      </c>
      <c r="BI302" s="11">
        <v>16.8</v>
      </c>
      <c r="BJ302" s="10">
        <v>1</v>
      </c>
      <c r="BK302" s="15">
        <v>12</v>
      </c>
      <c r="BL302" s="11">
        <v>8</v>
      </c>
      <c r="BM302" s="46">
        <v>2</v>
      </c>
      <c r="BN302" s="43">
        <v>24</v>
      </c>
      <c r="BO302" s="47">
        <v>21</v>
      </c>
      <c r="BP302" s="46">
        <v>0</v>
      </c>
      <c r="BQ302" s="43">
        <v>0</v>
      </c>
      <c r="BR302" s="47">
        <v>0</v>
      </c>
      <c r="BS302" s="46">
        <v>0</v>
      </c>
      <c r="BT302" s="43">
        <v>0</v>
      </c>
      <c r="BU302" s="114">
        <v>0</v>
      </c>
      <c r="BV302" s="119">
        <v>5.0999999999999996</v>
      </c>
      <c r="BW302" s="120">
        <v>61</v>
      </c>
      <c r="BX302" s="114">
        <v>42.68</v>
      </c>
      <c r="BY302" s="119">
        <v>1</v>
      </c>
      <c r="BZ302" s="120">
        <v>12</v>
      </c>
      <c r="CA302" s="114">
        <v>8.4</v>
      </c>
      <c r="CB302" s="119">
        <v>2</v>
      </c>
      <c r="CC302" s="120">
        <v>24</v>
      </c>
      <c r="CD302" s="114">
        <v>16.8</v>
      </c>
      <c r="CE302" s="119">
        <v>0</v>
      </c>
      <c r="CF302" s="120">
        <v>0</v>
      </c>
      <c r="CG302" s="114">
        <v>0</v>
      </c>
      <c r="CH302" s="119">
        <v>0</v>
      </c>
      <c r="CI302" s="120">
        <v>0</v>
      </c>
      <c r="CJ302" s="114">
        <v>0</v>
      </c>
      <c r="CK302" s="54">
        <f t="shared" si="48"/>
        <v>16.100000000000001</v>
      </c>
      <c r="CL302" s="63">
        <f t="shared" si="55"/>
        <v>193</v>
      </c>
      <c r="CM302" s="55">
        <f t="shared" si="56"/>
        <v>137.68</v>
      </c>
      <c r="CN302" s="54">
        <f t="shared" si="57"/>
        <v>1.3416666666666668</v>
      </c>
      <c r="CO302" s="63">
        <f t="shared" si="58"/>
        <v>16.083333333333332</v>
      </c>
      <c r="CP302" s="172">
        <f t="shared" si="59"/>
        <v>11.473333333333334</v>
      </c>
      <c r="CQ302" s="180"/>
      <c r="CR302" s="150"/>
      <c r="CS302" s="181"/>
      <c r="CT302" s="180"/>
      <c r="CU302" s="150"/>
      <c r="CV302" s="181"/>
      <c r="CW302" s="180"/>
      <c r="CX302" s="150"/>
      <c r="CY302" s="181"/>
      <c r="CZ302" s="180"/>
      <c r="DA302" s="150"/>
      <c r="DB302" s="181"/>
      <c r="DC302" s="180"/>
      <c r="DD302" s="150"/>
      <c r="DE302" s="181"/>
      <c r="DF302" s="180"/>
      <c r="DG302" s="150"/>
      <c r="DH302" s="181"/>
      <c r="DI302" s="180"/>
      <c r="DJ302" s="150"/>
      <c r="DK302" s="181"/>
      <c r="DL302" s="180"/>
      <c r="DM302" s="150"/>
      <c r="DN302" s="181"/>
      <c r="DO302" s="180"/>
      <c r="DP302" s="150"/>
      <c r="DQ302" s="181"/>
      <c r="DR302" s="180"/>
      <c r="DS302" s="150"/>
      <c r="DT302" s="181"/>
      <c r="DU302" s="180"/>
      <c r="DV302" s="150"/>
      <c r="DW302" s="181"/>
      <c r="DX302" s="180"/>
      <c r="DY302" s="150"/>
      <c r="DZ302" s="181"/>
    </row>
    <row r="303" spans="1:130" s="25" customFormat="1" ht="31.5" customHeight="1" x14ac:dyDescent="0.6">
      <c r="A303" s="5">
        <v>300</v>
      </c>
      <c r="B303" s="167" t="s">
        <v>471</v>
      </c>
      <c r="C303" s="18" t="s">
        <v>472</v>
      </c>
      <c r="D303" s="18" t="s">
        <v>469</v>
      </c>
      <c r="E303" s="23" t="s">
        <v>470</v>
      </c>
      <c r="F303" s="7" t="s">
        <v>435</v>
      </c>
      <c r="G303" s="123"/>
      <c r="H303" s="123"/>
      <c r="I303" s="123"/>
      <c r="J303" s="49" t="s">
        <v>436</v>
      </c>
      <c r="K303" s="27"/>
      <c r="L303" s="58"/>
      <c r="M303" s="78"/>
      <c r="N303" s="27"/>
      <c r="O303" s="58"/>
      <c r="P303" s="49"/>
      <c r="Q303" s="27"/>
      <c r="R303" s="58"/>
      <c r="S303" s="98"/>
      <c r="T303" s="27"/>
      <c r="U303" s="58"/>
      <c r="V303" s="12"/>
      <c r="W303" s="27"/>
      <c r="X303" s="58"/>
      <c r="Y303" s="12"/>
      <c r="Z303" s="27"/>
      <c r="AA303" s="58"/>
      <c r="AB303" s="12"/>
      <c r="AC303" s="27">
        <v>130</v>
      </c>
      <c r="AD303" s="58">
        <v>1560</v>
      </c>
      <c r="AE303" s="107"/>
      <c r="AF303" s="27">
        <v>90</v>
      </c>
      <c r="AG303" s="58">
        <v>1640</v>
      </c>
      <c r="AH303" s="107"/>
      <c r="AI303" s="27">
        <v>370</v>
      </c>
      <c r="AJ303" s="58">
        <v>6680</v>
      </c>
      <c r="AK303" s="107"/>
      <c r="AL303" s="27">
        <v>290</v>
      </c>
      <c r="AM303" s="58">
        <v>4640</v>
      </c>
      <c r="AN303" s="12"/>
      <c r="AO303" s="27">
        <v>371</v>
      </c>
      <c r="AP303" s="58">
        <v>6140</v>
      </c>
      <c r="AQ303" s="12"/>
      <c r="AR303" s="27">
        <v>295</v>
      </c>
      <c r="AS303" s="58">
        <v>5540</v>
      </c>
      <c r="AT303" s="12"/>
      <c r="AU303" s="54"/>
      <c r="AV303" s="63"/>
      <c r="AW303" s="55"/>
      <c r="AX303" s="54"/>
      <c r="AY303" s="63"/>
      <c r="AZ303" s="55"/>
      <c r="BA303" s="10">
        <v>60</v>
      </c>
      <c r="BB303" s="15">
        <v>720</v>
      </c>
      <c r="BC303" s="11">
        <v>720</v>
      </c>
      <c r="BD303" s="10">
        <v>118</v>
      </c>
      <c r="BE303" s="15">
        <v>1956</v>
      </c>
      <c r="BF303" s="11">
        <v>1263.8</v>
      </c>
      <c r="BG303" s="10">
        <v>251</v>
      </c>
      <c r="BH303" s="15">
        <v>4900</v>
      </c>
      <c r="BI303" s="11">
        <v>3035</v>
      </c>
      <c r="BJ303" s="10">
        <v>55</v>
      </c>
      <c r="BK303" s="15">
        <v>940</v>
      </c>
      <c r="BL303" s="11">
        <v>680</v>
      </c>
      <c r="BM303" s="46">
        <v>0</v>
      </c>
      <c r="BN303" s="43">
        <v>0</v>
      </c>
      <c r="BO303" s="47">
        <v>0</v>
      </c>
      <c r="BP303" s="46">
        <v>0</v>
      </c>
      <c r="BQ303" s="43">
        <v>0</v>
      </c>
      <c r="BR303" s="47">
        <v>0</v>
      </c>
      <c r="BS303" s="46">
        <v>0</v>
      </c>
      <c r="BT303" s="43">
        <v>0</v>
      </c>
      <c r="BU303" s="114">
        <v>0</v>
      </c>
      <c r="BV303" s="119">
        <v>0</v>
      </c>
      <c r="BW303" s="120">
        <v>0</v>
      </c>
      <c r="BX303" s="114">
        <v>0</v>
      </c>
      <c r="BY303" s="119">
        <v>0</v>
      </c>
      <c r="BZ303" s="120">
        <v>0</v>
      </c>
      <c r="CA303" s="114">
        <v>0</v>
      </c>
      <c r="CB303" s="119">
        <v>0</v>
      </c>
      <c r="CC303" s="120">
        <v>0</v>
      </c>
      <c r="CD303" s="114">
        <v>0</v>
      </c>
      <c r="CE303" s="119">
        <v>0</v>
      </c>
      <c r="CF303" s="120">
        <v>0</v>
      </c>
      <c r="CG303" s="114">
        <v>0</v>
      </c>
      <c r="CH303" s="119">
        <v>0</v>
      </c>
      <c r="CI303" s="120">
        <v>0</v>
      </c>
      <c r="CJ303" s="114">
        <v>0</v>
      </c>
      <c r="CK303" s="54">
        <f t="shared" si="48"/>
        <v>484</v>
      </c>
      <c r="CL303" s="63">
        <f t="shared" si="55"/>
        <v>8516</v>
      </c>
      <c r="CM303" s="55">
        <f t="shared" si="56"/>
        <v>5698.8</v>
      </c>
      <c r="CN303" s="54">
        <f t="shared" si="57"/>
        <v>40.333333333333336</v>
      </c>
      <c r="CO303" s="63">
        <f t="shared" si="58"/>
        <v>709.66666666666663</v>
      </c>
      <c r="CP303" s="172">
        <f t="shared" si="59"/>
        <v>474.90000000000003</v>
      </c>
      <c r="CQ303" s="180"/>
      <c r="CR303" s="150"/>
      <c r="CS303" s="181"/>
      <c r="CT303" s="180"/>
      <c r="CU303" s="150"/>
      <c r="CV303" s="181"/>
      <c r="CW303" s="180"/>
      <c r="CX303" s="150"/>
      <c r="CY303" s="181"/>
      <c r="CZ303" s="180"/>
      <c r="DA303" s="150"/>
      <c r="DB303" s="181"/>
      <c r="DC303" s="180"/>
      <c r="DD303" s="150"/>
      <c r="DE303" s="181"/>
      <c r="DF303" s="180"/>
      <c r="DG303" s="150"/>
      <c r="DH303" s="181"/>
      <c r="DI303" s="180"/>
      <c r="DJ303" s="150"/>
      <c r="DK303" s="181"/>
      <c r="DL303" s="180"/>
      <c r="DM303" s="150"/>
      <c r="DN303" s="181"/>
      <c r="DO303" s="180"/>
      <c r="DP303" s="150"/>
      <c r="DQ303" s="181"/>
      <c r="DR303" s="180"/>
      <c r="DS303" s="150"/>
      <c r="DT303" s="181"/>
      <c r="DU303" s="180"/>
      <c r="DV303" s="150"/>
      <c r="DW303" s="181"/>
      <c r="DX303" s="180"/>
      <c r="DY303" s="150"/>
      <c r="DZ303" s="181"/>
    </row>
    <row r="304" spans="1:130" s="25" customFormat="1" ht="31.5" customHeight="1" x14ac:dyDescent="0.6">
      <c r="A304" s="5">
        <v>301</v>
      </c>
      <c r="B304" s="167" t="s">
        <v>473</v>
      </c>
      <c r="C304" s="18" t="s">
        <v>474</v>
      </c>
      <c r="D304" s="18" t="s">
        <v>128</v>
      </c>
      <c r="E304" s="23" t="s">
        <v>129</v>
      </c>
      <c r="F304" s="7" t="s">
        <v>475</v>
      </c>
      <c r="G304" s="123"/>
      <c r="H304" s="123"/>
      <c r="I304" s="123" t="s">
        <v>1045</v>
      </c>
      <c r="J304" s="49" t="s">
        <v>476</v>
      </c>
      <c r="K304" s="27"/>
      <c r="L304" s="58"/>
      <c r="M304" s="78"/>
      <c r="N304" s="27"/>
      <c r="O304" s="58"/>
      <c r="P304" s="49"/>
      <c r="Q304" s="27"/>
      <c r="R304" s="58"/>
      <c r="S304" s="98"/>
      <c r="T304" s="27"/>
      <c r="U304" s="58"/>
      <c r="V304" s="12"/>
      <c r="W304" s="27"/>
      <c r="X304" s="58"/>
      <c r="Y304" s="12"/>
      <c r="Z304" s="27"/>
      <c r="AA304" s="58"/>
      <c r="AB304" s="12"/>
      <c r="AC304" s="27">
        <v>0</v>
      </c>
      <c r="AD304" s="58">
        <v>0</v>
      </c>
      <c r="AE304" s="107"/>
      <c r="AF304" s="27">
        <v>0</v>
      </c>
      <c r="AG304" s="58">
        <v>0</v>
      </c>
      <c r="AH304" s="107"/>
      <c r="AI304" s="27">
        <v>0</v>
      </c>
      <c r="AJ304" s="58">
        <v>0</v>
      </c>
      <c r="AK304" s="107"/>
      <c r="AL304" s="27">
        <v>30</v>
      </c>
      <c r="AM304" s="58">
        <v>482</v>
      </c>
      <c r="AN304" s="12"/>
      <c r="AO304" s="27">
        <v>39</v>
      </c>
      <c r="AP304" s="58">
        <v>740</v>
      </c>
      <c r="AQ304" s="12"/>
      <c r="AR304" s="27">
        <v>6</v>
      </c>
      <c r="AS304" s="58">
        <v>128</v>
      </c>
      <c r="AT304" s="12"/>
      <c r="AU304" s="54"/>
      <c r="AV304" s="63"/>
      <c r="AW304" s="55"/>
      <c r="AX304" s="54"/>
      <c r="AY304" s="63"/>
      <c r="AZ304" s="55"/>
      <c r="BA304" s="10">
        <v>14</v>
      </c>
      <c r="BB304" s="15">
        <v>224</v>
      </c>
      <c r="BC304" s="11">
        <v>172</v>
      </c>
      <c r="BD304" s="10">
        <v>0</v>
      </c>
      <c r="BE304" s="15">
        <v>0</v>
      </c>
      <c r="BF304" s="11">
        <v>0</v>
      </c>
      <c r="BG304" s="10">
        <v>0</v>
      </c>
      <c r="BH304" s="15">
        <v>0</v>
      </c>
      <c r="BI304" s="11">
        <v>0</v>
      </c>
      <c r="BJ304" s="10">
        <v>0</v>
      </c>
      <c r="BK304" s="15">
        <v>0</v>
      </c>
      <c r="BL304" s="11">
        <v>0</v>
      </c>
      <c r="BM304" s="46">
        <v>0</v>
      </c>
      <c r="BN304" s="43">
        <v>0</v>
      </c>
      <c r="BO304" s="47">
        <v>0</v>
      </c>
      <c r="BP304" s="46">
        <v>8</v>
      </c>
      <c r="BQ304" s="43">
        <v>152</v>
      </c>
      <c r="BR304" s="47">
        <v>95.2</v>
      </c>
      <c r="BS304" s="46">
        <v>5.2</v>
      </c>
      <c r="BT304" s="43">
        <v>90</v>
      </c>
      <c r="BU304" s="114">
        <v>59.2</v>
      </c>
      <c r="BV304" s="119">
        <v>4.3</v>
      </c>
      <c r="BW304" s="120">
        <v>51</v>
      </c>
      <c r="BX304" s="114">
        <v>50.04</v>
      </c>
      <c r="BY304" s="119">
        <v>8</v>
      </c>
      <c r="BZ304" s="120">
        <v>152</v>
      </c>
      <c r="CA304" s="114">
        <v>71.2</v>
      </c>
      <c r="CB304" s="119">
        <v>0</v>
      </c>
      <c r="CC304" s="120">
        <v>0</v>
      </c>
      <c r="CD304" s="114">
        <v>0</v>
      </c>
      <c r="CE304" s="119">
        <v>12</v>
      </c>
      <c r="CF304" s="120">
        <v>200</v>
      </c>
      <c r="CG304" s="114">
        <v>138.4</v>
      </c>
      <c r="CH304" s="119">
        <v>9</v>
      </c>
      <c r="CI304" s="120">
        <v>136</v>
      </c>
      <c r="CJ304" s="114">
        <v>90.800000000000011</v>
      </c>
      <c r="CK304" s="54">
        <f t="shared" si="48"/>
        <v>60.5</v>
      </c>
      <c r="CL304" s="63">
        <f t="shared" si="55"/>
        <v>1005</v>
      </c>
      <c r="CM304" s="55">
        <f t="shared" si="56"/>
        <v>676.83999999999992</v>
      </c>
      <c r="CN304" s="54">
        <f t="shared" si="57"/>
        <v>5.041666666666667</v>
      </c>
      <c r="CO304" s="63">
        <f t="shared" si="58"/>
        <v>83.75</v>
      </c>
      <c r="CP304" s="172">
        <f t="shared" si="59"/>
        <v>56.403333333333329</v>
      </c>
      <c r="CQ304" s="180"/>
      <c r="CR304" s="150"/>
      <c r="CS304" s="181"/>
      <c r="CT304" s="180"/>
      <c r="CU304" s="150"/>
      <c r="CV304" s="181"/>
      <c r="CW304" s="180"/>
      <c r="CX304" s="150"/>
      <c r="CY304" s="181"/>
      <c r="CZ304" s="180"/>
      <c r="DA304" s="150"/>
      <c r="DB304" s="181"/>
      <c r="DC304" s="180"/>
      <c r="DD304" s="150"/>
      <c r="DE304" s="181"/>
      <c r="DF304" s="180"/>
      <c r="DG304" s="150"/>
      <c r="DH304" s="181"/>
      <c r="DI304" s="180"/>
      <c r="DJ304" s="150"/>
      <c r="DK304" s="181"/>
      <c r="DL304" s="180"/>
      <c r="DM304" s="150"/>
      <c r="DN304" s="181"/>
      <c r="DO304" s="180"/>
      <c r="DP304" s="150"/>
      <c r="DQ304" s="181"/>
      <c r="DR304" s="180"/>
      <c r="DS304" s="150"/>
      <c r="DT304" s="181"/>
      <c r="DU304" s="180"/>
      <c r="DV304" s="150"/>
      <c r="DW304" s="181"/>
      <c r="DX304" s="180"/>
      <c r="DY304" s="150"/>
      <c r="DZ304" s="181"/>
    </row>
    <row r="305" spans="1:130" s="25" customFormat="1" ht="31.5" customHeight="1" x14ac:dyDescent="0.6">
      <c r="A305" s="5">
        <v>302</v>
      </c>
      <c r="B305" s="167" t="s">
        <v>485</v>
      </c>
      <c r="C305" s="18" t="s">
        <v>486</v>
      </c>
      <c r="D305" s="18" t="s">
        <v>128</v>
      </c>
      <c r="E305" s="23" t="s">
        <v>129</v>
      </c>
      <c r="F305" s="7" t="s">
        <v>475</v>
      </c>
      <c r="G305" s="123"/>
      <c r="H305" s="123"/>
      <c r="I305" s="123" t="s">
        <v>1050</v>
      </c>
      <c r="J305" s="49" t="s">
        <v>476</v>
      </c>
      <c r="K305" s="27"/>
      <c r="L305" s="58"/>
      <c r="M305" s="78"/>
      <c r="N305" s="27"/>
      <c r="O305" s="58"/>
      <c r="P305" s="49"/>
      <c r="Q305" s="27"/>
      <c r="R305" s="58"/>
      <c r="S305" s="98"/>
      <c r="T305" s="27"/>
      <c r="U305" s="58"/>
      <c r="V305" s="12"/>
      <c r="W305" s="27"/>
      <c r="X305" s="58"/>
      <c r="Y305" s="12"/>
      <c r="Z305" s="27"/>
      <c r="AA305" s="58"/>
      <c r="AB305" s="12"/>
      <c r="AC305" s="27">
        <v>50</v>
      </c>
      <c r="AD305" s="58">
        <v>662</v>
      </c>
      <c r="AE305" s="107"/>
      <c r="AF305" s="27">
        <v>0</v>
      </c>
      <c r="AG305" s="58">
        <v>0</v>
      </c>
      <c r="AH305" s="107"/>
      <c r="AI305" s="27">
        <v>0</v>
      </c>
      <c r="AJ305" s="58">
        <v>0</v>
      </c>
      <c r="AK305" s="107"/>
      <c r="AL305" s="27">
        <v>0</v>
      </c>
      <c r="AM305" s="58">
        <v>0</v>
      </c>
      <c r="AN305" s="12"/>
      <c r="AO305" s="27">
        <v>0</v>
      </c>
      <c r="AP305" s="58">
        <v>0</v>
      </c>
      <c r="AQ305" s="12"/>
      <c r="AR305" s="27">
        <v>0</v>
      </c>
      <c r="AS305" s="58">
        <v>0</v>
      </c>
      <c r="AT305" s="12"/>
      <c r="AU305" s="54"/>
      <c r="AV305" s="63"/>
      <c r="AW305" s="55"/>
      <c r="AX305" s="54"/>
      <c r="AY305" s="63"/>
      <c r="AZ305" s="55"/>
      <c r="BA305" s="10">
        <v>0</v>
      </c>
      <c r="BB305" s="15">
        <v>0</v>
      </c>
      <c r="BC305" s="11">
        <v>0</v>
      </c>
      <c r="BD305" s="10">
        <v>0</v>
      </c>
      <c r="BE305" s="15">
        <v>0</v>
      </c>
      <c r="BF305" s="11">
        <v>0</v>
      </c>
      <c r="BG305" s="10">
        <v>0</v>
      </c>
      <c r="BH305" s="15">
        <v>0</v>
      </c>
      <c r="BI305" s="11">
        <v>0</v>
      </c>
      <c r="BJ305" s="10">
        <v>0</v>
      </c>
      <c r="BK305" s="15">
        <v>0</v>
      </c>
      <c r="BL305" s="11">
        <v>0</v>
      </c>
      <c r="BM305" s="46">
        <v>0</v>
      </c>
      <c r="BN305" s="43">
        <v>0</v>
      </c>
      <c r="BO305" s="47">
        <v>0</v>
      </c>
      <c r="BP305" s="46">
        <v>0</v>
      </c>
      <c r="BQ305" s="43">
        <v>0</v>
      </c>
      <c r="BR305" s="47">
        <v>0</v>
      </c>
      <c r="BS305" s="46">
        <v>0</v>
      </c>
      <c r="BT305" s="43">
        <v>0</v>
      </c>
      <c r="BU305" s="114">
        <v>0</v>
      </c>
      <c r="BV305" s="119">
        <v>0</v>
      </c>
      <c r="BW305" s="120">
        <v>0</v>
      </c>
      <c r="BX305" s="114">
        <v>0</v>
      </c>
      <c r="BY305" s="119">
        <v>0</v>
      </c>
      <c r="BZ305" s="120">
        <v>0</v>
      </c>
      <c r="CA305" s="114">
        <v>0</v>
      </c>
      <c r="CB305" s="119">
        <v>0</v>
      </c>
      <c r="CC305" s="120">
        <v>0</v>
      </c>
      <c r="CD305" s="114">
        <v>0</v>
      </c>
      <c r="CE305" s="119">
        <v>0</v>
      </c>
      <c r="CF305" s="120">
        <v>0</v>
      </c>
      <c r="CG305" s="114">
        <v>0</v>
      </c>
      <c r="CH305" s="119">
        <v>0</v>
      </c>
      <c r="CI305" s="120">
        <v>0</v>
      </c>
      <c r="CJ305" s="114">
        <v>0</v>
      </c>
      <c r="CK305" s="54">
        <f t="shared" si="48"/>
        <v>0</v>
      </c>
      <c r="CL305" s="63">
        <f t="shared" si="55"/>
        <v>0</v>
      </c>
      <c r="CM305" s="55">
        <f t="shared" si="56"/>
        <v>0</v>
      </c>
      <c r="CN305" s="54">
        <f t="shared" si="57"/>
        <v>0</v>
      </c>
      <c r="CO305" s="63">
        <f t="shared" si="58"/>
        <v>0</v>
      </c>
      <c r="CP305" s="172">
        <f t="shared" si="59"/>
        <v>0</v>
      </c>
      <c r="CQ305" s="180"/>
      <c r="CR305" s="150"/>
      <c r="CS305" s="181"/>
      <c r="CT305" s="180"/>
      <c r="CU305" s="150"/>
      <c r="CV305" s="181"/>
      <c r="CW305" s="180"/>
      <c r="CX305" s="150"/>
      <c r="CY305" s="181"/>
      <c r="CZ305" s="180"/>
      <c r="DA305" s="150"/>
      <c r="DB305" s="181"/>
      <c r="DC305" s="180"/>
      <c r="DD305" s="150"/>
      <c r="DE305" s="181"/>
      <c r="DF305" s="180"/>
      <c r="DG305" s="150"/>
      <c r="DH305" s="181"/>
      <c r="DI305" s="180"/>
      <c r="DJ305" s="150"/>
      <c r="DK305" s="181"/>
      <c r="DL305" s="180"/>
      <c r="DM305" s="150"/>
      <c r="DN305" s="181"/>
      <c r="DO305" s="180"/>
      <c r="DP305" s="150"/>
      <c r="DQ305" s="181"/>
      <c r="DR305" s="180"/>
      <c r="DS305" s="150"/>
      <c r="DT305" s="181"/>
      <c r="DU305" s="180"/>
      <c r="DV305" s="150"/>
      <c r="DW305" s="181"/>
      <c r="DX305" s="180"/>
      <c r="DY305" s="150"/>
      <c r="DZ305" s="181"/>
    </row>
    <row r="306" spans="1:130" s="25" customFormat="1" ht="31.5" customHeight="1" x14ac:dyDescent="0.6">
      <c r="A306" s="5">
        <v>303</v>
      </c>
      <c r="B306" s="167" t="s">
        <v>492</v>
      </c>
      <c r="C306" s="18" t="s">
        <v>493</v>
      </c>
      <c r="D306" s="18" t="s">
        <v>128</v>
      </c>
      <c r="E306" s="23" t="s">
        <v>129</v>
      </c>
      <c r="F306" s="7" t="s">
        <v>475</v>
      </c>
      <c r="G306" s="123"/>
      <c r="H306" s="123"/>
      <c r="I306" s="123" t="s">
        <v>1054</v>
      </c>
      <c r="J306" s="49" t="s">
        <v>476</v>
      </c>
      <c r="K306" s="27"/>
      <c r="L306" s="58"/>
      <c r="M306" s="78"/>
      <c r="N306" s="27"/>
      <c r="O306" s="58"/>
      <c r="P306" s="49"/>
      <c r="Q306" s="27"/>
      <c r="R306" s="58"/>
      <c r="S306" s="98"/>
      <c r="T306" s="27"/>
      <c r="U306" s="58"/>
      <c r="V306" s="12"/>
      <c r="W306" s="27"/>
      <c r="X306" s="58"/>
      <c r="Y306" s="12"/>
      <c r="Z306" s="27"/>
      <c r="AA306" s="58"/>
      <c r="AB306" s="12"/>
      <c r="AC306" s="27">
        <v>5</v>
      </c>
      <c r="AD306" s="58">
        <v>60</v>
      </c>
      <c r="AE306" s="107"/>
      <c r="AF306" s="27">
        <v>20</v>
      </c>
      <c r="AG306" s="58">
        <v>280</v>
      </c>
      <c r="AH306" s="107"/>
      <c r="AI306" s="27">
        <v>25</v>
      </c>
      <c r="AJ306" s="58">
        <v>440</v>
      </c>
      <c r="AK306" s="107"/>
      <c r="AL306" s="27">
        <v>10</v>
      </c>
      <c r="AM306" s="58">
        <v>120</v>
      </c>
      <c r="AN306" s="12"/>
      <c r="AO306" s="27">
        <v>1</v>
      </c>
      <c r="AP306" s="58">
        <v>40</v>
      </c>
      <c r="AQ306" s="12"/>
      <c r="AR306" s="27">
        <v>10</v>
      </c>
      <c r="AS306" s="58">
        <v>120</v>
      </c>
      <c r="AT306" s="12"/>
      <c r="AU306" s="54"/>
      <c r="AV306" s="63"/>
      <c r="AW306" s="55"/>
      <c r="AX306" s="54"/>
      <c r="AY306" s="63"/>
      <c r="AZ306" s="55"/>
      <c r="BA306" s="10">
        <v>35</v>
      </c>
      <c r="BB306" s="15">
        <v>490</v>
      </c>
      <c r="BC306" s="11">
        <v>314</v>
      </c>
      <c r="BD306" s="10">
        <v>0</v>
      </c>
      <c r="BE306" s="15">
        <v>0</v>
      </c>
      <c r="BF306" s="11">
        <v>0</v>
      </c>
      <c r="BG306" s="10">
        <v>28</v>
      </c>
      <c r="BH306" s="15">
        <v>402</v>
      </c>
      <c r="BI306" s="11">
        <v>324.8</v>
      </c>
      <c r="BJ306" s="10">
        <v>1</v>
      </c>
      <c r="BK306" s="15">
        <v>14</v>
      </c>
      <c r="BL306" s="11">
        <v>8.9600000000000009</v>
      </c>
      <c r="BM306" s="46">
        <v>0</v>
      </c>
      <c r="BN306" s="43">
        <v>0</v>
      </c>
      <c r="BO306" s="47">
        <v>0</v>
      </c>
      <c r="BP306" s="46">
        <v>0</v>
      </c>
      <c r="BQ306" s="43">
        <v>0</v>
      </c>
      <c r="BR306" s="47">
        <v>0</v>
      </c>
      <c r="BS306" s="46">
        <v>2</v>
      </c>
      <c r="BT306" s="43">
        <v>24</v>
      </c>
      <c r="BU306" s="114">
        <v>16.8</v>
      </c>
      <c r="BV306" s="119">
        <v>10</v>
      </c>
      <c r="BW306" s="120">
        <v>120</v>
      </c>
      <c r="BX306" s="114">
        <v>120</v>
      </c>
      <c r="BY306" s="119">
        <v>30</v>
      </c>
      <c r="BZ306" s="120">
        <v>360</v>
      </c>
      <c r="CA306" s="114">
        <v>360</v>
      </c>
      <c r="CB306" s="119">
        <v>0</v>
      </c>
      <c r="CC306" s="120">
        <v>0</v>
      </c>
      <c r="CD306" s="114">
        <v>0</v>
      </c>
      <c r="CE306" s="119">
        <v>10</v>
      </c>
      <c r="CF306" s="120">
        <v>120</v>
      </c>
      <c r="CG306" s="114">
        <v>120</v>
      </c>
      <c r="CH306" s="119">
        <v>0</v>
      </c>
      <c r="CI306" s="120">
        <v>0</v>
      </c>
      <c r="CJ306" s="114">
        <v>0</v>
      </c>
      <c r="CK306" s="54">
        <f t="shared" si="48"/>
        <v>116</v>
      </c>
      <c r="CL306" s="63">
        <f t="shared" si="55"/>
        <v>1530</v>
      </c>
      <c r="CM306" s="55">
        <f t="shared" si="56"/>
        <v>1264.56</v>
      </c>
      <c r="CN306" s="54">
        <f t="shared" si="57"/>
        <v>9.6666666666666661</v>
      </c>
      <c r="CO306" s="63">
        <f t="shared" si="58"/>
        <v>127.5</v>
      </c>
      <c r="CP306" s="172">
        <f t="shared" si="59"/>
        <v>105.38</v>
      </c>
      <c r="CQ306" s="180"/>
      <c r="CR306" s="150"/>
      <c r="CS306" s="181"/>
      <c r="CT306" s="180"/>
      <c r="CU306" s="150"/>
      <c r="CV306" s="181"/>
      <c r="CW306" s="180"/>
      <c r="CX306" s="150"/>
      <c r="CY306" s="181"/>
      <c r="CZ306" s="180"/>
      <c r="DA306" s="150"/>
      <c r="DB306" s="181"/>
      <c r="DC306" s="180"/>
      <c r="DD306" s="150"/>
      <c r="DE306" s="181"/>
      <c r="DF306" s="180"/>
      <c r="DG306" s="150"/>
      <c r="DH306" s="181"/>
      <c r="DI306" s="180"/>
      <c r="DJ306" s="150"/>
      <c r="DK306" s="181"/>
      <c r="DL306" s="180"/>
      <c r="DM306" s="150"/>
      <c r="DN306" s="181"/>
      <c r="DO306" s="180"/>
      <c r="DP306" s="150"/>
      <c r="DQ306" s="181"/>
      <c r="DR306" s="180"/>
      <c r="DS306" s="150"/>
      <c r="DT306" s="181"/>
      <c r="DU306" s="180"/>
      <c r="DV306" s="150"/>
      <c r="DW306" s="181"/>
      <c r="DX306" s="180"/>
      <c r="DY306" s="150"/>
      <c r="DZ306" s="181"/>
    </row>
    <row r="307" spans="1:130" s="25" customFormat="1" ht="31.5" customHeight="1" x14ac:dyDescent="0.6">
      <c r="A307" s="5">
        <v>304</v>
      </c>
      <c r="B307" s="167" t="s">
        <v>501</v>
      </c>
      <c r="C307" s="18" t="s">
        <v>502</v>
      </c>
      <c r="D307" s="18" t="s">
        <v>503</v>
      </c>
      <c r="E307" s="23" t="s">
        <v>504</v>
      </c>
      <c r="F307" s="7" t="s">
        <v>475</v>
      </c>
      <c r="G307" s="123"/>
      <c r="H307" s="123"/>
      <c r="I307" s="123"/>
      <c r="J307" s="49" t="s">
        <v>476</v>
      </c>
      <c r="K307" s="27"/>
      <c r="L307" s="58"/>
      <c r="M307" s="78"/>
      <c r="N307" s="27"/>
      <c r="O307" s="58"/>
      <c r="P307" s="49"/>
      <c r="Q307" s="27"/>
      <c r="R307" s="58"/>
      <c r="S307" s="98"/>
      <c r="T307" s="27"/>
      <c r="U307" s="58"/>
      <c r="V307" s="12"/>
      <c r="W307" s="27"/>
      <c r="X307" s="58"/>
      <c r="Y307" s="12"/>
      <c r="Z307" s="27"/>
      <c r="AA307" s="58"/>
      <c r="AB307" s="12"/>
      <c r="AC307" s="27">
        <v>80</v>
      </c>
      <c r="AD307" s="58">
        <v>1016</v>
      </c>
      <c r="AE307" s="107"/>
      <c r="AF307" s="27">
        <v>128</v>
      </c>
      <c r="AG307" s="58">
        <v>1968</v>
      </c>
      <c r="AH307" s="107"/>
      <c r="AI307" s="27">
        <v>144</v>
      </c>
      <c r="AJ307" s="58">
        <v>2176</v>
      </c>
      <c r="AK307" s="107"/>
      <c r="AL307" s="27">
        <v>154</v>
      </c>
      <c r="AM307" s="58">
        <v>2296</v>
      </c>
      <c r="AN307" s="12"/>
      <c r="AO307" s="27">
        <v>126</v>
      </c>
      <c r="AP307" s="58">
        <v>1932</v>
      </c>
      <c r="AQ307" s="12"/>
      <c r="AR307" s="27">
        <v>106</v>
      </c>
      <c r="AS307" s="58">
        <v>1608</v>
      </c>
      <c r="AT307" s="12"/>
      <c r="AU307" s="54"/>
      <c r="AV307" s="63"/>
      <c r="AW307" s="55"/>
      <c r="AX307" s="54"/>
      <c r="AY307" s="63"/>
      <c r="AZ307" s="55"/>
      <c r="BA307" s="10">
        <v>103</v>
      </c>
      <c r="BB307" s="15">
        <v>1432</v>
      </c>
      <c r="BC307" s="11">
        <v>1224</v>
      </c>
      <c r="BD307" s="10">
        <v>56</v>
      </c>
      <c r="BE307" s="15">
        <v>840</v>
      </c>
      <c r="BF307" s="11">
        <v>636.79999999999995</v>
      </c>
      <c r="BG307" s="10">
        <v>187</v>
      </c>
      <c r="BH307" s="15">
        <v>2720</v>
      </c>
      <c r="BI307" s="11">
        <v>2231.8000000000002</v>
      </c>
      <c r="BJ307" s="10">
        <v>5</v>
      </c>
      <c r="BK307" s="15">
        <v>200</v>
      </c>
      <c r="BL307" s="11">
        <v>70</v>
      </c>
      <c r="BM307" s="46">
        <v>0</v>
      </c>
      <c r="BN307" s="43">
        <v>0</v>
      </c>
      <c r="BO307" s="47">
        <v>0</v>
      </c>
      <c r="BP307" s="46">
        <v>0</v>
      </c>
      <c r="BQ307" s="43">
        <v>0</v>
      </c>
      <c r="BR307" s="47">
        <v>0</v>
      </c>
      <c r="BS307" s="46">
        <v>0</v>
      </c>
      <c r="BT307" s="43">
        <v>0</v>
      </c>
      <c r="BU307" s="114">
        <v>0</v>
      </c>
      <c r="BV307" s="119">
        <v>0</v>
      </c>
      <c r="BW307" s="120">
        <v>0</v>
      </c>
      <c r="BX307" s="114">
        <v>0</v>
      </c>
      <c r="BY307" s="119">
        <v>0</v>
      </c>
      <c r="BZ307" s="120">
        <v>0</v>
      </c>
      <c r="CA307" s="114">
        <v>0</v>
      </c>
      <c r="CB307" s="119">
        <v>0</v>
      </c>
      <c r="CC307" s="120">
        <v>0</v>
      </c>
      <c r="CD307" s="114">
        <v>0</v>
      </c>
      <c r="CE307" s="119">
        <v>0</v>
      </c>
      <c r="CF307" s="120">
        <v>0</v>
      </c>
      <c r="CG307" s="114">
        <v>0</v>
      </c>
      <c r="CH307" s="119">
        <v>0</v>
      </c>
      <c r="CI307" s="120">
        <v>0</v>
      </c>
      <c r="CJ307" s="114">
        <v>0</v>
      </c>
      <c r="CK307" s="54">
        <f t="shared" si="48"/>
        <v>351</v>
      </c>
      <c r="CL307" s="63">
        <f t="shared" si="55"/>
        <v>5192</v>
      </c>
      <c r="CM307" s="55">
        <f t="shared" si="56"/>
        <v>4162.6000000000004</v>
      </c>
      <c r="CN307" s="54">
        <f t="shared" si="57"/>
        <v>29.25</v>
      </c>
      <c r="CO307" s="63">
        <f t="shared" si="58"/>
        <v>432.66666666666669</v>
      </c>
      <c r="CP307" s="172">
        <f t="shared" si="59"/>
        <v>346.88333333333338</v>
      </c>
      <c r="CQ307" s="180"/>
      <c r="CR307" s="150"/>
      <c r="CS307" s="181"/>
      <c r="CT307" s="180"/>
      <c r="CU307" s="150"/>
      <c r="CV307" s="181"/>
      <c r="CW307" s="180"/>
      <c r="CX307" s="150"/>
      <c r="CY307" s="181"/>
      <c r="CZ307" s="180"/>
      <c r="DA307" s="150"/>
      <c r="DB307" s="181"/>
      <c r="DC307" s="180"/>
      <c r="DD307" s="150"/>
      <c r="DE307" s="181"/>
      <c r="DF307" s="180"/>
      <c r="DG307" s="150"/>
      <c r="DH307" s="181"/>
      <c r="DI307" s="180"/>
      <c r="DJ307" s="150"/>
      <c r="DK307" s="181"/>
      <c r="DL307" s="180"/>
      <c r="DM307" s="150"/>
      <c r="DN307" s="181"/>
      <c r="DO307" s="180"/>
      <c r="DP307" s="150"/>
      <c r="DQ307" s="181"/>
      <c r="DR307" s="180"/>
      <c r="DS307" s="150"/>
      <c r="DT307" s="181"/>
      <c r="DU307" s="180"/>
      <c r="DV307" s="150"/>
      <c r="DW307" s="181"/>
      <c r="DX307" s="180"/>
      <c r="DY307" s="150"/>
      <c r="DZ307" s="181"/>
    </row>
    <row r="308" spans="1:130" s="25" customFormat="1" ht="31.5" customHeight="1" x14ac:dyDescent="0.6">
      <c r="A308" s="5">
        <v>305</v>
      </c>
      <c r="B308" s="167" t="s">
        <v>555</v>
      </c>
      <c r="C308" s="18" t="s">
        <v>556</v>
      </c>
      <c r="D308" s="18" t="s">
        <v>543</v>
      </c>
      <c r="E308" s="23" t="s">
        <v>544</v>
      </c>
      <c r="F308" s="7" t="s">
        <v>545</v>
      </c>
      <c r="G308" s="123"/>
      <c r="H308" s="123"/>
      <c r="I308" s="123" t="s">
        <v>1082</v>
      </c>
      <c r="J308" s="49" t="s">
        <v>546</v>
      </c>
      <c r="K308" s="27"/>
      <c r="L308" s="58"/>
      <c r="M308" s="78"/>
      <c r="N308" s="27"/>
      <c r="O308" s="58"/>
      <c r="P308" s="49"/>
      <c r="Q308" s="27"/>
      <c r="R308" s="58"/>
      <c r="S308" s="98"/>
      <c r="T308" s="27"/>
      <c r="U308" s="58"/>
      <c r="V308" s="12"/>
      <c r="W308" s="27"/>
      <c r="X308" s="58"/>
      <c r="Y308" s="12"/>
      <c r="Z308" s="27"/>
      <c r="AA308" s="58"/>
      <c r="AB308" s="12"/>
      <c r="AC308" s="27">
        <v>10</v>
      </c>
      <c r="AD308" s="58">
        <v>120</v>
      </c>
      <c r="AE308" s="12"/>
      <c r="AF308" s="27">
        <v>0</v>
      </c>
      <c r="AG308" s="58">
        <v>0</v>
      </c>
      <c r="AH308" s="12"/>
      <c r="AI308" s="27">
        <v>5</v>
      </c>
      <c r="AJ308" s="58">
        <v>60</v>
      </c>
      <c r="AK308" s="12"/>
      <c r="AL308" s="27">
        <v>25</v>
      </c>
      <c r="AM308" s="58">
        <v>300</v>
      </c>
      <c r="AN308" s="12"/>
      <c r="AO308" s="27">
        <v>12</v>
      </c>
      <c r="AP308" s="58">
        <v>144</v>
      </c>
      <c r="AQ308" s="12"/>
      <c r="AR308" s="27">
        <v>6</v>
      </c>
      <c r="AS308" s="58">
        <v>72</v>
      </c>
      <c r="AT308" s="12"/>
      <c r="AU308" s="54"/>
      <c r="AV308" s="63"/>
      <c r="AW308" s="55"/>
      <c r="AX308" s="54"/>
      <c r="AY308" s="63"/>
      <c r="AZ308" s="55"/>
      <c r="BA308" s="10">
        <v>50</v>
      </c>
      <c r="BB308" s="15">
        <v>700</v>
      </c>
      <c r="BC308" s="11">
        <v>448</v>
      </c>
      <c r="BD308" s="10">
        <v>0</v>
      </c>
      <c r="BE308" s="15">
        <v>0</v>
      </c>
      <c r="BF308" s="11">
        <v>0</v>
      </c>
      <c r="BG308" s="10">
        <v>0</v>
      </c>
      <c r="BH308" s="15">
        <v>0</v>
      </c>
      <c r="BI308" s="11">
        <v>0</v>
      </c>
      <c r="BJ308" s="10">
        <v>0</v>
      </c>
      <c r="BK308" s="15">
        <v>0</v>
      </c>
      <c r="BL308" s="11">
        <v>0</v>
      </c>
      <c r="BM308" s="46">
        <v>0</v>
      </c>
      <c r="BN308" s="43">
        <v>0</v>
      </c>
      <c r="BO308" s="47">
        <v>0</v>
      </c>
      <c r="BP308" s="46">
        <v>0</v>
      </c>
      <c r="BQ308" s="43">
        <v>0</v>
      </c>
      <c r="BR308" s="47">
        <v>0</v>
      </c>
      <c r="BS308" s="46">
        <v>0</v>
      </c>
      <c r="BT308" s="43">
        <v>0</v>
      </c>
      <c r="BU308" s="114">
        <v>0</v>
      </c>
      <c r="BV308" s="119">
        <v>0</v>
      </c>
      <c r="BW308" s="120">
        <v>0</v>
      </c>
      <c r="BX308" s="114">
        <v>0</v>
      </c>
      <c r="BY308" s="119">
        <v>0</v>
      </c>
      <c r="BZ308" s="120">
        <v>0</v>
      </c>
      <c r="CA308" s="114">
        <v>0</v>
      </c>
      <c r="CB308" s="119">
        <v>10</v>
      </c>
      <c r="CC308" s="120">
        <v>120</v>
      </c>
      <c r="CD308" s="114">
        <v>120</v>
      </c>
      <c r="CE308" s="119">
        <v>60</v>
      </c>
      <c r="CF308" s="120">
        <v>720</v>
      </c>
      <c r="CG308" s="114">
        <v>720</v>
      </c>
      <c r="CH308" s="119">
        <v>48</v>
      </c>
      <c r="CI308" s="120">
        <v>604</v>
      </c>
      <c r="CJ308" s="114">
        <v>578</v>
      </c>
      <c r="CK308" s="54">
        <f t="shared" si="48"/>
        <v>168</v>
      </c>
      <c r="CL308" s="63">
        <f t="shared" si="55"/>
        <v>2144</v>
      </c>
      <c r="CM308" s="55">
        <f t="shared" si="56"/>
        <v>1866</v>
      </c>
      <c r="CN308" s="54">
        <f t="shared" si="57"/>
        <v>14</v>
      </c>
      <c r="CO308" s="63">
        <f t="shared" si="58"/>
        <v>178.66666666666666</v>
      </c>
      <c r="CP308" s="172">
        <f t="shared" si="59"/>
        <v>155.5</v>
      </c>
      <c r="CQ308" s="180"/>
      <c r="CR308" s="150"/>
      <c r="CS308" s="181"/>
      <c r="CT308" s="180"/>
      <c r="CU308" s="150"/>
      <c r="CV308" s="181"/>
      <c r="CW308" s="180"/>
      <c r="CX308" s="150"/>
      <c r="CY308" s="181"/>
      <c r="CZ308" s="180"/>
      <c r="DA308" s="150"/>
      <c r="DB308" s="181"/>
      <c r="DC308" s="180"/>
      <c r="DD308" s="150"/>
      <c r="DE308" s="181"/>
      <c r="DF308" s="180"/>
      <c r="DG308" s="150"/>
      <c r="DH308" s="181"/>
      <c r="DI308" s="180"/>
      <c r="DJ308" s="150"/>
      <c r="DK308" s="181"/>
      <c r="DL308" s="180"/>
      <c r="DM308" s="150"/>
      <c r="DN308" s="181"/>
      <c r="DO308" s="180"/>
      <c r="DP308" s="150"/>
      <c r="DQ308" s="181"/>
      <c r="DR308" s="180"/>
      <c r="DS308" s="150"/>
      <c r="DT308" s="181"/>
      <c r="DU308" s="180"/>
      <c r="DV308" s="150"/>
      <c r="DW308" s="181"/>
      <c r="DX308" s="180"/>
      <c r="DY308" s="150"/>
      <c r="DZ308" s="181"/>
    </row>
    <row r="309" spans="1:130" s="25" customFormat="1" ht="31.5" customHeight="1" x14ac:dyDescent="0.6">
      <c r="A309" s="5">
        <v>306</v>
      </c>
      <c r="B309" s="167" t="s">
        <v>574</v>
      </c>
      <c r="C309" s="18" t="s">
        <v>575</v>
      </c>
      <c r="D309" s="18" t="s">
        <v>263</v>
      </c>
      <c r="E309" s="23" t="s">
        <v>264</v>
      </c>
      <c r="F309" s="7" t="s">
        <v>545</v>
      </c>
      <c r="G309" s="123"/>
      <c r="H309" s="123"/>
      <c r="I309" s="123"/>
      <c r="J309" s="49" t="s">
        <v>546</v>
      </c>
      <c r="K309" s="27"/>
      <c r="L309" s="58"/>
      <c r="M309" s="78"/>
      <c r="N309" s="27"/>
      <c r="O309" s="58"/>
      <c r="P309" s="49"/>
      <c r="Q309" s="27"/>
      <c r="R309" s="58"/>
      <c r="S309" s="98"/>
      <c r="T309" s="27"/>
      <c r="U309" s="58"/>
      <c r="V309" s="12"/>
      <c r="W309" s="27"/>
      <c r="X309" s="58"/>
      <c r="Y309" s="12"/>
      <c r="Z309" s="27"/>
      <c r="AA309" s="58"/>
      <c r="AB309" s="12"/>
      <c r="AC309" s="27">
        <v>140</v>
      </c>
      <c r="AD309" s="58">
        <v>1922</v>
      </c>
      <c r="AE309" s="12"/>
      <c r="AF309" s="27">
        <v>40</v>
      </c>
      <c r="AG309" s="58">
        <v>530</v>
      </c>
      <c r="AH309" s="12"/>
      <c r="AI309" s="27">
        <v>36</v>
      </c>
      <c r="AJ309" s="58">
        <v>460</v>
      </c>
      <c r="AK309" s="12"/>
      <c r="AL309" s="27">
        <v>47</v>
      </c>
      <c r="AM309" s="58">
        <v>654</v>
      </c>
      <c r="AN309" s="12"/>
      <c r="AO309" s="27">
        <v>9</v>
      </c>
      <c r="AP309" s="58">
        <v>114</v>
      </c>
      <c r="AQ309" s="12"/>
      <c r="AR309" s="27">
        <v>130</v>
      </c>
      <c r="AS309" s="58">
        <v>1786</v>
      </c>
      <c r="AT309" s="12"/>
      <c r="AU309" s="54"/>
      <c r="AV309" s="63"/>
      <c r="AW309" s="55"/>
      <c r="AX309" s="54"/>
      <c r="AY309" s="63"/>
      <c r="AZ309" s="55"/>
      <c r="BA309" s="10">
        <v>192</v>
      </c>
      <c r="BB309" s="15">
        <v>2688</v>
      </c>
      <c r="BC309" s="11">
        <v>1857.8600000000001</v>
      </c>
      <c r="BD309" s="10">
        <v>172</v>
      </c>
      <c r="BE309" s="15">
        <v>2460</v>
      </c>
      <c r="BF309" s="11">
        <v>1651.52</v>
      </c>
      <c r="BG309" s="10">
        <v>187</v>
      </c>
      <c r="BH309" s="15">
        <v>2644</v>
      </c>
      <c r="BI309" s="11">
        <v>1833.6</v>
      </c>
      <c r="BJ309" s="10">
        <v>133</v>
      </c>
      <c r="BK309" s="15">
        <v>1944</v>
      </c>
      <c r="BL309" s="11">
        <v>1291.4000000000001</v>
      </c>
      <c r="BM309" s="46">
        <v>0</v>
      </c>
      <c r="BN309" s="43">
        <v>0</v>
      </c>
      <c r="BO309" s="47">
        <v>0</v>
      </c>
      <c r="BP309" s="46">
        <v>0</v>
      </c>
      <c r="BQ309" s="43">
        <v>0</v>
      </c>
      <c r="BR309" s="47">
        <v>0</v>
      </c>
      <c r="BS309" s="46">
        <v>0</v>
      </c>
      <c r="BT309" s="43">
        <v>0</v>
      </c>
      <c r="BU309" s="114">
        <v>0</v>
      </c>
      <c r="BV309" s="119">
        <v>0</v>
      </c>
      <c r="BW309" s="120">
        <v>0</v>
      </c>
      <c r="BX309" s="114">
        <v>0</v>
      </c>
      <c r="BY309" s="119">
        <v>0</v>
      </c>
      <c r="BZ309" s="120">
        <v>0</v>
      </c>
      <c r="CA309" s="114">
        <v>0</v>
      </c>
      <c r="CB309" s="119">
        <v>0</v>
      </c>
      <c r="CC309" s="120">
        <v>0</v>
      </c>
      <c r="CD309" s="114">
        <v>0</v>
      </c>
      <c r="CE309" s="119">
        <v>0</v>
      </c>
      <c r="CF309" s="120">
        <v>0</v>
      </c>
      <c r="CG309" s="114">
        <v>0</v>
      </c>
      <c r="CH309" s="119">
        <v>0</v>
      </c>
      <c r="CI309" s="120">
        <v>0</v>
      </c>
      <c r="CJ309" s="114">
        <v>0</v>
      </c>
      <c r="CK309" s="54">
        <f t="shared" si="48"/>
        <v>684</v>
      </c>
      <c r="CL309" s="63">
        <f t="shared" si="55"/>
        <v>9736</v>
      </c>
      <c r="CM309" s="55">
        <f t="shared" si="56"/>
        <v>6634.3799999999992</v>
      </c>
      <c r="CN309" s="54">
        <f t="shared" si="57"/>
        <v>57</v>
      </c>
      <c r="CO309" s="63">
        <f t="shared" si="58"/>
        <v>811.33333333333337</v>
      </c>
      <c r="CP309" s="172">
        <f t="shared" si="59"/>
        <v>552.8649999999999</v>
      </c>
      <c r="CQ309" s="180"/>
      <c r="CR309" s="150"/>
      <c r="CS309" s="181"/>
      <c r="CT309" s="180"/>
      <c r="CU309" s="150"/>
      <c r="CV309" s="181"/>
      <c r="CW309" s="180"/>
      <c r="CX309" s="150"/>
      <c r="CY309" s="181"/>
      <c r="CZ309" s="180"/>
      <c r="DA309" s="150"/>
      <c r="DB309" s="181"/>
      <c r="DC309" s="180"/>
      <c r="DD309" s="150"/>
      <c r="DE309" s="181"/>
      <c r="DF309" s="180"/>
      <c r="DG309" s="150"/>
      <c r="DH309" s="181"/>
      <c r="DI309" s="180"/>
      <c r="DJ309" s="150"/>
      <c r="DK309" s="181"/>
      <c r="DL309" s="180"/>
      <c r="DM309" s="150"/>
      <c r="DN309" s="181"/>
      <c r="DO309" s="180"/>
      <c r="DP309" s="150"/>
      <c r="DQ309" s="181"/>
      <c r="DR309" s="180"/>
      <c r="DS309" s="150"/>
      <c r="DT309" s="181"/>
      <c r="DU309" s="180"/>
      <c r="DV309" s="150"/>
      <c r="DW309" s="181"/>
      <c r="DX309" s="180"/>
      <c r="DY309" s="150"/>
      <c r="DZ309" s="181"/>
    </row>
    <row r="310" spans="1:130" s="25" customFormat="1" ht="31.5" customHeight="1" x14ac:dyDescent="0.6">
      <c r="A310" s="5">
        <v>307</v>
      </c>
      <c r="B310" s="167" t="s">
        <v>580</v>
      </c>
      <c r="C310" s="18" t="s">
        <v>581</v>
      </c>
      <c r="D310" s="18" t="s">
        <v>263</v>
      </c>
      <c r="E310" s="23" t="s">
        <v>264</v>
      </c>
      <c r="F310" s="7" t="s">
        <v>545</v>
      </c>
      <c r="G310" s="123"/>
      <c r="H310" s="123"/>
      <c r="I310" s="123" t="s">
        <v>1093</v>
      </c>
      <c r="J310" s="49" t="s">
        <v>546</v>
      </c>
      <c r="K310" s="27"/>
      <c r="L310" s="58"/>
      <c r="M310" s="78"/>
      <c r="N310" s="27"/>
      <c r="O310" s="58"/>
      <c r="P310" s="49"/>
      <c r="Q310" s="27"/>
      <c r="R310" s="58"/>
      <c r="S310" s="98"/>
      <c r="T310" s="27"/>
      <c r="U310" s="58"/>
      <c r="V310" s="12"/>
      <c r="W310" s="27"/>
      <c r="X310" s="58"/>
      <c r="Y310" s="12"/>
      <c r="Z310" s="27"/>
      <c r="AA310" s="58"/>
      <c r="AB310" s="12"/>
      <c r="AC310" s="27">
        <v>27</v>
      </c>
      <c r="AD310" s="58">
        <v>392</v>
      </c>
      <c r="AE310" s="12"/>
      <c r="AF310" s="27">
        <v>1</v>
      </c>
      <c r="AG310" s="58">
        <v>24</v>
      </c>
      <c r="AH310" s="12"/>
      <c r="AI310" s="27">
        <v>8</v>
      </c>
      <c r="AJ310" s="58">
        <v>112</v>
      </c>
      <c r="AK310" s="12"/>
      <c r="AL310" s="27">
        <v>31</v>
      </c>
      <c r="AM310" s="58">
        <v>492</v>
      </c>
      <c r="AN310" s="12"/>
      <c r="AO310" s="27">
        <v>11</v>
      </c>
      <c r="AP310" s="58">
        <v>138</v>
      </c>
      <c r="AQ310" s="12"/>
      <c r="AR310" s="27">
        <v>24</v>
      </c>
      <c r="AS310" s="58">
        <v>382</v>
      </c>
      <c r="AT310" s="12"/>
      <c r="AU310" s="54"/>
      <c r="AV310" s="63"/>
      <c r="AW310" s="55"/>
      <c r="AX310" s="54"/>
      <c r="AY310" s="63"/>
      <c r="AZ310" s="55"/>
      <c r="BA310" s="10">
        <v>15</v>
      </c>
      <c r="BB310" s="15">
        <v>194</v>
      </c>
      <c r="BC310" s="11">
        <v>155</v>
      </c>
      <c r="BD310" s="10">
        <v>14</v>
      </c>
      <c r="BE310" s="15">
        <v>290</v>
      </c>
      <c r="BF310" s="11">
        <v>160.88</v>
      </c>
      <c r="BG310" s="10">
        <v>14</v>
      </c>
      <c r="BH310" s="15">
        <v>230</v>
      </c>
      <c r="BI310" s="11">
        <v>159.28</v>
      </c>
      <c r="BJ310" s="10">
        <v>3</v>
      </c>
      <c r="BK310" s="15">
        <v>42</v>
      </c>
      <c r="BL310" s="11">
        <v>26.88</v>
      </c>
      <c r="BM310" s="46">
        <v>40</v>
      </c>
      <c r="BN310" s="43">
        <v>582</v>
      </c>
      <c r="BO310" s="47">
        <v>396.08</v>
      </c>
      <c r="BP310" s="46">
        <v>12</v>
      </c>
      <c r="BQ310" s="43">
        <v>197</v>
      </c>
      <c r="BR310" s="47">
        <v>127.84</v>
      </c>
      <c r="BS310" s="46">
        <v>12</v>
      </c>
      <c r="BT310" s="43">
        <v>236</v>
      </c>
      <c r="BU310" s="114">
        <v>123.44</v>
      </c>
      <c r="BV310" s="119">
        <v>8</v>
      </c>
      <c r="BW310" s="120">
        <v>134</v>
      </c>
      <c r="BX310" s="114">
        <v>82.8</v>
      </c>
      <c r="BY310" s="119">
        <v>9.25</v>
      </c>
      <c r="BZ310" s="120">
        <v>129</v>
      </c>
      <c r="CA310" s="114">
        <v>82.679999999999993</v>
      </c>
      <c r="CB310" s="119">
        <v>8</v>
      </c>
      <c r="CC310" s="120">
        <v>130</v>
      </c>
      <c r="CD310" s="114">
        <v>85.28</v>
      </c>
      <c r="CE310" s="119">
        <v>35</v>
      </c>
      <c r="CF310" s="120">
        <v>436</v>
      </c>
      <c r="CG310" s="114">
        <v>395.68</v>
      </c>
      <c r="CH310" s="119">
        <v>7</v>
      </c>
      <c r="CI310" s="120">
        <v>122</v>
      </c>
      <c r="CJ310" s="114">
        <v>70.8</v>
      </c>
      <c r="CK310" s="54">
        <f t="shared" si="48"/>
        <v>177.25</v>
      </c>
      <c r="CL310" s="63">
        <f t="shared" si="55"/>
        <v>2722</v>
      </c>
      <c r="CM310" s="55">
        <f t="shared" si="56"/>
        <v>1866.6399999999999</v>
      </c>
      <c r="CN310" s="54">
        <f t="shared" si="57"/>
        <v>14.770833333333334</v>
      </c>
      <c r="CO310" s="63">
        <f t="shared" si="58"/>
        <v>226.83333333333334</v>
      </c>
      <c r="CP310" s="172">
        <f t="shared" si="59"/>
        <v>155.55333333333331</v>
      </c>
      <c r="CQ310" s="180"/>
      <c r="CR310" s="150"/>
      <c r="CS310" s="181"/>
      <c r="CT310" s="180"/>
      <c r="CU310" s="150"/>
      <c r="CV310" s="181"/>
      <c r="CW310" s="180"/>
      <c r="CX310" s="150"/>
      <c r="CY310" s="181"/>
      <c r="CZ310" s="180"/>
      <c r="DA310" s="150"/>
      <c r="DB310" s="181"/>
      <c r="DC310" s="180"/>
      <c r="DD310" s="150"/>
      <c r="DE310" s="181"/>
      <c r="DF310" s="180"/>
      <c r="DG310" s="150"/>
      <c r="DH310" s="181"/>
      <c r="DI310" s="180"/>
      <c r="DJ310" s="150"/>
      <c r="DK310" s="181"/>
      <c r="DL310" s="180"/>
      <c r="DM310" s="150"/>
      <c r="DN310" s="181"/>
      <c r="DO310" s="180"/>
      <c r="DP310" s="150"/>
      <c r="DQ310" s="181"/>
      <c r="DR310" s="180"/>
      <c r="DS310" s="150"/>
      <c r="DT310" s="181"/>
      <c r="DU310" s="180"/>
      <c r="DV310" s="150"/>
      <c r="DW310" s="181"/>
      <c r="DX310" s="180"/>
      <c r="DY310" s="150"/>
      <c r="DZ310" s="181"/>
    </row>
    <row r="311" spans="1:130" s="25" customFormat="1" ht="31.5" customHeight="1" x14ac:dyDescent="0.6">
      <c r="A311" s="5">
        <v>308</v>
      </c>
      <c r="B311" s="167" t="s">
        <v>611</v>
      </c>
      <c r="C311" s="18" t="s">
        <v>612</v>
      </c>
      <c r="D311" s="18" t="s">
        <v>613</v>
      </c>
      <c r="E311" s="23" t="s">
        <v>614</v>
      </c>
      <c r="F311" s="7" t="s">
        <v>597</v>
      </c>
      <c r="G311" s="123"/>
      <c r="H311" s="123"/>
      <c r="I311" s="123"/>
      <c r="J311" s="49" t="s">
        <v>598</v>
      </c>
      <c r="K311" s="27"/>
      <c r="L311" s="58"/>
      <c r="M311" s="78"/>
      <c r="N311" s="27"/>
      <c r="O311" s="58"/>
      <c r="P311" s="49"/>
      <c r="Q311" s="27"/>
      <c r="R311" s="58"/>
      <c r="S311" s="98"/>
      <c r="T311" s="27"/>
      <c r="U311" s="58"/>
      <c r="V311" s="12"/>
      <c r="W311" s="27"/>
      <c r="X311" s="58"/>
      <c r="Y311" s="12"/>
      <c r="Z311" s="27"/>
      <c r="AA311" s="58"/>
      <c r="AB311" s="12"/>
      <c r="AC311" s="27">
        <v>54</v>
      </c>
      <c r="AD311" s="58">
        <v>696</v>
      </c>
      <c r="AE311" s="12"/>
      <c r="AF311" s="27">
        <v>220</v>
      </c>
      <c r="AG311" s="58">
        <v>2960</v>
      </c>
      <c r="AH311" s="12"/>
      <c r="AI311" s="27">
        <v>280</v>
      </c>
      <c r="AJ311" s="58">
        <v>3629</v>
      </c>
      <c r="AK311" s="12"/>
      <c r="AL311" s="27">
        <v>85</v>
      </c>
      <c r="AM311" s="58">
        <v>1124</v>
      </c>
      <c r="AN311" s="12"/>
      <c r="AO311" s="27">
        <v>208</v>
      </c>
      <c r="AP311" s="58">
        <v>2566</v>
      </c>
      <c r="AQ311" s="12"/>
      <c r="AR311" s="27">
        <v>245</v>
      </c>
      <c r="AS311" s="58">
        <v>3244</v>
      </c>
      <c r="AT311" s="12"/>
      <c r="AU311" s="54"/>
      <c r="AV311" s="63"/>
      <c r="AW311" s="55"/>
      <c r="AX311" s="54"/>
      <c r="AY311" s="63"/>
      <c r="AZ311" s="55"/>
      <c r="BA311" s="10">
        <v>135</v>
      </c>
      <c r="BB311" s="15">
        <v>1780</v>
      </c>
      <c r="BC311" s="11">
        <v>1576</v>
      </c>
      <c r="BD311" s="10">
        <v>109</v>
      </c>
      <c r="BE311" s="15">
        <v>1384</v>
      </c>
      <c r="BF311" s="11">
        <v>1271.8</v>
      </c>
      <c r="BG311" s="10">
        <v>309</v>
      </c>
      <c r="BH311" s="15">
        <v>3984</v>
      </c>
      <c r="BI311" s="11">
        <v>3576.6</v>
      </c>
      <c r="BJ311" s="10">
        <v>80</v>
      </c>
      <c r="BK311" s="15">
        <v>1110</v>
      </c>
      <c r="BL311" s="11">
        <v>954.8</v>
      </c>
      <c r="BM311" s="46">
        <v>0</v>
      </c>
      <c r="BN311" s="43">
        <v>0</v>
      </c>
      <c r="BO311" s="47">
        <v>0</v>
      </c>
      <c r="BP311" s="46">
        <v>0</v>
      </c>
      <c r="BQ311" s="43">
        <v>0</v>
      </c>
      <c r="BR311" s="47">
        <v>0</v>
      </c>
      <c r="BS311" s="46">
        <v>0</v>
      </c>
      <c r="BT311" s="43">
        <v>0</v>
      </c>
      <c r="BU311" s="114">
        <v>0</v>
      </c>
      <c r="BV311" s="119">
        <v>0</v>
      </c>
      <c r="BW311" s="120">
        <v>0</v>
      </c>
      <c r="BX311" s="114">
        <v>0</v>
      </c>
      <c r="BY311" s="119">
        <v>0</v>
      </c>
      <c r="BZ311" s="120">
        <v>0</v>
      </c>
      <c r="CA311" s="114">
        <v>0</v>
      </c>
      <c r="CB311" s="119">
        <v>0</v>
      </c>
      <c r="CC311" s="120">
        <v>0</v>
      </c>
      <c r="CD311" s="114">
        <v>0</v>
      </c>
      <c r="CE311" s="119">
        <v>0</v>
      </c>
      <c r="CF311" s="120">
        <v>0</v>
      </c>
      <c r="CG311" s="114">
        <v>0</v>
      </c>
      <c r="CH311" s="119">
        <v>0</v>
      </c>
      <c r="CI311" s="120">
        <v>0</v>
      </c>
      <c r="CJ311" s="114">
        <v>0</v>
      </c>
      <c r="CK311" s="54">
        <f t="shared" si="48"/>
        <v>633</v>
      </c>
      <c r="CL311" s="63">
        <f t="shared" si="55"/>
        <v>8258</v>
      </c>
      <c r="CM311" s="55">
        <f t="shared" si="56"/>
        <v>7379.2</v>
      </c>
      <c r="CN311" s="54">
        <f t="shared" si="57"/>
        <v>52.75</v>
      </c>
      <c r="CO311" s="63">
        <f t="shared" si="58"/>
        <v>688.16666666666663</v>
      </c>
      <c r="CP311" s="172">
        <f t="shared" si="59"/>
        <v>614.93333333333328</v>
      </c>
      <c r="CQ311" s="180"/>
      <c r="CR311" s="150"/>
      <c r="CS311" s="181"/>
      <c r="CT311" s="180"/>
      <c r="CU311" s="150"/>
      <c r="CV311" s="181"/>
      <c r="CW311" s="180"/>
      <c r="CX311" s="150"/>
      <c r="CY311" s="181"/>
      <c r="CZ311" s="180"/>
      <c r="DA311" s="150"/>
      <c r="DB311" s="181"/>
      <c r="DC311" s="180"/>
      <c r="DD311" s="150"/>
      <c r="DE311" s="181"/>
      <c r="DF311" s="180"/>
      <c r="DG311" s="150"/>
      <c r="DH311" s="181"/>
      <c r="DI311" s="180"/>
      <c r="DJ311" s="150"/>
      <c r="DK311" s="181"/>
      <c r="DL311" s="180"/>
      <c r="DM311" s="150"/>
      <c r="DN311" s="181"/>
      <c r="DO311" s="180"/>
      <c r="DP311" s="150"/>
      <c r="DQ311" s="181"/>
      <c r="DR311" s="180"/>
      <c r="DS311" s="150"/>
      <c r="DT311" s="181"/>
      <c r="DU311" s="180"/>
      <c r="DV311" s="150"/>
      <c r="DW311" s="181"/>
      <c r="DX311" s="180"/>
      <c r="DY311" s="150"/>
      <c r="DZ311" s="181"/>
    </row>
    <row r="312" spans="1:130" s="25" customFormat="1" ht="31.5" customHeight="1" x14ac:dyDescent="0.6">
      <c r="A312" s="5">
        <v>309</v>
      </c>
      <c r="B312" s="167" t="s">
        <v>619</v>
      </c>
      <c r="C312" s="18" t="s">
        <v>619</v>
      </c>
      <c r="D312" s="18" t="s">
        <v>620</v>
      </c>
      <c r="E312" s="23" t="s">
        <v>621</v>
      </c>
      <c r="F312" s="7" t="s">
        <v>597</v>
      </c>
      <c r="G312" s="123"/>
      <c r="H312" s="123"/>
      <c r="I312" s="123" t="s">
        <v>1111</v>
      </c>
      <c r="J312" s="49" t="s">
        <v>622</v>
      </c>
      <c r="K312" s="27"/>
      <c r="L312" s="58"/>
      <c r="M312" s="78"/>
      <c r="N312" s="27"/>
      <c r="O312" s="58"/>
      <c r="P312" s="49"/>
      <c r="Q312" s="27"/>
      <c r="R312" s="58"/>
      <c r="S312" s="98"/>
      <c r="T312" s="27"/>
      <c r="U312" s="58"/>
      <c r="V312" s="12"/>
      <c r="W312" s="27"/>
      <c r="X312" s="58"/>
      <c r="Y312" s="12"/>
      <c r="Z312" s="27"/>
      <c r="AA312" s="58"/>
      <c r="AB312" s="12"/>
      <c r="AC312" s="27">
        <v>10</v>
      </c>
      <c r="AD312" s="58">
        <v>130</v>
      </c>
      <c r="AE312" s="12"/>
      <c r="AF312" s="27">
        <v>22</v>
      </c>
      <c r="AG312" s="58">
        <v>284</v>
      </c>
      <c r="AH312" s="12"/>
      <c r="AI312" s="27">
        <v>0</v>
      </c>
      <c r="AJ312" s="58">
        <v>0</v>
      </c>
      <c r="AK312" s="12"/>
      <c r="AL312" s="27">
        <v>0</v>
      </c>
      <c r="AM312" s="58">
        <v>0</v>
      </c>
      <c r="AN312" s="12"/>
      <c r="AO312" s="27">
        <v>0</v>
      </c>
      <c r="AP312" s="58">
        <v>0</v>
      </c>
      <c r="AQ312" s="12"/>
      <c r="AR312" s="27">
        <v>10</v>
      </c>
      <c r="AS312" s="58">
        <v>130</v>
      </c>
      <c r="AT312" s="12"/>
      <c r="AU312" s="54"/>
      <c r="AV312" s="63"/>
      <c r="AW312" s="55"/>
      <c r="AX312" s="54"/>
      <c r="AY312" s="63"/>
      <c r="AZ312" s="55"/>
      <c r="BA312" s="10">
        <v>9</v>
      </c>
      <c r="BB312" s="15">
        <v>126</v>
      </c>
      <c r="BC312" s="11">
        <v>80.84</v>
      </c>
      <c r="BD312" s="10">
        <v>3</v>
      </c>
      <c r="BE312" s="15">
        <v>42</v>
      </c>
      <c r="BF312" s="11">
        <v>27</v>
      </c>
      <c r="BG312" s="10">
        <v>0</v>
      </c>
      <c r="BH312" s="15">
        <v>0</v>
      </c>
      <c r="BI312" s="11">
        <v>0</v>
      </c>
      <c r="BJ312" s="10">
        <v>3</v>
      </c>
      <c r="BK312" s="15">
        <v>36</v>
      </c>
      <c r="BL312" s="11">
        <v>36</v>
      </c>
      <c r="BM312" s="46">
        <v>0</v>
      </c>
      <c r="BN312" s="43">
        <v>0</v>
      </c>
      <c r="BO312" s="47">
        <v>0</v>
      </c>
      <c r="BP312" s="46">
        <v>0</v>
      </c>
      <c r="BQ312" s="43">
        <v>0</v>
      </c>
      <c r="BR312" s="47">
        <v>0</v>
      </c>
      <c r="BS312" s="46">
        <v>0</v>
      </c>
      <c r="BT312" s="43">
        <v>0</v>
      </c>
      <c r="BU312" s="114">
        <v>0</v>
      </c>
      <c r="BV312" s="119">
        <v>0</v>
      </c>
      <c r="BW312" s="120">
        <v>0</v>
      </c>
      <c r="BX312" s="114">
        <v>0</v>
      </c>
      <c r="BY312" s="119">
        <v>0</v>
      </c>
      <c r="BZ312" s="120">
        <v>0</v>
      </c>
      <c r="CA312" s="114">
        <v>0</v>
      </c>
      <c r="CB312" s="119">
        <v>0</v>
      </c>
      <c r="CC312" s="120">
        <v>0</v>
      </c>
      <c r="CD312" s="114">
        <v>0</v>
      </c>
      <c r="CE312" s="119">
        <v>0</v>
      </c>
      <c r="CF312" s="120">
        <v>0</v>
      </c>
      <c r="CG312" s="114">
        <v>0</v>
      </c>
      <c r="CH312" s="119">
        <v>0</v>
      </c>
      <c r="CI312" s="120">
        <v>0</v>
      </c>
      <c r="CJ312" s="114">
        <v>0</v>
      </c>
      <c r="CK312" s="54">
        <f t="shared" si="48"/>
        <v>15</v>
      </c>
      <c r="CL312" s="63">
        <f t="shared" si="55"/>
        <v>204</v>
      </c>
      <c r="CM312" s="55">
        <f t="shared" si="56"/>
        <v>143.84</v>
      </c>
      <c r="CN312" s="54">
        <f t="shared" si="57"/>
        <v>1.25</v>
      </c>
      <c r="CO312" s="63">
        <f t="shared" si="58"/>
        <v>17</v>
      </c>
      <c r="CP312" s="172">
        <f t="shared" si="59"/>
        <v>11.986666666666666</v>
      </c>
      <c r="CQ312" s="180"/>
      <c r="CR312" s="150"/>
      <c r="CS312" s="181"/>
      <c r="CT312" s="180"/>
      <c r="CU312" s="150"/>
      <c r="CV312" s="181"/>
      <c r="CW312" s="180"/>
      <c r="CX312" s="150"/>
      <c r="CY312" s="181"/>
      <c r="CZ312" s="180"/>
      <c r="DA312" s="150"/>
      <c r="DB312" s="181"/>
      <c r="DC312" s="180"/>
      <c r="DD312" s="150"/>
      <c r="DE312" s="181"/>
      <c r="DF312" s="180"/>
      <c r="DG312" s="150"/>
      <c r="DH312" s="181"/>
      <c r="DI312" s="180"/>
      <c r="DJ312" s="150"/>
      <c r="DK312" s="181"/>
      <c r="DL312" s="180"/>
      <c r="DM312" s="150"/>
      <c r="DN312" s="181"/>
      <c r="DO312" s="180"/>
      <c r="DP312" s="150"/>
      <c r="DQ312" s="181"/>
      <c r="DR312" s="180"/>
      <c r="DS312" s="150"/>
      <c r="DT312" s="181"/>
      <c r="DU312" s="180"/>
      <c r="DV312" s="150"/>
      <c r="DW312" s="181"/>
      <c r="DX312" s="180"/>
      <c r="DY312" s="150"/>
      <c r="DZ312" s="181"/>
    </row>
    <row r="313" spans="1:130" s="25" customFormat="1" ht="31.5" customHeight="1" x14ac:dyDescent="0.6">
      <c r="A313" s="5">
        <v>310</v>
      </c>
      <c r="B313" s="167" t="s">
        <v>630</v>
      </c>
      <c r="C313" s="18" t="s">
        <v>631</v>
      </c>
      <c r="D313" s="18" t="s">
        <v>620</v>
      </c>
      <c r="E313" s="23" t="s">
        <v>621</v>
      </c>
      <c r="F313" s="7" t="s">
        <v>597</v>
      </c>
      <c r="G313" s="123"/>
      <c r="H313" s="123"/>
      <c r="I313" s="123" t="s">
        <v>1116</v>
      </c>
      <c r="J313" s="49" t="s">
        <v>598</v>
      </c>
      <c r="K313" s="27"/>
      <c r="L313" s="58"/>
      <c r="M313" s="78"/>
      <c r="N313" s="27"/>
      <c r="O313" s="58"/>
      <c r="P313" s="49"/>
      <c r="Q313" s="27"/>
      <c r="R313" s="58"/>
      <c r="S313" s="98"/>
      <c r="T313" s="27"/>
      <c r="U313" s="58"/>
      <c r="V313" s="12"/>
      <c r="W313" s="27"/>
      <c r="X313" s="58"/>
      <c r="Y313" s="12"/>
      <c r="Z313" s="27"/>
      <c r="AA313" s="58"/>
      <c r="AB313" s="12"/>
      <c r="AC313" s="27">
        <v>0</v>
      </c>
      <c r="AD313" s="58">
        <v>0</v>
      </c>
      <c r="AE313" s="12"/>
      <c r="AF313" s="27">
        <v>0</v>
      </c>
      <c r="AG313" s="58">
        <v>0</v>
      </c>
      <c r="AH313" s="12"/>
      <c r="AI313" s="27">
        <v>25</v>
      </c>
      <c r="AJ313" s="58">
        <v>350</v>
      </c>
      <c r="AK313" s="12"/>
      <c r="AL313" s="27">
        <v>0</v>
      </c>
      <c r="AM313" s="58">
        <v>0</v>
      </c>
      <c r="AN313" s="12"/>
      <c r="AO313" s="27">
        <v>0</v>
      </c>
      <c r="AP313" s="58">
        <v>0</v>
      </c>
      <c r="AQ313" s="12"/>
      <c r="AR313" s="27">
        <v>0</v>
      </c>
      <c r="AS313" s="58">
        <v>0</v>
      </c>
      <c r="AT313" s="12"/>
      <c r="AU313" s="54"/>
      <c r="AV313" s="63"/>
      <c r="AW313" s="55"/>
      <c r="AX313" s="54"/>
      <c r="AY313" s="63"/>
      <c r="AZ313" s="55"/>
      <c r="BA313" s="10">
        <v>0</v>
      </c>
      <c r="BB313" s="15">
        <v>0</v>
      </c>
      <c r="BC313" s="11">
        <v>0</v>
      </c>
      <c r="BD313" s="10">
        <v>0</v>
      </c>
      <c r="BE313" s="15">
        <v>0</v>
      </c>
      <c r="BF313" s="11">
        <v>0</v>
      </c>
      <c r="BG313" s="10">
        <v>0</v>
      </c>
      <c r="BH313" s="15">
        <v>0</v>
      </c>
      <c r="BI313" s="11">
        <v>0</v>
      </c>
      <c r="BJ313" s="10">
        <v>0</v>
      </c>
      <c r="BK313" s="15">
        <v>0</v>
      </c>
      <c r="BL313" s="11">
        <v>0</v>
      </c>
      <c r="BM313" s="46">
        <v>0</v>
      </c>
      <c r="BN313" s="43">
        <v>0</v>
      </c>
      <c r="BO313" s="47">
        <v>0</v>
      </c>
      <c r="BP313" s="46">
        <v>0</v>
      </c>
      <c r="BQ313" s="43">
        <v>0</v>
      </c>
      <c r="BR313" s="47">
        <v>0</v>
      </c>
      <c r="BS313" s="46">
        <v>0</v>
      </c>
      <c r="BT313" s="43">
        <v>0</v>
      </c>
      <c r="BU313" s="114">
        <v>0</v>
      </c>
      <c r="BV313" s="119">
        <v>0</v>
      </c>
      <c r="BW313" s="120">
        <v>0</v>
      </c>
      <c r="BX313" s="114">
        <v>0</v>
      </c>
      <c r="BY313" s="119">
        <v>0</v>
      </c>
      <c r="BZ313" s="120">
        <v>0</v>
      </c>
      <c r="CA313" s="114">
        <v>0</v>
      </c>
      <c r="CB313" s="119">
        <v>0</v>
      </c>
      <c r="CC313" s="120">
        <v>0</v>
      </c>
      <c r="CD313" s="114">
        <v>0</v>
      </c>
      <c r="CE313" s="119">
        <v>0</v>
      </c>
      <c r="CF313" s="120">
        <v>0</v>
      </c>
      <c r="CG313" s="114">
        <v>0</v>
      </c>
      <c r="CH313" s="119">
        <v>0</v>
      </c>
      <c r="CI313" s="120">
        <v>0</v>
      </c>
      <c r="CJ313" s="114">
        <v>0</v>
      </c>
      <c r="CK313" s="54">
        <f t="shared" si="48"/>
        <v>0</v>
      </c>
      <c r="CL313" s="63">
        <f t="shared" si="55"/>
        <v>0</v>
      </c>
      <c r="CM313" s="55">
        <f t="shared" si="56"/>
        <v>0</v>
      </c>
      <c r="CN313" s="54">
        <f t="shared" si="57"/>
        <v>0</v>
      </c>
      <c r="CO313" s="63">
        <f t="shared" si="58"/>
        <v>0</v>
      </c>
      <c r="CP313" s="172">
        <f t="shared" si="59"/>
        <v>0</v>
      </c>
      <c r="CQ313" s="180"/>
      <c r="CR313" s="150"/>
      <c r="CS313" s="181"/>
      <c r="CT313" s="180"/>
      <c r="CU313" s="150"/>
      <c r="CV313" s="181"/>
      <c r="CW313" s="180"/>
      <c r="CX313" s="150"/>
      <c r="CY313" s="181"/>
      <c r="CZ313" s="180"/>
      <c r="DA313" s="150"/>
      <c r="DB313" s="181"/>
      <c r="DC313" s="180"/>
      <c r="DD313" s="150"/>
      <c r="DE313" s="181"/>
      <c r="DF313" s="180"/>
      <c r="DG313" s="150"/>
      <c r="DH313" s="181"/>
      <c r="DI313" s="180"/>
      <c r="DJ313" s="150"/>
      <c r="DK313" s="181"/>
      <c r="DL313" s="180"/>
      <c r="DM313" s="150"/>
      <c r="DN313" s="181"/>
      <c r="DO313" s="180"/>
      <c r="DP313" s="150"/>
      <c r="DQ313" s="181"/>
      <c r="DR313" s="180"/>
      <c r="DS313" s="150"/>
      <c r="DT313" s="181"/>
      <c r="DU313" s="180"/>
      <c r="DV313" s="150"/>
      <c r="DW313" s="181"/>
      <c r="DX313" s="180"/>
      <c r="DY313" s="150"/>
      <c r="DZ313" s="181"/>
    </row>
    <row r="314" spans="1:130" s="25" customFormat="1" ht="31.5" customHeight="1" x14ac:dyDescent="0.6">
      <c r="A314" s="5">
        <v>311</v>
      </c>
      <c r="B314" s="167" t="s">
        <v>636</v>
      </c>
      <c r="C314" s="18" t="s">
        <v>637</v>
      </c>
      <c r="D314" s="18" t="s">
        <v>613</v>
      </c>
      <c r="E314" s="23" t="s">
        <v>614</v>
      </c>
      <c r="F314" s="7" t="s">
        <v>597</v>
      </c>
      <c r="G314" s="123"/>
      <c r="H314" s="123"/>
      <c r="I314" s="123"/>
      <c r="J314" s="49" t="s">
        <v>598</v>
      </c>
      <c r="K314" s="27"/>
      <c r="L314" s="58"/>
      <c r="M314" s="78"/>
      <c r="N314" s="27"/>
      <c r="O314" s="58"/>
      <c r="P314" s="49"/>
      <c r="Q314" s="27"/>
      <c r="R314" s="58"/>
      <c r="S314" s="98"/>
      <c r="T314" s="27"/>
      <c r="U314" s="58"/>
      <c r="V314" s="12"/>
      <c r="W314" s="27"/>
      <c r="X314" s="58"/>
      <c r="Y314" s="12"/>
      <c r="Z314" s="27"/>
      <c r="AA314" s="58"/>
      <c r="AB314" s="12"/>
      <c r="AC314" s="27"/>
      <c r="AD314" s="58"/>
      <c r="AE314" s="12"/>
      <c r="AF314" s="27"/>
      <c r="AG314" s="58"/>
      <c r="AH314" s="12"/>
      <c r="AI314" s="27"/>
      <c r="AJ314" s="58"/>
      <c r="AK314" s="12"/>
      <c r="AL314" s="27"/>
      <c r="AM314" s="58"/>
      <c r="AN314" s="12"/>
      <c r="AO314" s="27"/>
      <c r="AP314" s="58"/>
      <c r="AQ314" s="12"/>
      <c r="AR314" s="27"/>
      <c r="AS314" s="58"/>
      <c r="AT314" s="12"/>
      <c r="AU314" s="54"/>
      <c r="AV314" s="63"/>
      <c r="AW314" s="55"/>
      <c r="AX314" s="54"/>
      <c r="AY314" s="63"/>
      <c r="AZ314" s="55"/>
      <c r="BA314" s="10">
        <v>635</v>
      </c>
      <c r="BB314" s="15">
        <v>10230</v>
      </c>
      <c r="BC314" s="11">
        <v>9600</v>
      </c>
      <c r="BD314" s="10">
        <v>650</v>
      </c>
      <c r="BE314" s="15">
        <v>8200</v>
      </c>
      <c r="BF314" s="11">
        <v>7192</v>
      </c>
      <c r="BG314" s="10">
        <v>1150</v>
      </c>
      <c r="BH314" s="15">
        <v>14000</v>
      </c>
      <c r="BI314" s="11">
        <v>13496</v>
      </c>
      <c r="BJ314" s="10">
        <v>550</v>
      </c>
      <c r="BK314" s="15">
        <v>7000</v>
      </c>
      <c r="BL314" s="11">
        <v>5849</v>
      </c>
      <c r="BM314" s="46">
        <v>0</v>
      </c>
      <c r="BN314" s="43">
        <v>0</v>
      </c>
      <c r="BO314" s="47">
        <v>0</v>
      </c>
      <c r="BP314" s="46"/>
      <c r="BQ314" s="43"/>
      <c r="BR314" s="47"/>
      <c r="BS314" s="46"/>
      <c r="BT314" s="43"/>
      <c r="BU314" s="47"/>
      <c r="BV314" s="46">
        <v>0</v>
      </c>
      <c r="BW314" s="43">
        <v>0</v>
      </c>
      <c r="BX314" s="47">
        <v>0</v>
      </c>
      <c r="BY314" s="46">
        <v>0</v>
      </c>
      <c r="BZ314" s="43">
        <v>0</v>
      </c>
      <c r="CA314" s="47">
        <v>0</v>
      </c>
      <c r="CB314" s="46">
        <v>0</v>
      </c>
      <c r="CC314" s="43">
        <v>0</v>
      </c>
      <c r="CD314" s="47">
        <v>0</v>
      </c>
      <c r="CE314" s="46">
        <v>0</v>
      </c>
      <c r="CF314" s="43">
        <v>0</v>
      </c>
      <c r="CG314" s="47">
        <v>0</v>
      </c>
      <c r="CH314" s="46">
        <v>0</v>
      </c>
      <c r="CI314" s="43">
        <v>0</v>
      </c>
      <c r="CJ314" s="47">
        <v>0</v>
      </c>
      <c r="CK314" s="54">
        <f t="shared" si="48"/>
        <v>2985</v>
      </c>
      <c r="CL314" s="63">
        <f t="shared" si="55"/>
        <v>39430</v>
      </c>
      <c r="CM314" s="55">
        <f t="shared" si="56"/>
        <v>36137</v>
      </c>
      <c r="CN314" s="54">
        <f t="shared" si="57"/>
        <v>248.75</v>
      </c>
      <c r="CO314" s="63">
        <f t="shared" si="58"/>
        <v>3285.8333333333335</v>
      </c>
      <c r="CP314" s="172">
        <f t="shared" si="59"/>
        <v>3011.4166666666665</v>
      </c>
      <c r="CQ314" s="180"/>
      <c r="CR314" s="150"/>
      <c r="CS314" s="181"/>
      <c r="CT314" s="180"/>
      <c r="CU314" s="150"/>
      <c r="CV314" s="181"/>
      <c r="CW314" s="180"/>
      <c r="CX314" s="150"/>
      <c r="CY314" s="181"/>
      <c r="CZ314" s="180"/>
      <c r="DA314" s="150"/>
      <c r="DB314" s="181"/>
      <c r="DC314" s="180"/>
      <c r="DD314" s="150"/>
      <c r="DE314" s="181"/>
      <c r="DF314" s="180"/>
      <c r="DG314" s="150"/>
      <c r="DH314" s="181"/>
      <c r="DI314" s="180"/>
      <c r="DJ314" s="150"/>
      <c r="DK314" s="181"/>
      <c r="DL314" s="180"/>
      <c r="DM314" s="150"/>
      <c r="DN314" s="181"/>
      <c r="DO314" s="180"/>
      <c r="DP314" s="150"/>
      <c r="DQ314" s="181"/>
      <c r="DR314" s="180"/>
      <c r="DS314" s="150"/>
      <c r="DT314" s="181"/>
      <c r="DU314" s="180"/>
      <c r="DV314" s="150"/>
      <c r="DW314" s="181"/>
      <c r="DX314" s="180"/>
      <c r="DY314" s="150"/>
      <c r="DZ314" s="181"/>
    </row>
    <row r="315" spans="1:130" ht="32.25" customHeight="1" thickBot="1" x14ac:dyDescent="0.65">
      <c r="A315" s="30"/>
      <c r="B315" s="31"/>
      <c r="C315" s="32"/>
      <c r="D315" s="33"/>
      <c r="E315" s="33"/>
      <c r="F315" s="34"/>
      <c r="G315" s="125"/>
      <c r="H315" s="125"/>
      <c r="I315" s="125"/>
      <c r="J315" s="50"/>
      <c r="K315" s="171">
        <f t="shared" ref="K315:AP315" si="60">SUM(K4:K314)</f>
        <v>170624</v>
      </c>
      <c r="L315" s="171">
        <f t="shared" si="60"/>
        <v>2427429</v>
      </c>
      <c r="M315" s="171">
        <f t="shared" si="60"/>
        <v>1784740.0799999994</v>
      </c>
      <c r="N315" s="171">
        <f t="shared" si="60"/>
        <v>137211</v>
      </c>
      <c r="O315" s="171">
        <f t="shared" si="60"/>
        <v>1960150</v>
      </c>
      <c r="P315" s="171">
        <f t="shared" si="60"/>
        <v>1436305.6800000002</v>
      </c>
      <c r="Q315" s="171">
        <f t="shared" si="60"/>
        <v>162825</v>
      </c>
      <c r="R315" s="171">
        <f t="shared" si="60"/>
        <v>2308690</v>
      </c>
      <c r="S315" s="171">
        <f t="shared" si="60"/>
        <v>1721434.7600000007</v>
      </c>
      <c r="T315" s="171">
        <f t="shared" si="60"/>
        <v>164006</v>
      </c>
      <c r="U315" s="171">
        <f t="shared" si="60"/>
        <v>2359790</v>
      </c>
      <c r="V315" s="171">
        <f t="shared" si="60"/>
        <v>1580826.5999999999</v>
      </c>
      <c r="W315" s="171">
        <f t="shared" si="60"/>
        <v>167399</v>
      </c>
      <c r="X315" s="171">
        <f t="shared" si="60"/>
        <v>2378646</v>
      </c>
      <c r="Y315" s="171">
        <f t="shared" si="60"/>
        <v>1757850.2400000009</v>
      </c>
      <c r="Z315" s="171">
        <f t="shared" si="60"/>
        <v>183895.11</v>
      </c>
      <c r="AA315" s="171">
        <f t="shared" si="60"/>
        <v>2576225</v>
      </c>
      <c r="AB315" s="171">
        <f t="shared" si="60"/>
        <v>1851229.48</v>
      </c>
      <c r="AC315" s="171">
        <f t="shared" si="60"/>
        <v>176686</v>
      </c>
      <c r="AD315" s="171">
        <f t="shared" si="60"/>
        <v>2412757</v>
      </c>
      <c r="AE315" s="171">
        <f t="shared" si="60"/>
        <v>1760061.1199999999</v>
      </c>
      <c r="AF315" s="171">
        <f t="shared" si="60"/>
        <v>144561</v>
      </c>
      <c r="AG315" s="171">
        <f t="shared" si="60"/>
        <v>2078546</v>
      </c>
      <c r="AH315" s="171">
        <f t="shared" si="60"/>
        <v>1523576.28</v>
      </c>
      <c r="AI315" s="171">
        <f t="shared" si="60"/>
        <v>140286</v>
      </c>
      <c r="AJ315" s="171">
        <f t="shared" si="60"/>
        <v>2005583</v>
      </c>
      <c r="AK315" s="171">
        <f t="shared" si="60"/>
        <v>1430890.1199999999</v>
      </c>
      <c r="AL315" s="171">
        <f t="shared" si="60"/>
        <v>159955.6</v>
      </c>
      <c r="AM315" s="171">
        <f t="shared" si="60"/>
        <v>2291902</v>
      </c>
      <c r="AN315" s="171">
        <f t="shared" si="60"/>
        <v>1665105.7999999991</v>
      </c>
      <c r="AO315" s="171">
        <f t="shared" si="60"/>
        <v>152031.1</v>
      </c>
      <c r="AP315" s="171">
        <f t="shared" si="60"/>
        <v>2191735</v>
      </c>
      <c r="AQ315" s="171">
        <f t="shared" ref="AQ315:BV315" si="61">SUM(AQ4:AQ314)</f>
        <v>1572383.12</v>
      </c>
      <c r="AR315" s="171">
        <f t="shared" si="61"/>
        <v>144854.15</v>
      </c>
      <c r="AS315" s="171">
        <f t="shared" si="61"/>
        <v>2093314</v>
      </c>
      <c r="AT315" s="171">
        <f t="shared" si="61"/>
        <v>1482027.5199999998</v>
      </c>
      <c r="AU315" s="171">
        <f t="shared" si="61"/>
        <v>1880487.11</v>
      </c>
      <c r="AV315" s="171">
        <f t="shared" si="61"/>
        <v>26738910</v>
      </c>
      <c r="AW315" s="171">
        <f t="shared" si="61"/>
        <v>19566430.800000001</v>
      </c>
      <c r="AX315" s="171">
        <f t="shared" si="61"/>
        <v>156707.25916666668</v>
      </c>
      <c r="AY315" s="171">
        <f t="shared" si="61"/>
        <v>13058.938263888893</v>
      </c>
      <c r="AZ315" s="171">
        <f t="shared" si="61"/>
        <v>1630535.8999999997</v>
      </c>
      <c r="BA315" s="171">
        <f t="shared" si="61"/>
        <v>132533.79999999999</v>
      </c>
      <c r="BB315" s="171">
        <f t="shared" si="61"/>
        <v>1892284</v>
      </c>
      <c r="BC315" s="171">
        <f t="shared" si="61"/>
        <v>1420920.9600000007</v>
      </c>
      <c r="BD315" s="171">
        <f t="shared" si="61"/>
        <v>135807.66</v>
      </c>
      <c r="BE315" s="171">
        <f t="shared" si="61"/>
        <v>1936560</v>
      </c>
      <c r="BF315" s="171">
        <f t="shared" si="61"/>
        <v>1445872.3099999998</v>
      </c>
      <c r="BG315" s="171">
        <f t="shared" si="61"/>
        <v>200070.74</v>
      </c>
      <c r="BH315" s="171">
        <f t="shared" si="61"/>
        <v>2866362</v>
      </c>
      <c r="BI315" s="171">
        <f t="shared" si="61"/>
        <v>2168350.5599999968</v>
      </c>
      <c r="BJ315" s="171">
        <f t="shared" si="61"/>
        <v>116428.20000000001</v>
      </c>
      <c r="BK315" s="171">
        <f t="shared" si="61"/>
        <v>1669490</v>
      </c>
      <c r="BL315" s="171">
        <f t="shared" si="61"/>
        <v>1241145.5800000003</v>
      </c>
      <c r="BM315" s="171">
        <f t="shared" si="61"/>
        <v>145432</v>
      </c>
      <c r="BN315" s="171">
        <f t="shared" si="61"/>
        <v>2068846</v>
      </c>
      <c r="BO315" s="171">
        <f t="shared" si="61"/>
        <v>1568513.0999999994</v>
      </c>
      <c r="BP315" s="171">
        <f t="shared" si="61"/>
        <v>149013.1</v>
      </c>
      <c r="BQ315" s="171">
        <f t="shared" si="61"/>
        <v>2116578</v>
      </c>
      <c r="BR315" s="171">
        <f t="shared" si="61"/>
        <v>1606956.6900000002</v>
      </c>
      <c r="BS315" s="171">
        <f t="shared" si="61"/>
        <v>144383.30000000002</v>
      </c>
      <c r="BT315" s="171">
        <f t="shared" si="61"/>
        <v>2066933</v>
      </c>
      <c r="BU315" s="171">
        <f t="shared" si="61"/>
        <v>1559867.300000001</v>
      </c>
      <c r="BV315" s="191">
        <f t="shared" si="61"/>
        <v>139837.14999999944</v>
      </c>
      <c r="BW315" s="171">
        <f t="shared" ref="BW315:DB315" si="62">SUM(BW4:BW314)</f>
        <v>2011112</v>
      </c>
      <c r="BX315" s="171">
        <f t="shared" si="62"/>
        <v>1514560.0899999989</v>
      </c>
      <c r="BY315" s="171">
        <f t="shared" si="62"/>
        <v>136430.66699999999</v>
      </c>
      <c r="BZ315" s="171">
        <f t="shared" si="62"/>
        <v>1967263</v>
      </c>
      <c r="CA315" s="171">
        <f t="shared" si="62"/>
        <v>1486812.1199999992</v>
      </c>
      <c r="CB315" s="171">
        <f t="shared" si="62"/>
        <v>142269.57999999999</v>
      </c>
      <c r="CC315" s="171">
        <f t="shared" si="62"/>
        <v>2052591</v>
      </c>
      <c r="CD315" s="171">
        <f t="shared" si="62"/>
        <v>1551173.16</v>
      </c>
      <c r="CE315" s="171">
        <f t="shared" si="62"/>
        <v>134369.18</v>
      </c>
      <c r="CF315" s="171">
        <f t="shared" si="62"/>
        <v>1939134</v>
      </c>
      <c r="CG315" s="171">
        <f t="shared" si="62"/>
        <v>1465612.6000000003</v>
      </c>
      <c r="CH315" s="171">
        <f t="shared" si="62"/>
        <v>144380.92166666663</v>
      </c>
      <c r="CI315" s="171">
        <f t="shared" si="62"/>
        <v>2085544</v>
      </c>
      <c r="CJ315" s="171">
        <f t="shared" si="62"/>
        <v>1582103.5999999982</v>
      </c>
      <c r="CK315" s="171">
        <f t="shared" si="62"/>
        <v>1720956.2986666691</v>
      </c>
      <c r="CL315" s="171">
        <f t="shared" si="62"/>
        <v>24672697</v>
      </c>
      <c r="CM315" s="171">
        <f t="shared" si="62"/>
        <v>18611888.069999997</v>
      </c>
      <c r="CN315" s="171">
        <f t="shared" si="62"/>
        <v>143413.02488888887</v>
      </c>
      <c r="CO315" s="171">
        <f t="shared" si="62"/>
        <v>2056058.0833333337</v>
      </c>
      <c r="CP315" s="176">
        <f t="shared" si="62"/>
        <v>1550990.6725000003</v>
      </c>
      <c r="CQ315" s="176">
        <f t="shared" si="62"/>
        <v>139480.82800000004</v>
      </c>
      <c r="CR315" s="176">
        <f t="shared" si="62"/>
        <v>2018731</v>
      </c>
      <c r="CS315" s="186">
        <f t="shared" si="62"/>
        <v>1530291.7599999995</v>
      </c>
      <c r="CT315" s="176">
        <f t="shared" si="62"/>
        <v>128330.24799999999</v>
      </c>
      <c r="CU315" s="176">
        <f t="shared" si="62"/>
        <v>1848828</v>
      </c>
      <c r="CV315" s="186">
        <f t="shared" si="62"/>
        <v>1408681.3999999997</v>
      </c>
      <c r="CW315" s="176">
        <f t="shared" si="62"/>
        <v>0</v>
      </c>
      <c r="CX315" s="176">
        <f t="shared" si="62"/>
        <v>0</v>
      </c>
      <c r="CY315" s="186">
        <f t="shared" si="62"/>
        <v>0</v>
      </c>
      <c r="CZ315" s="176">
        <f t="shared" si="62"/>
        <v>0</v>
      </c>
      <c r="DA315" s="176">
        <f t="shared" si="62"/>
        <v>0</v>
      </c>
      <c r="DB315" s="186">
        <f t="shared" si="62"/>
        <v>0</v>
      </c>
      <c r="DC315" s="176">
        <f t="shared" ref="DC315:EH315" si="63">SUM(DC4:DC314)</f>
        <v>0</v>
      </c>
      <c r="DD315" s="176">
        <f t="shared" si="63"/>
        <v>0</v>
      </c>
      <c r="DE315" s="186">
        <f t="shared" si="63"/>
        <v>0</v>
      </c>
      <c r="DF315" s="176">
        <f t="shared" si="63"/>
        <v>0</v>
      </c>
      <c r="DG315" s="176">
        <f t="shared" si="63"/>
        <v>0</v>
      </c>
      <c r="DH315" s="186">
        <f t="shared" si="63"/>
        <v>0</v>
      </c>
      <c r="DI315" s="176">
        <f t="shared" si="63"/>
        <v>0</v>
      </c>
      <c r="DJ315" s="176">
        <f t="shared" si="63"/>
        <v>0</v>
      </c>
      <c r="DK315" s="186">
        <f t="shared" si="63"/>
        <v>0</v>
      </c>
      <c r="DL315" s="176">
        <f t="shared" si="63"/>
        <v>0</v>
      </c>
      <c r="DM315" s="176">
        <f t="shared" si="63"/>
        <v>0</v>
      </c>
      <c r="DN315" s="186">
        <f t="shared" si="63"/>
        <v>0</v>
      </c>
      <c r="DO315" s="176">
        <f t="shared" si="63"/>
        <v>0</v>
      </c>
      <c r="DP315" s="176">
        <f t="shared" si="63"/>
        <v>0</v>
      </c>
      <c r="DQ315" s="186">
        <f t="shared" si="63"/>
        <v>0</v>
      </c>
      <c r="DR315" s="176">
        <f t="shared" si="63"/>
        <v>0</v>
      </c>
      <c r="DS315" s="176">
        <f t="shared" si="63"/>
        <v>0</v>
      </c>
      <c r="DT315" s="186">
        <f t="shared" si="63"/>
        <v>0</v>
      </c>
      <c r="DU315" s="176">
        <f t="shared" si="63"/>
        <v>0</v>
      </c>
      <c r="DV315" s="176">
        <f t="shared" si="63"/>
        <v>0</v>
      </c>
      <c r="DW315" s="186">
        <f t="shared" si="63"/>
        <v>0</v>
      </c>
      <c r="DX315" s="176">
        <f t="shared" si="63"/>
        <v>0</v>
      </c>
      <c r="DY315" s="176">
        <f t="shared" si="63"/>
        <v>0</v>
      </c>
      <c r="DZ315" s="186">
        <f t="shared" ref="DZ315" si="64">SUM(DZ4:DZ314)</f>
        <v>0</v>
      </c>
    </row>
    <row r="316" spans="1:130" x14ac:dyDescent="0.6">
      <c r="CT316" s="190"/>
      <c r="CU316" s="190"/>
      <c r="CV316" s="190"/>
    </row>
    <row r="317" spans="1:130" x14ac:dyDescent="0.6">
      <c r="BG317" s="74"/>
      <c r="BH317" s="74"/>
      <c r="BI317" s="74"/>
      <c r="BK317" s="74"/>
      <c r="BL317" s="74"/>
      <c r="CB317" s="190"/>
      <c r="CC317" s="190"/>
      <c r="CD317" s="190"/>
      <c r="CT317" s="74"/>
      <c r="CU317" s="74"/>
      <c r="CV317" s="74"/>
    </row>
  </sheetData>
  <mergeCells count="47">
    <mergeCell ref="DU2:DW2"/>
    <mergeCell ref="DX2:DZ2"/>
    <mergeCell ref="DF2:DH2"/>
    <mergeCell ref="DI2:DK2"/>
    <mergeCell ref="DL2:DN2"/>
    <mergeCell ref="DO2:DQ2"/>
    <mergeCell ref="DR2:DT2"/>
    <mergeCell ref="CQ2:CS2"/>
    <mergeCell ref="CT2:CV2"/>
    <mergeCell ref="CW2:CY2"/>
    <mergeCell ref="CZ2:DB2"/>
    <mergeCell ref="DC2:DE2"/>
    <mergeCell ref="CK2:CM2"/>
    <mergeCell ref="CN2:CP2"/>
    <mergeCell ref="CH2:CJ2"/>
    <mergeCell ref="CE2:CG2"/>
    <mergeCell ref="CB2:CD2"/>
    <mergeCell ref="BY2:CA2"/>
    <mergeCell ref="BS2:BU2"/>
    <mergeCell ref="BV2:BX2"/>
    <mergeCell ref="BA2:BC2"/>
    <mergeCell ref="AO2:AQ2"/>
    <mergeCell ref="AR2:AT2"/>
    <mergeCell ref="AU2:AW2"/>
    <mergeCell ref="AX2:AZ2"/>
    <mergeCell ref="BP2:BR2"/>
    <mergeCell ref="BM2:BO2"/>
    <mergeCell ref="BJ2:BL2"/>
    <mergeCell ref="BG2:BI2"/>
    <mergeCell ref="BD2:BF2"/>
    <mergeCell ref="A2:A3"/>
    <mergeCell ref="B2:C3"/>
    <mergeCell ref="D2:E3"/>
    <mergeCell ref="F2:F3"/>
    <mergeCell ref="J2:J3"/>
    <mergeCell ref="G2:H3"/>
    <mergeCell ref="I2:I3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</mergeCells>
  <phoneticPr fontId="12" type="noConversion"/>
  <conditionalFormatting sqref="B30:B44">
    <cfRule type="duplicateValues" dxfId="9" priority="11"/>
    <cfRule type="duplicateValues" dxfId="8" priority="12"/>
  </conditionalFormatting>
  <conditionalFormatting sqref="C30:C44">
    <cfRule type="duplicateValues" dxfId="7" priority="13"/>
    <cfRule type="duplicateValues" dxfId="6" priority="14"/>
  </conditionalFormatting>
  <pageMargins left="0" right="0" top="0" bottom="0" header="0.3" footer="0.3"/>
  <pageSetup paperSize="5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378E-0A3C-4AA2-9CCF-9CEBE87084AC}">
  <dimension ref="A1:CS559"/>
  <sheetViews>
    <sheetView topLeftCell="A280" zoomScale="80" zoomScaleNormal="80" workbookViewId="0">
      <selection activeCell="D98" sqref="D98"/>
    </sheetView>
  </sheetViews>
  <sheetFormatPr defaultColWidth="8.85546875" defaultRowHeight="21.75" x14ac:dyDescent="0.6"/>
  <cols>
    <col min="1" max="1" width="6.7109375" style="37" customWidth="1"/>
    <col min="2" max="3" width="15.85546875" style="13" customWidth="1"/>
    <col min="4" max="4" width="18.28515625" style="13" customWidth="1"/>
    <col min="5" max="5" width="15" style="38" customWidth="1"/>
    <col min="6" max="6" width="23.28515625" style="38" customWidth="1"/>
    <col min="7" max="7" width="15.140625" style="13" customWidth="1"/>
    <col min="8" max="8" width="18.5703125" style="13" hidden="1" customWidth="1"/>
    <col min="9" max="9" width="19.28515625" style="13" hidden="1" customWidth="1"/>
    <col min="10" max="10" width="22.140625" style="13" hidden="1" customWidth="1"/>
    <col min="11" max="11" width="10.5703125" style="39" customWidth="1"/>
    <col min="12" max="13" width="12.7109375" style="39" customWidth="1"/>
    <col min="14" max="14" width="12.7109375" style="103" customWidth="1"/>
    <col min="15" max="19" width="12.7109375" style="39" customWidth="1"/>
    <col min="20" max="20" width="12.7109375" style="103" customWidth="1"/>
    <col min="21" max="47" width="12.7109375" style="39" customWidth="1"/>
    <col min="48" max="50" width="12.7109375" style="73" customWidth="1"/>
    <col min="51" max="51" width="11.140625" style="73" customWidth="1"/>
    <col min="52" max="52" width="10.7109375" style="73" customWidth="1"/>
    <col min="53" max="53" width="11.85546875" style="73" customWidth="1"/>
    <col min="54" max="55" width="11.28515625" style="39" customWidth="1"/>
    <col min="56" max="56" width="12" style="39" customWidth="1"/>
    <col min="57" max="59" width="12.5703125" style="13" customWidth="1"/>
    <col min="60" max="62" width="11.7109375" style="13" customWidth="1"/>
    <col min="63" max="65" width="11.5703125" style="13" customWidth="1"/>
    <col min="66" max="68" width="11.5703125" style="72" customWidth="1"/>
    <col min="69" max="69" width="11" style="13" customWidth="1"/>
    <col min="70" max="70" width="11.85546875" style="13" customWidth="1"/>
    <col min="71" max="71" width="12.85546875" style="13" customWidth="1"/>
    <col min="72" max="72" width="9.5703125" style="13" customWidth="1"/>
    <col min="73" max="73" width="11.5703125" style="13" customWidth="1"/>
    <col min="74" max="74" width="12.42578125" style="13" customWidth="1"/>
    <col min="75" max="75" width="10.85546875" style="13" customWidth="1"/>
    <col min="76" max="76" width="12.7109375" style="13" customWidth="1"/>
    <col min="77" max="77" width="13.140625" style="13" customWidth="1"/>
    <col min="78" max="78" width="10.42578125" style="13" customWidth="1"/>
    <col min="79" max="79" width="13.42578125" style="13" customWidth="1"/>
    <col min="80" max="80" width="14.5703125" style="13" customWidth="1"/>
    <col min="81" max="81" width="10.140625" style="13" customWidth="1"/>
    <col min="82" max="82" width="12.140625" style="13" customWidth="1"/>
    <col min="83" max="83" width="13.42578125" style="13" customWidth="1"/>
    <col min="84" max="86" width="12.140625" style="13" customWidth="1"/>
    <col min="87" max="87" width="11" style="13" customWidth="1"/>
    <col min="88" max="88" width="13.5703125" style="13" customWidth="1"/>
    <col min="89" max="89" width="14.42578125" style="13" customWidth="1"/>
    <col min="90" max="90" width="12" style="13" customWidth="1"/>
    <col min="91" max="91" width="14.5703125" style="13" customWidth="1"/>
    <col min="92" max="92" width="13.5703125" style="13" customWidth="1"/>
    <col min="93" max="95" width="12" style="13" customWidth="1"/>
    <col min="96" max="16384" width="8.85546875" style="13"/>
  </cols>
  <sheetData>
    <row r="1" spans="1:97" s="2" customFormat="1" ht="27.75" thickBot="1" x14ac:dyDescent="0.8">
      <c r="A1" s="1" t="s">
        <v>0</v>
      </c>
      <c r="K1" s="3"/>
      <c r="L1" s="3"/>
      <c r="M1" s="3"/>
      <c r="N1" s="100"/>
      <c r="O1" s="3"/>
      <c r="P1" s="3"/>
      <c r="Q1" s="3"/>
      <c r="R1" s="3"/>
      <c r="S1" s="3"/>
      <c r="T1" s="10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66"/>
      <c r="AW1" s="66"/>
      <c r="AX1" s="66"/>
      <c r="AY1" s="66"/>
      <c r="AZ1" s="66"/>
      <c r="BA1" s="66"/>
      <c r="BB1" s="67"/>
      <c r="BC1" s="67"/>
      <c r="BD1" s="67"/>
      <c r="BN1" s="68"/>
      <c r="BO1" s="68"/>
      <c r="BP1" s="68"/>
    </row>
    <row r="2" spans="1:97" s="4" customFormat="1" ht="23.45" customHeight="1" x14ac:dyDescent="0.6">
      <c r="A2" s="202" t="s">
        <v>1</v>
      </c>
      <c r="B2" s="204" t="s">
        <v>2</v>
      </c>
      <c r="C2" s="228"/>
      <c r="D2" s="205"/>
      <c r="E2" s="204" t="s">
        <v>3</v>
      </c>
      <c r="F2" s="205"/>
      <c r="G2" s="208" t="s">
        <v>4</v>
      </c>
      <c r="H2" s="212" t="s">
        <v>998</v>
      </c>
      <c r="I2" s="213"/>
      <c r="J2" s="216" t="s">
        <v>999</v>
      </c>
      <c r="K2" s="210" t="s">
        <v>5</v>
      </c>
      <c r="L2" s="198" t="s">
        <v>647</v>
      </c>
      <c r="M2" s="199"/>
      <c r="N2" s="200"/>
      <c r="O2" s="198" t="s">
        <v>648</v>
      </c>
      <c r="P2" s="199"/>
      <c r="Q2" s="200"/>
      <c r="R2" s="198" t="s">
        <v>649</v>
      </c>
      <c r="S2" s="199"/>
      <c r="T2" s="201"/>
      <c r="U2" s="195" t="s">
        <v>650</v>
      </c>
      <c r="V2" s="196"/>
      <c r="W2" s="197"/>
      <c r="X2" s="195" t="s">
        <v>651</v>
      </c>
      <c r="Y2" s="196"/>
      <c r="Z2" s="197"/>
      <c r="AA2" s="192" t="s">
        <v>652</v>
      </c>
      <c r="AB2" s="193"/>
      <c r="AC2" s="194"/>
      <c r="AD2" s="195" t="s">
        <v>653</v>
      </c>
      <c r="AE2" s="196"/>
      <c r="AF2" s="197"/>
      <c r="AG2" s="195" t="s">
        <v>654</v>
      </c>
      <c r="AH2" s="196"/>
      <c r="AI2" s="197"/>
      <c r="AJ2" s="195" t="s">
        <v>655</v>
      </c>
      <c r="AK2" s="196"/>
      <c r="AL2" s="197"/>
      <c r="AM2" s="192" t="s">
        <v>656</v>
      </c>
      <c r="AN2" s="193"/>
      <c r="AO2" s="194"/>
      <c r="AP2" s="192" t="s">
        <v>657</v>
      </c>
      <c r="AQ2" s="193"/>
      <c r="AR2" s="194"/>
      <c r="AS2" s="195" t="s">
        <v>658</v>
      </c>
      <c r="AT2" s="196"/>
      <c r="AU2" s="197"/>
      <c r="AV2" s="222" t="s">
        <v>659</v>
      </c>
      <c r="AW2" s="223"/>
      <c r="AX2" s="224"/>
      <c r="AY2" s="222" t="s">
        <v>660</v>
      </c>
      <c r="AZ2" s="223"/>
      <c r="BA2" s="224"/>
      <c r="BB2" s="198" t="s">
        <v>6</v>
      </c>
      <c r="BC2" s="199"/>
      <c r="BD2" s="221"/>
      <c r="BE2" s="198" t="s">
        <v>7</v>
      </c>
      <c r="BF2" s="199"/>
      <c r="BG2" s="221"/>
      <c r="BH2" s="198" t="s">
        <v>638</v>
      </c>
      <c r="BI2" s="199"/>
      <c r="BJ2" s="221"/>
      <c r="BK2" s="198" t="s">
        <v>639</v>
      </c>
      <c r="BL2" s="199"/>
      <c r="BM2" s="221"/>
      <c r="BN2" s="218">
        <v>45778</v>
      </c>
      <c r="BO2" s="219"/>
      <c r="BP2" s="220"/>
      <c r="BQ2" s="218">
        <v>45809</v>
      </c>
      <c r="BR2" s="219"/>
      <c r="BS2" s="220"/>
      <c r="BT2" s="218">
        <v>45839</v>
      </c>
      <c r="BU2" s="219"/>
      <c r="BV2" s="220"/>
      <c r="BW2" s="218">
        <v>45870</v>
      </c>
      <c r="BX2" s="219"/>
      <c r="BY2" s="220"/>
      <c r="BZ2" s="218">
        <v>45901</v>
      </c>
      <c r="CA2" s="219"/>
      <c r="CB2" s="220"/>
      <c r="CC2" s="218">
        <v>45931</v>
      </c>
      <c r="CD2" s="219"/>
      <c r="CE2" s="220"/>
      <c r="CF2" s="218">
        <v>45962</v>
      </c>
      <c r="CG2" s="219"/>
      <c r="CH2" s="220"/>
      <c r="CI2" s="218">
        <v>45992</v>
      </c>
      <c r="CJ2" s="219"/>
      <c r="CK2" s="220"/>
      <c r="CL2" s="222" t="s">
        <v>1152</v>
      </c>
      <c r="CM2" s="223"/>
      <c r="CN2" s="224"/>
      <c r="CO2" s="222" t="s">
        <v>1153</v>
      </c>
      <c r="CP2" s="223"/>
      <c r="CQ2" s="224"/>
    </row>
    <row r="3" spans="1:97" s="4" customFormat="1" ht="22.15" customHeight="1" thickBot="1" x14ac:dyDescent="0.65">
      <c r="A3" s="203"/>
      <c r="B3" s="206"/>
      <c r="C3" s="229"/>
      <c r="D3" s="207"/>
      <c r="E3" s="206"/>
      <c r="F3" s="207"/>
      <c r="G3" s="209"/>
      <c r="H3" s="214"/>
      <c r="I3" s="215"/>
      <c r="J3" s="217"/>
      <c r="K3" s="211"/>
      <c r="L3" s="69" t="s">
        <v>8</v>
      </c>
      <c r="M3" s="59" t="s">
        <v>9</v>
      </c>
      <c r="N3" s="101" t="s">
        <v>10</v>
      </c>
      <c r="O3" s="69" t="s">
        <v>8</v>
      </c>
      <c r="P3" s="59" t="s">
        <v>9</v>
      </c>
      <c r="Q3" s="99" t="s">
        <v>10</v>
      </c>
      <c r="R3" s="69" t="s">
        <v>8</v>
      </c>
      <c r="S3" s="59" t="s">
        <v>9</v>
      </c>
      <c r="T3" s="105" t="s">
        <v>10</v>
      </c>
      <c r="U3" s="69" t="s">
        <v>8</v>
      </c>
      <c r="V3" s="59" t="s">
        <v>9</v>
      </c>
      <c r="W3" s="70" t="s">
        <v>10</v>
      </c>
      <c r="X3" s="69" t="s">
        <v>8</v>
      </c>
      <c r="Y3" s="59" t="s">
        <v>9</v>
      </c>
      <c r="Z3" s="70" t="s">
        <v>10</v>
      </c>
      <c r="AA3" s="69" t="s">
        <v>8</v>
      </c>
      <c r="AB3" s="59" t="s">
        <v>9</v>
      </c>
      <c r="AC3" s="70" t="s">
        <v>10</v>
      </c>
      <c r="AD3" s="69" t="s">
        <v>8</v>
      </c>
      <c r="AE3" s="59" t="s">
        <v>9</v>
      </c>
      <c r="AF3" s="70" t="s">
        <v>10</v>
      </c>
      <c r="AG3" s="69" t="s">
        <v>8</v>
      </c>
      <c r="AH3" s="59" t="s">
        <v>9</v>
      </c>
      <c r="AI3" s="70" t="s">
        <v>10</v>
      </c>
      <c r="AJ3" s="69" t="s">
        <v>8</v>
      </c>
      <c r="AK3" s="59" t="s">
        <v>9</v>
      </c>
      <c r="AL3" s="70" t="s">
        <v>10</v>
      </c>
      <c r="AM3" s="69" t="s">
        <v>8</v>
      </c>
      <c r="AN3" s="59" t="s">
        <v>9</v>
      </c>
      <c r="AO3" s="70" t="s">
        <v>10</v>
      </c>
      <c r="AP3" s="69" t="s">
        <v>8</v>
      </c>
      <c r="AQ3" s="59" t="s">
        <v>9</v>
      </c>
      <c r="AR3" s="70" t="s">
        <v>10</v>
      </c>
      <c r="AS3" s="69" t="s">
        <v>8</v>
      </c>
      <c r="AT3" s="59" t="s">
        <v>9</v>
      </c>
      <c r="AU3" s="70" t="s">
        <v>10</v>
      </c>
      <c r="AV3" s="85" t="s">
        <v>8</v>
      </c>
      <c r="AW3" s="60" t="s">
        <v>9</v>
      </c>
      <c r="AX3" s="82" t="s">
        <v>10</v>
      </c>
      <c r="AY3" s="85" t="s">
        <v>8</v>
      </c>
      <c r="AZ3" s="60" t="s">
        <v>9</v>
      </c>
      <c r="BA3" s="82" t="s">
        <v>10</v>
      </c>
      <c r="BB3" s="69" t="s">
        <v>8</v>
      </c>
      <c r="BC3" s="59" t="s">
        <v>9</v>
      </c>
      <c r="BD3" s="70" t="s">
        <v>10</v>
      </c>
      <c r="BE3" s="69" t="s">
        <v>8</v>
      </c>
      <c r="BF3" s="59" t="s">
        <v>9</v>
      </c>
      <c r="BG3" s="70" t="s">
        <v>10</v>
      </c>
      <c r="BH3" s="69" t="s">
        <v>8</v>
      </c>
      <c r="BI3" s="59" t="s">
        <v>9</v>
      </c>
      <c r="BJ3" s="70" t="s">
        <v>10</v>
      </c>
      <c r="BK3" s="69" t="s">
        <v>8</v>
      </c>
      <c r="BL3" s="59" t="s">
        <v>9</v>
      </c>
      <c r="BM3" s="70" t="s">
        <v>10</v>
      </c>
      <c r="BN3" s="91" t="s">
        <v>8</v>
      </c>
      <c r="BO3" s="61" t="s">
        <v>9</v>
      </c>
      <c r="BP3" s="92" t="s">
        <v>10</v>
      </c>
      <c r="BQ3" s="91" t="s">
        <v>8</v>
      </c>
      <c r="BR3" s="61" t="s">
        <v>9</v>
      </c>
      <c r="BS3" s="111" t="s">
        <v>10</v>
      </c>
      <c r="BT3" s="91" t="s">
        <v>8</v>
      </c>
      <c r="BU3" s="61" t="s">
        <v>9</v>
      </c>
      <c r="BV3" s="111" t="s">
        <v>10</v>
      </c>
      <c r="BW3" s="91" t="s">
        <v>8</v>
      </c>
      <c r="BX3" s="61" t="s">
        <v>9</v>
      </c>
      <c r="BY3" s="111" t="s">
        <v>10</v>
      </c>
      <c r="BZ3" s="91" t="s">
        <v>8</v>
      </c>
      <c r="CA3" s="61" t="s">
        <v>9</v>
      </c>
      <c r="CB3" s="111" t="s">
        <v>10</v>
      </c>
      <c r="CC3" s="91" t="s">
        <v>8</v>
      </c>
      <c r="CD3" s="61" t="s">
        <v>9</v>
      </c>
      <c r="CE3" s="111" t="s">
        <v>10</v>
      </c>
      <c r="CF3" s="91" t="s">
        <v>8</v>
      </c>
      <c r="CG3" s="61" t="s">
        <v>9</v>
      </c>
      <c r="CH3" s="111" t="s">
        <v>10</v>
      </c>
      <c r="CI3" s="91" t="s">
        <v>8</v>
      </c>
      <c r="CJ3" s="61" t="s">
        <v>9</v>
      </c>
      <c r="CK3" s="111" t="s">
        <v>10</v>
      </c>
      <c r="CL3" s="85" t="s">
        <v>8</v>
      </c>
      <c r="CM3" s="60" t="s">
        <v>9</v>
      </c>
      <c r="CN3" s="82" t="s">
        <v>10</v>
      </c>
      <c r="CO3" s="85" t="s">
        <v>8</v>
      </c>
      <c r="CP3" s="60" t="s">
        <v>9</v>
      </c>
      <c r="CQ3" s="82" t="s">
        <v>10</v>
      </c>
    </row>
    <row r="4" spans="1:97" s="2" customFormat="1" ht="34.9" customHeight="1" x14ac:dyDescent="0.6">
      <c r="A4" s="5">
        <v>1</v>
      </c>
      <c r="B4" s="126" t="s">
        <v>11</v>
      </c>
      <c r="C4" s="126" t="s">
        <v>11</v>
      </c>
      <c r="D4" s="127" t="s">
        <v>12</v>
      </c>
      <c r="E4" s="128" t="s">
        <v>13</v>
      </c>
      <c r="F4" s="128" t="s">
        <v>14</v>
      </c>
      <c r="G4" s="6" t="s">
        <v>15</v>
      </c>
      <c r="H4" s="129" t="s">
        <v>668</v>
      </c>
      <c r="I4" s="130" t="s">
        <v>669</v>
      </c>
      <c r="J4" s="130" t="s">
        <v>670</v>
      </c>
      <c r="K4" s="40" t="s">
        <v>16</v>
      </c>
      <c r="L4" s="9">
        <v>19618</v>
      </c>
      <c r="M4" s="62">
        <v>279050</v>
      </c>
      <c r="N4" s="78">
        <v>212668</v>
      </c>
      <c r="O4" s="9">
        <v>15961</v>
      </c>
      <c r="P4" s="62">
        <v>232338</v>
      </c>
      <c r="Q4" s="41">
        <v>170655</v>
      </c>
      <c r="R4" s="9">
        <v>17929</v>
      </c>
      <c r="S4" s="62">
        <v>259548</v>
      </c>
      <c r="T4" s="98">
        <v>191578</v>
      </c>
      <c r="U4" s="9">
        <v>17258</v>
      </c>
      <c r="V4" s="62">
        <v>249886</v>
      </c>
      <c r="W4" s="8">
        <v>17258</v>
      </c>
      <c r="X4" s="9">
        <v>17405</v>
      </c>
      <c r="Y4" s="62">
        <v>253170</v>
      </c>
      <c r="Z4" s="8">
        <v>188045</v>
      </c>
      <c r="AA4" s="9">
        <v>25360</v>
      </c>
      <c r="AB4" s="62">
        <v>359750</v>
      </c>
      <c r="AC4" s="8">
        <v>197041.59999999998</v>
      </c>
      <c r="AD4" s="9">
        <v>17450</v>
      </c>
      <c r="AE4" s="62">
        <v>256334</v>
      </c>
      <c r="AF4" s="8">
        <v>190217</v>
      </c>
      <c r="AG4" s="9">
        <v>12363</v>
      </c>
      <c r="AH4" s="62">
        <v>186870</v>
      </c>
      <c r="AI4" s="8">
        <v>135736</v>
      </c>
      <c r="AJ4" s="9">
        <v>14216</v>
      </c>
      <c r="AK4" s="62">
        <v>213602</v>
      </c>
      <c r="AL4" s="8">
        <v>156892.40000000002</v>
      </c>
      <c r="AM4" s="9">
        <v>14227</v>
      </c>
      <c r="AN4" s="62">
        <v>207590</v>
      </c>
      <c r="AO4" s="8">
        <v>154657.59999999998</v>
      </c>
      <c r="AP4" s="9">
        <v>18107</v>
      </c>
      <c r="AQ4" s="62">
        <v>273430</v>
      </c>
      <c r="AR4" s="8">
        <v>197439</v>
      </c>
      <c r="AS4" s="9">
        <v>8155</v>
      </c>
      <c r="AT4" s="62">
        <v>123380</v>
      </c>
      <c r="AU4" s="8">
        <v>87354</v>
      </c>
      <c r="AV4" s="54">
        <f>L4+O4+R4+U4+X4+AA4+AD4+AG4+AJ4+AM4+AP4+AS4</f>
        <v>198049</v>
      </c>
      <c r="AW4" s="63">
        <f>M4+P4+S4+V4+Y4+AB4+AE4+AH4+AK4+AN4+AQ4+AT4</f>
        <v>2894948</v>
      </c>
      <c r="AX4" s="55">
        <f>N4+Q4+T4+W4+Z4+AC4+AF4+AI4+AL4+AO4+AR4+AU4</f>
        <v>1899541.6</v>
      </c>
      <c r="AY4" s="54">
        <f>AV4/12</f>
        <v>16504.083333333332</v>
      </c>
      <c r="AZ4" s="63">
        <f>AY4/12</f>
        <v>1375.3402777777776</v>
      </c>
      <c r="BA4" s="55">
        <f>AX4/12</f>
        <v>158295.13333333333</v>
      </c>
      <c r="BB4" s="9">
        <v>12500</v>
      </c>
      <c r="BC4" s="62">
        <v>186810</v>
      </c>
      <c r="BD4" s="8">
        <v>135039.20000000001</v>
      </c>
      <c r="BE4" s="9">
        <v>10605</v>
      </c>
      <c r="BF4" s="62">
        <v>154400</v>
      </c>
      <c r="BG4" s="8">
        <v>114426.80000000002</v>
      </c>
      <c r="BH4" s="9">
        <v>23772</v>
      </c>
      <c r="BI4" s="62">
        <v>363420</v>
      </c>
      <c r="BJ4" s="8">
        <v>259389.2</v>
      </c>
      <c r="BK4" s="9">
        <v>5003</v>
      </c>
      <c r="BL4" s="62">
        <v>72930</v>
      </c>
      <c r="BM4" s="8">
        <v>51168.399999999994</v>
      </c>
      <c r="BN4" s="44">
        <v>14131</v>
      </c>
      <c r="BO4" s="42">
        <v>206792</v>
      </c>
      <c r="BP4" s="45">
        <v>152387.20000000001</v>
      </c>
      <c r="BQ4" s="44">
        <v>10510</v>
      </c>
      <c r="BR4" s="42">
        <v>157988</v>
      </c>
      <c r="BS4" s="45">
        <v>115182.39999999999</v>
      </c>
      <c r="BT4" s="44">
        <v>12035</v>
      </c>
      <c r="BU4" s="42">
        <v>179840</v>
      </c>
      <c r="BV4" s="112">
        <v>131107.59999999998</v>
      </c>
      <c r="BW4" s="115">
        <v>11936</v>
      </c>
      <c r="BX4" s="116">
        <v>182862</v>
      </c>
      <c r="BY4" s="112">
        <v>130278.8</v>
      </c>
      <c r="BZ4" s="115">
        <v>11475</v>
      </c>
      <c r="CA4" s="116">
        <v>177940</v>
      </c>
      <c r="CB4" s="112">
        <v>125481.20000000001</v>
      </c>
      <c r="CC4" s="115">
        <v>10734</v>
      </c>
      <c r="CD4" s="116">
        <v>166360</v>
      </c>
      <c r="CE4" s="112">
        <v>116618.4</v>
      </c>
      <c r="CF4" s="115">
        <v>10350</v>
      </c>
      <c r="CG4" s="116">
        <v>155950</v>
      </c>
      <c r="CH4" s="112">
        <v>113454.8</v>
      </c>
      <c r="CI4" s="115">
        <v>12045</v>
      </c>
      <c r="CJ4" s="116">
        <v>185830</v>
      </c>
      <c r="CK4" s="112">
        <v>131729.60000000001</v>
      </c>
      <c r="CL4" s="54">
        <f>+BB4+BE4+BH4+BK4+BN4+BQ4+BT4+BW4+BZ4+CC4+CF4+CI4</f>
        <v>145096</v>
      </c>
      <c r="CM4" s="63">
        <f>+BC4+BF4+BI4+BL4+BO4+BR4+BU4+BX4+CA4+CD4+CG4+CJ4</f>
        <v>2191122</v>
      </c>
      <c r="CN4" s="55">
        <f>+BD4+BG4+BJ4+BM4+BP4+BS4+BV4+BY4+CB4+CE4+CH4+CK4</f>
        <v>1576263.6</v>
      </c>
      <c r="CO4" s="54">
        <f>CL4/12</f>
        <v>12091.333333333334</v>
      </c>
      <c r="CP4" s="63">
        <f>CM4/12</f>
        <v>182593.5</v>
      </c>
      <c r="CQ4" s="55">
        <f>CN4/12</f>
        <v>131355.30000000002</v>
      </c>
      <c r="CR4" s="149">
        <f>+BT4+BW4+BZ4+CC4+CF4+CI4</f>
        <v>68575</v>
      </c>
      <c r="CS4" s="149">
        <f>+BU4+BX4+CA4+CD4+CG4+CJ4</f>
        <v>1048782</v>
      </c>
    </row>
    <row r="5" spans="1:97" s="2" customFormat="1" ht="34.9" customHeight="1" x14ac:dyDescent="0.6">
      <c r="A5" s="5">
        <v>2</v>
      </c>
      <c r="B5" s="131" t="s">
        <v>17</v>
      </c>
      <c r="C5" s="131" t="s">
        <v>17</v>
      </c>
      <c r="D5" s="14" t="s">
        <v>18</v>
      </c>
      <c r="E5" s="132" t="s">
        <v>19</v>
      </c>
      <c r="F5" s="132" t="s">
        <v>20</v>
      </c>
      <c r="G5" s="7" t="s">
        <v>15</v>
      </c>
      <c r="H5" s="16" t="s">
        <v>671</v>
      </c>
      <c r="I5" s="133" t="s">
        <v>672</v>
      </c>
      <c r="J5" s="133" t="s">
        <v>673</v>
      </c>
      <c r="K5" s="41" t="s">
        <v>16</v>
      </c>
      <c r="L5" s="9">
        <v>17080</v>
      </c>
      <c r="M5" s="62">
        <v>245240</v>
      </c>
      <c r="N5" s="78">
        <v>181280</v>
      </c>
      <c r="O5" s="9">
        <v>12685</v>
      </c>
      <c r="P5" s="62">
        <v>181980</v>
      </c>
      <c r="Q5" s="41">
        <v>129487</v>
      </c>
      <c r="R5" s="9">
        <v>15075</v>
      </c>
      <c r="S5" s="62">
        <v>212000</v>
      </c>
      <c r="T5" s="98">
        <v>159711</v>
      </c>
      <c r="U5" s="9">
        <v>14950</v>
      </c>
      <c r="V5" s="62">
        <v>215380</v>
      </c>
      <c r="W5" s="8">
        <v>158767</v>
      </c>
      <c r="X5" s="9">
        <v>16240</v>
      </c>
      <c r="Y5" s="62">
        <v>233940</v>
      </c>
      <c r="Z5" s="8">
        <v>171973</v>
      </c>
      <c r="AA5" s="9">
        <v>19050</v>
      </c>
      <c r="AB5" s="62">
        <v>269420</v>
      </c>
      <c r="AC5" s="8">
        <v>198279.2</v>
      </c>
      <c r="AD5" s="9">
        <v>15865</v>
      </c>
      <c r="AE5" s="62">
        <v>226120</v>
      </c>
      <c r="AF5" s="8">
        <v>170936</v>
      </c>
      <c r="AG5" s="9">
        <v>15489</v>
      </c>
      <c r="AH5" s="62">
        <v>219526</v>
      </c>
      <c r="AI5" s="8">
        <v>168061</v>
      </c>
      <c r="AJ5" s="9">
        <v>13065</v>
      </c>
      <c r="AK5" s="62">
        <v>182860</v>
      </c>
      <c r="AL5" s="8">
        <v>137618.4</v>
      </c>
      <c r="AM5" s="9">
        <v>15050</v>
      </c>
      <c r="AN5" s="62">
        <v>209600</v>
      </c>
      <c r="AO5" s="8">
        <v>158810.4</v>
      </c>
      <c r="AP5" s="9">
        <v>14185</v>
      </c>
      <c r="AQ5" s="62">
        <v>200620</v>
      </c>
      <c r="AR5" s="8">
        <v>150203</v>
      </c>
      <c r="AS5" s="9">
        <v>14050</v>
      </c>
      <c r="AT5" s="62">
        <v>195940</v>
      </c>
      <c r="AU5" s="8">
        <v>149329</v>
      </c>
      <c r="AV5" s="54">
        <f t="shared" ref="AV5:AX68" si="0">L5+O5+R5+U5+X5+AA5+AD5+AG5+AJ5+AM5+AP5+AS5</f>
        <v>182784</v>
      </c>
      <c r="AW5" s="63">
        <f t="shared" si="0"/>
        <v>2592626</v>
      </c>
      <c r="AX5" s="55">
        <f t="shared" si="0"/>
        <v>1934454.9999999998</v>
      </c>
      <c r="AY5" s="54">
        <f t="shared" ref="AY5:AY68" si="1">AV5/12</f>
        <v>15232</v>
      </c>
      <c r="AZ5" s="63">
        <f t="shared" ref="AZ5:AZ68" si="2">AY5/12</f>
        <v>1269.3333333333333</v>
      </c>
      <c r="BA5" s="55">
        <f t="shared" ref="BA5:BA68" si="3">AX5/12</f>
        <v>161204.58333333331</v>
      </c>
      <c r="BB5" s="9">
        <v>12585</v>
      </c>
      <c r="BC5" s="62">
        <v>178320</v>
      </c>
      <c r="BD5" s="8">
        <v>135994</v>
      </c>
      <c r="BE5" s="9">
        <v>12900</v>
      </c>
      <c r="BF5" s="62">
        <v>179360</v>
      </c>
      <c r="BG5" s="8">
        <v>135073.60000000001</v>
      </c>
      <c r="BH5" s="9">
        <v>16005</v>
      </c>
      <c r="BI5" s="62">
        <v>225360</v>
      </c>
      <c r="BJ5" s="8">
        <v>173236</v>
      </c>
      <c r="BK5" s="9">
        <v>10155</v>
      </c>
      <c r="BL5" s="62">
        <v>142360</v>
      </c>
      <c r="BM5" s="8">
        <v>108556</v>
      </c>
      <c r="BN5" s="44">
        <v>13345</v>
      </c>
      <c r="BO5" s="42">
        <v>182740</v>
      </c>
      <c r="BP5" s="45">
        <v>142970.80000000002</v>
      </c>
      <c r="BQ5" s="44">
        <v>13620</v>
      </c>
      <c r="BR5" s="42">
        <v>189100</v>
      </c>
      <c r="BS5" s="45">
        <v>146053.6</v>
      </c>
      <c r="BT5" s="44">
        <v>11835</v>
      </c>
      <c r="BU5" s="42">
        <v>163780</v>
      </c>
      <c r="BV5" s="112">
        <v>125810</v>
      </c>
      <c r="BW5" s="115">
        <v>12495</v>
      </c>
      <c r="BX5" s="116">
        <v>172180</v>
      </c>
      <c r="BY5" s="112">
        <v>134088</v>
      </c>
      <c r="BZ5" s="115">
        <v>11420</v>
      </c>
      <c r="CA5" s="116">
        <v>160280</v>
      </c>
      <c r="CB5" s="112">
        <v>121276.80000000002</v>
      </c>
      <c r="CC5" s="115">
        <v>11580</v>
      </c>
      <c r="CD5" s="116">
        <v>159200</v>
      </c>
      <c r="CE5" s="112">
        <v>124892.8</v>
      </c>
      <c r="CF5" s="115">
        <v>14305</v>
      </c>
      <c r="CG5" s="116">
        <v>197240</v>
      </c>
      <c r="CH5" s="112">
        <v>153422.39999999997</v>
      </c>
      <c r="CI5" s="115">
        <v>13200</v>
      </c>
      <c r="CJ5" s="116">
        <v>178340</v>
      </c>
      <c r="CK5" s="112">
        <v>144060.79999999999</v>
      </c>
      <c r="CL5" s="54">
        <f t="shared" ref="CL5:CN68" si="4">+BB5+BE5+BH5+BK5+BN5+BQ5+BT5+BW5+BZ5+CC5+CF5+CI5</f>
        <v>153445</v>
      </c>
      <c r="CM5" s="63">
        <f t="shared" si="4"/>
        <v>2128260</v>
      </c>
      <c r="CN5" s="55">
        <f t="shared" si="4"/>
        <v>1645434.8</v>
      </c>
      <c r="CO5" s="54">
        <f t="shared" ref="CO5:CQ68" si="5">CL5/12</f>
        <v>12787.083333333334</v>
      </c>
      <c r="CP5" s="63">
        <f t="shared" si="5"/>
        <v>177355</v>
      </c>
      <c r="CQ5" s="55">
        <f t="shared" si="5"/>
        <v>137119.56666666668</v>
      </c>
      <c r="CR5" s="149">
        <f t="shared" ref="CR5:CS44" si="6">+BT5+BW5+BZ5+CC5+CF5+CI5</f>
        <v>74835</v>
      </c>
      <c r="CS5" s="149">
        <f t="shared" si="6"/>
        <v>1031020</v>
      </c>
    </row>
    <row r="6" spans="1:97" s="2" customFormat="1" ht="34.9" customHeight="1" x14ac:dyDescent="0.6">
      <c r="A6" s="5">
        <v>3</v>
      </c>
      <c r="B6" s="131" t="s">
        <v>21</v>
      </c>
      <c r="C6" s="131" t="s">
        <v>21</v>
      </c>
      <c r="D6" s="14" t="s">
        <v>22</v>
      </c>
      <c r="E6" s="132" t="s">
        <v>23</v>
      </c>
      <c r="F6" s="132" t="s">
        <v>24</v>
      </c>
      <c r="G6" s="7" t="s">
        <v>15</v>
      </c>
      <c r="H6" s="16" t="s">
        <v>674</v>
      </c>
      <c r="I6" s="133" t="s">
        <v>675</v>
      </c>
      <c r="J6" s="133" t="s">
        <v>676</v>
      </c>
      <c r="K6" s="41" t="s">
        <v>16</v>
      </c>
      <c r="L6" s="9">
        <v>9431</v>
      </c>
      <c r="M6" s="62">
        <v>145482</v>
      </c>
      <c r="N6" s="78">
        <v>104150</v>
      </c>
      <c r="O6" s="9">
        <v>5165</v>
      </c>
      <c r="P6" s="62">
        <v>83000</v>
      </c>
      <c r="Q6" s="41">
        <v>58666</v>
      </c>
      <c r="R6" s="9">
        <v>7897</v>
      </c>
      <c r="S6" s="62">
        <v>120590</v>
      </c>
      <c r="T6" s="98">
        <v>89100</v>
      </c>
      <c r="U6" s="9">
        <v>7054</v>
      </c>
      <c r="V6" s="62">
        <v>105066</v>
      </c>
      <c r="W6" s="8">
        <v>80111</v>
      </c>
      <c r="X6" s="9">
        <v>6437</v>
      </c>
      <c r="Y6" s="62">
        <v>97744</v>
      </c>
      <c r="Z6" s="8">
        <v>73067</v>
      </c>
      <c r="AA6" s="9">
        <v>7299</v>
      </c>
      <c r="AB6" s="62">
        <v>105816</v>
      </c>
      <c r="AC6" s="8">
        <v>83284.240000000005</v>
      </c>
      <c r="AD6" s="9">
        <v>8005</v>
      </c>
      <c r="AE6" s="62">
        <v>118960</v>
      </c>
      <c r="AF6" s="8">
        <v>89780.800000000003</v>
      </c>
      <c r="AG6" s="9">
        <v>6652</v>
      </c>
      <c r="AH6" s="62">
        <v>100614</v>
      </c>
      <c r="AI6" s="8">
        <v>76185</v>
      </c>
      <c r="AJ6" s="9">
        <v>5539</v>
      </c>
      <c r="AK6" s="62">
        <v>82426</v>
      </c>
      <c r="AL6" s="8">
        <v>62575.44</v>
      </c>
      <c r="AM6" s="9">
        <v>6299</v>
      </c>
      <c r="AN6" s="62">
        <v>91788</v>
      </c>
      <c r="AO6" s="8">
        <v>71032.800000000003</v>
      </c>
      <c r="AP6" s="9">
        <v>7655</v>
      </c>
      <c r="AQ6" s="62">
        <v>112010</v>
      </c>
      <c r="AR6" s="8">
        <v>84205</v>
      </c>
      <c r="AS6" s="9">
        <v>7780</v>
      </c>
      <c r="AT6" s="62">
        <v>135980</v>
      </c>
      <c r="AU6" s="8">
        <v>91031</v>
      </c>
      <c r="AV6" s="54">
        <f t="shared" si="0"/>
        <v>85213</v>
      </c>
      <c r="AW6" s="63">
        <f t="shared" si="0"/>
        <v>1299476</v>
      </c>
      <c r="AX6" s="55">
        <f t="shared" si="0"/>
        <v>963188.28</v>
      </c>
      <c r="AY6" s="54">
        <f t="shared" si="1"/>
        <v>7101.083333333333</v>
      </c>
      <c r="AZ6" s="63">
        <f t="shared" si="2"/>
        <v>591.75694444444446</v>
      </c>
      <c r="BA6" s="55">
        <f t="shared" si="3"/>
        <v>80265.69</v>
      </c>
      <c r="BB6" s="9">
        <v>1815</v>
      </c>
      <c r="BC6" s="62">
        <v>25500</v>
      </c>
      <c r="BD6" s="8">
        <v>20625.599999999999</v>
      </c>
      <c r="BE6" s="9">
        <v>4720</v>
      </c>
      <c r="BF6" s="62">
        <v>63780</v>
      </c>
      <c r="BG6" s="8">
        <v>52740.4</v>
      </c>
      <c r="BH6" s="9">
        <v>8215</v>
      </c>
      <c r="BI6" s="62">
        <v>115112</v>
      </c>
      <c r="BJ6" s="8">
        <v>93806.96</v>
      </c>
      <c r="BK6" s="9">
        <v>6475</v>
      </c>
      <c r="BL6" s="62">
        <v>92880</v>
      </c>
      <c r="BM6" s="8">
        <v>72729.600000000006</v>
      </c>
      <c r="BN6" s="44">
        <v>4585</v>
      </c>
      <c r="BO6" s="42">
        <v>67780</v>
      </c>
      <c r="BP6" s="45">
        <v>51813.600000000006</v>
      </c>
      <c r="BQ6" s="44">
        <v>5510</v>
      </c>
      <c r="BR6" s="42">
        <v>80100</v>
      </c>
      <c r="BS6" s="45">
        <v>60966.400000000001</v>
      </c>
      <c r="BT6" s="44">
        <v>5395</v>
      </c>
      <c r="BU6" s="42">
        <v>80940</v>
      </c>
      <c r="BV6" s="112">
        <v>61629.600000000013</v>
      </c>
      <c r="BW6" s="115">
        <v>4655</v>
      </c>
      <c r="BX6" s="116">
        <v>65700</v>
      </c>
      <c r="BY6" s="112">
        <v>53425.599999999999</v>
      </c>
      <c r="BZ6" s="115">
        <v>6949</v>
      </c>
      <c r="CA6" s="116">
        <v>96810</v>
      </c>
      <c r="CB6" s="112">
        <v>80650.799999999988</v>
      </c>
      <c r="CC6" s="115">
        <v>6245</v>
      </c>
      <c r="CD6" s="116">
        <v>91320</v>
      </c>
      <c r="CE6" s="112">
        <v>70524</v>
      </c>
      <c r="CF6" s="115">
        <v>6130</v>
      </c>
      <c r="CG6" s="116">
        <v>94400</v>
      </c>
      <c r="CH6" s="112">
        <v>74343.199999999997</v>
      </c>
      <c r="CI6" s="115">
        <v>4869</v>
      </c>
      <c r="CJ6" s="116">
        <v>74236</v>
      </c>
      <c r="CK6" s="112">
        <v>55076.639999999999</v>
      </c>
      <c r="CL6" s="54">
        <f t="shared" si="4"/>
        <v>65563</v>
      </c>
      <c r="CM6" s="63">
        <f t="shared" si="4"/>
        <v>948558</v>
      </c>
      <c r="CN6" s="55">
        <f t="shared" si="4"/>
        <v>748332.4</v>
      </c>
      <c r="CO6" s="54">
        <f t="shared" si="5"/>
        <v>5463.583333333333</v>
      </c>
      <c r="CP6" s="63">
        <f t="shared" si="5"/>
        <v>79046.5</v>
      </c>
      <c r="CQ6" s="55">
        <f t="shared" si="5"/>
        <v>62361.033333333333</v>
      </c>
      <c r="CR6" s="149">
        <f t="shared" si="6"/>
        <v>34243</v>
      </c>
      <c r="CS6" s="149">
        <f t="shared" si="6"/>
        <v>503406</v>
      </c>
    </row>
    <row r="7" spans="1:97" s="2" customFormat="1" ht="34.9" customHeight="1" x14ac:dyDescent="0.6">
      <c r="A7" s="5">
        <v>4</v>
      </c>
      <c r="B7" s="131" t="s">
        <v>25</v>
      </c>
      <c r="C7" s="131" t="s">
        <v>25</v>
      </c>
      <c r="D7" s="14" t="s">
        <v>26</v>
      </c>
      <c r="E7" s="132" t="s">
        <v>19</v>
      </c>
      <c r="F7" s="132" t="s">
        <v>20</v>
      </c>
      <c r="G7" s="7" t="s">
        <v>15</v>
      </c>
      <c r="H7" s="16" t="s">
        <v>677</v>
      </c>
      <c r="I7" s="133" t="s">
        <v>678</v>
      </c>
      <c r="J7" s="133" t="s">
        <v>679</v>
      </c>
      <c r="K7" s="41" t="s">
        <v>16</v>
      </c>
      <c r="L7" s="9">
        <v>6968</v>
      </c>
      <c r="M7" s="62">
        <v>94352</v>
      </c>
      <c r="N7" s="78">
        <v>70969</v>
      </c>
      <c r="O7" s="9">
        <v>7510</v>
      </c>
      <c r="P7" s="62">
        <v>101220</v>
      </c>
      <c r="Q7" s="41">
        <v>76092</v>
      </c>
      <c r="R7" s="9">
        <v>10155</v>
      </c>
      <c r="S7" s="62">
        <v>135060</v>
      </c>
      <c r="T7" s="98">
        <v>103488</v>
      </c>
      <c r="U7" s="9">
        <v>8100</v>
      </c>
      <c r="V7" s="62">
        <v>107300</v>
      </c>
      <c r="W7" s="8">
        <v>81848</v>
      </c>
      <c r="X7" s="9">
        <v>8959</v>
      </c>
      <c r="Y7" s="62">
        <v>119526</v>
      </c>
      <c r="Z7" s="8">
        <v>89961</v>
      </c>
      <c r="AA7" s="9">
        <v>8899</v>
      </c>
      <c r="AB7" s="62">
        <v>118886</v>
      </c>
      <c r="AC7" s="8">
        <v>89659.040000000008</v>
      </c>
      <c r="AD7" s="9">
        <v>7230</v>
      </c>
      <c r="AE7" s="62">
        <v>96420</v>
      </c>
      <c r="AF7" s="8">
        <v>73805</v>
      </c>
      <c r="AG7" s="9">
        <v>5562</v>
      </c>
      <c r="AH7" s="62">
        <v>73828</v>
      </c>
      <c r="AI7" s="8">
        <v>56624</v>
      </c>
      <c r="AJ7" s="9">
        <v>5770</v>
      </c>
      <c r="AK7" s="62">
        <v>76780</v>
      </c>
      <c r="AL7" s="8">
        <v>59111.199999999997</v>
      </c>
      <c r="AM7" s="9">
        <v>5830</v>
      </c>
      <c r="AN7" s="62">
        <v>77560</v>
      </c>
      <c r="AO7" s="8">
        <v>61360</v>
      </c>
      <c r="AP7" s="9">
        <v>8248</v>
      </c>
      <c r="AQ7" s="62">
        <v>109096</v>
      </c>
      <c r="AR7" s="8">
        <v>88130</v>
      </c>
      <c r="AS7" s="9">
        <v>6491</v>
      </c>
      <c r="AT7" s="62">
        <v>88820</v>
      </c>
      <c r="AU7" s="8">
        <v>68322</v>
      </c>
      <c r="AV7" s="54">
        <f t="shared" si="0"/>
        <v>89722</v>
      </c>
      <c r="AW7" s="63">
        <f t="shared" si="0"/>
        <v>1198848</v>
      </c>
      <c r="AX7" s="55">
        <f t="shared" si="0"/>
        <v>919369.24</v>
      </c>
      <c r="AY7" s="54">
        <f t="shared" si="1"/>
        <v>7476.833333333333</v>
      </c>
      <c r="AZ7" s="63">
        <f t="shared" si="2"/>
        <v>623.06944444444446</v>
      </c>
      <c r="BA7" s="55">
        <f t="shared" si="3"/>
        <v>76614.103333333333</v>
      </c>
      <c r="BB7" s="9">
        <v>7547</v>
      </c>
      <c r="BC7" s="62">
        <v>102462</v>
      </c>
      <c r="BD7" s="8">
        <v>81023.040000000008</v>
      </c>
      <c r="BE7" s="9">
        <v>6448</v>
      </c>
      <c r="BF7" s="62">
        <v>86412</v>
      </c>
      <c r="BG7" s="8">
        <v>70193.279999999999</v>
      </c>
      <c r="BH7" s="9">
        <v>9924</v>
      </c>
      <c r="BI7" s="62">
        <v>133206</v>
      </c>
      <c r="BJ7" s="8">
        <v>108164.64</v>
      </c>
      <c r="BK7" s="9">
        <v>8260</v>
      </c>
      <c r="BL7" s="62">
        <v>114590</v>
      </c>
      <c r="BM7" s="8">
        <v>89645.6</v>
      </c>
      <c r="BN7" s="44">
        <v>8198</v>
      </c>
      <c r="BO7" s="42">
        <v>109316</v>
      </c>
      <c r="BP7" s="45">
        <v>90459.199999999997</v>
      </c>
      <c r="BQ7" s="44">
        <v>8215</v>
      </c>
      <c r="BR7" s="42">
        <v>112050</v>
      </c>
      <c r="BS7" s="45">
        <v>90741.6</v>
      </c>
      <c r="BT7" s="44">
        <v>7405</v>
      </c>
      <c r="BU7" s="42">
        <v>99180</v>
      </c>
      <c r="BV7" s="112">
        <v>81213.600000000006</v>
      </c>
      <c r="BW7" s="115">
        <v>5337</v>
      </c>
      <c r="BX7" s="116">
        <v>72044</v>
      </c>
      <c r="BY7" s="112">
        <v>58184</v>
      </c>
      <c r="BZ7" s="115">
        <v>6409</v>
      </c>
      <c r="CA7" s="116">
        <v>85766</v>
      </c>
      <c r="CB7" s="112">
        <v>70211.839999999997</v>
      </c>
      <c r="CC7" s="115">
        <v>6799</v>
      </c>
      <c r="CD7" s="116">
        <v>91908</v>
      </c>
      <c r="CE7" s="112">
        <v>75957.600000000006</v>
      </c>
      <c r="CF7" s="115">
        <v>6249</v>
      </c>
      <c r="CG7" s="116">
        <v>81648</v>
      </c>
      <c r="CH7" s="112">
        <v>68140.800000000003</v>
      </c>
      <c r="CI7" s="115">
        <v>7313</v>
      </c>
      <c r="CJ7" s="116">
        <v>96976</v>
      </c>
      <c r="CK7" s="112">
        <v>81949.600000000006</v>
      </c>
      <c r="CL7" s="54">
        <f t="shared" si="4"/>
        <v>88104</v>
      </c>
      <c r="CM7" s="63">
        <f t="shared" si="4"/>
        <v>1185558</v>
      </c>
      <c r="CN7" s="55">
        <f t="shared" si="4"/>
        <v>965884.8</v>
      </c>
      <c r="CO7" s="54">
        <f t="shared" si="5"/>
        <v>7342</v>
      </c>
      <c r="CP7" s="63">
        <f t="shared" si="5"/>
        <v>98796.5</v>
      </c>
      <c r="CQ7" s="55">
        <f t="shared" si="5"/>
        <v>80490.400000000009</v>
      </c>
      <c r="CR7" s="149">
        <f t="shared" si="6"/>
        <v>39512</v>
      </c>
      <c r="CS7" s="149">
        <f t="shared" si="6"/>
        <v>527522</v>
      </c>
    </row>
    <row r="8" spans="1:97" s="2" customFormat="1" ht="34.9" customHeight="1" x14ac:dyDescent="0.6">
      <c r="A8" s="5">
        <v>5</v>
      </c>
      <c r="B8" s="131" t="s">
        <v>27</v>
      </c>
      <c r="C8" s="131" t="s">
        <v>27</v>
      </c>
      <c r="D8" s="14" t="s">
        <v>28</v>
      </c>
      <c r="E8" s="132" t="s">
        <v>29</v>
      </c>
      <c r="F8" s="132" t="s">
        <v>30</v>
      </c>
      <c r="G8" s="7" t="s">
        <v>15</v>
      </c>
      <c r="H8" s="16" t="s">
        <v>680</v>
      </c>
      <c r="I8" s="133" t="s">
        <v>681</v>
      </c>
      <c r="J8" s="133" t="s">
        <v>682</v>
      </c>
      <c r="K8" s="41" t="s">
        <v>16</v>
      </c>
      <c r="L8" s="9">
        <v>6940</v>
      </c>
      <c r="M8" s="62">
        <v>98060</v>
      </c>
      <c r="N8" s="78">
        <v>75008</v>
      </c>
      <c r="O8" s="9">
        <v>6010</v>
      </c>
      <c r="P8" s="62">
        <v>84280</v>
      </c>
      <c r="Q8" s="41">
        <v>65805</v>
      </c>
      <c r="R8" s="9">
        <v>7000</v>
      </c>
      <c r="S8" s="62">
        <v>97820</v>
      </c>
      <c r="T8" s="98">
        <v>75778</v>
      </c>
      <c r="U8" s="9">
        <v>7005</v>
      </c>
      <c r="V8" s="62">
        <v>98800</v>
      </c>
      <c r="W8" s="8">
        <v>76156</v>
      </c>
      <c r="X8" s="9">
        <v>7000</v>
      </c>
      <c r="Y8" s="62">
        <v>97920</v>
      </c>
      <c r="Z8" s="8">
        <v>76612</v>
      </c>
      <c r="AA8" s="9">
        <v>7530</v>
      </c>
      <c r="AB8" s="62">
        <v>105340</v>
      </c>
      <c r="AC8" s="8">
        <v>82476.399999999994</v>
      </c>
      <c r="AD8" s="9">
        <v>7500</v>
      </c>
      <c r="AE8" s="62">
        <v>103310</v>
      </c>
      <c r="AF8" s="8">
        <v>62835</v>
      </c>
      <c r="AG8" s="9">
        <v>7220</v>
      </c>
      <c r="AH8" s="62">
        <v>100900</v>
      </c>
      <c r="AI8" s="8">
        <v>80072</v>
      </c>
      <c r="AJ8" s="9">
        <v>6230</v>
      </c>
      <c r="AK8" s="62">
        <v>91480</v>
      </c>
      <c r="AL8" s="8">
        <v>68679.200000000012</v>
      </c>
      <c r="AM8" s="9">
        <v>6720</v>
      </c>
      <c r="AN8" s="62">
        <v>97120</v>
      </c>
      <c r="AO8" s="8">
        <v>73648.800000000003</v>
      </c>
      <c r="AP8" s="9">
        <v>5180</v>
      </c>
      <c r="AQ8" s="62">
        <v>76180</v>
      </c>
      <c r="AR8" s="8">
        <v>57004</v>
      </c>
      <c r="AS8" s="9">
        <v>5180</v>
      </c>
      <c r="AT8" s="62">
        <v>75420</v>
      </c>
      <c r="AU8" s="8">
        <v>57160</v>
      </c>
      <c r="AV8" s="54">
        <f t="shared" si="0"/>
        <v>79515</v>
      </c>
      <c r="AW8" s="63">
        <f t="shared" si="0"/>
        <v>1126630</v>
      </c>
      <c r="AX8" s="55">
        <f t="shared" si="0"/>
        <v>851234.40000000014</v>
      </c>
      <c r="AY8" s="54">
        <f t="shared" si="1"/>
        <v>6626.25</v>
      </c>
      <c r="AZ8" s="63">
        <f t="shared" si="2"/>
        <v>552.1875</v>
      </c>
      <c r="BA8" s="55">
        <f t="shared" si="3"/>
        <v>70936.200000000012</v>
      </c>
      <c r="BB8" s="9">
        <v>5696</v>
      </c>
      <c r="BC8" s="62">
        <v>83060</v>
      </c>
      <c r="BD8" s="8">
        <v>62569.999999999993</v>
      </c>
      <c r="BE8" s="9">
        <v>4164</v>
      </c>
      <c r="BF8" s="62">
        <v>60040</v>
      </c>
      <c r="BG8" s="8">
        <v>45896</v>
      </c>
      <c r="BH8" s="9">
        <v>5735</v>
      </c>
      <c r="BI8" s="62">
        <v>83740</v>
      </c>
      <c r="BJ8" s="8">
        <v>63158.8</v>
      </c>
      <c r="BK8" s="9">
        <v>4205</v>
      </c>
      <c r="BL8" s="62">
        <v>62430</v>
      </c>
      <c r="BM8" s="8">
        <v>46294</v>
      </c>
      <c r="BN8" s="44">
        <v>5030</v>
      </c>
      <c r="BO8" s="42">
        <v>73420</v>
      </c>
      <c r="BP8" s="45">
        <v>55705.2</v>
      </c>
      <c r="BQ8" s="44">
        <v>5510</v>
      </c>
      <c r="BR8" s="42">
        <v>80200</v>
      </c>
      <c r="BS8" s="45">
        <v>61006.399999999994</v>
      </c>
      <c r="BT8" s="44">
        <v>5020</v>
      </c>
      <c r="BU8" s="42">
        <v>72240</v>
      </c>
      <c r="BV8" s="112">
        <v>55336.800000000003</v>
      </c>
      <c r="BW8" s="115">
        <v>5000</v>
      </c>
      <c r="BX8" s="116">
        <v>74160</v>
      </c>
      <c r="BY8" s="112">
        <v>55030.400000000001</v>
      </c>
      <c r="BZ8" s="115">
        <v>4520</v>
      </c>
      <c r="CA8" s="116">
        <v>65840</v>
      </c>
      <c r="CB8" s="112">
        <v>49776.800000000003</v>
      </c>
      <c r="CC8" s="115">
        <v>5200</v>
      </c>
      <c r="CD8" s="116">
        <v>76680</v>
      </c>
      <c r="CE8" s="112">
        <v>57813.599999999999</v>
      </c>
      <c r="CF8" s="115">
        <v>4020</v>
      </c>
      <c r="CG8" s="116">
        <v>58160</v>
      </c>
      <c r="CH8" s="112">
        <v>44584</v>
      </c>
      <c r="CI8" s="115">
        <v>5000</v>
      </c>
      <c r="CJ8" s="116">
        <v>73940</v>
      </c>
      <c r="CK8" s="112">
        <v>55618.399999999994</v>
      </c>
      <c r="CL8" s="54">
        <f t="shared" si="4"/>
        <v>59100</v>
      </c>
      <c r="CM8" s="63">
        <f t="shared" si="4"/>
        <v>863910</v>
      </c>
      <c r="CN8" s="55">
        <f t="shared" si="4"/>
        <v>652790.4</v>
      </c>
      <c r="CO8" s="54">
        <f t="shared" si="5"/>
        <v>4925</v>
      </c>
      <c r="CP8" s="63">
        <f t="shared" si="5"/>
        <v>71992.5</v>
      </c>
      <c r="CQ8" s="55">
        <f t="shared" si="5"/>
        <v>54399.200000000004</v>
      </c>
      <c r="CR8" s="149">
        <f t="shared" si="6"/>
        <v>28760</v>
      </c>
      <c r="CS8" s="149">
        <f t="shared" si="6"/>
        <v>421020</v>
      </c>
    </row>
    <row r="9" spans="1:97" s="2" customFormat="1" ht="34.9" customHeight="1" x14ac:dyDescent="0.6">
      <c r="A9" s="5">
        <v>6</v>
      </c>
      <c r="B9" s="131" t="s">
        <v>31</v>
      </c>
      <c r="C9" s="131" t="s">
        <v>31</v>
      </c>
      <c r="D9" s="14" t="s">
        <v>32</v>
      </c>
      <c r="E9" s="132" t="s">
        <v>33</v>
      </c>
      <c r="F9" s="132" t="s">
        <v>34</v>
      </c>
      <c r="G9" s="7" t="s">
        <v>15</v>
      </c>
      <c r="H9" s="16" t="s">
        <v>683</v>
      </c>
      <c r="I9" s="133" t="s">
        <v>684</v>
      </c>
      <c r="J9" s="133" t="s">
        <v>685</v>
      </c>
      <c r="K9" s="41" t="s">
        <v>16</v>
      </c>
      <c r="L9" s="9">
        <v>4705</v>
      </c>
      <c r="M9" s="62">
        <v>69020</v>
      </c>
      <c r="N9" s="78">
        <v>46637</v>
      </c>
      <c r="O9" s="9">
        <v>4535</v>
      </c>
      <c r="P9" s="62">
        <v>66620</v>
      </c>
      <c r="Q9" s="41">
        <v>45199</v>
      </c>
      <c r="R9" s="9">
        <v>4005</v>
      </c>
      <c r="S9" s="62">
        <v>59600</v>
      </c>
      <c r="T9" s="98">
        <v>40125</v>
      </c>
      <c r="U9" s="9">
        <v>8470</v>
      </c>
      <c r="V9" s="62">
        <v>118160</v>
      </c>
      <c r="W9" s="8">
        <v>84804</v>
      </c>
      <c r="X9" s="9">
        <v>7700</v>
      </c>
      <c r="Y9" s="62">
        <v>111480</v>
      </c>
      <c r="Z9" s="8">
        <v>72504</v>
      </c>
      <c r="AA9" s="9">
        <v>8073</v>
      </c>
      <c r="AB9" s="62">
        <v>114706</v>
      </c>
      <c r="AC9" s="8">
        <v>78337.600000000006</v>
      </c>
      <c r="AD9" s="9">
        <v>6935</v>
      </c>
      <c r="AE9" s="62">
        <v>98260</v>
      </c>
      <c r="AF9" s="8">
        <v>69226</v>
      </c>
      <c r="AG9" s="9">
        <v>5765</v>
      </c>
      <c r="AH9" s="62">
        <v>84630</v>
      </c>
      <c r="AI9" s="8">
        <v>56192</v>
      </c>
      <c r="AJ9" s="9">
        <v>5890</v>
      </c>
      <c r="AK9" s="62">
        <v>84360</v>
      </c>
      <c r="AL9" s="8">
        <v>57992.800000000003</v>
      </c>
      <c r="AM9" s="9">
        <v>6010</v>
      </c>
      <c r="AN9" s="62">
        <v>87340</v>
      </c>
      <c r="AO9" s="8">
        <v>60343.200000000004</v>
      </c>
      <c r="AP9" s="9">
        <v>7015</v>
      </c>
      <c r="AQ9" s="62">
        <v>100540</v>
      </c>
      <c r="AR9" s="8">
        <v>69116</v>
      </c>
      <c r="AS9" s="9">
        <v>6280</v>
      </c>
      <c r="AT9" s="62">
        <v>89420</v>
      </c>
      <c r="AU9" s="8">
        <v>61223</v>
      </c>
      <c r="AV9" s="54">
        <f t="shared" si="0"/>
        <v>75383</v>
      </c>
      <c r="AW9" s="63">
        <f t="shared" si="0"/>
        <v>1084136</v>
      </c>
      <c r="AX9" s="55">
        <f t="shared" si="0"/>
        <v>741699.6</v>
      </c>
      <c r="AY9" s="54">
        <f t="shared" si="1"/>
        <v>6281.916666666667</v>
      </c>
      <c r="AZ9" s="63">
        <f t="shared" si="2"/>
        <v>523.49305555555554</v>
      </c>
      <c r="BA9" s="55">
        <f t="shared" si="3"/>
        <v>61808.299999999996</v>
      </c>
      <c r="BB9" s="9">
        <v>6290</v>
      </c>
      <c r="BC9" s="62">
        <v>88630</v>
      </c>
      <c r="BD9" s="8">
        <v>62321.600000000006</v>
      </c>
      <c r="BE9" s="9">
        <v>6600</v>
      </c>
      <c r="BF9" s="62">
        <v>94740</v>
      </c>
      <c r="BG9" s="8">
        <v>65354</v>
      </c>
      <c r="BH9" s="9">
        <v>7600</v>
      </c>
      <c r="BI9" s="62">
        <v>107640</v>
      </c>
      <c r="BJ9" s="8">
        <v>78568</v>
      </c>
      <c r="BK9" s="9">
        <v>5855</v>
      </c>
      <c r="BL9" s="62">
        <v>84990</v>
      </c>
      <c r="BM9" s="8">
        <v>56120.800000000003</v>
      </c>
      <c r="BN9" s="44">
        <v>6190</v>
      </c>
      <c r="BO9" s="42">
        <v>87610</v>
      </c>
      <c r="BP9" s="45">
        <v>61233.600000000006</v>
      </c>
      <c r="BQ9" s="44">
        <v>7675</v>
      </c>
      <c r="BR9" s="42">
        <v>106380</v>
      </c>
      <c r="BS9" s="45">
        <v>77808.399999999994</v>
      </c>
      <c r="BT9" s="44">
        <v>6605</v>
      </c>
      <c r="BU9" s="42">
        <v>92010</v>
      </c>
      <c r="BV9" s="112">
        <v>67330</v>
      </c>
      <c r="BW9" s="115">
        <v>6519</v>
      </c>
      <c r="BX9" s="116">
        <v>93158</v>
      </c>
      <c r="BY9" s="112">
        <v>66910.8</v>
      </c>
      <c r="BZ9" s="115">
        <v>5450</v>
      </c>
      <c r="CA9" s="116">
        <v>74930</v>
      </c>
      <c r="CB9" s="112">
        <v>56407.200000000004</v>
      </c>
      <c r="CC9" s="115">
        <v>6290</v>
      </c>
      <c r="CD9" s="116">
        <v>85460</v>
      </c>
      <c r="CE9" s="112">
        <v>64478.400000000001</v>
      </c>
      <c r="CF9" s="115">
        <v>6605</v>
      </c>
      <c r="CG9" s="116">
        <v>92280</v>
      </c>
      <c r="CH9" s="112">
        <v>67648</v>
      </c>
      <c r="CI9" s="115">
        <v>7025</v>
      </c>
      <c r="CJ9" s="116">
        <v>97560</v>
      </c>
      <c r="CK9" s="112">
        <v>72648.799999999988</v>
      </c>
      <c r="CL9" s="54">
        <f t="shared" si="4"/>
        <v>78704</v>
      </c>
      <c r="CM9" s="63">
        <f t="shared" si="4"/>
        <v>1105388</v>
      </c>
      <c r="CN9" s="55">
        <f t="shared" si="4"/>
        <v>796829.60000000009</v>
      </c>
      <c r="CO9" s="54">
        <f t="shared" si="5"/>
        <v>6558.666666666667</v>
      </c>
      <c r="CP9" s="63">
        <f t="shared" si="5"/>
        <v>92115.666666666672</v>
      </c>
      <c r="CQ9" s="55">
        <f t="shared" si="5"/>
        <v>66402.466666666674</v>
      </c>
      <c r="CR9" s="149">
        <f t="shared" si="6"/>
        <v>38494</v>
      </c>
      <c r="CS9" s="149">
        <f t="shared" si="6"/>
        <v>535398</v>
      </c>
    </row>
    <row r="10" spans="1:97" s="2" customFormat="1" ht="34.9" customHeight="1" x14ac:dyDescent="0.6">
      <c r="A10" s="5">
        <v>7</v>
      </c>
      <c r="B10" s="131" t="s">
        <v>35</v>
      </c>
      <c r="C10" s="131" t="s">
        <v>35</v>
      </c>
      <c r="D10" s="14" t="s">
        <v>36</v>
      </c>
      <c r="E10" s="132" t="s">
        <v>37</v>
      </c>
      <c r="F10" s="132" t="s">
        <v>38</v>
      </c>
      <c r="G10" s="7" t="s">
        <v>15</v>
      </c>
      <c r="H10" s="16" t="s">
        <v>686</v>
      </c>
      <c r="I10" s="133" t="s">
        <v>687</v>
      </c>
      <c r="J10" s="133" t="s">
        <v>688</v>
      </c>
      <c r="K10" s="41" t="s">
        <v>16</v>
      </c>
      <c r="L10" s="9">
        <v>5205</v>
      </c>
      <c r="M10" s="62">
        <v>74780</v>
      </c>
      <c r="N10" s="78">
        <v>57184</v>
      </c>
      <c r="O10" s="9">
        <v>5220</v>
      </c>
      <c r="P10" s="62">
        <v>75080</v>
      </c>
      <c r="Q10" s="41">
        <v>58488</v>
      </c>
      <c r="R10" s="9">
        <v>5100</v>
      </c>
      <c r="S10" s="62">
        <v>71300</v>
      </c>
      <c r="T10" s="98">
        <v>56594</v>
      </c>
      <c r="U10" s="9">
        <v>4640</v>
      </c>
      <c r="V10" s="62">
        <v>66420</v>
      </c>
      <c r="W10" s="8">
        <v>51895</v>
      </c>
      <c r="X10" s="9">
        <v>5055</v>
      </c>
      <c r="Y10" s="62">
        <v>73760</v>
      </c>
      <c r="Z10" s="8">
        <v>56594</v>
      </c>
      <c r="AA10" s="9">
        <v>6840</v>
      </c>
      <c r="AB10" s="62">
        <v>97740</v>
      </c>
      <c r="AC10" s="8">
        <v>77320.400000000009</v>
      </c>
      <c r="AD10" s="9">
        <v>5650</v>
      </c>
      <c r="AE10" s="62">
        <v>84000</v>
      </c>
      <c r="AF10" s="8">
        <v>64122</v>
      </c>
      <c r="AG10" s="9">
        <v>5325</v>
      </c>
      <c r="AH10" s="62">
        <v>76900</v>
      </c>
      <c r="AI10" s="8">
        <v>60214</v>
      </c>
      <c r="AJ10" s="9">
        <v>5655</v>
      </c>
      <c r="AK10" s="62">
        <v>83620</v>
      </c>
      <c r="AL10" s="8">
        <v>65024.800000000003</v>
      </c>
      <c r="AM10" s="9">
        <v>6115</v>
      </c>
      <c r="AN10" s="62">
        <v>89720</v>
      </c>
      <c r="AO10" s="8">
        <v>70668</v>
      </c>
      <c r="AP10" s="9">
        <v>5530</v>
      </c>
      <c r="AQ10" s="62">
        <v>82360</v>
      </c>
      <c r="AR10" s="8">
        <v>63984</v>
      </c>
      <c r="AS10" s="9">
        <v>5485</v>
      </c>
      <c r="AT10" s="62">
        <v>81700</v>
      </c>
      <c r="AU10" s="8">
        <v>63414</v>
      </c>
      <c r="AV10" s="54">
        <f t="shared" si="0"/>
        <v>65820</v>
      </c>
      <c r="AW10" s="63">
        <f t="shared" si="0"/>
        <v>957380</v>
      </c>
      <c r="AX10" s="55">
        <f t="shared" si="0"/>
        <v>745502.20000000007</v>
      </c>
      <c r="AY10" s="54">
        <f t="shared" si="1"/>
        <v>5485</v>
      </c>
      <c r="AZ10" s="63">
        <f t="shared" si="2"/>
        <v>457.08333333333331</v>
      </c>
      <c r="BA10" s="55">
        <f t="shared" si="3"/>
        <v>62125.183333333342</v>
      </c>
      <c r="BB10" s="9">
        <v>4445</v>
      </c>
      <c r="BC10" s="62">
        <v>65410</v>
      </c>
      <c r="BD10" s="8">
        <v>51160</v>
      </c>
      <c r="BE10" s="9">
        <v>4960</v>
      </c>
      <c r="BF10" s="62">
        <v>74100</v>
      </c>
      <c r="BG10" s="8">
        <v>57312.399999999994</v>
      </c>
      <c r="BH10" s="9">
        <v>6065</v>
      </c>
      <c r="BI10" s="62">
        <v>91440</v>
      </c>
      <c r="BJ10" s="8">
        <v>70200.800000000003</v>
      </c>
      <c r="BK10" s="9">
        <v>4460</v>
      </c>
      <c r="BL10" s="62">
        <v>65420</v>
      </c>
      <c r="BM10" s="8">
        <v>51279.199999999997</v>
      </c>
      <c r="BN10" s="44">
        <v>5075</v>
      </c>
      <c r="BO10" s="42">
        <v>77060</v>
      </c>
      <c r="BP10" s="45">
        <v>58795.199999999997</v>
      </c>
      <c r="BQ10" s="44">
        <v>4495</v>
      </c>
      <c r="BR10" s="42">
        <v>67020</v>
      </c>
      <c r="BS10" s="45">
        <v>51311.200000000004</v>
      </c>
      <c r="BT10" s="44">
        <v>5000</v>
      </c>
      <c r="BU10" s="42">
        <v>76940</v>
      </c>
      <c r="BV10" s="112">
        <v>57677.600000000006</v>
      </c>
      <c r="BW10" s="115">
        <v>4980</v>
      </c>
      <c r="BX10" s="116">
        <v>76540</v>
      </c>
      <c r="BY10" s="112">
        <v>57752.800000000003</v>
      </c>
      <c r="BZ10" s="115">
        <v>4440</v>
      </c>
      <c r="CA10" s="116">
        <v>68360</v>
      </c>
      <c r="CB10" s="112">
        <v>51796.800000000003</v>
      </c>
      <c r="CC10" s="115">
        <v>5010</v>
      </c>
      <c r="CD10" s="116">
        <v>78820</v>
      </c>
      <c r="CE10" s="112">
        <v>58651.199999999997</v>
      </c>
      <c r="CF10" s="115">
        <v>5020</v>
      </c>
      <c r="CG10" s="116">
        <v>76500</v>
      </c>
      <c r="CH10" s="112">
        <v>58733.599999999999</v>
      </c>
      <c r="CI10" s="115">
        <v>5605</v>
      </c>
      <c r="CJ10" s="116">
        <v>86440</v>
      </c>
      <c r="CK10" s="112">
        <v>65288</v>
      </c>
      <c r="CL10" s="54">
        <f t="shared" si="4"/>
        <v>59555</v>
      </c>
      <c r="CM10" s="63">
        <f t="shared" si="4"/>
        <v>904050</v>
      </c>
      <c r="CN10" s="55">
        <f t="shared" si="4"/>
        <v>689958.79999999993</v>
      </c>
      <c r="CO10" s="54">
        <f t="shared" si="5"/>
        <v>4962.916666666667</v>
      </c>
      <c r="CP10" s="63">
        <f t="shared" si="5"/>
        <v>75337.5</v>
      </c>
      <c r="CQ10" s="55">
        <f t="shared" si="5"/>
        <v>57496.566666666658</v>
      </c>
      <c r="CR10" s="149">
        <f t="shared" si="6"/>
        <v>30055</v>
      </c>
      <c r="CS10" s="149">
        <f t="shared" si="6"/>
        <v>463600</v>
      </c>
    </row>
    <row r="11" spans="1:97" s="2" customFormat="1" ht="34.9" customHeight="1" x14ac:dyDescent="0.6">
      <c r="A11" s="5">
        <v>8</v>
      </c>
      <c r="B11" s="131" t="s">
        <v>39</v>
      </c>
      <c r="C11" s="131" t="s">
        <v>39</v>
      </c>
      <c r="D11" s="14" t="s">
        <v>40</v>
      </c>
      <c r="E11" s="132" t="s">
        <v>41</v>
      </c>
      <c r="F11" s="132" t="s">
        <v>42</v>
      </c>
      <c r="G11" s="7" t="s">
        <v>15</v>
      </c>
      <c r="H11" s="16" t="s">
        <v>689</v>
      </c>
      <c r="I11" s="133" t="s">
        <v>690</v>
      </c>
      <c r="J11" s="133" t="s">
        <v>691</v>
      </c>
      <c r="K11" s="41" t="s">
        <v>16</v>
      </c>
      <c r="L11" s="9">
        <v>6520</v>
      </c>
      <c r="M11" s="62">
        <v>92280</v>
      </c>
      <c r="N11" s="78">
        <v>65643</v>
      </c>
      <c r="O11" s="9">
        <v>4340</v>
      </c>
      <c r="P11" s="62">
        <v>61820</v>
      </c>
      <c r="Q11" s="41">
        <v>43297</v>
      </c>
      <c r="R11" s="9">
        <v>5375</v>
      </c>
      <c r="S11" s="62">
        <v>76560</v>
      </c>
      <c r="T11" s="98">
        <v>53456</v>
      </c>
      <c r="U11" s="9">
        <v>4540</v>
      </c>
      <c r="V11" s="62">
        <v>63580</v>
      </c>
      <c r="W11" s="8">
        <v>44093</v>
      </c>
      <c r="X11" s="9">
        <v>4760</v>
      </c>
      <c r="Y11" s="62">
        <v>67120</v>
      </c>
      <c r="Z11" s="8">
        <v>47183</v>
      </c>
      <c r="AA11" s="9">
        <v>5970</v>
      </c>
      <c r="AB11" s="62">
        <v>85060</v>
      </c>
      <c r="AC11" s="8">
        <v>59396.000000000007</v>
      </c>
      <c r="AD11" s="9">
        <v>5825</v>
      </c>
      <c r="AE11" s="62">
        <v>82550</v>
      </c>
      <c r="AF11" s="8">
        <v>57947</v>
      </c>
      <c r="AG11" s="9">
        <v>3946</v>
      </c>
      <c r="AH11" s="62">
        <v>57392</v>
      </c>
      <c r="AI11" s="8">
        <v>41894</v>
      </c>
      <c r="AJ11" s="9">
        <v>4215</v>
      </c>
      <c r="AK11" s="62">
        <v>59360</v>
      </c>
      <c r="AL11" s="8">
        <v>41896</v>
      </c>
      <c r="AM11" s="9">
        <v>6015</v>
      </c>
      <c r="AN11" s="62">
        <v>87120</v>
      </c>
      <c r="AO11" s="8">
        <v>61401.200000000004</v>
      </c>
      <c r="AP11" s="9">
        <v>5660</v>
      </c>
      <c r="AQ11" s="62">
        <v>79130</v>
      </c>
      <c r="AR11" s="8">
        <v>57492</v>
      </c>
      <c r="AS11" s="9">
        <v>3820</v>
      </c>
      <c r="AT11" s="62">
        <v>53780</v>
      </c>
      <c r="AU11" s="8">
        <v>39082</v>
      </c>
      <c r="AV11" s="54">
        <f t="shared" si="0"/>
        <v>60986</v>
      </c>
      <c r="AW11" s="63">
        <f t="shared" si="0"/>
        <v>865752</v>
      </c>
      <c r="AX11" s="55">
        <f t="shared" si="0"/>
        <v>612780.19999999995</v>
      </c>
      <c r="AY11" s="54">
        <f t="shared" si="1"/>
        <v>5082.166666666667</v>
      </c>
      <c r="AZ11" s="63">
        <f t="shared" si="2"/>
        <v>423.51388888888891</v>
      </c>
      <c r="BA11" s="55">
        <f t="shared" si="3"/>
        <v>51065.016666666663</v>
      </c>
      <c r="BB11" s="9">
        <v>4985</v>
      </c>
      <c r="BC11" s="62">
        <v>69540</v>
      </c>
      <c r="BD11" s="8">
        <v>49863.200000000004</v>
      </c>
      <c r="BE11" s="9">
        <v>6215</v>
      </c>
      <c r="BF11" s="62">
        <v>88540</v>
      </c>
      <c r="BG11" s="8">
        <v>62622.400000000001</v>
      </c>
      <c r="BH11" s="9">
        <v>4395</v>
      </c>
      <c r="BI11" s="62">
        <v>63260</v>
      </c>
      <c r="BJ11" s="8">
        <v>47216</v>
      </c>
      <c r="BK11" s="9">
        <v>4350</v>
      </c>
      <c r="BL11" s="62">
        <v>62280</v>
      </c>
      <c r="BM11" s="8">
        <v>43780</v>
      </c>
      <c r="BN11" s="44">
        <v>4010</v>
      </c>
      <c r="BO11" s="42">
        <v>56070</v>
      </c>
      <c r="BP11" s="45">
        <v>40570.800000000003</v>
      </c>
      <c r="BQ11" s="44">
        <v>4920</v>
      </c>
      <c r="BR11" s="42">
        <v>70010</v>
      </c>
      <c r="BS11" s="45">
        <v>49778.8</v>
      </c>
      <c r="BT11" s="44">
        <v>3690</v>
      </c>
      <c r="BU11" s="42">
        <v>52510</v>
      </c>
      <c r="BV11" s="112">
        <v>36973.599999999999</v>
      </c>
      <c r="BW11" s="115">
        <v>4030</v>
      </c>
      <c r="BX11" s="116">
        <v>56620</v>
      </c>
      <c r="BY11" s="112">
        <v>41116</v>
      </c>
      <c r="BZ11" s="115">
        <v>3330</v>
      </c>
      <c r="CA11" s="116">
        <v>46560</v>
      </c>
      <c r="CB11" s="112">
        <v>34144</v>
      </c>
      <c r="CC11" s="115">
        <v>4110</v>
      </c>
      <c r="CD11" s="116">
        <v>59840</v>
      </c>
      <c r="CE11" s="112">
        <v>41790.800000000003</v>
      </c>
      <c r="CF11" s="115">
        <v>3413</v>
      </c>
      <c r="CG11" s="116">
        <v>48672</v>
      </c>
      <c r="CH11" s="112">
        <v>35124.079999999994</v>
      </c>
      <c r="CI11" s="115">
        <v>3710</v>
      </c>
      <c r="CJ11" s="116">
        <v>53320</v>
      </c>
      <c r="CK11" s="112">
        <v>38177.599999999999</v>
      </c>
      <c r="CL11" s="54">
        <f t="shared" si="4"/>
        <v>51158</v>
      </c>
      <c r="CM11" s="63">
        <f t="shared" si="4"/>
        <v>727222</v>
      </c>
      <c r="CN11" s="55">
        <f t="shared" si="4"/>
        <v>521157.27999999997</v>
      </c>
      <c r="CO11" s="54">
        <f t="shared" si="5"/>
        <v>4263.166666666667</v>
      </c>
      <c r="CP11" s="63">
        <f t="shared" si="5"/>
        <v>60601.833333333336</v>
      </c>
      <c r="CQ11" s="55">
        <f t="shared" si="5"/>
        <v>43429.773333333331</v>
      </c>
      <c r="CR11" s="149">
        <f t="shared" si="6"/>
        <v>22283</v>
      </c>
      <c r="CS11" s="149">
        <f t="shared" si="6"/>
        <v>317522</v>
      </c>
    </row>
    <row r="12" spans="1:97" s="2" customFormat="1" ht="34.9" customHeight="1" x14ac:dyDescent="0.6">
      <c r="A12" s="5">
        <v>9</v>
      </c>
      <c r="B12" s="131" t="s">
        <v>43</v>
      </c>
      <c r="C12" s="131" t="s">
        <v>43</v>
      </c>
      <c r="D12" s="14" t="s">
        <v>44</v>
      </c>
      <c r="E12" s="132" t="s">
        <v>45</v>
      </c>
      <c r="F12" s="132" t="s">
        <v>46</v>
      </c>
      <c r="G12" s="7" t="s">
        <v>15</v>
      </c>
      <c r="H12" s="16" t="s">
        <v>692</v>
      </c>
      <c r="I12" s="133" t="s">
        <v>693</v>
      </c>
      <c r="J12" s="133" t="s">
        <v>694</v>
      </c>
      <c r="K12" s="41" t="s">
        <v>16</v>
      </c>
      <c r="L12" s="9">
        <v>5190</v>
      </c>
      <c r="M12" s="62">
        <v>75140</v>
      </c>
      <c r="N12" s="78">
        <v>54443</v>
      </c>
      <c r="O12" s="9">
        <v>5070</v>
      </c>
      <c r="P12" s="62">
        <v>72680</v>
      </c>
      <c r="Q12" s="41">
        <v>52531</v>
      </c>
      <c r="R12" s="9">
        <v>5000</v>
      </c>
      <c r="S12" s="62">
        <v>72240</v>
      </c>
      <c r="T12" s="98">
        <v>51563</v>
      </c>
      <c r="U12" s="9">
        <v>5150</v>
      </c>
      <c r="V12" s="62">
        <v>72460</v>
      </c>
      <c r="W12" s="8">
        <v>53694</v>
      </c>
      <c r="X12" s="9">
        <v>5290</v>
      </c>
      <c r="Y12" s="62">
        <v>75220</v>
      </c>
      <c r="Z12" s="8">
        <v>55070</v>
      </c>
      <c r="AA12" s="9">
        <v>5230</v>
      </c>
      <c r="AB12" s="62">
        <v>76900</v>
      </c>
      <c r="AC12" s="8">
        <v>54184</v>
      </c>
      <c r="AD12" s="9">
        <v>5955</v>
      </c>
      <c r="AE12" s="62">
        <v>84730</v>
      </c>
      <c r="AF12" s="8">
        <v>61965</v>
      </c>
      <c r="AG12" s="9">
        <v>4120</v>
      </c>
      <c r="AH12" s="62">
        <v>60300</v>
      </c>
      <c r="AI12" s="8">
        <v>44004</v>
      </c>
      <c r="AJ12" s="9">
        <v>4040</v>
      </c>
      <c r="AK12" s="62">
        <v>59780</v>
      </c>
      <c r="AL12" s="8">
        <v>42855.199999999997</v>
      </c>
      <c r="AM12" s="9">
        <v>6650</v>
      </c>
      <c r="AN12" s="62">
        <v>94880</v>
      </c>
      <c r="AO12" s="8">
        <v>70337.600000000006</v>
      </c>
      <c r="AP12" s="9">
        <v>2695</v>
      </c>
      <c r="AQ12" s="62">
        <v>41880</v>
      </c>
      <c r="AR12" s="8">
        <v>27048</v>
      </c>
      <c r="AS12" s="9">
        <v>3940</v>
      </c>
      <c r="AT12" s="62">
        <v>61000</v>
      </c>
      <c r="AU12" s="8">
        <v>41973</v>
      </c>
      <c r="AV12" s="54">
        <f t="shared" si="0"/>
        <v>58330</v>
      </c>
      <c r="AW12" s="63">
        <f t="shared" si="0"/>
        <v>847210</v>
      </c>
      <c r="AX12" s="55">
        <f t="shared" si="0"/>
        <v>609667.80000000005</v>
      </c>
      <c r="AY12" s="54">
        <f t="shared" si="1"/>
        <v>4860.833333333333</v>
      </c>
      <c r="AZ12" s="63">
        <f t="shared" si="2"/>
        <v>405.0694444444444</v>
      </c>
      <c r="BA12" s="55">
        <f t="shared" si="3"/>
        <v>50805.65</v>
      </c>
      <c r="BB12" s="9">
        <v>3135</v>
      </c>
      <c r="BC12" s="62">
        <v>46670</v>
      </c>
      <c r="BD12" s="8">
        <v>33359.199999999997</v>
      </c>
      <c r="BE12" s="9">
        <v>5450</v>
      </c>
      <c r="BF12" s="62">
        <v>80560</v>
      </c>
      <c r="BG12" s="8">
        <v>55921.599999999991</v>
      </c>
      <c r="BH12" s="9">
        <v>3665</v>
      </c>
      <c r="BI12" s="62">
        <v>53800</v>
      </c>
      <c r="BJ12" s="8">
        <v>39338</v>
      </c>
      <c r="BK12" s="9">
        <v>3295</v>
      </c>
      <c r="BL12" s="62">
        <v>50080</v>
      </c>
      <c r="BM12" s="8">
        <v>35525.199999999997</v>
      </c>
      <c r="BN12" s="44">
        <v>3825</v>
      </c>
      <c r="BO12" s="42">
        <v>57110</v>
      </c>
      <c r="BP12" s="45">
        <v>42138.799999999996</v>
      </c>
      <c r="BQ12" s="44">
        <v>4220</v>
      </c>
      <c r="BR12" s="42">
        <v>61480</v>
      </c>
      <c r="BS12" s="45">
        <v>44730.400000000001</v>
      </c>
      <c r="BT12" s="44">
        <v>3895</v>
      </c>
      <c r="BU12" s="42">
        <v>59520</v>
      </c>
      <c r="BV12" s="112">
        <v>41404.399999999994</v>
      </c>
      <c r="BW12" s="115">
        <v>4455</v>
      </c>
      <c r="BX12" s="116">
        <v>65820</v>
      </c>
      <c r="BY12" s="112">
        <v>47823.6</v>
      </c>
      <c r="BZ12" s="115">
        <v>4785</v>
      </c>
      <c r="CA12" s="116">
        <v>73040</v>
      </c>
      <c r="CB12" s="112">
        <v>51532</v>
      </c>
      <c r="CC12" s="115">
        <v>3490</v>
      </c>
      <c r="CD12" s="116">
        <v>52180</v>
      </c>
      <c r="CE12" s="112">
        <v>37622.400000000001</v>
      </c>
      <c r="CF12" s="115">
        <v>3874</v>
      </c>
      <c r="CG12" s="116">
        <v>58368</v>
      </c>
      <c r="CH12" s="112">
        <v>41839.200000000004</v>
      </c>
      <c r="CI12" s="115">
        <v>4165</v>
      </c>
      <c r="CJ12" s="116">
        <v>63720</v>
      </c>
      <c r="CK12" s="112">
        <v>44799.6</v>
      </c>
      <c r="CL12" s="54">
        <f t="shared" si="4"/>
        <v>48254</v>
      </c>
      <c r="CM12" s="63">
        <f t="shared" si="4"/>
        <v>722348</v>
      </c>
      <c r="CN12" s="55">
        <f t="shared" si="4"/>
        <v>516034.39999999997</v>
      </c>
      <c r="CO12" s="54">
        <f t="shared" si="5"/>
        <v>4021.1666666666665</v>
      </c>
      <c r="CP12" s="63">
        <f t="shared" si="5"/>
        <v>60195.666666666664</v>
      </c>
      <c r="CQ12" s="55">
        <f t="shared" si="5"/>
        <v>43002.866666666661</v>
      </c>
      <c r="CR12" s="149">
        <f t="shared" si="6"/>
        <v>24664</v>
      </c>
      <c r="CS12" s="149">
        <f t="shared" si="6"/>
        <v>372648</v>
      </c>
    </row>
    <row r="13" spans="1:97" s="2" customFormat="1" ht="34.9" customHeight="1" x14ac:dyDescent="0.6">
      <c r="A13" s="5">
        <v>10</v>
      </c>
      <c r="B13" s="131" t="s">
        <v>47</v>
      </c>
      <c r="C13" s="131" t="s">
        <v>47</v>
      </c>
      <c r="D13" s="14" t="s">
        <v>48</v>
      </c>
      <c r="E13" s="132" t="s">
        <v>49</v>
      </c>
      <c r="F13" s="132" t="s">
        <v>50</v>
      </c>
      <c r="G13" s="7" t="s">
        <v>15</v>
      </c>
      <c r="H13" s="16" t="s">
        <v>695</v>
      </c>
      <c r="I13" s="133" t="s">
        <v>696</v>
      </c>
      <c r="J13" s="133" t="s">
        <v>697</v>
      </c>
      <c r="K13" s="41" t="s">
        <v>16</v>
      </c>
      <c r="L13" s="9">
        <v>5164</v>
      </c>
      <c r="M13" s="62">
        <v>74760</v>
      </c>
      <c r="N13" s="78">
        <v>55114</v>
      </c>
      <c r="O13" s="9">
        <v>4609</v>
      </c>
      <c r="P13" s="62">
        <v>65578</v>
      </c>
      <c r="Q13" s="41">
        <v>48958</v>
      </c>
      <c r="R13" s="9">
        <v>5212</v>
      </c>
      <c r="S13" s="62">
        <v>73940</v>
      </c>
      <c r="T13" s="98">
        <v>55419</v>
      </c>
      <c r="U13" s="9">
        <v>5260</v>
      </c>
      <c r="V13" s="62">
        <v>74360</v>
      </c>
      <c r="W13" s="8">
        <v>56304</v>
      </c>
      <c r="X13" s="9">
        <v>4367</v>
      </c>
      <c r="Y13" s="62">
        <v>61442</v>
      </c>
      <c r="Z13" s="8">
        <v>46626</v>
      </c>
      <c r="AA13" s="9">
        <v>5273</v>
      </c>
      <c r="AB13" s="62">
        <v>74728</v>
      </c>
      <c r="AC13" s="8">
        <v>56438.479999999996</v>
      </c>
      <c r="AD13" s="9">
        <v>5346</v>
      </c>
      <c r="AE13" s="62">
        <v>76242</v>
      </c>
      <c r="AF13" s="8">
        <v>57643</v>
      </c>
      <c r="AG13" s="9">
        <v>4967</v>
      </c>
      <c r="AH13" s="62">
        <v>69894</v>
      </c>
      <c r="AI13" s="8">
        <v>53817</v>
      </c>
      <c r="AJ13" s="9">
        <v>5031</v>
      </c>
      <c r="AK13" s="62">
        <v>71498</v>
      </c>
      <c r="AL13" s="8">
        <v>54924.32</v>
      </c>
      <c r="AM13" s="9">
        <v>4881</v>
      </c>
      <c r="AN13" s="62">
        <v>70944</v>
      </c>
      <c r="AO13" s="8">
        <v>52986.000000000007</v>
      </c>
      <c r="AP13" s="9">
        <v>4717</v>
      </c>
      <c r="AQ13" s="62">
        <v>66908</v>
      </c>
      <c r="AR13" s="8">
        <v>51168</v>
      </c>
      <c r="AS13" s="9">
        <v>4802</v>
      </c>
      <c r="AT13" s="62">
        <v>69276</v>
      </c>
      <c r="AU13" s="8">
        <v>52362</v>
      </c>
      <c r="AV13" s="54">
        <f t="shared" si="0"/>
        <v>59629</v>
      </c>
      <c r="AW13" s="63">
        <f t="shared" si="0"/>
        <v>849570</v>
      </c>
      <c r="AX13" s="55">
        <f t="shared" si="0"/>
        <v>641759.80000000005</v>
      </c>
      <c r="AY13" s="54">
        <f t="shared" si="1"/>
        <v>4969.083333333333</v>
      </c>
      <c r="AZ13" s="63">
        <f t="shared" si="2"/>
        <v>414.09027777777777</v>
      </c>
      <c r="BA13" s="55">
        <f t="shared" si="3"/>
        <v>53479.983333333337</v>
      </c>
      <c r="BB13" s="9">
        <v>4638</v>
      </c>
      <c r="BC13" s="62">
        <v>66336</v>
      </c>
      <c r="BD13" s="8">
        <v>50082.04</v>
      </c>
      <c r="BE13" s="9">
        <v>4326</v>
      </c>
      <c r="BF13" s="62">
        <v>62850</v>
      </c>
      <c r="BG13" s="8">
        <v>46976.32</v>
      </c>
      <c r="BH13" s="9">
        <v>5231</v>
      </c>
      <c r="BI13" s="62">
        <v>75744</v>
      </c>
      <c r="BJ13" s="8">
        <v>56559.200000000004</v>
      </c>
      <c r="BK13" s="9">
        <v>4197</v>
      </c>
      <c r="BL13" s="62">
        <v>60788</v>
      </c>
      <c r="BM13" s="8">
        <v>45888.640000000007</v>
      </c>
      <c r="BN13" s="44">
        <v>4533</v>
      </c>
      <c r="BO13" s="42">
        <v>66072</v>
      </c>
      <c r="BP13" s="45">
        <v>50063.200000000004</v>
      </c>
      <c r="BQ13" s="44">
        <v>4047</v>
      </c>
      <c r="BR13" s="42">
        <v>58204</v>
      </c>
      <c r="BS13" s="45">
        <v>44624.079999999994</v>
      </c>
      <c r="BT13" s="44">
        <v>3943</v>
      </c>
      <c r="BU13" s="42">
        <v>57688</v>
      </c>
      <c r="BV13" s="112">
        <v>43761.840000000004</v>
      </c>
      <c r="BW13" s="115">
        <v>4100</v>
      </c>
      <c r="BX13" s="116">
        <v>60786</v>
      </c>
      <c r="BY13" s="112">
        <v>45479.8</v>
      </c>
      <c r="BZ13" s="115">
        <v>4297</v>
      </c>
      <c r="CA13" s="116">
        <v>63684</v>
      </c>
      <c r="CB13" s="112">
        <v>47620.88</v>
      </c>
      <c r="CC13" s="115">
        <v>3935</v>
      </c>
      <c r="CD13" s="116">
        <v>58736</v>
      </c>
      <c r="CE13" s="112">
        <v>43620.079999999994</v>
      </c>
      <c r="CF13" s="115">
        <v>3613</v>
      </c>
      <c r="CG13" s="116">
        <v>53578</v>
      </c>
      <c r="CH13" s="112">
        <v>40289.359999999993</v>
      </c>
      <c r="CI13" s="115">
        <v>3865</v>
      </c>
      <c r="CJ13" s="116">
        <v>58048</v>
      </c>
      <c r="CK13" s="112">
        <v>43205.279999999992</v>
      </c>
      <c r="CL13" s="54">
        <f t="shared" si="4"/>
        <v>50725</v>
      </c>
      <c r="CM13" s="63">
        <f t="shared" si="4"/>
        <v>742514</v>
      </c>
      <c r="CN13" s="55">
        <f t="shared" si="4"/>
        <v>558170.72000000009</v>
      </c>
      <c r="CO13" s="54">
        <f t="shared" si="5"/>
        <v>4227.083333333333</v>
      </c>
      <c r="CP13" s="63">
        <f t="shared" si="5"/>
        <v>61876.166666666664</v>
      </c>
      <c r="CQ13" s="55">
        <f t="shared" si="5"/>
        <v>46514.226666666676</v>
      </c>
      <c r="CR13" s="149">
        <f t="shared" si="6"/>
        <v>23753</v>
      </c>
      <c r="CS13" s="149">
        <f t="shared" si="6"/>
        <v>352520</v>
      </c>
    </row>
    <row r="14" spans="1:97" s="2" customFormat="1" ht="34.9" customHeight="1" x14ac:dyDescent="0.6">
      <c r="A14" s="5">
        <v>11</v>
      </c>
      <c r="B14" s="131" t="s">
        <v>51</v>
      </c>
      <c r="C14" s="131" t="s">
        <v>51</v>
      </c>
      <c r="D14" s="14" t="s">
        <v>52</v>
      </c>
      <c r="E14" s="132" t="s">
        <v>53</v>
      </c>
      <c r="F14" s="132" t="s">
        <v>54</v>
      </c>
      <c r="G14" s="7" t="s">
        <v>15</v>
      </c>
      <c r="H14" s="16" t="s">
        <v>698</v>
      </c>
      <c r="I14" s="133" t="s">
        <v>699</v>
      </c>
      <c r="J14" s="133" t="s">
        <v>700</v>
      </c>
      <c r="K14" s="41" t="s">
        <v>16</v>
      </c>
      <c r="L14" s="9">
        <v>4945</v>
      </c>
      <c r="M14" s="62">
        <v>70060</v>
      </c>
      <c r="N14" s="78">
        <v>47099</v>
      </c>
      <c r="O14" s="9">
        <v>2945</v>
      </c>
      <c r="P14" s="62">
        <v>41190</v>
      </c>
      <c r="Q14" s="41">
        <v>28496</v>
      </c>
      <c r="R14" s="9">
        <v>5000</v>
      </c>
      <c r="S14" s="62">
        <v>69170</v>
      </c>
      <c r="T14" s="98">
        <v>47182</v>
      </c>
      <c r="U14" s="9">
        <v>4622</v>
      </c>
      <c r="V14" s="62">
        <v>64472</v>
      </c>
      <c r="W14" s="8">
        <v>43382</v>
      </c>
      <c r="X14" s="9">
        <v>5010</v>
      </c>
      <c r="Y14" s="62">
        <v>69800</v>
      </c>
      <c r="Z14" s="8">
        <v>46786</v>
      </c>
      <c r="AA14" s="9">
        <v>4895</v>
      </c>
      <c r="AB14" s="62">
        <v>68760</v>
      </c>
      <c r="AC14" s="8">
        <v>45913.2</v>
      </c>
      <c r="AD14" s="9">
        <v>4040</v>
      </c>
      <c r="AE14" s="62">
        <v>56280</v>
      </c>
      <c r="AF14" s="8">
        <v>38334</v>
      </c>
      <c r="AG14" s="9">
        <v>4511</v>
      </c>
      <c r="AH14" s="62">
        <v>63770</v>
      </c>
      <c r="AI14" s="8">
        <v>42866</v>
      </c>
      <c r="AJ14" s="9">
        <v>3030</v>
      </c>
      <c r="AK14" s="62">
        <v>42080</v>
      </c>
      <c r="AL14" s="8">
        <v>17876.800000000003</v>
      </c>
      <c r="AM14" s="9">
        <v>4445</v>
      </c>
      <c r="AN14" s="62">
        <v>62410</v>
      </c>
      <c r="AO14" s="8">
        <v>41860.400000000001</v>
      </c>
      <c r="AP14" s="9">
        <v>4493</v>
      </c>
      <c r="AQ14" s="62">
        <v>62542</v>
      </c>
      <c r="AR14" s="8">
        <v>43039</v>
      </c>
      <c r="AS14" s="9">
        <v>3380</v>
      </c>
      <c r="AT14" s="62">
        <v>47000</v>
      </c>
      <c r="AU14" s="8">
        <v>31802</v>
      </c>
      <c r="AV14" s="54">
        <f t="shared" si="0"/>
        <v>51316</v>
      </c>
      <c r="AW14" s="63">
        <f t="shared" si="0"/>
        <v>717534</v>
      </c>
      <c r="AX14" s="55">
        <f t="shared" si="0"/>
        <v>474636.4</v>
      </c>
      <c r="AY14" s="54">
        <f t="shared" si="1"/>
        <v>4276.333333333333</v>
      </c>
      <c r="AZ14" s="63">
        <f t="shared" si="2"/>
        <v>356.36111111111109</v>
      </c>
      <c r="BA14" s="55">
        <f t="shared" si="3"/>
        <v>39553.033333333333</v>
      </c>
      <c r="BB14" s="9">
        <v>3600</v>
      </c>
      <c r="BC14" s="62">
        <v>50790</v>
      </c>
      <c r="BD14" s="8">
        <v>34228.799999999996</v>
      </c>
      <c r="BE14" s="9">
        <v>3845</v>
      </c>
      <c r="BF14" s="62">
        <v>53230</v>
      </c>
      <c r="BG14" s="8">
        <v>36484</v>
      </c>
      <c r="BH14" s="9">
        <v>5339</v>
      </c>
      <c r="BI14" s="62">
        <v>74676</v>
      </c>
      <c r="BJ14" s="8">
        <v>51299.44000000001</v>
      </c>
      <c r="BK14" s="9">
        <v>4379</v>
      </c>
      <c r="BL14" s="62">
        <v>60886</v>
      </c>
      <c r="BM14" s="8">
        <v>41843.439999999995</v>
      </c>
      <c r="BN14" s="44">
        <v>4210</v>
      </c>
      <c r="BO14" s="42">
        <v>58440</v>
      </c>
      <c r="BP14" s="45">
        <v>40192</v>
      </c>
      <c r="BQ14" s="44">
        <v>4570</v>
      </c>
      <c r="BR14" s="42">
        <v>63770</v>
      </c>
      <c r="BS14" s="45">
        <v>44144.800000000003</v>
      </c>
      <c r="BT14" s="44">
        <v>4395</v>
      </c>
      <c r="BU14" s="42">
        <v>61580</v>
      </c>
      <c r="BV14" s="112">
        <v>42608.999999999993</v>
      </c>
      <c r="BW14" s="115">
        <v>4145</v>
      </c>
      <c r="BX14" s="116">
        <v>57400</v>
      </c>
      <c r="BY14" s="112">
        <v>39778.000000000007</v>
      </c>
      <c r="BZ14" s="115">
        <v>4185</v>
      </c>
      <c r="CA14" s="116">
        <v>58910</v>
      </c>
      <c r="CB14" s="112">
        <v>40281.199999999997</v>
      </c>
      <c r="CC14" s="115">
        <v>4380</v>
      </c>
      <c r="CD14" s="116">
        <v>60620</v>
      </c>
      <c r="CE14" s="112">
        <v>41929.200000000012</v>
      </c>
      <c r="CF14" s="115">
        <v>4285</v>
      </c>
      <c r="CG14" s="116">
        <v>60440</v>
      </c>
      <c r="CH14" s="112">
        <v>41852.800000000003</v>
      </c>
      <c r="CI14" s="115">
        <v>4455</v>
      </c>
      <c r="CJ14" s="116">
        <v>61040</v>
      </c>
      <c r="CK14" s="112">
        <v>43318.000000000007</v>
      </c>
      <c r="CL14" s="54">
        <f t="shared" si="4"/>
        <v>51788</v>
      </c>
      <c r="CM14" s="63">
        <f t="shared" si="4"/>
        <v>721782</v>
      </c>
      <c r="CN14" s="55">
        <f t="shared" si="4"/>
        <v>497960.68</v>
      </c>
      <c r="CO14" s="54">
        <f t="shared" si="5"/>
        <v>4315.666666666667</v>
      </c>
      <c r="CP14" s="63">
        <f t="shared" si="5"/>
        <v>60148.5</v>
      </c>
      <c r="CQ14" s="55">
        <f t="shared" si="5"/>
        <v>41496.723333333335</v>
      </c>
      <c r="CR14" s="149">
        <f t="shared" si="6"/>
        <v>25845</v>
      </c>
      <c r="CS14" s="149">
        <f t="shared" si="6"/>
        <v>359990</v>
      </c>
    </row>
    <row r="15" spans="1:97" s="2" customFormat="1" ht="34.9" customHeight="1" x14ac:dyDescent="0.6">
      <c r="A15" s="5">
        <v>12</v>
      </c>
      <c r="B15" s="131" t="s">
        <v>55</v>
      </c>
      <c r="C15" s="131" t="s">
        <v>55</v>
      </c>
      <c r="D15" s="14" t="s">
        <v>56</v>
      </c>
      <c r="E15" s="132" t="s">
        <v>57</v>
      </c>
      <c r="F15" s="132" t="s">
        <v>58</v>
      </c>
      <c r="G15" s="7" t="s">
        <v>15</v>
      </c>
      <c r="H15" s="16" t="s">
        <v>701</v>
      </c>
      <c r="I15" s="133" t="s">
        <v>702</v>
      </c>
      <c r="J15" s="133" t="s">
        <v>703</v>
      </c>
      <c r="K15" s="41" t="s">
        <v>16</v>
      </c>
      <c r="L15" s="9">
        <v>4700</v>
      </c>
      <c r="M15" s="62">
        <v>68220</v>
      </c>
      <c r="N15" s="78">
        <v>50902</v>
      </c>
      <c r="O15" s="9">
        <v>4110</v>
      </c>
      <c r="P15" s="62">
        <v>57980</v>
      </c>
      <c r="Q15" s="41">
        <v>32793</v>
      </c>
      <c r="R15" s="9">
        <v>3980</v>
      </c>
      <c r="S15" s="62">
        <v>58460</v>
      </c>
      <c r="T15" s="98">
        <v>44324</v>
      </c>
      <c r="U15" s="9">
        <v>4970</v>
      </c>
      <c r="V15" s="62">
        <v>68340</v>
      </c>
      <c r="W15" s="8">
        <v>54428</v>
      </c>
      <c r="X15" s="9">
        <v>5930</v>
      </c>
      <c r="Y15" s="62">
        <v>87620</v>
      </c>
      <c r="Z15" s="8">
        <v>65653</v>
      </c>
      <c r="AA15" s="9">
        <v>4155</v>
      </c>
      <c r="AB15" s="62">
        <v>58360</v>
      </c>
      <c r="AC15" s="8">
        <v>45312</v>
      </c>
      <c r="AD15" s="9">
        <v>4630</v>
      </c>
      <c r="AE15" s="62">
        <v>66620</v>
      </c>
      <c r="AF15" s="8">
        <v>51901</v>
      </c>
      <c r="AG15" s="9">
        <v>3675</v>
      </c>
      <c r="AH15" s="62">
        <v>54260</v>
      </c>
      <c r="AI15" s="8">
        <v>41701</v>
      </c>
      <c r="AJ15" s="9">
        <v>2740</v>
      </c>
      <c r="AK15" s="62">
        <v>37220</v>
      </c>
      <c r="AL15" s="8">
        <v>30379.200000000001</v>
      </c>
      <c r="AM15" s="9">
        <v>3355</v>
      </c>
      <c r="AN15" s="62">
        <v>49940</v>
      </c>
      <c r="AO15" s="8">
        <v>37915.199999999997</v>
      </c>
      <c r="AP15" s="9">
        <v>2695</v>
      </c>
      <c r="AQ15" s="62">
        <v>38480</v>
      </c>
      <c r="AR15" s="8">
        <v>29331</v>
      </c>
      <c r="AS15" s="9">
        <v>3033</v>
      </c>
      <c r="AT15" s="62">
        <v>44540</v>
      </c>
      <c r="AU15" s="8">
        <v>33997</v>
      </c>
      <c r="AV15" s="54">
        <f t="shared" si="0"/>
        <v>47973</v>
      </c>
      <c r="AW15" s="63">
        <f t="shared" si="0"/>
        <v>690040</v>
      </c>
      <c r="AX15" s="55">
        <f t="shared" si="0"/>
        <v>518636.4</v>
      </c>
      <c r="AY15" s="54">
        <f t="shared" si="1"/>
        <v>3997.75</v>
      </c>
      <c r="AZ15" s="63">
        <f t="shared" si="2"/>
        <v>333.14583333333331</v>
      </c>
      <c r="BA15" s="55">
        <f t="shared" si="3"/>
        <v>43219.700000000004</v>
      </c>
      <c r="BB15" s="9">
        <v>2320</v>
      </c>
      <c r="BC15" s="62">
        <v>34900</v>
      </c>
      <c r="BD15" s="8">
        <v>25768.799999999999</v>
      </c>
      <c r="BE15" s="9">
        <v>3100</v>
      </c>
      <c r="BF15" s="62">
        <v>48720</v>
      </c>
      <c r="BG15" s="8">
        <v>35105.599999999999</v>
      </c>
      <c r="BH15" s="9">
        <v>2955</v>
      </c>
      <c r="BI15" s="62">
        <v>42860</v>
      </c>
      <c r="BJ15" s="8">
        <v>32764</v>
      </c>
      <c r="BK15" s="9">
        <v>2290</v>
      </c>
      <c r="BL15" s="62">
        <v>34540</v>
      </c>
      <c r="BM15" s="8">
        <v>25480.799999999999</v>
      </c>
      <c r="BN15" s="44">
        <v>2720</v>
      </c>
      <c r="BO15" s="42">
        <v>39240</v>
      </c>
      <c r="BP15" s="45">
        <v>30448.799999999999</v>
      </c>
      <c r="BQ15" s="44">
        <v>2190</v>
      </c>
      <c r="BR15" s="42">
        <v>32120</v>
      </c>
      <c r="BS15" s="45">
        <v>25244</v>
      </c>
      <c r="BT15" s="44">
        <v>2660</v>
      </c>
      <c r="BU15" s="42">
        <v>36280</v>
      </c>
      <c r="BV15" s="112">
        <v>29568.799999999999</v>
      </c>
      <c r="BW15" s="115">
        <v>2770</v>
      </c>
      <c r="BX15" s="116">
        <v>39880</v>
      </c>
      <c r="BY15" s="112">
        <v>30988</v>
      </c>
      <c r="BZ15" s="115">
        <v>2390</v>
      </c>
      <c r="CA15" s="116">
        <v>36020</v>
      </c>
      <c r="CB15" s="112">
        <v>27592</v>
      </c>
      <c r="CC15" s="115">
        <v>2280</v>
      </c>
      <c r="CD15" s="116">
        <v>34560</v>
      </c>
      <c r="CE15" s="112">
        <v>26039.200000000001</v>
      </c>
      <c r="CF15" s="115">
        <v>1960</v>
      </c>
      <c r="CG15" s="116">
        <v>29640</v>
      </c>
      <c r="CH15" s="112">
        <v>22504</v>
      </c>
      <c r="CI15" s="115">
        <v>3420</v>
      </c>
      <c r="CJ15" s="116">
        <v>52300</v>
      </c>
      <c r="CK15" s="112">
        <v>39412.800000000003</v>
      </c>
      <c r="CL15" s="54">
        <f t="shared" si="4"/>
        <v>31055</v>
      </c>
      <c r="CM15" s="63">
        <f t="shared" si="4"/>
        <v>461060</v>
      </c>
      <c r="CN15" s="55">
        <f t="shared" si="4"/>
        <v>350916.8</v>
      </c>
      <c r="CO15" s="54">
        <f t="shared" si="5"/>
        <v>2587.9166666666665</v>
      </c>
      <c r="CP15" s="63">
        <f t="shared" si="5"/>
        <v>38421.666666666664</v>
      </c>
      <c r="CQ15" s="55">
        <f t="shared" si="5"/>
        <v>29243.066666666666</v>
      </c>
      <c r="CR15" s="149">
        <f t="shared" si="6"/>
        <v>15480</v>
      </c>
      <c r="CS15" s="149">
        <f t="shared" si="6"/>
        <v>228680</v>
      </c>
    </row>
    <row r="16" spans="1:97" s="2" customFormat="1" ht="34.9" customHeight="1" x14ac:dyDescent="0.6">
      <c r="A16" s="5">
        <v>13</v>
      </c>
      <c r="B16" s="131" t="s">
        <v>59</v>
      </c>
      <c r="C16" s="131" t="s">
        <v>59</v>
      </c>
      <c r="D16" s="14" t="s">
        <v>60</v>
      </c>
      <c r="E16" s="132" t="s">
        <v>37</v>
      </c>
      <c r="F16" s="132" t="s">
        <v>38</v>
      </c>
      <c r="G16" s="7" t="s">
        <v>15</v>
      </c>
      <c r="H16" s="16" t="s">
        <v>704</v>
      </c>
      <c r="I16" s="133" t="s">
        <v>705</v>
      </c>
      <c r="J16" s="133" t="s">
        <v>706</v>
      </c>
      <c r="K16" s="41" t="s">
        <v>16</v>
      </c>
      <c r="L16" s="9">
        <v>3005</v>
      </c>
      <c r="M16" s="62">
        <v>41360</v>
      </c>
      <c r="N16" s="78">
        <v>32865</v>
      </c>
      <c r="O16" s="9">
        <v>2500</v>
      </c>
      <c r="P16" s="62">
        <v>35120</v>
      </c>
      <c r="Q16" s="41">
        <v>27920</v>
      </c>
      <c r="R16" s="9">
        <v>3505</v>
      </c>
      <c r="S16" s="62">
        <v>48020</v>
      </c>
      <c r="T16" s="98">
        <v>38890</v>
      </c>
      <c r="U16" s="9">
        <v>3025</v>
      </c>
      <c r="V16" s="62">
        <v>87496</v>
      </c>
      <c r="W16" s="8">
        <v>78970</v>
      </c>
      <c r="X16" s="9">
        <v>3105</v>
      </c>
      <c r="Y16" s="62">
        <v>42600</v>
      </c>
      <c r="Z16" s="8">
        <v>34774</v>
      </c>
      <c r="AA16" s="9">
        <v>3110</v>
      </c>
      <c r="AB16" s="62">
        <v>43400</v>
      </c>
      <c r="AC16" s="8">
        <v>34438.400000000001</v>
      </c>
      <c r="AD16" s="9">
        <v>3110</v>
      </c>
      <c r="AE16" s="62">
        <v>44030</v>
      </c>
      <c r="AF16" s="8">
        <v>34383</v>
      </c>
      <c r="AG16" s="9">
        <v>3170</v>
      </c>
      <c r="AH16" s="62">
        <v>45380</v>
      </c>
      <c r="AI16" s="8">
        <v>35572</v>
      </c>
      <c r="AJ16" s="9">
        <v>2300</v>
      </c>
      <c r="AK16" s="62">
        <v>32020</v>
      </c>
      <c r="AL16" s="8">
        <v>25380.400000000001</v>
      </c>
      <c r="AM16" s="9">
        <v>2690</v>
      </c>
      <c r="AN16" s="62">
        <v>39220</v>
      </c>
      <c r="AO16" s="8">
        <v>30643.200000000001</v>
      </c>
      <c r="AP16" s="9">
        <v>2805</v>
      </c>
      <c r="AQ16" s="62">
        <v>39540</v>
      </c>
      <c r="AR16" s="8">
        <v>31852</v>
      </c>
      <c r="AS16" s="9">
        <v>2700</v>
      </c>
      <c r="AT16" s="62">
        <v>37760</v>
      </c>
      <c r="AU16" s="8">
        <v>30052</v>
      </c>
      <c r="AV16" s="54">
        <f t="shared" si="0"/>
        <v>35025</v>
      </c>
      <c r="AW16" s="63">
        <f t="shared" si="0"/>
        <v>535946</v>
      </c>
      <c r="AX16" s="55">
        <f t="shared" si="0"/>
        <v>435740.00000000006</v>
      </c>
      <c r="AY16" s="54">
        <f t="shared" si="1"/>
        <v>2918.75</v>
      </c>
      <c r="AZ16" s="63">
        <f t="shared" si="2"/>
        <v>243.22916666666666</v>
      </c>
      <c r="BA16" s="55">
        <f t="shared" si="3"/>
        <v>36311.666666666672</v>
      </c>
      <c r="BB16" s="9">
        <v>2175</v>
      </c>
      <c r="BC16" s="62">
        <v>31780</v>
      </c>
      <c r="BD16" s="8">
        <v>24452</v>
      </c>
      <c r="BE16" s="9">
        <v>1305</v>
      </c>
      <c r="BF16" s="62">
        <v>19720</v>
      </c>
      <c r="BG16" s="8">
        <v>14541.2</v>
      </c>
      <c r="BH16" s="9">
        <v>3145</v>
      </c>
      <c r="BI16" s="62">
        <v>44900</v>
      </c>
      <c r="BJ16" s="8">
        <v>35546</v>
      </c>
      <c r="BK16" s="9">
        <v>1540</v>
      </c>
      <c r="BL16" s="62">
        <v>21560</v>
      </c>
      <c r="BM16" s="8">
        <v>16514.8</v>
      </c>
      <c r="BN16" s="44">
        <v>2245</v>
      </c>
      <c r="BO16" s="42">
        <v>32300</v>
      </c>
      <c r="BP16" s="45">
        <v>25663.599999999999</v>
      </c>
      <c r="BQ16" s="44">
        <v>2000</v>
      </c>
      <c r="BR16" s="42">
        <v>29060</v>
      </c>
      <c r="BS16" s="45">
        <v>22992.799999999999</v>
      </c>
      <c r="BT16" s="44">
        <v>1855</v>
      </c>
      <c r="BU16" s="42">
        <v>27670</v>
      </c>
      <c r="BV16" s="112">
        <v>20943.600000000002</v>
      </c>
      <c r="BW16" s="115">
        <v>2368</v>
      </c>
      <c r="BX16" s="116">
        <v>33860</v>
      </c>
      <c r="BY16" s="112">
        <v>26778.799999999996</v>
      </c>
      <c r="BZ16" s="115">
        <v>2000</v>
      </c>
      <c r="CA16" s="116">
        <v>29620</v>
      </c>
      <c r="CB16" s="112">
        <v>22810</v>
      </c>
      <c r="CC16" s="115">
        <v>2540</v>
      </c>
      <c r="CD16" s="116">
        <v>38050</v>
      </c>
      <c r="CE16" s="112">
        <v>29445.200000000001</v>
      </c>
      <c r="CF16" s="115">
        <v>1845</v>
      </c>
      <c r="CG16" s="116">
        <v>26460</v>
      </c>
      <c r="CH16" s="112">
        <v>20740.800000000003</v>
      </c>
      <c r="CI16" s="115">
        <v>2415</v>
      </c>
      <c r="CJ16" s="116">
        <v>36750</v>
      </c>
      <c r="CK16" s="112">
        <v>27864</v>
      </c>
      <c r="CL16" s="54">
        <f t="shared" si="4"/>
        <v>25433</v>
      </c>
      <c r="CM16" s="63">
        <f t="shared" si="4"/>
        <v>371730</v>
      </c>
      <c r="CN16" s="55">
        <f t="shared" si="4"/>
        <v>288292.8</v>
      </c>
      <c r="CO16" s="54">
        <f t="shared" si="5"/>
        <v>2119.4166666666665</v>
      </c>
      <c r="CP16" s="63">
        <f t="shared" si="5"/>
        <v>30977.5</v>
      </c>
      <c r="CQ16" s="55">
        <f t="shared" si="5"/>
        <v>24024.399999999998</v>
      </c>
      <c r="CR16" s="149">
        <f t="shared" si="6"/>
        <v>13023</v>
      </c>
      <c r="CS16" s="149">
        <f t="shared" si="6"/>
        <v>192410</v>
      </c>
    </row>
    <row r="17" spans="1:97" s="2" customFormat="1" ht="34.9" customHeight="1" x14ac:dyDescent="0.6">
      <c r="A17" s="5">
        <v>14</v>
      </c>
      <c r="B17" s="131" t="s">
        <v>61</v>
      </c>
      <c r="C17" s="131" t="s">
        <v>61</v>
      </c>
      <c r="D17" s="14" t="s">
        <v>62</v>
      </c>
      <c r="E17" s="132" t="s">
        <v>41</v>
      </c>
      <c r="F17" s="132" t="s">
        <v>42</v>
      </c>
      <c r="G17" s="7" t="s">
        <v>15</v>
      </c>
      <c r="H17" s="16" t="s">
        <v>61</v>
      </c>
      <c r="I17" s="133" t="s">
        <v>707</v>
      </c>
      <c r="J17" s="133" t="s">
        <v>708</v>
      </c>
      <c r="K17" s="41" t="s">
        <v>16</v>
      </c>
      <c r="L17" s="9">
        <v>3168</v>
      </c>
      <c r="M17" s="62">
        <v>44916</v>
      </c>
      <c r="N17" s="78">
        <v>29966</v>
      </c>
      <c r="O17" s="9">
        <v>2895</v>
      </c>
      <c r="P17" s="62">
        <v>40620</v>
      </c>
      <c r="Q17" s="41">
        <v>27772</v>
      </c>
      <c r="R17" s="9">
        <v>3620</v>
      </c>
      <c r="S17" s="62">
        <v>50300</v>
      </c>
      <c r="T17" s="98">
        <v>35000</v>
      </c>
      <c r="U17" s="9">
        <v>3760</v>
      </c>
      <c r="V17" s="62">
        <v>51510</v>
      </c>
      <c r="W17" s="8">
        <v>37394</v>
      </c>
      <c r="X17" s="9">
        <v>3165</v>
      </c>
      <c r="Y17" s="62">
        <v>44380</v>
      </c>
      <c r="Z17" s="8">
        <v>30703</v>
      </c>
      <c r="AA17" s="9">
        <v>3347</v>
      </c>
      <c r="AB17" s="62">
        <v>47044</v>
      </c>
      <c r="AC17" s="8">
        <v>32547.599999999999</v>
      </c>
      <c r="AD17" s="9">
        <v>2598</v>
      </c>
      <c r="AE17" s="62">
        <v>36116</v>
      </c>
      <c r="AF17" s="8">
        <v>24855</v>
      </c>
      <c r="AG17" s="9">
        <v>2730</v>
      </c>
      <c r="AH17" s="62">
        <v>38640</v>
      </c>
      <c r="AI17" s="8">
        <v>26050</v>
      </c>
      <c r="AJ17" s="9">
        <v>1585</v>
      </c>
      <c r="AK17" s="62">
        <v>22320</v>
      </c>
      <c r="AL17" s="8">
        <v>16094</v>
      </c>
      <c r="AM17" s="9">
        <v>2640</v>
      </c>
      <c r="AN17" s="62">
        <v>37340</v>
      </c>
      <c r="AO17" s="8">
        <v>25527.600000000002</v>
      </c>
      <c r="AP17" s="9">
        <v>1860</v>
      </c>
      <c r="AQ17" s="62">
        <v>26230</v>
      </c>
      <c r="AR17" s="8">
        <v>18310</v>
      </c>
      <c r="AS17" s="9">
        <v>3350</v>
      </c>
      <c r="AT17" s="62">
        <v>47050</v>
      </c>
      <c r="AU17" s="8">
        <v>32588</v>
      </c>
      <c r="AV17" s="54">
        <f t="shared" si="0"/>
        <v>34718</v>
      </c>
      <c r="AW17" s="63">
        <f t="shared" si="0"/>
        <v>486466</v>
      </c>
      <c r="AX17" s="55">
        <f t="shared" si="0"/>
        <v>336807.2</v>
      </c>
      <c r="AY17" s="54">
        <f t="shared" si="1"/>
        <v>2893.1666666666665</v>
      </c>
      <c r="AZ17" s="63">
        <f t="shared" si="2"/>
        <v>241.0972222222222</v>
      </c>
      <c r="BA17" s="55">
        <f t="shared" si="3"/>
        <v>28067.266666666666</v>
      </c>
      <c r="BB17" s="9">
        <v>2720</v>
      </c>
      <c r="BC17" s="62">
        <v>37720</v>
      </c>
      <c r="BD17" s="8">
        <v>26875.600000000002</v>
      </c>
      <c r="BE17" s="9">
        <v>2555</v>
      </c>
      <c r="BF17" s="62">
        <v>35620</v>
      </c>
      <c r="BG17" s="8">
        <v>25578.400000000001</v>
      </c>
      <c r="BH17" s="9">
        <v>3825</v>
      </c>
      <c r="BI17" s="62">
        <v>52870</v>
      </c>
      <c r="BJ17" s="8">
        <v>37413.599999999999</v>
      </c>
      <c r="BK17" s="9">
        <v>2210</v>
      </c>
      <c r="BL17" s="62">
        <v>30900</v>
      </c>
      <c r="BM17" s="8">
        <v>22440</v>
      </c>
      <c r="BN17" s="44">
        <v>2325</v>
      </c>
      <c r="BO17" s="42">
        <v>32270</v>
      </c>
      <c r="BP17" s="45">
        <v>23437.600000000002</v>
      </c>
      <c r="BQ17" s="44">
        <v>2900</v>
      </c>
      <c r="BR17" s="42">
        <v>41340</v>
      </c>
      <c r="BS17" s="45">
        <v>29033.199999999997</v>
      </c>
      <c r="BT17" s="44">
        <v>1945</v>
      </c>
      <c r="BU17" s="42">
        <v>27730</v>
      </c>
      <c r="BV17" s="112">
        <v>19786.400000000001</v>
      </c>
      <c r="BW17" s="115">
        <v>2120</v>
      </c>
      <c r="BX17" s="116">
        <v>29280</v>
      </c>
      <c r="BY17" s="112">
        <v>21337.599999999999</v>
      </c>
      <c r="BZ17" s="115">
        <v>2235</v>
      </c>
      <c r="CA17" s="116">
        <v>31480</v>
      </c>
      <c r="CB17" s="112">
        <v>22808</v>
      </c>
      <c r="CC17" s="115">
        <v>2880</v>
      </c>
      <c r="CD17" s="116">
        <v>42360</v>
      </c>
      <c r="CE17" s="112">
        <v>29418.799999999999</v>
      </c>
      <c r="CF17" s="115">
        <v>2660</v>
      </c>
      <c r="CG17" s="116">
        <v>36680</v>
      </c>
      <c r="CH17" s="112">
        <v>26912.799999999999</v>
      </c>
      <c r="CI17" s="115">
        <v>2328</v>
      </c>
      <c r="CJ17" s="116">
        <v>32830</v>
      </c>
      <c r="CK17" s="112">
        <v>24497.200000000001</v>
      </c>
      <c r="CL17" s="54">
        <f t="shared" si="4"/>
        <v>30703</v>
      </c>
      <c r="CM17" s="63">
        <f t="shared" si="4"/>
        <v>431080</v>
      </c>
      <c r="CN17" s="55">
        <f t="shared" si="4"/>
        <v>309539.20000000001</v>
      </c>
      <c r="CO17" s="54">
        <f t="shared" si="5"/>
        <v>2558.5833333333335</v>
      </c>
      <c r="CP17" s="63">
        <f t="shared" si="5"/>
        <v>35923.333333333336</v>
      </c>
      <c r="CQ17" s="55">
        <f t="shared" si="5"/>
        <v>25794.933333333334</v>
      </c>
      <c r="CR17" s="149">
        <f t="shared" si="6"/>
        <v>14168</v>
      </c>
      <c r="CS17" s="149">
        <f t="shared" si="6"/>
        <v>200360</v>
      </c>
    </row>
    <row r="18" spans="1:97" s="2" customFormat="1" ht="34.9" customHeight="1" x14ac:dyDescent="0.6">
      <c r="A18" s="5">
        <v>15</v>
      </c>
      <c r="B18" s="131" t="s">
        <v>63</v>
      </c>
      <c r="C18" s="131" t="s">
        <v>63</v>
      </c>
      <c r="D18" s="14" t="s">
        <v>64</v>
      </c>
      <c r="E18" s="132" t="s">
        <v>49</v>
      </c>
      <c r="F18" s="132" t="s">
        <v>50</v>
      </c>
      <c r="G18" s="7" t="s">
        <v>15</v>
      </c>
      <c r="H18" s="16" t="s">
        <v>709</v>
      </c>
      <c r="I18" s="133" t="s">
        <v>710</v>
      </c>
      <c r="J18" s="133" t="s">
        <v>711</v>
      </c>
      <c r="K18" s="41" t="s">
        <v>16</v>
      </c>
      <c r="L18" s="9">
        <v>2690</v>
      </c>
      <c r="M18" s="62">
        <v>37440</v>
      </c>
      <c r="N18" s="78">
        <v>29100</v>
      </c>
      <c r="O18" s="9">
        <v>3120</v>
      </c>
      <c r="P18" s="62">
        <v>40830</v>
      </c>
      <c r="Q18" s="41">
        <v>34884</v>
      </c>
      <c r="R18" s="9">
        <v>2270</v>
      </c>
      <c r="S18" s="62">
        <v>29600</v>
      </c>
      <c r="T18" s="98">
        <v>25099</v>
      </c>
      <c r="U18" s="9">
        <v>3185</v>
      </c>
      <c r="V18" s="62">
        <v>42120</v>
      </c>
      <c r="W18" s="8">
        <v>36244</v>
      </c>
      <c r="X18" s="9">
        <v>3550</v>
      </c>
      <c r="Y18" s="62">
        <v>49600</v>
      </c>
      <c r="Z18" s="8">
        <v>40584</v>
      </c>
      <c r="AA18" s="9">
        <v>1750</v>
      </c>
      <c r="AB18" s="62">
        <v>23340</v>
      </c>
      <c r="AC18" s="8">
        <v>19112.400000000001</v>
      </c>
      <c r="AD18" s="9">
        <v>2915</v>
      </c>
      <c r="AE18" s="62">
        <v>38340</v>
      </c>
      <c r="AF18" s="8">
        <v>32976</v>
      </c>
      <c r="AG18" s="9">
        <v>2474</v>
      </c>
      <c r="AH18" s="62">
        <v>35588</v>
      </c>
      <c r="AI18" s="8">
        <v>28230</v>
      </c>
      <c r="AJ18" s="9">
        <v>2835</v>
      </c>
      <c r="AK18" s="62">
        <v>38980</v>
      </c>
      <c r="AL18" s="8">
        <v>31805.599999999999</v>
      </c>
      <c r="AM18" s="9">
        <v>3290</v>
      </c>
      <c r="AN18" s="62">
        <v>46260</v>
      </c>
      <c r="AO18" s="8">
        <v>38532</v>
      </c>
      <c r="AP18" s="9">
        <v>2000</v>
      </c>
      <c r="AQ18" s="62">
        <v>31440</v>
      </c>
      <c r="AR18" s="8">
        <v>23146</v>
      </c>
      <c r="AS18" s="9">
        <v>3145</v>
      </c>
      <c r="AT18" s="62">
        <v>38780</v>
      </c>
      <c r="AU18" s="8">
        <v>36159</v>
      </c>
      <c r="AV18" s="54">
        <f t="shared" si="0"/>
        <v>33224</v>
      </c>
      <c r="AW18" s="63">
        <f t="shared" si="0"/>
        <v>452318</v>
      </c>
      <c r="AX18" s="55">
        <f t="shared" si="0"/>
        <v>375872</v>
      </c>
      <c r="AY18" s="54">
        <f t="shared" si="1"/>
        <v>2768.6666666666665</v>
      </c>
      <c r="AZ18" s="63">
        <f t="shared" si="2"/>
        <v>230.7222222222222</v>
      </c>
      <c r="BA18" s="55">
        <f t="shared" si="3"/>
        <v>31322.666666666668</v>
      </c>
      <c r="BB18" s="9">
        <v>2260</v>
      </c>
      <c r="BC18" s="62">
        <v>31480</v>
      </c>
      <c r="BD18" s="8">
        <v>26285.599999999999</v>
      </c>
      <c r="BE18" s="9">
        <v>1404</v>
      </c>
      <c r="BF18" s="62">
        <v>24156</v>
      </c>
      <c r="BG18" s="8">
        <v>16019.44</v>
      </c>
      <c r="BH18" s="9">
        <v>2755</v>
      </c>
      <c r="BI18" s="62">
        <v>36920</v>
      </c>
      <c r="BJ18" s="8">
        <v>31360.799999999996</v>
      </c>
      <c r="BK18" s="9">
        <v>3115</v>
      </c>
      <c r="BL18" s="62">
        <v>44280</v>
      </c>
      <c r="BM18" s="8">
        <v>36052.400000000001</v>
      </c>
      <c r="BN18" s="44">
        <v>1755</v>
      </c>
      <c r="BO18" s="42">
        <v>26120</v>
      </c>
      <c r="BP18" s="45">
        <v>20275.600000000002</v>
      </c>
      <c r="BQ18" s="44">
        <v>2465</v>
      </c>
      <c r="BR18" s="42">
        <v>34010</v>
      </c>
      <c r="BS18" s="45">
        <v>28134.400000000001</v>
      </c>
      <c r="BT18" s="44">
        <v>2485</v>
      </c>
      <c r="BU18" s="42">
        <v>36170</v>
      </c>
      <c r="BV18" s="112">
        <v>28810</v>
      </c>
      <c r="BW18" s="115">
        <v>2390</v>
      </c>
      <c r="BX18" s="116">
        <v>35290</v>
      </c>
      <c r="BY18" s="112">
        <v>27720.400000000001</v>
      </c>
      <c r="BZ18" s="115">
        <v>2585</v>
      </c>
      <c r="CA18" s="116">
        <v>38860</v>
      </c>
      <c r="CB18" s="112">
        <v>30232</v>
      </c>
      <c r="CC18" s="115">
        <v>2655</v>
      </c>
      <c r="CD18" s="116">
        <v>41500</v>
      </c>
      <c r="CE18" s="112">
        <v>31370.399999999998</v>
      </c>
      <c r="CF18" s="115">
        <v>2510</v>
      </c>
      <c r="CG18" s="116">
        <v>37590</v>
      </c>
      <c r="CH18" s="112">
        <v>29400.800000000003</v>
      </c>
      <c r="CI18" s="115">
        <v>2797</v>
      </c>
      <c r="CJ18" s="116">
        <v>42064</v>
      </c>
      <c r="CK18" s="112">
        <v>32909.599999999999</v>
      </c>
      <c r="CL18" s="54">
        <f t="shared" si="4"/>
        <v>29176</v>
      </c>
      <c r="CM18" s="63">
        <f t="shared" si="4"/>
        <v>428440</v>
      </c>
      <c r="CN18" s="55">
        <f t="shared" si="4"/>
        <v>338571.43999999994</v>
      </c>
      <c r="CO18" s="54">
        <f t="shared" si="5"/>
        <v>2431.3333333333335</v>
      </c>
      <c r="CP18" s="63">
        <f t="shared" si="5"/>
        <v>35703.333333333336</v>
      </c>
      <c r="CQ18" s="55">
        <f t="shared" si="5"/>
        <v>28214.286666666663</v>
      </c>
      <c r="CR18" s="149">
        <f t="shared" si="6"/>
        <v>15422</v>
      </c>
      <c r="CS18" s="149">
        <f t="shared" si="6"/>
        <v>231474</v>
      </c>
    </row>
    <row r="19" spans="1:97" s="2" customFormat="1" ht="34.9" customHeight="1" x14ac:dyDescent="0.6">
      <c r="A19" s="5">
        <v>16</v>
      </c>
      <c r="B19" s="131" t="s">
        <v>65</v>
      </c>
      <c r="C19" s="131" t="s">
        <v>65</v>
      </c>
      <c r="D19" s="14" t="s">
        <v>66</v>
      </c>
      <c r="E19" s="132" t="s">
        <v>67</v>
      </c>
      <c r="F19" s="132" t="s">
        <v>68</v>
      </c>
      <c r="G19" s="7" t="s">
        <v>15</v>
      </c>
      <c r="H19" s="16" t="s">
        <v>712</v>
      </c>
      <c r="I19" s="133" t="s">
        <v>713</v>
      </c>
      <c r="J19" s="133" t="s">
        <v>714</v>
      </c>
      <c r="K19" s="41" t="s">
        <v>16</v>
      </c>
      <c r="L19" s="9">
        <v>1220</v>
      </c>
      <c r="M19" s="62">
        <v>14940</v>
      </c>
      <c r="N19" s="78">
        <v>26713.599999999999</v>
      </c>
      <c r="O19" s="9">
        <v>1210</v>
      </c>
      <c r="P19" s="62">
        <v>16740</v>
      </c>
      <c r="Q19" s="41">
        <v>27383.200000000004</v>
      </c>
      <c r="R19" s="9">
        <v>1260</v>
      </c>
      <c r="S19" s="62">
        <v>15460</v>
      </c>
      <c r="T19" s="98">
        <v>26848</v>
      </c>
      <c r="U19" s="9">
        <v>1260</v>
      </c>
      <c r="V19" s="62">
        <v>15620</v>
      </c>
      <c r="W19" s="8">
        <v>27587</v>
      </c>
      <c r="X19" s="9">
        <v>2090</v>
      </c>
      <c r="Y19" s="62">
        <v>25100</v>
      </c>
      <c r="Z19" s="8">
        <v>23533</v>
      </c>
      <c r="AA19" s="9">
        <v>1940</v>
      </c>
      <c r="AB19" s="62">
        <v>23465</v>
      </c>
      <c r="AC19" s="8">
        <v>26553.600000000002</v>
      </c>
      <c r="AD19" s="9">
        <v>1805</v>
      </c>
      <c r="AE19" s="62">
        <v>21680</v>
      </c>
      <c r="AF19" s="8">
        <v>30184</v>
      </c>
      <c r="AG19" s="9">
        <v>1185</v>
      </c>
      <c r="AH19" s="62">
        <v>14540</v>
      </c>
      <c r="AI19" s="8">
        <v>21190</v>
      </c>
      <c r="AJ19" s="9">
        <v>1606</v>
      </c>
      <c r="AK19" s="62">
        <v>20000</v>
      </c>
      <c r="AL19" s="8">
        <v>19324</v>
      </c>
      <c r="AM19" s="9">
        <v>1540</v>
      </c>
      <c r="AN19" s="62">
        <v>18920</v>
      </c>
      <c r="AO19" s="8">
        <v>18479.599999999999</v>
      </c>
      <c r="AP19" s="9">
        <v>3215</v>
      </c>
      <c r="AQ19" s="62">
        <v>46850</v>
      </c>
      <c r="AR19" s="8">
        <v>35566</v>
      </c>
      <c r="AS19" s="9">
        <v>2755</v>
      </c>
      <c r="AT19" s="62">
        <v>40460</v>
      </c>
      <c r="AU19" s="8">
        <v>30466</v>
      </c>
      <c r="AV19" s="54">
        <f t="shared" si="0"/>
        <v>21086</v>
      </c>
      <c r="AW19" s="63">
        <f t="shared" si="0"/>
        <v>273775</v>
      </c>
      <c r="AX19" s="55">
        <f t="shared" si="0"/>
        <v>313828</v>
      </c>
      <c r="AY19" s="54">
        <f t="shared" si="1"/>
        <v>1757.1666666666667</v>
      </c>
      <c r="AZ19" s="63">
        <f t="shared" si="2"/>
        <v>146.43055555555557</v>
      </c>
      <c r="BA19" s="55">
        <f t="shared" si="3"/>
        <v>26152.333333333332</v>
      </c>
      <c r="BB19" s="9">
        <v>2795</v>
      </c>
      <c r="BC19" s="62">
        <v>40200</v>
      </c>
      <c r="BD19" s="8">
        <v>31526.799999999999</v>
      </c>
      <c r="BE19" s="9">
        <v>3173</v>
      </c>
      <c r="BF19" s="62">
        <v>47280</v>
      </c>
      <c r="BG19" s="8">
        <v>35349.200000000004</v>
      </c>
      <c r="BH19" s="9">
        <v>4870</v>
      </c>
      <c r="BI19" s="62">
        <v>68000</v>
      </c>
      <c r="BJ19" s="8">
        <v>55617.200000000004</v>
      </c>
      <c r="BK19" s="9">
        <v>1275</v>
      </c>
      <c r="BL19" s="62">
        <v>19300</v>
      </c>
      <c r="BM19" s="8">
        <v>13092.400000000001</v>
      </c>
      <c r="BN19" s="44">
        <v>2865</v>
      </c>
      <c r="BO19" s="42">
        <v>41170</v>
      </c>
      <c r="BP19" s="45">
        <v>32211.599999999999</v>
      </c>
      <c r="BQ19" s="44">
        <v>2800</v>
      </c>
      <c r="BR19" s="42">
        <v>39940</v>
      </c>
      <c r="BS19" s="45">
        <v>31253.200000000001</v>
      </c>
      <c r="BT19" s="44">
        <v>2365</v>
      </c>
      <c r="BU19" s="42">
        <v>35690</v>
      </c>
      <c r="BV19" s="112">
        <v>26664.799999999999</v>
      </c>
      <c r="BW19" s="115">
        <v>2120</v>
      </c>
      <c r="BX19" s="116">
        <v>31190</v>
      </c>
      <c r="BY19" s="112">
        <v>23782.799999999999</v>
      </c>
      <c r="BZ19" s="115">
        <v>2091</v>
      </c>
      <c r="CA19" s="116">
        <v>30160</v>
      </c>
      <c r="CB19" s="112">
        <v>23733.600000000002</v>
      </c>
      <c r="CC19" s="115">
        <v>1710</v>
      </c>
      <c r="CD19" s="116">
        <v>24910</v>
      </c>
      <c r="CE19" s="112">
        <v>19417.2</v>
      </c>
      <c r="CF19" s="115">
        <v>1430</v>
      </c>
      <c r="CG19" s="116">
        <v>20710</v>
      </c>
      <c r="CH19" s="112">
        <v>16194.4</v>
      </c>
      <c r="CI19" s="115">
        <v>1760</v>
      </c>
      <c r="CJ19" s="116">
        <v>25190</v>
      </c>
      <c r="CK19" s="112">
        <v>19984.399999999998</v>
      </c>
      <c r="CL19" s="54">
        <f t="shared" si="4"/>
        <v>29254</v>
      </c>
      <c r="CM19" s="63">
        <f t="shared" si="4"/>
        <v>423740</v>
      </c>
      <c r="CN19" s="55">
        <f t="shared" si="4"/>
        <v>328827.60000000003</v>
      </c>
      <c r="CO19" s="54">
        <f t="shared" si="5"/>
        <v>2437.8333333333335</v>
      </c>
      <c r="CP19" s="63">
        <f t="shared" si="5"/>
        <v>35311.666666666664</v>
      </c>
      <c r="CQ19" s="55">
        <f t="shared" si="5"/>
        <v>27402.300000000003</v>
      </c>
      <c r="CR19" s="149">
        <f t="shared" si="6"/>
        <v>11476</v>
      </c>
      <c r="CS19" s="149">
        <f t="shared" si="6"/>
        <v>167850</v>
      </c>
    </row>
    <row r="20" spans="1:97" s="2" customFormat="1" ht="34.9" customHeight="1" x14ac:dyDescent="0.6">
      <c r="A20" s="5">
        <v>17</v>
      </c>
      <c r="B20" s="131" t="s">
        <v>69</v>
      </c>
      <c r="C20" s="131" t="s">
        <v>69</v>
      </c>
      <c r="D20" s="14" t="s">
        <v>70</v>
      </c>
      <c r="E20" s="132" t="s">
        <v>29</v>
      </c>
      <c r="F20" s="132" t="s">
        <v>30</v>
      </c>
      <c r="G20" s="7" t="s">
        <v>15</v>
      </c>
      <c r="H20" s="16" t="s">
        <v>715</v>
      </c>
      <c r="I20" s="133" t="s">
        <v>716</v>
      </c>
      <c r="J20" s="133" t="s">
        <v>717</v>
      </c>
      <c r="K20" s="41" t="s">
        <v>16</v>
      </c>
      <c r="L20" s="9">
        <v>2747</v>
      </c>
      <c r="M20" s="62">
        <v>38490</v>
      </c>
      <c r="N20" s="78">
        <v>28456</v>
      </c>
      <c r="O20" s="9">
        <v>2495</v>
      </c>
      <c r="P20" s="62">
        <v>34990</v>
      </c>
      <c r="Q20" s="41">
        <v>26469</v>
      </c>
      <c r="R20" s="9">
        <v>2739</v>
      </c>
      <c r="S20" s="62">
        <v>37996</v>
      </c>
      <c r="T20" s="98">
        <v>28833</v>
      </c>
      <c r="U20" s="9">
        <v>2438</v>
      </c>
      <c r="V20" s="62">
        <v>34606</v>
      </c>
      <c r="W20" s="8">
        <v>25477</v>
      </c>
      <c r="X20" s="9">
        <v>2622</v>
      </c>
      <c r="Y20" s="62">
        <v>36788</v>
      </c>
      <c r="Z20" s="8">
        <v>27902</v>
      </c>
      <c r="AA20" s="9">
        <v>3005</v>
      </c>
      <c r="AB20" s="62">
        <v>41760</v>
      </c>
      <c r="AC20" s="8">
        <v>31782.399999999998</v>
      </c>
      <c r="AD20" s="9">
        <v>3490</v>
      </c>
      <c r="AE20" s="62">
        <v>48880</v>
      </c>
      <c r="AF20" s="8">
        <v>37066</v>
      </c>
      <c r="AG20" s="9">
        <v>1645</v>
      </c>
      <c r="AH20" s="62">
        <v>24372</v>
      </c>
      <c r="AI20" s="8">
        <v>17343</v>
      </c>
      <c r="AJ20" s="9">
        <v>2833</v>
      </c>
      <c r="AK20" s="62">
        <v>39786</v>
      </c>
      <c r="AL20" s="8">
        <v>30195.200000000004</v>
      </c>
      <c r="AM20" s="9">
        <v>2068</v>
      </c>
      <c r="AN20" s="62">
        <v>30256</v>
      </c>
      <c r="AO20" s="8">
        <v>21818</v>
      </c>
      <c r="AP20" s="9">
        <v>2170</v>
      </c>
      <c r="AQ20" s="62">
        <v>32240</v>
      </c>
      <c r="AR20" s="8">
        <v>23115</v>
      </c>
      <c r="AS20" s="9">
        <v>2955</v>
      </c>
      <c r="AT20" s="62">
        <v>42790</v>
      </c>
      <c r="AU20" s="8">
        <v>31270</v>
      </c>
      <c r="AV20" s="54">
        <f t="shared" si="0"/>
        <v>31207</v>
      </c>
      <c r="AW20" s="63">
        <f t="shared" si="0"/>
        <v>442954</v>
      </c>
      <c r="AX20" s="55">
        <f t="shared" si="0"/>
        <v>329726.59999999998</v>
      </c>
      <c r="AY20" s="54">
        <f t="shared" si="1"/>
        <v>2600.5833333333335</v>
      </c>
      <c r="AZ20" s="63">
        <f t="shared" si="2"/>
        <v>216.7152777777778</v>
      </c>
      <c r="BA20" s="55">
        <f t="shared" si="3"/>
        <v>27477.216666666664</v>
      </c>
      <c r="BB20" s="9">
        <v>1982</v>
      </c>
      <c r="BC20" s="62">
        <v>29338</v>
      </c>
      <c r="BD20" s="8">
        <v>20877.52</v>
      </c>
      <c r="BE20" s="9">
        <v>1795</v>
      </c>
      <c r="BF20" s="62">
        <v>26740</v>
      </c>
      <c r="BG20" s="8">
        <v>18942.800000000003</v>
      </c>
      <c r="BH20" s="9">
        <v>3785</v>
      </c>
      <c r="BI20" s="62">
        <v>53860</v>
      </c>
      <c r="BJ20" s="8">
        <v>40831.199999999997</v>
      </c>
      <c r="BK20" s="9">
        <v>510</v>
      </c>
      <c r="BL20" s="62">
        <v>7760</v>
      </c>
      <c r="BM20" s="8">
        <v>4850.8</v>
      </c>
      <c r="BN20" s="44">
        <v>2155</v>
      </c>
      <c r="BO20" s="42">
        <v>31610</v>
      </c>
      <c r="BP20" s="45">
        <v>22873.199999999997</v>
      </c>
      <c r="BQ20" s="44">
        <v>2324</v>
      </c>
      <c r="BR20" s="42">
        <v>33778</v>
      </c>
      <c r="BS20" s="45">
        <v>24826.399999999998</v>
      </c>
      <c r="BT20" s="44">
        <v>2485</v>
      </c>
      <c r="BU20" s="42">
        <v>36530</v>
      </c>
      <c r="BV20" s="112">
        <v>26704.6</v>
      </c>
      <c r="BW20" s="115">
        <v>2325</v>
      </c>
      <c r="BX20" s="116">
        <v>34050</v>
      </c>
      <c r="BY20" s="112">
        <v>24768.799999999996</v>
      </c>
      <c r="BZ20" s="115">
        <v>2298</v>
      </c>
      <c r="CA20" s="116">
        <v>33976</v>
      </c>
      <c r="CB20" s="112">
        <v>24656.399999999994</v>
      </c>
      <c r="CC20" s="115">
        <v>2387</v>
      </c>
      <c r="CD20" s="116">
        <v>35264</v>
      </c>
      <c r="CE20" s="112">
        <v>25532.400000000001</v>
      </c>
      <c r="CF20" s="115">
        <v>2240</v>
      </c>
      <c r="CG20" s="116">
        <v>34070</v>
      </c>
      <c r="CH20" s="112">
        <v>24077.200000000004</v>
      </c>
      <c r="CI20" s="115">
        <v>2315</v>
      </c>
      <c r="CJ20" s="116">
        <v>34750</v>
      </c>
      <c r="CK20" s="112">
        <v>24860.000000000004</v>
      </c>
      <c r="CL20" s="54">
        <f t="shared" si="4"/>
        <v>26601</v>
      </c>
      <c r="CM20" s="63">
        <f t="shared" si="4"/>
        <v>391726</v>
      </c>
      <c r="CN20" s="55">
        <f t="shared" si="4"/>
        <v>283801.32</v>
      </c>
      <c r="CO20" s="54">
        <f t="shared" si="5"/>
        <v>2216.75</v>
      </c>
      <c r="CP20" s="63">
        <f t="shared" si="5"/>
        <v>32643.833333333332</v>
      </c>
      <c r="CQ20" s="55">
        <f t="shared" si="5"/>
        <v>23650.11</v>
      </c>
      <c r="CR20" s="149">
        <f t="shared" si="6"/>
        <v>14050</v>
      </c>
      <c r="CS20" s="149">
        <f t="shared" si="6"/>
        <v>208640</v>
      </c>
    </row>
    <row r="21" spans="1:97" s="2" customFormat="1" ht="34.9" customHeight="1" x14ac:dyDescent="0.6">
      <c r="A21" s="5">
        <v>18</v>
      </c>
      <c r="B21" s="132" t="s">
        <v>71</v>
      </c>
      <c r="C21" s="132" t="s">
        <v>71</v>
      </c>
      <c r="D21" s="15" t="s">
        <v>72</v>
      </c>
      <c r="E21" s="132" t="s">
        <v>45</v>
      </c>
      <c r="F21" s="132" t="s">
        <v>46</v>
      </c>
      <c r="G21" s="7" t="s">
        <v>15</v>
      </c>
      <c r="H21" s="16" t="s">
        <v>718</v>
      </c>
      <c r="I21" s="133" t="s">
        <v>719</v>
      </c>
      <c r="J21" s="133" t="s">
        <v>720</v>
      </c>
      <c r="K21" s="41" t="s">
        <v>16</v>
      </c>
      <c r="L21" s="9">
        <v>2090</v>
      </c>
      <c r="M21" s="62">
        <v>30660</v>
      </c>
      <c r="N21" s="78">
        <v>21104</v>
      </c>
      <c r="O21" s="9">
        <v>2210</v>
      </c>
      <c r="P21" s="62">
        <v>31730</v>
      </c>
      <c r="Q21" s="41">
        <v>22733</v>
      </c>
      <c r="R21" s="9">
        <v>2795</v>
      </c>
      <c r="S21" s="62">
        <v>38720</v>
      </c>
      <c r="T21" s="98">
        <v>28949</v>
      </c>
      <c r="U21" s="9">
        <v>2100</v>
      </c>
      <c r="V21" s="62">
        <v>31540</v>
      </c>
      <c r="W21" s="8">
        <v>2100</v>
      </c>
      <c r="X21" s="9">
        <v>2460</v>
      </c>
      <c r="Y21" s="62">
        <v>35160</v>
      </c>
      <c r="Z21" s="8">
        <v>25525</v>
      </c>
      <c r="AA21" s="9">
        <v>2905</v>
      </c>
      <c r="AB21" s="62">
        <v>41100</v>
      </c>
      <c r="AC21" s="8">
        <v>30043.600000000002</v>
      </c>
      <c r="AD21" s="9">
        <v>2790</v>
      </c>
      <c r="AE21" s="62">
        <v>39780</v>
      </c>
      <c r="AF21" s="8">
        <v>29952</v>
      </c>
      <c r="AG21" s="9">
        <v>2125</v>
      </c>
      <c r="AH21" s="62">
        <v>30860</v>
      </c>
      <c r="AI21" s="8">
        <v>21516</v>
      </c>
      <c r="AJ21" s="9">
        <v>2325</v>
      </c>
      <c r="AK21" s="62">
        <v>34060</v>
      </c>
      <c r="AL21" s="8">
        <v>24010.799999999999</v>
      </c>
      <c r="AM21" s="9">
        <v>2520</v>
      </c>
      <c r="AN21" s="62">
        <v>37540</v>
      </c>
      <c r="AO21" s="8">
        <v>26900.799999999999</v>
      </c>
      <c r="AP21" s="9">
        <v>2077</v>
      </c>
      <c r="AQ21" s="62">
        <v>29979</v>
      </c>
      <c r="AR21" s="8">
        <v>22050</v>
      </c>
      <c r="AS21" s="9">
        <v>2560</v>
      </c>
      <c r="AT21" s="62">
        <v>36440</v>
      </c>
      <c r="AU21" s="8">
        <v>27013</v>
      </c>
      <c r="AV21" s="54">
        <f t="shared" si="0"/>
        <v>28957</v>
      </c>
      <c r="AW21" s="63">
        <f t="shared" si="0"/>
        <v>417569</v>
      </c>
      <c r="AX21" s="55">
        <f t="shared" si="0"/>
        <v>281897.19999999995</v>
      </c>
      <c r="AY21" s="54">
        <f t="shared" si="1"/>
        <v>2413.0833333333335</v>
      </c>
      <c r="AZ21" s="63">
        <f t="shared" si="2"/>
        <v>201.0902777777778</v>
      </c>
      <c r="BA21" s="55">
        <f t="shared" si="3"/>
        <v>23491.433333333331</v>
      </c>
      <c r="BB21" s="9">
        <v>2170</v>
      </c>
      <c r="BC21" s="62">
        <v>31300</v>
      </c>
      <c r="BD21" s="8">
        <v>22990</v>
      </c>
      <c r="BE21" s="9">
        <v>1895</v>
      </c>
      <c r="BF21" s="62">
        <v>27120</v>
      </c>
      <c r="BG21" s="8">
        <v>19883.600000000002</v>
      </c>
      <c r="BH21" s="9">
        <v>4343</v>
      </c>
      <c r="BI21" s="62">
        <v>61892</v>
      </c>
      <c r="BJ21" s="8">
        <v>46689.279999999999</v>
      </c>
      <c r="BK21" s="9">
        <v>1315</v>
      </c>
      <c r="BL21" s="62">
        <v>18380</v>
      </c>
      <c r="BM21" s="8">
        <v>13930</v>
      </c>
      <c r="BN21" s="44">
        <v>3035</v>
      </c>
      <c r="BO21" s="42">
        <v>44020</v>
      </c>
      <c r="BP21" s="45">
        <v>31855.200000000001</v>
      </c>
      <c r="BQ21" s="44">
        <v>1340</v>
      </c>
      <c r="BR21" s="42">
        <v>21160</v>
      </c>
      <c r="BS21" s="45">
        <v>14020.8</v>
      </c>
      <c r="BT21" s="44">
        <v>2300</v>
      </c>
      <c r="BU21" s="42">
        <v>33580</v>
      </c>
      <c r="BV21" s="112">
        <v>24768.399999999998</v>
      </c>
      <c r="BW21" s="115">
        <v>2655</v>
      </c>
      <c r="BX21" s="116">
        <v>38380</v>
      </c>
      <c r="BY21" s="112">
        <v>28112.400000000001</v>
      </c>
      <c r="BZ21" s="115">
        <v>2990</v>
      </c>
      <c r="CA21" s="116">
        <v>44300</v>
      </c>
      <c r="CB21" s="112">
        <v>31917.999999999996</v>
      </c>
      <c r="CC21" s="115">
        <v>2780</v>
      </c>
      <c r="CD21" s="116">
        <v>39980</v>
      </c>
      <c r="CE21" s="112">
        <v>29689.200000000001</v>
      </c>
      <c r="CF21" s="115">
        <v>2499</v>
      </c>
      <c r="CG21" s="116">
        <v>36808</v>
      </c>
      <c r="CH21" s="112">
        <v>26898.400000000001</v>
      </c>
      <c r="CI21" s="115">
        <v>2670</v>
      </c>
      <c r="CJ21" s="116">
        <v>38770</v>
      </c>
      <c r="CK21" s="112">
        <v>28917.600000000002</v>
      </c>
      <c r="CL21" s="54">
        <f t="shared" si="4"/>
        <v>29992</v>
      </c>
      <c r="CM21" s="63">
        <f t="shared" si="4"/>
        <v>435690</v>
      </c>
      <c r="CN21" s="55">
        <f t="shared" si="4"/>
        <v>319672.88</v>
      </c>
      <c r="CO21" s="54">
        <f t="shared" si="5"/>
        <v>2499.3333333333335</v>
      </c>
      <c r="CP21" s="63">
        <f t="shared" si="5"/>
        <v>36307.5</v>
      </c>
      <c r="CQ21" s="55">
        <f t="shared" si="5"/>
        <v>26639.406666666666</v>
      </c>
      <c r="CR21" s="149">
        <f t="shared" si="6"/>
        <v>15894</v>
      </c>
      <c r="CS21" s="149">
        <f t="shared" si="6"/>
        <v>231818</v>
      </c>
    </row>
    <row r="22" spans="1:97" s="2" customFormat="1" ht="34.9" customHeight="1" x14ac:dyDescent="0.6">
      <c r="A22" s="5">
        <v>19</v>
      </c>
      <c r="B22" s="131" t="s">
        <v>73</v>
      </c>
      <c r="C22" s="131" t="s">
        <v>73</v>
      </c>
      <c r="D22" s="14" t="s">
        <v>74</v>
      </c>
      <c r="E22" s="132" t="s">
        <v>75</v>
      </c>
      <c r="F22" s="132" t="s">
        <v>76</v>
      </c>
      <c r="G22" s="7" t="s">
        <v>15</v>
      </c>
      <c r="H22" s="16" t="s">
        <v>721</v>
      </c>
      <c r="I22" s="133" t="s">
        <v>722</v>
      </c>
      <c r="J22" s="133" t="s">
        <v>723</v>
      </c>
      <c r="K22" s="41" t="s">
        <v>16</v>
      </c>
      <c r="L22" s="9">
        <v>2070</v>
      </c>
      <c r="M22" s="62">
        <v>29080</v>
      </c>
      <c r="N22" s="78">
        <v>22033.599999999999</v>
      </c>
      <c r="O22" s="9">
        <v>2095</v>
      </c>
      <c r="P22" s="62">
        <v>29800</v>
      </c>
      <c r="Q22" s="41">
        <v>21978</v>
      </c>
      <c r="R22" s="9">
        <v>2280</v>
      </c>
      <c r="S22" s="62">
        <v>32000</v>
      </c>
      <c r="T22" s="98">
        <v>23633.600000000002</v>
      </c>
      <c r="U22" s="9">
        <v>2780</v>
      </c>
      <c r="V22" s="62">
        <v>38080</v>
      </c>
      <c r="W22" s="8">
        <v>29697</v>
      </c>
      <c r="X22" s="9">
        <v>2530</v>
      </c>
      <c r="Y22" s="62">
        <v>35980</v>
      </c>
      <c r="Z22" s="8">
        <v>26217</v>
      </c>
      <c r="AA22" s="9">
        <v>3040</v>
      </c>
      <c r="AB22" s="62">
        <v>41130</v>
      </c>
      <c r="AC22" s="8">
        <v>31826.799999999999</v>
      </c>
      <c r="AD22" s="9">
        <v>2222</v>
      </c>
      <c r="AE22" s="62">
        <v>30868</v>
      </c>
      <c r="AF22" s="8">
        <v>23455</v>
      </c>
      <c r="AG22" s="9">
        <v>2497</v>
      </c>
      <c r="AH22" s="62">
        <v>36624</v>
      </c>
      <c r="AI22" s="8">
        <v>26472</v>
      </c>
      <c r="AJ22" s="9">
        <v>2224</v>
      </c>
      <c r="AK22" s="62">
        <v>31416</v>
      </c>
      <c r="AL22" s="8">
        <v>23350.639999999999</v>
      </c>
      <c r="AM22" s="9">
        <v>2989</v>
      </c>
      <c r="AN22" s="62">
        <v>43266</v>
      </c>
      <c r="AO22" s="8">
        <v>32350.639999999999</v>
      </c>
      <c r="AP22" s="9">
        <v>2075</v>
      </c>
      <c r="AQ22" s="62">
        <v>29480</v>
      </c>
      <c r="AR22" s="8">
        <v>21800</v>
      </c>
      <c r="AS22" s="9">
        <v>2855</v>
      </c>
      <c r="AT22" s="62">
        <v>41320</v>
      </c>
      <c r="AU22" s="8">
        <v>30523</v>
      </c>
      <c r="AV22" s="54">
        <f t="shared" si="0"/>
        <v>29657</v>
      </c>
      <c r="AW22" s="63">
        <f t="shared" si="0"/>
        <v>419044</v>
      </c>
      <c r="AX22" s="55">
        <f t="shared" si="0"/>
        <v>313337.28000000003</v>
      </c>
      <c r="AY22" s="54">
        <f t="shared" si="1"/>
        <v>2471.4166666666665</v>
      </c>
      <c r="AZ22" s="63">
        <f t="shared" si="2"/>
        <v>205.95138888888889</v>
      </c>
      <c r="BA22" s="55">
        <f t="shared" si="3"/>
        <v>26111.440000000002</v>
      </c>
      <c r="BB22" s="9">
        <v>2410</v>
      </c>
      <c r="BC22" s="62">
        <v>35320</v>
      </c>
      <c r="BD22" s="8">
        <v>25890.399999999998</v>
      </c>
      <c r="BE22" s="9">
        <v>2635</v>
      </c>
      <c r="BF22" s="62">
        <v>38380</v>
      </c>
      <c r="BG22" s="8">
        <v>28549.599999999999</v>
      </c>
      <c r="BH22" s="9">
        <v>3095</v>
      </c>
      <c r="BI22" s="62">
        <v>43600</v>
      </c>
      <c r="BJ22" s="8">
        <v>33785.199999999997</v>
      </c>
      <c r="BK22" s="9">
        <v>2015</v>
      </c>
      <c r="BL22" s="62">
        <v>30260</v>
      </c>
      <c r="BM22" s="8">
        <v>20926.399999999998</v>
      </c>
      <c r="BN22" s="44">
        <v>2850</v>
      </c>
      <c r="BO22" s="42">
        <v>42120</v>
      </c>
      <c r="BP22" s="45">
        <v>30523.199999999997</v>
      </c>
      <c r="BQ22" s="44">
        <v>2745</v>
      </c>
      <c r="BR22" s="42">
        <v>40060</v>
      </c>
      <c r="BS22" s="45">
        <v>29486</v>
      </c>
      <c r="BT22" s="44">
        <v>2485</v>
      </c>
      <c r="BU22" s="42">
        <v>37420</v>
      </c>
      <c r="BV22" s="112">
        <v>26936.399999999998</v>
      </c>
      <c r="BW22" s="115">
        <v>2425</v>
      </c>
      <c r="BX22" s="116">
        <v>36470</v>
      </c>
      <c r="BY22" s="112">
        <v>25849.600000000002</v>
      </c>
      <c r="BZ22" s="115">
        <v>2340</v>
      </c>
      <c r="CA22" s="116">
        <v>34640</v>
      </c>
      <c r="CB22" s="112">
        <v>25319.599999999999</v>
      </c>
      <c r="CC22" s="115">
        <v>2595</v>
      </c>
      <c r="CD22" s="116">
        <v>38840</v>
      </c>
      <c r="CE22" s="112">
        <v>27924.400000000001</v>
      </c>
      <c r="CF22" s="115">
        <v>2345</v>
      </c>
      <c r="CG22" s="116">
        <v>35040</v>
      </c>
      <c r="CH22" s="112">
        <v>25026.400000000001</v>
      </c>
      <c r="CI22" s="115">
        <v>2480</v>
      </c>
      <c r="CJ22" s="116">
        <v>37340</v>
      </c>
      <c r="CK22" s="112">
        <v>26642</v>
      </c>
      <c r="CL22" s="54">
        <f t="shared" si="4"/>
        <v>30420</v>
      </c>
      <c r="CM22" s="63">
        <f t="shared" si="4"/>
        <v>449490</v>
      </c>
      <c r="CN22" s="55">
        <f t="shared" si="4"/>
        <v>326859.2</v>
      </c>
      <c r="CO22" s="54">
        <f t="shared" si="5"/>
        <v>2535</v>
      </c>
      <c r="CP22" s="63">
        <f t="shared" si="5"/>
        <v>37457.5</v>
      </c>
      <c r="CQ22" s="55">
        <f t="shared" si="5"/>
        <v>27238.266666666666</v>
      </c>
      <c r="CR22" s="149">
        <f t="shared" si="6"/>
        <v>14670</v>
      </c>
      <c r="CS22" s="149">
        <f t="shared" si="6"/>
        <v>219750</v>
      </c>
    </row>
    <row r="23" spans="1:97" s="2" customFormat="1" ht="34.9" customHeight="1" x14ac:dyDescent="0.6">
      <c r="A23" s="5">
        <v>20</v>
      </c>
      <c r="B23" s="131" t="s">
        <v>77</v>
      </c>
      <c r="C23" s="131" t="s">
        <v>77</v>
      </c>
      <c r="D23" s="14" t="s">
        <v>78</v>
      </c>
      <c r="E23" s="132" t="s">
        <v>13</v>
      </c>
      <c r="F23" s="132" t="s">
        <v>79</v>
      </c>
      <c r="G23" s="7" t="s">
        <v>15</v>
      </c>
      <c r="H23" s="16" t="s">
        <v>724</v>
      </c>
      <c r="I23" s="133" t="s">
        <v>725</v>
      </c>
      <c r="J23" s="133" t="s">
        <v>726</v>
      </c>
      <c r="K23" s="41" t="s">
        <v>16</v>
      </c>
      <c r="L23" s="9">
        <v>2285</v>
      </c>
      <c r="M23" s="62">
        <v>33240</v>
      </c>
      <c r="N23" s="78">
        <v>23399</v>
      </c>
      <c r="O23" s="9">
        <v>2235</v>
      </c>
      <c r="P23" s="62">
        <v>32720</v>
      </c>
      <c r="Q23" s="41">
        <v>23213</v>
      </c>
      <c r="R23" s="9">
        <v>1700</v>
      </c>
      <c r="S23" s="62">
        <v>24440</v>
      </c>
      <c r="T23" s="98">
        <v>40653</v>
      </c>
      <c r="U23" s="9">
        <v>2190</v>
      </c>
      <c r="V23" s="62">
        <v>31180</v>
      </c>
      <c r="W23" s="8">
        <v>22808</v>
      </c>
      <c r="X23" s="9">
        <v>2135</v>
      </c>
      <c r="Y23" s="62">
        <v>32030</v>
      </c>
      <c r="Z23" s="8">
        <v>22436</v>
      </c>
      <c r="AA23" s="9">
        <v>2230</v>
      </c>
      <c r="AB23" s="62">
        <v>31363</v>
      </c>
      <c r="AC23" s="8">
        <v>22854.719999999998</v>
      </c>
      <c r="AD23" s="9">
        <v>2220</v>
      </c>
      <c r="AE23" s="62">
        <v>32520</v>
      </c>
      <c r="AF23" s="8">
        <v>23063</v>
      </c>
      <c r="AG23" s="9">
        <v>2145</v>
      </c>
      <c r="AH23" s="62">
        <v>31230</v>
      </c>
      <c r="AI23" s="8">
        <v>22948</v>
      </c>
      <c r="AJ23" s="9">
        <v>1660</v>
      </c>
      <c r="AK23" s="62">
        <v>24260</v>
      </c>
      <c r="AL23" s="8">
        <v>17093.599999999999</v>
      </c>
      <c r="AM23" s="9">
        <v>2180</v>
      </c>
      <c r="AN23" s="62">
        <v>33120</v>
      </c>
      <c r="AO23" s="8">
        <v>22949.8</v>
      </c>
      <c r="AP23" s="9">
        <v>2425</v>
      </c>
      <c r="AQ23" s="62">
        <v>36500</v>
      </c>
      <c r="AR23" s="8">
        <v>25496</v>
      </c>
      <c r="AS23" s="9">
        <v>1685</v>
      </c>
      <c r="AT23" s="62">
        <v>25700</v>
      </c>
      <c r="AU23" s="8">
        <v>17474</v>
      </c>
      <c r="AV23" s="54">
        <f t="shared" si="0"/>
        <v>25090</v>
      </c>
      <c r="AW23" s="63">
        <f t="shared" si="0"/>
        <v>368303</v>
      </c>
      <c r="AX23" s="55">
        <f t="shared" si="0"/>
        <v>284388.12</v>
      </c>
      <c r="AY23" s="54">
        <f t="shared" si="1"/>
        <v>2090.8333333333335</v>
      </c>
      <c r="AZ23" s="63">
        <f t="shared" si="2"/>
        <v>174.23611111111111</v>
      </c>
      <c r="BA23" s="55">
        <f t="shared" si="3"/>
        <v>23699.01</v>
      </c>
      <c r="BB23" s="9">
        <v>1805</v>
      </c>
      <c r="BC23" s="62">
        <v>26520</v>
      </c>
      <c r="BD23" s="8">
        <v>18700.400000000001</v>
      </c>
      <c r="BE23" s="9">
        <v>1660</v>
      </c>
      <c r="BF23" s="62">
        <v>23840</v>
      </c>
      <c r="BG23" s="8">
        <v>16998.400000000001</v>
      </c>
      <c r="BH23" s="9">
        <v>1780</v>
      </c>
      <c r="BI23" s="62">
        <v>27280</v>
      </c>
      <c r="BJ23" s="8">
        <v>18963.2</v>
      </c>
      <c r="BK23" s="9">
        <v>2260</v>
      </c>
      <c r="BL23" s="62">
        <v>34240</v>
      </c>
      <c r="BM23" s="8">
        <v>23622.399999999998</v>
      </c>
      <c r="BN23" s="44">
        <v>1230</v>
      </c>
      <c r="BO23" s="42">
        <v>18920</v>
      </c>
      <c r="BP23" s="45">
        <v>12954.4</v>
      </c>
      <c r="BQ23" s="44">
        <v>1685</v>
      </c>
      <c r="BR23" s="42">
        <v>24510</v>
      </c>
      <c r="BS23" s="45">
        <v>17675.199999999997</v>
      </c>
      <c r="BT23" s="44">
        <v>2320</v>
      </c>
      <c r="BU23" s="42">
        <v>35260</v>
      </c>
      <c r="BV23" s="112">
        <v>24687.599999999999</v>
      </c>
      <c r="BW23" s="115">
        <v>2235</v>
      </c>
      <c r="BX23" s="116">
        <v>32860</v>
      </c>
      <c r="BY23" s="112">
        <v>23513.200000000001</v>
      </c>
      <c r="BZ23" s="115">
        <v>2230</v>
      </c>
      <c r="CA23" s="116">
        <v>35140</v>
      </c>
      <c r="CB23" s="112">
        <v>24147.599999999999</v>
      </c>
      <c r="CC23" s="115">
        <v>2385</v>
      </c>
      <c r="CD23" s="116">
        <v>35640</v>
      </c>
      <c r="CE23" s="112">
        <v>25828.800000000003</v>
      </c>
      <c r="CF23" s="115">
        <v>2235</v>
      </c>
      <c r="CG23" s="116">
        <v>36330</v>
      </c>
      <c r="CH23" s="112">
        <v>24008.399999999998</v>
      </c>
      <c r="CI23" s="115">
        <v>2280</v>
      </c>
      <c r="CJ23" s="116">
        <v>34060</v>
      </c>
      <c r="CK23" s="112">
        <v>24711.600000000002</v>
      </c>
      <c r="CL23" s="54">
        <f t="shared" si="4"/>
        <v>24105</v>
      </c>
      <c r="CM23" s="63">
        <f t="shared" si="4"/>
        <v>364600</v>
      </c>
      <c r="CN23" s="55">
        <f t="shared" si="4"/>
        <v>255811.20000000001</v>
      </c>
      <c r="CO23" s="54">
        <f t="shared" si="5"/>
        <v>2008.75</v>
      </c>
      <c r="CP23" s="63">
        <f t="shared" si="5"/>
        <v>30383.333333333332</v>
      </c>
      <c r="CQ23" s="55">
        <f t="shared" si="5"/>
        <v>21317.600000000002</v>
      </c>
      <c r="CR23" s="149">
        <f t="shared" si="6"/>
        <v>13685</v>
      </c>
      <c r="CS23" s="149">
        <f t="shared" si="6"/>
        <v>209290</v>
      </c>
    </row>
    <row r="24" spans="1:97" s="2" customFormat="1" ht="34.9" customHeight="1" x14ac:dyDescent="0.6">
      <c r="A24" s="5">
        <v>21</v>
      </c>
      <c r="B24" s="131" t="s">
        <v>80</v>
      </c>
      <c r="C24" s="131" t="s">
        <v>80</v>
      </c>
      <c r="D24" s="14" t="s">
        <v>81</v>
      </c>
      <c r="E24" s="132" t="s">
        <v>82</v>
      </c>
      <c r="F24" s="132" t="s">
        <v>83</v>
      </c>
      <c r="G24" s="7" t="s">
        <v>15</v>
      </c>
      <c r="H24" s="16" t="s">
        <v>727</v>
      </c>
      <c r="I24" s="133" t="s">
        <v>728</v>
      </c>
      <c r="J24" s="133" t="s">
        <v>729</v>
      </c>
      <c r="K24" s="41" t="s">
        <v>16</v>
      </c>
      <c r="L24" s="9">
        <v>1930</v>
      </c>
      <c r="M24" s="62">
        <v>28700</v>
      </c>
      <c r="N24" s="78">
        <v>20930.400000000001</v>
      </c>
      <c r="O24" s="9">
        <v>1845</v>
      </c>
      <c r="P24" s="62">
        <v>27830</v>
      </c>
      <c r="Q24" s="41">
        <v>20116</v>
      </c>
      <c r="R24" s="9">
        <v>2017</v>
      </c>
      <c r="S24" s="62">
        <v>29770</v>
      </c>
      <c r="T24" s="98">
        <v>21976</v>
      </c>
      <c r="U24" s="9">
        <v>1785</v>
      </c>
      <c r="V24" s="62">
        <v>26680</v>
      </c>
      <c r="W24" s="8">
        <v>19393</v>
      </c>
      <c r="X24" s="9">
        <v>1810</v>
      </c>
      <c r="Y24" s="62">
        <v>27258</v>
      </c>
      <c r="Z24" s="8">
        <v>19880</v>
      </c>
      <c r="AA24" s="9">
        <v>2010</v>
      </c>
      <c r="AB24" s="62">
        <v>29290</v>
      </c>
      <c r="AC24" s="8">
        <v>21989.200000000001</v>
      </c>
      <c r="AD24" s="9">
        <v>2020</v>
      </c>
      <c r="AE24" s="62">
        <v>30000</v>
      </c>
      <c r="AF24" s="8">
        <v>22344</v>
      </c>
      <c r="AG24" s="9">
        <v>1725</v>
      </c>
      <c r="AH24" s="62">
        <v>26384</v>
      </c>
      <c r="AI24" s="8">
        <v>19210</v>
      </c>
      <c r="AJ24" s="9">
        <v>1455</v>
      </c>
      <c r="AK24" s="62">
        <v>22450</v>
      </c>
      <c r="AL24" s="8">
        <v>16270.4</v>
      </c>
      <c r="AM24" s="9">
        <v>1600</v>
      </c>
      <c r="AN24" s="62">
        <v>24890</v>
      </c>
      <c r="AO24" s="8">
        <v>17807.599999999999</v>
      </c>
      <c r="AP24" s="9">
        <v>1625</v>
      </c>
      <c r="AQ24" s="62">
        <v>25350</v>
      </c>
      <c r="AR24" s="8">
        <v>18141</v>
      </c>
      <c r="AS24" s="9">
        <v>1520</v>
      </c>
      <c r="AT24" s="62">
        <v>23710</v>
      </c>
      <c r="AU24" s="8">
        <v>16875</v>
      </c>
      <c r="AV24" s="54">
        <f t="shared" si="0"/>
        <v>21342</v>
      </c>
      <c r="AW24" s="63">
        <f t="shared" si="0"/>
        <v>322312</v>
      </c>
      <c r="AX24" s="55">
        <f t="shared" si="0"/>
        <v>234932.59999999998</v>
      </c>
      <c r="AY24" s="54">
        <f t="shared" si="1"/>
        <v>1778.5</v>
      </c>
      <c r="AZ24" s="63">
        <f t="shared" si="2"/>
        <v>148.20833333333334</v>
      </c>
      <c r="BA24" s="55">
        <f t="shared" si="3"/>
        <v>19577.716666666664</v>
      </c>
      <c r="BB24" s="9">
        <v>1480</v>
      </c>
      <c r="BC24" s="62">
        <v>23150</v>
      </c>
      <c r="BD24" s="8">
        <v>16654.8</v>
      </c>
      <c r="BE24" s="9">
        <v>1260</v>
      </c>
      <c r="BF24" s="62">
        <v>19720</v>
      </c>
      <c r="BG24" s="8">
        <v>14053.6</v>
      </c>
      <c r="BH24" s="9">
        <v>2355</v>
      </c>
      <c r="BI24" s="62">
        <v>35220</v>
      </c>
      <c r="BJ24" s="8">
        <v>26202</v>
      </c>
      <c r="BK24" s="9">
        <v>980</v>
      </c>
      <c r="BL24" s="62">
        <v>15460</v>
      </c>
      <c r="BM24" s="8">
        <v>10971.599999999999</v>
      </c>
      <c r="BN24" s="44">
        <v>1335</v>
      </c>
      <c r="BO24" s="42">
        <v>19490</v>
      </c>
      <c r="BP24" s="45">
        <v>14846.8</v>
      </c>
      <c r="BQ24" s="44">
        <v>1932</v>
      </c>
      <c r="BR24" s="42">
        <v>29700</v>
      </c>
      <c r="BS24" s="45">
        <v>21890</v>
      </c>
      <c r="BT24" s="44">
        <v>1047</v>
      </c>
      <c r="BU24" s="42">
        <v>16210</v>
      </c>
      <c r="BV24" s="112">
        <v>11634</v>
      </c>
      <c r="BW24" s="115">
        <v>1440</v>
      </c>
      <c r="BX24" s="116">
        <v>22320</v>
      </c>
      <c r="BY24" s="112">
        <v>16207.199999999999</v>
      </c>
      <c r="BZ24" s="115">
        <v>1050</v>
      </c>
      <c r="CA24" s="116">
        <v>15300</v>
      </c>
      <c r="CB24" s="112">
        <v>11838</v>
      </c>
      <c r="CC24" s="115">
        <v>1155</v>
      </c>
      <c r="CD24" s="116">
        <v>17240</v>
      </c>
      <c r="CE24" s="112">
        <v>13058.400000000001</v>
      </c>
      <c r="CF24" s="115">
        <v>1195</v>
      </c>
      <c r="CG24" s="116">
        <v>18220</v>
      </c>
      <c r="CH24" s="112">
        <v>13446.8</v>
      </c>
      <c r="CI24" s="115">
        <v>1345</v>
      </c>
      <c r="CJ24" s="116">
        <v>20690</v>
      </c>
      <c r="CK24" s="112">
        <v>15167.599999999999</v>
      </c>
      <c r="CL24" s="54">
        <f t="shared" si="4"/>
        <v>16574</v>
      </c>
      <c r="CM24" s="63">
        <f t="shared" si="4"/>
        <v>252720</v>
      </c>
      <c r="CN24" s="55">
        <f t="shared" si="4"/>
        <v>185970.8</v>
      </c>
      <c r="CO24" s="54">
        <f t="shared" si="5"/>
        <v>1381.1666666666667</v>
      </c>
      <c r="CP24" s="63">
        <f t="shared" si="5"/>
        <v>21060</v>
      </c>
      <c r="CQ24" s="55">
        <f t="shared" si="5"/>
        <v>15497.566666666666</v>
      </c>
      <c r="CR24" s="149">
        <f t="shared" si="6"/>
        <v>7232</v>
      </c>
      <c r="CS24" s="149">
        <f t="shared" si="6"/>
        <v>109980</v>
      </c>
    </row>
    <row r="25" spans="1:97" s="2" customFormat="1" ht="34.9" customHeight="1" x14ac:dyDescent="0.6">
      <c r="A25" s="5">
        <v>22</v>
      </c>
      <c r="B25" s="131" t="s">
        <v>84</v>
      </c>
      <c r="C25" s="131" t="s">
        <v>84</v>
      </c>
      <c r="D25" s="14" t="s">
        <v>85</v>
      </c>
      <c r="E25" s="132" t="s">
        <v>19</v>
      </c>
      <c r="F25" s="132" t="s">
        <v>20</v>
      </c>
      <c r="G25" s="7" t="s">
        <v>15</v>
      </c>
      <c r="H25" s="16" t="s">
        <v>730</v>
      </c>
      <c r="I25" s="133" t="s">
        <v>731</v>
      </c>
      <c r="J25" s="133" t="s">
        <v>732</v>
      </c>
      <c r="K25" s="41" t="s">
        <v>16</v>
      </c>
      <c r="L25" s="9">
        <v>2030</v>
      </c>
      <c r="M25" s="62">
        <v>28680</v>
      </c>
      <c r="N25" s="78">
        <v>20823</v>
      </c>
      <c r="O25" s="9">
        <v>2025</v>
      </c>
      <c r="P25" s="62">
        <v>28040</v>
      </c>
      <c r="Q25" s="41">
        <v>20928</v>
      </c>
      <c r="R25" s="9">
        <v>1645</v>
      </c>
      <c r="S25" s="62">
        <v>24620</v>
      </c>
      <c r="T25" s="98">
        <v>17056</v>
      </c>
      <c r="U25" s="9">
        <v>2195</v>
      </c>
      <c r="V25" s="62">
        <v>31260</v>
      </c>
      <c r="W25" s="8">
        <v>22680</v>
      </c>
      <c r="X25" s="9">
        <v>1145</v>
      </c>
      <c r="Y25" s="62">
        <v>15500</v>
      </c>
      <c r="Z25" s="8">
        <v>11716</v>
      </c>
      <c r="AA25" s="9">
        <v>1145</v>
      </c>
      <c r="AB25" s="62">
        <v>17180</v>
      </c>
      <c r="AC25" s="8">
        <v>11980</v>
      </c>
      <c r="AD25" s="9">
        <v>1235</v>
      </c>
      <c r="AE25" s="62">
        <v>18440</v>
      </c>
      <c r="AF25" s="8">
        <v>12956</v>
      </c>
      <c r="AG25" s="9">
        <v>2010</v>
      </c>
      <c r="AH25" s="62">
        <v>29660</v>
      </c>
      <c r="AI25" s="8">
        <v>21492</v>
      </c>
      <c r="AJ25" s="9">
        <v>1530</v>
      </c>
      <c r="AK25" s="62">
        <v>21520</v>
      </c>
      <c r="AL25" s="8">
        <v>16532</v>
      </c>
      <c r="AM25" s="9">
        <v>2625</v>
      </c>
      <c r="AN25" s="62">
        <v>37540</v>
      </c>
      <c r="AO25" s="8">
        <v>27632</v>
      </c>
      <c r="AP25" s="9">
        <v>2172</v>
      </c>
      <c r="AQ25" s="62">
        <v>31224</v>
      </c>
      <c r="AR25" s="8">
        <v>23016</v>
      </c>
      <c r="AS25" s="9">
        <v>2210</v>
      </c>
      <c r="AT25" s="62">
        <v>32260</v>
      </c>
      <c r="AU25" s="8">
        <v>23223</v>
      </c>
      <c r="AV25" s="54">
        <f t="shared" si="0"/>
        <v>21967</v>
      </c>
      <c r="AW25" s="63">
        <f t="shared" si="0"/>
        <v>315924</v>
      </c>
      <c r="AX25" s="55">
        <f t="shared" si="0"/>
        <v>230034</v>
      </c>
      <c r="AY25" s="54">
        <f t="shared" si="1"/>
        <v>1830.5833333333333</v>
      </c>
      <c r="AZ25" s="63">
        <f t="shared" si="2"/>
        <v>152.54861111111111</v>
      </c>
      <c r="BA25" s="55">
        <f t="shared" si="3"/>
        <v>19169.5</v>
      </c>
      <c r="BB25" s="9">
        <v>1100</v>
      </c>
      <c r="BC25" s="62">
        <v>15980</v>
      </c>
      <c r="BD25" s="8">
        <v>11456</v>
      </c>
      <c r="BE25" s="9">
        <v>2730</v>
      </c>
      <c r="BF25" s="62">
        <v>39040</v>
      </c>
      <c r="BG25" s="8">
        <v>28774</v>
      </c>
      <c r="BH25" s="9">
        <v>2750</v>
      </c>
      <c r="BI25" s="62">
        <v>38860</v>
      </c>
      <c r="BJ25" s="8">
        <v>28828</v>
      </c>
      <c r="BK25" s="9">
        <v>2700</v>
      </c>
      <c r="BL25" s="62">
        <v>37840</v>
      </c>
      <c r="BM25" s="8">
        <v>28354</v>
      </c>
      <c r="BN25" s="44">
        <v>3250</v>
      </c>
      <c r="BO25" s="42">
        <v>46240</v>
      </c>
      <c r="BP25" s="45">
        <v>34206</v>
      </c>
      <c r="BQ25" s="44">
        <v>2750</v>
      </c>
      <c r="BR25" s="42">
        <v>39000</v>
      </c>
      <c r="BS25" s="45">
        <v>28850</v>
      </c>
      <c r="BT25" s="44">
        <v>2730</v>
      </c>
      <c r="BU25" s="42">
        <v>40260</v>
      </c>
      <c r="BV25" s="112">
        <v>28775.599999999999</v>
      </c>
      <c r="BW25" s="115">
        <v>3280</v>
      </c>
      <c r="BX25" s="116">
        <v>45960</v>
      </c>
      <c r="BY25" s="112">
        <v>34798.400000000001</v>
      </c>
      <c r="BZ25" s="115">
        <v>3150</v>
      </c>
      <c r="CA25" s="116">
        <v>46260</v>
      </c>
      <c r="CB25" s="112">
        <v>33640</v>
      </c>
      <c r="CC25" s="115">
        <v>3000</v>
      </c>
      <c r="CD25" s="116">
        <v>42700</v>
      </c>
      <c r="CE25" s="112">
        <v>31780</v>
      </c>
      <c r="CF25" s="115">
        <v>3010</v>
      </c>
      <c r="CG25" s="116">
        <v>42720</v>
      </c>
      <c r="CH25" s="112">
        <v>32256</v>
      </c>
      <c r="CI25" s="115">
        <v>3300</v>
      </c>
      <c r="CJ25" s="116">
        <v>47780</v>
      </c>
      <c r="CK25" s="112">
        <v>35461.199999999997</v>
      </c>
      <c r="CL25" s="54">
        <f t="shared" si="4"/>
        <v>33750</v>
      </c>
      <c r="CM25" s="63">
        <f t="shared" si="4"/>
        <v>482640</v>
      </c>
      <c r="CN25" s="55">
        <f t="shared" si="4"/>
        <v>357179.2</v>
      </c>
      <c r="CO25" s="54">
        <f t="shared" si="5"/>
        <v>2812.5</v>
      </c>
      <c r="CP25" s="63">
        <f t="shared" si="5"/>
        <v>40220</v>
      </c>
      <c r="CQ25" s="55">
        <f t="shared" si="5"/>
        <v>29764.933333333334</v>
      </c>
      <c r="CR25" s="149">
        <f t="shared" si="6"/>
        <v>18470</v>
      </c>
      <c r="CS25" s="149">
        <f t="shared" si="6"/>
        <v>265680</v>
      </c>
    </row>
    <row r="26" spans="1:97" s="2" customFormat="1" ht="34.9" customHeight="1" x14ac:dyDescent="0.6">
      <c r="A26" s="5">
        <v>23</v>
      </c>
      <c r="B26" s="131" t="s">
        <v>86</v>
      </c>
      <c r="C26" s="131" t="s">
        <v>86</v>
      </c>
      <c r="D26" s="14" t="s">
        <v>87</v>
      </c>
      <c r="E26" s="132" t="s">
        <v>53</v>
      </c>
      <c r="F26" s="132" t="s">
        <v>54</v>
      </c>
      <c r="G26" s="7" t="s">
        <v>15</v>
      </c>
      <c r="H26" s="16" t="s">
        <v>733</v>
      </c>
      <c r="I26" s="133" t="s">
        <v>734</v>
      </c>
      <c r="J26" s="133" t="s">
        <v>735</v>
      </c>
      <c r="K26" s="41" t="s">
        <v>16</v>
      </c>
      <c r="L26" s="9">
        <v>1960</v>
      </c>
      <c r="M26" s="62">
        <v>27100</v>
      </c>
      <c r="N26" s="78">
        <v>18524</v>
      </c>
      <c r="O26" s="9">
        <v>498</v>
      </c>
      <c r="P26" s="62">
        <v>6910</v>
      </c>
      <c r="Q26" s="41">
        <v>5031</v>
      </c>
      <c r="R26" s="9">
        <v>1730</v>
      </c>
      <c r="S26" s="62">
        <v>23370</v>
      </c>
      <c r="T26" s="98">
        <v>17238</v>
      </c>
      <c r="U26" s="9">
        <v>2600</v>
      </c>
      <c r="V26" s="62">
        <v>35440</v>
      </c>
      <c r="W26" s="8">
        <v>25646</v>
      </c>
      <c r="X26" s="9">
        <v>1864</v>
      </c>
      <c r="Y26" s="62">
        <v>25316</v>
      </c>
      <c r="Z26" s="8">
        <v>18153</v>
      </c>
      <c r="AA26" s="9">
        <v>1930</v>
      </c>
      <c r="AB26" s="62">
        <v>25960</v>
      </c>
      <c r="AC26" s="8">
        <v>19795.2</v>
      </c>
      <c r="AD26" s="9">
        <v>2560</v>
      </c>
      <c r="AE26" s="62">
        <v>34820</v>
      </c>
      <c r="AF26" s="8">
        <v>25379</v>
      </c>
      <c r="AG26" s="9">
        <v>1406</v>
      </c>
      <c r="AH26" s="62">
        <v>18730</v>
      </c>
      <c r="AI26" s="8">
        <v>14493</v>
      </c>
      <c r="AJ26" s="9">
        <v>1549</v>
      </c>
      <c r="AK26" s="62">
        <v>21166</v>
      </c>
      <c r="AL26" s="8">
        <v>15560.640000000001</v>
      </c>
      <c r="AM26" s="9">
        <v>2315</v>
      </c>
      <c r="AN26" s="62">
        <v>31380</v>
      </c>
      <c r="AO26" s="8">
        <v>23199.200000000001</v>
      </c>
      <c r="AP26" s="9">
        <v>2175</v>
      </c>
      <c r="AQ26" s="62">
        <v>28800</v>
      </c>
      <c r="AR26" s="8">
        <v>21996</v>
      </c>
      <c r="AS26" s="9">
        <v>2300</v>
      </c>
      <c r="AT26" s="62">
        <v>31120</v>
      </c>
      <c r="AU26" s="8">
        <v>23586</v>
      </c>
      <c r="AV26" s="54">
        <f t="shared" si="0"/>
        <v>22887</v>
      </c>
      <c r="AW26" s="63">
        <f t="shared" si="0"/>
        <v>310112</v>
      </c>
      <c r="AX26" s="55">
        <f t="shared" si="0"/>
        <v>228601.04000000004</v>
      </c>
      <c r="AY26" s="54">
        <f t="shared" si="1"/>
        <v>1907.25</v>
      </c>
      <c r="AZ26" s="63">
        <f t="shared" si="2"/>
        <v>158.9375</v>
      </c>
      <c r="BA26" s="55">
        <f t="shared" si="3"/>
        <v>19050.08666666667</v>
      </c>
      <c r="BB26" s="9">
        <v>1650</v>
      </c>
      <c r="BC26" s="62">
        <v>21800</v>
      </c>
      <c r="BD26" s="8">
        <v>17651.2</v>
      </c>
      <c r="BE26" s="9">
        <v>1610</v>
      </c>
      <c r="BF26" s="62">
        <v>21390</v>
      </c>
      <c r="BG26" s="8">
        <v>16842</v>
      </c>
      <c r="BH26" s="9">
        <v>2720</v>
      </c>
      <c r="BI26" s="62">
        <v>35990</v>
      </c>
      <c r="BJ26" s="8">
        <v>28439.200000000001</v>
      </c>
      <c r="BK26" s="9">
        <v>1725</v>
      </c>
      <c r="BL26" s="62">
        <v>24500</v>
      </c>
      <c r="BM26" s="8">
        <v>17152</v>
      </c>
      <c r="BN26" s="44">
        <v>1845</v>
      </c>
      <c r="BO26" s="42">
        <v>23840</v>
      </c>
      <c r="BP26" s="45">
        <v>19556</v>
      </c>
      <c r="BQ26" s="44">
        <v>1445</v>
      </c>
      <c r="BR26" s="42">
        <v>19800</v>
      </c>
      <c r="BS26" s="45">
        <v>14937.599999999999</v>
      </c>
      <c r="BT26" s="44">
        <v>2050</v>
      </c>
      <c r="BU26" s="42">
        <v>27240</v>
      </c>
      <c r="BV26" s="112">
        <v>21478.400000000001</v>
      </c>
      <c r="BW26" s="115">
        <v>1956</v>
      </c>
      <c r="BX26" s="116">
        <v>25870</v>
      </c>
      <c r="BY26" s="112">
        <v>20465.16</v>
      </c>
      <c r="BZ26" s="115">
        <v>1585</v>
      </c>
      <c r="CA26" s="116">
        <v>20960</v>
      </c>
      <c r="CB26" s="112">
        <v>16962.399999999998</v>
      </c>
      <c r="CC26" s="115">
        <v>1655</v>
      </c>
      <c r="CD26" s="116">
        <v>21830</v>
      </c>
      <c r="CE26" s="112">
        <v>17088.400000000001</v>
      </c>
      <c r="CF26" s="115">
        <v>2060</v>
      </c>
      <c r="CG26" s="116">
        <v>27960</v>
      </c>
      <c r="CH26" s="112">
        <v>20909.2</v>
      </c>
      <c r="CI26" s="115">
        <v>1175</v>
      </c>
      <c r="CJ26" s="116">
        <v>15640</v>
      </c>
      <c r="CK26" s="112">
        <v>12204.8</v>
      </c>
      <c r="CL26" s="54">
        <f t="shared" si="4"/>
        <v>21476</v>
      </c>
      <c r="CM26" s="63">
        <f t="shared" si="4"/>
        <v>286820</v>
      </c>
      <c r="CN26" s="55">
        <f t="shared" si="4"/>
        <v>223686.36</v>
      </c>
      <c r="CO26" s="54">
        <f t="shared" si="5"/>
        <v>1789.6666666666667</v>
      </c>
      <c r="CP26" s="63">
        <f t="shared" si="5"/>
        <v>23901.666666666668</v>
      </c>
      <c r="CQ26" s="55">
        <f t="shared" si="5"/>
        <v>18640.53</v>
      </c>
      <c r="CR26" s="149">
        <f t="shared" si="6"/>
        <v>10481</v>
      </c>
      <c r="CS26" s="149">
        <f t="shared" si="6"/>
        <v>139500</v>
      </c>
    </row>
    <row r="27" spans="1:97" s="2" customFormat="1" ht="34.9" customHeight="1" x14ac:dyDescent="0.6">
      <c r="A27" s="5">
        <v>24</v>
      </c>
      <c r="B27" s="131" t="s">
        <v>88</v>
      </c>
      <c r="C27" s="131" t="s">
        <v>88</v>
      </c>
      <c r="D27" s="14" t="s">
        <v>89</v>
      </c>
      <c r="E27" s="132" t="s">
        <v>90</v>
      </c>
      <c r="F27" s="132" t="s">
        <v>91</v>
      </c>
      <c r="G27" s="7" t="s">
        <v>15</v>
      </c>
      <c r="H27" s="16" t="s">
        <v>88</v>
      </c>
      <c r="I27" s="16" t="s">
        <v>89</v>
      </c>
      <c r="J27" s="133" t="s">
        <v>736</v>
      </c>
      <c r="K27" s="41" t="s">
        <v>16</v>
      </c>
      <c r="L27" s="9">
        <v>1925</v>
      </c>
      <c r="M27" s="62">
        <v>26860</v>
      </c>
      <c r="N27" s="78">
        <v>21312</v>
      </c>
      <c r="O27" s="9">
        <v>1570</v>
      </c>
      <c r="P27" s="62">
        <v>22760</v>
      </c>
      <c r="Q27" s="41">
        <v>17627.2</v>
      </c>
      <c r="R27" s="9">
        <v>1900</v>
      </c>
      <c r="S27" s="62">
        <v>26400</v>
      </c>
      <c r="T27" s="98">
        <v>21237.200000000001</v>
      </c>
      <c r="U27" s="9">
        <v>1370</v>
      </c>
      <c r="V27" s="62">
        <v>19560</v>
      </c>
      <c r="W27" s="8">
        <v>15408</v>
      </c>
      <c r="X27" s="9">
        <v>1895</v>
      </c>
      <c r="Y27" s="62">
        <v>27160</v>
      </c>
      <c r="Z27" s="8">
        <v>21117</v>
      </c>
      <c r="AA27" s="9">
        <v>1790</v>
      </c>
      <c r="AB27" s="62">
        <v>24840</v>
      </c>
      <c r="AC27" s="8">
        <v>19794.400000000001</v>
      </c>
      <c r="AD27" s="9">
        <v>1805</v>
      </c>
      <c r="AE27" s="62">
        <v>26200</v>
      </c>
      <c r="AF27" s="8">
        <v>20360</v>
      </c>
      <c r="AG27" s="9">
        <v>1404</v>
      </c>
      <c r="AH27" s="62">
        <v>19466</v>
      </c>
      <c r="AI27" s="8">
        <v>14852</v>
      </c>
      <c r="AJ27" s="9">
        <v>1420</v>
      </c>
      <c r="AK27" s="62">
        <v>21896</v>
      </c>
      <c r="AL27" s="8">
        <v>16240</v>
      </c>
      <c r="AM27" s="9">
        <v>1688</v>
      </c>
      <c r="AN27" s="62">
        <v>23314</v>
      </c>
      <c r="AO27" s="8">
        <v>19055.2</v>
      </c>
      <c r="AP27" s="9">
        <v>1300</v>
      </c>
      <c r="AQ27" s="62">
        <v>19460</v>
      </c>
      <c r="AR27" s="8">
        <v>14617</v>
      </c>
      <c r="AS27" s="9">
        <v>1448</v>
      </c>
      <c r="AT27" s="62">
        <v>20256</v>
      </c>
      <c r="AU27" s="8">
        <v>16420</v>
      </c>
      <c r="AV27" s="54">
        <f t="shared" si="0"/>
        <v>19515</v>
      </c>
      <c r="AW27" s="63">
        <f t="shared" si="0"/>
        <v>278172</v>
      </c>
      <c r="AX27" s="55">
        <f t="shared" si="0"/>
        <v>218040</v>
      </c>
      <c r="AY27" s="54">
        <f t="shared" si="1"/>
        <v>1626.25</v>
      </c>
      <c r="AZ27" s="63">
        <f t="shared" si="2"/>
        <v>135.52083333333334</v>
      </c>
      <c r="BA27" s="55">
        <f t="shared" si="3"/>
        <v>18170</v>
      </c>
      <c r="BB27" s="9">
        <v>1250</v>
      </c>
      <c r="BC27" s="62">
        <v>17680</v>
      </c>
      <c r="BD27" s="8">
        <v>14022.4</v>
      </c>
      <c r="BE27" s="9">
        <v>1215</v>
      </c>
      <c r="BF27" s="62">
        <v>17200</v>
      </c>
      <c r="BG27" s="8">
        <v>13886.400000000001</v>
      </c>
      <c r="BH27" s="9">
        <v>1555</v>
      </c>
      <c r="BI27" s="62">
        <v>22150</v>
      </c>
      <c r="BJ27" s="8">
        <v>17866</v>
      </c>
      <c r="BK27" s="9">
        <v>1050</v>
      </c>
      <c r="BL27" s="62">
        <v>15640</v>
      </c>
      <c r="BM27" s="8">
        <v>11845.6</v>
      </c>
      <c r="BN27" s="44">
        <v>1150</v>
      </c>
      <c r="BO27" s="42">
        <v>16620</v>
      </c>
      <c r="BP27" s="45">
        <v>13296</v>
      </c>
      <c r="BQ27" s="44">
        <v>1135</v>
      </c>
      <c r="BR27" s="42">
        <v>17100</v>
      </c>
      <c r="BS27" s="45">
        <v>13118</v>
      </c>
      <c r="BT27" s="44">
        <v>1200</v>
      </c>
      <c r="BU27" s="42">
        <v>17520</v>
      </c>
      <c r="BV27" s="112">
        <v>13752.8</v>
      </c>
      <c r="BW27" s="115">
        <v>975</v>
      </c>
      <c r="BX27" s="116">
        <v>15060</v>
      </c>
      <c r="BY27" s="112">
        <v>11428.400000000001</v>
      </c>
      <c r="BZ27" s="115">
        <v>1283</v>
      </c>
      <c r="CA27" s="116">
        <v>18116</v>
      </c>
      <c r="CB27" s="112">
        <v>14905.200000000003</v>
      </c>
      <c r="CC27" s="115">
        <v>1067</v>
      </c>
      <c r="CD27" s="116">
        <v>16464</v>
      </c>
      <c r="CE27" s="112">
        <v>12532.8</v>
      </c>
      <c r="CF27" s="115">
        <v>1075</v>
      </c>
      <c r="CG27" s="116">
        <v>15660</v>
      </c>
      <c r="CH27" s="112">
        <v>12547.199999999999</v>
      </c>
      <c r="CI27" s="115">
        <v>1300</v>
      </c>
      <c r="CJ27" s="116">
        <v>19240</v>
      </c>
      <c r="CK27" s="112">
        <v>15366.399999999998</v>
      </c>
      <c r="CL27" s="54">
        <f t="shared" si="4"/>
        <v>14255</v>
      </c>
      <c r="CM27" s="63">
        <f t="shared" si="4"/>
        <v>208450</v>
      </c>
      <c r="CN27" s="55">
        <f t="shared" si="4"/>
        <v>164567.20000000001</v>
      </c>
      <c r="CO27" s="54">
        <f t="shared" si="5"/>
        <v>1187.9166666666667</v>
      </c>
      <c r="CP27" s="63">
        <f t="shared" si="5"/>
        <v>17370.833333333332</v>
      </c>
      <c r="CQ27" s="55">
        <f t="shared" si="5"/>
        <v>13713.933333333334</v>
      </c>
      <c r="CR27" s="149">
        <f t="shared" si="6"/>
        <v>6900</v>
      </c>
      <c r="CS27" s="149">
        <f t="shared" si="6"/>
        <v>102060</v>
      </c>
    </row>
    <row r="28" spans="1:97" s="2" customFormat="1" ht="34.9" customHeight="1" x14ac:dyDescent="0.6">
      <c r="A28" s="5">
        <v>25</v>
      </c>
      <c r="B28" s="131" t="s">
        <v>92</v>
      </c>
      <c r="C28" s="131" t="s">
        <v>92</v>
      </c>
      <c r="D28" s="14" t="s">
        <v>93</v>
      </c>
      <c r="E28" s="132" t="s">
        <v>53</v>
      </c>
      <c r="F28" s="132" t="s">
        <v>54</v>
      </c>
      <c r="G28" s="7" t="s">
        <v>15</v>
      </c>
      <c r="H28" s="16" t="s">
        <v>737</v>
      </c>
      <c r="I28" s="133" t="s">
        <v>738</v>
      </c>
      <c r="J28" s="133" t="s">
        <v>739</v>
      </c>
      <c r="K28" s="41" t="s">
        <v>16</v>
      </c>
      <c r="L28" s="9">
        <v>2100</v>
      </c>
      <c r="M28" s="62">
        <v>26760</v>
      </c>
      <c r="N28" s="78">
        <v>23131</v>
      </c>
      <c r="O28" s="9">
        <v>1040</v>
      </c>
      <c r="P28" s="62">
        <v>13680</v>
      </c>
      <c r="Q28" s="41">
        <v>10566</v>
      </c>
      <c r="R28" s="9">
        <v>1720</v>
      </c>
      <c r="S28" s="62">
        <v>22280</v>
      </c>
      <c r="T28" s="98">
        <v>18147</v>
      </c>
      <c r="U28" s="9">
        <v>1520</v>
      </c>
      <c r="V28" s="62">
        <v>19840</v>
      </c>
      <c r="W28" s="8">
        <v>15808</v>
      </c>
      <c r="X28" s="9">
        <v>3175</v>
      </c>
      <c r="Y28" s="62">
        <v>41490</v>
      </c>
      <c r="Z28" s="8">
        <v>33526</v>
      </c>
      <c r="AA28" s="9">
        <v>1560</v>
      </c>
      <c r="AB28" s="62">
        <v>20660</v>
      </c>
      <c r="AC28" s="8">
        <v>16216.8</v>
      </c>
      <c r="AD28" s="9">
        <v>2460</v>
      </c>
      <c r="AE28" s="62">
        <v>31720</v>
      </c>
      <c r="AF28" s="8">
        <v>26176</v>
      </c>
      <c r="AG28" s="9">
        <v>1235</v>
      </c>
      <c r="AH28" s="62">
        <v>16362</v>
      </c>
      <c r="AI28" s="8">
        <v>13367</v>
      </c>
      <c r="AJ28" s="9">
        <v>1085</v>
      </c>
      <c r="AK28" s="62">
        <v>14380</v>
      </c>
      <c r="AL28" s="8">
        <v>11844</v>
      </c>
      <c r="AM28" s="9">
        <v>2125</v>
      </c>
      <c r="AN28" s="62">
        <v>28280</v>
      </c>
      <c r="AO28" s="8">
        <v>23056.799999999999</v>
      </c>
      <c r="AP28" s="9">
        <v>1030</v>
      </c>
      <c r="AQ28" s="62">
        <v>13520</v>
      </c>
      <c r="AR28" s="8">
        <v>10597</v>
      </c>
      <c r="AS28" s="9">
        <v>1580</v>
      </c>
      <c r="AT28" s="62">
        <v>20780</v>
      </c>
      <c r="AU28" s="8">
        <v>17085</v>
      </c>
      <c r="AV28" s="54">
        <f t="shared" si="0"/>
        <v>20630</v>
      </c>
      <c r="AW28" s="63">
        <f t="shared" si="0"/>
        <v>269752</v>
      </c>
      <c r="AX28" s="55">
        <f t="shared" si="0"/>
        <v>219520.59999999998</v>
      </c>
      <c r="AY28" s="54">
        <f t="shared" si="1"/>
        <v>1719.1666666666667</v>
      </c>
      <c r="AZ28" s="63">
        <f t="shared" si="2"/>
        <v>143.26388888888889</v>
      </c>
      <c r="BA28" s="55">
        <f t="shared" si="3"/>
        <v>18293.383333333331</v>
      </c>
      <c r="BB28" s="9">
        <v>1590</v>
      </c>
      <c r="BC28" s="62">
        <v>21160</v>
      </c>
      <c r="BD28" s="8">
        <v>17255.2</v>
      </c>
      <c r="BE28" s="9">
        <v>1605</v>
      </c>
      <c r="BF28" s="62">
        <v>20920</v>
      </c>
      <c r="BG28" s="8">
        <v>17182.400000000001</v>
      </c>
      <c r="BH28" s="9">
        <v>1620</v>
      </c>
      <c r="BI28" s="62">
        <v>21120</v>
      </c>
      <c r="BJ28" s="8">
        <v>17777.599999999999</v>
      </c>
      <c r="BK28" s="9">
        <v>1660</v>
      </c>
      <c r="BL28" s="62">
        <v>21560</v>
      </c>
      <c r="BM28" s="8">
        <v>17632</v>
      </c>
      <c r="BN28" s="44">
        <v>1945</v>
      </c>
      <c r="BO28" s="42">
        <v>25180</v>
      </c>
      <c r="BP28" s="45">
        <v>20952.8</v>
      </c>
      <c r="BQ28" s="44">
        <v>2255</v>
      </c>
      <c r="BR28" s="42">
        <v>29220</v>
      </c>
      <c r="BS28" s="45">
        <v>24668</v>
      </c>
      <c r="BT28" s="44">
        <v>2135</v>
      </c>
      <c r="BU28" s="42">
        <v>27500</v>
      </c>
      <c r="BV28" s="112">
        <v>23208</v>
      </c>
      <c r="BW28" s="115">
        <v>1260</v>
      </c>
      <c r="BX28" s="116">
        <v>16480</v>
      </c>
      <c r="BY28" s="112">
        <v>13944</v>
      </c>
      <c r="BZ28" s="115">
        <v>2055</v>
      </c>
      <c r="CA28" s="116">
        <v>26830</v>
      </c>
      <c r="CB28" s="112">
        <v>22698.400000000001</v>
      </c>
      <c r="CC28" s="115">
        <v>1350</v>
      </c>
      <c r="CD28" s="116">
        <v>18440</v>
      </c>
      <c r="CE28" s="112">
        <v>15023.2</v>
      </c>
      <c r="CF28" s="115">
        <v>1398</v>
      </c>
      <c r="CG28" s="116">
        <v>19276</v>
      </c>
      <c r="CH28" s="112">
        <v>15416</v>
      </c>
      <c r="CI28" s="115">
        <v>1760</v>
      </c>
      <c r="CJ28" s="116">
        <v>23640</v>
      </c>
      <c r="CK28" s="112">
        <v>19499.599999999999</v>
      </c>
      <c r="CL28" s="54">
        <f t="shared" si="4"/>
        <v>20633</v>
      </c>
      <c r="CM28" s="63">
        <f t="shared" si="4"/>
        <v>271326</v>
      </c>
      <c r="CN28" s="55">
        <f t="shared" si="4"/>
        <v>225257.2</v>
      </c>
      <c r="CO28" s="54">
        <f t="shared" si="5"/>
        <v>1719.4166666666667</v>
      </c>
      <c r="CP28" s="63">
        <f t="shared" si="5"/>
        <v>22610.5</v>
      </c>
      <c r="CQ28" s="55">
        <f t="shared" si="5"/>
        <v>18771.433333333334</v>
      </c>
      <c r="CR28" s="149">
        <f t="shared" si="6"/>
        <v>9958</v>
      </c>
      <c r="CS28" s="149">
        <f t="shared" si="6"/>
        <v>132166</v>
      </c>
    </row>
    <row r="29" spans="1:97" s="2" customFormat="1" ht="34.9" customHeight="1" x14ac:dyDescent="0.6">
      <c r="A29" s="5">
        <v>26</v>
      </c>
      <c r="B29" s="131" t="s">
        <v>94</v>
      </c>
      <c r="C29" s="131" t="s">
        <v>94</v>
      </c>
      <c r="D29" s="14" t="s">
        <v>95</v>
      </c>
      <c r="E29" s="132" t="s">
        <v>96</v>
      </c>
      <c r="F29" s="132" t="s">
        <v>97</v>
      </c>
      <c r="G29" s="7" t="s">
        <v>15</v>
      </c>
      <c r="H29" s="16" t="s">
        <v>740</v>
      </c>
      <c r="I29" s="133" t="s">
        <v>741</v>
      </c>
      <c r="J29" s="133" t="s">
        <v>742</v>
      </c>
      <c r="K29" s="41" t="s">
        <v>16</v>
      </c>
      <c r="L29" s="9">
        <v>2700</v>
      </c>
      <c r="M29" s="62">
        <v>41800</v>
      </c>
      <c r="N29" s="78">
        <v>14629.6</v>
      </c>
      <c r="O29" s="9">
        <v>2740</v>
      </c>
      <c r="P29" s="62">
        <v>41640</v>
      </c>
      <c r="Q29" s="41">
        <v>14042</v>
      </c>
      <c r="R29" s="9">
        <v>2710</v>
      </c>
      <c r="S29" s="62">
        <v>41490</v>
      </c>
      <c r="T29" s="98">
        <v>15048.8</v>
      </c>
      <c r="U29" s="9">
        <v>2780</v>
      </c>
      <c r="V29" s="62">
        <v>42040</v>
      </c>
      <c r="W29" s="8">
        <v>15028</v>
      </c>
      <c r="X29" s="9">
        <v>2360</v>
      </c>
      <c r="Y29" s="62">
        <v>37770</v>
      </c>
      <c r="Z29" s="8">
        <v>25050</v>
      </c>
      <c r="AA29" s="9">
        <v>2655</v>
      </c>
      <c r="AB29" s="62">
        <v>40930</v>
      </c>
      <c r="AC29" s="8">
        <v>23232.400000000001</v>
      </c>
      <c r="AD29" s="9">
        <v>3040</v>
      </c>
      <c r="AE29" s="62">
        <v>48210</v>
      </c>
      <c r="AF29" s="8">
        <v>21630</v>
      </c>
      <c r="AG29" s="9">
        <v>2085</v>
      </c>
      <c r="AH29" s="62">
        <v>34960</v>
      </c>
      <c r="AI29" s="8">
        <v>14179</v>
      </c>
      <c r="AJ29" s="9">
        <v>1985</v>
      </c>
      <c r="AK29" s="62">
        <v>31820</v>
      </c>
      <c r="AL29" s="8">
        <v>19791.2</v>
      </c>
      <c r="AM29" s="9">
        <v>2035</v>
      </c>
      <c r="AN29" s="62">
        <v>34620</v>
      </c>
      <c r="AO29" s="8">
        <v>20707.999999999996</v>
      </c>
      <c r="AP29" s="9">
        <v>1000</v>
      </c>
      <c r="AQ29" s="62">
        <v>15240</v>
      </c>
      <c r="AR29" s="8">
        <v>10400</v>
      </c>
      <c r="AS29" s="9">
        <v>1505</v>
      </c>
      <c r="AT29" s="62">
        <v>21880</v>
      </c>
      <c r="AU29" s="8">
        <v>15572</v>
      </c>
      <c r="AV29" s="54">
        <f t="shared" si="0"/>
        <v>27595</v>
      </c>
      <c r="AW29" s="63">
        <f t="shared" si="0"/>
        <v>432400</v>
      </c>
      <c r="AX29" s="55">
        <f t="shared" si="0"/>
        <v>209311</v>
      </c>
      <c r="AY29" s="54">
        <f t="shared" si="1"/>
        <v>2299.5833333333335</v>
      </c>
      <c r="AZ29" s="63">
        <f t="shared" si="2"/>
        <v>191.63194444444446</v>
      </c>
      <c r="BA29" s="55">
        <f t="shared" si="3"/>
        <v>17442.583333333332</v>
      </c>
      <c r="BB29" s="9">
        <v>1000</v>
      </c>
      <c r="BC29" s="62">
        <v>15060</v>
      </c>
      <c r="BD29" s="8">
        <v>10703.6</v>
      </c>
      <c r="BE29" s="9">
        <v>1000</v>
      </c>
      <c r="BF29" s="62">
        <v>14820</v>
      </c>
      <c r="BG29" s="8">
        <v>10604.8</v>
      </c>
      <c r="BH29" s="9">
        <v>1000</v>
      </c>
      <c r="BI29" s="62">
        <v>15900</v>
      </c>
      <c r="BJ29" s="8">
        <v>10721.6</v>
      </c>
      <c r="BK29" s="9">
        <v>1560</v>
      </c>
      <c r="BL29" s="62">
        <v>22460</v>
      </c>
      <c r="BM29" s="8">
        <v>16408</v>
      </c>
      <c r="BN29" s="44">
        <v>1000</v>
      </c>
      <c r="BO29" s="42">
        <v>14900</v>
      </c>
      <c r="BP29" s="45">
        <v>10531.2</v>
      </c>
      <c r="BQ29" s="44">
        <v>1500</v>
      </c>
      <c r="BR29" s="42">
        <v>24140</v>
      </c>
      <c r="BS29" s="45">
        <v>16177.2</v>
      </c>
      <c r="BT29" s="44">
        <v>1000</v>
      </c>
      <c r="BU29" s="42">
        <v>14330</v>
      </c>
      <c r="BV29" s="112">
        <v>10638.4</v>
      </c>
      <c r="BW29" s="115">
        <v>995</v>
      </c>
      <c r="BX29" s="116">
        <v>14780</v>
      </c>
      <c r="BY29" s="112">
        <v>10694.400000000001</v>
      </c>
      <c r="BZ29" s="115">
        <v>1000</v>
      </c>
      <c r="CA29" s="116">
        <v>15060</v>
      </c>
      <c r="CB29" s="112">
        <v>10721.6</v>
      </c>
      <c r="CC29" s="115">
        <v>1000</v>
      </c>
      <c r="CD29" s="116">
        <v>15064</v>
      </c>
      <c r="CE29" s="112">
        <v>10800.720000000001</v>
      </c>
      <c r="CF29" s="115">
        <v>1000</v>
      </c>
      <c r="CG29" s="116">
        <v>15440</v>
      </c>
      <c r="CH29" s="112">
        <v>10637.599999999999</v>
      </c>
      <c r="CI29" s="115">
        <v>500</v>
      </c>
      <c r="CJ29" s="116">
        <v>8540</v>
      </c>
      <c r="CK29" s="112">
        <v>5463.2</v>
      </c>
      <c r="CL29" s="54">
        <f t="shared" si="4"/>
        <v>12555</v>
      </c>
      <c r="CM29" s="63">
        <f t="shared" si="4"/>
        <v>190494</v>
      </c>
      <c r="CN29" s="55">
        <f t="shared" si="4"/>
        <v>134102.32</v>
      </c>
      <c r="CO29" s="54">
        <f t="shared" si="5"/>
        <v>1046.25</v>
      </c>
      <c r="CP29" s="63">
        <f t="shared" si="5"/>
        <v>15874.5</v>
      </c>
      <c r="CQ29" s="55">
        <f t="shared" si="5"/>
        <v>11175.193333333335</v>
      </c>
      <c r="CR29" s="149">
        <f t="shared" si="6"/>
        <v>5495</v>
      </c>
      <c r="CS29" s="149">
        <f t="shared" si="6"/>
        <v>83214</v>
      </c>
    </row>
    <row r="30" spans="1:97" s="2" customFormat="1" ht="34.9" customHeight="1" x14ac:dyDescent="0.6">
      <c r="A30" s="5">
        <v>27</v>
      </c>
      <c r="B30" s="131" t="s">
        <v>98</v>
      </c>
      <c r="C30" s="131" t="s">
        <v>98</v>
      </c>
      <c r="D30" s="14" t="s">
        <v>99</v>
      </c>
      <c r="E30" s="132" t="s">
        <v>100</v>
      </c>
      <c r="F30" s="132" t="s">
        <v>101</v>
      </c>
      <c r="G30" s="7" t="s">
        <v>15</v>
      </c>
      <c r="H30" s="16" t="s">
        <v>743</v>
      </c>
      <c r="I30" s="133" t="s">
        <v>744</v>
      </c>
      <c r="J30" s="133" t="s">
        <v>745</v>
      </c>
      <c r="K30" s="41" t="s">
        <v>16</v>
      </c>
      <c r="L30" s="9">
        <v>1570</v>
      </c>
      <c r="M30" s="62">
        <v>21840</v>
      </c>
      <c r="N30" s="78">
        <v>16256</v>
      </c>
      <c r="O30" s="9">
        <v>1086</v>
      </c>
      <c r="P30" s="62">
        <v>15052</v>
      </c>
      <c r="Q30" s="41">
        <v>11046</v>
      </c>
      <c r="R30" s="9">
        <v>1060</v>
      </c>
      <c r="S30" s="62">
        <v>15350</v>
      </c>
      <c r="T30" s="98">
        <v>10746</v>
      </c>
      <c r="U30" s="9">
        <v>1300</v>
      </c>
      <c r="V30" s="62">
        <v>17820</v>
      </c>
      <c r="W30" s="8">
        <v>13045</v>
      </c>
      <c r="X30" s="9">
        <v>1895</v>
      </c>
      <c r="Y30" s="62">
        <v>26520</v>
      </c>
      <c r="Z30" s="8">
        <v>19555</v>
      </c>
      <c r="AA30" s="9">
        <v>1740</v>
      </c>
      <c r="AB30" s="62">
        <v>24040</v>
      </c>
      <c r="AC30" s="8">
        <v>18474.400000000001</v>
      </c>
      <c r="AD30" s="9">
        <v>1860</v>
      </c>
      <c r="AE30" s="62">
        <v>25720</v>
      </c>
      <c r="AF30" s="8">
        <v>19284</v>
      </c>
      <c r="AG30" s="9">
        <v>1440</v>
      </c>
      <c r="AH30" s="62">
        <v>19620</v>
      </c>
      <c r="AI30" s="8">
        <v>15326</v>
      </c>
      <c r="AJ30" s="9">
        <v>1590</v>
      </c>
      <c r="AK30" s="62">
        <v>22280</v>
      </c>
      <c r="AL30" s="8">
        <v>17576.8</v>
      </c>
      <c r="AM30" s="9">
        <v>1805</v>
      </c>
      <c r="AN30" s="62">
        <v>24820</v>
      </c>
      <c r="AO30" s="8">
        <v>19651.2</v>
      </c>
      <c r="AP30" s="9">
        <v>1425</v>
      </c>
      <c r="AQ30" s="62">
        <v>19840</v>
      </c>
      <c r="AR30" s="8">
        <v>15015</v>
      </c>
      <c r="AS30" s="9">
        <v>1783</v>
      </c>
      <c r="AT30" s="62">
        <v>23816</v>
      </c>
      <c r="AU30" s="8">
        <v>19561</v>
      </c>
      <c r="AV30" s="54">
        <f t="shared" si="0"/>
        <v>18554</v>
      </c>
      <c r="AW30" s="63">
        <f t="shared" si="0"/>
        <v>256718</v>
      </c>
      <c r="AX30" s="55">
        <f t="shared" si="0"/>
        <v>195536.4</v>
      </c>
      <c r="AY30" s="54">
        <f t="shared" si="1"/>
        <v>1546.1666666666667</v>
      </c>
      <c r="AZ30" s="63">
        <f t="shared" si="2"/>
        <v>128.84722222222223</v>
      </c>
      <c r="BA30" s="55">
        <f t="shared" si="3"/>
        <v>16294.699999999999</v>
      </c>
      <c r="BB30" s="9">
        <v>1530</v>
      </c>
      <c r="BC30" s="62">
        <v>21340</v>
      </c>
      <c r="BD30" s="8">
        <v>16565.600000000002</v>
      </c>
      <c r="BE30" s="9">
        <v>1570</v>
      </c>
      <c r="BF30" s="62">
        <v>22260</v>
      </c>
      <c r="BG30" s="8">
        <v>17556</v>
      </c>
      <c r="BH30" s="9">
        <v>2020</v>
      </c>
      <c r="BI30" s="62">
        <v>27420</v>
      </c>
      <c r="BJ30" s="8">
        <v>21911.999999999996</v>
      </c>
      <c r="BK30" s="9">
        <v>1580</v>
      </c>
      <c r="BL30" s="62">
        <v>21560</v>
      </c>
      <c r="BM30" s="8">
        <v>17477.599999999999</v>
      </c>
      <c r="BN30" s="44">
        <v>2120</v>
      </c>
      <c r="BO30" s="42">
        <v>28240</v>
      </c>
      <c r="BP30" s="45">
        <v>23412.799999999999</v>
      </c>
      <c r="BQ30" s="44">
        <v>2040</v>
      </c>
      <c r="BR30" s="42">
        <v>28040</v>
      </c>
      <c r="BS30" s="45">
        <v>22815.200000000001</v>
      </c>
      <c r="BT30" s="44">
        <v>1755</v>
      </c>
      <c r="BU30" s="42">
        <v>24020</v>
      </c>
      <c r="BV30" s="112">
        <v>19361.2</v>
      </c>
      <c r="BW30" s="115">
        <v>1795</v>
      </c>
      <c r="BX30" s="116">
        <v>23920</v>
      </c>
      <c r="BY30" s="112">
        <v>20193.2</v>
      </c>
      <c r="BZ30" s="115">
        <v>1974</v>
      </c>
      <c r="CA30" s="116">
        <v>26086</v>
      </c>
      <c r="CB30" s="112">
        <v>22079.040000000001</v>
      </c>
      <c r="CC30" s="115">
        <v>2035</v>
      </c>
      <c r="CD30" s="116">
        <v>27380</v>
      </c>
      <c r="CE30" s="112">
        <v>22950</v>
      </c>
      <c r="CF30" s="115">
        <v>1966</v>
      </c>
      <c r="CG30" s="116">
        <v>26240</v>
      </c>
      <c r="CH30" s="112">
        <v>21858.400000000001</v>
      </c>
      <c r="CI30" s="115">
        <v>2000</v>
      </c>
      <c r="CJ30" s="116">
        <v>26680</v>
      </c>
      <c r="CK30" s="112">
        <v>22504</v>
      </c>
      <c r="CL30" s="54">
        <f t="shared" si="4"/>
        <v>22385</v>
      </c>
      <c r="CM30" s="63">
        <f t="shared" si="4"/>
        <v>303186</v>
      </c>
      <c r="CN30" s="55">
        <f t="shared" si="4"/>
        <v>248685.04000000004</v>
      </c>
      <c r="CO30" s="54">
        <f t="shared" si="5"/>
        <v>1865.4166666666667</v>
      </c>
      <c r="CP30" s="63">
        <f t="shared" si="5"/>
        <v>25265.5</v>
      </c>
      <c r="CQ30" s="55">
        <f t="shared" si="5"/>
        <v>20723.753333333338</v>
      </c>
      <c r="CR30" s="149">
        <f t="shared" si="6"/>
        <v>11525</v>
      </c>
      <c r="CS30" s="149">
        <f t="shared" si="6"/>
        <v>154326</v>
      </c>
    </row>
    <row r="31" spans="1:97" s="2" customFormat="1" ht="34.9" customHeight="1" x14ac:dyDescent="0.6">
      <c r="A31" s="5">
        <v>28</v>
      </c>
      <c r="B31" s="131" t="s">
        <v>102</v>
      </c>
      <c r="C31" s="131" t="s">
        <v>102</v>
      </c>
      <c r="D31" s="14" t="s">
        <v>103</v>
      </c>
      <c r="E31" s="132" t="s">
        <v>104</v>
      </c>
      <c r="F31" s="132" t="s">
        <v>105</v>
      </c>
      <c r="G31" s="7" t="s">
        <v>15</v>
      </c>
      <c r="H31" s="16" t="s">
        <v>746</v>
      </c>
      <c r="I31" s="133" t="s">
        <v>747</v>
      </c>
      <c r="J31" s="133" t="s">
        <v>748</v>
      </c>
      <c r="K31" s="41" t="s">
        <v>16</v>
      </c>
      <c r="L31" s="9">
        <v>1560</v>
      </c>
      <c r="M31" s="62">
        <v>21860</v>
      </c>
      <c r="N31" s="78">
        <v>15279.2</v>
      </c>
      <c r="O31" s="9">
        <v>710</v>
      </c>
      <c r="P31" s="62">
        <v>10150</v>
      </c>
      <c r="Q31" s="41">
        <v>6913.2</v>
      </c>
      <c r="R31" s="9">
        <v>1135</v>
      </c>
      <c r="S31" s="62">
        <v>16120</v>
      </c>
      <c r="T31" s="98">
        <v>11453.6</v>
      </c>
      <c r="U31" s="9">
        <v>1395</v>
      </c>
      <c r="V31" s="62">
        <v>19520</v>
      </c>
      <c r="W31" s="8">
        <v>13421</v>
      </c>
      <c r="X31" s="9">
        <v>1250</v>
      </c>
      <c r="Y31" s="62">
        <v>17340</v>
      </c>
      <c r="Z31" s="8">
        <v>12163</v>
      </c>
      <c r="AA31" s="9">
        <v>1615</v>
      </c>
      <c r="AB31" s="62">
        <v>22900</v>
      </c>
      <c r="AC31" s="8">
        <v>15944.4</v>
      </c>
      <c r="AD31" s="9">
        <v>1095</v>
      </c>
      <c r="AE31" s="62">
        <v>15360</v>
      </c>
      <c r="AF31" s="8">
        <v>10780</v>
      </c>
      <c r="AG31" s="9">
        <v>1272</v>
      </c>
      <c r="AH31" s="62">
        <v>17588</v>
      </c>
      <c r="AI31" s="8">
        <v>12392</v>
      </c>
      <c r="AJ31" s="9">
        <v>1060</v>
      </c>
      <c r="AK31" s="62">
        <v>15620</v>
      </c>
      <c r="AL31" s="8">
        <v>10888.400000000001</v>
      </c>
      <c r="AM31" s="9">
        <v>1280</v>
      </c>
      <c r="AN31" s="62">
        <v>17860</v>
      </c>
      <c r="AO31" s="8">
        <v>12916</v>
      </c>
      <c r="AP31" s="9">
        <v>1420</v>
      </c>
      <c r="AQ31" s="62">
        <v>20690</v>
      </c>
      <c r="AR31" s="8">
        <v>14536</v>
      </c>
      <c r="AS31" s="9">
        <v>1025</v>
      </c>
      <c r="AT31" s="62">
        <v>14220</v>
      </c>
      <c r="AU31" s="8">
        <v>10036</v>
      </c>
      <c r="AV31" s="54">
        <f t="shared" si="0"/>
        <v>14817</v>
      </c>
      <c r="AW31" s="63">
        <f t="shared" si="0"/>
        <v>209228</v>
      </c>
      <c r="AX31" s="55">
        <f t="shared" si="0"/>
        <v>146722.79999999999</v>
      </c>
      <c r="AY31" s="54">
        <f t="shared" si="1"/>
        <v>1234.75</v>
      </c>
      <c r="AZ31" s="63">
        <f t="shared" si="2"/>
        <v>102.89583333333333</v>
      </c>
      <c r="BA31" s="55">
        <f t="shared" si="3"/>
        <v>12226.9</v>
      </c>
      <c r="BB31" s="9">
        <v>970</v>
      </c>
      <c r="BC31" s="62">
        <v>14000</v>
      </c>
      <c r="BD31" s="8">
        <v>9960.7999999999993</v>
      </c>
      <c r="BE31" s="9">
        <v>1470</v>
      </c>
      <c r="BF31" s="62">
        <v>20960</v>
      </c>
      <c r="BG31" s="8">
        <v>14789.6</v>
      </c>
      <c r="BH31" s="9">
        <v>1450</v>
      </c>
      <c r="BI31" s="62">
        <v>20620</v>
      </c>
      <c r="BJ31" s="8">
        <v>14306.4</v>
      </c>
      <c r="BK31" s="9">
        <v>1260</v>
      </c>
      <c r="BL31" s="62">
        <v>17680</v>
      </c>
      <c r="BM31" s="8">
        <v>12934.4</v>
      </c>
      <c r="BN31" s="44">
        <v>1375</v>
      </c>
      <c r="BO31" s="42">
        <v>19480</v>
      </c>
      <c r="BP31" s="45">
        <v>13796.800000000001</v>
      </c>
      <c r="BQ31" s="44">
        <v>1465</v>
      </c>
      <c r="BR31" s="42">
        <v>20010</v>
      </c>
      <c r="BS31" s="45">
        <v>14690.4</v>
      </c>
      <c r="BT31" s="44">
        <v>1005</v>
      </c>
      <c r="BU31" s="42">
        <v>13820</v>
      </c>
      <c r="BV31" s="112">
        <v>10092.799999999999</v>
      </c>
      <c r="BW31" s="115">
        <v>1030</v>
      </c>
      <c r="BX31" s="116">
        <v>14480</v>
      </c>
      <c r="BY31" s="112">
        <v>10464.4</v>
      </c>
      <c r="BZ31" s="115">
        <v>1224</v>
      </c>
      <c r="CA31" s="116">
        <v>16968</v>
      </c>
      <c r="CB31" s="112">
        <v>12514.64</v>
      </c>
      <c r="CC31" s="115">
        <v>1070</v>
      </c>
      <c r="CD31" s="116">
        <v>15140</v>
      </c>
      <c r="CE31" s="112">
        <v>10857.6</v>
      </c>
      <c r="CF31" s="115">
        <v>1175</v>
      </c>
      <c r="CG31" s="116">
        <v>16380</v>
      </c>
      <c r="CH31" s="112">
        <v>12038.400000000001</v>
      </c>
      <c r="CI31" s="115">
        <v>1170</v>
      </c>
      <c r="CJ31" s="116">
        <v>15980</v>
      </c>
      <c r="CK31" s="112">
        <v>11631.2</v>
      </c>
      <c r="CL31" s="54">
        <f t="shared" si="4"/>
        <v>14664</v>
      </c>
      <c r="CM31" s="63">
        <f t="shared" si="4"/>
        <v>205518</v>
      </c>
      <c r="CN31" s="55">
        <f t="shared" si="4"/>
        <v>148077.44</v>
      </c>
      <c r="CO31" s="54">
        <f t="shared" si="5"/>
        <v>1222</v>
      </c>
      <c r="CP31" s="63">
        <f t="shared" si="5"/>
        <v>17126.5</v>
      </c>
      <c r="CQ31" s="55">
        <f t="shared" si="5"/>
        <v>12339.786666666667</v>
      </c>
      <c r="CR31" s="149">
        <f t="shared" si="6"/>
        <v>6674</v>
      </c>
      <c r="CS31" s="149">
        <f t="shared" si="6"/>
        <v>92768</v>
      </c>
    </row>
    <row r="32" spans="1:97" s="2" customFormat="1" ht="34.9" customHeight="1" x14ac:dyDescent="0.6">
      <c r="A32" s="5">
        <v>29</v>
      </c>
      <c r="B32" s="131" t="s">
        <v>106</v>
      </c>
      <c r="C32" s="131" t="s">
        <v>106</v>
      </c>
      <c r="D32" s="14" t="s">
        <v>107</v>
      </c>
      <c r="E32" s="132" t="s">
        <v>82</v>
      </c>
      <c r="F32" s="132" t="s">
        <v>83</v>
      </c>
      <c r="G32" s="7" t="s">
        <v>15</v>
      </c>
      <c r="H32" s="16" t="s">
        <v>749</v>
      </c>
      <c r="I32" s="133" t="s">
        <v>750</v>
      </c>
      <c r="J32" s="133" t="s">
        <v>751</v>
      </c>
      <c r="K32" s="41" t="s">
        <v>16</v>
      </c>
      <c r="L32" s="9">
        <v>695</v>
      </c>
      <c r="M32" s="62">
        <v>9460</v>
      </c>
      <c r="N32" s="78">
        <v>7306.0000000000009</v>
      </c>
      <c r="O32" s="9">
        <v>1240</v>
      </c>
      <c r="P32" s="62">
        <v>17780</v>
      </c>
      <c r="Q32" s="41">
        <v>13145.6</v>
      </c>
      <c r="R32" s="9">
        <v>1565</v>
      </c>
      <c r="S32" s="62">
        <v>25900</v>
      </c>
      <c r="T32" s="98">
        <v>17538</v>
      </c>
      <c r="U32" s="9">
        <v>1610</v>
      </c>
      <c r="V32" s="62">
        <v>22380</v>
      </c>
      <c r="W32" s="8">
        <v>16897</v>
      </c>
      <c r="X32" s="9">
        <v>515</v>
      </c>
      <c r="Y32" s="62">
        <v>8280</v>
      </c>
      <c r="Z32" s="8">
        <v>5216</v>
      </c>
      <c r="AA32" s="9">
        <v>1165</v>
      </c>
      <c r="AB32" s="62">
        <v>17140</v>
      </c>
      <c r="AC32" s="8">
        <v>12518.8</v>
      </c>
      <c r="AD32" s="9">
        <v>1725</v>
      </c>
      <c r="AE32" s="62">
        <v>23600</v>
      </c>
      <c r="AF32" s="8">
        <v>18966</v>
      </c>
      <c r="AG32" s="9">
        <v>830</v>
      </c>
      <c r="AH32" s="62">
        <v>10740</v>
      </c>
      <c r="AI32" s="8">
        <v>9220</v>
      </c>
      <c r="AJ32" s="9">
        <v>1285</v>
      </c>
      <c r="AK32" s="62">
        <v>19940</v>
      </c>
      <c r="AL32" s="8">
        <v>14119.6</v>
      </c>
      <c r="AM32" s="9">
        <v>1230</v>
      </c>
      <c r="AN32" s="62">
        <v>18130</v>
      </c>
      <c r="AO32" s="8">
        <v>13425.199999999999</v>
      </c>
      <c r="AP32" s="9">
        <v>750</v>
      </c>
      <c r="AQ32" s="62">
        <v>11660</v>
      </c>
      <c r="AR32" s="8">
        <v>8522</v>
      </c>
      <c r="AS32" s="9">
        <v>1280</v>
      </c>
      <c r="AT32" s="62">
        <v>21990</v>
      </c>
      <c r="AU32" s="8">
        <v>14399</v>
      </c>
      <c r="AV32" s="54">
        <f t="shared" si="0"/>
        <v>13890</v>
      </c>
      <c r="AW32" s="63">
        <f t="shared" si="0"/>
        <v>207000</v>
      </c>
      <c r="AX32" s="55">
        <f t="shared" si="0"/>
        <v>151273.20000000001</v>
      </c>
      <c r="AY32" s="54">
        <f t="shared" si="1"/>
        <v>1157.5</v>
      </c>
      <c r="AZ32" s="63">
        <f t="shared" si="2"/>
        <v>96.458333333333329</v>
      </c>
      <c r="BA32" s="55">
        <f t="shared" si="3"/>
        <v>12606.1</v>
      </c>
      <c r="BB32" s="9">
        <v>1155</v>
      </c>
      <c r="BC32" s="62">
        <v>17120</v>
      </c>
      <c r="BD32" s="8">
        <v>12915.2</v>
      </c>
      <c r="BE32" s="9">
        <v>1240</v>
      </c>
      <c r="BF32" s="62">
        <v>18360</v>
      </c>
      <c r="BG32" s="8">
        <v>13823.6</v>
      </c>
      <c r="BH32" s="9">
        <v>1599</v>
      </c>
      <c r="BI32" s="62">
        <v>23548</v>
      </c>
      <c r="BJ32" s="8">
        <v>18310.400000000001</v>
      </c>
      <c r="BK32" s="9">
        <v>1190</v>
      </c>
      <c r="BL32" s="62">
        <v>17380</v>
      </c>
      <c r="BM32" s="8">
        <v>13132.8</v>
      </c>
      <c r="BN32" s="44">
        <v>705</v>
      </c>
      <c r="BO32" s="42">
        <v>12200</v>
      </c>
      <c r="BP32" s="45">
        <v>8568</v>
      </c>
      <c r="BQ32" s="44">
        <v>1680</v>
      </c>
      <c r="BR32" s="42">
        <v>23940</v>
      </c>
      <c r="BS32" s="45">
        <v>19316</v>
      </c>
      <c r="BT32" s="44">
        <v>1155</v>
      </c>
      <c r="BU32" s="42">
        <v>18740</v>
      </c>
      <c r="BV32" s="112">
        <v>13301.2</v>
      </c>
      <c r="BW32" s="115">
        <v>1660</v>
      </c>
      <c r="BX32" s="116">
        <v>25080</v>
      </c>
      <c r="BY32" s="112">
        <v>19206.400000000001</v>
      </c>
      <c r="BZ32" s="115">
        <v>1145</v>
      </c>
      <c r="CA32" s="116">
        <v>17420</v>
      </c>
      <c r="CB32" s="112">
        <v>13270.8</v>
      </c>
      <c r="CC32" s="115">
        <v>1105</v>
      </c>
      <c r="CD32" s="116">
        <v>17330</v>
      </c>
      <c r="CE32" s="112">
        <v>12866.4</v>
      </c>
      <c r="CF32" s="115">
        <v>1210</v>
      </c>
      <c r="CG32" s="116">
        <v>18860</v>
      </c>
      <c r="CH32" s="112">
        <v>14161.6</v>
      </c>
      <c r="CI32" s="115">
        <v>1160</v>
      </c>
      <c r="CJ32" s="116">
        <v>17370</v>
      </c>
      <c r="CK32" s="112">
        <v>13577.6</v>
      </c>
      <c r="CL32" s="54">
        <f t="shared" si="4"/>
        <v>15004</v>
      </c>
      <c r="CM32" s="63">
        <f t="shared" si="4"/>
        <v>227348</v>
      </c>
      <c r="CN32" s="55">
        <f t="shared" si="4"/>
        <v>172450</v>
      </c>
      <c r="CO32" s="54">
        <f t="shared" si="5"/>
        <v>1250.3333333333333</v>
      </c>
      <c r="CP32" s="63">
        <f t="shared" si="5"/>
        <v>18945.666666666668</v>
      </c>
      <c r="CQ32" s="55">
        <f t="shared" si="5"/>
        <v>14370.833333333334</v>
      </c>
      <c r="CR32" s="149">
        <f t="shared" si="6"/>
        <v>7435</v>
      </c>
      <c r="CS32" s="149">
        <f t="shared" si="6"/>
        <v>114800</v>
      </c>
    </row>
    <row r="33" spans="1:97" s="2" customFormat="1" ht="34.9" customHeight="1" x14ac:dyDescent="0.6">
      <c r="A33" s="5">
        <v>30</v>
      </c>
      <c r="B33" s="131" t="s">
        <v>108</v>
      </c>
      <c r="C33" s="131" t="s">
        <v>108</v>
      </c>
      <c r="D33" s="14" t="s">
        <v>109</v>
      </c>
      <c r="E33" s="132" t="s">
        <v>110</v>
      </c>
      <c r="F33" s="132" t="s">
        <v>111</v>
      </c>
      <c r="G33" s="7" t="s">
        <v>15</v>
      </c>
      <c r="H33" s="16" t="s">
        <v>752</v>
      </c>
      <c r="I33" s="133" t="s">
        <v>753</v>
      </c>
      <c r="J33" s="133" t="s">
        <v>754</v>
      </c>
      <c r="K33" s="41" t="s">
        <v>16</v>
      </c>
      <c r="L33" s="9">
        <v>1024</v>
      </c>
      <c r="M33" s="62">
        <v>14778</v>
      </c>
      <c r="N33" s="78">
        <v>11034</v>
      </c>
      <c r="O33" s="9">
        <v>1059</v>
      </c>
      <c r="P33" s="62">
        <v>15268</v>
      </c>
      <c r="Q33" s="41">
        <v>11209</v>
      </c>
      <c r="R33" s="9">
        <v>1281</v>
      </c>
      <c r="S33" s="62">
        <v>17778</v>
      </c>
      <c r="T33" s="98">
        <v>13523</v>
      </c>
      <c r="U33" s="9">
        <v>1020</v>
      </c>
      <c r="V33" s="62">
        <v>15220</v>
      </c>
      <c r="W33" s="8">
        <v>10819</v>
      </c>
      <c r="X33" s="9">
        <v>980</v>
      </c>
      <c r="Y33" s="62">
        <v>13900</v>
      </c>
      <c r="Z33" s="8">
        <v>10411</v>
      </c>
      <c r="AA33" s="9">
        <v>1095</v>
      </c>
      <c r="AB33" s="62">
        <v>16060</v>
      </c>
      <c r="AC33" s="8">
        <v>11930.4</v>
      </c>
      <c r="AD33" s="9">
        <v>1100</v>
      </c>
      <c r="AE33" s="62">
        <v>16000</v>
      </c>
      <c r="AF33" s="8">
        <v>12029</v>
      </c>
      <c r="AG33" s="9">
        <v>1010</v>
      </c>
      <c r="AH33" s="62">
        <v>13560</v>
      </c>
      <c r="AI33" s="8">
        <v>11196</v>
      </c>
      <c r="AJ33" s="9">
        <v>1380</v>
      </c>
      <c r="AK33" s="62">
        <v>20120</v>
      </c>
      <c r="AL33" s="8">
        <v>14811.2</v>
      </c>
      <c r="AM33" s="9">
        <v>1258</v>
      </c>
      <c r="AN33" s="62">
        <v>18272</v>
      </c>
      <c r="AO33" s="8">
        <v>13473.28</v>
      </c>
      <c r="AP33" s="9">
        <v>1295</v>
      </c>
      <c r="AQ33" s="62">
        <v>18920</v>
      </c>
      <c r="AR33" s="8">
        <v>13662</v>
      </c>
      <c r="AS33" s="9">
        <v>1304</v>
      </c>
      <c r="AT33" s="62">
        <v>19158</v>
      </c>
      <c r="AU33" s="8">
        <v>14179</v>
      </c>
      <c r="AV33" s="54">
        <f t="shared" si="0"/>
        <v>13806</v>
      </c>
      <c r="AW33" s="63">
        <f t="shared" si="0"/>
        <v>199034</v>
      </c>
      <c r="AX33" s="55">
        <f t="shared" si="0"/>
        <v>148276.88</v>
      </c>
      <c r="AY33" s="54">
        <f t="shared" si="1"/>
        <v>1150.5</v>
      </c>
      <c r="AZ33" s="63">
        <f t="shared" si="2"/>
        <v>95.875</v>
      </c>
      <c r="BA33" s="55">
        <f t="shared" si="3"/>
        <v>12356.406666666668</v>
      </c>
      <c r="BB33" s="9">
        <v>1468</v>
      </c>
      <c r="BC33" s="62">
        <v>20996</v>
      </c>
      <c r="BD33" s="8">
        <v>15984.8</v>
      </c>
      <c r="BE33" s="9">
        <v>1092</v>
      </c>
      <c r="BF33" s="62">
        <v>15204</v>
      </c>
      <c r="BG33" s="8">
        <v>11924</v>
      </c>
      <c r="BH33" s="9">
        <v>1210</v>
      </c>
      <c r="BI33" s="62">
        <v>16800</v>
      </c>
      <c r="BJ33" s="8">
        <v>13416</v>
      </c>
      <c r="BK33" s="9">
        <v>1680</v>
      </c>
      <c r="BL33" s="62">
        <v>23400</v>
      </c>
      <c r="BM33" s="8">
        <v>18272</v>
      </c>
      <c r="BN33" s="44">
        <v>1450</v>
      </c>
      <c r="BO33" s="42">
        <v>19520</v>
      </c>
      <c r="BP33" s="45">
        <v>15696</v>
      </c>
      <c r="BQ33" s="44">
        <v>1553</v>
      </c>
      <c r="BR33" s="42">
        <v>22436</v>
      </c>
      <c r="BS33" s="45">
        <v>16962</v>
      </c>
      <c r="BT33" s="44">
        <v>1617</v>
      </c>
      <c r="BU33" s="42">
        <v>23204</v>
      </c>
      <c r="BV33" s="112">
        <v>17772</v>
      </c>
      <c r="BW33" s="115">
        <v>1295</v>
      </c>
      <c r="BX33" s="116">
        <v>18200</v>
      </c>
      <c r="BY33" s="112">
        <v>14280</v>
      </c>
      <c r="BZ33" s="115">
        <v>1050</v>
      </c>
      <c r="CA33" s="116">
        <v>14840</v>
      </c>
      <c r="CB33" s="112">
        <v>11436.8</v>
      </c>
      <c r="CC33" s="115">
        <v>1180</v>
      </c>
      <c r="CD33" s="116">
        <v>16640</v>
      </c>
      <c r="CE33" s="112">
        <v>12881.6</v>
      </c>
      <c r="CF33" s="115">
        <v>930</v>
      </c>
      <c r="CG33" s="116">
        <v>13800</v>
      </c>
      <c r="CH33" s="112">
        <v>10520</v>
      </c>
      <c r="CI33" s="115">
        <v>820</v>
      </c>
      <c r="CJ33" s="116">
        <v>12120</v>
      </c>
      <c r="CK33" s="112">
        <v>8880</v>
      </c>
      <c r="CL33" s="54">
        <f t="shared" si="4"/>
        <v>15345</v>
      </c>
      <c r="CM33" s="63">
        <f t="shared" si="4"/>
        <v>217160</v>
      </c>
      <c r="CN33" s="55">
        <f t="shared" si="4"/>
        <v>168025.2</v>
      </c>
      <c r="CO33" s="54">
        <f t="shared" si="5"/>
        <v>1278.75</v>
      </c>
      <c r="CP33" s="63">
        <f t="shared" si="5"/>
        <v>18096.666666666668</v>
      </c>
      <c r="CQ33" s="55">
        <f t="shared" si="5"/>
        <v>14002.1</v>
      </c>
      <c r="CR33" s="149">
        <f t="shared" si="6"/>
        <v>6892</v>
      </c>
      <c r="CS33" s="149">
        <f t="shared" si="6"/>
        <v>98804</v>
      </c>
    </row>
    <row r="34" spans="1:97" s="2" customFormat="1" ht="34.9" customHeight="1" x14ac:dyDescent="0.6">
      <c r="A34" s="5">
        <v>31</v>
      </c>
      <c r="B34" s="131" t="s">
        <v>112</v>
      </c>
      <c r="C34" s="131" t="s">
        <v>112</v>
      </c>
      <c r="D34" s="14" t="s">
        <v>113</v>
      </c>
      <c r="E34" s="132" t="s">
        <v>75</v>
      </c>
      <c r="F34" s="132" t="s">
        <v>76</v>
      </c>
      <c r="G34" s="7" t="s">
        <v>15</v>
      </c>
      <c r="H34" s="16" t="s">
        <v>755</v>
      </c>
      <c r="I34" s="133" t="s">
        <v>756</v>
      </c>
      <c r="J34" s="133" t="s">
        <v>757</v>
      </c>
      <c r="K34" s="41" t="s">
        <v>16</v>
      </c>
      <c r="L34" s="9">
        <v>943</v>
      </c>
      <c r="M34" s="62">
        <v>13496</v>
      </c>
      <c r="N34" s="78">
        <v>8642</v>
      </c>
      <c r="O34" s="9">
        <v>880</v>
      </c>
      <c r="P34" s="62">
        <v>12540</v>
      </c>
      <c r="Q34" s="41">
        <v>8201</v>
      </c>
      <c r="R34" s="9">
        <v>1137</v>
      </c>
      <c r="S34" s="62">
        <v>15974</v>
      </c>
      <c r="T34" s="98">
        <v>10541</v>
      </c>
      <c r="U34" s="9">
        <v>1280</v>
      </c>
      <c r="V34" s="62">
        <v>17960</v>
      </c>
      <c r="W34" s="8">
        <v>11846</v>
      </c>
      <c r="X34" s="9">
        <v>805</v>
      </c>
      <c r="Y34" s="62">
        <v>11380</v>
      </c>
      <c r="Z34" s="8">
        <v>7491</v>
      </c>
      <c r="AA34" s="9">
        <v>1480</v>
      </c>
      <c r="AB34" s="62">
        <v>20690</v>
      </c>
      <c r="AC34" s="8">
        <v>13956.800000000001</v>
      </c>
      <c r="AD34" s="9">
        <v>1355</v>
      </c>
      <c r="AE34" s="62">
        <v>19104</v>
      </c>
      <c r="AF34" s="8">
        <v>12509</v>
      </c>
      <c r="AG34" s="9">
        <v>772</v>
      </c>
      <c r="AH34" s="62">
        <v>10634</v>
      </c>
      <c r="AI34" s="8">
        <v>7397</v>
      </c>
      <c r="AJ34" s="9">
        <v>610</v>
      </c>
      <c r="AK34" s="62">
        <v>8550</v>
      </c>
      <c r="AL34" s="8">
        <v>5655.2</v>
      </c>
      <c r="AM34" s="9">
        <v>991</v>
      </c>
      <c r="AN34" s="62">
        <v>13832</v>
      </c>
      <c r="AO34" s="8">
        <v>9367.2000000000007</v>
      </c>
      <c r="AP34" s="9">
        <v>1180</v>
      </c>
      <c r="AQ34" s="62">
        <v>16490</v>
      </c>
      <c r="AR34" s="8">
        <v>11287</v>
      </c>
      <c r="AS34" s="9">
        <v>756</v>
      </c>
      <c r="AT34" s="62">
        <v>10422</v>
      </c>
      <c r="AU34" s="8">
        <v>6998</v>
      </c>
      <c r="AV34" s="54">
        <f t="shared" si="0"/>
        <v>12189</v>
      </c>
      <c r="AW34" s="63">
        <f t="shared" si="0"/>
        <v>171072</v>
      </c>
      <c r="AX34" s="55">
        <f t="shared" si="0"/>
        <v>113891.2</v>
      </c>
      <c r="AY34" s="54">
        <f t="shared" si="1"/>
        <v>1015.75</v>
      </c>
      <c r="AZ34" s="63">
        <f t="shared" si="2"/>
        <v>84.645833333333329</v>
      </c>
      <c r="BA34" s="55">
        <f t="shared" si="3"/>
        <v>9490.9333333333325</v>
      </c>
      <c r="BB34" s="9">
        <v>707</v>
      </c>
      <c r="BC34" s="62">
        <v>9924</v>
      </c>
      <c r="BD34" s="8">
        <v>6510.8000000000011</v>
      </c>
      <c r="BE34" s="9">
        <v>938</v>
      </c>
      <c r="BF34" s="62">
        <v>13156</v>
      </c>
      <c r="BG34" s="8">
        <v>8802.8000000000011</v>
      </c>
      <c r="BH34" s="9">
        <v>1462</v>
      </c>
      <c r="BI34" s="62">
        <v>20694</v>
      </c>
      <c r="BJ34" s="8">
        <v>13622.000000000002</v>
      </c>
      <c r="BK34" s="9">
        <v>718</v>
      </c>
      <c r="BL34" s="62">
        <v>10106</v>
      </c>
      <c r="BM34" s="8">
        <v>6786</v>
      </c>
      <c r="BN34" s="44">
        <v>777</v>
      </c>
      <c r="BO34" s="42">
        <v>11114</v>
      </c>
      <c r="BP34" s="45">
        <v>7264.4</v>
      </c>
      <c r="BQ34" s="44">
        <v>1145</v>
      </c>
      <c r="BR34" s="42">
        <v>16110</v>
      </c>
      <c r="BS34" s="45">
        <v>10806</v>
      </c>
      <c r="BT34" s="44">
        <v>630</v>
      </c>
      <c r="BU34" s="42">
        <v>9040</v>
      </c>
      <c r="BV34" s="112">
        <v>5738</v>
      </c>
      <c r="BW34" s="115">
        <v>1175</v>
      </c>
      <c r="BX34" s="116">
        <v>16710</v>
      </c>
      <c r="BY34" s="112">
        <v>11024</v>
      </c>
      <c r="BZ34" s="115">
        <v>475</v>
      </c>
      <c r="CA34" s="116">
        <v>6860</v>
      </c>
      <c r="CB34" s="112">
        <v>4605.2</v>
      </c>
      <c r="CC34" s="115">
        <v>860</v>
      </c>
      <c r="CD34" s="116">
        <v>12430</v>
      </c>
      <c r="CE34" s="112">
        <v>8004</v>
      </c>
      <c r="CF34" s="115">
        <v>670</v>
      </c>
      <c r="CG34" s="116">
        <v>9530</v>
      </c>
      <c r="CH34" s="112">
        <v>6220.8</v>
      </c>
      <c r="CI34" s="115">
        <v>585</v>
      </c>
      <c r="CJ34" s="116">
        <v>8330</v>
      </c>
      <c r="CK34" s="112">
        <v>5474.4</v>
      </c>
      <c r="CL34" s="54">
        <f t="shared" si="4"/>
        <v>10142</v>
      </c>
      <c r="CM34" s="63">
        <f t="shared" si="4"/>
        <v>144004</v>
      </c>
      <c r="CN34" s="55">
        <f t="shared" si="4"/>
        <v>94858.4</v>
      </c>
      <c r="CO34" s="54">
        <f t="shared" si="5"/>
        <v>845.16666666666663</v>
      </c>
      <c r="CP34" s="63">
        <f t="shared" si="5"/>
        <v>12000.333333333334</v>
      </c>
      <c r="CQ34" s="55">
        <f t="shared" si="5"/>
        <v>7904.8666666666659</v>
      </c>
      <c r="CR34" s="149">
        <f t="shared" si="6"/>
        <v>4395</v>
      </c>
      <c r="CS34" s="149">
        <f t="shared" si="6"/>
        <v>62900</v>
      </c>
    </row>
    <row r="35" spans="1:97" s="2" customFormat="1" ht="34.9" customHeight="1" x14ac:dyDescent="0.6">
      <c r="A35" s="5">
        <v>32</v>
      </c>
      <c r="B35" s="131" t="s">
        <v>114</v>
      </c>
      <c r="C35" s="131" t="s">
        <v>114</v>
      </c>
      <c r="D35" s="14" t="s">
        <v>115</v>
      </c>
      <c r="E35" s="132" t="s">
        <v>116</v>
      </c>
      <c r="F35" s="132" t="s">
        <v>117</v>
      </c>
      <c r="G35" s="7" t="s">
        <v>15</v>
      </c>
      <c r="H35" s="16" t="s">
        <v>758</v>
      </c>
      <c r="I35" s="133" t="s">
        <v>759</v>
      </c>
      <c r="J35" s="133" t="s">
        <v>760</v>
      </c>
      <c r="K35" s="41" t="s">
        <v>16</v>
      </c>
      <c r="L35" s="9">
        <v>1845</v>
      </c>
      <c r="M35" s="62">
        <v>25030</v>
      </c>
      <c r="N35" s="78">
        <v>16541.2</v>
      </c>
      <c r="O35" s="9">
        <v>310</v>
      </c>
      <c r="P35" s="62">
        <v>4220</v>
      </c>
      <c r="Q35" s="41">
        <v>2870</v>
      </c>
      <c r="R35" s="9">
        <v>1102</v>
      </c>
      <c r="S35" s="62">
        <v>15130</v>
      </c>
      <c r="T35" s="98">
        <v>9876</v>
      </c>
      <c r="U35" s="9">
        <v>1300</v>
      </c>
      <c r="V35" s="62">
        <v>17870</v>
      </c>
      <c r="W35" s="8">
        <v>11652</v>
      </c>
      <c r="X35" s="9">
        <v>891</v>
      </c>
      <c r="Y35" s="62">
        <v>12274</v>
      </c>
      <c r="Z35" s="8">
        <v>8035</v>
      </c>
      <c r="AA35" s="9">
        <v>1780</v>
      </c>
      <c r="AB35" s="62">
        <v>24160</v>
      </c>
      <c r="AC35" s="8">
        <v>15916</v>
      </c>
      <c r="AD35" s="9">
        <v>680</v>
      </c>
      <c r="AE35" s="62">
        <v>9338</v>
      </c>
      <c r="AF35" s="8">
        <v>6143</v>
      </c>
      <c r="AG35" s="9">
        <v>902</v>
      </c>
      <c r="AH35" s="62">
        <v>12224</v>
      </c>
      <c r="AI35" s="8">
        <v>8156</v>
      </c>
      <c r="AJ35" s="9">
        <v>700</v>
      </c>
      <c r="AK35" s="62">
        <v>9320</v>
      </c>
      <c r="AL35" s="8">
        <v>6281.6</v>
      </c>
      <c r="AM35" s="9">
        <v>1205</v>
      </c>
      <c r="AN35" s="62">
        <v>16710</v>
      </c>
      <c r="AO35" s="8">
        <v>10860</v>
      </c>
      <c r="AP35" s="9">
        <v>1005</v>
      </c>
      <c r="AQ35" s="62">
        <v>13620</v>
      </c>
      <c r="AR35" s="8">
        <v>8969</v>
      </c>
      <c r="AS35" s="9">
        <v>1250</v>
      </c>
      <c r="AT35" s="62">
        <v>17340</v>
      </c>
      <c r="AU35" s="8">
        <v>11263</v>
      </c>
      <c r="AV35" s="54">
        <f t="shared" si="0"/>
        <v>12970</v>
      </c>
      <c r="AW35" s="63">
        <f t="shared" si="0"/>
        <v>177236</v>
      </c>
      <c r="AX35" s="55">
        <f t="shared" si="0"/>
        <v>116562.8</v>
      </c>
      <c r="AY35" s="54">
        <f t="shared" si="1"/>
        <v>1080.8333333333333</v>
      </c>
      <c r="AZ35" s="63">
        <f t="shared" si="2"/>
        <v>90.069444444444443</v>
      </c>
      <c r="BA35" s="55">
        <f t="shared" si="3"/>
        <v>9713.5666666666675</v>
      </c>
      <c r="BB35" s="9">
        <v>910</v>
      </c>
      <c r="BC35" s="62">
        <v>12440</v>
      </c>
      <c r="BD35" s="8">
        <v>8141.6</v>
      </c>
      <c r="BE35" s="9">
        <v>1306</v>
      </c>
      <c r="BF35" s="62">
        <v>17940</v>
      </c>
      <c r="BG35" s="8">
        <v>11747.2</v>
      </c>
      <c r="BH35" s="9">
        <v>1128</v>
      </c>
      <c r="BI35" s="62">
        <v>15102</v>
      </c>
      <c r="BJ35" s="8">
        <v>10075.68</v>
      </c>
      <c r="BK35" s="9">
        <v>1230</v>
      </c>
      <c r="BL35" s="62">
        <v>16810</v>
      </c>
      <c r="BM35" s="8">
        <v>10924</v>
      </c>
      <c r="BN35" s="44">
        <v>1075</v>
      </c>
      <c r="BO35" s="42">
        <v>14790</v>
      </c>
      <c r="BP35" s="45">
        <v>9757.2000000000007</v>
      </c>
      <c r="BQ35" s="44">
        <v>1050</v>
      </c>
      <c r="BR35" s="42">
        <v>14510</v>
      </c>
      <c r="BS35" s="45">
        <v>9516.7999999999993</v>
      </c>
      <c r="BT35" s="44">
        <v>1030</v>
      </c>
      <c r="BU35" s="42">
        <v>14290</v>
      </c>
      <c r="BV35" s="112">
        <v>9318.4000000000015</v>
      </c>
      <c r="BW35" s="115">
        <v>600</v>
      </c>
      <c r="BX35" s="116">
        <v>8240</v>
      </c>
      <c r="BY35" s="112">
        <v>5475.2000000000007</v>
      </c>
      <c r="BZ35" s="115">
        <v>890</v>
      </c>
      <c r="CA35" s="116">
        <v>12060</v>
      </c>
      <c r="CB35" s="112">
        <v>7952.4000000000005</v>
      </c>
      <c r="CC35" s="115">
        <v>860</v>
      </c>
      <c r="CD35" s="116">
        <v>11820</v>
      </c>
      <c r="CE35" s="112">
        <v>7752</v>
      </c>
      <c r="CF35" s="115">
        <v>430</v>
      </c>
      <c r="CG35" s="116">
        <v>5920</v>
      </c>
      <c r="CH35" s="112">
        <v>3932.8</v>
      </c>
      <c r="CI35" s="115">
        <v>1030</v>
      </c>
      <c r="CJ35" s="116">
        <v>14110</v>
      </c>
      <c r="CK35" s="112">
        <v>9340</v>
      </c>
      <c r="CL35" s="54">
        <f t="shared" si="4"/>
        <v>11539</v>
      </c>
      <c r="CM35" s="63">
        <f t="shared" si="4"/>
        <v>158032</v>
      </c>
      <c r="CN35" s="55">
        <f t="shared" si="4"/>
        <v>103933.28</v>
      </c>
      <c r="CO35" s="54">
        <f t="shared" si="5"/>
        <v>961.58333333333337</v>
      </c>
      <c r="CP35" s="63">
        <f t="shared" si="5"/>
        <v>13169.333333333334</v>
      </c>
      <c r="CQ35" s="55">
        <f t="shared" si="5"/>
        <v>8661.1066666666666</v>
      </c>
      <c r="CR35" s="149">
        <f t="shared" si="6"/>
        <v>4840</v>
      </c>
      <c r="CS35" s="149">
        <f t="shared" si="6"/>
        <v>66440</v>
      </c>
    </row>
    <row r="36" spans="1:97" s="2" customFormat="1" ht="34.9" customHeight="1" x14ac:dyDescent="0.6">
      <c r="A36" s="5">
        <v>33</v>
      </c>
      <c r="B36" s="134" t="s">
        <v>118</v>
      </c>
      <c r="C36" s="134" t="s">
        <v>118</v>
      </c>
      <c r="D36" s="18" t="s">
        <v>119</v>
      </c>
      <c r="E36" s="131" t="s">
        <v>120</v>
      </c>
      <c r="F36" s="131" t="s">
        <v>20</v>
      </c>
      <c r="G36" s="7" t="s">
        <v>15</v>
      </c>
      <c r="H36" s="135"/>
      <c r="I36" s="135"/>
      <c r="J36" s="21" t="s">
        <v>1119</v>
      </c>
      <c r="K36" s="41" t="s">
        <v>16</v>
      </c>
      <c r="L36" s="9">
        <v>778</v>
      </c>
      <c r="M36" s="62">
        <v>11035</v>
      </c>
      <c r="N36" s="78">
        <v>8322.7999999999993</v>
      </c>
      <c r="O36" s="9">
        <v>1015</v>
      </c>
      <c r="P36" s="62">
        <v>14160</v>
      </c>
      <c r="Q36" s="41">
        <v>10808.8</v>
      </c>
      <c r="R36" s="9">
        <v>893</v>
      </c>
      <c r="S36" s="62">
        <v>12236</v>
      </c>
      <c r="T36" s="98">
        <v>9574.4</v>
      </c>
      <c r="U36" s="9">
        <v>969</v>
      </c>
      <c r="V36" s="62">
        <v>13408</v>
      </c>
      <c r="W36" s="8">
        <v>10314</v>
      </c>
      <c r="X36" s="9">
        <v>1213</v>
      </c>
      <c r="Y36" s="62">
        <v>16084</v>
      </c>
      <c r="Z36" s="8">
        <v>13302.8</v>
      </c>
      <c r="AA36" s="9">
        <v>981</v>
      </c>
      <c r="AB36" s="62">
        <v>13500</v>
      </c>
      <c r="AC36" s="8">
        <v>10533.6</v>
      </c>
      <c r="AD36" s="9">
        <v>1535</v>
      </c>
      <c r="AE36" s="62">
        <v>20350</v>
      </c>
      <c r="AF36" s="8">
        <v>16463.2</v>
      </c>
      <c r="AG36" s="9">
        <v>1005</v>
      </c>
      <c r="AH36" s="62">
        <v>14060</v>
      </c>
      <c r="AI36" s="8">
        <v>10507.6</v>
      </c>
      <c r="AJ36" s="9">
        <v>1061</v>
      </c>
      <c r="AK36" s="62">
        <v>14440</v>
      </c>
      <c r="AL36" s="8">
        <v>11500</v>
      </c>
      <c r="AM36" s="9">
        <v>1056</v>
      </c>
      <c r="AN36" s="62">
        <v>14700</v>
      </c>
      <c r="AO36" s="8">
        <v>11320.4</v>
      </c>
      <c r="AP36" s="9">
        <v>892</v>
      </c>
      <c r="AQ36" s="62">
        <v>13404</v>
      </c>
      <c r="AR36" s="8">
        <v>9619</v>
      </c>
      <c r="AS36" s="9">
        <v>1015</v>
      </c>
      <c r="AT36" s="62">
        <v>15300</v>
      </c>
      <c r="AU36" s="8">
        <v>1105</v>
      </c>
      <c r="AV36" s="54">
        <f t="shared" si="0"/>
        <v>12413</v>
      </c>
      <c r="AW36" s="63">
        <f t="shared" si="0"/>
        <v>172677</v>
      </c>
      <c r="AX36" s="55">
        <f t="shared" si="0"/>
        <v>123371.6</v>
      </c>
      <c r="AY36" s="54">
        <f t="shared" si="1"/>
        <v>1034.4166666666667</v>
      </c>
      <c r="AZ36" s="63">
        <f t="shared" si="2"/>
        <v>86.2013888888889</v>
      </c>
      <c r="BA36" s="55">
        <f t="shared" si="3"/>
        <v>10280.966666666667</v>
      </c>
      <c r="BB36" s="10">
        <v>1005</v>
      </c>
      <c r="BC36" s="15">
        <v>13960</v>
      </c>
      <c r="BD36" s="11">
        <v>10635.6</v>
      </c>
      <c r="BE36" s="10">
        <v>1035</v>
      </c>
      <c r="BF36" s="15">
        <v>14160</v>
      </c>
      <c r="BG36" s="11">
        <v>11214.8</v>
      </c>
      <c r="BH36" s="10">
        <v>1507</v>
      </c>
      <c r="BI36" s="15">
        <v>20024</v>
      </c>
      <c r="BJ36" s="11">
        <v>16376</v>
      </c>
      <c r="BK36" s="10">
        <v>650</v>
      </c>
      <c r="BL36" s="15">
        <v>8760</v>
      </c>
      <c r="BM36" s="11">
        <v>7088</v>
      </c>
      <c r="BN36" s="44">
        <v>873</v>
      </c>
      <c r="BO36" s="42">
        <v>11888</v>
      </c>
      <c r="BP36" s="45">
        <v>9456.08</v>
      </c>
      <c r="BQ36" s="44">
        <v>417</v>
      </c>
      <c r="BR36" s="42">
        <v>5848</v>
      </c>
      <c r="BS36" s="45">
        <v>4420.3200000000006</v>
      </c>
      <c r="BT36" s="44">
        <v>410</v>
      </c>
      <c r="BU36" s="42">
        <v>5800</v>
      </c>
      <c r="BV36" s="112">
        <v>4329.5999999999995</v>
      </c>
      <c r="BW36" s="115">
        <v>150</v>
      </c>
      <c r="BX36" s="116">
        <v>2140</v>
      </c>
      <c r="BY36" s="112">
        <v>1680.8</v>
      </c>
      <c r="BZ36" s="115">
        <v>422</v>
      </c>
      <c r="CA36" s="116">
        <v>5677</v>
      </c>
      <c r="CB36" s="112">
        <v>4687.24</v>
      </c>
      <c r="CC36" s="115">
        <v>410</v>
      </c>
      <c r="CD36" s="116">
        <v>5840</v>
      </c>
      <c r="CE36" s="112">
        <v>4316.8</v>
      </c>
      <c r="CF36" s="115">
        <v>575</v>
      </c>
      <c r="CG36" s="116">
        <v>7940</v>
      </c>
      <c r="CH36" s="112">
        <v>6385.2000000000007</v>
      </c>
      <c r="CI36" s="115">
        <v>629</v>
      </c>
      <c r="CJ36" s="116">
        <v>8488</v>
      </c>
      <c r="CK36" s="112">
        <v>6914.4000000000005</v>
      </c>
      <c r="CL36" s="54">
        <f t="shared" si="4"/>
        <v>8083</v>
      </c>
      <c r="CM36" s="63">
        <f t="shared" si="4"/>
        <v>110525</v>
      </c>
      <c r="CN36" s="55">
        <f t="shared" si="4"/>
        <v>87504.84</v>
      </c>
      <c r="CO36" s="54">
        <f t="shared" si="5"/>
        <v>673.58333333333337</v>
      </c>
      <c r="CP36" s="63">
        <f t="shared" si="5"/>
        <v>9210.4166666666661</v>
      </c>
      <c r="CQ36" s="55">
        <f t="shared" si="5"/>
        <v>7292.07</v>
      </c>
      <c r="CR36" s="149">
        <f t="shared" si="6"/>
        <v>2596</v>
      </c>
      <c r="CS36" s="149">
        <f t="shared" si="6"/>
        <v>35885</v>
      </c>
    </row>
    <row r="37" spans="1:97" s="2" customFormat="1" ht="34.9" customHeight="1" x14ac:dyDescent="0.6">
      <c r="A37" s="5">
        <v>34</v>
      </c>
      <c r="B37" s="131" t="s">
        <v>121</v>
      </c>
      <c r="C37" s="131" t="s">
        <v>121</v>
      </c>
      <c r="D37" s="14" t="s">
        <v>122</v>
      </c>
      <c r="E37" s="132" t="s">
        <v>41</v>
      </c>
      <c r="F37" s="132" t="s">
        <v>42</v>
      </c>
      <c r="G37" s="7" t="s">
        <v>15</v>
      </c>
      <c r="H37" s="21" t="s">
        <v>761</v>
      </c>
      <c r="I37" s="136" t="s">
        <v>762</v>
      </c>
      <c r="J37" s="136" t="s">
        <v>763</v>
      </c>
      <c r="K37" s="41" t="s">
        <v>16</v>
      </c>
      <c r="L37" s="9">
        <v>1025</v>
      </c>
      <c r="M37" s="62">
        <v>14224</v>
      </c>
      <c r="N37" s="78">
        <v>10698</v>
      </c>
      <c r="O37" s="9">
        <v>521</v>
      </c>
      <c r="P37" s="62">
        <v>7638</v>
      </c>
      <c r="Q37" s="41">
        <v>10592</v>
      </c>
      <c r="R37" s="9">
        <v>1032</v>
      </c>
      <c r="S37" s="62">
        <v>14428</v>
      </c>
      <c r="T37" s="98">
        <v>5245</v>
      </c>
      <c r="U37" s="9">
        <v>1022</v>
      </c>
      <c r="V37" s="62">
        <v>13268</v>
      </c>
      <c r="W37" s="8">
        <v>10738</v>
      </c>
      <c r="X37" s="9">
        <v>1028</v>
      </c>
      <c r="Y37" s="62">
        <v>14122</v>
      </c>
      <c r="Z37" s="8">
        <v>10289.679999999998</v>
      </c>
      <c r="AA37" s="9">
        <v>1043</v>
      </c>
      <c r="AB37" s="62">
        <v>13882</v>
      </c>
      <c r="AC37" s="8">
        <v>11084.08</v>
      </c>
      <c r="AD37" s="9">
        <v>1558</v>
      </c>
      <c r="AE37" s="62">
        <v>21362</v>
      </c>
      <c r="AF37" s="8">
        <v>16155.28</v>
      </c>
      <c r="AG37" s="9">
        <v>1062</v>
      </c>
      <c r="AH37" s="62">
        <v>13970</v>
      </c>
      <c r="AI37" s="8">
        <v>11536.72</v>
      </c>
      <c r="AJ37" s="9">
        <v>1075</v>
      </c>
      <c r="AK37" s="62">
        <v>14280</v>
      </c>
      <c r="AL37" s="8">
        <v>10778.399999999998</v>
      </c>
      <c r="AM37" s="9">
        <v>1055</v>
      </c>
      <c r="AN37" s="62">
        <v>14180</v>
      </c>
      <c r="AO37" s="8">
        <v>11463.599999999999</v>
      </c>
      <c r="AP37" s="9">
        <v>1055</v>
      </c>
      <c r="AQ37" s="62">
        <v>14160</v>
      </c>
      <c r="AR37" s="8">
        <v>11494</v>
      </c>
      <c r="AS37" s="9">
        <v>535</v>
      </c>
      <c r="AT37" s="62">
        <v>7090</v>
      </c>
      <c r="AU37" s="8">
        <v>5600</v>
      </c>
      <c r="AV37" s="54">
        <f t="shared" si="0"/>
        <v>12011</v>
      </c>
      <c r="AW37" s="63">
        <f t="shared" si="0"/>
        <v>162604</v>
      </c>
      <c r="AX37" s="55">
        <f t="shared" si="0"/>
        <v>125674.76000000001</v>
      </c>
      <c r="AY37" s="54">
        <f t="shared" si="1"/>
        <v>1000.9166666666666</v>
      </c>
      <c r="AZ37" s="63">
        <f t="shared" si="2"/>
        <v>83.409722222222214</v>
      </c>
      <c r="BA37" s="55">
        <f t="shared" si="3"/>
        <v>10472.896666666667</v>
      </c>
      <c r="BB37" s="10">
        <v>1070</v>
      </c>
      <c r="BC37" s="15">
        <v>14010</v>
      </c>
      <c r="BD37" s="11">
        <v>11730</v>
      </c>
      <c r="BE37" s="10">
        <v>550</v>
      </c>
      <c r="BF37" s="15">
        <v>7760</v>
      </c>
      <c r="BG37" s="11">
        <v>5728</v>
      </c>
      <c r="BH37" s="10">
        <v>520</v>
      </c>
      <c r="BI37" s="15">
        <v>7300</v>
      </c>
      <c r="BJ37" s="11">
        <v>5520</v>
      </c>
      <c r="BK37" s="10">
        <v>0</v>
      </c>
      <c r="BL37" s="15">
        <v>0</v>
      </c>
      <c r="BM37" s="11">
        <v>0</v>
      </c>
      <c r="BN37" s="44">
        <v>1023</v>
      </c>
      <c r="BO37" s="42">
        <v>13642</v>
      </c>
      <c r="BP37" s="45">
        <v>11090.880000000001</v>
      </c>
      <c r="BQ37" s="44">
        <v>520</v>
      </c>
      <c r="BR37" s="42">
        <v>7030</v>
      </c>
      <c r="BS37" s="45">
        <v>5460.8</v>
      </c>
      <c r="BT37" s="44">
        <v>1040</v>
      </c>
      <c r="BU37" s="42">
        <v>13840</v>
      </c>
      <c r="BV37" s="112">
        <v>11304</v>
      </c>
      <c r="BW37" s="115">
        <v>525</v>
      </c>
      <c r="BX37" s="116">
        <v>7240</v>
      </c>
      <c r="BY37" s="112">
        <v>5539.6</v>
      </c>
      <c r="BZ37" s="115">
        <v>1080</v>
      </c>
      <c r="CA37" s="116">
        <v>14210</v>
      </c>
      <c r="CB37" s="112">
        <v>12372.8</v>
      </c>
      <c r="CC37" s="115">
        <v>540</v>
      </c>
      <c r="CD37" s="116">
        <v>7330</v>
      </c>
      <c r="CE37" s="112">
        <v>6524.8</v>
      </c>
      <c r="CF37" s="115">
        <v>300</v>
      </c>
      <c r="CG37" s="116">
        <v>4000</v>
      </c>
      <c r="CH37" s="112">
        <v>2968</v>
      </c>
      <c r="CI37" s="115">
        <v>800</v>
      </c>
      <c r="CJ37" s="116">
        <v>10770</v>
      </c>
      <c r="CK37" s="112">
        <v>8935.6</v>
      </c>
      <c r="CL37" s="54">
        <f t="shared" si="4"/>
        <v>7968</v>
      </c>
      <c r="CM37" s="63">
        <f t="shared" si="4"/>
        <v>107132</v>
      </c>
      <c r="CN37" s="55">
        <f t="shared" si="4"/>
        <v>87174.48000000001</v>
      </c>
      <c r="CO37" s="54">
        <f t="shared" si="5"/>
        <v>664</v>
      </c>
      <c r="CP37" s="63">
        <f t="shared" si="5"/>
        <v>8927.6666666666661</v>
      </c>
      <c r="CQ37" s="55">
        <f t="shared" si="5"/>
        <v>7264.5400000000009</v>
      </c>
      <c r="CR37" s="149">
        <f t="shared" si="6"/>
        <v>4285</v>
      </c>
      <c r="CS37" s="149">
        <f t="shared" si="6"/>
        <v>57390</v>
      </c>
    </row>
    <row r="38" spans="1:97" s="81" customFormat="1" ht="34.9" customHeight="1" x14ac:dyDescent="0.6">
      <c r="A38" s="76">
        <v>35</v>
      </c>
      <c r="B38" s="137" t="s">
        <v>123</v>
      </c>
      <c r="C38" s="137" t="s">
        <v>123</v>
      </c>
      <c r="D38" s="79" t="s">
        <v>124</v>
      </c>
      <c r="E38" s="137" t="s">
        <v>75</v>
      </c>
      <c r="F38" s="137" t="s">
        <v>76</v>
      </c>
      <c r="G38" s="77" t="s">
        <v>15</v>
      </c>
      <c r="H38" s="16" t="s">
        <v>764</v>
      </c>
      <c r="I38" s="133" t="s">
        <v>765</v>
      </c>
      <c r="J38" s="133" t="s">
        <v>766</v>
      </c>
      <c r="K38" s="78" t="s">
        <v>125</v>
      </c>
      <c r="L38" s="83">
        <v>1205</v>
      </c>
      <c r="M38" s="75">
        <v>16720</v>
      </c>
      <c r="N38" s="78">
        <v>11344</v>
      </c>
      <c r="O38" s="83">
        <v>695</v>
      </c>
      <c r="P38" s="75">
        <v>9620</v>
      </c>
      <c r="Q38" s="78">
        <v>6750</v>
      </c>
      <c r="R38" s="83">
        <v>1355</v>
      </c>
      <c r="S38" s="75">
        <v>18860</v>
      </c>
      <c r="T38" s="98">
        <v>12929</v>
      </c>
      <c r="U38" s="83">
        <v>1080</v>
      </c>
      <c r="V38" s="75">
        <v>14980</v>
      </c>
      <c r="W38" s="97">
        <v>10637</v>
      </c>
      <c r="X38" s="83">
        <v>680</v>
      </c>
      <c r="Y38" s="75">
        <v>9420</v>
      </c>
      <c r="Z38" s="98">
        <v>6582</v>
      </c>
      <c r="AA38" s="83">
        <v>1025</v>
      </c>
      <c r="AB38" s="75">
        <v>14620</v>
      </c>
      <c r="AC38" s="98">
        <v>10225.200000000001</v>
      </c>
      <c r="AD38" s="83">
        <v>1330</v>
      </c>
      <c r="AE38" s="75">
        <v>18240</v>
      </c>
      <c r="AF38" s="98">
        <v>12796</v>
      </c>
      <c r="AG38" s="83">
        <v>751</v>
      </c>
      <c r="AH38" s="75">
        <v>10616</v>
      </c>
      <c r="AI38" s="98">
        <v>7465</v>
      </c>
      <c r="AJ38" s="83">
        <v>986</v>
      </c>
      <c r="AK38" s="75">
        <v>13252</v>
      </c>
      <c r="AL38" s="98">
        <v>10119.200000000001</v>
      </c>
      <c r="AM38" s="83">
        <v>720</v>
      </c>
      <c r="AN38" s="75">
        <v>10200</v>
      </c>
      <c r="AO38" s="98">
        <v>6624.4000000000005</v>
      </c>
      <c r="AP38" s="83">
        <v>1320</v>
      </c>
      <c r="AQ38" s="75">
        <v>18980</v>
      </c>
      <c r="AR38" s="98">
        <v>12742</v>
      </c>
      <c r="AS38" s="83">
        <v>635</v>
      </c>
      <c r="AT38" s="75">
        <v>8120</v>
      </c>
      <c r="AU38" s="98">
        <v>6458</v>
      </c>
      <c r="AV38" s="54">
        <f t="shared" si="0"/>
        <v>11782</v>
      </c>
      <c r="AW38" s="63">
        <f t="shared" si="0"/>
        <v>163628</v>
      </c>
      <c r="AX38" s="55">
        <f t="shared" si="0"/>
        <v>114671.79999999999</v>
      </c>
      <c r="AY38" s="54">
        <f t="shared" si="1"/>
        <v>981.83333333333337</v>
      </c>
      <c r="AZ38" s="63">
        <f t="shared" si="2"/>
        <v>81.819444444444443</v>
      </c>
      <c r="BA38" s="55">
        <f t="shared" si="3"/>
        <v>9555.9833333333318</v>
      </c>
      <c r="BB38" s="88">
        <v>1065</v>
      </c>
      <c r="BC38" s="79">
        <v>14340</v>
      </c>
      <c r="BD38" s="89">
        <v>10595.6</v>
      </c>
      <c r="BE38" s="88">
        <v>720</v>
      </c>
      <c r="BF38" s="79">
        <v>10380</v>
      </c>
      <c r="BG38" s="89">
        <v>6814.4</v>
      </c>
      <c r="BH38" s="88">
        <v>1560</v>
      </c>
      <c r="BI38" s="79">
        <v>21340</v>
      </c>
      <c r="BJ38" s="89">
        <v>15111.2</v>
      </c>
      <c r="BK38" s="88">
        <v>390</v>
      </c>
      <c r="BL38" s="79">
        <v>5540</v>
      </c>
      <c r="BM38" s="89">
        <v>4192</v>
      </c>
      <c r="BN38" s="93">
        <v>630</v>
      </c>
      <c r="BO38" s="80">
        <v>8560</v>
      </c>
      <c r="BP38" s="94">
        <v>6244.8</v>
      </c>
      <c r="BQ38" s="93">
        <v>1254</v>
      </c>
      <c r="BR38" s="80">
        <v>16808</v>
      </c>
      <c r="BS38" s="94">
        <v>12433.6</v>
      </c>
      <c r="BT38" s="93">
        <v>860</v>
      </c>
      <c r="BU38" s="80">
        <v>12260</v>
      </c>
      <c r="BV38" s="113">
        <v>8629.6</v>
      </c>
      <c r="BW38" s="117">
        <v>870</v>
      </c>
      <c r="BX38" s="118">
        <v>12040</v>
      </c>
      <c r="BY38" s="113">
        <v>8453.6</v>
      </c>
      <c r="BZ38" s="117">
        <v>625</v>
      </c>
      <c r="CA38" s="118">
        <v>8600</v>
      </c>
      <c r="CB38" s="113">
        <v>6255.6</v>
      </c>
      <c r="CC38" s="117">
        <v>910</v>
      </c>
      <c r="CD38" s="118">
        <v>12180</v>
      </c>
      <c r="CE38" s="113">
        <v>9137.6</v>
      </c>
      <c r="CF38" s="117">
        <v>985</v>
      </c>
      <c r="CG38" s="118">
        <v>13520</v>
      </c>
      <c r="CH38" s="113">
        <v>9868.4</v>
      </c>
      <c r="CI38" s="117">
        <v>1205</v>
      </c>
      <c r="CJ38" s="118">
        <v>16760</v>
      </c>
      <c r="CK38" s="113">
        <v>11970</v>
      </c>
      <c r="CL38" s="54">
        <f t="shared" si="4"/>
        <v>11074</v>
      </c>
      <c r="CM38" s="63">
        <f t="shared" si="4"/>
        <v>152328</v>
      </c>
      <c r="CN38" s="55">
        <f t="shared" si="4"/>
        <v>109706.40000000001</v>
      </c>
      <c r="CO38" s="54">
        <f t="shared" si="5"/>
        <v>922.83333333333337</v>
      </c>
      <c r="CP38" s="63">
        <f t="shared" si="5"/>
        <v>12694</v>
      </c>
      <c r="CQ38" s="55">
        <f t="shared" si="5"/>
        <v>9142.2000000000007</v>
      </c>
      <c r="CR38" s="149">
        <f t="shared" si="6"/>
        <v>5455</v>
      </c>
      <c r="CS38" s="149">
        <f t="shared" si="6"/>
        <v>75360</v>
      </c>
    </row>
    <row r="39" spans="1:97" s="2" customFormat="1" ht="34.9" customHeight="1" x14ac:dyDescent="0.6">
      <c r="A39" s="5">
        <v>36</v>
      </c>
      <c r="B39" s="134" t="s">
        <v>126</v>
      </c>
      <c r="C39" s="134" t="s">
        <v>126</v>
      </c>
      <c r="D39" s="16" t="s">
        <v>127</v>
      </c>
      <c r="E39" s="132" t="s">
        <v>128</v>
      </c>
      <c r="F39" s="131" t="s">
        <v>129</v>
      </c>
      <c r="G39" s="7" t="s">
        <v>15</v>
      </c>
      <c r="H39" s="16" t="s">
        <v>767</v>
      </c>
      <c r="I39" s="16" t="s">
        <v>768</v>
      </c>
      <c r="J39" s="16" t="s">
        <v>769</v>
      </c>
      <c r="K39" s="41" t="s">
        <v>16</v>
      </c>
      <c r="L39" s="9">
        <v>800</v>
      </c>
      <c r="M39" s="62">
        <v>11530</v>
      </c>
      <c r="N39" s="78">
        <v>8630.4</v>
      </c>
      <c r="O39" s="9">
        <v>948</v>
      </c>
      <c r="P39" s="62">
        <v>13740</v>
      </c>
      <c r="Q39" s="41">
        <v>8161.2</v>
      </c>
      <c r="R39" s="9">
        <v>760</v>
      </c>
      <c r="S39" s="62">
        <v>11150</v>
      </c>
      <c r="T39" s="98">
        <v>10262.799999999999</v>
      </c>
      <c r="U39" s="9">
        <v>599</v>
      </c>
      <c r="V39" s="62">
        <v>8916</v>
      </c>
      <c r="W39" s="8">
        <v>6350.64</v>
      </c>
      <c r="X39" s="9">
        <v>960</v>
      </c>
      <c r="Y39" s="62">
        <v>13940</v>
      </c>
      <c r="Z39" s="8">
        <v>10426</v>
      </c>
      <c r="AA39" s="9">
        <v>785</v>
      </c>
      <c r="AB39" s="62">
        <v>11500</v>
      </c>
      <c r="AC39" s="8">
        <v>8469.2000000000007</v>
      </c>
      <c r="AD39" s="9">
        <v>986</v>
      </c>
      <c r="AE39" s="62">
        <v>14250</v>
      </c>
      <c r="AF39" s="8">
        <v>10783.04</v>
      </c>
      <c r="AG39" s="9">
        <v>1085</v>
      </c>
      <c r="AH39" s="62">
        <v>16100</v>
      </c>
      <c r="AI39" s="8">
        <v>12030</v>
      </c>
      <c r="AJ39" s="9">
        <v>1200</v>
      </c>
      <c r="AK39" s="62">
        <v>17930</v>
      </c>
      <c r="AL39" s="8">
        <v>13250.4</v>
      </c>
      <c r="AM39" s="9">
        <v>1130</v>
      </c>
      <c r="AN39" s="62">
        <v>17220</v>
      </c>
      <c r="AO39" s="8">
        <v>17807.599999999999</v>
      </c>
      <c r="AP39" s="9">
        <v>1100</v>
      </c>
      <c r="AQ39" s="62">
        <v>15800</v>
      </c>
      <c r="AR39" s="8">
        <v>12085</v>
      </c>
      <c r="AS39" s="9">
        <v>1280</v>
      </c>
      <c r="AT39" s="62">
        <v>18820</v>
      </c>
      <c r="AU39" s="8">
        <v>14173</v>
      </c>
      <c r="AV39" s="54">
        <f t="shared" si="0"/>
        <v>11633</v>
      </c>
      <c r="AW39" s="63">
        <f t="shared" si="0"/>
        <v>170896</v>
      </c>
      <c r="AX39" s="55">
        <f t="shared" si="0"/>
        <v>132429.28</v>
      </c>
      <c r="AY39" s="54">
        <f t="shared" si="1"/>
        <v>969.41666666666663</v>
      </c>
      <c r="AZ39" s="63">
        <f t="shared" si="2"/>
        <v>80.784722222222214</v>
      </c>
      <c r="BA39" s="55">
        <f t="shared" si="3"/>
        <v>11035.773333333333</v>
      </c>
      <c r="BB39" s="10">
        <v>1115</v>
      </c>
      <c r="BC39" s="15">
        <v>16590</v>
      </c>
      <c r="BD39" s="11">
        <v>12397.999999999998</v>
      </c>
      <c r="BE39" s="10">
        <v>1005</v>
      </c>
      <c r="BF39" s="15">
        <v>14820</v>
      </c>
      <c r="BG39" s="11">
        <v>11250.400000000001</v>
      </c>
      <c r="BH39" s="10">
        <v>1490</v>
      </c>
      <c r="BI39" s="15">
        <v>21680</v>
      </c>
      <c r="BJ39" s="11">
        <v>16477.600000000002</v>
      </c>
      <c r="BK39" s="10">
        <v>1015</v>
      </c>
      <c r="BL39" s="15">
        <v>14600</v>
      </c>
      <c r="BM39" s="11">
        <v>11284.800000000001</v>
      </c>
      <c r="BN39" s="44">
        <v>1205</v>
      </c>
      <c r="BO39" s="42">
        <v>18390</v>
      </c>
      <c r="BP39" s="45">
        <v>13366.4</v>
      </c>
      <c r="BQ39" s="44">
        <v>1330</v>
      </c>
      <c r="BR39" s="42">
        <v>19210</v>
      </c>
      <c r="BS39" s="45">
        <v>14851.2</v>
      </c>
      <c r="BT39" s="44">
        <v>1035</v>
      </c>
      <c r="BU39" s="42">
        <v>15220</v>
      </c>
      <c r="BV39" s="112">
        <v>11567.599999999999</v>
      </c>
      <c r="BW39" s="115">
        <v>1245</v>
      </c>
      <c r="BX39" s="116">
        <v>18760</v>
      </c>
      <c r="BY39" s="112">
        <v>14102.8</v>
      </c>
      <c r="BZ39" s="115">
        <v>1120</v>
      </c>
      <c r="CA39" s="116">
        <v>16470</v>
      </c>
      <c r="CB39" s="112">
        <v>12340.8</v>
      </c>
      <c r="CC39" s="115">
        <v>1280</v>
      </c>
      <c r="CD39" s="116">
        <v>19190</v>
      </c>
      <c r="CE39" s="112">
        <v>14556.4</v>
      </c>
      <c r="CF39" s="115">
        <v>1440</v>
      </c>
      <c r="CG39" s="116">
        <v>21200</v>
      </c>
      <c r="CH39" s="112">
        <v>16068.8</v>
      </c>
      <c r="CI39" s="115">
        <v>1000</v>
      </c>
      <c r="CJ39" s="116">
        <v>15860</v>
      </c>
      <c r="CK39" s="112">
        <v>11589.6</v>
      </c>
      <c r="CL39" s="54">
        <f t="shared" si="4"/>
        <v>14280</v>
      </c>
      <c r="CM39" s="63">
        <f t="shared" si="4"/>
        <v>211990</v>
      </c>
      <c r="CN39" s="55">
        <f t="shared" si="4"/>
        <v>159854.39999999999</v>
      </c>
      <c r="CO39" s="54">
        <f t="shared" si="5"/>
        <v>1190</v>
      </c>
      <c r="CP39" s="63">
        <f t="shared" si="5"/>
        <v>17665.833333333332</v>
      </c>
      <c r="CQ39" s="55">
        <f t="shared" si="5"/>
        <v>13321.199999999999</v>
      </c>
      <c r="CR39" s="149">
        <f t="shared" si="6"/>
        <v>7120</v>
      </c>
      <c r="CS39" s="149">
        <f t="shared" si="6"/>
        <v>106700</v>
      </c>
    </row>
    <row r="40" spans="1:97" s="2" customFormat="1" ht="34.9" customHeight="1" x14ac:dyDescent="0.6">
      <c r="A40" s="5">
        <v>37</v>
      </c>
      <c r="B40" s="131" t="s">
        <v>130</v>
      </c>
      <c r="C40" s="131" t="s">
        <v>130</v>
      </c>
      <c r="D40" s="14" t="s">
        <v>131</v>
      </c>
      <c r="E40" s="132" t="s">
        <v>132</v>
      </c>
      <c r="F40" s="132" t="s">
        <v>133</v>
      </c>
      <c r="G40" s="7" t="s">
        <v>15</v>
      </c>
      <c r="H40" s="16" t="s">
        <v>770</v>
      </c>
      <c r="I40" s="133" t="s">
        <v>771</v>
      </c>
      <c r="J40" s="133" t="s">
        <v>772</v>
      </c>
      <c r="K40" s="41" t="s">
        <v>16</v>
      </c>
      <c r="L40" s="9">
        <v>940</v>
      </c>
      <c r="M40" s="62">
        <v>14188</v>
      </c>
      <c r="N40" s="78">
        <v>10146</v>
      </c>
      <c r="O40" s="9">
        <v>979</v>
      </c>
      <c r="P40" s="62">
        <v>14290</v>
      </c>
      <c r="Q40" s="41">
        <v>9004</v>
      </c>
      <c r="R40" s="9">
        <v>829</v>
      </c>
      <c r="S40" s="62">
        <v>12306</v>
      </c>
      <c r="T40" s="98">
        <v>10502</v>
      </c>
      <c r="U40" s="9">
        <v>914</v>
      </c>
      <c r="V40" s="62">
        <v>13468</v>
      </c>
      <c r="W40" s="8">
        <v>9919</v>
      </c>
      <c r="X40" s="9">
        <v>730</v>
      </c>
      <c r="Y40" s="62">
        <v>11192</v>
      </c>
      <c r="Z40" s="8">
        <v>7987.6</v>
      </c>
      <c r="AA40" s="9">
        <v>867.11</v>
      </c>
      <c r="AB40" s="62">
        <v>12557</v>
      </c>
      <c r="AC40" s="8">
        <v>9410.16</v>
      </c>
      <c r="AD40" s="9">
        <v>1032</v>
      </c>
      <c r="AE40" s="62">
        <v>15484</v>
      </c>
      <c r="AF40" s="8">
        <v>11250</v>
      </c>
      <c r="AG40" s="9">
        <v>955</v>
      </c>
      <c r="AH40" s="62">
        <v>14488</v>
      </c>
      <c r="AI40" s="8">
        <v>10716.880000000001</v>
      </c>
      <c r="AJ40" s="9">
        <v>784</v>
      </c>
      <c r="AK40" s="62">
        <v>11688</v>
      </c>
      <c r="AL40" s="8">
        <v>8717.2000000000007</v>
      </c>
      <c r="AM40" s="9">
        <v>850</v>
      </c>
      <c r="AN40" s="62">
        <v>12680</v>
      </c>
      <c r="AO40" s="8">
        <v>9382.4</v>
      </c>
      <c r="AP40" s="9">
        <v>1025</v>
      </c>
      <c r="AQ40" s="62">
        <v>15440</v>
      </c>
      <c r="AR40" s="8">
        <v>7388</v>
      </c>
      <c r="AS40" s="9">
        <v>825</v>
      </c>
      <c r="AT40" s="62">
        <v>12120</v>
      </c>
      <c r="AU40" s="8">
        <v>9122</v>
      </c>
      <c r="AV40" s="54">
        <f t="shared" si="0"/>
        <v>10730.11</v>
      </c>
      <c r="AW40" s="63">
        <f t="shared" si="0"/>
        <v>159901</v>
      </c>
      <c r="AX40" s="55">
        <f t="shared" si="0"/>
        <v>113545.23999999999</v>
      </c>
      <c r="AY40" s="54">
        <f t="shared" si="1"/>
        <v>894.17583333333334</v>
      </c>
      <c r="AZ40" s="63">
        <f t="shared" si="2"/>
        <v>74.514652777777783</v>
      </c>
      <c r="BA40" s="55">
        <f t="shared" si="3"/>
        <v>9462.1033333333326</v>
      </c>
      <c r="BB40" s="10">
        <v>820</v>
      </c>
      <c r="BC40" s="15">
        <v>11950</v>
      </c>
      <c r="BD40" s="11">
        <v>9145.2000000000007</v>
      </c>
      <c r="BE40" s="10">
        <v>920</v>
      </c>
      <c r="BF40" s="15">
        <v>13360</v>
      </c>
      <c r="BG40" s="11">
        <v>10194.799999999999</v>
      </c>
      <c r="BH40" s="10">
        <v>1145</v>
      </c>
      <c r="BI40" s="15">
        <v>17160</v>
      </c>
      <c r="BJ40" s="11">
        <v>12493.6</v>
      </c>
      <c r="BK40" s="10">
        <v>580</v>
      </c>
      <c r="BL40" s="15">
        <v>8650</v>
      </c>
      <c r="BM40" s="11">
        <v>6536</v>
      </c>
      <c r="BN40" s="44">
        <v>795</v>
      </c>
      <c r="BO40" s="42">
        <v>12220</v>
      </c>
      <c r="BP40" s="45">
        <v>8984</v>
      </c>
      <c r="BQ40" s="44">
        <v>858</v>
      </c>
      <c r="BR40" s="42">
        <v>12324</v>
      </c>
      <c r="BS40" s="45">
        <v>9354.7999999999993</v>
      </c>
      <c r="BT40" s="44">
        <v>753</v>
      </c>
      <c r="BU40" s="42">
        <v>10956</v>
      </c>
      <c r="BV40" s="112">
        <v>8414.4</v>
      </c>
      <c r="BW40" s="115">
        <v>798</v>
      </c>
      <c r="BX40" s="116">
        <v>11366</v>
      </c>
      <c r="BY40" s="112">
        <v>8941.2000000000007</v>
      </c>
      <c r="BZ40" s="115">
        <v>843</v>
      </c>
      <c r="CA40" s="116">
        <v>12316</v>
      </c>
      <c r="CB40" s="112">
        <v>9495.68</v>
      </c>
      <c r="CC40" s="115">
        <v>933</v>
      </c>
      <c r="CD40" s="116">
        <v>13276</v>
      </c>
      <c r="CE40" s="112">
        <v>10566</v>
      </c>
      <c r="CF40" s="115">
        <v>855</v>
      </c>
      <c r="CG40" s="116">
        <v>11980</v>
      </c>
      <c r="CH40" s="112">
        <v>9573.6</v>
      </c>
      <c r="CI40" s="115">
        <v>1192</v>
      </c>
      <c r="CJ40" s="116">
        <v>17740</v>
      </c>
      <c r="CK40" s="112">
        <v>13555.999999999998</v>
      </c>
      <c r="CL40" s="54">
        <f t="shared" si="4"/>
        <v>10492</v>
      </c>
      <c r="CM40" s="63">
        <f t="shared" si="4"/>
        <v>153298</v>
      </c>
      <c r="CN40" s="55">
        <f t="shared" si="4"/>
        <v>117255.28</v>
      </c>
      <c r="CO40" s="54">
        <f t="shared" si="5"/>
        <v>874.33333333333337</v>
      </c>
      <c r="CP40" s="63">
        <f t="shared" si="5"/>
        <v>12774.833333333334</v>
      </c>
      <c r="CQ40" s="55">
        <f t="shared" si="5"/>
        <v>9771.2733333333326</v>
      </c>
      <c r="CR40" s="149">
        <f t="shared" si="6"/>
        <v>5374</v>
      </c>
      <c r="CS40" s="149">
        <f t="shared" si="6"/>
        <v>77634</v>
      </c>
    </row>
    <row r="41" spans="1:97" s="2" customFormat="1" ht="34.9" customHeight="1" x14ac:dyDescent="0.6">
      <c r="A41" s="5">
        <v>38</v>
      </c>
      <c r="B41" s="131" t="s">
        <v>134</v>
      </c>
      <c r="C41" s="131" t="s">
        <v>134</v>
      </c>
      <c r="D41" s="14" t="s">
        <v>135</v>
      </c>
      <c r="E41" s="131" t="s">
        <v>136</v>
      </c>
      <c r="F41" s="131" t="s">
        <v>137</v>
      </c>
      <c r="G41" s="7" t="s">
        <v>15</v>
      </c>
      <c r="H41" s="21" t="s">
        <v>773</v>
      </c>
      <c r="I41" s="21" t="s">
        <v>774</v>
      </c>
      <c r="J41" s="21" t="s">
        <v>775</v>
      </c>
      <c r="K41" s="41" t="s">
        <v>16</v>
      </c>
      <c r="L41" s="9">
        <v>1040</v>
      </c>
      <c r="M41" s="62">
        <v>13980</v>
      </c>
      <c r="N41" s="78">
        <v>9840</v>
      </c>
      <c r="O41" s="9">
        <v>520</v>
      </c>
      <c r="P41" s="62">
        <v>6940</v>
      </c>
      <c r="Q41" s="41">
        <v>9660</v>
      </c>
      <c r="R41" s="9">
        <v>1040</v>
      </c>
      <c r="S41" s="62">
        <v>13980</v>
      </c>
      <c r="T41" s="98">
        <v>4906</v>
      </c>
      <c r="U41" s="9">
        <v>1040</v>
      </c>
      <c r="V41" s="62">
        <v>13980</v>
      </c>
      <c r="W41" s="8">
        <v>9840</v>
      </c>
      <c r="X41" s="9">
        <v>1540</v>
      </c>
      <c r="Y41" s="62">
        <v>21020</v>
      </c>
      <c r="Z41" s="8">
        <v>14439.2</v>
      </c>
      <c r="AA41" s="9">
        <v>520</v>
      </c>
      <c r="AB41" s="62">
        <v>7140</v>
      </c>
      <c r="AC41" s="8">
        <v>520</v>
      </c>
      <c r="AD41" s="9">
        <v>7140</v>
      </c>
      <c r="AE41" s="62">
        <v>4872</v>
      </c>
      <c r="AF41" s="8">
        <v>9840</v>
      </c>
      <c r="AG41" s="9">
        <v>520</v>
      </c>
      <c r="AH41" s="62">
        <v>7240</v>
      </c>
      <c r="AI41" s="8">
        <v>4720</v>
      </c>
      <c r="AJ41" s="9">
        <v>1065</v>
      </c>
      <c r="AK41" s="62">
        <v>14480</v>
      </c>
      <c r="AL41" s="8">
        <v>10088</v>
      </c>
      <c r="AM41" s="9">
        <v>525</v>
      </c>
      <c r="AN41" s="62">
        <v>7220</v>
      </c>
      <c r="AO41" s="8">
        <v>4721.6000000000004</v>
      </c>
      <c r="AP41" s="9">
        <v>940</v>
      </c>
      <c r="AQ41" s="62">
        <v>12620</v>
      </c>
      <c r="AR41" s="8">
        <v>9063</v>
      </c>
      <c r="AS41" s="9">
        <v>1040</v>
      </c>
      <c r="AT41" s="62">
        <v>14320</v>
      </c>
      <c r="AU41" s="8">
        <v>9503</v>
      </c>
      <c r="AV41" s="54">
        <f t="shared" si="0"/>
        <v>16930</v>
      </c>
      <c r="AW41" s="63">
        <f t="shared" si="0"/>
        <v>137792</v>
      </c>
      <c r="AX41" s="55">
        <f t="shared" si="0"/>
        <v>97140.800000000003</v>
      </c>
      <c r="AY41" s="54">
        <f t="shared" si="1"/>
        <v>1410.8333333333333</v>
      </c>
      <c r="AZ41" s="63">
        <f t="shared" si="2"/>
        <v>117.56944444444444</v>
      </c>
      <c r="BA41" s="55">
        <f t="shared" si="3"/>
        <v>8095.0666666666666</v>
      </c>
      <c r="BB41" s="10">
        <v>515</v>
      </c>
      <c r="BC41" s="15">
        <v>6880</v>
      </c>
      <c r="BD41" s="11">
        <v>4936</v>
      </c>
      <c r="BE41" s="10">
        <v>760</v>
      </c>
      <c r="BF41" s="15">
        <v>10230</v>
      </c>
      <c r="BG41" s="11">
        <v>7342.8</v>
      </c>
      <c r="BH41" s="10">
        <v>1115</v>
      </c>
      <c r="BI41" s="15">
        <v>14980</v>
      </c>
      <c r="BJ41" s="11">
        <v>10768</v>
      </c>
      <c r="BK41" s="10">
        <v>215</v>
      </c>
      <c r="BL41" s="15">
        <v>2980</v>
      </c>
      <c r="BM41" s="11">
        <v>1972</v>
      </c>
      <c r="BN41" s="44">
        <v>950</v>
      </c>
      <c r="BO41" s="42">
        <v>12960</v>
      </c>
      <c r="BP41" s="45">
        <v>8830.7999999999993</v>
      </c>
      <c r="BQ41" s="44">
        <v>830</v>
      </c>
      <c r="BR41" s="42">
        <v>11210</v>
      </c>
      <c r="BS41" s="45">
        <v>7880</v>
      </c>
      <c r="BT41" s="44">
        <v>530</v>
      </c>
      <c r="BU41" s="42">
        <v>7140</v>
      </c>
      <c r="BV41" s="112">
        <v>5084.3999999999996</v>
      </c>
      <c r="BW41" s="115">
        <v>605</v>
      </c>
      <c r="BX41" s="116">
        <v>8190</v>
      </c>
      <c r="BY41" s="112">
        <v>5756.4</v>
      </c>
      <c r="BZ41" s="115">
        <v>530</v>
      </c>
      <c r="CA41" s="116">
        <v>7140</v>
      </c>
      <c r="CB41" s="112">
        <v>5084.3999999999996</v>
      </c>
      <c r="CC41" s="115">
        <v>855</v>
      </c>
      <c r="CD41" s="116">
        <v>11580</v>
      </c>
      <c r="CE41" s="112">
        <v>8073.6</v>
      </c>
      <c r="CF41" s="115">
        <v>500</v>
      </c>
      <c r="CG41" s="116">
        <v>6700</v>
      </c>
      <c r="CH41" s="112">
        <v>4756</v>
      </c>
      <c r="CI41" s="115">
        <v>695</v>
      </c>
      <c r="CJ41" s="116">
        <v>9360</v>
      </c>
      <c r="CK41" s="112">
        <v>6699.6</v>
      </c>
      <c r="CL41" s="54">
        <f t="shared" si="4"/>
        <v>8100</v>
      </c>
      <c r="CM41" s="63">
        <f t="shared" si="4"/>
        <v>109350</v>
      </c>
      <c r="CN41" s="55">
        <f t="shared" si="4"/>
        <v>77184.000000000015</v>
      </c>
      <c r="CO41" s="54">
        <f t="shared" si="5"/>
        <v>675</v>
      </c>
      <c r="CP41" s="63">
        <f t="shared" si="5"/>
        <v>9112.5</v>
      </c>
      <c r="CQ41" s="55">
        <f t="shared" si="5"/>
        <v>6432.0000000000009</v>
      </c>
      <c r="CR41" s="149">
        <f t="shared" si="6"/>
        <v>3715</v>
      </c>
      <c r="CS41" s="149">
        <f t="shared" si="6"/>
        <v>50110</v>
      </c>
    </row>
    <row r="42" spans="1:97" s="2" customFormat="1" ht="34.9" customHeight="1" x14ac:dyDescent="0.6">
      <c r="A42" s="5">
        <v>39</v>
      </c>
      <c r="B42" s="138" t="s">
        <v>138</v>
      </c>
      <c r="C42" s="138" t="s">
        <v>138</v>
      </c>
      <c r="D42" s="20" t="s">
        <v>139</v>
      </c>
      <c r="E42" s="139" t="s">
        <v>140</v>
      </c>
      <c r="F42" s="140" t="s">
        <v>30</v>
      </c>
      <c r="G42" s="7" t="s">
        <v>15</v>
      </c>
      <c r="H42" s="21"/>
      <c r="I42" s="21"/>
      <c r="J42" s="21" t="s">
        <v>1120</v>
      </c>
      <c r="K42" s="41" t="s">
        <v>16</v>
      </c>
      <c r="L42" s="9">
        <v>35</v>
      </c>
      <c r="M42" s="62">
        <v>480</v>
      </c>
      <c r="N42" s="78">
        <v>310.8</v>
      </c>
      <c r="O42" s="9">
        <v>565</v>
      </c>
      <c r="P42" s="62">
        <v>7570</v>
      </c>
      <c r="Q42" s="41">
        <v>5790.8</v>
      </c>
      <c r="R42" s="9">
        <v>545</v>
      </c>
      <c r="S42" s="62">
        <v>7780</v>
      </c>
      <c r="T42" s="98">
        <v>5806</v>
      </c>
      <c r="U42" s="9">
        <v>0</v>
      </c>
      <c r="V42" s="62">
        <v>0</v>
      </c>
      <c r="W42" s="8">
        <v>0</v>
      </c>
      <c r="X42" s="9">
        <v>505</v>
      </c>
      <c r="Y42" s="62">
        <v>7360</v>
      </c>
      <c r="Z42" s="8">
        <v>5186.8</v>
      </c>
      <c r="AA42" s="9">
        <v>550</v>
      </c>
      <c r="AB42" s="62">
        <v>7000</v>
      </c>
      <c r="AC42" s="8">
        <v>5812</v>
      </c>
      <c r="AD42" s="9">
        <v>614</v>
      </c>
      <c r="AE42" s="62">
        <v>8866</v>
      </c>
      <c r="AF42" s="8">
        <v>6193.84</v>
      </c>
      <c r="AG42" s="9">
        <v>181</v>
      </c>
      <c r="AH42" s="62">
        <v>2312</v>
      </c>
      <c r="AI42" s="8">
        <v>1869.2</v>
      </c>
      <c r="AJ42" s="9">
        <v>595</v>
      </c>
      <c r="AK42" s="62">
        <v>8480</v>
      </c>
      <c r="AL42" s="8">
        <v>6206</v>
      </c>
      <c r="AM42" s="9">
        <v>635</v>
      </c>
      <c r="AN42" s="62">
        <v>9320</v>
      </c>
      <c r="AO42" s="8">
        <v>6940</v>
      </c>
      <c r="AP42" s="9">
        <v>500</v>
      </c>
      <c r="AQ42" s="62">
        <v>6200</v>
      </c>
      <c r="AR42" s="8">
        <v>5372</v>
      </c>
      <c r="AS42" s="9">
        <v>100</v>
      </c>
      <c r="AT42" s="62">
        <v>1280</v>
      </c>
      <c r="AU42" s="8">
        <v>1006</v>
      </c>
      <c r="AV42" s="54">
        <f t="shared" si="0"/>
        <v>4825</v>
      </c>
      <c r="AW42" s="63">
        <f t="shared" si="0"/>
        <v>66648</v>
      </c>
      <c r="AX42" s="55">
        <f t="shared" si="0"/>
        <v>50493.440000000002</v>
      </c>
      <c r="AY42" s="54">
        <f t="shared" si="1"/>
        <v>402.08333333333331</v>
      </c>
      <c r="AZ42" s="63">
        <f t="shared" si="2"/>
        <v>33.506944444444443</v>
      </c>
      <c r="BA42" s="55">
        <f t="shared" si="3"/>
        <v>4207.7866666666669</v>
      </c>
      <c r="BB42" s="10">
        <v>500</v>
      </c>
      <c r="BC42" s="15">
        <v>7020</v>
      </c>
      <c r="BD42" s="11">
        <v>5582.4</v>
      </c>
      <c r="BE42" s="10">
        <v>30</v>
      </c>
      <c r="BF42" s="15">
        <v>360</v>
      </c>
      <c r="BG42" s="11">
        <v>360</v>
      </c>
      <c r="BH42" s="10">
        <v>580</v>
      </c>
      <c r="BI42" s="15">
        <v>7220</v>
      </c>
      <c r="BJ42" s="11">
        <v>6384.8</v>
      </c>
      <c r="BK42" s="10">
        <v>0</v>
      </c>
      <c r="BL42" s="15">
        <v>0</v>
      </c>
      <c r="BM42" s="11">
        <v>0</v>
      </c>
      <c r="BN42" s="44">
        <v>505</v>
      </c>
      <c r="BO42" s="42">
        <v>7480</v>
      </c>
      <c r="BP42" s="45">
        <v>5522</v>
      </c>
      <c r="BQ42" s="44">
        <v>35</v>
      </c>
      <c r="BR42" s="42">
        <v>420</v>
      </c>
      <c r="BS42" s="45">
        <v>420</v>
      </c>
      <c r="BT42" s="44">
        <v>250</v>
      </c>
      <c r="BU42" s="42">
        <v>3000</v>
      </c>
      <c r="BV42" s="112">
        <v>2820</v>
      </c>
      <c r="BW42" s="115">
        <v>380</v>
      </c>
      <c r="BX42" s="116">
        <v>5600</v>
      </c>
      <c r="BY42" s="112">
        <v>4220</v>
      </c>
      <c r="BZ42" s="115">
        <v>305</v>
      </c>
      <c r="CA42" s="116">
        <v>4600</v>
      </c>
      <c r="CB42" s="112">
        <v>3478</v>
      </c>
      <c r="CC42" s="115">
        <v>310</v>
      </c>
      <c r="CD42" s="116">
        <v>3820</v>
      </c>
      <c r="CE42" s="112">
        <v>3436</v>
      </c>
      <c r="CF42" s="115">
        <v>45</v>
      </c>
      <c r="CG42" s="116">
        <v>540</v>
      </c>
      <c r="CH42" s="112">
        <v>486</v>
      </c>
      <c r="CI42" s="115">
        <v>200</v>
      </c>
      <c r="CJ42" s="116">
        <v>2500</v>
      </c>
      <c r="CK42" s="112">
        <v>2248</v>
      </c>
      <c r="CL42" s="54">
        <f t="shared" si="4"/>
        <v>3140</v>
      </c>
      <c r="CM42" s="63">
        <f t="shared" si="4"/>
        <v>42560</v>
      </c>
      <c r="CN42" s="55">
        <f t="shared" si="4"/>
        <v>34957.199999999997</v>
      </c>
      <c r="CO42" s="54">
        <f t="shared" si="5"/>
        <v>261.66666666666669</v>
      </c>
      <c r="CP42" s="63">
        <f t="shared" si="5"/>
        <v>3546.6666666666665</v>
      </c>
      <c r="CQ42" s="55">
        <f t="shared" si="5"/>
        <v>2913.1</v>
      </c>
      <c r="CR42" s="149">
        <f t="shared" si="6"/>
        <v>1490</v>
      </c>
      <c r="CS42" s="149">
        <f t="shared" si="6"/>
        <v>20060</v>
      </c>
    </row>
    <row r="43" spans="1:97" s="2" customFormat="1" ht="34.9" customHeight="1" x14ac:dyDescent="0.6">
      <c r="A43" s="5">
        <v>40</v>
      </c>
      <c r="B43" s="131" t="s">
        <v>141</v>
      </c>
      <c r="C43" s="131" t="s">
        <v>141</v>
      </c>
      <c r="D43" s="14" t="s">
        <v>142</v>
      </c>
      <c r="E43" s="132" t="s">
        <v>116</v>
      </c>
      <c r="F43" s="132" t="s">
        <v>117</v>
      </c>
      <c r="G43" s="7" t="s">
        <v>15</v>
      </c>
      <c r="H43" s="16" t="s">
        <v>776</v>
      </c>
      <c r="I43" s="133" t="s">
        <v>777</v>
      </c>
      <c r="J43" s="133" t="s">
        <v>778</v>
      </c>
      <c r="K43" s="41" t="s">
        <v>16</v>
      </c>
      <c r="L43" s="9">
        <v>1200</v>
      </c>
      <c r="M43" s="62">
        <v>16400</v>
      </c>
      <c r="N43" s="78">
        <v>10640</v>
      </c>
      <c r="O43" s="9">
        <v>0</v>
      </c>
      <c r="P43" s="62">
        <v>0</v>
      </c>
      <c r="Q43" s="41">
        <v>0</v>
      </c>
      <c r="R43" s="9">
        <v>1500</v>
      </c>
      <c r="S43" s="62">
        <v>20460</v>
      </c>
      <c r="T43" s="98">
        <v>13360.8</v>
      </c>
      <c r="U43" s="9">
        <v>0</v>
      </c>
      <c r="V43" s="62">
        <v>0</v>
      </c>
      <c r="W43" s="8">
        <v>0</v>
      </c>
      <c r="X43" s="9">
        <v>1200</v>
      </c>
      <c r="Y43" s="62">
        <v>16400</v>
      </c>
      <c r="Z43" s="8">
        <v>10640</v>
      </c>
      <c r="AA43" s="9">
        <v>250</v>
      </c>
      <c r="AB43" s="62">
        <v>3300</v>
      </c>
      <c r="AC43" s="8">
        <v>2184</v>
      </c>
      <c r="AD43" s="9">
        <v>500</v>
      </c>
      <c r="AE43" s="62">
        <v>7000</v>
      </c>
      <c r="AF43" s="8">
        <v>4480</v>
      </c>
      <c r="AG43" s="9">
        <v>410</v>
      </c>
      <c r="AH43" s="62">
        <v>5540</v>
      </c>
      <c r="AI43" s="8">
        <v>3618</v>
      </c>
      <c r="AJ43" s="9">
        <v>605</v>
      </c>
      <c r="AK43" s="62">
        <v>8420</v>
      </c>
      <c r="AL43" s="8">
        <v>5406.8</v>
      </c>
      <c r="AM43" s="9">
        <v>600</v>
      </c>
      <c r="AN43" s="62">
        <v>8200</v>
      </c>
      <c r="AO43" s="8">
        <v>5320</v>
      </c>
      <c r="AP43" s="9">
        <v>600</v>
      </c>
      <c r="AQ43" s="62">
        <v>8200</v>
      </c>
      <c r="AR43" s="8">
        <v>5320</v>
      </c>
      <c r="AS43" s="9">
        <v>630</v>
      </c>
      <c r="AT43" s="62">
        <v>8620</v>
      </c>
      <c r="AU43" s="8">
        <v>5589</v>
      </c>
      <c r="AV43" s="54">
        <f t="shared" si="0"/>
        <v>7495</v>
      </c>
      <c r="AW43" s="63">
        <f t="shared" si="0"/>
        <v>102540</v>
      </c>
      <c r="AX43" s="55">
        <f t="shared" si="0"/>
        <v>66558.600000000006</v>
      </c>
      <c r="AY43" s="54">
        <f t="shared" si="1"/>
        <v>624.58333333333337</v>
      </c>
      <c r="AZ43" s="63">
        <f t="shared" si="2"/>
        <v>52.048611111111114</v>
      </c>
      <c r="BA43" s="55">
        <f t="shared" si="3"/>
        <v>5546.55</v>
      </c>
      <c r="BB43" s="10">
        <v>600</v>
      </c>
      <c r="BC43" s="15">
        <v>8200</v>
      </c>
      <c r="BD43" s="11">
        <v>5320</v>
      </c>
      <c r="BE43" s="10">
        <v>200</v>
      </c>
      <c r="BF43" s="15">
        <v>2600</v>
      </c>
      <c r="BG43" s="11">
        <v>1736</v>
      </c>
      <c r="BH43" s="10">
        <v>790</v>
      </c>
      <c r="BI43" s="15">
        <v>11060</v>
      </c>
      <c r="BJ43" s="11">
        <v>7078.4</v>
      </c>
      <c r="BK43" s="10">
        <v>310</v>
      </c>
      <c r="BL43" s="15">
        <v>4140</v>
      </c>
      <c r="BM43" s="11">
        <v>2721.6</v>
      </c>
      <c r="BN43" s="44">
        <v>600</v>
      </c>
      <c r="BO43" s="42">
        <v>8200</v>
      </c>
      <c r="BP43" s="45">
        <v>5320</v>
      </c>
      <c r="BQ43" s="44">
        <v>830</v>
      </c>
      <c r="BR43" s="42">
        <v>11420</v>
      </c>
      <c r="BS43" s="45">
        <v>7380.7999999999993</v>
      </c>
      <c r="BT43" s="44">
        <v>630</v>
      </c>
      <c r="BU43" s="42">
        <v>8820</v>
      </c>
      <c r="BV43" s="112">
        <v>5644.8</v>
      </c>
      <c r="BW43" s="115">
        <v>600</v>
      </c>
      <c r="BX43" s="116">
        <v>8200</v>
      </c>
      <c r="BY43" s="112">
        <v>5320</v>
      </c>
      <c r="BZ43" s="115">
        <v>600</v>
      </c>
      <c r="CA43" s="116">
        <v>8300</v>
      </c>
      <c r="CB43" s="112">
        <v>5348</v>
      </c>
      <c r="CC43" s="115">
        <v>700</v>
      </c>
      <c r="CD43" s="116">
        <v>9500</v>
      </c>
      <c r="CE43" s="112">
        <v>6188</v>
      </c>
      <c r="CF43" s="115">
        <v>400</v>
      </c>
      <c r="CG43" s="116">
        <v>5600</v>
      </c>
      <c r="CH43" s="112">
        <v>3584</v>
      </c>
      <c r="CI43" s="115">
        <v>580</v>
      </c>
      <c r="CJ43" s="116">
        <v>8020</v>
      </c>
      <c r="CK43" s="112">
        <v>5168.8</v>
      </c>
      <c r="CL43" s="54">
        <f t="shared" si="4"/>
        <v>6840</v>
      </c>
      <c r="CM43" s="63">
        <f t="shared" si="4"/>
        <v>94060</v>
      </c>
      <c r="CN43" s="55">
        <f t="shared" si="4"/>
        <v>60810.400000000001</v>
      </c>
      <c r="CO43" s="54">
        <f t="shared" si="5"/>
        <v>570</v>
      </c>
      <c r="CP43" s="63">
        <f t="shared" si="5"/>
        <v>7838.333333333333</v>
      </c>
      <c r="CQ43" s="55">
        <f t="shared" si="5"/>
        <v>5067.5333333333338</v>
      </c>
      <c r="CR43" s="149">
        <f t="shared" si="6"/>
        <v>3510</v>
      </c>
      <c r="CS43" s="149">
        <f t="shared" si="6"/>
        <v>48440</v>
      </c>
    </row>
    <row r="44" spans="1:97" s="81" customFormat="1" ht="31.5" customHeight="1" x14ac:dyDescent="0.6">
      <c r="A44" s="76">
        <v>41</v>
      </c>
      <c r="B44" s="137" t="s">
        <v>143</v>
      </c>
      <c r="C44" s="137" t="s">
        <v>143</v>
      </c>
      <c r="D44" s="79" t="s">
        <v>144</v>
      </c>
      <c r="E44" s="137" t="s">
        <v>145</v>
      </c>
      <c r="F44" s="137" t="s">
        <v>146</v>
      </c>
      <c r="G44" s="77" t="s">
        <v>15</v>
      </c>
      <c r="H44" s="21" t="s">
        <v>779</v>
      </c>
      <c r="I44" s="21" t="s">
        <v>780</v>
      </c>
      <c r="J44" s="21" t="s">
        <v>781</v>
      </c>
      <c r="K44" s="78" t="s">
        <v>16</v>
      </c>
      <c r="L44" s="83">
        <v>1200</v>
      </c>
      <c r="M44" s="75">
        <v>14800</v>
      </c>
      <c r="N44" s="78">
        <v>13432</v>
      </c>
      <c r="O44" s="83">
        <v>700</v>
      </c>
      <c r="P44" s="75">
        <v>8600</v>
      </c>
      <c r="Q44" s="78">
        <v>7736</v>
      </c>
      <c r="R44" s="83">
        <v>700</v>
      </c>
      <c r="S44" s="75">
        <v>8600</v>
      </c>
      <c r="T44" s="98">
        <v>7300</v>
      </c>
      <c r="U44" s="83">
        <v>900</v>
      </c>
      <c r="V44" s="75">
        <v>11200</v>
      </c>
      <c r="W44" s="98">
        <v>9904</v>
      </c>
      <c r="X44" s="83">
        <v>690</v>
      </c>
      <c r="Y44" s="75">
        <v>8360</v>
      </c>
      <c r="Z44" s="98">
        <v>7978.4</v>
      </c>
      <c r="AA44" s="83">
        <v>932</v>
      </c>
      <c r="AB44" s="75">
        <v>1486</v>
      </c>
      <c r="AC44" s="98">
        <v>10613.359999999999</v>
      </c>
      <c r="AD44" s="83">
        <v>406</v>
      </c>
      <c r="AE44" s="75">
        <v>5115</v>
      </c>
      <c r="AF44" s="98">
        <v>4396.16</v>
      </c>
      <c r="AG44" s="83">
        <v>952</v>
      </c>
      <c r="AH44" s="75">
        <v>11780</v>
      </c>
      <c r="AI44" s="98">
        <v>10612</v>
      </c>
      <c r="AJ44" s="83">
        <v>600</v>
      </c>
      <c r="AK44" s="75">
        <v>7400</v>
      </c>
      <c r="AL44" s="98">
        <v>6896</v>
      </c>
      <c r="AM44" s="83">
        <v>910</v>
      </c>
      <c r="AN44" s="75">
        <v>11040</v>
      </c>
      <c r="AO44" s="98">
        <v>10737.6</v>
      </c>
      <c r="AP44" s="83">
        <v>470</v>
      </c>
      <c r="AQ44" s="75">
        <v>5780</v>
      </c>
      <c r="AR44" s="98">
        <v>5427</v>
      </c>
      <c r="AS44" s="83">
        <v>870</v>
      </c>
      <c r="AT44" s="75">
        <v>10780</v>
      </c>
      <c r="AU44" s="98">
        <v>9923</v>
      </c>
      <c r="AV44" s="54">
        <f t="shared" si="0"/>
        <v>9330</v>
      </c>
      <c r="AW44" s="63">
        <f t="shared" si="0"/>
        <v>104941</v>
      </c>
      <c r="AX44" s="55">
        <f t="shared" si="0"/>
        <v>104955.52</v>
      </c>
      <c r="AY44" s="54">
        <f t="shared" si="1"/>
        <v>777.5</v>
      </c>
      <c r="AZ44" s="63">
        <f t="shared" si="2"/>
        <v>64.791666666666671</v>
      </c>
      <c r="BA44" s="55">
        <f t="shared" si="3"/>
        <v>8746.2933333333331</v>
      </c>
      <c r="BB44" s="88">
        <v>780</v>
      </c>
      <c r="BC44" s="79">
        <v>9560</v>
      </c>
      <c r="BD44" s="89">
        <v>8948</v>
      </c>
      <c r="BE44" s="88">
        <v>1190</v>
      </c>
      <c r="BF44" s="79">
        <v>14580</v>
      </c>
      <c r="BG44" s="89">
        <v>13680</v>
      </c>
      <c r="BH44" s="88">
        <v>880</v>
      </c>
      <c r="BI44" s="79">
        <v>10760</v>
      </c>
      <c r="BJ44" s="89">
        <v>10256</v>
      </c>
      <c r="BK44" s="88">
        <v>630</v>
      </c>
      <c r="BL44" s="79">
        <v>7960</v>
      </c>
      <c r="BM44" s="89">
        <v>6844</v>
      </c>
      <c r="BN44" s="93">
        <v>680</v>
      </c>
      <c r="BO44" s="80">
        <v>8360</v>
      </c>
      <c r="BP44" s="94">
        <v>7748</v>
      </c>
      <c r="BQ44" s="93">
        <v>735</v>
      </c>
      <c r="BR44" s="80">
        <v>9480</v>
      </c>
      <c r="BS44" s="94">
        <v>8618</v>
      </c>
      <c r="BT44" s="93">
        <v>705</v>
      </c>
      <c r="BU44" s="80">
        <v>8720</v>
      </c>
      <c r="BV44" s="113">
        <v>7974.8</v>
      </c>
      <c r="BW44" s="117">
        <v>950</v>
      </c>
      <c r="BX44" s="118">
        <v>11700</v>
      </c>
      <c r="BY44" s="113">
        <v>10944.24</v>
      </c>
      <c r="BZ44" s="117">
        <v>600</v>
      </c>
      <c r="CA44" s="118">
        <v>7300</v>
      </c>
      <c r="CB44" s="113">
        <v>7048</v>
      </c>
      <c r="CC44" s="117">
        <v>944</v>
      </c>
      <c r="CD44" s="118">
        <v>11628</v>
      </c>
      <c r="CE44" s="113">
        <v>10752.48</v>
      </c>
      <c r="CF44" s="117">
        <v>600</v>
      </c>
      <c r="CG44" s="118">
        <v>7540</v>
      </c>
      <c r="CH44" s="113">
        <v>6503.2</v>
      </c>
      <c r="CI44" s="117">
        <v>1100</v>
      </c>
      <c r="CJ44" s="118">
        <v>13300</v>
      </c>
      <c r="CK44" s="113">
        <v>13048</v>
      </c>
      <c r="CL44" s="54">
        <f t="shared" si="4"/>
        <v>9794</v>
      </c>
      <c r="CM44" s="63">
        <f t="shared" si="4"/>
        <v>120888</v>
      </c>
      <c r="CN44" s="55">
        <f t="shared" si="4"/>
        <v>112364.72</v>
      </c>
      <c r="CO44" s="54">
        <f t="shared" si="5"/>
        <v>816.16666666666663</v>
      </c>
      <c r="CP44" s="63">
        <f t="shared" si="5"/>
        <v>10074</v>
      </c>
      <c r="CQ44" s="55">
        <f t="shared" si="5"/>
        <v>9363.7266666666674</v>
      </c>
      <c r="CR44" s="149">
        <f t="shared" si="6"/>
        <v>4899</v>
      </c>
      <c r="CS44" s="149">
        <f t="shared" si="6"/>
        <v>60188</v>
      </c>
    </row>
    <row r="45" spans="1:97" s="2" customFormat="1" ht="34.9" customHeight="1" x14ac:dyDescent="0.6">
      <c r="A45" s="5">
        <v>42</v>
      </c>
      <c r="B45" s="14" t="s">
        <v>147</v>
      </c>
      <c r="C45" s="21" t="s">
        <v>147</v>
      </c>
      <c r="D45" s="14" t="s">
        <v>147</v>
      </c>
      <c r="E45" s="15" t="s">
        <v>148</v>
      </c>
      <c r="F45" s="14" t="s">
        <v>149</v>
      </c>
      <c r="G45" s="7" t="s">
        <v>150</v>
      </c>
      <c r="H45" s="18" t="s">
        <v>782</v>
      </c>
      <c r="I45" s="18" t="s">
        <v>783</v>
      </c>
      <c r="J45" s="14" t="s">
        <v>784</v>
      </c>
      <c r="K45" s="49" t="s">
        <v>151</v>
      </c>
      <c r="L45" s="27">
        <v>175</v>
      </c>
      <c r="M45" s="58">
        <v>2464</v>
      </c>
      <c r="N45" s="121">
        <v>1810.48</v>
      </c>
      <c r="O45" s="27">
        <v>146</v>
      </c>
      <c r="P45" s="58">
        <v>2056</v>
      </c>
      <c r="Q45" s="104">
        <v>1509.1200000000001</v>
      </c>
      <c r="R45" s="27">
        <v>292</v>
      </c>
      <c r="S45" s="58">
        <v>4110</v>
      </c>
      <c r="T45" s="98">
        <v>2969.52</v>
      </c>
      <c r="U45" s="27">
        <v>123</v>
      </c>
      <c r="V45" s="58">
        <v>1672</v>
      </c>
      <c r="W45" s="107">
        <v>1263.6000000000001</v>
      </c>
      <c r="X45" s="27">
        <v>220</v>
      </c>
      <c r="Y45" s="58">
        <v>3054</v>
      </c>
      <c r="Z45" s="107">
        <v>2274.48</v>
      </c>
      <c r="AA45" s="27">
        <v>146</v>
      </c>
      <c r="AB45" s="58">
        <v>1994</v>
      </c>
      <c r="AC45" s="107">
        <v>1517.8400000000001</v>
      </c>
      <c r="AD45" s="27">
        <v>162</v>
      </c>
      <c r="AE45" s="58">
        <v>2170</v>
      </c>
      <c r="AF45" s="12">
        <v>1686</v>
      </c>
      <c r="AG45" s="27">
        <v>220</v>
      </c>
      <c r="AH45" s="58">
        <v>3028</v>
      </c>
      <c r="AI45" s="107">
        <v>2269.44</v>
      </c>
      <c r="AJ45" s="27">
        <v>160</v>
      </c>
      <c r="AK45" s="58">
        <v>2188</v>
      </c>
      <c r="AL45" s="107">
        <v>1646.3200000000002</v>
      </c>
      <c r="AM45" s="27">
        <v>191</v>
      </c>
      <c r="AN45" s="58">
        <v>2616</v>
      </c>
      <c r="AO45" s="107">
        <v>1915.2</v>
      </c>
      <c r="AP45" s="27">
        <v>120</v>
      </c>
      <c r="AQ45" s="58">
        <v>1752</v>
      </c>
      <c r="AR45" s="107">
        <v>1359.6</v>
      </c>
      <c r="AS45" s="27">
        <v>84</v>
      </c>
      <c r="AT45" s="58">
        <v>1154</v>
      </c>
      <c r="AU45" s="12">
        <v>839.2</v>
      </c>
      <c r="AV45" s="54">
        <f t="shared" si="0"/>
        <v>2039</v>
      </c>
      <c r="AW45" s="63">
        <f t="shared" si="0"/>
        <v>28258</v>
      </c>
      <c r="AX45" s="55">
        <f t="shared" si="0"/>
        <v>21060.800000000003</v>
      </c>
      <c r="AY45" s="54">
        <f t="shared" si="1"/>
        <v>169.91666666666666</v>
      </c>
      <c r="AZ45" s="63">
        <f t="shared" si="2"/>
        <v>14.159722222222221</v>
      </c>
      <c r="BA45" s="55">
        <f t="shared" si="3"/>
        <v>1755.0666666666668</v>
      </c>
      <c r="BB45" s="10">
        <v>91</v>
      </c>
      <c r="BC45" s="15">
        <v>1238</v>
      </c>
      <c r="BD45" s="11">
        <v>944.8</v>
      </c>
      <c r="BE45" s="10">
        <v>83</v>
      </c>
      <c r="BF45" s="15">
        <v>1216</v>
      </c>
      <c r="BG45" s="11">
        <v>884.4</v>
      </c>
      <c r="BH45" s="10">
        <v>106</v>
      </c>
      <c r="BI45" s="15">
        <v>1540</v>
      </c>
      <c r="BJ45" s="11">
        <v>1132</v>
      </c>
      <c r="BK45" s="10">
        <v>74</v>
      </c>
      <c r="BL45" s="15">
        <v>1100</v>
      </c>
      <c r="BM45" s="11">
        <v>744</v>
      </c>
      <c r="BN45" s="44">
        <v>76</v>
      </c>
      <c r="BO45" s="42">
        <v>1322</v>
      </c>
      <c r="BP45" s="45">
        <v>798.31999999999994</v>
      </c>
      <c r="BQ45" s="44">
        <v>107</v>
      </c>
      <c r="BR45" s="42">
        <v>1580</v>
      </c>
      <c r="BS45" s="45">
        <v>1146</v>
      </c>
      <c r="BT45" s="44">
        <v>100</v>
      </c>
      <c r="BU45" s="42">
        <v>1394</v>
      </c>
      <c r="BV45" s="112">
        <v>1038.8</v>
      </c>
      <c r="BW45" s="115">
        <v>124</v>
      </c>
      <c r="BX45" s="116">
        <v>1850</v>
      </c>
      <c r="BY45" s="112">
        <v>1338.8000000000002</v>
      </c>
      <c r="BZ45" s="115">
        <v>103</v>
      </c>
      <c r="CA45" s="116">
        <v>1392</v>
      </c>
      <c r="CB45" s="112">
        <v>1066.4000000000001</v>
      </c>
      <c r="CC45" s="115">
        <v>92</v>
      </c>
      <c r="CD45" s="116">
        <v>1418</v>
      </c>
      <c r="CE45" s="112">
        <v>983.19999999999993</v>
      </c>
      <c r="CF45" s="115">
        <v>103</v>
      </c>
      <c r="CG45" s="116">
        <v>1622</v>
      </c>
      <c r="CH45" s="112">
        <v>1094.8800000000001</v>
      </c>
      <c r="CI45" s="115">
        <v>52</v>
      </c>
      <c r="CJ45" s="116">
        <v>778</v>
      </c>
      <c r="CK45" s="112">
        <v>612.72</v>
      </c>
      <c r="CL45" s="54">
        <f t="shared" si="4"/>
        <v>1111</v>
      </c>
      <c r="CM45" s="63">
        <f t="shared" si="4"/>
        <v>16450</v>
      </c>
      <c r="CN45" s="55">
        <f t="shared" si="4"/>
        <v>11784.320000000002</v>
      </c>
      <c r="CO45" s="54">
        <f t="shared" si="5"/>
        <v>92.583333333333329</v>
      </c>
      <c r="CP45" s="63">
        <f t="shared" si="5"/>
        <v>1370.8333333333333</v>
      </c>
      <c r="CQ45" s="55">
        <f t="shared" si="5"/>
        <v>982.02666666666676</v>
      </c>
      <c r="CR45" s="149"/>
      <c r="CS45" s="149"/>
    </row>
    <row r="46" spans="1:97" s="2" customFormat="1" ht="34.9" customHeight="1" x14ac:dyDescent="0.6">
      <c r="A46" s="5">
        <v>43</v>
      </c>
      <c r="B46" s="161" t="s">
        <v>152</v>
      </c>
      <c r="C46" s="21" t="s">
        <v>154</v>
      </c>
      <c r="D46" s="16" t="s">
        <v>153</v>
      </c>
      <c r="E46" s="15" t="s">
        <v>148</v>
      </c>
      <c r="F46" s="14" t="s">
        <v>149</v>
      </c>
      <c r="G46" s="7" t="s">
        <v>150</v>
      </c>
      <c r="H46" s="18" t="s">
        <v>152</v>
      </c>
      <c r="I46" s="18" t="s">
        <v>153</v>
      </c>
      <c r="J46" s="14" t="s">
        <v>785</v>
      </c>
      <c r="K46" s="49" t="s">
        <v>151</v>
      </c>
      <c r="L46" s="27">
        <v>155</v>
      </c>
      <c r="M46" s="58">
        <v>2090</v>
      </c>
      <c r="N46" s="78">
        <v>1510.4</v>
      </c>
      <c r="O46" s="27">
        <v>135</v>
      </c>
      <c r="P46" s="58">
        <v>1800</v>
      </c>
      <c r="Q46" s="104">
        <v>1346.4</v>
      </c>
      <c r="R46" s="27">
        <v>130</v>
      </c>
      <c r="S46" s="58">
        <v>1780</v>
      </c>
      <c r="T46" s="98">
        <v>1225.5999999999999</v>
      </c>
      <c r="U46" s="27">
        <v>115</v>
      </c>
      <c r="V46" s="58">
        <v>1540</v>
      </c>
      <c r="W46" s="107">
        <v>1136.8000000000002</v>
      </c>
      <c r="X46" s="27">
        <v>120</v>
      </c>
      <c r="Y46" s="58">
        <v>1640</v>
      </c>
      <c r="Z46" s="12">
        <v>1136</v>
      </c>
      <c r="AA46" s="27">
        <v>25</v>
      </c>
      <c r="AB46" s="58">
        <v>300</v>
      </c>
      <c r="AC46" s="12">
        <v>300</v>
      </c>
      <c r="AD46" s="27">
        <v>70</v>
      </c>
      <c r="AE46" s="58">
        <v>940</v>
      </c>
      <c r="AF46" s="12">
        <v>688</v>
      </c>
      <c r="AG46" s="27">
        <v>80</v>
      </c>
      <c r="AH46" s="58">
        <v>1050</v>
      </c>
      <c r="AI46" s="107">
        <v>823.2</v>
      </c>
      <c r="AJ46" s="27">
        <v>60</v>
      </c>
      <c r="AK46" s="58">
        <v>780</v>
      </c>
      <c r="AL46" s="107">
        <v>628.79999999999995</v>
      </c>
      <c r="AM46" s="27">
        <v>50</v>
      </c>
      <c r="AN46" s="58">
        <v>690</v>
      </c>
      <c r="AO46" s="107">
        <v>463.2</v>
      </c>
      <c r="AP46" s="27">
        <v>50</v>
      </c>
      <c r="AQ46" s="58">
        <v>680</v>
      </c>
      <c r="AR46" s="107">
        <v>478.40000000000003</v>
      </c>
      <c r="AS46" s="27">
        <v>25</v>
      </c>
      <c r="AT46" s="58">
        <v>340</v>
      </c>
      <c r="AU46" s="12">
        <v>239.20000000000002</v>
      </c>
      <c r="AV46" s="54">
        <f t="shared" si="0"/>
        <v>1015</v>
      </c>
      <c r="AW46" s="63">
        <f t="shared" si="0"/>
        <v>13630</v>
      </c>
      <c r="AX46" s="55">
        <f t="shared" si="0"/>
        <v>9976.0000000000018</v>
      </c>
      <c r="AY46" s="54">
        <f t="shared" si="1"/>
        <v>84.583333333333329</v>
      </c>
      <c r="AZ46" s="63">
        <f t="shared" si="2"/>
        <v>7.0486111111111107</v>
      </c>
      <c r="BA46" s="55">
        <f t="shared" si="3"/>
        <v>831.33333333333348</v>
      </c>
      <c r="BB46" s="10">
        <v>35</v>
      </c>
      <c r="BC46" s="15">
        <v>480</v>
      </c>
      <c r="BD46" s="11">
        <v>328.8</v>
      </c>
      <c r="BE46" s="10">
        <v>40</v>
      </c>
      <c r="BF46" s="15">
        <v>544</v>
      </c>
      <c r="BG46" s="11">
        <v>382.72</v>
      </c>
      <c r="BH46" s="10">
        <v>90</v>
      </c>
      <c r="BI46" s="15">
        <v>1214</v>
      </c>
      <c r="BJ46" s="11">
        <v>876.32000000000016</v>
      </c>
      <c r="BK46" s="10">
        <v>0</v>
      </c>
      <c r="BL46" s="15">
        <v>0</v>
      </c>
      <c r="BM46" s="11">
        <v>0</v>
      </c>
      <c r="BN46" s="44">
        <v>5</v>
      </c>
      <c r="BO46" s="42">
        <v>60</v>
      </c>
      <c r="BP46" s="45">
        <v>60</v>
      </c>
      <c r="BQ46" s="44">
        <v>0</v>
      </c>
      <c r="BR46" s="42">
        <v>0</v>
      </c>
      <c r="BS46" s="45">
        <v>0</v>
      </c>
      <c r="BT46" s="44">
        <v>9</v>
      </c>
      <c r="BU46" s="42">
        <v>146</v>
      </c>
      <c r="BV46" s="112">
        <v>94.800000000000011</v>
      </c>
      <c r="BW46" s="115">
        <v>5</v>
      </c>
      <c r="BX46" s="116">
        <v>70</v>
      </c>
      <c r="BY46" s="112">
        <v>44.800000000000004</v>
      </c>
      <c r="BZ46" s="115">
        <v>0</v>
      </c>
      <c r="CA46" s="116">
        <v>0</v>
      </c>
      <c r="CB46" s="112">
        <v>0</v>
      </c>
      <c r="CC46" s="115">
        <v>5</v>
      </c>
      <c r="CD46" s="116">
        <v>60</v>
      </c>
      <c r="CE46" s="112">
        <v>60</v>
      </c>
      <c r="CF46" s="115">
        <v>0</v>
      </c>
      <c r="CG46" s="116">
        <v>0</v>
      </c>
      <c r="CH46" s="112">
        <v>0</v>
      </c>
      <c r="CI46" s="115">
        <v>5</v>
      </c>
      <c r="CJ46" s="116">
        <v>60</v>
      </c>
      <c r="CK46" s="112">
        <v>60</v>
      </c>
      <c r="CL46" s="54">
        <f t="shared" si="4"/>
        <v>194</v>
      </c>
      <c r="CM46" s="63">
        <f t="shared" si="4"/>
        <v>2634</v>
      </c>
      <c r="CN46" s="55">
        <f t="shared" si="4"/>
        <v>1907.44</v>
      </c>
      <c r="CO46" s="54">
        <f t="shared" si="5"/>
        <v>16.166666666666668</v>
      </c>
      <c r="CP46" s="63">
        <f t="shared" si="5"/>
        <v>219.5</v>
      </c>
      <c r="CQ46" s="55">
        <f t="shared" si="5"/>
        <v>158.95333333333335</v>
      </c>
    </row>
    <row r="47" spans="1:97" s="2" customFormat="1" ht="34.9" customHeight="1" x14ac:dyDescent="0.6">
      <c r="A47" s="5">
        <v>44</v>
      </c>
      <c r="B47" s="14" t="s">
        <v>154</v>
      </c>
      <c r="C47" s="21" t="s">
        <v>156</v>
      </c>
      <c r="D47" s="16" t="s">
        <v>155</v>
      </c>
      <c r="E47" s="15" t="s">
        <v>128</v>
      </c>
      <c r="F47" s="14" t="s">
        <v>129</v>
      </c>
      <c r="G47" s="7" t="s">
        <v>150</v>
      </c>
      <c r="H47" s="18" t="s">
        <v>786</v>
      </c>
      <c r="I47" s="18" t="s">
        <v>787</v>
      </c>
      <c r="J47" s="14" t="s">
        <v>788</v>
      </c>
      <c r="K47" s="49" t="s">
        <v>151</v>
      </c>
      <c r="L47" s="27">
        <v>490</v>
      </c>
      <c r="M47" s="58">
        <v>7160</v>
      </c>
      <c r="N47" s="78">
        <v>5175.2</v>
      </c>
      <c r="O47" s="27">
        <v>520</v>
      </c>
      <c r="P47" s="58">
        <v>7680</v>
      </c>
      <c r="Q47" s="104">
        <v>5538.8</v>
      </c>
      <c r="R47" s="27">
        <v>530</v>
      </c>
      <c r="S47" s="58">
        <v>7780</v>
      </c>
      <c r="T47" s="98">
        <v>5665.2</v>
      </c>
      <c r="U47" s="27">
        <v>530</v>
      </c>
      <c r="V47" s="58">
        <v>7360</v>
      </c>
      <c r="W47" s="107">
        <v>5707.2</v>
      </c>
      <c r="X47" s="27">
        <v>605</v>
      </c>
      <c r="Y47" s="58">
        <v>8760</v>
      </c>
      <c r="Z47" s="12">
        <v>6491.6</v>
      </c>
      <c r="AA47" s="27">
        <v>640</v>
      </c>
      <c r="AB47" s="58">
        <v>9150</v>
      </c>
      <c r="AC47" s="107">
        <v>6933.2000000000007</v>
      </c>
      <c r="AD47" s="27">
        <v>705</v>
      </c>
      <c r="AE47" s="58">
        <v>10300</v>
      </c>
      <c r="AF47" s="107">
        <v>7548.4</v>
      </c>
      <c r="AG47" s="27">
        <v>486</v>
      </c>
      <c r="AH47" s="58">
        <v>6772</v>
      </c>
      <c r="AI47" s="107">
        <v>5246.4</v>
      </c>
      <c r="AJ47" s="27">
        <v>585</v>
      </c>
      <c r="AK47" s="58">
        <v>7960</v>
      </c>
      <c r="AL47" s="107">
        <v>6398.4</v>
      </c>
      <c r="AM47" s="27">
        <v>620</v>
      </c>
      <c r="AN47" s="58">
        <v>9100</v>
      </c>
      <c r="AO47" s="107">
        <v>6874</v>
      </c>
      <c r="AP47" s="27">
        <v>495</v>
      </c>
      <c r="AQ47" s="58">
        <v>7280</v>
      </c>
      <c r="AR47" s="107">
        <v>5372.8</v>
      </c>
      <c r="AS47" s="27">
        <v>545</v>
      </c>
      <c r="AT47" s="58">
        <v>7800</v>
      </c>
      <c r="AU47" s="12">
        <v>5895.6</v>
      </c>
      <c r="AV47" s="54">
        <f t="shared" si="0"/>
        <v>6751</v>
      </c>
      <c r="AW47" s="63">
        <f t="shared" si="0"/>
        <v>97102</v>
      </c>
      <c r="AX47" s="55">
        <f t="shared" si="0"/>
        <v>72846.8</v>
      </c>
      <c r="AY47" s="54">
        <f t="shared" si="1"/>
        <v>562.58333333333337</v>
      </c>
      <c r="AZ47" s="63">
        <f t="shared" si="2"/>
        <v>46.88194444444445</v>
      </c>
      <c r="BA47" s="55">
        <f t="shared" si="3"/>
        <v>6070.5666666666666</v>
      </c>
      <c r="BB47" s="10">
        <v>575</v>
      </c>
      <c r="BC47" s="15">
        <v>8120</v>
      </c>
      <c r="BD47" s="11">
        <v>6358.4</v>
      </c>
      <c r="BE47" s="10">
        <v>505</v>
      </c>
      <c r="BF47" s="15">
        <v>6920</v>
      </c>
      <c r="BG47" s="11">
        <v>5578.0000000000009</v>
      </c>
      <c r="BH47" s="10">
        <v>960</v>
      </c>
      <c r="BI47" s="15">
        <v>13500</v>
      </c>
      <c r="BJ47" s="11">
        <v>10642.400000000001</v>
      </c>
      <c r="BK47" s="10">
        <v>215</v>
      </c>
      <c r="BL47" s="15">
        <v>3690</v>
      </c>
      <c r="BM47" s="11">
        <v>2404.4</v>
      </c>
      <c r="BN47" s="44">
        <v>515</v>
      </c>
      <c r="BO47" s="42">
        <v>6880</v>
      </c>
      <c r="BP47" s="45">
        <v>5561.6</v>
      </c>
      <c r="BQ47" s="44">
        <v>462</v>
      </c>
      <c r="BR47" s="42">
        <v>6640</v>
      </c>
      <c r="BS47" s="45">
        <v>5081.2</v>
      </c>
      <c r="BT47" s="44">
        <v>525</v>
      </c>
      <c r="BU47" s="42">
        <v>7230</v>
      </c>
      <c r="BV47" s="112">
        <v>5729.5999999999995</v>
      </c>
      <c r="BW47" s="115">
        <v>486</v>
      </c>
      <c r="BX47" s="116">
        <v>7562</v>
      </c>
      <c r="BY47" s="112">
        <v>5406.4000000000005</v>
      </c>
      <c r="BZ47" s="115">
        <v>565</v>
      </c>
      <c r="CA47" s="116">
        <v>9230</v>
      </c>
      <c r="CB47" s="112">
        <v>6350</v>
      </c>
      <c r="CC47" s="115">
        <v>410</v>
      </c>
      <c r="CD47" s="116">
        <v>5710</v>
      </c>
      <c r="CE47" s="112">
        <v>4610.3999999999996</v>
      </c>
      <c r="CF47" s="115">
        <v>460</v>
      </c>
      <c r="CG47" s="116">
        <v>7020</v>
      </c>
      <c r="CH47" s="112">
        <v>5149.2</v>
      </c>
      <c r="CI47" s="115">
        <v>545</v>
      </c>
      <c r="CJ47" s="116">
        <v>8520</v>
      </c>
      <c r="CK47" s="112">
        <v>6204</v>
      </c>
      <c r="CL47" s="54">
        <f t="shared" si="4"/>
        <v>6223</v>
      </c>
      <c r="CM47" s="63">
        <f t="shared" si="4"/>
        <v>91022</v>
      </c>
      <c r="CN47" s="55">
        <f t="shared" si="4"/>
        <v>69075.600000000006</v>
      </c>
      <c r="CO47" s="54">
        <f t="shared" si="5"/>
        <v>518.58333333333337</v>
      </c>
      <c r="CP47" s="63">
        <f t="shared" si="5"/>
        <v>7585.166666666667</v>
      </c>
      <c r="CQ47" s="55">
        <f t="shared" si="5"/>
        <v>5756.3</v>
      </c>
    </row>
    <row r="48" spans="1:97" s="2" customFormat="1" ht="34.9" customHeight="1" x14ac:dyDescent="0.6">
      <c r="A48" s="5">
        <v>45</v>
      </c>
      <c r="B48" s="15" t="s">
        <v>156</v>
      </c>
      <c r="C48" s="21" t="s">
        <v>158</v>
      </c>
      <c r="D48" s="16" t="s">
        <v>157</v>
      </c>
      <c r="E48" s="15" t="s">
        <v>128</v>
      </c>
      <c r="F48" s="14" t="s">
        <v>129</v>
      </c>
      <c r="G48" s="7" t="s">
        <v>150</v>
      </c>
      <c r="H48" s="18" t="s">
        <v>789</v>
      </c>
      <c r="I48" s="18" t="s">
        <v>790</v>
      </c>
      <c r="J48" s="14" t="s">
        <v>791</v>
      </c>
      <c r="K48" s="49" t="s">
        <v>151</v>
      </c>
      <c r="L48" s="27">
        <v>78</v>
      </c>
      <c r="M48" s="58">
        <v>1260</v>
      </c>
      <c r="N48" s="78">
        <v>776</v>
      </c>
      <c r="O48" s="27">
        <v>116</v>
      </c>
      <c r="P48" s="58">
        <v>1800</v>
      </c>
      <c r="Q48" s="49">
        <v>1214</v>
      </c>
      <c r="R48" s="27">
        <v>147</v>
      </c>
      <c r="S48" s="58">
        <v>2420</v>
      </c>
      <c r="T48" s="98">
        <v>1500.4</v>
      </c>
      <c r="U48" s="27">
        <v>140</v>
      </c>
      <c r="V48" s="58">
        <v>2320</v>
      </c>
      <c r="W48" s="107">
        <v>1454.4</v>
      </c>
      <c r="X48" s="27">
        <v>65</v>
      </c>
      <c r="Y48" s="58">
        <v>980</v>
      </c>
      <c r="Z48" s="12">
        <v>698.8</v>
      </c>
      <c r="AA48" s="27">
        <v>112</v>
      </c>
      <c r="AB48" s="58">
        <v>2030</v>
      </c>
      <c r="AC48" s="107">
        <v>1281.5999999999999</v>
      </c>
      <c r="AD48" s="27">
        <v>158</v>
      </c>
      <c r="AE48" s="58">
        <v>2250</v>
      </c>
      <c r="AF48" s="107">
        <v>1642.4</v>
      </c>
      <c r="AG48" s="27">
        <v>52</v>
      </c>
      <c r="AH48" s="58">
        <v>1130</v>
      </c>
      <c r="AI48" s="107">
        <v>588.4</v>
      </c>
      <c r="AJ48" s="27">
        <v>93</v>
      </c>
      <c r="AK48" s="58">
        <v>1440</v>
      </c>
      <c r="AL48" s="107">
        <v>956</v>
      </c>
      <c r="AM48" s="27">
        <v>133</v>
      </c>
      <c r="AN48" s="58">
        <v>2330</v>
      </c>
      <c r="AO48" s="107">
        <v>1457.2</v>
      </c>
      <c r="AP48" s="27">
        <v>73</v>
      </c>
      <c r="AQ48" s="58">
        <v>1262</v>
      </c>
      <c r="AR48" s="107">
        <v>819.2</v>
      </c>
      <c r="AS48" s="27">
        <v>136</v>
      </c>
      <c r="AT48" s="58">
        <v>2450</v>
      </c>
      <c r="AU48" s="12">
        <v>1475.2</v>
      </c>
      <c r="AV48" s="54">
        <f t="shared" si="0"/>
        <v>1303</v>
      </c>
      <c r="AW48" s="63">
        <f t="shared" si="0"/>
        <v>21672</v>
      </c>
      <c r="AX48" s="55">
        <f t="shared" si="0"/>
        <v>13863.600000000002</v>
      </c>
      <c r="AY48" s="54">
        <f t="shared" si="1"/>
        <v>108.58333333333333</v>
      </c>
      <c r="AZ48" s="63">
        <f t="shared" si="2"/>
        <v>9.0486111111111107</v>
      </c>
      <c r="BA48" s="55">
        <f t="shared" si="3"/>
        <v>1155.3000000000002</v>
      </c>
      <c r="BB48" s="10">
        <v>75</v>
      </c>
      <c r="BC48" s="15">
        <v>1276</v>
      </c>
      <c r="BD48" s="11">
        <v>824.8</v>
      </c>
      <c r="BE48" s="10">
        <v>67</v>
      </c>
      <c r="BF48" s="15">
        <v>1228</v>
      </c>
      <c r="BG48" s="11">
        <v>710</v>
      </c>
      <c r="BH48" s="10">
        <v>108</v>
      </c>
      <c r="BI48" s="15">
        <v>1972</v>
      </c>
      <c r="BJ48" s="11">
        <v>1162.4000000000001</v>
      </c>
      <c r="BK48" s="10">
        <v>57</v>
      </c>
      <c r="BL48" s="15">
        <v>920</v>
      </c>
      <c r="BM48" s="11">
        <v>613.20000000000005</v>
      </c>
      <c r="BN48" s="44">
        <v>68</v>
      </c>
      <c r="BO48" s="42">
        <v>1360</v>
      </c>
      <c r="BP48" s="45">
        <v>791.2</v>
      </c>
      <c r="BQ48" s="44">
        <v>52</v>
      </c>
      <c r="BR48" s="42">
        <v>1260</v>
      </c>
      <c r="BS48" s="45">
        <v>637.6</v>
      </c>
      <c r="BT48" s="44">
        <v>55</v>
      </c>
      <c r="BU48" s="42">
        <v>830</v>
      </c>
      <c r="BV48" s="112">
        <v>624.40000000000009</v>
      </c>
      <c r="BW48" s="115">
        <v>53</v>
      </c>
      <c r="BX48" s="116">
        <v>1313</v>
      </c>
      <c r="BY48" s="112">
        <v>614.44000000000005</v>
      </c>
      <c r="BZ48" s="115">
        <v>48</v>
      </c>
      <c r="CA48" s="116">
        <v>840</v>
      </c>
      <c r="CB48" s="112">
        <v>483.20000000000005</v>
      </c>
      <c r="CC48" s="115">
        <v>82</v>
      </c>
      <c r="CD48" s="116">
        <v>1490</v>
      </c>
      <c r="CE48" s="112">
        <v>900.40000000000009</v>
      </c>
      <c r="CF48" s="115">
        <v>33</v>
      </c>
      <c r="CG48" s="116">
        <v>724</v>
      </c>
      <c r="CH48" s="112">
        <v>378</v>
      </c>
      <c r="CI48" s="115">
        <v>66</v>
      </c>
      <c r="CJ48" s="116">
        <v>1374</v>
      </c>
      <c r="CK48" s="112">
        <v>720.40000000000009</v>
      </c>
      <c r="CL48" s="54">
        <f t="shared" si="4"/>
        <v>764</v>
      </c>
      <c r="CM48" s="63">
        <f t="shared" si="4"/>
        <v>14587</v>
      </c>
      <c r="CN48" s="55">
        <f t="shared" si="4"/>
        <v>8460.0400000000009</v>
      </c>
      <c r="CO48" s="54">
        <f t="shared" si="5"/>
        <v>63.666666666666664</v>
      </c>
      <c r="CP48" s="63">
        <f t="shared" si="5"/>
        <v>1215.5833333333333</v>
      </c>
      <c r="CQ48" s="55">
        <f t="shared" si="5"/>
        <v>705.00333333333344</v>
      </c>
    </row>
    <row r="49" spans="1:95" s="2" customFormat="1" ht="34.9" customHeight="1" x14ac:dyDescent="0.6">
      <c r="A49" s="5">
        <v>46</v>
      </c>
      <c r="B49" s="14" t="s">
        <v>158</v>
      </c>
      <c r="C49" s="21" t="s">
        <v>162</v>
      </c>
      <c r="D49" s="16" t="s">
        <v>159</v>
      </c>
      <c r="E49" s="15" t="s">
        <v>128</v>
      </c>
      <c r="F49" s="14" t="s">
        <v>129</v>
      </c>
      <c r="G49" s="7" t="s">
        <v>150</v>
      </c>
      <c r="H49" s="18" t="s">
        <v>158</v>
      </c>
      <c r="I49" s="18" t="s">
        <v>792</v>
      </c>
      <c r="J49" s="14" t="s">
        <v>793</v>
      </c>
      <c r="K49" s="49" t="s">
        <v>151</v>
      </c>
      <c r="L49" s="27">
        <v>295</v>
      </c>
      <c r="M49" s="58">
        <v>4460</v>
      </c>
      <c r="N49" s="78">
        <v>3454.4</v>
      </c>
      <c r="O49" s="27">
        <v>350</v>
      </c>
      <c r="P49" s="58">
        <v>5300</v>
      </c>
      <c r="Q49" s="49">
        <v>4087.6</v>
      </c>
      <c r="R49" s="27">
        <v>350</v>
      </c>
      <c r="S49" s="58">
        <v>4860</v>
      </c>
      <c r="T49" s="98">
        <v>4040</v>
      </c>
      <c r="U49" s="27">
        <v>535</v>
      </c>
      <c r="V49" s="58">
        <v>8440</v>
      </c>
      <c r="W49" s="12">
        <v>6150</v>
      </c>
      <c r="X49" s="27">
        <v>719</v>
      </c>
      <c r="Y49" s="58">
        <v>11488</v>
      </c>
      <c r="Z49" s="12">
        <v>8693.6</v>
      </c>
      <c r="AA49" s="27">
        <v>131</v>
      </c>
      <c r="AB49" s="58">
        <v>1712</v>
      </c>
      <c r="AC49" s="107">
        <v>1354.4</v>
      </c>
      <c r="AD49" s="27">
        <v>340</v>
      </c>
      <c r="AE49" s="58">
        <v>4620</v>
      </c>
      <c r="AF49" s="107">
        <v>3927.6</v>
      </c>
      <c r="AG49" s="27">
        <v>260</v>
      </c>
      <c r="AH49" s="58">
        <v>3160</v>
      </c>
      <c r="AI49" s="107">
        <v>2987.2</v>
      </c>
      <c r="AJ49" s="27">
        <v>385</v>
      </c>
      <c r="AK49" s="58">
        <v>5140</v>
      </c>
      <c r="AL49" s="107">
        <v>4402</v>
      </c>
      <c r="AM49" s="27">
        <v>520</v>
      </c>
      <c r="AN49" s="58">
        <v>7500</v>
      </c>
      <c r="AO49" s="107">
        <v>6059.2</v>
      </c>
      <c r="AP49" s="27">
        <v>200</v>
      </c>
      <c r="AQ49" s="58">
        <v>3380</v>
      </c>
      <c r="AR49" s="107">
        <v>2422</v>
      </c>
      <c r="AS49" s="27">
        <v>325</v>
      </c>
      <c r="AT49" s="58">
        <v>4930</v>
      </c>
      <c r="AU49" s="12">
        <v>3894</v>
      </c>
      <c r="AV49" s="54">
        <f t="shared" si="0"/>
        <v>4410</v>
      </c>
      <c r="AW49" s="63">
        <f t="shared" si="0"/>
        <v>64990</v>
      </c>
      <c r="AX49" s="55">
        <f t="shared" si="0"/>
        <v>51471.999999999993</v>
      </c>
      <c r="AY49" s="54">
        <f t="shared" si="1"/>
        <v>367.5</v>
      </c>
      <c r="AZ49" s="63">
        <f t="shared" si="2"/>
        <v>30.625</v>
      </c>
      <c r="BA49" s="55">
        <f t="shared" si="3"/>
        <v>4289.333333333333</v>
      </c>
      <c r="BB49" s="10">
        <v>280</v>
      </c>
      <c r="BC49" s="15">
        <v>4540</v>
      </c>
      <c r="BD49" s="11">
        <v>3300.8</v>
      </c>
      <c r="BE49" s="10">
        <v>260</v>
      </c>
      <c r="BF49" s="15">
        <v>4480</v>
      </c>
      <c r="BG49" s="11">
        <v>3058</v>
      </c>
      <c r="BH49" s="10">
        <v>1305</v>
      </c>
      <c r="BI49" s="15">
        <v>23100</v>
      </c>
      <c r="BJ49" s="11">
        <v>15138</v>
      </c>
      <c r="BK49" s="10">
        <v>20</v>
      </c>
      <c r="BL49" s="15">
        <v>800</v>
      </c>
      <c r="BM49" s="11">
        <v>280</v>
      </c>
      <c r="BN49" s="44">
        <v>50</v>
      </c>
      <c r="BO49" s="42">
        <v>600</v>
      </c>
      <c r="BP49" s="45">
        <v>600</v>
      </c>
      <c r="BQ49" s="44">
        <v>150</v>
      </c>
      <c r="BR49" s="42">
        <v>1800</v>
      </c>
      <c r="BS49" s="45">
        <v>1800</v>
      </c>
      <c r="BT49" s="44">
        <v>50</v>
      </c>
      <c r="BU49" s="42">
        <v>600</v>
      </c>
      <c r="BV49" s="112">
        <v>600</v>
      </c>
      <c r="BW49" s="115">
        <v>51</v>
      </c>
      <c r="BX49" s="116">
        <v>652</v>
      </c>
      <c r="BY49" s="112">
        <v>547.36</v>
      </c>
      <c r="BZ49" s="115">
        <v>130</v>
      </c>
      <c r="CA49" s="116">
        <v>2400</v>
      </c>
      <c r="CB49" s="112">
        <v>1620</v>
      </c>
      <c r="CC49" s="115">
        <v>350</v>
      </c>
      <c r="CD49" s="116">
        <v>5080</v>
      </c>
      <c r="CE49" s="112">
        <v>4199.2</v>
      </c>
      <c r="CF49" s="115">
        <v>260</v>
      </c>
      <c r="CG49" s="116">
        <v>4920</v>
      </c>
      <c r="CH49" s="112">
        <v>3057.6000000000004</v>
      </c>
      <c r="CI49" s="115">
        <v>295</v>
      </c>
      <c r="CJ49" s="116">
        <v>5220</v>
      </c>
      <c r="CK49" s="112">
        <v>3660</v>
      </c>
      <c r="CL49" s="54">
        <f t="shared" si="4"/>
        <v>3201</v>
      </c>
      <c r="CM49" s="63">
        <f t="shared" si="4"/>
        <v>54192</v>
      </c>
      <c r="CN49" s="55">
        <f t="shared" si="4"/>
        <v>37860.959999999999</v>
      </c>
      <c r="CO49" s="54">
        <f t="shared" si="5"/>
        <v>266.75</v>
      </c>
      <c r="CP49" s="63">
        <f t="shared" si="5"/>
        <v>4516</v>
      </c>
      <c r="CQ49" s="55">
        <f t="shared" si="5"/>
        <v>3155.08</v>
      </c>
    </row>
    <row r="50" spans="1:95" s="2" customFormat="1" ht="34.9" customHeight="1" x14ac:dyDescent="0.6">
      <c r="A50" s="5">
        <v>47</v>
      </c>
      <c r="B50" s="161" t="s">
        <v>160</v>
      </c>
      <c r="C50" s="21" t="s">
        <v>164</v>
      </c>
      <c r="D50" s="16" t="s">
        <v>161</v>
      </c>
      <c r="E50" s="15" t="s">
        <v>128</v>
      </c>
      <c r="F50" s="14" t="s">
        <v>129</v>
      </c>
      <c r="G50" s="7" t="s">
        <v>150</v>
      </c>
      <c r="H50" s="141" t="s">
        <v>794</v>
      </c>
      <c r="I50" s="141"/>
      <c r="J50" s="141" t="s">
        <v>1121</v>
      </c>
      <c r="K50" s="49" t="s">
        <v>151</v>
      </c>
      <c r="L50" s="27">
        <v>65</v>
      </c>
      <c r="M50" s="58">
        <v>970</v>
      </c>
      <c r="N50" s="78">
        <v>714</v>
      </c>
      <c r="O50" s="27">
        <v>65</v>
      </c>
      <c r="P50" s="58">
        <v>830</v>
      </c>
      <c r="Q50" s="49">
        <v>686</v>
      </c>
      <c r="R50" s="27">
        <v>70</v>
      </c>
      <c r="S50" s="58">
        <v>1050</v>
      </c>
      <c r="T50" s="98">
        <v>743.6</v>
      </c>
      <c r="U50" s="27">
        <v>70</v>
      </c>
      <c r="V50" s="58">
        <v>890</v>
      </c>
      <c r="W50" s="12">
        <v>746</v>
      </c>
      <c r="X50" s="27">
        <v>80</v>
      </c>
      <c r="Y50" s="58">
        <v>1150</v>
      </c>
      <c r="Z50" s="12">
        <v>894</v>
      </c>
      <c r="AA50" s="27">
        <v>110</v>
      </c>
      <c r="AB50" s="58">
        <v>1540</v>
      </c>
      <c r="AC50" s="107">
        <v>1208.4000000000001</v>
      </c>
      <c r="AD50" s="27">
        <v>85</v>
      </c>
      <c r="AE50" s="58">
        <v>1100</v>
      </c>
      <c r="AF50" s="107">
        <v>898.40000000000009</v>
      </c>
      <c r="AG50" s="27">
        <v>80</v>
      </c>
      <c r="AH50" s="58">
        <v>1130</v>
      </c>
      <c r="AI50" s="107">
        <v>924.4</v>
      </c>
      <c r="AJ50" s="27">
        <v>80</v>
      </c>
      <c r="AK50" s="58">
        <v>1140</v>
      </c>
      <c r="AL50" s="107">
        <v>909.2</v>
      </c>
      <c r="AM50" s="27">
        <v>90</v>
      </c>
      <c r="AN50" s="58">
        <v>1250</v>
      </c>
      <c r="AO50" s="107">
        <v>1044.4000000000001</v>
      </c>
      <c r="AP50" s="27">
        <v>60</v>
      </c>
      <c r="AQ50" s="58">
        <v>890</v>
      </c>
      <c r="AR50" s="107">
        <v>684.4</v>
      </c>
      <c r="AS50" s="27">
        <v>60</v>
      </c>
      <c r="AT50" s="58">
        <v>760</v>
      </c>
      <c r="AU50" s="12">
        <v>659.2</v>
      </c>
      <c r="AV50" s="54">
        <f t="shared" si="0"/>
        <v>915</v>
      </c>
      <c r="AW50" s="63">
        <f t="shared" si="0"/>
        <v>12700</v>
      </c>
      <c r="AX50" s="55">
        <f t="shared" si="0"/>
        <v>10112</v>
      </c>
      <c r="AY50" s="54">
        <f t="shared" si="1"/>
        <v>76.25</v>
      </c>
      <c r="AZ50" s="63">
        <f t="shared" si="2"/>
        <v>6.354166666666667</v>
      </c>
      <c r="BA50" s="55">
        <f t="shared" si="3"/>
        <v>842.66666666666663</v>
      </c>
      <c r="BB50" s="10">
        <v>75</v>
      </c>
      <c r="BC50" s="15">
        <v>1110</v>
      </c>
      <c r="BD50" s="11">
        <v>803.6</v>
      </c>
      <c r="BE50" s="10">
        <v>60</v>
      </c>
      <c r="BF50" s="15">
        <v>750</v>
      </c>
      <c r="BG50" s="11">
        <v>674.4</v>
      </c>
      <c r="BH50" s="10">
        <v>75</v>
      </c>
      <c r="BI50" s="15">
        <v>930</v>
      </c>
      <c r="BJ50" s="11">
        <v>854.4</v>
      </c>
      <c r="BK50" s="10">
        <v>55</v>
      </c>
      <c r="BL50" s="15">
        <v>830</v>
      </c>
      <c r="BM50" s="11">
        <v>624.4</v>
      </c>
      <c r="BN50" s="44">
        <v>55</v>
      </c>
      <c r="BO50" s="42">
        <v>830</v>
      </c>
      <c r="BP50" s="45">
        <v>624.4</v>
      </c>
      <c r="BQ50" s="44">
        <v>50</v>
      </c>
      <c r="BR50" s="42">
        <v>600</v>
      </c>
      <c r="BS50" s="45">
        <v>600</v>
      </c>
      <c r="BT50" s="44">
        <v>65</v>
      </c>
      <c r="BU50" s="42">
        <v>840</v>
      </c>
      <c r="BV50" s="112">
        <v>688.8</v>
      </c>
      <c r="BW50" s="115">
        <v>55</v>
      </c>
      <c r="BX50" s="116">
        <v>823</v>
      </c>
      <c r="BY50" s="112">
        <v>641.64</v>
      </c>
      <c r="BZ50" s="115">
        <v>40</v>
      </c>
      <c r="CA50" s="116">
        <v>510</v>
      </c>
      <c r="CB50" s="112">
        <v>434.4</v>
      </c>
      <c r="CC50" s="115">
        <v>55</v>
      </c>
      <c r="CD50" s="116">
        <v>830</v>
      </c>
      <c r="CE50" s="112">
        <v>624.4</v>
      </c>
      <c r="CF50" s="115">
        <v>50</v>
      </c>
      <c r="CG50" s="116">
        <v>630</v>
      </c>
      <c r="CH50" s="112">
        <v>554.4</v>
      </c>
      <c r="CI50" s="115">
        <v>55</v>
      </c>
      <c r="CJ50" s="116">
        <v>830</v>
      </c>
      <c r="CK50" s="112">
        <v>624.4</v>
      </c>
      <c r="CL50" s="54">
        <f t="shared" si="4"/>
        <v>690</v>
      </c>
      <c r="CM50" s="63">
        <f t="shared" si="4"/>
        <v>9513</v>
      </c>
      <c r="CN50" s="55">
        <f t="shared" si="4"/>
        <v>7749.24</v>
      </c>
      <c r="CO50" s="54">
        <f t="shared" si="5"/>
        <v>57.5</v>
      </c>
      <c r="CP50" s="63">
        <f t="shared" si="5"/>
        <v>792.75</v>
      </c>
      <c r="CQ50" s="55">
        <f t="shared" si="5"/>
        <v>645.77</v>
      </c>
    </row>
    <row r="51" spans="1:95" s="2" customFormat="1" ht="34.9" customHeight="1" x14ac:dyDescent="0.6">
      <c r="A51" s="5">
        <v>48</v>
      </c>
      <c r="B51" s="14" t="s">
        <v>162</v>
      </c>
      <c r="C51" s="21" t="s">
        <v>166</v>
      </c>
      <c r="D51" s="16" t="s">
        <v>163</v>
      </c>
      <c r="E51" s="15" t="s">
        <v>128</v>
      </c>
      <c r="F51" s="14" t="s">
        <v>129</v>
      </c>
      <c r="G51" s="7" t="s">
        <v>150</v>
      </c>
      <c r="H51" s="18" t="s">
        <v>795</v>
      </c>
      <c r="I51" s="18" t="s">
        <v>796</v>
      </c>
      <c r="J51" s="14" t="s">
        <v>797</v>
      </c>
      <c r="K51" s="49" t="s">
        <v>151</v>
      </c>
      <c r="L51" s="27">
        <v>220</v>
      </c>
      <c r="M51" s="58">
        <v>2856</v>
      </c>
      <c r="N51" s="78">
        <v>2275.6800000000003</v>
      </c>
      <c r="O51" s="27">
        <v>168</v>
      </c>
      <c r="P51" s="58">
        <v>2076</v>
      </c>
      <c r="Q51" s="104">
        <v>1910.4</v>
      </c>
      <c r="R51" s="27">
        <v>209</v>
      </c>
      <c r="S51" s="58">
        <v>2572</v>
      </c>
      <c r="T51" s="98">
        <v>2392.7200000000003</v>
      </c>
      <c r="U51" s="27">
        <v>166</v>
      </c>
      <c r="V51" s="58">
        <v>2032</v>
      </c>
      <c r="W51" s="107">
        <v>1909.6</v>
      </c>
      <c r="X51" s="27">
        <v>212</v>
      </c>
      <c r="Y51" s="58">
        <v>2604</v>
      </c>
      <c r="Z51" s="12">
        <v>2424</v>
      </c>
      <c r="AA51" s="27">
        <v>159</v>
      </c>
      <c r="AB51" s="58">
        <v>1948</v>
      </c>
      <c r="AC51" s="107">
        <v>1829.2</v>
      </c>
      <c r="AD51" s="27">
        <v>174</v>
      </c>
      <c r="AE51" s="58">
        <v>2132</v>
      </c>
      <c r="AF51" s="107">
        <v>2006.72</v>
      </c>
      <c r="AG51" s="27">
        <v>180</v>
      </c>
      <c r="AH51" s="58">
        <v>2190</v>
      </c>
      <c r="AI51" s="107">
        <v>2110.8000000000002</v>
      </c>
      <c r="AJ51" s="27">
        <v>149</v>
      </c>
      <c r="AK51" s="58">
        <v>1804</v>
      </c>
      <c r="AL51" s="107">
        <v>1763.68</v>
      </c>
      <c r="AM51" s="27">
        <v>147</v>
      </c>
      <c r="AN51" s="58">
        <v>1770</v>
      </c>
      <c r="AO51" s="107">
        <v>1754.88</v>
      </c>
      <c r="AP51" s="27">
        <v>129</v>
      </c>
      <c r="AQ51" s="58">
        <v>1550</v>
      </c>
      <c r="AR51" s="107">
        <v>1544.96</v>
      </c>
      <c r="AS51" s="27">
        <v>115</v>
      </c>
      <c r="AT51" s="58">
        <v>1382</v>
      </c>
      <c r="AU51" s="12">
        <v>1376.96</v>
      </c>
      <c r="AV51" s="54">
        <f t="shared" si="0"/>
        <v>2028</v>
      </c>
      <c r="AW51" s="63">
        <f t="shared" si="0"/>
        <v>24916</v>
      </c>
      <c r="AX51" s="55">
        <f t="shared" si="0"/>
        <v>23299.599999999999</v>
      </c>
      <c r="AY51" s="54">
        <f t="shared" si="1"/>
        <v>169</v>
      </c>
      <c r="AZ51" s="63">
        <f t="shared" si="2"/>
        <v>14.083333333333334</v>
      </c>
      <c r="BA51" s="55">
        <f t="shared" si="3"/>
        <v>1941.6333333333332</v>
      </c>
      <c r="BB51" s="10">
        <v>126</v>
      </c>
      <c r="BC51" s="15">
        <v>1512</v>
      </c>
      <c r="BD51" s="11">
        <v>1512</v>
      </c>
      <c r="BE51" s="10">
        <v>150</v>
      </c>
      <c r="BF51" s="15">
        <v>1800</v>
      </c>
      <c r="BG51" s="11">
        <v>1800</v>
      </c>
      <c r="BH51" s="10">
        <v>143</v>
      </c>
      <c r="BI51" s="15">
        <v>1716</v>
      </c>
      <c r="BJ51" s="11">
        <v>1716</v>
      </c>
      <c r="BK51" s="10">
        <v>87</v>
      </c>
      <c r="BL51" s="15">
        <v>1044</v>
      </c>
      <c r="BM51" s="11">
        <v>1044</v>
      </c>
      <c r="BN51" s="44">
        <v>208</v>
      </c>
      <c r="BO51" s="42">
        <v>2496</v>
      </c>
      <c r="BP51" s="45">
        <v>2496</v>
      </c>
      <c r="BQ51" s="44">
        <v>235</v>
      </c>
      <c r="BR51" s="42">
        <v>2820</v>
      </c>
      <c r="BS51" s="45">
        <v>2820</v>
      </c>
      <c r="BT51" s="44">
        <v>250</v>
      </c>
      <c r="BU51" s="42">
        <v>3000</v>
      </c>
      <c r="BV51" s="112">
        <v>3000</v>
      </c>
      <c r="BW51" s="115">
        <v>239</v>
      </c>
      <c r="BX51" s="116">
        <v>2880</v>
      </c>
      <c r="BY51" s="112">
        <v>2876.16</v>
      </c>
      <c r="BZ51" s="115">
        <v>157</v>
      </c>
      <c r="CA51" s="116">
        <v>1884</v>
      </c>
      <c r="CB51" s="112">
        <v>1884</v>
      </c>
      <c r="CC51" s="115">
        <v>134</v>
      </c>
      <c r="CD51" s="116">
        <v>1608</v>
      </c>
      <c r="CE51" s="112">
        <v>1608</v>
      </c>
      <c r="CF51" s="115">
        <v>126</v>
      </c>
      <c r="CG51" s="116">
        <v>1512</v>
      </c>
      <c r="CH51" s="112">
        <v>1512</v>
      </c>
      <c r="CI51" s="115">
        <v>175</v>
      </c>
      <c r="CJ51" s="116">
        <v>2100</v>
      </c>
      <c r="CK51" s="112">
        <v>2100</v>
      </c>
      <c r="CL51" s="54">
        <f t="shared" si="4"/>
        <v>2030</v>
      </c>
      <c r="CM51" s="63">
        <f t="shared" si="4"/>
        <v>24372</v>
      </c>
      <c r="CN51" s="55">
        <f t="shared" si="4"/>
        <v>24368.16</v>
      </c>
      <c r="CO51" s="54">
        <f t="shared" si="5"/>
        <v>169.16666666666666</v>
      </c>
      <c r="CP51" s="63">
        <f t="shared" si="5"/>
        <v>2031</v>
      </c>
      <c r="CQ51" s="55">
        <f t="shared" si="5"/>
        <v>2030.68</v>
      </c>
    </row>
    <row r="52" spans="1:95" s="2" customFormat="1" ht="34.9" customHeight="1" x14ac:dyDescent="0.6">
      <c r="A52" s="5">
        <v>49</v>
      </c>
      <c r="B52" s="14" t="s">
        <v>164</v>
      </c>
      <c r="C52" s="21" t="s">
        <v>168</v>
      </c>
      <c r="D52" s="16" t="s">
        <v>165</v>
      </c>
      <c r="E52" s="15" t="s">
        <v>128</v>
      </c>
      <c r="F52" s="14" t="s">
        <v>129</v>
      </c>
      <c r="G52" s="7" t="s">
        <v>150</v>
      </c>
      <c r="H52" s="18" t="s">
        <v>798</v>
      </c>
      <c r="I52" s="18" t="s">
        <v>799</v>
      </c>
      <c r="J52" s="14" t="s">
        <v>800</v>
      </c>
      <c r="K52" s="49" t="s">
        <v>151</v>
      </c>
      <c r="L52" s="27">
        <v>211</v>
      </c>
      <c r="M52" s="58">
        <v>3080</v>
      </c>
      <c r="N52" s="78">
        <v>2412</v>
      </c>
      <c r="O52" s="27">
        <v>135</v>
      </c>
      <c r="P52" s="58">
        <v>2040</v>
      </c>
      <c r="Q52" s="104">
        <v>1427.2</v>
      </c>
      <c r="R52" s="27">
        <v>246</v>
      </c>
      <c r="S52" s="58">
        <v>3392</v>
      </c>
      <c r="T52" s="98">
        <v>2704.8</v>
      </c>
      <c r="U52" s="27">
        <v>175</v>
      </c>
      <c r="V52" s="58">
        <v>2680</v>
      </c>
      <c r="W52" s="107">
        <v>1862.8000000000002</v>
      </c>
      <c r="X52" s="27">
        <v>310</v>
      </c>
      <c r="Y52" s="58">
        <v>4210</v>
      </c>
      <c r="Z52" s="12">
        <v>3372.8</v>
      </c>
      <c r="AA52" s="27">
        <v>335</v>
      </c>
      <c r="AB52" s="58">
        <v>4620</v>
      </c>
      <c r="AC52" s="107">
        <v>3776.4</v>
      </c>
      <c r="AD52" s="27">
        <v>175</v>
      </c>
      <c r="AE52" s="58">
        <v>2370</v>
      </c>
      <c r="AF52" s="107">
        <v>1888.4</v>
      </c>
      <c r="AG52" s="27">
        <v>125</v>
      </c>
      <c r="AH52" s="58">
        <v>2200</v>
      </c>
      <c r="AI52" s="107">
        <v>1502</v>
      </c>
      <c r="AJ52" s="27">
        <v>95</v>
      </c>
      <c r="AK52" s="58">
        <v>1180</v>
      </c>
      <c r="AL52" s="107">
        <v>1079.2</v>
      </c>
      <c r="AM52" s="27">
        <v>222</v>
      </c>
      <c r="AN52" s="58">
        <v>3024</v>
      </c>
      <c r="AO52" s="107">
        <v>2552.8000000000002</v>
      </c>
      <c r="AP52" s="27">
        <v>62</v>
      </c>
      <c r="AQ52" s="58">
        <v>744</v>
      </c>
      <c r="AR52" s="107">
        <v>744</v>
      </c>
      <c r="AS52" s="27">
        <v>101</v>
      </c>
      <c r="AT52" s="58">
        <v>1420</v>
      </c>
      <c r="AU52" s="12">
        <v>1163.2</v>
      </c>
      <c r="AV52" s="54">
        <f t="shared" si="0"/>
        <v>2192</v>
      </c>
      <c r="AW52" s="63">
        <f t="shared" si="0"/>
        <v>30960</v>
      </c>
      <c r="AX52" s="55">
        <f t="shared" si="0"/>
        <v>24485.599999999999</v>
      </c>
      <c r="AY52" s="54">
        <f t="shared" si="1"/>
        <v>182.66666666666666</v>
      </c>
      <c r="AZ52" s="63">
        <f t="shared" si="2"/>
        <v>15.222222222222221</v>
      </c>
      <c r="BA52" s="55">
        <f t="shared" si="3"/>
        <v>2040.4666666666665</v>
      </c>
      <c r="BB52" s="10">
        <v>105</v>
      </c>
      <c r="BC52" s="15">
        <v>1420</v>
      </c>
      <c r="BD52" s="11">
        <v>1240</v>
      </c>
      <c r="BE52" s="10">
        <v>143</v>
      </c>
      <c r="BF52" s="15">
        <v>1820</v>
      </c>
      <c r="BG52" s="11">
        <v>1691.6</v>
      </c>
      <c r="BH52" s="10">
        <v>328</v>
      </c>
      <c r="BI52" s="15">
        <v>4160</v>
      </c>
      <c r="BJ52" s="11">
        <v>3952</v>
      </c>
      <c r="BK52" s="10">
        <v>28</v>
      </c>
      <c r="BL52" s="15">
        <v>636</v>
      </c>
      <c r="BM52" s="11">
        <v>325.60000000000002</v>
      </c>
      <c r="BN52" s="44">
        <v>110</v>
      </c>
      <c r="BO52" s="42">
        <v>1350</v>
      </c>
      <c r="BP52" s="45">
        <v>1274.3999999999999</v>
      </c>
      <c r="BQ52" s="44">
        <v>146</v>
      </c>
      <c r="BR52" s="42">
        <v>1826</v>
      </c>
      <c r="BS52" s="45">
        <v>1728.6399999999999</v>
      </c>
      <c r="BT52" s="44">
        <v>180</v>
      </c>
      <c r="BU52" s="42">
        <v>2382</v>
      </c>
      <c r="BV52" s="112">
        <v>2134.48</v>
      </c>
      <c r="BW52" s="115">
        <v>126</v>
      </c>
      <c r="BX52" s="116">
        <v>1703</v>
      </c>
      <c r="BY52" s="112">
        <v>1495.6399999999999</v>
      </c>
      <c r="BZ52" s="115">
        <v>190</v>
      </c>
      <c r="CA52" s="116">
        <v>2620</v>
      </c>
      <c r="CB52" s="112">
        <v>2208.8000000000002</v>
      </c>
      <c r="CC52" s="115">
        <v>146</v>
      </c>
      <c r="CD52" s="116">
        <v>1970</v>
      </c>
      <c r="CE52" s="112">
        <v>1688</v>
      </c>
      <c r="CF52" s="115">
        <v>134</v>
      </c>
      <c r="CG52" s="116">
        <v>1760</v>
      </c>
      <c r="CH52" s="112">
        <v>1555.2</v>
      </c>
      <c r="CI52" s="115">
        <v>143</v>
      </c>
      <c r="CJ52" s="116">
        <v>1912</v>
      </c>
      <c r="CK52" s="112">
        <v>1640.88</v>
      </c>
      <c r="CL52" s="54">
        <f t="shared" si="4"/>
        <v>1779</v>
      </c>
      <c r="CM52" s="63">
        <f t="shared" si="4"/>
        <v>23559</v>
      </c>
      <c r="CN52" s="55">
        <f t="shared" si="4"/>
        <v>20935.240000000002</v>
      </c>
      <c r="CO52" s="54">
        <f t="shared" si="5"/>
        <v>148.25</v>
      </c>
      <c r="CP52" s="63">
        <f t="shared" si="5"/>
        <v>1963.25</v>
      </c>
      <c r="CQ52" s="55">
        <f t="shared" si="5"/>
        <v>1744.6033333333335</v>
      </c>
    </row>
    <row r="53" spans="1:95" s="2" customFormat="1" ht="34.9" customHeight="1" x14ac:dyDescent="0.6">
      <c r="A53" s="5">
        <v>50</v>
      </c>
      <c r="B53" s="14" t="s">
        <v>166</v>
      </c>
      <c r="C53" s="21" t="s">
        <v>170</v>
      </c>
      <c r="D53" s="16" t="s">
        <v>167</v>
      </c>
      <c r="E53" s="15" t="s">
        <v>128</v>
      </c>
      <c r="F53" s="14" t="s">
        <v>129</v>
      </c>
      <c r="G53" s="7" t="s">
        <v>150</v>
      </c>
      <c r="H53" s="19" t="s">
        <v>752</v>
      </c>
      <c r="I53" s="19" t="s">
        <v>753</v>
      </c>
      <c r="J53" s="20" t="s">
        <v>801</v>
      </c>
      <c r="K53" s="49" t="s">
        <v>151</v>
      </c>
      <c r="L53" s="27">
        <v>164</v>
      </c>
      <c r="M53" s="58">
        <v>2280</v>
      </c>
      <c r="N53" s="78">
        <v>1870.8</v>
      </c>
      <c r="O53" s="27">
        <v>90</v>
      </c>
      <c r="P53" s="58">
        <v>1230</v>
      </c>
      <c r="Q53" s="104">
        <v>1074.8</v>
      </c>
      <c r="R53" s="27">
        <v>90</v>
      </c>
      <c r="S53" s="58">
        <v>1250</v>
      </c>
      <c r="T53" s="98">
        <v>1044.4000000000001</v>
      </c>
      <c r="U53" s="27">
        <v>90</v>
      </c>
      <c r="V53" s="58">
        <v>1540</v>
      </c>
      <c r="W53" s="107">
        <v>1049.2</v>
      </c>
      <c r="X53" s="27">
        <v>115</v>
      </c>
      <c r="Y53" s="58">
        <v>1430</v>
      </c>
      <c r="Z53" s="12">
        <v>1304</v>
      </c>
      <c r="AA53" s="27">
        <v>85</v>
      </c>
      <c r="AB53" s="58">
        <v>1190</v>
      </c>
      <c r="AC53" s="12">
        <v>984.4</v>
      </c>
      <c r="AD53" s="27">
        <v>106</v>
      </c>
      <c r="AE53" s="58">
        <v>1490</v>
      </c>
      <c r="AF53" s="107">
        <v>1208</v>
      </c>
      <c r="AG53" s="27">
        <v>109</v>
      </c>
      <c r="AH53" s="58">
        <v>1646</v>
      </c>
      <c r="AI53" s="107">
        <v>1239.8400000000001</v>
      </c>
      <c r="AJ53" s="27">
        <v>85</v>
      </c>
      <c r="AK53" s="58">
        <v>1180</v>
      </c>
      <c r="AL53" s="107">
        <v>999.6</v>
      </c>
      <c r="AM53" s="27">
        <v>113</v>
      </c>
      <c r="AN53" s="58">
        <v>1610</v>
      </c>
      <c r="AO53" s="107">
        <v>1326.4</v>
      </c>
      <c r="AP53" s="27">
        <v>110</v>
      </c>
      <c r="AQ53" s="58">
        <v>1660</v>
      </c>
      <c r="AR53" s="107">
        <v>1248.8</v>
      </c>
      <c r="AS53" s="27">
        <v>115</v>
      </c>
      <c r="AT53" s="58">
        <v>1690</v>
      </c>
      <c r="AU53" s="12">
        <v>1354.4</v>
      </c>
      <c r="AV53" s="54">
        <f t="shared" si="0"/>
        <v>1272</v>
      </c>
      <c r="AW53" s="63">
        <f t="shared" si="0"/>
        <v>18196</v>
      </c>
      <c r="AX53" s="55">
        <f t="shared" si="0"/>
        <v>14704.639999999998</v>
      </c>
      <c r="AY53" s="54">
        <f t="shared" si="1"/>
        <v>106</v>
      </c>
      <c r="AZ53" s="63">
        <f t="shared" si="2"/>
        <v>8.8333333333333339</v>
      </c>
      <c r="BA53" s="55">
        <f t="shared" si="3"/>
        <v>1225.3866666666665</v>
      </c>
      <c r="BB53" s="10">
        <v>80</v>
      </c>
      <c r="BC53" s="15">
        <v>1130</v>
      </c>
      <c r="BD53" s="11">
        <v>924.40000000000009</v>
      </c>
      <c r="BE53" s="10">
        <v>105</v>
      </c>
      <c r="BF53" s="15">
        <v>1430</v>
      </c>
      <c r="BG53" s="11">
        <v>1224.3999999999999</v>
      </c>
      <c r="BH53" s="10">
        <v>125</v>
      </c>
      <c r="BI53" s="15">
        <v>1700</v>
      </c>
      <c r="BJ53" s="11">
        <v>1418.8</v>
      </c>
      <c r="BK53" s="10">
        <v>95</v>
      </c>
      <c r="BL53" s="15">
        <v>1300</v>
      </c>
      <c r="BM53" s="11">
        <v>1119.5999999999999</v>
      </c>
      <c r="BN53" s="44">
        <v>100</v>
      </c>
      <c r="BO53" s="42">
        <v>1210</v>
      </c>
      <c r="BP53" s="45">
        <v>1184.8</v>
      </c>
      <c r="BQ53" s="44">
        <v>90</v>
      </c>
      <c r="BR53" s="42">
        <v>1240</v>
      </c>
      <c r="BS53" s="45">
        <v>1059.5999999999999</v>
      </c>
      <c r="BT53" s="44">
        <v>105</v>
      </c>
      <c r="BU53" s="42">
        <v>1440</v>
      </c>
      <c r="BV53" s="112">
        <v>1209.1999999999998</v>
      </c>
      <c r="BW53" s="115">
        <v>81</v>
      </c>
      <c r="BX53" s="116">
        <v>1022</v>
      </c>
      <c r="BY53" s="112">
        <v>892.16000000000008</v>
      </c>
      <c r="BZ53" s="115">
        <v>80</v>
      </c>
      <c r="CA53" s="116">
        <v>1130</v>
      </c>
      <c r="CB53" s="112">
        <v>924.4</v>
      </c>
      <c r="CC53" s="115">
        <v>75</v>
      </c>
      <c r="CD53" s="116">
        <v>900</v>
      </c>
      <c r="CE53" s="112">
        <v>900</v>
      </c>
      <c r="CF53" s="115">
        <v>87</v>
      </c>
      <c r="CG53" s="116">
        <v>1140</v>
      </c>
      <c r="CH53" s="112">
        <v>987.2</v>
      </c>
      <c r="CI53" s="115">
        <v>88</v>
      </c>
      <c r="CJ53" s="116">
        <v>1310</v>
      </c>
      <c r="CK53" s="112">
        <v>1026.4000000000001</v>
      </c>
      <c r="CL53" s="54">
        <f t="shared" si="4"/>
        <v>1111</v>
      </c>
      <c r="CM53" s="63">
        <f t="shared" si="4"/>
        <v>14952</v>
      </c>
      <c r="CN53" s="55">
        <f t="shared" si="4"/>
        <v>12870.960000000001</v>
      </c>
      <c r="CO53" s="54">
        <f t="shared" si="5"/>
        <v>92.583333333333329</v>
      </c>
      <c r="CP53" s="63">
        <f t="shared" si="5"/>
        <v>1246</v>
      </c>
      <c r="CQ53" s="55">
        <f t="shared" si="5"/>
        <v>1072.5800000000002</v>
      </c>
    </row>
    <row r="54" spans="1:95" s="2" customFormat="1" ht="34.9" customHeight="1" x14ac:dyDescent="0.6">
      <c r="A54" s="5">
        <v>51</v>
      </c>
      <c r="B54" s="14" t="s">
        <v>168</v>
      </c>
      <c r="C54" s="21" t="s">
        <v>172</v>
      </c>
      <c r="D54" s="16" t="s">
        <v>169</v>
      </c>
      <c r="E54" s="15" t="s">
        <v>128</v>
      </c>
      <c r="F54" s="14" t="s">
        <v>129</v>
      </c>
      <c r="G54" s="7" t="s">
        <v>150</v>
      </c>
      <c r="H54" s="142" t="s">
        <v>645</v>
      </c>
      <c r="I54" s="142" t="s">
        <v>645</v>
      </c>
      <c r="J54" s="20" t="s">
        <v>802</v>
      </c>
      <c r="K54" s="49" t="s">
        <v>151</v>
      </c>
      <c r="L54" s="27">
        <v>312</v>
      </c>
      <c r="M54" s="58">
        <v>4400</v>
      </c>
      <c r="N54" s="78">
        <v>3281.6000000000004</v>
      </c>
      <c r="O54" s="27">
        <v>290</v>
      </c>
      <c r="P54" s="58">
        <v>4020</v>
      </c>
      <c r="Q54" s="49">
        <v>3104.8</v>
      </c>
      <c r="R54" s="27">
        <v>256</v>
      </c>
      <c r="S54" s="58">
        <v>3530</v>
      </c>
      <c r="T54" s="98">
        <v>2643.2</v>
      </c>
      <c r="U54" s="27">
        <v>220</v>
      </c>
      <c r="V54" s="58">
        <v>2910</v>
      </c>
      <c r="W54" s="107">
        <v>2229.6000000000004</v>
      </c>
      <c r="X54" s="27">
        <v>238</v>
      </c>
      <c r="Y54" s="58">
        <v>3220</v>
      </c>
      <c r="Z54" s="12">
        <v>2436.4</v>
      </c>
      <c r="AA54" s="27">
        <v>225</v>
      </c>
      <c r="AB54" s="58">
        <v>2970</v>
      </c>
      <c r="AC54" s="12">
        <v>2289.6000000000004</v>
      </c>
      <c r="AD54" s="27">
        <v>229</v>
      </c>
      <c r="AE54" s="58">
        <v>3090</v>
      </c>
      <c r="AF54" s="107">
        <v>2406.4</v>
      </c>
      <c r="AG54" s="27">
        <v>219</v>
      </c>
      <c r="AH54" s="58">
        <v>2980</v>
      </c>
      <c r="AI54" s="107">
        <v>2271.1999999999998</v>
      </c>
      <c r="AJ54" s="27">
        <v>215</v>
      </c>
      <c r="AK54" s="58">
        <v>2820</v>
      </c>
      <c r="AL54" s="107">
        <v>2215.1999999999998</v>
      </c>
      <c r="AM54" s="27">
        <v>175</v>
      </c>
      <c r="AN54" s="58">
        <v>2356</v>
      </c>
      <c r="AO54" s="107">
        <v>1755.44</v>
      </c>
      <c r="AP54" s="27">
        <v>165</v>
      </c>
      <c r="AQ54" s="58">
        <v>2180</v>
      </c>
      <c r="AR54" s="107">
        <v>1676</v>
      </c>
      <c r="AS54" s="27">
        <v>190</v>
      </c>
      <c r="AT54" s="58">
        <v>2480</v>
      </c>
      <c r="AU54" s="12">
        <v>1976</v>
      </c>
      <c r="AV54" s="54">
        <f t="shared" si="0"/>
        <v>2734</v>
      </c>
      <c r="AW54" s="63">
        <f t="shared" si="0"/>
        <v>36956</v>
      </c>
      <c r="AX54" s="55">
        <f t="shared" si="0"/>
        <v>28285.440000000002</v>
      </c>
      <c r="AY54" s="54">
        <f t="shared" si="1"/>
        <v>227.83333333333334</v>
      </c>
      <c r="AZ54" s="63">
        <f t="shared" si="2"/>
        <v>18.986111111111111</v>
      </c>
      <c r="BA54" s="55">
        <f t="shared" si="3"/>
        <v>2357.1200000000003</v>
      </c>
      <c r="BB54" s="10">
        <v>155</v>
      </c>
      <c r="BC54" s="15">
        <v>2020</v>
      </c>
      <c r="BD54" s="11">
        <v>1616.8</v>
      </c>
      <c r="BE54" s="10">
        <v>110</v>
      </c>
      <c r="BF54" s="15">
        <v>1440</v>
      </c>
      <c r="BG54" s="11">
        <v>1137.6000000000001</v>
      </c>
      <c r="BH54" s="10">
        <v>175</v>
      </c>
      <c r="BI54" s="15">
        <v>2280</v>
      </c>
      <c r="BJ54" s="11">
        <v>1826.3999999999999</v>
      </c>
      <c r="BK54" s="10">
        <v>95</v>
      </c>
      <c r="BL54" s="15">
        <v>1240</v>
      </c>
      <c r="BM54" s="11">
        <v>988</v>
      </c>
      <c r="BN54" s="44">
        <v>130</v>
      </c>
      <c r="BO54" s="42">
        <v>1808</v>
      </c>
      <c r="BP54" s="45">
        <v>1262.56</v>
      </c>
      <c r="BQ54" s="44">
        <v>60</v>
      </c>
      <c r="BR54" s="42">
        <v>780</v>
      </c>
      <c r="BS54" s="45">
        <v>628.79999999999995</v>
      </c>
      <c r="BT54" s="44">
        <v>100</v>
      </c>
      <c r="BU54" s="42">
        <v>1270</v>
      </c>
      <c r="BV54" s="112">
        <v>1093.5999999999999</v>
      </c>
      <c r="BW54" s="115">
        <v>120</v>
      </c>
      <c r="BX54" s="116">
        <v>1603</v>
      </c>
      <c r="BY54" s="112">
        <v>1198.8399999999999</v>
      </c>
      <c r="BZ54" s="115">
        <v>80</v>
      </c>
      <c r="CA54" s="116">
        <v>1040</v>
      </c>
      <c r="CB54" s="112">
        <v>838.40000000000009</v>
      </c>
      <c r="CC54" s="115">
        <v>170</v>
      </c>
      <c r="CD54" s="116">
        <v>2240</v>
      </c>
      <c r="CE54" s="112">
        <v>1736</v>
      </c>
      <c r="CF54" s="115">
        <v>120</v>
      </c>
      <c r="CG54" s="116">
        <v>1560</v>
      </c>
      <c r="CH54" s="112">
        <v>1257.5999999999999</v>
      </c>
      <c r="CI54" s="115">
        <v>130</v>
      </c>
      <c r="CJ54" s="116">
        <v>1720</v>
      </c>
      <c r="CK54" s="112">
        <v>1316.8</v>
      </c>
      <c r="CL54" s="54">
        <f t="shared" si="4"/>
        <v>1445</v>
      </c>
      <c r="CM54" s="63">
        <f t="shared" si="4"/>
        <v>19001</v>
      </c>
      <c r="CN54" s="55">
        <f t="shared" si="4"/>
        <v>14901.4</v>
      </c>
      <c r="CO54" s="54">
        <f t="shared" si="5"/>
        <v>120.41666666666667</v>
      </c>
      <c r="CP54" s="63">
        <f t="shared" si="5"/>
        <v>1583.4166666666667</v>
      </c>
      <c r="CQ54" s="55">
        <f t="shared" si="5"/>
        <v>1241.7833333333333</v>
      </c>
    </row>
    <row r="55" spans="1:95" s="2" customFormat="1" ht="34.9" customHeight="1" x14ac:dyDescent="0.6">
      <c r="A55" s="5">
        <v>52</v>
      </c>
      <c r="B55" s="14" t="s">
        <v>170</v>
      </c>
      <c r="C55" s="21" t="s">
        <v>175</v>
      </c>
      <c r="D55" s="16" t="s">
        <v>171</v>
      </c>
      <c r="E55" s="15" t="s">
        <v>128</v>
      </c>
      <c r="F55" s="14" t="s">
        <v>129</v>
      </c>
      <c r="G55" s="7" t="s">
        <v>150</v>
      </c>
      <c r="H55" s="18" t="s">
        <v>170</v>
      </c>
      <c r="I55" s="18" t="s">
        <v>171</v>
      </c>
      <c r="J55" s="14" t="s">
        <v>803</v>
      </c>
      <c r="K55" s="49" t="s">
        <v>151</v>
      </c>
      <c r="L55" s="27">
        <v>50</v>
      </c>
      <c r="M55" s="58">
        <v>640</v>
      </c>
      <c r="N55" s="78">
        <v>539.20000000000005</v>
      </c>
      <c r="O55" s="27">
        <v>80</v>
      </c>
      <c r="P55" s="58">
        <v>1000</v>
      </c>
      <c r="Q55" s="49">
        <v>899.2</v>
      </c>
      <c r="R55" s="27">
        <v>65</v>
      </c>
      <c r="S55" s="58">
        <v>800</v>
      </c>
      <c r="T55" s="98">
        <v>749.6</v>
      </c>
      <c r="U55" s="27">
        <v>120</v>
      </c>
      <c r="V55" s="58">
        <v>1580</v>
      </c>
      <c r="W55" s="107">
        <v>1227.2</v>
      </c>
      <c r="X55" s="27">
        <v>110</v>
      </c>
      <c r="Y55" s="58">
        <v>1390</v>
      </c>
      <c r="Z55" s="12">
        <v>1213.5999999999999</v>
      </c>
      <c r="AA55" s="27">
        <v>50</v>
      </c>
      <c r="AB55" s="58">
        <v>640</v>
      </c>
      <c r="AC55" s="12">
        <v>539.20000000000005</v>
      </c>
      <c r="AD55" s="27">
        <v>90</v>
      </c>
      <c r="AE55" s="58">
        <v>1120</v>
      </c>
      <c r="AF55" s="107">
        <v>1019.2</v>
      </c>
      <c r="AG55" s="27">
        <v>125</v>
      </c>
      <c r="AH55" s="58">
        <v>1620</v>
      </c>
      <c r="AI55" s="107">
        <v>1317.6</v>
      </c>
      <c r="AJ55" s="27">
        <v>80</v>
      </c>
      <c r="AK55" s="58">
        <v>1000</v>
      </c>
      <c r="AL55" s="107">
        <v>899.2</v>
      </c>
      <c r="AM55" s="27">
        <v>115</v>
      </c>
      <c r="AN55" s="58">
        <v>1430</v>
      </c>
      <c r="AO55" s="107">
        <v>1304</v>
      </c>
      <c r="AP55" s="27">
        <v>110</v>
      </c>
      <c r="AQ55" s="58">
        <v>1380</v>
      </c>
      <c r="AR55" s="107">
        <v>1228.8</v>
      </c>
      <c r="AS55" s="27">
        <v>93</v>
      </c>
      <c r="AT55" s="58">
        <v>1186</v>
      </c>
      <c r="AU55" s="12">
        <v>1009.6</v>
      </c>
      <c r="AV55" s="54">
        <f t="shared" si="0"/>
        <v>1088</v>
      </c>
      <c r="AW55" s="63">
        <f t="shared" si="0"/>
        <v>13786</v>
      </c>
      <c r="AX55" s="55">
        <f t="shared" si="0"/>
        <v>11946.4</v>
      </c>
      <c r="AY55" s="54">
        <f t="shared" si="1"/>
        <v>90.666666666666671</v>
      </c>
      <c r="AZ55" s="63">
        <f t="shared" si="2"/>
        <v>7.5555555555555562</v>
      </c>
      <c r="BA55" s="55">
        <f t="shared" si="3"/>
        <v>995.5333333333333</v>
      </c>
      <c r="BB55" s="10">
        <v>92</v>
      </c>
      <c r="BC55" s="15">
        <v>1164</v>
      </c>
      <c r="BD55" s="11">
        <v>1003.2</v>
      </c>
      <c r="BE55" s="10">
        <v>125</v>
      </c>
      <c r="BF55" s="15">
        <v>1550</v>
      </c>
      <c r="BG55" s="11">
        <v>1424</v>
      </c>
      <c r="BH55" s="10">
        <v>75</v>
      </c>
      <c r="BI55" s="15">
        <v>940</v>
      </c>
      <c r="BJ55" s="11">
        <v>839.2</v>
      </c>
      <c r="BK55" s="10">
        <v>50</v>
      </c>
      <c r="BL55" s="15">
        <v>640</v>
      </c>
      <c r="BM55" s="11">
        <v>539.20000000000005</v>
      </c>
      <c r="BN55" s="44">
        <v>40</v>
      </c>
      <c r="BO55" s="42">
        <v>480</v>
      </c>
      <c r="BP55" s="45">
        <v>480</v>
      </c>
      <c r="BQ55" s="44">
        <v>70</v>
      </c>
      <c r="BR55" s="42">
        <v>900</v>
      </c>
      <c r="BS55" s="45">
        <v>748.8</v>
      </c>
      <c r="BT55" s="44">
        <v>90</v>
      </c>
      <c r="BU55" s="42">
        <v>1120</v>
      </c>
      <c r="BV55" s="112">
        <v>1019.2</v>
      </c>
      <c r="BW55" s="115">
        <v>65</v>
      </c>
      <c r="BX55" s="116">
        <v>813</v>
      </c>
      <c r="BY55" s="112">
        <v>736.43999999999994</v>
      </c>
      <c r="BZ55" s="115">
        <v>70</v>
      </c>
      <c r="CA55" s="116">
        <v>860</v>
      </c>
      <c r="CB55" s="112">
        <v>809.6</v>
      </c>
      <c r="CC55" s="115">
        <v>75</v>
      </c>
      <c r="CD55" s="116">
        <v>930</v>
      </c>
      <c r="CE55" s="112">
        <v>854.4</v>
      </c>
      <c r="CF55" s="115">
        <v>40</v>
      </c>
      <c r="CG55" s="116">
        <v>500</v>
      </c>
      <c r="CH55" s="112">
        <v>449.6</v>
      </c>
      <c r="CI55" s="115">
        <v>50</v>
      </c>
      <c r="CJ55" s="116">
        <v>650</v>
      </c>
      <c r="CK55" s="112">
        <v>524</v>
      </c>
      <c r="CL55" s="54">
        <f t="shared" si="4"/>
        <v>842</v>
      </c>
      <c r="CM55" s="63">
        <f t="shared" si="4"/>
        <v>10547</v>
      </c>
      <c r="CN55" s="55">
        <f t="shared" si="4"/>
        <v>9427.64</v>
      </c>
      <c r="CO55" s="54">
        <f t="shared" si="5"/>
        <v>70.166666666666671</v>
      </c>
      <c r="CP55" s="63">
        <f t="shared" si="5"/>
        <v>878.91666666666663</v>
      </c>
      <c r="CQ55" s="55">
        <f t="shared" si="5"/>
        <v>785.63666666666666</v>
      </c>
    </row>
    <row r="56" spans="1:95" s="2" customFormat="1" ht="34.9" customHeight="1" x14ac:dyDescent="0.6">
      <c r="A56" s="5">
        <v>53</v>
      </c>
      <c r="B56" s="14" t="s">
        <v>172</v>
      </c>
      <c r="C56" s="21" t="s">
        <v>178</v>
      </c>
      <c r="D56" s="16" t="s">
        <v>173</v>
      </c>
      <c r="E56" s="15" t="s">
        <v>174</v>
      </c>
      <c r="F56" s="14" t="s">
        <v>129</v>
      </c>
      <c r="G56" s="7" t="s">
        <v>150</v>
      </c>
      <c r="H56" s="18" t="s">
        <v>804</v>
      </c>
      <c r="I56" s="18" t="s">
        <v>805</v>
      </c>
      <c r="J56" s="14" t="s">
        <v>806</v>
      </c>
      <c r="K56" s="49" t="s">
        <v>151</v>
      </c>
      <c r="L56" s="27">
        <v>71</v>
      </c>
      <c r="M56" s="58">
        <v>982</v>
      </c>
      <c r="N56" s="78">
        <v>654.4</v>
      </c>
      <c r="O56" s="27">
        <v>66</v>
      </c>
      <c r="P56" s="58">
        <v>902</v>
      </c>
      <c r="Q56" s="49">
        <v>624.79999999999995</v>
      </c>
      <c r="R56" s="27">
        <v>104</v>
      </c>
      <c r="S56" s="58">
        <v>1368</v>
      </c>
      <c r="T56" s="98">
        <v>1065.5999999999999</v>
      </c>
      <c r="U56" s="27">
        <v>140</v>
      </c>
      <c r="V56" s="58">
        <v>1794</v>
      </c>
      <c r="W56" s="107">
        <v>1506.72</v>
      </c>
      <c r="X56" s="27">
        <v>127</v>
      </c>
      <c r="Y56" s="58">
        <v>1604</v>
      </c>
      <c r="Z56" s="12">
        <v>1402.4</v>
      </c>
      <c r="AA56" s="27">
        <v>285</v>
      </c>
      <c r="AB56" s="58">
        <v>3520</v>
      </c>
      <c r="AC56" s="12">
        <v>3268</v>
      </c>
      <c r="AD56" s="27">
        <v>325</v>
      </c>
      <c r="AE56" s="58">
        <v>4010</v>
      </c>
      <c r="AF56" s="107">
        <v>3732.8</v>
      </c>
      <c r="AG56" s="27">
        <v>265</v>
      </c>
      <c r="AH56" s="58">
        <v>3260</v>
      </c>
      <c r="AI56" s="107">
        <v>3058.4</v>
      </c>
      <c r="AJ56" s="27">
        <v>265</v>
      </c>
      <c r="AK56" s="58">
        <v>3300</v>
      </c>
      <c r="AL56" s="107">
        <v>2997.6</v>
      </c>
      <c r="AM56" s="27">
        <v>265</v>
      </c>
      <c r="AN56" s="58">
        <v>3300</v>
      </c>
      <c r="AO56" s="107">
        <v>2997.6</v>
      </c>
      <c r="AP56" s="27">
        <v>240</v>
      </c>
      <c r="AQ56" s="58">
        <v>2950</v>
      </c>
      <c r="AR56" s="107">
        <v>2773.6</v>
      </c>
      <c r="AS56" s="27">
        <v>295</v>
      </c>
      <c r="AT56" s="58">
        <v>3640</v>
      </c>
      <c r="AU56" s="12">
        <v>3388</v>
      </c>
      <c r="AV56" s="54">
        <f t="shared" si="0"/>
        <v>2448</v>
      </c>
      <c r="AW56" s="63">
        <f t="shared" si="0"/>
        <v>30630</v>
      </c>
      <c r="AX56" s="55">
        <f t="shared" si="0"/>
        <v>27469.919999999998</v>
      </c>
      <c r="AY56" s="54">
        <f t="shared" si="1"/>
        <v>204</v>
      </c>
      <c r="AZ56" s="63">
        <f t="shared" si="2"/>
        <v>17</v>
      </c>
      <c r="BA56" s="55">
        <f t="shared" si="3"/>
        <v>2289.16</v>
      </c>
      <c r="BB56" s="10">
        <v>305</v>
      </c>
      <c r="BC56" s="15">
        <v>3730</v>
      </c>
      <c r="BD56" s="11">
        <v>3553.6</v>
      </c>
      <c r="BE56" s="10">
        <v>305</v>
      </c>
      <c r="BF56" s="15">
        <v>3750</v>
      </c>
      <c r="BG56" s="11">
        <v>3523.2000000000003</v>
      </c>
      <c r="BH56" s="10">
        <v>737</v>
      </c>
      <c r="BI56" s="15">
        <v>8958</v>
      </c>
      <c r="BJ56" s="11">
        <v>8670.7200000000012</v>
      </c>
      <c r="BK56" s="10">
        <v>25</v>
      </c>
      <c r="BL56" s="15">
        <v>350</v>
      </c>
      <c r="BM56" s="11">
        <v>224</v>
      </c>
      <c r="BN56" s="44">
        <v>415</v>
      </c>
      <c r="BO56" s="42">
        <v>5060</v>
      </c>
      <c r="BP56" s="45">
        <v>4858.3999999999996</v>
      </c>
      <c r="BQ56" s="44">
        <v>750</v>
      </c>
      <c r="BR56" s="42">
        <v>9080</v>
      </c>
      <c r="BS56" s="45">
        <v>8878.4</v>
      </c>
      <c r="BT56" s="44">
        <v>700</v>
      </c>
      <c r="BU56" s="42">
        <v>8460</v>
      </c>
      <c r="BV56" s="112">
        <v>8308.7999999999993</v>
      </c>
      <c r="BW56" s="115">
        <v>680</v>
      </c>
      <c r="BX56" s="116">
        <v>8203</v>
      </c>
      <c r="BY56" s="112">
        <v>8101.24</v>
      </c>
      <c r="BZ56" s="115">
        <v>751</v>
      </c>
      <c r="CA56" s="116">
        <v>9034</v>
      </c>
      <c r="CB56" s="112">
        <v>8978.56</v>
      </c>
      <c r="CC56" s="115">
        <v>736</v>
      </c>
      <c r="CD56" s="116">
        <v>8884</v>
      </c>
      <c r="CE56" s="112">
        <v>8752.9599999999991</v>
      </c>
      <c r="CF56" s="115">
        <v>739</v>
      </c>
      <c r="CG56" s="116">
        <v>8910</v>
      </c>
      <c r="CH56" s="112">
        <v>8804.16</v>
      </c>
      <c r="CI56" s="115">
        <v>769</v>
      </c>
      <c r="CJ56" s="116">
        <v>9246</v>
      </c>
      <c r="CK56" s="112">
        <v>9200.6400000000012</v>
      </c>
      <c r="CL56" s="54">
        <f t="shared" si="4"/>
        <v>6912</v>
      </c>
      <c r="CM56" s="63">
        <f t="shared" si="4"/>
        <v>83665</v>
      </c>
      <c r="CN56" s="55">
        <f t="shared" si="4"/>
        <v>81854.679999999993</v>
      </c>
      <c r="CO56" s="54">
        <f t="shared" si="5"/>
        <v>576</v>
      </c>
      <c r="CP56" s="63">
        <f t="shared" si="5"/>
        <v>6972.083333333333</v>
      </c>
      <c r="CQ56" s="55">
        <f t="shared" si="5"/>
        <v>6821.2233333333324</v>
      </c>
    </row>
    <row r="57" spans="1:95" s="2" customFormat="1" ht="34.9" customHeight="1" x14ac:dyDescent="0.6">
      <c r="A57" s="5">
        <v>54</v>
      </c>
      <c r="B57" s="14" t="s">
        <v>175</v>
      </c>
      <c r="C57" s="21" t="s">
        <v>180</v>
      </c>
      <c r="D57" s="16" t="s">
        <v>176</v>
      </c>
      <c r="E57" s="15" t="s">
        <v>145</v>
      </c>
      <c r="F57" s="14" t="s">
        <v>177</v>
      </c>
      <c r="G57" s="7" t="s">
        <v>150</v>
      </c>
      <c r="H57" s="142" t="s">
        <v>175</v>
      </c>
      <c r="I57" s="142" t="s">
        <v>176</v>
      </c>
      <c r="J57" s="20" t="s">
        <v>807</v>
      </c>
      <c r="K57" s="49" t="s">
        <v>151</v>
      </c>
      <c r="L57" s="27">
        <v>150</v>
      </c>
      <c r="M57" s="58">
        <v>1900</v>
      </c>
      <c r="N57" s="78">
        <v>1648</v>
      </c>
      <c r="O57" s="27">
        <v>150</v>
      </c>
      <c r="P57" s="58">
        <v>1800</v>
      </c>
      <c r="Q57" s="49">
        <v>1800</v>
      </c>
      <c r="R57" s="27">
        <v>0</v>
      </c>
      <c r="S57" s="58">
        <v>0</v>
      </c>
      <c r="T57" s="98">
        <v>0</v>
      </c>
      <c r="U57" s="27">
        <v>160</v>
      </c>
      <c r="V57" s="58">
        <v>2200</v>
      </c>
      <c r="W57" s="12">
        <v>1940</v>
      </c>
      <c r="X57" s="27">
        <v>0</v>
      </c>
      <c r="Y57" s="58">
        <v>0</v>
      </c>
      <c r="Z57" s="12">
        <v>0</v>
      </c>
      <c r="AA57" s="27">
        <v>180</v>
      </c>
      <c r="AB57" s="58">
        <v>2260</v>
      </c>
      <c r="AC57" s="12">
        <v>2008</v>
      </c>
      <c r="AD57" s="27">
        <v>0</v>
      </c>
      <c r="AE57" s="58">
        <v>0</v>
      </c>
      <c r="AF57" s="107">
        <v>0</v>
      </c>
      <c r="AG57" s="27">
        <v>170</v>
      </c>
      <c r="AH57" s="58">
        <v>2100</v>
      </c>
      <c r="AI57" s="107">
        <v>1948.8</v>
      </c>
      <c r="AJ57" s="27">
        <v>100</v>
      </c>
      <c r="AK57" s="58">
        <v>1200</v>
      </c>
      <c r="AL57" s="107">
        <v>1200</v>
      </c>
      <c r="AM57" s="27">
        <v>150</v>
      </c>
      <c r="AN57" s="58">
        <v>1800</v>
      </c>
      <c r="AO57" s="107">
        <v>1800</v>
      </c>
      <c r="AP57" s="27">
        <v>150</v>
      </c>
      <c r="AQ57" s="58">
        <v>1800</v>
      </c>
      <c r="AR57" s="107">
        <v>1800</v>
      </c>
      <c r="AS57" s="27">
        <v>0</v>
      </c>
      <c r="AT57" s="58">
        <v>0</v>
      </c>
      <c r="AU57" s="12">
        <v>0</v>
      </c>
      <c r="AV57" s="54">
        <f t="shared" si="0"/>
        <v>1210</v>
      </c>
      <c r="AW57" s="63">
        <f t="shared" si="0"/>
        <v>15060</v>
      </c>
      <c r="AX57" s="55">
        <f t="shared" si="0"/>
        <v>14144.8</v>
      </c>
      <c r="AY57" s="54">
        <f t="shared" si="1"/>
        <v>100.83333333333333</v>
      </c>
      <c r="AZ57" s="63">
        <f t="shared" si="2"/>
        <v>8.4027777777777768</v>
      </c>
      <c r="BA57" s="55">
        <f t="shared" si="3"/>
        <v>1178.7333333333333</v>
      </c>
      <c r="BB57" s="10">
        <v>100</v>
      </c>
      <c r="BC57" s="15">
        <v>1200</v>
      </c>
      <c r="BD57" s="11">
        <v>1200</v>
      </c>
      <c r="BE57" s="10">
        <v>150</v>
      </c>
      <c r="BF57" s="15">
        <v>1900</v>
      </c>
      <c r="BG57" s="11">
        <v>1648</v>
      </c>
      <c r="BH57" s="10">
        <v>200</v>
      </c>
      <c r="BI57" s="15">
        <v>2400</v>
      </c>
      <c r="BJ57" s="11">
        <v>2400</v>
      </c>
      <c r="BK57" s="10">
        <v>100</v>
      </c>
      <c r="BL57" s="15">
        <v>1200</v>
      </c>
      <c r="BM57" s="11">
        <v>1200</v>
      </c>
      <c r="BN57" s="44">
        <v>180</v>
      </c>
      <c r="BO57" s="42">
        <v>2160</v>
      </c>
      <c r="BP57" s="45">
        <v>2160</v>
      </c>
      <c r="BQ57" s="44">
        <v>0</v>
      </c>
      <c r="BR57" s="42">
        <v>0</v>
      </c>
      <c r="BS57" s="45">
        <v>0</v>
      </c>
      <c r="BT57" s="44">
        <v>180</v>
      </c>
      <c r="BU57" s="42">
        <v>2220</v>
      </c>
      <c r="BV57" s="112">
        <v>2068.8000000000002</v>
      </c>
      <c r="BW57" s="115">
        <v>150</v>
      </c>
      <c r="BX57" s="116">
        <v>1806</v>
      </c>
      <c r="BY57" s="112">
        <v>1804.08</v>
      </c>
      <c r="BZ57" s="115">
        <v>0</v>
      </c>
      <c r="CA57" s="116">
        <v>0</v>
      </c>
      <c r="CB57" s="112">
        <v>0</v>
      </c>
      <c r="CC57" s="115">
        <v>135</v>
      </c>
      <c r="CD57" s="116">
        <v>1820</v>
      </c>
      <c r="CE57" s="112">
        <v>1538.8</v>
      </c>
      <c r="CF57" s="115">
        <v>0</v>
      </c>
      <c r="CG57" s="116">
        <v>0</v>
      </c>
      <c r="CH57" s="112">
        <v>0</v>
      </c>
      <c r="CI57" s="115">
        <v>150</v>
      </c>
      <c r="CJ57" s="116">
        <v>1800</v>
      </c>
      <c r="CK57" s="112">
        <v>1800</v>
      </c>
      <c r="CL57" s="54">
        <f t="shared" si="4"/>
        <v>1345</v>
      </c>
      <c r="CM57" s="63">
        <f t="shared" si="4"/>
        <v>16506</v>
      </c>
      <c r="CN57" s="55">
        <f t="shared" si="4"/>
        <v>15819.679999999998</v>
      </c>
      <c r="CO57" s="54">
        <f t="shared" si="5"/>
        <v>112.08333333333333</v>
      </c>
      <c r="CP57" s="63">
        <f t="shared" si="5"/>
        <v>1375.5</v>
      </c>
      <c r="CQ57" s="55">
        <f t="shared" si="5"/>
        <v>1318.3066666666666</v>
      </c>
    </row>
    <row r="58" spans="1:95" s="2" customFormat="1" ht="34.9" customHeight="1" x14ac:dyDescent="0.6">
      <c r="A58" s="5">
        <v>55</v>
      </c>
      <c r="B58" s="14" t="s">
        <v>178</v>
      </c>
      <c r="C58" s="21" t="s">
        <v>182</v>
      </c>
      <c r="D58" s="16" t="s">
        <v>179</v>
      </c>
      <c r="E58" s="15" t="s">
        <v>37</v>
      </c>
      <c r="F58" s="14" t="s">
        <v>38</v>
      </c>
      <c r="G58" s="7" t="s">
        <v>150</v>
      </c>
      <c r="H58" s="142" t="s">
        <v>808</v>
      </c>
      <c r="I58" s="142" t="s">
        <v>809</v>
      </c>
      <c r="J58" s="20" t="s">
        <v>810</v>
      </c>
      <c r="K58" s="49" t="s">
        <v>151</v>
      </c>
      <c r="L58" s="27">
        <v>310</v>
      </c>
      <c r="M58" s="58">
        <v>4000</v>
      </c>
      <c r="N58" s="78">
        <v>3603.2</v>
      </c>
      <c r="O58" s="27">
        <v>515</v>
      </c>
      <c r="P58" s="58">
        <v>6890</v>
      </c>
      <c r="Q58" s="49">
        <v>5546.4</v>
      </c>
      <c r="R58" s="27">
        <v>571</v>
      </c>
      <c r="S58" s="58">
        <v>7692</v>
      </c>
      <c r="T58" s="98">
        <v>6240</v>
      </c>
      <c r="U58" s="27">
        <v>687</v>
      </c>
      <c r="V58" s="58">
        <v>9244</v>
      </c>
      <c r="W58" s="107">
        <v>7385.2</v>
      </c>
      <c r="X58" s="27">
        <v>525</v>
      </c>
      <c r="Y58" s="58">
        <v>7110</v>
      </c>
      <c r="Z58" s="12">
        <v>5960</v>
      </c>
      <c r="AA58" s="27">
        <v>491</v>
      </c>
      <c r="AB58" s="58">
        <v>6592</v>
      </c>
      <c r="AC58" s="12">
        <v>5492.7999999999993</v>
      </c>
      <c r="AD58" s="27">
        <v>535</v>
      </c>
      <c r="AE58" s="58">
        <v>7200</v>
      </c>
      <c r="AF58" s="107">
        <v>5988.32</v>
      </c>
      <c r="AG58" s="27">
        <v>450</v>
      </c>
      <c r="AH58" s="58">
        <v>6120</v>
      </c>
      <c r="AI58" s="107">
        <v>4974</v>
      </c>
      <c r="AJ58" s="27">
        <v>232</v>
      </c>
      <c r="AK58" s="58">
        <v>3008</v>
      </c>
      <c r="AL58" s="107">
        <v>2666.32</v>
      </c>
      <c r="AM58" s="27">
        <v>405</v>
      </c>
      <c r="AN58" s="58">
        <v>5240</v>
      </c>
      <c r="AO58" s="107">
        <v>4728</v>
      </c>
      <c r="AP58" s="27">
        <v>500</v>
      </c>
      <c r="AQ58" s="58">
        <v>6448</v>
      </c>
      <c r="AR58" s="107">
        <v>5761.04</v>
      </c>
      <c r="AS58" s="27">
        <v>820</v>
      </c>
      <c r="AT58" s="58">
        <v>11530</v>
      </c>
      <c r="AU58" s="107">
        <v>9403.2000000000007</v>
      </c>
      <c r="AV58" s="54">
        <f t="shared" si="0"/>
        <v>6041</v>
      </c>
      <c r="AW58" s="63">
        <f t="shared" si="0"/>
        <v>81074</v>
      </c>
      <c r="AX58" s="55">
        <f t="shared" si="0"/>
        <v>67748.479999999996</v>
      </c>
      <c r="AY58" s="54">
        <f t="shared" si="1"/>
        <v>503.41666666666669</v>
      </c>
      <c r="AZ58" s="63">
        <f t="shared" si="2"/>
        <v>41.951388888888893</v>
      </c>
      <c r="BA58" s="55">
        <f t="shared" si="3"/>
        <v>5645.706666666666</v>
      </c>
      <c r="BB58" s="10">
        <v>369</v>
      </c>
      <c r="BC58" s="15">
        <v>4800</v>
      </c>
      <c r="BD58" s="11">
        <v>4263.3999999999996</v>
      </c>
      <c r="BE58" s="10">
        <v>300</v>
      </c>
      <c r="BF58" s="15">
        <v>4120</v>
      </c>
      <c r="BG58" s="11">
        <v>3478</v>
      </c>
      <c r="BH58" s="10">
        <v>478</v>
      </c>
      <c r="BI58" s="15">
        <v>6200</v>
      </c>
      <c r="BJ58" s="11">
        <v>5610</v>
      </c>
      <c r="BK58" s="10">
        <v>320</v>
      </c>
      <c r="BL58" s="15">
        <v>4540</v>
      </c>
      <c r="BM58" s="11">
        <v>3667.2</v>
      </c>
      <c r="BN58" s="44">
        <v>220</v>
      </c>
      <c r="BO58" s="42">
        <v>3340</v>
      </c>
      <c r="BP58" s="45">
        <v>2467.1999999999998</v>
      </c>
      <c r="BQ58" s="44">
        <v>175</v>
      </c>
      <c r="BR58" s="42">
        <v>2360</v>
      </c>
      <c r="BS58" s="45">
        <v>1927.6000000000001</v>
      </c>
      <c r="BT58" s="44">
        <v>233</v>
      </c>
      <c r="BU58" s="42">
        <v>3060</v>
      </c>
      <c r="BV58" s="112">
        <v>2751.2</v>
      </c>
      <c r="BW58" s="115">
        <v>163</v>
      </c>
      <c r="BX58" s="116">
        <v>2281</v>
      </c>
      <c r="BY58" s="112">
        <v>1790.1199999999997</v>
      </c>
      <c r="BZ58" s="115">
        <v>150</v>
      </c>
      <c r="CA58" s="116">
        <v>2120</v>
      </c>
      <c r="CB58" s="112">
        <v>1759.2</v>
      </c>
      <c r="CC58" s="115">
        <v>220</v>
      </c>
      <c r="CD58" s="116">
        <v>3020</v>
      </c>
      <c r="CE58" s="112">
        <v>2508</v>
      </c>
      <c r="CF58" s="115">
        <v>165</v>
      </c>
      <c r="CG58" s="116">
        <v>2440</v>
      </c>
      <c r="CH58" s="112">
        <v>1949.2</v>
      </c>
      <c r="CI58" s="115">
        <v>233</v>
      </c>
      <c r="CJ58" s="116">
        <v>2960</v>
      </c>
      <c r="CK58" s="112">
        <v>2680.4</v>
      </c>
      <c r="CL58" s="54">
        <f t="shared" si="4"/>
        <v>3026</v>
      </c>
      <c r="CM58" s="63">
        <f t="shared" si="4"/>
        <v>41241</v>
      </c>
      <c r="CN58" s="55">
        <f t="shared" si="4"/>
        <v>34851.519999999997</v>
      </c>
      <c r="CO58" s="54">
        <f t="shared" si="5"/>
        <v>252.16666666666666</v>
      </c>
      <c r="CP58" s="63">
        <f t="shared" si="5"/>
        <v>3436.75</v>
      </c>
      <c r="CQ58" s="55">
        <f t="shared" si="5"/>
        <v>2904.2933333333331</v>
      </c>
    </row>
    <row r="59" spans="1:95" s="2" customFormat="1" ht="34.9" customHeight="1" x14ac:dyDescent="0.6">
      <c r="A59" s="5">
        <v>56</v>
      </c>
      <c r="B59" s="14" t="s">
        <v>180</v>
      </c>
      <c r="C59" s="21" t="s">
        <v>184</v>
      </c>
      <c r="D59" s="16" t="s">
        <v>181</v>
      </c>
      <c r="E59" s="15" t="s">
        <v>120</v>
      </c>
      <c r="F59" s="14" t="s">
        <v>20</v>
      </c>
      <c r="G59" s="7" t="s">
        <v>150</v>
      </c>
      <c r="H59" s="18"/>
      <c r="I59" s="18"/>
      <c r="J59" s="14" t="s">
        <v>1122</v>
      </c>
      <c r="K59" s="49" t="s">
        <v>151</v>
      </c>
      <c r="L59" s="27">
        <v>45</v>
      </c>
      <c r="M59" s="58">
        <v>540</v>
      </c>
      <c r="N59" s="78">
        <v>540</v>
      </c>
      <c r="O59" s="27">
        <v>48</v>
      </c>
      <c r="P59" s="58">
        <v>660</v>
      </c>
      <c r="Q59" s="49">
        <v>582</v>
      </c>
      <c r="R59" s="27">
        <v>45</v>
      </c>
      <c r="S59" s="58">
        <v>540</v>
      </c>
      <c r="T59" s="98">
        <v>540</v>
      </c>
      <c r="U59" s="27">
        <v>60</v>
      </c>
      <c r="V59" s="58">
        <v>720</v>
      </c>
      <c r="W59" s="12">
        <v>720</v>
      </c>
      <c r="X59" s="27">
        <v>60</v>
      </c>
      <c r="Y59" s="58">
        <v>720</v>
      </c>
      <c r="Z59" s="12">
        <v>720</v>
      </c>
      <c r="AA59" s="27">
        <v>60</v>
      </c>
      <c r="AB59" s="58">
        <v>720</v>
      </c>
      <c r="AC59" s="12">
        <v>720</v>
      </c>
      <c r="AD59" s="27">
        <v>0</v>
      </c>
      <c r="AE59" s="58">
        <v>0</v>
      </c>
      <c r="AF59" s="107">
        <v>0</v>
      </c>
      <c r="AG59" s="27">
        <v>45</v>
      </c>
      <c r="AH59" s="58">
        <v>540</v>
      </c>
      <c r="AI59" s="107">
        <v>540</v>
      </c>
      <c r="AJ59" s="27">
        <v>105</v>
      </c>
      <c r="AK59" s="58">
        <v>1260</v>
      </c>
      <c r="AL59" s="107">
        <v>1260</v>
      </c>
      <c r="AM59" s="27">
        <v>75</v>
      </c>
      <c r="AN59" s="58">
        <v>900</v>
      </c>
      <c r="AO59" s="107">
        <v>900</v>
      </c>
      <c r="AP59" s="27">
        <v>0</v>
      </c>
      <c r="AQ59" s="58">
        <v>0</v>
      </c>
      <c r="AR59" s="107">
        <v>0</v>
      </c>
      <c r="AS59" s="27">
        <v>0</v>
      </c>
      <c r="AT59" s="58">
        <v>0</v>
      </c>
      <c r="AU59" s="107">
        <v>0</v>
      </c>
      <c r="AV59" s="54">
        <f t="shared" si="0"/>
        <v>543</v>
      </c>
      <c r="AW59" s="63">
        <f t="shared" si="0"/>
        <v>6600</v>
      </c>
      <c r="AX59" s="55">
        <f t="shared" si="0"/>
        <v>6522</v>
      </c>
      <c r="AY59" s="54">
        <f t="shared" si="1"/>
        <v>45.25</v>
      </c>
      <c r="AZ59" s="63">
        <f t="shared" si="2"/>
        <v>3.7708333333333335</v>
      </c>
      <c r="BA59" s="55">
        <f t="shared" si="3"/>
        <v>543.5</v>
      </c>
      <c r="BB59" s="10">
        <v>30</v>
      </c>
      <c r="BC59" s="15">
        <v>360</v>
      </c>
      <c r="BD59" s="11">
        <v>360</v>
      </c>
      <c r="BE59" s="10">
        <v>20</v>
      </c>
      <c r="BF59" s="15">
        <v>380</v>
      </c>
      <c r="BG59" s="11">
        <v>250</v>
      </c>
      <c r="BH59" s="10">
        <v>245</v>
      </c>
      <c r="BI59" s="15">
        <v>2940</v>
      </c>
      <c r="BJ59" s="11">
        <v>2892</v>
      </c>
      <c r="BK59" s="10">
        <v>55</v>
      </c>
      <c r="BL59" s="15">
        <v>800</v>
      </c>
      <c r="BM59" s="11">
        <v>670</v>
      </c>
      <c r="BN59" s="44">
        <v>195</v>
      </c>
      <c r="BO59" s="42">
        <v>2340</v>
      </c>
      <c r="BP59" s="45">
        <v>2340</v>
      </c>
      <c r="BQ59" s="44">
        <v>100</v>
      </c>
      <c r="BR59" s="42">
        <v>1200</v>
      </c>
      <c r="BS59" s="45">
        <v>1200</v>
      </c>
      <c r="BT59" s="44">
        <v>100</v>
      </c>
      <c r="BU59" s="42">
        <v>1213</v>
      </c>
      <c r="BV59" s="112">
        <v>1205</v>
      </c>
      <c r="BW59" s="115">
        <v>135</v>
      </c>
      <c r="BX59" s="116">
        <v>1763</v>
      </c>
      <c r="BY59" s="112">
        <v>1632.04</v>
      </c>
      <c r="BZ59" s="115">
        <v>0</v>
      </c>
      <c r="CA59" s="116">
        <v>0</v>
      </c>
      <c r="CB59" s="112">
        <v>0</v>
      </c>
      <c r="CC59" s="115">
        <v>0</v>
      </c>
      <c r="CD59" s="116">
        <v>0</v>
      </c>
      <c r="CE59" s="112">
        <v>0</v>
      </c>
      <c r="CF59" s="115">
        <v>0</v>
      </c>
      <c r="CG59" s="116">
        <v>0</v>
      </c>
      <c r="CH59" s="112">
        <v>0</v>
      </c>
      <c r="CI59" s="115">
        <v>0</v>
      </c>
      <c r="CJ59" s="116">
        <v>0</v>
      </c>
      <c r="CK59" s="112">
        <v>0</v>
      </c>
      <c r="CL59" s="54">
        <f t="shared" si="4"/>
        <v>880</v>
      </c>
      <c r="CM59" s="63">
        <f t="shared" si="4"/>
        <v>10996</v>
      </c>
      <c r="CN59" s="55">
        <f t="shared" si="4"/>
        <v>10549.04</v>
      </c>
      <c r="CO59" s="54">
        <f t="shared" si="5"/>
        <v>73.333333333333329</v>
      </c>
      <c r="CP59" s="63">
        <f t="shared" si="5"/>
        <v>916.33333333333337</v>
      </c>
      <c r="CQ59" s="55">
        <f t="shared" si="5"/>
        <v>879.0866666666667</v>
      </c>
    </row>
    <row r="60" spans="1:95" s="2" customFormat="1" ht="34.9" customHeight="1" x14ac:dyDescent="0.6">
      <c r="A60" s="5">
        <v>57</v>
      </c>
      <c r="B60" s="14" t="s">
        <v>182</v>
      </c>
      <c r="C60" s="21" t="s">
        <v>188</v>
      </c>
      <c r="D60" s="16" t="s">
        <v>183</v>
      </c>
      <c r="E60" s="15" t="s">
        <v>120</v>
      </c>
      <c r="F60" s="14" t="s">
        <v>20</v>
      </c>
      <c r="G60" s="7" t="s">
        <v>150</v>
      </c>
      <c r="H60" s="18" t="s">
        <v>811</v>
      </c>
      <c r="I60" s="18" t="s">
        <v>812</v>
      </c>
      <c r="J60" s="14" t="s">
        <v>813</v>
      </c>
      <c r="K60" s="49" t="s">
        <v>151</v>
      </c>
      <c r="L60" s="27">
        <v>300</v>
      </c>
      <c r="M60" s="58">
        <v>4000</v>
      </c>
      <c r="N60" s="78">
        <v>2992</v>
      </c>
      <c r="O60" s="27">
        <v>250</v>
      </c>
      <c r="P60" s="58">
        <v>3400</v>
      </c>
      <c r="Q60" s="49">
        <v>2392</v>
      </c>
      <c r="R60" s="27">
        <v>300</v>
      </c>
      <c r="S60" s="58">
        <v>4100</v>
      </c>
      <c r="T60" s="98">
        <v>2840</v>
      </c>
      <c r="U60" s="27">
        <v>400</v>
      </c>
      <c r="V60" s="58">
        <v>5400</v>
      </c>
      <c r="W60" s="12">
        <v>3888</v>
      </c>
      <c r="X60" s="27">
        <v>500</v>
      </c>
      <c r="Y60" s="58">
        <v>6800</v>
      </c>
      <c r="Z60" s="12">
        <v>4784</v>
      </c>
      <c r="AA60" s="27">
        <v>250</v>
      </c>
      <c r="AB60" s="58">
        <v>3400</v>
      </c>
      <c r="AC60" s="12">
        <v>2392</v>
      </c>
      <c r="AD60" s="27">
        <v>300</v>
      </c>
      <c r="AE60" s="58">
        <v>4000</v>
      </c>
      <c r="AF60" s="107">
        <v>2992</v>
      </c>
      <c r="AG60" s="27">
        <v>400</v>
      </c>
      <c r="AH60" s="58">
        <v>5400</v>
      </c>
      <c r="AI60" s="107">
        <v>3888</v>
      </c>
      <c r="AJ60" s="27">
        <v>350</v>
      </c>
      <c r="AK60" s="58">
        <v>4600</v>
      </c>
      <c r="AL60" s="107">
        <v>3592</v>
      </c>
      <c r="AM60" s="27">
        <v>355</v>
      </c>
      <c r="AN60" s="58">
        <v>4760</v>
      </c>
      <c r="AO60" s="107">
        <v>3500</v>
      </c>
      <c r="AP60" s="27">
        <v>460</v>
      </c>
      <c r="AQ60" s="58">
        <v>6120</v>
      </c>
      <c r="AR60" s="107">
        <v>4560</v>
      </c>
      <c r="AS60" s="27">
        <v>300</v>
      </c>
      <c r="AT60" s="58">
        <v>4000</v>
      </c>
      <c r="AU60" s="107">
        <v>2992</v>
      </c>
      <c r="AV60" s="54">
        <f t="shared" si="0"/>
        <v>4165</v>
      </c>
      <c r="AW60" s="63">
        <f t="shared" si="0"/>
        <v>55980</v>
      </c>
      <c r="AX60" s="55">
        <f t="shared" si="0"/>
        <v>40812</v>
      </c>
      <c r="AY60" s="54">
        <f t="shared" si="1"/>
        <v>347.08333333333331</v>
      </c>
      <c r="AZ60" s="63">
        <f t="shared" si="2"/>
        <v>28.923611111111111</v>
      </c>
      <c r="BA60" s="55">
        <f t="shared" si="3"/>
        <v>3401</v>
      </c>
      <c r="BB60" s="10">
        <v>400</v>
      </c>
      <c r="BC60" s="15">
        <v>5400</v>
      </c>
      <c r="BD60" s="11">
        <v>3888</v>
      </c>
      <c r="BE60" s="10">
        <v>475</v>
      </c>
      <c r="BF60" s="15">
        <v>6580</v>
      </c>
      <c r="BG60" s="11">
        <v>4736</v>
      </c>
      <c r="BH60" s="10">
        <v>600</v>
      </c>
      <c r="BI60" s="15">
        <v>8000</v>
      </c>
      <c r="BJ60" s="11">
        <v>5984</v>
      </c>
      <c r="BK60" s="10">
        <v>510</v>
      </c>
      <c r="BL60" s="15">
        <v>6720</v>
      </c>
      <c r="BM60" s="11">
        <v>5160</v>
      </c>
      <c r="BN60" s="44">
        <v>610</v>
      </c>
      <c r="BO60" s="42">
        <v>7920</v>
      </c>
      <c r="BP60" s="45">
        <v>6360</v>
      </c>
      <c r="BQ60" s="44">
        <v>413</v>
      </c>
      <c r="BR60" s="42">
        <v>5580</v>
      </c>
      <c r="BS60" s="45">
        <v>4340</v>
      </c>
      <c r="BT60" s="44">
        <v>356</v>
      </c>
      <c r="BU60" s="42">
        <v>4840</v>
      </c>
      <c r="BV60" s="112">
        <v>3676</v>
      </c>
      <c r="BW60" s="115">
        <v>355</v>
      </c>
      <c r="BX60" s="116">
        <v>4871</v>
      </c>
      <c r="BY60" s="112">
        <v>3670.3599999999997</v>
      </c>
      <c r="BZ60" s="115">
        <v>363</v>
      </c>
      <c r="CA60" s="116">
        <v>4740</v>
      </c>
      <c r="CB60" s="112">
        <v>3858</v>
      </c>
      <c r="CC60" s="115">
        <v>515</v>
      </c>
      <c r="CD60" s="116">
        <v>6890</v>
      </c>
      <c r="CE60" s="112">
        <v>5450.4</v>
      </c>
      <c r="CF60" s="115">
        <v>300</v>
      </c>
      <c r="CG60" s="116">
        <v>3820</v>
      </c>
      <c r="CH60" s="112">
        <v>3217.6</v>
      </c>
      <c r="CI60" s="115">
        <v>552</v>
      </c>
      <c r="CJ60" s="116">
        <v>7306</v>
      </c>
      <c r="CK60" s="112">
        <v>6005.52</v>
      </c>
      <c r="CL60" s="54">
        <f t="shared" si="4"/>
        <v>5449</v>
      </c>
      <c r="CM60" s="63">
        <f t="shared" si="4"/>
        <v>72667</v>
      </c>
      <c r="CN60" s="55">
        <f t="shared" si="4"/>
        <v>56345.880000000005</v>
      </c>
      <c r="CO60" s="54">
        <f t="shared" si="5"/>
        <v>454.08333333333331</v>
      </c>
      <c r="CP60" s="63">
        <f t="shared" si="5"/>
        <v>6055.583333333333</v>
      </c>
      <c r="CQ60" s="55">
        <f t="shared" si="5"/>
        <v>4695.4900000000007</v>
      </c>
    </row>
    <row r="61" spans="1:95" s="2" customFormat="1" ht="34.9" customHeight="1" x14ac:dyDescent="0.6">
      <c r="A61" s="5">
        <v>58</v>
      </c>
      <c r="B61" s="14" t="s">
        <v>184</v>
      </c>
      <c r="C61" s="21" t="s">
        <v>191</v>
      </c>
      <c r="D61" s="16" t="s">
        <v>185</v>
      </c>
      <c r="E61" s="15" t="s">
        <v>186</v>
      </c>
      <c r="F61" s="14" t="s">
        <v>187</v>
      </c>
      <c r="G61" s="7" t="s">
        <v>150</v>
      </c>
      <c r="H61" s="18" t="s">
        <v>814</v>
      </c>
      <c r="I61" s="18" t="s">
        <v>815</v>
      </c>
      <c r="J61" s="14" t="s">
        <v>816</v>
      </c>
      <c r="K61" s="49" t="s">
        <v>151</v>
      </c>
      <c r="L61" s="27">
        <v>232</v>
      </c>
      <c r="M61" s="58">
        <v>3220</v>
      </c>
      <c r="N61" s="78">
        <v>2210.4</v>
      </c>
      <c r="O61" s="27">
        <v>222</v>
      </c>
      <c r="P61" s="58">
        <v>3032</v>
      </c>
      <c r="Q61" s="104">
        <v>2144.3999999999996</v>
      </c>
      <c r="R61" s="27">
        <v>235</v>
      </c>
      <c r="S61" s="58">
        <v>3236</v>
      </c>
      <c r="T61" s="98">
        <v>2262.4</v>
      </c>
      <c r="U61" s="27">
        <v>183</v>
      </c>
      <c r="V61" s="58">
        <v>2564</v>
      </c>
      <c r="W61" s="107">
        <v>1671.6000000000001</v>
      </c>
      <c r="X61" s="27">
        <v>205</v>
      </c>
      <c r="Y61" s="58">
        <v>2836</v>
      </c>
      <c r="Z61" s="107">
        <v>1963.2</v>
      </c>
      <c r="AA61" s="27">
        <v>328</v>
      </c>
      <c r="AB61" s="58">
        <v>4460</v>
      </c>
      <c r="AC61" s="12">
        <v>3225.2</v>
      </c>
      <c r="AD61" s="27">
        <v>352</v>
      </c>
      <c r="AE61" s="58">
        <v>4736</v>
      </c>
      <c r="AF61" s="107">
        <v>3561.6</v>
      </c>
      <c r="AG61" s="27">
        <v>370</v>
      </c>
      <c r="AH61" s="58">
        <v>5432</v>
      </c>
      <c r="AI61" s="107">
        <v>3769.2000000000003</v>
      </c>
      <c r="AJ61" s="27">
        <v>293</v>
      </c>
      <c r="AK61" s="58">
        <v>3944</v>
      </c>
      <c r="AL61" s="107">
        <v>2900.4</v>
      </c>
      <c r="AM61" s="27">
        <v>297</v>
      </c>
      <c r="AN61" s="58">
        <v>3980</v>
      </c>
      <c r="AO61" s="107">
        <v>3006.4</v>
      </c>
      <c r="AP61" s="27">
        <v>296</v>
      </c>
      <c r="AQ61" s="58">
        <v>3944</v>
      </c>
      <c r="AR61" s="107">
        <v>3115.2000000000003</v>
      </c>
      <c r="AS61" s="27">
        <v>258</v>
      </c>
      <c r="AT61" s="58">
        <v>3392</v>
      </c>
      <c r="AU61" s="107">
        <v>2711.2</v>
      </c>
      <c r="AV61" s="54">
        <f t="shared" si="0"/>
        <v>3271</v>
      </c>
      <c r="AW61" s="63">
        <f t="shared" si="0"/>
        <v>44776</v>
      </c>
      <c r="AX61" s="55">
        <f t="shared" si="0"/>
        <v>32541.200000000004</v>
      </c>
      <c r="AY61" s="54">
        <f t="shared" si="1"/>
        <v>272.58333333333331</v>
      </c>
      <c r="AZ61" s="63">
        <f t="shared" si="2"/>
        <v>22.715277777777775</v>
      </c>
      <c r="BA61" s="55">
        <f t="shared" si="3"/>
        <v>2711.7666666666669</v>
      </c>
      <c r="BB61" s="10">
        <v>292</v>
      </c>
      <c r="BC61" s="15">
        <v>3828</v>
      </c>
      <c r="BD61" s="11">
        <v>3111.8</v>
      </c>
      <c r="BE61" s="10">
        <v>240</v>
      </c>
      <c r="BF61" s="15">
        <v>3224</v>
      </c>
      <c r="BG61" s="11">
        <v>2471.6000000000004</v>
      </c>
      <c r="BH61" s="10">
        <v>213</v>
      </c>
      <c r="BI61" s="15">
        <v>2878</v>
      </c>
      <c r="BJ61" s="11">
        <v>2208</v>
      </c>
      <c r="BK61" s="10">
        <v>209</v>
      </c>
      <c r="BL61" s="15">
        <v>2880</v>
      </c>
      <c r="BM61" s="11">
        <v>2068</v>
      </c>
      <c r="BN61" s="44">
        <v>204</v>
      </c>
      <c r="BO61" s="42">
        <v>2796</v>
      </c>
      <c r="BP61" s="45">
        <v>1920.4</v>
      </c>
      <c r="BQ61" s="44">
        <v>310</v>
      </c>
      <c r="BR61" s="42">
        <v>4158</v>
      </c>
      <c r="BS61" s="45">
        <v>3119.3599999999997</v>
      </c>
      <c r="BT61" s="44">
        <v>393</v>
      </c>
      <c r="BU61" s="42">
        <v>5180</v>
      </c>
      <c r="BV61" s="112">
        <v>4110.7999999999993</v>
      </c>
      <c r="BW61" s="115">
        <v>330</v>
      </c>
      <c r="BX61" s="116">
        <v>4418</v>
      </c>
      <c r="BY61" s="112">
        <v>3436.0800000000004</v>
      </c>
      <c r="BZ61" s="115">
        <v>272</v>
      </c>
      <c r="CA61" s="116">
        <v>3684</v>
      </c>
      <c r="CB61" s="112">
        <v>2814.8</v>
      </c>
      <c r="CC61" s="115">
        <v>321</v>
      </c>
      <c r="CD61" s="116">
        <v>4262</v>
      </c>
      <c r="CE61" s="112">
        <v>3413.2</v>
      </c>
      <c r="CF61" s="115">
        <v>285</v>
      </c>
      <c r="CG61" s="116">
        <v>3752</v>
      </c>
      <c r="CH61" s="112">
        <v>3060</v>
      </c>
      <c r="CI61" s="115">
        <v>321</v>
      </c>
      <c r="CJ61" s="116">
        <v>4306</v>
      </c>
      <c r="CK61" s="112">
        <v>3484.8</v>
      </c>
      <c r="CL61" s="54">
        <f t="shared" si="4"/>
        <v>3390</v>
      </c>
      <c r="CM61" s="63">
        <f t="shared" si="4"/>
        <v>45366</v>
      </c>
      <c r="CN61" s="55">
        <f t="shared" si="4"/>
        <v>35218.840000000004</v>
      </c>
      <c r="CO61" s="54">
        <f t="shared" si="5"/>
        <v>282.5</v>
      </c>
      <c r="CP61" s="63">
        <f t="shared" si="5"/>
        <v>3780.5</v>
      </c>
      <c r="CQ61" s="55">
        <f t="shared" si="5"/>
        <v>2934.9033333333336</v>
      </c>
    </row>
    <row r="62" spans="1:95" s="2" customFormat="1" ht="34.9" customHeight="1" x14ac:dyDescent="0.6">
      <c r="A62" s="5">
        <v>59</v>
      </c>
      <c r="B62" s="14" t="s">
        <v>188</v>
      </c>
      <c r="C62" s="21" t="s">
        <v>195</v>
      </c>
      <c r="D62" s="16" t="s">
        <v>189</v>
      </c>
      <c r="E62" s="15" t="s">
        <v>190</v>
      </c>
      <c r="F62" s="14" t="s">
        <v>187</v>
      </c>
      <c r="G62" s="7" t="s">
        <v>150</v>
      </c>
      <c r="H62" s="18" t="s">
        <v>817</v>
      </c>
      <c r="I62" s="18" t="s">
        <v>818</v>
      </c>
      <c r="J62" s="14" t="s">
        <v>819</v>
      </c>
      <c r="K62" s="49" t="s">
        <v>151</v>
      </c>
      <c r="L62" s="27">
        <v>123</v>
      </c>
      <c r="M62" s="58">
        <v>1750</v>
      </c>
      <c r="N62" s="78">
        <v>1278</v>
      </c>
      <c r="O62" s="27">
        <v>160</v>
      </c>
      <c r="P62" s="58">
        <v>2340</v>
      </c>
      <c r="Q62" s="104">
        <v>1607.2</v>
      </c>
      <c r="R62" s="27">
        <v>105</v>
      </c>
      <c r="S62" s="58">
        <v>1430</v>
      </c>
      <c r="T62" s="98">
        <v>1104.4000000000001</v>
      </c>
      <c r="U62" s="27">
        <v>202</v>
      </c>
      <c r="V62" s="58">
        <v>2820</v>
      </c>
      <c r="W62" s="107">
        <v>2194.8000000000002</v>
      </c>
      <c r="X62" s="27">
        <v>84</v>
      </c>
      <c r="Y62" s="58">
        <v>1348</v>
      </c>
      <c r="Z62" s="107">
        <v>869.59999999999991</v>
      </c>
      <c r="AA62" s="27">
        <v>110</v>
      </c>
      <c r="AB62" s="58">
        <v>1630</v>
      </c>
      <c r="AC62" s="12">
        <v>1138.4000000000001</v>
      </c>
      <c r="AD62" s="27">
        <v>118</v>
      </c>
      <c r="AE62" s="58">
        <v>1756</v>
      </c>
      <c r="AF62" s="107">
        <v>1214</v>
      </c>
      <c r="AG62" s="27">
        <v>109</v>
      </c>
      <c r="AH62" s="58">
        <v>1742</v>
      </c>
      <c r="AI62" s="107">
        <v>1143.5999999999999</v>
      </c>
      <c r="AJ62" s="27">
        <v>128</v>
      </c>
      <c r="AK62" s="58">
        <v>1772</v>
      </c>
      <c r="AL62" s="107">
        <v>1375.2</v>
      </c>
      <c r="AM62" s="27">
        <v>116</v>
      </c>
      <c r="AN62" s="58">
        <v>1712</v>
      </c>
      <c r="AO62" s="107">
        <v>1268.4000000000001</v>
      </c>
      <c r="AP62" s="27">
        <v>94</v>
      </c>
      <c r="AQ62" s="58">
        <v>1214</v>
      </c>
      <c r="AR62" s="107">
        <v>978.4</v>
      </c>
      <c r="AS62" s="27">
        <v>99</v>
      </c>
      <c r="AT62" s="58">
        <v>1478</v>
      </c>
      <c r="AU62" s="107">
        <v>1063.2</v>
      </c>
      <c r="AV62" s="54">
        <f t="shared" si="0"/>
        <v>1448</v>
      </c>
      <c r="AW62" s="63">
        <f t="shared" si="0"/>
        <v>20992</v>
      </c>
      <c r="AX62" s="55">
        <f t="shared" si="0"/>
        <v>15235.2</v>
      </c>
      <c r="AY62" s="54">
        <f t="shared" si="1"/>
        <v>120.66666666666667</v>
      </c>
      <c r="AZ62" s="63">
        <f t="shared" si="2"/>
        <v>10.055555555555555</v>
      </c>
      <c r="BA62" s="55">
        <f t="shared" si="3"/>
        <v>1269.6000000000001</v>
      </c>
      <c r="BB62" s="10">
        <v>49</v>
      </c>
      <c r="BC62" s="15">
        <v>700</v>
      </c>
      <c r="BD62" s="11">
        <v>530</v>
      </c>
      <c r="BE62" s="10">
        <v>105</v>
      </c>
      <c r="BF62" s="15">
        <v>1580</v>
      </c>
      <c r="BG62" s="11">
        <v>1111.2</v>
      </c>
      <c r="BH62" s="10">
        <v>136</v>
      </c>
      <c r="BI62" s="15">
        <v>1886</v>
      </c>
      <c r="BJ62" s="11">
        <v>1405.6</v>
      </c>
      <c r="BK62" s="10">
        <v>152</v>
      </c>
      <c r="BL62" s="15">
        <v>2108</v>
      </c>
      <c r="BM62" s="11">
        <v>1676.8000000000002</v>
      </c>
      <c r="BN62" s="44">
        <v>84</v>
      </c>
      <c r="BO62" s="42">
        <v>1130</v>
      </c>
      <c r="BP62" s="45">
        <v>928.8</v>
      </c>
      <c r="BQ62" s="44">
        <v>126</v>
      </c>
      <c r="BR62" s="42">
        <v>1710</v>
      </c>
      <c r="BS62" s="45">
        <v>1364.4</v>
      </c>
      <c r="BT62" s="44">
        <v>87</v>
      </c>
      <c r="BU62" s="42">
        <v>1176</v>
      </c>
      <c r="BV62" s="112">
        <v>962.8</v>
      </c>
      <c r="BW62" s="115">
        <v>86</v>
      </c>
      <c r="BX62" s="116">
        <v>1202</v>
      </c>
      <c r="BY62" s="112">
        <v>918.88000000000011</v>
      </c>
      <c r="BZ62" s="115">
        <v>107</v>
      </c>
      <c r="CA62" s="116">
        <v>1426</v>
      </c>
      <c r="CB62" s="112">
        <v>1154</v>
      </c>
      <c r="CC62" s="115">
        <v>26</v>
      </c>
      <c r="CD62" s="116">
        <v>322</v>
      </c>
      <c r="CE62" s="112">
        <v>293.2</v>
      </c>
      <c r="CF62" s="115">
        <v>35</v>
      </c>
      <c r="CG62" s="116">
        <v>496</v>
      </c>
      <c r="CH62" s="112">
        <v>382.8</v>
      </c>
      <c r="CI62" s="115">
        <v>75</v>
      </c>
      <c r="CJ62" s="116">
        <v>1050</v>
      </c>
      <c r="CK62" s="112">
        <v>876.8</v>
      </c>
      <c r="CL62" s="54">
        <f t="shared" si="4"/>
        <v>1068</v>
      </c>
      <c r="CM62" s="63">
        <f t="shared" si="4"/>
        <v>14786</v>
      </c>
      <c r="CN62" s="55">
        <f t="shared" si="4"/>
        <v>11605.28</v>
      </c>
      <c r="CO62" s="54">
        <f t="shared" si="5"/>
        <v>89</v>
      </c>
      <c r="CP62" s="63">
        <f t="shared" si="5"/>
        <v>1232.1666666666667</v>
      </c>
      <c r="CQ62" s="55">
        <f t="shared" si="5"/>
        <v>967.10666666666668</v>
      </c>
    </row>
    <row r="63" spans="1:95" s="2" customFormat="1" ht="34.9" customHeight="1" x14ac:dyDescent="0.6">
      <c r="A63" s="5">
        <v>60</v>
      </c>
      <c r="B63" s="14" t="s">
        <v>191</v>
      </c>
      <c r="C63" s="21" t="s">
        <v>197</v>
      </c>
      <c r="D63" s="16" t="s">
        <v>192</v>
      </c>
      <c r="E63" s="15" t="s">
        <v>193</v>
      </c>
      <c r="F63" s="14" t="s">
        <v>194</v>
      </c>
      <c r="G63" s="7" t="s">
        <v>150</v>
      </c>
      <c r="H63" s="18" t="s">
        <v>820</v>
      </c>
      <c r="I63" s="18" t="s">
        <v>821</v>
      </c>
      <c r="J63" s="14" t="s">
        <v>822</v>
      </c>
      <c r="K63" s="49" t="s">
        <v>151</v>
      </c>
      <c r="L63" s="27">
        <v>273</v>
      </c>
      <c r="M63" s="58">
        <v>4312</v>
      </c>
      <c r="N63" s="78">
        <v>3328.4</v>
      </c>
      <c r="O63" s="27">
        <v>328</v>
      </c>
      <c r="P63" s="58">
        <v>4972</v>
      </c>
      <c r="Q63" s="104">
        <v>3988.4</v>
      </c>
      <c r="R63" s="27">
        <v>292</v>
      </c>
      <c r="S63" s="58">
        <v>4484</v>
      </c>
      <c r="T63" s="98">
        <v>3530.8</v>
      </c>
      <c r="U63" s="27">
        <v>245</v>
      </c>
      <c r="V63" s="58">
        <v>3444</v>
      </c>
      <c r="W63" s="107">
        <v>2950.8</v>
      </c>
      <c r="X63" s="27">
        <v>308</v>
      </c>
      <c r="Y63" s="58">
        <v>5460</v>
      </c>
      <c r="Z63" s="107">
        <v>3822</v>
      </c>
      <c r="AA63" s="27">
        <v>350</v>
      </c>
      <c r="AB63" s="58">
        <v>5320</v>
      </c>
      <c r="AC63" s="12">
        <v>4280</v>
      </c>
      <c r="AD63" s="27">
        <v>412</v>
      </c>
      <c r="AE63" s="58">
        <v>6204</v>
      </c>
      <c r="AF63" s="107">
        <v>5008.8</v>
      </c>
      <c r="AG63" s="27">
        <v>322</v>
      </c>
      <c r="AH63" s="58">
        <v>5264</v>
      </c>
      <c r="AI63" s="107">
        <v>3956.8</v>
      </c>
      <c r="AJ63" s="27">
        <v>356</v>
      </c>
      <c r="AK63" s="58">
        <v>5560</v>
      </c>
      <c r="AL63" s="107">
        <v>4346</v>
      </c>
      <c r="AM63" s="27">
        <v>322</v>
      </c>
      <c r="AN63" s="58">
        <v>5180</v>
      </c>
      <c r="AO63" s="107">
        <v>3958</v>
      </c>
      <c r="AP63" s="27">
        <v>310</v>
      </c>
      <c r="AQ63" s="58">
        <v>5036</v>
      </c>
      <c r="AR63" s="107">
        <v>3803.2</v>
      </c>
      <c r="AS63" s="27">
        <v>309</v>
      </c>
      <c r="AT63" s="58">
        <v>4716</v>
      </c>
      <c r="AU63" s="107">
        <v>3769.2</v>
      </c>
      <c r="AV63" s="54">
        <f t="shared" si="0"/>
        <v>3827</v>
      </c>
      <c r="AW63" s="63">
        <f t="shared" si="0"/>
        <v>59952</v>
      </c>
      <c r="AX63" s="55">
        <f t="shared" si="0"/>
        <v>46742.399999999994</v>
      </c>
      <c r="AY63" s="54">
        <f t="shared" si="1"/>
        <v>318.91666666666669</v>
      </c>
      <c r="AZ63" s="63">
        <f t="shared" si="2"/>
        <v>26.576388888888889</v>
      </c>
      <c r="BA63" s="55">
        <f t="shared" si="3"/>
        <v>3895.1999999999994</v>
      </c>
      <c r="BB63" s="10">
        <v>284</v>
      </c>
      <c r="BC63" s="15">
        <v>4304</v>
      </c>
      <c r="BD63" s="11">
        <v>3446.6000000000004</v>
      </c>
      <c r="BE63" s="10">
        <v>269</v>
      </c>
      <c r="BF63" s="15">
        <v>3956</v>
      </c>
      <c r="BG63" s="11">
        <v>3262</v>
      </c>
      <c r="BH63" s="10">
        <v>219</v>
      </c>
      <c r="BI63" s="15">
        <v>3440</v>
      </c>
      <c r="BJ63" s="11">
        <v>2668</v>
      </c>
      <c r="BK63" s="10">
        <v>254</v>
      </c>
      <c r="BL63" s="15">
        <v>3692</v>
      </c>
      <c r="BM63" s="11">
        <v>3072.4</v>
      </c>
      <c r="BN63" s="44">
        <v>274</v>
      </c>
      <c r="BO63" s="42">
        <v>4044</v>
      </c>
      <c r="BP63" s="45">
        <v>3298.8</v>
      </c>
      <c r="BQ63" s="44">
        <v>293</v>
      </c>
      <c r="BR63" s="42">
        <v>4300</v>
      </c>
      <c r="BS63" s="45">
        <v>3500</v>
      </c>
      <c r="BT63" s="44">
        <v>366</v>
      </c>
      <c r="BU63" s="42">
        <v>5960</v>
      </c>
      <c r="BV63" s="112">
        <v>4450</v>
      </c>
      <c r="BW63" s="115">
        <v>240</v>
      </c>
      <c r="BX63" s="116">
        <v>3592</v>
      </c>
      <c r="BY63" s="112">
        <v>2938.16</v>
      </c>
      <c r="BZ63" s="115">
        <v>258</v>
      </c>
      <c r="CA63" s="116">
        <v>4020</v>
      </c>
      <c r="CB63" s="112">
        <v>3162</v>
      </c>
      <c r="CC63" s="115">
        <v>239</v>
      </c>
      <c r="CD63" s="116">
        <v>3680</v>
      </c>
      <c r="CE63" s="112">
        <v>2908</v>
      </c>
      <c r="CF63" s="115">
        <v>257</v>
      </c>
      <c r="CG63" s="116">
        <v>3980</v>
      </c>
      <c r="CH63" s="112">
        <v>3112</v>
      </c>
      <c r="CI63" s="115">
        <v>252</v>
      </c>
      <c r="CJ63" s="116">
        <v>3920</v>
      </c>
      <c r="CK63" s="112">
        <v>3070</v>
      </c>
      <c r="CL63" s="54">
        <f t="shared" si="4"/>
        <v>3205</v>
      </c>
      <c r="CM63" s="63">
        <f t="shared" si="4"/>
        <v>48888</v>
      </c>
      <c r="CN63" s="55">
        <f t="shared" si="4"/>
        <v>38887.96</v>
      </c>
      <c r="CO63" s="54">
        <f t="shared" si="5"/>
        <v>267.08333333333331</v>
      </c>
      <c r="CP63" s="63">
        <f t="shared" si="5"/>
        <v>4074</v>
      </c>
      <c r="CQ63" s="55">
        <f t="shared" si="5"/>
        <v>3240.6633333333334</v>
      </c>
    </row>
    <row r="64" spans="1:95" s="2" customFormat="1" ht="34.9" customHeight="1" x14ac:dyDescent="0.6">
      <c r="A64" s="5">
        <v>61</v>
      </c>
      <c r="B64" s="14" t="s">
        <v>195</v>
      </c>
      <c r="C64" s="21" t="s">
        <v>199</v>
      </c>
      <c r="D64" s="16" t="s">
        <v>196</v>
      </c>
      <c r="E64" s="15" t="s">
        <v>136</v>
      </c>
      <c r="F64" s="14" t="s">
        <v>137</v>
      </c>
      <c r="G64" s="7" t="s">
        <v>150</v>
      </c>
      <c r="H64" s="18" t="s">
        <v>823</v>
      </c>
      <c r="I64" s="18" t="s">
        <v>824</v>
      </c>
      <c r="J64" s="14" t="s">
        <v>825</v>
      </c>
      <c r="K64" s="49" t="s">
        <v>151</v>
      </c>
      <c r="L64" s="27">
        <v>205</v>
      </c>
      <c r="M64" s="58">
        <v>2800</v>
      </c>
      <c r="N64" s="78">
        <v>1853.2</v>
      </c>
      <c r="O64" s="27">
        <v>400</v>
      </c>
      <c r="P64" s="58">
        <v>5440</v>
      </c>
      <c r="Q64" s="104">
        <v>3611.2000000000003</v>
      </c>
      <c r="R64" s="27">
        <v>445</v>
      </c>
      <c r="S64" s="58">
        <v>6140</v>
      </c>
      <c r="T64" s="98">
        <v>4052</v>
      </c>
      <c r="U64" s="27">
        <v>225</v>
      </c>
      <c r="V64" s="58">
        <v>3060</v>
      </c>
      <c r="W64" s="107">
        <v>2080.8000000000002</v>
      </c>
      <c r="X64" s="27">
        <v>430</v>
      </c>
      <c r="Y64" s="58">
        <v>5930</v>
      </c>
      <c r="Z64" s="107">
        <v>3935.6</v>
      </c>
      <c r="AA64" s="27">
        <v>450</v>
      </c>
      <c r="AB64" s="58">
        <v>6200</v>
      </c>
      <c r="AC64" s="12">
        <v>4148</v>
      </c>
      <c r="AD64" s="27">
        <v>200</v>
      </c>
      <c r="AE64" s="58">
        <v>2650</v>
      </c>
      <c r="AF64" s="107">
        <v>1930</v>
      </c>
      <c r="AG64" s="27">
        <v>433</v>
      </c>
      <c r="AH64" s="58">
        <v>6036</v>
      </c>
      <c r="AI64" s="107">
        <v>3919.2000000000003</v>
      </c>
      <c r="AJ64" s="27">
        <v>230</v>
      </c>
      <c r="AK64" s="58">
        <v>3170</v>
      </c>
      <c r="AL64" s="107">
        <v>2046.8</v>
      </c>
      <c r="AM64" s="27">
        <v>210</v>
      </c>
      <c r="AN64" s="58">
        <v>2840</v>
      </c>
      <c r="AO64" s="107">
        <v>1925.6000000000001</v>
      </c>
      <c r="AP64" s="27">
        <v>430</v>
      </c>
      <c r="AQ64" s="58">
        <v>5980</v>
      </c>
      <c r="AR64" s="107">
        <v>3877.6</v>
      </c>
      <c r="AS64" s="27">
        <v>320</v>
      </c>
      <c r="AT64" s="58">
        <v>4440</v>
      </c>
      <c r="AU64" s="107">
        <v>2928</v>
      </c>
      <c r="AV64" s="54">
        <f t="shared" si="0"/>
        <v>3978</v>
      </c>
      <c r="AW64" s="63">
        <f t="shared" si="0"/>
        <v>54686</v>
      </c>
      <c r="AX64" s="55">
        <f t="shared" si="0"/>
        <v>36308</v>
      </c>
      <c r="AY64" s="54">
        <f t="shared" si="1"/>
        <v>331.5</v>
      </c>
      <c r="AZ64" s="63">
        <f t="shared" si="2"/>
        <v>27.625</v>
      </c>
      <c r="BA64" s="55">
        <f t="shared" si="3"/>
        <v>3025.6666666666665</v>
      </c>
      <c r="BB64" s="10">
        <v>310</v>
      </c>
      <c r="BC64" s="15">
        <v>4300</v>
      </c>
      <c r="BD64" s="11">
        <v>2802.4</v>
      </c>
      <c r="BE64" s="10">
        <v>305</v>
      </c>
      <c r="BF64" s="15">
        <v>4220</v>
      </c>
      <c r="BG64" s="11">
        <v>2790.8</v>
      </c>
      <c r="BH64" s="10">
        <v>600</v>
      </c>
      <c r="BI64" s="15">
        <v>8230</v>
      </c>
      <c r="BJ64" s="11">
        <v>5526.4</v>
      </c>
      <c r="BK64" s="10">
        <v>200</v>
      </c>
      <c r="BL64" s="15">
        <v>2720</v>
      </c>
      <c r="BM64" s="11">
        <v>1877.6000000000001</v>
      </c>
      <c r="BN64" s="44">
        <v>525</v>
      </c>
      <c r="BO64" s="42">
        <v>7200</v>
      </c>
      <c r="BP64" s="45">
        <v>4914</v>
      </c>
      <c r="BQ64" s="44">
        <v>230</v>
      </c>
      <c r="BR64" s="42">
        <v>3160</v>
      </c>
      <c r="BS64" s="45">
        <v>2116</v>
      </c>
      <c r="BT64" s="44">
        <v>530</v>
      </c>
      <c r="BU64" s="42">
        <v>7120</v>
      </c>
      <c r="BV64" s="112">
        <v>4970.8</v>
      </c>
      <c r="BW64" s="115">
        <v>425</v>
      </c>
      <c r="BX64" s="116">
        <v>5779</v>
      </c>
      <c r="BY64" s="112">
        <v>4054.6</v>
      </c>
      <c r="BZ64" s="115">
        <v>240</v>
      </c>
      <c r="CA64" s="116">
        <v>3230</v>
      </c>
      <c r="CB64" s="112">
        <v>2348</v>
      </c>
      <c r="CC64" s="115">
        <v>200</v>
      </c>
      <c r="CD64" s="116">
        <v>2700</v>
      </c>
      <c r="CE64" s="112">
        <v>1944</v>
      </c>
      <c r="CF64" s="115">
        <v>520</v>
      </c>
      <c r="CG64" s="116">
        <v>7160</v>
      </c>
      <c r="CH64" s="112">
        <v>4769.6000000000004</v>
      </c>
      <c r="CI64" s="115">
        <v>225</v>
      </c>
      <c r="CJ64" s="116">
        <v>3070</v>
      </c>
      <c r="CK64" s="112">
        <v>2101.6000000000004</v>
      </c>
      <c r="CL64" s="54">
        <f t="shared" si="4"/>
        <v>4310</v>
      </c>
      <c r="CM64" s="63">
        <f t="shared" si="4"/>
        <v>58889</v>
      </c>
      <c r="CN64" s="55">
        <f t="shared" si="4"/>
        <v>40215.799999999996</v>
      </c>
      <c r="CO64" s="54">
        <f t="shared" si="5"/>
        <v>359.16666666666669</v>
      </c>
      <c r="CP64" s="63">
        <f t="shared" si="5"/>
        <v>4907.416666666667</v>
      </c>
      <c r="CQ64" s="55">
        <f t="shared" si="5"/>
        <v>3351.3166666666662</v>
      </c>
    </row>
    <row r="65" spans="1:95" s="2" customFormat="1" ht="34.9" customHeight="1" x14ac:dyDescent="0.6">
      <c r="A65" s="5">
        <v>62</v>
      </c>
      <c r="B65" s="14" t="s">
        <v>197</v>
      </c>
      <c r="C65" s="21" t="s">
        <v>203</v>
      </c>
      <c r="D65" s="16" t="s">
        <v>198</v>
      </c>
      <c r="E65" s="15" t="s">
        <v>53</v>
      </c>
      <c r="F65" s="14" t="s">
        <v>54</v>
      </c>
      <c r="G65" s="7" t="s">
        <v>150</v>
      </c>
      <c r="H65" s="18" t="s">
        <v>826</v>
      </c>
      <c r="I65" s="18" t="s">
        <v>827</v>
      </c>
      <c r="J65" s="14" t="s">
        <v>828</v>
      </c>
      <c r="K65" s="49" t="s">
        <v>151</v>
      </c>
      <c r="L65" s="27">
        <v>71</v>
      </c>
      <c r="M65" s="58">
        <v>852</v>
      </c>
      <c r="N65" s="78">
        <v>852</v>
      </c>
      <c r="O65" s="27">
        <v>50</v>
      </c>
      <c r="P65" s="58">
        <v>600</v>
      </c>
      <c r="Q65" s="104">
        <v>510</v>
      </c>
      <c r="R65" s="27">
        <v>70</v>
      </c>
      <c r="S65" s="58">
        <v>840</v>
      </c>
      <c r="T65" s="98">
        <v>840</v>
      </c>
      <c r="U65" s="27">
        <v>80</v>
      </c>
      <c r="V65" s="58">
        <v>960</v>
      </c>
      <c r="W65" s="12">
        <v>960</v>
      </c>
      <c r="X65" s="27">
        <v>140</v>
      </c>
      <c r="Y65" s="58">
        <v>1700</v>
      </c>
      <c r="Z65" s="107">
        <v>1559.6</v>
      </c>
      <c r="AA65" s="27">
        <v>85</v>
      </c>
      <c r="AB65" s="58">
        <v>1040</v>
      </c>
      <c r="AC65" s="12">
        <v>989.6</v>
      </c>
      <c r="AD65" s="27">
        <v>92</v>
      </c>
      <c r="AE65" s="58">
        <v>1104</v>
      </c>
      <c r="AF65" s="107">
        <v>1104</v>
      </c>
      <c r="AG65" s="27">
        <v>102</v>
      </c>
      <c r="AH65" s="58">
        <v>1224</v>
      </c>
      <c r="AI65" s="107">
        <v>1224</v>
      </c>
      <c r="AJ65" s="27">
        <v>55</v>
      </c>
      <c r="AK65" s="58">
        <f>55*12</f>
        <v>660</v>
      </c>
      <c r="AL65" s="107">
        <v>660</v>
      </c>
      <c r="AM65" s="27">
        <v>49</v>
      </c>
      <c r="AN65" s="58">
        <f>AM65*12</f>
        <v>588</v>
      </c>
      <c r="AO65" s="107">
        <v>588</v>
      </c>
      <c r="AP65" s="27">
        <f>15+45</f>
        <v>60</v>
      </c>
      <c r="AQ65" s="58">
        <f>AP65*12</f>
        <v>720</v>
      </c>
      <c r="AR65" s="107">
        <v>720</v>
      </c>
      <c r="AS65" s="27">
        <v>46</v>
      </c>
      <c r="AT65" s="58">
        <v>552</v>
      </c>
      <c r="AU65" s="107">
        <v>534</v>
      </c>
      <c r="AV65" s="54">
        <f t="shared" si="0"/>
        <v>900</v>
      </c>
      <c r="AW65" s="63">
        <f t="shared" si="0"/>
        <v>10840</v>
      </c>
      <c r="AX65" s="55">
        <f t="shared" si="0"/>
        <v>10541.2</v>
      </c>
      <c r="AY65" s="54">
        <f t="shared" si="1"/>
        <v>75</v>
      </c>
      <c r="AZ65" s="63">
        <f t="shared" si="2"/>
        <v>6.25</v>
      </c>
      <c r="BA65" s="55">
        <f t="shared" si="3"/>
        <v>878.43333333333339</v>
      </c>
      <c r="BB65" s="10">
        <v>78</v>
      </c>
      <c r="BC65" s="15">
        <v>940</v>
      </c>
      <c r="BD65" s="11">
        <v>929.92000000000007</v>
      </c>
      <c r="BE65" s="10">
        <v>48</v>
      </c>
      <c r="BF65" s="15">
        <v>580</v>
      </c>
      <c r="BG65" s="11">
        <v>569.92000000000007</v>
      </c>
      <c r="BH65" s="10">
        <v>122</v>
      </c>
      <c r="BI65" s="15">
        <v>2150</v>
      </c>
      <c r="BJ65" s="11">
        <v>1892.4</v>
      </c>
      <c r="BK65" s="10">
        <v>86</v>
      </c>
      <c r="BL65" s="15">
        <v>1042</v>
      </c>
      <c r="BM65" s="11">
        <v>1016.8</v>
      </c>
      <c r="BN65" s="44">
        <v>171</v>
      </c>
      <c r="BO65" s="42">
        <v>2068</v>
      </c>
      <c r="BP65" s="45">
        <v>2027.6800000000003</v>
      </c>
      <c r="BQ65" s="44">
        <v>129</v>
      </c>
      <c r="BR65" s="42">
        <v>1573</v>
      </c>
      <c r="BS65" s="45">
        <v>1538.0500000000002</v>
      </c>
      <c r="BT65" s="44">
        <v>139</v>
      </c>
      <c r="BU65" s="42">
        <v>1674</v>
      </c>
      <c r="BV65" s="112">
        <v>1640.88</v>
      </c>
      <c r="BW65" s="115">
        <v>144</v>
      </c>
      <c r="BX65" s="116">
        <v>1742</v>
      </c>
      <c r="BY65" s="112">
        <v>1701.92</v>
      </c>
      <c r="BZ65" s="115">
        <v>93</v>
      </c>
      <c r="CA65" s="116">
        <v>1116</v>
      </c>
      <c r="CB65" s="112">
        <v>1098</v>
      </c>
      <c r="CC65" s="115">
        <v>151</v>
      </c>
      <c r="CD65" s="116">
        <v>1924</v>
      </c>
      <c r="CE65" s="112">
        <v>1802</v>
      </c>
      <c r="CF65" s="115">
        <v>115</v>
      </c>
      <c r="CG65" s="116">
        <v>1436</v>
      </c>
      <c r="CH65" s="112">
        <v>1366</v>
      </c>
      <c r="CI65" s="115">
        <v>149</v>
      </c>
      <c r="CJ65" s="116">
        <v>1792</v>
      </c>
      <c r="CK65" s="112">
        <v>1771.1200000000001</v>
      </c>
      <c r="CL65" s="54">
        <f t="shared" si="4"/>
        <v>1425</v>
      </c>
      <c r="CM65" s="63">
        <f t="shared" si="4"/>
        <v>18037</v>
      </c>
      <c r="CN65" s="55">
        <f t="shared" si="4"/>
        <v>17354.690000000002</v>
      </c>
      <c r="CO65" s="54">
        <f t="shared" si="5"/>
        <v>118.75</v>
      </c>
      <c r="CP65" s="63">
        <f t="shared" si="5"/>
        <v>1503.0833333333333</v>
      </c>
      <c r="CQ65" s="55">
        <f t="shared" si="5"/>
        <v>1446.2241666666669</v>
      </c>
    </row>
    <row r="66" spans="1:95" s="2" customFormat="1" ht="34.9" customHeight="1" x14ac:dyDescent="0.6">
      <c r="A66" s="5">
        <v>63</v>
      </c>
      <c r="B66" s="14" t="s">
        <v>199</v>
      </c>
      <c r="C66" s="21" t="s">
        <v>205</v>
      </c>
      <c r="D66" s="16" t="s">
        <v>200</v>
      </c>
      <c r="E66" s="15" t="s">
        <v>53</v>
      </c>
      <c r="F66" s="14" t="s">
        <v>54</v>
      </c>
      <c r="G66" s="7" t="s">
        <v>150</v>
      </c>
      <c r="H66" s="18" t="s">
        <v>829</v>
      </c>
      <c r="I66" s="18" t="s">
        <v>830</v>
      </c>
      <c r="J66" s="14" t="s">
        <v>831</v>
      </c>
      <c r="K66" s="49" t="s">
        <v>151</v>
      </c>
      <c r="L66" s="27">
        <v>1100</v>
      </c>
      <c r="M66" s="58">
        <v>14400</v>
      </c>
      <c r="N66" s="78">
        <v>11376</v>
      </c>
      <c r="O66" s="27">
        <v>50</v>
      </c>
      <c r="P66" s="58">
        <v>600</v>
      </c>
      <c r="Q66" s="104">
        <v>600</v>
      </c>
      <c r="R66" s="27">
        <v>0</v>
      </c>
      <c r="S66" s="58">
        <v>0</v>
      </c>
      <c r="T66" s="98">
        <v>0</v>
      </c>
      <c r="U66" s="27">
        <v>250</v>
      </c>
      <c r="V66" s="58">
        <v>3200</v>
      </c>
      <c r="W66" s="12">
        <v>2696</v>
      </c>
      <c r="X66" s="27">
        <v>270</v>
      </c>
      <c r="Y66" s="58">
        <v>3340</v>
      </c>
      <c r="Z66" s="107">
        <v>3088</v>
      </c>
      <c r="AA66" s="27">
        <v>525</v>
      </c>
      <c r="AB66" s="58">
        <v>6530</v>
      </c>
      <c r="AC66" s="12">
        <v>5950.4</v>
      </c>
      <c r="AD66" s="27">
        <v>310</v>
      </c>
      <c r="AE66" s="58">
        <v>3720</v>
      </c>
      <c r="AF66" s="107">
        <v>3702</v>
      </c>
      <c r="AG66" s="27">
        <v>203</v>
      </c>
      <c r="AH66" s="58">
        <v>2436</v>
      </c>
      <c r="AI66" s="107">
        <v>2436</v>
      </c>
      <c r="AJ66" s="27">
        <v>305</v>
      </c>
      <c r="AK66" s="58">
        <v>3660</v>
      </c>
      <c r="AL66" s="107">
        <v>3642</v>
      </c>
      <c r="AM66" s="27">
        <v>530</v>
      </c>
      <c r="AN66" s="58">
        <v>6360</v>
      </c>
      <c r="AO66" s="107">
        <v>6288</v>
      </c>
      <c r="AP66" s="27">
        <v>420</v>
      </c>
      <c r="AQ66" s="58">
        <v>5040</v>
      </c>
      <c r="AR66" s="107">
        <v>5004</v>
      </c>
      <c r="AS66" s="27">
        <v>590</v>
      </c>
      <c r="AT66" s="58">
        <v>7080</v>
      </c>
      <c r="AU66" s="107">
        <v>7080</v>
      </c>
      <c r="AV66" s="54">
        <f t="shared" si="0"/>
        <v>4553</v>
      </c>
      <c r="AW66" s="63">
        <f t="shared" si="0"/>
        <v>56366</v>
      </c>
      <c r="AX66" s="55">
        <f t="shared" si="0"/>
        <v>51862.400000000001</v>
      </c>
      <c r="AY66" s="54">
        <f t="shared" si="1"/>
        <v>379.41666666666669</v>
      </c>
      <c r="AZ66" s="63">
        <f t="shared" si="2"/>
        <v>31.618055555555557</v>
      </c>
      <c r="BA66" s="55">
        <f t="shared" si="3"/>
        <v>4321.8666666666668</v>
      </c>
      <c r="BB66" s="10">
        <v>645</v>
      </c>
      <c r="BC66" s="15">
        <v>7740</v>
      </c>
      <c r="BD66" s="11">
        <v>7740</v>
      </c>
      <c r="BE66" s="10">
        <v>569</v>
      </c>
      <c r="BF66" s="15">
        <v>6828</v>
      </c>
      <c r="BG66" s="11">
        <v>6828</v>
      </c>
      <c r="BH66" s="10">
        <v>786</v>
      </c>
      <c r="BI66" s="15">
        <v>9532</v>
      </c>
      <c r="BJ66" s="11">
        <v>9280</v>
      </c>
      <c r="BK66" s="10">
        <v>520</v>
      </c>
      <c r="BL66" s="15">
        <v>6520</v>
      </c>
      <c r="BM66" s="11">
        <v>6260</v>
      </c>
      <c r="BN66" s="44">
        <v>655</v>
      </c>
      <c r="BO66" s="42">
        <v>7860</v>
      </c>
      <c r="BP66" s="45">
        <v>7860</v>
      </c>
      <c r="BQ66" s="44">
        <v>545</v>
      </c>
      <c r="BR66" s="42">
        <v>6540</v>
      </c>
      <c r="BS66" s="45">
        <v>6540</v>
      </c>
      <c r="BT66" s="44">
        <v>480</v>
      </c>
      <c r="BU66" s="42">
        <v>6040</v>
      </c>
      <c r="BV66" s="112">
        <v>5780</v>
      </c>
      <c r="BW66" s="115">
        <v>510</v>
      </c>
      <c r="BX66" s="116">
        <v>6123</v>
      </c>
      <c r="BY66" s="112">
        <v>6122.04</v>
      </c>
      <c r="BZ66" s="115">
        <v>600</v>
      </c>
      <c r="CA66" s="116">
        <v>7200</v>
      </c>
      <c r="CB66" s="112">
        <v>7200</v>
      </c>
      <c r="CC66" s="115">
        <v>505</v>
      </c>
      <c r="CD66" s="116">
        <v>6340</v>
      </c>
      <c r="CE66" s="112">
        <v>6080</v>
      </c>
      <c r="CF66" s="115">
        <v>515</v>
      </c>
      <c r="CG66" s="116">
        <v>6320</v>
      </c>
      <c r="CH66" s="112">
        <v>6190</v>
      </c>
      <c r="CI66" s="115">
        <v>605</v>
      </c>
      <c r="CJ66" s="116">
        <v>7400</v>
      </c>
      <c r="CK66" s="112">
        <v>7252</v>
      </c>
      <c r="CL66" s="54">
        <f t="shared" si="4"/>
        <v>6935</v>
      </c>
      <c r="CM66" s="63">
        <f t="shared" si="4"/>
        <v>84443</v>
      </c>
      <c r="CN66" s="55">
        <f t="shared" si="4"/>
        <v>83132.040000000008</v>
      </c>
      <c r="CO66" s="54">
        <f t="shared" si="5"/>
        <v>577.91666666666663</v>
      </c>
      <c r="CP66" s="63">
        <f t="shared" si="5"/>
        <v>7036.916666666667</v>
      </c>
      <c r="CQ66" s="55">
        <f t="shared" si="5"/>
        <v>6927.670000000001</v>
      </c>
    </row>
    <row r="67" spans="1:95" s="2" customFormat="1" ht="34.9" customHeight="1" x14ac:dyDescent="0.6">
      <c r="A67" s="5">
        <v>64</v>
      </c>
      <c r="B67" s="162" t="s">
        <v>201</v>
      </c>
      <c r="C67" s="21" t="s">
        <v>207</v>
      </c>
      <c r="D67" s="14" t="s">
        <v>202</v>
      </c>
      <c r="E67" s="15" t="s">
        <v>53</v>
      </c>
      <c r="F67" s="15" t="s">
        <v>54</v>
      </c>
      <c r="G67" s="7" t="s">
        <v>150</v>
      </c>
      <c r="H67" s="18" t="s">
        <v>832</v>
      </c>
      <c r="I67" s="18" t="s">
        <v>833</v>
      </c>
      <c r="J67" s="14" t="s">
        <v>834</v>
      </c>
      <c r="K67" s="49" t="s">
        <v>151</v>
      </c>
      <c r="L67" s="27">
        <v>1170</v>
      </c>
      <c r="M67" s="58">
        <v>17260</v>
      </c>
      <c r="N67" s="78">
        <v>10136</v>
      </c>
      <c r="O67" s="27">
        <v>0</v>
      </c>
      <c r="P67" s="58">
        <v>0</v>
      </c>
      <c r="Q67" s="104">
        <v>0</v>
      </c>
      <c r="R67" s="27">
        <v>400</v>
      </c>
      <c r="S67" s="58">
        <v>5500</v>
      </c>
      <c r="T67" s="98">
        <v>3736</v>
      </c>
      <c r="U67" s="27">
        <v>865</v>
      </c>
      <c r="V67" s="58">
        <v>12780</v>
      </c>
      <c r="W67" s="12">
        <v>7978.8</v>
      </c>
      <c r="X67" s="27">
        <v>285</v>
      </c>
      <c r="Y67" s="58">
        <v>3880</v>
      </c>
      <c r="Z67" s="107">
        <v>2630.7999999999997</v>
      </c>
      <c r="AA67" s="27">
        <v>60</v>
      </c>
      <c r="AB67" s="58">
        <v>740</v>
      </c>
      <c r="AC67" s="12">
        <v>689.6</v>
      </c>
      <c r="AD67" s="27">
        <v>21</v>
      </c>
      <c r="AE67" s="58">
        <v>254</v>
      </c>
      <c r="AF67" s="107">
        <v>248.96</v>
      </c>
      <c r="AG67" s="27">
        <v>100</v>
      </c>
      <c r="AH67" s="58">
        <v>1260</v>
      </c>
      <c r="AI67" s="107">
        <v>1108.8</v>
      </c>
      <c r="AJ67" s="27">
        <v>0</v>
      </c>
      <c r="AK67" s="58">
        <v>0</v>
      </c>
      <c r="AL67" s="107">
        <v>0</v>
      </c>
      <c r="AM67" s="27">
        <v>0</v>
      </c>
      <c r="AN67" s="58">
        <v>0</v>
      </c>
      <c r="AO67" s="107">
        <v>0</v>
      </c>
      <c r="AP67" s="27">
        <v>0</v>
      </c>
      <c r="AQ67" s="58">
        <v>0</v>
      </c>
      <c r="AR67" s="107">
        <v>0</v>
      </c>
      <c r="AS67" s="27">
        <v>0</v>
      </c>
      <c r="AT67" s="58">
        <v>0</v>
      </c>
      <c r="AU67" s="107">
        <v>0</v>
      </c>
      <c r="AV67" s="54">
        <f t="shared" si="0"/>
        <v>2901</v>
      </c>
      <c r="AW67" s="63">
        <f t="shared" si="0"/>
        <v>41674</v>
      </c>
      <c r="AX67" s="55">
        <f t="shared" si="0"/>
        <v>26528.959999999995</v>
      </c>
      <c r="AY67" s="54">
        <f t="shared" si="1"/>
        <v>241.75</v>
      </c>
      <c r="AZ67" s="63">
        <f t="shared" si="2"/>
        <v>20.145833333333332</v>
      </c>
      <c r="BA67" s="55">
        <f t="shared" si="3"/>
        <v>2210.7466666666664</v>
      </c>
      <c r="BB67" s="10">
        <v>0</v>
      </c>
      <c r="BC67" s="15">
        <v>0</v>
      </c>
      <c r="BD67" s="11">
        <v>0</v>
      </c>
      <c r="BE67" s="10">
        <v>0</v>
      </c>
      <c r="BF67" s="15">
        <v>0</v>
      </c>
      <c r="BG67" s="11">
        <v>0</v>
      </c>
      <c r="BH67" s="10">
        <v>0</v>
      </c>
      <c r="BI67" s="15">
        <v>0</v>
      </c>
      <c r="BJ67" s="11">
        <v>0</v>
      </c>
      <c r="BK67" s="10">
        <v>0</v>
      </c>
      <c r="BL67" s="15">
        <v>0</v>
      </c>
      <c r="BM67" s="11">
        <v>0</v>
      </c>
      <c r="BN67" s="44">
        <v>0</v>
      </c>
      <c r="BO67" s="42">
        <v>0</v>
      </c>
      <c r="BP67" s="45">
        <v>0</v>
      </c>
      <c r="BQ67" s="44">
        <v>0</v>
      </c>
      <c r="BR67" s="42">
        <v>0</v>
      </c>
      <c r="BS67" s="45">
        <v>0</v>
      </c>
      <c r="BT67" s="44">
        <v>0</v>
      </c>
      <c r="BU67" s="42">
        <v>0</v>
      </c>
      <c r="BV67" s="112">
        <v>0</v>
      </c>
      <c r="BW67" s="115">
        <v>0</v>
      </c>
      <c r="BX67" s="116">
        <v>0</v>
      </c>
      <c r="BY67" s="112">
        <v>0</v>
      </c>
      <c r="BZ67" s="115">
        <v>0</v>
      </c>
      <c r="CA67" s="116">
        <v>0</v>
      </c>
      <c r="CB67" s="112">
        <v>0</v>
      </c>
      <c r="CC67" s="115">
        <v>0</v>
      </c>
      <c r="CD67" s="116">
        <v>0</v>
      </c>
      <c r="CE67" s="112">
        <v>0</v>
      </c>
      <c r="CF67" s="115">
        <v>0</v>
      </c>
      <c r="CG67" s="116">
        <v>0</v>
      </c>
      <c r="CH67" s="112">
        <v>0</v>
      </c>
      <c r="CI67" s="115">
        <v>0</v>
      </c>
      <c r="CJ67" s="116">
        <v>0</v>
      </c>
      <c r="CK67" s="112">
        <v>0</v>
      </c>
      <c r="CL67" s="54">
        <f t="shared" si="4"/>
        <v>0</v>
      </c>
      <c r="CM67" s="63">
        <f t="shared" si="4"/>
        <v>0</v>
      </c>
      <c r="CN67" s="55">
        <f t="shared" si="4"/>
        <v>0</v>
      </c>
      <c r="CO67" s="54">
        <f t="shared" si="5"/>
        <v>0</v>
      </c>
      <c r="CP67" s="63">
        <f t="shared" si="5"/>
        <v>0</v>
      </c>
      <c r="CQ67" s="55">
        <f t="shared" si="5"/>
        <v>0</v>
      </c>
    </row>
    <row r="68" spans="1:95" s="2" customFormat="1" ht="34.9" customHeight="1" x14ac:dyDescent="0.6">
      <c r="A68" s="5">
        <v>65</v>
      </c>
      <c r="B68" s="17" t="s">
        <v>203</v>
      </c>
      <c r="C68" s="21" t="s">
        <v>211</v>
      </c>
      <c r="D68" s="14" t="s">
        <v>204</v>
      </c>
      <c r="E68" s="15" t="s">
        <v>53</v>
      </c>
      <c r="F68" s="15" t="s">
        <v>54</v>
      </c>
      <c r="G68" s="7" t="s">
        <v>150</v>
      </c>
      <c r="H68" s="18" t="s">
        <v>203</v>
      </c>
      <c r="I68" s="18" t="s">
        <v>835</v>
      </c>
      <c r="J68" s="14" t="s">
        <v>836</v>
      </c>
      <c r="K68" s="49" t="s">
        <v>151</v>
      </c>
      <c r="L68" s="27">
        <v>700</v>
      </c>
      <c r="M68" s="58">
        <v>8400</v>
      </c>
      <c r="N68" s="78">
        <v>8400</v>
      </c>
      <c r="O68" s="27">
        <v>215</v>
      </c>
      <c r="P68" s="58">
        <v>2810</v>
      </c>
      <c r="Q68" s="104">
        <v>2230.4</v>
      </c>
      <c r="R68" s="27">
        <v>255</v>
      </c>
      <c r="S68" s="58">
        <v>3420</v>
      </c>
      <c r="T68" s="98">
        <v>2512.7999999999997</v>
      </c>
      <c r="U68" s="27">
        <v>1030</v>
      </c>
      <c r="V68" s="58">
        <v>13560</v>
      </c>
      <c r="W68" s="12">
        <v>11427.2</v>
      </c>
      <c r="X68" s="27">
        <v>690</v>
      </c>
      <c r="Y68" s="58">
        <v>10110</v>
      </c>
      <c r="Z68" s="107">
        <v>7636.4</v>
      </c>
      <c r="AA68" s="27">
        <v>1855</v>
      </c>
      <c r="AB68" s="58">
        <v>24180</v>
      </c>
      <c r="AC68" s="12">
        <v>19341.599999999999</v>
      </c>
      <c r="AD68" s="27">
        <v>190</v>
      </c>
      <c r="AE68" s="58">
        <v>2840</v>
      </c>
      <c r="AF68" s="107">
        <v>2320</v>
      </c>
      <c r="AG68" s="27">
        <v>430</v>
      </c>
      <c r="AH68" s="58">
        <v>7262</v>
      </c>
      <c r="AI68" s="107">
        <v>5306.96</v>
      </c>
      <c r="AJ68" s="27">
        <v>0</v>
      </c>
      <c r="AK68" s="58">
        <v>0</v>
      </c>
      <c r="AL68" s="107">
        <v>0</v>
      </c>
      <c r="AM68" s="27">
        <v>200</v>
      </c>
      <c r="AN68" s="58">
        <v>2400</v>
      </c>
      <c r="AO68" s="107">
        <v>2400</v>
      </c>
      <c r="AP68" s="27">
        <v>100</v>
      </c>
      <c r="AQ68" s="58">
        <v>4000</v>
      </c>
      <c r="AR68" s="107">
        <v>1400</v>
      </c>
      <c r="AS68" s="27">
        <v>200</v>
      </c>
      <c r="AT68" s="58">
        <v>2400</v>
      </c>
      <c r="AU68" s="107">
        <v>2400</v>
      </c>
      <c r="AV68" s="54">
        <f t="shared" si="0"/>
        <v>5865</v>
      </c>
      <c r="AW68" s="63">
        <f t="shared" si="0"/>
        <v>81382</v>
      </c>
      <c r="AX68" s="55">
        <f t="shared" si="0"/>
        <v>65375.360000000001</v>
      </c>
      <c r="AY68" s="54">
        <f t="shared" si="1"/>
        <v>488.75</v>
      </c>
      <c r="AZ68" s="63">
        <f t="shared" si="2"/>
        <v>40.729166666666664</v>
      </c>
      <c r="BA68" s="55">
        <f t="shared" si="3"/>
        <v>5447.9466666666667</v>
      </c>
      <c r="BB68" s="10">
        <v>439</v>
      </c>
      <c r="BC68" s="15">
        <v>5310</v>
      </c>
      <c r="BD68" s="11">
        <v>5203.96</v>
      </c>
      <c r="BE68" s="10">
        <v>305</v>
      </c>
      <c r="BF68" s="15">
        <v>4560</v>
      </c>
      <c r="BG68" s="11">
        <v>3406</v>
      </c>
      <c r="BH68" s="10">
        <v>1240</v>
      </c>
      <c r="BI68" s="15">
        <v>18140</v>
      </c>
      <c r="BJ68" s="11">
        <v>14380.8</v>
      </c>
      <c r="BK68" s="10">
        <v>230</v>
      </c>
      <c r="BL68" s="15">
        <v>2900</v>
      </c>
      <c r="BM68" s="11">
        <v>2547.1999999999998</v>
      </c>
      <c r="BN68" s="44">
        <v>200</v>
      </c>
      <c r="BO68" s="42">
        <v>2400</v>
      </c>
      <c r="BP68" s="45">
        <v>2400</v>
      </c>
      <c r="BQ68" s="44">
        <v>200</v>
      </c>
      <c r="BR68" s="42">
        <v>2400</v>
      </c>
      <c r="BS68" s="45">
        <v>2400</v>
      </c>
      <c r="BT68" s="44">
        <v>180</v>
      </c>
      <c r="BU68" s="42">
        <v>2180</v>
      </c>
      <c r="BV68" s="112">
        <v>2129.6</v>
      </c>
      <c r="BW68" s="115">
        <v>201</v>
      </c>
      <c r="BX68" s="116">
        <v>2472</v>
      </c>
      <c r="BY68" s="112">
        <v>2316.96</v>
      </c>
      <c r="BZ68" s="115">
        <v>300</v>
      </c>
      <c r="CA68" s="116">
        <v>4360</v>
      </c>
      <c r="CB68" s="112">
        <v>3558.8</v>
      </c>
      <c r="CC68" s="115">
        <v>425</v>
      </c>
      <c r="CD68" s="116">
        <v>5320</v>
      </c>
      <c r="CE68" s="112">
        <v>4765.6000000000004</v>
      </c>
      <c r="CF68" s="115">
        <v>300</v>
      </c>
      <c r="CG68" s="116">
        <v>4880</v>
      </c>
      <c r="CH68" s="112">
        <v>3436.8</v>
      </c>
      <c r="CI68" s="115">
        <v>305</v>
      </c>
      <c r="CJ68" s="116">
        <v>4370</v>
      </c>
      <c r="CK68" s="112">
        <v>3472</v>
      </c>
      <c r="CL68" s="54">
        <f t="shared" si="4"/>
        <v>4325</v>
      </c>
      <c r="CM68" s="63">
        <f t="shared" si="4"/>
        <v>59292</v>
      </c>
      <c r="CN68" s="55">
        <f t="shared" si="4"/>
        <v>50017.72</v>
      </c>
      <c r="CO68" s="54">
        <f t="shared" si="5"/>
        <v>360.41666666666669</v>
      </c>
      <c r="CP68" s="63">
        <f t="shared" si="5"/>
        <v>4941</v>
      </c>
      <c r="CQ68" s="55">
        <f t="shared" si="5"/>
        <v>4168.1433333333334</v>
      </c>
    </row>
    <row r="69" spans="1:95" s="2" customFormat="1" ht="34.9" customHeight="1" x14ac:dyDescent="0.6">
      <c r="A69" s="5">
        <v>66</v>
      </c>
      <c r="B69" s="17" t="s">
        <v>205</v>
      </c>
      <c r="C69" s="21" t="s">
        <v>215</v>
      </c>
      <c r="D69" s="14" t="s">
        <v>206</v>
      </c>
      <c r="E69" s="15" t="s">
        <v>53</v>
      </c>
      <c r="F69" s="15" t="s">
        <v>54</v>
      </c>
      <c r="G69" s="7" t="s">
        <v>150</v>
      </c>
      <c r="H69" s="18" t="s">
        <v>837</v>
      </c>
      <c r="I69" s="18" t="s">
        <v>838</v>
      </c>
      <c r="J69" s="14" t="s">
        <v>839</v>
      </c>
      <c r="K69" s="49" t="s">
        <v>151</v>
      </c>
      <c r="L69" s="27">
        <v>1000</v>
      </c>
      <c r="M69" s="58">
        <v>13000</v>
      </c>
      <c r="N69" s="78">
        <v>10480</v>
      </c>
      <c r="O69" s="27">
        <v>74</v>
      </c>
      <c r="P69" s="58">
        <v>888</v>
      </c>
      <c r="Q69" s="104">
        <v>888</v>
      </c>
      <c r="R69" s="27">
        <v>130</v>
      </c>
      <c r="S69" s="58">
        <v>1680</v>
      </c>
      <c r="T69" s="98">
        <v>1377.6</v>
      </c>
      <c r="U69" s="27">
        <v>270</v>
      </c>
      <c r="V69" s="58">
        <v>3440</v>
      </c>
      <c r="W69" s="12">
        <v>2936</v>
      </c>
      <c r="X69" s="27">
        <v>460</v>
      </c>
      <c r="Y69" s="58">
        <v>5520</v>
      </c>
      <c r="Z69" s="107">
        <v>5520</v>
      </c>
      <c r="AA69" s="27">
        <v>1070</v>
      </c>
      <c r="AB69" s="58">
        <v>13780</v>
      </c>
      <c r="AC69" s="12">
        <v>11411.2</v>
      </c>
      <c r="AD69" s="27">
        <v>700</v>
      </c>
      <c r="AE69" s="58">
        <v>9000</v>
      </c>
      <c r="AF69" s="107">
        <v>7488</v>
      </c>
      <c r="AG69" s="27">
        <v>650</v>
      </c>
      <c r="AH69" s="58">
        <v>8200</v>
      </c>
      <c r="AI69" s="107">
        <v>7192</v>
      </c>
      <c r="AJ69" s="27">
        <v>250</v>
      </c>
      <c r="AK69" s="58">
        <v>3000</v>
      </c>
      <c r="AL69" s="107">
        <v>3000</v>
      </c>
      <c r="AM69" s="27">
        <v>1000</v>
      </c>
      <c r="AN69" s="58">
        <v>12600</v>
      </c>
      <c r="AO69" s="107">
        <v>11088</v>
      </c>
      <c r="AP69" s="27">
        <v>620</v>
      </c>
      <c r="AQ69" s="58">
        <v>7880</v>
      </c>
      <c r="AR69" s="107">
        <v>6771.2</v>
      </c>
      <c r="AS69" s="27">
        <v>650</v>
      </c>
      <c r="AT69" s="58">
        <v>8600</v>
      </c>
      <c r="AU69" s="107">
        <v>6584</v>
      </c>
      <c r="AV69" s="54">
        <f t="shared" ref="AV69:AX132" si="7">L69+O69+R69+U69+X69+AA69+AD69+AG69+AJ69+AM69+AP69+AS69</f>
        <v>6874</v>
      </c>
      <c r="AW69" s="63">
        <f t="shared" si="7"/>
        <v>87588</v>
      </c>
      <c r="AX69" s="55">
        <f t="shared" si="7"/>
        <v>74736</v>
      </c>
      <c r="AY69" s="54">
        <f t="shared" ref="AY69:AY132" si="8">AV69/12</f>
        <v>572.83333333333337</v>
      </c>
      <c r="AZ69" s="63">
        <f t="shared" ref="AZ69:AZ132" si="9">AY69/12</f>
        <v>47.736111111111114</v>
      </c>
      <c r="BA69" s="55">
        <f t="shared" ref="BA69:BA132" si="10">AX69/12</f>
        <v>6228</v>
      </c>
      <c r="BB69" s="10">
        <v>950</v>
      </c>
      <c r="BC69" s="15">
        <v>12200</v>
      </c>
      <c r="BD69" s="11">
        <v>10184</v>
      </c>
      <c r="BE69" s="10">
        <v>1010</v>
      </c>
      <c r="BF69" s="15">
        <v>13140</v>
      </c>
      <c r="BG69" s="11">
        <v>10569.6</v>
      </c>
      <c r="BH69" s="10">
        <v>1620</v>
      </c>
      <c r="BI69" s="15">
        <v>20260</v>
      </c>
      <c r="BJ69" s="11">
        <v>18193.599999999999</v>
      </c>
      <c r="BK69" s="10">
        <v>300</v>
      </c>
      <c r="BL69" s="15">
        <v>4200</v>
      </c>
      <c r="BM69" s="11">
        <v>2688</v>
      </c>
      <c r="BN69" s="44">
        <v>600</v>
      </c>
      <c r="BO69" s="42">
        <v>7600</v>
      </c>
      <c r="BP69" s="45">
        <v>6592</v>
      </c>
      <c r="BQ69" s="44">
        <v>1120</v>
      </c>
      <c r="BR69" s="42">
        <v>14040</v>
      </c>
      <c r="BS69" s="45">
        <v>12528</v>
      </c>
      <c r="BT69" s="44">
        <v>1130</v>
      </c>
      <c r="BU69" s="42">
        <v>14360</v>
      </c>
      <c r="BV69" s="112">
        <v>12344</v>
      </c>
      <c r="BW69" s="115">
        <v>800</v>
      </c>
      <c r="BX69" s="116">
        <v>10103</v>
      </c>
      <c r="BY69" s="112">
        <v>8842.0400000000009</v>
      </c>
      <c r="BZ69" s="115">
        <v>840</v>
      </c>
      <c r="CA69" s="116">
        <v>10680</v>
      </c>
      <c r="CB69" s="112">
        <v>9168</v>
      </c>
      <c r="CC69" s="115">
        <v>1210</v>
      </c>
      <c r="CD69" s="116">
        <v>15020</v>
      </c>
      <c r="CE69" s="112">
        <v>13760</v>
      </c>
      <c r="CF69" s="115">
        <v>700</v>
      </c>
      <c r="CG69" s="116">
        <v>8800</v>
      </c>
      <c r="CH69" s="112">
        <v>7792</v>
      </c>
      <c r="CI69" s="115">
        <v>900</v>
      </c>
      <c r="CJ69" s="116">
        <v>11200</v>
      </c>
      <c r="CK69" s="112">
        <v>10192</v>
      </c>
      <c r="CL69" s="54">
        <f t="shared" ref="CL69:CN132" si="11">+BB69+BE69+BH69+BK69+BN69+BQ69+BT69+BW69+BZ69+CC69+CF69+CI69</f>
        <v>11180</v>
      </c>
      <c r="CM69" s="63">
        <f t="shared" si="11"/>
        <v>141603</v>
      </c>
      <c r="CN69" s="55">
        <f t="shared" si="11"/>
        <v>122853.23999999999</v>
      </c>
      <c r="CO69" s="54">
        <f t="shared" ref="CO69:CQ132" si="12">CL69/12</f>
        <v>931.66666666666663</v>
      </c>
      <c r="CP69" s="63">
        <f t="shared" si="12"/>
        <v>11800.25</v>
      </c>
      <c r="CQ69" s="55">
        <f t="shared" si="12"/>
        <v>10237.769999999999</v>
      </c>
    </row>
    <row r="70" spans="1:95" s="2" customFormat="1" ht="34.9" customHeight="1" x14ac:dyDescent="0.6">
      <c r="A70" s="5">
        <v>67</v>
      </c>
      <c r="B70" s="14" t="s">
        <v>207</v>
      </c>
      <c r="C70" s="21" t="s">
        <v>230</v>
      </c>
      <c r="D70" s="16" t="s">
        <v>208</v>
      </c>
      <c r="E70" s="15" t="s">
        <v>209</v>
      </c>
      <c r="F70" s="16" t="s">
        <v>210</v>
      </c>
      <c r="G70" s="7" t="s">
        <v>150</v>
      </c>
      <c r="H70" s="18" t="s">
        <v>840</v>
      </c>
      <c r="I70" s="18" t="s">
        <v>841</v>
      </c>
      <c r="J70" s="14" t="s">
        <v>842</v>
      </c>
      <c r="K70" s="49" t="s">
        <v>151</v>
      </c>
      <c r="L70" s="27">
        <v>100</v>
      </c>
      <c r="M70" s="58">
        <v>1200</v>
      </c>
      <c r="N70" s="78">
        <v>1200</v>
      </c>
      <c r="O70" s="27">
        <v>290</v>
      </c>
      <c r="P70" s="58">
        <v>3920</v>
      </c>
      <c r="Q70" s="104">
        <v>3256.8</v>
      </c>
      <c r="R70" s="27">
        <v>100</v>
      </c>
      <c r="S70" s="58">
        <v>1200</v>
      </c>
      <c r="T70" s="98">
        <v>1200</v>
      </c>
      <c r="U70" s="27">
        <v>370</v>
      </c>
      <c r="V70" s="58">
        <v>4980</v>
      </c>
      <c r="W70" s="12">
        <v>4064.8</v>
      </c>
      <c r="X70" s="27">
        <v>200</v>
      </c>
      <c r="Y70" s="58">
        <v>2500</v>
      </c>
      <c r="Z70" s="107">
        <v>2248</v>
      </c>
      <c r="AA70" s="27">
        <v>490</v>
      </c>
      <c r="AB70" s="58">
        <v>6540</v>
      </c>
      <c r="AC70" s="12">
        <v>5768</v>
      </c>
      <c r="AD70" s="27">
        <v>0</v>
      </c>
      <c r="AE70" s="58">
        <v>0</v>
      </c>
      <c r="AF70" s="107">
        <v>0</v>
      </c>
      <c r="AG70" s="27">
        <v>100</v>
      </c>
      <c r="AH70" s="58">
        <v>1200</v>
      </c>
      <c r="AI70" s="107">
        <v>1200</v>
      </c>
      <c r="AJ70" s="27">
        <v>200</v>
      </c>
      <c r="AK70" s="58">
        <v>2500</v>
      </c>
      <c r="AL70" s="107">
        <v>2248</v>
      </c>
      <c r="AM70" s="27">
        <v>60</v>
      </c>
      <c r="AN70" s="58">
        <v>760</v>
      </c>
      <c r="AO70" s="107">
        <v>659.2</v>
      </c>
      <c r="AP70" s="27">
        <v>200</v>
      </c>
      <c r="AQ70" s="58">
        <v>2500</v>
      </c>
      <c r="AR70" s="107">
        <v>2248</v>
      </c>
      <c r="AS70" s="27">
        <v>190</v>
      </c>
      <c r="AT70" s="58">
        <v>2380</v>
      </c>
      <c r="AU70" s="107">
        <v>2128</v>
      </c>
      <c r="AV70" s="54">
        <f t="shared" si="7"/>
        <v>2300</v>
      </c>
      <c r="AW70" s="63">
        <f t="shared" si="7"/>
        <v>29680</v>
      </c>
      <c r="AX70" s="55">
        <f t="shared" si="7"/>
        <v>26220.799999999999</v>
      </c>
      <c r="AY70" s="54">
        <f t="shared" si="8"/>
        <v>191.66666666666666</v>
      </c>
      <c r="AZ70" s="63">
        <f t="shared" si="9"/>
        <v>15.972222222222221</v>
      </c>
      <c r="BA70" s="55">
        <f t="shared" si="10"/>
        <v>2185.0666666666666</v>
      </c>
      <c r="BB70" s="10">
        <v>50</v>
      </c>
      <c r="BC70" s="15">
        <v>600</v>
      </c>
      <c r="BD70" s="11">
        <v>600</v>
      </c>
      <c r="BE70" s="10">
        <v>200</v>
      </c>
      <c r="BF70" s="15">
        <v>2560</v>
      </c>
      <c r="BG70" s="11">
        <v>2156.8000000000002</v>
      </c>
      <c r="BH70" s="10">
        <v>250</v>
      </c>
      <c r="BI70" s="15">
        <v>3660</v>
      </c>
      <c r="BJ70" s="11">
        <v>2888</v>
      </c>
      <c r="BK70" s="10">
        <v>60</v>
      </c>
      <c r="BL70" s="15">
        <v>720</v>
      </c>
      <c r="BM70" s="11">
        <v>720</v>
      </c>
      <c r="BN70" s="44">
        <v>100</v>
      </c>
      <c r="BO70" s="42">
        <v>1300</v>
      </c>
      <c r="BP70" s="45">
        <v>1048</v>
      </c>
      <c r="BQ70" s="44">
        <v>100</v>
      </c>
      <c r="BR70" s="42">
        <v>1200</v>
      </c>
      <c r="BS70" s="45">
        <v>1200</v>
      </c>
      <c r="BT70" s="44">
        <v>300</v>
      </c>
      <c r="BU70" s="42">
        <v>3740</v>
      </c>
      <c r="BV70" s="112">
        <v>3387.2</v>
      </c>
      <c r="BW70" s="115">
        <v>61</v>
      </c>
      <c r="BX70" s="116">
        <v>1052</v>
      </c>
      <c r="BY70" s="112">
        <v>687.36</v>
      </c>
      <c r="BZ70" s="115">
        <v>140</v>
      </c>
      <c r="CA70" s="116">
        <v>1680</v>
      </c>
      <c r="CB70" s="112">
        <v>1680</v>
      </c>
      <c r="CC70" s="115">
        <v>100</v>
      </c>
      <c r="CD70" s="116">
        <v>1260</v>
      </c>
      <c r="CE70" s="112">
        <v>1108.8</v>
      </c>
      <c r="CF70" s="115">
        <v>100</v>
      </c>
      <c r="CG70" s="116">
        <v>1240</v>
      </c>
      <c r="CH70" s="112">
        <v>1139.2</v>
      </c>
      <c r="CI70" s="115">
        <v>100</v>
      </c>
      <c r="CJ70" s="116">
        <v>1200</v>
      </c>
      <c r="CK70" s="112">
        <v>1200</v>
      </c>
      <c r="CL70" s="54">
        <f t="shared" si="11"/>
        <v>1561</v>
      </c>
      <c r="CM70" s="63">
        <f t="shared" si="11"/>
        <v>20212</v>
      </c>
      <c r="CN70" s="55">
        <f t="shared" si="11"/>
        <v>17815.36</v>
      </c>
      <c r="CO70" s="54">
        <f t="shared" si="12"/>
        <v>130.08333333333334</v>
      </c>
      <c r="CP70" s="63">
        <f t="shared" si="12"/>
        <v>1684.3333333333333</v>
      </c>
      <c r="CQ70" s="55">
        <f t="shared" si="12"/>
        <v>1484.6133333333335</v>
      </c>
    </row>
    <row r="71" spans="1:95" s="2" customFormat="1" ht="34.9" customHeight="1" x14ac:dyDescent="0.6">
      <c r="A71" s="5">
        <v>68</v>
      </c>
      <c r="B71" s="14" t="s">
        <v>211</v>
      </c>
      <c r="C71" s="21" t="s">
        <v>232</v>
      </c>
      <c r="D71" s="16" t="s">
        <v>212</v>
      </c>
      <c r="E71" s="15" t="s">
        <v>213</v>
      </c>
      <c r="F71" s="14" t="s">
        <v>214</v>
      </c>
      <c r="G71" s="7" t="s">
        <v>150</v>
      </c>
      <c r="H71" s="18" t="s">
        <v>843</v>
      </c>
      <c r="I71" s="18" t="s">
        <v>844</v>
      </c>
      <c r="J71" s="14" t="s">
        <v>845</v>
      </c>
      <c r="K71" s="49" t="s">
        <v>151</v>
      </c>
      <c r="L71" s="27">
        <v>460</v>
      </c>
      <c r="M71" s="58">
        <v>6440</v>
      </c>
      <c r="N71" s="78">
        <v>4121.6000000000004</v>
      </c>
      <c r="O71" s="27">
        <v>230</v>
      </c>
      <c r="P71" s="58">
        <v>3020</v>
      </c>
      <c r="Q71" s="104">
        <v>2364.8000000000002</v>
      </c>
      <c r="R71" s="27">
        <v>0</v>
      </c>
      <c r="S71" s="58">
        <v>0</v>
      </c>
      <c r="T71" s="98">
        <v>0</v>
      </c>
      <c r="U71" s="27">
        <v>465</v>
      </c>
      <c r="V71" s="58">
        <v>6120</v>
      </c>
      <c r="W71" s="12">
        <v>4759.2000000000007</v>
      </c>
      <c r="X71" s="27">
        <v>455</v>
      </c>
      <c r="Y71" s="58">
        <v>6540</v>
      </c>
      <c r="Z71" s="107">
        <v>4486.8</v>
      </c>
      <c r="AA71" s="27">
        <v>442</v>
      </c>
      <c r="AB71" s="58">
        <v>5968</v>
      </c>
      <c r="AC71" s="107">
        <v>4294.72</v>
      </c>
      <c r="AD71" s="27">
        <v>230</v>
      </c>
      <c r="AE71" s="58">
        <v>3060</v>
      </c>
      <c r="AF71" s="107">
        <v>2304</v>
      </c>
      <c r="AG71" s="27">
        <v>378</v>
      </c>
      <c r="AH71" s="58">
        <v>5260</v>
      </c>
      <c r="AI71" s="107">
        <v>3881.12</v>
      </c>
      <c r="AJ71" s="27">
        <v>505</v>
      </c>
      <c r="AK71" s="58">
        <v>7050</v>
      </c>
      <c r="AL71" s="107">
        <v>5199.6000000000004</v>
      </c>
      <c r="AM71" s="27">
        <v>238</v>
      </c>
      <c r="AN71" s="58">
        <v>3200</v>
      </c>
      <c r="AO71" s="107">
        <v>2442.8000000000002</v>
      </c>
      <c r="AP71" s="27">
        <v>395</v>
      </c>
      <c r="AQ71" s="58">
        <v>5660</v>
      </c>
      <c r="AR71" s="107">
        <v>4010</v>
      </c>
      <c r="AS71" s="27">
        <v>373</v>
      </c>
      <c r="AT71" s="58">
        <v>5140</v>
      </c>
      <c r="AU71" s="107">
        <v>3823.2</v>
      </c>
      <c r="AV71" s="54">
        <f t="shared" si="7"/>
        <v>4171</v>
      </c>
      <c r="AW71" s="63">
        <f t="shared" si="7"/>
        <v>57458</v>
      </c>
      <c r="AX71" s="55">
        <f t="shared" si="7"/>
        <v>41687.840000000004</v>
      </c>
      <c r="AY71" s="54">
        <f t="shared" si="8"/>
        <v>347.58333333333331</v>
      </c>
      <c r="AZ71" s="63">
        <f t="shared" si="9"/>
        <v>28.965277777777775</v>
      </c>
      <c r="BA71" s="55">
        <f t="shared" si="10"/>
        <v>3473.9866666666671</v>
      </c>
      <c r="BB71" s="10">
        <v>203</v>
      </c>
      <c r="BC71" s="15">
        <v>2920</v>
      </c>
      <c r="BD71" s="11">
        <v>2056.8000000000002</v>
      </c>
      <c r="BE71" s="10">
        <v>485</v>
      </c>
      <c r="BF71" s="15">
        <v>6800</v>
      </c>
      <c r="BG71" s="11">
        <v>4998.8</v>
      </c>
      <c r="BH71" s="10">
        <v>545</v>
      </c>
      <c r="BI71" s="15">
        <v>7960</v>
      </c>
      <c r="BJ71" s="11">
        <v>5718.4</v>
      </c>
      <c r="BK71" s="10">
        <v>450</v>
      </c>
      <c r="BL71" s="15">
        <v>6040</v>
      </c>
      <c r="BM71" s="11">
        <v>4427.2</v>
      </c>
      <c r="BN71" s="44">
        <v>460</v>
      </c>
      <c r="BO71" s="42">
        <v>6040</v>
      </c>
      <c r="BP71" s="45">
        <v>4729.6000000000004</v>
      </c>
      <c r="BQ71" s="44">
        <v>723</v>
      </c>
      <c r="BR71" s="42">
        <v>9760</v>
      </c>
      <c r="BS71" s="45">
        <v>7384.8</v>
      </c>
      <c r="BT71" s="44">
        <v>550</v>
      </c>
      <c r="BU71" s="42">
        <v>7540</v>
      </c>
      <c r="BV71" s="112">
        <v>5616.8</v>
      </c>
      <c r="BW71" s="115">
        <v>312</v>
      </c>
      <c r="BX71" s="116">
        <v>4763</v>
      </c>
      <c r="BY71" s="112">
        <v>3182.04</v>
      </c>
      <c r="BZ71" s="115">
        <v>500</v>
      </c>
      <c r="CA71" s="116">
        <v>6780</v>
      </c>
      <c r="CB71" s="112">
        <v>5260</v>
      </c>
      <c r="CC71" s="115">
        <v>555</v>
      </c>
      <c r="CD71" s="116">
        <v>7340</v>
      </c>
      <c r="CE71" s="112">
        <v>5849.2</v>
      </c>
      <c r="CF71" s="115">
        <v>285</v>
      </c>
      <c r="CG71" s="116">
        <v>3800</v>
      </c>
      <c r="CH71" s="112">
        <v>3065.2</v>
      </c>
      <c r="CI71" s="115">
        <v>565</v>
      </c>
      <c r="CJ71" s="116">
        <v>7880</v>
      </c>
      <c r="CK71" s="112">
        <v>6222</v>
      </c>
      <c r="CL71" s="54">
        <f t="shared" si="11"/>
        <v>5633</v>
      </c>
      <c r="CM71" s="63">
        <f t="shared" si="11"/>
        <v>77623</v>
      </c>
      <c r="CN71" s="55">
        <f t="shared" si="11"/>
        <v>58510.84</v>
      </c>
      <c r="CO71" s="54">
        <f t="shared" si="12"/>
        <v>469.41666666666669</v>
      </c>
      <c r="CP71" s="63">
        <f t="shared" si="12"/>
        <v>6468.583333333333</v>
      </c>
      <c r="CQ71" s="55">
        <f t="shared" si="12"/>
        <v>4875.9033333333327</v>
      </c>
    </row>
    <row r="72" spans="1:95" s="2" customFormat="1" ht="34.9" customHeight="1" x14ac:dyDescent="0.6">
      <c r="A72" s="5">
        <v>69</v>
      </c>
      <c r="B72" s="14" t="s">
        <v>215</v>
      </c>
      <c r="C72" s="21" t="s">
        <v>234</v>
      </c>
      <c r="D72" s="16" t="s">
        <v>216</v>
      </c>
      <c r="E72" s="15" t="s">
        <v>190</v>
      </c>
      <c r="F72" s="14" t="s">
        <v>187</v>
      </c>
      <c r="G72" s="7" t="s">
        <v>150</v>
      </c>
      <c r="H72" s="18" t="s">
        <v>846</v>
      </c>
      <c r="I72" s="18" t="s">
        <v>847</v>
      </c>
      <c r="J72" s="14" t="s">
        <v>848</v>
      </c>
      <c r="K72" s="49" t="s">
        <v>151</v>
      </c>
      <c r="L72" s="27">
        <v>135</v>
      </c>
      <c r="M72" s="58">
        <v>1654</v>
      </c>
      <c r="N72" s="78">
        <v>1612.88</v>
      </c>
      <c r="O72" s="27">
        <v>180</v>
      </c>
      <c r="P72" s="58">
        <v>2160</v>
      </c>
      <c r="Q72" s="49">
        <v>2160</v>
      </c>
      <c r="R72" s="27">
        <v>140</v>
      </c>
      <c r="S72" s="58">
        <v>1680</v>
      </c>
      <c r="T72" s="98">
        <v>1680</v>
      </c>
      <c r="U72" s="27">
        <v>160</v>
      </c>
      <c r="V72" s="58">
        <v>1920</v>
      </c>
      <c r="W72" s="12">
        <v>1920</v>
      </c>
      <c r="X72" s="27">
        <v>195</v>
      </c>
      <c r="Y72" s="58">
        <v>2340</v>
      </c>
      <c r="Z72" s="12">
        <v>2340</v>
      </c>
      <c r="AA72" s="27">
        <v>215</v>
      </c>
      <c r="AB72" s="58">
        <v>2580</v>
      </c>
      <c r="AC72" s="12">
        <v>2580</v>
      </c>
      <c r="AD72" s="27">
        <v>195</v>
      </c>
      <c r="AE72" s="58">
        <v>2340</v>
      </c>
      <c r="AF72" s="107">
        <v>2340</v>
      </c>
      <c r="AG72" s="27">
        <v>225</v>
      </c>
      <c r="AH72" s="58">
        <v>2700</v>
      </c>
      <c r="AI72" s="107">
        <v>2700</v>
      </c>
      <c r="AJ72" s="27">
        <v>145</v>
      </c>
      <c r="AK72" s="58">
        <v>1740</v>
      </c>
      <c r="AL72" s="107">
        <v>1740</v>
      </c>
      <c r="AM72" s="27">
        <v>175</v>
      </c>
      <c r="AN72" s="58">
        <v>2100</v>
      </c>
      <c r="AO72" s="107">
        <v>2100</v>
      </c>
      <c r="AP72" s="27">
        <v>165</v>
      </c>
      <c r="AQ72" s="58">
        <v>1980</v>
      </c>
      <c r="AR72" s="107">
        <v>1980</v>
      </c>
      <c r="AS72" s="27">
        <v>125</v>
      </c>
      <c r="AT72" s="58">
        <v>1500</v>
      </c>
      <c r="AU72" s="107">
        <v>1500</v>
      </c>
      <c r="AV72" s="54">
        <f t="shared" si="7"/>
        <v>2055</v>
      </c>
      <c r="AW72" s="63">
        <f t="shared" si="7"/>
        <v>24694</v>
      </c>
      <c r="AX72" s="55">
        <f t="shared" si="7"/>
        <v>24652.880000000001</v>
      </c>
      <c r="AY72" s="54">
        <f t="shared" si="8"/>
        <v>171.25</v>
      </c>
      <c r="AZ72" s="63">
        <f t="shared" si="9"/>
        <v>14.270833333333334</v>
      </c>
      <c r="BA72" s="55">
        <f t="shared" si="10"/>
        <v>2054.4066666666668</v>
      </c>
      <c r="BB72" s="10">
        <v>180</v>
      </c>
      <c r="BC72" s="15">
        <v>2160</v>
      </c>
      <c r="BD72" s="11">
        <v>2160</v>
      </c>
      <c r="BE72" s="10">
        <v>135</v>
      </c>
      <c r="BF72" s="15">
        <v>1620</v>
      </c>
      <c r="BG72" s="11">
        <v>1620</v>
      </c>
      <c r="BH72" s="10">
        <v>145</v>
      </c>
      <c r="BI72" s="15">
        <v>1740</v>
      </c>
      <c r="BJ72" s="11">
        <v>1740</v>
      </c>
      <c r="BK72" s="10">
        <v>95</v>
      </c>
      <c r="BL72" s="15">
        <v>1140</v>
      </c>
      <c r="BM72" s="11">
        <v>1140</v>
      </c>
      <c r="BN72" s="44">
        <v>120</v>
      </c>
      <c r="BO72" s="42">
        <v>1440</v>
      </c>
      <c r="BP72" s="45">
        <v>1440</v>
      </c>
      <c r="BQ72" s="44">
        <v>110</v>
      </c>
      <c r="BR72" s="42">
        <v>1320</v>
      </c>
      <c r="BS72" s="45">
        <v>1320</v>
      </c>
      <c r="BT72" s="44">
        <v>140</v>
      </c>
      <c r="BU72" s="42">
        <v>1680</v>
      </c>
      <c r="BV72" s="112">
        <v>1680</v>
      </c>
      <c r="BW72" s="115">
        <v>151</v>
      </c>
      <c r="BX72" s="116">
        <v>1812</v>
      </c>
      <c r="BY72" s="112">
        <v>1812</v>
      </c>
      <c r="BZ72" s="115">
        <v>75</v>
      </c>
      <c r="CA72" s="116">
        <v>900</v>
      </c>
      <c r="CB72" s="112">
        <v>900</v>
      </c>
      <c r="CC72" s="115">
        <v>130</v>
      </c>
      <c r="CD72" s="116">
        <v>1560</v>
      </c>
      <c r="CE72" s="112">
        <v>1560</v>
      </c>
      <c r="CF72" s="115">
        <v>140</v>
      </c>
      <c r="CG72" s="116">
        <v>1680</v>
      </c>
      <c r="CH72" s="112">
        <v>1680</v>
      </c>
      <c r="CI72" s="115">
        <v>130</v>
      </c>
      <c r="CJ72" s="116">
        <v>1560</v>
      </c>
      <c r="CK72" s="112">
        <v>1560</v>
      </c>
      <c r="CL72" s="54">
        <f t="shared" si="11"/>
        <v>1551</v>
      </c>
      <c r="CM72" s="63">
        <f t="shared" si="11"/>
        <v>18612</v>
      </c>
      <c r="CN72" s="55">
        <f t="shared" si="11"/>
        <v>18612</v>
      </c>
      <c r="CO72" s="54">
        <f t="shared" si="12"/>
        <v>129.25</v>
      </c>
      <c r="CP72" s="63">
        <f t="shared" si="12"/>
        <v>1551</v>
      </c>
      <c r="CQ72" s="55">
        <f t="shared" si="12"/>
        <v>1551</v>
      </c>
    </row>
    <row r="73" spans="1:95" s="2" customFormat="1" ht="34.9" customHeight="1" x14ac:dyDescent="0.6">
      <c r="A73" s="5">
        <v>70</v>
      </c>
      <c r="B73" s="161" t="s">
        <v>217</v>
      </c>
      <c r="C73" s="21" t="s">
        <v>238</v>
      </c>
      <c r="D73" s="16" t="s">
        <v>218</v>
      </c>
      <c r="E73" s="15" t="s">
        <v>219</v>
      </c>
      <c r="F73" s="14" t="s">
        <v>101</v>
      </c>
      <c r="G73" s="7" t="s">
        <v>150</v>
      </c>
      <c r="H73" s="18" t="s">
        <v>217</v>
      </c>
      <c r="I73" s="18" t="s">
        <v>849</v>
      </c>
      <c r="J73" s="14" t="s">
        <v>850</v>
      </c>
      <c r="K73" s="49" t="s">
        <v>151</v>
      </c>
      <c r="L73" s="27">
        <v>51</v>
      </c>
      <c r="M73" s="58">
        <v>700</v>
      </c>
      <c r="N73" s="78">
        <v>522.79999999999995</v>
      </c>
      <c r="O73" s="27">
        <v>71</v>
      </c>
      <c r="P73" s="58">
        <v>950</v>
      </c>
      <c r="Q73" s="49">
        <v>744</v>
      </c>
      <c r="R73" s="27">
        <v>48</v>
      </c>
      <c r="S73" s="58">
        <v>644</v>
      </c>
      <c r="T73" s="98">
        <v>510</v>
      </c>
      <c r="U73" s="27">
        <v>41</v>
      </c>
      <c r="V73" s="58">
        <v>580</v>
      </c>
      <c r="W73" s="12">
        <v>402.8</v>
      </c>
      <c r="X73" s="27">
        <v>71</v>
      </c>
      <c r="Y73" s="58">
        <v>980</v>
      </c>
      <c r="Z73" s="12">
        <v>702</v>
      </c>
      <c r="AA73" s="27">
        <v>89</v>
      </c>
      <c r="AB73" s="58">
        <v>1202</v>
      </c>
      <c r="AC73" s="107">
        <v>908.88</v>
      </c>
      <c r="AD73" s="27">
        <v>87</v>
      </c>
      <c r="AE73" s="58">
        <v>1164</v>
      </c>
      <c r="AF73" s="107">
        <v>906.16000000000008</v>
      </c>
      <c r="AG73" s="27">
        <v>42</v>
      </c>
      <c r="AH73" s="58">
        <v>610</v>
      </c>
      <c r="AI73" s="107">
        <v>432</v>
      </c>
      <c r="AJ73" s="27">
        <v>41</v>
      </c>
      <c r="AK73" s="58">
        <v>580</v>
      </c>
      <c r="AL73" s="107">
        <v>402.8</v>
      </c>
      <c r="AM73" s="27">
        <v>83</v>
      </c>
      <c r="AN73" s="58">
        <v>1072</v>
      </c>
      <c r="AO73" s="107">
        <v>866.08</v>
      </c>
      <c r="AP73" s="27">
        <v>58</v>
      </c>
      <c r="AQ73" s="58">
        <v>822</v>
      </c>
      <c r="AR73" s="107">
        <v>593.6</v>
      </c>
      <c r="AS73" s="27">
        <v>78</v>
      </c>
      <c r="AT73" s="58">
        <v>1074</v>
      </c>
      <c r="AU73" s="107">
        <v>770.8</v>
      </c>
      <c r="AV73" s="54">
        <f t="shared" si="7"/>
        <v>760</v>
      </c>
      <c r="AW73" s="63">
        <f t="shared" si="7"/>
        <v>10378</v>
      </c>
      <c r="AX73" s="55">
        <f t="shared" si="7"/>
        <v>7761.920000000001</v>
      </c>
      <c r="AY73" s="54">
        <f t="shared" si="8"/>
        <v>63.333333333333336</v>
      </c>
      <c r="AZ73" s="63">
        <f t="shared" si="9"/>
        <v>5.2777777777777777</v>
      </c>
      <c r="BA73" s="55">
        <f t="shared" si="10"/>
        <v>646.82666666666671</v>
      </c>
      <c r="BB73" s="10">
        <v>26</v>
      </c>
      <c r="BC73" s="15">
        <v>370</v>
      </c>
      <c r="BD73" s="11">
        <v>268.40000000000003</v>
      </c>
      <c r="BE73" s="10">
        <v>48</v>
      </c>
      <c r="BF73" s="15">
        <v>650</v>
      </c>
      <c r="BG73" s="11">
        <v>508.08000000000004</v>
      </c>
      <c r="BH73" s="10">
        <v>46</v>
      </c>
      <c r="BI73" s="15">
        <v>612</v>
      </c>
      <c r="BJ73" s="11">
        <v>456.00000000000006</v>
      </c>
      <c r="BK73" s="10">
        <v>37</v>
      </c>
      <c r="BL73" s="15">
        <v>560</v>
      </c>
      <c r="BM73" s="11">
        <v>356.80000000000007</v>
      </c>
      <c r="BN73" s="44">
        <v>30</v>
      </c>
      <c r="BO73" s="42">
        <v>390</v>
      </c>
      <c r="BP73" s="45">
        <v>314.40000000000003</v>
      </c>
      <c r="BQ73" s="44">
        <v>57</v>
      </c>
      <c r="BR73" s="42">
        <v>820</v>
      </c>
      <c r="BS73" s="45">
        <v>566.40000000000009</v>
      </c>
      <c r="BT73" s="44">
        <v>75</v>
      </c>
      <c r="BU73" s="42">
        <v>1074</v>
      </c>
      <c r="BV73" s="112">
        <v>769.19999999999993</v>
      </c>
      <c r="BW73" s="115">
        <v>49</v>
      </c>
      <c r="BX73" s="116">
        <v>690</v>
      </c>
      <c r="BY73" s="112">
        <v>531.44000000000005</v>
      </c>
      <c r="BZ73" s="115">
        <v>75</v>
      </c>
      <c r="CA73" s="116">
        <v>1102</v>
      </c>
      <c r="CB73" s="112">
        <v>752</v>
      </c>
      <c r="CC73" s="115">
        <v>77</v>
      </c>
      <c r="CD73" s="116">
        <v>1086</v>
      </c>
      <c r="CE73" s="112">
        <v>856</v>
      </c>
      <c r="CF73" s="115">
        <v>56</v>
      </c>
      <c r="CG73" s="116">
        <v>778</v>
      </c>
      <c r="CH73" s="112">
        <v>596.16000000000008</v>
      </c>
      <c r="CI73" s="115">
        <v>65</v>
      </c>
      <c r="CJ73" s="116">
        <v>906</v>
      </c>
      <c r="CK73" s="112">
        <v>673.76</v>
      </c>
      <c r="CL73" s="54">
        <f t="shared" si="11"/>
        <v>641</v>
      </c>
      <c r="CM73" s="63">
        <f t="shared" si="11"/>
        <v>9038</v>
      </c>
      <c r="CN73" s="55">
        <f t="shared" si="11"/>
        <v>6648.64</v>
      </c>
      <c r="CO73" s="54">
        <f t="shared" si="12"/>
        <v>53.416666666666664</v>
      </c>
      <c r="CP73" s="63">
        <f t="shared" si="12"/>
        <v>753.16666666666663</v>
      </c>
      <c r="CQ73" s="55">
        <f t="shared" si="12"/>
        <v>554.0533333333334</v>
      </c>
    </row>
    <row r="74" spans="1:95" s="2" customFormat="1" ht="34.9" customHeight="1" x14ac:dyDescent="0.6">
      <c r="A74" s="5">
        <v>71</v>
      </c>
      <c r="B74" s="161" t="s">
        <v>220</v>
      </c>
      <c r="C74" s="21" t="s">
        <v>230</v>
      </c>
      <c r="D74" s="16" t="s">
        <v>221</v>
      </c>
      <c r="E74" s="15" t="s">
        <v>222</v>
      </c>
      <c r="F74" s="14" t="s">
        <v>223</v>
      </c>
      <c r="G74" s="7" t="s">
        <v>150</v>
      </c>
      <c r="H74" s="18" t="s">
        <v>851</v>
      </c>
      <c r="I74" s="18" t="s">
        <v>221</v>
      </c>
      <c r="J74" s="14" t="s">
        <v>852</v>
      </c>
      <c r="K74" s="49" t="s">
        <v>151</v>
      </c>
      <c r="L74" s="27">
        <v>85</v>
      </c>
      <c r="M74" s="58">
        <v>1200</v>
      </c>
      <c r="N74" s="78">
        <v>969</v>
      </c>
      <c r="O74" s="27">
        <v>115</v>
      </c>
      <c r="P74" s="58">
        <v>1420</v>
      </c>
      <c r="Q74" s="49">
        <v>1295.2</v>
      </c>
      <c r="R74" s="27">
        <v>40</v>
      </c>
      <c r="S74" s="58">
        <v>500</v>
      </c>
      <c r="T74" s="98">
        <v>449.6</v>
      </c>
      <c r="U74" s="27">
        <v>75</v>
      </c>
      <c r="V74" s="58">
        <v>1060</v>
      </c>
      <c r="W74" s="12">
        <v>879.6</v>
      </c>
      <c r="X74" s="27">
        <v>70</v>
      </c>
      <c r="Y74" s="58">
        <v>860</v>
      </c>
      <c r="Z74" s="107">
        <v>809.6</v>
      </c>
      <c r="AA74" s="27">
        <v>70</v>
      </c>
      <c r="AB74" s="58">
        <v>880</v>
      </c>
      <c r="AC74" s="107">
        <v>779.2</v>
      </c>
      <c r="AD74" s="27">
        <v>90</v>
      </c>
      <c r="AE74" s="58">
        <v>1140</v>
      </c>
      <c r="AF74" s="107">
        <v>988.8</v>
      </c>
      <c r="AG74" s="27">
        <v>135</v>
      </c>
      <c r="AH74" s="58">
        <v>1840</v>
      </c>
      <c r="AI74" s="107">
        <v>1508.4</v>
      </c>
      <c r="AJ74" s="27">
        <v>90</v>
      </c>
      <c r="AK74" s="58">
        <v>1140</v>
      </c>
      <c r="AL74" s="107">
        <v>988.8</v>
      </c>
      <c r="AM74" s="27">
        <v>35</v>
      </c>
      <c r="AN74" s="58">
        <v>460</v>
      </c>
      <c r="AO74" s="107">
        <v>359.20000000000005</v>
      </c>
      <c r="AP74" s="27">
        <v>0</v>
      </c>
      <c r="AQ74" s="58">
        <v>0</v>
      </c>
      <c r="AR74" s="107">
        <v>0</v>
      </c>
      <c r="AS74" s="27">
        <v>0</v>
      </c>
      <c r="AT74" s="58">
        <v>0</v>
      </c>
      <c r="AU74" s="107">
        <v>0</v>
      </c>
      <c r="AV74" s="54">
        <f t="shared" si="7"/>
        <v>805</v>
      </c>
      <c r="AW74" s="63">
        <f t="shared" si="7"/>
        <v>10500</v>
      </c>
      <c r="AX74" s="55">
        <f t="shared" si="7"/>
        <v>9027.4</v>
      </c>
      <c r="AY74" s="54">
        <f t="shared" si="8"/>
        <v>67.083333333333329</v>
      </c>
      <c r="AZ74" s="63">
        <f t="shared" si="9"/>
        <v>5.5902777777777777</v>
      </c>
      <c r="BA74" s="55">
        <f t="shared" si="10"/>
        <v>752.2833333333333</v>
      </c>
      <c r="BB74" s="10">
        <v>100</v>
      </c>
      <c r="BC74" s="15">
        <v>1300</v>
      </c>
      <c r="BD74" s="11">
        <v>1048</v>
      </c>
      <c r="BE74" s="10">
        <v>0</v>
      </c>
      <c r="BF74" s="15">
        <v>0</v>
      </c>
      <c r="BG74" s="11">
        <v>0</v>
      </c>
      <c r="BH74" s="10">
        <v>0</v>
      </c>
      <c r="BI74" s="15">
        <v>0</v>
      </c>
      <c r="BJ74" s="11">
        <v>0</v>
      </c>
      <c r="BK74" s="10">
        <v>0</v>
      </c>
      <c r="BL74" s="15">
        <v>0</v>
      </c>
      <c r="BM74" s="11">
        <v>0</v>
      </c>
      <c r="BN74" s="44">
        <v>0</v>
      </c>
      <c r="BO74" s="42">
        <v>0</v>
      </c>
      <c r="BP74" s="45">
        <v>0</v>
      </c>
      <c r="BQ74" s="44">
        <v>0</v>
      </c>
      <c r="BR74" s="42">
        <v>0</v>
      </c>
      <c r="BS74" s="45">
        <v>0</v>
      </c>
      <c r="BT74" s="44">
        <v>0</v>
      </c>
      <c r="BU74" s="42">
        <v>0</v>
      </c>
      <c r="BV74" s="112">
        <v>0</v>
      </c>
      <c r="BW74" s="115">
        <v>0</v>
      </c>
      <c r="BX74" s="116">
        <v>0</v>
      </c>
      <c r="BY74" s="112">
        <v>0</v>
      </c>
      <c r="BZ74" s="115">
        <v>0</v>
      </c>
      <c r="CA74" s="116">
        <v>0</v>
      </c>
      <c r="CB74" s="112">
        <v>0</v>
      </c>
      <c r="CC74" s="115">
        <v>0</v>
      </c>
      <c r="CD74" s="116">
        <v>0</v>
      </c>
      <c r="CE74" s="112">
        <v>0</v>
      </c>
      <c r="CF74" s="115">
        <v>0</v>
      </c>
      <c r="CG74" s="116">
        <v>0</v>
      </c>
      <c r="CH74" s="112">
        <v>0</v>
      </c>
      <c r="CI74" s="115">
        <v>0</v>
      </c>
      <c r="CJ74" s="116">
        <v>0</v>
      </c>
      <c r="CK74" s="112">
        <v>0</v>
      </c>
      <c r="CL74" s="54">
        <f t="shared" si="11"/>
        <v>100</v>
      </c>
      <c r="CM74" s="63">
        <f t="shared" si="11"/>
        <v>1300</v>
      </c>
      <c r="CN74" s="55">
        <f t="shared" si="11"/>
        <v>1048</v>
      </c>
      <c r="CO74" s="54">
        <f t="shared" si="12"/>
        <v>8.3333333333333339</v>
      </c>
      <c r="CP74" s="63">
        <f t="shared" si="12"/>
        <v>108.33333333333333</v>
      </c>
      <c r="CQ74" s="55">
        <f t="shared" si="12"/>
        <v>87.333333333333329</v>
      </c>
    </row>
    <row r="75" spans="1:95" s="2" customFormat="1" ht="34.9" customHeight="1" x14ac:dyDescent="0.6">
      <c r="A75" s="5">
        <v>72</v>
      </c>
      <c r="B75" s="161" t="s">
        <v>224</v>
      </c>
      <c r="C75" s="21" t="s">
        <v>640</v>
      </c>
      <c r="D75" s="16" t="s">
        <v>225</v>
      </c>
      <c r="E75" s="15" t="s">
        <v>226</v>
      </c>
      <c r="F75" s="14" t="s">
        <v>227</v>
      </c>
      <c r="G75" s="7" t="s">
        <v>150</v>
      </c>
      <c r="H75" s="18" t="s">
        <v>224</v>
      </c>
      <c r="I75" s="18" t="s">
        <v>225</v>
      </c>
      <c r="J75" s="14" t="s">
        <v>853</v>
      </c>
      <c r="K75" s="49" t="s">
        <v>151</v>
      </c>
      <c r="L75" s="27">
        <v>144</v>
      </c>
      <c r="M75" s="58">
        <v>3384</v>
      </c>
      <c r="N75" s="78">
        <v>2191.6799999999998</v>
      </c>
      <c r="O75" s="27">
        <v>125</v>
      </c>
      <c r="P75" s="58">
        <v>3160</v>
      </c>
      <c r="Q75" s="49">
        <v>1906.4</v>
      </c>
      <c r="R75" s="27">
        <v>58</v>
      </c>
      <c r="S75" s="58">
        <v>1392</v>
      </c>
      <c r="T75" s="98">
        <v>890.88</v>
      </c>
      <c r="U75" s="27">
        <v>0</v>
      </c>
      <c r="V75" s="58">
        <v>0</v>
      </c>
      <c r="W75" s="12">
        <v>0</v>
      </c>
      <c r="X75" s="27">
        <v>21</v>
      </c>
      <c r="Y75" s="58">
        <v>504</v>
      </c>
      <c r="Z75" s="107">
        <v>322.56</v>
      </c>
      <c r="AA75" s="27">
        <v>14</v>
      </c>
      <c r="AB75" s="58">
        <v>336</v>
      </c>
      <c r="AC75" s="107">
        <v>215.04</v>
      </c>
      <c r="AD75" s="27">
        <v>10</v>
      </c>
      <c r="AE75" s="58">
        <v>240</v>
      </c>
      <c r="AF75" s="107">
        <v>153.6</v>
      </c>
      <c r="AG75" s="27">
        <v>18</v>
      </c>
      <c r="AH75" s="58">
        <v>432</v>
      </c>
      <c r="AI75" s="107">
        <v>276.48</v>
      </c>
      <c r="AJ75" s="27">
        <v>3</v>
      </c>
      <c r="AK75" s="58">
        <v>72</v>
      </c>
      <c r="AL75" s="107">
        <v>46.08</v>
      </c>
      <c r="AM75" s="27">
        <v>10</v>
      </c>
      <c r="AN75" s="58">
        <v>240</v>
      </c>
      <c r="AO75" s="107">
        <v>153.6</v>
      </c>
      <c r="AP75" s="27">
        <v>5</v>
      </c>
      <c r="AQ75" s="58">
        <v>120</v>
      </c>
      <c r="AR75" s="107">
        <v>77</v>
      </c>
      <c r="AS75" s="27">
        <v>0</v>
      </c>
      <c r="AT75" s="58">
        <v>0</v>
      </c>
      <c r="AU75" s="107">
        <v>0</v>
      </c>
      <c r="AV75" s="54">
        <f t="shared" si="7"/>
        <v>408</v>
      </c>
      <c r="AW75" s="63">
        <f t="shared" si="7"/>
        <v>9880</v>
      </c>
      <c r="AX75" s="55">
        <f t="shared" si="7"/>
        <v>6233.3200000000015</v>
      </c>
      <c r="AY75" s="54">
        <f t="shared" si="8"/>
        <v>34</v>
      </c>
      <c r="AZ75" s="63">
        <f t="shared" si="9"/>
        <v>2.8333333333333335</v>
      </c>
      <c r="BA75" s="55">
        <f t="shared" si="10"/>
        <v>519.4433333333335</v>
      </c>
      <c r="BB75" s="10">
        <v>0</v>
      </c>
      <c r="BC75" s="15">
        <v>0</v>
      </c>
      <c r="BD75" s="11">
        <v>0</v>
      </c>
      <c r="BE75" s="10">
        <v>0</v>
      </c>
      <c r="BF75" s="15">
        <v>0</v>
      </c>
      <c r="BG75" s="11">
        <v>0</v>
      </c>
      <c r="BH75" s="10">
        <v>0</v>
      </c>
      <c r="BI75" s="15">
        <v>0</v>
      </c>
      <c r="BJ75" s="11">
        <v>0</v>
      </c>
      <c r="BK75" s="10">
        <v>0</v>
      </c>
      <c r="BL75" s="15">
        <v>0</v>
      </c>
      <c r="BM75" s="11">
        <v>0</v>
      </c>
      <c r="BN75" s="44">
        <v>0</v>
      </c>
      <c r="BO75" s="42">
        <v>0</v>
      </c>
      <c r="BP75" s="45">
        <v>0</v>
      </c>
      <c r="BQ75" s="44">
        <v>0</v>
      </c>
      <c r="BR75" s="42">
        <v>0</v>
      </c>
      <c r="BS75" s="45">
        <v>0</v>
      </c>
      <c r="BT75" s="44">
        <v>0</v>
      </c>
      <c r="BU75" s="42">
        <v>0</v>
      </c>
      <c r="BV75" s="112">
        <v>0</v>
      </c>
      <c r="BW75" s="115">
        <v>0</v>
      </c>
      <c r="BX75" s="116">
        <v>0</v>
      </c>
      <c r="BY75" s="112">
        <v>0</v>
      </c>
      <c r="BZ75" s="115">
        <v>0</v>
      </c>
      <c r="CA75" s="116">
        <v>0</v>
      </c>
      <c r="CB75" s="112">
        <v>0</v>
      </c>
      <c r="CC75" s="115">
        <v>0</v>
      </c>
      <c r="CD75" s="116">
        <v>0</v>
      </c>
      <c r="CE75" s="112">
        <v>0</v>
      </c>
      <c r="CF75" s="115">
        <v>0</v>
      </c>
      <c r="CG75" s="116">
        <v>0</v>
      </c>
      <c r="CH75" s="112">
        <v>0</v>
      </c>
      <c r="CI75" s="115">
        <v>0</v>
      </c>
      <c r="CJ75" s="116">
        <v>0</v>
      </c>
      <c r="CK75" s="112">
        <v>0</v>
      </c>
      <c r="CL75" s="54">
        <f t="shared" si="11"/>
        <v>0</v>
      </c>
      <c r="CM75" s="63">
        <f t="shared" si="11"/>
        <v>0</v>
      </c>
      <c r="CN75" s="55">
        <f t="shared" si="11"/>
        <v>0</v>
      </c>
      <c r="CO75" s="54">
        <f t="shared" si="12"/>
        <v>0</v>
      </c>
      <c r="CP75" s="63">
        <f t="shared" si="12"/>
        <v>0</v>
      </c>
      <c r="CQ75" s="55">
        <f t="shared" si="12"/>
        <v>0</v>
      </c>
    </row>
    <row r="76" spans="1:95" s="2" customFormat="1" ht="34.9" customHeight="1" x14ac:dyDescent="0.6">
      <c r="A76" s="5">
        <v>73</v>
      </c>
      <c r="B76" s="163" t="s">
        <v>228</v>
      </c>
      <c r="C76" s="21" t="s">
        <v>619</v>
      </c>
      <c r="D76" s="16" t="s">
        <v>229</v>
      </c>
      <c r="E76" s="14" t="s">
        <v>128</v>
      </c>
      <c r="F76" s="14" t="s">
        <v>129</v>
      </c>
      <c r="G76" s="7" t="s">
        <v>150</v>
      </c>
      <c r="H76" s="18"/>
      <c r="I76" s="18"/>
      <c r="J76" s="14" t="s">
        <v>854</v>
      </c>
      <c r="K76" s="49" t="s">
        <v>151</v>
      </c>
      <c r="L76" s="27">
        <v>65</v>
      </c>
      <c r="M76" s="58">
        <v>910</v>
      </c>
      <c r="N76" s="78">
        <v>582</v>
      </c>
      <c r="O76" s="27">
        <v>40</v>
      </c>
      <c r="P76" s="58">
        <v>550</v>
      </c>
      <c r="Q76" s="49">
        <v>373.6</v>
      </c>
      <c r="R76" s="27">
        <v>30</v>
      </c>
      <c r="S76" s="58">
        <v>420</v>
      </c>
      <c r="T76" s="98">
        <v>268.8</v>
      </c>
      <c r="U76" s="27">
        <v>51</v>
      </c>
      <c r="V76" s="58">
        <v>702</v>
      </c>
      <c r="W76" s="12">
        <v>475.2</v>
      </c>
      <c r="X76" s="27">
        <v>50</v>
      </c>
      <c r="Y76" s="58">
        <v>700</v>
      </c>
      <c r="Z76" s="12">
        <v>448</v>
      </c>
      <c r="AA76" s="27">
        <v>35</v>
      </c>
      <c r="AB76" s="58">
        <v>490</v>
      </c>
      <c r="AC76" s="107">
        <v>313.60000000000002</v>
      </c>
      <c r="AD76" s="27">
        <v>6</v>
      </c>
      <c r="AE76" s="58">
        <v>78</v>
      </c>
      <c r="AF76" s="107">
        <v>62.879999999999995</v>
      </c>
      <c r="AG76" s="27">
        <v>9</v>
      </c>
      <c r="AH76" s="58">
        <v>120</v>
      </c>
      <c r="AI76" s="107">
        <v>89.759999999999991</v>
      </c>
      <c r="AJ76" s="27">
        <v>15</v>
      </c>
      <c r="AK76" s="58">
        <v>210</v>
      </c>
      <c r="AL76" s="107">
        <v>134.4</v>
      </c>
      <c r="AM76" s="27">
        <v>3</v>
      </c>
      <c r="AN76" s="58">
        <v>36</v>
      </c>
      <c r="AO76" s="107">
        <v>36</v>
      </c>
      <c r="AP76" s="27">
        <v>5</v>
      </c>
      <c r="AQ76" s="58">
        <v>70</v>
      </c>
      <c r="AR76" s="107">
        <v>44.800000000000004</v>
      </c>
      <c r="AS76" s="27">
        <v>15</v>
      </c>
      <c r="AT76" s="58">
        <v>200</v>
      </c>
      <c r="AU76" s="107">
        <v>149.60000000000002</v>
      </c>
      <c r="AV76" s="54">
        <f t="shared" si="7"/>
        <v>324</v>
      </c>
      <c r="AW76" s="63">
        <f t="shared" si="7"/>
        <v>4486</v>
      </c>
      <c r="AX76" s="55">
        <f t="shared" si="7"/>
        <v>2978.6400000000003</v>
      </c>
      <c r="AY76" s="54">
        <f t="shared" si="8"/>
        <v>27</v>
      </c>
      <c r="AZ76" s="63">
        <f t="shared" si="9"/>
        <v>2.25</v>
      </c>
      <c r="BA76" s="55">
        <f t="shared" si="10"/>
        <v>248.22000000000003</v>
      </c>
      <c r="BB76" s="10">
        <v>13</v>
      </c>
      <c r="BC76" s="15">
        <v>176</v>
      </c>
      <c r="BD76" s="11">
        <v>125.60000000000002</v>
      </c>
      <c r="BE76" s="10">
        <v>5</v>
      </c>
      <c r="BF76" s="15">
        <v>70</v>
      </c>
      <c r="BG76" s="11">
        <v>44.800000000000004</v>
      </c>
      <c r="BH76" s="10">
        <v>30</v>
      </c>
      <c r="BI76" s="15">
        <v>420</v>
      </c>
      <c r="BJ76" s="11">
        <v>268.8</v>
      </c>
      <c r="BK76" s="10">
        <v>3</v>
      </c>
      <c r="BL76" s="15">
        <v>36</v>
      </c>
      <c r="BM76" s="11">
        <v>36</v>
      </c>
      <c r="BN76" s="44">
        <v>5</v>
      </c>
      <c r="BO76" s="42">
        <v>70</v>
      </c>
      <c r="BP76" s="45">
        <v>44.800000000000004</v>
      </c>
      <c r="BQ76" s="44">
        <v>13</v>
      </c>
      <c r="BR76" s="42">
        <v>176</v>
      </c>
      <c r="BS76" s="45">
        <v>125.60000000000001</v>
      </c>
      <c r="BT76" s="44">
        <v>5</v>
      </c>
      <c r="BU76" s="42">
        <v>70</v>
      </c>
      <c r="BV76" s="112">
        <v>44.800000000000004</v>
      </c>
      <c r="BW76" s="115">
        <v>10</v>
      </c>
      <c r="BX76" s="116">
        <v>143</v>
      </c>
      <c r="BY76" s="112">
        <v>91.640000000000015</v>
      </c>
      <c r="BZ76" s="115">
        <v>5</v>
      </c>
      <c r="CA76" s="116">
        <v>70</v>
      </c>
      <c r="CB76" s="112">
        <v>44.800000000000004</v>
      </c>
      <c r="CC76" s="115">
        <v>12</v>
      </c>
      <c r="CD76" s="116">
        <v>154</v>
      </c>
      <c r="CE76" s="112">
        <v>128.80000000000001</v>
      </c>
      <c r="CF76" s="115">
        <v>5</v>
      </c>
      <c r="CG76" s="116">
        <v>70</v>
      </c>
      <c r="CH76" s="112">
        <v>44.800000000000004</v>
      </c>
      <c r="CI76" s="115">
        <v>0</v>
      </c>
      <c r="CJ76" s="116">
        <v>0</v>
      </c>
      <c r="CK76" s="112">
        <v>0</v>
      </c>
      <c r="CL76" s="54">
        <f t="shared" si="11"/>
        <v>106</v>
      </c>
      <c r="CM76" s="63">
        <f t="shared" si="11"/>
        <v>1455</v>
      </c>
      <c r="CN76" s="55">
        <f t="shared" si="11"/>
        <v>1000.4399999999998</v>
      </c>
      <c r="CO76" s="54">
        <f t="shared" si="12"/>
        <v>8.8333333333333339</v>
      </c>
      <c r="CP76" s="63">
        <f t="shared" si="12"/>
        <v>121.25</v>
      </c>
      <c r="CQ76" s="55">
        <f t="shared" si="12"/>
        <v>83.36999999999999</v>
      </c>
    </row>
    <row r="77" spans="1:95" s="2" customFormat="1" ht="34.9" customHeight="1" x14ac:dyDescent="0.6">
      <c r="A77" s="5">
        <v>74</v>
      </c>
      <c r="B77" s="18" t="s">
        <v>230</v>
      </c>
      <c r="C77" s="21" t="s">
        <v>641</v>
      </c>
      <c r="D77" s="14" t="s">
        <v>231</v>
      </c>
      <c r="E77" s="14" t="s">
        <v>100</v>
      </c>
      <c r="F77" s="16" t="s">
        <v>101</v>
      </c>
      <c r="G77" s="7" t="s">
        <v>150</v>
      </c>
      <c r="H77" s="18"/>
      <c r="I77" s="18"/>
      <c r="J77" s="14" t="s">
        <v>855</v>
      </c>
      <c r="K77" s="49" t="s">
        <v>151</v>
      </c>
      <c r="L77" s="27">
        <v>815</v>
      </c>
      <c r="M77" s="58">
        <v>12380</v>
      </c>
      <c r="N77" s="78">
        <v>8780.7999999999993</v>
      </c>
      <c r="O77" s="27">
        <v>820</v>
      </c>
      <c r="P77" s="58">
        <v>11920</v>
      </c>
      <c r="Q77" s="49">
        <v>8974</v>
      </c>
      <c r="R77" s="27">
        <v>890</v>
      </c>
      <c r="S77" s="58">
        <v>13350</v>
      </c>
      <c r="T77" s="98">
        <v>9850.4</v>
      </c>
      <c r="U77" s="27">
        <v>855</v>
      </c>
      <c r="V77" s="58">
        <v>12920</v>
      </c>
      <c r="W77" s="12">
        <v>9397.6</v>
      </c>
      <c r="X77" s="27">
        <v>505</v>
      </c>
      <c r="Y77" s="58">
        <v>8120</v>
      </c>
      <c r="Z77" s="12">
        <v>5712</v>
      </c>
      <c r="AA77" s="27">
        <v>1090</v>
      </c>
      <c r="AB77" s="58">
        <v>18020</v>
      </c>
      <c r="AC77" s="107">
        <v>12023.6</v>
      </c>
      <c r="AD77" s="27">
        <v>1230</v>
      </c>
      <c r="AE77" s="58">
        <v>18220</v>
      </c>
      <c r="AF77" s="107">
        <v>13512.8</v>
      </c>
      <c r="AG77" s="27">
        <v>635</v>
      </c>
      <c r="AH77" s="58">
        <v>9500</v>
      </c>
      <c r="AI77" s="107">
        <v>7016</v>
      </c>
      <c r="AJ77" s="27">
        <v>535</v>
      </c>
      <c r="AK77" s="58">
        <v>8340</v>
      </c>
      <c r="AL77" s="107">
        <v>5887.2</v>
      </c>
      <c r="AM77" s="27">
        <v>805</v>
      </c>
      <c r="AN77" s="58">
        <v>12540</v>
      </c>
      <c r="AO77" s="107">
        <v>8872.7999999999993</v>
      </c>
      <c r="AP77" s="27">
        <v>540</v>
      </c>
      <c r="AQ77" s="58">
        <v>8640</v>
      </c>
      <c r="AR77" s="107">
        <v>6124</v>
      </c>
      <c r="AS77" s="27">
        <v>780</v>
      </c>
      <c r="AT77" s="58">
        <v>11740</v>
      </c>
      <c r="AU77" s="107">
        <v>8712.4</v>
      </c>
      <c r="AV77" s="54">
        <f t="shared" si="7"/>
        <v>9500</v>
      </c>
      <c r="AW77" s="63">
        <f t="shared" si="7"/>
        <v>145690</v>
      </c>
      <c r="AX77" s="55">
        <f t="shared" si="7"/>
        <v>104863.59999999999</v>
      </c>
      <c r="AY77" s="54">
        <f t="shared" si="8"/>
        <v>791.66666666666663</v>
      </c>
      <c r="AZ77" s="63">
        <f t="shared" si="9"/>
        <v>65.972222222222214</v>
      </c>
      <c r="BA77" s="55">
        <f t="shared" si="10"/>
        <v>8738.6333333333332</v>
      </c>
      <c r="BB77" s="10">
        <v>275</v>
      </c>
      <c r="BC77" s="15">
        <v>3960</v>
      </c>
      <c r="BD77" s="11">
        <v>2996</v>
      </c>
      <c r="BE77" s="10">
        <v>765</v>
      </c>
      <c r="BF77" s="15">
        <v>11360</v>
      </c>
      <c r="BG77" s="11">
        <v>8583.5999999999985</v>
      </c>
      <c r="BH77" s="10">
        <v>1160</v>
      </c>
      <c r="BI77" s="15">
        <v>16980</v>
      </c>
      <c r="BJ77" s="11">
        <v>12715.2</v>
      </c>
      <c r="BK77" s="10">
        <v>285</v>
      </c>
      <c r="BL77" s="15">
        <v>4120</v>
      </c>
      <c r="BM77" s="11">
        <v>3151.2</v>
      </c>
      <c r="BN77" s="44">
        <v>265</v>
      </c>
      <c r="BO77" s="42">
        <v>3800</v>
      </c>
      <c r="BP77" s="45">
        <v>2966.8</v>
      </c>
      <c r="BQ77" s="44">
        <v>490</v>
      </c>
      <c r="BR77" s="42">
        <v>6610</v>
      </c>
      <c r="BS77" s="45">
        <v>5469.6</v>
      </c>
      <c r="BT77" s="44">
        <v>545</v>
      </c>
      <c r="BU77" s="42">
        <v>7320</v>
      </c>
      <c r="BV77" s="112">
        <v>6005.6</v>
      </c>
      <c r="BW77" s="115">
        <v>550</v>
      </c>
      <c r="BX77" s="116">
        <v>8180</v>
      </c>
      <c r="BY77" s="112">
        <v>6138.4</v>
      </c>
      <c r="BZ77" s="115">
        <v>795</v>
      </c>
      <c r="CA77" s="116">
        <v>11540</v>
      </c>
      <c r="CB77" s="112">
        <v>8561.6</v>
      </c>
      <c r="CC77" s="115">
        <v>724</v>
      </c>
      <c r="CD77" s="116">
        <v>10060</v>
      </c>
      <c r="CE77" s="112">
        <v>8456</v>
      </c>
      <c r="CF77" s="115">
        <v>555</v>
      </c>
      <c r="CG77" s="116">
        <v>7960</v>
      </c>
      <c r="CH77" s="112">
        <v>6256.4</v>
      </c>
      <c r="CI77" s="115">
        <v>540</v>
      </c>
      <c r="CJ77" s="116">
        <v>8290</v>
      </c>
      <c r="CK77" s="112">
        <v>6210.4</v>
      </c>
      <c r="CL77" s="54">
        <f t="shared" si="11"/>
        <v>6949</v>
      </c>
      <c r="CM77" s="63">
        <f t="shared" si="11"/>
        <v>100180</v>
      </c>
      <c r="CN77" s="55">
        <f t="shared" si="11"/>
        <v>77510.799999999988</v>
      </c>
      <c r="CO77" s="54">
        <f t="shared" si="12"/>
        <v>579.08333333333337</v>
      </c>
      <c r="CP77" s="63">
        <f t="shared" si="12"/>
        <v>8348.3333333333339</v>
      </c>
      <c r="CQ77" s="55">
        <f t="shared" si="12"/>
        <v>6459.2333333333327</v>
      </c>
    </row>
    <row r="78" spans="1:95" s="2" customFormat="1" ht="34.9" customHeight="1" x14ac:dyDescent="0.6">
      <c r="A78" s="5">
        <v>75</v>
      </c>
      <c r="B78" s="14" t="s">
        <v>232</v>
      </c>
      <c r="C78" s="21" t="s">
        <v>642</v>
      </c>
      <c r="D78" s="19" t="s">
        <v>233</v>
      </c>
      <c r="E78" s="15" t="s">
        <v>128</v>
      </c>
      <c r="F78" s="20" t="s">
        <v>129</v>
      </c>
      <c r="G78" s="7" t="s">
        <v>150</v>
      </c>
      <c r="H78" s="18" t="s">
        <v>856</v>
      </c>
      <c r="I78" s="18"/>
      <c r="J78" s="14" t="s">
        <v>857</v>
      </c>
      <c r="K78" s="49" t="s">
        <v>151</v>
      </c>
      <c r="L78" s="27">
        <v>120</v>
      </c>
      <c r="M78" s="58">
        <v>1760</v>
      </c>
      <c r="N78" s="78">
        <v>1351.2</v>
      </c>
      <c r="O78" s="27">
        <v>30</v>
      </c>
      <c r="P78" s="58">
        <v>360</v>
      </c>
      <c r="Q78" s="49">
        <v>360</v>
      </c>
      <c r="R78" s="27">
        <v>0</v>
      </c>
      <c r="S78" s="58">
        <v>0</v>
      </c>
      <c r="T78" s="98">
        <v>0</v>
      </c>
      <c r="U78" s="27">
        <v>80</v>
      </c>
      <c r="V78" s="58">
        <v>1260</v>
      </c>
      <c r="W78" s="12">
        <v>949.6</v>
      </c>
      <c r="X78" s="27">
        <v>30</v>
      </c>
      <c r="Y78" s="58">
        <v>360</v>
      </c>
      <c r="Z78" s="12">
        <v>360</v>
      </c>
      <c r="AA78" s="27">
        <v>0</v>
      </c>
      <c r="AB78" s="58">
        <v>0</v>
      </c>
      <c r="AC78" s="12">
        <v>0</v>
      </c>
      <c r="AD78" s="27">
        <v>40</v>
      </c>
      <c r="AE78" s="58">
        <v>480</v>
      </c>
      <c r="AF78" s="107">
        <v>432</v>
      </c>
      <c r="AG78" s="27">
        <v>30</v>
      </c>
      <c r="AH78" s="58">
        <v>360</v>
      </c>
      <c r="AI78" s="107">
        <v>360</v>
      </c>
      <c r="AJ78" s="27">
        <v>110</v>
      </c>
      <c r="AK78" s="58">
        <v>1900</v>
      </c>
      <c r="AL78" s="107">
        <v>1329.6</v>
      </c>
      <c r="AM78" s="27">
        <v>80</v>
      </c>
      <c r="AN78" s="58">
        <v>1020</v>
      </c>
      <c r="AO78" s="107">
        <v>772.8</v>
      </c>
      <c r="AP78" s="27">
        <v>80</v>
      </c>
      <c r="AQ78" s="58">
        <v>960</v>
      </c>
      <c r="AR78" s="107">
        <v>960</v>
      </c>
      <c r="AS78" s="27">
        <v>30</v>
      </c>
      <c r="AT78" s="58">
        <v>360</v>
      </c>
      <c r="AU78" s="107">
        <v>360</v>
      </c>
      <c r="AV78" s="54">
        <f t="shared" si="7"/>
        <v>630</v>
      </c>
      <c r="AW78" s="63">
        <f t="shared" si="7"/>
        <v>8820</v>
      </c>
      <c r="AX78" s="55">
        <f t="shared" si="7"/>
        <v>7235.2</v>
      </c>
      <c r="AY78" s="54">
        <f t="shared" si="8"/>
        <v>52.5</v>
      </c>
      <c r="AZ78" s="63">
        <f t="shared" si="9"/>
        <v>4.375</v>
      </c>
      <c r="BA78" s="55">
        <f t="shared" si="10"/>
        <v>602.93333333333328</v>
      </c>
      <c r="BB78" s="10">
        <v>30</v>
      </c>
      <c r="BC78" s="15">
        <v>360</v>
      </c>
      <c r="BD78" s="11">
        <v>360</v>
      </c>
      <c r="BE78" s="10">
        <v>65</v>
      </c>
      <c r="BF78" s="15">
        <v>1200</v>
      </c>
      <c r="BG78" s="11">
        <v>714</v>
      </c>
      <c r="BH78" s="10">
        <v>80</v>
      </c>
      <c r="BI78" s="15">
        <v>960</v>
      </c>
      <c r="BJ78" s="11">
        <v>960</v>
      </c>
      <c r="BK78" s="10">
        <v>0</v>
      </c>
      <c r="BL78" s="15">
        <v>0</v>
      </c>
      <c r="BM78" s="11">
        <v>0</v>
      </c>
      <c r="BN78" s="44">
        <v>30</v>
      </c>
      <c r="BO78" s="42">
        <v>360</v>
      </c>
      <c r="BP78" s="45">
        <v>360</v>
      </c>
      <c r="BQ78" s="44">
        <v>120</v>
      </c>
      <c r="BR78" s="42">
        <v>1720</v>
      </c>
      <c r="BS78" s="45">
        <v>1460</v>
      </c>
      <c r="BT78" s="44">
        <v>95</v>
      </c>
      <c r="BU78" s="42">
        <v>1880</v>
      </c>
      <c r="BV78" s="112">
        <v>1033.2</v>
      </c>
      <c r="BW78" s="115">
        <v>30</v>
      </c>
      <c r="BX78" s="116">
        <v>363</v>
      </c>
      <c r="BY78" s="112">
        <v>362.04</v>
      </c>
      <c r="BZ78" s="115">
        <v>80</v>
      </c>
      <c r="CA78" s="116">
        <v>1240</v>
      </c>
      <c r="CB78" s="112">
        <v>980</v>
      </c>
      <c r="CC78" s="115">
        <v>110</v>
      </c>
      <c r="CD78" s="116">
        <v>1320</v>
      </c>
      <c r="CE78" s="112">
        <v>1320</v>
      </c>
      <c r="CF78" s="115">
        <v>55</v>
      </c>
      <c r="CG78" s="116">
        <v>1360</v>
      </c>
      <c r="CH78" s="112">
        <v>710</v>
      </c>
      <c r="CI78" s="115">
        <v>30</v>
      </c>
      <c r="CJ78" s="116">
        <v>360</v>
      </c>
      <c r="CK78" s="112">
        <v>360</v>
      </c>
      <c r="CL78" s="54">
        <f t="shared" si="11"/>
        <v>725</v>
      </c>
      <c r="CM78" s="63">
        <f t="shared" si="11"/>
        <v>11123</v>
      </c>
      <c r="CN78" s="55">
        <f t="shared" si="11"/>
        <v>8619.24</v>
      </c>
      <c r="CO78" s="54">
        <f t="shared" si="12"/>
        <v>60.416666666666664</v>
      </c>
      <c r="CP78" s="63">
        <f t="shared" si="12"/>
        <v>926.91666666666663</v>
      </c>
      <c r="CQ78" s="55">
        <f t="shared" si="12"/>
        <v>718.27</v>
      </c>
    </row>
    <row r="79" spans="1:95" s="2" customFormat="1" ht="34.9" customHeight="1" x14ac:dyDescent="0.6">
      <c r="A79" s="5">
        <v>76</v>
      </c>
      <c r="B79" s="14" t="s">
        <v>234</v>
      </c>
      <c r="C79" s="21" t="s">
        <v>1154</v>
      </c>
      <c r="D79" s="21" t="s">
        <v>235</v>
      </c>
      <c r="E79" s="14" t="s">
        <v>236</v>
      </c>
      <c r="F79" s="20" t="s">
        <v>237</v>
      </c>
      <c r="G79" s="7" t="s">
        <v>150</v>
      </c>
      <c r="H79" s="18" t="s">
        <v>858</v>
      </c>
      <c r="I79" s="18"/>
      <c r="J79" s="14" t="s">
        <v>859</v>
      </c>
      <c r="K79" s="49" t="s">
        <v>151</v>
      </c>
      <c r="L79" s="27">
        <v>400</v>
      </c>
      <c r="M79" s="58">
        <v>5400</v>
      </c>
      <c r="N79" s="78">
        <v>3528</v>
      </c>
      <c r="O79" s="27">
        <v>400</v>
      </c>
      <c r="P79" s="58">
        <v>5200</v>
      </c>
      <c r="Q79" s="49">
        <v>3832</v>
      </c>
      <c r="R79" s="27">
        <v>800</v>
      </c>
      <c r="S79" s="58">
        <v>12300</v>
      </c>
      <c r="T79" s="98">
        <v>7364</v>
      </c>
      <c r="U79" s="27">
        <v>0</v>
      </c>
      <c r="V79" s="58">
        <v>0</v>
      </c>
      <c r="W79" s="12">
        <v>0</v>
      </c>
      <c r="X79" s="27">
        <v>400</v>
      </c>
      <c r="Y79" s="58">
        <v>5500</v>
      </c>
      <c r="Z79" s="12">
        <v>3556</v>
      </c>
      <c r="AA79" s="27">
        <v>820</v>
      </c>
      <c r="AB79" s="58">
        <v>11900</v>
      </c>
      <c r="AC79" s="12">
        <v>7420</v>
      </c>
      <c r="AD79" s="27">
        <v>0</v>
      </c>
      <c r="AE79" s="58">
        <v>0</v>
      </c>
      <c r="AF79" s="107">
        <v>0</v>
      </c>
      <c r="AG79" s="27">
        <v>400</v>
      </c>
      <c r="AH79" s="58">
        <v>5400</v>
      </c>
      <c r="AI79" s="107">
        <v>3528</v>
      </c>
      <c r="AJ79" s="27">
        <v>415</v>
      </c>
      <c r="AK79" s="58">
        <v>5780</v>
      </c>
      <c r="AL79" s="107">
        <v>3764</v>
      </c>
      <c r="AM79" s="27">
        <v>0</v>
      </c>
      <c r="AN79" s="58">
        <v>0</v>
      </c>
      <c r="AO79" s="107">
        <v>0</v>
      </c>
      <c r="AP79" s="27">
        <v>340</v>
      </c>
      <c r="AQ79" s="58">
        <v>4580</v>
      </c>
      <c r="AR79" s="107">
        <v>3320</v>
      </c>
      <c r="AS79" s="27">
        <v>300</v>
      </c>
      <c r="AT79" s="58">
        <v>4200</v>
      </c>
      <c r="AU79" s="107">
        <v>2688</v>
      </c>
      <c r="AV79" s="54">
        <f t="shared" si="7"/>
        <v>4275</v>
      </c>
      <c r="AW79" s="63">
        <f t="shared" si="7"/>
        <v>60260</v>
      </c>
      <c r="AX79" s="55">
        <f t="shared" si="7"/>
        <v>39000</v>
      </c>
      <c r="AY79" s="54">
        <f t="shared" si="8"/>
        <v>356.25</v>
      </c>
      <c r="AZ79" s="63">
        <f t="shared" si="9"/>
        <v>29.6875</v>
      </c>
      <c r="BA79" s="55">
        <f t="shared" si="10"/>
        <v>3250</v>
      </c>
      <c r="BB79" s="10">
        <v>0</v>
      </c>
      <c r="BC79" s="15">
        <v>0</v>
      </c>
      <c r="BD79" s="11">
        <v>0</v>
      </c>
      <c r="BE79" s="10">
        <v>410</v>
      </c>
      <c r="BF79" s="15">
        <v>6000</v>
      </c>
      <c r="BG79" s="11">
        <v>3724</v>
      </c>
      <c r="BH79" s="10">
        <v>415</v>
      </c>
      <c r="BI79" s="15">
        <v>6240</v>
      </c>
      <c r="BJ79" s="11">
        <v>3956</v>
      </c>
      <c r="BK79" s="10">
        <v>0</v>
      </c>
      <c r="BL79" s="15">
        <v>0</v>
      </c>
      <c r="BM79" s="11">
        <v>0</v>
      </c>
      <c r="BN79" s="44">
        <v>0</v>
      </c>
      <c r="BO79" s="42">
        <v>0</v>
      </c>
      <c r="BP79" s="45">
        <v>0</v>
      </c>
      <c r="BQ79" s="44">
        <v>395</v>
      </c>
      <c r="BR79" s="42">
        <v>5420</v>
      </c>
      <c r="BS79" s="45">
        <v>3972</v>
      </c>
      <c r="BT79" s="44">
        <v>420</v>
      </c>
      <c r="BU79" s="42">
        <v>5840</v>
      </c>
      <c r="BV79" s="112">
        <v>3752</v>
      </c>
      <c r="BW79" s="115">
        <v>400</v>
      </c>
      <c r="BX79" s="116">
        <v>6223</v>
      </c>
      <c r="BY79" s="112">
        <v>3872.44</v>
      </c>
      <c r="BZ79" s="115">
        <v>0</v>
      </c>
      <c r="CA79" s="116">
        <v>0</v>
      </c>
      <c r="CB79" s="112">
        <v>0</v>
      </c>
      <c r="CC79" s="115">
        <v>420</v>
      </c>
      <c r="CD79" s="116">
        <v>6000</v>
      </c>
      <c r="CE79" s="112">
        <v>4292</v>
      </c>
      <c r="CF79" s="115">
        <v>0</v>
      </c>
      <c r="CG79" s="116">
        <v>0</v>
      </c>
      <c r="CH79" s="112">
        <v>0</v>
      </c>
      <c r="CI79" s="115">
        <v>400</v>
      </c>
      <c r="CJ79" s="116">
        <v>5600</v>
      </c>
      <c r="CK79" s="112">
        <v>3584</v>
      </c>
      <c r="CL79" s="54">
        <f t="shared" si="11"/>
        <v>2860</v>
      </c>
      <c r="CM79" s="63">
        <f t="shared" si="11"/>
        <v>41323</v>
      </c>
      <c r="CN79" s="55">
        <f t="shared" si="11"/>
        <v>27152.44</v>
      </c>
      <c r="CO79" s="54">
        <f t="shared" si="12"/>
        <v>238.33333333333334</v>
      </c>
      <c r="CP79" s="63">
        <f t="shared" si="12"/>
        <v>3443.5833333333335</v>
      </c>
      <c r="CQ79" s="55">
        <f t="shared" si="12"/>
        <v>2262.7033333333334</v>
      </c>
    </row>
    <row r="80" spans="1:95" s="2" customFormat="1" ht="34.9" customHeight="1" x14ac:dyDescent="0.6">
      <c r="A80" s="5">
        <v>77</v>
      </c>
      <c r="B80" s="14" t="s">
        <v>238</v>
      </c>
      <c r="C80" s="21" t="s">
        <v>644</v>
      </c>
      <c r="D80" s="21" t="s">
        <v>239</v>
      </c>
      <c r="E80" s="14" t="s">
        <v>53</v>
      </c>
      <c r="F80" s="20" t="s">
        <v>54</v>
      </c>
      <c r="G80" s="7" t="s">
        <v>150</v>
      </c>
      <c r="H80" s="18" t="s">
        <v>860</v>
      </c>
      <c r="I80" s="18"/>
      <c r="J80" s="14" t="s">
        <v>861</v>
      </c>
      <c r="K80" s="49" t="s">
        <v>151</v>
      </c>
      <c r="L80" s="27">
        <v>100</v>
      </c>
      <c r="M80" s="58">
        <v>1400</v>
      </c>
      <c r="N80" s="78">
        <v>896</v>
      </c>
      <c r="O80" s="27">
        <v>0</v>
      </c>
      <c r="P80" s="58">
        <v>0</v>
      </c>
      <c r="Q80" s="49">
        <v>0</v>
      </c>
      <c r="R80" s="27">
        <v>100</v>
      </c>
      <c r="S80" s="58">
        <v>1400</v>
      </c>
      <c r="T80" s="98">
        <v>896</v>
      </c>
      <c r="U80" s="27">
        <v>50</v>
      </c>
      <c r="V80" s="58">
        <v>700</v>
      </c>
      <c r="W80" s="12">
        <v>448</v>
      </c>
      <c r="X80" s="27">
        <v>50</v>
      </c>
      <c r="Y80" s="58">
        <v>700</v>
      </c>
      <c r="Z80" s="12">
        <v>448</v>
      </c>
      <c r="AA80" s="27">
        <v>0</v>
      </c>
      <c r="AB80" s="58">
        <v>0</v>
      </c>
      <c r="AC80" s="12">
        <v>0</v>
      </c>
      <c r="AD80" s="27">
        <v>0</v>
      </c>
      <c r="AE80" s="58">
        <v>0</v>
      </c>
      <c r="AF80" s="107">
        <v>0</v>
      </c>
      <c r="AG80" s="27">
        <v>100</v>
      </c>
      <c r="AH80" s="58">
        <v>1400</v>
      </c>
      <c r="AI80" s="107">
        <v>896</v>
      </c>
      <c r="AJ80" s="27">
        <v>50</v>
      </c>
      <c r="AK80" s="58">
        <v>700</v>
      </c>
      <c r="AL80" s="107">
        <v>448</v>
      </c>
      <c r="AM80" s="27">
        <v>100</v>
      </c>
      <c r="AN80" s="58">
        <v>1340</v>
      </c>
      <c r="AO80" s="107">
        <v>987.2</v>
      </c>
      <c r="AP80" s="27">
        <v>4</v>
      </c>
      <c r="AQ80" s="58">
        <v>56</v>
      </c>
      <c r="AR80" s="107">
        <v>36</v>
      </c>
      <c r="AS80" s="27">
        <v>1</v>
      </c>
      <c r="AT80" s="58">
        <v>12</v>
      </c>
      <c r="AU80" s="107">
        <v>12</v>
      </c>
      <c r="AV80" s="54">
        <f t="shared" si="7"/>
        <v>555</v>
      </c>
      <c r="AW80" s="63">
        <f t="shared" si="7"/>
        <v>7708</v>
      </c>
      <c r="AX80" s="55">
        <f t="shared" si="7"/>
        <v>5067.2</v>
      </c>
      <c r="AY80" s="54">
        <f t="shared" si="8"/>
        <v>46.25</v>
      </c>
      <c r="AZ80" s="63">
        <f t="shared" si="9"/>
        <v>3.8541666666666665</v>
      </c>
      <c r="BA80" s="55">
        <f t="shared" si="10"/>
        <v>422.26666666666665</v>
      </c>
      <c r="BB80" s="10">
        <v>50</v>
      </c>
      <c r="BC80" s="15">
        <v>700</v>
      </c>
      <c r="BD80" s="11">
        <v>448</v>
      </c>
      <c r="BE80" s="10">
        <v>70</v>
      </c>
      <c r="BF80" s="15">
        <v>980</v>
      </c>
      <c r="BG80" s="11">
        <v>627.20000000000005</v>
      </c>
      <c r="BH80" s="10">
        <v>150</v>
      </c>
      <c r="BI80" s="15">
        <v>2100</v>
      </c>
      <c r="BJ80" s="11">
        <v>1344</v>
      </c>
      <c r="BK80" s="10">
        <v>20</v>
      </c>
      <c r="BL80" s="15">
        <v>380</v>
      </c>
      <c r="BM80" s="11">
        <v>250</v>
      </c>
      <c r="BN80" s="44">
        <v>200</v>
      </c>
      <c r="BO80" s="42">
        <v>2890</v>
      </c>
      <c r="BP80" s="45">
        <v>1878</v>
      </c>
      <c r="BQ80" s="44">
        <v>130</v>
      </c>
      <c r="BR80" s="42">
        <v>1790</v>
      </c>
      <c r="BS80" s="45">
        <v>1210.4000000000001</v>
      </c>
      <c r="BT80" s="44">
        <v>20</v>
      </c>
      <c r="BU80" s="42">
        <v>240</v>
      </c>
      <c r="BV80" s="112">
        <v>240</v>
      </c>
      <c r="BW80" s="115">
        <v>110</v>
      </c>
      <c r="BX80" s="116">
        <v>1543</v>
      </c>
      <c r="BY80" s="112">
        <v>987.6400000000001</v>
      </c>
      <c r="BZ80" s="115">
        <v>0</v>
      </c>
      <c r="CA80" s="116">
        <v>0</v>
      </c>
      <c r="CB80" s="112">
        <v>0</v>
      </c>
      <c r="CC80" s="115">
        <v>100</v>
      </c>
      <c r="CD80" s="116">
        <v>1480</v>
      </c>
      <c r="CE80" s="112">
        <v>997.2</v>
      </c>
      <c r="CF80" s="115">
        <v>0</v>
      </c>
      <c r="CG80" s="116">
        <v>0</v>
      </c>
      <c r="CH80" s="112">
        <v>0</v>
      </c>
      <c r="CI80" s="115">
        <v>0</v>
      </c>
      <c r="CJ80" s="116">
        <v>0</v>
      </c>
      <c r="CK80" s="112">
        <v>0</v>
      </c>
      <c r="CL80" s="54">
        <f t="shared" si="11"/>
        <v>850</v>
      </c>
      <c r="CM80" s="63">
        <f t="shared" si="11"/>
        <v>12103</v>
      </c>
      <c r="CN80" s="55">
        <f t="shared" si="11"/>
        <v>7982.4400000000005</v>
      </c>
      <c r="CO80" s="54">
        <f t="shared" si="12"/>
        <v>70.833333333333329</v>
      </c>
      <c r="CP80" s="63">
        <f t="shared" si="12"/>
        <v>1008.5833333333334</v>
      </c>
      <c r="CQ80" s="55">
        <f t="shared" si="12"/>
        <v>665.20333333333338</v>
      </c>
    </row>
    <row r="81" spans="1:95" s="2" customFormat="1" ht="34.9" customHeight="1" x14ac:dyDescent="0.6">
      <c r="A81" s="5">
        <v>78</v>
      </c>
      <c r="B81" s="14" t="s">
        <v>240</v>
      </c>
      <c r="C81" s="21" t="s">
        <v>251</v>
      </c>
      <c r="D81" s="14" t="s">
        <v>241</v>
      </c>
      <c r="E81" s="15" t="s">
        <v>242</v>
      </c>
      <c r="F81" s="15" t="s">
        <v>243</v>
      </c>
      <c r="G81" s="7" t="s">
        <v>150</v>
      </c>
      <c r="H81" s="18"/>
      <c r="I81" s="18"/>
      <c r="J81" s="14" t="s">
        <v>862</v>
      </c>
      <c r="K81" s="49" t="s">
        <v>151</v>
      </c>
      <c r="L81" s="27">
        <v>60</v>
      </c>
      <c r="M81" s="58">
        <v>720</v>
      </c>
      <c r="N81" s="78">
        <v>720</v>
      </c>
      <c r="O81" s="27">
        <v>45</v>
      </c>
      <c r="P81" s="58">
        <v>540</v>
      </c>
      <c r="Q81" s="49">
        <v>540</v>
      </c>
      <c r="R81" s="27">
        <v>60</v>
      </c>
      <c r="S81" s="58">
        <v>720</v>
      </c>
      <c r="T81" s="98">
        <v>720</v>
      </c>
      <c r="U81" s="27">
        <v>60</v>
      </c>
      <c r="V81" s="58">
        <v>1140</v>
      </c>
      <c r="W81" s="12">
        <v>750</v>
      </c>
      <c r="X81" s="27">
        <v>45</v>
      </c>
      <c r="Y81" s="58">
        <v>540</v>
      </c>
      <c r="Z81" s="12">
        <v>540</v>
      </c>
      <c r="AA81" s="27">
        <v>60</v>
      </c>
      <c r="AB81" s="58">
        <v>1140</v>
      </c>
      <c r="AC81" s="12">
        <v>750</v>
      </c>
      <c r="AD81" s="27">
        <v>45</v>
      </c>
      <c r="AE81" s="58">
        <v>540</v>
      </c>
      <c r="AF81" s="107">
        <v>540</v>
      </c>
      <c r="AG81" s="27">
        <v>75</v>
      </c>
      <c r="AH81" s="58">
        <v>1320</v>
      </c>
      <c r="AI81" s="107">
        <v>930</v>
      </c>
      <c r="AJ81" s="27">
        <v>30</v>
      </c>
      <c r="AK81" s="58">
        <v>360</v>
      </c>
      <c r="AL81" s="107">
        <v>360</v>
      </c>
      <c r="AM81" s="27">
        <v>30</v>
      </c>
      <c r="AN81" s="58">
        <v>780</v>
      </c>
      <c r="AO81" s="107">
        <v>390</v>
      </c>
      <c r="AP81" s="27">
        <v>60</v>
      </c>
      <c r="AQ81" s="58">
        <v>1140</v>
      </c>
      <c r="AR81" s="107">
        <v>750</v>
      </c>
      <c r="AS81" s="27">
        <v>54</v>
      </c>
      <c r="AT81" s="58">
        <v>676</v>
      </c>
      <c r="AU81" s="107">
        <v>640.4</v>
      </c>
      <c r="AV81" s="54">
        <f t="shared" si="7"/>
        <v>624</v>
      </c>
      <c r="AW81" s="63">
        <f t="shared" si="7"/>
        <v>9616</v>
      </c>
      <c r="AX81" s="55">
        <f t="shared" si="7"/>
        <v>7630.4</v>
      </c>
      <c r="AY81" s="54">
        <f t="shared" si="8"/>
        <v>52</v>
      </c>
      <c r="AZ81" s="63">
        <f t="shared" si="9"/>
        <v>4.333333333333333</v>
      </c>
      <c r="BA81" s="55">
        <f t="shared" si="10"/>
        <v>635.86666666666667</v>
      </c>
      <c r="BB81" s="10">
        <v>53</v>
      </c>
      <c r="BC81" s="15">
        <v>1112</v>
      </c>
      <c r="BD81" s="11">
        <v>665.2</v>
      </c>
      <c r="BE81" s="10">
        <v>45</v>
      </c>
      <c r="BF81" s="15">
        <v>540</v>
      </c>
      <c r="BG81" s="11">
        <v>540</v>
      </c>
      <c r="BH81" s="10">
        <v>75</v>
      </c>
      <c r="BI81" s="15">
        <v>1320</v>
      </c>
      <c r="BJ81" s="11">
        <v>930</v>
      </c>
      <c r="BK81" s="10">
        <v>60</v>
      </c>
      <c r="BL81" s="15">
        <v>1140</v>
      </c>
      <c r="BM81" s="11">
        <v>750</v>
      </c>
      <c r="BN81" s="44">
        <v>60</v>
      </c>
      <c r="BO81" s="42">
        <v>720</v>
      </c>
      <c r="BP81" s="45">
        <v>720</v>
      </c>
      <c r="BQ81" s="44">
        <v>45</v>
      </c>
      <c r="BR81" s="42">
        <v>540</v>
      </c>
      <c r="BS81" s="45">
        <v>540</v>
      </c>
      <c r="BT81" s="44">
        <v>60</v>
      </c>
      <c r="BU81" s="42">
        <v>1140</v>
      </c>
      <c r="BV81" s="112">
        <v>750</v>
      </c>
      <c r="BW81" s="115">
        <v>75</v>
      </c>
      <c r="BX81" s="116">
        <v>1320</v>
      </c>
      <c r="BY81" s="112">
        <v>930</v>
      </c>
      <c r="BZ81" s="115">
        <v>60</v>
      </c>
      <c r="CA81" s="116">
        <v>720</v>
      </c>
      <c r="CB81" s="112">
        <v>720</v>
      </c>
      <c r="CC81" s="115">
        <v>90</v>
      </c>
      <c r="CD81" s="116">
        <v>1500</v>
      </c>
      <c r="CE81" s="112">
        <v>1110</v>
      </c>
      <c r="CF81" s="115">
        <v>60</v>
      </c>
      <c r="CG81" s="116">
        <v>720</v>
      </c>
      <c r="CH81" s="112">
        <v>720</v>
      </c>
      <c r="CI81" s="115">
        <v>45</v>
      </c>
      <c r="CJ81" s="116">
        <v>960</v>
      </c>
      <c r="CK81" s="112">
        <v>570</v>
      </c>
      <c r="CL81" s="54">
        <f t="shared" si="11"/>
        <v>728</v>
      </c>
      <c r="CM81" s="63">
        <f t="shared" si="11"/>
        <v>11732</v>
      </c>
      <c r="CN81" s="55">
        <f t="shared" si="11"/>
        <v>8945.2000000000007</v>
      </c>
      <c r="CO81" s="54">
        <f t="shared" si="12"/>
        <v>60.666666666666664</v>
      </c>
      <c r="CP81" s="63">
        <f t="shared" si="12"/>
        <v>977.66666666666663</v>
      </c>
      <c r="CQ81" s="55">
        <f t="shared" si="12"/>
        <v>745.43333333333339</v>
      </c>
    </row>
    <row r="82" spans="1:95" s="2" customFormat="1" ht="34.9" customHeight="1" x14ac:dyDescent="0.6">
      <c r="A82" s="5">
        <v>79</v>
      </c>
      <c r="B82" s="161" t="s">
        <v>244</v>
      </c>
      <c r="C82" s="21" t="s">
        <v>253</v>
      </c>
      <c r="D82" s="14" t="s">
        <v>245</v>
      </c>
      <c r="E82" s="15" t="s">
        <v>33</v>
      </c>
      <c r="F82" s="14" t="s">
        <v>246</v>
      </c>
      <c r="G82" s="7" t="s">
        <v>150</v>
      </c>
      <c r="H82" s="18" t="s">
        <v>863</v>
      </c>
      <c r="I82" s="18"/>
      <c r="J82" s="14" t="s">
        <v>864</v>
      </c>
      <c r="K82" s="49" t="s">
        <v>151</v>
      </c>
      <c r="L82" s="27">
        <v>0</v>
      </c>
      <c r="M82" s="58">
        <v>0</v>
      </c>
      <c r="N82" s="58">
        <v>0</v>
      </c>
      <c r="O82" s="27">
        <v>100</v>
      </c>
      <c r="P82" s="58">
        <v>1400</v>
      </c>
      <c r="Q82" s="49">
        <v>896</v>
      </c>
      <c r="R82" s="27">
        <v>100</v>
      </c>
      <c r="S82" s="58">
        <v>1400</v>
      </c>
      <c r="T82" s="98">
        <v>896</v>
      </c>
      <c r="U82" s="27">
        <v>0</v>
      </c>
      <c r="V82" s="58">
        <v>0</v>
      </c>
      <c r="W82" s="12">
        <v>0</v>
      </c>
      <c r="X82" s="27">
        <v>100</v>
      </c>
      <c r="Y82" s="58">
        <v>1400</v>
      </c>
      <c r="Z82" s="12">
        <v>896</v>
      </c>
      <c r="AA82" s="27">
        <v>0</v>
      </c>
      <c r="AB82" s="58">
        <v>0</v>
      </c>
      <c r="AC82" s="12">
        <v>0</v>
      </c>
      <c r="AD82" s="27">
        <v>100</v>
      </c>
      <c r="AE82" s="58">
        <v>1400</v>
      </c>
      <c r="AF82" s="107">
        <v>896</v>
      </c>
      <c r="AG82" s="27">
        <v>0</v>
      </c>
      <c r="AH82" s="58">
        <v>0</v>
      </c>
      <c r="AI82" s="107">
        <v>0</v>
      </c>
      <c r="AJ82" s="27">
        <v>100</v>
      </c>
      <c r="AK82" s="58">
        <v>1400</v>
      </c>
      <c r="AL82" s="107">
        <v>896</v>
      </c>
      <c r="AM82" s="27">
        <v>100</v>
      </c>
      <c r="AN82" s="58">
        <v>1400</v>
      </c>
      <c r="AO82" s="107">
        <v>896</v>
      </c>
      <c r="AP82" s="27">
        <v>0</v>
      </c>
      <c r="AQ82" s="58">
        <v>0</v>
      </c>
      <c r="AR82" s="107">
        <v>0</v>
      </c>
      <c r="AS82" s="27">
        <v>100</v>
      </c>
      <c r="AT82" s="58">
        <v>1400</v>
      </c>
      <c r="AU82" s="107">
        <v>896</v>
      </c>
      <c r="AV82" s="54">
        <f t="shared" si="7"/>
        <v>700</v>
      </c>
      <c r="AW82" s="63">
        <f t="shared" si="7"/>
        <v>9800</v>
      </c>
      <c r="AX82" s="55">
        <f t="shared" si="7"/>
        <v>6272</v>
      </c>
      <c r="AY82" s="54">
        <f t="shared" si="8"/>
        <v>58.333333333333336</v>
      </c>
      <c r="AZ82" s="63">
        <f t="shared" si="9"/>
        <v>4.8611111111111116</v>
      </c>
      <c r="BA82" s="55">
        <f t="shared" si="10"/>
        <v>522.66666666666663</v>
      </c>
      <c r="BB82" s="58">
        <v>0</v>
      </c>
      <c r="BC82" s="58">
        <v>0</v>
      </c>
      <c r="BD82" s="58">
        <v>0</v>
      </c>
      <c r="BE82" s="58">
        <v>0</v>
      </c>
      <c r="BF82" s="58">
        <v>0</v>
      </c>
      <c r="BG82" s="58">
        <v>0</v>
      </c>
      <c r="BH82" s="10">
        <v>100</v>
      </c>
      <c r="BI82" s="15">
        <v>1400</v>
      </c>
      <c r="BJ82" s="11">
        <v>896</v>
      </c>
      <c r="BK82" s="58">
        <v>0</v>
      </c>
      <c r="BL82" s="58">
        <v>0</v>
      </c>
      <c r="BM82" s="58">
        <v>0</v>
      </c>
      <c r="BN82" s="44">
        <v>0</v>
      </c>
      <c r="BO82" s="42">
        <v>0</v>
      </c>
      <c r="BP82" s="45">
        <v>0</v>
      </c>
      <c r="BQ82" s="44">
        <v>100</v>
      </c>
      <c r="BR82" s="42">
        <v>1400</v>
      </c>
      <c r="BS82" s="45">
        <v>896</v>
      </c>
      <c r="BT82" s="44">
        <v>100</v>
      </c>
      <c r="BU82" s="42">
        <v>1400</v>
      </c>
      <c r="BV82" s="112">
        <v>896</v>
      </c>
      <c r="BW82" s="115">
        <v>0</v>
      </c>
      <c r="BX82" s="116">
        <v>3</v>
      </c>
      <c r="BY82" s="112">
        <v>2.04</v>
      </c>
      <c r="BZ82" s="115">
        <v>0</v>
      </c>
      <c r="CA82" s="116">
        <v>0</v>
      </c>
      <c r="CB82" s="112">
        <v>0</v>
      </c>
      <c r="CC82" s="115">
        <v>100</v>
      </c>
      <c r="CD82" s="116">
        <v>1400</v>
      </c>
      <c r="CE82" s="112">
        <v>896</v>
      </c>
      <c r="CF82" s="115">
        <v>0</v>
      </c>
      <c r="CG82" s="116">
        <v>0</v>
      </c>
      <c r="CH82" s="112">
        <v>0</v>
      </c>
      <c r="CI82" s="115">
        <v>0</v>
      </c>
      <c r="CJ82" s="116">
        <v>0</v>
      </c>
      <c r="CK82" s="112">
        <v>0</v>
      </c>
      <c r="CL82" s="54">
        <f t="shared" si="11"/>
        <v>400</v>
      </c>
      <c r="CM82" s="63">
        <f t="shared" si="11"/>
        <v>5603</v>
      </c>
      <c r="CN82" s="55">
        <f t="shared" si="11"/>
        <v>3586.04</v>
      </c>
      <c r="CO82" s="54">
        <f t="shared" si="12"/>
        <v>33.333333333333336</v>
      </c>
      <c r="CP82" s="63">
        <f t="shared" si="12"/>
        <v>466.91666666666669</v>
      </c>
      <c r="CQ82" s="55">
        <f t="shared" si="12"/>
        <v>298.83666666666664</v>
      </c>
    </row>
    <row r="83" spans="1:95" s="2" customFormat="1" ht="34.9" customHeight="1" x14ac:dyDescent="0.6">
      <c r="A83" s="5">
        <v>80</v>
      </c>
      <c r="B83" s="161" t="s">
        <v>247</v>
      </c>
      <c r="C83" s="21" t="s">
        <v>255</v>
      </c>
      <c r="D83" s="21" t="s">
        <v>248</v>
      </c>
      <c r="E83" s="20" t="s">
        <v>249</v>
      </c>
      <c r="F83" s="20" t="s">
        <v>250</v>
      </c>
      <c r="G83" s="7" t="s">
        <v>150</v>
      </c>
      <c r="H83" s="18"/>
      <c r="I83" s="18"/>
      <c r="J83" s="14" t="s">
        <v>1123</v>
      </c>
      <c r="K83" s="49" t="s">
        <v>151</v>
      </c>
      <c r="L83" s="27">
        <v>0</v>
      </c>
      <c r="M83" s="58">
        <v>0</v>
      </c>
      <c r="N83" s="58">
        <v>0</v>
      </c>
      <c r="O83" s="27">
        <v>0</v>
      </c>
      <c r="P83" s="58">
        <v>0</v>
      </c>
      <c r="Q83" s="49">
        <v>0</v>
      </c>
      <c r="R83" s="27">
        <v>0</v>
      </c>
      <c r="S83" s="58">
        <v>0</v>
      </c>
      <c r="T83" s="98">
        <v>0</v>
      </c>
      <c r="U83" s="27">
        <v>0</v>
      </c>
      <c r="V83" s="58">
        <v>0</v>
      </c>
      <c r="W83" s="12">
        <v>0</v>
      </c>
      <c r="X83" s="27">
        <v>0</v>
      </c>
      <c r="Y83" s="58">
        <v>0</v>
      </c>
      <c r="Z83" s="12">
        <v>0</v>
      </c>
      <c r="AA83" s="27">
        <v>0</v>
      </c>
      <c r="AB83" s="58">
        <v>0</v>
      </c>
      <c r="AC83" s="12">
        <v>0</v>
      </c>
      <c r="AD83" s="27">
        <v>0</v>
      </c>
      <c r="AE83" s="58">
        <v>0</v>
      </c>
      <c r="AF83" s="107">
        <v>0</v>
      </c>
      <c r="AG83" s="27">
        <v>0</v>
      </c>
      <c r="AH83" s="58">
        <v>0</v>
      </c>
      <c r="AI83" s="107">
        <v>0</v>
      </c>
      <c r="AJ83" s="27">
        <v>11</v>
      </c>
      <c r="AK83" s="58">
        <v>132</v>
      </c>
      <c r="AL83" s="107">
        <v>132</v>
      </c>
      <c r="AM83" s="27">
        <v>0</v>
      </c>
      <c r="AN83" s="58">
        <v>0</v>
      </c>
      <c r="AO83" s="107">
        <v>0</v>
      </c>
      <c r="AP83" s="27">
        <v>5</v>
      </c>
      <c r="AQ83" s="58">
        <v>60</v>
      </c>
      <c r="AR83" s="107">
        <v>60</v>
      </c>
      <c r="AS83" s="27">
        <v>0</v>
      </c>
      <c r="AT83" s="58">
        <v>0</v>
      </c>
      <c r="AU83" s="107">
        <v>0</v>
      </c>
      <c r="AV83" s="54">
        <f t="shared" si="7"/>
        <v>16</v>
      </c>
      <c r="AW83" s="63">
        <f t="shared" si="7"/>
        <v>192</v>
      </c>
      <c r="AX83" s="55">
        <f t="shared" si="7"/>
        <v>192</v>
      </c>
      <c r="AY83" s="54">
        <f t="shared" si="8"/>
        <v>1.3333333333333333</v>
      </c>
      <c r="AZ83" s="63">
        <f t="shared" si="9"/>
        <v>0.1111111111111111</v>
      </c>
      <c r="BA83" s="55">
        <f t="shared" si="10"/>
        <v>16</v>
      </c>
      <c r="BB83" s="58">
        <v>0</v>
      </c>
      <c r="BC83" s="58">
        <v>0</v>
      </c>
      <c r="BD83" s="58">
        <v>0</v>
      </c>
      <c r="BE83" s="58">
        <v>0</v>
      </c>
      <c r="BF83" s="58">
        <v>0</v>
      </c>
      <c r="BG83" s="58">
        <v>0</v>
      </c>
      <c r="BH83" s="10">
        <v>15</v>
      </c>
      <c r="BI83" s="15">
        <v>180</v>
      </c>
      <c r="BJ83" s="11">
        <v>156</v>
      </c>
      <c r="BK83" s="58">
        <v>0</v>
      </c>
      <c r="BL83" s="58">
        <v>0</v>
      </c>
      <c r="BM83" s="58">
        <v>0</v>
      </c>
      <c r="BN83" s="44">
        <v>10</v>
      </c>
      <c r="BO83" s="42">
        <v>120</v>
      </c>
      <c r="BP83" s="45">
        <v>120</v>
      </c>
      <c r="BQ83" s="44">
        <v>0</v>
      </c>
      <c r="BR83" s="42">
        <v>0</v>
      </c>
      <c r="BS83" s="45">
        <v>0</v>
      </c>
      <c r="BT83" s="44">
        <v>0</v>
      </c>
      <c r="BU83" s="42">
        <v>0</v>
      </c>
      <c r="BV83" s="112">
        <v>0</v>
      </c>
      <c r="BW83" s="115">
        <v>0</v>
      </c>
      <c r="BX83" s="116">
        <v>0</v>
      </c>
      <c r="BY83" s="112">
        <v>0</v>
      </c>
      <c r="BZ83" s="115">
        <v>0</v>
      </c>
      <c r="CA83" s="116">
        <v>0</v>
      </c>
      <c r="CB83" s="112">
        <v>0</v>
      </c>
      <c r="CC83" s="115">
        <v>0</v>
      </c>
      <c r="CD83" s="116">
        <v>0</v>
      </c>
      <c r="CE83" s="112">
        <v>0</v>
      </c>
      <c r="CF83" s="115">
        <v>0</v>
      </c>
      <c r="CG83" s="116">
        <v>0</v>
      </c>
      <c r="CH83" s="112">
        <v>0</v>
      </c>
      <c r="CI83" s="115">
        <v>0</v>
      </c>
      <c r="CJ83" s="116">
        <v>0</v>
      </c>
      <c r="CK83" s="112">
        <v>0</v>
      </c>
      <c r="CL83" s="54">
        <f t="shared" si="11"/>
        <v>25</v>
      </c>
      <c r="CM83" s="63">
        <f t="shared" si="11"/>
        <v>300</v>
      </c>
      <c r="CN83" s="55">
        <f t="shared" si="11"/>
        <v>276</v>
      </c>
      <c r="CO83" s="54">
        <f t="shared" si="12"/>
        <v>2.0833333333333335</v>
      </c>
      <c r="CP83" s="63">
        <f t="shared" si="12"/>
        <v>25</v>
      </c>
      <c r="CQ83" s="55">
        <f t="shared" si="12"/>
        <v>23</v>
      </c>
    </row>
    <row r="84" spans="1:95" s="2" customFormat="1" ht="34.9" customHeight="1" x14ac:dyDescent="0.6">
      <c r="A84" s="5">
        <v>81</v>
      </c>
      <c r="B84" s="14" t="s">
        <v>640</v>
      </c>
      <c r="C84" s="21" t="s">
        <v>257</v>
      </c>
      <c r="D84" s="21"/>
      <c r="E84" s="20" t="s">
        <v>661</v>
      </c>
      <c r="F84" s="20"/>
      <c r="G84" s="7" t="s">
        <v>150</v>
      </c>
      <c r="H84" s="143"/>
      <c r="I84" s="143"/>
      <c r="J84" s="144" t="s">
        <v>1124</v>
      </c>
      <c r="K84" s="49" t="s">
        <v>151</v>
      </c>
      <c r="L84" s="27">
        <v>0</v>
      </c>
      <c r="M84" s="58">
        <v>0</v>
      </c>
      <c r="N84" s="58">
        <v>0</v>
      </c>
      <c r="O84" s="27">
        <v>0</v>
      </c>
      <c r="P84" s="58">
        <v>0</v>
      </c>
      <c r="Q84" s="49">
        <v>0</v>
      </c>
      <c r="R84" s="27">
        <v>215</v>
      </c>
      <c r="S84" s="58">
        <v>2910</v>
      </c>
      <c r="T84" s="98">
        <v>2301.1999999999998</v>
      </c>
      <c r="U84" s="27">
        <v>208</v>
      </c>
      <c r="V84" s="58">
        <v>2626</v>
      </c>
      <c r="W84" s="12">
        <v>2298.4</v>
      </c>
      <c r="X84" s="27">
        <v>0</v>
      </c>
      <c r="Y84" s="58">
        <v>0</v>
      </c>
      <c r="Z84" s="12">
        <v>0</v>
      </c>
      <c r="AA84" s="27">
        <v>0</v>
      </c>
      <c r="AB84" s="58">
        <v>0</v>
      </c>
      <c r="AC84" s="12">
        <v>0</v>
      </c>
      <c r="AD84" s="27">
        <v>0</v>
      </c>
      <c r="AE84" s="58">
        <v>0</v>
      </c>
      <c r="AF84" s="107">
        <v>0</v>
      </c>
      <c r="AG84" s="27">
        <v>0</v>
      </c>
      <c r="AH84" s="58">
        <v>0</v>
      </c>
      <c r="AI84" s="107">
        <v>0</v>
      </c>
      <c r="AJ84" s="27">
        <v>0</v>
      </c>
      <c r="AK84" s="58">
        <v>0</v>
      </c>
      <c r="AL84" s="107">
        <v>0</v>
      </c>
      <c r="AM84" s="27">
        <v>0</v>
      </c>
      <c r="AN84" s="58">
        <v>0</v>
      </c>
      <c r="AO84" s="107">
        <v>0</v>
      </c>
      <c r="AP84" s="27">
        <v>0</v>
      </c>
      <c r="AQ84" s="58">
        <v>0</v>
      </c>
      <c r="AR84" s="107">
        <v>0</v>
      </c>
      <c r="AS84" s="27">
        <v>0</v>
      </c>
      <c r="AT84" s="58">
        <v>0</v>
      </c>
      <c r="AU84" s="107">
        <v>0</v>
      </c>
      <c r="AV84" s="54">
        <f t="shared" si="7"/>
        <v>423</v>
      </c>
      <c r="AW84" s="63">
        <f t="shared" si="7"/>
        <v>5536</v>
      </c>
      <c r="AX84" s="55">
        <f t="shared" si="7"/>
        <v>4599.6000000000004</v>
      </c>
      <c r="AY84" s="54">
        <f t="shared" si="8"/>
        <v>35.25</v>
      </c>
      <c r="AZ84" s="63">
        <f t="shared" si="9"/>
        <v>2.9375</v>
      </c>
      <c r="BA84" s="55">
        <f t="shared" si="10"/>
        <v>383.3</v>
      </c>
      <c r="BB84" s="58">
        <v>0</v>
      </c>
      <c r="BC84" s="58">
        <v>0</v>
      </c>
      <c r="BD84" s="58">
        <v>0</v>
      </c>
      <c r="BE84" s="58">
        <v>0</v>
      </c>
      <c r="BF84" s="58">
        <v>0</v>
      </c>
      <c r="BG84" s="58">
        <v>0</v>
      </c>
      <c r="BH84" s="58">
        <v>0</v>
      </c>
      <c r="BI84" s="58">
        <v>0</v>
      </c>
      <c r="BJ84" s="58">
        <v>0</v>
      </c>
      <c r="BK84" s="58">
        <v>0</v>
      </c>
      <c r="BL84" s="58">
        <v>0</v>
      </c>
      <c r="BM84" s="58">
        <v>0</v>
      </c>
      <c r="BN84" s="44">
        <v>308</v>
      </c>
      <c r="BO84" s="42">
        <v>3920</v>
      </c>
      <c r="BP84" s="45">
        <v>3471.2</v>
      </c>
      <c r="BQ84" s="44">
        <v>321</v>
      </c>
      <c r="BR84" s="42">
        <v>4012</v>
      </c>
      <c r="BS84" s="45">
        <v>3608.7999999999997</v>
      </c>
      <c r="BT84" s="44">
        <v>164</v>
      </c>
      <c r="BU84" s="42">
        <v>2220</v>
      </c>
      <c r="BV84" s="112">
        <v>1763.2</v>
      </c>
      <c r="BW84" s="115">
        <v>135</v>
      </c>
      <c r="BX84" s="116">
        <v>1750</v>
      </c>
      <c r="BY84" s="112">
        <v>1422.4</v>
      </c>
      <c r="BZ84" s="115">
        <v>110</v>
      </c>
      <c r="CA84" s="116">
        <v>1420</v>
      </c>
      <c r="CB84" s="112">
        <v>1168</v>
      </c>
      <c r="CC84" s="115">
        <v>100</v>
      </c>
      <c r="CD84" s="116">
        <v>1200</v>
      </c>
      <c r="CE84" s="112">
        <v>1200</v>
      </c>
      <c r="CF84" s="115">
        <v>153</v>
      </c>
      <c r="CG84" s="116">
        <v>1936</v>
      </c>
      <c r="CH84" s="112">
        <v>1673.2</v>
      </c>
      <c r="CI84" s="115">
        <v>165</v>
      </c>
      <c r="CJ84" s="116">
        <v>2080</v>
      </c>
      <c r="CK84" s="112">
        <v>1804</v>
      </c>
      <c r="CL84" s="54">
        <f t="shared" si="11"/>
        <v>1456</v>
      </c>
      <c r="CM84" s="63">
        <f t="shared" si="11"/>
        <v>18538</v>
      </c>
      <c r="CN84" s="55">
        <f t="shared" si="11"/>
        <v>16110.800000000001</v>
      </c>
      <c r="CO84" s="54">
        <f t="shared" si="12"/>
        <v>121.33333333333333</v>
      </c>
      <c r="CP84" s="63">
        <f t="shared" si="12"/>
        <v>1544.8333333333333</v>
      </c>
      <c r="CQ84" s="55">
        <f t="shared" si="12"/>
        <v>1342.5666666666668</v>
      </c>
    </row>
    <row r="85" spans="1:95" s="2" customFormat="1" ht="34.9" customHeight="1" x14ac:dyDescent="0.6">
      <c r="A85" s="5">
        <v>82</v>
      </c>
      <c r="B85" s="14" t="s">
        <v>619</v>
      </c>
      <c r="C85" s="21" t="s">
        <v>619</v>
      </c>
      <c r="D85" s="21"/>
      <c r="E85" s="20" t="s">
        <v>661</v>
      </c>
      <c r="F85" s="20"/>
      <c r="G85" s="7" t="s">
        <v>150</v>
      </c>
      <c r="H85" s="143"/>
      <c r="I85" s="143"/>
      <c r="J85" s="144" t="s">
        <v>1125</v>
      </c>
      <c r="K85" s="49" t="s">
        <v>151</v>
      </c>
      <c r="L85" s="27">
        <v>0</v>
      </c>
      <c r="M85" s="58">
        <v>0</v>
      </c>
      <c r="N85" s="58">
        <v>0</v>
      </c>
      <c r="O85" s="27">
        <v>0</v>
      </c>
      <c r="P85" s="58">
        <v>0</v>
      </c>
      <c r="Q85" s="49">
        <v>0</v>
      </c>
      <c r="R85" s="27">
        <v>385</v>
      </c>
      <c r="S85" s="58">
        <v>5330</v>
      </c>
      <c r="T85" s="98">
        <v>3468.8</v>
      </c>
      <c r="U85" s="27">
        <v>90</v>
      </c>
      <c r="V85" s="58">
        <v>1200</v>
      </c>
      <c r="W85" s="12">
        <v>861.6</v>
      </c>
      <c r="X85" s="27">
        <v>0</v>
      </c>
      <c r="Y85" s="58">
        <v>0</v>
      </c>
      <c r="Z85" s="12">
        <v>0</v>
      </c>
      <c r="AA85" s="27">
        <v>0</v>
      </c>
      <c r="AB85" s="58">
        <v>0</v>
      </c>
      <c r="AC85" s="12">
        <v>0</v>
      </c>
      <c r="AD85" s="27">
        <v>0</v>
      </c>
      <c r="AE85" s="58">
        <v>0</v>
      </c>
      <c r="AF85" s="107">
        <v>0</v>
      </c>
      <c r="AG85" s="27">
        <v>0</v>
      </c>
      <c r="AH85" s="58">
        <v>0</v>
      </c>
      <c r="AI85" s="107">
        <v>0</v>
      </c>
      <c r="AJ85" s="27">
        <v>0</v>
      </c>
      <c r="AK85" s="58">
        <v>0</v>
      </c>
      <c r="AL85" s="107">
        <v>0</v>
      </c>
      <c r="AM85" s="27">
        <v>0</v>
      </c>
      <c r="AN85" s="58">
        <v>0</v>
      </c>
      <c r="AO85" s="107">
        <v>0</v>
      </c>
      <c r="AP85" s="27">
        <v>4</v>
      </c>
      <c r="AQ85" s="58">
        <v>52</v>
      </c>
      <c r="AR85" s="107">
        <v>41.92</v>
      </c>
      <c r="AS85" s="27">
        <v>3</v>
      </c>
      <c r="AT85" s="58">
        <v>42</v>
      </c>
      <c r="AU85" s="107">
        <v>26.88</v>
      </c>
      <c r="AV85" s="54">
        <f t="shared" si="7"/>
        <v>482</v>
      </c>
      <c r="AW85" s="63">
        <f t="shared" si="7"/>
        <v>6624</v>
      </c>
      <c r="AX85" s="55">
        <f t="shared" si="7"/>
        <v>4399.2000000000007</v>
      </c>
      <c r="AY85" s="54">
        <f t="shared" si="8"/>
        <v>40.166666666666664</v>
      </c>
      <c r="AZ85" s="63">
        <f t="shared" si="9"/>
        <v>3.3472222222222219</v>
      </c>
      <c r="BA85" s="55">
        <f t="shared" si="10"/>
        <v>366.60000000000008</v>
      </c>
      <c r="BB85" s="58">
        <v>0</v>
      </c>
      <c r="BC85" s="58">
        <v>0</v>
      </c>
      <c r="BD85" s="58">
        <v>0</v>
      </c>
      <c r="BE85" s="58">
        <v>0</v>
      </c>
      <c r="BF85" s="58">
        <v>0</v>
      </c>
      <c r="BG85" s="58">
        <v>0</v>
      </c>
      <c r="BH85" s="58">
        <v>0</v>
      </c>
      <c r="BI85" s="58">
        <v>0</v>
      </c>
      <c r="BJ85" s="58">
        <v>0</v>
      </c>
      <c r="BK85" s="58">
        <v>0</v>
      </c>
      <c r="BL85" s="58">
        <v>0</v>
      </c>
      <c r="BM85" s="58">
        <v>0</v>
      </c>
      <c r="BN85" s="44">
        <v>440</v>
      </c>
      <c r="BO85" s="42">
        <v>5920</v>
      </c>
      <c r="BP85" s="45">
        <v>4235.2</v>
      </c>
      <c r="BQ85" s="44">
        <v>360</v>
      </c>
      <c r="BR85" s="42">
        <v>4840</v>
      </c>
      <c r="BS85" s="45">
        <v>3529.6</v>
      </c>
      <c r="BT85" s="44">
        <v>520</v>
      </c>
      <c r="BU85" s="42">
        <v>7040</v>
      </c>
      <c r="BV85" s="112">
        <v>4952</v>
      </c>
      <c r="BW85" s="115">
        <v>230</v>
      </c>
      <c r="BX85" s="116">
        <v>3020</v>
      </c>
      <c r="BY85" s="112">
        <v>2364.8000000000002</v>
      </c>
      <c r="BZ85" s="115">
        <v>180</v>
      </c>
      <c r="CA85" s="116">
        <v>2460</v>
      </c>
      <c r="CB85" s="112">
        <v>1668</v>
      </c>
      <c r="CC85" s="115">
        <v>405</v>
      </c>
      <c r="CD85" s="116">
        <v>5390</v>
      </c>
      <c r="CE85" s="112">
        <v>4018.3999999999996</v>
      </c>
      <c r="CF85" s="115">
        <v>325</v>
      </c>
      <c r="CG85" s="116">
        <v>4360</v>
      </c>
      <c r="CH85" s="112">
        <v>3146.8</v>
      </c>
      <c r="CI85" s="115">
        <v>480</v>
      </c>
      <c r="CJ85" s="116">
        <v>6540</v>
      </c>
      <c r="CK85" s="112">
        <v>4574.3999999999996</v>
      </c>
      <c r="CL85" s="54">
        <f t="shared" si="11"/>
        <v>2940</v>
      </c>
      <c r="CM85" s="63">
        <f t="shared" si="11"/>
        <v>39570</v>
      </c>
      <c r="CN85" s="55">
        <f t="shared" si="11"/>
        <v>28489.199999999997</v>
      </c>
      <c r="CO85" s="54">
        <f t="shared" si="12"/>
        <v>245</v>
      </c>
      <c r="CP85" s="63">
        <f t="shared" si="12"/>
        <v>3297.5</v>
      </c>
      <c r="CQ85" s="55">
        <f t="shared" si="12"/>
        <v>2374.1</v>
      </c>
    </row>
    <row r="86" spans="1:95" s="2" customFormat="1" ht="34.9" customHeight="1" x14ac:dyDescent="0.6">
      <c r="A86" s="5">
        <v>83</v>
      </c>
      <c r="B86" s="14" t="s">
        <v>641</v>
      </c>
      <c r="C86" s="21" t="s">
        <v>641</v>
      </c>
      <c r="D86" s="21"/>
      <c r="E86" s="20" t="s">
        <v>662</v>
      </c>
      <c r="F86" s="20"/>
      <c r="G86" s="7" t="s">
        <v>150</v>
      </c>
      <c r="H86" s="143"/>
      <c r="I86" s="143"/>
      <c r="J86" s="144" t="s">
        <v>1126</v>
      </c>
      <c r="K86" s="49" t="s">
        <v>151</v>
      </c>
      <c r="L86" s="27">
        <v>0</v>
      </c>
      <c r="M86" s="58">
        <v>0</v>
      </c>
      <c r="N86" s="58">
        <v>0</v>
      </c>
      <c r="O86" s="27">
        <v>0</v>
      </c>
      <c r="P86" s="58">
        <v>0</v>
      </c>
      <c r="Q86" s="49">
        <v>0</v>
      </c>
      <c r="R86" s="27">
        <v>50</v>
      </c>
      <c r="S86" s="58">
        <v>600</v>
      </c>
      <c r="T86" s="98">
        <v>600</v>
      </c>
      <c r="U86" s="27">
        <v>130</v>
      </c>
      <c r="V86" s="58">
        <v>1616</v>
      </c>
      <c r="W86" s="12">
        <v>1337.1999999999998</v>
      </c>
      <c r="X86" s="27">
        <v>0</v>
      </c>
      <c r="Y86" s="58">
        <v>0</v>
      </c>
      <c r="Z86" s="12">
        <v>0</v>
      </c>
      <c r="AA86" s="27">
        <v>0</v>
      </c>
      <c r="AB86" s="58">
        <v>0</v>
      </c>
      <c r="AC86" s="12">
        <v>0</v>
      </c>
      <c r="AD86" s="27">
        <v>0</v>
      </c>
      <c r="AE86" s="58">
        <v>0</v>
      </c>
      <c r="AF86" s="107">
        <v>0</v>
      </c>
      <c r="AG86" s="27">
        <v>0</v>
      </c>
      <c r="AH86" s="58">
        <v>0</v>
      </c>
      <c r="AI86" s="107">
        <v>0</v>
      </c>
      <c r="AJ86" s="27">
        <v>0</v>
      </c>
      <c r="AK86" s="58">
        <v>0</v>
      </c>
      <c r="AL86" s="107">
        <v>0</v>
      </c>
      <c r="AM86" s="27">
        <v>0</v>
      </c>
      <c r="AN86" s="58">
        <v>0</v>
      </c>
      <c r="AO86" s="107">
        <v>0</v>
      </c>
      <c r="AP86" s="27">
        <v>0</v>
      </c>
      <c r="AQ86" s="58">
        <v>0</v>
      </c>
      <c r="AR86" s="107">
        <v>0</v>
      </c>
      <c r="AS86" s="27">
        <v>0</v>
      </c>
      <c r="AT86" s="58">
        <v>0</v>
      </c>
      <c r="AU86" s="107">
        <v>0</v>
      </c>
      <c r="AV86" s="54">
        <f t="shared" si="7"/>
        <v>180</v>
      </c>
      <c r="AW86" s="63">
        <f t="shared" si="7"/>
        <v>2216</v>
      </c>
      <c r="AX86" s="55">
        <f t="shared" si="7"/>
        <v>1937.1999999999998</v>
      </c>
      <c r="AY86" s="54">
        <f t="shared" si="8"/>
        <v>15</v>
      </c>
      <c r="AZ86" s="63">
        <f t="shared" si="9"/>
        <v>1.25</v>
      </c>
      <c r="BA86" s="55">
        <f t="shared" si="10"/>
        <v>161.43333333333331</v>
      </c>
      <c r="BB86" s="58">
        <v>0</v>
      </c>
      <c r="BC86" s="58">
        <v>0</v>
      </c>
      <c r="BD86" s="58">
        <v>0</v>
      </c>
      <c r="BE86" s="58">
        <v>0</v>
      </c>
      <c r="BF86" s="58">
        <v>0</v>
      </c>
      <c r="BG86" s="58">
        <v>0</v>
      </c>
      <c r="BH86" s="58">
        <v>0</v>
      </c>
      <c r="BI86" s="58">
        <v>0</v>
      </c>
      <c r="BJ86" s="58">
        <v>0</v>
      </c>
      <c r="BK86" s="58">
        <v>0</v>
      </c>
      <c r="BL86" s="58">
        <v>0</v>
      </c>
      <c r="BM86" s="58">
        <v>0</v>
      </c>
      <c r="BN86" s="44">
        <v>175</v>
      </c>
      <c r="BO86" s="42">
        <v>2100</v>
      </c>
      <c r="BP86" s="45">
        <v>1830</v>
      </c>
      <c r="BQ86" s="44">
        <v>200</v>
      </c>
      <c r="BR86" s="42">
        <v>2400</v>
      </c>
      <c r="BS86" s="45">
        <v>2220</v>
      </c>
      <c r="BT86" s="44">
        <v>150</v>
      </c>
      <c r="BU86" s="42">
        <v>1800</v>
      </c>
      <c r="BV86" s="112">
        <v>1620</v>
      </c>
      <c r="BW86" s="115">
        <v>151</v>
      </c>
      <c r="BX86" s="116">
        <v>1812</v>
      </c>
      <c r="BY86" s="112">
        <v>1628.16</v>
      </c>
      <c r="BZ86" s="115">
        <v>100</v>
      </c>
      <c r="CA86" s="116">
        <v>1200</v>
      </c>
      <c r="CB86" s="112">
        <v>1020</v>
      </c>
      <c r="CC86" s="115">
        <v>120</v>
      </c>
      <c r="CD86" s="116">
        <v>1480</v>
      </c>
      <c r="CE86" s="112">
        <v>1307.2</v>
      </c>
      <c r="CF86" s="115">
        <v>80</v>
      </c>
      <c r="CG86" s="116">
        <v>960</v>
      </c>
      <c r="CH86" s="112">
        <v>852</v>
      </c>
      <c r="CI86" s="115">
        <v>50</v>
      </c>
      <c r="CJ86" s="116">
        <v>600</v>
      </c>
      <c r="CK86" s="112">
        <v>600</v>
      </c>
      <c r="CL86" s="54">
        <f t="shared" si="11"/>
        <v>1026</v>
      </c>
      <c r="CM86" s="63">
        <f t="shared" si="11"/>
        <v>12352</v>
      </c>
      <c r="CN86" s="55">
        <f t="shared" si="11"/>
        <v>11077.36</v>
      </c>
      <c r="CO86" s="54">
        <f t="shared" si="12"/>
        <v>85.5</v>
      </c>
      <c r="CP86" s="63">
        <f t="shared" si="12"/>
        <v>1029.3333333333333</v>
      </c>
      <c r="CQ86" s="55">
        <f t="shared" si="12"/>
        <v>923.11333333333334</v>
      </c>
    </row>
    <row r="87" spans="1:95" s="2" customFormat="1" ht="34.9" customHeight="1" x14ac:dyDescent="0.6">
      <c r="A87" s="5">
        <v>84</v>
      </c>
      <c r="B87" s="14" t="s">
        <v>642</v>
      </c>
      <c r="C87" s="21" t="s">
        <v>642</v>
      </c>
      <c r="D87" s="21"/>
      <c r="E87" s="20" t="s">
        <v>661</v>
      </c>
      <c r="F87" s="20"/>
      <c r="G87" s="7" t="s">
        <v>150</v>
      </c>
      <c r="H87" s="143"/>
      <c r="I87" s="143"/>
      <c r="J87" s="144" t="s">
        <v>1127</v>
      </c>
      <c r="K87" s="49" t="s">
        <v>151</v>
      </c>
      <c r="L87" s="27">
        <v>0</v>
      </c>
      <c r="M87" s="58">
        <v>0</v>
      </c>
      <c r="N87" s="58">
        <v>0</v>
      </c>
      <c r="O87" s="27">
        <v>0</v>
      </c>
      <c r="P87" s="58">
        <v>0</v>
      </c>
      <c r="Q87" s="49">
        <v>0</v>
      </c>
      <c r="R87" s="27">
        <v>138</v>
      </c>
      <c r="S87" s="58">
        <v>1856</v>
      </c>
      <c r="T87" s="98">
        <v>1352</v>
      </c>
      <c r="U87" s="27">
        <v>275</v>
      </c>
      <c r="V87" s="58">
        <v>3700</v>
      </c>
      <c r="W87" s="12">
        <v>2656</v>
      </c>
      <c r="X87" s="27">
        <v>0</v>
      </c>
      <c r="Y87" s="58">
        <v>0</v>
      </c>
      <c r="Z87" s="12">
        <v>0</v>
      </c>
      <c r="AA87" s="27">
        <v>0</v>
      </c>
      <c r="AB87" s="58">
        <v>0</v>
      </c>
      <c r="AC87" s="12">
        <v>0</v>
      </c>
      <c r="AD87" s="27">
        <v>0</v>
      </c>
      <c r="AE87" s="58">
        <v>0</v>
      </c>
      <c r="AF87" s="107">
        <v>0</v>
      </c>
      <c r="AG87" s="27">
        <v>0</v>
      </c>
      <c r="AH87" s="58">
        <v>0</v>
      </c>
      <c r="AI87" s="107">
        <v>0</v>
      </c>
      <c r="AJ87" s="27">
        <v>0</v>
      </c>
      <c r="AK87" s="58">
        <v>0</v>
      </c>
      <c r="AL87" s="107">
        <v>0</v>
      </c>
      <c r="AM87" s="27">
        <v>0</v>
      </c>
      <c r="AN87" s="58">
        <v>0</v>
      </c>
      <c r="AO87" s="107">
        <v>0</v>
      </c>
      <c r="AP87" s="27">
        <v>0</v>
      </c>
      <c r="AQ87" s="58">
        <v>0</v>
      </c>
      <c r="AR87" s="107">
        <v>0</v>
      </c>
      <c r="AS87" s="27">
        <v>0</v>
      </c>
      <c r="AT87" s="58">
        <v>0</v>
      </c>
      <c r="AU87" s="107">
        <v>0</v>
      </c>
      <c r="AV87" s="54">
        <f t="shared" si="7"/>
        <v>413</v>
      </c>
      <c r="AW87" s="63">
        <f t="shared" si="7"/>
        <v>5556</v>
      </c>
      <c r="AX87" s="55">
        <f t="shared" si="7"/>
        <v>4008</v>
      </c>
      <c r="AY87" s="54">
        <f t="shared" si="8"/>
        <v>34.416666666666664</v>
      </c>
      <c r="AZ87" s="63">
        <f t="shared" si="9"/>
        <v>2.8680555555555554</v>
      </c>
      <c r="BA87" s="55">
        <f t="shared" si="10"/>
        <v>334</v>
      </c>
      <c r="BB87" s="58">
        <v>0</v>
      </c>
      <c r="BC87" s="58">
        <v>0</v>
      </c>
      <c r="BD87" s="58">
        <v>0</v>
      </c>
      <c r="BE87" s="58">
        <v>0</v>
      </c>
      <c r="BF87" s="58">
        <v>0</v>
      </c>
      <c r="BG87" s="58">
        <v>0</v>
      </c>
      <c r="BH87" s="58">
        <v>0</v>
      </c>
      <c r="BI87" s="58">
        <v>0</v>
      </c>
      <c r="BJ87" s="58">
        <v>0</v>
      </c>
      <c r="BK87" s="58">
        <v>0</v>
      </c>
      <c r="BL87" s="58">
        <v>0</v>
      </c>
      <c r="BM87" s="58">
        <v>0</v>
      </c>
      <c r="BN87" s="44">
        <v>50</v>
      </c>
      <c r="BO87" s="42">
        <v>600</v>
      </c>
      <c r="BP87" s="45">
        <v>600</v>
      </c>
      <c r="BQ87" s="44">
        <v>310</v>
      </c>
      <c r="BR87" s="42">
        <v>4120</v>
      </c>
      <c r="BS87" s="45">
        <v>3112</v>
      </c>
      <c r="BT87" s="44">
        <v>239</v>
      </c>
      <c r="BU87" s="42">
        <v>3066</v>
      </c>
      <c r="BV87" s="112">
        <v>2531.04</v>
      </c>
      <c r="BW87" s="115">
        <v>220</v>
      </c>
      <c r="BX87" s="116">
        <v>2900</v>
      </c>
      <c r="BY87" s="112">
        <v>2244.8000000000002</v>
      </c>
      <c r="BZ87" s="115">
        <v>212</v>
      </c>
      <c r="CA87" s="116">
        <v>2844</v>
      </c>
      <c r="CB87" s="112">
        <v>2044.32</v>
      </c>
      <c r="CC87" s="115">
        <v>420</v>
      </c>
      <c r="CD87" s="116">
        <v>5440</v>
      </c>
      <c r="CE87" s="112">
        <v>4360</v>
      </c>
      <c r="CF87" s="115">
        <v>100</v>
      </c>
      <c r="CG87" s="116">
        <v>1300</v>
      </c>
      <c r="CH87" s="112">
        <v>1048</v>
      </c>
      <c r="CI87" s="115">
        <v>235</v>
      </c>
      <c r="CJ87" s="116">
        <v>3020</v>
      </c>
      <c r="CK87" s="112">
        <v>2378</v>
      </c>
      <c r="CL87" s="54">
        <f t="shared" si="11"/>
        <v>1786</v>
      </c>
      <c r="CM87" s="63">
        <f t="shared" si="11"/>
        <v>23290</v>
      </c>
      <c r="CN87" s="55">
        <f t="shared" si="11"/>
        <v>18318.16</v>
      </c>
      <c r="CO87" s="54">
        <f t="shared" si="12"/>
        <v>148.83333333333334</v>
      </c>
      <c r="CP87" s="63">
        <f t="shared" si="12"/>
        <v>1940.8333333333333</v>
      </c>
      <c r="CQ87" s="55">
        <f t="shared" si="12"/>
        <v>1526.5133333333333</v>
      </c>
    </row>
    <row r="88" spans="1:95" s="2" customFormat="1" ht="34.9" customHeight="1" x14ac:dyDescent="0.6">
      <c r="A88" s="5">
        <v>85</v>
      </c>
      <c r="B88" s="14" t="s">
        <v>643</v>
      </c>
      <c r="C88" s="21" t="s">
        <v>1154</v>
      </c>
      <c r="D88" s="21"/>
      <c r="E88" s="20" t="s">
        <v>661</v>
      </c>
      <c r="F88" s="20"/>
      <c r="G88" s="7" t="s">
        <v>150</v>
      </c>
      <c r="H88" s="143"/>
      <c r="I88" s="143"/>
      <c r="J88" s="144" t="s">
        <v>1128</v>
      </c>
      <c r="K88" s="49" t="s">
        <v>151</v>
      </c>
      <c r="L88" s="27">
        <v>0</v>
      </c>
      <c r="M88" s="58">
        <v>0</v>
      </c>
      <c r="N88" s="58">
        <v>0</v>
      </c>
      <c r="O88" s="27">
        <v>0</v>
      </c>
      <c r="P88" s="58">
        <v>0</v>
      </c>
      <c r="Q88" s="49">
        <v>0</v>
      </c>
      <c r="R88" s="27">
        <v>0</v>
      </c>
      <c r="S88" s="58">
        <v>0</v>
      </c>
      <c r="T88" s="98">
        <v>0</v>
      </c>
      <c r="U88" s="27">
        <v>0</v>
      </c>
      <c r="V88" s="58">
        <v>0</v>
      </c>
      <c r="W88" s="12">
        <v>0</v>
      </c>
      <c r="X88" s="27">
        <v>0</v>
      </c>
      <c r="Y88" s="58">
        <v>0</v>
      </c>
      <c r="Z88" s="12">
        <v>0</v>
      </c>
      <c r="AA88" s="27">
        <v>0</v>
      </c>
      <c r="AB88" s="58">
        <v>0</v>
      </c>
      <c r="AC88" s="12">
        <v>0</v>
      </c>
      <c r="AD88" s="27">
        <v>0</v>
      </c>
      <c r="AE88" s="58">
        <v>0</v>
      </c>
      <c r="AF88" s="107">
        <v>0</v>
      </c>
      <c r="AG88" s="27">
        <v>0</v>
      </c>
      <c r="AH88" s="58">
        <v>0</v>
      </c>
      <c r="AI88" s="107">
        <v>0</v>
      </c>
      <c r="AJ88" s="27">
        <v>0</v>
      </c>
      <c r="AK88" s="58">
        <v>0</v>
      </c>
      <c r="AL88" s="107">
        <v>0</v>
      </c>
      <c r="AM88" s="27">
        <v>0</v>
      </c>
      <c r="AN88" s="58">
        <v>0</v>
      </c>
      <c r="AO88" s="107">
        <v>0</v>
      </c>
      <c r="AP88" s="27">
        <v>0</v>
      </c>
      <c r="AQ88" s="58">
        <v>0</v>
      </c>
      <c r="AR88" s="107">
        <v>0</v>
      </c>
      <c r="AS88" s="27">
        <v>0</v>
      </c>
      <c r="AT88" s="58">
        <v>0</v>
      </c>
      <c r="AU88" s="107">
        <v>0</v>
      </c>
      <c r="AV88" s="54">
        <f t="shared" si="7"/>
        <v>0</v>
      </c>
      <c r="AW88" s="63">
        <f t="shared" si="7"/>
        <v>0</v>
      </c>
      <c r="AX88" s="55">
        <f t="shared" si="7"/>
        <v>0</v>
      </c>
      <c r="AY88" s="54">
        <f t="shared" si="8"/>
        <v>0</v>
      </c>
      <c r="AZ88" s="63">
        <f t="shared" si="9"/>
        <v>0</v>
      </c>
      <c r="BA88" s="55">
        <f t="shared" si="10"/>
        <v>0</v>
      </c>
      <c r="BB88" s="58">
        <v>0</v>
      </c>
      <c r="BC88" s="58">
        <v>0</v>
      </c>
      <c r="BD88" s="58">
        <v>0</v>
      </c>
      <c r="BE88" s="58">
        <v>0</v>
      </c>
      <c r="BF88" s="58">
        <v>0</v>
      </c>
      <c r="BG88" s="58">
        <v>0</v>
      </c>
      <c r="BH88" s="58">
        <v>0</v>
      </c>
      <c r="BI88" s="58">
        <v>0</v>
      </c>
      <c r="BJ88" s="58">
        <v>0</v>
      </c>
      <c r="BK88" s="58">
        <v>0</v>
      </c>
      <c r="BL88" s="58">
        <v>0</v>
      </c>
      <c r="BM88" s="58">
        <v>0</v>
      </c>
      <c r="BN88" s="44">
        <v>435</v>
      </c>
      <c r="BO88" s="42">
        <v>5990</v>
      </c>
      <c r="BP88" s="45">
        <v>4049.6</v>
      </c>
      <c r="BQ88" s="44">
        <v>400</v>
      </c>
      <c r="BR88" s="42">
        <v>5540</v>
      </c>
      <c r="BS88" s="45">
        <v>3675.2</v>
      </c>
      <c r="BT88" s="44">
        <v>320</v>
      </c>
      <c r="BU88" s="42">
        <v>4440</v>
      </c>
      <c r="BV88" s="112">
        <v>2928</v>
      </c>
      <c r="BW88" s="115">
        <v>250</v>
      </c>
      <c r="BX88" s="116">
        <v>3384</v>
      </c>
      <c r="BY88" s="112">
        <v>2425.1199999999994</v>
      </c>
      <c r="BZ88" s="115">
        <v>400</v>
      </c>
      <c r="CA88" s="116">
        <v>5540</v>
      </c>
      <c r="CB88" s="112">
        <v>3675.2</v>
      </c>
      <c r="CC88" s="115">
        <v>150</v>
      </c>
      <c r="CD88" s="116">
        <v>2040</v>
      </c>
      <c r="CE88" s="112">
        <v>1435.2</v>
      </c>
      <c r="CF88" s="115">
        <v>460</v>
      </c>
      <c r="CG88" s="116">
        <v>6220</v>
      </c>
      <c r="CH88" s="112">
        <v>4456</v>
      </c>
      <c r="CI88" s="115">
        <v>340</v>
      </c>
      <c r="CJ88" s="116">
        <v>4680</v>
      </c>
      <c r="CK88" s="112">
        <v>3168</v>
      </c>
      <c r="CL88" s="54">
        <f t="shared" si="11"/>
        <v>2755</v>
      </c>
      <c r="CM88" s="63">
        <f t="shared" si="11"/>
        <v>37834</v>
      </c>
      <c r="CN88" s="55">
        <f t="shared" si="11"/>
        <v>25812.32</v>
      </c>
      <c r="CO88" s="54">
        <f t="shared" si="12"/>
        <v>229.58333333333334</v>
      </c>
      <c r="CP88" s="63">
        <f t="shared" si="12"/>
        <v>3152.8333333333335</v>
      </c>
      <c r="CQ88" s="55">
        <f t="shared" si="12"/>
        <v>2151.0266666666666</v>
      </c>
    </row>
    <row r="89" spans="1:95" s="2" customFormat="1" ht="34.9" customHeight="1" x14ac:dyDescent="0.6">
      <c r="A89" s="5">
        <v>86</v>
      </c>
      <c r="B89" s="14" t="s">
        <v>644</v>
      </c>
      <c r="C89" s="21" t="s">
        <v>644</v>
      </c>
      <c r="D89" s="21"/>
      <c r="E89" s="20" t="s">
        <v>503</v>
      </c>
      <c r="F89" s="20"/>
      <c r="G89" s="7" t="s">
        <v>150</v>
      </c>
      <c r="H89" s="143"/>
      <c r="I89" s="143"/>
      <c r="J89" s="144" t="s">
        <v>1129</v>
      </c>
      <c r="K89" s="49" t="s">
        <v>151</v>
      </c>
      <c r="L89" s="27">
        <v>0</v>
      </c>
      <c r="M89" s="58">
        <v>0</v>
      </c>
      <c r="N89" s="58">
        <v>0</v>
      </c>
      <c r="O89" s="27">
        <v>0</v>
      </c>
      <c r="P89" s="58">
        <v>0</v>
      </c>
      <c r="Q89" s="49">
        <v>0</v>
      </c>
      <c r="R89" s="27">
        <v>15</v>
      </c>
      <c r="S89" s="58">
        <v>180</v>
      </c>
      <c r="T89" s="98">
        <v>180</v>
      </c>
      <c r="U89" s="27">
        <v>15</v>
      </c>
      <c r="V89" s="58">
        <v>180</v>
      </c>
      <c r="W89" s="12">
        <v>180</v>
      </c>
      <c r="X89" s="27">
        <v>0</v>
      </c>
      <c r="Y89" s="58">
        <v>0</v>
      </c>
      <c r="Z89" s="12">
        <v>0</v>
      </c>
      <c r="AA89" s="27">
        <v>0</v>
      </c>
      <c r="AB89" s="58">
        <v>0</v>
      </c>
      <c r="AC89" s="12">
        <v>0</v>
      </c>
      <c r="AD89" s="27">
        <v>78</v>
      </c>
      <c r="AE89" s="58">
        <v>992</v>
      </c>
      <c r="AF89" s="107">
        <v>914.8</v>
      </c>
      <c r="AG89" s="27">
        <v>144</v>
      </c>
      <c r="AH89" s="58">
        <v>2148</v>
      </c>
      <c r="AI89" s="107">
        <v>1750.8</v>
      </c>
      <c r="AJ89" s="27">
        <v>144</v>
      </c>
      <c r="AK89" s="58">
        <v>2176</v>
      </c>
      <c r="AL89" s="107">
        <v>1708.4</v>
      </c>
      <c r="AM89" s="27">
        <v>153</v>
      </c>
      <c r="AN89" s="58">
        <v>2312</v>
      </c>
      <c r="AO89" s="107">
        <v>1814.8</v>
      </c>
      <c r="AP89" s="27">
        <v>123</v>
      </c>
      <c r="AQ89" s="58">
        <v>1896</v>
      </c>
      <c r="AR89" s="107">
        <v>1480.8</v>
      </c>
      <c r="AS89" s="27">
        <v>106</v>
      </c>
      <c r="AT89" s="58">
        <v>1608</v>
      </c>
      <c r="AU89" s="107">
        <v>1278</v>
      </c>
      <c r="AV89" s="54">
        <f t="shared" si="7"/>
        <v>778</v>
      </c>
      <c r="AW89" s="63">
        <f t="shared" si="7"/>
        <v>11492</v>
      </c>
      <c r="AX89" s="55">
        <f t="shared" si="7"/>
        <v>9307.6</v>
      </c>
      <c r="AY89" s="54">
        <f t="shared" si="8"/>
        <v>64.833333333333329</v>
      </c>
      <c r="AZ89" s="63">
        <f t="shared" si="9"/>
        <v>5.4027777777777777</v>
      </c>
      <c r="BA89" s="55">
        <f t="shared" si="10"/>
        <v>775.63333333333333</v>
      </c>
      <c r="BB89" s="58">
        <v>0</v>
      </c>
      <c r="BC89" s="58">
        <v>0</v>
      </c>
      <c r="BD89" s="58">
        <v>0</v>
      </c>
      <c r="BE89" s="58">
        <v>0</v>
      </c>
      <c r="BF89" s="58">
        <v>0</v>
      </c>
      <c r="BG89" s="58">
        <v>0</v>
      </c>
      <c r="BH89" s="58">
        <v>0</v>
      </c>
      <c r="BI89" s="58">
        <v>0</v>
      </c>
      <c r="BJ89" s="58">
        <v>0</v>
      </c>
      <c r="BK89" s="58">
        <v>0</v>
      </c>
      <c r="BL89" s="58">
        <v>0</v>
      </c>
      <c r="BM89" s="58">
        <v>0</v>
      </c>
      <c r="BN89" s="44">
        <v>96</v>
      </c>
      <c r="BO89" s="42">
        <v>1432</v>
      </c>
      <c r="BP89" s="45">
        <v>1144.4000000000001</v>
      </c>
      <c r="BQ89" s="44">
        <v>104</v>
      </c>
      <c r="BR89" s="42">
        <v>1612</v>
      </c>
      <c r="BS89" s="45">
        <v>1246.4000000000001</v>
      </c>
      <c r="BT89" s="44">
        <v>114</v>
      </c>
      <c r="BU89" s="42">
        <v>1732</v>
      </c>
      <c r="BV89" s="112">
        <v>1361.6</v>
      </c>
      <c r="BW89" s="115">
        <v>133</v>
      </c>
      <c r="BX89" s="116">
        <v>2016</v>
      </c>
      <c r="BY89" s="112">
        <v>1584</v>
      </c>
      <c r="BZ89" s="115">
        <v>78</v>
      </c>
      <c r="CA89" s="116">
        <v>1216</v>
      </c>
      <c r="CB89" s="112">
        <v>941.59999999999991</v>
      </c>
      <c r="CC89" s="115">
        <v>121</v>
      </c>
      <c r="CD89" s="116">
        <v>1788</v>
      </c>
      <c r="CE89" s="112">
        <v>1434</v>
      </c>
      <c r="CF89" s="115">
        <v>116</v>
      </c>
      <c r="CG89" s="116">
        <v>1784</v>
      </c>
      <c r="CH89" s="112">
        <v>1386.4</v>
      </c>
      <c r="CI89" s="115">
        <v>105</v>
      </c>
      <c r="CJ89" s="116">
        <v>1512</v>
      </c>
      <c r="CK89" s="112">
        <v>1273.2</v>
      </c>
      <c r="CL89" s="54">
        <f t="shared" si="11"/>
        <v>867</v>
      </c>
      <c r="CM89" s="63">
        <f t="shared" si="11"/>
        <v>13092</v>
      </c>
      <c r="CN89" s="55">
        <f t="shared" si="11"/>
        <v>10371.6</v>
      </c>
      <c r="CO89" s="54">
        <f t="shared" si="12"/>
        <v>72.25</v>
      </c>
      <c r="CP89" s="63">
        <f t="shared" si="12"/>
        <v>1091</v>
      </c>
      <c r="CQ89" s="55">
        <f t="shared" si="12"/>
        <v>864.30000000000007</v>
      </c>
    </row>
    <row r="90" spans="1:95" s="2" customFormat="1" ht="34.9" customHeight="1" x14ac:dyDescent="0.6">
      <c r="A90" s="5">
        <v>87</v>
      </c>
      <c r="B90" s="14" t="s">
        <v>251</v>
      </c>
      <c r="C90" s="21" t="s">
        <v>251</v>
      </c>
      <c r="D90" s="16" t="s">
        <v>252</v>
      </c>
      <c r="E90" s="15" t="s">
        <v>82</v>
      </c>
      <c r="F90" s="15" t="s">
        <v>83</v>
      </c>
      <c r="G90" s="7" t="s">
        <v>150</v>
      </c>
      <c r="H90" s="18" t="s">
        <v>865</v>
      </c>
      <c r="I90" s="18" t="s">
        <v>866</v>
      </c>
      <c r="J90" s="14" t="s">
        <v>867</v>
      </c>
      <c r="K90" s="49" t="s">
        <v>125</v>
      </c>
      <c r="L90" s="27">
        <v>415</v>
      </c>
      <c r="M90" s="58">
        <v>6070</v>
      </c>
      <c r="N90" s="78">
        <v>4034</v>
      </c>
      <c r="O90" s="27">
        <v>370</v>
      </c>
      <c r="P90" s="58">
        <v>5300</v>
      </c>
      <c r="Q90" s="49">
        <v>4024</v>
      </c>
      <c r="R90" s="27">
        <v>385</v>
      </c>
      <c r="S90" s="58">
        <v>5330</v>
      </c>
      <c r="T90" s="98">
        <v>4209.2</v>
      </c>
      <c r="U90" s="27">
        <v>475</v>
      </c>
      <c r="V90" s="58">
        <v>6780</v>
      </c>
      <c r="W90" s="12">
        <v>5172.3999999999996</v>
      </c>
      <c r="X90" s="27">
        <v>300</v>
      </c>
      <c r="Y90" s="58">
        <v>4200</v>
      </c>
      <c r="Z90" s="107">
        <v>3133.6000000000004</v>
      </c>
      <c r="AA90" s="27">
        <v>250</v>
      </c>
      <c r="AB90" s="58">
        <v>3520</v>
      </c>
      <c r="AC90" s="12">
        <v>2655.2</v>
      </c>
      <c r="AD90" s="27">
        <v>345</v>
      </c>
      <c r="AE90" s="58">
        <v>5040</v>
      </c>
      <c r="AF90" s="107">
        <v>3663.2</v>
      </c>
      <c r="AG90" s="27">
        <v>175</v>
      </c>
      <c r="AH90" s="58">
        <v>2470</v>
      </c>
      <c r="AI90" s="107">
        <v>1983.2</v>
      </c>
      <c r="AJ90" s="27">
        <v>212</v>
      </c>
      <c r="AK90" s="58">
        <v>3080</v>
      </c>
      <c r="AL90" s="107">
        <v>2264</v>
      </c>
      <c r="AM90" s="27">
        <v>295</v>
      </c>
      <c r="AN90" s="58">
        <v>4310</v>
      </c>
      <c r="AO90" s="107">
        <v>3260.8</v>
      </c>
      <c r="AP90" s="27">
        <v>200</v>
      </c>
      <c r="AQ90" s="58">
        <v>2570</v>
      </c>
      <c r="AR90" s="107">
        <v>2141.6</v>
      </c>
      <c r="AS90" s="27">
        <v>334</v>
      </c>
      <c r="AT90" s="58">
        <v>4568</v>
      </c>
      <c r="AU90" s="107">
        <v>3602.4</v>
      </c>
      <c r="AV90" s="54">
        <f t="shared" si="7"/>
        <v>3756</v>
      </c>
      <c r="AW90" s="63">
        <f t="shared" si="7"/>
        <v>53238</v>
      </c>
      <c r="AX90" s="55">
        <f t="shared" si="7"/>
        <v>40143.599999999999</v>
      </c>
      <c r="AY90" s="54">
        <f t="shared" si="8"/>
        <v>313</v>
      </c>
      <c r="AZ90" s="63">
        <f t="shared" si="9"/>
        <v>26.083333333333332</v>
      </c>
      <c r="BA90" s="55">
        <f t="shared" si="10"/>
        <v>3345.2999999999997</v>
      </c>
      <c r="BB90" s="10">
        <v>240</v>
      </c>
      <c r="BC90" s="15">
        <v>3220</v>
      </c>
      <c r="BD90" s="11">
        <v>2586</v>
      </c>
      <c r="BE90" s="10">
        <v>285</v>
      </c>
      <c r="BF90" s="15">
        <v>2980</v>
      </c>
      <c r="BG90" s="11">
        <v>2266.4</v>
      </c>
      <c r="BH90" s="10">
        <v>295</v>
      </c>
      <c r="BI90" s="15">
        <v>4200</v>
      </c>
      <c r="BJ90" s="11">
        <v>3205.2000000000007</v>
      </c>
      <c r="BK90" s="10">
        <v>285</v>
      </c>
      <c r="BL90" s="15">
        <v>4040</v>
      </c>
      <c r="BM90" s="11">
        <v>3146</v>
      </c>
      <c r="BN90" s="44">
        <v>195</v>
      </c>
      <c r="BO90" s="42">
        <v>2820</v>
      </c>
      <c r="BP90" s="45">
        <v>2056</v>
      </c>
      <c r="BQ90" s="44">
        <v>180</v>
      </c>
      <c r="BR90" s="42">
        <v>2620</v>
      </c>
      <c r="BS90" s="45">
        <v>1906.4000000000003</v>
      </c>
      <c r="BT90" s="44">
        <v>220</v>
      </c>
      <c r="BU90" s="42">
        <v>3090</v>
      </c>
      <c r="BV90" s="112">
        <v>2401.6000000000004</v>
      </c>
      <c r="BW90" s="115">
        <v>160</v>
      </c>
      <c r="BX90" s="116">
        <v>2290</v>
      </c>
      <c r="BY90" s="112">
        <v>1803.2000000000003</v>
      </c>
      <c r="BZ90" s="115">
        <v>155</v>
      </c>
      <c r="CA90" s="116">
        <v>2240</v>
      </c>
      <c r="CB90" s="112">
        <v>1728</v>
      </c>
      <c r="CC90" s="115">
        <v>150</v>
      </c>
      <c r="CD90" s="116">
        <v>2190</v>
      </c>
      <c r="CE90" s="112">
        <v>1652.8000000000002</v>
      </c>
      <c r="CF90" s="115">
        <v>150</v>
      </c>
      <c r="CG90" s="116">
        <v>2240</v>
      </c>
      <c r="CH90" s="112">
        <v>1576.8000000000002</v>
      </c>
      <c r="CI90" s="115">
        <v>160</v>
      </c>
      <c r="CJ90" s="116">
        <v>2350</v>
      </c>
      <c r="CK90" s="112">
        <v>1712</v>
      </c>
      <c r="CL90" s="54">
        <f t="shared" si="11"/>
        <v>2475</v>
      </c>
      <c r="CM90" s="63">
        <f t="shared" si="11"/>
        <v>34280</v>
      </c>
      <c r="CN90" s="55">
        <f t="shared" si="11"/>
        <v>26040.399999999998</v>
      </c>
      <c r="CO90" s="54">
        <f t="shared" si="12"/>
        <v>206.25</v>
      </c>
      <c r="CP90" s="63">
        <f t="shared" si="12"/>
        <v>2856.6666666666665</v>
      </c>
      <c r="CQ90" s="55">
        <f t="shared" si="12"/>
        <v>2170.0333333333333</v>
      </c>
    </row>
    <row r="91" spans="1:95" s="2" customFormat="1" ht="34.9" customHeight="1" x14ac:dyDescent="0.6">
      <c r="A91" s="5">
        <v>88</v>
      </c>
      <c r="B91" s="14" t="s">
        <v>253</v>
      </c>
      <c r="C91" s="21" t="s">
        <v>253</v>
      </c>
      <c r="D91" s="16" t="s">
        <v>254</v>
      </c>
      <c r="E91" s="15" t="s">
        <v>82</v>
      </c>
      <c r="F91" s="15" t="s">
        <v>83</v>
      </c>
      <c r="G91" s="7" t="s">
        <v>150</v>
      </c>
      <c r="H91" s="18" t="s">
        <v>868</v>
      </c>
      <c r="I91" s="18" t="s">
        <v>869</v>
      </c>
      <c r="J91" s="14" t="s">
        <v>870</v>
      </c>
      <c r="K91" s="49" t="s">
        <v>125</v>
      </c>
      <c r="L91" s="27">
        <v>111</v>
      </c>
      <c r="M91" s="58">
        <v>1684</v>
      </c>
      <c r="N91" s="78">
        <v>1064.3200000000002</v>
      </c>
      <c r="O91" s="27">
        <v>102</v>
      </c>
      <c r="P91" s="58">
        <v>1550</v>
      </c>
      <c r="Q91" s="104">
        <v>1040.4000000000001</v>
      </c>
      <c r="R91" s="27">
        <v>108</v>
      </c>
      <c r="S91" s="58">
        <v>1624</v>
      </c>
      <c r="T91" s="98">
        <v>1109.3600000000001</v>
      </c>
      <c r="U91" s="27">
        <v>104</v>
      </c>
      <c r="V91" s="58">
        <v>1620</v>
      </c>
      <c r="W91" s="12">
        <v>1083.5999999999999</v>
      </c>
      <c r="X91" s="27">
        <v>84</v>
      </c>
      <c r="Y91" s="58">
        <v>1308</v>
      </c>
      <c r="Z91" s="107">
        <v>863.92000000000007</v>
      </c>
      <c r="AA91" s="27">
        <v>102</v>
      </c>
      <c r="AB91" s="58">
        <v>1570</v>
      </c>
      <c r="AC91" s="12">
        <v>1010</v>
      </c>
      <c r="AD91" s="27">
        <v>93</v>
      </c>
      <c r="AE91" s="58">
        <v>1340</v>
      </c>
      <c r="AF91" s="107">
        <v>909.2</v>
      </c>
      <c r="AG91" s="27">
        <v>99</v>
      </c>
      <c r="AH91" s="58">
        <v>1560</v>
      </c>
      <c r="AI91" s="107">
        <v>1023.6</v>
      </c>
      <c r="AJ91" s="27">
        <v>101</v>
      </c>
      <c r="AK91" s="58">
        <v>1500</v>
      </c>
      <c r="AL91" s="107">
        <v>1041.5999999999999</v>
      </c>
      <c r="AM91" s="27">
        <v>139</v>
      </c>
      <c r="AN91" s="58">
        <v>2132</v>
      </c>
      <c r="AO91" s="107">
        <v>1452.88</v>
      </c>
      <c r="AP91" s="27">
        <v>62</v>
      </c>
      <c r="AQ91" s="58">
        <v>890</v>
      </c>
      <c r="AR91" s="107">
        <v>611.20000000000005</v>
      </c>
      <c r="AS91" s="27">
        <v>95</v>
      </c>
      <c r="AT91" s="58">
        <v>1420</v>
      </c>
      <c r="AU91" s="107">
        <v>937.2</v>
      </c>
      <c r="AV91" s="54">
        <f t="shared" si="7"/>
        <v>1200</v>
      </c>
      <c r="AW91" s="63">
        <f t="shared" si="7"/>
        <v>18198</v>
      </c>
      <c r="AX91" s="55">
        <f t="shared" si="7"/>
        <v>12147.280000000002</v>
      </c>
      <c r="AY91" s="54">
        <f t="shared" si="8"/>
        <v>100</v>
      </c>
      <c r="AZ91" s="63">
        <f t="shared" si="9"/>
        <v>8.3333333333333339</v>
      </c>
      <c r="BA91" s="55">
        <f t="shared" si="10"/>
        <v>1012.2733333333335</v>
      </c>
      <c r="BB91" s="10">
        <v>113</v>
      </c>
      <c r="BC91" s="15">
        <v>1710</v>
      </c>
      <c r="BD91" s="11">
        <v>1174.4000000000001</v>
      </c>
      <c r="BE91" s="10">
        <v>97</v>
      </c>
      <c r="BF91" s="15">
        <v>2480</v>
      </c>
      <c r="BG91" s="11">
        <v>1743.6000000000001</v>
      </c>
      <c r="BH91" s="10">
        <v>104</v>
      </c>
      <c r="BI91" s="15">
        <v>1600</v>
      </c>
      <c r="BJ91" s="11">
        <v>1114</v>
      </c>
      <c r="BK91" s="10">
        <v>127</v>
      </c>
      <c r="BL91" s="15">
        <v>1834</v>
      </c>
      <c r="BM91" s="11">
        <v>1320.1599999999999</v>
      </c>
      <c r="BN91" s="44">
        <v>118</v>
      </c>
      <c r="BO91" s="42">
        <v>1580</v>
      </c>
      <c r="BP91" s="45">
        <v>1300.3999999999999</v>
      </c>
      <c r="BQ91" s="44">
        <v>122</v>
      </c>
      <c r="BR91" s="42">
        <v>1770</v>
      </c>
      <c r="BS91" s="45">
        <v>1310.8</v>
      </c>
      <c r="BT91" s="44">
        <v>107</v>
      </c>
      <c r="BU91" s="42">
        <v>1518</v>
      </c>
      <c r="BV91" s="112">
        <v>1151.1200000000001</v>
      </c>
      <c r="BW91" s="115">
        <v>80</v>
      </c>
      <c r="BX91" s="116">
        <v>1132</v>
      </c>
      <c r="BY91" s="112">
        <v>872.96</v>
      </c>
      <c r="BZ91" s="115">
        <v>123</v>
      </c>
      <c r="CA91" s="116">
        <v>1788</v>
      </c>
      <c r="CB91" s="112">
        <v>1358.24</v>
      </c>
      <c r="CC91" s="115">
        <v>128</v>
      </c>
      <c r="CD91" s="116">
        <v>1746</v>
      </c>
      <c r="CE91" s="112">
        <v>1428.08</v>
      </c>
      <c r="CF91" s="115">
        <v>118</v>
      </c>
      <c r="CG91" s="116">
        <v>1690</v>
      </c>
      <c r="CH91" s="112">
        <v>1356</v>
      </c>
      <c r="CI91" s="115">
        <v>69</v>
      </c>
      <c r="CJ91" s="116">
        <v>940</v>
      </c>
      <c r="CK91" s="112">
        <v>836</v>
      </c>
      <c r="CL91" s="54">
        <f t="shared" si="11"/>
        <v>1306</v>
      </c>
      <c r="CM91" s="63">
        <f t="shared" si="11"/>
        <v>19788</v>
      </c>
      <c r="CN91" s="55">
        <f t="shared" si="11"/>
        <v>14965.759999999998</v>
      </c>
      <c r="CO91" s="54">
        <f t="shared" si="12"/>
        <v>108.83333333333333</v>
      </c>
      <c r="CP91" s="63">
        <f t="shared" si="12"/>
        <v>1649</v>
      </c>
      <c r="CQ91" s="55">
        <f t="shared" si="12"/>
        <v>1247.1466666666665</v>
      </c>
    </row>
    <row r="92" spans="1:95" s="2" customFormat="1" ht="34.9" customHeight="1" x14ac:dyDescent="0.6">
      <c r="A92" s="5">
        <v>89</v>
      </c>
      <c r="B92" s="14" t="s">
        <v>255</v>
      </c>
      <c r="C92" s="21" t="s">
        <v>255</v>
      </c>
      <c r="D92" s="16" t="s">
        <v>256</v>
      </c>
      <c r="E92" s="15" t="s">
        <v>82</v>
      </c>
      <c r="F92" s="15" t="s">
        <v>83</v>
      </c>
      <c r="G92" s="7" t="s">
        <v>150</v>
      </c>
      <c r="H92" s="18" t="s">
        <v>871</v>
      </c>
      <c r="I92" s="18" t="s">
        <v>872</v>
      </c>
      <c r="J92" s="14" t="s">
        <v>873</v>
      </c>
      <c r="K92" s="49" t="s">
        <v>125</v>
      </c>
      <c r="L92" s="27">
        <v>315</v>
      </c>
      <c r="M92" s="58">
        <v>4400</v>
      </c>
      <c r="N92" s="78">
        <v>3060.4</v>
      </c>
      <c r="O92" s="27">
        <v>395</v>
      </c>
      <c r="P92" s="58">
        <v>5680</v>
      </c>
      <c r="Q92" s="104">
        <v>3907.6000000000004</v>
      </c>
      <c r="R92" s="27">
        <v>552</v>
      </c>
      <c r="S92" s="58">
        <v>8040</v>
      </c>
      <c r="T92" s="98">
        <v>5650.8</v>
      </c>
      <c r="U92" s="27">
        <v>455</v>
      </c>
      <c r="V92" s="58">
        <v>6270</v>
      </c>
      <c r="W92" s="12">
        <v>4626.3999999999996</v>
      </c>
      <c r="X92" s="27">
        <v>230</v>
      </c>
      <c r="Y92" s="58">
        <v>3210</v>
      </c>
      <c r="Z92" s="107">
        <v>2298.8000000000002</v>
      </c>
      <c r="AA92" s="27">
        <v>380</v>
      </c>
      <c r="AB92" s="58">
        <v>5090</v>
      </c>
      <c r="AC92" s="12">
        <v>3754.4000000000005</v>
      </c>
      <c r="AD92" s="27">
        <v>345</v>
      </c>
      <c r="AE92" s="58">
        <v>4690</v>
      </c>
      <c r="AF92" s="107">
        <v>3304</v>
      </c>
      <c r="AG92" s="27">
        <v>255</v>
      </c>
      <c r="AH92" s="58">
        <v>3470</v>
      </c>
      <c r="AI92" s="107">
        <v>2659.6000000000004</v>
      </c>
      <c r="AJ92" s="27">
        <v>390</v>
      </c>
      <c r="AK92" s="58">
        <v>5400</v>
      </c>
      <c r="AL92" s="107">
        <v>4031.2</v>
      </c>
      <c r="AM92" s="27">
        <v>313</v>
      </c>
      <c r="AN92" s="58">
        <v>4280</v>
      </c>
      <c r="AO92" s="107">
        <v>3316</v>
      </c>
      <c r="AP92" s="27">
        <v>215</v>
      </c>
      <c r="AQ92" s="58">
        <v>2920</v>
      </c>
      <c r="AR92" s="107">
        <v>2063.1999999999998</v>
      </c>
      <c r="AS92" s="27">
        <v>371</v>
      </c>
      <c r="AT92" s="58">
        <v>5090</v>
      </c>
      <c r="AU92" s="107">
        <v>3749.6</v>
      </c>
      <c r="AV92" s="54">
        <f t="shared" si="7"/>
        <v>4216</v>
      </c>
      <c r="AW92" s="63">
        <f t="shared" si="7"/>
        <v>58540</v>
      </c>
      <c r="AX92" s="55">
        <f t="shared" si="7"/>
        <v>42421.999999999993</v>
      </c>
      <c r="AY92" s="54">
        <f t="shared" si="8"/>
        <v>351.33333333333331</v>
      </c>
      <c r="AZ92" s="63">
        <f t="shared" si="9"/>
        <v>29.277777777777775</v>
      </c>
      <c r="BA92" s="55">
        <f t="shared" si="10"/>
        <v>3535.1666666666661</v>
      </c>
      <c r="BB92" s="10">
        <v>288</v>
      </c>
      <c r="BC92" s="15">
        <v>3926</v>
      </c>
      <c r="BD92" s="11">
        <v>2940.4000000000005</v>
      </c>
      <c r="BE92" s="10">
        <v>272</v>
      </c>
      <c r="BF92" s="15">
        <v>3710</v>
      </c>
      <c r="BG92" s="11">
        <v>2675.2</v>
      </c>
      <c r="BH92" s="10">
        <v>547</v>
      </c>
      <c r="BI92" s="15">
        <v>7810</v>
      </c>
      <c r="BJ92" s="11">
        <v>5650.4</v>
      </c>
      <c r="BK92" s="10">
        <v>140</v>
      </c>
      <c r="BL92" s="15">
        <v>2160</v>
      </c>
      <c r="BM92" s="11">
        <v>1396</v>
      </c>
      <c r="BN92" s="44">
        <v>215</v>
      </c>
      <c r="BO92" s="42">
        <v>2790</v>
      </c>
      <c r="BP92" s="45">
        <v>2212.7999999999997</v>
      </c>
      <c r="BQ92" s="44">
        <v>290</v>
      </c>
      <c r="BR92" s="42">
        <v>4190</v>
      </c>
      <c r="BS92" s="45">
        <v>3069.2000000000003</v>
      </c>
      <c r="BT92" s="44">
        <v>330</v>
      </c>
      <c r="BU92" s="42">
        <v>4560</v>
      </c>
      <c r="BV92" s="112">
        <v>3493.5999999999995</v>
      </c>
      <c r="BW92" s="115">
        <v>310</v>
      </c>
      <c r="BX92" s="116">
        <v>4300</v>
      </c>
      <c r="BY92" s="112">
        <v>3284</v>
      </c>
      <c r="BZ92" s="115">
        <v>295</v>
      </c>
      <c r="CA92" s="116">
        <v>4130</v>
      </c>
      <c r="CB92" s="112">
        <v>3088.7999999999997</v>
      </c>
      <c r="CC92" s="115">
        <v>295</v>
      </c>
      <c r="CD92" s="116">
        <v>3860</v>
      </c>
      <c r="CE92" s="112">
        <v>3029.6000000000004</v>
      </c>
      <c r="CF92" s="115">
        <v>295</v>
      </c>
      <c r="CG92" s="116">
        <v>4500</v>
      </c>
      <c r="CH92" s="112">
        <v>3194.7999999999997</v>
      </c>
      <c r="CI92" s="115">
        <v>287</v>
      </c>
      <c r="CJ92" s="116">
        <v>3880</v>
      </c>
      <c r="CK92" s="112">
        <v>3093.2000000000003</v>
      </c>
      <c r="CL92" s="54">
        <f t="shared" si="11"/>
        <v>3564</v>
      </c>
      <c r="CM92" s="63">
        <f t="shared" si="11"/>
        <v>49816</v>
      </c>
      <c r="CN92" s="55">
        <f t="shared" si="11"/>
        <v>37128</v>
      </c>
      <c r="CO92" s="54">
        <f t="shared" si="12"/>
        <v>297</v>
      </c>
      <c r="CP92" s="63">
        <f t="shared" si="12"/>
        <v>4151.333333333333</v>
      </c>
      <c r="CQ92" s="55">
        <f t="shared" si="12"/>
        <v>3094</v>
      </c>
    </row>
    <row r="93" spans="1:95" s="2" customFormat="1" ht="34.9" customHeight="1" x14ac:dyDescent="0.6">
      <c r="A93" s="5">
        <v>90</v>
      </c>
      <c r="B93" s="14" t="s">
        <v>257</v>
      </c>
      <c r="C93" s="21" t="s">
        <v>257</v>
      </c>
      <c r="D93" s="16" t="s">
        <v>258</v>
      </c>
      <c r="E93" s="15" t="s">
        <v>82</v>
      </c>
      <c r="F93" s="15" t="s">
        <v>83</v>
      </c>
      <c r="G93" s="7" t="s">
        <v>150</v>
      </c>
      <c r="H93" s="18" t="s">
        <v>257</v>
      </c>
      <c r="I93" s="18" t="s">
        <v>258</v>
      </c>
      <c r="J93" s="14" t="s">
        <v>874</v>
      </c>
      <c r="K93" s="49" t="s">
        <v>125</v>
      </c>
      <c r="L93" s="27">
        <v>685</v>
      </c>
      <c r="M93" s="58">
        <v>9870</v>
      </c>
      <c r="N93" s="78">
        <v>7228.7999999999993</v>
      </c>
      <c r="O93" s="27">
        <v>599</v>
      </c>
      <c r="P93" s="58">
        <v>8504</v>
      </c>
      <c r="Q93" s="104">
        <v>6383.6</v>
      </c>
      <c r="R93" s="27">
        <v>586</v>
      </c>
      <c r="S93" s="58">
        <v>8348</v>
      </c>
      <c r="T93" s="98">
        <v>6220.4</v>
      </c>
      <c r="U93" s="27">
        <v>559</v>
      </c>
      <c r="V93" s="58">
        <v>7834</v>
      </c>
      <c r="W93" s="12">
        <v>5746.8</v>
      </c>
      <c r="X93" s="27">
        <v>722</v>
      </c>
      <c r="Y93" s="58">
        <v>10082</v>
      </c>
      <c r="Z93" s="107">
        <v>7660</v>
      </c>
      <c r="AA93" s="27">
        <v>764</v>
      </c>
      <c r="AB93" s="58">
        <v>10828</v>
      </c>
      <c r="AC93" s="12">
        <v>8190</v>
      </c>
      <c r="AD93" s="27">
        <v>815</v>
      </c>
      <c r="AE93" s="58">
        <v>11630</v>
      </c>
      <c r="AF93" s="107">
        <v>8750.4</v>
      </c>
      <c r="AG93" s="27">
        <v>759</v>
      </c>
      <c r="AH93" s="58">
        <v>10738</v>
      </c>
      <c r="AI93" s="107">
        <v>8227.3599999999988</v>
      </c>
      <c r="AJ93" s="27">
        <v>738</v>
      </c>
      <c r="AK93" s="58">
        <v>10584</v>
      </c>
      <c r="AL93" s="107">
        <v>8049.2</v>
      </c>
      <c r="AM93" s="27">
        <v>753</v>
      </c>
      <c r="AN93" s="58">
        <v>10658</v>
      </c>
      <c r="AO93" s="107">
        <v>8071.2</v>
      </c>
      <c r="AP93" s="27">
        <v>640</v>
      </c>
      <c r="AQ93" s="58">
        <v>9050</v>
      </c>
      <c r="AR93" s="107">
        <v>6934.4</v>
      </c>
      <c r="AS93" s="27">
        <v>435</v>
      </c>
      <c r="AT93" s="58">
        <v>6100</v>
      </c>
      <c r="AU93" s="107">
        <v>4773.6000000000004</v>
      </c>
      <c r="AV93" s="54">
        <f t="shared" si="7"/>
        <v>8055</v>
      </c>
      <c r="AW93" s="63">
        <f t="shared" si="7"/>
        <v>114226</v>
      </c>
      <c r="AX93" s="55">
        <f t="shared" si="7"/>
        <v>86235.76</v>
      </c>
      <c r="AY93" s="54">
        <f t="shared" si="8"/>
        <v>671.25</v>
      </c>
      <c r="AZ93" s="63">
        <f t="shared" si="9"/>
        <v>55.9375</v>
      </c>
      <c r="BA93" s="55">
        <f t="shared" si="10"/>
        <v>7186.3133333333326</v>
      </c>
      <c r="BB93" s="10">
        <v>592</v>
      </c>
      <c r="BC93" s="15">
        <v>8240</v>
      </c>
      <c r="BD93" s="11">
        <v>6358.8000000000011</v>
      </c>
      <c r="BE93" s="10">
        <v>439</v>
      </c>
      <c r="BF93" s="15">
        <v>6060</v>
      </c>
      <c r="BG93" s="11">
        <v>4688.0000000000009</v>
      </c>
      <c r="BH93" s="10">
        <v>350</v>
      </c>
      <c r="BI93" s="15">
        <v>4874</v>
      </c>
      <c r="BJ93" s="11">
        <v>3754.8</v>
      </c>
      <c r="BK93" s="10">
        <v>503</v>
      </c>
      <c r="BL93" s="15">
        <v>7010</v>
      </c>
      <c r="BM93" s="11">
        <v>5357.6</v>
      </c>
      <c r="BN93" s="44">
        <v>626</v>
      </c>
      <c r="BO93" s="42">
        <v>8480</v>
      </c>
      <c r="BP93" s="45">
        <v>6753.6</v>
      </c>
      <c r="BQ93" s="44">
        <v>581</v>
      </c>
      <c r="BR93" s="42">
        <v>8030</v>
      </c>
      <c r="BS93" s="45">
        <v>6299.6</v>
      </c>
      <c r="BT93" s="44">
        <v>729</v>
      </c>
      <c r="BU93" s="42">
        <v>9920</v>
      </c>
      <c r="BV93" s="112">
        <v>8035.9999999999982</v>
      </c>
      <c r="BW93" s="115">
        <v>733</v>
      </c>
      <c r="BX93" s="116">
        <v>10350</v>
      </c>
      <c r="BY93" s="112">
        <v>8127.2000000000016</v>
      </c>
      <c r="BZ93" s="115">
        <v>671</v>
      </c>
      <c r="CA93" s="116">
        <v>9348</v>
      </c>
      <c r="CB93" s="112">
        <v>7374.32</v>
      </c>
      <c r="CC93" s="115">
        <v>577</v>
      </c>
      <c r="CD93" s="116">
        <v>7930</v>
      </c>
      <c r="CE93" s="112">
        <v>6375.2000000000016</v>
      </c>
      <c r="CF93" s="115">
        <v>506</v>
      </c>
      <c r="CG93" s="116">
        <v>7020</v>
      </c>
      <c r="CH93" s="112">
        <v>5566.800000000002</v>
      </c>
      <c r="CI93" s="115">
        <v>589</v>
      </c>
      <c r="CJ93" s="116">
        <v>8130</v>
      </c>
      <c r="CK93" s="112">
        <v>6523.2000000000007</v>
      </c>
      <c r="CL93" s="54">
        <f t="shared" si="11"/>
        <v>6896</v>
      </c>
      <c r="CM93" s="63">
        <f t="shared" si="11"/>
        <v>95392</v>
      </c>
      <c r="CN93" s="55">
        <f t="shared" si="11"/>
        <v>75215.12000000001</v>
      </c>
      <c r="CO93" s="54">
        <f t="shared" si="12"/>
        <v>574.66666666666663</v>
      </c>
      <c r="CP93" s="63">
        <f t="shared" si="12"/>
        <v>7949.333333333333</v>
      </c>
      <c r="CQ93" s="55">
        <f t="shared" si="12"/>
        <v>6267.9266666666672</v>
      </c>
    </row>
    <row r="94" spans="1:95" s="2" customFormat="1" ht="34.9" customHeight="1" x14ac:dyDescent="0.6">
      <c r="A94" s="5">
        <v>91</v>
      </c>
      <c r="B94" s="161" t="s">
        <v>259</v>
      </c>
      <c r="C94" s="21" t="s">
        <v>261</v>
      </c>
      <c r="D94" s="16" t="s">
        <v>260</v>
      </c>
      <c r="E94" s="15" t="s">
        <v>96</v>
      </c>
      <c r="F94" s="15" t="s">
        <v>97</v>
      </c>
      <c r="G94" s="7" t="s">
        <v>150</v>
      </c>
      <c r="H94" s="18" t="s">
        <v>875</v>
      </c>
      <c r="I94" s="18" t="s">
        <v>876</v>
      </c>
      <c r="J94" s="14" t="s">
        <v>877</v>
      </c>
      <c r="K94" s="49" t="s">
        <v>125</v>
      </c>
      <c r="L94" s="27">
        <v>136</v>
      </c>
      <c r="M94" s="58">
        <v>1924</v>
      </c>
      <c r="N94" s="78">
        <v>1232.72</v>
      </c>
      <c r="O94" s="27">
        <v>163</v>
      </c>
      <c r="P94" s="58">
        <v>2378</v>
      </c>
      <c r="Q94" s="49">
        <v>1492.8</v>
      </c>
      <c r="R94" s="27">
        <v>168</v>
      </c>
      <c r="S94" s="58">
        <v>2420</v>
      </c>
      <c r="T94" s="98">
        <v>1535.6000000000001</v>
      </c>
      <c r="U94" s="27">
        <v>106</v>
      </c>
      <c r="V94" s="58">
        <v>1530</v>
      </c>
      <c r="W94" s="12">
        <v>968.96</v>
      </c>
      <c r="X94" s="27">
        <v>132</v>
      </c>
      <c r="Y94" s="58">
        <v>1944</v>
      </c>
      <c r="Z94" s="107">
        <v>1215.04</v>
      </c>
      <c r="AA94" s="27">
        <v>97</v>
      </c>
      <c r="AB94" s="58">
        <v>1406</v>
      </c>
      <c r="AC94" s="107">
        <v>885.28</v>
      </c>
      <c r="AD94" s="27">
        <v>128</v>
      </c>
      <c r="AE94" s="58">
        <v>1890</v>
      </c>
      <c r="AF94" s="107">
        <v>1176.1600000000001</v>
      </c>
      <c r="AG94" s="27">
        <v>128</v>
      </c>
      <c r="AH94" s="58">
        <v>1838</v>
      </c>
      <c r="AI94" s="107">
        <v>1166.08</v>
      </c>
      <c r="AJ94" s="27">
        <v>63</v>
      </c>
      <c r="AK94" s="58">
        <v>932</v>
      </c>
      <c r="AL94" s="107">
        <v>577.6</v>
      </c>
      <c r="AM94" s="27">
        <v>69</v>
      </c>
      <c r="AN94" s="58">
        <v>1036</v>
      </c>
      <c r="AO94" s="107">
        <v>645.52</v>
      </c>
      <c r="AP94" s="27">
        <v>31</v>
      </c>
      <c r="AQ94" s="58">
        <v>432</v>
      </c>
      <c r="AR94" s="107">
        <v>280.8</v>
      </c>
      <c r="AS94" s="27">
        <v>0</v>
      </c>
      <c r="AT94" s="58">
        <v>0</v>
      </c>
      <c r="AU94" s="107">
        <v>0</v>
      </c>
      <c r="AV94" s="54">
        <f t="shared" si="7"/>
        <v>1221</v>
      </c>
      <c r="AW94" s="63">
        <f t="shared" si="7"/>
        <v>17730</v>
      </c>
      <c r="AX94" s="55">
        <f t="shared" si="7"/>
        <v>11176.56</v>
      </c>
      <c r="AY94" s="54">
        <f t="shared" si="8"/>
        <v>101.75</v>
      </c>
      <c r="AZ94" s="63">
        <f t="shared" si="9"/>
        <v>8.4791666666666661</v>
      </c>
      <c r="BA94" s="55">
        <f t="shared" si="10"/>
        <v>931.38</v>
      </c>
      <c r="BB94" s="10">
        <v>0</v>
      </c>
      <c r="BC94" s="15">
        <v>0</v>
      </c>
      <c r="BD94" s="11">
        <v>0</v>
      </c>
      <c r="BE94" s="10">
        <v>0</v>
      </c>
      <c r="BF94" s="15">
        <v>0</v>
      </c>
      <c r="BG94" s="11">
        <v>0</v>
      </c>
      <c r="BH94" s="10">
        <v>0</v>
      </c>
      <c r="BI94" s="15">
        <v>0</v>
      </c>
      <c r="BJ94" s="11">
        <v>0</v>
      </c>
      <c r="BK94" s="10">
        <v>0</v>
      </c>
      <c r="BL94" s="15">
        <v>0</v>
      </c>
      <c r="BM94" s="11">
        <v>0</v>
      </c>
      <c r="BN94" s="44">
        <v>0</v>
      </c>
      <c r="BO94" s="42">
        <v>0</v>
      </c>
      <c r="BP94" s="45">
        <v>0</v>
      </c>
      <c r="BQ94" s="44">
        <v>0</v>
      </c>
      <c r="BR94" s="42">
        <v>0</v>
      </c>
      <c r="BS94" s="45">
        <v>0</v>
      </c>
      <c r="BT94" s="44">
        <v>0</v>
      </c>
      <c r="BU94" s="42">
        <v>0</v>
      </c>
      <c r="BV94" s="112">
        <v>0</v>
      </c>
      <c r="BW94" s="115">
        <v>0</v>
      </c>
      <c r="BX94" s="116">
        <v>0</v>
      </c>
      <c r="BY94" s="112">
        <v>0</v>
      </c>
      <c r="BZ94" s="115">
        <v>0</v>
      </c>
      <c r="CA94" s="116">
        <v>0</v>
      </c>
      <c r="CB94" s="112">
        <v>0</v>
      </c>
      <c r="CC94" s="115">
        <v>0</v>
      </c>
      <c r="CD94" s="116">
        <v>0</v>
      </c>
      <c r="CE94" s="112">
        <v>0</v>
      </c>
      <c r="CF94" s="115">
        <v>0</v>
      </c>
      <c r="CG94" s="116">
        <v>0</v>
      </c>
      <c r="CH94" s="112">
        <v>0</v>
      </c>
      <c r="CI94" s="115">
        <v>0</v>
      </c>
      <c r="CJ94" s="116">
        <v>0</v>
      </c>
      <c r="CK94" s="112">
        <v>0</v>
      </c>
      <c r="CL94" s="54">
        <f t="shared" si="11"/>
        <v>0</v>
      </c>
      <c r="CM94" s="63">
        <f t="shared" si="11"/>
        <v>0</v>
      </c>
      <c r="CN94" s="55">
        <f t="shared" si="11"/>
        <v>0</v>
      </c>
      <c r="CO94" s="54">
        <f t="shared" si="12"/>
        <v>0</v>
      </c>
      <c r="CP94" s="63">
        <f t="shared" si="12"/>
        <v>0</v>
      </c>
      <c r="CQ94" s="55">
        <f t="shared" si="12"/>
        <v>0</v>
      </c>
    </row>
    <row r="95" spans="1:95" s="2" customFormat="1" ht="34.9" customHeight="1" x14ac:dyDescent="0.6">
      <c r="A95" s="5">
        <v>92</v>
      </c>
      <c r="B95" s="14" t="s">
        <v>261</v>
      </c>
      <c r="C95" s="21" t="s">
        <v>268</v>
      </c>
      <c r="D95" s="16" t="s">
        <v>262</v>
      </c>
      <c r="E95" s="15" t="s">
        <v>263</v>
      </c>
      <c r="F95" s="14" t="s">
        <v>264</v>
      </c>
      <c r="G95" s="7" t="s">
        <v>150</v>
      </c>
      <c r="H95" s="18" t="s">
        <v>878</v>
      </c>
      <c r="I95" s="18" t="s">
        <v>879</v>
      </c>
      <c r="J95" s="14" t="s">
        <v>880</v>
      </c>
      <c r="K95" s="49" t="s">
        <v>125</v>
      </c>
      <c r="L95" s="27">
        <v>445</v>
      </c>
      <c r="M95" s="58">
        <v>6226</v>
      </c>
      <c r="N95" s="78">
        <v>4402.88</v>
      </c>
      <c r="O95" s="27">
        <v>595</v>
      </c>
      <c r="P95" s="58">
        <v>8420</v>
      </c>
      <c r="Q95" s="49">
        <v>5772.8</v>
      </c>
      <c r="R95" s="27">
        <v>360</v>
      </c>
      <c r="S95" s="58">
        <v>5150</v>
      </c>
      <c r="T95" s="98">
        <v>3504</v>
      </c>
      <c r="U95" s="27">
        <v>481</v>
      </c>
      <c r="V95" s="58">
        <v>6872</v>
      </c>
      <c r="W95" s="12">
        <v>4811.2000000000007</v>
      </c>
      <c r="X95" s="27">
        <v>365</v>
      </c>
      <c r="Y95" s="58">
        <v>4960</v>
      </c>
      <c r="Z95" s="107">
        <v>3498.4</v>
      </c>
      <c r="AA95" s="27">
        <v>403</v>
      </c>
      <c r="AB95" s="58">
        <v>5420</v>
      </c>
      <c r="AC95" s="12">
        <v>4028</v>
      </c>
      <c r="AD95" s="27">
        <v>330</v>
      </c>
      <c r="AE95" s="58">
        <v>4570</v>
      </c>
      <c r="AF95" s="107">
        <v>3255.6</v>
      </c>
      <c r="AG95" s="27">
        <v>366</v>
      </c>
      <c r="AH95" s="58">
        <v>5104</v>
      </c>
      <c r="AI95" s="107">
        <v>3627.84</v>
      </c>
      <c r="AJ95" s="27">
        <v>245</v>
      </c>
      <c r="AK95" s="58">
        <v>3280</v>
      </c>
      <c r="AL95" s="107">
        <v>2387.1999999999998</v>
      </c>
      <c r="AM95" s="27">
        <v>427</v>
      </c>
      <c r="AN95" s="58">
        <v>5776</v>
      </c>
      <c r="AO95" s="107">
        <v>4212.6399999999994</v>
      </c>
      <c r="AP95" s="27">
        <v>383</v>
      </c>
      <c r="AQ95" s="58">
        <v>5160</v>
      </c>
      <c r="AR95" s="107">
        <v>3812.4</v>
      </c>
      <c r="AS95" s="27">
        <v>340</v>
      </c>
      <c r="AT95" s="58">
        <v>4530</v>
      </c>
      <c r="AU95" s="107">
        <v>3396</v>
      </c>
      <c r="AV95" s="54">
        <f t="shared" si="7"/>
        <v>4740</v>
      </c>
      <c r="AW95" s="63">
        <f t="shared" si="7"/>
        <v>65468</v>
      </c>
      <c r="AX95" s="55">
        <f t="shared" si="7"/>
        <v>46708.959999999999</v>
      </c>
      <c r="AY95" s="54">
        <f t="shared" si="8"/>
        <v>395</v>
      </c>
      <c r="AZ95" s="63">
        <f t="shared" si="9"/>
        <v>32.916666666666664</v>
      </c>
      <c r="BA95" s="55">
        <f t="shared" si="10"/>
        <v>3892.4133333333334</v>
      </c>
      <c r="BB95" s="10">
        <v>399</v>
      </c>
      <c r="BC95" s="15">
        <v>5466</v>
      </c>
      <c r="BD95" s="11">
        <v>3989.6</v>
      </c>
      <c r="BE95" s="10">
        <v>403</v>
      </c>
      <c r="BF95" s="15">
        <v>4956</v>
      </c>
      <c r="BG95" s="11">
        <v>3886.8</v>
      </c>
      <c r="BH95" s="10">
        <v>518</v>
      </c>
      <c r="BI95" s="15">
        <v>7120</v>
      </c>
      <c r="BJ95" s="11">
        <v>5411.2</v>
      </c>
      <c r="BK95" s="10">
        <v>400</v>
      </c>
      <c r="BL95" s="15">
        <v>5350</v>
      </c>
      <c r="BM95" s="11">
        <v>4114.8</v>
      </c>
      <c r="BN95" s="44">
        <v>365</v>
      </c>
      <c r="BO95" s="42">
        <v>4940</v>
      </c>
      <c r="BP95" s="45">
        <v>3733.6000000000004</v>
      </c>
      <c r="BQ95" s="44">
        <v>360</v>
      </c>
      <c r="BR95" s="42">
        <v>4720</v>
      </c>
      <c r="BS95" s="45">
        <v>3694</v>
      </c>
      <c r="BT95" s="44">
        <v>381</v>
      </c>
      <c r="BU95" s="42">
        <v>5096</v>
      </c>
      <c r="BV95" s="112">
        <v>3876.8</v>
      </c>
      <c r="BW95" s="115">
        <v>390</v>
      </c>
      <c r="BX95" s="116">
        <v>5236</v>
      </c>
      <c r="BY95" s="112">
        <v>3912.4800000000005</v>
      </c>
      <c r="BZ95" s="115">
        <v>336</v>
      </c>
      <c r="CA95" s="116">
        <v>4520</v>
      </c>
      <c r="CB95" s="112">
        <v>3515.6000000000004</v>
      </c>
      <c r="CC95" s="115">
        <v>202</v>
      </c>
      <c r="CD95" s="116">
        <v>2700</v>
      </c>
      <c r="CE95" s="112">
        <v>2069.6000000000004</v>
      </c>
      <c r="CF95" s="115">
        <v>282</v>
      </c>
      <c r="CG95" s="116">
        <v>3760</v>
      </c>
      <c r="CH95" s="112">
        <v>2901.6</v>
      </c>
      <c r="CI95" s="115">
        <v>217</v>
      </c>
      <c r="CJ95" s="116">
        <v>2910</v>
      </c>
      <c r="CK95" s="112">
        <v>2228</v>
      </c>
      <c r="CL95" s="54">
        <f t="shared" si="11"/>
        <v>4253</v>
      </c>
      <c r="CM95" s="63">
        <f t="shared" si="11"/>
        <v>56774</v>
      </c>
      <c r="CN95" s="55">
        <f t="shared" si="11"/>
        <v>43334.079999999994</v>
      </c>
      <c r="CO95" s="54">
        <f t="shared" si="12"/>
        <v>354.41666666666669</v>
      </c>
      <c r="CP95" s="63">
        <f t="shared" si="12"/>
        <v>4731.166666666667</v>
      </c>
      <c r="CQ95" s="55">
        <f t="shared" si="12"/>
        <v>3611.1733333333327</v>
      </c>
    </row>
    <row r="96" spans="1:95" s="2" customFormat="1" ht="34.9" customHeight="1" x14ac:dyDescent="0.6">
      <c r="A96" s="5">
        <v>93</v>
      </c>
      <c r="B96" s="161" t="s">
        <v>265</v>
      </c>
      <c r="C96" s="21" t="s">
        <v>270</v>
      </c>
      <c r="D96" s="16" t="s">
        <v>266</v>
      </c>
      <c r="E96" s="15" t="s">
        <v>267</v>
      </c>
      <c r="F96" s="14" t="s">
        <v>46</v>
      </c>
      <c r="G96" s="7" t="s">
        <v>150</v>
      </c>
      <c r="H96" s="18" t="s">
        <v>881</v>
      </c>
      <c r="I96" s="18" t="s">
        <v>882</v>
      </c>
      <c r="J96" s="14" t="s">
        <v>883</v>
      </c>
      <c r="K96" s="49" t="s">
        <v>125</v>
      </c>
      <c r="L96" s="27">
        <v>55</v>
      </c>
      <c r="M96" s="58">
        <v>890</v>
      </c>
      <c r="N96" s="78">
        <v>515.20000000000005</v>
      </c>
      <c r="O96" s="27">
        <v>0</v>
      </c>
      <c r="P96" s="58">
        <v>0</v>
      </c>
      <c r="Q96" s="49">
        <v>0</v>
      </c>
      <c r="R96" s="27">
        <v>90</v>
      </c>
      <c r="S96" s="58">
        <v>1480</v>
      </c>
      <c r="T96" s="98">
        <v>917.6</v>
      </c>
      <c r="U96" s="27">
        <v>50</v>
      </c>
      <c r="V96" s="58">
        <v>680</v>
      </c>
      <c r="W96" s="12">
        <v>478.40000000000003</v>
      </c>
      <c r="X96" s="27">
        <v>30</v>
      </c>
      <c r="Y96" s="58">
        <v>550</v>
      </c>
      <c r="Z96" s="107">
        <v>294</v>
      </c>
      <c r="AA96" s="27">
        <v>90</v>
      </c>
      <c r="AB96" s="58">
        <v>1480</v>
      </c>
      <c r="AC96" s="107">
        <v>917.6</v>
      </c>
      <c r="AD96" s="27">
        <v>0</v>
      </c>
      <c r="AE96" s="58">
        <v>0</v>
      </c>
      <c r="AF96" s="107">
        <v>0</v>
      </c>
      <c r="AG96" s="27">
        <v>90</v>
      </c>
      <c r="AH96" s="58">
        <v>1580</v>
      </c>
      <c r="AI96" s="107">
        <v>970.40000000000009</v>
      </c>
      <c r="AJ96" s="27">
        <v>0</v>
      </c>
      <c r="AK96" s="58">
        <v>0</v>
      </c>
      <c r="AL96" s="107">
        <v>0</v>
      </c>
      <c r="AM96" s="27">
        <v>73</v>
      </c>
      <c r="AN96" s="58">
        <v>996</v>
      </c>
      <c r="AO96" s="107">
        <v>693.6</v>
      </c>
      <c r="AP96" s="27">
        <v>0</v>
      </c>
      <c r="AQ96" s="58">
        <v>0</v>
      </c>
      <c r="AR96" s="107">
        <v>0</v>
      </c>
      <c r="AS96" s="27">
        <v>77</v>
      </c>
      <c r="AT96" s="58">
        <v>1164</v>
      </c>
      <c r="AU96" s="107">
        <v>774.8</v>
      </c>
      <c r="AV96" s="54">
        <f t="shared" si="7"/>
        <v>555</v>
      </c>
      <c r="AW96" s="63">
        <f t="shared" si="7"/>
        <v>8820</v>
      </c>
      <c r="AX96" s="55">
        <f t="shared" si="7"/>
        <v>5561.6</v>
      </c>
      <c r="AY96" s="54">
        <f t="shared" si="8"/>
        <v>46.25</v>
      </c>
      <c r="AZ96" s="63">
        <f t="shared" si="9"/>
        <v>3.8541666666666665</v>
      </c>
      <c r="BA96" s="55">
        <f t="shared" si="10"/>
        <v>463.4666666666667</v>
      </c>
      <c r="BB96" s="10">
        <v>40</v>
      </c>
      <c r="BC96" s="15">
        <v>540</v>
      </c>
      <c r="BD96" s="11">
        <v>388.8</v>
      </c>
      <c r="BE96" s="10">
        <v>0</v>
      </c>
      <c r="BF96" s="15">
        <v>300</v>
      </c>
      <c r="BG96" s="11">
        <v>252</v>
      </c>
      <c r="BH96" s="10">
        <v>110</v>
      </c>
      <c r="BI96" s="15">
        <v>1800</v>
      </c>
      <c r="BJ96" s="11">
        <v>1036</v>
      </c>
      <c r="BK96" s="10">
        <v>0</v>
      </c>
      <c r="BL96" s="15">
        <v>0</v>
      </c>
      <c r="BM96" s="11">
        <v>0</v>
      </c>
      <c r="BN96" s="44">
        <v>50</v>
      </c>
      <c r="BO96" s="42">
        <v>700</v>
      </c>
      <c r="BP96" s="45">
        <v>448</v>
      </c>
      <c r="BQ96" s="44">
        <v>50</v>
      </c>
      <c r="BR96" s="42">
        <v>660</v>
      </c>
      <c r="BS96" s="45">
        <v>508.8</v>
      </c>
      <c r="BT96" s="44">
        <v>0</v>
      </c>
      <c r="BU96" s="42">
        <v>0</v>
      </c>
      <c r="BV96" s="112">
        <v>0</v>
      </c>
      <c r="BW96" s="115">
        <v>3</v>
      </c>
      <c r="BX96" s="116">
        <v>36</v>
      </c>
      <c r="BY96" s="112">
        <v>24.48</v>
      </c>
      <c r="BZ96" s="115">
        <v>0</v>
      </c>
      <c r="CA96" s="116">
        <v>0</v>
      </c>
      <c r="CB96" s="112">
        <v>0</v>
      </c>
      <c r="CC96" s="115">
        <v>0</v>
      </c>
      <c r="CD96" s="116">
        <v>0</v>
      </c>
      <c r="CE96" s="112">
        <v>0</v>
      </c>
      <c r="CF96" s="115">
        <v>0</v>
      </c>
      <c r="CG96" s="116">
        <v>0</v>
      </c>
      <c r="CH96" s="112">
        <v>0</v>
      </c>
      <c r="CI96" s="115">
        <v>0</v>
      </c>
      <c r="CJ96" s="116">
        <v>0</v>
      </c>
      <c r="CK96" s="112">
        <v>0</v>
      </c>
      <c r="CL96" s="54">
        <f t="shared" si="11"/>
        <v>253</v>
      </c>
      <c r="CM96" s="63">
        <f t="shared" si="11"/>
        <v>4036</v>
      </c>
      <c r="CN96" s="55">
        <f t="shared" si="11"/>
        <v>2658.0800000000004</v>
      </c>
      <c r="CO96" s="54">
        <f t="shared" si="12"/>
        <v>21.083333333333332</v>
      </c>
      <c r="CP96" s="63">
        <f t="shared" si="12"/>
        <v>336.33333333333331</v>
      </c>
      <c r="CQ96" s="55">
        <f t="shared" si="12"/>
        <v>221.50666666666669</v>
      </c>
    </row>
    <row r="97" spans="1:95" s="2" customFormat="1" ht="34.9" customHeight="1" x14ac:dyDescent="0.6">
      <c r="A97" s="5">
        <v>94</v>
      </c>
      <c r="B97" s="14" t="s">
        <v>268</v>
      </c>
      <c r="C97" s="21" t="s">
        <v>268</v>
      </c>
      <c r="D97" s="16" t="s">
        <v>269</v>
      </c>
      <c r="E97" s="15" t="s">
        <v>267</v>
      </c>
      <c r="F97" s="14" t="s">
        <v>46</v>
      </c>
      <c r="G97" s="7" t="s">
        <v>150</v>
      </c>
      <c r="H97" s="18" t="s">
        <v>268</v>
      </c>
      <c r="I97" s="18" t="s">
        <v>269</v>
      </c>
      <c r="J97" s="14" t="s">
        <v>884</v>
      </c>
      <c r="K97" s="49" t="s">
        <v>125</v>
      </c>
      <c r="L97" s="27">
        <v>402</v>
      </c>
      <c r="M97" s="58">
        <v>5584</v>
      </c>
      <c r="N97" s="78">
        <v>3668.7999999999997</v>
      </c>
      <c r="O97" s="27">
        <v>300</v>
      </c>
      <c r="P97" s="58">
        <v>4200</v>
      </c>
      <c r="Q97" s="49">
        <v>2688</v>
      </c>
      <c r="R97" s="27">
        <v>350</v>
      </c>
      <c r="S97" s="58">
        <v>4990</v>
      </c>
      <c r="T97" s="98">
        <v>3222</v>
      </c>
      <c r="U97" s="27">
        <v>300</v>
      </c>
      <c r="V97" s="58">
        <v>4200</v>
      </c>
      <c r="W97" s="12">
        <v>2688</v>
      </c>
      <c r="X97" s="27">
        <v>400</v>
      </c>
      <c r="Y97" s="58">
        <v>5560</v>
      </c>
      <c r="Z97" s="107">
        <v>3644.8</v>
      </c>
      <c r="AA97" s="27">
        <v>400</v>
      </c>
      <c r="AB97" s="58">
        <v>5600</v>
      </c>
      <c r="AC97" s="12">
        <v>3584</v>
      </c>
      <c r="AD97" s="27">
        <v>350</v>
      </c>
      <c r="AE97" s="58">
        <v>4900</v>
      </c>
      <c r="AF97" s="107">
        <v>3136</v>
      </c>
      <c r="AG97" s="27">
        <v>400</v>
      </c>
      <c r="AH97" s="58">
        <v>5600</v>
      </c>
      <c r="AI97" s="107">
        <v>3584</v>
      </c>
      <c r="AJ97" s="27">
        <v>300</v>
      </c>
      <c r="AK97" s="58">
        <v>4200</v>
      </c>
      <c r="AL97" s="107">
        <v>2688</v>
      </c>
      <c r="AM97" s="27">
        <v>375</v>
      </c>
      <c r="AN97" s="58">
        <v>5240</v>
      </c>
      <c r="AO97" s="107">
        <v>3375.2000000000003</v>
      </c>
      <c r="AP97" s="27">
        <v>300</v>
      </c>
      <c r="AQ97" s="58">
        <v>4200</v>
      </c>
      <c r="AR97" s="107">
        <v>2688</v>
      </c>
      <c r="AS97" s="27">
        <v>260</v>
      </c>
      <c r="AT97" s="58">
        <v>3640</v>
      </c>
      <c r="AU97" s="107">
        <v>2329.6</v>
      </c>
      <c r="AV97" s="54">
        <f t="shared" si="7"/>
        <v>4137</v>
      </c>
      <c r="AW97" s="63">
        <f t="shared" si="7"/>
        <v>57914</v>
      </c>
      <c r="AX97" s="55">
        <f t="shared" si="7"/>
        <v>37296.400000000001</v>
      </c>
      <c r="AY97" s="54">
        <f t="shared" si="8"/>
        <v>344.75</v>
      </c>
      <c r="AZ97" s="63">
        <f t="shared" si="9"/>
        <v>28.729166666666668</v>
      </c>
      <c r="BA97" s="55">
        <f t="shared" si="10"/>
        <v>3108.0333333333333</v>
      </c>
      <c r="BB97" s="10">
        <v>270</v>
      </c>
      <c r="BC97" s="15">
        <v>3780</v>
      </c>
      <c r="BD97" s="11">
        <v>2419.1999999999998</v>
      </c>
      <c r="BE97" s="10">
        <v>300</v>
      </c>
      <c r="BF97" s="15">
        <v>4200</v>
      </c>
      <c r="BG97" s="11">
        <v>2688</v>
      </c>
      <c r="BH97" s="10">
        <v>405</v>
      </c>
      <c r="BI97" s="15">
        <v>5760</v>
      </c>
      <c r="BJ97" s="11">
        <v>3714.8</v>
      </c>
      <c r="BK97" s="10">
        <v>200</v>
      </c>
      <c r="BL97" s="15">
        <v>2800</v>
      </c>
      <c r="BM97" s="11">
        <v>1792</v>
      </c>
      <c r="BN97" s="44">
        <v>300</v>
      </c>
      <c r="BO97" s="42">
        <v>4200</v>
      </c>
      <c r="BP97" s="45">
        <v>2688</v>
      </c>
      <c r="BQ97" s="44">
        <v>250</v>
      </c>
      <c r="BR97" s="42">
        <v>3500</v>
      </c>
      <c r="BS97" s="45">
        <v>2240</v>
      </c>
      <c r="BT97" s="44">
        <v>250</v>
      </c>
      <c r="BU97" s="42">
        <v>3500</v>
      </c>
      <c r="BV97" s="112">
        <v>2240</v>
      </c>
      <c r="BW97" s="115">
        <v>201</v>
      </c>
      <c r="BX97" s="116">
        <v>2812</v>
      </c>
      <c r="BY97" s="112">
        <v>1800.16</v>
      </c>
      <c r="BZ97" s="115">
        <v>250</v>
      </c>
      <c r="CA97" s="116">
        <v>3500</v>
      </c>
      <c r="CB97" s="112">
        <v>2240</v>
      </c>
      <c r="CC97" s="115">
        <v>200</v>
      </c>
      <c r="CD97" s="116">
        <v>2800</v>
      </c>
      <c r="CE97" s="112">
        <v>1792</v>
      </c>
      <c r="CF97" s="115">
        <v>200</v>
      </c>
      <c r="CG97" s="116">
        <v>2800</v>
      </c>
      <c r="CH97" s="112">
        <v>1792</v>
      </c>
      <c r="CI97" s="115">
        <v>200</v>
      </c>
      <c r="CJ97" s="116">
        <v>2800</v>
      </c>
      <c r="CK97" s="112">
        <v>1792</v>
      </c>
      <c r="CL97" s="54">
        <f t="shared" si="11"/>
        <v>3026</v>
      </c>
      <c r="CM97" s="63">
        <f t="shared" si="11"/>
        <v>42452</v>
      </c>
      <c r="CN97" s="55">
        <f t="shared" si="11"/>
        <v>27198.16</v>
      </c>
      <c r="CO97" s="54">
        <f t="shared" si="12"/>
        <v>252.16666666666666</v>
      </c>
      <c r="CP97" s="63">
        <f t="shared" si="12"/>
        <v>3537.6666666666665</v>
      </c>
      <c r="CQ97" s="55">
        <f t="shared" si="12"/>
        <v>2266.5133333333333</v>
      </c>
    </row>
    <row r="98" spans="1:95" s="2" customFormat="1" ht="34.9" customHeight="1" x14ac:dyDescent="0.6">
      <c r="A98" s="5">
        <v>95</v>
      </c>
      <c r="B98" s="14" t="s">
        <v>270</v>
      </c>
      <c r="C98" s="21" t="s">
        <v>270</v>
      </c>
      <c r="D98" s="16" t="s">
        <v>271</v>
      </c>
      <c r="E98" s="15" t="s">
        <v>190</v>
      </c>
      <c r="F98" s="14" t="s">
        <v>187</v>
      </c>
      <c r="G98" s="7" t="s">
        <v>150</v>
      </c>
      <c r="H98" s="18" t="s">
        <v>885</v>
      </c>
      <c r="I98" s="18" t="s">
        <v>886</v>
      </c>
      <c r="J98" s="14" t="s">
        <v>887</v>
      </c>
      <c r="K98" s="49" t="s">
        <v>125</v>
      </c>
      <c r="L98" s="27">
        <v>0</v>
      </c>
      <c r="M98" s="58">
        <v>0</v>
      </c>
      <c r="N98" s="78">
        <v>0</v>
      </c>
      <c r="O98" s="27">
        <v>0</v>
      </c>
      <c r="P98" s="58">
        <v>0</v>
      </c>
      <c r="Q98" s="49"/>
      <c r="R98" s="27">
        <v>0</v>
      </c>
      <c r="S98" s="58">
        <v>0</v>
      </c>
      <c r="T98" s="98">
        <v>0</v>
      </c>
      <c r="U98" s="27">
        <v>233</v>
      </c>
      <c r="V98" s="58">
        <v>3360</v>
      </c>
      <c r="W98" s="12">
        <v>2518</v>
      </c>
      <c r="X98" s="27">
        <v>364</v>
      </c>
      <c r="Y98" s="58">
        <v>5350</v>
      </c>
      <c r="Z98" s="107">
        <v>3944.8</v>
      </c>
      <c r="AA98" s="27">
        <v>272</v>
      </c>
      <c r="AB98" s="58">
        <v>3958</v>
      </c>
      <c r="AC98" s="12">
        <v>3011.2</v>
      </c>
      <c r="AD98" s="27">
        <v>190</v>
      </c>
      <c r="AE98" s="58">
        <v>3000</v>
      </c>
      <c r="AF98" s="107">
        <v>2076.8000000000002</v>
      </c>
      <c r="AG98" s="27">
        <v>188</v>
      </c>
      <c r="AH98" s="58">
        <v>2970</v>
      </c>
      <c r="AI98" s="107">
        <v>1972.8000000000002</v>
      </c>
      <c r="AJ98" s="27">
        <v>232</v>
      </c>
      <c r="AK98" s="58">
        <v>3840</v>
      </c>
      <c r="AL98" s="107">
        <v>2604.8000000000002</v>
      </c>
      <c r="AM98" s="27">
        <v>241</v>
      </c>
      <c r="AN98" s="58">
        <v>3480</v>
      </c>
      <c r="AO98" s="107">
        <v>2711.2</v>
      </c>
      <c r="AP98" s="27">
        <v>169</v>
      </c>
      <c r="AQ98" s="58">
        <v>2554</v>
      </c>
      <c r="AR98" s="107">
        <v>1807.76</v>
      </c>
      <c r="AS98" s="27">
        <v>150</v>
      </c>
      <c r="AT98" s="58">
        <v>2430</v>
      </c>
      <c r="AU98" s="107">
        <v>1510.8000000000002</v>
      </c>
      <c r="AV98" s="54">
        <f t="shared" si="7"/>
        <v>2039</v>
      </c>
      <c r="AW98" s="63">
        <f t="shared" si="7"/>
        <v>30942</v>
      </c>
      <c r="AX98" s="55">
        <f t="shared" si="7"/>
        <v>22158.159999999996</v>
      </c>
      <c r="AY98" s="54">
        <f t="shared" si="8"/>
        <v>169.91666666666666</v>
      </c>
      <c r="AZ98" s="63">
        <f t="shared" si="9"/>
        <v>14.159722222222221</v>
      </c>
      <c r="BA98" s="55">
        <f t="shared" si="10"/>
        <v>1846.5133333333331</v>
      </c>
      <c r="BB98" s="10">
        <v>155</v>
      </c>
      <c r="BC98" s="15">
        <v>2250</v>
      </c>
      <c r="BD98" s="11">
        <v>1712.8</v>
      </c>
      <c r="BE98" s="10">
        <v>210</v>
      </c>
      <c r="BF98" s="15">
        <v>3430</v>
      </c>
      <c r="BG98" s="11">
        <v>2250.8000000000002</v>
      </c>
      <c r="BH98" s="10">
        <v>225</v>
      </c>
      <c r="BI98" s="15">
        <v>3090</v>
      </c>
      <c r="BJ98" s="11">
        <v>2552.8000000000002</v>
      </c>
      <c r="BK98" s="10">
        <v>135</v>
      </c>
      <c r="BL98" s="15">
        <v>1700</v>
      </c>
      <c r="BM98" s="11">
        <v>1498.4</v>
      </c>
      <c r="BN98" s="44">
        <v>135</v>
      </c>
      <c r="BO98" s="42">
        <v>2030</v>
      </c>
      <c r="BP98" s="45">
        <v>1442.3999999999999</v>
      </c>
      <c r="BQ98" s="44">
        <v>130</v>
      </c>
      <c r="BR98" s="42">
        <v>2270</v>
      </c>
      <c r="BS98" s="45">
        <v>1372</v>
      </c>
      <c r="BT98" s="44">
        <v>250</v>
      </c>
      <c r="BU98" s="42">
        <v>3440</v>
      </c>
      <c r="BV98" s="112">
        <v>2554</v>
      </c>
      <c r="BW98" s="115">
        <v>136</v>
      </c>
      <c r="BX98" s="116">
        <v>1942</v>
      </c>
      <c r="BY98" s="112">
        <v>1379.76</v>
      </c>
      <c r="BZ98" s="115">
        <v>215</v>
      </c>
      <c r="CA98" s="116">
        <v>3330</v>
      </c>
      <c r="CB98" s="112">
        <v>2331.1999999999998</v>
      </c>
      <c r="CC98" s="115">
        <v>120</v>
      </c>
      <c r="CD98" s="116">
        <v>1750</v>
      </c>
      <c r="CE98" s="112">
        <v>1191.6000000000001</v>
      </c>
      <c r="CF98" s="115">
        <v>145</v>
      </c>
      <c r="CG98" s="116">
        <v>1910</v>
      </c>
      <c r="CH98" s="112">
        <v>1481.5999999999997</v>
      </c>
      <c r="CI98" s="115">
        <v>190</v>
      </c>
      <c r="CJ98" s="116">
        <v>3160</v>
      </c>
      <c r="CK98" s="112">
        <v>2056.4000000000005</v>
      </c>
      <c r="CL98" s="54">
        <f t="shared" si="11"/>
        <v>2046</v>
      </c>
      <c r="CM98" s="63">
        <f t="shared" si="11"/>
        <v>30302</v>
      </c>
      <c r="CN98" s="55">
        <f t="shared" si="11"/>
        <v>21823.759999999998</v>
      </c>
      <c r="CO98" s="54">
        <f t="shared" si="12"/>
        <v>170.5</v>
      </c>
      <c r="CP98" s="63">
        <f t="shared" si="12"/>
        <v>2525.1666666666665</v>
      </c>
      <c r="CQ98" s="55">
        <f t="shared" si="12"/>
        <v>1818.6466666666665</v>
      </c>
    </row>
    <row r="99" spans="1:95" s="2" customFormat="1" ht="34.9" customHeight="1" x14ac:dyDescent="0.6">
      <c r="A99" s="5">
        <v>96</v>
      </c>
      <c r="B99" s="14" t="s">
        <v>274</v>
      </c>
      <c r="C99" s="21" t="s">
        <v>274</v>
      </c>
      <c r="D99" s="16" t="s">
        <v>275</v>
      </c>
      <c r="E99" s="15" t="s">
        <v>276</v>
      </c>
      <c r="F99" s="14" t="s">
        <v>277</v>
      </c>
      <c r="G99" s="7" t="s">
        <v>150</v>
      </c>
      <c r="H99" s="18" t="s">
        <v>274</v>
      </c>
      <c r="I99" s="18" t="s">
        <v>275</v>
      </c>
      <c r="J99" s="14" t="s">
        <v>888</v>
      </c>
      <c r="K99" s="49" t="s">
        <v>125</v>
      </c>
      <c r="L99" s="27">
        <v>260</v>
      </c>
      <c r="M99" s="58">
        <v>4780</v>
      </c>
      <c r="N99" s="78">
        <v>3047.6</v>
      </c>
      <c r="O99" s="27">
        <v>215</v>
      </c>
      <c r="P99" s="58">
        <v>3520</v>
      </c>
      <c r="Q99" s="49">
        <v>2488</v>
      </c>
      <c r="R99" s="27">
        <v>160</v>
      </c>
      <c r="S99" s="58">
        <v>2780</v>
      </c>
      <c r="T99" s="98">
        <v>1949.6</v>
      </c>
      <c r="U99" s="27">
        <v>300</v>
      </c>
      <c r="V99" s="58">
        <v>5100</v>
      </c>
      <c r="W99" s="12">
        <v>3458</v>
      </c>
      <c r="X99" s="27">
        <v>260</v>
      </c>
      <c r="Y99" s="58">
        <v>4360</v>
      </c>
      <c r="Z99" s="107">
        <v>3017.6</v>
      </c>
      <c r="AA99" s="27">
        <v>320</v>
      </c>
      <c r="AB99" s="58">
        <v>5620</v>
      </c>
      <c r="AC99" s="12">
        <v>3808</v>
      </c>
      <c r="AD99" s="27">
        <v>375</v>
      </c>
      <c r="AE99" s="58">
        <v>6440</v>
      </c>
      <c r="AF99" s="107">
        <v>4357.5999999999995</v>
      </c>
      <c r="AG99" s="27">
        <v>230</v>
      </c>
      <c r="AH99" s="58">
        <v>4260</v>
      </c>
      <c r="AI99" s="107">
        <v>2708</v>
      </c>
      <c r="AJ99" s="27">
        <v>220</v>
      </c>
      <c r="AK99" s="58">
        <v>4100</v>
      </c>
      <c r="AL99" s="107">
        <v>2648.8</v>
      </c>
      <c r="AM99" s="27">
        <v>343</v>
      </c>
      <c r="AN99" s="58">
        <v>5636</v>
      </c>
      <c r="AO99" s="107">
        <v>4033.6</v>
      </c>
      <c r="AP99" s="27">
        <v>267</v>
      </c>
      <c r="AQ99" s="58">
        <v>4404</v>
      </c>
      <c r="AR99" s="107">
        <v>3162.4</v>
      </c>
      <c r="AS99" s="27">
        <v>180</v>
      </c>
      <c r="AT99" s="58">
        <v>4240</v>
      </c>
      <c r="AU99" s="107">
        <v>2117.6</v>
      </c>
      <c r="AV99" s="54">
        <f t="shared" si="7"/>
        <v>3130</v>
      </c>
      <c r="AW99" s="63">
        <f t="shared" si="7"/>
        <v>55240</v>
      </c>
      <c r="AX99" s="55">
        <f t="shared" si="7"/>
        <v>36796.799999999996</v>
      </c>
      <c r="AY99" s="54">
        <f t="shared" si="8"/>
        <v>260.83333333333331</v>
      </c>
      <c r="AZ99" s="63">
        <f t="shared" si="9"/>
        <v>21.736111111111111</v>
      </c>
      <c r="BA99" s="55">
        <f t="shared" si="10"/>
        <v>3066.3999999999996</v>
      </c>
      <c r="BB99" s="10">
        <v>370</v>
      </c>
      <c r="BC99" s="15">
        <v>6240</v>
      </c>
      <c r="BD99" s="11">
        <v>4269.6000000000004</v>
      </c>
      <c r="BE99" s="10">
        <v>130</v>
      </c>
      <c r="BF99" s="15">
        <v>2400</v>
      </c>
      <c r="BG99" s="11">
        <v>1620</v>
      </c>
      <c r="BH99" s="10">
        <v>310</v>
      </c>
      <c r="BI99" s="15">
        <v>5520</v>
      </c>
      <c r="BJ99" s="11">
        <v>3657.6000000000004</v>
      </c>
      <c r="BK99" s="10">
        <v>310</v>
      </c>
      <c r="BL99" s="15">
        <v>5180</v>
      </c>
      <c r="BM99" s="11">
        <v>3728.8</v>
      </c>
      <c r="BN99" s="44">
        <v>100</v>
      </c>
      <c r="BO99" s="42">
        <v>2100</v>
      </c>
      <c r="BP99" s="45">
        <v>1168.8</v>
      </c>
      <c r="BQ99" s="44">
        <v>50</v>
      </c>
      <c r="BR99" s="42">
        <v>660</v>
      </c>
      <c r="BS99" s="45">
        <v>508.8</v>
      </c>
      <c r="BT99" s="44">
        <v>270</v>
      </c>
      <c r="BU99" s="42">
        <v>5040</v>
      </c>
      <c r="BV99" s="112">
        <v>3177.6</v>
      </c>
      <c r="BW99" s="115">
        <v>120</v>
      </c>
      <c r="BX99" s="116">
        <v>1793</v>
      </c>
      <c r="BY99" s="112">
        <v>1355.6399999999999</v>
      </c>
      <c r="BZ99" s="115">
        <v>210</v>
      </c>
      <c r="CA99" s="116">
        <v>3420</v>
      </c>
      <c r="CB99" s="112">
        <v>2452.8000000000002</v>
      </c>
      <c r="CC99" s="115">
        <v>200</v>
      </c>
      <c r="CD99" s="116">
        <v>3600</v>
      </c>
      <c r="CE99" s="112">
        <v>2358.4</v>
      </c>
      <c r="CF99" s="115">
        <v>160</v>
      </c>
      <c r="CG99" s="116">
        <v>2540</v>
      </c>
      <c r="CH99" s="112">
        <v>1832.8</v>
      </c>
      <c r="CI99" s="115">
        <v>65</v>
      </c>
      <c r="CJ99" s="116">
        <v>1120</v>
      </c>
      <c r="CK99" s="112">
        <v>654.79999999999995</v>
      </c>
      <c r="CL99" s="54">
        <f t="shared" si="11"/>
        <v>2295</v>
      </c>
      <c r="CM99" s="63">
        <f t="shared" si="11"/>
        <v>39613</v>
      </c>
      <c r="CN99" s="55">
        <f t="shared" si="11"/>
        <v>26785.639999999996</v>
      </c>
      <c r="CO99" s="54">
        <f t="shared" si="12"/>
        <v>191.25</v>
      </c>
      <c r="CP99" s="63">
        <f t="shared" si="12"/>
        <v>3301.0833333333335</v>
      </c>
      <c r="CQ99" s="55">
        <f t="shared" si="12"/>
        <v>2232.1366666666663</v>
      </c>
    </row>
    <row r="100" spans="1:95" s="2" customFormat="1" ht="34.9" customHeight="1" x14ac:dyDescent="0.6">
      <c r="A100" s="5">
        <v>97</v>
      </c>
      <c r="B100" s="14" t="s">
        <v>278</v>
      </c>
      <c r="C100" s="21" t="s">
        <v>278</v>
      </c>
      <c r="D100" s="16" t="s">
        <v>279</v>
      </c>
      <c r="E100" s="15" t="s">
        <v>280</v>
      </c>
      <c r="F100" s="14" t="s">
        <v>281</v>
      </c>
      <c r="G100" s="7" t="s">
        <v>150</v>
      </c>
      <c r="H100" s="18" t="s">
        <v>889</v>
      </c>
      <c r="I100" s="18" t="s">
        <v>890</v>
      </c>
      <c r="J100" s="14" t="s">
        <v>891</v>
      </c>
      <c r="K100" s="49" t="s">
        <v>125</v>
      </c>
      <c r="L100" s="27">
        <v>520</v>
      </c>
      <c r="M100" s="58">
        <v>7800</v>
      </c>
      <c r="N100" s="78">
        <v>5754</v>
      </c>
      <c r="O100" s="27">
        <v>525</v>
      </c>
      <c r="P100" s="58">
        <v>8110</v>
      </c>
      <c r="Q100" s="104">
        <v>5879.5999999999995</v>
      </c>
      <c r="R100" s="27">
        <v>585</v>
      </c>
      <c r="S100" s="58">
        <v>8670</v>
      </c>
      <c r="T100" s="98">
        <v>6632</v>
      </c>
      <c r="U100" s="27">
        <v>425</v>
      </c>
      <c r="V100" s="58">
        <v>6260</v>
      </c>
      <c r="W100" s="12">
        <v>4824.3999999999996</v>
      </c>
      <c r="X100" s="27">
        <v>425</v>
      </c>
      <c r="Y100" s="58">
        <v>6500</v>
      </c>
      <c r="Z100" s="107">
        <v>4754.3999999999996</v>
      </c>
      <c r="AA100" s="27">
        <v>569</v>
      </c>
      <c r="AB100" s="58">
        <v>8768</v>
      </c>
      <c r="AC100" s="107">
        <v>6479.6</v>
      </c>
      <c r="AD100" s="27">
        <v>461</v>
      </c>
      <c r="AE100" s="58">
        <v>6662</v>
      </c>
      <c r="AF100" s="107">
        <v>5127.2</v>
      </c>
      <c r="AG100" s="27">
        <v>516</v>
      </c>
      <c r="AH100" s="58">
        <v>8274</v>
      </c>
      <c r="AI100" s="107">
        <v>5803.76</v>
      </c>
      <c r="AJ100" s="27">
        <v>526</v>
      </c>
      <c r="AK100" s="58">
        <v>8302</v>
      </c>
      <c r="AL100" s="107">
        <v>6046.48</v>
      </c>
      <c r="AM100" s="27">
        <v>580</v>
      </c>
      <c r="AN100" s="58">
        <v>9610</v>
      </c>
      <c r="AO100" s="107">
        <v>6653.5999999999995</v>
      </c>
      <c r="AP100" s="27">
        <v>400</v>
      </c>
      <c r="AQ100" s="58">
        <v>5990</v>
      </c>
      <c r="AR100" s="107">
        <v>4484.7999999999993</v>
      </c>
      <c r="AS100" s="27">
        <v>651</v>
      </c>
      <c r="AT100" s="58">
        <v>9900</v>
      </c>
      <c r="AU100" s="107">
        <v>7266.4</v>
      </c>
      <c r="AV100" s="54">
        <f t="shared" si="7"/>
        <v>6183</v>
      </c>
      <c r="AW100" s="63">
        <f t="shared" si="7"/>
        <v>94846</v>
      </c>
      <c r="AX100" s="55">
        <f t="shared" si="7"/>
        <v>69706.239999999991</v>
      </c>
      <c r="AY100" s="54">
        <f t="shared" si="8"/>
        <v>515.25</v>
      </c>
      <c r="AZ100" s="63">
        <f t="shared" si="9"/>
        <v>42.9375</v>
      </c>
      <c r="BA100" s="55">
        <f t="shared" si="10"/>
        <v>5808.8533333333326</v>
      </c>
      <c r="BB100" s="10">
        <v>528</v>
      </c>
      <c r="BC100" s="15">
        <v>8410</v>
      </c>
      <c r="BD100" s="11">
        <v>5942.7999999999993</v>
      </c>
      <c r="BE100" s="10">
        <v>518</v>
      </c>
      <c r="BF100" s="15">
        <v>7750</v>
      </c>
      <c r="BG100" s="11">
        <v>5668.4</v>
      </c>
      <c r="BH100" s="10">
        <v>660</v>
      </c>
      <c r="BI100" s="15">
        <v>9980</v>
      </c>
      <c r="BJ100" s="11">
        <v>7390.4000000000005</v>
      </c>
      <c r="BK100" s="10">
        <v>435</v>
      </c>
      <c r="BL100" s="15">
        <v>7230</v>
      </c>
      <c r="BM100" s="11">
        <v>4724.3999999999996</v>
      </c>
      <c r="BN100" s="44">
        <v>440</v>
      </c>
      <c r="BO100" s="42">
        <v>7100</v>
      </c>
      <c r="BP100" s="45">
        <v>5145.2</v>
      </c>
      <c r="BQ100" s="44">
        <v>465</v>
      </c>
      <c r="BR100" s="42">
        <v>7140</v>
      </c>
      <c r="BS100" s="45">
        <v>5298.8</v>
      </c>
      <c r="BT100" s="44">
        <v>525</v>
      </c>
      <c r="BU100" s="42">
        <v>8590</v>
      </c>
      <c r="BV100" s="112">
        <v>6047.2000000000007</v>
      </c>
      <c r="BW100" s="115">
        <v>531</v>
      </c>
      <c r="BX100" s="116">
        <v>8262</v>
      </c>
      <c r="BY100" s="112">
        <v>6000.9600000000009</v>
      </c>
      <c r="BZ100" s="115">
        <v>514</v>
      </c>
      <c r="CA100" s="116">
        <v>8176</v>
      </c>
      <c r="CB100" s="112">
        <v>5916.24</v>
      </c>
      <c r="CC100" s="115">
        <v>610</v>
      </c>
      <c r="CD100" s="116">
        <v>10290</v>
      </c>
      <c r="CE100" s="112">
        <v>7165.6</v>
      </c>
      <c r="CF100" s="115">
        <v>485</v>
      </c>
      <c r="CG100" s="116">
        <v>8010</v>
      </c>
      <c r="CH100" s="112">
        <v>5538.4</v>
      </c>
      <c r="CI100" s="115">
        <v>580</v>
      </c>
      <c r="CJ100" s="116">
        <v>9160</v>
      </c>
      <c r="CK100" s="112">
        <v>6591.1999999999989</v>
      </c>
      <c r="CL100" s="54">
        <f t="shared" si="11"/>
        <v>6291</v>
      </c>
      <c r="CM100" s="63">
        <f t="shared" si="11"/>
        <v>100098</v>
      </c>
      <c r="CN100" s="55">
        <f t="shared" si="11"/>
        <v>71429.599999999991</v>
      </c>
      <c r="CO100" s="54">
        <f t="shared" si="12"/>
        <v>524.25</v>
      </c>
      <c r="CP100" s="63">
        <f t="shared" si="12"/>
        <v>8341.5</v>
      </c>
      <c r="CQ100" s="55">
        <f t="shared" si="12"/>
        <v>5952.4666666666662</v>
      </c>
    </row>
    <row r="101" spans="1:95" s="2" customFormat="1" ht="34.9" customHeight="1" x14ac:dyDescent="0.6">
      <c r="A101" s="5">
        <v>98</v>
      </c>
      <c r="B101" s="164">
        <v>126</v>
      </c>
      <c r="C101" s="21" t="s">
        <v>305</v>
      </c>
      <c r="D101" s="22">
        <v>126</v>
      </c>
      <c r="E101" s="15" t="s">
        <v>282</v>
      </c>
      <c r="F101" s="14" t="s">
        <v>91</v>
      </c>
      <c r="G101" s="7" t="s">
        <v>150</v>
      </c>
      <c r="H101" s="18" t="s">
        <v>892</v>
      </c>
      <c r="I101" s="18" t="s">
        <v>893</v>
      </c>
      <c r="J101" s="14" t="s">
        <v>894</v>
      </c>
      <c r="K101" s="49" t="s">
        <v>125</v>
      </c>
      <c r="L101" s="27">
        <v>50</v>
      </c>
      <c r="M101" s="58">
        <v>700</v>
      </c>
      <c r="N101" s="78">
        <v>448</v>
      </c>
      <c r="O101" s="27">
        <v>50</v>
      </c>
      <c r="P101" s="58">
        <v>700</v>
      </c>
      <c r="Q101" s="49">
        <v>448</v>
      </c>
      <c r="R101" s="27">
        <v>50</v>
      </c>
      <c r="S101" s="58">
        <v>700</v>
      </c>
      <c r="T101" s="98">
        <v>448</v>
      </c>
      <c r="U101" s="27">
        <v>40</v>
      </c>
      <c r="V101" s="58">
        <v>560</v>
      </c>
      <c r="W101" s="12">
        <v>358.40000000000003</v>
      </c>
      <c r="X101" s="27">
        <v>102</v>
      </c>
      <c r="Y101" s="58">
        <v>1480</v>
      </c>
      <c r="Z101" s="12">
        <v>924</v>
      </c>
      <c r="AA101" s="27">
        <v>50</v>
      </c>
      <c r="AB101" s="58">
        <v>700</v>
      </c>
      <c r="AC101" s="12">
        <v>448</v>
      </c>
      <c r="AD101" s="27">
        <v>105</v>
      </c>
      <c r="AE101" s="58">
        <v>1600</v>
      </c>
      <c r="AF101" s="107">
        <v>966</v>
      </c>
      <c r="AG101" s="27">
        <v>115</v>
      </c>
      <c r="AH101" s="58">
        <v>2000</v>
      </c>
      <c r="AI101" s="107">
        <v>1106</v>
      </c>
      <c r="AJ101" s="27">
        <v>75</v>
      </c>
      <c r="AK101" s="58">
        <v>1180</v>
      </c>
      <c r="AL101" s="107">
        <v>697.2</v>
      </c>
      <c r="AM101" s="27">
        <v>85</v>
      </c>
      <c r="AN101" s="58">
        <v>1320</v>
      </c>
      <c r="AO101" s="107">
        <v>786.80000000000007</v>
      </c>
      <c r="AP101" s="27">
        <v>10</v>
      </c>
      <c r="AQ101" s="58">
        <v>400</v>
      </c>
      <c r="AR101" s="107">
        <v>140</v>
      </c>
      <c r="AS101" s="27">
        <v>102</v>
      </c>
      <c r="AT101" s="58">
        <v>1480</v>
      </c>
      <c r="AU101" s="107">
        <v>924</v>
      </c>
      <c r="AV101" s="54">
        <f t="shared" si="7"/>
        <v>834</v>
      </c>
      <c r="AW101" s="63">
        <f t="shared" si="7"/>
        <v>12820</v>
      </c>
      <c r="AX101" s="55">
        <f t="shared" si="7"/>
        <v>7694.4</v>
      </c>
      <c r="AY101" s="54">
        <f t="shared" si="8"/>
        <v>69.5</v>
      </c>
      <c r="AZ101" s="63">
        <f t="shared" si="9"/>
        <v>5.791666666666667</v>
      </c>
      <c r="BA101" s="55">
        <f t="shared" si="10"/>
        <v>641.19999999999993</v>
      </c>
      <c r="BB101" s="10">
        <v>55</v>
      </c>
      <c r="BC101" s="15">
        <v>900</v>
      </c>
      <c r="BD101" s="11">
        <v>518</v>
      </c>
      <c r="BE101" s="10">
        <v>60</v>
      </c>
      <c r="BF101" s="15">
        <v>1100</v>
      </c>
      <c r="BG101" s="11">
        <v>588</v>
      </c>
      <c r="BH101" s="10">
        <v>103</v>
      </c>
      <c r="BI101" s="15">
        <v>1520</v>
      </c>
      <c r="BJ101" s="11">
        <v>938</v>
      </c>
      <c r="BK101" s="10">
        <v>62</v>
      </c>
      <c r="BL101" s="15">
        <v>1180</v>
      </c>
      <c r="BM101" s="11">
        <v>616</v>
      </c>
      <c r="BN101" s="44">
        <v>80</v>
      </c>
      <c r="BO101" s="42">
        <v>1120</v>
      </c>
      <c r="BP101" s="45">
        <v>716.8</v>
      </c>
      <c r="BQ101" s="44">
        <v>55</v>
      </c>
      <c r="BR101" s="42">
        <v>900</v>
      </c>
      <c r="BS101" s="45">
        <v>518</v>
      </c>
      <c r="BT101" s="44">
        <v>90</v>
      </c>
      <c r="BU101" s="42">
        <v>1520</v>
      </c>
      <c r="BV101" s="112">
        <v>856.8</v>
      </c>
      <c r="BW101" s="115">
        <v>95</v>
      </c>
      <c r="BX101" s="116">
        <v>1690</v>
      </c>
      <c r="BY101" s="112">
        <v>972.40000000000009</v>
      </c>
      <c r="BZ101" s="115">
        <v>50</v>
      </c>
      <c r="CA101" s="116">
        <v>920</v>
      </c>
      <c r="CB101" s="112">
        <v>559.20000000000005</v>
      </c>
      <c r="CC101" s="115">
        <v>105</v>
      </c>
      <c r="CD101" s="116">
        <v>1700</v>
      </c>
      <c r="CE101" s="112">
        <v>1036.8</v>
      </c>
      <c r="CF101" s="115">
        <v>90</v>
      </c>
      <c r="CG101" s="116">
        <v>1580</v>
      </c>
      <c r="CH101" s="112">
        <v>988.40000000000009</v>
      </c>
      <c r="CI101" s="115">
        <v>50</v>
      </c>
      <c r="CJ101" s="116">
        <v>780</v>
      </c>
      <c r="CK101" s="112">
        <v>549.20000000000005</v>
      </c>
      <c r="CL101" s="54">
        <f t="shared" si="11"/>
        <v>895</v>
      </c>
      <c r="CM101" s="63">
        <f t="shared" si="11"/>
        <v>14910</v>
      </c>
      <c r="CN101" s="55">
        <f t="shared" si="11"/>
        <v>8857.6</v>
      </c>
      <c r="CO101" s="54">
        <f t="shared" si="12"/>
        <v>74.583333333333329</v>
      </c>
      <c r="CP101" s="63">
        <f t="shared" si="12"/>
        <v>1242.5</v>
      </c>
      <c r="CQ101" s="55">
        <f t="shared" si="12"/>
        <v>738.13333333333333</v>
      </c>
    </row>
    <row r="102" spans="1:95" s="2" customFormat="1" ht="34.9" customHeight="1" x14ac:dyDescent="0.6">
      <c r="A102" s="5">
        <v>99</v>
      </c>
      <c r="B102" s="161" t="s">
        <v>283</v>
      </c>
      <c r="C102" s="21" t="s">
        <v>309</v>
      </c>
      <c r="D102" s="16" t="s">
        <v>284</v>
      </c>
      <c r="E102" s="15" t="s">
        <v>49</v>
      </c>
      <c r="F102" s="14" t="s">
        <v>50</v>
      </c>
      <c r="G102" s="7" t="s">
        <v>150</v>
      </c>
      <c r="H102" s="18" t="s">
        <v>895</v>
      </c>
      <c r="I102" s="18" t="s">
        <v>896</v>
      </c>
      <c r="J102" s="14" t="s">
        <v>897</v>
      </c>
      <c r="K102" s="49" t="s">
        <v>125</v>
      </c>
      <c r="L102" s="27">
        <v>728</v>
      </c>
      <c r="M102" s="58">
        <v>9660</v>
      </c>
      <c r="N102" s="78">
        <v>8133.6</v>
      </c>
      <c r="O102" s="27">
        <v>622</v>
      </c>
      <c r="P102" s="58">
        <v>8224</v>
      </c>
      <c r="Q102" s="49">
        <v>6970</v>
      </c>
      <c r="R102" s="27">
        <v>685</v>
      </c>
      <c r="S102" s="58">
        <v>9190</v>
      </c>
      <c r="T102" s="98">
        <v>7636.8</v>
      </c>
      <c r="U102" s="27">
        <v>562</v>
      </c>
      <c r="V102" s="58">
        <v>7454</v>
      </c>
      <c r="W102" s="12">
        <v>6326</v>
      </c>
      <c r="X102" s="27">
        <v>538</v>
      </c>
      <c r="Y102" s="58">
        <v>7130</v>
      </c>
      <c r="Z102" s="107">
        <v>6010.8</v>
      </c>
      <c r="AA102" s="27">
        <v>437</v>
      </c>
      <c r="AB102" s="58">
        <v>5810</v>
      </c>
      <c r="AC102" s="107">
        <v>4918.3999999999996</v>
      </c>
      <c r="AD102" s="27">
        <v>405</v>
      </c>
      <c r="AE102" s="58">
        <v>5360</v>
      </c>
      <c r="AF102" s="107">
        <v>4545.6000000000004</v>
      </c>
      <c r="AG102" s="27">
        <v>209</v>
      </c>
      <c r="AH102" s="58">
        <v>2760</v>
      </c>
      <c r="AI102" s="107">
        <v>2303.1999999999998</v>
      </c>
      <c r="AJ102" s="27">
        <v>135</v>
      </c>
      <c r="AK102" s="58">
        <v>1860</v>
      </c>
      <c r="AL102" s="107">
        <v>1478</v>
      </c>
      <c r="AM102" s="27">
        <v>117</v>
      </c>
      <c r="AN102" s="58">
        <v>1570</v>
      </c>
      <c r="AO102" s="107">
        <v>1240.8</v>
      </c>
      <c r="AP102" s="27">
        <v>93</v>
      </c>
      <c r="AQ102" s="58">
        <v>1378</v>
      </c>
      <c r="AR102" s="107">
        <v>985.12</v>
      </c>
      <c r="AS102" s="27">
        <v>30</v>
      </c>
      <c r="AT102" s="58">
        <v>380</v>
      </c>
      <c r="AU102" s="107">
        <v>329.6</v>
      </c>
      <c r="AV102" s="54">
        <f t="shared" si="7"/>
        <v>4561</v>
      </c>
      <c r="AW102" s="63">
        <f t="shared" si="7"/>
        <v>60776</v>
      </c>
      <c r="AX102" s="55">
        <f t="shared" si="7"/>
        <v>50877.920000000006</v>
      </c>
      <c r="AY102" s="54">
        <f t="shared" si="8"/>
        <v>380.08333333333331</v>
      </c>
      <c r="AZ102" s="63">
        <f t="shared" si="9"/>
        <v>31.673611111111111</v>
      </c>
      <c r="BA102" s="55">
        <f t="shared" si="10"/>
        <v>4239.8266666666668</v>
      </c>
      <c r="BB102" s="10">
        <v>11</v>
      </c>
      <c r="BC102" s="15">
        <v>180</v>
      </c>
      <c r="BD102" s="11">
        <v>104</v>
      </c>
      <c r="BE102" s="10">
        <v>0</v>
      </c>
      <c r="BF102" s="15">
        <v>0</v>
      </c>
      <c r="BG102" s="11">
        <v>0</v>
      </c>
      <c r="BH102" s="10">
        <v>0</v>
      </c>
      <c r="BI102" s="15">
        <v>0</v>
      </c>
      <c r="BJ102" s="11">
        <v>0</v>
      </c>
      <c r="BK102" s="10">
        <v>0</v>
      </c>
      <c r="BL102" s="15">
        <v>0</v>
      </c>
      <c r="BM102" s="11">
        <v>0</v>
      </c>
      <c r="BN102" s="44">
        <v>0</v>
      </c>
      <c r="BO102" s="42">
        <v>0</v>
      </c>
      <c r="BP102" s="45">
        <v>0</v>
      </c>
      <c r="BQ102" s="44">
        <v>0</v>
      </c>
      <c r="BR102" s="42">
        <v>0</v>
      </c>
      <c r="BS102" s="45">
        <v>0</v>
      </c>
      <c r="BT102" s="44">
        <v>0</v>
      </c>
      <c r="BU102" s="42">
        <v>0</v>
      </c>
      <c r="BV102" s="112">
        <v>0</v>
      </c>
      <c r="BW102" s="115">
        <v>0</v>
      </c>
      <c r="BX102" s="116">
        <v>0</v>
      </c>
      <c r="BY102" s="112">
        <v>0</v>
      </c>
      <c r="BZ102" s="115">
        <v>0</v>
      </c>
      <c r="CA102" s="116">
        <v>0</v>
      </c>
      <c r="CB102" s="112">
        <v>0</v>
      </c>
      <c r="CC102" s="115">
        <v>0</v>
      </c>
      <c r="CD102" s="116">
        <v>0</v>
      </c>
      <c r="CE102" s="112">
        <v>0</v>
      </c>
      <c r="CF102" s="115">
        <v>0</v>
      </c>
      <c r="CG102" s="116">
        <v>0</v>
      </c>
      <c r="CH102" s="112">
        <v>0</v>
      </c>
      <c r="CI102" s="115">
        <v>0</v>
      </c>
      <c r="CJ102" s="116">
        <v>0</v>
      </c>
      <c r="CK102" s="112">
        <v>0</v>
      </c>
      <c r="CL102" s="54">
        <f t="shared" si="11"/>
        <v>11</v>
      </c>
      <c r="CM102" s="63">
        <f t="shared" si="11"/>
        <v>180</v>
      </c>
      <c r="CN102" s="55">
        <f t="shared" si="11"/>
        <v>104</v>
      </c>
      <c r="CO102" s="54">
        <f t="shared" si="12"/>
        <v>0.91666666666666663</v>
      </c>
      <c r="CP102" s="63">
        <f t="shared" si="12"/>
        <v>15</v>
      </c>
      <c r="CQ102" s="55">
        <f t="shared" si="12"/>
        <v>8.6666666666666661</v>
      </c>
    </row>
    <row r="103" spans="1:95" s="2" customFormat="1" ht="34.9" customHeight="1" x14ac:dyDescent="0.6">
      <c r="A103" s="5">
        <v>100</v>
      </c>
      <c r="B103" s="14" t="s">
        <v>285</v>
      </c>
      <c r="C103" s="21" t="s">
        <v>312</v>
      </c>
      <c r="D103" s="16" t="s">
        <v>286</v>
      </c>
      <c r="E103" s="15" t="s">
        <v>49</v>
      </c>
      <c r="F103" s="14" t="s">
        <v>50</v>
      </c>
      <c r="G103" s="7" t="s">
        <v>150</v>
      </c>
      <c r="H103" s="18" t="s">
        <v>898</v>
      </c>
      <c r="I103" s="18" t="s">
        <v>899</v>
      </c>
      <c r="J103" s="14" t="s">
        <v>900</v>
      </c>
      <c r="K103" s="49" t="s">
        <v>125</v>
      </c>
      <c r="L103" s="27">
        <v>752</v>
      </c>
      <c r="M103" s="58">
        <v>10638</v>
      </c>
      <c r="N103" s="78">
        <v>8438.7999999999993</v>
      </c>
      <c r="O103" s="27">
        <v>707</v>
      </c>
      <c r="P103" s="58">
        <v>10082</v>
      </c>
      <c r="Q103" s="104">
        <v>7836.4</v>
      </c>
      <c r="R103" s="27">
        <v>727</v>
      </c>
      <c r="S103" s="58">
        <v>10024</v>
      </c>
      <c r="T103" s="98">
        <v>7991.2</v>
      </c>
      <c r="U103" s="27">
        <v>698</v>
      </c>
      <c r="V103" s="58">
        <v>10056</v>
      </c>
      <c r="W103" s="107">
        <v>7813.2000000000007</v>
      </c>
      <c r="X103" s="27">
        <v>672</v>
      </c>
      <c r="Y103" s="58">
        <v>9024</v>
      </c>
      <c r="Z103" s="12">
        <v>7472</v>
      </c>
      <c r="AA103" s="27">
        <v>639</v>
      </c>
      <c r="AB103" s="58">
        <v>9196</v>
      </c>
      <c r="AC103" s="107">
        <v>7148.4</v>
      </c>
      <c r="AD103" s="27">
        <v>779</v>
      </c>
      <c r="AE103" s="58">
        <v>10616</v>
      </c>
      <c r="AF103" s="107">
        <v>8496.4000000000015</v>
      </c>
      <c r="AG103" s="27">
        <v>670</v>
      </c>
      <c r="AH103" s="58">
        <v>9180</v>
      </c>
      <c r="AI103" s="107">
        <v>7397.2</v>
      </c>
      <c r="AJ103" s="27">
        <v>650</v>
      </c>
      <c r="AK103" s="58">
        <v>8760</v>
      </c>
      <c r="AL103" s="107">
        <v>7232</v>
      </c>
      <c r="AM103" s="27">
        <v>702</v>
      </c>
      <c r="AN103" s="58">
        <v>10344</v>
      </c>
      <c r="AO103" s="107">
        <v>7661.6</v>
      </c>
      <c r="AP103" s="27">
        <v>421</v>
      </c>
      <c r="AQ103" s="58">
        <v>5972</v>
      </c>
      <c r="AR103" s="107">
        <v>4544.8</v>
      </c>
      <c r="AS103" s="27">
        <v>615</v>
      </c>
      <c r="AT103" s="58">
        <v>8590</v>
      </c>
      <c r="AU103" s="107">
        <v>6606.8</v>
      </c>
      <c r="AV103" s="54">
        <f t="shared" si="7"/>
        <v>8032</v>
      </c>
      <c r="AW103" s="63">
        <f t="shared" si="7"/>
        <v>112482</v>
      </c>
      <c r="AX103" s="55">
        <f t="shared" si="7"/>
        <v>88638.800000000017</v>
      </c>
      <c r="AY103" s="54">
        <f t="shared" si="8"/>
        <v>669.33333333333337</v>
      </c>
      <c r="AZ103" s="63">
        <f t="shared" si="9"/>
        <v>55.777777777777779</v>
      </c>
      <c r="BA103" s="55">
        <f t="shared" si="10"/>
        <v>7386.5666666666684</v>
      </c>
      <c r="BB103" s="10">
        <v>510</v>
      </c>
      <c r="BC103" s="15">
        <v>7160</v>
      </c>
      <c r="BD103" s="11">
        <v>5629.4000000000005</v>
      </c>
      <c r="BE103" s="10">
        <v>540</v>
      </c>
      <c r="BF103" s="15">
        <v>7420</v>
      </c>
      <c r="BG103" s="11">
        <v>5663.6</v>
      </c>
      <c r="BH103" s="10">
        <v>675</v>
      </c>
      <c r="BI103" s="15">
        <v>9580</v>
      </c>
      <c r="BJ103" s="11">
        <v>7362</v>
      </c>
      <c r="BK103" s="10">
        <v>295</v>
      </c>
      <c r="BL103" s="15">
        <v>4690</v>
      </c>
      <c r="BM103" s="11">
        <v>3303.6000000000004</v>
      </c>
      <c r="BN103" s="44">
        <v>564</v>
      </c>
      <c r="BO103" s="42">
        <v>8590</v>
      </c>
      <c r="BP103" s="45">
        <v>6356.7999999999993</v>
      </c>
      <c r="BQ103" s="44">
        <v>600</v>
      </c>
      <c r="BR103" s="42">
        <v>8660</v>
      </c>
      <c r="BS103" s="45">
        <v>6715.2000000000016</v>
      </c>
      <c r="BT103" s="44">
        <v>520</v>
      </c>
      <c r="BU103" s="42">
        <v>7180</v>
      </c>
      <c r="BV103" s="112">
        <v>5877.2000000000007</v>
      </c>
      <c r="BW103" s="115">
        <v>546</v>
      </c>
      <c r="BX103" s="116">
        <v>7892</v>
      </c>
      <c r="BY103" s="112">
        <v>6245.7600000000011</v>
      </c>
      <c r="BZ103" s="115">
        <v>573</v>
      </c>
      <c r="CA103" s="116">
        <v>8516</v>
      </c>
      <c r="CB103" s="112">
        <v>6563.2000000000007</v>
      </c>
      <c r="CC103" s="115">
        <v>562</v>
      </c>
      <c r="CD103" s="116">
        <v>8434</v>
      </c>
      <c r="CE103" s="112">
        <v>6324</v>
      </c>
      <c r="CF103" s="115">
        <v>500</v>
      </c>
      <c r="CG103" s="116">
        <v>7060</v>
      </c>
      <c r="CH103" s="112">
        <v>5701.6</v>
      </c>
      <c r="CI103" s="115">
        <v>563</v>
      </c>
      <c r="CJ103" s="116">
        <v>8936</v>
      </c>
      <c r="CK103" s="112">
        <v>6513.6</v>
      </c>
      <c r="CL103" s="54">
        <f t="shared" si="11"/>
        <v>6448</v>
      </c>
      <c r="CM103" s="63">
        <f t="shared" si="11"/>
        <v>94118</v>
      </c>
      <c r="CN103" s="55">
        <f t="shared" si="11"/>
        <v>72255.960000000021</v>
      </c>
      <c r="CO103" s="54">
        <f t="shared" si="12"/>
        <v>537.33333333333337</v>
      </c>
      <c r="CP103" s="63">
        <f t="shared" si="12"/>
        <v>7843.166666666667</v>
      </c>
      <c r="CQ103" s="55">
        <f t="shared" si="12"/>
        <v>6021.3300000000017</v>
      </c>
    </row>
    <row r="104" spans="1:95" s="2" customFormat="1" ht="34.9" customHeight="1" x14ac:dyDescent="0.6">
      <c r="A104" s="5">
        <v>101</v>
      </c>
      <c r="B104" s="14" t="s">
        <v>287</v>
      </c>
      <c r="C104" s="21" t="s">
        <v>314</v>
      </c>
      <c r="D104" s="16" t="s">
        <v>288</v>
      </c>
      <c r="E104" s="15" t="s">
        <v>49</v>
      </c>
      <c r="F104" s="14" t="s">
        <v>50</v>
      </c>
      <c r="G104" s="7" t="s">
        <v>150</v>
      </c>
      <c r="H104" s="18" t="s">
        <v>287</v>
      </c>
      <c r="I104" s="18" t="s">
        <v>901</v>
      </c>
      <c r="J104" s="14" t="s">
        <v>902</v>
      </c>
      <c r="K104" s="49" t="s">
        <v>125</v>
      </c>
      <c r="L104" s="27">
        <v>185</v>
      </c>
      <c r="M104" s="58">
        <v>2530</v>
      </c>
      <c r="N104" s="78">
        <v>1748.8</v>
      </c>
      <c r="O104" s="27">
        <v>180</v>
      </c>
      <c r="P104" s="58">
        <v>2520</v>
      </c>
      <c r="Q104" s="104">
        <v>1612.8</v>
      </c>
      <c r="R104" s="27">
        <v>248</v>
      </c>
      <c r="S104" s="58">
        <v>3472</v>
      </c>
      <c r="T104" s="98">
        <v>2222.08</v>
      </c>
      <c r="U104" s="27">
        <v>150</v>
      </c>
      <c r="V104" s="58">
        <v>2040</v>
      </c>
      <c r="W104" s="107">
        <v>1435.2</v>
      </c>
      <c r="X104" s="27">
        <v>150</v>
      </c>
      <c r="Y104" s="58">
        <v>2100</v>
      </c>
      <c r="Z104" s="12">
        <v>1344</v>
      </c>
      <c r="AA104" s="27">
        <v>324</v>
      </c>
      <c r="AB104" s="58">
        <v>4476</v>
      </c>
      <c r="AC104" s="107">
        <v>2994.2400000000002</v>
      </c>
      <c r="AD104" s="27">
        <v>225</v>
      </c>
      <c r="AE104" s="58">
        <v>3150</v>
      </c>
      <c r="AF104" s="107">
        <v>2016</v>
      </c>
      <c r="AG104" s="27">
        <v>203</v>
      </c>
      <c r="AH104" s="58">
        <v>3408</v>
      </c>
      <c r="AI104" s="107">
        <v>2072.56</v>
      </c>
      <c r="AJ104" s="27">
        <v>190</v>
      </c>
      <c r="AK104" s="58">
        <v>2930</v>
      </c>
      <c r="AL104" s="107">
        <v>1960.4</v>
      </c>
      <c r="AM104" s="27">
        <v>220</v>
      </c>
      <c r="AN104" s="58">
        <v>3130</v>
      </c>
      <c r="AO104" s="107">
        <v>2340.8000000000002</v>
      </c>
      <c r="AP104" s="27">
        <v>193</v>
      </c>
      <c r="AQ104" s="58">
        <v>2972</v>
      </c>
      <c r="AR104" s="107">
        <v>1987.28</v>
      </c>
      <c r="AS104" s="27">
        <v>185</v>
      </c>
      <c r="AT104" s="58">
        <v>2410</v>
      </c>
      <c r="AU104" s="107">
        <v>1931.2</v>
      </c>
      <c r="AV104" s="54">
        <f t="shared" si="7"/>
        <v>2453</v>
      </c>
      <c r="AW104" s="63">
        <f t="shared" si="7"/>
        <v>35138</v>
      </c>
      <c r="AX104" s="55">
        <f t="shared" si="7"/>
        <v>23665.360000000001</v>
      </c>
      <c r="AY104" s="54">
        <f t="shared" si="8"/>
        <v>204.41666666666666</v>
      </c>
      <c r="AZ104" s="63">
        <f t="shared" si="9"/>
        <v>17.034722222222221</v>
      </c>
      <c r="BA104" s="55">
        <f t="shared" si="10"/>
        <v>1972.1133333333335</v>
      </c>
      <c r="BB104" s="10">
        <v>159</v>
      </c>
      <c r="BC104" s="15">
        <v>2946</v>
      </c>
      <c r="BD104" s="11">
        <v>1667.04</v>
      </c>
      <c r="BE104" s="10">
        <v>130</v>
      </c>
      <c r="BF104" s="15">
        <v>1940</v>
      </c>
      <c r="BG104" s="11">
        <v>1436</v>
      </c>
      <c r="BH104" s="10">
        <v>360</v>
      </c>
      <c r="BI104" s="15">
        <v>6220</v>
      </c>
      <c r="BJ104" s="11">
        <v>3660</v>
      </c>
      <c r="BK104" s="10">
        <v>0</v>
      </c>
      <c r="BL104" s="15">
        <v>0</v>
      </c>
      <c r="BM104" s="11">
        <v>0</v>
      </c>
      <c r="BN104" s="44">
        <v>60</v>
      </c>
      <c r="BO104" s="42">
        <v>1560</v>
      </c>
      <c r="BP104" s="45">
        <v>780</v>
      </c>
      <c r="BQ104" s="44">
        <v>160</v>
      </c>
      <c r="BR104" s="42">
        <v>2120</v>
      </c>
      <c r="BS104" s="45">
        <v>1616</v>
      </c>
      <c r="BT104" s="44">
        <v>140</v>
      </c>
      <c r="BU104" s="42">
        <v>2350</v>
      </c>
      <c r="BV104" s="112">
        <v>1330</v>
      </c>
      <c r="BW104" s="115">
        <v>63</v>
      </c>
      <c r="BX104" s="116">
        <v>1176</v>
      </c>
      <c r="BY104" s="112">
        <v>774.48</v>
      </c>
      <c r="BZ104" s="115">
        <v>143</v>
      </c>
      <c r="CA104" s="116">
        <v>2656</v>
      </c>
      <c r="CB104" s="112">
        <v>1624</v>
      </c>
      <c r="CC104" s="115">
        <v>145</v>
      </c>
      <c r="CD104" s="116">
        <v>3530</v>
      </c>
      <c r="CE104" s="112">
        <v>1692.8</v>
      </c>
      <c r="CF104" s="115">
        <v>50</v>
      </c>
      <c r="CG104" s="116">
        <v>650</v>
      </c>
      <c r="CH104" s="112">
        <v>524</v>
      </c>
      <c r="CI104" s="115">
        <v>85</v>
      </c>
      <c r="CJ104" s="116">
        <v>1070</v>
      </c>
      <c r="CK104" s="112">
        <v>944</v>
      </c>
      <c r="CL104" s="54">
        <f t="shared" si="11"/>
        <v>1495</v>
      </c>
      <c r="CM104" s="63">
        <f t="shared" si="11"/>
        <v>26218</v>
      </c>
      <c r="CN104" s="55">
        <f t="shared" si="11"/>
        <v>16048.32</v>
      </c>
      <c r="CO104" s="54">
        <f t="shared" si="12"/>
        <v>124.58333333333333</v>
      </c>
      <c r="CP104" s="63">
        <f t="shared" si="12"/>
        <v>2184.8333333333335</v>
      </c>
      <c r="CQ104" s="55">
        <f t="shared" si="12"/>
        <v>1337.36</v>
      </c>
    </row>
    <row r="105" spans="1:95" s="2" customFormat="1" ht="34.9" customHeight="1" x14ac:dyDescent="0.6">
      <c r="A105" s="5">
        <v>102</v>
      </c>
      <c r="B105" s="14" t="s">
        <v>289</v>
      </c>
      <c r="C105" s="21" t="s">
        <v>322</v>
      </c>
      <c r="D105" s="16" t="s">
        <v>290</v>
      </c>
      <c r="E105" s="15" t="s">
        <v>49</v>
      </c>
      <c r="F105" s="14" t="s">
        <v>50</v>
      </c>
      <c r="G105" s="7" t="s">
        <v>150</v>
      </c>
      <c r="H105" s="18" t="s">
        <v>903</v>
      </c>
      <c r="I105" s="18" t="s">
        <v>904</v>
      </c>
      <c r="J105" s="14" t="s">
        <v>905</v>
      </c>
      <c r="K105" s="49" t="s">
        <v>125</v>
      </c>
      <c r="L105" s="27">
        <v>420</v>
      </c>
      <c r="M105" s="58">
        <v>6200</v>
      </c>
      <c r="N105" s="78">
        <v>4168</v>
      </c>
      <c r="O105" s="27">
        <v>390</v>
      </c>
      <c r="P105" s="58">
        <v>5740</v>
      </c>
      <c r="Q105" s="49">
        <v>3960</v>
      </c>
      <c r="R105" s="27">
        <v>490</v>
      </c>
      <c r="S105" s="58">
        <v>7310</v>
      </c>
      <c r="T105" s="98">
        <v>5043.2000000000007</v>
      </c>
      <c r="U105" s="27">
        <v>508</v>
      </c>
      <c r="V105" s="58">
        <v>6962</v>
      </c>
      <c r="W105" s="107">
        <v>5225.2800000000007</v>
      </c>
      <c r="X105" s="27">
        <v>410</v>
      </c>
      <c r="Y105" s="58">
        <v>5810</v>
      </c>
      <c r="Z105" s="107">
        <v>4235.6000000000004</v>
      </c>
      <c r="AA105" s="27">
        <v>500</v>
      </c>
      <c r="AB105" s="58">
        <v>7020</v>
      </c>
      <c r="AC105" s="12">
        <v>5118</v>
      </c>
      <c r="AD105" s="27">
        <v>480</v>
      </c>
      <c r="AE105" s="58">
        <v>6500</v>
      </c>
      <c r="AF105" s="107">
        <v>4858</v>
      </c>
      <c r="AG105" s="27">
        <v>462</v>
      </c>
      <c r="AH105" s="58">
        <v>6474</v>
      </c>
      <c r="AI105" s="107">
        <v>4798.8</v>
      </c>
      <c r="AJ105" s="27">
        <v>455</v>
      </c>
      <c r="AK105" s="58">
        <v>6410</v>
      </c>
      <c r="AL105" s="107">
        <v>4684.3999999999996</v>
      </c>
      <c r="AM105" s="27">
        <v>475</v>
      </c>
      <c r="AN105" s="58">
        <v>6510</v>
      </c>
      <c r="AO105" s="107">
        <v>4914.3999999999996</v>
      </c>
      <c r="AP105" s="27">
        <v>405</v>
      </c>
      <c r="AQ105" s="58">
        <v>5630</v>
      </c>
      <c r="AR105" s="107">
        <v>4135.2000000000007</v>
      </c>
      <c r="AS105" s="27">
        <v>435</v>
      </c>
      <c r="AT105" s="58">
        <v>6040</v>
      </c>
      <c r="AU105" s="107">
        <v>4419.2000000000007</v>
      </c>
      <c r="AV105" s="54">
        <f t="shared" si="7"/>
        <v>5430</v>
      </c>
      <c r="AW105" s="63">
        <f t="shared" si="7"/>
        <v>76606</v>
      </c>
      <c r="AX105" s="55">
        <f t="shared" si="7"/>
        <v>55560.08</v>
      </c>
      <c r="AY105" s="54">
        <f t="shared" si="8"/>
        <v>452.5</v>
      </c>
      <c r="AZ105" s="63">
        <f t="shared" si="9"/>
        <v>37.708333333333336</v>
      </c>
      <c r="BA105" s="55">
        <f t="shared" si="10"/>
        <v>4630.0066666666671</v>
      </c>
      <c r="BB105" s="10">
        <v>425</v>
      </c>
      <c r="BC105" s="15">
        <v>6040</v>
      </c>
      <c r="BD105" s="11">
        <v>4340.2000000000007</v>
      </c>
      <c r="BE105" s="10">
        <v>380</v>
      </c>
      <c r="BF105" s="15">
        <v>5320</v>
      </c>
      <c r="BG105" s="11">
        <v>3850.4</v>
      </c>
      <c r="BH105" s="10">
        <v>430</v>
      </c>
      <c r="BI105" s="15">
        <v>6110</v>
      </c>
      <c r="BJ105" s="11">
        <v>4384.4000000000005</v>
      </c>
      <c r="BK105" s="10">
        <v>415</v>
      </c>
      <c r="BL105" s="15">
        <v>5840</v>
      </c>
      <c r="BM105" s="11">
        <v>4341.2000000000007</v>
      </c>
      <c r="BN105" s="44">
        <v>370</v>
      </c>
      <c r="BO105" s="42">
        <v>5240</v>
      </c>
      <c r="BP105" s="45">
        <v>3892.4</v>
      </c>
      <c r="BQ105" s="44">
        <v>370</v>
      </c>
      <c r="BR105" s="42">
        <v>4990</v>
      </c>
      <c r="BS105" s="45">
        <v>3826.7999999999997</v>
      </c>
      <c r="BT105" s="44">
        <v>373</v>
      </c>
      <c r="BU105" s="42">
        <v>5080</v>
      </c>
      <c r="BV105" s="112">
        <v>3914.3999999999992</v>
      </c>
      <c r="BW105" s="115">
        <v>396</v>
      </c>
      <c r="BX105" s="116">
        <v>5602</v>
      </c>
      <c r="BY105" s="112">
        <v>4124.5600000000004</v>
      </c>
      <c r="BZ105" s="115">
        <v>325</v>
      </c>
      <c r="CA105" s="116">
        <v>4520</v>
      </c>
      <c r="CB105" s="112">
        <v>3403.2</v>
      </c>
      <c r="CC105" s="115">
        <v>425</v>
      </c>
      <c r="CD105" s="116">
        <v>6110</v>
      </c>
      <c r="CE105" s="112">
        <v>4455.9999999999991</v>
      </c>
      <c r="CF105" s="115">
        <v>360</v>
      </c>
      <c r="CG105" s="116">
        <v>5480</v>
      </c>
      <c r="CH105" s="112">
        <v>3893.5999999999995</v>
      </c>
      <c r="CI105" s="115">
        <v>465</v>
      </c>
      <c r="CJ105" s="116">
        <v>6420</v>
      </c>
      <c r="CK105" s="112">
        <v>4971.5999999999995</v>
      </c>
      <c r="CL105" s="54">
        <f t="shared" si="11"/>
        <v>4734</v>
      </c>
      <c r="CM105" s="63">
        <f t="shared" si="11"/>
        <v>66752</v>
      </c>
      <c r="CN105" s="55">
        <f t="shared" si="11"/>
        <v>49398.759999999995</v>
      </c>
      <c r="CO105" s="54">
        <f t="shared" si="12"/>
        <v>394.5</v>
      </c>
      <c r="CP105" s="63">
        <f t="shared" si="12"/>
        <v>5562.666666666667</v>
      </c>
      <c r="CQ105" s="55">
        <f t="shared" si="12"/>
        <v>4116.5633333333326</v>
      </c>
    </row>
    <row r="106" spans="1:95" s="2" customFormat="1" ht="34.9" customHeight="1" x14ac:dyDescent="0.6">
      <c r="A106" s="5">
        <v>103</v>
      </c>
      <c r="B106" s="14" t="s">
        <v>291</v>
      </c>
      <c r="C106" s="21" t="s">
        <v>326</v>
      </c>
      <c r="D106" s="16" t="s">
        <v>292</v>
      </c>
      <c r="E106" s="15" t="s">
        <v>293</v>
      </c>
      <c r="F106" s="14" t="s">
        <v>50</v>
      </c>
      <c r="G106" s="7" t="s">
        <v>150</v>
      </c>
      <c r="H106" s="18" t="s">
        <v>906</v>
      </c>
      <c r="I106" s="18" t="s">
        <v>907</v>
      </c>
      <c r="J106" s="14" t="s">
        <v>908</v>
      </c>
      <c r="K106" s="49" t="s">
        <v>125</v>
      </c>
      <c r="L106" s="27">
        <v>52</v>
      </c>
      <c r="M106" s="58">
        <v>860</v>
      </c>
      <c r="N106" s="78">
        <v>559.20000000000005</v>
      </c>
      <c r="O106" s="27">
        <v>52</v>
      </c>
      <c r="P106" s="58">
        <v>850</v>
      </c>
      <c r="Q106" s="49">
        <v>544.4</v>
      </c>
      <c r="R106" s="27">
        <v>55</v>
      </c>
      <c r="S106" s="58">
        <v>840</v>
      </c>
      <c r="T106" s="98">
        <v>561.20000000000005</v>
      </c>
      <c r="U106" s="27">
        <v>103</v>
      </c>
      <c r="V106" s="58">
        <v>1660</v>
      </c>
      <c r="W106" s="107">
        <v>1104.8</v>
      </c>
      <c r="X106" s="27">
        <v>92</v>
      </c>
      <c r="Y106" s="58">
        <v>1480</v>
      </c>
      <c r="Z106" s="107">
        <v>971.2</v>
      </c>
      <c r="AA106" s="27">
        <v>113</v>
      </c>
      <c r="AB106" s="58">
        <v>1630</v>
      </c>
      <c r="AC106" s="12">
        <v>1272</v>
      </c>
      <c r="AD106" s="27">
        <v>120</v>
      </c>
      <c r="AE106" s="58">
        <v>1770</v>
      </c>
      <c r="AF106" s="107">
        <v>1360</v>
      </c>
      <c r="AG106" s="27">
        <v>150</v>
      </c>
      <c r="AH106" s="58">
        <v>2250</v>
      </c>
      <c r="AI106" s="107">
        <v>1718.4</v>
      </c>
      <c r="AJ106" s="27">
        <v>145</v>
      </c>
      <c r="AK106" s="58">
        <v>2200</v>
      </c>
      <c r="AL106" s="107">
        <v>1643.2</v>
      </c>
      <c r="AM106" s="27">
        <v>125</v>
      </c>
      <c r="AN106" s="58">
        <v>1950</v>
      </c>
      <c r="AO106" s="107">
        <v>1436.4</v>
      </c>
      <c r="AP106" s="27">
        <v>115</v>
      </c>
      <c r="AQ106" s="58">
        <v>1730</v>
      </c>
      <c r="AR106" s="107">
        <v>1221.5999999999999</v>
      </c>
      <c r="AS106" s="27">
        <v>90</v>
      </c>
      <c r="AT106" s="58">
        <v>1400</v>
      </c>
      <c r="AU106" s="107">
        <v>991.2</v>
      </c>
      <c r="AV106" s="54">
        <f t="shared" si="7"/>
        <v>1212</v>
      </c>
      <c r="AW106" s="63">
        <f t="shared" si="7"/>
        <v>18620</v>
      </c>
      <c r="AX106" s="55">
        <f t="shared" si="7"/>
        <v>13383.600000000002</v>
      </c>
      <c r="AY106" s="54">
        <f t="shared" si="8"/>
        <v>101</v>
      </c>
      <c r="AZ106" s="63">
        <f t="shared" si="9"/>
        <v>8.4166666666666661</v>
      </c>
      <c r="BA106" s="55">
        <f t="shared" si="10"/>
        <v>1115.3000000000002</v>
      </c>
      <c r="BB106" s="10">
        <v>85</v>
      </c>
      <c r="BC106" s="15">
        <v>1480</v>
      </c>
      <c r="BD106" s="11">
        <v>917.2</v>
      </c>
      <c r="BE106" s="10">
        <v>90</v>
      </c>
      <c r="BF106" s="15">
        <v>1270</v>
      </c>
      <c r="BG106" s="11">
        <v>990</v>
      </c>
      <c r="BH106" s="10">
        <v>105</v>
      </c>
      <c r="BI106" s="15">
        <v>1590</v>
      </c>
      <c r="BJ106" s="11">
        <v>1156</v>
      </c>
      <c r="BK106" s="10">
        <v>30</v>
      </c>
      <c r="BL106" s="15">
        <v>530</v>
      </c>
      <c r="BM106" s="11">
        <v>324.40000000000003</v>
      </c>
      <c r="BN106" s="44">
        <v>100</v>
      </c>
      <c r="BO106" s="42">
        <v>1530</v>
      </c>
      <c r="BP106" s="45">
        <v>1072</v>
      </c>
      <c r="BQ106" s="44">
        <v>103</v>
      </c>
      <c r="BR106" s="42">
        <v>1530</v>
      </c>
      <c r="BS106" s="45">
        <v>1097.6000000000001</v>
      </c>
      <c r="BT106" s="44">
        <v>90</v>
      </c>
      <c r="BU106" s="42">
        <v>1300</v>
      </c>
      <c r="BV106" s="112">
        <v>944.40000000000009</v>
      </c>
      <c r="BW106" s="115">
        <v>141</v>
      </c>
      <c r="BX106" s="116">
        <v>2035</v>
      </c>
      <c r="BY106" s="112">
        <v>1503.8000000000002</v>
      </c>
      <c r="BZ106" s="115">
        <v>109</v>
      </c>
      <c r="CA106" s="116">
        <v>1506</v>
      </c>
      <c r="CB106" s="112">
        <v>1229.8400000000001</v>
      </c>
      <c r="CC106" s="115">
        <v>175</v>
      </c>
      <c r="CD106" s="116">
        <v>2640</v>
      </c>
      <c r="CE106" s="112">
        <v>1875.6000000000001</v>
      </c>
      <c r="CF106" s="115">
        <v>60</v>
      </c>
      <c r="CG106" s="116">
        <v>900</v>
      </c>
      <c r="CH106" s="112">
        <v>645.20000000000005</v>
      </c>
      <c r="CI106" s="115">
        <v>100</v>
      </c>
      <c r="CJ106" s="116">
        <v>1520</v>
      </c>
      <c r="CK106" s="112">
        <v>1063.2</v>
      </c>
      <c r="CL106" s="54">
        <f t="shared" si="11"/>
        <v>1188</v>
      </c>
      <c r="CM106" s="63">
        <f t="shared" si="11"/>
        <v>17831</v>
      </c>
      <c r="CN106" s="55">
        <f t="shared" si="11"/>
        <v>12819.240000000003</v>
      </c>
      <c r="CO106" s="54">
        <f t="shared" si="12"/>
        <v>99</v>
      </c>
      <c r="CP106" s="63">
        <f t="shared" si="12"/>
        <v>1485.9166666666667</v>
      </c>
      <c r="CQ106" s="55">
        <f t="shared" si="12"/>
        <v>1068.2700000000002</v>
      </c>
    </row>
    <row r="107" spans="1:95" s="2" customFormat="1" ht="34.9" customHeight="1" x14ac:dyDescent="0.6">
      <c r="A107" s="5">
        <v>104</v>
      </c>
      <c r="B107" s="14" t="s">
        <v>294</v>
      </c>
      <c r="C107" s="21" t="s">
        <v>328</v>
      </c>
      <c r="D107" s="16" t="s">
        <v>295</v>
      </c>
      <c r="E107" s="15" t="s">
        <v>263</v>
      </c>
      <c r="F107" s="23" t="s">
        <v>264</v>
      </c>
      <c r="G107" s="7" t="s">
        <v>150</v>
      </c>
      <c r="H107" s="145" t="s">
        <v>645</v>
      </c>
      <c r="I107" s="145" t="s">
        <v>645</v>
      </c>
      <c r="J107" s="14" t="s">
        <v>909</v>
      </c>
      <c r="K107" s="49" t="s">
        <v>125</v>
      </c>
      <c r="L107" s="27">
        <v>225</v>
      </c>
      <c r="M107" s="58">
        <v>3040</v>
      </c>
      <c r="N107" s="78">
        <v>2165.1999999999998</v>
      </c>
      <c r="O107" s="27">
        <v>296</v>
      </c>
      <c r="P107" s="58">
        <v>4100</v>
      </c>
      <c r="Q107" s="49">
        <v>2950.4</v>
      </c>
      <c r="R107" s="27">
        <v>465</v>
      </c>
      <c r="S107" s="58">
        <v>6340</v>
      </c>
      <c r="T107" s="98">
        <v>4647.6000000000004</v>
      </c>
      <c r="U107" s="27">
        <v>300</v>
      </c>
      <c r="V107" s="58">
        <v>4460</v>
      </c>
      <c r="W107" s="12">
        <v>2871.2</v>
      </c>
      <c r="X107" s="27">
        <v>333</v>
      </c>
      <c r="Y107" s="58">
        <v>4940</v>
      </c>
      <c r="Z107" s="107">
        <v>3140.4</v>
      </c>
      <c r="AA107" s="27">
        <v>198</v>
      </c>
      <c r="AB107" s="58">
        <v>2916</v>
      </c>
      <c r="AC107" s="12">
        <v>1972</v>
      </c>
      <c r="AD107" s="27">
        <v>200</v>
      </c>
      <c r="AE107" s="58">
        <v>2980</v>
      </c>
      <c r="AF107" s="107">
        <v>1928</v>
      </c>
      <c r="AG107" s="27">
        <v>150</v>
      </c>
      <c r="AH107" s="58">
        <v>2290</v>
      </c>
      <c r="AI107" s="107">
        <v>1482.8000000000002</v>
      </c>
      <c r="AJ107" s="27">
        <v>65</v>
      </c>
      <c r="AK107" s="58">
        <v>1090</v>
      </c>
      <c r="AL107" s="107">
        <v>754.4</v>
      </c>
      <c r="AM107" s="27">
        <v>188</v>
      </c>
      <c r="AN107" s="58">
        <v>2926</v>
      </c>
      <c r="AO107" s="107">
        <v>1895.2</v>
      </c>
      <c r="AP107" s="27">
        <v>135</v>
      </c>
      <c r="AQ107" s="58">
        <v>1900</v>
      </c>
      <c r="AR107" s="107">
        <v>1417.2</v>
      </c>
      <c r="AS107" s="27">
        <v>210</v>
      </c>
      <c r="AT107" s="58">
        <v>3040</v>
      </c>
      <c r="AU107" s="107">
        <v>2175.1999999999998</v>
      </c>
      <c r="AV107" s="54">
        <f t="shared" si="7"/>
        <v>2765</v>
      </c>
      <c r="AW107" s="63">
        <f t="shared" si="7"/>
        <v>40022</v>
      </c>
      <c r="AX107" s="55">
        <f t="shared" si="7"/>
        <v>27399.600000000006</v>
      </c>
      <c r="AY107" s="54">
        <f t="shared" si="8"/>
        <v>230.41666666666666</v>
      </c>
      <c r="AZ107" s="63">
        <f t="shared" si="9"/>
        <v>19.201388888888889</v>
      </c>
      <c r="BA107" s="55">
        <f t="shared" si="10"/>
        <v>2283.3000000000006</v>
      </c>
      <c r="BB107" s="10">
        <v>183</v>
      </c>
      <c r="BC107" s="15">
        <v>2920</v>
      </c>
      <c r="BD107" s="11">
        <v>1897.6</v>
      </c>
      <c r="BE107" s="10">
        <v>160</v>
      </c>
      <c r="BF107" s="15">
        <v>2510</v>
      </c>
      <c r="BG107" s="11">
        <v>1691.6</v>
      </c>
      <c r="BH107" s="10">
        <v>700</v>
      </c>
      <c r="BI107" s="15">
        <v>11420</v>
      </c>
      <c r="BJ107" s="11">
        <v>7374.4</v>
      </c>
      <c r="BK107" s="10">
        <v>25</v>
      </c>
      <c r="BL107" s="15">
        <v>300</v>
      </c>
      <c r="BM107" s="11">
        <v>210</v>
      </c>
      <c r="BN107" s="44">
        <v>30</v>
      </c>
      <c r="BO107" s="42">
        <v>360</v>
      </c>
      <c r="BP107" s="45">
        <v>360</v>
      </c>
      <c r="BQ107" s="44">
        <v>100</v>
      </c>
      <c r="BR107" s="42">
        <v>1480</v>
      </c>
      <c r="BS107" s="45">
        <v>1220</v>
      </c>
      <c r="BT107" s="44">
        <v>100</v>
      </c>
      <c r="BU107" s="42">
        <v>1860</v>
      </c>
      <c r="BV107" s="112">
        <v>1088</v>
      </c>
      <c r="BW107" s="115">
        <v>163</v>
      </c>
      <c r="BX107" s="116">
        <v>2336</v>
      </c>
      <c r="BY107" s="112">
        <v>1812.48</v>
      </c>
      <c r="BZ107" s="115">
        <v>130</v>
      </c>
      <c r="CA107" s="116">
        <v>2410</v>
      </c>
      <c r="CB107" s="112">
        <v>1382</v>
      </c>
      <c r="CC107" s="115">
        <v>100</v>
      </c>
      <c r="CD107" s="116">
        <v>1430</v>
      </c>
      <c r="CE107" s="112">
        <v>1073.2</v>
      </c>
      <c r="CF107" s="115">
        <v>185</v>
      </c>
      <c r="CG107" s="116">
        <v>3060</v>
      </c>
      <c r="CH107" s="112">
        <v>2057.2000000000003</v>
      </c>
      <c r="CI107" s="115">
        <v>185</v>
      </c>
      <c r="CJ107" s="116">
        <v>3080</v>
      </c>
      <c r="CK107" s="112">
        <v>2026.8</v>
      </c>
      <c r="CL107" s="54">
        <f t="shared" si="11"/>
        <v>2061</v>
      </c>
      <c r="CM107" s="63">
        <f t="shared" si="11"/>
        <v>33166</v>
      </c>
      <c r="CN107" s="55">
        <f t="shared" si="11"/>
        <v>22193.279999999999</v>
      </c>
      <c r="CO107" s="54">
        <f t="shared" si="12"/>
        <v>171.75</v>
      </c>
      <c r="CP107" s="63">
        <f t="shared" si="12"/>
        <v>2763.8333333333335</v>
      </c>
      <c r="CQ107" s="55">
        <f t="shared" si="12"/>
        <v>1849.4399999999998</v>
      </c>
    </row>
    <row r="108" spans="1:95" s="2" customFormat="1" ht="34.9" customHeight="1" x14ac:dyDescent="0.6">
      <c r="A108" s="5">
        <v>105</v>
      </c>
      <c r="B108" s="14" t="s">
        <v>296</v>
      </c>
      <c r="C108" s="21" t="s">
        <v>330</v>
      </c>
      <c r="D108" s="16" t="s">
        <v>297</v>
      </c>
      <c r="E108" s="15" t="s">
        <v>298</v>
      </c>
      <c r="F108" s="14" t="s">
        <v>299</v>
      </c>
      <c r="G108" s="7" t="s">
        <v>150</v>
      </c>
      <c r="H108" s="18" t="s">
        <v>910</v>
      </c>
      <c r="I108" s="18" t="s">
        <v>911</v>
      </c>
      <c r="J108" s="14" t="s">
        <v>912</v>
      </c>
      <c r="K108" s="49" t="s">
        <v>125</v>
      </c>
      <c r="L108" s="27">
        <v>148</v>
      </c>
      <c r="M108" s="58">
        <v>2362</v>
      </c>
      <c r="N108" s="78">
        <v>1758.48</v>
      </c>
      <c r="O108" s="27">
        <v>65</v>
      </c>
      <c r="P108" s="58">
        <v>786</v>
      </c>
      <c r="Q108" s="49">
        <v>763.68</v>
      </c>
      <c r="R108" s="27">
        <v>161</v>
      </c>
      <c r="S108" s="58">
        <v>2324</v>
      </c>
      <c r="T108" s="98">
        <v>1960</v>
      </c>
      <c r="U108" s="27">
        <v>65</v>
      </c>
      <c r="V108" s="58">
        <v>920</v>
      </c>
      <c r="W108" s="12">
        <v>790</v>
      </c>
      <c r="X108" s="27">
        <v>132</v>
      </c>
      <c r="Y108" s="58">
        <v>2144</v>
      </c>
      <c r="Z108" s="107">
        <v>1616.8</v>
      </c>
      <c r="AA108" s="27">
        <v>74</v>
      </c>
      <c r="AB108" s="58">
        <v>888</v>
      </c>
      <c r="AC108" s="107">
        <v>873.6</v>
      </c>
      <c r="AD108" s="27">
        <v>169</v>
      </c>
      <c r="AE108" s="58">
        <v>2492</v>
      </c>
      <c r="AF108" s="107">
        <v>2016.48</v>
      </c>
      <c r="AG108" s="27">
        <v>139</v>
      </c>
      <c r="AH108" s="58">
        <v>1950</v>
      </c>
      <c r="AI108" s="107">
        <v>1674.16</v>
      </c>
      <c r="AJ108" s="27">
        <v>112</v>
      </c>
      <c r="AK108" s="58">
        <v>1628</v>
      </c>
      <c r="AL108" s="107">
        <v>1354.32</v>
      </c>
      <c r="AM108" s="27">
        <v>127</v>
      </c>
      <c r="AN108" s="58">
        <v>1746</v>
      </c>
      <c r="AO108" s="107">
        <v>1494.88</v>
      </c>
      <c r="AP108" s="27">
        <v>82</v>
      </c>
      <c r="AQ108" s="58">
        <v>1182</v>
      </c>
      <c r="AR108" s="107">
        <v>987.76</v>
      </c>
      <c r="AS108" s="27">
        <v>133</v>
      </c>
      <c r="AT108" s="58">
        <v>2436</v>
      </c>
      <c r="AU108" s="107">
        <v>1648.8</v>
      </c>
      <c r="AV108" s="54">
        <f t="shared" si="7"/>
        <v>1407</v>
      </c>
      <c r="AW108" s="63">
        <f t="shared" si="7"/>
        <v>20858</v>
      </c>
      <c r="AX108" s="55">
        <f t="shared" si="7"/>
        <v>16938.960000000003</v>
      </c>
      <c r="AY108" s="54">
        <f t="shared" si="8"/>
        <v>117.25</v>
      </c>
      <c r="AZ108" s="63">
        <f t="shared" si="9"/>
        <v>9.7708333333333339</v>
      </c>
      <c r="BA108" s="55">
        <f t="shared" si="10"/>
        <v>1411.5800000000002</v>
      </c>
      <c r="BB108" s="10">
        <v>114</v>
      </c>
      <c r="BC108" s="15">
        <v>1456</v>
      </c>
      <c r="BD108" s="11">
        <v>1357.12</v>
      </c>
      <c r="BE108" s="10">
        <v>54</v>
      </c>
      <c r="BF108" s="15">
        <v>932</v>
      </c>
      <c r="BG108" s="11">
        <v>654.72</v>
      </c>
      <c r="BH108" s="10">
        <v>127</v>
      </c>
      <c r="BI108" s="15">
        <v>2240</v>
      </c>
      <c r="BJ108" s="11">
        <v>1542.48</v>
      </c>
      <c r="BK108" s="10">
        <v>88</v>
      </c>
      <c r="BL108" s="15">
        <v>1678</v>
      </c>
      <c r="BM108" s="11">
        <v>1080.08</v>
      </c>
      <c r="BN108" s="44">
        <v>164</v>
      </c>
      <c r="BO108" s="42">
        <v>2818</v>
      </c>
      <c r="BP108" s="45">
        <v>1998.3999999999999</v>
      </c>
      <c r="BQ108" s="44">
        <v>71</v>
      </c>
      <c r="BR108" s="42">
        <v>1552</v>
      </c>
      <c r="BS108" s="45">
        <v>898.4</v>
      </c>
      <c r="BT108" s="44">
        <v>151</v>
      </c>
      <c r="BU108" s="42">
        <v>2812</v>
      </c>
      <c r="BV108" s="112">
        <v>1848</v>
      </c>
      <c r="BW108" s="115">
        <v>135</v>
      </c>
      <c r="BX108" s="116">
        <v>2496</v>
      </c>
      <c r="BY108" s="112">
        <v>1620.4799999999998</v>
      </c>
      <c r="BZ108" s="115">
        <v>46</v>
      </c>
      <c r="CA108" s="116">
        <v>972</v>
      </c>
      <c r="CB108" s="112">
        <v>578.4</v>
      </c>
      <c r="CC108" s="115">
        <v>80</v>
      </c>
      <c r="CD108" s="116">
        <v>1380</v>
      </c>
      <c r="CE108" s="112">
        <v>972</v>
      </c>
      <c r="CF108" s="115">
        <v>5</v>
      </c>
      <c r="CG108" s="116">
        <v>60</v>
      </c>
      <c r="CH108" s="112">
        <v>60</v>
      </c>
      <c r="CI108" s="115">
        <v>11</v>
      </c>
      <c r="CJ108" s="116">
        <v>132</v>
      </c>
      <c r="CK108" s="112">
        <v>128.4</v>
      </c>
      <c r="CL108" s="54">
        <f t="shared" si="11"/>
        <v>1046</v>
      </c>
      <c r="CM108" s="63">
        <f t="shared" si="11"/>
        <v>18528</v>
      </c>
      <c r="CN108" s="55">
        <f t="shared" si="11"/>
        <v>12738.479999999998</v>
      </c>
      <c r="CO108" s="54">
        <f t="shared" si="12"/>
        <v>87.166666666666671</v>
      </c>
      <c r="CP108" s="63">
        <f t="shared" si="12"/>
        <v>1544</v>
      </c>
      <c r="CQ108" s="55">
        <f t="shared" si="12"/>
        <v>1061.5399999999997</v>
      </c>
    </row>
    <row r="109" spans="1:95" s="2" customFormat="1" ht="34.9" customHeight="1" x14ac:dyDescent="0.6">
      <c r="A109" s="5">
        <v>106</v>
      </c>
      <c r="B109" s="14" t="s">
        <v>170</v>
      </c>
      <c r="C109" s="16" t="s">
        <v>332</v>
      </c>
      <c r="D109" s="16" t="s">
        <v>171</v>
      </c>
      <c r="E109" s="15" t="s">
        <v>300</v>
      </c>
      <c r="F109" s="14" t="s">
        <v>301</v>
      </c>
      <c r="G109" s="7" t="s">
        <v>150</v>
      </c>
      <c r="H109" s="18" t="s">
        <v>913</v>
      </c>
      <c r="I109" s="18" t="s">
        <v>914</v>
      </c>
      <c r="J109" s="14" t="s">
        <v>915</v>
      </c>
      <c r="K109" s="49" t="s">
        <v>125</v>
      </c>
      <c r="L109" s="27">
        <v>388</v>
      </c>
      <c r="M109" s="58">
        <v>5066</v>
      </c>
      <c r="N109" s="78">
        <v>3672.8</v>
      </c>
      <c r="O109" s="27">
        <v>512</v>
      </c>
      <c r="P109" s="58">
        <v>6800</v>
      </c>
      <c r="Q109" s="49">
        <v>4876</v>
      </c>
      <c r="R109" s="27">
        <v>472</v>
      </c>
      <c r="S109" s="58">
        <v>6280</v>
      </c>
      <c r="T109" s="98">
        <v>4456.8</v>
      </c>
      <c r="U109" s="27">
        <v>452</v>
      </c>
      <c r="V109" s="58">
        <v>5724</v>
      </c>
      <c r="W109" s="12">
        <v>4248</v>
      </c>
      <c r="X109" s="27">
        <v>530</v>
      </c>
      <c r="Y109" s="58">
        <v>6960</v>
      </c>
      <c r="Z109" s="12">
        <v>5088</v>
      </c>
      <c r="AA109" s="27">
        <v>252</v>
      </c>
      <c r="AB109" s="58">
        <v>3128</v>
      </c>
      <c r="AC109" s="107">
        <v>2505.92</v>
      </c>
      <c r="AD109" s="27">
        <v>404</v>
      </c>
      <c r="AE109" s="58">
        <v>5308</v>
      </c>
      <c r="AF109" s="107">
        <v>4237.92</v>
      </c>
      <c r="AG109" s="27">
        <v>402</v>
      </c>
      <c r="AH109" s="58">
        <v>5226</v>
      </c>
      <c r="AI109" s="107">
        <v>3852.96</v>
      </c>
      <c r="AJ109" s="27">
        <v>305</v>
      </c>
      <c r="AK109" s="58">
        <v>3860</v>
      </c>
      <c r="AL109" s="107">
        <v>2996</v>
      </c>
      <c r="AM109" s="27">
        <v>415</v>
      </c>
      <c r="AN109" s="58">
        <v>5380</v>
      </c>
      <c r="AO109" s="107">
        <v>4372</v>
      </c>
      <c r="AP109" s="27">
        <v>305</v>
      </c>
      <c r="AQ109" s="58">
        <v>3870</v>
      </c>
      <c r="AR109" s="107">
        <v>2980.8</v>
      </c>
      <c r="AS109" s="27">
        <v>421</v>
      </c>
      <c r="AT109" s="58">
        <v>5542</v>
      </c>
      <c r="AU109" s="107">
        <v>4080.88</v>
      </c>
      <c r="AV109" s="54">
        <f t="shared" si="7"/>
        <v>4858</v>
      </c>
      <c r="AW109" s="63">
        <f t="shared" si="7"/>
        <v>63144</v>
      </c>
      <c r="AX109" s="55">
        <f t="shared" si="7"/>
        <v>47368.079999999994</v>
      </c>
      <c r="AY109" s="54">
        <f t="shared" si="8"/>
        <v>404.83333333333331</v>
      </c>
      <c r="AZ109" s="63">
        <f t="shared" si="9"/>
        <v>33.736111111111107</v>
      </c>
      <c r="BA109" s="55">
        <f t="shared" si="10"/>
        <v>3947.3399999999997</v>
      </c>
      <c r="BB109" s="10">
        <v>200</v>
      </c>
      <c r="BC109" s="15">
        <v>2600</v>
      </c>
      <c r="BD109" s="11">
        <v>2096</v>
      </c>
      <c r="BE109" s="10">
        <v>403</v>
      </c>
      <c r="BF109" s="15">
        <v>3842</v>
      </c>
      <c r="BG109" s="11">
        <v>2962.88</v>
      </c>
      <c r="BH109" s="10">
        <v>365</v>
      </c>
      <c r="BI109" s="15">
        <v>4680</v>
      </c>
      <c r="BJ109" s="11">
        <v>3744</v>
      </c>
      <c r="BK109" s="10">
        <v>103</v>
      </c>
      <c r="BL109" s="15">
        <v>1242</v>
      </c>
      <c r="BM109" s="11">
        <v>1226.8800000000001</v>
      </c>
      <c r="BN109" s="44">
        <v>317</v>
      </c>
      <c r="BO109" s="42">
        <v>4060</v>
      </c>
      <c r="BP109" s="45">
        <v>3144</v>
      </c>
      <c r="BQ109" s="44">
        <v>316</v>
      </c>
      <c r="BR109" s="42">
        <v>4020</v>
      </c>
      <c r="BS109" s="45">
        <v>3490</v>
      </c>
      <c r="BT109" s="44">
        <v>105</v>
      </c>
      <c r="BU109" s="42">
        <v>1270</v>
      </c>
      <c r="BV109" s="112">
        <v>1244.8</v>
      </c>
      <c r="BW109" s="115">
        <v>202</v>
      </c>
      <c r="BX109" s="116">
        <v>2680</v>
      </c>
      <c r="BY109" s="112">
        <v>2124</v>
      </c>
      <c r="BZ109" s="115">
        <v>332</v>
      </c>
      <c r="CA109" s="116">
        <v>4240</v>
      </c>
      <c r="CB109" s="112">
        <v>3684</v>
      </c>
      <c r="CC109" s="115">
        <v>200</v>
      </c>
      <c r="CD109" s="116">
        <v>2400</v>
      </c>
      <c r="CE109" s="112">
        <v>2040</v>
      </c>
      <c r="CF109" s="115">
        <v>330</v>
      </c>
      <c r="CG109" s="116">
        <v>4160</v>
      </c>
      <c r="CH109" s="112">
        <v>3656</v>
      </c>
      <c r="CI109" s="115">
        <v>100</v>
      </c>
      <c r="CJ109" s="116">
        <v>1200</v>
      </c>
      <c r="CK109" s="112">
        <v>1200</v>
      </c>
      <c r="CL109" s="54">
        <f t="shared" si="11"/>
        <v>2973</v>
      </c>
      <c r="CM109" s="63">
        <f t="shared" si="11"/>
        <v>36394</v>
      </c>
      <c r="CN109" s="55">
        <f t="shared" si="11"/>
        <v>30612.560000000001</v>
      </c>
      <c r="CO109" s="54">
        <f t="shared" si="12"/>
        <v>247.75</v>
      </c>
      <c r="CP109" s="63">
        <f t="shared" si="12"/>
        <v>3032.8333333333335</v>
      </c>
      <c r="CQ109" s="55">
        <f t="shared" si="12"/>
        <v>2551.0466666666666</v>
      </c>
    </row>
    <row r="110" spans="1:95" s="2" customFormat="1" ht="34.9" customHeight="1" x14ac:dyDescent="0.6">
      <c r="A110" s="5">
        <v>107</v>
      </c>
      <c r="B110" s="14" t="s">
        <v>302</v>
      </c>
      <c r="C110" s="21" t="s">
        <v>338</v>
      </c>
      <c r="D110" s="16" t="s">
        <v>303</v>
      </c>
      <c r="E110" s="15" t="s">
        <v>57</v>
      </c>
      <c r="F110" s="14" t="s">
        <v>304</v>
      </c>
      <c r="G110" s="7" t="s">
        <v>150</v>
      </c>
      <c r="H110" s="19" t="s">
        <v>916</v>
      </c>
      <c r="I110" s="19" t="s">
        <v>917</v>
      </c>
      <c r="J110" s="20" t="s">
        <v>918</v>
      </c>
      <c r="K110" s="49" t="s">
        <v>125</v>
      </c>
      <c r="L110" s="27">
        <v>150</v>
      </c>
      <c r="M110" s="58">
        <v>3260</v>
      </c>
      <c r="N110" s="78">
        <v>1808.8</v>
      </c>
      <c r="O110" s="27">
        <v>150</v>
      </c>
      <c r="P110" s="58">
        <v>2760</v>
      </c>
      <c r="Q110" s="104">
        <v>1677.6</v>
      </c>
      <c r="R110" s="27">
        <v>160</v>
      </c>
      <c r="S110" s="58">
        <v>3030</v>
      </c>
      <c r="T110" s="98">
        <v>1792.4</v>
      </c>
      <c r="U110" s="27">
        <v>110</v>
      </c>
      <c r="V110" s="58">
        <v>2480</v>
      </c>
      <c r="W110" s="107">
        <v>1339.2</v>
      </c>
      <c r="X110" s="27">
        <v>95</v>
      </c>
      <c r="Y110" s="58">
        <v>2400</v>
      </c>
      <c r="Z110" s="12">
        <v>1230</v>
      </c>
      <c r="AA110" s="27">
        <v>135</v>
      </c>
      <c r="AB110" s="58">
        <v>2280</v>
      </c>
      <c r="AC110" s="12">
        <v>1508</v>
      </c>
      <c r="AD110" s="27">
        <v>141</v>
      </c>
      <c r="AE110" s="58">
        <v>3020</v>
      </c>
      <c r="AF110" s="107">
        <v>1723.2</v>
      </c>
      <c r="AG110" s="27">
        <v>130</v>
      </c>
      <c r="AH110" s="58">
        <v>2480</v>
      </c>
      <c r="AI110" s="107">
        <v>1498.4</v>
      </c>
      <c r="AJ110" s="27">
        <v>130</v>
      </c>
      <c r="AK110" s="58">
        <v>3000</v>
      </c>
      <c r="AL110" s="107">
        <v>1599.2</v>
      </c>
      <c r="AM110" s="27">
        <v>115</v>
      </c>
      <c r="AN110" s="58">
        <v>2280</v>
      </c>
      <c r="AO110" s="107">
        <v>1348.8</v>
      </c>
      <c r="AP110" s="27">
        <v>100</v>
      </c>
      <c r="AQ110" s="58">
        <v>2320</v>
      </c>
      <c r="AR110" s="107">
        <v>1280</v>
      </c>
      <c r="AS110" s="27">
        <v>150</v>
      </c>
      <c r="AT110" s="58">
        <v>3260</v>
      </c>
      <c r="AU110" s="107">
        <v>1808.8</v>
      </c>
      <c r="AV110" s="54">
        <f t="shared" si="7"/>
        <v>1566</v>
      </c>
      <c r="AW110" s="63">
        <f t="shared" si="7"/>
        <v>32570</v>
      </c>
      <c r="AX110" s="55">
        <f t="shared" si="7"/>
        <v>18614.399999999998</v>
      </c>
      <c r="AY110" s="54">
        <f t="shared" si="8"/>
        <v>130.5</v>
      </c>
      <c r="AZ110" s="63">
        <f t="shared" si="9"/>
        <v>10.875</v>
      </c>
      <c r="BA110" s="55">
        <f t="shared" si="10"/>
        <v>1551.1999999999998</v>
      </c>
      <c r="BB110" s="10">
        <v>140</v>
      </c>
      <c r="BC110" s="15">
        <v>2990</v>
      </c>
      <c r="BD110" s="11">
        <v>1694</v>
      </c>
      <c r="BE110" s="10">
        <v>59</v>
      </c>
      <c r="BF110" s="15">
        <v>2486</v>
      </c>
      <c r="BG110" s="11">
        <v>1920.6399999999999</v>
      </c>
      <c r="BH110" s="10">
        <v>130</v>
      </c>
      <c r="BI110" s="15">
        <v>2740</v>
      </c>
      <c r="BJ110" s="11">
        <v>1548.8</v>
      </c>
      <c r="BK110" s="10">
        <v>100</v>
      </c>
      <c r="BL110" s="15">
        <v>1540</v>
      </c>
      <c r="BM110" s="11">
        <v>1128.8</v>
      </c>
      <c r="BN110" s="44">
        <v>100</v>
      </c>
      <c r="BO110" s="42">
        <v>2180</v>
      </c>
      <c r="BP110" s="45">
        <v>1270</v>
      </c>
      <c r="BQ110" s="44">
        <v>190</v>
      </c>
      <c r="BR110" s="42">
        <v>3460</v>
      </c>
      <c r="BS110" s="45">
        <v>2268.8000000000002</v>
      </c>
      <c r="BT110" s="44">
        <v>70</v>
      </c>
      <c r="BU110" s="42">
        <v>1420</v>
      </c>
      <c r="BV110" s="112">
        <v>849.6</v>
      </c>
      <c r="BW110" s="115">
        <v>100</v>
      </c>
      <c r="BX110" s="116">
        <v>2063</v>
      </c>
      <c r="BY110" s="112">
        <v>1231.6399999999999</v>
      </c>
      <c r="BZ110" s="115">
        <v>115</v>
      </c>
      <c r="CA110" s="116">
        <v>2220</v>
      </c>
      <c r="CB110" s="112">
        <v>1440</v>
      </c>
      <c r="CC110" s="115">
        <v>200</v>
      </c>
      <c r="CD110" s="116">
        <v>3590</v>
      </c>
      <c r="CE110" s="112">
        <v>2373.6000000000004</v>
      </c>
      <c r="CF110" s="115">
        <v>65</v>
      </c>
      <c r="CG110" s="116">
        <v>1480</v>
      </c>
      <c r="CH110" s="112">
        <v>830</v>
      </c>
      <c r="CI110" s="115">
        <v>50</v>
      </c>
      <c r="CJ110" s="116">
        <v>880</v>
      </c>
      <c r="CK110" s="112">
        <v>620</v>
      </c>
      <c r="CL110" s="54">
        <f t="shared" si="11"/>
        <v>1319</v>
      </c>
      <c r="CM110" s="63">
        <f t="shared" si="11"/>
        <v>27049</v>
      </c>
      <c r="CN110" s="55">
        <f t="shared" si="11"/>
        <v>17175.88</v>
      </c>
      <c r="CO110" s="54">
        <f t="shared" si="12"/>
        <v>109.91666666666667</v>
      </c>
      <c r="CP110" s="63">
        <f t="shared" si="12"/>
        <v>2254.0833333333335</v>
      </c>
      <c r="CQ110" s="55">
        <f t="shared" si="12"/>
        <v>1431.3233333333335</v>
      </c>
    </row>
    <row r="111" spans="1:95" s="2" customFormat="1" ht="34.9" customHeight="1" x14ac:dyDescent="0.6">
      <c r="A111" s="5">
        <v>108</v>
      </c>
      <c r="B111" s="14" t="s">
        <v>305</v>
      </c>
      <c r="C111" s="21" t="s">
        <v>342</v>
      </c>
      <c r="D111" s="16" t="s">
        <v>306</v>
      </c>
      <c r="E111" s="15" t="s">
        <v>307</v>
      </c>
      <c r="F111" s="14" t="s">
        <v>308</v>
      </c>
      <c r="G111" s="7" t="s">
        <v>150</v>
      </c>
      <c r="H111" s="18" t="s">
        <v>305</v>
      </c>
      <c r="I111" s="18" t="s">
        <v>919</v>
      </c>
      <c r="J111" s="14" t="s">
        <v>920</v>
      </c>
      <c r="K111" s="49" t="s">
        <v>125</v>
      </c>
      <c r="L111" s="27">
        <v>80</v>
      </c>
      <c r="M111" s="58">
        <v>1060</v>
      </c>
      <c r="N111" s="78">
        <v>808</v>
      </c>
      <c r="O111" s="27">
        <v>135</v>
      </c>
      <c r="P111" s="58">
        <v>1760</v>
      </c>
      <c r="Q111" s="104">
        <v>1407.2</v>
      </c>
      <c r="R111" s="27">
        <v>90</v>
      </c>
      <c r="S111" s="58">
        <v>1390</v>
      </c>
      <c r="T111" s="98">
        <v>1054.4000000000001</v>
      </c>
      <c r="U111" s="27">
        <v>290</v>
      </c>
      <c r="V111" s="58">
        <v>4400</v>
      </c>
      <c r="W111" s="107">
        <v>3147.6</v>
      </c>
      <c r="X111" s="27">
        <v>125</v>
      </c>
      <c r="Y111" s="58">
        <v>1700</v>
      </c>
      <c r="Z111" s="12">
        <v>1148</v>
      </c>
      <c r="AA111" s="27">
        <v>190</v>
      </c>
      <c r="AB111" s="58">
        <v>2740</v>
      </c>
      <c r="AC111" s="107">
        <v>2026.4</v>
      </c>
      <c r="AD111" s="27">
        <v>0</v>
      </c>
      <c r="AE111" s="58">
        <v>0</v>
      </c>
      <c r="AF111" s="107">
        <v>0</v>
      </c>
      <c r="AG111" s="27">
        <v>100</v>
      </c>
      <c r="AH111" s="58">
        <v>1310</v>
      </c>
      <c r="AI111" s="107">
        <v>1032.8</v>
      </c>
      <c r="AJ111" s="27">
        <v>115</v>
      </c>
      <c r="AK111" s="58">
        <v>1720</v>
      </c>
      <c r="AL111" s="107">
        <v>1260.8</v>
      </c>
      <c r="AM111" s="27">
        <v>150</v>
      </c>
      <c r="AN111" s="58">
        <v>1980</v>
      </c>
      <c r="AO111" s="107">
        <v>1526.4</v>
      </c>
      <c r="AP111" s="27">
        <v>50</v>
      </c>
      <c r="AQ111" s="58">
        <v>660</v>
      </c>
      <c r="AR111" s="107">
        <v>508.8</v>
      </c>
      <c r="AS111" s="27">
        <v>115</v>
      </c>
      <c r="AT111" s="58">
        <v>1760</v>
      </c>
      <c r="AU111" s="107">
        <v>1200</v>
      </c>
      <c r="AV111" s="54">
        <f t="shared" si="7"/>
        <v>1440</v>
      </c>
      <c r="AW111" s="63">
        <f t="shared" si="7"/>
        <v>20480</v>
      </c>
      <c r="AX111" s="55">
        <f t="shared" si="7"/>
        <v>15120.399999999998</v>
      </c>
      <c r="AY111" s="54">
        <f t="shared" si="8"/>
        <v>120</v>
      </c>
      <c r="AZ111" s="63">
        <f t="shared" si="9"/>
        <v>10</v>
      </c>
      <c r="BA111" s="55">
        <f t="shared" si="10"/>
        <v>1260.0333333333331</v>
      </c>
      <c r="BB111" s="10">
        <v>100</v>
      </c>
      <c r="BC111" s="15">
        <v>1600</v>
      </c>
      <c r="BD111" s="11">
        <v>1037.5999999999999</v>
      </c>
      <c r="BE111" s="10">
        <v>0</v>
      </c>
      <c r="BF111" s="15">
        <v>0</v>
      </c>
      <c r="BG111" s="11">
        <v>0</v>
      </c>
      <c r="BH111" s="10">
        <v>330</v>
      </c>
      <c r="BI111" s="15">
        <v>4800</v>
      </c>
      <c r="BJ111" s="11">
        <v>3478.4</v>
      </c>
      <c r="BK111" s="10">
        <v>0</v>
      </c>
      <c r="BL111" s="15">
        <v>0</v>
      </c>
      <c r="BM111" s="11">
        <v>0</v>
      </c>
      <c r="BN111" s="44">
        <v>0</v>
      </c>
      <c r="BO111" s="42">
        <v>0</v>
      </c>
      <c r="BP111" s="45">
        <v>0</v>
      </c>
      <c r="BQ111" s="44">
        <v>0</v>
      </c>
      <c r="BR111" s="42">
        <v>0</v>
      </c>
      <c r="BS111" s="45">
        <v>0</v>
      </c>
      <c r="BT111" s="44">
        <v>100</v>
      </c>
      <c r="BU111" s="42">
        <v>1300</v>
      </c>
      <c r="BV111" s="112">
        <v>1048</v>
      </c>
      <c r="BW111" s="115">
        <v>101</v>
      </c>
      <c r="BX111" s="116">
        <v>1492</v>
      </c>
      <c r="BY111" s="112">
        <v>1228.1599999999999</v>
      </c>
      <c r="BZ111" s="115">
        <v>0</v>
      </c>
      <c r="CA111" s="116">
        <v>0</v>
      </c>
      <c r="CB111" s="112">
        <v>0</v>
      </c>
      <c r="CC111" s="115">
        <v>0</v>
      </c>
      <c r="CD111" s="116">
        <v>0</v>
      </c>
      <c r="CE111" s="112">
        <v>0</v>
      </c>
      <c r="CF111" s="115">
        <v>50</v>
      </c>
      <c r="CG111" s="116">
        <v>760</v>
      </c>
      <c r="CH111" s="112">
        <v>555.6</v>
      </c>
      <c r="CI111" s="115">
        <v>50</v>
      </c>
      <c r="CJ111" s="116">
        <v>760</v>
      </c>
      <c r="CK111" s="112">
        <v>555.6</v>
      </c>
      <c r="CL111" s="54">
        <f t="shared" si="11"/>
        <v>731</v>
      </c>
      <c r="CM111" s="63">
        <f t="shared" si="11"/>
        <v>10712</v>
      </c>
      <c r="CN111" s="55">
        <f t="shared" si="11"/>
        <v>7903.3600000000006</v>
      </c>
      <c r="CO111" s="54">
        <f t="shared" si="12"/>
        <v>60.916666666666664</v>
      </c>
      <c r="CP111" s="63">
        <f t="shared" si="12"/>
        <v>892.66666666666663</v>
      </c>
      <c r="CQ111" s="55">
        <f t="shared" si="12"/>
        <v>658.61333333333334</v>
      </c>
    </row>
    <row r="112" spans="1:95" s="2" customFormat="1" ht="34.9" customHeight="1" x14ac:dyDescent="0.6">
      <c r="A112" s="5">
        <v>109</v>
      </c>
      <c r="B112" s="14" t="s">
        <v>309</v>
      </c>
      <c r="C112" s="21" t="s">
        <v>343</v>
      </c>
      <c r="D112" s="16" t="s">
        <v>309</v>
      </c>
      <c r="E112" s="15" t="s">
        <v>307</v>
      </c>
      <c r="F112" s="14" t="s">
        <v>308</v>
      </c>
      <c r="G112" s="7" t="s">
        <v>150</v>
      </c>
      <c r="H112" s="18" t="s">
        <v>921</v>
      </c>
      <c r="I112" s="18" t="s">
        <v>922</v>
      </c>
      <c r="J112" s="14" t="s">
        <v>923</v>
      </c>
      <c r="K112" s="49" t="s">
        <v>125</v>
      </c>
      <c r="L112" s="27">
        <v>150</v>
      </c>
      <c r="M112" s="58">
        <v>2000</v>
      </c>
      <c r="N112" s="78">
        <v>1496</v>
      </c>
      <c r="O112" s="27">
        <v>140</v>
      </c>
      <c r="P112" s="58">
        <v>2100</v>
      </c>
      <c r="Q112" s="104">
        <v>1487.2</v>
      </c>
      <c r="R112" s="27">
        <v>110</v>
      </c>
      <c r="S112" s="58">
        <v>1700</v>
      </c>
      <c r="T112" s="98">
        <v>1188</v>
      </c>
      <c r="U112" s="27">
        <v>170</v>
      </c>
      <c r="V112" s="58">
        <v>2460</v>
      </c>
      <c r="W112" s="12">
        <v>1847.2</v>
      </c>
      <c r="X112" s="27">
        <v>300</v>
      </c>
      <c r="Y112" s="58">
        <v>4780</v>
      </c>
      <c r="Z112" s="107">
        <v>3143.2</v>
      </c>
      <c r="AA112" s="27">
        <v>170</v>
      </c>
      <c r="AB112" s="58">
        <v>2220</v>
      </c>
      <c r="AC112" s="107">
        <v>1766.4</v>
      </c>
      <c r="AD112" s="27">
        <v>0</v>
      </c>
      <c r="AE112" s="58">
        <v>0</v>
      </c>
      <c r="AF112" s="107">
        <v>0</v>
      </c>
      <c r="AG112" s="27">
        <v>290</v>
      </c>
      <c r="AH112" s="58">
        <v>4120</v>
      </c>
      <c r="AI112" s="107">
        <v>2952.8</v>
      </c>
      <c r="AJ112" s="27">
        <v>0</v>
      </c>
      <c r="AK112" s="58">
        <v>0</v>
      </c>
      <c r="AL112" s="107">
        <v>0</v>
      </c>
      <c r="AM112" s="27">
        <v>115</v>
      </c>
      <c r="AN112" s="58">
        <v>1480</v>
      </c>
      <c r="AO112" s="107">
        <v>1228</v>
      </c>
      <c r="AP112" s="27">
        <v>85</v>
      </c>
      <c r="AQ112" s="58">
        <v>1540</v>
      </c>
      <c r="AR112" s="107">
        <v>898</v>
      </c>
      <c r="AS112" s="27">
        <v>120</v>
      </c>
      <c r="AT112" s="58">
        <v>1580</v>
      </c>
      <c r="AU112" s="107">
        <v>1227.2</v>
      </c>
      <c r="AV112" s="54">
        <f t="shared" si="7"/>
        <v>1650</v>
      </c>
      <c r="AW112" s="63">
        <f t="shared" si="7"/>
        <v>23980</v>
      </c>
      <c r="AX112" s="55">
        <f t="shared" si="7"/>
        <v>17234</v>
      </c>
      <c r="AY112" s="54">
        <f t="shared" si="8"/>
        <v>137.5</v>
      </c>
      <c r="AZ112" s="63">
        <f t="shared" si="9"/>
        <v>11.458333333333334</v>
      </c>
      <c r="BA112" s="55">
        <f t="shared" si="10"/>
        <v>1436.1666666666667</v>
      </c>
      <c r="BB112" s="10">
        <v>80</v>
      </c>
      <c r="BC112" s="15">
        <v>1060</v>
      </c>
      <c r="BD112" s="11">
        <v>808</v>
      </c>
      <c r="BE112" s="10">
        <v>200</v>
      </c>
      <c r="BF112" s="15">
        <v>1900</v>
      </c>
      <c r="BG112" s="11">
        <v>1648</v>
      </c>
      <c r="BH112" s="10">
        <v>380</v>
      </c>
      <c r="BI112" s="15">
        <v>5480</v>
      </c>
      <c r="BJ112" s="11">
        <v>4052.8</v>
      </c>
      <c r="BK112" s="10">
        <v>0</v>
      </c>
      <c r="BL112" s="15">
        <v>0</v>
      </c>
      <c r="BM112" s="11">
        <v>0</v>
      </c>
      <c r="BN112" s="44">
        <v>60</v>
      </c>
      <c r="BO112" s="42">
        <v>1000</v>
      </c>
      <c r="BP112" s="45">
        <v>740</v>
      </c>
      <c r="BQ112" s="44">
        <v>140</v>
      </c>
      <c r="BR112" s="42">
        <v>2060</v>
      </c>
      <c r="BS112" s="45">
        <v>1548</v>
      </c>
      <c r="BT112" s="44">
        <v>150</v>
      </c>
      <c r="BU112" s="42">
        <v>2520</v>
      </c>
      <c r="BV112" s="112">
        <v>1596.8000000000002</v>
      </c>
      <c r="BW112" s="115">
        <v>153</v>
      </c>
      <c r="BX112" s="116">
        <v>1976</v>
      </c>
      <c r="BY112" s="112">
        <v>1611.68</v>
      </c>
      <c r="BZ112" s="115">
        <v>100</v>
      </c>
      <c r="CA112" s="116">
        <v>1860</v>
      </c>
      <c r="CB112" s="112">
        <v>1088</v>
      </c>
      <c r="CC112" s="115">
        <v>100</v>
      </c>
      <c r="CD112" s="116">
        <v>1260</v>
      </c>
      <c r="CE112" s="112">
        <v>1108.8</v>
      </c>
      <c r="CF112" s="115">
        <v>200</v>
      </c>
      <c r="CG112" s="116">
        <v>3060</v>
      </c>
      <c r="CH112" s="112">
        <v>2288</v>
      </c>
      <c r="CI112" s="115">
        <v>50</v>
      </c>
      <c r="CJ112" s="116">
        <v>700</v>
      </c>
      <c r="CK112" s="112">
        <v>448</v>
      </c>
      <c r="CL112" s="54">
        <f t="shared" si="11"/>
        <v>1613</v>
      </c>
      <c r="CM112" s="63">
        <f t="shared" si="11"/>
        <v>22876</v>
      </c>
      <c r="CN112" s="55">
        <f t="shared" si="11"/>
        <v>16938.079999999998</v>
      </c>
      <c r="CO112" s="54">
        <f t="shared" si="12"/>
        <v>134.41666666666666</v>
      </c>
      <c r="CP112" s="63">
        <f t="shared" si="12"/>
        <v>1906.3333333333333</v>
      </c>
      <c r="CQ112" s="55">
        <f t="shared" si="12"/>
        <v>1411.5066666666664</v>
      </c>
    </row>
    <row r="113" spans="1:95" s="2" customFormat="1" ht="34.9" customHeight="1" x14ac:dyDescent="0.6">
      <c r="A113" s="5">
        <v>110</v>
      </c>
      <c r="B113" s="14" t="s">
        <v>310</v>
      </c>
      <c r="C113" s="16" t="s">
        <v>347</v>
      </c>
      <c r="D113" s="16" t="s">
        <v>311</v>
      </c>
      <c r="E113" s="15" t="s">
        <v>307</v>
      </c>
      <c r="F113" s="14" t="s">
        <v>308</v>
      </c>
      <c r="G113" s="7" t="s">
        <v>150</v>
      </c>
      <c r="H113" s="18" t="s">
        <v>924</v>
      </c>
      <c r="I113" s="18" t="s">
        <v>925</v>
      </c>
      <c r="J113" s="14" t="s">
        <v>926</v>
      </c>
      <c r="K113" s="49" t="s">
        <v>125</v>
      </c>
      <c r="L113" s="27">
        <v>150</v>
      </c>
      <c r="M113" s="58">
        <v>2080</v>
      </c>
      <c r="N113" s="78">
        <v>1597.2</v>
      </c>
      <c r="O113" s="27">
        <v>210</v>
      </c>
      <c r="P113" s="58">
        <v>3010</v>
      </c>
      <c r="Q113" s="104">
        <v>2220.8000000000002</v>
      </c>
      <c r="R113" s="27">
        <v>128</v>
      </c>
      <c r="S113" s="58">
        <v>1980</v>
      </c>
      <c r="T113" s="98">
        <v>1440.4</v>
      </c>
      <c r="U113" s="27">
        <v>125</v>
      </c>
      <c r="V113" s="58">
        <v>1630</v>
      </c>
      <c r="W113" s="12">
        <v>1302.4000000000001</v>
      </c>
      <c r="X113" s="27">
        <v>140</v>
      </c>
      <c r="Y113" s="58">
        <v>1990</v>
      </c>
      <c r="Z113" s="107">
        <v>1431.6</v>
      </c>
      <c r="AA113" s="27">
        <v>115</v>
      </c>
      <c r="AB113" s="58">
        <v>1540</v>
      </c>
      <c r="AC113" s="107">
        <v>1136.8000000000002</v>
      </c>
      <c r="AD113" s="27">
        <v>80</v>
      </c>
      <c r="AE113" s="58">
        <v>1120</v>
      </c>
      <c r="AF113" s="107">
        <v>716.80000000000007</v>
      </c>
      <c r="AG113" s="27">
        <v>182</v>
      </c>
      <c r="AH113" s="58">
        <v>2604</v>
      </c>
      <c r="AI113" s="107">
        <v>1991.2</v>
      </c>
      <c r="AJ113" s="27">
        <v>134</v>
      </c>
      <c r="AK113" s="58">
        <v>1968</v>
      </c>
      <c r="AL113" s="107">
        <v>1506.4</v>
      </c>
      <c r="AM113" s="27">
        <v>130</v>
      </c>
      <c r="AN113" s="58">
        <v>1700</v>
      </c>
      <c r="AO113" s="107">
        <v>1347.2</v>
      </c>
      <c r="AP113" s="27">
        <v>120</v>
      </c>
      <c r="AQ113" s="58">
        <v>1660</v>
      </c>
      <c r="AR113" s="107">
        <v>1328.4</v>
      </c>
      <c r="AS113" s="27">
        <v>112</v>
      </c>
      <c r="AT113" s="58">
        <v>1584</v>
      </c>
      <c r="AU113" s="107">
        <v>1202</v>
      </c>
      <c r="AV113" s="54">
        <f t="shared" si="7"/>
        <v>1626</v>
      </c>
      <c r="AW113" s="63">
        <f t="shared" si="7"/>
        <v>22866</v>
      </c>
      <c r="AX113" s="55">
        <f t="shared" si="7"/>
        <v>17221.2</v>
      </c>
      <c r="AY113" s="54">
        <f t="shared" si="8"/>
        <v>135.5</v>
      </c>
      <c r="AZ113" s="63">
        <f t="shared" si="9"/>
        <v>11.291666666666666</v>
      </c>
      <c r="BA113" s="55">
        <f t="shared" si="10"/>
        <v>1435.1000000000001</v>
      </c>
      <c r="BB113" s="10">
        <v>54</v>
      </c>
      <c r="BC113" s="15">
        <v>820</v>
      </c>
      <c r="BD113" s="11">
        <v>564.79999999999995</v>
      </c>
      <c r="BE113" s="10">
        <v>105</v>
      </c>
      <c r="BF113" s="15">
        <v>2160</v>
      </c>
      <c r="BG113" s="11">
        <v>1626.8</v>
      </c>
      <c r="BH113" s="10">
        <v>55</v>
      </c>
      <c r="BI113" s="15">
        <v>1440</v>
      </c>
      <c r="BJ113" s="11">
        <v>1058</v>
      </c>
      <c r="BK113" s="10">
        <v>20</v>
      </c>
      <c r="BL113" s="15">
        <v>240</v>
      </c>
      <c r="BM113" s="11">
        <v>240</v>
      </c>
      <c r="BN113" s="44">
        <v>45</v>
      </c>
      <c r="BO113" s="42">
        <v>600</v>
      </c>
      <c r="BP113" s="45">
        <v>448.8</v>
      </c>
      <c r="BQ113" s="44">
        <v>0</v>
      </c>
      <c r="BR113" s="42">
        <v>0</v>
      </c>
      <c r="BS113" s="45">
        <v>0</v>
      </c>
      <c r="BT113" s="44">
        <v>0</v>
      </c>
      <c r="BU113" s="42">
        <v>0</v>
      </c>
      <c r="BV113" s="112">
        <v>0</v>
      </c>
      <c r="BW113" s="115">
        <v>118</v>
      </c>
      <c r="BX113" s="116">
        <v>1646</v>
      </c>
      <c r="BY113" s="112">
        <v>1277.68</v>
      </c>
      <c r="BZ113" s="115">
        <v>0</v>
      </c>
      <c r="CA113" s="116">
        <v>0</v>
      </c>
      <c r="CB113" s="112">
        <v>0</v>
      </c>
      <c r="CC113" s="115">
        <v>0</v>
      </c>
      <c r="CD113" s="116">
        <v>0</v>
      </c>
      <c r="CE113" s="112">
        <v>0</v>
      </c>
      <c r="CF113" s="115">
        <v>0</v>
      </c>
      <c r="CG113" s="116">
        <v>0</v>
      </c>
      <c r="CH113" s="112">
        <v>0</v>
      </c>
      <c r="CI113" s="115">
        <v>60</v>
      </c>
      <c r="CJ113" s="116">
        <v>1040</v>
      </c>
      <c r="CK113" s="112">
        <v>679.2</v>
      </c>
      <c r="CL113" s="54">
        <f t="shared" si="11"/>
        <v>457</v>
      </c>
      <c r="CM113" s="63">
        <f t="shared" si="11"/>
        <v>7946</v>
      </c>
      <c r="CN113" s="55">
        <f t="shared" si="11"/>
        <v>5895.28</v>
      </c>
      <c r="CO113" s="54">
        <f t="shared" si="12"/>
        <v>38.083333333333336</v>
      </c>
      <c r="CP113" s="63">
        <f t="shared" si="12"/>
        <v>662.16666666666663</v>
      </c>
      <c r="CQ113" s="55">
        <f t="shared" si="12"/>
        <v>491.27333333333331</v>
      </c>
    </row>
    <row r="114" spans="1:95" s="2" customFormat="1" ht="34.9" customHeight="1" x14ac:dyDescent="0.6">
      <c r="A114" s="5">
        <v>111</v>
      </c>
      <c r="B114" s="14" t="s">
        <v>312</v>
      </c>
      <c r="C114" s="21" t="s">
        <v>349</v>
      </c>
      <c r="D114" s="16" t="s">
        <v>313</v>
      </c>
      <c r="E114" s="15" t="s">
        <v>307</v>
      </c>
      <c r="F114" s="14" t="s">
        <v>308</v>
      </c>
      <c r="G114" s="7" t="s">
        <v>150</v>
      </c>
      <c r="H114" s="18" t="s">
        <v>927</v>
      </c>
      <c r="I114" s="18" t="s">
        <v>928</v>
      </c>
      <c r="J114" s="14" t="s">
        <v>929</v>
      </c>
      <c r="K114" s="49" t="s">
        <v>125</v>
      </c>
      <c r="L114" s="27">
        <v>390</v>
      </c>
      <c r="M114" s="58">
        <v>5600</v>
      </c>
      <c r="N114" s="78">
        <v>3727.2000000000003</v>
      </c>
      <c r="O114" s="27">
        <v>350</v>
      </c>
      <c r="P114" s="58">
        <v>4720</v>
      </c>
      <c r="Q114" s="104">
        <v>3409.6</v>
      </c>
      <c r="R114" s="27">
        <v>360</v>
      </c>
      <c r="S114" s="58">
        <v>5180</v>
      </c>
      <c r="T114" s="98">
        <v>3458.4</v>
      </c>
      <c r="U114" s="27">
        <v>410</v>
      </c>
      <c r="V114" s="58">
        <v>5840</v>
      </c>
      <c r="W114" s="12">
        <v>3967.2000000000003</v>
      </c>
      <c r="X114" s="27">
        <v>460</v>
      </c>
      <c r="Y114" s="58">
        <v>6190</v>
      </c>
      <c r="Z114" s="107">
        <v>4501.6000000000004</v>
      </c>
      <c r="AA114" s="27">
        <v>550</v>
      </c>
      <c r="AB114" s="58">
        <v>7820</v>
      </c>
      <c r="AC114" s="107">
        <v>5191.2</v>
      </c>
      <c r="AD114" s="27">
        <v>395</v>
      </c>
      <c r="AE114" s="58">
        <v>5520</v>
      </c>
      <c r="AF114" s="107">
        <v>3777.2000000000003</v>
      </c>
      <c r="AG114" s="27">
        <v>460</v>
      </c>
      <c r="AH114" s="58">
        <v>6800</v>
      </c>
      <c r="AI114" s="107">
        <v>4465.6000000000004</v>
      </c>
      <c r="AJ114" s="27">
        <v>310</v>
      </c>
      <c r="AK114" s="58">
        <v>4240</v>
      </c>
      <c r="AL114" s="107">
        <v>2929.6</v>
      </c>
      <c r="AM114" s="27">
        <v>355</v>
      </c>
      <c r="AN114" s="58">
        <v>4800</v>
      </c>
      <c r="AO114" s="107">
        <v>3439.2000000000003</v>
      </c>
      <c r="AP114" s="27">
        <v>435</v>
      </c>
      <c r="AQ114" s="58">
        <v>6320</v>
      </c>
      <c r="AR114" s="107">
        <v>4216.3999999999996</v>
      </c>
      <c r="AS114" s="27">
        <v>410</v>
      </c>
      <c r="AT114" s="58">
        <v>5880</v>
      </c>
      <c r="AU114" s="107">
        <v>3906.4</v>
      </c>
      <c r="AV114" s="54">
        <f t="shared" si="7"/>
        <v>4885</v>
      </c>
      <c r="AW114" s="63">
        <f t="shared" si="7"/>
        <v>68910</v>
      </c>
      <c r="AX114" s="55">
        <f t="shared" si="7"/>
        <v>46989.599999999999</v>
      </c>
      <c r="AY114" s="54">
        <f t="shared" si="8"/>
        <v>407.08333333333331</v>
      </c>
      <c r="AZ114" s="63">
        <f t="shared" si="9"/>
        <v>33.923611111111107</v>
      </c>
      <c r="BA114" s="55">
        <f t="shared" si="10"/>
        <v>3915.7999999999997</v>
      </c>
      <c r="BB114" s="10">
        <v>415</v>
      </c>
      <c r="BC114" s="15">
        <v>6080</v>
      </c>
      <c r="BD114" s="11">
        <v>3976.6000000000004</v>
      </c>
      <c r="BE114" s="10">
        <v>350</v>
      </c>
      <c r="BF114" s="15">
        <v>4070</v>
      </c>
      <c r="BG114" s="11">
        <v>2885.6000000000004</v>
      </c>
      <c r="BH114" s="10">
        <v>590</v>
      </c>
      <c r="BI114" s="15">
        <v>8510</v>
      </c>
      <c r="BJ114" s="11">
        <v>5797.6</v>
      </c>
      <c r="BK114" s="10">
        <v>240</v>
      </c>
      <c r="BL114" s="15">
        <v>3520</v>
      </c>
      <c r="BM114" s="11">
        <v>2352.8000000000002</v>
      </c>
      <c r="BN114" s="44">
        <v>250</v>
      </c>
      <c r="BO114" s="42">
        <v>3760</v>
      </c>
      <c r="BP114" s="45">
        <v>2290.3999999999996</v>
      </c>
      <c r="BQ114" s="44">
        <v>300</v>
      </c>
      <c r="BR114" s="42">
        <v>4260</v>
      </c>
      <c r="BS114" s="45">
        <v>2819.6</v>
      </c>
      <c r="BT114" s="44">
        <v>350</v>
      </c>
      <c r="BU114" s="42">
        <v>5030</v>
      </c>
      <c r="BV114" s="112">
        <v>3360</v>
      </c>
      <c r="BW114" s="115">
        <v>348</v>
      </c>
      <c r="BX114" s="116">
        <v>5164</v>
      </c>
      <c r="BY114" s="112">
        <v>3464.8000000000006</v>
      </c>
      <c r="BZ114" s="115">
        <v>325</v>
      </c>
      <c r="CA114" s="116">
        <v>4760</v>
      </c>
      <c r="CB114" s="112">
        <v>3261.2000000000003</v>
      </c>
      <c r="CC114" s="115">
        <v>250</v>
      </c>
      <c r="CD114" s="116">
        <v>3500</v>
      </c>
      <c r="CE114" s="112">
        <v>2462.8000000000002</v>
      </c>
      <c r="CF114" s="115">
        <v>260</v>
      </c>
      <c r="CG114" s="116">
        <v>4060</v>
      </c>
      <c r="CH114" s="112">
        <v>2582.4</v>
      </c>
      <c r="CI114" s="115">
        <v>345</v>
      </c>
      <c r="CJ114" s="116">
        <v>5050</v>
      </c>
      <c r="CK114" s="112">
        <v>3425.2000000000007</v>
      </c>
      <c r="CL114" s="54">
        <f t="shared" si="11"/>
        <v>4023</v>
      </c>
      <c r="CM114" s="63">
        <f t="shared" si="11"/>
        <v>57764</v>
      </c>
      <c r="CN114" s="55">
        <f t="shared" si="11"/>
        <v>38679</v>
      </c>
      <c r="CO114" s="54">
        <f t="shared" si="12"/>
        <v>335.25</v>
      </c>
      <c r="CP114" s="63">
        <f t="shared" si="12"/>
        <v>4813.666666666667</v>
      </c>
      <c r="CQ114" s="55">
        <f t="shared" si="12"/>
        <v>3223.25</v>
      </c>
    </row>
    <row r="115" spans="1:95" s="2" customFormat="1" ht="34.9" customHeight="1" x14ac:dyDescent="0.6">
      <c r="A115" s="5">
        <v>112</v>
      </c>
      <c r="B115" s="14" t="s">
        <v>314</v>
      </c>
      <c r="C115" s="21" t="s">
        <v>350</v>
      </c>
      <c r="D115" s="16" t="s">
        <v>315</v>
      </c>
      <c r="E115" s="15" t="s">
        <v>90</v>
      </c>
      <c r="F115" s="14" t="s">
        <v>91</v>
      </c>
      <c r="G115" s="7" t="s">
        <v>150</v>
      </c>
      <c r="H115" s="18" t="s">
        <v>930</v>
      </c>
      <c r="I115" s="18" t="s">
        <v>931</v>
      </c>
      <c r="J115" s="14" t="s">
        <v>932</v>
      </c>
      <c r="K115" s="49" t="s">
        <v>125</v>
      </c>
      <c r="L115" s="27">
        <v>120</v>
      </c>
      <c r="M115" s="58">
        <v>1440</v>
      </c>
      <c r="N115" s="78">
        <v>1440</v>
      </c>
      <c r="O115" s="27">
        <v>0</v>
      </c>
      <c r="P115" s="58">
        <v>0</v>
      </c>
      <c r="Q115" s="49">
        <v>0</v>
      </c>
      <c r="R115" s="27">
        <v>45</v>
      </c>
      <c r="S115" s="58">
        <v>540</v>
      </c>
      <c r="T115" s="98">
        <v>540</v>
      </c>
      <c r="U115" s="27">
        <v>45</v>
      </c>
      <c r="V115" s="58">
        <v>540</v>
      </c>
      <c r="W115" s="12">
        <v>540</v>
      </c>
      <c r="X115" s="27">
        <v>75</v>
      </c>
      <c r="Y115" s="58">
        <v>900</v>
      </c>
      <c r="Z115" s="12">
        <v>900</v>
      </c>
      <c r="AA115" s="27">
        <v>229</v>
      </c>
      <c r="AB115" s="58">
        <v>2808</v>
      </c>
      <c r="AC115" s="107">
        <v>2462.3999999999996</v>
      </c>
      <c r="AD115" s="27">
        <v>0</v>
      </c>
      <c r="AE115" s="58">
        <v>0</v>
      </c>
      <c r="AF115" s="107">
        <v>0</v>
      </c>
      <c r="AG115" s="27">
        <v>510</v>
      </c>
      <c r="AH115" s="58">
        <v>6840</v>
      </c>
      <c r="AI115" s="107">
        <v>5844.8</v>
      </c>
      <c r="AJ115" s="27">
        <v>365</v>
      </c>
      <c r="AK115" s="58">
        <v>5360</v>
      </c>
      <c r="AL115" s="107">
        <v>4137.2</v>
      </c>
      <c r="AM115" s="27">
        <v>376</v>
      </c>
      <c r="AN115" s="58">
        <v>5512</v>
      </c>
      <c r="AO115" s="107">
        <v>4220.8</v>
      </c>
      <c r="AP115" s="27">
        <v>300</v>
      </c>
      <c r="AQ115" s="58">
        <v>4260</v>
      </c>
      <c r="AR115" s="107">
        <v>3488</v>
      </c>
      <c r="AS115" s="27">
        <v>300</v>
      </c>
      <c r="AT115" s="58">
        <v>4320</v>
      </c>
      <c r="AU115" s="107">
        <v>3306.8</v>
      </c>
      <c r="AV115" s="54">
        <f t="shared" si="7"/>
        <v>2365</v>
      </c>
      <c r="AW115" s="63">
        <f t="shared" si="7"/>
        <v>32520</v>
      </c>
      <c r="AX115" s="55">
        <f t="shared" si="7"/>
        <v>26880</v>
      </c>
      <c r="AY115" s="54">
        <f t="shared" si="8"/>
        <v>197.08333333333334</v>
      </c>
      <c r="AZ115" s="63">
        <f t="shared" si="9"/>
        <v>16.423611111111111</v>
      </c>
      <c r="BA115" s="55">
        <f t="shared" si="10"/>
        <v>2240</v>
      </c>
      <c r="BB115" s="10">
        <v>255</v>
      </c>
      <c r="BC115" s="15">
        <v>4080</v>
      </c>
      <c r="BD115" s="11">
        <v>2979.2</v>
      </c>
      <c r="BE115" s="10">
        <v>175</v>
      </c>
      <c r="BF115" s="15">
        <v>2820</v>
      </c>
      <c r="BG115" s="11">
        <v>2517.6</v>
      </c>
      <c r="BH115" s="10">
        <v>305</v>
      </c>
      <c r="BI115" s="15">
        <v>4560</v>
      </c>
      <c r="BJ115" s="11">
        <v>3556.8</v>
      </c>
      <c r="BK115" s="10">
        <v>300</v>
      </c>
      <c r="BL115" s="15">
        <v>4280</v>
      </c>
      <c r="BM115" s="11">
        <v>3349.6000000000004</v>
      </c>
      <c r="BN115" s="44">
        <v>130</v>
      </c>
      <c r="BO115" s="42">
        <v>2180</v>
      </c>
      <c r="BP115" s="45">
        <v>1508.8</v>
      </c>
      <c r="BQ115" s="44">
        <v>290</v>
      </c>
      <c r="BR115" s="42">
        <v>4840</v>
      </c>
      <c r="BS115" s="45">
        <v>3382</v>
      </c>
      <c r="BT115" s="44">
        <v>260</v>
      </c>
      <c r="BU115" s="42">
        <v>4180</v>
      </c>
      <c r="BV115" s="112">
        <v>3014.3999999999996</v>
      </c>
      <c r="BW115" s="115">
        <v>303</v>
      </c>
      <c r="BX115" s="116">
        <v>4536</v>
      </c>
      <c r="BY115" s="112">
        <v>3593.28</v>
      </c>
      <c r="BZ115" s="115">
        <v>330</v>
      </c>
      <c r="CA115" s="116">
        <v>5370</v>
      </c>
      <c r="CB115" s="112">
        <v>3738</v>
      </c>
      <c r="CC115" s="115">
        <v>420</v>
      </c>
      <c r="CD115" s="116">
        <v>6080</v>
      </c>
      <c r="CE115" s="112">
        <v>4928.8</v>
      </c>
      <c r="CF115" s="115">
        <v>225</v>
      </c>
      <c r="CG115" s="116">
        <v>4320</v>
      </c>
      <c r="CH115" s="112">
        <v>2652.4</v>
      </c>
      <c r="CI115" s="115">
        <v>365</v>
      </c>
      <c r="CJ115" s="116">
        <v>5260</v>
      </c>
      <c r="CK115" s="112">
        <v>4277.2</v>
      </c>
      <c r="CL115" s="54">
        <f t="shared" si="11"/>
        <v>3358</v>
      </c>
      <c r="CM115" s="63">
        <f t="shared" si="11"/>
        <v>52506</v>
      </c>
      <c r="CN115" s="55">
        <f t="shared" si="11"/>
        <v>39498.079999999994</v>
      </c>
      <c r="CO115" s="54">
        <f t="shared" si="12"/>
        <v>279.83333333333331</v>
      </c>
      <c r="CP115" s="63">
        <f t="shared" si="12"/>
        <v>4375.5</v>
      </c>
      <c r="CQ115" s="55">
        <f t="shared" si="12"/>
        <v>3291.5066666666662</v>
      </c>
    </row>
    <row r="116" spans="1:95" s="2" customFormat="1" ht="34.9" customHeight="1" x14ac:dyDescent="0.6">
      <c r="A116" s="5">
        <v>113</v>
      </c>
      <c r="B116" s="14" t="s">
        <v>316</v>
      </c>
      <c r="C116" s="21" t="s">
        <v>354</v>
      </c>
      <c r="D116" s="16" t="s">
        <v>317</v>
      </c>
      <c r="E116" s="15" t="s">
        <v>90</v>
      </c>
      <c r="F116" s="14" t="s">
        <v>91</v>
      </c>
      <c r="G116" s="7" t="s">
        <v>150</v>
      </c>
      <c r="H116" s="18" t="s">
        <v>933</v>
      </c>
      <c r="I116" s="18" t="s">
        <v>934</v>
      </c>
      <c r="J116" s="14" t="s">
        <v>935</v>
      </c>
      <c r="K116" s="49" t="s">
        <v>125</v>
      </c>
      <c r="L116" s="27">
        <v>15</v>
      </c>
      <c r="M116" s="58">
        <v>180</v>
      </c>
      <c r="N116" s="78">
        <v>180</v>
      </c>
      <c r="O116" s="27">
        <v>30</v>
      </c>
      <c r="P116" s="58">
        <v>360</v>
      </c>
      <c r="Q116" s="49">
        <v>360</v>
      </c>
      <c r="R116" s="27">
        <v>30</v>
      </c>
      <c r="S116" s="58">
        <v>360</v>
      </c>
      <c r="T116" s="98">
        <v>360</v>
      </c>
      <c r="U116" s="27">
        <v>15</v>
      </c>
      <c r="V116" s="58">
        <v>180</v>
      </c>
      <c r="W116" s="12">
        <v>180</v>
      </c>
      <c r="X116" s="27">
        <v>30</v>
      </c>
      <c r="Y116" s="58">
        <v>360</v>
      </c>
      <c r="Z116" s="12">
        <v>360</v>
      </c>
      <c r="AA116" s="27">
        <v>15</v>
      </c>
      <c r="AB116" s="58">
        <v>180</v>
      </c>
      <c r="AC116" s="12">
        <v>180</v>
      </c>
      <c r="AD116" s="27">
        <v>19</v>
      </c>
      <c r="AE116" s="58">
        <v>228</v>
      </c>
      <c r="AF116" s="107">
        <v>224.4</v>
      </c>
      <c r="AG116" s="27">
        <v>15</v>
      </c>
      <c r="AH116" s="58">
        <v>180</v>
      </c>
      <c r="AI116" s="107">
        <v>180</v>
      </c>
      <c r="AJ116" s="27">
        <v>30</v>
      </c>
      <c r="AK116" s="58">
        <v>360</v>
      </c>
      <c r="AL116" s="107">
        <v>360</v>
      </c>
      <c r="AM116" s="27">
        <v>30</v>
      </c>
      <c r="AN116" s="58">
        <v>360</v>
      </c>
      <c r="AO116" s="107">
        <v>360</v>
      </c>
      <c r="AP116" s="27">
        <v>15</v>
      </c>
      <c r="AQ116" s="58">
        <v>180</v>
      </c>
      <c r="AR116" s="107">
        <v>180</v>
      </c>
      <c r="AS116" s="27">
        <v>15</v>
      </c>
      <c r="AT116" s="58">
        <v>180</v>
      </c>
      <c r="AU116" s="107">
        <v>180</v>
      </c>
      <c r="AV116" s="54">
        <f t="shared" si="7"/>
        <v>259</v>
      </c>
      <c r="AW116" s="63">
        <f t="shared" si="7"/>
        <v>3108</v>
      </c>
      <c r="AX116" s="55">
        <f t="shared" si="7"/>
        <v>3104.4</v>
      </c>
      <c r="AY116" s="54">
        <f t="shared" si="8"/>
        <v>21.583333333333332</v>
      </c>
      <c r="AZ116" s="63">
        <f t="shared" si="9"/>
        <v>1.7986111111111109</v>
      </c>
      <c r="BA116" s="55">
        <f t="shared" si="10"/>
        <v>258.7</v>
      </c>
      <c r="BB116" s="10">
        <v>15</v>
      </c>
      <c r="BC116" s="15">
        <v>180</v>
      </c>
      <c r="BD116" s="11">
        <v>180</v>
      </c>
      <c r="BE116" s="10">
        <v>15</v>
      </c>
      <c r="BF116" s="15">
        <v>180</v>
      </c>
      <c r="BG116" s="11">
        <v>180</v>
      </c>
      <c r="BH116" s="10">
        <v>30</v>
      </c>
      <c r="BI116" s="15">
        <v>360</v>
      </c>
      <c r="BJ116" s="11">
        <v>360</v>
      </c>
      <c r="BK116" s="10">
        <v>15</v>
      </c>
      <c r="BL116" s="15">
        <v>180</v>
      </c>
      <c r="BM116" s="11">
        <v>180</v>
      </c>
      <c r="BN116" s="44">
        <v>15</v>
      </c>
      <c r="BO116" s="42">
        <v>180</v>
      </c>
      <c r="BP116" s="45">
        <v>180</v>
      </c>
      <c r="BQ116" s="44">
        <v>0</v>
      </c>
      <c r="BR116" s="42">
        <v>0</v>
      </c>
      <c r="BS116" s="45">
        <v>0</v>
      </c>
      <c r="BT116" s="44">
        <v>0</v>
      </c>
      <c r="BU116" s="42">
        <v>0</v>
      </c>
      <c r="BV116" s="112">
        <v>0</v>
      </c>
      <c r="BW116" s="115">
        <v>0</v>
      </c>
      <c r="BX116" s="116">
        <v>0</v>
      </c>
      <c r="BY116" s="112">
        <v>0</v>
      </c>
      <c r="BZ116" s="115">
        <v>0</v>
      </c>
      <c r="CA116" s="116">
        <v>0</v>
      </c>
      <c r="CB116" s="112">
        <v>0</v>
      </c>
      <c r="CC116" s="115">
        <v>3</v>
      </c>
      <c r="CD116" s="116">
        <v>120</v>
      </c>
      <c r="CE116" s="112">
        <v>42</v>
      </c>
      <c r="CF116" s="115">
        <v>0</v>
      </c>
      <c r="CG116" s="116">
        <v>0</v>
      </c>
      <c r="CH116" s="112">
        <v>0</v>
      </c>
      <c r="CI116" s="115">
        <v>0</v>
      </c>
      <c r="CJ116" s="116">
        <v>0</v>
      </c>
      <c r="CK116" s="112">
        <v>0</v>
      </c>
      <c r="CL116" s="54">
        <f t="shared" si="11"/>
        <v>93</v>
      </c>
      <c r="CM116" s="63">
        <f t="shared" si="11"/>
        <v>1200</v>
      </c>
      <c r="CN116" s="55">
        <f t="shared" si="11"/>
        <v>1122</v>
      </c>
      <c r="CO116" s="54">
        <f t="shared" si="12"/>
        <v>7.75</v>
      </c>
      <c r="CP116" s="63">
        <f t="shared" si="12"/>
        <v>100</v>
      </c>
      <c r="CQ116" s="55">
        <f t="shared" si="12"/>
        <v>93.5</v>
      </c>
    </row>
    <row r="117" spans="1:95" s="2" customFormat="1" ht="34.9" customHeight="1" x14ac:dyDescent="0.6">
      <c r="A117" s="5">
        <v>114</v>
      </c>
      <c r="B117" s="14" t="s">
        <v>318</v>
      </c>
      <c r="C117" s="21" t="s">
        <v>356</v>
      </c>
      <c r="D117" s="16" t="s">
        <v>319</v>
      </c>
      <c r="E117" s="15" t="s">
        <v>90</v>
      </c>
      <c r="F117" s="14" t="s">
        <v>91</v>
      </c>
      <c r="G117" s="7" t="s">
        <v>150</v>
      </c>
      <c r="H117" s="18" t="s">
        <v>936</v>
      </c>
      <c r="I117" s="18" t="s">
        <v>937</v>
      </c>
      <c r="J117" s="14" t="s">
        <v>938</v>
      </c>
      <c r="K117" s="49" t="s">
        <v>125</v>
      </c>
      <c r="L117" s="27">
        <v>0</v>
      </c>
      <c r="M117" s="58">
        <v>0</v>
      </c>
      <c r="N117" s="78">
        <v>0</v>
      </c>
      <c r="O117" s="27">
        <v>0</v>
      </c>
      <c r="P117" s="58">
        <v>0</v>
      </c>
      <c r="Q117" s="49">
        <v>0</v>
      </c>
      <c r="R117" s="27">
        <v>32</v>
      </c>
      <c r="S117" s="58">
        <v>468</v>
      </c>
      <c r="T117" s="98">
        <v>333.6</v>
      </c>
      <c r="U117" s="27">
        <v>80</v>
      </c>
      <c r="V117" s="58">
        <v>1240</v>
      </c>
      <c r="W117" s="107">
        <v>840.8</v>
      </c>
      <c r="X117" s="27">
        <v>30</v>
      </c>
      <c r="Y117" s="58">
        <v>500</v>
      </c>
      <c r="Z117" s="12">
        <v>322</v>
      </c>
      <c r="AA117" s="27">
        <v>59</v>
      </c>
      <c r="AB117" s="58">
        <v>876</v>
      </c>
      <c r="AC117" s="107">
        <v>585.6</v>
      </c>
      <c r="AD117" s="27">
        <v>0</v>
      </c>
      <c r="AE117" s="58">
        <v>0</v>
      </c>
      <c r="AF117" s="107">
        <v>0</v>
      </c>
      <c r="AG117" s="27">
        <v>85</v>
      </c>
      <c r="AH117" s="58">
        <v>1440</v>
      </c>
      <c r="AI117" s="107">
        <v>1050</v>
      </c>
      <c r="AJ117" s="27">
        <v>0</v>
      </c>
      <c r="AK117" s="58">
        <v>0</v>
      </c>
      <c r="AL117" s="107">
        <v>0</v>
      </c>
      <c r="AM117" s="27">
        <v>40</v>
      </c>
      <c r="AN117" s="58">
        <v>586</v>
      </c>
      <c r="AO117" s="107">
        <v>376.8</v>
      </c>
      <c r="AP117" s="27">
        <v>68</v>
      </c>
      <c r="AQ117" s="58">
        <v>900</v>
      </c>
      <c r="AR117" s="107">
        <v>694.8</v>
      </c>
      <c r="AS117" s="27">
        <v>9</v>
      </c>
      <c r="AT117" s="58">
        <v>192</v>
      </c>
      <c r="AU117" s="107">
        <v>114</v>
      </c>
      <c r="AV117" s="54">
        <f t="shared" si="7"/>
        <v>403</v>
      </c>
      <c r="AW117" s="63">
        <f t="shared" si="7"/>
        <v>6202</v>
      </c>
      <c r="AX117" s="55">
        <f t="shared" si="7"/>
        <v>4317.6000000000004</v>
      </c>
      <c r="AY117" s="54">
        <f t="shared" si="8"/>
        <v>33.583333333333336</v>
      </c>
      <c r="AZ117" s="63">
        <f t="shared" si="9"/>
        <v>2.7986111111111112</v>
      </c>
      <c r="BA117" s="55">
        <f t="shared" si="10"/>
        <v>359.8</v>
      </c>
      <c r="BB117" s="10">
        <v>102</v>
      </c>
      <c r="BC117" s="15">
        <v>1476</v>
      </c>
      <c r="BD117" s="11">
        <v>1030.8</v>
      </c>
      <c r="BE117" s="10">
        <v>6</v>
      </c>
      <c r="BF117" s="15">
        <v>156</v>
      </c>
      <c r="BG117" s="11">
        <v>78</v>
      </c>
      <c r="BH117" s="10">
        <v>116</v>
      </c>
      <c r="BI117" s="15">
        <v>1700</v>
      </c>
      <c r="BJ117" s="11">
        <v>1188.4000000000001</v>
      </c>
      <c r="BK117" s="10">
        <v>5</v>
      </c>
      <c r="BL117" s="15">
        <v>200</v>
      </c>
      <c r="BM117" s="11">
        <v>70</v>
      </c>
      <c r="BN117" s="44">
        <v>0</v>
      </c>
      <c r="BO117" s="42">
        <v>0</v>
      </c>
      <c r="BP117" s="45">
        <v>0</v>
      </c>
      <c r="BQ117" s="44">
        <v>15</v>
      </c>
      <c r="BR117" s="42">
        <v>180</v>
      </c>
      <c r="BS117" s="45">
        <v>180</v>
      </c>
      <c r="BT117" s="44">
        <v>28</v>
      </c>
      <c r="BU117" s="42">
        <v>560</v>
      </c>
      <c r="BV117" s="112">
        <v>352</v>
      </c>
      <c r="BW117" s="115">
        <v>148</v>
      </c>
      <c r="BX117" s="116">
        <v>1978</v>
      </c>
      <c r="BY117" s="112">
        <v>1570.6399999999999</v>
      </c>
      <c r="BZ117" s="115">
        <v>0</v>
      </c>
      <c r="CA117" s="116">
        <v>0</v>
      </c>
      <c r="CB117" s="112">
        <v>0</v>
      </c>
      <c r="CC117" s="115">
        <v>15</v>
      </c>
      <c r="CD117" s="116">
        <v>180</v>
      </c>
      <c r="CE117" s="112">
        <v>180</v>
      </c>
      <c r="CF117" s="115">
        <v>18</v>
      </c>
      <c r="CG117" s="116">
        <v>300</v>
      </c>
      <c r="CH117" s="112">
        <v>222</v>
      </c>
      <c r="CI117" s="115">
        <v>0</v>
      </c>
      <c r="CJ117" s="116">
        <v>0</v>
      </c>
      <c r="CK117" s="112">
        <v>0</v>
      </c>
      <c r="CL117" s="54">
        <f t="shared" si="11"/>
        <v>453</v>
      </c>
      <c r="CM117" s="63">
        <f t="shared" si="11"/>
        <v>6730</v>
      </c>
      <c r="CN117" s="55">
        <f t="shared" si="11"/>
        <v>4871.84</v>
      </c>
      <c r="CO117" s="54">
        <f t="shared" si="12"/>
        <v>37.75</v>
      </c>
      <c r="CP117" s="63">
        <f t="shared" si="12"/>
        <v>560.83333333333337</v>
      </c>
      <c r="CQ117" s="55">
        <f t="shared" si="12"/>
        <v>405.98666666666668</v>
      </c>
    </row>
    <row r="118" spans="1:95" s="2" customFormat="1" ht="34.9" customHeight="1" x14ac:dyDescent="0.6">
      <c r="A118" s="5">
        <v>115</v>
      </c>
      <c r="B118" s="14" t="s">
        <v>320</v>
      </c>
      <c r="C118" s="21" t="s">
        <v>358</v>
      </c>
      <c r="D118" s="16" t="s">
        <v>321</v>
      </c>
      <c r="E118" s="15" t="s">
        <v>90</v>
      </c>
      <c r="F118" s="14" t="s">
        <v>91</v>
      </c>
      <c r="G118" s="7" t="s">
        <v>150</v>
      </c>
      <c r="H118" s="18" t="s">
        <v>320</v>
      </c>
      <c r="I118" s="18" t="s">
        <v>321</v>
      </c>
      <c r="J118" s="14" t="s">
        <v>939</v>
      </c>
      <c r="K118" s="49" t="s">
        <v>125</v>
      </c>
      <c r="L118" s="27">
        <v>50</v>
      </c>
      <c r="M118" s="58">
        <v>700</v>
      </c>
      <c r="N118" s="78">
        <v>448</v>
      </c>
      <c r="O118" s="27">
        <v>50</v>
      </c>
      <c r="P118" s="58">
        <v>700</v>
      </c>
      <c r="Q118" s="49">
        <v>448</v>
      </c>
      <c r="R118" s="27">
        <v>100</v>
      </c>
      <c r="S118" s="58">
        <v>1400</v>
      </c>
      <c r="T118" s="98">
        <v>896</v>
      </c>
      <c r="U118" s="27">
        <v>100</v>
      </c>
      <c r="V118" s="58">
        <v>1400</v>
      </c>
      <c r="W118" s="12">
        <v>896</v>
      </c>
      <c r="X118" s="27">
        <v>100</v>
      </c>
      <c r="Y118" s="58">
        <v>1400</v>
      </c>
      <c r="Z118" s="12">
        <v>896</v>
      </c>
      <c r="AA118" s="27">
        <v>50</v>
      </c>
      <c r="AB118" s="58">
        <v>700</v>
      </c>
      <c r="AC118" s="107">
        <v>448</v>
      </c>
      <c r="AD118" s="27">
        <v>100</v>
      </c>
      <c r="AE118" s="58">
        <v>1400</v>
      </c>
      <c r="AF118" s="107">
        <v>896</v>
      </c>
      <c r="AG118" s="27">
        <v>50</v>
      </c>
      <c r="AH118" s="58">
        <v>700</v>
      </c>
      <c r="AI118" s="107">
        <v>448</v>
      </c>
      <c r="AJ118" s="27">
        <v>50</v>
      </c>
      <c r="AK118" s="58">
        <v>700</v>
      </c>
      <c r="AL118" s="107">
        <v>448</v>
      </c>
      <c r="AM118" s="27">
        <v>103</v>
      </c>
      <c r="AN118" s="58">
        <v>1436</v>
      </c>
      <c r="AO118" s="107">
        <v>932</v>
      </c>
      <c r="AP118" s="27">
        <v>50</v>
      </c>
      <c r="AQ118" s="58">
        <v>700</v>
      </c>
      <c r="AR118" s="107">
        <v>448</v>
      </c>
      <c r="AS118" s="27">
        <v>49</v>
      </c>
      <c r="AT118" s="58">
        <v>686</v>
      </c>
      <c r="AU118" s="107">
        <v>439.04</v>
      </c>
      <c r="AV118" s="54">
        <f t="shared" si="7"/>
        <v>852</v>
      </c>
      <c r="AW118" s="63">
        <f t="shared" si="7"/>
        <v>11922</v>
      </c>
      <c r="AX118" s="55">
        <f t="shared" si="7"/>
        <v>7643.04</v>
      </c>
      <c r="AY118" s="54">
        <f t="shared" si="8"/>
        <v>71</v>
      </c>
      <c r="AZ118" s="63">
        <f t="shared" si="9"/>
        <v>5.916666666666667</v>
      </c>
      <c r="BA118" s="55">
        <f t="shared" si="10"/>
        <v>636.91999999999996</v>
      </c>
      <c r="BB118" s="10">
        <v>50</v>
      </c>
      <c r="BC118" s="15">
        <v>700</v>
      </c>
      <c r="BD118" s="11">
        <v>448.00000000000006</v>
      </c>
      <c r="BE118" s="10">
        <v>100</v>
      </c>
      <c r="BF118" s="15">
        <v>700</v>
      </c>
      <c r="BG118" s="11">
        <v>448.00000000000006</v>
      </c>
      <c r="BH118" s="10">
        <v>100</v>
      </c>
      <c r="BI118" s="15">
        <v>1400</v>
      </c>
      <c r="BJ118" s="11">
        <v>896</v>
      </c>
      <c r="BK118" s="10">
        <v>0</v>
      </c>
      <c r="BL118" s="15">
        <v>0</v>
      </c>
      <c r="BM118" s="11">
        <v>0</v>
      </c>
      <c r="BN118" s="44">
        <v>50</v>
      </c>
      <c r="BO118" s="42">
        <v>700</v>
      </c>
      <c r="BP118" s="45">
        <v>448</v>
      </c>
      <c r="BQ118" s="44">
        <v>50</v>
      </c>
      <c r="BR118" s="42">
        <v>700</v>
      </c>
      <c r="BS118" s="45">
        <v>448.00000000000006</v>
      </c>
      <c r="BT118" s="44">
        <v>50</v>
      </c>
      <c r="BU118" s="42">
        <v>700</v>
      </c>
      <c r="BV118" s="112">
        <v>448.00000000000006</v>
      </c>
      <c r="BW118" s="115">
        <v>0</v>
      </c>
      <c r="BX118" s="116">
        <v>3</v>
      </c>
      <c r="BY118" s="112">
        <v>2.04</v>
      </c>
      <c r="BZ118" s="115">
        <v>50</v>
      </c>
      <c r="CA118" s="116">
        <v>700</v>
      </c>
      <c r="CB118" s="112">
        <v>448.00000000000006</v>
      </c>
      <c r="CC118" s="115">
        <v>50</v>
      </c>
      <c r="CD118" s="116">
        <v>700</v>
      </c>
      <c r="CE118" s="112">
        <v>448</v>
      </c>
      <c r="CF118" s="115">
        <v>50</v>
      </c>
      <c r="CG118" s="116">
        <v>700</v>
      </c>
      <c r="CH118" s="112">
        <v>448.00000000000006</v>
      </c>
      <c r="CI118" s="115">
        <v>50</v>
      </c>
      <c r="CJ118" s="116">
        <v>700</v>
      </c>
      <c r="CK118" s="112">
        <v>448.00000000000006</v>
      </c>
      <c r="CL118" s="54">
        <f t="shared" si="11"/>
        <v>600</v>
      </c>
      <c r="CM118" s="63">
        <f t="shared" si="11"/>
        <v>7703</v>
      </c>
      <c r="CN118" s="55">
        <f t="shared" si="11"/>
        <v>4930.04</v>
      </c>
      <c r="CO118" s="54">
        <f t="shared" si="12"/>
        <v>50</v>
      </c>
      <c r="CP118" s="63">
        <f t="shared" si="12"/>
        <v>641.91666666666663</v>
      </c>
      <c r="CQ118" s="55">
        <f t="shared" si="12"/>
        <v>410.83666666666664</v>
      </c>
    </row>
    <row r="119" spans="1:95" s="2" customFormat="1" ht="34.9" customHeight="1" x14ac:dyDescent="0.6">
      <c r="A119" s="5">
        <v>116</v>
      </c>
      <c r="B119" s="14" t="s">
        <v>322</v>
      </c>
      <c r="C119" s="21" t="s">
        <v>366</v>
      </c>
      <c r="D119" s="16" t="s">
        <v>323</v>
      </c>
      <c r="E119" s="15" t="s">
        <v>90</v>
      </c>
      <c r="F119" s="14" t="s">
        <v>91</v>
      </c>
      <c r="G119" s="7" t="s">
        <v>150</v>
      </c>
      <c r="H119" s="18" t="s">
        <v>322</v>
      </c>
      <c r="I119" s="18" t="s">
        <v>323</v>
      </c>
      <c r="J119" s="14" t="s">
        <v>940</v>
      </c>
      <c r="K119" s="49" t="s">
        <v>125</v>
      </c>
      <c r="L119" s="27">
        <v>105</v>
      </c>
      <c r="M119" s="58">
        <v>1460</v>
      </c>
      <c r="N119" s="78">
        <v>956</v>
      </c>
      <c r="O119" s="27">
        <v>132</v>
      </c>
      <c r="P119" s="58">
        <v>1814</v>
      </c>
      <c r="Q119" s="104">
        <v>1227.2</v>
      </c>
      <c r="R119" s="27">
        <v>96</v>
      </c>
      <c r="S119" s="58">
        <v>1322</v>
      </c>
      <c r="T119" s="98">
        <v>857.6</v>
      </c>
      <c r="U119" s="27">
        <v>90</v>
      </c>
      <c r="V119" s="58">
        <v>1230</v>
      </c>
      <c r="W119" s="12">
        <v>834</v>
      </c>
      <c r="X119" s="27">
        <v>96</v>
      </c>
      <c r="Y119" s="58">
        <v>1344</v>
      </c>
      <c r="Z119" s="107">
        <v>860.16000000000008</v>
      </c>
      <c r="AA119" s="27">
        <v>115</v>
      </c>
      <c r="AB119" s="58">
        <v>1600</v>
      </c>
      <c r="AC119" s="107">
        <v>1045.5999999999999</v>
      </c>
      <c r="AD119" s="27">
        <v>107</v>
      </c>
      <c r="AE119" s="58">
        <v>1474</v>
      </c>
      <c r="AF119" s="107">
        <v>995.2</v>
      </c>
      <c r="AG119" s="27">
        <v>132</v>
      </c>
      <c r="AH119" s="58">
        <v>1794</v>
      </c>
      <c r="AI119" s="107">
        <v>1246.8000000000002</v>
      </c>
      <c r="AJ119" s="27">
        <v>69</v>
      </c>
      <c r="AK119" s="58">
        <v>948</v>
      </c>
      <c r="AL119" s="107">
        <v>631.20000000000005</v>
      </c>
      <c r="AM119" s="27">
        <v>108</v>
      </c>
      <c r="AN119" s="58">
        <v>1486</v>
      </c>
      <c r="AO119" s="107">
        <v>1007.2</v>
      </c>
      <c r="AP119" s="27">
        <v>109</v>
      </c>
      <c r="AQ119" s="58">
        <v>1488</v>
      </c>
      <c r="AR119" s="107">
        <v>1020</v>
      </c>
      <c r="AS119" s="27">
        <v>120</v>
      </c>
      <c r="AT119" s="58">
        <v>1620</v>
      </c>
      <c r="AU119" s="107">
        <v>1148.4000000000001</v>
      </c>
      <c r="AV119" s="54">
        <f t="shared" si="7"/>
        <v>1279</v>
      </c>
      <c r="AW119" s="63">
        <f t="shared" si="7"/>
        <v>17580</v>
      </c>
      <c r="AX119" s="55">
        <f t="shared" si="7"/>
        <v>11829.36</v>
      </c>
      <c r="AY119" s="54">
        <f t="shared" si="8"/>
        <v>106.58333333333333</v>
      </c>
      <c r="AZ119" s="63">
        <f t="shared" si="9"/>
        <v>8.8819444444444446</v>
      </c>
      <c r="BA119" s="55">
        <f t="shared" si="10"/>
        <v>985.78000000000009</v>
      </c>
      <c r="BB119" s="10">
        <v>147</v>
      </c>
      <c r="BC119" s="15">
        <v>2388</v>
      </c>
      <c r="BD119" s="11">
        <v>1775.1999999999998</v>
      </c>
      <c r="BE119" s="10">
        <v>125</v>
      </c>
      <c r="BF119" s="15">
        <v>2414</v>
      </c>
      <c r="BG119" s="11">
        <v>1701.04</v>
      </c>
      <c r="BH119" s="10">
        <v>200</v>
      </c>
      <c r="BI119" s="15">
        <v>3512</v>
      </c>
      <c r="BJ119" s="11">
        <v>2357.1999999999998</v>
      </c>
      <c r="BK119" s="10">
        <v>185</v>
      </c>
      <c r="BL119" s="15">
        <v>2690</v>
      </c>
      <c r="BM119" s="11">
        <v>1940.4</v>
      </c>
      <c r="BN119" s="44">
        <v>267</v>
      </c>
      <c r="BO119" s="42">
        <v>3454</v>
      </c>
      <c r="BP119" s="45">
        <v>2816.8</v>
      </c>
      <c r="BQ119" s="44">
        <v>184</v>
      </c>
      <c r="BR119" s="42">
        <v>2482</v>
      </c>
      <c r="BS119" s="45">
        <v>1903.6</v>
      </c>
      <c r="BT119" s="44">
        <v>207</v>
      </c>
      <c r="BU119" s="42">
        <v>3056</v>
      </c>
      <c r="BV119" s="112">
        <v>2238.3999999999996</v>
      </c>
      <c r="BW119" s="115">
        <v>207</v>
      </c>
      <c r="BX119" s="116">
        <v>2937</v>
      </c>
      <c r="BY119" s="112">
        <v>2233</v>
      </c>
      <c r="BZ119" s="115">
        <v>197</v>
      </c>
      <c r="CA119" s="116">
        <v>2844</v>
      </c>
      <c r="CB119" s="112">
        <v>2062</v>
      </c>
      <c r="CC119" s="115">
        <v>211</v>
      </c>
      <c r="CD119" s="116">
        <v>3118</v>
      </c>
      <c r="CE119" s="112">
        <v>2309.6800000000003</v>
      </c>
      <c r="CF119" s="115">
        <v>159</v>
      </c>
      <c r="CG119" s="116">
        <v>2262</v>
      </c>
      <c r="CH119" s="112">
        <v>1719.2</v>
      </c>
      <c r="CI119" s="115">
        <v>188</v>
      </c>
      <c r="CJ119" s="116">
        <v>2764</v>
      </c>
      <c r="CK119" s="112">
        <v>1957.2</v>
      </c>
      <c r="CL119" s="54">
        <f t="shared" si="11"/>
        <v>2277</v>
      </c>
      <c r="CM119" s="63">
        <f t="shared" si="11"/>
        <v>33921</v>
      </c>
      <c r="CN119" s="55">
        <f t="shared" si="11"/>
        <v>25013.72</v>
      </c>
      <c r="CO119" s="54">
        <f t="shared" si="12"/>
        <v>189.75</v>
      </c>
      <c r="CP119" s="63">
        <f t="shared" si="12"/>
        <v>2826.75</v>
      </c>
      <c r="CQ119" s="55">
        <f t="shared" si="12"/>
        <v>2084.4766666666669</v>
      </c>
    </row>
    <row r="120" spans="1:95" s="2" customFormat="1" ht="34.9" customHeight="1" x14ac:dyDescent="0.6">
      <c r="A120" s="5">
        <v>117</v>
      </c>
      <c r="B120" s="14" t="s">
        <v>324</v>
      </c>
      <c r="C120" s="21" t="s">
        <v>368</v>
      </c>
      <c r="D120" s="16" t="s">
        <v>325</v>
      </c>
      <c r="E120" s="15" t="s">
        <v>90</v>
      </c>
      <c r="F120" s="14" t="s">
        <v>91</v>
      </c>
      <c r="G120" s="7" t="s">
        <v>150</v>
      </c>
      <c r="H120" s="18" t="s">
        <v>941</v>
      </c>
      <c r="I120" s="18" t="s">
        <v>942</v>
      </c>
      <c r="J120" s="14" t="s">
        <v>943</v>
      </c>
      <c r="K120" s="49" t="s">
        <v>125</v>
      </c>
      <c r="L120" s="27">
        <v>0</v>
      </c>
      <c r="M120" s="58">
        <v>0</v>
      </c>
      <c r="N120" s="78">
        <v>0</v>
      </c>
      <c r="O120" s="27">
        <v>0</v>
      </c>
      <c r="P120" s="58">
        <v>0</v>
      </c>
      <c r="Q120" s="49">
        <v>0</v>
      </c>
      <c r="R120" s="27">
        <v>0</v>
      </c>
      <c r="S120" s="58">
        <v>0</v>
      </c>
      <c r="T120" s="98">
        <v>0</v>
      </c>
      <c r="U120" s="27">
        <v>33</v>
      </c>
      <c r="V120" s="58">
        <v>396</v>
      </c>
      <c r="W120" s="107">
        <v>381.6</v>
      </c>
      <c r="X120" s="27">
        <v>0</v>
      </c>
      <c r="Y120" s="58">
        <v>0</v>
      </c>
      <c r="Z120" s="107">
        <v>0</v>
      </c>
      <c r="AA120" s="27">
        <v>27</v>
      </c>
      <c r="AB120" s="58">
        <v>390</v>
      </c>
      <c r="AC120" s="107">
        <v>312.8</v>
      </c>
      <c r="AD120" s="27">
        <v>55</v>
      </c>
      <c r="AE120" s="58">
        <v>680</v>
      </c>
      <c r="AF120" s="107">
        <v>629.6</v>
      </c>
      <c r="AG120" s="27">
        <v>71</v>
      </c>
      <c r="AH120" s="58">
        <v>862</v>
      </c>
      <c r="AI120" s="107">
        <v>836.8</v>
      </c>
      <c r="AJ120" s="27">
        <v>74</v>
      </c>
      <c r="AK120" s="58">
        <v>1016</v>
      </c>
      <c r="AL120" s="107">
        <v>871.68000000000006</v>
      </c>
      <c r="AM120" s="27">
        <v>63</v>
      </c>
      <c r="AN120" s="58">
        <v>794</v>
      </c>
      <c r="AO120" s="107">
        <v>742.8</v>
      </c>
      <c r="AP120" s="27">
        <v>72</v>
      </c>
      <c r="AQ120" s="58">
        <v>1154</v>
      </c>
      <c r="AR120" s="107">
        <v>868.8</v>
      </c>
      <c r="AS120" s="27">
        <v>79</v>
      </c>
      <c r="AT120" s="58">
        <v>1284</v>
      </c>
      <c r="AU120" s="107">
        <v>972</v>
      </c>
      <c r="AV120" s="54">
        <f t="shared" si="7"/>
        <v>474</v>
      </c>
      <c r="AW120" s="63">
        <f t="shared" si="7"/>
        <v>6576</v>
      </c>
      <c r="AX120" s="55">
        <f t="shared" si="7"/>
        <v>5616.0800000000008</v>
      </c>
      <c r="AY120" s="54">
        <f t="shared" si="8"/>
        <v>39.5</v>
      </c>
      <c r="AZ120" s="63">
        <f t="shared" si="9"/>
        <v>3.2916666666666665</v>
      </c>
      <c r="BA120" s="55">
        <f t="shared" si="10"/>
        <v>468.00666666666672</v>
      </c>
      <c r="BB120" s="10">
        <v>17</v>
      </c>
      <c r="BC120" s="15">
        <v>0</v>
      </c>
      <c r="BD120" s="11">
        <v>0</v>
      </c>
      <c r="BE120" s="10">
        <v>0</v>
      </c>
      <c r="BF120" s="15">
        <v>0</v>
      </c>
      <c r="BG120" s="11">
        <v>0</v>
      </c>
      <c r="BH120" s="10">
        <v>17</v>
      </c>
      <c r="BI120" s="15">
        <v>0</v>
      </c>
      <c r="BJ120" s="11">
        <v>0</v>
      </c>
      <c r="BK120" s="10">
        <v>0</v>
      </c>
      <c r="BL120" s="15">
        <v>0</v>
      </c>
      <c r="BM120" s="11">
        <v>0</v>
      </c>
      <c r="BN120" s="44">
        <v>0</v>
      </c>
      <c r="BO120" s="42">
        <v>0</v>
      </c>
      <c r="BP120" s="45">
        <v>0</v>
      </c>
      <c r="BQ120" s="44">
        <v>30</v>
      </c>
      <c r="BR120" s="42">
        <v>360</v>
      </c>
      <c r="BS120" s="45">
        <v>360</v>
      </c>
      <c r="BT120" s="44">
        <v>0</v>
      </c>
      <c r="BU120" s="42">
        <v>0</v>
      </c>
      <c r="BV120" s="112">
        <v>0</v>
      </c>
      <c r="BW120" s="115">
        <v>0</v>
      </c>
      <c r="BX120" s="116">
        <v>0</v>
      </c>
      <c r="BY120" s="112">
        <v>0</v>
      </c>
      <c r="BZ120" s="115">
        <v>0</v>
      </c>
      <c r="CA120" s="116">
        <v>0</v>
      </c>
      <c r="CB120" s="112">
        <v>0</v>
      </c>
      <c r="CC120" s="115">
        <v>0</v>
      </c>
      <c r="CD120" s="116">
        <v>0</v>
      </c>
      <c r="CE120" s="112">
        <v>0</v>
      </c>
      <c r="CF120" s="115">
        <v>0</v>
      </c>
      <c r="CG120" s="116">
        <v>0</v>
      </c>
      <c r="CH120" s="112">
        <v>0</v>
      </c>
      <c r="CI120" s="115">
        <v>0</v>
      </c>
      <c r="CJ120" s="116">
        <v>0</v>
      </c>
      <c r="CK120" s="112">
        <v>0</v>
      </c>
      <c r="CL120" s="54">
        <f t="shared" si="11"/>
        <v>64</v>
      </c>
      <c r="CM120" s="63">
        <f t="shared" si="11"/>
        <v>360</v>
      </c>
      <c r="CN120" s="55">
        <f t="shared" si="11"/>
        <v>360</v>
      </c>
      <c r="CO120" s="54">
        <f t="shared" si="12"/>
        <v>5.333333333333333</v>
      </c>
      <c r="CP120" s="63">
        <f t="shared" si="12"/>
        <v>30</v>
      </c>
      <c r="CQ120" s="55">
        <f t="shared" si="12"/>
        <v>30</v>
      </c>
    </row>
    <row r="121" spans="1:95" s="2" customFormat="1" ht="34.9" customHeight="1" x14ac:dyDescent="0.6">
      <c r="A121" s="5">
        <v>118</v>
      </c>
      <c r="B121" s="14" t="s">
        <v>326</v>
      </c>
      <c r="C121" s="21" t="s">
        <v>369</v>
      </c>
      <c r="D121" s="16" t="s">
        <v>327</v>
      </c>
      <c r="E121" s="15" t="s">
        <v>13</v>
      </c>
      <c r="F121" s="14" t="s">
        <v>79</v>
      </c>
      <c r="G121" s="7" t="s">
        <v>150</v>
      </c>
      <c r="H121" s="18" t="s">
        <v>944</v>
      </c>
      <c r="I121" s="18" t="s">
        <v>945</v>
      </c>
      <c r="J121" s="14" t="s">
        <v>946</v>
      </c>
      <c r="K121" s="49" t="s">
        <v>125</v>
      </c>
      <c r="L121" s="27">
        <v>150</v>
      </c>
      <c r="M121" s="58">
        <v>2100</v>
      </c>
      <c r="N121" s="78">
        <v>1344</v>
      </c>
      <c r="O121" s="27">
        <v>100</v>
      </c>
      <c r="P121" s="58">
        <v>1400</v>
      </c>
      <c r="Q121" s="49">
        <v>896.00000000000011</v>
      </c>
      <c r="R121" s="27">
        <v>160</v>
      </c>
      <c r="S121" s="58">
        <v>2220</v>
      </c>
      <c r="T121" s="98">
        <v>1464</v>
      </c>
      <c r="U121" s="27">
        <v>170</v>
      </c>
      <c r="V121" s="58">
        <v>2380</v>
      </c>
      <c r="W121" s="107">
        <v>1523.2</v>
      </c>
      <c r="X121" s="27">
        <v>80</v>
      </c>
      <c r="Y121" s="58">
        <v>1120</v>
      </c>
      <c r="Z121" s="107">
        <v>716.80000000000007</v>
      </c>
      <c r="AA121" s="27">
        <v>100</v>
      </c>
      <c r="AB121" s="58">
        <v>1400</v>
      </c>
      <c r="AC121" s="12">
        <v>896</v>
      </c>
      <c r="AD121" s="27">
        <v>115</v>
      </c>
      <c r="AE121" s="58">
        <v>1600</v>
      </c>
      <c r="AF121" s="107">
        <v>1045.5999999999999</v>
      </c>
      <c r="AG121" s="27">
        <v>83</v>
      </c>
      <c r="AH121" s="58">
        <v>1156</v>
      </c>
      <c r="AI121" s="107">
        <v>752.80000000000007</v>
      </c>
      <c r="AJ121" s="27">
        <v>100</v>
      </c>
      <c r="AK121" s="58">
        <v>1400</v>
      </c>
      <c r="AL121" s="107">
        <v>896</v>
      </c>
      <c r="AM121" s="27">
        <v>113</v>
      </c>
      <c r="AN121" s="58">
        <v>1594</v>
      </c>
      <c r="AO121" s="107">
        <v>1073.7600000000002</v>
      </c>
      <c r="AP121" s="27">
        <v>90</v>
      </c>
      <c r="AQ121" s="58">
        <v>1260</v>
      </c>
      <c r="AR121" s="107">
        <v>806.4</v>
      </c>
      <c r="AS121" s="27">
        <v>115</v>
      </c>
      <c r="AT121" s="58">
        <v>1570</v>
      </c>
      <c r="AU121" s="107">
        <v>1091.2</v>
      </c>
      <c r="AV121" s="54">
        <f t="shared" si="7"/>
        <v>1376</v>
      </c>
      <c r="AW121" s="63">
        <f t="shared" si="7"/>
        <v>19200</v>
      </c>
      <c r="AX121" s="55">
        <f t="shared" si="7"/>
        <v>12505.76</v>
      </c>
      <c r="AY121" s="54">
        <f t="shared" si="8"/>
        <v>114.66666666666667</v>
      </c>
      <c r="AZ121" s="63">
        <f t="shared" si="9"/>
        <v>9.5555555555555554</v>
      </c>
      <c r="BA121" s="55">
        <f t="shared" si="10"/>
        <v>1042.1466666666668</v>
      </c>
      <c r="BB121" s="10">
        <v>100</v>
      </c>
      <c r="BC121" s="15">
        <v>1400</v>
      </c>
      <c r="BD121" s="11">
        <v>896</v>
      </c>
      <c r="BE121" s="10">
        <v>35</v>
      </c>
      <c r="BF121" s="15">
        <v>480</v>
      </c>
      <c r="BG121" s="11">
        <v>328.8</v>
      </c>
      <c r="BH121" s="10">
        <v>140</v>
      </c>
      <c r="BI121" s="15">
        <v>1960</v>
      </c>
      <c r="BJ121" s="11">
        <v>1254.4000000000001</v>
      </c>
      <c r="BK121" s="10">
        <v>60</v>
      </c>
      <c r="BL121" s="15">
        <v>840</v>
      </c>
      <c r="BM121" s="11">
        <v>537.6</v>
      </c>
      <c r="BN121" s="44">
        <v>135</v>
      </c>
      <c r="BO121" s="42">
        <v>1860</v>
      </c>
      <c r="BP121" s="45">
        <v>1255.2000000000003</v>
      </c>
      <c r="BQ121" s="44">
        <v>80</v>
      </c>
      <c r="BR121" s="42">
        <v>1120</v>
      </c>
      <c r="BS121" s="45">
        <v>716.8</v>
      </c>
      <c r="BT121" s="44">
        <v>105</v>
      </c>
      <c r="BU121" s="42">
        <v>1460</v>
      </c>
      <c r="BV121" s="112">
        <v>946.40000000000009</v>
      </c>
      <c r="BW121" s="115">
        <v>50</v>
      </c>
      <c r="BX121" s="116">
        <v>700</v>
      </c>
      <c r="BY121" s="112">
        <v>448</v>
      </c>
      <c r="BZ121" s="115">
        <v>100</v>
      </c>
      <c r="CA121" s="116">
        <v>1400</v>
      </c>
      <c r="CB121" s="112">
        <v>896</v>
      </c>
      <c r="CC121" s="115">
        <v>100</v>
      </c>
      <c r="CD121" s="116">
        <v>1400</v>
      </c>
      <c r="CE121" s="112">
        <v>896.00000000000011</v>
      </c>
      <c r="CF121" s="115">
        <v>55</v>
      </c>
      <c r="CG121" s="116">
        <v>770</v>
      </c>
      <c r="CH121" s="112">
        <v>492.80000000000007</v>
      </c>
      <c r="CI121" s="115">
        <v>55</v>
      </c>
      <c r="CJ121" s="116">
        <v>770</v>
      </c>
      <c r="CK121" s="112">
        <v>492.80000000000007</v>
      </c>
      <c r="CL121" s="54">
        <f t="shared" si="11"/>
        <v>1015</v>
      </c>
      <c r="CM121" s="63">
        <f t="shared" si="11"/>
        <v>14160</v>
      </c>
      <c r="CN121" s="55">
        <f t="shared" si="11"/>
        <v>9160.7999999999993</v>
      </c>
      <c r="CO121" s="54">
        <f t="shared" si="12"/>
        <v>84.583333333333329</v>
      </c>
      <c r="CP121" s="63">
        <f t="shared" si="12"/>
        <v>1180</v>
      </c>
      <c r="CQ121" s="55">
        <f t="shared" si="12"/>
        <v>763.4</v>
      </c>
    </row>
    <row r="122" spans="1:95" s="2" customFormat="1" ht="34.9" customHeight="1" x14ac:dyDescent="0.6">
      <c r="A122" s="5">
        <v>119</v>
      </c>
      <c r="B122" s="18" t="s">
        <v>328</v>
      </c>
      <c r="C122" s="21" t="s">
        <v>373</v>
      </c>
      <c r="D122" s="16" t="s">
        <v>329</v>
      </c>
      <c r="E122" s="15" t="s">
        <v>13</v>
      </c>
      <c r="F122" s="14" t="s">
        <v>79</v>
      </c>
      <c r="G122" s="7" t="s">
        <v>150</v>
      </c>
      <c r="H122" s="18" t="s">
        <v>947</v>
      </c>
      <c r="I122" s="18" t="s">
        <v>948</v>
      </c>
      <c r="J122" s="14" t="s">
        <v>949</v>
      </c>
      <c r="K122" s="49" t="s">
        <v>125</v>
      </c>
      <c r="L122" s="27">
        <v>1265</v>
      </c>
      <c r="M122" s="58">
        <v>17780</v>
      </c>
      <c r="N122" s="78">
        <v>13198.800000000001</v>
      </c>
      <c r="O122" s="27">
        <v>160</v>
      </c>
      <c r="P122" s="58">
        <v>2330</v>
      </c>
      <c r="Q122" s="104">
        <v>1519.6000000000001</v>
      </c>
      <c r="R122" s="27">
        <v>595</v>
      </c>
      <c r="S122" s="58">
        <v>8320</v>
      </c>
      <c r="T122" s="98">
        <v>6460.4</v>
      </c>
      <c r="U122" s="27">
        <v>600</v>
      </c>
      <c r="V122" s="58">
        <v>9140</v>
      </c>
      <c r="W122" s="107">
        <v>6239.2000000000007</v>
      </c>
      <c r="X122" s="27">
        <v>786</v>
      </c>
      <c r="Y122" s="58">
        <v>11570</v>
      </c>
      <c r="Z122" s="107">
        <v>8310.7999999999993</v>
      </c>
      <c r="AA122" s="27">
        <v>965</v>
      </c>
      <c r="AB122" s="58">
        <v>13540</v>
      </c>
      <c r="AC122" s="107">
        <v>9920.4000000000015</v>
      </c>
      <c r="AD122" s="27">
        <v>140</v>
      </c>
      <c r="AE122" s="58">
        <v>2520</v>
      </c>
      <c r="AF122" s="107">
        <v>1740</v>
      </c>
      <c r="AG122" s="27">
        <v>657</v>
      </c>
      <c r="AH122" s="58">
        <v>9254</v>
      </c>
      <c r="AI122" s="107">
        <v>7138.4</v>
      </c>
      <c r="AJ122" s="27">
        <v>800</v>
      </c>
      <c r="AK122" s="58">
        <v>10540</v>
      </c>
      <c r="AL122" s="107">
        <v>6746</v>
      </c>
      <c r="AM122" s="27">
        <v>1035</v>
      </c>
      <c r="AN122" s="58">
        <v>17440</v>
      </c>
      <c r="AO122" s="107">
        <v>10246.400000000001</v>
      </c>
      <c r="AP122" s="27">
        <v>1030</v>
      </c>
      <c r="AQ122" s="58">
        <v>15600</v>
      </c>
      <c r="AR122" s="107">
        <v>10904</v>
      </c>
      <c r="AS122" s="27">
        <v>0</v>
      </c>
      <c r="AT122" s="58">
        <v>0</v>
      </c>
      <c r="AU122" s="107">
        <v>0</v>
      </c>
      <c r="AV122" s="54">
        <f t="shared" si="7"/>
        <v>8033</v>
      </c>
      <c r="AW122" s="63">
        <f t="shared" si="7"/>
        <v>118034</v>
      </c>
      <c r="AX122" s="55">
        <f t="shared" si="7"/>
        <v>82424</v>
      </c>
      <c r="AY122" s="54">
        <f t="shared" si="8"/>
        <v>669.41666666666663</v>
      </c>
      <c r="AZ122" s="63">
        <f t="shared" si="9"/>
        <v>55.784722222222221</v>
      </c>
      <c r="BA122" s="55">
        <f t="shared" si="10"/>
        <v>6868.666666666667</v>
      </c>
      <c r="BB122" s="10">
        <v>0</v>
      </c>
      <c r="BC122" s="15">
        <v>0</v>
      </c>
      <c r="BD122" s="11">
        <v>0</v>
      </c>
      <c r="BE122" s="10">
        <v>0</v>
      </c>
      <c r="BF122" s="15">
        <v>0</v>
      </c>
      <c r="BG122" s="11">
        <v>0</v>
      </c>
      <c r="BH122" s="10">
        <v>1125</v>
      </c>
      <c r="BI122" s="15">
        <v>15500</v>
      </c>
      <c r="BJ122" s="11">
        <v>12448</v>
      </c>
      <c r="BK122" s="10">
        <v>585</v>
      </c>
      <c r="BL122" s="15">
        <v>8660</v>
      </c>
      <c r="BM122" s="11">
        <v>6515.2</v>
      </c>
      <c r="BN122" s="44">
        <v>10</v>
      </c>
      <c r="BO122" s="42">
        <v>120</v>
      </c>
      <c r="BP122" s="45">
        <v>84</v>
      </c>
      <c r="BQ122" s="44">
        <v>720</v>
      </c>
      <c r="BR122" s="42">
        <v>9860</v>
      </c>
      <c r="BS122" s="45">
        <v>7340.8</v>
      </c>
      <c r="BT122" s="44">
        <v>765</v>
      </c>
      <c r="BU122" s="42">
        <v>10680</v>
      </c>
      <c r="BV122" s="112">
        <v>7654</v>
      </c>
      <c r="BW122" s="115">
        <v>1110</v>
      </c>
      <c r="BX122" s="116">
        <v>16830</v>
      </c>
      <c r="BY122" s="112">
        <v>11942.8</v>
      </c>
      <c r="BZ122" s="115">
        <v>530</v>
      </c>
      <c r="CA122" s="116">
        <v>7460</v>
      </c>
      <c r="CB122" s="112">
        <v>5736.8</v>
      </c>
      <c r="CC122" s="115">
        <v>570</v>
      </c>
      <c r="CD122" s="116">
        <v>8740</v>
      </c>
      <c r="CE122" s="112">
        <v>5940</v>
      </c>
      <c r="CF122" s="115">
        <v>540</v>
      </c>
      <c r="CG122" s="116">
        <v>8390</v>
      </c>
      <c r="CH122" s="112">
        <v>5546.8</v>
      </c>
      <c r="CI122" s="115">
        <v>200</v>
      </c>
      <c r="CJ122" s="116">
        <v>2540</v>
      </c>
      <c r="CK122" s="112">
        <v>2091.1999999999998</v>
      </c>
      <c r="CL122" s="54">
        <f t="shared" si="11"/>
        <v>6155</v>
      </c>
      <c r="CM122" s="63">
        <f t="shared" si="11"/>
        <v>88780</v>
      </c>
      <c r="CN122" s="55">
        <f t="shared" si="11"/>
        <v>65299.600000000006</v>
      </c>
      <c r="CO122" s="54">
        <f t="shared" si="12"/>
        <v>512.91666666666663</v>
      </c>
      <c r="CP122" s="63">
        <f t="shared" si="12"/>
        <v>7398.333333333333</v>
      </c>
      <c r="CQ122" s="55">
        <f t="shared" si="12"/>
        <v>5441.6333333333341</v>
      </c>
    </row>
    <row r="123" spans="1:95" s="2" customFormat="1" ht="34.9" customHeight="1" x14ac:dyDescent="0.6">
      <c r="A123" s="5">
        <v>120</v>
      </c>
      <c r="B123" s="18" t="s">
        <v>330</v>
      </c>
      <c r="C123" s="21" t="s">
        <v>429</v>
      </c>
      <c r="D123" s="16" t="s">
        <v>331</v>
      </c>
      <c r="E123" s="15" t="s">
        <v>13</v>
      </c>
      <c r="F123" s="14" t="s">
        <v>79</v>
      </c>
      <c r="G123" s="7" t="s">
        <v>150</v>
      </c>
      <c r="H123" s="18" t="s">
        <v>950</v>
      </c>
      <c r="I123" s="18" t="s">
        <v>951</v>
      </c>
      <c r="J123" s="14" t="s">
        <v>952</v>
      </c>
      <c r="K123" s="49" t="s">
        <v>125</v>
      </c>
      <c r="L123" s="27">
        <v>333</v>
      </c>
      <c r="M123" s="58">
        <v>4902</v>
      </c>
      <c r="N123" s="78">
        <v>3376.4</v>
      </c>
      <c r="O123" s="27">
        <v>263</v>
      </c>
      <c r="P123" s="58">
        <v>3906</v>
      </c>
      <c r="Q123" s="104">
        <v>2684.4</v>
      </c>
      <c r="R123" s="27">
        <v>193</v>
      </c>
      <c r="S123" s="58">
        <v>2856</v>
      </c>
      <c r="T123" s="98">
        <v>1930</v>
      </c>
      <c r="U123" s="27">
        <v>306</v>
      </c>
      <c r="V123" s="58">
        <v>4460</v>
      </c>
      <c r="W123" s="107">
        <v>3187.2</v>
      </c>
      <c r="X123" s="27">
        <v>267</v>
      </c>
      <c r="Y123" s="58">
        <v>3752</v>
      </c>
      <c r="Z123" s="107">
        <v>2771.2</v>
      </c>
      <c r="AA123" s="27">
        <v>268</v>
      </c>
      <c r="AB123" s="58">
        <v>3890</v>
      </c>
      <c r="AC123" s="107">
        <v>2770.8</v>
      </c>
      <c r="AD123" s="27">
        <v>190</v>
      </c>
      <c r="AE123" s="58">
        <v>2760</v>
      </c>
      <c r="AF123" s="107">
        <v>1996</v>
      </c>
      <c r="AG123" s="27">
        <v>254</v>
      </c>
      <c r="AH123" s="58">
        <v>3456</v>
      </c>
      <c r="AI123" s="107">
        <v>2647.2</v>
      </c>
      <c r="AJ123" s="27">
        <v>183</v>
      </c>
      <c r="AK123" s="58">
        <v>2694</v>
      </c>
      <c r="AL123" s="107">
        <v>1724</v>
      </c>
      <c r="AM123" s="27">
        <v>148</v>
      </c>
      <c r="AN123" s="58">
        <v>2366</v>
      </c>
      <c r="AO123" s="107">
        <v>1547.6</v>
      </c>
      <c r="AP123" s="27">
        <v>141</v>
      </c>
      <c r="AQ123" s="58">
        <v>1900</v>
      </c>
      <c r="AR123" s="107">
        <v>1420.4</v>
      </c>
      <c r="AS123" s="27">
        <v>105</v>
      </c>
      <c r="AT123" s="58">
        <v>1790</v>
      </c>
      <c r="AU123" s="107">
        <v>1122.8</v>
      </c>
      <c r="AV123" s="54">
        <f t="shared" si="7"/>
        <v>2651</v>
      </c>
      <c r="AW123" s="63">
        <f t="shared" si="7"/>
        <v>38732</v>
      </c>
      <c r="AX123" s="55">
        <f t="shared" si="7"/>
        <v>27178</v>
      </c>
      <c r="AY123" s="54">
        <f t="shared" si="8"/>
        <v>220.91666666666666</v>
      </c>
      <c r="AZ123" s="63">
        <f t="shared" si="9"/>
        <v>18.409722222222221</v>
      </c>
      <c r="BA123" s="55">
        <f t="shared" si="10"/>
        <v>2264.8333333333335</v>
      </c>
      <c r="BB123" s="10">
        <v>126</v>
      </c>
      <c r="BC123" s="15">
        <v>2260</v>
      </c>
      <c r="BD123" s="11">
        <v>1286.8000000000002</v>
      </c>
      <c r="BE123" s="10">
        <v>162</v>
      </c>
      <c r="BF123" s="15">
        <v>2326</v>
      </c>
      <c r="BG123" s="11">
        <v>1750</v>
      </c>
      <c r="BH123" s="10">
        <v>284</v>
      </c>
      <c r="BI123" s="15">
        <v>4146</v>
      </c>
      <c r="BJ123" s="11">
        <v>2951.2000000000003</v>
      </c>
      <c r="BK123" s="10">
        <v>175</v>
      </c>
      <c r="BL123" s="15">
        <v>3226</v>
      </c>
      <c r="BM123" s="11">
        <v>1944.64</v>
      </c>
      <c r="BN123" s="44">
        <v>25</v>
      </c>
      <c r="BO123" s="42">
        <v>330</v>
      </c>
      <c r="BP123" s="45">
        <v>254.4</v>
      </c>
      <c r="BQ123" s="44">
        <v>80</v>
      </c>
      <c r="BR123" s="42">
        <v>1020</v>
      </c>
      <c r="BS123" s="45">
        <v>844.8</v>
      </c>
      <c r="BT123" s="44">
        <v>172</v>
      </c>
      <c r="BU123" s="42">
        <v>2440</v>
      </c>
      <c r="BV123" s="112">
        <v>1780.4</v>
      </c>
      <c r="BW123" s="115">
        <v>125</v>
      </c>
      <c r="BX123" s="116">
        <v>1900</v>
      </c>
      <c r="BY123" s="112">
        <v>1289.6000000000001</v>
      </c>
      <c r="BZ123" s="115">
        <v>230</v>
      </c>
      <c r="CA123" s="116">
        <v>4010</v>
      </c>
      <c r="CB123" s="112">
        <v>2642.4</v>
      </c>
      <c r="CC123" s="115">
        <v>75</v>
      </c>
      <c r="CD123" s="116">
        <v>1000</v>
      </c>
      <c r="CE123" s="112">
        <v>724</v>
      </c>
      <c r="CF123" s="115">
        <v>100</v>
      </c>
      <c r="CG123" s="116">
        <v>1510</v>
      </c>
      <c r="CH123" s="112">
        <v>1174.4000000000001</v>
      </c>
      <c r="CI123" s="115">
        <v>203</v>
      </c>
      <c r="CJ123" s="116">
        <v>2940</v>
      </c>
      <c r="CK123" s="112">
        <v>2147.1999999999998</v>
      </c>
      <c r="CL123" s="54">
        <f t="shared" si="11"/>
        <v>1757</v>
      </c>
      <c r="CM123" s="63">
        <f t="shared" si="11"/>
        <v>27108</v>
      </c>
      <c r="CN123" s="55">
        <f t="shared" si="11"/>
        <v>18789.84</v>
      </c>
      <c r="CO123" s="54">
        <f t="shared" si="12"/>
        <v>146.41666666666666</v>
      </c>
      <c r="CP123" s="63">
        <f t="shared" si="12"/>
        <v>2259</v>
      </c>
      <c r="CQ123" s="55">
        <f t="shared" si="12"/>
        <v>1565.82</v>
      </c>
    </row>
    <row r="124" spans="1:95" s="2" customFormat="1" ht="34.9" customHeight="1" x14ac:dyDescent="0.6">
      <c r="A124" s="5">
        <v>121</v>
      </c>
      <c r="B124" s="18" t="s">
        <v>332</v>
      </c>
      <c r="C124" s="21" t="s">
        <v>471</v>
      </c>
      <c r="D124" s="16" t="s">
        <v>333</v>
      </c>
      <c r="E124" s="15" t="s">
        <v>13</v>
      </c>
      <c r="F124" s="14" t="s">
        <v>79</v>
      </c>
      <c r="G124" s="7" t="s">
        <v>150</v>
      </c>
      <c r="H124" s="18" t="s">
        <v>953</v>
      </c>
      <c r="I124" s="18" t="s">
        <v>954</v>
      </c>
      <c r="J124" s="14" t="s">
        <v>955</v>
      </c>
      <c r="K124" s="49" t="s">
        <v>125</v>
      </c>
      <c r="L124" s="27">
        <v>585</v>
      </c>
      <c r="M124" s="58">
        <v>8000</v>
      </c>
      <c r="N124" s="78">
        <v>6373.6</v>
      </c>
      <c r="O124" s="27">
        <v>240</v>
      </c>
      <c r="P124" s="58">
        <v>3200</v>
      </c>
      <c r="Q124" s="104">
        <v>2839.2</v>
      </c>
      <c r="R124" s="27">
        <v>620</v>
      </c>
      <c r="S124" s="58">
        <v>8740</v>
      </c>
      <c r="T124" s="98">
        <v>6307.2000000000007</v>
      </c>
      <c r="U124" s="27">
        <v>280</v>
      </c>
      <c r="V124" s="58">
        <v>3760</v>
      </c>
      <c r="W124" s="107">
        <v>3197.6</v>
      </c>
      <c r="X124" s="27">
        <v>245</v>
      </c>
      <c r="Y124" s="58">
        <v>3140</v>
      </c>
      <c r="Z124" s="12">
        <v>2636</v>
      </c>
      <c r="AA124" s="27">
        <v>620</v>
      </c>
      <c r="AB124" s="58">
        <v>8500</v>
      </c>
      <c r="AC124" s="107">
        <v>6497.2</v>
      </c>
      <c r="AD124" s="27">
        <v>295</v>
      </c>
      <c r="AE124" s="58">
        <v>3950</v>
      </c>
      <c r="AF124" s="107">
        <v>3362.4</v>
      </c>
      <c r="AG124" s="27">
        <v>401</v>
      </c>
      <c r="AH124" s="58">
        <v>5532</v>
      </c>
      <c r="AI124" s="107">
        <v>4386</v>
      </c>
      <c r="AJ124" s="27">
        <v>585</v>
      </c>
      <c r="AK124" s="58">
        <v>8000</v>
      </c>
      <c r="AL124" s="107">
        <v>5120</v>
      </c>
      <c r="AM124" s="27">
        <v>420</v>
      </c>
      <c r="AN124" s="58">
        <v>6180</v>
      </c>
      <c r="AO124" s="107">
        <v>4397.2</v>
      </c>
      <c r="AP124" s="27">
        <v>90</v>
      </c>
      <c r="AQ124" s="58">
        <v>1170</v>
      </c>
      <c r="AR124" s="107">
        <v>943.2</v>
      </c>
      <c r="AS124" s="27">
        <v>510</v>
      </c>
      <c r="AT124" s="58">
        <v>7410</v>
      </c>
      <c r="AU124" s="107">
        <v>5472</v>
      </c>
      <c r="AV124" s="54">
        <f t="shared" si="7"/>
        <v>4891</v>
      </c>
      <c r="AW124" s="63">
        <f t="shared" si="7"/>
        <v>67582</v>
      </c>
      <c r="AX124" s="55">
        <f t="shared" si="7"/>
        <v>51531.599999999991</v>
      </c>
      <c r="AY124" s="54">
        <f t="shared" si="8"/>
        <v>407.58333333333331</v>
      </c>
      <c r="AZ124" s="63">
        <f t="shared" si="9"/>
        <v>33.965277777777779</v>
      </c>
      <c r="BA124" s="55">
        <f t="shared" si="10"/>
        <v>4294.2999999999993</v>
      </c>
      <c r="BB124" s="10">
        <v>375</v>
      </c>
      <c r="BC124" s="15">
        <v>5000</v>
      </c>
      <c r="BD124" s="11">
        <v>3962.8</v>
      </c>
      <c r="BE124" s="10">
        <v>380</v>
      </c>
      <c r="BF124" s="15">
        <v>5800</v>
      </c>
      <c r="BG124" s="11">
        <v>4012</v>
      </c>
      <c r="BH124" s="10">
        <v>625</v>
      </c>
      <c r="BI124" s="15">
        <v>8980</v>
      </c>
      <c r="BJ124" s="11">
        <v>6762</v>
      </c>
      <c r="BK124" s="10">
        <v>195</v>
      </c>
      <c r="BL124" s="15">
        <v>2700</v>
      </c>
      <c r="BM124" s="11">
        <v>1991.6000000000001</v>
      </c>
      <c r="BN124" s="44">
        <v>420</v>
      </c>
      <c r="BO124" s="42">
        <v>6700</v>
      </c>
      <c r="BP124" s="45">
        <v>4498</v>
      </c>
      <c r="BQ124" s="44">
        <v>405</v>
      </c>
      <c r="BR124" s="42">
        <v>6030</v>
      </c>
      <c r="BS124" s="45">
        <v>4418.3999999999996</v>
      </c>
      <c r="BT124" s="44">
        <v>275</v>
      </c>
      <c r="BU124" s="42">
        <v>3830</v>
      </c>
      <c r="BV124" s="112">
        <v>2916</v>
      </c>
      <c r="BW124" s="115">
        <v>323</v>
      </c>
      <c r="BX124" s="116">
        <v>4936</v>
      </c>
      <c r="BY124" s="112">
        <v>3367.2799999999997</v>
      </c>
      <c r="BZ124" s="115">
        <v>290</v>
      </c>
      <c r="CA124" s="116">
        <v>4120</v>
      </c>
      <c r="CB124" s="112">
        <v>2928.8</v>
      </c>
      <c r="CC124" s="115">
        <v>445</v>
      </c>
      <c r="CD124" s="116">
        <v>6690</v>
      </c>
      <c r="CE124" s="112">
        <v>4823.6000000000004</v>
      </c>
      <c r="CF124" s="115">
        <v>265</v>
      </c>
      <c r="CG124" s="116">
        <v>4160</v>
      </c>
      <c r="CH124" s="112">
        <v>2780.3999999999996</v>
      </c>
      <c r="CI124" s="115">
        <v>290</v>
      </c>
      <c r="CJ124" s="116">
        <v>4440</v>
      </c>
      <c r="CK124" s="112">
        <v>3086.8</v>
      </c>
      <c r="CL124" s="54">
        <f t="shared" si="11"/>
        <v>4288</v>
      </c>
      <c r="CM124" s="63">
        <f t="shared" si="11"/>
        <v>63386</v>
      </c>
      <c r="CN124" s="55">
        <f t="shared" si="11"/>
        <v>45547.68</v>
      </c>
      <c r="CO124" s="54">
        <f t="shared" si="12"/>
        <v>357.33333333333331</v>
      </c>
      <c r="CP124" s="63">
        <f t="shared" si="12"/>
        <v>5282.166666666667</v>
      </c>
      <c r="CQ124" s="55">
        <f t="shared" si="12"/>
        <v>3795.64</v>
      </c>
    </row>
    <row r="125" spans="1:95" s="2" customFormat="1" ht="34.9" customHeight="1" x14ac:dyDescent="0.6">
      <c r="A125" s="5">
        <v>122</v>
      </c>
      <c r="B125" s="14" t="s">
        <v>334</v>
      </c>
      <c r="C125" s="21" t="s">
        <v>574</v>
      </c>
      <c r="D125" s="16" t="s">
        <v>335</v>
      </c>
      <c r="E125" s="15" t="s">
        <v>13</v>
      </c>
      <c r="F125" s="14" t="s">
        <v>79</v>
      </c>
      <c r="G125" s="7" t="s">
        <v>150</v>
      </c>
      <c r="H125" s="18" t="s">
        <v>334</v>
      </c>
      <c r="I125" s="18" t="s">
        <v>956</v>
      </c>
      <c r="J125" s="14" t="s">
        <v>957</v>
      </c>
      <c r="K125" s="49" t="s">
        <v>125</v>
      </c>
      <c r="L125" s="27">
        <v>235</v>
      </c>
      <c r="M125" s="58">
        <v>3300</v>
      </c>
      <c r="N125" s="78">
        <v>2265.1999999999998</v>
      </c>
      <c r="O125" s="27">
        <v>237</v>
      </c>
      <c r="P125" s="58">
        <v>3560</v>
      </c>
      <c r="Q125" s="104">
        <v>2242.4</v>
      </c>
      <c r="R125" s="27">
        <v>190</v>
      </c>
      <c r="S125" s="58">
        <v>2830</v>
      </c>
      <c r="T125" s="98">
        <v>1817.6000000000001</v>
      </c>
      <c r="U125" s="27">
        <v>286</v>
      </c>
      <c r="V125" s="58">
        <v>4174</v>
      </c>
      <c r="W125" s="107">
        <v>2677.76</v>
      </c>
      <c r="X125" s="27">
        <v>136</v>
      </c>
      <c r="Y125" s="58">
        <v>1972</v>
      </c>
      <c r="Z125" s="107">
        <v>1309.2</v>
      </c>
      <c r="AA125" s="27">
        <v>231</v>
      </c>
      <c r="AB125" s="58">
        <v>3282</v>
      </c>
      <c r="AC125" s="107">
        <v>2147.6</v>
      </c>
      <c r="AD125" s="27">
        <v>255</v>
      </c>
      <c r="AE125" s="58">
        <v>3610</v>
      </c>
      <c r="AF125" s="107">
        <v>2374.8000000000002</v>
      </c>
      <c r="AG125" s="27">
        <v>190</v>
      </c>
      <c r="AH125" s="58">
        <v>2858</v>
      </c>
      <c r="AI125" s="107">
        <v>1799.04</v>
      </c>
      <c r="AJ125" s="27">
        <v>235</v>
      </c>
      <c r="AK125" s="58">
        <v>3300</v>
      </c>
      <c r="AL125" s="107">
        <v>2112</v>
      </c>
      <c r="AM125" s="27">
        <v>170</v>
      </c>
      <c r="AN125" s="58">
        <v>2530</v>
      </c>
      <c r="AO125" s="107">
        <v>1668.8000000000002</v>
      </c>
      <c r="AP125" s="27">
        <v>170</v>
      </c>
      <c r="AQ125" s="58">
        <v>2450</v>
      </c>
      <c r="AR125" s="107">
        <v>1591.6000000000001</v>
      </c>
      <c r="AS125" s="27">
        <v>140</v>
      </c>
      <c r="AT125" s="58">
        <v>2030</v>
      </c>
      <c r="AU125" s="107">
        <v>1322.8000000000002</v>
      </c>
      <c r="AV125" s="54">
        <f t="shared" si="7"/>
        <v>2475</v>
      </c>
      <c r="AW125" s="63">
        <f t="shared" si="7"/>
        <v>35896</v>
      </c>
      <c r="AX125" s="55">
        <f t="shared" si="7"/>
        <v>23328.799999999999</v>
      </c>
      <c r="AY125" s="54">
        <f t="shared" si="8"/>
        <v>206.25</v>
      </c>
      <c r="AZ125" s="63">
        <f t="shared" si="9"/>
        <v>17.1875</v>
      </c>
      <c r="BA125" s="55">
        <f t="shared" si="10"/>
        <v>1944.0666666666666</v>
      </c>
      <c r="BB125" s="10">
        <v>218</v>
      </c>
      <c r="BC125" s="15">
        <v>3160</v>
      </c>
      <c r="BD125" s="11">
        <v>2073.4</v>
      </c>
      <c r="BE125" s="10">
        <v>143</v>
      </c>
      <c r="BF125" s="15">
        <v>2160</v>
      </c>
      <c r="BG125" s="11">
        <v>1373.6000000000001</v>
      </c>
      <c r="BH125" s="10">
        <v>190</v>
      </c>
      <c r="BI125" s="15">
        <v>2970</v>
      </c>
      <c r="BJ125" s="11">
        <v>1827.6000000000001</v>
      </c>
      <c r="BK125" s="10">
        <v>185</v>
      </c>
      <c r="BL125" s="15">
        <v>2610</v>
      </c>
      <c r="BM125" s="11">
        <v>1778.0000000000002</v>
      </c>
      <c r="BN125" s="44">
        <v>170</v>
      </c>
      <c r="BO125" s="42">
        <v>2410</v>
      </c>
      <c r="BP125" s="45">
        <v>1628.4</v>
      </c>
      <c r="BQ125" s="44">
        <v>131</v>
      </c>
      <c r="BR125" s="42">
        <v>1996</v>
      </c>
      <c r="BS125" s="45">
        <v>1269.6000000000004</v>
      </c>
      <c r="BT125" s="44">
        <v>160</v>
      </c>
      <c r="BU125" s="42">
        <v>2430</v>
      </c>
      <c r="BV125" s="112">
        <v>1518.4</v>
      </c>
      <c r="BW125" s="115">
        <v>180</v>
      </c>
      <c r="BX125" s="116">
        <v>2693</v>
      </c>
      <c r="BY125" s="112">
        <v>1730.0400000000002</v>
      </c>
      <c r="BZ125" s="115">
        <v>140</v>
      </c>
      <c r="CA125" s="116">
        <v>2160</v>
      </c>
      <c r="CB125" s="112">
        <v>1348</v>
      </c>
      <c r="CC125" s="115">
        <v>110</v>
      </c>
      <c r="CD125" s="116">
        <v>1710</v>
      </c>
      <c r="CE125" s="112">
        <v>1100.8000000000002</v>
      </c>
      <c r="CF125" s="115">
        <v>140</v>
      </c>
      <c r="CG125" s="116">
        <v>2120</v>
      </c>
      <c r="CH125" s="112">
        <v>1360.8</v>
      </c>
      <c r="CI125" s="115">
        <v>125</v>
      </c>
      <c r="CJ125" s="116">
        <v>1920</v>
      </c>
      <c r="CK125" s="112">
        <v>1259.1999999999998</v>
      </c>
      <c r="CL125" s="54">
        <f t="shared" si="11"/>
        <v>1892</v>
      </c>
      <c r="CM125" s="63">
        <f t="shared" si="11"/>
        <v>28339</v>
      </c>
      <c r="CN125" s="55">
        <f t="shared" si="11"/>
        <v>18267.84</v>
      </c>
      <c r="CO125" s="54">
        <f t="shared" si="12"/>
        <v>157.66666666666666</v>
      </c>
      <c r="CP125" s="63">
        <f t="shared" si="12"/>
        <v>2361.5833333333335</v>
      </c>
      <c r="CQ125" s="55">
        <f t="shared" si="12"/>
        <v>1522.32</v>
      </c>
    </row>
    <row r="126" spans="1:95" s="2" customFormat="1" ht="34.9" customHeight="1" x14ac:dyDescent="0.6">
      <c r="A126" s="5">
        <v>123</v>
      </c>
      <c r="B126" s="14" t="s">
        <v>336</v>
      </c>
      <c r="C126" s="21" t="s">
        <v>636</v>
      </c>
      <c r="D126" s="16" t="s">
        <v>337</v>
      </c>
      <c r="E126" s="15" t="s">
        <v>13</v>
      </c>
      <c r="F126" s="14" t="s">
        <v>79</v>
      </c>
      <c r="G126" s="7" t="s">
        <v>150</v>
      </c>
      <c r="H126" s="18" t="s">
        <v>958</v>
      </c>
      <c r="I126" s="18" t="s">
        <v>959</v>
      </c>
      <c r="J126" s="14" t="s">
        <v>960</v>
      </c>
      <c r="K126" s="49" t="s">
        <v>125</v>
      </c>
      <c r="L126" s="27">
        <v>485</v>
      </c>
      <c r="M126" s="58">
        <v>7580</v>
      </c>
      <c r="N126" s="78">
        <v>5156.7999999999993</v>
      </c>
      <c r="O126" s="27">
        <v>510</v>
      </c>
      <c r="P126" s="58">
        <v>7942</v>
      </c>
      <c r="Q126" s="104">
        <v>5491.1200000000008</v>
      </c>
      <c r="R126" s="27">
        <v>501</v>
      </c>
      <c r="S126" s="58">
        <v>7890</v>
      </c>
      <c r="T126" s="98">
        <v>5316</v>
      </c>
      <c r="U126" s="27">
        <v>531</v>
      </c>
      <c r="V126" s="58">
        <v>7874</v>
      </c>
      <c r="W126" s="107">
        <v>5715.3600000000006</v>
      </c>
      <c r="X126" s="27">
        <v>505</v>
      </c>
      <c r="Y126" s="58">
        <v>7570</v>
      </c>
      <c r="Z126" s="107">
        <v>5258.4</v>
      </c>
      <c r="AA126" s="27">
        <v>495</v>
      </c>
      <c r="AB126" s="58">
        <v>7408</v>
      </c>
      <c r="AC126" s="107">
        <v>5216.8</v>
      </c>
      <c r="AD126" s="27">
        <v>701</v>
      </c>
      <c r="AE126" s="58">
        <v>10462</v>
      </c>
      <c r="AF126" s="107">
        <v>7380</v>
      </c>
      <c r="AG126" s="27">
        <v>415</v>
      </c>
      <c r="AH126" s="58">
        <v>6270</v>
      </c>
      <c r="AI126" s="107">
        <v>4224</v>
      </c>
      <c r="AJ126" s="27">
        <v>470</v>
      </c>
      <c r="AK126" s="58">
        <v>7440</v>
      </c>
      <c r="AL126" s="107">
        <v>4762</v>
      </c>
      <c r="AM126" s="27">
        <v>425</v>
      </c>
      <c r="AN126" s="58">
        <v>6640</v>
      </c>
      <c r="AO126" s="107">
        <v>4445.6000000000004</v>
      </c>
      <c r="AP126" s="27">
        <v>495</v>
      </c>
      <c r="AQ126" s="58">
        <v>7380</v>
      </c>
      <c r="AR126" s="107">
        <v>5166.8</v>
      </c>
      <c r="AS126" s="27">
        <v>485</v>
      </c>
      <c r="AT126" s="58">
        <v>7540</v>
      </c>
      <c r="AU126" s="107">
        <v>5210.8</v>
      </c>
      <c r="AV126" s="54">
        <f t="shared" si="7"/>
        <v>6018</v>
      </c>
      <c r="AW126" s="63">
        <f t="shared" si="7"/>
        <v>91996</v>
      </c>
      <c r="AX126" s="55">
        <f t="shared" si="7"/>
        <v>63343.68</v>
      </c>
      <c r="AY126" s="54">
        <f t="shared" si="8"/>
        <v>501.5</v>
      </c>
      <c r="AZ126" s="63">
        <f t="shared" si="9"/>
        <v>41.791666666666664</v>
      </c>
      <c r="BA126" s="55">
        <f t="shared" si="10"/>
        <v>5278.64</v>
      </c>
      <c r="BB126" s="10">
        <v>330</v>
      </c>
      <c r="BC126" s="15">
        <v>5020</v>
      </c>
      <c r="BD126" s="11">
        <v>3541.6000000000004</v>
      </c>
      <c r="BE126" s="10">
        <v>510</v>
      </c>
      <c r="BF126" s="15">
        <v>7330</v>
      </c>
      <c r="BG126" s="11">
        <v>5310.8</v>
      </c>
      <c r="BH126" s="10">
        <v>540</v>
      </c>
      <c r="BI126" s="15">
        <v>7980</v>
      </c>
      <c r="BJ126" s="11">
        <v>5838.4</v>
      </c>
      <c r="BK126" s="10">
        <v>560</v>
      </c>
      <c r="BL126" s="15">
        <v>8490</v>
      </c>
      <c r="BM126" s="11">
        <v>5890.7999999999993</v>
      </c>
      <c r="BN126" s="44">
        <v>376</v>
      </c>
      <c r="BO126" s="42">
        <v>5102</v>
      </c>
      <c r="BP126" s="45">
        <v>3946.7999999999997</v>
      </c>
      <c r="BQ126" s="44">
        <v>625</v>
      </c>
      <c r="BR126" s="42">
        <v>9150</v>
      </c>
      <c r="BS126" s="45">
        <v>6558.4</v>
      </c>
      <c r="BT126" s="44">
        <v>590</v>
      </c>
      <c r="BU126" s="42">
        <v>8710</v>
      </c>
      <c r="BV126" s="112">
        <v>6168.7999999999993</v>
      </c>
      <c r="BW126" s="115">
        <v>550</v>
      </c>
      <c r="BX126" s="116">
        <v>8230</v>
      </c>
      <c r="BY126" s="112">
        <v>5863.6</v>
      </c>
      <c r="BZ126" s="115">
        <v>590</v>
      </c>
      <c r="CA126" s="116">
        <v>8900</v>
      </c>
      <c r="CB126" s="112">
        <v>6253.5999999999995</v>
      </c>
      <c r="CC126" s="115">
        <v>585</v>
      </c>
      <c r="CD126" s="116">
        <v>8500</v>
      </c>
      <c r="CE126" s="112">
        <v>6264.8</v>
      </c>
      <c r="CF126" s="115">
        <v>515</v>
      </c>
      <c r="CG126" s="116">
        <v>7970</v>
      </c>
      <c r="CH126" s="112">
        <v>5519.2</v>
      </c>
      <c r="CI126" s="115">
        <v>550</v>
      </c>
      <c r="CJ126" s="116">
        <v>8310</v>
      </c>
      <c r="CK126" s="112">
        <v>5718</v>
      </c>
      <c r="CL126" s="54">
        <f t="shared" si="11"/>
        <v>6321</v>
      </c>
      <c r="CM126" s="63">
        <f t="shared" si="11"/>
        <v>93692</v>
      </c>
      <c r="CN126" s="55">
        <f t="shared" si="11"/>
        <v>66874.799999999988</v>
      </c>
      <c r="CO126" s="54">
        <f t="shared" si="12"/>
        <v>526.75</v>
      </c>
      <c r="CP126" s="63">
        <f t="shared" si="12"/>
        <v>7807.666666666667</v>
      </c>
      <c r="CQ126" s="55">
        <f t="shared" si="12"/>
        <v>5572.8999999999987</v>
      </c>
    </row>
    <row r="127" spans="1:95" s="2" customFormat="1" ht="34.9" customHeight="1" x14ac:dyDescent="0.6">
      <c r="A127" s="5">
        <v>124</v>
      </c>
      <c r="B127" s="14" t="s">
        <v>338</v>
      </c>
      <c r="C127" s="21" t="s">
        <v>646</v>
      </c>
      <c r="D127" s="16" t="s">
        <v>339</v>
      </c>
      <c r="E127" s="15" t="s">
        <v>96</v>
      </c>
      <c r="F127" s="15" t="s">
        <v>97</v>
      </c>
      <c r="G127" s="7" t="s">
        <v>150</v>
      </c>
      <c r="H127" s="18" t="s">
        <v>961</v>
      </c>
      <c r="I127" s="18" t="s">
        <v>962</v>
      </c>
      <c r="J127" s="14" t="s">
        <v>963</v>
      </c>
      <c r="K127" s="49" t="s">
        <v>125</v>
      </c>
      <c r="L127" s="27">
        <v>190</v>
      </c>
      <c r="M127" s="58">
        <v>2780</v>
      </c>
      <c r="N127" s="78">
        <v>1917.6000000000001</v>
      </c>
      <c r="O127" s="27">
        <v>232</v>
      </c>
      <c r="P127" s="58">
        <v>3448</v>
      </c>
      <c r="Q127" s="49">
        <v>2334.8000000000002</v>
      </c>
      <c r="R127" s="27">
        <v>305</v>
      </c>
      <c r="S127" s="58">
        <v>4380</v>
      </c>
      <c r="T127" s="98">
        <v>3011.2</v>
      </c>
      <c r="U127" s="27">
        <v>110</v>
      </c>
      <c r="V127" s="58">
        <v>1610</v>
      </c>
      <c r="W127" s="12">
        <v>1078</v>
      </c>
      <c r="X127" s="27">
        <v>190</v>
      </c>
      <c r="Y127" s="58">
        <v>2860</v>
      </c>
      <c r="Z127" s="12">
        <v>1844</v>
      </c>
      <c r="AA127" s="27">
        <v>231</v>
      </c>
      <c r="AB127" s="58">
        <v>3572</v>
      </c>
      <c r="AC127" s="107">
        <v>2196.8000000000002</v>
      </c>
      <c r="AD127" s="27">
        <v>186</v>
      </c>
      <c r="AE127" s="58">
        <v>2502</v>
      </c>
      <c r="AF127" s="107">
        <v>1818.0000000000002</v>
      </c>
      <c r="AG127" s="27">
        <v>193</v>
      </c>
      <c r="AH127" s="58">
        <v>2896</v>
      </c>
      <c r="AI127" s="107">
        <v>1872.8</v>
      </c>
      <c r="AJ127" s="27">
        <v>221</v>
      </c>
      <c r="AK127" s="58">
        <v>3232</v>
      </c>
      <c r="AL127" s="107">
        <v>2164.4</v>
      </c>
      <c r="AM127" s="27">
        <v>227</v>
      </c>
      <c r="AN127" s="58">
        <v>3228</v>
      </c>
      <c r="AO127" s="107">
        <v>2379.52</v>
      </c>
      <c r="AP127" s="27">
        <v>97</v>
      </c>
      <c r="AQ127" s="58">
        <v>1484</v>
      </c>
      <c r="AR127" s="107">
        <v>893.19999999999993</v>
      </c>
      <c r="AS127" s="27">
        <v>121</v>
      </c>
      <c r="AT127" s="58">
        <v>1932</v>
      </c>
      <c r="AU127" s="107">
        <v>1164.4000000000001</v>
      </c>
      <c r="AV127" s="54">
        <f t="shared" si="7"/>
        <v>2303</v>
      </c>
      <c r="AW127" s="63">
        <f t="shared" si="7"/>
        <v>33924</v>
      </c>
      <c r="AX127" s="55">
        <f t="shared" si="7"/>
        <v>22674.720000000005</v>
      </c>
      <c r="AY127" s="54">
        <f t="shared" si="8"/>
        <v>191.91666666666666</v>
      </c>
      <c r="AZ127" s="63">
        <f t="shared" si="9"/>
        <v>15.993055555555555</v>
      </c>
      <c r="BA127" s="55">
        <f t="shared" si="10"/>
        <v>1889.5600000000004</v>
      </c>
      <c r="BB127" s="10">
        <v>112</v>
      </c>
      <c r="BC127" s="15">
        <v>1764</v>
      </c>
      <c r="BD127" s="11">
        <v>1120</v>
      </c>
      <c r="BE127" s="10">
        <v>53</v>
      </c>
      <c r="BF127" s="15">
        <v>1236</v>
      </c>
      <c r="BG127" s="11">
        <v>556.4</v>
      </c>
      <c r="BH127" s="10">
        <v>200</v>
      </c>
      <c r="BI127" s="15">
        <v>3000</v>
      </c>
      <c r="BJ127" s="11">
        <v>2132.4</v>
      </c>
      <c r="BK127" s="10">
        <v>45</v>
      </c>
      <c r="BL127" s="15">
        <v>540</v>
      </c>
      <c r="BM127" s="11">
        <v>540</v>
      </c>
      <c r="BN127" s="44">
        <v>0</v>
      </c>
      <c r="BO127" s="42">
        <v>0</v>
      </c>
      <c r="BP127" s="45">
        <v>0</v>
      </c>
      <c r="BQ127" s="44">
        <v>0</v>
      </c>
      <c r="BR127" s="42">
        <v>0</v>
      </c>
      <c r="BS127" s="45">
        <v>0</v>
      </c>
      <c r="BT127" s="44">
        <v>117</v>
      </c>
      <c r="BU127" s="42">
        <v>1924</v>
      </c>
      <c r="BV127" s="112">
        <v>1226.8</v>
      </c>
      <c r="BW127" s="115">
        <v>116</v>
      </c>
      <c r="BX127" s="116">
        <v>2072</v>
      </c>
      <c r="BY127" s="112">
        <v>1245.76</v>
      </c>
      <c r="BZ127" s="115">
        <v>117</v>
      </c>
      <c r="CA127" s="116">
        <v>1644</v>
      </c>
      <c r="CB127" s="112">
        <v>1206.8</v>
      </c>
      <c r="CC127" s="115">
        <v>0</v>
      </c>
      <c r="CD127" s="116">
        <v>0</v>
      </c>
      <c r="CE127" s="112">
        <v>0</v>
      </c>
      <c r="CF127" s="115">
        <v>0</v>
      </c>
      <c r="CG127" s="116">
        <v>0</v>
      </c>
      <c r="CH127" s="112">
        <v>0</v>
      </c>
      <c r="CI127" s="115">
        <v>50</v>
      </c>
      <c r="CJ127" s="116">
        <v>700</v>
      </c>
      <c r="CK127" s="112">
        <v>448</v>
      </c>
      <c r="CL127" s="54">
        <f t="shared" si="11"/>
        <v>810</v>
      </c>
      <c r="CM127" s="63">
        <f t="shared" si="11"/>
        <v>12880</v>
      </c>
      <c r="CN127" s="55">
        <f t="shared" si="11"/>
        <v>8476.16</v>
      </c>
      <c r="CO127" s="54">
        <f t="shared" si="12"/>
        <v>67.5</v>
      </c>
      <c r="CP127" s="63">
        <f t="shared" si="12"/>
        <v>1073.3333333333333</v>
      </c>
      <c r="CQ127" s="55">
        <f t="shared" si="12"/>
        <v>706.34666666666669</v>
      </c>
    </row>
    <row r="128" spans="1:95" s="2" customFormat="1" ht="34.9" customHeight="1" x14ac:dyDescent="0.6">
      <c r="A128" s="5">
        <v>125</v>
      </c>
      <c r="B128" s="14" t="s">
        <v>340</v>
      </c>
      <c r="C128" s="18" t="s">
        <v>375</v>
      </c>
      <c r="D128" s="16" t="s">
        <v>341</v>
      </c>
      <c r="E128" s="14" t="s">
        <v>90</v>
      </c>
      <c r="F128" s="14" t="s">
        <v>273</v>
      </c>
      <c r="G128" s="7" t="s">
        <v>150</v>
      </c>
      <c r="H128" s="18" t="s">
        <v>964</v>
      </c>
      <c r="I128" s="18" t="s">
        <v>965</v>
      </c>
      <c r="J128" s="14" t="s">
        <v>966</v>
      </c>
      <c r="K128" s="49" t="s">
        <v>125</v>
      </c>
      <c r="L128" s="27">
        <v>0</v>
      </c>
      <c r="M128" s="58">
        <v>0</v>
      </c>
      <c r="N128" s="78">
        <v>0</v>
      </c>
      <c r="O128" s="27">
        <v>0</v>
      </c>
      <c r="P128" s="58">
        <v>0</v>
      </c>
      <c r="Q128" s="49">
        <v>0</v>
      </c>
      <c r="R128" s="27">
        <v>0</v>
      </c>
      <c r="S128" s="58">
        <v>0</v>
      </c>
      <c r="T128" s="98">
        <v>0</v>
      </c>
      <c r="U128" s="27">
        <v>60</v>
      </c>
      <c r="V128" s="58">
        <v>770</v>
      </c>
      <c r="W128" s="12">
        <v>644</v>
      </c>
      <c r="X128" s="27">
        <v>145</v>
      </c>
      <c r="Y128" s="58">
        <v>1820</v>
      </c>
      <c r="Z128" s="107">
        <v>1618.4</v>
      </c>
      <c r="AA128" s="27">
        <v>45</v>
      </c>
      <c r="AB128" s="58">
        <v>540</v>
      </c>
      <c r="AC128" s="12">
        <v>540</v>
      </c>
      <c r="AD128" s="27">
        <v>135</v>
      </c>
      <c r="AE128" s="58">
        <v>1670</v>
      </c>
      <c r="AF128" s="107">
        <v>1508</v>
      </c>
      <c r="AG128" s="27">
        <v>0</v>
      </c>
      <c r="AH128" s="58">
        <v>0</v>
      </c>
      <c r="AI128" s="107">
        <v>0</v>
      </c>
      <c r="AJ128" s="27">
        <v>40</v>
      </c>
      <c r="AK128" s="58">
        <v>500</v>
      </c>
      <c r="AL128" s="107">
        <v>449.6</v>
      </c>
      <c r="AM128" s="27">
        <v>95</v>
      </c>
      <c r="AN128" s="58">
        <v>1180</v>
      </c>
      <c r="AO128" s="107">
        <v>1061.2</v>
      </c>
      <c r="AP128" s="27">
        <v>0</v>
      </c>
      <c r="AQ128" s="58">
        <v>0</v>
      </c>
      <c r="AR128" s="107">
        <v>0</v>
      </c>
      <c r="AS128" s="27">
        <v>55</v>
      </c>
      <c r="AT128" s="58">
        <v>710</v>
      </c>
      <c r="AU128" s="107">
        <v>584</v>
      </c>
      <c r="AV128" s="54">
        <f t="shared" si="7"/>
        <v>575</v>
      </c>
      <c r="AW128" s="63">
        <f t="shared" si="7"/>
        <v>7190</v>
      </c>
      <c r="AX128" s="55">
        <f t="shared" si="7"/>
        <v>6405.2</v>
      </c>
      <c r="AY128" s="54">
        <f t="shared" si="8"/>
        <v>47.916666666666664</v>
      </c>
      <c r="AZ128" s="63">
        <f t="shared" si="9"/>
        <v>3.9930555555555554</v>
      </c>
      <c r="BA128" s="55">
        <f t="shared" si="10"/>
        <v>533.76666666666665</v>
      </c>
      <c r="BB128" s="10">
        <v>20</v>
      </c>
      <c r="BC128" s="15">
        <v>240</v>
      </c>
      <c r="BD128" s="11">
        <v>240</v>
      </c>
      <c r="BE128" s="10">
        <v>65</v>
      </c>
      <c r="BF128" s="15">
        <v>810</v>
      </c>
      <c r="BG128" s="11">
        <v>734.4</v>
      </c>
      <c r="BH128" s="10">
        <v>70</v>
      </c>
      <c r="BI128" s="15">
        <v>860</v>
      </c>
      <c r="BJ128" s="11">
        <v>809.6</v>
      </c>
      <c r="BK128" s="10">
        <v>0</v>
      </c>
      <c r="BL128" s="15">
        <v>0</v>
      </c>
      <c r="BM128" s="11">
        <v>0</v>
      </c>
      <c r="BN128" s="44">
        <v>30</v>
      </c>
      <c r="BO128" s="42">
        <v>420</v>
      </c>
      <c r="BP128" s="45">
        <v>268.8</v>
      </c>
      <c r="BQ128" s="44">
        <v>70</v>
      </c>
      <c r="BR128" s="42">
        <v>840</v>
      </c>
      <c r="BS128" s="45">
        <v>840</v>
      </c>
      <c r="BT128" s="44">
        <v>40</v>
      </c>
      <c r="BU128" s="42">
        <v>500</v>
      </c>
      <c r="BV128" s="112">
        <v>449.6</v>
      </c>
      <c r="BW128" s="115">
        <v>1</v>
      </c>
      <c r="BX128" s="116">
        <v>12</v>
      </c>
      <c r="BY128" s="112">
        <v>8.16</v>
      </c>
      <c r="BZ128" s="115">
        <v>100</v>
      </c>
      <c r="CA128" s="116">
        <v>1240</v>
      </c>
      <c r="CB128" s="112">
        <v>1139.2</v>
      </c>
      <c r="CC128" s="115">
        <v>0</v>
      </c>
      <c r="CD128" s="116">
        <v>0</v>
      </c>
      <c r="CE128" s="112">
        <v>0</v>
      </c>
      <c r="CF128" s="115">
        <v>15</v>
      </c>
      <c r="CG128" s="116">
        <v>180</v>
      </c>
      <c r="CH128" s="112">
        <v>180</v>
      </c>
      <c r="CI128" s="115">
        <v>0</v>
      </c>
      <c r="CJ128" s="116">
        <v>0</v>
      </c>
      <c r="CK128" s="112">
        <v>0</v>
      </c>
      <c r="CL128" s="54">
        <f t="shared" si="11"/>
        <v>411</v>
      </c>
      <c r="CM128" s="63">
        <f t="shared" si="11"/>
        <v>5102</v>
      </c>
      <c r="CN128" s="55">
        <f t="shared" si="11"/>
        <v>4669.76</v>
      </c>
      <c r="CO128" s="54">
        <f t="shared" si="12"/>
        <v>34.25</v>
      </c>
      <c r="CP128" s="63">
        <f t="shared" si="12"/>
        <v>425.16666666666669</v>
      </c>
      <c r="CQ128" s="55">
        <f t="shared" si="12"/>
        <v>389.1466666666667</v>
      </c>
    </row>
    <row r="129" spans="1:95" s="2" customFormat="1" ht="34.9" customHeight="1" x14ac:dyDescent="0.6">
      <c r="A129" s="5">
        <v>126</v>
      </c>
      <c r="B129" s="14" t="s">
        <v>342</v>
      </c>
      <c r="C129" s="18" t="s">
        <v>379</v>
      </c>
      <c r="D129" s="16" t="s">
        <v>342</v>
      </c>
      <c r="E129" s="14" t="s">
        <v>57</v>
      </c>
      <c r="F129" s="14" t="s">
        <v>58</v>
      </c>
      <c r="G129" s="7" t="s">
        <v>150</v>
      </c>
      <c r="H129" s="18" t="s">
        <v>967</v>
      </c>
      <c r="I129" s="18" t="s">
        <v>968</v>
      </c>
      <c r="J129" s="14" t="s">
        <v>969</v>
      </c>
      <c r="K129" s="49" t="s">
        <v>125</v>
      </c>
      <c r="L129" s="27">
        <v>430</v>
      </c>
      <c r="M129" s="58">
        <v>7080</v>
      </c>
      <c r="N129" s="78">
        <v>4915.2</v>
      </c>
      <c r="O129" s="27">
        <v>330</v>
      </c>
      <c r="P129" s="58">
        <v>5820</v>
      </c>
      <c r="Q129" s="49">
        <v>3662.4</v>
      </c>
      <c r="R129" s="27">
        <v>325</v>
      </c>
      <c r="S129" s="58">
        <v>6200</v>
      </c>
      <c r="T129" s="98">
        <v>3920.8</v>
      </c>
      <c r="U129" s="27">
        <v>320</v>
      </c>
      <c r="V129" s="58">
        <v>5440</v>
      </c>
      <c r="W129" s="12">
        <v>3540</v>
      </c>
      <c r="X129" s="27">
        <v>414</v>
      </c>
      <c r="Y129" s="58">
        <v>6648</v>
      </c>
      <c r="Z129" s="107">
        <v>4948.8</v>
      </c>
      <c r="AA129" s="27">
        <v>240</v>
      </c>
      <c r="AB129" s="58">
        <v>3480</v>
      </c>
      <c r="AC129" s="107">
        <v>2811.2</v>
      </c>
      <c r="AD129" s="27">
        <v>686</v>
      </c>
      <c r="AE129" s="58">
        <v>10840</v>
      </c>
      <c r="AF129" s="107">
        <v>7860</v>
      </c>
      <c r="AG129" s="27">
        <v>339</v>
      </c>
      <c r="AH129" s="58">
        <v>6200</v>
      </c>
      <c r="AI129" s="107">
        <v>3758</v>
      </c>
      <c r="AJ129" s="27">
        <v>210</v>
      </c>
      <c r="AK129" s="58">
        <v>3640</v>
      </c>
      <c r="AL129" s="107">
        <v>2504</v>
      </c>
      <c r="AM129" s="27">
        <v>345</v>
      </c>
      <c r="AN129" s="58">
        <v>5960</v>
      </c>
      <c r="AO129" s="107">
        <v>4174</v>
      </c>
      <c r="AP129" s="27">
        <v>365</v>
      </c>
      <c r="AQ129" s="58">
        <v>5880</v>
      </c>
      <c r="AR129" s="107">
        <v>4136</v>
      </c>
      <c r="AS129" s="27">
        <v>300</v>
      </c>
      <c r="AT129" s="58">
        <v>5840</v>
      </c>
      <c r="AU129" s="107">
        <v>3664</v>
      </c>
      <c r="AV129" s="54">
        <f t="shared" si="7"/>
        <v>4304</v>
      </c>
      <c r="AW129" s="63">
        <f t="shared" si="7"/>
        <v>73028</v>
      </c>
      <c r="AX129" s="55">
        <f t="shared" si="7"/>
        <v>49894.400000000001</v>
      </c>
      <c r="AY129" s="54">
        <f t="shared" si="8"/>
        <v>358.66666666666669</v>
      </c>
      <c r="AZ129" s="63">
        <f t="shared" si="9"/>
        <v>29.888888888888889</v>
      </c>
      <c r="BA129" s="55">
        <f t="shared" si="10"/>
        <v>4157.8666666666668</v>
      </c>
      <c r="BB129" s="10">
        <v>530</v>
      </c>
      <c r="BC129" s="15">
        <v>7960</v>
      </c>
      <c r="BD129" s="11">
        <v>6012</v>
      </c>
      <c r="BE129" s="10">
        <v>270</v>
      </c>
      <c r="BF129" s="15">
        <v>4680</v>
      </c>
      <c r="BG129" s="11">
        <v>3231.2</v>
      </c>
      <c r="BH129" s="10">
        <v>445</v>
      </c>
      <c r="BI129" s="15">
        <v>7820</v>
      </c>
      <c r="BJ129" s="11">
        <v>5166</v>
      </c>
      <c r="BK129" s="10">
        <v>200</v>
      </c>
      <c r="BL129" s="15">
        <v>3300</v>
      </c>
      <c r="BM129" s="11">
        <v>2272.8000000000002</v>
      </c>
      <c r="BN129" s="44">
        <v>115</v>
      </c>
      <c r="BO129" s="42">
        <v>2640</v>
      </c>
      <c r="BP129" s="45">
        <v>1470</v>
      </c>
      <c r="BQ129" s="44">
        <v>295</v>
      </c>
      <c r="BR129" s="42">
        <v>5680</v>
      </c>
      <c r="BS129" s="45">
        <v>3629.2</v>
      </c>
      <c r="BT129" s="44">
        <v>315</v>
      </c>
      <c r="BU129" s="42">
        <v>5280</v>
      </c>
      <c r="BV129" s="112">
        <v>3656</v>
      </c>
      <c r="BW129" s="115">
        <v>135</v>
      </c>
      <c r="BX129" s="116">
        <v>2693</v>
      </c>
      <c r="BY129" s="112">
        <v>1555.24</v>
      </c>
      <c r="BZ129" s="115">
        <v>315</v>
      </c>
      <c r="CA129" s="116">
        <v>6180</v>
      </c>
      <c r="CB129" s="112">
        <v>3823.6</v>
      </c>
      <c r="CC129" s="115">
        <v>265</v>
      </c>
      <c r="CD129" s="116">
        <v>4540</v>
      </c>
      <c r="CE129" s="112">
        <v>3070</v>
      </c>
      <c r="CF129" s="115">
        <v>225</v>
      </c>
      <c r="CG129" s="116">
        <v>3980</v>
      </c>
      <c r="CH129" s="112">
        <v>2687.6</v>
      </c>
      <c r="CI129" s="115">
        <v>300</v>
      </c>
      <c r="CJ129" s="116">
        <v>4540</v>
      </c>
      <c r="CK129" s="112">
        <v>3508</v>
      </c>
      <c r="CL129" s="54">
        <f t="shared" si="11"/>
        <v>3410</v>
      </c>
      <c r="CM129" s="63">
        <f t="shared" si="11"/>
        <v>59293</v>
      </c>
      <c r="CN129" s="55">
        <f t="shared" si="11"/>
        <v>40081.64</v>
      </c>
      <c r="CO129" s="54">
        <f t="shared" si="12"/>
        <v>284.16666666666669</v>
      </c>
      <c r="CP129" s="63">
        <f t="shared" si="12"/>
        <v>4941.083333333333</v>
      </c>
      <c r="CQ129" s="55">
        <f t="shared" si="12"/>
        <v>3340.1366666666668</v>
      </c>
    </row>
    <row r="130" spans="1:95" s="2" customFormat="1" ht="34.9" customHeight="1" x14ac:dyDescent="0.6">
      <c r="A130" s="5">
        <v>127</v>
      </c>
      <c r="B130" s="14" t="s">
        <v>343</v>
      </c>
      <c r="C130" s="18" t="s">
        <v>381</v>
      </c>
      <c r="D130" s="16" t="s">
        <v>344</v>
      </c>
      <c r="E130" s="14" t="s">
        <v>345</v>
      </c>
      <c r="F130" s="14" t="s">
        <v>346</v>
      </c>
      <c r="G130" s="7" t="s">
        <v>150</v>
      </c>
      <c r="H130" s="18" t="s">
        <v>970</v>
      </c>
      <c r="I130" s="18" t="s">
        <v>971</v>
      </c>
      <c r="J130" s="14" t="s">
        <v>972</v>
      </c>
      <c r="K130" s="49" t="s">
        <v>125</v>
      </c>
      <c r="L130" s="27">
        <v>0</v>
      </c>
      <c r="M130" s="58">
        <v>0</v>
      </c>
      <c r="N130" s="78">
        <v>0</v>
      </c>
      <c r="O130" s="27">
        <v>201</v>
      </c>
      <c r="P130" s="58">
        <v>2412</v>
      </c>
      <c r="Q130" s="49">
        <v>2412</v>
      </c>
      <c r="R130" s="27">
        <v>0</v>
      </c>
      <c r="S130" s="58">
        <v>0</v>
      </c>
      <c r="T130" s="98">
        <v>0</v>
      </c>
      <c r="U130" s="27">
        <v>150</v>
      </c>
      <c r="V130" s="58">
        <v>4600</v>
      </c>
      <c r="W130" s="12">
        <v>2000</v>
      </c>
      <c r="X130" s="27">
        <v>350</v>
      </c>
      <c r="Y130" s="58">
        <v>4420</v>
      </c>
      <c r="Z130" s="107">
        <v>3865.6</v>
      </c>
      <c r="AA130" s="27">
        <v>50</v>
      </c>
      <c r="AB130" s="58">
        <v>600</v>
      </c>
      <c r="AC130" s="12">
        <v>600</v>
      </c>
      <c r="AD130" s="27">
        <v>325</v>
      </c>
      <c r="AE130" s="58">
        <v>4800</v>
      </c>
      <c r="AF130" s="107">
        <v>3646</v>
      </c>
      <c r="AG130" s="27">
        <v>60</v>
      </c>
      <c r="AH130" s="58">
        <v>720</v>
      </c>
      <c r="AI130" s="107">
        <v>720</v>
      </c>
      <c r="AJ130" s="27">
        <v>40</v>
      </c>
      <c r="AK130" s="58">
        <v>480</v>
      </c>
      <c r="AL130" s="107">
        <v>480</v>
      </c>
      <c r="AM130" s="27">
        <v>117</v>
      </c>
      <c r="AN130" s="58">
        <v>2284</v>
      </c>
      <c r="AO130" s="107">
        <v>1403.2</v>
      </c>
      <c r="AP130" s="27">
        <v>0</v>
      </c>
      <c r="AQ130" s="58">
        <v>0</v>
      </c>
      <c r="AR130" s="107">
        <v>0</v>
      </c>
      <c r="AS130" s="27">
        <v>0</v>
      </c>
      <c r="AT130" s="58">
        <v>0</v>
      </c>
      <c r="AU130" s="107">
        <v>0</v>
      </c>
      <c r="AV130" s="54">
        <f t="shared" si="7"/>
        <v>1293</v>
      </c>
      <c r="AW130" s="63">
        <f t="shared" si="7"/>
        <v>20316</v>
      </c>
      <c r="AX130" s="55">
        <f t="shared" si="7"/>
        <v>15126.800000000001</v>
      </c>
      <c r="AY130" s="54">
        <f t="shared" si="8"/>
        <v>107.75</v>
      </c>
      <c r="AZ130" s="63">
        <f t="shared" si="9"/>
        <v>8.9791666666666661</v>
      </c>
      <c r="BA130" s="55">
        <f t="shared" si="10"/>
        <v>1260.5666666666668</v>
      </c>
      <c r="BB130" s="10">
        <v>0</v>
      </c>
      <c r="BC130" s="15">
        <v>0</v>
      </c>
      <c r="BD130" s="11">
        <v>0</v>
      </c>
      <c r="BE130" s="10">
        <v>450</v>
      </c>
      <c r="BF130" s="15">
        <v>7420</v>
      </c>
      <c r="BG130" s="11">
        <v>5448.8</v>
      </c>
      <c r="BH130" s="10">
        <v>0</v>
      </c>
      <c r="BI130" s="15">
        <v>0</v>
      </c>
      <c r="BJ130" s="11">
        <v>0</v>
      </c>
      <c r="BK130" s="10">
        <v>300</v>
      </c>
      <c r="BL130" s="15">
        <v>3600</v>
      </c>
      <c r="BM130" s="11">
        <v>3600</v>
      </c>
      <c r="BN130" s="44">
        <v>0</v>
      </c>
      <c r="BO130" s="42">
        <v>0</v>
      </c>
      <c r="BP130" s="45">
        <v>0</v>
      </c>
      <c r="BQ130" s="44">
        <v>100</v>
      </c>
      <c r="BR130" s="42">
        <v>1200</v>
      </c>
      <c r="BS130" s="45">
        <v>1200</v>
      </c>
      <c r="BT130" s="44">
        <v>0</v>
      </c>
      <c r="BU130" s="42">
        <v>0</v>
      </c>
      <c r="BV130" s="112">
        <v>0</v>
      </c>
      <c r="BW130" s="115">
        <v>100</v>
      </c>
      <c r="BX130" s="116">
        <v>2703</v>
      </c>
      <c r="BY130" s="112">
        <v>1150.04</v>
      </c>
      <c r="BZ130" s="115">
        <v>0</v>
      </c>
      <c r="CA130" s="116">
        <v>0</v>
      </c>
      <c r="CB130" s="112">
        <v>0</v>
      </c>
      <c r="CC130" s="115">
        <v>0</v>
      </c>
      <c r="CD130" s="116">
        <v>0</v>
      </c>
      <c r="CE130" s="112">
        <v>0</v>
      </c>
      <c r="CF130" s="115">
        <v>300</v>
      </c>
      <c r="CG130" s="116">
        <v>3800</v>
      </c>
      <c r="CH130" s="112">
        <v>3296</v>
      </c>
      <c r="CI130" s="115">
        <v>0</v>
      </c>
      <c r="CJ130" s="116">
        <v>0</v>
      </c>
      <c r="CK130" s="112">
        <v>0</v>
      </c>
      <c r="CL130" s="54">
        <f t="shared" si="11"/>
        <v>1250</v>
      </c>
      <c r="CM130" s="63">
        <f t="shared" si="11"/>
        <v>18723</v>
      </c>
      <c r="CN130" s="55">
        <f t="shared" si="11"/>
        <v>14694.84</v>
      </c>
      <c r="CO130" s="54">
        <f t="shared" si="12"/>
        <v>104.16666666666667</v>
      </c>
      <c r="CP130" s="63">
        <f t="shared" si="12"/>
        <v>1560.25</v>
      </c>
      <c r="CQ130" s="55">
        <f t="shared" si="12"/>
        <v>1224.57</v>
      </c>
    </row>
    <row r="131" spans="1:95" s="2" customFormat="1" ht="34.9" customHeight="1" x14ac:dyDescent="0.6">
      <c r="A131" s="5">
        <v>128</v>
      </c>
      <c r="B131" s="14" t="s">
        <v>347</v>
      </c>
      <c r="C131" s="18" t="s">
        <v>385</v>
      </c>
      <c r="D131" s="16" t="s">
        <v>348</v>
      </c>
      <c r="E131" s="14" t="s">
        <v>267</v>
      </c>
      <c r="F131" s="20" t="s">
        <v>46</v>
      </c>
      <c r="G131" s="7" t="s">
        <v>150</v>
      </c>
      <c r="H131" s="145"/>
      <c r="I131" s="145"/>
      <c r="J131" s="14" t="s">
        <v>1130</v>
      </c>
      <c r="K131" s="49" t="s">
        <v>125</v>
      </c>
      <c r="L131" s="27">
        <v>145</v>
      </c>
      <c r="M131" s="58">
        <v>2230</v>
      </c>
      <c r="N131" s="78">
        <v>1440.8000000000002</v>
      </c>
      <c r="O131" s="27">
        <v>130</v>
      </c>
      <c r="P131" s="58">
        <v>2040</v>
      </c>
      <c r="Q131" s="49">
        <v>1276</v>
      </c>
      <c r="R131" s="27">
        <v>270</v>
      </c>
      <c r="S131" s="58">
        <v>3960</v>
      </c>
      <c r="T131" s="98">
        <v>2591.1999999999998</v>
      </c>
      <c r="U131" s="27">
        <v>130</v>
      </c>
      <c r="V131" s="58">
        <v>2040</v>
      </c>
      <c r="W131" s="12">
        <v>1276</v>
      </c>
      <c r="X131" s="27">
        <v>145</v>
      </c>
      <c r="Y131" s="58">
        <v>2230</v>
      </c>
      <c r="Z131" s="107">
        <v>1440.8000000000002</v>
      </c>
      <c r="AA131" s="27">
        <v>160</v>
      </c>
      <c r="AB131" s="58">
        <v>2420</v>
      </c>
      <c r="AC131" s="107">
        <v>1605.6</v>
      </c>
      <c r="AD131" s="27">
        <v>295</v>
      </c>
      <c r="AE131" s="58">
        <v>4380</v>
      </c>
      <c r="AF131" s="107">
        <v>2931.6000000000004</v>
      </c>
      <c r="AG131" s="27">
        <v>150</v>
      </c>
      <c r="AH131" s="58">
        <v>2280</v>
      </c>
      <c r="AI131" s="107">
        <v>1516</v>
      </c>
      <c r="AJ131" s="27">
        <v>140</v>
      </c>
      <c r="AK131" s="58">
        <v>2020</v>
      </c>
      <c r="AL131" s="107">
        <v>1386</v>
      </c>
      <c r="AM131" s="27">
        <v>290</v>
      </c>
      <c r="AN131" s="58">
        <v>4370</v>
      </c>
      <c r="AO131" s="107">
        <v>2795.6</v>
      </c>
      <c r="AP131" s="27">
        <v>115</v>
      </c>
      <c r="AQ131" s="58">
        <v>1600</v>
      </c>
      <c r="AR131" s="107">
        <v>1040.8</v>
      </c>
      <c r="AS131" s="27">
        <v>135</v>
      </c>
      <c r="AT131" s="58">
        <v>1980</v>
      </c>
      <c r="AU131" s="107">
        <v>1295.5999999999999</v>
      </c>
      <c r="AV131" s="54">
        <f t="shared" si="7"/>
        <v>2105</v>
      </c>
      <c r="AW131" s="63">
        <f t="shared" si="7"/>
        <v>31550</v>
      </c>
      <c r="AX131" s="55">
        <f t="shared" si="7"/>
        <v>20595.999999999996</v>
      </c>
      <c r="AY131" s="54">
        <f t="shared" si="8"/>
        <v>175.41666666666666</v>
      </c>
      <c r="AZ131" s="63">
        <f t="shared" si="9"/>
        <v>14.618055555555555</v>
      </c>
      <c r="BA131" s="55">
        <f t="shared" si="10"/>
        <v>1716.333333333333</v>
      </c>
      <c r="BB131" s="10">
        <v>145</v>
      </c>
      <c r="BC131" s="15">
        <v>1960</v>
      </c>
      <c r="BD131" s="11">
        <v>1405.6</v>
      </c>
      <c r="BE131" s="10">
        <v>157</v>
      </c>
      <c r="BF131" s="15">
        <v>2384</v>
      </c>
      <c r="BG131" s="11">
        <v>1562.3999999999999</v>
      </c>
      <c r="BH131" s="10">
        <v>270</v>
      </c>
      <c r="BI131" s="15">
        <v>3900</v>
      </c>
      <c r="BJ131" s="11">
        <v>2682.4</v>
      </c>
      <c r="BK131" s="10">
        <v>0</v>
      </c>
      <c r="BL131" s="15">
        <v>0</v>
      </c>
      <c r="BM131" s="11">
        <v>0</v>
      </c>
      <c r="BN131" s="44">
        <v>240</v>
      </c>
      <c r="BO131" s="42">
        <v>3460</v>
      </c>
      <c r="BP131" s="45">
        <v>2444</v>
      </c>
      <c r="BQ131" s="44">
        <v>107</v>
      </c>
      <c r="BR131" s="42">
        <v>1440</v>
      </c>
      <c r="BS131" s="45">
        <v>1136</v>
      </c>
      <c r="BT131" s="44">
        <v>225</v>
      </c>
      <c r="BU131" s="42">
        <v>3220</v>
      </c>
      <c r="BV131" s="112">
        <v>2132.4</v>
      </c>
      <c r="BW131" s="115">
        <v>161</v>
      </c>
      <c r="BX131" s="116">
        <v>2272</v>
      </c>
      <c r="BY131" s="112">
        <v>1614.96</v>
      </c>
      <c r="BZ131" s="115">
        <v>165</v>
      </c>
      <c r="CA131" s="116">
        <v>2304</v>
      </c>
      <c r="CB131" s="112">
        <v>1575.1200000000001</v>
      </c>
      <c r="CC131" s="115">
        <v>103</v>
      </c>
      <c r="CD131" s="116">
        <v>1620</v>
      </c>
      <c r="CE131" s="112">
        <v>1008.8000000000001</v>
      </c>
      <c r="CF131" s="115">
        <v>176</v>
      </c>
      <c r="CG131" s="116">
        <v>2800</v>
      </c>
      <c r="CH131" s="112">
        <v>1779.2</v>
      </c>
      <c r="CI131" s="115">
        <v>105</v>
      </c>
      <c r="CJ131" s="116">
        <v>1520</v>
      </c>
      <c r="CK131" s="112">
        <v>1068.4000000000001</v>
      </c>
      <c r="CL131" s="54">
        <f t="shared" si="11"/>
        <v>1854</v>
      </c>
      <c r="CM131" s="63">
        <f t="shared" si="11"/>
        <v>26880</v>
      </c>
      <c r="CN131" s="55">
        <f t="shared" si="11"/>
        <v>18409.28</v>
      </c>
      <c r="CO131" s="54">
        <f t="shared" si="12"/>
        <v>154.5</v>
      </c>
      <c r="CP131" s="63">
        <f t="shared" si="12"/>
        <v>2240</v>
      </c>
      <c r="CQ131" s="55">
        <f t="shared" si="12"/>
        <v>1534.1066666666666</v>
      </c>
    </row>
    <row r="132" spans="1:95" s="2" customFormat="1" ht="34.9" customHeight="1" x14ac:dyDescent="0.6">
      <c r="A132" s="5">
        <v>129</v>
      </c>
      <c r="B132" s="14" t="s">
        <v>349</v>
      </c>
      <c r="C132" s="18" t="s">
        <v>387</v>
      </c>
      <c r="D132" s="14" t="s">
        <v>349</v>
      </c>
      <c r="E132" s="15" t="s">
        <v>190</v>
      </c>
      <c r="F132" s="14" t="s">
        <v>91</v>
      </c>
      <c r="G132" s="7" t="s">
        <v>150</v>
      </c>
      <c r="H132" s="145" t="s">
        <v>973</v>
      </c>
      <c r="I132" s="145"/>
      <c r="J132" s="14" t="s">
        <v>974</v>
      </c>
      <c r="K132" s="49" t="s">
        <v>125</v>
      </c>
      <c r="L132" s="27">
        <v>0</v>
      </c>
      <c r="M132" s="58">
        <v>0</v>
      </c>
      <c r="N132" s="78">
        <v>0</v>
      </c>
      <c r="O132" s="27">
        <v>0</v>
      </c>
      <c r="P132" s="58">
        <v>0</v>
      </c>
      <c r="Q132" s="49">
        <v>0</v>
      </c>
      <c r="R132" s="27">
        <v>0</v>
      </c>
      <c r="S132" s="58">
        <v>0</v>
      </c>
      <c r="T132" s="98">
        <v>0</v>
      </c>
      <c r="U132" s="27">
        <v>1555</v>
      </c>
      <c r="V132" s="58">
        <v>20580</v>
      </c>
      <c r="W132" s="12">
        <v>16857.2</v>
      </c>
      <c r="X132" s="27">
        <v>1105</v>
      </c>
      <c r="Y132" s="58">
        <v>14740</v>
      </c>
      <c r="Z132" s="107">
        <v>11433.6</v>
      </c>
      <c r="AA132" s="27">
        <v>0</v>
      </c>
      <c r="AB132" s="58">
        <v>0</v>
      </c>
      <c r="AC132" s="12">
        <v>0</v>
      </c>
      <c r="AD132" s="27">
        <v>1045</v>
      </c>
      <c r="AE132" s="58">
        <v>15360</v>
      </c>
      <c r="AF132" s="107">
        <v>11150</v>
      </c>
      <c r="AG132" s="27">
        <v>642</v>
      </c>
      <c r="AH132" s="58">
        <v>10244</v>
      </c>
      <c r="AI132" s="107">
        <v>6928</v>
      </c>
      <c r="AJ132" s="27">
        <v>0</v>
      </c>
      <c r="AK132" s="58">
        <v>0</v>
      </c>
      <c r="AL132" s="107">
        <v>0</v>
      </c>
      <c r="AM132" s="27">
        <v>526</v>
      </c>
      <c r="AN132" s="58">
        <v>6692</v>
      </c>
      <c r="AO132" s="107">
        <v>5644.4</v>
      </c>
      <c r="AP132" s="27">
        <v>515</v>
      </c>
      <c r="AQ132" s="58">
        <v>7890</v>
      </c>
      <c r="AR132" s="107">
        <v>5363.2000000000007</v>
      </c>
      <c r="AS132" s="27">
        <v>530</v>
      </c>
      <c r="AT132" s="58">
        <v>6960</v>
      </c>
      <c r="AU132" s="107">
        <v>5448</v>
      </c>
      <c r="AV132" s="54">
        <f t="shared" si="7"/>
        <v>5918</v>
      </c>
      <c r="AW132" s="63">
        <f t="shared" si="7"/>
        <v>82466</v>
      </c>
      <c r="AX132" s="55">
        <f t="shared" si="7"/>
        <v>62824.400000000009</v>
      </c>
      <c r="AY132" s="54">
        <f t="shared" si="8"/>
        <v>493.16666666666669</v>
      </c>
      <c r="AZ132" s="63">
        <f t="shared" si="9"/>
        <v>41.097222222222221</v>
      </c>
      <c r="BA132" s="55">
        <f t="shared" si="10"/>
        <v>5235.3666666666677</v>
      </c>
      <c r="BB132" s="10">
        <v>536</v>
      </c>
      <c r="BC132" s="15">
        <v>8592</v>
      </c>
      <c r="BD132" s="11">
        <v>6250.8</v>
      </c>
      <c r="BE132" s="10">
        <v>750</v>
      </c>
      <c r="BF132" s="15">
        <v>10130</v>
      </c>
      <c r="BG132" s="11">
        <v>7860.8</v>
      </c>
      <c r="BH132" s="10">
        <v>1570</v>
      </c>
      <c r="BI132" s="15">
        <v>22920</v>
      </c>
      <c r="BJ132" s="11">
        <v>16270.800000000001</v>
      </c>
      <c r="BK132" s="10">
        <v>20</v>
      </c>
      <c r="BL132" s="15">
        <v>280</v>
      </c>
      <c r="BM132" s="11">
        <v>179.20000000000002</v>
      </c>
      <c r="BN132" s="44">
        <v>1480</v>
      </c>
      <c r="BO132" s="42">
        <v>21900</v>
      </c>
      <c r="BP132" s="45">
        <v>16346.4</v>
      </c>
      <c r="BQ132" s="44">
        <v>500</v>
      </c>
      <c r="BR132" s="42">
        <v>7600</v>
      </c>
      <c r="BS132" s="45">
        <v>5556</v>
      </c>
      <c r="BT132" s="44">
        <v>1085</v>
      </c>
      <c r="BU132" s="42">
        <v>15540</v>
      </c>
      <c r="BV132" s="112">
        <v>11972.8</v>
      </c>
      <c r="BW132" s="115">
        <v>1027</v>
      </c>
      <c r="BX132" s="116">
        <v>13544</v>
      </c>
      <c r="BY132" s="112">
        <v>11178.720000000001</v>
      </c>
      <c r="BZ132" s="115">
        <v>25</v>
      </c>
      <c r="CA132" s="116">
        <v>350</v>
      </c>
      <c r="CB132" s="112">
        <v>224.00000000000003</v>
      </c>
      <c r="CC132" s="115">
        <v>1150</v>
      </c>
      <c r="CD132" s="116">
        <v>17240</v>
      </c>
      <c r="CE132" s="112">
        <v>12787.2</v>
      </c>
      <c r="CF132" s="115">
        <v>850</v>
      </c>
      <c r="CG132" s="116">
        <v>12110</v>
      </c>
      <c r="CH132" s="112">
        <v>9243.6</v>
      </c>
      <c r="CI132" s="115">
        <v>735</v>
      </c>
      <c r="CJ132" s="116">
        <v>11280</v>
      </c>
      <c r="CK132" s="112">
        <v>7682.4</v>
      </c>
      <c r="CL132" s="54">
        <f t="shared" si="11"/>
        <v>9728</v>
      </c>
      <c r="CM132" s="63">
        <f t="shared" si="11"/>
        <v>141486</v>
      </c>
      <c r="CN132" s="55">
        <f t="shared" si="11"/>
        <v>105552.72</v>
      </c>
      <c r="CO132" s="54">
        <f t="shared" si="12"/>
        <v>810.66666666666663</v>
      </c>
      <c r="CP132" s="63">
        <f t="shared" si="12"/>
        <v>11790.5</v>
      </c>
      <c r="CQ132" s="55">
        <f t="shared" si="12"/>
        <v>8796.06</v>
      </c>
    </row>
    <row r="133" spans="1:95" s="2" customFormat="1" ht="34.9" customHeight="1" x14ac:dyDescent="0.6">
      <c r="A133" s="5">
        <v>130</v>
      </c>
      <c r="B133" s="14" t="s">
        <v>350</v>
      </c>
      <c r="C133" s="18" t="s">
        <v>389</v>
      </c>
      <c r="D133" s="21" t="s">
        <v>351</v>
      </c>
      <c r="E133" s="14" t="s">
        <v>267</v>
      </c>
      <c r="F133" s="20" t="s">
        <v>46</v>
      </c>
      <c r="G133" s="7" t="s">
        <v>150</v>
      </c>
      <c r="H133" s="145" t="s">
        <v>975</v>
      </c>
      <c r="I133" s="145"/>
      <c r="J133" s="14" t="s">
        <v>976</v>
      </c>
      <c r="K133" s="49" t="s">
        <v>125</v>
      </c>
      <c r="L133" s="27">
        <v>504</v>
      </c>
      <c r="M133" s="58">
        <v>7432</v>
      </c>
      <c r="N133" s="78">
        <v>4880.08</v>
      </c>
      <c r="O133" s="27">
        <v>390</v>
      </c>
      <c r="P133" s="58">
        <v>5740</v>
      </c>
      <c r="Q133" s="104">
        <v>3737.2000000000003</v>
      </c>
      <c r="R133" s="27">
        <v>375</v>
      </c>
      <c r="S133" s="58">
        <v>5434</v>
      </c>
      <c r="T133" s="98">
        <v>3659.6000000000004</v>
      </c>
      <c r="U133" s="27">
        <v>420</v>
      </c>
      <c r="V133" s="58">
        <v>6090</v>
      </c>
      <c r="W133" s="12">
        <v>4112.3999999999996</v>
      </c>
      <c r="X133" s="27">
        <v>575</v>
      </c>
      <c r="Y133" s="58">
        <v>8430</v>
      </c>
      <c r="Z133" s="107">
        <v>5688.4</v>
      </c>
      <c r="AA133" s="27">
        <v>1605</v>
      </c>
      <c r="AB133" s="58">
        <v>22100</v>
      </c>
      <c r="AC133" s="107">
        <v>17407.599999999999</v>
      </c>
      <c r="AD133" s="27">
        <v>330</v>
      </c>
      <c r="AE133" s="58">
        <v>4810</v>
      </c>
      <c r="AF133" s="107">
        <v>3336.4</v>
      </c>
      <c r="AG133" s="27">
        <v>479</v>
      </c>
      <c r="AH133" s="58">
        <v>7322</v>
      </c>
      <c r="AI133" s="107">
        <v>4736.88</v>
      </c>
      <c r="AJ133" s="27">
        <v>370</v>
      </c>
      <c r="AK133" s="58">
        <v>5640</v>
      </c>
      <c r="AL133" s="107">
        <v>3730</v>
      </c>
      <c r="AM133" s="27">
        <v>433</v>
      </c>
      <c r="AN133" s="58">
        <v>6636</v>
      </c>
      <c r="AO133" s="107">
        <v>4344</v>
      </c>
      <c r="AP133" s="27">
        <v>235</v>
      </c>
      <c r="AQ133" s="58">
        <v>3270</v>
      </c>
      <c r="AR133" s="107">
        <v>2358.8000000000002</v>
      </c>
      <c r="AS133" s="27">
        <v>310</v>
      </c>
      <c r="AT133" s="58">
        <v>4600</v>
      </c>
      <c r="AU133" s="107">
        <v>3050.8</v>
      </c>
      <c r="AV133" s="54">
        <f t="shared" ref="AV133:AX154" si="13">L133+O133+R133+U133+X133+AA133+AD133+AG133+AJ133+AM133+AP133+AS133</f>
        <v>6026</v>
      </c>
      <c r="AW133" s="63">
        <f t="shared" si="13"/>
        <v>87504</v>
      </c>
      <c r="AX133" s="55">
        <f t="shared" si="13"/>
        <v>61042.16</v>
      </c>
      <c r="AY133" s="54">
        <f t="shared" ref="AY133:AY154" si="14">AV133/12</f>
        <v>502.16666666666669</v>
      </c>
      <c r="AZ133" s="63">
        <f t="shared" ref="AZ133:AZ154" si="15">AY133/12</f>
        <v>41.847222222222221</v>
      </c>
      <c r="BA133" s="55">
        <f t="shared" ref="BA133:BA154" si="16">AX133/12</f>
        <v>5086.8466666666673</v>
      </c>
      <c r="BB133" s="10">
        <v>375</v>
      </c>
      <c r="BC133" s="15">
        <v>5640</v>
      </c>
      <c r="BD133" s="11">
        <v>3881.2000000000003</v>
      </c>
      <c r="BE133" s="10">
        <v>320</v>
      </c>
      <c r="BF133" s="15">
        <v>4980</v>
      </c>
      <c r="BG133" s="11">
        <v>3221.2</v>
      </c>
      <c r="BH133" s="10">
        <v>330</v>
      </c>
      <c r="BI133" s="15">
        <v>4560</v>
      </c>
      <c r="BJ133" s="11">
        <v>3270.8</v>
      </c>
      <c r="BK133" s="10">
        <v>430</v>
      </c>
      <c r="BL133" s="15">
        <v>6120</v>
      </c>
      <c r="BM133" s="11">
        <v>4592</v>
      </c>
      <c r="BN133" s="44">
        <v>200</v>
      </c>
      <c r="BO133" s="42">
        <v>3060</v>
      </c>
      <c r="BP133" s="45">
        <v>1842.4</v>
      </c>
      <c r="BQ133" s="44">
        <v>290</v>
      </c>
      <c r="BR133" s="42">
        <v>4490</v>
      </c>
      <c r="BS133" s="45">
        <v>2821.6</v>
      </c>
      <c r="BT133" s="44">
        <v>350</v>
      </c>
      <c r="BU133" s="42">
        <v>5340</v>
      </c>
      <c r="BV133" s="112">
        <v>3581.2000000000003</v>
      </c>
      <c r="BW133" s="115">
        <v>301</v>
      </c>
      <c r="BX133" s="116">
        <v>4594</v>
      </c>
      <c r="BY133" s="112">
        <v>3095.84</v>
      </c>
      <c r="BZ133" s="115">
        <v>250</v>
      </c>
      <c r="CA133" s="116">
        <v>3880</v>
      </c>
      <c r="CB133" s="112">
        <v>2505.6</v>
      </c>
      <c r="CC133" s="115">
        <v>300</v>
      </c>
      <c r="CD133" s="116">
        <v>4546</v>
      </c>
      <c r="CE133" s="112">
        <v>3029.28</v>
      </c>
      <c r="CF133" s="115">
        <v>350</v>
      </c>
      <c r="CG133" s="116">
        <v>5380</v>
      </c>
      <c r="CH133" s="112">
        <v>3448.3999999999996</v>
      </c>
      <c r="CI133" s="115">
        <v>250</v>
      </c>
      <c r="CJ133" s="116">
        <v>3640</v>
      </c>
      <c r="CK133" s="112">
        <v>2424.7999999999997</v>
      </c>
      <c r="CL133" s="54">
        <f t="shared" ref="CL133:CN196" si="17">+BB133+BE133+BH133+BK133+BN133+BQ133+BT133+BW133+BZ133+CC133+CF133+CI133</f>
        <v>3746</v>
      </c>
      <c r="CM133" s="63">
        <f t="shared" si="17"/>
        <v>56230</v>
      </c>
      <c r="CN133" s="55">
        <f t="shared" si="17"/>
        <v>37714.32</v>
      </c>
      <c r="CO133" s="54">
        <f t="shared" ref="CO133:CQ196" si="18">CL133/12</f>
        <v>312.16666666666669</v>
      </c>
      <c r="CP133" s="63">
        <f t="shared" si="18"/>
        <v>4685.833333333333</v>
      </c>
      <c r="CQ133" s="55">
        <f t="shared" si="18"/>
        <v>3142.86</v>
      </c>
    </row>
    <row r="134" spans="1:95" s="2" customFormat="1" ht="34.9" customHeight="1" x14ac:dyDescent="0.6">
      <c r="A134" s="5">
        <v>131</v>
      </c>
      <c r="B134" s="14" t="s">
        <v>352</v>
      </c>
      <c r="C134" s="18" t="s">
        <v>391</v>
      </c>
      <c r="D134" s="21" t="s">
        <v>353</v>
      </c>
      <c r="E134" s="14" t="s">
        <v>267</v>
      </c>
      <c r="F134" s="20" t="s">
        <v>46</v>
      </c>
      <c r="G134" s="7" t="s">
        <v>150</v>
      </c>
      <c r="H134" s="145" t="s">
        <v>977</v>
      </c>
      <c r="I134" s="145"/>
      <c r="J134" s="14" t="s">
        <v>978</v>
      </c>
      <c r="K134" s="49" t="s">
        <v>125</v>
      </c>
      <c r="L134" s="27">
        <v>0</v>
      </c>
      <c r="M134" s="58">
        <v>0</v>
      </c>
      <c r="N134" s="78">
        <v>0</v>
      </c>
      <c r="O134" s="27">
        <v>230</v>
      </c>
      <c r="P134" s="58">
        <v>3600</v>
      </c>
      <c r="Q134" s="104">
        <v>2338.4</v>
      </c>
      <c r="R134" s="27">
        <v>50</v>
      </c>
      <c r="S134" s="58">
        <v>700</v>
      </c>
      <c r="T134" s="98">
        <v>448</v>
      </c>
      <c r="U134" s="27">
        <v>50</v>
      </c>
      <c r="V134" s="58">
        <v>700</v>
      </c>
      <c r="W134" s="12">
        <v>448</v>
      </c>
      <c r="X134" s="27">
        <v>100</v>
      </c>
      <c r="Y134" s="58">
        <v>1340</v>
      </c>
      <c r="Z134" s="107">
        <v>987.2</v>
      </c>
      <c r="AA134" s="27">
        <v>120</v>
      </c>
      <c r="AB134" s="58">
        <v>1940</v>
      </c>
      <c r="AC134" s="107">
        <v>1125.5999999999999</v>
      </c>
      <c r="AD134" s="27">
        <v>10</v>
      </c>
      <c r="AE134" s="58">
        <v>140</v>
      </c>
      <c r="AF134" s="107">
        <v>89.600000000000009</v>
      </c>
      <c r="AG134" s="27">
        <v>174</v>
      </c>
      <c r="AH134" s="58">
        <v>2596</v>
      </c>
      <c r="AI134" s="107">
        <v>1761.44</v>
      </c>
      <c r="AJ134" s="27">
        <v>0</v>
      </c>
      <c r="AK134" s="58">
        <v>0</v>
      </c>
      <c r="AL134" s="107">
        <v>0</v>
      </c>
      <c r="AM134" s="27">
        <v>169</v>
      </c>
      <c r="AN134" s="58">
        <v>2520</v>
      </c>
      <c r="AO134" s="107">
        <v>1725.76</v>
      </c>
      <c r="AP134" s="27">
        <v>21</v>
      </c>
      <c r="AQ134" s="58">
        <v>840</v>
      </c>
      <c r="AR134" s="107">
        <v>294</v>
      </c>
      <c r="AS134" s="27">
        <v>100</v>
      </c>
      <c r="AT134" s="58">
        <v>1340</v>
      </c>
      <c r="AU134" s="107">
        <v>987.2</v>
      </c>
      <c r="AV134" s="54">
        <f t="shared" si="13"/>
        <v>1024</v>
      </c>
      <c r="AW134" s="63">
        <f t="shared" si="13"/>
        <v>15716</v>
      </c>
      <c r="AX134" s="55">
        <f t="shared" si="13"/>
        <v>10205.200000000003</v>
      </c>
      <c r="AY134" s="54">
        <f t="shared" si="14"/>
        <v>85.333333333333329</v>
      </c>
      <c r="AZ134" s="63">
        <f t="shared" si="15"/>
        <v>7.1111111111111107</v>
      </c>
      <c r="BA134" s="55">
        <f t="shared" si="16"/>
        <v>850.43333333333351</v>
      </c>
      <c r="BB134" s="10">
        <v>0</v>
      </c>
      <c r="BC134" s="15">
        <v>0</v>
      </c>
      <c r="BD134" s="11">
        <v>0</v>
      </c>
      <c r="BE134" s="10">
        <v>120</v>
      </c>
      <c r="BF134" s="15">
        <v>1560</v>
      </c>
      <c r="BG134" s="11">
        <v>1257.5999999999999</v>
      </c>
      <c r="BH134" s="10">
        <v>150</v>
      </c>
      <c r="BI134" s="15">
        <v>2560</v>
      </c>
      <c r="BJ134" s="11">
        <v>1536</v>
      </c>
      <c r="BK134" s="10">
        <v>0</v>
      </c>
      <c r="BL134" s="15">
        <v>0</v>
      </c>
      <c r="BM134" s="11">
        <v>0</v>
      </c>
      <c r="BN134" s="44">
        <v>0</v>
      </c>
      <c r="BO134" s="42">
        <v>0</v>
      </c>
      <c r="BP134" s="45">
        <v>0</v>
      </c>
      <c r="BQ134" s="44">
        <v>0</v>
      </c>
      <c r="BR134" s="42">
        <v>0</v>
      </c>
      <c r="BS134" s="45">
        <v>0</v>
      </c>
      <c r="BT134" s="44">
        <v>150</v>
      </c>
      <c r="BU134" s="42">
        <v>2560</v>
      </c>
      <c r="BV134" s="112">
        <v>1536</v>
      </c>
      <c r="BW134" s="115">
        <v>3</v>
      </c>
      <c r="BX134" s="116">
        <v>36</v>
      </c>
      <c r="BY134" s="112">
        <v>24.48</v>
      </c>
      <c r="BZ134" s="115">
        <v>102</v>
      </c>
      <c r="CA134" s="116">
        <v>1380</v>
      </c>
      <c r="CB134" s="112">
        <v>1076</v>
      </c>
      <c r="CC134" s="115">
        <v>10</v>
      </c>
      <c r="CD134" s="116">
        <v>400</v>
      </c>
      <c r="CE134" s="112">
        <v>140</v>
      </c>
      <c r="CF134" s="115">
        <v>0</v>
      </c>
      <c r="CG134" s="116">
        <v>0</v>
      </c>
      <c r="CH134" s="112">
        <v>0</v>
      </c>
      <c r="CI134" s="115">
        <v>70</v>
      </c>
      <c r="CJ134" s="116">
        <v>1460</v>
      </c>
      <c r="CK134" s="112">
        <v>788.8</v>
      </c>
      <c r="CL134" s="54">
        <f t="shared" si="17"/>
        <v>605</v>
      </c>
      <c r="CM134" s="63">
        <f t="shared" si="17"/>
        <v>9956</v>
      </c>
      <c r="CN134" s="55">
        <f t="shared" si="17"/>
        <v>6358.88</v>
      </c>
      <c r="CO134" s="54">
        <f t="shared" si="18"/>
        <v>50.416666666666664</v>
      </c>
      <c r="CP134" s="63">
        <f t="shared" si="18"/>
        <v>829.66666666666663</v>
      </c>
      <c r="CQ134" s="55">
        <f t="shared" si="18"/>
        <v>529.90666666666664</v>
      </c>
    </row>
    <row r="135" spans="1:95" ht="31.5" customHeight="1" x14ac:dyDescent="0.6">
      <c r="A135" s="5">
        <v>132</v>
      </c>
      <c r="B135" s="14" t="s">
        <v>354</v>
      </c>
      <c r="C135" s="18" t="s">
        <v>393</v>
      </c>
      <c r="D135" s="21" t="s">
        <v>355</v>
      </c>
      <c r="E135" s="14" t="s">
        <v>267</v>
      </c>
      <c r="F135" s="20" t="s">
        <v>46</v>
      </c>
      <c r="G135" s="7" t="s">
        <v>150</v>
      </c>
      <c r="H135" s="145" t="s">
        <v>979</v>
      </c>
      <c r="I135" s="145"/>
      <c r="J135" s="14" t="s">
        <v>980</v>
      </c>
      <c r="K135" s="49" t="s">
        <v>125</v>
      </c>
      <c r="L135" s="27">
        <v>800</v>
      </c>
      <c r="M135" s="58">
        <v>10880</v>
      </c>
      <c r="N135" s="78">
        <v>7859.2</v>
      </c>
      <c r="O135" s="27">
        <v>740</v>
      </c>
      <c r="P135" s="58">
        <v>10320</v>
      </c>
      <c r="Q135" s="104">
        <v>7335.6</v>
      </c>
      <c r="R135" s="27">
        <v>820</v>
      </c>
      <c r="S135" s="58">
        <v>11230</v>
      </c>
      <c r="T135" s="98">
        <v>8395.6</v>
      </c>
      <c r="U135" s="27">
        <v>810</v>
      </c>
      <c r="V135" s="58">
        <v>11240</v>
      </c>
      <c r="W135" s="12">
        <v>8060</v>
      </c>
      <c r="X135" s="27">
        <v>535</v>
      </c>
      <c r="Y135" s="58">
        <v>7390</v>
      </c>
      <c r="Z135" s="107">
        <v>5391.2000000000007</v>
      </c>
      <c r="AA135" s="27">
        <v>745</v>
      </c>
      <c r="AB135" s="58">
        <v>10260</v>
      </c>
      <c r="AC135" s="107">
        <v>7602</v>
      </c>
      <c r="AD135" s="27">
        <v>704</v>
      </c>
      <c r="AE135" s="58">
        <v>9948</v>
      </c>
      <c r="AF135" s="107">
        <v>7691.6</v>
      </c>
      <c r="AG135" s="27">
        <v>400</v>
      </c>
      <c r="AH135" s="58">
        <v>5600</v>
      </c>
      <c r="AI135" s="107">
        <v>3584</v>
      </c>
      <c r="AJ135" s="27">
        <v>460</v>
      </c>
      <c r="AK135" s="58">
        <v>6540</v>
      </c>
      <c r="AL135" s="107">
        <v>4860.8</v>
      </c>
      <c r="AM135" s="27">
        <v>615</v>
      </c>
      <c r="AN135" s="58">
        <v>8740</v>
      </c>
      <c r="AO135" s="107">
        <v>6426.8</v>
      </c>
      <c r="AP135" s="27">
        <v>515</v>
      </c>
      <c r="AQ135" s="58">
        <v>7640</v>
      </c>
      <c r="AR135" s="107">
        <v>5279.6</v>
      </c>
      <c r="AS135" s="27">
        <v>605</v>
      </c>
      <c r="AT135" s="58">
        <v>8320</v>
      </c>
      <c r="AU135" s="107">
        <v>6094.4</v>
      </c>
      <c r="AV135" s="54">
        <f t="shared" si="13"/>
        <v>7749</v>
      </c>
      <c r="AW135" s="63">
        <f t="shared" si="13"/>
        <v>108108</v>
      </c>
      <c r="AX135" s="55">
        <f t="shared" si="13"/>
        <v>78580.800000000003</v>
      </c>
      <c r="AY135" s="54">
        <f t="shared" si="14"/>
        <v>645.75</v>
      </c>
      <c r="AZ135" s="63">
        <f t="shared" si="15"/>
        <v>53.8125</v>
      </c>
      <c r="BA135" s="55">
        <f t="shared" si="16"/>
        <v>6548.4000000000005</v>
      </c>
      <c r="BB135" s="10">
        <v>615</v>
      </c>
      <c r="BC135" s="15">
        <v>8420</v>
      </c>
      <c r="BD135" s="11">
        <v>6244.8</v>
      </c>
      <c r="BE135" s="10">
        <v>525</v>
      </c>
      <c r="BF135" s="15">
        <v>7800</v>
      </c>
      <c r="BG135" s="11">
        <v>5579.6</v>
      </c>
      <c r="BH135" s="10">
        <v>1765</v>
      </c>
      <c r="BI135" s="15">
        <v>25120</v>
      </c>
      <c r="BJ135" s="11">
        <v>17768.8</v>
      </c>
      <c r="BK135" s="10">
        <v>175</v>
      </c>
      <c r="BL135" s="15">
        <v>2380</v>
      </c>
      <c r="BM135" s="11">
        <v>1897.2</v>
      </c>
      <c r="BN135" s="46">
        <v>100</v>
      </c>
      <c r="BO135" s="43">
        <v>1400</v>
      </c>
      <c r="BP135" s="47">
        <v>896</v>
      </c>
      <c r="BQ135" s="46">
        <v>550</v>
      </c>
      <c r="BR135" s="43">
        <v>7720</v>
      </c>
      <c r="BS135" s="47">
        <v>5548</v>
      </c>
      <c r="BT135" s="46">
        <v>615</v>
      </c>
      <c r="BU135" s="43">
        <v>8820</v>
      </c>
      <c r="BV135" s="114">
        <v>6305.2</v>
      </c>
      <c r="BW135" s="119">
        <v>458</v>
      </c>
      <c r="BX135" s="120">
        <v>6416</v>
      </c>
      <c r="BY135" s="114">
        <v>4754.4800000000005</v>
      </c>
      <c r="BZ135" s="119">
        <v>412</v>
      </c>
      <c r="CA135" s="120">
        <v>5820</v>
      </c>
      <c r="CB135" s="114">
        <v>4147.2</v>
      </c>
      <c r="CC135" s="119">
        <v>588</v>
      </c>
      <c r="CD135" s="120">
        <v>8530</v>
      </c>
      <c r="CE135" s="114">
        <v>6045.2000000000007</v>
      </c>
      <c r="CF135" s="119">
        <v>415</v>
      </c>
      <c r="CG135" s="120">
        <v>6230</v>
      </c>
      <c r="CH135" s="114">
        <v>4416.8</v>
      </c>
      <c r="CI135" s="119">
        <v>370</v>
      </c>
      <c r="CJ135" s="120">
        <v>5240</v>
      </c>
      <c r="CK135" s="114">
        <v>3892.3999999999996</v>
      </c>
      <c r="CL135" s="54">
        <f t="shared" si="17"/>
        <v>6588</v>
      </c>
      <c r="CM135" s="63">
        <f t="shared" si="17"/>
        <v>93896</v>
      </c>
      <c r="CN135" s="55">
        <f t="shared" si="17"/>
        <v>67495.679999999993</v>
      </c>
      <c r="CO135" s="54">
        <f t="shared" si="18"/>
        <v>549</v>
      </c>
      <c r="CP135" s="63">
        <f t="shared" si="18"/>
        <v>7824.666666666667</v>
      </c>
      <c r="CQ135" s="55">
        <f t="shared" si="18"/>
        <v>5624.6399999999994</v>
      </c>
    </row>
    <row r="136" spans="1:95" ht="31.5" customHeight="1" x14ac:dyDescent="0.6">
      <c r="A136" s="5">
        <v>133</v>
      </c>
      <c r="B136" s="14" t="s">
        <v>356</v>
      </c>
      <c r="C136" s="18" t="s">
        <v>395</v>
      </c>
      <c r="D136" s="21" t="s">
        <v>357</v>
      </c>
      <c r="E136" s="14" t="s">
        <v>267</v>
      </c>
      <c r="F136" s="20" t="s">
        <v>46</v>
      </c>
      <c r="G136" s="7" t="s">
        <v>150</v>
      </c>
      <c r="H136" s="145" t="s">
        <v>981</v>
      </c>
      <c r="I136" s="145"/>
      <c r="J136" s="14" t="s">
        <v>982</v>
      </c>
      <c r="K136" s="49" t="s">
        <v>125</v>
      </c>
      <c r="L136" s="27">
        <v>240</v>
      </c>
      <c r="M136" s="58">
        <v>3260</v>
      </c>
      <c r="N136" s="78">
        <v>2302.4</v>
      </c>
      <c r="O136" s="27">
        <v>160</v>
      </c>
      <c r="P136" s="58">
        <v>2180</v>
      </c>
      <c r="Q136" s="104">
        <v>1524.8</v>
      </c>
      <c r="R136" s="27">
        <v>360</v>
      </c>
      <c r="S136" s="58">
        <v>4920</v>
      </c>
      <c r="T136" s="98">
        <v>3408</v>
      </c>
      <c r="U136" s="27">
        <v>160</v>
      </c>
      <c r="V136" s="58">
        <v>2180</v>
      </c>
      <c r="W136" s="107">
        <v>1524.8</v>
      </c>
      <c r="X136" s="27">
        <v>320</v>
      </c>
      <c r="Y136" s="58">
        <v>4400</v>
      </c>
      <c r="Z136" s="107">
        <v>2988.8</v>
      </c>
      <c r="AA136" s="27">
        <v>160</v>
      </c>
      <c r="AB136" s="58">
        <v>2160</v>
      </c>
      <c r="AC136" s="107">
        <v>1555.2</v>
      </c>
      <c r="AD136" s="27">
        <v>240</v>
      </c>
      <c r="AE136" s="58">
        <v>3280</v>
      </c>
      <c r="AF136" s="107">
        <v>2272</v>
      </c>
      <c r="AG136" s="27">
        <v>320</v>
      </c>
      <c r="AH136" s="58">
        <v>4340</v>
      </c>
      <c r="AI136" s="107">
        <v>3080</v>
      </c>
      <c r="AJ136" s="27">
        <v>161</v>
      </c>
      <c r="AK136" s="58">
        <v>2152</v>
      </c>
      <c r="AL136" s="107">
        <v>1592.8</v>
      </c>
      <c r="AM136" s="27">
        <v>241</v>
      </c>
      <c r="AN136" s="58">
        <v>3292</v>
      </c>
      <c r="AO136" s="107">
        <v>2284</v>
      </c>
      <c r="AP136" s="27">
        <v>240</v>
      </c>
      <c r="AQ136" s="58">
        <v>3240</v>
      </c>
      <c r="AR136" s="107">
        <v>2332.8000000000002</v>
      </c>
      <c r="AS136" s="27">
        <v>240</v>
      </c>
      <c r="AT136" s="58">
        <v>3240</v>
      </c>
      <c r="AU136" s="107">
        <v>2332.8000000000002</v>
      </c>
      <c r="AV136" s="54">
        <f t="shared" si="13"/>
        <v>2842</v>
      </c>
      <c r="AW136" s="63">
        <f t="shared" si="13"/>
        <v>38644</v>
      </c>
      <c r="AX136" s="55">
        <f t="shared" si="13"/>
        <v>27198.399999999998</v>
      </c>
      <c r="AY136" s="54">
        <f t="shared" si="14"/>
        <v>236.83333333333334</v>
      </c>
      <c r="AZ136" s="63">
        <f t="shared" si="15"/>
        <v>19.736111111111111</v>
      </c>
      <c r="BA136" s="55">
        <f t="shared" si="16"/>
        <v>2266.5333333333333</v>
      </c>
      <c r="BB136" s="10">
        <v>240</v>
      </c>
      <c r="BC136" s="15">
        <v>3260</v>
      </c>
      <c r="BD136" s="11">
        <v>2302.1999999999998</v>
      </c>
      <c r="BE136" s="10">
        <v>160</v>
      </c>
      <c r="BF136" s="15">
        <v>2140</v>
      </c>
      <c r="BG136" s="11">
        <v>1585.6</v>
      </c>
      <c r="BH136" s="10">
        <v>400</v>
      </c>
      <c r="BI136" s="15">
        <v>5280</v>
      </c>
      <c r="BJ136" s="11">
        <v>4070.4000000000005</v>
      </c>
      <c r="BK136" s="10">
        <v>160</v>
      </c>
      <c r="BL136" s="15">
        <v>2240</v>
      </c>
      <c r="BM136" s="11">
        <v>1433.6000000000001</v>
      </c>
      <c r="BN136" s="46">
        <v>240</v>
      </c>
      <c r="BO136" s="43">
        <v>3220</v>
      </c>
      <c r="BP136" s="47">
        <v>2363.1999999999998</v>
      </c>
      <c r="BQ136" s="46">
        <v>160</v>
      </c>
      <c r="BR136" s="43">
        <v>2140</v>
      </c>
      <c r="BS136" s="47">
        <v>1585.6</v>
      </c>
      <c r="BT136" s="46">
        <v>240</v>
      </c>
      <c r="BU136" s="43">
        <v>3240</v>
      </c>
      <c r="BV136" s="114">
        <v>2332.8000000000002</v>
      </c>
      <c r="BW136" s="119">
        <v>240</v>
      </c>
      <c r="BX136" s="120">
        <v>3243</v>
      </c>
      <c r="BY136" s="114">
        <v>2334.84</v>
      </c>
      <c r="BZ136" s="119">
        <v>160</v>
      </c>
      <c r="CA136" s="120">
        <v>2100</v>
      </c>
      <c r="CB136" s="114">
        <v>1646.4</v>
      </c>
      <c r="CC136" s="119">
        <v>240</v>
      </c>
      <c r="CD136" s="120">
        <v>3240</v>
      </c>
      <c r="CE136" s="114">
        <v>2332.8000000000002</v>
      </c>
      <c r="CF136" s="119">
        <v>100</v>
      </c>
      <c r="CG136" s="120">
        <v>1320</v>
      </c>
      <c r="CH136" s="114">
        <v>1017.6</v>
      </c>
      <c r="CI136" s="119">
        <v>240</v>
      </c>
      <c r="CJ136" s="120">
        <v>3200</v>
      </c>
      <c r="CK136" s="114">
        <v>2393.6000000000004</v>
      </c>
      <c r="CL136" s="54">
        <f t="shared" si="17"/>
        <v>2580</v>
      </c>
      <c r="CM136" s="63">
        <f t="shared" si="17"/>
        <v>34623</v>
      </c>
      <c r="CN136" s="55">
        <f t="shared" si="17"/>
        <v>25398.639999999999</v>
      </c>
      <c r="CO136" s="54">
        <f t="shared" si="18"/>
        <v>215</v>
      </c>
      <c r="CP136" s="63">
        <f t="shared" si="18"/>
        <v>2885.25</v>
      </c>
      <c r="CQ136" s="55">
        <f t="shared" si="18"/>
        <v>2116.5533333333333</v>
      </c>
    </row>
    <row r="137" spans="1:95" ht="31.5" customHeight="1" x14ac:dyDescent="0.6">
      <c r="A137" s="5">
        <v>134</v>
      </c>
      <c r="B137" s="14" t="s">
        <v>358</v>
      </c>
      <c r="C137" s="18" t="s">
        <v>397</v>
      </c>
      <c r="D137" s="21" t="s">
        <v>358</v>
      </c>
      <c r="E137" s="20" t="s">
        <v>359</v>
      </c>
      <c r="F137" s="20" t="s">
        <v>76</v>
      </c>
      <c r="G137" s="7" t="s">
        <v>150</v>
      </c>
      <c r="H137" s="145" t="s">
        <v>983</v>
      </c>
      <c r="I137" s="145"/>
      <c r="J137" s="14" t="s">
        <v>984</v>
      </c>
      <c r="K137" s="49" t="s">
        <v>125</v>
      </c>
      <c r="L137" s="27">
        <v>890</v>
      </c>
      <c r="M137" s="58">
        <v>12520</v>
      </c>
      <c r="N137" s="78">
        <v>8328.7999999999993</v>
      </c>
      <c r="O137" s="27">
        <v>230</v>
      </c>
      <c r="P137" s="58">
        <v>3800</v>
      </c>
      <c r="Q137" s="104">
        <v>2516</v>
      </c>
      <c r="R137" s="27">
        <v>1000</v>
      </c>
      <c r="S137" s="58">
        <v>13600</v>
      </c>
      <c r="T137" s="98">
        <v>9568</v>
      </c>
      <c r="U137" s="27">
        <v>0</v>
      </c>
      <c r="V137" s="58">
        <v>0</v>
      </c>
      <c r="W137" s="12">
        <v>0</v>
      </c>
      <c r="X137" s="27">
        <v>562</v>
      </c>
      <c r="Y137" s="58">
        <v>8124</v>
      </c>
      <c r="Z137" s="107">
        <v>5084.8</v>
      </c>
      <c r="AA137" s="27">
        <v>995</v>
      </c>
      <c r="AB137" s="58">
        <v>14320</v>
      </c>
      <c r="AC137" s="107">
        <v>8990.8000000000011</v>
      </c>
      <c r="AD137" s="27">
        <v>0</v>
      </c>
      <c r="AE137" s="58">
        <v>0</v>
      </c>
      <c r="AF137" s="107">
        <v>0</v>
      </c>
      <c r="AG137" s="27">
        <v>160</v>
      </c>
      <c r="AH137" s="58">
        <v>2160</v>
      </c>
      <c r="AI137" s="107">
        <v>1555.2</v>
      </c>
      <c r="AJ137" s="27">
        <v>500</v>
      </c>
      <c r="AK137" s="58">
        <v>7000</v>
      </c>
      <c r="AL137" s="107">
        <v>4480</v>
      </c>
      <c r="AM137" s="27">
        <v>111</v>
      </c>
      <c r="AN137" s="58">
        <v>1880</v>
      </c>
      <c r="AO137" s="107">
        <v>1212</v>
      </c>
      <c r="AP137" s="27">
        <v>540</v>
      </c>
      <c r="AQ137" s="58">
        <v>7760</v>
      </c>
      <c r="AR137" s="107">
        <v>4980</v>
      </c>
      <c r="AS137" s="27">
        <v>200</v>
      </c>
      <c r="AT137" s="58">
        <v>2600</v>
      </c>
      <c r="AU137" s="107">
        <v>2096</v>
      </c>
      <c r="AV137" s="54">
        <f t="shared" si="13"/>
        <v>5188</v>
      </c>
      <c r="AW137" s="63">
        <f t="shared" si="13"/>
        <v>73764</v>
      </c>
      <c r="AX137" s="55">
        <f t="shared" si="13"/>
        <v>48811.6</v>
      </c>
      <c r="AY137" s="54">
        <f t="shared" si="14"/>
        <v>432.33333333333331</v>
      </c>
      <c r="AZ137" s="63">
        <f t="shared" si="15"/>
        <v>36.027777777777779</v>
      </c>
      <c r="BA137" s="55">
        <f t="shared" si="16"/>
        <v>4067.6333333333332</v>
      </c>
      <c r="BB137" s="10">
        <v>270</v>
      </c>
      <c r="BC137" s="15">
        <v>4300</v>
      </c>
      <c r="BD137" s="11">
        <v>2520</v>
      </c>
      <c r="BE137" s="10">
        <v>200</v>
      </c>
      <c r="BF137" s="15">
        <v>2700</v>
      </c>
      <c r="BG137" s="11">
        <v>1944</v>
      </c>
      <c r="BH137" s="10">
        <v>510</v>
      </c>
      <c r="BI137" s="15">
        <v>7200</v>
      </c>
      <c r="BJ137" s="11">
        <v>4924</v>
      </c>
      <c r="BK137" s="10">
        <v>10</v>
      </c>
      <c r="BL137" s="15">
        <v>400</v>
      </c>
      <c r="BM137" s="11">
        <v>140</v>
      </c>
      <c r="BN137" s="46">
        <v>300</v>
      </c>
      <c r="BO137" s="43">
        <v>4200</v>
      </c>
      <c r="BP137" s="47">
        <v>2688</v>
      </c>
      <c r="BQ137" s="46">
        <v>410</v>
      </c>
      <c r="BR137" s="43">
        <v>5800</v>
      </c>
      <c r="BS137" s="47">
        <v>4028</v>
      </c>
      <c r="BT137" s="46">
        <v>400</v>
      </c>
      <c r="BU137" s="43">
        <v>5560</v>
      </c>
      <c r="BV137" s="114">
        <v>4090.4</v>
      </c>
      <c r="BW137" s="119">
        <v>225</v>
      </c>
      <c r="BX137" s="120">
        <v>3576</v>
      </c>
      <c r="BY137" s="114">
        <v>2166.48</v>
      </c>
      <c r="BZ137" s="119">
        <v>505</v>
      </c>
      <c r="CA137" s="120">
        <v>7280</v>
      </c>
      <c r="CB137" s="114">
        <v>4874</v>
      </c>
      <c r="CC137" s="119">
        <v>220</v>
      </c>
      <c r="CD137" s="120">
        <v>3400</v>
      </c>
      <c r="CE137" s="114">
        <v>2376</v>
      </c>
      <c r="CF137" s="119">
        <v>520</v>
      </c>
      <c r="CG137" s="120">
        <v>7860</v>
      </c>
      <c r="CH137" s="114">
        <v>5517.6</v>
      </c>
      <c r="CI137" s="119">
        <v>180</v>
      </c>
      <c r="CJ137" s="120">
        <v>2700</v>
      </c>
      <c r="CK137" s="114">
        <v>1944</v>
      </c>
      <c r="CL137" s="54">
        <f t="shared" si="17"/>
        <v>3750</v>
      </c>
      <c r="CM137" s="63">
        <f t="shared" si="17"/>
        <v>54976</v>
      </c>
      <c r="CN137" s="55">
        <f t="shared" si="17"/>
        <v>37212.480000000003</v>
      </c>
      <c r="CO137" s="54">
        <f t="shared" si="18"/>
        <v>312.5</v>
      </c>
      <c r="CP137" s="63">
        <f t="shared" si="18"/>
        <v>4581.333333333333</v>
      </c>
      <c r="CQ137" s="55">
        <f t="shared" si="18"/>
        <v>3101.0400000000004</v>
      </c>
    </row>
    <row r="138" spans="1:95" ht="31.5" customHeight="1" x14ac:dyDescent="0.6">
      <c r="A138" s="5">
        <v>135</v>
      </c>
      <c r="B138" s="14" t="s">
        <v>360</v>
      </c>
      <c r="C138" s="18" t="s">
        <v>399</v>
      </c>
      <c r="D138" s="14" t="s">
        <v>361</v>
      </c>
      <c r="E138" s="15" t="s">
        <v>82</v>
      </c>
      <c r="F138" s="24" t="s">
        <v>83</v>
      </c>
      <c r="G138" s="7" t="s">
        <v>150</v>
      </c>
      <c r="H138" s="19" t="s">
        <v>985</v>
      </c>
      <c r="I138" s="19"/>
      <c r="J138" s="20" t="s">
        <v>986</v>
      </c>
      <c r="K138" s="49" t="s">
        <v>125</v>
      </c>
      <c r="L138" s="27">
        <v>100</v>
      </c>
      <c r="M138" s="58">
        <v>1400</v>
      </c>
      <c r="N138" s="78">
        <v>896</v>
      </c>
      <c r="O138" s="27">
        <v>0</v>
      </c>
      <c r="P138" s="58">
        <v>0</v>
      </c>
      <c r="Q138" s="104">
        <v>0</v>
      </c>
      <c r="R138" s="27">
        <v>100</v>
      </c>
      <c r="S138" s="58">
        <v>1400</v>
      </c>
      <c r="T138" s="98">
        <v>896</v>
      </c>
      <c r="U138" s="27">
        <v>100</v>
      </c>
      <c r="V138" s="58">
        <v>1400</v>
      </c>
      <c r="W138" s="12">
        <v>896</v>
      </c>
      <c r="X138" s="27">
        <v>50</v>
      </c>
      <c r="Y138" s="58">
        <v>700</v>
      </c>
      <c r="Z138" s="12">
        <v>448</v>
      </c>
      <c r="AA138" s="27">
        <v>100</v>
      </c>
      <c r="AB138" s="58">
        <v>1400</v>
      </c>
      <c r="AC138" s="12">
        <v>896</v>
      </c>
      <c r="AD138" s="27">
        <v>0</v>
      </c>
      <c r="AE138" s="58">
        <v>0</v>
      </c>
      <c r="AF138" s="107">
        <v>0</v>
      </c>
      <c r="AG138" s="27">
        <v>95</v>
      </c>
      <c r="AH138" s="58">
        <v>1300</v>
      </c>
      <c r="AI138" s="107">
        <v>896.80000000000007</v>
      </c>
      <c r="AJ138" s="27">
        <v>85</v>
      </c>
      <c r="AK138" s="58">
        <v>1070</v>
      </c>
      <c r="AL138" s="107">
        <v>944</v>
      </c>
      <c r="AM138" s="27">
        <v>65</v>
      </c>
      <c r="AN138" s="58">
        <v>870</v>
      </c>
      <c r="AO138" s="107">
        <v>643.20000000000005</v>
      </c>
      <c r="AP138" s="27">
        <v>30</v>
      </c>
      <c r="AQ138" s="58">
        <v>360</v>
      </c>
      <c r="AR138" s="107">
        <v>360</v>
      </c>
      <c r="AS138" s="27">
        <v>30</v>
      </c>
      <c r="AT138" s="58">
        <v>360</v>
      </c>
      <c r="AU138" s="107">
        <v>360</v>
      </c>
      <c r="AV138" s="54">
        <f t="shared" si="13"/>
        <v>755</v>
      </c>
      <c r="AW138" s="63">
        <f t="shared" si="13"/>
        <v>10260</v>
      </c>
      <c r="AX138" s="55">
        <f t="shared" si="13"/>
        <v>7236</v>
      </c>
      <c r="AY138" s="54">
        <f t="shared" si="14"/>
        <v>62.916666666666664</v>
      </c>
      <c r="AZ138" s="63">
        <f t="shared" si="15"/>
        <v>5.2430555555555554</v>
      </c>
      <c r="BA138" s="55">
        <f t="shared" si="16"/>
        <v>603</v>
      </c>
      <c r="BB138" s="10">
        <v>40</v>
      </c>
      <c r="BC138" s="15">
        <v>530</v>
      </c>
      <c r="BD138" s="11">
        <v>404</v>
      </c>
      <c r="BE138" s="10">
        <v>50</v>
      </c>
      <c r="BF138" s="15">
        <v>700</v>
      </c>
      <c r="BG138" s="11">
        <v>448</v>
      </c>
      <c r="BH138" s="10">
        <v>100</v>
      </c>
      <c r="BI138" s="15">
        <v>1400</v>
      </c>
      <c r="BJ138" s="11">
        <v>896</v>
      </c>
      <c r="BK138" s="10">
        <v>0</v>
      </c>
      <c r="BL138" s="15">
        <v>0</v>
      </c>
      <c r="BM138" s="11">
        <v>0</v>
      </c>
      <c r="BN138" s="46">
        <v>101</v>
      </c>
      <c r="BO138" s="43">
        <v>1414</v>
      </c>
      <c r="BP138" s="47">
        <v>904.96</v>
      </c>
      <c r="BQ138" s="46">
        <v>0</v>
      </c>
      <c r="BR138" s="43">
        <v>0</v>
      </c>
      <c r="BS138" s="47">
        <v>0</v>
      </c>
      <c r="BT138" s="46">
        <v>60</v>
      </c>
      <c r="BU138" s="43">
        <v>840</v>
      </c>
      <c r="BV138" s="114">
        <v>537.6</v>
      </c>
      <c r="BW138" s="119">
        <v>50</v>
      </c>
      <c r="BX138" s="120">
        <v>700</v>
      </c>
      <c r="BY138" s="114">
        <v>448</v>
      </c>
      <c r="BZ138" s="119">
        <v>50</v>
      </c>
      <c r="CA138" s="120">
        <v>700</v>
      </c>
      <c r="CB138" s="114">
        <v>448.00000000000006</v>
      </c>
      <c r="CC138" s="119">
        <v>50</v>
      </c>
      <c r="CD138" s="120">
        <v>700</v>
      </c>
      <c r="CE138" s="114">
        <v>448.00000000000006</v>
      </c>
      <c r="CF138" s="119">
        <v>50</v>
      </c>
      <c r="CG138" s="120">
        <v>700</v>
      </c>
      <c r="CH138" s="114">
        <v>448.00000000000006</v>
      </c>
      <c r="CI138" s="119">
        <v>50</v>
      </c>
      <c r="CJ138" s="120">
        <v>700</v>
      </c>
      <c r="CK138" s="114">
        <v>448.00000000000006</v>
      </c>
      <c r="CL138" s="54">
        <f t="shared" si="17"/>
        <v>601</v>
      </c>
      <c r="CM138" s="63">
        <f t="shared" si="17"/>
        <v>8384</v>
      </c>
      <c r="CN138" s="55">
        <f t="shared" si="17"/>
        <v>5430.56</v>
      </c>
      <c r="CO138" s="54">
        <f t="shared" si="18"/>
        <v>50.083333333333336</v>
      </c>
      <c r="CP138" s="63">
        <f t="shared" si="18"/>
        <v>698.66666666666663</v>
      </c>
      <c r="CQ138" s="55">
        <f t="shared" si="18"/>
        <v>452.54666666666668</v>
      </c>
    </row>
    <row r="139" spans="1:95" ht="31.5" customHeight="1" x14ac:dyDescent="0.6">
      <c r="A139" s="5">
        <v>136</v>
      </c>
      <c r="B139" s="14" t="s">
        <v>362</v>
      </c>
      <c r="C139" s="18" t="s">
        <v>401</v>
      </c>
      <c r="D139" s="14" t="s">
        <v>32</v>
      </c>
      <c r="E139" s="15" t="s">
        <v>363</v>
      </c>
      <c r="F139" s="20" t="s">
        <v>79</v>
      </c>
      <c r="G139" s="7" t="s">
        <v>150</v>
      </c>
      <c r="H139" s="19" t="s">
        <v>987</v>
      </c>
      <c r="I139" s="19"/>
      <c r="J139" s="20" t="s">
        <v>988</v>
      </c>
      <c r="K139" s="49" t="s">
        <v>125</v>
      </c>
      <c r="L139" s="27">
        <v>110</v>
      </c>
      <c r="M139" s="58">
        <v>1360</v>
      </c>
      <c r="N139" s="78">
        <v>1163.2</v>
      </c>
      <c r="O139" s="27">
        <v>20</v>
      </c>
      <c r="P139" s="58">
        <v>280</v>
      </c>
      <c r="Q139" s="104">
        <v>179.20000000000002</v>
      </c>
      <c r="R139" s="27">
        <v>80</v>
      </c>
      <c r="S139" s="58">
        <v>1080</v>
      </c>
      <c r="T139" s="98">
        <v>777.6</v>
      </c>
      <c r="U139" s="27">
        <v>100</v>
      </c>
      <c r="V139" s="58">
        <v>1330</v>
      </c>
      <c r="W139" s="12">
        <v>978.4</v>
      </c>
      <c r="X139" s="27">
        <v>0</v>
      </c>
      <c r="Y139" s="58">
        <v>0</v>
      </c>
      <c r="Z139" s="12">
        <v>0</v>
      </c>
      <c r="AA139" s="27">
        <v>42</v>
      </c>
      <c r="AB139" s="58">
        <v>534</v>
      </c>
      <c r="AC139" s="107">
        <v>424.79999999999995</v>
      </c>
      <c r="AD139" s="27">
        <v>65</v>
      </c>
      <c r="AE139" s="58">
        <v>820</v>
      </c>
      <c r="AF139" s="107">
        <v>695.2</v>
      </c>
      <c r="AG139" s="27">
        <v>61</v>
      </c>
      <c r="AH139" s="58">
        <v>1072</v>
      </c>
      <c r="AI139" s="107">
        <v>660.8</v>
      </c>
      <c r="AJ139" s="27">
        <v>51</v>
      </c>
      <c r="AK139" s="58">
        <v>690</v>
      </c>
      <c r="AL139" s="107">
        <v>442</v>
      </c>
      <c r="AM139" s="27">
        <v>61</v>
      </c>
      <c r="AN139" s="58">
        <v>820</v>
      </c>
      <c r="AO139" s="107">
        <v>594.79999999999995</v>
      </c>
      <c r="AP139" s="27">
        <v>42</v>
      </c>
      <c r="AQ139" s="58">
        <v>600</v>
      </c>
      <c r="AR139" s="107">
        <v>423.20000000000005</v>
      </c>
      <c r="AS139" s="27">
        <v>0</v>
      </c>
      <c r="AT139" s="58">
        <v>0</v>
      </c>
      <c r="AU139" s="107">
        <v>0</v>
      </c>
      <c r="AV139" s="54">
        <f t="shared" si="13"/>
        <v>632</v>
      </c>
      <c r="AW139" s="63">
        <f t="shared" si="13"/>
        <v>8586</v>
      </c>
      <c r="AX139" s="55">
        <f t="shared" si="13"/>
        <v>6339.2</v>
      </c>
      <c r="AY139" s="54">
        <f t="shared" si="14"/>
        <v>52.666666666666664</v>
      </c>
      <c r="AZ139" s="63">
        <f t="shared" si="15"/>
        <v>4.3888888888888884</v>
      </c>
      <c r="BA139" s="55">
        <f t="shared" si="16"/>
        <v>528.26666666666665</v>
      </c>
      <c r="BB139" s="10">
        <v>53</v>
      </c>
      <c r="BC139" s="15">
        <v>884</v>
      </c>
      <c r="BD139" s="11">
        <v>522.96</v>
      </c>
      <c r="BE139" s="10">
        <v>30</v>
      </c>
      <c r="BF139" s="15">
        <v>390</v>
      </c>
      <c r="BG139" s="11">
        <v>314.40000000000003</v>
      </c>
      <c r="BH139" s="10">
        <v>81</v>
      </c>
      <c r="BI139" s="15">
        <v>1366</v>
      </c>
      <c r="BJ139" s="11">
        <v>880.4</v>
      </c>
      <c r="BK139" s="10">
        <v>70</v>
      </c>
      <c r="BL139" s="15">
        <v>920</v>
      </c>
      <c r="BM139" s="11">
        <v>694.40000000000009</v>
      </c>
      <c r="BN139" s="46">
        <v>42</v>
      </c>
      <c r="BO139" s="43">
        <v>580</v>
      </c>
      <c r="BP139" s="47">
        <v>429.6</v>
      </c>
      <c r="BQ139" s="46">
        <v>60</v>
      </c>
      <c r="BR139" s="43">
        <v>760</v>
      </c>
      <c r="BS139" s="47">
        <v>659.2</v>
      </c>
      <c r="BT139" s="46">
        <v>42</v>
      </c>
      <c r="BU139" s="43">
        <v>600</v>
      </c>
      <c r="BV139" s="114">
        <v>399.20000000000005</v>
      </c>
      <c r="BW139" s="119">
        <v>62</v>
      </c>
      <c r="BX139" s="120">
        <v>917</v>
      </c>
      <c r="BY139" s="114">
        <v>676.83999999999992</v>
      </c>
      <c r="BZ139" s="119">
        <v>40</v>
      </c>
      <c r="CA139" s="120">
        <v>650</v>
      </c>
      <c r="CB139" s="114">
        <v>444.4</v>
      </c>
      <c r="CC139" s="119">
        <v>77</v>
      </c>
      <c r="CD139" s="120">
        <v>1138</v>
      </c>
      <c r="CE139" s="114">
        <v>773.52</v>
      </c>
      <c r="CF139" s="119">
        <v>0</v>
      </c>
      <c r="CG139" s="120">
        <v>0</v>
      </c>
      <c r="CH139" s="114">
        <v>0</v>
      </c>
      <c r="CI139" s="119">
        <v>21</v>
      </c>
      <c r="CJ139" s="120">
        <v>290</v>
      </c>
      <c r="CK139" s="114">
        <v>214.8</v>
      </c>
      <c r="CL139" s="54">
        <f t="shared" si="17"/>
        <v>578</v>
      </c>
      <c r="CM139" s="63">
        <f t="shared" si="17"/>
        <v>8495</v>
      </c>
      <c r="CN139" s="55">
        <f t="shared" si="17"/>
        <v>6009.72</v>
      </c>
      <c r="CO139" s="54">
        <f t="shared" si="18"/>
        <v>48.166666666666664</v>
      </c>
      <c r="CP139" s="63">
        <f t="shared" si="18"/>
        <v>707.91666666666663</v>
      </c>
      <c r="CQ139" s="55">
        <f t="shared" si="18"/>
        <v>500.81</v>
      </c>
    </row>
    <row r="140" spans="1:95" ht="31.5" customHeight="1" x14ac:dyDescent="0.6">
      <c r="A140" s="5">
        <v>137</v>
      </c>
      <c r="B140" s="14" t="s">
        <v>364</v>
      </c>
      <c r="C140" s="18" t="s">
        <v>403</v>
      </c>
      <c r="D140" s="14" t="s">
        <v>365</v>
      </c>
      <c r="E140" s="15" t="s">
        <v>363</v>
      </c>
      <c r="F140" s="20" t="s">
        <v>79</v>
      </c>
      <c r="G140" s="7" t="s">
        <v>150</v>
      </c>
      <c r="H140" s="19" t="s">
        <v>989</v>
      </c>
      <c r="I140" s="19"/>
      <c r="J140" s="20" t="s">
        <v>990</v>
      </c>
      <c r="K140" s="49" t="s">
        <v>125</v>
      </c>
      <c r="L140" s="27">
        <v>0</v>
      </c>
      <c r="M140" s="58">
        <v>0</v>
      </c>
      <c r="N140" s="78">
        <v>0</v>
      </c>
      <c r="O140" s="27">
        <v>0</v>
      </c>
      <c r="P140" s="58">
        <v>0</v>
      </c>
      <c r="Q140" s="104">
        <v>0</v>
      </c>
      <c r="R140" s="27">
        <v>115</v>
      </c>
      <c r="S140" s="58">
        <v>1820</v>
      </c>
      <c r="T140" s="98">
        <v>1331.6</v>
      </c>
      <c r="U140" s="27">
        <v>0</v>
      </c>
      <c r="V140" s="58">
        <v>0</v>
      </c>
      <c r="W140" s="12">
        <v>0</v>
      </c>
      <c r="X140" s="27">
        <v>1</v>
      </c>
      <c r="Y140" s="58">
        <v>12</v>
      </c>
      <c r="Z140" s="12">
        <v>12</v>
      </c>
      <c r="AA140" s="27">
        <v>126</v>
      </c>
      <c r="AB140" s="58">
        <v>1892</v>
      </c>
      <c r="AC140" s="12">
        <v>1284</v>
      </c>
      <c r="AD140" s="27">
        <v>100</v>
      </c>
      <c r="AE140" s="58">
        <v>1860</v>
      </c>
      <c r="AF140" s="107">
        <v>1040</v>
      </c>
      <c r="AG140" s="27">
        <v>2</v>
      </c>
      <c r="AH140" s="58">
        <v>24</v>
      </c>
      <c r="AI140" s="107">
        <v>24</v>
      </c>
      <c r="AJ140" s="27">
        <v>1</v>
      </c>
      <c r="AK140" s="58">
        <v>12</v>
      </c>
      <c r="AL140" s="107">
        <v>8</v>
      </c>
      <c r="AM140" s="27">
        <v>21</v>
      </c>
      <c r="AN140" s="58">
        <v>814</v>
      </c>
      <c r="AO140" s="107">
        <v>288.95999999999998</v>
      </c>
      <c r="AP140" s="27">
        <v>2</v>
      </c>
      <c r="AQ140" s="58">
        <v>24</v>
      </c>
      <c r="AR140" s="107">
        <v>24</v>
      </c>
      <c r="AS140" s="27">
        <v>1</v>
      </c>
      <c r="AT140" s="58">
        <v>12</v>
      </c>
      <c r="AU140" s="107">
        <v>12</v>
      </c>
      <c r="AV140" s="54">
        <f t="shared" si="13"/>
        <v>369</v>
      </c>
      <c r="AW140" s="63">
        <f t="shared" si="13"/>
        <v>6470</v>
      </c>
      <c r="AX140" s="55">
        <f t="shared" si="13"/>
        <v>4024.56</v>
      </c>
      <c r="AY140" s="54">
        <f t="shared" si="14"/>
        <v>30.75</v>
      </c>
      <c r="AZ140" s="63">
        <f t="shared" si="15"/>
        <v>2.5625</v>
      </c>
      <c r="BA140" s="55">
        <f t="shared" si="16"/>
        <v>335.38</v>
      </c>
      <c r="BB140" s="10">
        <v>0</v>
      </c>
      <c r="BC140" s="15">
        <v>0</v>
      </c>
      <c r="BD140" s="11">
        <v>0</v>
      </c>
      <c r="BE140" s="10">
        <v>1</v>
      </c>
      <c r="BF140" s="15">
        <v>12</v>
      </c>
      <c r="BG140" s="11">
        <v>12</v>
      </c>
      <c r="BH140" s="10">
        <v>0</v>
      </c>
      <c r="BI140" s="15">
        <v>0</v>
      </c>
      <c r="BJ140" s="11">
        <v>0</v>
      </c>
      <c r="BK140" s="10">
        <v>0</v>
      </c>
      <c r="BL140" s="15">
        <v>0</v>
      </c>
      <c r="BM140" s="11">
        <v>0</v>
      </c>
      <c r="BN140" s="46">
        <v>0</v>
      </c>
      <c r="BO140" s="43">
        <v>0</v>
      </c>
      <c r="BP140" s="47">
        <v>0</v>
      </c>
      <c r="BQ140" s="46">
        <v>0</v>
      </c>
      <c r="BR140" s="43">
        <v>0</v>
      </c>
      <c r="BS140" s="47">
        <v>0</v>
      </c>
      <c r="BT140" s="46">
        <v>0</v>
      </c>
      <c r="BU140" s="43">
        <v>0</v>
      </c>
      <c r="BV140" s="114">
        <v>0</v>
      </c>
      <c r="BW140" s="119">
        <v>0</v>
      </c>
      <c r="BX140" s="120">
        <v>0</v>
      </c>
      <c r="BY140" s="114">
        <v>0</v>
      </c>
      <c r="BZ140" s="119">
        <v>0</v>
      </c>
      <c r="CA140" s="120">
        <v>0</v>
      </c>
      <c r="CB140" s="114">
        <v>0</v>
      </c>
      <c r="CC140" s="119">
        <v>0</v>
      </c>
      <c r="CD140" s="120">
        <v>0</v>
      </c>
      <c r="CE140" s="114">
        <v>0</v>
      </c>
      <c r="CF140" s="119">
        <v>0</v>
      </c>
      <c r="CG140" s="120">
        <v>0</v>
      </c>
      <c r="CH140" s="114">
        <v>0</v>
      </c>
      <c r="CI140" s="119">
        <v>0</v>
      </c>
      <c r="CJ140" s="120">
        <v>0</v>
      </c>
      <c r="CK140" s="114">
        <v>0</v>
      </c>
      <c r="CL140" s="54">
        <f t="shared" si="17"/>
        <v>1</v>
      </c>
      <c r="CM140" s="63">
        <f t="shared" si="17"/>
        <v>12</v>
      </c>
      <c r="CN140" s="55">
        <f t="shared" si="17"/>
        <v>12</v>
      </c>
      <c r="CO140" s="54">
        <f t="shared" si="18"/>
        <v>8.3333333333333329E-2</v>
      </c>
      <c r="CP140" s="63">
        <f t="shared" si="18"/>
        <v>1</v>
      </c>
      <c r="CQ140" s="55">
        <f t="shared" si="18"/>
        <v>1</v>
      </c>
    </row>
    <row r="141" spans="1:95" ht="31.5" customHeight="1" x14ac:dyDescent="0.6">
      <c r="A141" s="5">
        <v>138</v>
      </c>
      <c r="B141" s="14" t="s">
        <v>366</v>
      </c>
      <c r="C141" s="18" t="s">
        <v>283</v>
      </c>
      <c r="D141" s="14" t="s">
        <v>367</v>
      </c>
      <c r="E141" s="15" t="s">
        <v>293</v>
      </c>
      <c r="F141" s="20" t="s">
        <v>50</v>
      </c>
      <c r="G141" s="7" t="s">
        <v>150</v>
      </c>
      <c r="H141" s="19" t="s">
        <v>991</v>
      </c>
      <c r="I141" s="19"/>
      <c r="J141" s="20" t="s">
        <v>992</v>
      </c>
      <c r="K141" s="49" t="s">
        <v>125</v>
      </c>
      <c r="L141" s="27">
        <v>75</v>
      </c>
      <c r="M141" s="58">
        <v>930</v>
      </c>
      <c r="N141" s="78">
        <v>854.4</v>
      </c>
      <c r="O141" s="27">
        <v>120</v>
      </c>
      <c r="P141" s="58">
        <v>1740</v>
      </c>
      <c r="Q141" s="104">
        <v>1429.6</v>
      </c>
      <c r="R141" s="27">
        <v>147</v>
      </c>
      <c r="S141" s="58">
        <v>2260</v>
      </c>
      <c r="T141" s="98">
        <v>1767.6</v>
      </c>
      <c r="U141" s="27">
        <v>0</v>
      </c>
      <c r="V141" s="58">
        <v>0</v>
      </c>
      <c r="W141" s="12">
        <v>0</v>
      </c>
      <c r="X141" s="27">
        <v>31</v>
      </c>
      <c r="Y141" s="58">
        <v>400</v>
      </c>
      <c r="Z141" s="12">
        <v>374</v>
      </c>
      <c r="AA141" s="27">
        <v>113</v>
      </c>
      <c r="AB141" s="58">
        <v>2020</v>
      </c>
      <c r="AC141" s="12">
        <v>1371.6</v>
      </c>
      <c r="AD141" s="27">
        <v>61</v>
      </c>
      <c r="AE141" s="58">
        <v>752</v>
      </c>
      <c r="AF141" s="107">
        <v>701.6</v>
      </c>
      <c r="AG141" s="27">
        <v>60</v>
      </c>
      <c r="AH141" s="58">
        <v>1000</v>
      </c>
      <c r="AI141" s="107">
        <v>740</v>
      </c>
      <c r="AJ141" s="27">
        <v>40</v>
      </c>
      <c r="AK141" s="58">
        <v>500</v>
      </c>
      <c r="AL141" s="107">
        <v>449.6</v>
      </c>
      <c r="AM141" s="27">
        <v>85</v>
      </c>
      <c r="AN141" s="58">
        <v>1190</v>
      </c>
      <c r="AO141" s="107">
        <v>984.4</v>
      </c>
      <c r="AP141" s="27">
        <v>35</v>
      </c>
      <c r="AQ141" s="58">
        <v>560</v>
      </c>
      <c r="AR141" s="107">
        <v>430</v>
      </c>
      <c r="AS141" s="27">
        <v>30</v>
      </c>
      <c r="AT141" s="58">
        <v>500</v>
      </c>
      <c r="AU141" s="107">
        <v>370</v>
      </c>
      <c r="AV141" s="54">
        <f t="shared" si="13"/>
        <v>797</v>
      </c>
      <c r="AW141" s="63">
        <f t="shared" si="13"/>
        <v>11852</v>
      </c>
      <c r="AX141" s="55">
        <f t="shared" si="13"/>
        <v>9472.8000000000011</v>
      </c>
      <c r="AY141" s="54">
        <f t="shared" si="14"/>
        <v>66.416666666666671</v>
      </c>
      <c r="AZ141" s="63">
        <f t="shared" si="15"/>
        <v>5.5347222222222223</v>
      </c>
      <c r="BA141" s="55">
        <f t="shared" si="16"/>
        <v>789.40000000000009</v>
      </c>
      <c r="BB141" s="10">
        <v>125</v>
      </c>
      <c r="BC141" s="15">
        <v>2070</v>
      </c>
      <c r="BD141" s="11">
        <v>1524.8</v>
      </c>
      <c r="BE141" s="10">
        <v>30</v>
      </c>
      <c r="BF141" s="15">
        <v>360</v>
      </c>
      <c r="BG141" s="11">
        <v>360</v>
      </c>
      <c r="BH141" s="10">
        <v>90</v>
      </c>
      <c r="BI141" s="15">
        <v>1250</v>
      </c>
      <c r="BJ141" s="11">
        <v>1044.4000000000001</v>
      </c>
      <c r="BK141" s="10">
        <v>10</v>
      </c>
      <c r="BL141" s="15">
        <v>400</v>
      </c>
      <c r="BM141" s="11">
        <v>140</v>
      </c>
      <c r="BN141" s="46">
        <v>45</v>
      </c>
      <c r="BO141" s="43">
        <v>960</v>
      </c>
      <c r="BP141" s="47">
        <v>570</v>
      </c>
      <c r="BQ141" s="46">
        <v>70</v>
      </c>
      <c r="BR141" s="43">
        <v>1120</v>
      </c>
      <c r="BS141" s="47">
        <v>860</v>
      </c>
      <c r="BT141" s="46">
        <v>55</v>
      </c>
      <c r="BU141" s="43">
        <v>1100</v>
      </c>
      <c r="BV141" s="114">
        <v>659.6</v>
      </c>
      <c r="BW141" s="119">
        <v>101</v>
      </c>
      <c r="BX141" s="120">
        <v>1652</v>
      </c>
      <c r="BY141" s="114">
        <v>1207.7600000000002</v>
      </c>
      <c r="BZ141" s="119">
        <v>41</v>
      </c>
      <c r="CA141" s="120">
        <v>722</v>
      </c>
      <c r="CB141" s="114">
        <v>498.88</v>
      </c>
      <c r="CC141" s="119">
        <v>20</v>
      </c>
      <c r="CD141" s="120">
        <v>380</v>
      </c>
      <c r="CE141" s="114">
        <v>250</v>
      </c>
      <c r="CF141" s="119">
        <v>75</v>
      </c>
      <c r="CG141" s="120">
        <v>1190</v>
      </c>
      <c r="CH141" s="114">
        <v>904.8</v>
      </c>
      <c r="CI141" s="119">
        <v>80</v>
      </c>
      <c r="CJ141" s="120">
        <v>1390</v>
      </c>
      <c r="CK141" s="114">
        <v>974.8</v>
      </c>
      <c r="CL141" s="54">
        <f t="shared" si="17"/>
        <v>742</v>
      </c>
      <c r="CM141" s="63">
        <f t="shared" si="17"/>
        <v>12594</v>
      </c>
      <c r="CN141" s="55">
        <f t="shared" si="17"/>
        <v>8995.0400000000009</v>
      </c>
      <c r="CO141" s="54">
        <f t="shared" si="18"/>
        <v>61.833333333333336</v>
      </c>
      <c r="CP141" s="63">
        <f t="shared" si="18"/>
        <v>1049.5</v>
      </c>
      <c r="CQ141" s="55">
        <f t="shared" si="18"/>
        <v>749.5866666666667</v>
      </c>
    </row>
    <row r="142" spans="1:95" ht="31.5" customHeight="1" x14ac:dyDescent="0.6">
      <c r="A142" s="5">
        <v>139</v>
      </c>
      <c r="B142" s="14" t="s">
        <v>368</v>
      </c>
      <c r="C142" s="18" t="s">
        <v>404</v>
      </c>
      <c r="D142" s="14" t="s">
        <v>368</v>
      </c>
      <c r="E142" s="15" t="s">
        <v>82</v>
      </c>
      <c r="F142" s="24" t="s">
        <v>83</v>
      </c>
      <c r="G142" s="7" t="s">
        <v>150</v>
      </c>
      <c r="H142" s="19" t="s">
        <v>993</v>
      </c>
      <c r="I142" s="19"/>
      <c r="J142" s="20" t="s">
        <v>994</v>
      </c>
      <c r="K142" s="49" t="s">
        <v>125</v>
      </c>
      <c r="L142" s="27">
        <v>0</v>
      </c>
      <c r="M142" s="58">
        <v>0</v>
      </c>
      <c r="N142" s="78">
        <v>0</v>
      </c>
      <c r="O142" s="27">
        <v>0</v>
      </c>
      <c r="P142" s="58">
        <v>0</v>
      </c>
      <c r="Q142" s="49">
        <v>0</v>
      </c>
      <c r="R142" s="27">
        <v>0</v>
      </c>
      <c r="S142" s="58">
        <v>0</v>
      </c>
      <c r="T142" s="98">
        <v>0</v>
      </c>
      <c r="U142" s="27">
        <v>0</v>
      </c>
      <c r="V142" s="58">
        <v>0</v>
      </c>
      <c r="W142" s="12">
        <v>0</v>
      </c>
      <c r="X142" s="27">
        <v>0</v>
      </c>
      <c r="Y142" s="58">
        <v>0</v>
      </c>
      <c r="Z142" s="12">
        <v>0</v>
      </c>
      <c r="AA142" s="27">
        <v>0</v>
      </c>
      <c r="AB142" s="58">
        <v>0</v>
      </c>
      <c r="AC142" s="12">
        <v>0</v>
      </c>
      <c r="AD142" s="27">
        <v>150</v>
      </c>
      <c r="AE142" s="58">
        <v>1800</v>
      </c>
      <c r="AF142" s="107">
        <v>1800</v>
      </c>
      <c r="AG142" s="27">
        <v>285</v>
      </c>
      <c r="AH142" s="58">
        <v>3980</v>
      </c>
      <c r="AI142" s="107">
        <v>3460</v>
      </c>
      <c r="AJ142" s="27">
        <v>310</v>
      </c>
      <c r="AK142" s="58">
        <v>5260</v>
      </c>
      <c r="AL142" s="107">
        <v>3607.2</v>
      </c>
      <c r="AM142" s="27">
        <v>355</v>
      </c>
      <c r="AN142" s="58">
        <v>5760</v>
      </c>
      <c r="AO142" s="107">
        <v>4208</v>
      </c>
      <c r="AP142" s="27">
        <v>285</v>
      </c>
      <c r="AQ142" s="58">
        <v>4740</v>
      </c>
      <c r="AR142" s="107">
        <v>3400.8</v>
      </c>
      <c r="AS142" s="27">
        <v>305</v>
      </c>
      <c r="AT142" s="58">
        <v>4570</v>
      </c>
      <c r="AU142" s="107">
        <v>3613.6</v>
      </c>
      <c r="AV142" s="54">
        <f t="shared" si="13"/>
        <v>1690</v>
      </c>
      <c r="AW142" s="63">
        <f t="shared" si="13"/>
        <v>26110</v>
      </c>
      <c r="AX142" s="55">
        <f t="shared" si="13"/>
        <v>20089.599999999999</v>
      </c>
      <c r="AY142" s="54">
        <f t="shared" si="14"/>
        <v>140.83333333333334</v>
      </c>
      <c r="AZ142" s="63">
        <f t="shared" si="15"/>
        <v>11.736111111111112</v>
      </c>
      <c r="BA142" s="55">
        <f t="shared" si="16"/>
        <v>1674.1333333333332</v>
      </c>
      <c r="BB142" s="10">
        <v>315</v>
      </c>
      <c r="BC142" s="15">
        <v>5020</v>
      </c>
      <c r="BD142" s="11">
        <v>3677.3999999999996</v>
      </c>
      <c r="BE142" s="10">
        <v>360</v>
      </c>
      <c r="BF142" s="15">
        <v>5300</v>
      </c>
      <c r="BG142" s="11">
        <v>4167.2</v>
      </c>
      <c r="BH142" s="10">
        <v>370</v>
      </c>
      <c r="BI142" s="15">
        <v>5400</v>
      </c>
      <c r="BJ142" s="11">
        <v>4317.6000000000004</v>
      </c>
      <c r="BK142" s="10">
        <v>275</v>
      </c>
      <c r="BL142" s="15">
        <v>4240</v>
      </c>
      <c r="BM142" s="11">
        <v>3208</v>
      </c>
      <c r="BN142" s="46">
        <v>435</v>
      </c>
      <c r="BO142" s="43">
        <v>6310</v>
      </c>
      <c r="BP142" s="47">
        <v>5122.7999999999993</v>
      </c>
      <c r="BQ142" s="46">
        <v>415</v>
      </c>
      <c r="BR142" s="43">
        <v>6110</v>
      </c>
      <c r="BS142" s="47">
        <v>4821.9999999999991</v>
      </c>
      <c r="BT142" s="46">
        <v>355</v>
      </c>
      <c r="BU142" s="43">
        <v>5530</v>
      </c>
      <c r="BV142" s="114">
        <v>4112</v>
      </c>
      <c r="BW142" s="119">
        <v>486</v>
      </c>
      <c r="BX142" s="120">
        <v>7122</v>
      </c>
      <c r="BY142" s="114">
        <v>5649.7599999999993</v>
      </c>
      <c r="BZ142" s="119">
        <v>455</v>
      </c>
      <c r="CA142" s="120">
        <v>7040</v>
      </c>
      <c r="CB142" s="114">
        <v>5286.4</v>
      </c>
      <c r="CC142" s="119">
        <v>445</v>
      </c>
      <c r="CD142" s="120">
        <v>6740</v>
      </c>
      <c r="CE142" s="114">
        <v>5217.2</v>
      </c>
      <c r="CF142" s="119">
        <v>360</v>
      </c>
      <c r="CG142" s="120">
        <v>5420</v>
      </c>
      <c r="CH142" s="114">
        <v>4207.5999999999995</v>
      </c>
      <c r="CI142" s="119">
        <v>475</v>
      </c>
      <c r="CJ142" s="120">
        <v>8100</v>
      </c>
      <c r="CK142" s="114">
        <v>5616.7999999999993</v>
      </c>
      <c r="CL142" s="54">
        <f t="shared" si="17"/>
        <v>4746</v>
      </c>
      <c r="CM142" s="63">
        <f t="shared" si="17"/>
        <v>72332</v>
      </c>
      <c r="CN142" s="55">
        <f t="shared" si="17"/>
        <v>55404.759999999995</v>
      </c>
      <c r="CO142" s="54">
        <f t="shared" si="18"/>
        <v>395.5</v>
      </c>
      <c r="CP142" s="63">
        <f t="shared" si="18"/>
        <v>6027.666666666667</v>
      </c>
      <c r="CQ142" s="55">
        <f t="shared" si="18"/>
        <v>4617.0633333333326</v>
      </c>
    </row>
    <row r="143" spans="1:95" ht="31.5" customHeight="1" x14ac:dyDescent="0.6">
      <c r="A143" s="5">
        <v>140</v>
      </c>
      <c r="B143" s="14" t="s">
        <v>369</v>
      </c>
      <c r="C143" s="18" t="s">
        <v>1155</v>
      </c>
      <c r="D143" s="14" t="s">
        <v>369</v>
      </c>
      <c r="E143" s="15" t="s">
        <v>82</v>
      </c>
      <c r="F143" s="24" t="s">
        <v>83</v>
      </c>
      <c r="G143" s="7" t="s">
        <v>150</v>
      </c>
      <c r="H143" s="19" t="s">
        <v>995</v>
      </c>
      <c r="I143" s="19"/>
      <c r="J143" s="20" t="s">
        <v>996</v>
      </c>
      <c r="K143" s="49" t="s">
        <v>125</v>
      </c>
      <c r="L143" s="27">
        <v>120</v>
      </c>
      <c r="M143" s="58">
        <v>1440</v>
      </c>
      <c r="N143" s="78">
        <v>921.6</v>
      </c>
      <c r="O143" s="27">
        <v>60</v>
      </c>
      <c r="P143" s="58">
        <v>720</v>
      </c>
      <c r="Q143" s="49">
        <v>461</v>
      </c>
      <c r="R143" s="27">
        <v>0</v>
      </c>
      <c r="S143" s="58">
        <v>0</v>
      </c>
      <c r="T143" s="98">
        <v>0</v>
      </c>
      <c r="U143" s="27">
        <v>60</v>
      </c>
      <c r="V143" s="58">
        <v>720</v>
      </c>
      <c r="W143" s="12">
        <v>461</v>
      </c>
      <c r="X143" s="27">
        <v>177</v>
      </c>
      <c r="Y143" s="58">
        <v>2124</v>
      </c>
      <c r="Z143" s="12">
        <v>1359</v>
      </c>
      <c r="AA143" s="27">
        <v>59</v>
      </c>
      <c r="AB143" s="58">
        <v>708</v>
      </c>
      <c r="AC143" s="12">
        <v>453</v>
      </c>
      <c r="AD143" s="27">
        <v>59</v>
      </c>
      <c r="AE143" s="58">
        <v>708</v>
      </c>
      <c r="AF143" s="107">
        <v>453</v>
      </c>
      <c r="AG143" s="27">
        <v>177</v>
      </c>
      <c r="AH143" s="58">
        <v>2124</v>
      </c>
      <c r="AI143" s="107">
        <v>1359</v>
      </c>
      <c r="AJ143" s="27">
        <v>59</v>
      </c>
      <c r="AK143" s="58">
        <v>708</v>
      </c>
      <c r="AL143" s="107">
        <v>708</v>
      </c>
      <c r="AM143" s="27">
        <v>44</v>
      </c>
      <c r="AN143" s="58">
        <v>528</v>
      </c>
      <c r="AO143" s="107">
        <v>338</v>
      </c>
      <c r="AP143" s="27">
        <v>92</v>
      </c>
      <c r="AQ143" s="58">
        <v>1104</v>
      </c>
      <c r="AR143" s="107">
        <v>707</v>
      </c>
      <c r="AS143" s="27">
        <v>208</v>
      </c>
      <c r="AT143" s="58">
        <v>2496</v>
      </c>
      <c r="AU143" s="107">
        <f>AT143*0.64</f>
        <v>1597.44</v>
      </c>
      <c r="AV143" s="54">
        <f t="shared" si="13"/>
        <v>1115</v>
      </c>
      <c r="AW143" s="63">
        <f t="shared" si="13"/>
        <v>13380</v>
      </c>
      <c r="AX143" s="55">
        <f t="shared" si="13"/>
        <v>8818.0400000000009</v>
      </c>
      <c r="AY143" s="54">
        <f t="shared" si="14"/>
        <v>92.916666666666671</v>
      </c>
      <c r="AZ143" s="63">
        <f t="shared" si="15"/>
        <v>7.7430555555555562</v>
      </c>
      <c r="BA143" s="55">
        <f t="shared" si="16"/>
        <v>734.8366666666667</v>
      </c>
      <c r="BB143" s="10">
        <v>0</v>
      </c>
      <c r="BC143" s="15">
        <v>0</v>
      </c>
      <c r="BD143" s="11">
        <v>0</v>
      </c>
      <c r="BE143" s="10">
        <v>12</v>
      </c>
      <c r="BF143" s="15">
        <v>144</v>
      </c>
      <c r="BG143" s="11">
        <v>92.16</v>
      </c>
      <c r="BH143" s="10">
        <v>99</v>
      </c>
      <c r="BI143" s="15">
        <v>1188</v>
      </c>
      <c r="BJ143" s="11">
        <v>760.32</v>
      </c>
      <c r="BK143" s="10">
        <v>103</v>
      </c>
      <c r="BL143" s="15">
        <v>1247</v>
      </c>
      <c r="BM143" s="11">
        <v>798.07999999999993</v>
      </c>
      <c r="BN143" s="46">
        <v>130</v>
      </c>
      <c r="BO143" s="43">
        <v>1560</v>
      </c>
      <c r="BP143" s="47">
        <v>998.4</v>
      </c>
      <c r="BQ143" s="46">
        <v>75</v>
      </c>
      <c r="BR143" s="43">
        <v>900</v>
      </c>
      <c r="BS143" s="47">
        <v>576</v>
      </c>
      <c r="BT143" s="46">
        <v>152</v>
      </c>
      <c r="BU143" s="43">
        <v>1824</v>
      </c>
      <c r="BV143" s="114">
        <v>1167.3599999999999</v>
      </c>
      <c r="BW143" s="119">
        <v>128</v>
      </c>
      <c r="BX143" s="120">
        <v>1536</v>
      </c>
      <c r="BY143" s="114">
        <v>983.04</v>
      </c>
      <c r="BZ143" s="119">
        <v>119</v>
      </c>
      <c r="CA143" s="120">
        <v>1428</v>
      </c>
      <c r="CB143" s="114">
        <v>913.92</v>
      </c>
      <c r="CC143" s="119">
        <v>142</v>
      </c>
      <c r="CD143" s="120">
        <v>1704</v>
      </c>
      <c r="CE143" s="114">
        <v>1090.56</v>
      </c>
      <c r="CF143" s="119">
        <v>96</v>
      </c>
      <c r="CG143" s="120">
        <v>1152</v>
      </c>
      <c r="CH143" s="114">
        <v>737.28</v>
      </c>
      <c r="CI143" s="119">
        <v>121</v>
      </c>
      <c r="CJ143" s="120">
        <v>1452</v>
      </c>
      <c r="CK143" s="114">
        <v>929.28</v>
      </c>
      <c r="CL143" s="54">
        <f t="shared" si="17"/>
        <v>1177</v>
      </c>
      <c r="CM143" s="63">
        <f t="shared" si="17"/>
        <v>14135</v>
      </c>
      <c r="CN143" s="55">
        <f t="shared" si="17"/>
        <v>9046.4</v>
      </c>
      <c r="CO143" s="54">
        <f t="shared" si="18"/>
        <v>98.083333333333329</v>
      </c>
      <c r="CP143" s="63">
        <f t="shared" si="18"/>
        <v>1177.9166666666667</v>
      </c>
      <c r="CQ143" s="55">
        <f t="shared" si="18"/>
        <v>753.86666666666667</v>
      </c>
    </row>
    <row r="144" spans="1:95" ht="31.5" customHeight="1" x14ac:dyDescent="0.6">
      <c r="A144" s="5">
        <v>141</v>
      </c>
      <c r="B144" s="14" t="s">
        <v>370</v>
      </c>
      <c r="C144" s="18" t="s">
        <v>410</v>
      </c>
      <c r="D144" s="14" t="s">
        <v>370</v>
      </c>
      <c r="E144" s="15" t="s">
        <v>222</v>
      </c>
      <c r="F144" s="14" t="s">
        <v>223</v>
      </c>
      <c r="G144" s="7" t="s">
        <v>150</v>
      </c>
      <c r="H144" s="19" t="s">
        <v>997</v>
      </c>
      <c r="I144" s="19"/>
      <c r="J144" s="20"/>
      <c r="K144" s="49" t="s">
        <v>125</v>
      </c>
      <c r="L144" s="27">
        <v>25</v>
      </c>
      <c r="M144" s="58">
        <v>340</v>
      </c>
      <c r="N144" s="78">
        <v>221.20000000000002</v>
      </c>
      <c r="O144" s="27">
        <v>10</v>
      </c>
      <c r="P144" s="58">
        <v>140</v>
      </c>
      <c r="Q144" s="104">
        <v>89.600000000000009</v>
      </c>
      <c r="R144" s="27">
        <v>12</v>
      </c>
      <c r="S144" s="58">
        <v>164</v>
      </c>
      <c r="T144" s="98">
        <v>106.4</v>
      </c>
      <c r="U144" s="27">
        <v>0</v>
      </c>
      <c r="V144" s="58">
        <v>0</v>
      </c>
      <c r="W144" s="12">
        <v>0</v>
      </c>
      <c r="X144" s="27">
        <v>0</v>
      </c>
      <c r="Y144" s="58">
        <v>0</v>
      </c>
      <c r="Z144" s="12">
        <v>0</v>
      </c>
      <c r="AA144" s="27">
        <v>14</v>
      </c>
      <c r="AB144" s="58">
        <v>178</v>
      </c>
      <c r="AC144" s="12">
        <v>145.60000000000002</v>
      </c>
      <c r="AD144" s="27">
        <v>15</v>
      </c>
      <c r="AE144" s="58">
        <v>180</v>
      </c>
      <c r="AF144" s="107">
        <v>180</v>
      </c>
      <c r="AG144" s="27">
        <v>15</v>
      </c>
      <c r="AH144" s="58">
        <v>180</v>
      </c>
      <c r="AI144" s="107">
        <v>180</v>
      </c>
      <c r="AJ144" s="27">
        <v>0</v>
      </c>
      <c r="AK144" s="58">
        <v>0</v>
      </c>
      <c r="AL144" s="107">
        <v>0</v>
      </c>
      <c r="AM144" s="27">
        <v>16</v>
      </c>
      <c r="AN144" s="58">
        <v>192</v>
      </c>
      <c r="AO144" s="107">
        <v>192</v>
      </c>
      <c r="AP144" s="27">
        <v>0</v>
      </c>
      <c r="AQ144" s="58">
        <v>0</v>
      </c>
      <c r="AR144" s="107">
        <v>0</v>
      </c>
      <c r="AS144" s="27">
        <v>6</v>
      </c>
      <c r="AT144" s="58">
        <v>72</v>
      </c>
      <c r="AU144" s="107">
        <v>72</v>
      </c>
      <c r="AV144" s="54">
        <f t="shared" si="13"/>
        <v>113</v>
      </c>
      <c r="AW144" s="63">
        <f t="shared" si="13"/>
        <v>1446</v>
      </c>
      <c r="AX144" s="55">
        <f t="shared" si="13"/>
        <v>1186.8000000000002</v>
      </c>
      <c r="AY144" s="54">
        <f t="shared" si="14"/>
        <v>9.4166666666666661</v>
      </c>
      <c r="AZ144" s="63">
        <f t="shared" si="15"/>
        <v>0.78472222222222221</v>
      </c>
      <c r="BA144" s="55">
        <f t="shared" si="16"/>
        <v>98.90000000000002</v>
      </c>
      <c r="BB144" s="10">
        <v>15</v>
      </c>
      <c r="BC144" s="15">
        <v>180</v>
      </c>
      <c r="BD144" s="11">
        <v>180</v>
      </c>
      <c r="BE144" s="10">
        <v>0</v>
      </c>
      <c r="BF144" s="15">
        <v>0</v>
      </c>
      <c r="BG144" s="11">
        <v>0</v>
      </c>
      <c r="BH144" s="10">
        <v>15</v>
      </c>
      <c r="BI144" s="15">
        <v>180</v>
      </c>
      <c r="BJ144" s="11">
        <v>180</v>
      </c>
      <c r="BK144" s="10">
        <v>15</v>
      </c>
      <c r="BL144" s="15">
        <v>180</v>
      </c>
      <c r="BM144" s="11">
        <v>180</v>
      </c>
      <c r="BN144" s="46">
        <v>0</v>
      </c>
      <c r="BO144" s="43">
        <v>0</v>
      </c>
      <c r="BP144" s="47">
        <v>0</v>
      </c>
      <c r="BQ144" s="46">
        <v>15</v>
      </c>
      <c r="BR144" s="43">
        <v>180</v>
      </c>
      <c r="BS144" s="47">
        <v>180</v>
      </c>
      <c r="BT144" s="46">
        <v>15</v>
      </c>
      <c r="BU144" s="43">
        <v>180</v>
      </c>
      <c r="BV144" s="114">
        <v>180</v>
      </c>
      <c r="BW144" s="119">
        <v>15</v>
      </c>
      <c r="BX144" s="120">
        <v>180</v>
      </c>
      <c r="BY144" s="114">
        <v>180</v>
      </c>
      <c r="BZ144" s="119">
        <v>15</v>
      </c>
      <c r="CA144" s="120">
        <v>180</v>
      </c>
      <c r="CB144" s="114">
        <v>180</v>
      </c>
      <c r="CC144" s="119">
        <v>0</v>
      </c>
      <c r="CD144" s="120">
        <v>0</v>
      </c>
      <c r="CE144" s="114">
        <v>0</v>
      </c>
      <c r="CF144" s="119">
        <v>15</v>
      </c>
      <c r="CG144" s="120">
        <v>180</v>
      </c>
      <c r="CH144" s="114">
        <v>180</v>
      </c>
      <c r="CI144" s="119">
        <v>0</v>
      </c>
      <c r="CJ144" s="120">
        <v>0</v>
      </c>
      <c r="CK144" s="114">
        <v>0</v>
      </c>
      <c r="CL144" s="54">
        <f t="shared" si="17"/>
        <v>120</v>
      </c>
      <c r="CM144" s="63">
        <f t="shared" si="17"/>
        <v>1440</v>
      </c>
      <c r="CN144" s="55">
        <f t="shared" si="17"/>
        <v>1440</v>
      </c>
      <c r="CO144" s="54">
        <f t="shared" si="18"/>
        <v>10</v>
      </c>
      <c r="CP144" s="63">
        <f t="shared" si="18"/>
        <v>120</v>
      </c>
      <c r="CQ144" s="55">
        <f t="shared" si="18"/>
        <v>120</v>
      </c>
    </row>
    <row r="145" spans="1:95" ht="31.5" customHeight="1" x14ac:dyDescent="0.6">
      <c r="A145" s="5">
        <v>142</v>
      </c>
      <c r="B145" s="14" t="s">
        <v>371</v>
      </c>
      <c r="C145" s="18" t="s">
        <v>412</v>
      </c>
      <c r="D145" s="21"/>
      <c r="E145" s="20" t="s">
        <v>307</v>
      </c>
      <c r="F145" s="14"/>
      <c r="G145" s="7" t="s">
        <v>150</v>
      </c>
      <c r="H145" s="19"/>
      <c r="I145" s="19"/>
      <c r="J145" s="20" t="s">
        <v>1131</v>
      </c>
      <c r="K145" s="49" t="s">
        <v>125</v>
      </c>
      <c r="L145" s="27">
        <v>0</v>
      </c>
      <c r="M145" s="58">
        <v>0</v>
      </c>
      <c r="N145" s="78">
        <v>0</v>
      </c>
      <c r="O145" s="27">
        <v>100</v>
      </c>
      <c r="P145" s="58">
        <v>1270</v>
      </c>
      <c r="Q145" s="104">
        <v>1093.5999999999999</v>
      </c>
      <c r="R145" s="27">
        <v>0</v>
      </c>
      <c r="S145" s="58">
        <v>0</v>
      </c>
      <c r="T145" s="98">
        <v>0</v>
      </c>
      <c r="U145" s="27">
        <v>0</v>
      </c>
      <c r="V145" s="58">
        <v>0</v>
      </c>
      <c r="W145" s="12">
        <v>0</v>
      </c>
      <c r="X145" s="27">
        <v>0</v>
      </c>
      <c r="Y145" s="58">
        <v>0</v>
      </c>
      <c r="Z145" s="12">
        <v>0</v>
      </c>
      <c r="AA145" s="27">
        <v>0</v>
      </c>
      <c r="AB145" s="58">
        <v>0</v>
      </c>
      <c r="AC145" s="12">
        <v>0</v>
      </c>
      <c r="AD145" s="27">
        <v>0</v>
      </c>
      <c r="AE145" s="58">
        <v>0</v>
      </c>
      <c r="AF145" s="107">
        <v>0</v>
      </c>
      <c r="AG145" s="27">
        <v>0</v>
      </c>
      <c r="AH145" s="58">
        <v>0</v>
      </c>
      <c r="AI145" s="107">
        <v>0</v>
      </c>
      <c r="AJ145" s="27">
        <v>50</v>
      </c>
      <c r="AK145" s="58">
        <v>660</v>
      </c>
      <c r="AL145" s="107">
        <v>508.8</v>
      </c>
      <c r="AM145" s="27">
        <v>50</v>
      </c>
      <c r="AN145" s="58">
        <v>640</v>
      </c>
      <c r="AO145" s="107">
        <v>539.20000000000005</v>
      </c>
      <c r="AP145" s="27">
        <v>0</v>
      </c>
      <c r="AQ145" s="58">
        <v>0</v>
      </c>
      <c r="AR145" s="107">
        <v>0</v>
      </c>
      <c r="AS145" s="27">
        <v>0</v>
      </c>
      <c r="AT145" s="58">
        <v>0</v>
      </c>
      <c r="AU145" s="107">
        <v>0</v>
      </c>
      <c r="AV145" s="54">
        <f t="shared" si="13"/>
        <v>200</v>
      </c>
      <c r="AW145" s="63">
        <f t="shared" si="13"/>
        <v>2570</v>
      </c>
      <c r="AX145" s="55">
        <f t="shared" si="13"/>
        <v>2141.6</v>
      </c>
      <c r="AY145" s="54">
        <f t="shared" si="14"/>
        <v>16.666666666666668</v>
      </c>
      <c r="AZ145" s="63">
        <f t="shared" si="15"/>
        <v>1.3888888888888891</v>
      </c>
      <c r="BA145" s="55">
        <f t="shared" si="16"/>
        <v>178.46666666666667</v>
      </c>
      <c r="BB145" s="10">
        <v>0</v>
      </c>
      <c r="BC145" s="15">
        <v>0</v>
      </c>
      <c r="BD145" s="11">
        <v>0</v>
      </c>
      <c r="BE145" s="10">
        <v>100</v>
      </c>
      <c r="BF145" s="15">
        <v>1290</v>
      </c>
      <c r="BG145" s="11">
        <v>1063.2</v>
      </c>
      <c r="BH145" s="10">
        <v>0</v>
      </c>
      <c r="BI145" s="15">
        <v>0</v>
      </c>
      <c r="BJ145" s="11">
        <v>0</v>
      </c>
      <c r="BK145" s="10">
        <v>50</v>
      </c>
      <c r="BL145" s="15">
        <v>650</v>
      </c>
      <c r="BM145" s="11">
        <v>524</v>
      </c>
      <c r="BN145" s="46">
        <v>50</v>
      </c>
      <c r="BO145" s="43">
        <v>600</v>
      </c>
      <c r="BP145" s="47">
        <v>600</v>
      </c>
      <c r="BQ145" s="46">
        <v>0</v>
      </c>
      <c r="BR145" s="43">
        <v>0</v>
      </c>
      <c r="BS145" s="47">
        <v>0</v>
      </c>
      <c r="BT145" s="46">
        <v>0</v>
      </c>
      <c r="BU145" s="43">
        <v>0</v>
      </c>
      <c r="BV145" s="114">
        <v>0</v>
      </c>
      <c r="BW145" s="119">
        <v>1</v>
      </c>
      <c r="BX145" s="120">
        <v>12</v>
      </c>
      <c r="BY145" s="114">
        <v>8.16</v>
      </c>
      <c r="BZ145" s="119">
        <v>50</v>
      </c>
      <c r="CA145" s="120">
        <v>640</v>
      </c>
      <c r="CB145" s="114">
        <v>539.20000000000005</v>
      </c>
      <c r="CC145" s="119">
        <v>0</v>
      </c>
      <c r="CD145" s="120">
        <v>0</v>
      </c>
      <c r="CE145" s="114">
        <v>0</v>
      </c>
      <c r="CF145" s="119">
        <v>50</v>
      </c>
      <c r="CG145" s="120">
        <v>600</v>
      </c>
      <c r="CH145" s="114">
        <v>600</v>
      </c>
      <c r="CI145" s="119">
        <v>50</v>
      </c>
      <c r="CJ145" s="120">
        <v>620</v>
      </c>
      <c r="CK145" s="114">
        <v>569.6</v>
      </c>
      <c r="CL145" s="54">
        <f t="shared" si="17"/>
        <v>351</v>
      </c>
      <c r="CM145" s="63">
        <f t="shared" si="17"/>
        <v>4412</v>
      </c>
      <c r="CN145" s="55">
        <f t="shared" si="17"/>
        <v>3904.1599999999994</v>
      </c>
      <c r="CO145" s="54">
        <f t="shared" si="18"/>
        <v>29.25</v>
      </c>
      <c r="CP145" s="63">
        <f t="shared" si="18"/>
        <v>367.66666666666669</v>
      </c>
      <c r="CQ145" s="55">
        <f t="shared" si="18"/>
        <v>325.34666666666664</v>
      </c>
    </row>
    <row r="146" spans="1:95" ht="31.5" customHeight="1" x14ac:dyDescent="0.6">
      <c r="A146" s="5">
        <v>143</v>
      </c>
      <c r="B146" s="14" t="s">
        <v>372</v>
      </c>
      <c r="C146" s="18" t="s">
        <v>415</v>
      </c>
      <c r="D146" s="21"/>
      <c r="E146" s="20" t="s">
        <v>263</v>
      </c>
      <c r="F146" s="23"/>
      <c r="G146" s="7" t="s">
        <v>150</v>
      </c>
      <c r="H146" s="19"/>
      <c r="I146" s="19"/>
      <c r="J146" s="20" t="s">
        <v>1132</v>
      </c>
      <c r="K146" s="49" t="s">
        <v>125</v>
      </c>
      <c r="L146" s="27">
        <v>128</v>
      </c>
      <c r="M146" s="58">
        <v>1212</v>
      </c>
      <c r="N146" s="78">
        <v>847.19999999999993</v>
      </c>
      <c r="O146" s="27">
        <v>93</v>
      </c>
      <c r="P146" s="58">
        <v>1344</v>
      </c>
      <c r="Q146" s="104">
        <v>975.59999999999991</v>
      </c>
      <c r="R146" s="27">
        <v>63</v>
      </c>
      <c r="S146" s="58">
        <v>1000</v>
      </c>
      <c r="T146" s="98">
        <v>723.6</v>
      </c>
      <c r="U146" s="27">
        <v>20</v>
      </c>
      <c r="V146" s="58">
        <v>306</v>
      </c>
      <c r="W146" s="12">
        <v>218</v>
      </c>
      <c r="X146" s="27">
        <v>28</v>
      </c>
      <c r="Y146" s="58">
        <v>440</v>
      </c>
      <c r="Z146" s="107">
        <v>293.60000000000002</v>
      </c>
      <c r="AA146" s="27">
        <v>38</v>
      </c>
      <c r="AB146" s="58">
        <v>560</v>
      </c>
      <c r="AC146" s="107">
        <v>413.6</v>
      </c>
      <c r="AD146" s="27">
        <v>26</v>
      </c>
      <c r="AE146" s="58">
        <v>416</v>
      </c>
      <c r="AF146" s="107">
        <v>276.8</v>
      </c>
      <c r="AG146" s="27">
        <v>0</v>
      </c>
      <c r="AH146" s="58">
        <v>0</v>
      </c>
      <c r="AI146" s="107">
        <v>0</v>
      </c>
      <c r="AJ146" s="27">
        <v>0</v>
      </c>
      <c r="AK146" s="58">
        <v>0</v>
      </c>
      <c r="AL146" s="107">
        <v>0</v>
      </c>
      <c r="AM146" s="27">
        <v>36</v>
      </c>
      <c r="AN146" s="58">
        <v>510</v>
      </c>
      <c r="AO146" s="107">
        <v>391.76</v>
      </c>
      <c r="AP146" s="27">
        <v>15</v>
      </c>
      <c r="AQ146" s="58">
        <v>180</v>
      </c>
      <c r="AR146" s="107">
        <v>162</v>
      </c>
      <c r="AS146" s="27">
        <v>18</v>
      </c>
      <c r="AT146" s="58">
        <v>310</v>
      </c>
      <c r="AU146" s="107">
        <v>188.8</v>
      </c>
      <c r="AV146" s="54">
        <f t="shared" si="13"/>
        <v>465</v>
      </c>
      <c r="AW146" s="63">
        <f t="shared" si="13"/>
        <v>6278</v>
      </c>
      <c r="AX146" s="55">
        <f t="shared" si="13"/>
        <v>4490.96</v>
      </c>
      <c r="AY146" s="54">
        <f t="shared" si="14"/>
        <v>38.75</v>
      </c>
      <c r="AZ146" s="63">
        <f t="shared" si="15"/>
        <v>3.2291666666666665</v>
      </c>
      <c r="BA146" s="55">
        <f t="shared" si="16"/>
        <v>374.24666666666667</v>
      </c>
      <c r="BB146" s="10">
        <v>0</v>
      </c>
      <c r="BC146" s="15">
        <v>0</v>
      </c>
      <c r="BD146" s="11">
        <v>0</v>
      </c>
      <c r="BE146" s="10">
        <v>38</v>
      </c>
      <c r="BF146" s="15">
        <v>560</v>
      </c>
      <c r="BG146" s="11">
        <v>413.6</v>
      </c>
      <c r="BH146" s="10">
        <v>33</v>
      </c>
      <c r="BI146" s="15">
        <v>480</v>
      </c>
      <c r="BJ146" s="11">
        <v>402</v>
      </c>
      <c r="BK146" s="10">
        <v>24</v>
      </c>
      <c r="BL146" s="15">
        <v>456</v>
      </c>
      <c r="BM146" s="11">
        <v>271.2</v>
      </c>
      <c r="BN146" s="46">
        <v>40</v>
      </c>
      <c r="BO146" s="43">
        <v>564</v>
      </c>
      <c r="BP146" s="47">
        <v>468</v>
      </c>
      <c r="BQ146" s="46">
        <v>45</v>
      </c>
      <c r="BR146" s="43">
        <v>714</v>
      </c>
      <c r="BS146" s="47">
        <v>521.28</v>
      </c>
      <c r="BT146" s="46">
        <v>28</v>
      </c>
      <c r="BU146" s="43">
        <v>476</v>
      </c>
      <c r="BV146" s="114">
        <v>335.2</v>
      </c>
      <c r="BW146" s="119">
        <v>1</v>
      </c>
      <c r="BX146" s="120">
        <v>12</v>
      </c>
      <c r="BY146" s="114">
        <v>8.16</v>
      </c>
      <c r="BZ146" s="119">
        <v>8</v>
      </c>
      <c r="CA146" s="120">
        <v>96</v>
      </c>
      <c r="CB146" s="114">
        <v>85.2</v>
      </c>
      <c r="CC146" s="119">
        <v>0</v>
      </c>
      <c r="CD146" s="120">
        <v>0</v>
      </c>
      <c r="CE146" s="114">
        <v>0</v>
      </c>
      <c r="CF146" s="119">
        <v>0</v>
      </c>
      <c r="CG146" s="120">
        <v>0</v>
      </c>
      <c r="CH146" s="114">
        <v>0</v>
      </c>
      <c r="CI146" s="119">
        <v>0</v>
      </c>
      <c r="CJ146" s="120">
        <v>0</v>
      </c>
      <c r="CK146" s="114">
        <v>0</v>
      </c>
      <c r="CL146" s="54">
        <f t="shared" si="17"/>
        <v>217</v>
      </c>
      <c r="CM146" s="63">
        <f t="shared" si="17"/>
        <v>3358</v>
      </c>
      <c r="CN146" s="55">
        <f t="shared" si="17"/>
        <v>2504.6399999999994</v>
      </c>
      <c r="CO146" s="54">
        <f t="shared" si="18"/>
        <v>18.083333333333332</v>
      </c>
      <c r="CP146" s="63">
        <f t="shared" si="18"/>
        <v>279.83333333333331</v>
      </c>
      <c r="CQ146" s="55">
        <f t="shared" si="18"/>
        <v>208.71999999999994</v>
      </c>
    </row>
    <row r="147" spans="1:95" ht="31.5" customHeight="1" x14ac:dyDescent="0.6">
      <c r="A147" s="5">
        <v>144</v>
      </c>
      <c r="B147" s="14" t="s">
        <v>373</v>
      </c>
      <c r="C147" s="18" t="s">
        <v>417</v>
      </c>
      <c r="D147" s="21" t="s">
        <v>374</v>
      </c>
      <c r="E147" s="20" t="s">
        <v>41</v>
      </c>
      <c r="F147" s="23" t="s">
        <v>42</v>
      </c>
      <c r="G147" s="7" t="s">
        <v>150</v>
      </c>
      <c r="H147" s="19"/>
      <c r="I147" s="19"/>
      <c r="J147" s="20" t="s">
        <v>1133</v>
      </c>
      <c r="K147" s="49" t="s">
        <v>125</v>
      </c>
      <c r="L147" s="27">
        <v>813</v>
      </c>
      <c r="M147" s="58">
        <v>10032</v>
      </c>
      <c r="N147" s="78">
        <v>9336.48</v>
      </c>
      <c r="O147" s="27">
        <v>11</v>
      </c>
      <c r="P147" s="58">
        <v>154</v>
      </c>
      <c r="Q147" s="104">
        <v>98.56</v>
      </c>
      <c r="R147" s="27">
        <v>115</v>
      </c>
      <c r="S147" s="58">
        <v>1610</v>
      </c>
      <c r="T147" s="98">
        <v>1030.4000000000001</v>
      </c>
      <c r="U147" s="27">
        <v>113</v>
      </c>
      <c r="V147" s="58">
        <v>1582</v>
      </c>
      <c r="W147" s="12">
        <v>1012.48</v>
      </c>
      <c r="X147" s="27">
        <v>325</v>
      </c>
      <c r="Y147" s="58">
        <v>4100</v>
      </c>
      <c r="Z147" s="12">
        <v>3596</v>
      </c>
      <c r="AA147" s="27">
        <v>0</v>
      </c>
      <c r="AB147" s="58">
        <v>0</v>
      </c>
      <c r="AC147" s="12">
        <v>0</v>
      </c>
      <c r="AD147" s="27">
        <v>120</v>
      </c>
      <c r="AE147" s="58">
        <v>1680</v>
      </c>
      <c r="AF147" s="107">
        <v>1075.2</v>
      </c>
      <c r="AG147" s="27">
        <v>0</v>
      </c>
      <c r="AH147" s="58">
        <v>0</v>
      </c>
      <c r="AI147" s="107">
        <v>0</v>
      </c>
      <c r="AJ147" s="27">
        <v>5</v>
      </c>
      <c r="AK147" s="58">
        <v>70</v>
      </c>
      <c r="AL147" s="107">
        <v>45</v>
      </c>
      <c r="AM147" s="27">
        <v>0</v>
      </c>
      <c r="AN147" s="58">
        <v>0</v>
      </c>
      <c r="AO147" s="107">
        <v>0</v>
      </c>
      <c r="AP147" s="27">
        <v>300</v>
      </c>
      <c r="AQ147" s="58">
        <v>4000</v>
      </c>
      <c r="AR147" s="107">
        <v>2992</v>
      </c>
      <c r="AS147" s="27">
        <v>210</v>
      </c>
      <c r="AT147" s="58">
        <v>2740</v>
      </c>
      <c r="AU147" s="107">
        <v>2185.6</v>
      </c>
      <c r="AV147" s="54">
        <f t="shared" si="13"/>
        <v>2012</v>
      </c>
      <c r="AW147" s="63">
        <f t="shared" si="13"/>
        <v>25968</v>
      </c>
      <c r="AX147" s="55">
        <f t="shared" si="13"/>
        <v>21371.719999999998</v>
      </c>
      <c r="AY147" s="54">
        <f t="shared" si="14"/>
        <v>167.66666666666666</v>
      </c>
      <c r="AZ147" s="63">
        <f t="shared" si="15"/>
        <v>13.972222222222221</v>
      </c>
      <c r="BA147" s="55">
        <f t="shared" si="16"/>
        <v>1780.9766666666665</v>
      </c>
      <c r="BB147" s="10">
        <v>400</v>
      </c>
      <c r="BC147" s="15">
        <v>5200</v>
      </c>
      <c r="BD147" s="11">
        <v>4192</v>
      </c>
      <c r="BE147" s="10">
        <v>200</v>
      </c>
      <c r="BF147" s="15">
        <v>2600</v>
      </c>
      <c r="BG147" s="11">
        <v>2096</v>
      </c>
      <c r="BH147" s="10">
        <v>655</v>
      </c>
      <c r="BI147" s="15">
        <v>8770</v>
      </c>
      <c r="BJ147" s="11">
        <v>6476.8</v>
      </c>
      <c r="BK147" s="58">
        <v>0</v>
      </c>
      <c r="BL147" s="58">
        <v>0</v>
      </c>
      <c r="BM147" s="58">
        <v>0</v>
      </c>
      <c r="BN147" s="46">
        <v>100</v>
      </c>
      <c r="BO147" s="43">
        <v>1200</v>
      </c>
      <c r="BP147" s="47">
        <v>1200</v>
      </c>
      <c r="BQ147" s="46">
        <v>100</v>
      </c>
      <c r="BR147" s="43">
        <v>1200</v>
      </c>
      <c r="BS147" s="47">
        <v>1200</v>
      </c>
      <c r="BT147" s="46">
        <v>200</v>
      </c>
      <c r="BU147" s="43">
        <v>2600</v>
      </c>
      <c r="BV147" s="114">
        <v>2096</v>
      </c>
      <c r="BW147" s="119">
        <v>203</v>
      </c>
      <c r="BX147" s="120">
        <v>2636</v>
      </c>
      <c r="BY147" s="114">
        <v>2120.48</v>
      </c>
      <c r="BZ147" s="119">
        <v>200</v>
      </c>
      <c r="CA147" s="120">
        <v>2600</v>
      </c>
      <c r="CB147" s="114">
        <v>2096</v>
      </c>
      <c r="CC147" s="119">
        <v>200</v>
      </c>
      <c r="CD147" s="120">
        <v>2600</v>
      </c>
      <c r="CE147" s="114">
        <v>2096</v>
      </c>
      <c r="CF147" s="119">
        <v>200</v>
      </c>
      <c r="CG147" s="120">
        <v>2600</v>
      </c>
      <c r="CH147" s="114">
        <v>2096</v>
      </c>
      <c r="CI147" s="119">
        <v>200</v>
      </c>
      <c r="CJ147" s="120">
        <v>2600</v>
      </c>
      <c r="CK147" s="114">
        <v>2096</v>
      </c>
      <c r="CL147" s="54">
        <f t="shared" si="17"/>
        <v>2658</v>
      </c>
      <c r="CM147" s="63">
        <f t="shared" si="17"/>
        <v>34606</v>
      </c>
      <c r="CN147" s="55">
        <f t="shared" si="17"/>
        <v>27765.279999999999</v>
      </c>
      <c r="CO147" s="54">
        <f t="shared" si="18"/>
        <v>221.5</v>
      </c>
      <c r="CP147" s="63">
        <f t="shared" si="18"/>
        <v>2883.8333333333335</v>
      </c>
      <c r="CQ147" s="55">
        <f t="shared" si="18"/>
        <v>2313.7733333333331</v>
      </c>
    </row>
    <row r="148" spans="1:95" ht="31.5" customHeight="1" x14ac:dyDescent="0.6">
      <c r="A148" s="5">
        <v>145</v>
      </c>
      <c r="B148" s="14" t="s">
        <v>429</v>
      </c>
      <c r="C148" s="18" t="s">
        <v>419</v>
      </c>
      <c r="D148" s="21"/>
      <c r="E148" s="20" t="s">
        <v>82</v>
      </c>
      <c r="F148" s="23"/>
      <c r="G148" s="7" t="s">
        <v>150</v>
      </c>
      <c r="H148" s="146"/>
      <c r="I148" s="146"/>
      <c r="J148" s="147" t="s">
        <v>1134</v>
      </c>
      <c r="K148" s="49" t="s">
        <v>125</v>
      </c>
      <c r="L148" s="27">
        <v>0</v>
      </c>
      <c r="M148" s="58">
        <v>0</v>
      </c>
      <c r="N148" s="78">
        <v>0</v>
      </c>
      <c r="O148" s="27">
        <v>0</v>
      </c>
      <c r="P148" s="58">
        <v>0</v>
      </c>
      <c r="Q148" s="49">
        <v>0</v>
      </c>
      <c r="R148" s="27">
        <v>0</v>
      </c>
      <c r="S148" s="58">
        <v>0</v>
      </c>
      <c r="T148" s="98">
        <v>0</v>
      </c>
      <c r="U148" s="27">
        <v>0</v>
      </c>
      <c r="V148" s="58">
        <v>0</v>
      </c>
      <c r="W148" s="12">
        <v>0</v>
      </c>
      <c r="X148" s="27">
        <v>0</v>
      </c>
      <c r="Y148" s="58">
        <v>0</v>
      </c>
      <c r="Z148" s="12">
        <v>0</v>
      </c>
      <c r="AA148" s="27">
        <v>0</v>
      </c>
      <c r="AB148" s="58">
        <v>0</v>
      </c>
      <c r="AC148" s="12">
        <v>0</v>
      </c>
      <c r="AD148" s="27">
        <v>0</v>
      </c>
      <c r="AE148" s="58">
        <v>0</v>
      </c>
      <c r="AF148" s="107">
        <v>0</v>
      </c>
      <c r="AG148" s="27">
        <v>0</v>
      </c>
      <c r="AH148" s="58">
        <v>0</v>
      </c>
      <c r="AI148" s="107">
        <v>0</v>
      </c>
      <c r="AJ148" s="27">
        <v>0</v>
      </c>
      <c r="AK148" s="58">
        <v>0</v>
      </c>
      <c r="AL148" s="107">
        <v>0</v>
      </c>
      <c r="AM148" s="27">
        <v>0</v>
      </c>
      <c r="AN148" s="58">
        <v>0</v>
      </c>
      <c r="AO148" s="107">
        <v>0</v>
      </c>
      <c r="AP148" s="27">
        <v>0</v>
      </c>
      <c r="AQ148" s="58">
        <v>0</v>
      </c>
      <c r="AR148" s="107">
        <v>0</v>
      </c>
      <c r="AS148" s="27">
        <v>0</v>
      </c>
      <c r="AT148" s="58">
        <v>0</v>
      </c>
      <c r="AU148" s="107">
        <v>0</v>
      </c>
      <c r="AV148" s="54">
        <f t="shared" si="13"/>
        <v>0</v>
      </c>
      <c r="AW148" s="63">
        <f t="shared" si="13"/>
        <v>0</v>
      </c>
      <c r="AX148" s="55">
        <f t="shared" si="13"/>
        <v>0</v>
      </c>
      <c r="AY148" s="54">
        <f t="shared" si="14"/>
        <v>0</v>
      </c>
      <c r="AZ148" s="63">
        <f t="shared" si="15"/>
        <v>0</v>
      </c>
      <c r="BA148" s="55">
        <f t="shared" si="16"/>
        <v>0</v>
      </c>
      <c r="BB148" s="58">
        <v>0</v>
      </c>
      <c r="BC148" s="58">
        <v>0</v>
      </c>
      <c r="BD148" s="58">
        <v>0</v>
      </c>
      <c r="BE148" s="58">
        <v>0</v>
      </c>
      <c r="BF148" s="58">
        <v>0</v>
      </c>
      <c r="BG148" s="58">
        <v>0</v>
      </c>
      <c r="BH148" s="58">
        <v>0</v>
      </c>
      <c r="BI148" s="58">
        <v>0</v>
      </c>
      <c r="BJ148" s="58">
        <v>0</v>
      </c>
      <c r="BK148" s="58">
        <v>0</v>
      </c>
      <c r="BL148" s="58">
        <v>0</v>
      </c>
      <c r="BM148" s="58">
        <v>0</v>
      </c>
      <c r="BN148" s="46">
        <v>250</v>
      </c>
      <c r="BO148" s="43">
        <v>4200</v>
      </c>
      <c r="BP148" s="47">
        <v>2958.4</v>
      </c>
      <c r="BQ148" s="46">
        <v>300</v>
      </c>
      <c r="BR148" s="43">
        <v>4800</v>
      </c>
      <c r="BS148" s="47">
        <v>3510.4</v>
      </c>
      <c r="BT148" s="46">
        <v>246</v>
      </c>
      <c r="BU148" s="43">
        <v>4002</v>
      </c>
      <c r="BV148" s="114">
        <v>2915.6</v>
      </c>
      <c r="BW148" s="119">
        <v>935</v>
      </c>
      <c r="BX148" s="120">
        <v>13658</v>
      </c>
      <c r="BY148" s="114">
        <v>11274</v>
      </c>
      <c r="BZ148" s="119">
        <v>390</v>
      </c>
      <c r="CA148" s="120">
        <v>7380</v>
      </c>
      <c r="CB148" s="114">
        <v>4809.2</v>
      </c>
      <c r="CC148" s="119">
        <v>450</v>
      </c>
      <c r="CD148" s="120">
        <v>8020</v>
      </c>
      <c r="CE148" s="114">
        <v>5356</v>
      </c>
      <c r="CF148" s="119">
        <v>340</v>
      </c>
      <c r="CG148" s="120">
        <v>5590</v>
      </c>
      <c r="CH148" s="114">
        <v>4012.8</v>
      </c>
      <c r="CI148" s="119">
        <v>515</v>
      </c>
      <c r="CJ148" s="120">
        <v>9220</v>
      </c>
      <c r="CK148" s="114">
        <v>6238</v>
      </c>
      <c r="CL148" s="54">
        <f t="shared" si="17"/>
        <v>3426</v>
      </c>
      <c r="CM148" s="63">
        <f t="shared" si="17"/>
        <v>56870</v>
      </c>
      <c r="CN148" s="55">
        <f t="shared" si="17"/>
        <v>41074.400000000001</v>
      </c>
      <c r="CO148" s="54">
        <f t="shared" si="18"/>
        <v>285.5</v>
      </c>
      <c r="CP148" s="63">
        <f t="shared" si="18"/>
        <v>4739.166666666667</v>
      </c>
      <c r="CQ148" s="55">
        <f t="shared" si="18"/>
        <v>3422.8666666666668</v>
      </c>
    </row>
    <row r="149" spans="1:95" ht="31.5" customHeight="1" x14ac:dyDescent="0.6">
      <c r="A149" s="5">
        <v>146</v>
      </c>
      <c r="B149" s="14" t="s">
        <v>471</v>
      </c>
      <c r="C149" s="18" t="s">
        <v>421</v>
      </c>
      <c r="D149" s="21"/>
      <c r="E149" s="20" t="s">
        <v>82</v>
      </c>
      <c r="F149" s="23"/>
      <c r="G149" s="7" t="s">
        <v>150</v>
      </c>
      <c r="H149" s="146"/>
      <c r="I149" s="146"/>
      <c r="J149" s="147" t="s">
        <v>1135</v>
      </c>
      <c r="K149" s="49" t="s">
        <v>125</v>
      </c>
      <c r="L149" s="27">
        <v>0</v>
      </c>
      <c r="M149" s="58">
        <v>0</v>
      </c>
      <c r="N149" s="78">
        <v>0</v>
      </c>
      <c r="O149" s="27">
        <v>0</v>
      </c>
      <c r="P149" s="58">
        <v>0</v>
      </c>
      <c r="Q149" s="49">
        <v>0</v>
      </c>
      <c r="R149" s="27">
        <v>0</v>
      </c>
      <c r="S149" s="58">
        <v>0</v>
      </c>
      <c r="T149" s="98">
        <v>0</v>
      </c>
      <c r="U149" s="27">
        <v>0</v>
      </c>
      <c r="V149" s="58">
        <v>0</v>
      </c>
      <c r="W149" s="12">
        <v>0</v>
      </c>
      <c r="X149" s="27">
        <v>0</v>
      </c>
      <c r="Y149" s="58">
        <v>0</v>
      </c>
      <c r="Z149" s="12">
        <v>0</v>
      </c>
      <c r="AA149" s="27">
        <v>0</v>
      </c>
      <c r="AB149" s="58">
        <v>0</v>
      </c>
      <c r="AC149" s="12">
        <v>0</v>
      </c>
      <c r="AD149" s="27">
        <v>0</v>
      </c>
      <c r="AE149" s="58">
        <v>0</v>
      </c>
      <c r="AF149" s="107">
        <v>0</v>
      </c>
      <c r="AG149" s="27">
        <v>0</v>
      </c>
      <c r="AH149" s="58">
        <v>0</v>
      </c>
      <c r="AI149" s="107">
        <v>0</v>
      </c>
      <c r="AJ149" s="27">
        <v>0</v>
      </c>
      <c r="AK149" s="58">
        <v>0</v>
      </c>
      <c r="AL149" s="107">
        <v>0</v>
      </c>
      <c r="AM149" s="27">
        <v>0</v>
      </c>
      <c r="AN149" s="58">
        <v>0</v>
      </c>
      <c r="AO149" s="107">
        <v>0</v>
      </c>
      <c r="AP149" s="27">
        <v>0</v>
      </c>
      <c r="AQ149" s="58">
        <v>0</v>
      </c>
      <c r="AR149" s="107">
        <v>0</v>
      </c>
      <c r="AS149" s="27">
        <v>0</v>
      </c>
      <c r="AT149" s="58">
        <v>0</v>
      </c>
      <c r="AU149" s="107">
        <v>0</v>
      </c>
      <c r="AV149" s="54">
        <f t="shared" si="13"/>
        <v>0</v>
      </c>
      <c r="AW149" s="63">
        <f t="shared" si="13"/>
        <v>0</v>
      </c>
      <c r="AX149" s="55">
        <f t="shared" si="13"/>
        <v>0</v>
      </c>
      <c r="AY149" s="54">
        <f t="shared" si="14"/>
        <v>0</v>
      </c>
      <c r="AZ149" s="63">
        <f t="shared" si="15"/>
        <v>0</v>
      </c>
      <c r="BA149" s="55">
        <f t="shared" si="16"/>
        <v>0</v>
      </c>
      <c r="BB149" s="58">
        <v>0</v>
      </c>
      <c r="BC149" s="58">
        <v>0</v>
      </c>
      <c r="BD149" s="58">
        <v>0</v>
      </c>
      <c r="BE149" s="58">
        <v>0</v>
      </c>
      <c r="BF149" s="58">
        <v>0</v>
      </c>
      <c r="BG149" s="58">
        <v>0</v>
      </c>
      <c r="BH149" s="58">
        <v>0</v>
      </c>
      <c r="BI149" s="58">
        <v>0</v>
      </c>
      <c r="BJ149" s="58">
        <v>0</v>
      </c>
      <c r="BK149" s="58">
        <v>0</v>
      </c>
      <c r="BL149" s="58">
        <v>0</v>
      </c>
      <c r="BM149" s="58">
        <v>0</v>
      </c>
      <c r="BN149" s="46">
        <v>237</v>
      </c>
      <c r="BO149" s="43">
        <v>3924</v>
      </c>
      <c r="BP149" s="47">
        <v>2762</v>
      </c>
      <c r="BQ149" s="46">
        <v>295</v>
      </c>
      <c r="BR149" s="43">
        <v>4750</v>
      </c>
      <c r="BS149" s="47">
        <v>3435.2000000000003</v>
      </c>
      <c r="BT149" s="46">
        <v>200</v>
      </c>
      <c r="BU149" s="43">
        <v>3600</v>
      </c>
      <c r="BV149" s="114">
        <v>2310.3999999999996</v>
      </c>
      <c r="BW149" s="119">
        <v>290</v>
      </c>
      <c r="BX149" s="120">
        <v>4426</v>
      </c>
      <c r="BY149" s="114">
        <v>3392.08</v>
      </c>
      <c r="BZ149" s="119">
        <v>350</v>
      </c>
      <c r="CA149" s="120">
        <v>5830</v>
      </c>
      <c r="CB149" s="114">
        <v>4101.2</v>
      </c>
      <c r="CC149" s="119">
        <v>270</v>
      </c>
      <c r="CD149" s="120">
        <v>5100</v>
      </c>
      <c r="CE149" s="114">
        <v>3261.2</v>
      </c>
      <c r="CF149" s="119">
        <v>255</v>
      </c>
      <c r="CG149" s="120">
        <v>4230</v>
      </c>
      <c r="CH149" s="114">
        <v>3040</v>
      </c>
      <c r="CI149" s="119">
        <v>410</v>
      </c>
      <c r="CJ149" s="120">
        <v>7890</v>
      </c>
      <c r="CK149" s="114">
        <v>5036.3999999999996</v>
      </c>
      <c r="CL149" s="54">
        <f t="shared" si="17"/>
        <v>2307</v>
      </c>
      <c r="CM149" s="63">
        <f t="shared" si="17"/>
        <v>39750</v>
      </c>
      <c r="CN149" s="55">
        <f t="shared" si="17"/>
        <v>27338.480000000003</v>
      </c>
      <c r="CO149" s="54">
        <f t="shared" si="18"/>
        <v>192.25</v>
      </c>
      <c r="CP149" s="63">
        <f t="shared" si="18"/>
        <v>3312.5</v>
      </c>
      <c r="CQ149" s="55">
        <f t="shared" si="18"/>
        <v>2278.2066666666669</v>
      </c>
    </row>
    <row r="150" spans="1:95" ht="31.5" customHeight="1" x14ac:dyDescent="0.6">
      <c r="A150" s="5">
        <v>147</v>
      </c>
      <c r="B150" s="14" t="s">
        <v>574</v>
      </c>
      <c r="C150" s="18" t="s">
        <v>423</v>
      </c>
      <c r="D150" s="21"/>
      <c r="E150" s="20" t="s">
        <v>263</v>
      </c>
      <c r="F150" s="23"/>
      <c r="G150" s="7" t="s">
        <v>150</v>
      </c>
      <c r="H150" s="146"/>
      <c r="I150" s="146"/>
      <c r="J150" s="147" t="s">
        <v>1136</v>
      </c>
      <c r="K150" s="49" t="s">
        <v>125</v>
      </c>
      <c r="L150" s="27">
        <v>0</v>
      </c>
      <c r="M150" s="58">
        <v>0</v>
      </c>
      <c r="N150" s="78">
        <v>0</v>
      </c>
      <c r="O150" s="27">
        <v>0</v>
      </c>
      <c r="P150" s="58">
        <v>0</v>
      </c>
      <c r="Q150" s="49">
        <v>0</v>
      </c>
      <c r="R150" s="27">
        <v>40</v>
      </c>
      <c r="S150" s="58">
        <v>520</v>
      </c>
      <c r="T150" s="98">
        <v>419.20000000000005</v>
      </c>
      <c r="U150" s="27">
        <v>94</v>
      </c>
      <c r="V150" s="58">
        <v>1310</v>
      </c>
      <c r="W150" s="107">
        <v>1011.6</v>
      </c>
      <c r="X150" s="27">
        <v>0</v>
      </c>
      <c r="Y150" s="58">
        <v>0</v>
      </c>
      <c r="Z150" s="12">
        <v>0</v>
      </c>
      <c r="AA150" s="27">
        <v>0</v>
      </c>
      <c r="AB150" s="58">
        <v>0</v>
      </c>
      <c r="AC150" s="12">
        <v>0</v>
      </c>
      <c r="AD150" s="27">
        <v>146</v>
      </c>
      <c r="AE150" s="58">
        <v>2032</v>
      </c>
      <c r="AF150" s="107">
        <v>1497.6000000000001</v>
      </c>
      <c r="AG150" s="27">
        <v>0</v>
      </c>
      <c r="AH150" s="58">
        <v>0</v>
      </c>
      <c r="AI150" s="107">
        <v>0</v>
      </c>
      <c r="AJ150" s="27">
        <v>36</v>
      </c>
      <c r="AK150" s="58">
        <v>460</v>
      </c>
      <c r="AL150" s="107">
        <v>398</v>
      </c>
      <c r="AM150" s="27">
        <v>0</v>
      </c>
      <c r="AN150" s="58">
        <v>0</v>
      </c>
      <c r="AO150" s="107">
        <v>0</v>
      </c>
      <c r="AP150" s="27">
        <v>9</v>
      </c>
      <c r="AQ150" s="58">
        <v>114</v>
      </c>
      <c r="AR150" s="107">
        <v>88.08</v>
      </c>
      <c r="AS150" s="27">
        <v>130</v>
      </c>
      <c r="AT150" s="58">
        <v>1786</v>
      </c>
      <c r="AU150" s="107">
        <v>1310.56</v>
      </c>
      <c r="AV150" s="54">
        <f t="shared" si="13"/>
        <v>455</v>
      </c>
      <c r="AW150" s="63">
        <f t="shared" si="13"/>
        <v>6222</v>
      </c>
      <c r="AX150" s="55">
        <f t="shared" si="13"/>
        <v>4725.0400000000009</v>
      </c>
      <c r="AY150" s="54">
        <f t="shared" si="14"/>
        <v>37.916666666666664</v>
      </c>
      <c r="AZ150" s="63">
        <f t="shared" si="15"/>
        <v>3.1597222222222219</v>
      </c>
      <c r="BA150" s="55">
        <f t="shared" si="16"/>
        <v>393.75333333333339</v>
      </c>
      <c r="BB150" s="58">
        <v>0</v>
      </c>
      <c r="BC150" s="58">
        <v>0</v>
      </c>
      <c r="BD150" s="58">
        <v>0</v>
      </c>
      <c r="BE150" s="58">
        <v>0</v>
      </c>
      <c r="BF150" s="58">
        <v>0</v>
      </c>
      <c r="BG150" s="58">
        <v>0</v>
      </c>
      <c r="BH150" s="58">
        <v>0</v>
      </c>
      <c r="BI150" s="58">
        <v>0</v>
      </c>
      <c r="BJ150" s="58">
        <v>0</v>
      </c>
      <c r="BK150" s="58">
        <v>0</v>
      </c>
      <c r="BL150" s="58">
        <v>0</v>
      </c>
      <c r="BM150" s="58">
        <v>0</v>
      </c>
      <c r="BN150" s="46">
        <v>48</v>
      </c>
      <c r="BO150" s="43">
        <v>664</v>
      </c>
      <c r="BP150" s="47">
        <v>479.6</v>
      </c>
      <c r="BQ150" s="46">
        <v>79</v>
      </c>
      <c r="BR150" s="43">
        <v>1203</v>
      </c>
      <c r="BS150" s="47">
        <v>803.5</v>
      </c>
      <c r="BT150" s="46">
        <v>221</v>
      </c>
      <c r="BU150" s="43">
        <v>3128</v>
      </c>
      <c r="BV150" s="114">
        <v>2172</v>
      </c>
      <c r="BW150" s="119">
        <v>188</v>
      </c>
      <c r="BX150" s="120">
        <v>2638</v>
      </c>
      <c r="BY150" s="114">
        <v>1802.4799999999998</v>
      </c>
      <c r="BZ150" s="119">
        <v>189</v>
      </c>
      <c r="CA150" s="120">
        <v>2704</v>
      </c>
      <c r="CB150" s="114">
        <v>1902.8</v>
      </c>
      <c r="CC150" s="119">
        <v>213</v>
      </c>
      <c r="CD150" s="120">
        <v>3030</v>
      </c>
      <c r="CE150" s="114">
        <v>2166.8000000000002</v>
      </c>
      <c r="CF150" s="119">
        <v>214</v>
      </c>
      <c r="CG150" s="120">
        <v>2968</v>
      </c>
      <c r="CH150" s="114">
        <v>2150.3999999999996</v>
      </c>
      <c r="CI150" s="119">
        <v>207.54166666666666</v>
      </c>
      <c r="CJ150" s="120">
        <v>2913</v>
      </c>
      <c r="CK150" s="114">
        <v>2080.9499999999998</v>
      </c>
      <c r="CL150" s="54">
        <f t="shared" si="17"/>
        <v>1359.5416666666667</v>
      </c>
      <c r="CM150" s="63">
        <f t="shared" si="17"/>
        <v>19248</v>
      </c>
      <c r="CN150" s="55">
        <f t="shared" si="17"/>
        <v>13558.529999999999</v>
      </c>
      <c r="CO150" s="54">
        <f t="shared" si="18"/>
        <v>113.2951388888889</v>
      </c>
      <c r="CP150" s="63">
        <f t="shared" si="18"/>
        <v>1604</v>
      </c>
      <c r="CQ150" s="55">
        <f t="shared" si="18"/>
        <v>1129.8774999999998</v>
      </c>
    </row>
    <row r="151" spans="1:95" ht="31.5" customHeight="1" x14ac:dyDescent="0.6">
      <c r="A151" s="5">
        <v>148</v>
      </c>
      <c r="B151" s="14" t="s">
        <v>611</v>
      </c>
      <c r="C151" s="18" t="s">
        <v>425</v>
      </c>
      <c r="D151" s="21"/>
      <c r="E151" s="20" t="s">
        <v>359</v>
      </c>
      <c r="F151" s="23"/>
      <c r="G151" s="7" t="s">
        <v>150</v>
      </c>
      <c r="H151" s="146"/>
      <c r="I151" s="146"/>
      <c r="J151" s="147" t="s">
        <v>1137</v>
      </c>
      <c r="K151" s="49" t="s">
        <v>125</v>
      </c>
      <c r="L151" s="27">
        <v>253</v>
      </c>
      <c r="M151" s="58">
        <v>3292</v>
      </c>
      <c r="N151" s="78">
        <v>2944.4</v>
      </c>
      <c r="O151" s="27">
        <v>264</v>
      </c>
      <c r="P151" s="58">
        <v>3406</v>
      </c>
      <c r="Q151" s="49">
        <v>3049.6</v>
      </c>
      <c r="R151" s="27">
        <v>282</v>
      </c>
      <c r="S151" s="58">
        <v>3612</v>
      </c>
      <c r="T151" s="98">
        <v>3252</v>
      </c>
      <c r="U151" s="27">
        <v>305</v>
      </c>
      <c r="V151" s="58">
        <v>3926</v>
      </c>
      <c r="W151" s="12">
        <v>3529.2</v>
      </c>
      <c r="X151" s="27">
        <v>294</v>
      </c>
      <c r="Y151" s="58">
        <v>3794</v>
      </c>
      <c r="Z151" s="107">
        <v>3411.6</v>
      </c>
      <c r="AA151" s="27">
        <v>223</v>
      </c>
      <c r="AB151" s="58">
        <v>2918</v>
      </c>
      <c r="AC151" s="12">
        <v>2596.08</v>
      </c>
      <c r="AD151" s="27">
        <v>259</v>
      </c>
      <c r="AE151" s="58">
        <v>3410</v>
      </c>
      <c r="AF151" s="107">
        <v>3016.4</v>
      </c>
      <c r="AG151" s="27">
        <v>220</v>
      </c>
      <c r="AH151" s="58">
        <v>2960</v>
      </c>
      <c r="AI151" s="107">
        <v>2578.8000000000002</v>
      </c>
      <c r="AJ151" s="27">
        <v>280</v>
      </c>
      <c r="AK151" s="58">
        <v>3624</v>
      </c>
      <c r="AL151" s="107">
        <v>3281.6</v>
      </c>
      <c r="AM151" s="27">
        <v>0</v>
      </c>
      <c r="AN151" s="58">
        <v>0</v>
      </c>
      <c r="AO151" s="107">
        <v>0</v>
      </c>
      <c r="AP151" s="27">
        <v>208</v>
      </c>
      <c r="AQ151" s="58">
        <v>2566</v>
      </c>
      <c r="AR151" s="107">
        <v>2351.1999999999998</v>
      </c>
      <c r="AS151" s="27">
        <v>245</v>
      </c>
      <c r="AT151" s="58">
        <v>3244</v>
      </c>
      <c r="AU151" s="107">
        <v>2824.8</v>
      </c>
      <c r="AV151" s="54">
        <f t="shared" si="13"/>
        <v>2833</v>
      </c>
      <c r="AW151" s="63">
        <f t="shared" si="13"/>
        <v>36752</v>
      </c>
      <c r="AX151" s="55">
        <f t="shared" si="13"/>
        <v>32835.68</v>
      </c>
      <c r="AY151" s="54">
        <f t="shared" si="14"/>
        <v>236.08333333333334</v>
      </c>
      <c r="AZ151" s="63">
        <f t="shared" si="15"/>
        <v>19.673611111111111</v>
      </c>
      <c r="BA151" s="55">
        <f t="shared" si="16"/>
        <v>2736.3066666666668</v>
      </c>
      <c r="BB151" s="58">
        <v>0</v>
      </c>
      <c r="BC151" s="58">
        <v>0</v>
      </c>
      <c r="BD151" s="58">
        <v>0</v>
      </c>
      <c r="BE151" s="58">
        <v>0</v>
      </c>
      <c r="BF151" s="58">
        <v>0</v>
      </c>
      <c r="BG151" s="58">
        <v>0</v>
      </c>
      <c r="BH151" s="58">
        <v>0</v>
      </c>
      <c r="BI151" s="58">
        <v>0</v>
      </c>
      <c r="BJ151" s="58">
        <v>0</v>
      </c>
      <c r="BK151" s="58">
        <v>0</v>
      </c>
      <c r="BL151" s="58">
        <v>0</v>
      </c>
      <c r="BM151" s="58">
        <v>0</v>
      </c>
      <c r="BN151" s="46">
        <v>294</v>
      </c>
      <c r="BO151" s="43">
        <v>3830</v>
      </c>
      <c r="BP151" s="47">
        <v>3469.9999999999995</v>
      </c>
      <c r="BQ151" s="46">
        <v>217</v>
      </c>
      <c r="BR151" s="43">
        <v>2812</v>
      </c>
      <c r="BS151" s="47">
        <v>2540.8000000000002</v>
      </c>
      <c r="BT151" s="46">
        <v>269</v>
      </c>
      <c r="BU151" s="43">
        <v>3606</v>
      </c>
      <c r="BV151" s="114">
        <v>3099.04</v>
      </c>
      <c r="BW151" s="119">
        <v>153</v>
      </c>
      <c r="BX151" s="120">
        <v>1836</v>
      </c>
      <c r="BY151" s="114">
        <v>1824.48</v>
      </c>
      <c r="BZ151" s="119">
        <v>53</v>
      </c>
      <c r="CA151" s="120">
        <v>720</v>
      </c>
      <c r="CB151" s="114">
        <v>642</v>
      </c>
      <c r="CC151" s="119">
        <v>0</v>
      </c>
      <c r="CD151" s="120">
        <v>0</v>
      </c>
      <c r="CE151" s="114">
        <v>0</v>
      </c>
      <c r="CF151" s="119">
        <v>0</v>
      </c>
      <c r="CG151" s="120">
        <v>0</v>
      </c>
      <c r="CH151" s="114">
        <v>0</v>
      </c>
      <c r="CI151" s="119">
        <v>0</v>
      </c>
      <c r="CJ151" s="120">
        <v>0</v>
      </c>
      <c r="CK151" s="114">
        <v>0</v>
      </c>
      <c r="CL151" s="54">
        <f t="shared" si="17"/>
        <v>986</v>
      </c>
      <c r="CM151" s="63">
        <f t="shared" si="17"/>
        <v>12804</v>
      </c>
      <c r="CN151" s="55">
        <f t="shared" si="17"/>
        <v>11576.32</v>
      </c>
      <c r="CO151" s="54">
        <f t="shared" si="18"/>
        <v>82.166666666666671</v>
      </c>
      <c r="CP151" s="63">
        <f t="shared" si="18"/>
        <v>1067</v>
      </c>
      <c r="CQ151" s="55">
        <f t="shared" si="18"/>
        <v>964.69333333333327</v>
      </c>
    </row>
    <row r="152" spans="1:95" ht="31.5" customHeight="1" x14ac:dyDescent="0.6">
      <c r="A152" s="5">
        <v>149</v>
      </c>
      <c r="B152" s="14" t="s">
        <v>617</v>
      </c>
      <c r="C152" s="18">
        <v>494</v>
      </c>
      <c r="D152" s="21"/>
      <c r="E152" s="20" t="s">
        <v>359</v>
      </c>
      <c r="F152" s="23"/>
      <c r="G152" s="7" t="s">
        <v>150</v>
      </c>
      <c r="H152" s="146"/>
      <c r="I152" s="146"/>
      <c r="J152" s="147"/>
      <c r="K152" s="49" t="s">
        <v>125</v>
      </c>
      <c r="L152" s="27">
        <v>0</v>
      </c>
      <c r="M152" s="58">
        <v>0</v>
      </c>
      <c r="N152" s="78">
        <v>0</v>
      </c>
      <c r="O152" s="27">
        <v>0</v>
      </c>
      <c r="P152" s="58">
        <v>0</v>
      </c>
      <c r="Q152" s="49">
        <v>0</v>
      </c>
      <c r="R152" s="27">
        <v>0</v>
      </c>
      <c r="S152" s="58">
        <v>0</v>
      </c>
      <c r="T152" s="98">
        <v>0</v>
      </c>
      <c r="U152" s="27">
        <v>0</v>
      </c>
      <c r="V152" s="58">
        <v>0</v>
      </c>
      <c r="W152" s="12">
        <v>0</v>
      </c>
      <c r="X152" s="27">
        <v>0</v>
      </c>
      <c r="Y152" s="58">
        <v>0</v>
      </c>
      <c r="Z152" s="12">
        <v>0</v>
      </c>
      <c r="AA152" s="27">
        <v>0</v>
      </c>
      <c r="AB152" s="58">
        <v>0</v>
      </c>
      <c r="AC152" s="12">
        <v>0</v>
      </c>
      <c r="AD152" s="27">
        <v>0</v>
      </c>
      <c r="AE152" s="58">
        <v>0</v>
      </c>
      <c r="AF152" s="107">
        <v>0</v>
      </c>
      <c r="AG152" s="27">
        <v>0</v>
      </c>
      <c r="AH152" s="58">
        <v>0</v>
      </c>
      <c r="AI152" s="107">
        <v>0</v>
      </c>
      <c r="AJ152" s="27">
        <v>0</v>
      </c>
      <c r="AK152" s="58">
        <v>0</v>
      </c>
      <c r="AL152" s="107">
        <v>0</v>
      </c>
      <c r="AM152" s="27">
        <v>0</v>
      </c>
      <c r="AN152" s="58">
        <v>0</v>
      </c>
      <c r="AO152" s="107">
        <v>0</v>
      </c>
      <c r="AP152" s="27">
        <v>103</v>
      </c>
      <c r="AQ152" s="58">
        <v>1538</v>
      </c>
      <c r="AR152" s="107">
        <v>955.2</v>
      </c>
      <c r="AS152" s="27">
        <v>141</v>
      </c>
      <c r="AT152" s="58">
        <v>2038</v>
      </c>
      <c r="AU152" s="107">
        <v>1299.76</v>
      </c>
      <c r="AV152" s="54">
        <f t="shared" si="13"/>
        <v>244</v>
      </c>
      <c r="AW152" s="63">
        <f t="shared" si="13"/>
        <v>3576</v>
      </c>
      <c r="AX152" s="55">
        <f t="shared" si="13"/>
        <v>2254.96</v>
      </c>
      <c r="AY152" s="54">
        <f t="shared" si="14"/>
        <v>20.333333333333332</v>
      </c>
      <c r="AZ152" s="63">
        <f t="shared" si="15"/>
        <v>1.6944444444444444</v>
      </c>
      <c r="BA152" s="55">
        <f t="shared" si="16"/>
        <v>187.91333333333333</v>
      </c>
      <c r="BB152" s="58">
        <v>0</v>
      </c>
      <c r="BC152" s="58">
        <v>0</v>
      </c>
      <c r="BD152" s="58">
        <v>0</v>
      </c>
      <c r="BE152" s="58">
        <v>0</v>
      </c>
      <c r="BF152" s="58">
        <v>0</v>
      </c>
      <c r="BG152" s="58">
        <v>0</v>
      </c>
      <c r="BH152" s="58">
        <v>0</v>
      </c>
      <c r="BI152" s="58">
        <v>0</v>
      </c>
      <c r="BJ152" s="58">
        <v>0</v>
      </c>
      <c r="BK152" s="58">
        <v>0</v>
      </c>
      <c r="BL152" s="58">
        <v>0</v>
      </c>
      <c r="BM152" s="58">
        <v>0</v>
      </c>
      <c r="BN152" s="46">
        <v>117</v>
      </c>
      <c r="BO152" s="43">
        <v>1772</v>
      </c>
      <c r="BP152" s="47">
        <v>1112</v>
      </c>
      <c r="BQ152" s="46">
        <v>105</v>
      </c>
      <c r="BR152" s="43">
        <v>1470</v>
      </c>
      <c r="BS152" s="47">
        <v>940.8</v>
      </c>
      <c r="BT152" s="46">
        <v>0</v>
      </c>
      <c r="BU152" s="43">
        <v>0</v>
      </c>
      <c r="BV152" s="114">
        <v>0</v>
      </c>
      <c r="BW152" s="119">
        <v>0</v>
      </c>
      <c r="BX152" s="120">
        <v>0</v>
      </c>
      <c r="BY152" s="114">
        <v>0</v>
      </c>
      <c r="BZ152" s="119">
        <v>0</v>
      </c>
      <c r="CA152" s="120">
        <v>0</v>
      </c>
      <c r="CB152" s="114">
        <v>0</v>
      </c>
      <c r="CC152" s="119">
        <v>0</v>
      </c>
      <c r="CD152" s="120">
        <v>0</v>
      </c>
      <c r="CE152" s="114">
        <v>0</v>
      </c>
      <c r="CF152" s="119">
        <v>0</v>
      </c>
      <c r="CG152" s="120">
        <v>0</v>
      </c>
      <c r="CH152" s="114">
        <v>0</v>
      </c>
      <c r="CI152" s="119">
        <v>0</v>
      </c>
      <c r="CJ152" s="120">
        <v>0</v>
      </c>
      <c r="CK152" s="114">
        <v>0</v>
      </c>
      <c r="CL152" s="54">
        <f t="shared" si="17"/>
        <v>222</v>
      </c>
      <c r="CM152" s="63">
        <f t="shared" si="17"/>
        <v>3242</v>
      </c>
      <c r="CN152" s="55">
        <f t="shared" si="17"/>
        <v>2052.8000000000002</v>
      </c>
      <c r="CO152" s="54">
        <f t="shared" si="18"/>
        <v>18.5</v>
      </c>
      <c r="CP152" s="63">
        <f t="shared" si="18"/>
        <v>270.16666666666669</v>
      </c>
      <c r="CQ152" s="55">
        <f t="shared" si="18"/>
        <v>171.06666666666669</v>
      </c>
    </row>
    <row r="153" spans="1:95" ht="31.5" customHeight="1" x14ac:dyDescent="0.6">
      <c r="A153" s="5">
        <v>150</v>
      </c>
      <c r="B153" s="14" t="s">
        <v>636</v>
      </c>
      <c r="C153" s="18" t="s">
        <v>427</v>
      </c>
      <c r="D153" s="21"/>
      <c r="E153" s="20" t="s">
        <v>359</v>
      </c>
      <c r="F153" s="23"/>
      <c r="G153" s="7" t="s">
        <v>150</v>
      </c>
      <c r="H153" s="146"/>
      <c r="I153" s="146"/>
      <c r="J153" s="147" t="s">
        <v>1138</v>
      </c>
      <c r="K153" s="49" t="s">
        <v>125</v>
      </c>
      <c r="L153" s="27">
        <v>0</v>
      </c>
      <c r="M153" s="58">
        <v>0</v>
      </c>
      <c r="N153" s="78">
        <v>0</v>
      </c>
      <c r="O153" s="27">
        <v>0</v>
      </c>
      <c r="P153" s="58">
        <v>0</v>
      </c>
      <c r="Q153" s="49">
        <v>0</v>
      </c>
      <c r="R153" s="27">
        <v>0</v>
      </c>
      <c r="S153" s="58">
        <v>0</v>
      </c>
      <c r="T153" s="98">
        <v>0</v>
      </c>
      <c r="U153" s="27">
        <v>0</v>
      </c>
      <c r="V153" s="58">
        <v>0</v>
      </c>
      <c r="W153" s="12">
        <v>0</v>
      </c>
      <c r="X153" s="27">
        <v>0</v>
      </c>
      <c r="Y153" s="58">
        <v>0</v>
      </c>
      <c r="Z153" s="12">
        <v>0</v>
      </c>
      <c r="AA153" s="27">
        <v>0</v>
      </c>
      <c r="AB153" s="58">
        <v>0</v>
      </c>
      <c r="AC153" s="12">
        <v>0</v>
      </c>
      <c r="AD153" s="27">
        <v>22</v>
      </c>
      <c r="AE153" s="58">
        <v>264</v>
      </c>
      <c r="AF153" s="107">
        <v>264</v>
      </c>
      <c r="AG153" s="27">
        <v>15</v>
      </c>
      <c r="AH153" s="58">
        <v>180</v>
      </c>
      <c r="AI153" s="107">
        <v>180</v>
      </c>
      <c r="AJ153" s="27">
        <v>13</v>
      </c>
      <c r="AK153" s="58">
        <v>176</v>
      </c>
      <c r="AL153" s="107">
        <v>125.60000000000001</v>
      </c>
      <c r="AM153" s="27">
        <v>0</v>
      </c>
      <c r="AN153" s="58">
        <v>0</v>
      </c>
      <c r="AO153" s="107">
        <v>0</v>
      </c>
      <c r="AP153" s="27">
        <v>3</v>
      </c>
      <c r="AQ153" s="58">
        <v>64</v>
      </c>
      <c r="AR153" s="107">
        <v>38</v>
      </c>
      <c r="AS153" s="27">
        <v>725</v>
      </c>
      <c r="AT153" s="58">
        <v>9000</v>
      </c>
      <c r="AU153" s="107">
        <v>8196</v>
      </c>
      <c r="AV153" s="54">
        <f t="shared" si="13"/>
        <v>778</v>
      </c>
      <c r="AW153" s="63">
        <f t="shared" si="13"/>
        <v>9684</v>
      </c>
      <c r="AX153" s="55">
        <f t="shared" si="13"/>
        <v>8803.6</v>
      </c>
      <c r="AY153" s="54">
        <f t="shared" si="14"/>
        <v>64.833333333333329</v>
      </c>
      <c r="AZ153" s="63">
        <f t="shared" si="15"/>
        <v>5.4027777777777777</v>
      </c>
      <c r="BA153" s="55">
        <f t="shared" si="16"/>
        <v>733.63333333333333</v>
      </c>
      <c r="BB153" s="58">
        <v>0</v>
      </c>
      <c r="BC153" s="58">
        <v>0</v>
      </c>
      <c r="BD153" s="58">
        <v>0</v>
      </c>
      <c r="BE153" s="58">
        <v>0</v>
      </c>
      <c r="BF153" s="58">
        <v>0</v>
      </c>
      <c r="BG153" s="58">
        <v>0</v>
      </c>
      <c r="BH153" s="58">
        <v>0</v>
      </c>
      <c r="BI153" s="58">
        <v>0</v>
      </c>
      <c r="BJ153" s="58">
        <v>0</v>
      </c>
      <c r="BK153" s="58">
        <v>0</v>
      </c>
      <c r="BL153" s="58">
        <v>0</v>
      </c>
      <c r="BM153" s="58">
        <v>0</v>
      </c>
      <c r="BN153" s="46">
        <v>700</v>
      </c>
      <c r="BO153" s="43">
        <v>8600</v>
      </c>
      <c r="BP153" s="47">
        <v>8096</v>
      </c>
      <c r="BQ153" s="46">
        <v>765</v>
      </c>
      <c r="BR153" s="43">
        <v>9580</v>
      </c>
      <c r="BS153" s="47">
        <v>8572</v>
      </c>
      <c r="BT153" s="46">
        <v>800</v>
      </c>
      <c r="BU153" s="43">
        <v>9800</v>
      </c>
      <c r="BV153" s="114">
        <v>9296</v>
      </c>
      <c r="BW153" s="119">
        <v>718</v>
      </c>
      <c r="BX153" s="120">
        <v>9236</v>
      </c>
      <c r="BY153" s="114">
        <v>8330.48</v>
      </c>
      <c r="BZ153" s="119">
        <v>650</v>
      </c>
      <c r="CA153" s="120">
        <v>8000</v>
      </c>
      <c r="CB153" s="114">
        <v>7496</v>
      </c>
      <c r="CC153" s="119">
        <v>1400</v>
      </c>
      <c r="CD153" s="120">
        <v>17000</v>
      </c>
      <c r="CE153" s="114">
        <v>16496</v>
      </c>
      <c r="CF153" s="119">
        <v>650</v>
      </c>
      <c r="CG153" s="120">
        <v>8040</v>
      </c>
      <c r="CH153" s="114">
        <v>7291.2</v>
      </c>
      <c r="CI153" s="119">
        <v>750</v>
      </c>
      <c r="CJ153" s="120">
        <v>9200</v>
      </c>
      <c r="CK153" s="114">
        <v>8696</v>
      </c>
      <c r="CL153" s="54">
        <f t="shared" si="17"/>
        <v>6433</v>
      </c>
      <c r="CM153" s="63">
        <f t="shared" si="17"/>
        <v>79456</v>
      </c>
      <c r="CN153" s="55">
        <f t="shared" si="17"/>
        <v>74273.679999999993</v>
      </c>
      <c r="CO153" s="54">
        <f t="shared" si="18"/>
        <v>536.08333333333337</v>
      </c>
      <c r="CP153" s="63">
        <f t="shared" si="18"/>
        <v>6621.333333333333</v>
      </c>
      <c r="CQ153" s="55">
        <f t="shared" si="18"/>
        <v>6189.4733333333324</v>
      </c>
    </row>
    <row r="154" spans="1:95" ht="31.5" customHeight="1" x14ac:dyDescent="0.6">
      <c r="A154" s="5">
        <v>151</v>
      </c>
      <c r="B154" s="14" t="s">
        <v>646</v>
      </c>
      <c r="C154" s="18" t="s">
        <v>428</v>
      </c>
      <c r="D154" s="21"/>
      <c r="E154" s="20" t="s">
        <v>359</v>
      </c>
      <c r="F154" s="23"/>
      <c r="G154" s="7" t="s">
        <v>150</v>
      </c>
      <c r="H154" s="146"/>
      <c r="I154" s="146"/>
      <c r="J154" s="147" t="s">
        <v>1139</v>
      </c>
      <c r="K154" s="49" t="s">
        <v>125</v>
      </c>
      <c r="L154" s="27">
        <v>500</v>
      </c>
      <c r="M154" s="58">
        <v>7000</v>
      </c>
      <c r="N154" s="78">
        <v>4480</v>
      </c>
      <c r="O154" s="27">
        <v>110</v>
      </c>
      <c r="P154" s="58">
        <v>1200</v>
      </c>
      <c r="Q154" s="49">
        <v>1200</v>
      </c>
      <c r="R154" s="27">
        <v>200</v>
      </c>
      <c r="S154" s="58">
        <v>2600</v>
      </c>
      <c r="T154" s="98">
        <v>2096</v>
      </c>
      <c r="U154" s="27">
        <v>0</v>
      </c>
      <c r="V154" s="58">
        <v>0</v>
      </c>
      <c r="W154" s="12">
        <v>0</v>
      </c>
      <c r="X154" s="27">
        <v>300</v>
      </c>
      <c r="Y154" s="58">
        <v>5100</v>
      </c>
      <c r="Z154" s="12">
        <v>3548</v>
      </c>
      <c r="AA154" s="27">
        <v>0</v>
      </c>
      <c r="AB154" s="58">
        <v>0</v>
      </c>
      <c r="AC154" s="12">
        <v>0</v>
      </c>
      <c r="AD154" s="27">
        <v>100</v>
      </c>
      <c r="AE154" s="58">
        <v>1400</v>
      </c>
      <c r="AF154" s="107">
        <v>896</v>
      </c>
      <c r="AG154" s="27">
        <v>0</v>
      </c>
      <c r="AH154" s="58">
        <v>0</v>
      </c>
      <c r="AI154" s="107">
        <v>0</v>
      </c>
      <c r="AJ154" s="27">
        <v>0</v>
      </c>
      <c r="AK154" s="58">
        <v>0</v>
      </c>
      <c r="AL154" s="107">
        <v>0</v>
      </c>
      <c r="AM154" s="27">
        <v>0</v>
      </c>
      <c r="AN154" s="58">
        <v>0</v>
      </c>
      <c r="AO154" s="107">
        <v>0</v>
      </c>
      <c r="AP154" s="27">
        <v>300</v>
      </c>
      <c r="AQ154" s="58">
        <v>4000</v>
      </c>
      <c r="AR154" s="107">
        <v>2992</v>
      </c>
      <c r="AS154" s="27">
        <v>0</v>
      </c>
      <c r="AT154" s="58">
        <v>0</v>
      </c>
      <c r="AU154" s="107">
        <v>0</v>
      </c>
      <c r="AV154" s="54">
        <f t="shared" si="13"/>
        <v>1510</v>
      </c>
      <c r="AW154" s="63">
        <f t="shared" si="13"/>
        <v>21300</v>
      </c>
      <c r="AX154" s="55">
        <f t="shared" si="13"/>
        <v>15212</v>
      </c>
      <c r="AY154" s="54">
        <f t="shared" si="14"/>
        <v>125.83333333333333</v>
      </c>
      <c r="AZ154" s="63">
        <f t="shared" si="15"/>
        <v>10.486111111111111</v>
      </c>
      <c r="BA154" s="55">
        <f t="shared" si="16"/>
        <v>1267.6666666666667</v>
      </c>
      <c r="BB154" s="58">
        <v>0</v>
      </c>
      <c r="BC154" s="58">
        <v>0</v>
      </c>
      <c r="BD154" s="58">
        <v>0</v>
      </c>
      <c r="BE154" s="58">
        <v>0</v>
      </c>
      <c r="BF154" s="58">
        <v>0</v>
      </c>
      <c r="BG154" s="58">
        <v>0</v>
      </c>
      <c r="BH154" s="58">
        <v>0</v>
      </c>
      <c r="BI154" s="58">
        <v>0</v>
      </c>
      <c r="BJ154" s="58">
        <v>0</v>
      </c>
      <c r="BK154" s="58">
        <v>0</v>
      </c>
      <c r="BL154" s="58">
        <v>0</v>
      </c>
      <c r="BM154" s="58">
        <v>0</v>
      </c>
      <c r="BN154" s="46">
        <v>0</v>
      </c>
      <c r="BO154" s="43">
        <v>0</v>
      </c>
      <c r="BP154" s="47">
        <v>0</v>
      </c>
      <c r="BQ154" s="46">
        <v>300</v>
      </c>
      <c r="BR154" s="43">
        <v>3800</v>
      </c>
      <c r="BS154" s="47">
        <v>3296</v>
      </c>
      <c r="BT154" s="46">
        <v>0</v>
      </c>
      <c r="BU154" s="43">
        <v>0</v>
      </c>
      <c r="BV154" s="114">
        <v>0</v>
      </c>
      <c r="BW154" s="119">
        <v>228</v>
      </c>
      <c r="BX154" s="120">
        <v>3216</v>
      </c>
      <c r="BY154" s="114">
        <v>2440.48</v>
      </c>
      <c r="BZ154" s="119"/>
      <c r="CA154" s="120"/>
      <c r="CB154" s="114"/>
      <c r="CC154" s="119">
        <v>250</v>
      </c>
      <c r="CD154" s="120">
        <v>4600</v>
      </c>
      <c r="CE154" s="114">
        <v>2796</v>
      </c>
      <c r="CF154" s="119"/>
      <c r="CG154" s="120"/>
      <c r="CH154" s="114"/>
      <c r="CI154" s="119">
        <v>200</v>
      </c>
      <c r="CJ154" s="120">
        <v>2600</v>
      </c>
      <c r="CK154" s="114">
        <v>2096</v>
      </c>
      <c r="CL154" s="54">
        <f t="shared" si="17"/>
        <v>978</v>
      </c>
      <c r="CM154" s="63">
        <f t="shared" si="17"/>
        <v>14216</v>
      </c>
      <c r="CN154" s="55">
        <f t="shared" si="17"/>
        <v>10628.48</v>
      </c>
      <c r="CO154" s="54">
        <f t="shared" si="18"/>
        <v>81.5</v>
      </c>
      <c r="CP154" s="63">
        <f t="shared" si="18"/>
        <v>1184.6666666666667</v>
      </c>
      <c r="CQ154" s="55">
        <f t="shared" si="18"/>
        <v>885.70666666666659</v>
      </c>
    </row>
    <row r="155" spans="1:95" s="122" customFormat="1" ht="31.5" customHeight="1" x14ac:dyDescent="0.6">
      <c r="A155" s="5">
        <v>152</v>
      </c>
      <c r="B155" s="18" t="s">
        <v>375</v>
      </c>
      <c r="C155" s="18" t="s">
        <v>431</v>
      </c>
      <c r="D155" s="18" t="s">
        <v>376</v>
      </c>
      <c r="E155" s="18" t="s">
        <v>49</v>
      </c>
      <c r="F155" s="23" t="s">
        <v>50</v>
      </c>
      <c r="G155" s="7" t="s">
        <v>377</v>
      </c>
      <c r="H155" s="123"/>
      <c r="I155" s="123"/>
      <c r="J155" s="123" t="s">
        <v>1000</v>
      </c>
      <c r="K155" s="49" t="s">
        <v>378</v>
      </c>
      <c r="L155" s="27"/>
      <c r="M155" s="58"/>
      <c r="N155" s="78"/>
      <c r="O155" s="27"/>
      <c r="P155" s="58"/>
      <c r="Q155" s="49"/>
      <c r="R155" s="27"/>
      <c r="S155" s="58"/>
      <c r="T155" s="98"/>
      <c r="U155" s="27"/>
      <c r="V155" s="58"/>
      <c r="W155" s="12"/>
      <c r="X155" s="27"/>
      <c r="Y155" s="58"/>
      <c r="Z155" s="12"/>
      <c r="AA155" s="27"/>
      <c r="AB155" s="58"/>
      <c r="AC155" s="12"/>
      <c r="AD155" s="27">
        <v>40</v>
      </c>
      <c r="AE155" s="58">
        <v>620</v>
      </c>
      <c r="AF155" s="107"/>
      <c r="AG155" s="27">
        <v>0</v>
      </c>
      <c r="AH155" s="58">
        <v>0</v>
      </c>
      <c r="AI155" s="107"/>
      <c r="AJ155" s="27">
        <v>0</v>
      </c>
      <c r="AK155" s="58">
        <v>0</v>
      </c>
      <c r="AL155" s="107"/>
      <c r="AM155" s="27">
        <v>45</v>
      </c>
      <c r="AN155" s="58">
        <v>680</v>
      </c>
      <c r="AO155" s="107"/>
      <c r="AP155" s="27">
        <v>15</v>
      </c>
      <c r="AQ155" s="58">
        <v>180</v>
      </c>
      <c r="AR155" s="107"/>
      <c r="AS155" s="27">
        <v>30</v>
      </c>
      <c r="AT155" s="58">
        <v>360</v>
      </c>
      <c r="AU155" s="107"/>
      <c r="AV155" s="54"/>
      <c r="AW155" s="63"/>
      <c r="AX155" s="55"/>
      <c r="AY155" s="54"/>
      <c r="AZ155" s="63"/>
      <c r="BA155" s="55"/>
      <c r="BB155" s="10">
        <v>75</v>
      </c>
      <c r="BC155" s="15">
        <v>1002</v>
      </c>
      <c r="BD155" s="11">
        <v>937</v>
      </c>
      <c r="BE155" s="10">
        <v>60</v>
      </c>
      <c r="BF155" s="15">
        <v>720</v>
      </c>
      <c r="BG155" s="11">
        <v>720</v>
      </c>
      <c r="BH155" s="10">
        <v>42</v>
      </c>
      <c r="BI155" s="15">
        <v>1311</v>
      </c>
      <c r="BJ155" s="11">
        <v>888</v>
      </c>
      <c r="BK155" s="10">
        <v>60</v>
      </c>
      <c r="BL155" s="15">
        <v>900</v>
      </c>
      <c r="BM155" s="11">
        <v>900</v>
      </c>
      <c r="BN155" s="44">
        <v>75</v>
      </c>
      <c r="BO155" s="42">
        <v>900</v>
      </c>
      <c r="BP155" s="45">
        <v>900</v>
      </c>
      <c r="BQ155" s="44">
        <v>60</v>
      </c>
      <c r="BR155" s="42">
        <v>900</v>
      </c>
      <c r="BS155" s="45">
        <v>900</v>
      </c>
      <c r="BT155" s="44">
        <v>120</v>
      </c>
      <c r="BU155" s="42">
        <v>1440</v>
      </c>
      <c r="BV155" s="112">
        <v>1440</v>
      </c>
      <c r="BW155" s="115">
        <v>35.299999999999997</v>
      </c>
      <c r="BX155" s="116">
        <v>563</v>
      </c>
      <c r="BY155" s="112">
        <v>432.04</v>
      </c>
      <c r="BZ155" s="115">
        <v>60</v>
      </c>
      <c r="CA155" s="116">
        <v>720</v>
      </c>
      <c r="CB155" s="112">
        <v>720</v>
      </c>
      <c r="CC155" s="115">
        <v>91</v>
      </c>
      <c r="CD155" s="116">
        <v>1092</v>
      </c>
      <c r="CE155" s="112">
        <v>1092</v>
      </c>
      <c r="CF155" s="115">
        <v>75</v>
      </c>
      <c r="CG155" s="116">
        <v>900</v>
      </c>
      <c r="CH155" s="112">
        <v>900</v>
      </c>
      <c r="CI155" s="115">
        <v>105</v>
      </c>
      <c r="CJ155" s="116">
        <v>1260</v>
      </c>
      <c r="CK155" s="112">
        <v>1260</v>
      </c>
      <c r="CL155" s="54">
        <f t="shared" si="17"/>
        <v>858.3</v>
      </c>
      <c r="CM155" s="63">
        <f t="shared" si="17"/>
        <v>11708</v>
      </c>
      <c r="CN155" s="55">
        <f t="shared" si="17"/>
        <v>11089.04</v>
      </c>
      <c r="CO155" s="54">
        <f t="shared" si="18"/>
        <v>71.524999999999991</v>
      </c>
      <c r="CP155" s="63">
        <f t="shared" si="18"/>
        <v>975.66666666666663</v>
      </c>
      <c r="CQ155" s="55">
        <f t="shared" si="18"/>
        <v>924.0866666666667</v>
      </c>
    </row>
    <row r="156" spans="1:95" s="25" customFormat="1" ht="31.5" customHeight="1" x14ac:dyDescent="0.6">
      <c r="A156" s="5">
        <v>153</v>
      </c>
      <c r="B156" s="18" t="s">
        <v>379</v>
      </c>
      <c r="C156" s="18" t="s">
        <v>364</v>
      </c>
      <c r="D156" s="18" t="s">
        <v>380</v>
      </c>
      <c r="E156" s="18" t="s">
        <v>49</v>
      </c>
      <c r="F156" s="23" t="s">
        <v>50</v>
      </c>
      <c r="G156" s="7" t="s">
        <v>377</v>
      </c>
      <c r="H156" s="123"/>
      <c r="I156" s="123"/>
      <c r="J156" s="123" t="s">
        <v>1001</v>
      </c>
      <c r="K156" s="49" t="s">
        <v>378</v>
      </c>
      <c r="L156" s="27"/>
      <c r="M156" s="58"/>
      <c r="N156" s="78"/>
      <c r="O156" s="27"/>
      <c r="P156" s="58"/>
      <c r="Q156" s="49"/>
      <c r="R156" s="27"/>
      <c r="S156" s="58"/>
      <c r="T156" s="98"/>
      <c r="U156" s="27"/>
      <c r="V156" s="58"/>
      <c r="W156" s="12"/>
      <c r="X156" s="27"/>
      <c r="Y156" s="58"/>
      <c r="Z156" s="12"/>
      <c r="AA156" s="27"/>
      <c r="AB156" s="58"/>
      <c r="AC156" s="12"/>
      <c r="AD156" s="27">
        <v>0</v>
      </c>
      <c r="AE156" s="58">
        <v>0</v>
      </c>
      <c r="AF156" s="107"/>
      <c r="AG156" s="27">
        <v>45</v>
      </c>
      <c r="AH156" s="58">
        <v>540</v>
      </c>
      <c r="AI156" s="107"/>
      <c r="AJ156" s="27">
        <v>50</v>
      </c>
      <c r="AK156" s="58">
        <v>600</v>
      </c>
      <c r="AL156" s="107"/>
      <c r="AM156" s="27">
        <v>10</v>
      </c>
      <c r="AN156" s="58">
        <v>120</v>
      </c>
      <c r="AO156" s="107"/>
      <c r="AP156" s="27">
        <v>30</v>
      </c>
      <c r="AQ156" s="58">
        <v>360</v>
      </c>
      <c r="AR156" s="107"/>
      <c r="AS156" s="27">
        <v>30</v>
      </c>
      <c r="AT156" s="58">
        <v>360</v>
      </c>
      <c r="AU156" s="107"/>
      <c r="AV156" s="54"/>
      <c r="AW156" s="63"/>
      <c r="AX156" s="55"/>
      <c r="AY156" s="54"/>
      <c r="AZ156" s="63"/>
      <c r="BA156" s="55"/>
      <c r="BB156" s="10">
        <v>45</v>
      </c>
      <c r="BC156" s="15">
        <v>549</v>
      </c>
      <c r="BD156" s="11">
        <v>544</v>
      </c>
      <c r="BE156" s="10">
        <v>46</v>
      </c>
      <c r="BF156" s="15">
        <v>557</v>
      </c>
      <c r="BG156" s="11">
        <v>547.70000000000005</v>
      </c>
      <c r="BH156" s="10">
        <v>76</v>
      </c>
      <c r="BI156" s="15">
        <v>913</v>
      </c>
      <c r="BJ156" s="11">
        <v>906</v>
      </c>
      <c r="BK156" s="10">
        <v>15</v>
      </c>
      <c r="BL156" s="15">
        <v>180</v>
      </c>
      <c r="BM156" s="11">
        <v>180</v>
      </c>
      <c r="BN156" s="46">
        <v>60</v>
      </c>
      <c r="BO156" s="43">
        <v>720</v>
      </c>
      <c r="BP156" s="47">
        <v>720</v>
      </c>
      <c r="BQ156" s="46">
        <v>30</v>
      </c>
      <c r="BR156" s="43">
        <v>360</v>
      </c>
      <c r="BS156" s="47">
        <v>360</v>
      </c>
      <c r="BT156" s="46">
        <v>45</v>
      </c>
      <c r="BU156" s="43">
        <v>540</v>
      </c>
      <c r="BV156" s="114">
        <v>540</v>
      </c>
      <c r="BW156" s="119">
        <v>30</v>
      </c>
      <c r="BX156" s="120">
        <v>360</v>
      </c>
      <c r="BY156" s="114">
        <v>360</v>
      </c>
      <c r="BZ156" s="119">
        <v>75</v>
      </c>
      <c r="CA156" s="120">
        <v>900</v>
      </c>
      <c r="CB156" s="114">
        <v>900</v>
      </c>
      <c r="CC156" s="119">
        <v>45</v>
      </c>
      <c r="CD156" s="120">
        <v>540</v>
      </c>
      <c r="CE156" s="114">
        <v>540</v>
      </c>
      <c r="CF156" s="119">
        <v>75</v>
      </c>
      <c r="CG156" s="120">
        <v>900</v>
      </c>
      <c r="CH156" s="114">
        <v>900</v>
      </c>
      <c r="CI156" s="119">
        <v>90</v>
      </c>
      <c r="CJ156" s="120">
        <v>1080</v>
      </c>
      <c r="CK156" s="114">
        <v>1080</v>
      </c>
      <c r="CL156" s="54">
        <f t="shared" si="17"/>
        <v>632</v>
      </c>
      <c r="CM156" s="63">
        <f t="shared" si="17"/>
        <v>7599</v>
      </c>
      <c r="CN156" s="55">
        <f t="shared" si="17"/>
        <v>7577.7</v>
      </c>
      <c r="CO156" s="54">
        <f t="shared" si="18"/>
        <v>52.666666666666664</v>
      </c>
      <c r="CP156" s="63">
        <f t="shared" si="18"/>
        <v>633.25</v>
      </c>
      <c r="CQ156" s="55">
        <f t="shared" si="18"/>
        <v>631.47500000000002</v>
      </c>
    </row>
    <row r="157" spans="1:95" s="25" customFormat="1" ht="31.5" customHeight="1" x14ac:dyDescent="0.6">
      <c r="A157" s="5">
        <v>154</v>
      </c>
      <c r="B157" s="18" t="s">
        <v>381</v>
      </c>
      <c r="C157" s="18" t="s">
        <v>360</v>
      </c>
      <c r="D157" s="18" t="s">
        <v>382</v>
      </c>
      <c r="E157" s="18" t="s">
        <v>383</v>
      </c>
      <c r="F157" s="23" t="s">
        <v>384</v>
      </c>
      <c r="G157" s="7" t="s">
        <v>377</v>
      </c>
      <c r="H157" s="123"/>
      <c r="I157" s="123"/>
      <c r="J157" s="123" t="s">
        <v>1002</v>
      </c>
      <c r="K157" s="49" t="s">
        <v>378</v>
      </c>
      <c r="L157" s="27"/>
      <c r="M157" s="58"/>
      <c r="N157" s="78"/>
      <c r="O157" s="27"/>
      <c r="P157" s="58"/>
      <c r="Q157" s="49"/>
      <c r="R157" s="27"/>
      <c r="S157" s="58"/>
      <c r="T157" s="98"/>
      <c r="U157" s="27"/>
      <c r="V157" s="58"/>
      <c r="W157" s="12"/>
      <c r="X157" s="27"/>
      <c r="Y157" s="58"/>
      <c r="Z157" s="12"/>
      <c r="AA157" s="27"/>
      <c r="AB157" s="58"/>
      <c r="AC157" s="12"/>
      <c r="AD157" s="27">
        <v>0</v>
      </c>
      <c r="AE157" s="58">
        <v>0</v>
      </c>
      <c r="AF157" s="107"/>
      <c r="AG157" s="27">
        <v>0</v>
      </c>
      <c r="AH157" s="58">
        <v>0</v>
      </c>
      <c r="AI157" s="107"/>
      <c r="AJ157" s="27">
        <v>15</v>
      </c>
      <c r="AK157" s="58">
        <v>180</v>
      </c>
      <c r="AL157" s="107"/>
      <c r="AM157" s="27">
        <v>0</v>
      </c>
      <c r="AN157" s="58">
        <v>0</v>
      </c>
      <c r="AO157" s="107"/>
      <c r="AP157" s="27">
        <v>30</v>
      </c>
      <c r="AQ157" s="58">
        <v>360</v>
      </c>
      <c r="AR157" s="107"/>
      <c r="AS157" s="27">
        <v>45</v>
      </c>
      <c r="AT157" s="58">
        <v>540</v>
      </c>
      <c r="AU157" s="107"/>
      <c r="AV157" s="54"/>
      <c r="AW157" s="63"/>
      <c r="AX157" s="55"/>
      <c r="AY157" s="54"/>
      <c r="AZ157" s="63"/>
      <c r="BA157" s="55"/>
      <c r="BB157" s="10">
        <v>75</v>
      </c>
      <c r="BC157" s="15">
        <v>900</v>
      </c>
      <c r="BD157" s="11">
        <v>900</v>
      </c>
      <c r="BE157" s="10">
        <v>50</v>
      </c>
      <c r="BF157" s="15">
        <v>600</v>
      </c>
      <c r="BG157" s="11">
        <v>600</v>
      </c>
      <c r="BH157" s="10">
        <v>153</v>
      </c>
      <c r="BI157" s="15">
        <v>2692</v>
      </c>
      <c r="BJ157" s="11">
        <v>1775.68</v>
      </c>
      <c r="BK157" s="10">
        <v>45</v>
      </c>
      <c r="BL157" s="15">
        <v>540</v>
      </c>
      <c r="BM157" s="11">
        <v>540</v>
      </c>
      <c r="BN157" s="46">
        <v>80</v>
      </c>
      <c r="BO157" s="43">
        <v>1380</v>
      </c>
      <c r="BP157" s="47">
        <v>990</v>
      </c>
      <c r="BQ157" s="46">
        <v>45</v>
      </c>
      <c r="BR157" s="43">
        <v>540</v>
      </c>
      <c r="BS157" s="47">
        <v>540</v>
      </c>
      <c r="BT157" s="46">
        <v>90</v>
      </c>
      <c r="BU157" s="43">
        <v>1080</v>
      </c>
      <c r="BV157" s="114">
        <v>1080</v>
      </c>
      <c r="BW157" s="119">
        <v>45.1</v>
      </c>
      <c r="BX157" s="120">
        <v>961</v>
      </c>
      <c r="BY157" s="114">
        <v>570.67999999999995</v>
      </c>
      <c r="BZ157" s="119">
        <v>75</v>
      </c>
      <c r="CA157" s="120">
        <v>900</v>
      </c>
      <c r="CB157" s="114">
        <v>900</v>
      </c>
      <c r="CC157" s="119">
        <v>90</v>
      </c>
      <c r="CD157" s="120">
        <v>1500</v>
      </c>
      <c r="CE157" s="114">
        <v>1110</v>
      </c>
      <c r="CF157" s="119">
        <v>45</v>
      </c>
      <c r="CG157" s="120">
        <v>540</v>
      </c>
      <c r="CH157" s="114">
        <v>540</v>
      </c>
      <c r="CI157" s="119">
        <v>90</v>
      </c>
      <c r="CJ157" s="120">
        <v>1080</v>
      </c>
      <c r="CK157" s="114">
        <v>1080</v>
      </c>
      <c r="CL157" s="54">
        <f t="shared" si="17"/>
        <v>883.1</v>
      </c>
      <c r="CM157" s="63">
        <f t="shared" si="17"/>
        <v>12713</v>
      </c>
      <c r="CN157" s="55">
        <f t="shared" si="17"/>
        <v>10626.36</v>
      </c>
      <c r="CO157" s="54">
        <f t="shared" si="18"/>
        <v>73.591666666666669</v>
      </c>
      <c r="CP157" s="63">
        <f t="shared" si="18"/>
        <v>1059.4166666666667</v>
      </c>
      <c r="CQ157" s="55">
        <f t="shared" si="18"/>
        <v>885.53000000000009</v>
      </c>
    </row>
    <row r="158" spans="1:95" s="25" customFormat="1" ht="31.5" customHeight="1" x14ac:dyDescent="0.6">
      <c r="A158" s="5">
        <v>155</v>
      </c>
      <c r="B158" s="18" t="s">
        <v>385</v>
      </c>
      <c r="C158" s="18" t="s">
        <v>362</v>
      </c>
      <c r="D158" s="18" t="s">
        <v>386</v>
      </c>
      <c r="E158" s="18" t="s">
        <v>49</v>
      </c>
      <c r="F158" s="23" t="s">
        <v>50</v>
      </c>
      <c r="G158" s="7" t="s">
        <v>377</v>
      </c>
      <c r="H158" s="123"/>
      <c r="I158" s="123"/>
      <c r="J158" s="123" t="s">
        <v>1003</v>
      </c>
      <c r="K158" s="49" t="s">
        <v>378</v>
      </c>
      <c r="L158" s="27"/>
      <c r="M158" s="58"/>
      <c r="N158" s="78"/>
      <c r="O158" s="27"/>
      <c r="P158" s="58"/>
      <c r="Q158" s="49"/>
      <c r="R158" s="27"/>
      <c r="S158" s="58"/>
      <c r="T158" s="98"/>
      <c r="U158" s="27"/>
      <c r="V158" s="58"/>
      <c r="W158" s="12"/>
      <c r="X158" s="27"/>
      <c r="Y158" s="58"/>
      <c r="Z158" s="12"/>
      <c r="AA158" s="27"/>
      <c r="AB158" s="58"/>
      <c r="AC158" s="12"/>
      <c r="AD158" s="27">
        <v>3</v>
      </c>
      <c r="AE158" s="58">
        <v>36</v>
      </c>
      <c r="AF158" s="107"/>
      <c r="AG158" s="27">
        <v>0</v>
      </c>
      <c r="AH158" s="58">
        <v>0</v>
      </c>
      <c r="AI158" s="107"/>
      <c r="AJ158" s="27">
        <v>30</v>
      </c>
      <c r="AK158" s="58">
        <v>360</v>
      </c>
      <c r="AL158" s="107"/>
      <c r="AM158" s="27">
        <v>15</v>
      </c>
      <c r="AN158" s="58">
        <v>180</v>
      </c>
      <c r="AO158" s="107"/>
      <c r="AP158" s="27">
        <v>15</v>
      </c>
      <c r="AQ158" s="58">
        <v>180</v>
      </c>
      <c r="AR158" s="107"/>
      <c r="AS158" s="27">
        <v>30</v>
      </c>
      <c r="AT158" s="58">
        <v>360</v>
      </c>
      <c r="AU158" s="107"/>
      <c r="AV158" s="54"/>
      <c r="AW158" s="63"/>
      <c r="AX158" s="55"/>
      <c r="AY158" s="54"/>
      <c r="AZ158" s="63"/>
      <c r="BA158" s="55"/>
      <c r="BB158" s="10">
        <v>30</v>
      </c>
      <c r="BC158" s="15">
        <v>180</v>
      </c>
      <c r="BD158" s="11">
        <v>180</v>
      </c>
      <c r="BE158" s="10">
        <v>30</v>
      </c>
      <c r="BF158" s="15">
        <v>360</v>
      </c>
      <c r="BG158" s="11">
        <v>360</v>
      </c>
      <c r="BH158" s="10">
        <v>30</v>
      </c>
      <c r="BI158" s="15">
        <v>360</v>
      </c>
      <c r="BJ158" s="11">
        <v>360</v>
      </c>
      <c r="BK158" s="10">
        <v>30</v>
      </c>
      <c r="BL158" s="15">
        <v>360</v>
      </c>
      <c r="BM158" s="11">
        <v>360</v>
      </c>
      <c r="BN158" s="46">
        <v>45</v>
      </c>
      <c r="BO158" s="43">
        <v>540</v>
      </c>
      <c r="BP158" s="47">
        <v>540</v>
      </c>
      <c r="BQ158" s="46">
        <v>60</v>
      </c>
      <c r="BR158" s="43">
        <v>720</v>
      </c>
      <c r="BS158" s="47">
        <v>720</v>
      </c>
      <c r="BT158" s="46">
        <v>60</v>
      </c>
      <c r="BU158" s="43">
        <v>720</v>
      </c>
      <c r="BV158" s="114">
        <v>720</v>
      </c>
      <c r="BW158" s="119">
        <v>15.3</v>
      </c>
      <c r="BX158" s="120">
        <v>183</v>
      </c>
      <c r="BY158" s="114">
        <v>182.04</v>
      </c>
      <c r="BZ158" s="119">
        <v>30</v>
      </c>
      <c r="CA158" s="120">
        <v>360</v>
      </c>
      <c r="CB158" s="114">
        <v>360</v>
      </c>
      <c r="CC158" s="119">
        <v>45</v>
      </c>
      <c r="CD158" s="120">
        <v>540</v>
      </c>
      <c r="CE158" s="114">
        <v>540</v>
      </c>
      <c r="CF158" s="119">
        <v>60</v>
      </c>
      <c r="CG158" s="120">
        <v>720</v>
      </c>
      <c r="CH158" s="114">
        <v>720</v>
      </c>
      <c r="CI158" s="119">
        <v>45</v>
      </c>
      <c r="CJ158" s="120">
        <v>540</v>
      </c>
      <c r="CK158" s="114">
        <v>540</v>
      </c>
      <c r="CL158" s="54">
        <f t="shared" si="17"/>
        <v>480.3</v>
      </c>
      <c r="CM158" s="63">
        <f t="shared" si="17"/>
        <v>5583</v>
      </c>
      <c r="CN158" s="55">
        <f t="shared" si="17"/>
        <v>5582.04</v>
      </c>
      <c r="CO158" s="54">
        <f t="shared" si="18"/>
        <v>40.024999999999999</v>
      </c>
      <c r="CP158" s="63">
        <f t="shared" si="18"/>
        <v>465.25</v>
      </c>
      <c r="CQ158" s="55">
        <f t="shared" si="18"/>
        <v>465.17</v>
      </c>
    </row>
    <row r="159" spans="1:95" s="25" customFormat="1" ht="31.5" customHeight="1" x14ac:dyDescent="0.6">
      <c r="A159" s="5">
        <v>156</v>
      </c>
      <c r="B159" s="18" t="s">
        <v>387</v>
      </c>
      <c r="C159" s="18" t="s">
        <v>433</v>
      </c>
      <c r="D159" s="18" t="s">
        <v>388</v>
      </c>
      <c r="E159" s="18" t="s">
        <v>49</v>
      </c>
      <c r="F159" s="23" t="s">
        <v>50</v>
      </c>
      <c r="G159" s="7" t="s">
        <v>377</v>
      </c>
      <c r="H159" s="123"/>
      <c r="I159" s="123"/>
      <c r="J159" s="123" t="s">
        <v>1004</v>
      </c>
      <c r="K159" s="49" t="s">
        <v>378</v>
      </c>
      <c r="L159" s="27"/>
      <c r="M159" s="58"/>
      <c r="N159" s="78"/>
      <c r="O159" s="27"/>
      <c r="P159" s="58"/>
      <c r="Q159" s="49"/>
      <c r="R159" s="27"/>
      <c r="S159" s="58"/>
      <c r="T159" s="98"/>
      <c r="U159" s="27"/>
      <c r="V159" s="58"/>
      <c r="W159" s="12"/>
      <c r="X159" s="27"/>
      <c r="Y159" s="58"/>
      <c r="Z159" s="12"/>
      <c r="AA159" s="27"/>
      <c r="AB159" s="58"/>
      <c r="AC159" s="12"/>
      <c r="AD159" s="27">
        <v>52</v>
      </c>
      <c r="AE159" s="58">
        <v>634</v>
      </c>
      <c r="AF159" s="107"/>
      <c r="AG159" s="27">
        <v>0</v>
      </c>
      <c r="AH159" s="58">
        <v>0</v>
      </c>
      <c r="AI159" s="107"/>
      <c r="AJ159" s="27">
        <v>15</v>
      </c>
      <c r="AK159" s="58">
        <v>180</v>
      </c>
      <c r="AL159" s="107"/>
      <c r="AM159" s="27">
        <v>30</v>
      </c>
      <c r="AN159" s="58">
        <v>360</v>
      </c>
      <c r="AO159" s="107"/>
      <c r="AP159" s="27">
        <v>30</v>
      </c>
      <c r="AQ159" s="58">
        <v>360</v>
      </c>
      <c r="AR159" s="12"/>
      <c r="AS159" s="27">
        <v>15</v>
      </c>
      <c r="AT159" s="58">
        <v>180</v>
      </c>
      <c r="AU159" s="107"/>
      <c r="AV159" s="54"/>
      <c r="AW159" s="63"/>
      <c r="AX159" s="55"/>
      <c r="AY159" s="54"/>
      <c r="AZ159" s="63"/>
      <c r="BA159" s="55"/>
      <c r="BB159" s="10">
        <v>15</v>
      </c>
      <c r="BC159" s="15">
        <v>180</v>
      </c>
      <c r="BD159" s="11">
        <v>180</v>
      </c>
      <c r="BE159" s="10">
        <v>25</v>
      </c>
      <c r="BF159" s="15">
        <v>320</v>
      </c>
      <c r="BG159" s="11">
        <v>270</v>
      </c>
      <c r="BH159" s="10">
        <v>85</v>
      </c>
      <c r="BI159" s="15">
        <v>1340</v>
      </c>
      <c r="BJ159" s="11">
        <v>979</v>
      </c>
      <c r="BK159" s="10">
        <v>30</v>
      </c>
      <c r="BL159" s="15">
        <v>360</v>
      </c>
      <c r="BM159" s="11">
        <v>360</v>
      </c>
      <c r="BN159" s="46">
        <v>65</v>
      </c>
      <c r="BO159" s="43">
        <v>780</v>
      </c>
      <c r="BP159" s="47">
        <v>780</v>
      </c>
      <c r="BQ159" s="46">
        <v>45</v>
      </c>
      <c r="BR159" s="43">
        <v>540</v>
      </c>
      <c r="BS159" s="47">
        <v>540</v>
      </c>
      <c r="BT159" s="46">
        <v>30</v>
      </c>
      <c r="BU159" s="43">
        <v>360</v>
      </c>
      <c r="BV159" s="114">
        <v>360</v>
      </c>
      <c r="BW159" s="119">
        <v>15</v>
      </c>
      <c r="BX159" s="120">
        <v>180</v>
      </c>
      <c r="BY159" s="114">
        <v>180</v>
      </c>
      <c r="BZ159" s="119">
        <v>45</v>
      </c>
      <c r="CA159" s="120">
        <v>540</v>
      </c>
      <c r="CB159" s="114">
        <v>540</v>
      </c>
      <c r="CC159" s="119">
        <v>45</v>
      </c>
      <c r="CD159" s="120">
        <v>540</v>
      </c>
      <c r="CE159" s="114">
        <v>540</v>
      </c>
      <c r="CF159" s="119">
        <v>100</v>
      </c>
      <c r="CG159" s="120">
        <v>1220</v>
      </c>
      <c r="CH159" s="114">
        <v>1169.5999999999999</v>
      </c>
      <c r="CI159" s="119">
        <v>75.25</v>
      </c>
      <c r="CJ159" s="120">
        <v>903</v>
      </c>
      <c r="CK159" s="114">
        <v>902.04</v>
      </c>
      <c r="CL159" s="54">
        <f t="shared" si="17"/>
        <v>575.25</v>
      </c>
      <c r="CM159" s="63">
        <f t="shared" si="17"/>
        <v>7263</v>
      </c>
      <c r="CN159" s="55">
        <f t="shared" si="17"/>
        <v>6800.64</v>
      </c>
      <c r="CO159" s="54">
        <f t="shared" si="18"/>
        <v>47.9375</v>
      </c>
      <c r="CP159" s="63">
        <f t="shared" si="18"/>
        <v>605.25</v>
      </c>
      <c r="CQ159" s="55">
        <f t="shared" si="18"/>
        <v>566.72</v>
      </c>
    </row>
    <row r="160" spans="1:95" s="25" customFormat="1" ht="31.5" customHeight="1" x14ac:dyDescent="0.6">
      <c r="A160" s="5">
        <v>157</v>
      </c>
      <c r="B160" s="18" t="s">
        <v>389</v>
      </c>
      <c r="C160" s="18" t="s">
        <v>437</v>
      </c>
      <c r="D160" s="18" t="s">
        <v>390</v>
      </c>
      <c r="E160" s="18" t="s">
        <v>49</v>
      </c>
      <c r="F160" s="23" t="s">
        <v>50</v>
      </c>
      <c r="G160" s="7" t="s">
        <v>377</v>
      </c>
      <c r="H160" s="123"/>
      <c r="I160" s="123"/>
      <c r="J160" s="123" t="s">
        <v>1005</v>
      </c>
      <c r="K160" s="49" t="s">
        <v>378</v>
      </c>
      <c r="L160" s="27"/>
      <c r="M160" s="58"/>
      <c r="N160" s="78"/>
      <c r="O160" s="27"/>
      <c r="P160" s="58"/>
      <c r="Q160" s="49"/>
      <c r="R160" s="27"/>
      <c r="S160" s="58"/>
      <c r="T160" s="98"/>
      <c r="U160" s="27"/>
      <c r="V160" s="58"/>
      <c r="W160" s="12"/>
      <c r="X160" s="27"/>
      <c r="Y160" s="58"/>
      <c r="Z160" s="12"/>
      <c r="AA160" s="27"/>
      <c r="AB160" s="58"/>
      <c r="AC160" s="12"/>
      <c r="AD160" s="27">
        <v>0</v>
      </c>
      <c r="AE160" s="58">
        <v>0</v>
      </c>
      <c r="AF160" s="107"/>
      <c r="AG160" s="27">
        <v>50</v>
      </c>
      <c r="AH160" s="58">
        <v>816</v>
      </c>
      <c r="AI160" s="107"/>
      <c r="AJ160" s="27">
        <v>30</v>
      </c>
      <c r="AK160" s="58">
        <v>360</v>
      </c>
      <c r="AL160" s="107"/>
      <c r="AM160" s="27">
        <v>60</v>
      </c>
      <c r="AN160" s="58">
        <v>720</v>
      </c>
      <c r="AO160" s="107"/>
      <c r="AP160" s="27">
        <v>30</v>
      </c>
      <c r="AQ160" s="58">
        <v>360</v>
      </c>
      <c r="AR160" s="12"/>
      <c r="AS160" s="27">
        <v>60</v>
      </c>
      <c r="AT160" s="58">
        <v>720</v>
      </c>
      <c r="AU160" s="107"/>
      <c r="AV160" s="54"/>
      <c r="AW160" s="63"/>
      <c r="AX160" s="55"/>
      <c r="AY160" s="54"/>
      <c r="AZ160" s="63"/>
      <c r="BA160" s="55"/>
      <c r="BB160" s="10">
        <v>15</v>
      </c>
      <c r="BC160" s="15">
        <v>480</v>
      </c>
      <c r="BD160" s="11">
        <v>401</v>
      </c>
      <c r="BE160" s="10">
        <v>31</v>
      </c>
      <c r="BF160" s="15">
        <v>378</v>
      </c>
      <c r="BG160" s="11">
        <v>371</v>
      </c>
      <c r="BH160" s="10">
        <v>148</v>
      </c>
      <c r="BI160" s="15">
        <v>2509</v>
      </c>
      <c r="BJ160" s="11">
        <v>1828</v>
      </c>
      <c r="BK160" s="10">
        <v>60</v>
      </c>
      <c r="BL160" s="15">
        <v>720</v>
      </c>
      <c r="BM160" s="11">
        <v>720</v>
      </c>
      <c r="BN160" s="46">
        <v>30</v>
      </c>
      <c r="BO160" s="43">
        <v>360</v>
      </c>
      <c r="BP160" s="47">
        <v>360</v>
      </c>
      <c r="BQ160" s="46">
        <v>60</v>
      </c>
      <c r="BR160" s="43">
        <v>720</v>
      </c>
      <c r="BS160" s="47">
        <v>720</v>
      </c>
      <c r="BT160" s="46">
        <v>75</v>
      </c>
      <c r="BU160" s="43">
        <v>1320</v>
      </c>
      <c r="BV160" s="114">
        <v>930</v>
      </c>
      <c r="BW160" s="119">
        <v>61.75</v>
      </c>
      <c r="BX160" s="120">
        <v>755</v>
      </c>
      <c r="BY160" s="114">
        <v>735.90000000000009</v>
      </c>
      <c r="BZ160" s="119">
        <v>60</v>
      </c>
      <c r="CA160" s="120">
        <v>720</v>
      </c>
      <c r="CB160" s="114">
        <v>720</v>
      </c>
      <c r="CC160" s="119">
        <v>75</v>
      </c>
      <c r="CD160" s="120">
        <v>900</v>
      </c>
      <c r="CE160" s="114">
        <v>900</v>
      </c>
      <c r="CF160" s="119">
        <v>30</v>
      </c>
      <c r="CG160" s="120">
        <v>360</v>
      </c>
      <c r="CH160" s="114">
        <v>360</v>
      </c>
      <c r="CI160" s="119">
        <v>60.25</v>
      </c>
      <c r="CJ160" s="120">
        <v>723</v>
      </c>
      <c r="CK160" s="114">
        <v>722.04</v>
      </c>
      <c r="CL160" s="54">
        <f t="shared" si="17"/>
        <v>706</v>
      </c>
      <c r="CM160" s="63">
        <f t="shared" si="17"/>
        <v>9945</v>
      </c>
      <c r="CN160" s="55">
        <f t="shared" si="17"/>
        <v>8767.9399999999987</v>
      </c>
      <c r="CO160" s="54">
        <f t="shared" si="18"/>
        <v>58.833333333333336</v>
      </c>
      <c r="CP160" s="63">
        <f t="shared" si="18"/>
        <v>828.75</v>
      </c>
      <c r="CQ160" s="55">
        <f t="shared" si="18"/>
        <v>730.66166666666652</v>
      </c>
    </row>
    <row r="161" spans="1:95" s="25" customFormat="1" ht="31.5" customHeight="1" x14ac:dyDescent="0.6">
      <c r="A161" s="5">
        <v>158</v>
      </c>
      <c r="B161" s="18" t="s">
        <v>391</v>
      </c>
      <c r="C161" s="18" t="s">
        <v>440</v>
      </c>
      <c r="D161" s="18" t="s">
        <v>392</v>
      </c>
      <c r="E161" s="18" t="s">
        <v>49</v>
      </c>
      <c r="F161" s="23" t="s">
        <v>50</v>
      </c>
      <c r="G161" s="7" t="s">
        <v>377</v>
      </c>
      <c r="H161" s="123"/>
      <c r="I161" s="123"/>
      <c r="J161" s="123" t="s">
        <v>1006</v>
      </c>
      <c r="K161" s="49" t="s">
        <v>378</v>
      </c>
      <c r="L161" s="27"/>
      <c r="M161" s="58"/>
      <c r="N161" s="78"/>
      <c r="O161" s="27"/>
      <c r="P161" s="58"/>
      <c r="Q161" s="49"/>
      <c r="R161" s="27"/>
      <c r="S161" s="58"/>
      <c r="T161" s="98"/>
      <c r="U161" s="27"/>
      <c r="V161" s="58"/>
      <c r="W161" s="12"/>
      <c r="X161" s="27"/>
      <c r="Y161" s="58"/>
      <c r="Z161" s="12"/>
      <c r="AA161" s="27"/>
      <c r="AB161" s="58"/>
      <c r="AC161" s="12"/>
      <c r="AD161" s="27">
        <v>0</v>
      </c>
      <c r="AE161" s="58">
        <v>0</v>
      </c>
      <c r="AF161" s="107"/>
      <c r="AG161" s="27">
        <v>30</v>
      </c>
      <c r="AH161" s="58">
        <v>500</v>
      </c>
      <c r="AI161" s="107"/>
      <c r="AJ161" s="27">
        <v>15</v>
      </c>
      <c r="AK161" s="58">
        <v>180</v>
      </c>
      <c r="AL161" s="107"/>
      <c r="AM161" s="27">
        <v>34</v>
      </c>
      <c r="AN161" s="58">
        <v>408</v>
      </c>
      <c r="AO161" s="107"/>
      <c r="AP161" s="27">
        <v>30</v>
      </c>
      <c r="AQ161" s="58">
        <v>360</v>
      </c>
      <c r="AR161" s="12"/>
      <c r="AS161" s="27">
        <v>10</v>
      </c>
      <c r="AT161" s="58">
        <v>120</v>
      </c>
      <c r="AU161" s="107"/>
      <c r="AV161" s="54"/>
      <c r="AW161" s="63"/>
      <c r="AX161" s="55"/>
      <c r="AY161" s="54"/>
      <c r="AZ161" s="63"/>
      <c r="BA161" s="55"/>
      <c r="BB161" s="10">
        <v>45</v>
      </c>
      <c r="BC161" s="15">
        <v>540</v>
      </c>
      <c r="BD161" s="11">
        <v>540</v>
      </c>
      <c r="BE161" s="10">
        <v>35</v>
      </c>
      <c r="BF161" s="15">
        <v>420</v>
      </c>
      <c r="BG161" s="11">
        <v>420</v>
      </c>
      <c r="BH161" s="10">
        <v>0</v>
      </c>
      <c r="BI161" s="15">
        <v>0</v>
      </c>
      <c r="BJ161" s="11">
        <v>0</v>
      </c>
      <c r="BK161" s="10">
        <v>0</v>
      </c>
      <c r="BL161" s="15">
        <v>0</v>
      </c>
      <c r="BM161" s="11">
        <v>0</v>
      </c>
      <c r="BN161" s="46">
        <v>0</v>
      </c>
      <c r="BO161" s="43">
        <v>0</v>
      </c>
      <c r="BP161" s="47">
        <v>0</v>
      </c>
      <c r="BQ161" s="46">
        <v>0</v>
      </c>
      <c r="BR161" s="43">
        <v>0</v>
      </c>
      <c r="BS161" s="47">
        <v>0</v>
      </c>
      <c r="BT161" s="46">
        <v>0</v>
      </c>
      <c r="BU161" s="43">
        <v>0</v>
      </c>
      <c r="BV161" s="114">
        <v>0</v>
      </c>
      <c r="BW161" s="119">
        <v>0</v>
      </c>
      <c r="BX161" s="120">
        <v>0</v>
      </c>
      <c r="BY161" s="114">
        <v>0</v>
      </c>
      <c r="BZ161" s="119">
        <v>0</v>
      </c>
      <c r="CA161" s="120">
        <v>0</v>
      </c>
      <c r="CB161" s="114">
        <v>0</v>
      </c>
      <c r="CC161" s="119">
        <v>0</v>
      </c>
      <c r="CD161" s="120">
        <v>0</v>
      </c>
      <c r="CE161" s="114">
        <v>0</v>
      </c>
      <c r="CF161" s="119">
        <v>0</v>
      </c>
      <c r="CG161" s="120">
        <v>0</v>
      </c>
      <c r="CH161" s="114">
        <v>0</v>
      </c>
      <c r="CI161" s="119">
        <v>0</v>
      </c>
      <c r="CJ161" s="120">
        <v>0</v>
      </c>
      <c r="CK161" s="114">
        <v>0</v>
      </c>
      <c r="CL161" s="54">
        <f t="shared" si="17"/>
        <v>80</v>
      </c>
      <c r="CM161" s="63">
        <f t="shared" si="17"/>
        <v>960</v>
      </c>
      <c r="CN161" s="55">
        <f t="shared" si="17"/>
        <v>960</v>
      </c>
      <c r="CO161" s="54">
        <f t="shared" si="18"/>
        <v>6.666666666666667</v>
      </c>
      <c r="CP161" s="63">
        <f t="shared" si="18"/>
        <v>80</v>
      </c>
      <c r="CQ161" s="55">
        <f t="shared" si="18"/>
        <v>80</v>
      </c>
    </row>
    <row r="162" spans="1:95" s="25" customFormat="1" ht="31.5" customHeight="1" x14ac:dyDescent="0.6">
      <c r="A162" s="5">
        <v>159</v>
      </c>
      <c r="B162" s="18" t="s">
        <v>393</v>
      </c>
      <c r="C162" s="18" t="s">
        <v>441</v>
      </c>
      <c r="D162" s="18" t="s">
        <v>394</v>
      </c>
      <c r="E162" s="18" t="s">
        <v>49</v>
      </c>
      <c r="F162" s="23" t="s">
        <v>50</v>
      </c>
      <c r="G162" s="7" t="s">
        <v>377</v>
      </c>
      <c r="H162" s="123" t="s">
        <v>393</v>
      </c>
      <c r="I162" s="123" t="s">
        <v>394</v>
      </c>
      <c r="J162" s="123" t="s">
        <v>1007</v>
      </c>
      <c r="K162" s="49" t="s">
        <v>378</v>
      </c>
      <c r="L162" s="27"/>
      <c r="M162" s="58"/>
      <c r="N162" s="78"/>
      <c r="O162" s="27"/>
      <c r="P162" s="58"/>
      <c r="Q162" s="49"/>
      <c r="R162" s="27"/>
      <c r="S162" s="58"/>
      <c r="T162" s="98"/>
      <c r="U162" s="27"/>
      <c r="V162" s="58"/>
      <c r="W162" s="12"/>
      <c r="X162" s="27"/>
      <c r="Y162" s="58"/>
      <c r="Z162" s="12"/>
      <c r="AA162" s="27"/>
      <c r="AB162" s="58"/>
      <c r="AC162" s="12"/>
      <c r="AD162" s="27">
        <v>0</v>
      </c>
      <c r="AE162" s="58">
        <v>0</v>
      </c>
      <c r="AF162" s="107"/>
      <c r="AG162" s="27">
        <v>0</v>
      </c>
      <c r="AH162" s="58">
        <v>0</v>
      </c>
      <c r="AI162" s="107"/>
      <c r="AJ162" s="27">
        <v>15</v>
      </c>
      <c r="AK162" s="58">
        <v>180</v>
      </c>
      <c r="AL162" s="107"/>
      <c r="AM162" s="27">
        <v>0</v>
      </c>
      <c r="AN162" s="58">
        <v>0</v>
      </c>
      <c r="AO162" s="107"/>
      <c r="AP162" s="27">
        <v>15</v>
      </c>
      <c r="AQ162" s="58">
        <v>180</v>
      </c>
      <c r="AR162" s="12"/>
      <c r="AS162" s="27">
        <v>15</v>
      </c>
      <c r="AT162" s="58">
        <v>180</v>
      </c>
      <c r="AU162" s="12"/>
      <c r="AV162" s="54"/>
      <c r="AW162" s="63"/>
      <c r="AX162" s="55"/>
      <c r="AY162" s="54"/>
      <c r="AZ162" s="63"/>
      <c r="BA162" s="55"/>
      <c r="BB162" s="10">
        <v>30</v>
      </c>
      <c r="BC162" s="15">
        <v>360</v>
      </c>
      <c r="BD162" s="11">
        <v>360</v>
      </c>
      <c r="BE162" s="10">
        <v>30</v>
      </c>
      <c r="BF162" s="15">
        <v>360</v>
      </c>
      <c r="BG162" s="11">
        <v>360</v>
      </c>
      <c r="BH162" s="10">
        <v>60</v>
      </c>
      <c r="BI162" s="15">
        <v>1140</v>
      </c>
      <c r="BJ162" s="11">
        <v>750</v>
      </c>
      <c r="BK162" s="10">
        <v>90</v>
      </c>
      <c r="BL162" s="15">
        <v>1080</v>
      </c>
      <c r="BM162" s="11">
        <v>1080</v>
      </c>
      <c r="BN162" s="46">
        <v>60</v>
      </c>
      <c r="BO162" s="43">
        <v>720</v>
      </c>
      <c r="BP162" s="47">
        <v>720</v>
      </c>
      <c r="BQ162" s="46">
        <v>45</v>
      </c>
      <c r="BR162" s="43">
        <v>540</v>
      </c>
      <c r="BS162" s="47">
        <v>540</v>
      </c>
      <c r="BT162" s="46">
        <v>45</v>
      </c>
      <c r="BU162" s="43">
        <v>540</v>
      </c>
      <c r="BV162" s="114">
        <v>540</v>
      </c>
      <c r="BW162" s="119">
        <v>15</v>
      </c>
      <c r="BX162" s="120">
        <v>180</v>
      </c>
      <c r="BY162" s="114">
        <v>180</v>
      </c>
      <c r="BZ162" s="119">
        <v>90</v>
      </c>
      <c r="CA162" s="120">
        <v>1080</v>
      </c>
      <c r="CB162" s="114">
        <v>1080</v>
      </c>
      <c r="CC162" s="119">
        <v>75.25</v>
      </c>
      <c r="CD162" s="120">
        <v>903</v>
      </c>
      <c r="CE162" s="114">
        <v>902.04</v>
      </c>
      <c r="CF162" s="119">
        <v>60</v>
      </c>
      <c r="CG162" s="120">
        <v>720</v>
      </c>
      <c r="CH162" s="114">
        <v>720</v>
      </c>
      <c r="CI162" s="119">
        <v>90</v>
      </c>
      <c r="CJ162" s="120">
        <v>1080</v>
      </c>
      <c r="CK162" s="114">
        <v>1080</v>
      </c>
      <c r="CL162" s="54">
        <f t="shared" si="17"/>
        <v>690.25</v>
      </c>
      <c r="CM162" s="63">
        <f t="shared" si="17"/>
        <v>8703</v>
      </c>
      <c r="CN162" s="55">
        <f t="shared" si="17"/>
        <v>8312.0400000000009</v>
      </c>
      <c r="CO162" s="54">
        <f t="shared" si="18"/>
        <v>57.520833333333336</v>
      </c>
      <c r="CP162" s="63">
        <f t="shared" si="18"/>
        <v>725.25</v>
      </c>
      <c r="CQ162" s="55">
        <f t="shared" si="18"/>
        <v>692.67000000000007</v>
      </c>
    </row>
    <row r="163" spans="1:95" s="25" customFormat="1" ht="31.5" customHeight="1" x14ac:dyDescent="0.6">
      <c r="A163" s="5">
        <v>160</v>
      </c>
      <c r="B163" s="18" t="s">
        <v>395</v>
      </c>
      <c r="C163" s="18" t="s">
        <v>401</v>
      </c>
      <c r="D163" s="18" t="s">
        <v>396</v>
      </c>
      <c r="E163" s="18" t="s">
        <v>49</v>
      </c>
      <c r="F163" s="23" t="s">
        <v>50</v>
      </c>
      <c r="G163" s="7" t="s">
        <v>377</v>
      </c>
      <c r="H163" s="123"/>
      <c r="I163" s="123"/>
      <c r="J163" s="123" t="s">
        <v>1008</v>
      </c>
      <c r="K163" s="49" t="s">
        <v>378</v>
      </c>
      <c r="L163" s="27"/>
      <c r="M163" s="58"/>
      <c r="N163" s="78"/>
      <c r="O163" s="27"/>
      <c r="P163" s="58"/>
      <c r="Q163" s="49"/>
      <c r="R163" s="27"/>
      <c r="S163" s="58"/>
      <c r="T163" s="98"/>
      <c r="U163" s="27"/>
      <c r="V163" s="58"/>
      <c r="W163" s="12"/>
      <c r="X163" s="27"/>
      <c r="Y163" s="58"/>
      <c r="Z163" s="12"/>
      <c r="AA163" s="27"/>
      <c r="AB163" s="58"/>
      <c r="AC163" s="12"/>
      <c r="AD163" s="27">
        <v>25</v>
      </c>
      <c r="AE163" s="58">
        <v>300</v>
      </c>
      <c r="AF163" s="107"/>
      <c r="AG163" s="27">
        <v>30</v>
      </c>
      <c r="AH163" s="58">
        <v>360</v>
      </c>
      <c r="AI163" s="107"/>
      <c r="AJ163" s="27">
        <v>35</v>
      </c>
      <c r="AK163" s="58">
        <v>420</v>
      </c>
      <c r="AL163" s="107"/>
      <c r="AM163" s="27">
        <v>15</v>
      </c>
      <c r="AN163" s="58">
        <v>180</v>
      </c>
      <c r="AO163" s="107"/>
      <c r="AP163" s="27">
        <v>30</v>
      </c>
      <c r="AQ163" s="58">
        <v>360</v>
      </c>
      <c r="AR163" s="12"/>
      <c r="AS163" s="27">
        <v>45</v>
      </c>
      <c r="AT163" s="58">
        <v>960</v>
      </c>
      <c r="AU163" s="12"/>
      <c r="AV163" s="54"/>
      <c r="AW163" s="63"/>
      <c r="AX163" s="55"/>
      <c r="AY163" s="54"/>
      <c r="AZ163" s="63"/>
      <c r="BA163" s="55"/>
      <c r="BB163" s="10">
        <v>46</v>
      </c>
      <c r="BC163" s="15">
        <v>602</v>
      </c>
      <c r="BD163" s="11">
        <v>565</v>
      </c>
      <c r="BE163" s="10">
        <v>60</v>
      </c>
      <c r="BF163" s="15">
        <v>720</v>
      </c>
      <c r="BG163" s="11">
        <v>720</v>
      </c>
      <c r="BH163" s="10">
        <v>67</v>
      </c>
      <c r="BI163" s="15">
        <v>1373</v>
      </c>
      <c r="BJ163" s="11">
        <v>836.6</v>
      </c>
      <c r="BK163" s="10">
        <v>15</v>
      </c>
      <c r="BL163" s="15">
        <v>180</v>
      </c>
      <c r="BM163" s="11">
        <v>180</v>
      </c>
      <c r="BN163" s="46">
        <v>45</v>
      </c>
      <c r="BO163" s="43">
        <v>540</v>
      </c>
      <c r="BP163" s="47">
        <v>540</v>
      </c>
      <c r="BQ163" s="46">
        <v>60</v>
      </c>
      <c r="BR163" s="43">
        <v>720</v>
      </c>
      <c r="BS163" s="47">
        <v>720</v>
      </c>
      <c r="BT163" s="46">
        <v>105</v>
      </c>
      <c r="BU163" s="43">
        <v>1260</v>
      </c>
      <c r="BV163" s="114">
        <v>1260</v>
      </c>
      <c r="BW163" s="119">
        <v>33.1</v>
      </c>
      <c r="BX163" s="120">
        <v>407</v>
      </c>
      <c r="BY163" s="114">
        <v>382.34000000000009</v>
      </c>
      <c r="BZ163" s="119">
        <v>65</v>
      </c>
      <c r="CA163" s="120">
        <v>780</v>
      </c>
      <c r="CB163" s="114">
        <v>780</v>
      </c>
      <c r="CC163" s="119">
        <v>60</v>
      </c>
      <c r="CD163" s="120">
        <v>720</v>
      </c>
      <c r="CE163" s="114">
        <v>720</v>
      </c>
      <c r="CF163" s="119">
        <v>45</v>
      </c>
      <c r="CG163" s="120">
        <v>540</v>
      </c>
      <c r="CH163" s="114">
        <v>540</v>
      </c>
      <c r="CI163" s="119">
        <v>60</v>
      </c>
      <c r="CJ163" s="120">
        <v>1140</v>
      </c>
      <c r="CK163" s="114">
        <v>750</v>
      </c>
      <c r="CL163" s="54">
        <f t="shared" si="17"/>
        <v>661.1</v>
      </c>
      <c r="CM163" s="63">
        <f t="shared" si="17"/>
        <v>8982</v>
      </c>
      <c r="CN163" s="55">
        <f t="shared" si="17"/>
        <v>7993.9400000000005</v>
      </c>
      <c r="CO163" s="54">
        <f t="shared" si="18"/>
        <v>55.091666666666669</v>
      </c>
      <c r="CP163" s="63">
        <f t="shared" si="18"/>
        <v>748.5</v>
      </c>
      <c r="CQ163" s="55">
        <f t="shared" si="18"/>
        <v>666.16166666666675</v>
      </c>
    </row>
    <row r="164" spans="1:95" s="25" customFormat="1" ht="31.5" customHeight="1" x14ac:dyDescent="0.6">
      <c r="A164" s="5">
        <v>161</v>
      </c>
      <c r="B164" s="18" t="s">
        <v>397</v>
      </c>
      <c r="C164" s="18" t="s">
        <v>445</v>
      </c>
      <c r="D164" s="18" t="s">
        <v>398</v>
      </c>
      <c r="E164" s="18" t="s">
        <v>49</v>
      </c>
      <c r="F164" s="23" t="s">
        <v>50</v>
      </c>
      <c r="G164" s="7" t="s">
        <v>377</v>
      </c>
      <c r="H164" s="123"/>
      <c r="I164" s="123"/>
      <c r="J164" s="123" t="s">
        <v>1009</v>
      </c>
      <c r="K164" s="49" t="s">
        <v>378</v>
      </c>
      <c r="L164" s="27"/>
      <c r="M164" s="58"/>
      <c r="N164" s="78"/>
      <c r="O164" s="27"/>
      <c r="P164" s="58"/>
      <c r="Q164" s="49"/>
      <c r="R164" s="27"/>
      <c r="S164" s="58"/>
      <c r="T164" s="98"/>
      <c r="U164" s="27"/>
      <c r="V164" s="58"/>
      <c r="W164" s="12"/>
      <c r="X164" s="27"/>
      <c r="Y164" s="58"/>
      <c r="Z164" s="12"/>
      <c r="AA164" s="27"/>
      <c r="AB164" s="58"/>
      <c r="AC164" s="12"/>
      <c r="AD164" s="27">
        <v>33</v>
      </c>
      <c r="AE164" s="58">
        <v>452</v>
      </c>
      <c r="AF164" s="107"/>
      <c r="AG164" s="27">
        <v>0</v>
      </c>
      <c r="AH164" s="58">
        <v>0</v>
      </c>
      <c r="AI164" s="107"/>
      <c r="AJ164" s="27">
        <v>30</v>
      </c>
      <c r="AK164" s="58">
        <v>360</v>
      </c>
      <c r="AL164" s="107"/>
      <c r="AM164" s="27">
        <v>31</v>
      </c>
      <c r="AN164" s="58">
        <v>374</v>
      </c>
      <c r="AO164" s="107"/>
      <c r="AP164" s="27">
        <v>16</v>
      </c>
      <c r="AQ164" s="58">
        <v>194</v>
      </c>
      <c r="AR164" s="12"/>
      <c r="AS164" s="27">
        <v>30</v>
      </c>
      <c r="AT164" s="58">
        <v>360</v>
      </c>
      <c r="AU164" s="12"/>
      <c r="AV164" s="54"/>
      <c r="AW164" s="63"/>
      <c r="AX164" s="55"/>
      <c r="AY164" s="54"/>
      <c r="AZ164" s="63"/>
      <c r="BA164" s="55"/>
      <c r="BB164" s="10">
        <v>16</v>
      </c>
      <c r="BC164" s="15">
        <v>180</v>
      </c>
      <c r="BD164" s="11">
        <v>180</v>
      </c>
      <c r="BE164" s="10">
        <v>30</v>
      </c>
      <c r="BF164" s="15">
        <v>360</v>
      </c>
      <c r="BG164" s="11">
        <v>360</v>
      </c>
      <c r="BH164" s="10">
        <v>80</v>
      </c>
      <c r="BI164" s="15">
        <v>960</v>
      </c>
      <c r="BJ164" s="11">
        <v>960</v>
      </c>
      <c r="BK164" s="10">
        <v>45</v>
      </c>
      <c r="BL164" s="15">
        <v>540</v>
      </c>
      <c r="BM164" s="11">
        <v>540</v>
      </c>
      <c r="BN164" s="46">
        <v>75</v>
      </c>
      <c r="BO164" s="43">
        <v>900</v>
      </c>
      <c r="BP164" s="47">
        <v>900</v>
      </c>
      <c r="BQ164" s="46">
        <v>30</v>
      </c>
      <c r="BR164" s="43">
        <v>360</v>
      </c>
      <c r="BS164" s="47">
        <v>360</v>
      </c>
      <c r="BT164" s="46">
        <v>30</v>
      </c>
      <c r="BU164" s="43">
        <v>360</v>
      </c>
      <c r="BV164" s="114">
        <v>360</v>
      </c>
      <c r="BW164" s="119">
        <v>2</v>
      </c>
      <c r="BX164" s="120">
        <v>28</v>
      </c>
      <c r="BY164" s="114">
        <v>17.920000000000002</v>
      </c>
      <c r="BZ164" s="119">
        <v>45.25</v>
      </c>
      <c r="CA164" s="120">
        <v>543</v>
      </c>
      <c r="CB164" s="114">
        <v>542.04</v>
      </c>
      <c r="CC164" s="119">
        <v>90</v>
      </c>
      <c r="CD164" s="120">
        <v>1080</v>
      </c>
      <c r="CE164" s="114">
        <v>1080</v>
      </c>
      <c r="CF164" s="119">
        <v>45</v>
      </c>
      <c r="CG164" s="120">
        <v>540</v>
      </c>
      <c r="CH164" s="114">
        <v>540</v>
      </c>
      <c r="CI164" s="119">
        <v>60</v>
      </c>
      <c r="CJ164" s="120">
        <v>720</v>
      </c>
      <c r="CK164" s="114">
        <v>720</v>
      </c>
      <c r="CL164" s="54">
        <f t="shared" si="17"/>
        <v>548.25</v>
      </c>
      <c r="CM164" s="63">
        <f t="shared" si="17"/>
        <v>6571</v>
      </c>
      <c r="CN164" s="55">
        <f t="shared" si="17"/>
        <v>6559.96</v>
      </c>
      <c r="CO164" s="54">
        <f t="shared" si="18"/>
        <v>45.6875</v>
      </c>
      <c r="CP164" s="63">
        <f t="shared" si="18"/>
        <v>547.58333333333337</v>
      </c>
      <c r="CQ164" s="55">
        <f t="shared" si="18"/>
        <v>546.6633333333333</v>
      </c>
    </row>
    <row r="165" spans="1:95" s="25" customFormat="1" ht="31.5" customHeight="1" x14ac:dyDescent="0.6">
      <c r="A165" s="5">
        <v>162</v>
      </c>
      <c r="B165" s="18" t="s">
        <v>399</v>
      </c>
      <c r="C165" s="18" t="s">
        <v>446</v>
      </c>
      <c r="D165" s="18" t="s">
        <v>400</v>
      </c>
      <c r="E165" s="18" t="s">
        <v>49</v>
      </c>
      <c r="F165" s="23" t="s">
        <v>50</v>
      </c>
      <c r="G165" s="7" t="s">
        <v>377</v>
      </c>
      <c r="H165" s="123"/>
      <c r="I165" s="123"/>
      <c r="J165" s="123" t="s">
        <v>1010</v>
      </c>
      <c r="K165" s="49" t="s">
        <v>378</v>
      </c>
      <c r="L165" s="27"/>
      <c r="M165" s="58"/>
      <c r="N165" s="78"/>
      <c r="O165" s="27"/>
      <c r="P165" s="58"/>
      <c r="Q165" s="49"/>
      <c r="R165" s="27"/>
      <c r="S165" s="58"/>
      <c r="T165" s="98"/>
      <c r="U165" s="27"/>
      <c r="V165" s="58"/>
      <c r="W165" s="12"/>
      <c r="X165" s="27"/>
      <c r="Y165" s="58"/>
      <c r="Z165" s="12"/>
      <c r="AA165" s="27"/>
      <c r="AB165" s="58"/>
      <c r="AC165" s="12"/>
      <c r="AD165" s="27">
        <v>0</v>
      </c>
      <c r="AE165" s="58">
        <v>0</v>
      </c>
      <c r="AF165" s="107"/>
      <c r="AG165" s="27">
        <v>20</v>
      </c>
      <c r="AH165" s="58">
        <v>240</v>
      </c>
      <c r="AI165" s="107"/>
      <c r="AJ165" s="27">
        <v>15</v>
      </c>
      <c r="AK165" s="58">
        <v>180</v>
      </c>
      <c r="AL165" s="107"/>
      <c r="AM165" s="27">
        <v>15</v>
      </c>
      <c r="AN165" s="58">
        <v>180</v>
      </c>
      <c r="AO165" s="107"/>
      <c r="AP165" s="27">
        <v>15</v>
      </c>
      <c r="AQ165" s="58">
        <v>180</v>
      </c>
      <c r="AR165" s="12"/>
      <c r="AS165" s="27">
        <v>45</v>
      </c>
      <c r="AT165" s="58">
        <v>960</v>
      </c>
      <c r="AU165" s="12"/>
      <c r="AV165" s="54"/>
      <c r="AW165" s="63"/>
      <c r="AX165" s="55"/>
      <c r="AY165" s="54"/>
      <c r="AZ165" s="63"/>
      <c r="BA165" s="55"/>
      <c r="BB165" s="10">
        <v>15</v>
      </c>
      <c r="BC165" s="15">
        <v>180</v>
      </c>
      <c r="BD165" s="11">
        <v>180</v>
      </c>
      <c r="BE165" s="10">
        <v>32</v>
      </c>
      <c r="BF165" s="15">
        <v>384</v>
      </c>
      <c r="BG165" s="11">
        <v>384</v>
      </c>
      <c r="BH165" s="10">
        <v>61</v>
      </c>
      <c r="BI165" s="15">
        <v>1180</v>
      </c>
      <c r="BJ165" s="11">
        <v>764</v>
      </c>
      <c r="BK165" s="10">
        <v>45</v>
      </c>
      <c r="BL165" s="15">
        <v>540</v>
      </c>
      <c r="BM165" s="11">
        <v>540</v>
      </c>
      <c r="BN165" s="46">
        <v>45</v>
      </c>
      <c r="BO165" s="43">
        <v>540</v>
      </c>
      <c r="BP165" s="47">
        <v>540</v>
      </c>
      <c r="BQ165" s="46">
        <v>75</v>
      </c>
      <c r="BR165" s="43">
        <v>900</v>
      </c>
      <c r="BS165" s="47">
        <v>900</v>
      </c>
      <c r="BT165" s="46">
        <v>60</v>
      </c>
      <c r="BU165" s="43">
        <v>720</v>
      </c>
      <c r="BV165" s="114">
        <v>720</v>
      </c>
      <c r="BW165" s="119">
        <v>36</v>
      </c>
      <c r="BX165" s="120">
        <v>432</v>
      </c>
      <c r="BY165" s="114">
        <v>432</v>
      </c>
      <c r="BZ165" s="119">
        <v>45</v>
      </c>
      <c r="CA165" s="120">
        <v>540</v>
      </c>
      <c r="CB165" s="114">
        <v>540</v>
      </c>
      <c r="CC165" s="119">
        <v>45</v>
      </c>
      <c r="CD165" s="120">
        <v>540</v>
      </c>
      <c r="CE165" s="114">
        <v>540</v>
      </c>
      <c r="CF165" s="119">
        <v>45</v>
      </c>
      <c r="CG165" s="120">
        <v>540</v>
      </c>
      <c r="CH165" s="114">
        <v>540</v>
      </c>
      <c r="CI165" s="119">
        <v>40</v>
      </c>
      <c r="CJ165" s="120">
        <v>480</v>
      </c>
      <c r="CK165" s="114">
        <v>480</v>
      </c>
      <c r="CL165" s="54">
        <f t="shared" si="17"/>
        <v>544</v>
      </c>
      <c r="CM165" s="63">
        <f t="shared" si="17"/>
        <v>6976</v>
      </c>
      <c r="CN165" s="55">
        <f t="shared" si="17"/>
        <v>6560</v>
      </c>
      <c r="CO165" s="54">
        <f t="shared" si="18"/>
        <v>45.333333333333336</v>
      </c>
      <c r="CP165" s="63">
        <f t="shared" si="18"/>
        <v>581.33333333333337</v>
      </c>
      <c r="CQ165" s="55">
        <f t="shared" si="18"/>
        <v>546.66666666666663</v>
      </c>
    </row>
    <row r="166" spans="1:95" s="25" customFormat="1" ht="31.5" customHeight="1" x14ac:dyDescent="0.6">
      <c r="A166" s="5">
        <v>163</v>
      </c>
      <c r="B166" s="18" t="s">
        <v>401</v>
      </c>
      <c r="C166" s="18" t="s">
        <v>450</v>
      </c>
      <c r="D166" s="18" t="s">
        <v>402</v>
      </c>
      <c r="E166" s="18" t="s">
        <v>49</v>
      </c>
      <c r="F166" s="23" t="s">
        <v>50</v>
      </c>
      <c r="G166" s="7" t="s">
        <v>377</v>
      </c>
      <c r="H166" s="123"/>
      <c r="I166" s="123"/>
      <c r="J166" s="123" t="s">
        <v>1011</v>
      </c>
      <c r="K166" s="49" t="s">
        <v>378</v>
      </c>
      <c r="L166" s="27"/>
      <c r="M166" s="58"/>
      <c r="N166" s="78"/>
      <c r="O166" s="27"/>
      <c r="P166" s="58"/>
      <c r="Q166" s="49"/>
      <c r="R166" s="27"/>
      <c r="S166" s="58"/>
      <c r="T166" s="98"/>
      <c r="U166" s="27"/>
      <c r="V166" s="58"/>
      <c r="W166" s="12"/>
      <c r="X166" s="27"/>
      <c r="Y166" s="58"/>
      <c r="Z166" s="12"/>
      <c r="AA166" s="27"/>
      <c r="AB166" s="58"/>
      <c r="AC166" s="12"/>
      <c r="AD166" s="27">
        <v>0</v>
      </c>
      <c r="AE166" s="58">
        <v>0</v>
      </c>
      <c r="AF166" s="107"/>
      <c r="AG166" s="27">
        <v>0</v>
      </c>
      <c r="AH166" s="58">
        <v>0</v>
      </c>
      <c r="AI166" s="107"/>
      <c r="AJ166" s="27">
        <v>0</v>
      </c>
      <c r="AK166" s="58">
        <v>0</v>
      </c>
      <c r="AL166" s="107"/>
      <c r="AM166" s="27">
        <v>0</v>
      </c>
      <c r="AN166" s="58">
        <v>0</v>
      </c>
      <c r="AO166" s="107"/>
      <c r="AP166" s="27">
        <v>0</v>
      </c>
      <c r="AQ166" s="58">
        <v>0</v>
      </c>
      <c r="AR166" s="12"/>
      <c r="AS166" s="27">
        <v>30</v>
      </c>
      <c r="AT166" s="58">
        <v>360</v>
      </c>
      <c r="AU166" s="12"/>
      <c r="AV166" s="54"/>
      <c r="AW166" s="63"/>
      <c r="AX166" s="55"/>
      <c r="AY166" s="54"/>
      <c r="AZ166" s="63"/>
      <c r="BA166" s="55"/>
      <c r="BB166" s="10">
        <v>30</v>
      </c>
      <c r="BC166" s="15">
        <v>376</v>
      </c>
      <c r="BD166" s="11">
        <v>366</v>
      </c>
      <c r="BE166" s="10">
        <v>16</v>
      </c>
      <c r="BF166" s="15">
        <v>220</v>
      </c>
      <c r="BG166" s="11">
        <v>194</v>
      </c>
      <c r="BH166" s="10">
        <v>136</v>
      </c>
      <c r="BI166" s="15">
        <v>1703</v>
      </c>
      <c r="BJ166" s="11">
        <v>1488.75</v>
      </c>
      <c r="BK166" s="10">
        <v>15</v>
      </c>
      <c r="BL166" s="15">
        <v>180</v>
      </c>
      <c r="BM166" s="11">
        <v>180</v>
      </c>
      <c r="BN166" s="46">
        <v>34</v>
      </c>
      <c r="BO166" s="43">
        <v>520</v>
      </c>
      <c r="BP166" s="47">
        <v>416</v>
      </c>
      <c r="BQ166" s="46">
        <v>46</v>
      </c>
      <c r="BR166" s="43">
        <v>558</v>
      </c>
      <c r="BS166" s="47">
        <v>546</v>
      </c>
      <c r="BT166" s="46">
        <v>60</v>
      </c>
      <c r="BU166" s="43">
        <v>720</v>
      </c>
      <c r="BV166" s="114">
        <v>720</v>
      </c>
      <c r="BW166" s="119">
        <v>30.4</v>
      </c>
      <c r="BX166" s="120">
        <v>364</v>
      </c>
      <c r="BY166" s="114">
        <v>362.72</v>
      </c>
      <c r="BZ166" s="119">
        <v>55</v>
      </c>
      <c r="CA166" s="120">
        <v>660</v>
      </c>
      <c r="CB166" s="114">
        <v>660</v>
      </c>
      <c r="CC166" s="119">
        <v>64</v>
      </c>
      <c r="CD166" s="120">
        <v>768</v>
      </c>
      <c r="CE166" s="114">
        <v>767.04</v>
      </c>
      <c r="CF166" s="119">
        <v>92</v>
      </c>
      <c r="CG166" s="120">
        <v>1104</v>
      </c>
      <c r="CH166" s="114">
        <v>1104</v>
      </c>
      <c r="CI166" s="119">
        <v>61</v>
      </c>
      <c r="CJ166" s="120">
        <v>732</v>
      </c>
      <c r="CK166" s="114">
        <v>732</v>
      </c>
      <c r="CL166" s="54">
        <f t="shared" si="17"/>
        <v>639.4</v>
      </c>
      <c r="CM166" s="63">
        <f t="shared" si="17"/>
        <v>7905</v>
      </c>
      <c r="CN166" s="55">
        <f t="shared" si="17"/>
        <v>7536.51</v>
      </c>
      <c r="CO166" s="54">
        <f t="shared" si="18"/>
        <v>53.283333333333331</v>
      </c>
      <c r="CP166" s="63">
        <f t="shared" si="18"/>
        <v>658.75</v>
      </c>
      <c r="CQ166" s="55">
        <f t="shared" si="18"/>
        <v>628.04250000000002</v>
      </c>
    </row>
    <row r="167" spans="1:95" s="25" customFormat="1" ht="31.5" customHeight="1" x14ac:dyDescent="0.6">
      <c r="A167" s="5">
        <v>164</v>
      </c>
      <c r="B167" s="18" t="s">
        <v>403</v>
      </c>
      <c r="C167" s="18" t="s">
        <v>452</v>
      </c>
      <c r="D167" s="18" t="s">
        <v>403</v>
      </c>
      <c r="E167" s="18" t="s">
        <v>49</v>
      </c>
      <c r="F167" s="23" t="s">
        <v>50</v>
      </c>
      <c r="G167" s="7" t="s">
        <v>377</v>
      </c>
      <c r="H167" s="123"/>
      <c r="I167" s="123"/>
      <c r="J167" s="123" t="s">
        <v>1012</v>
      </c>
      <c r="K167" s="49" t="s">
        <v>378</v>
      </c>
      <c r="L167" s="27"/>
      <c r="M167" s="58"/>
      <c r="N167" s="78"/>
      <c r="O167" s="27"/>
      <c r="P167" s="58"/>
      <c r="Q167" s="49"/>
      <c r="R167" s="27"/>
      <c r="S167" s="58"/>
      <c r="T167" s="98"/>
      <c r="U167" s="27"/>
      <c r="V167" s="58"/>
      <c r="W167" s="12"/>
      <c r="X167" s="27"/>
      <c r="Y167" s="58"/>
      <c r="Z167" s="12"/>
      <c r="AA167" s="27"/>
      <c r="AB167" s="58"/>
      <c r="AC167" s="12"/>
      <c r="AD167" s="27">
        <v>0</v>
      </c>
      <c r="AE167" s="58">
        <v>0</v>
      </c>
      <c r="AF167" s="107"/>
      <c r="AG167" s="27">
        <v>0</v>
      </c>
      <c r="AH167" s="58">
        <v>0</v>
      </c>
      <c r="AI167" s="107"/>
      <c r="AJ167" s="27">
        <v>0</v>
      </c>
      <c r="AK167" s="58">
        <v>0</v>
      </c>
      <c r="AL167" s="107"/>
      <c r="AM167" s="27">
        <v>0</v>
      </c>
      <c r="AN167" s="58">
        <v>0</v>
      </c>
      <c r="AO167" s="107"/>
      <c r="AP167" s="27">
        <v>0</v>
      </c>
      <c r="AQ167" s="58">
        <v>0</v>
      </c>
      <c r="AR167" s="12"/>
      <c r="AS167" s="27">
        <v>30</v>
      </c>
      <c r="AT167" s="58">
        <v>360</v>
      </c>
      <c r="AU167" s="12"/>
      <c r="AV167" s="54"/>
      <c r="AW167" s="63"/>
      <c r="AX167" s="55"/>
      <c r="AY167" s="54"/>
      <c r="AZ167" s="63"/>
      <c r="BA167" s="55"/>
      <c r="BB167" s="10">
        <v>0</v>
      </c>
      <c r="BC167" s="15">
        <v>14</v>
      </c>
      <c r="BD167" s="11">
        <v>9</v>
      </c>
      <c r="BE167" s="10">
        <v>30</v>
      </c>
      <c r="BF167" s="15">
        <v>360</v>
      </c>
      <c r="BG167" s="11">
        <v>360</v>
      </c>
      <c r="BH167" s="10">
        <v>30</v>
      </c>
      <c r="BI167" s="15">
        <v>360</v>
      </c>
      <c r="BJ167" s="11">
        <v>360</v>
      </c>
      <c r="BK167" s="10">
        <v>45</v>
      </c>
      <c r="BL167" s="15">
        <v>540</v>
      </c>
      <c r="BM167" s="11">
        <v>540</v>
      </c>
      <c r="BN167" s="46">
        <v>45</v>
      </c>
      <c r="BO167" s="43">
        <v>540</v>
      </c>
      <c r="BP167" s="47">
        <v>540</v>
      </c>
      <c r="BQ167" s="46">
        <v>90</v>
      </c>
      <c r="BR167" s="43">
        <v>1080</v>
      </c>
      <c r="BS167" s="47">
        <v>1080</v>
      </c>
      <c r="BT167" s="46">
        <v>60</v>
      </c>
      <c r="BU167" s="43">
        <v>720</v>
      </c>
      <c r="BV167" s="114">
        <v>720</v>
      </c>
      <c r="BW167" s="119">
        <v>15</v>
      </c>
      <c r="BX167" s="120">
        <v>180</v>
      </c>
      <c r="BY167" s="114">
        <v>180</v>
      </c>
      <c r="BZ167" s="119">
        <v>70</v>
      </c>
      <c r="CA167" s="120">
        <v>840</v>
      </c>
      <c r="CB167" s="114">
        <v>840</v>
      </c>
      <c r="CC167" s="119">
        <v>60</v>
      </c>
      <c r="CD167" s="120">
        <v>720</v>
      </c>
      <c r="CE167" s="114">
        <v>720</v>
      </c>
      <c r="CF167" s="119">
        <v>45</v>
      </c>
      <c r="CG167" s="120">
        <v>540</v>
      </c>
      <c r="CH167" s="114">
        <v>540</v>
      </c>
      <c r="CI167" s="119">
        <v>75</v>
      </c>
      <c r="CJ167" s="120">
        <v>900</v>
      </c>
      <c r="CK167" s="114">
        <v>900</v>
      </c>
      <c r="CL167" s="54">
        <f t="shared" si="17"/>
        <v>565</v>
      </c>
      <c r="CM167" s="63">
        <f t="shared" si="17"/>
        <v>6794</v>
      </c>
      <c r="CN167" s="55">
        <f t="shared" si="17"/>
        <v>6789</v>
      </c>
      <c r="CO167" s="54">
        <f t="shared" si="18"/>
        <v>47.083333333333336</v>
      </c>
      <c r="CP167" s="63">
        <f t="shared" si="18"/>
        <v>566.16666666666663</v>
      </c>
      <c r="CQ167" s="55">
        <f t="shared" si="18"/>
        <v>565.75</v>
      </c>
    </row>
    <row r="168" spans="1:95" s="25" customFormat="1" ht="31.5" customHeight="1" x14ac:dyDescent="0.6">
      <c r="A168" s="5">
        <v>165</v>
      </c>
      <c r="B168" s="18" t="s">
        <v>404</v>
      </c>
      <c r="C168" s="18" t="s">
        <v>453</v>
      </c>
      <c r="D168" s="18" t="s">
        <v>405</v>
      </c>
      <c r="E168" s="18" t="s">
        <v>363</v>
      </c>
      <c r="F168" s="23" t="s">
        <v>79</v>
      </c>
      <c r="G168" s="7" t="s">
        <v>406</v>
      </c>
      <c r="H168" s="123"/>
      <c r="I168" s="123"/>
      <c r="J168" s="123" t="s">
        <v>1013</v>
      </c>
      <c r="K168" s="49" t="s">
        <v>407</v>
      </c>
      <c r="L168" s="27"/>
      <c r="M168" s="58"/>
      <c r="N168" s="78"/>
      <c r="O168" s="27"/>
      <c r="P168" s="58"/>
      <c r="Q168" s="49"/>
      <c r="R168" s="27"/>
      <c r="S168" s="58"/>
      <c r="T168" s="98"/>
      <c r="U168" s="27"/>
      <c r="V168" s="58"/>
      <c r="W168" s="12"/>
      <c r="X168" s="27"/>
      <c r="Y168" s="58"/>
      <c r="Z168" s="12"/>
      <c r="AA168" s="27"/>
      <c r="AB168" s="58"/>
      <c r="AC168" s="12"/>
      <c r="AD168" s="27">
        <v>15</v>
      </c>
      <c r="AE168" s="58">
        <v>180</v>
      </c>
      <c r="AF168" s="107"/>
      <c r="AG168" s="27">
        <v>45</v>
      </c>
      <c r="AH168" s="58">
        <v>620</v>
      </c>
      <c r="AI168" s="107"/>
      <c r="AJ168" s="27">
        <v>30</v>
      </c>
      <c r="AK168" s="58">
        <v>360</v>
      </c>
      <c r="AL168" s="107"/>
      <c r="AM168" s="27">
        <v>115</v>
      </c>
      <c r="AN168" s="58">
        <v>1410</v>
      </c>
      <c r="AO168" s="107"/>
      <c r="AP168" s="27">
        <v>71</v>
      </c>
      <c r="AQ168" s="58">
        <v>964</v>
      </c>
      <c r="AR168" s="12"/>
      <c r="AS168" s="27">
        <v>60</v>
      </c>
      <c r="AT168" s="58">
        <v>720</v>
      </c>
      <c r="AU168" s="12"/>
      <c r="AV168" s="54"/>
      <c r="AW168" s="63"/>
      <c r="AX168" s="55"/>
      <c r="AY168" s="54"/>
      <c r="AZ168" s="63"/>
      <c r="BA168" s="55"/>
      <c r="BB168" s="10">
        <v>35</v>
      </c>
      <c r="BC168" s="15">
        <v>490</v>
      </c>
      <c r="BD168" s="11">
        <v>313</v>
      </c>
      <c r="BE168" s="10">
        <v>22</v>
      </c>
      <c r="BF168" s="15">
        <v>360</v>
      </c>
      <c r="BG168" s="11">
        <v>207</v>
      </c>
      <c r="BH168" s="10">
        <v>243</v>
      </c>
      <c r="BI168" s="15">
        <v>3370</v>
      </c>
      <c r="BJ168" s="11">
        <v>2462.4</v>
      </c>
      <c r="BK168" s="10">
        <v>20</v>
      </c>
      <c r="BL168" s="15">
        <v>240</v>
      </c>
      <c r="BM168" s="11">
        <v>240</v>
      </c>
      <c r="BN168" s="46">
        <v>55</v>
      </c>
      <c r="BO168" s="43">
        <v>720</v>
      </c>
      <c r="BP168" s="47">
        <v>568.79999999999995</v>
      </c>
      <c r="BQ168" s="46">
        <v>0</v>
      </c>
      <c r="BR168" s="43">
        <v>0</v>
      </c>
      <c r="BS168" s="47">
        <v>0</v>
      </c>
      <c r="BT168" s="46">
        <v>126</v>
      </c>
      <c r="BU168" s="43">
        <v>1930</v>
      </c>
      <c r="BV168" s="114">
        <v>1366.2</v>
      </c>
      <c r="BW168" s="119">
        <v>11</v>
      </c>
      <c r="BX168" s="120">
        <v>152</v>
      </c>
      <c r="BY168" s="114">
        <v>97.76</v>
      </c>
      <c r="BZ168" s="119">
        <v>43</v>
      </c>
      <c r="CA168" s="120">
        <v>572</v>
      </c>
      <c r="CB168" s="114">
        <v>430.88</v>
      </c>
      <c r="CC168" s="119">
        <v>46.5</v>
      </c>
      <c r="CD168" s="120">
        <v>618</v>
      </c>
      <c r="CE168" s="114">
        <v>466.8</v>
      </c>
      <c r="CF168" s="119">
        <v>43</v>
      </c>
      <c r="CG168" s="120">
        <v>602</v>
      </c>
      <c r="CH168" s="114">
        <v>385.28</v>
      </c>
      <c r="CI168" s="119">
        <v>93</v>
      </c>
      <c r="CJ168" s="120">
        <v>1272</v>
      </c>
      <c r="CK168" s="114">
        <v>878.88000000000011</v>
      </c>
      <c r="CL168" s="54">
        <f t="shared" si="17"/>
        <v>737.5</v>
      </c>
      <c r="CM168" s="63">
        <f t="shared" si="17"/>
        <v>10326</v>
      </c>
      <c r="CN168" s="55">
        <f t="shared" si="17"/>
        <v>7417</v>
      </c>
      <c r="CO168" s="54">
        <f t="shared" si="18"/>
        <v>61.458333333333336</v>
      </c>
      <c r="CP168" s="63">
        <f t="shared" si="18"/>
        <v>860.5</v>
      </c>
      <c r="CQ168" s="55">
        <f t="shared" si="18"/>
        <v>618.08333333333337</v>
      </c>
    </row>
    <row r="169" spans="1:95" s="25" customFormat="1" ht="31.5" customHeight="1" x14ac:dyDescent="0.6">
      <c r="A169" s="5">
        <v>166</v>
      </c>
      <c r="B169" s="18" t="s">
        <v>408</v>
      </c>
      <c r="C169" s="18" t="s">
        <v>455</v>
      </c>
      <c r="D169" s="18" t="s">
        <v>409</v>
      </c>
      <c r="E169" s="18" t="s">
        <v>363</v>
      </c>
      <c r="F169" s="23" t="s">
        <v>79</v>
      </c>
      <c r="G169" s="7" t="s">
        <v>406</v>
      </c>
      <c r="H169" s="123"/>
      <c r="I169" s="123"/>
      <c r="J169" s="123" t="s">
        <v>1014</v>
      </c>
      <c r="K169" s="49" t="s">
        <v>407</v>
      </c>
      <c r="L169" s="27"/>
      <c r="M169" s="58"/>
      <c r="N169" s="78"/>
      <c r="O169" s="27"/>
      <c r="P169" s="58"/>
      <c r="Q169" s="49"/>
      <c r="R169" s="27"/>
      <c r="S169" s="58"/>
      <c r="T169" s="98"/>
      <c r="U169" s="27"/>
      <c r="V169" s="58"/>
      <c r="W169" s="12"/>
      <c r="X169" s="27"/>
      <c r="Y169" s="58"/>
      <c r="Z169" s="12"/>
      <c r="AA169" s="27"/>
      <c r="AB169" s="58"/>
      <c r="AC169" s="12"/>
      <c r="AD169" s="27">
        <v>0</v>
      </c>
      <c r="AE169" s="58">
        <v>0</v>
      </c>
      <c r="AF169" s="107"/>
      <c r="AG169" s="27">
        <v>17</v>
      </c>
      <c r="AH169" s="58">
        <v>260</v>
      </c>
      <c r="AI169" s="107"/>
      <c r="AJ169" s="27">
        <v>73</v>
      </c>
      <c r="AK169" s="58">
        <v>876</v>
      </c>
      <c r="AL169" s="107"/>
      <c r="AM169" s="27">
        <v>30</v>
      </c>
      <c r="AN169" s="58">
        <v>360</v>
      </c>
      <c r="AO169" s="107"/>
      <c r="AP169" s="27">
        <v>30</v>
      </c>
      <c r="AQ169" s="58">
        <v>360</v>
      </c>
      <c r="AR169" s="12"/>
      <c r="AS169" s="27">
        <v>15</v>
      </c>
      <c r="AT169" s="58">
        <v>210</v>
      </c>
      <c r="AU169" s="12"/>
      <c r="AV169" s="54"/>
      <c r="AW169" s="63"/>
      <c r="AX169" s="55"/>
      <c r="AY169" s="54"/>
      <c r="AZ169" s="63"/>
      <c r="BA169" s="55"/>
      <c r="BB169" s="10">
        <v>26</v>
      </c>
      <c r="BC169" s="15">
        <v>364</v>
      </c>
      <c r="BD169" s="11">
        <v>233</v>
      </c>
      <c r="BE169" s="10">
        <v>15</v>
      </c>
      <c r="BF169" s="15">
        <v>180</v>
      </c>
      <c r="BG169" s="11">
        <v>180</v>
      </c>
      <c r="BH169" s="10">
        <v>48</v>
      </c>
      <c r="BI169" s="15">
        <v>670</v>
      </c>
      <c r="BJ169" s="11">
        <v>566.79999999999995</v>
      </c>
      <c r="BK169" s="10">
        <v>20</v>
      </c>
      <c r="BL169" s="15">
        <v>660</v>
      </c>
      <c r="BM169" s="11">
        <v>270</v>
      </c>
      <c r="BN169" s="46">
        <v>30</v>
      </c>
      <c r="BO169" s="43">
        <v>360</v>
      </c>
      <c r="BP169" s="47">
        <v>360</v>
      </c>
      <c r="BQ169" s="46">
        <v>70</v>
      </c>
      <c r="BR169" s="43">
        <v>1020</v>
      </c>
      <c r="BS169" s="47">
        <v>789.2</v>
      </c>
      <c r="BT169" s="46">
        <v>51</v>
      </c>
      <c r="BU169" s="43">
        <v>1034</v>
      </c>
      <c r="BV169" s="114">
        <v>639</v>
      </c>
      <c r="BW169" s="119">
        <v>30</v>
      </c>
      <c r="BX169" s="120">
        <v>391</v>
      </c>
      <c r="BY169" s="114">
        <v>315.08</v>
      </c>
      <c r="BZ169" s="119">
        <v>0</v>
      </c>
      <c r="CA169" s="120">
        <v>0</v>
      </c>
      <c r="CB169" s="114">
        <v>0</v>
      </c>
      <c r="CC169" s="119">
        <v>11</v>
      </c>
      <c r="CD169" s="120">
        <v>180</v>
      </c>
      <c r="CE169" s="114">
        <v>103.6</v>
      </c>
      <c r="CF169" s="119">
        <v>0</v>
      </c>
      <c r="CG169" s="120">
        <v>0</v>
      </c>
      <c r="CH169" s="114">
        <v>0</v>
      </c>
      <c r="CI169" s="119">
        <v>6</v>
      </c>
      <c r="CJ169" s="120">
        <v>84</v>
      </c>
      <c r="CK169" s="114">
        <v>53.76</v>
      </c>
      <c r="CL169" s="54">
        <f t="shared" si="17"/>
        <v>307</v>
      </c>
      <c r="CM169" s="63">
        <f t="shared" si="17"/>
        <v>4943</v>
      </c>
      <c r="CN169" s="55">
        <f t="shared" si="17"/>
        <v>3510.44</v>
      </c>
      <c r="CO169" s="54">
        <f t="shared" si="18"/>
        <v>25.583333333333332</v>
      </c>
      <c r="CP169" s="63">
        <f t="shared" si="18"/>
        <v>411.91666666666669</v>
      </c>
      <c r="CQ169" s="55">
        <f t="shared" si="18"/>
        <v>292.53666666666669</v>
      </c>
    </row>
    <row r="170" spans="1:95" s="25" customFormat="1" ht="31.5" customHeight="1" x14ac:dyDescent="0.6">
      <c r="A170" s="5">
        <v>167</v>
      </c>
      <c r="B170" s="18" t="s">
        <v>410</v>
      </c>
      <c r="C170" s="18" t="s">
        <v>456</v>
      </c>
      <c r="D170" s="18" t="s">
        <v>411</v>
      </c>
      <c r="E170" s="18" t="s">
        <v>363</v>
      </c>
      <c r="F170" s="23" t="s">
        <v>79</v>
      </c>
      <c r="G170" s="7" t="s">
        <v>406</v>
      </c>
      <c r="H170" s="123"/>
      <c r="I170" s="123"/>
      <c r="J170" s="123" t="s">
        <v>1015</v>
      </c>
      <c r="K170" s="49" t="s">
        <v>407</v>
      </c>
      <c r="L170" s="27"/>
      <c r="M170" s="58"/>
      <c r="N170" s="78"/>
      <c r="O170" s="27"/>
      <c r="P170" s="58"/>
      <c r="Q170" s="49"/>
      <c r="R170" s="27"/>
      <c r="S170" s="58"/>
      <c r="T170" s="98"/>
      <c r="U170" s="27"/>
      <c r="V170" s="58"/>
      <c r="W170" s="12"/>
      <c r="X170" s="27"/>
      <c r="Y170" s="58"/>
      <c r="Z170" s="12"/>
      <c r="AA170" s="27"/>
      <c r="AB170" s="58"/>
      <c r="AC170" s="12"/>
      <c r="AD170" s="27">
        <v>8</v>
      </c>
      <c r="AE170" s="58">
        <v>180</v>
      </c>
      <c r="AF170" s="107"/>
      <c r="AG170" s="27">
        <v>7</v>
      </c>
      <c r="AH170" s="58">
        <v>140</v>
      </c>
      <c r="AI170" s="107"/>
      <c r="AJ170" s="27">
        <v>21</v>
      </c>
      <c r="AK170" s="58">
        <v>336</v>
      </c>
      <c r="AL170" s="107"/>
      <c r="AM170" s="27">
        <v>15</v>
      </c>
      <c r="AN170" s="58">
        <v>180</v>
      </c>
      <c r="AO170" s="107"/>
      <c r="AP170" s="27">
        <v>37</v>
      </c>
      <c r="AQ170" s="58">
        <v>444</v>
      </c>
      <c r="AR170" s="12"/>
      <c r="AS170" s="27">
        <v>30</v>
      </c>
      <c r="AT170" s="58">
        <v>360</v>
      </c>
      <c r="AU170" s="12"/>
      <c r="AV170" s="54"/>
      <c r="AW170" s="63"/>
      <c r="AX170" s="55"/>
      <c r="AY170" s="54"/>
      <c r="AZ170" s="63"/>
      <c r="BA170" s="55"/>
      <c r="BB170" s="10">
        <v>15</v>
      </c>
      <c r="BC170" s="15">
        <v>180</v>
      </c>
      <c r="BD170" s="11">
        <v>180</v>
      </c>
      <c r="BE170" s="10">
        <v>50</v>
      </c>
      <c r="BF170" s="15">
        <v>640</v>
      </c>
      <c r="BG170" s="11">
        <v>539</v>
      </c>
      <c r="BH170" s="10">
        <v>79</v>
      </c>
      <c r="BI170" s="15">
        <v>1240</v>
      </c>
      <c r="BJ170" s="11">
        <v>905.2</v>
      </c>
      <c r="BK170" s="10">
        <v>109</v>
      </c>
      <c r="BL170" s="15">
        <v>1588</v>
      </c>
      <c r="BM170" s="11">
        <v>1304</v>
      </c>
      <c r="BN170" s="46">
        <v>75</v>
      </c>
      <c r="BO170" s="43">
        <v>962</v>
      </c>
      <c r="BP170" s="47">
        <v>805.76</v>
      </c>
      <c r="BQ170" s="46">
        <v>20</v>
      </c>
      <c r="BR170" s="43">
        <v>380</v>
      </c>
      <c r="BS170" s="47">
        <v>250</v>
      </c>
      <c r="BT170" s="46">
        <v>49</v>
      </c>
      <c r="BU170" s="43">
        <v>730</v>
      </c>
      <c r="BV170" s="114">
        <v>550.4</v>
      </c>
      <c r="BW170" s="119">
        <v>15.3</v>
      </c>
      <c r="BX170" s="120">
        <v>323</v>
      </c>
      <c r="BY170" s="114">
        <v>192.04</v>
      </c>
      <c r="BZ170" s="119">
        <v>15</v>
      </c>
      <c r="CA170" s="120">
        <v>180</v>
      </c>
      <c r="CB170" s="114">
        <v>180</v>
      </c>
      <c r="CC170" s="119">
        <v>20</v>
      </c>
      <c r="CD170" s="120">
        <v>300</v>
      </c>
      <c r="CE170" s="114">
        <v>233.12</v>
      </c>
      <c r="CF170" s="119">
        <v>23</v>
      </c>
      <c r="CG170" s="120">
        <v>388</v>
      </c>
      <c r="CH170" s="114">
        <v>284</v>
      </c>
      <c r="CI170" s="119">
        <v>22</v>
      </c>
      <c r="CJ170" s="120">
        <v>330</v>
      </c>
      <c r="CK170" s="114">
        <v>252.8</v>
      </c>
      <c r="CL170" s="54">
        <f t="shared" si="17"/>
        <v>492.3</v>
      </c>
      <c r="CM170" s="63">
        <f t="shared" si="17"/>
        <v>7241</v>
      </c>
      <c r="CN170" s="55">
        <f t="shared" si="17"/>
        <v>5676.32</v>
      </c>
      <c r="CO170" s="54">
        <f t="shared" si="18"/>
        <v>41.024999999999999</v>
      </c>
      <c r="CP170" s="63">
        <f t="shared" si="18"/>
        <v>603.41666666666663</v>
      </c>
      <c r="CQ170" s="55">
        <f t="shared" si="18"/>
        <v>473.02666666666664</v>
      </c>
    </row>
    <row r="171" spans="1:95" s="25" customFormat="1" ht="31.5" customHeight="1" x14ac:dyDescent="0.6">
      <c r="A171" s="5">
        <v>168</v>
      </c>
      <c r="B171" s="18" t="s">
        <v>412</v>
      </c>
      <c r="C171" s="18" t="s">
        <v>457</v>
      </c>
      <c r="D171" s="18" t="s">
        <v>413</v>
      </c>
      <c r="E171" s="18" t="s">
        <v>82</v>
      </c>
      <c r="F171" s="23" t="s">
        <v>414</v>
      </c>
      <c r="G171" s="7" t="s">
        <v>406</v>
      </c>
      <c r="H171" s="123"/>
      <c r="I171" s="123"/>
      <c r="J171" s="123" t="s">
        <v>1016</v>
      </c>
      <c r="K171" s="49" t="s">
        <v>407</v>
      </c>
      <c r="L171" s="27"/>
      <c r="M171" s="58"/>
      <c r="N171" s="78"/>
      <c r="O171" s="27"/>
      <c r="P171" s="58"/>
      <c r="Q171" s="49"/>
      <c r="R171" s="27"/>
      <c r="S171" s="58"/>
      <c r="T171" s="98"/>
      <c r="U171" s="27"/>
      <c r="V171" s="58"/>
      <c r="W171" s="12"/>
      <c r="X171" s="27"/>
      <c r="Y171" s="58"/>
      <c r="Z171" s="12"/>
      <c r="AA171" s="27"/>
      <c r="AB171" s="58"/>
      <c r="AC171" s="12"/>
      <c r="AD171" s="27">
        <v>15</v>
      </c>
      <c r="AE171" s="58">
        <v>320</v>
      </c>
      <c r="AF171" s="107"/>
      <c r="AG171" s="27">
        <v>0</v>
      </c>
      <c r="AH171" s="58">
        <v>0</v>
      </c>
      <c r="AI171" s="107"/>
      <c r="AJ171" s="27">
        <v>46</v>
      </c>
      <c r="AK171" s="58">
        <v>664</v>
      </c>
      <c r="AL171" s="107"/>
      <c r="AM171" s="27">
        <v>25</v>
      </c>
      <c r="AN171" s="58">
        <v>580</v>
      </c>
      <c r="AO171" s="107"/>
      <c r="AP171" s="27">
        <v>30</v>
      </c>
      <c r="AQ171" s="58">
        <v>360</v>
      </c>
      <c r="AR171" s="12"/>
      <c r="AS171" s="27">
        <v>50</v>
      </c>
      <c r="AT171" s="58">
        <v>1040</v>
      </c>
      <c r="AU171" s="12"/>
      <c r="AV171" s="54"/>
      <c r="AW171" s="63"/>
      <c r="AX171" s="55"/>
      <c r="AY171" s="54"/>
      <c r="AZ171" s="63"/>
      <c r="BA171" s="55"/>
      <c r="BB171" s="10">
        <v>30</v>
      </c>
      <c r="BC171" s="15">
        <v>380</v>
      </c>
      <c r="BD171" s="11">
        <v>330</v>
      </c>
      <c r="BE171" s="10">
        <v>23</v>
      </c>
      <c r="BF171" s="15">
        <v>292</v>
      </c>
      <c r="BG171" s="11">
        <v>251.6</v>
      </c>
      <c r="BH171" s="10">
        <v>60</v>
      </c>
      <c r="BI171" s="15">
        <v>720</v>
      </c>
      <c r="BJ171" s="11">
        <v>720</v>
      </c>
      <c r="BK171" s="10">
        <v>72</v>
      </c>
      <c r="BL171" s="15">
        <v>1004</v>
      </c>
      <c r="BM171" s="11">
        <v>768.4</v>
      </c>
      <c r="BN171" s="46">
        <v>30</v>
      </c>
      <c r="BO171" s="43">
        <v>360</v>
      </c>
      <c r="BP171" s="47">
        <v>360</v>
      </c>
      <c r="BQ171" s="46">
        <v>0</v>
      </c>
      <c r="BR171" s="43">
        <v>0</v>
      </c>
      <c r="BS171" s="47">
        <v>0</v>
      </c>
      <c r="BT171" s="46">
        <v>0</v>
      </c>
      <c r="BU171" s="43">
        <v>0</v>
      </c>
      <c r="BV171" s="114">
        <v>0</v>
      </c>
      <c r="BW171" s="119">
        <v>0</v>
      </c>
      <c r="BX171" s="120">
        <v>0</v>
      </c>
      <c r="BY171" s="114">
        <v>0</v>
      </c>
      <c r="BZ171" s="119">
        <v>0</v>
      </c>
      <c r="CA171" s="120">
        <v>0</v>
      </c>
      <c r="CB171" s="114">
        <v>0</v>
      </c>
      <c r="CC171" s="119">
        <v>0</v>
      </c>
      <c r="CD171" s="120">
        <v>0</v>
      </c>
      <c r="CE171" s="114">
        <v>0</v>
      </c>
      <c r="CF171" s="119">
        <v>0</v>
      </c>
      <c r="CG171" s="120">
        <v>0</v>
      </c>
      <c r="CH171" s="114">
        <v>0</v>
      </c>
      <c r="CI171" s="119">
        <v>0</v>
      </c>
      <c r="CJ171" s="120">
        <v>0</v>
      </c>
      <c r="CK171" s="114">
        <v>0</v>
      </c>
      <c r="CL171" s="54">
        <f t="shared" si="17"/>
        <v>215</v>
      </c>
      <c r="CM171" s="63">
        <f t="shared" si="17"/>
        <v>2756</v>
      </c>
      <c r="CN171" s="55">
        <f t="shared" si="17"/>
        <v>2430</v>
      </c>
      <c r="CO171" s="54">
        <f t="shared" si="18"/>
        <v>17.916666666666668</v>
      </c>
      <c r="CP171" s="63">
        <f t="shared" si="18"/>
        <v>229.66666666666666</v>
      </c>
      <c r="CQ171" s="55">
        <f t="shared" si="18"/>
        <v>202.5</v>
      </c>
    </row>
    <row r="172" spans="1:95" s="25" customFormat="1" ht="31.5" customHeight="1" x14ac:dyDescent="0.6">
      <c r="A172" s="5">
        <v>169</v>
      </c>
      <c r="B172" s="18" t="s">
        <v>415</v>
      </c>
      <c r="C172" s="18" t="s">
        <v>458</v>
      </c>
      <c r="D172" s="18" t="s">
        <v>416</v>
      </c>
      <c r="E172" s="18" t="s">
        <v>82</v>
      </c>
      <c r="F172" s="23" t="s">
        <v>414</v>
      </c>
      <c r="G172" s="7" t="s">
        <v>406</v>
      </c>
      <c r="H172" s="123"/>
      <c r="I172" s="123"/>
      <c r="J172" s="123" t="s">
        <v>1017</v>
      </c>
      <c r="K172" s="49" t="s">
        <v>407</v>
      </c>
      <c r="L172" s="27"/>
      <c r="M172" s="58"/>
      <c r="N172" s="78"/>
      <c r="O172" s="27"/>
      <c r="P172" s="58"/>
      <c r="Q172" s="49"/>
      <c r="R172" s="27"/>
      <c r="S172" s="58"/>
      <c r="T172" s="98"/>
      <c r="U172" s="27"/>
      <c r="V172" s="58"/>
      <c r="W172" s="12"/>
      <c r="X172" s="27"/>
      <c r="Y172" s="58"/>
      <c r="Z172" s="12"/>
      <c r="AA172" s="27"/>
      <c r="AB172" s="58"/>
      <c r="AC172" s="12"/>
      <c r="AD172" s="27">
        <v>0</v>
      </c>
      <c r="AE172" s="58">
        <v>0</v>
      </c>
      <c r="AF172" s="107"/>
      <c r="AG172" s="27">
        <v>30</v>
      </c>
      <c r="AH172" s="58">
        <v>360</v>
      </c>
      <c r="AI172" s="107"/>
      <c r="AJ172" s="27">
        <v>90</v>
      </c>
      <c r="AK172" s="58">
        <v>1080</v>
      </c>
      <c r="AL172" s="107"/>
      <c r="AM172" s="27">
        <v>60</v>
      </c>
      <c r="AN172" s="58">
        <v>720</v>
      </c>
      <c r="AO172" s="107"/>
      <c r="AP172" s="27">
        <v>49</v>
      </c>
      <c r="AQ172" s="58">
        <v>700</v>
      </c>
      <c r="AR172" s="12"/>
      <c r="AS172" s="27">
        <v>45</v>
      </c>
      <c r="AT172" s="58">
        <v>540</v>
      </c>
      <c r="AU172" s="12"/>
      <c r="AV172" s="54"/>
      <c r="AW172" s="63"/>
      <c r="AX172" s="55"/>
      <c r="AY172" s="54"/>
      <c r="AZ172" s="63"/>
      <c r="BA172" s="55"/>
      <c r="BB172" s="10">
        <v>33</v>
      </c>
      <c r="BC172" s="15">
        <v>396</v>
      </c>
      <c r="BD172" s="11">
        <v>396</v>
      </c>
      <c r="BE172" s="10">
        <v>30</v>
      </c>
      <c r="BF172" s="15">
        <v>360</v>
      </c>
      <c r="BG172" s="11">
        <v>360</v>
      </c>
      <c r="BH172" s="10">
        <v>33</v>
      </c>
      <c r="BI172" s="15">
        <v>398</v>
      </c>
      <c r="BJ172" s="11">
        <v>383</v>
      </c>
      <c r="BK172" s="10">
        <v>95</v>
      </c>
      <c r="BL172" s="15">
        <v>1140</v>
      </c>
      <c r="BM172" s="11">
        <v>1140</v>
      </c>
      <c r="BN172" s="46">
        <v>65</v>
      </c>
      <c r="BO172" s="43">
        <v>780</v>
      </c>
      <c r="BP172" s="47">
        <v>780</v>
      </c>
      <c r="BQ172" s="46">
        <v>15</v>
      </c>
      <c r="BR172" s="43">
        <v>180</v>
      </c>
      <c r="BS172" s="47">
        <v>180</v>
      </c>
      <c r="BT172" s="46">
        <v>45</v>
      </c>
      <c r="BU172" s="43">
        <v>540</v>
      </c>
      <c r="BV172" s="114">
        <v>540</v>
      </c>
      <c r="BW172" s="119">
        <v>15</v>
      </c>
      <c r="BX172" s="120">
        <v>181</v>
      </c>
      <c r="BY172" s="114">
        <v>180.68</v>
      </c>
      <c r="BZ172" s="119">
        <v>56</v>
      </c>
      <c r="CA172" s="120">
        <v>772</v>
      </c>
      <c r="CB172" s="114">
        <v>653.68000000000006</v>
      </c>
      <c r="CC172" s="119">
        <v>62</v>
      </c>
      <c r="CD172" s="120">
        <v>856</v>
      </c>
      <c r="CE172" s="114">
        <v>662.88</v>
      </c>
      <c r="CF172" s="119">
        <v>60</v>
      </c>
      <c r="CG172" s="120">
        <v>720</v>
      </c>
      <c r="CH172" s="114">
        <v>720</v>
      </c>
      <c r="CI172" s="119">
        <v>4</v>
      </c>
      <c r="CJ172" s="120">
        <v>160</v>
      </c>
      <c r="CK172" s="114">
        <v>56</v>
      </c>
      <c r="CL172" s="54">
        <f t="shared" si="17"/>
        <v>513</v>
      </c>
      <c r="CM172" s="63">
        <f t="shared" si="17"/>
        <v>6483</v>
      </c>
      <c r="CN172" s="55">
        <f t="shared" si="17"/>
        <v>6052.24</v>
      </c>
      <c r="CO172" s="54">
        <f t="shared" si="18"/>
        <v>42.75</v>
      </c>
      <c r="CP172" s="63">
        <f t="shared" si="18"/>
        <v>540.25</v>
      </c>
      <c r="CQ172" s="55">
        <f t="shared" si="18"/>
        <v>504.3533333333333</v>
      </c>
    </row>
    <row r="173" spans="1:95" s="25" customFormat="1" ht="31.5" customHeight="1" x14ac:dyDescent="0.6">
      <c r="A173" s="5">
        <v>170</v>
      </c>
      <c r="B173" s="18" t="s">
        <v>417</v>
      </c>
      <c r="C173" s="18" t="s">
        <v>461</v>
      </c>
      <c r="D173" s="18" t="s">
        <v>418</v>
      </c>
      <c r="E173" s="18" t="s">
        <v>82</v>
      </c>
      <c r="F173" s="23" t="s">
        <v>414</v>
      </c>
      <c r="G173" s="7" t="s">
        <v>406</v>
      </c>
      <c r="H173" s="123"/>
      <c r="I173" s="123"/>
      <c r="J173" s="123" t="s">
        <v>1018</v>
      </c>
      <c r="K173" s="49" t="s">
        <v>407</v>
      </c>
      <c r="L173" s="27"/>
      <c r="M173" s="58"/>
      <c r="N173" s="78"/>
      <c r="O173" s="27"/>
      <c r="P173" s="58"/>
      <c r="Q173" s="49"/>
      <c r="R173" s="27"/>
      <c r="S173" s="58"/>
      <c r="T173" s="98"/>
      <c r="U173" s="27"/>
      <c r="V173" s="58"/>
      <c r="W173" s="12"/>
      <c r="X173" s="27"/>
      <c r="Y173" s="58"/>
      <c r="Z173" s="12"/>
      <c r="AA173" s="27"/>
      <c r="AB173" s="58"/>
      <c r="AC173" s="12"/>
      <c r="AD173" s="27">
        <v>6</v>
      </c>
      <c r="AE173" s="58">
        <v>72</v>
      </c>
      <c r="AF173" s="107"/>
      <c r="AG173" s="27">
        <v>10</v>
      </c>
      <c r="AH173" s="58">
        <v>120</v>
      </c>
      <c r="AI173" s="107"/>
      <c r="AJ173" s="27">
        <v>30</v>
      </c>
      <c r="AK173" s="58">
        <v>360</v>
      </c>
      <c r="AL173" s="107"/>
      <c r="AM173" s="27">
        <v>66</v>
      </c>
      <c r="AN173" s="58">
        <v>1240</v>
      </c>
      <c r="AO173" s="107"/>
      <c r="AP173" s="27">
        <v>30</v>
      </c>
      <c r="AQ173" s="58">
        <v>360</v>
      </c>
      <c r="AR173" s="12"/>
      <c r="AS173" s="27">
        <v>20</v>
      </c>
      <c r="AT173" s="58">
        <v>240</v>
      </c>
      <c r="AU173" s="12"/>
      <c r="AV173" s="54"/>
      <c r="AW173" s="63"/>
      <c r="AX173" s="55"/>
      <c r="AY173" s="54"/>
      <c r="AZ173" s="63"/>
      <c r="BA173" s="55"/>
      <c r="BB173" s="10">
        <v>15</v>
      </c>
      <c r="BC173" s="15">
        <v>180</v>
      </c>
      <c r="BD173" s="11">
        <v>180</v>
      </c>
      <c r="BE173" s="10">
        <v>0</v>
      </c>
      <c r="BF173" s="15">
        <v>0</v>
      </c>
      <c r="BG173" s="11">
        <v>0</v>
      </c>
      <c r="BH173" s="10">
        <v>4</v>
      </c>
      <c r="BI173" s="15">
        <v>76</v>
      </c>
      <c r="BJ173" s="11">
        <v>50</v>
      </c>
      <c r="BK173" s="10">
        <v>65</v>
      </c>
      <c r="BL173" s="15">
        <v>1100</v>
      </c>
      <c r="BM173" s="11">
        <v>739</v>
      </c>
      <c r="BN173" s="46">
        <v>35</v>
      </c>
      <c r="BO173" s="43">
        <v>560</v>
      </c>
      <c r="BP173" s="47">
        <v>430</v>
      </c>
      <c r="BQ173" s="46">
        <v>36</v>
      </c>
      <c r="BR173" s="43">
        <v>444</v>
      </c>
      <c r="BS173" s="47">
        <v>413.76</v>
      </c>
      <c r="BT173" s="46">
        <v>0</v>
      </c>
      <c r="BU173" s="43">
        <v>12</v>
      </c>
      <c r="BV173" s="114">
        <v>4</v>
      </c>
      <c r="BW173" s="119">
        <v>0</v>
      </c>
      <c r="BX173" s="120">
        <v>1</v>
      </c>
      <c r="BY173" s="114">
        <v>0.68</v>
      </c>
      <c r="BZ173" s="119">
        <v>65</v>
      </c>
      <c r="CA173" s="120">
        <v>976</v>
      </c>
      <c r="CB173" s="114">
        <v>794</v>
      </c>
      <c r="CC173" s="119">
        <v>39</v>
      </c>
      <c r="CD173" s="120">
        <v>580</v>
      </c>
      <c r="CE173" s="114">
        <v>476</v>
      </c>
      <c r="CF173" s="119">
        <v>47</v>
      </c>
      <c r="CG173" s="120">
        <v>650</v>
      </c>
      <c r="CH173" s="114">
        <v>522.4</v>
      </c>
      <c r="CI173" s="119">
        <v>44</v>
      </c>
      <c r="CJ173" s="120">
        <v>684</v>
      </c>
      <c r="CK173" s="114">
        <v>508.88</v>
      </c>
      <c r="CL173" s="54">
        <f t="shared" si="17"/>
        <v>350</v>
      </c>
      <c r="CM173" s="63">
        <f t="shared" si="17"/>
        <v>5263</v>
      </c>
      <c r="CN173" s="55">
        <f t="shared" si="17"/>
        <v>4118.72</v>
      </c>
      <c r="CO173" s="54">
        <f t="shared" si="18"/>
        <v>29.166666666666668</v>
      </c>
      <c r="CP173" s="63">
        <f t="shared" si="18"/>
        <v>438.58333333333331</v>
      </c>
      <c r="CQ173" s="55">
        <f t="shared" si="18"/>
        <v>343.22666666666669</v>
      </c>
    </row>
    <row r="174" spans="1:95" s="25" customFormat="1" ht="31.5" customHeight="1" x14ac:dyDescent="0.6">
      <c r="A174" s="5">
        <v>171</v>
      </c>
      <c r="B174" s="18" t="s">
        <v>419</v>
      </c>
      <c r="C174" s="18" t="s">
        <v>463</v>
      </c>
      <c r="D174" s="18" t="s">
        <v>420</v>
      </c>
      <c r="E174" s="18" t="s">
        <v>82</v>
      </c>
      <c r="F174" s="23" t="s">
        <v>414</v>
      </c>
      <c r="G174" s="7" t="s">
        <v>406</v>
      </c>
      <c r="H174" s="123"/>
      <c r="I174" s="123"/>
      <c r="J174" s="123" t="s">
        <v>1019</v>
      </c>
      <c r="K174" s="49" t="s">
        <v>407</v>
      </c>
      <c r="L174" s="27"/>
      <c r="M174" s="58"/>
      <c r="N174" s="78"/>
      <c r="O174" s="27"/>
      <c r="P174" s="58"/>
      <c r="Q174" s="49"/>
      <c r="R174" s="27"/>
      <c r="S174" s="58"/>
      <c r="T174" s="98"/>
      <c r="U174" s="27"/>
      <c r="V174" s="58"/>
      <c r="W174" s="12"/>
      <c r="X174" s="27"/>
      <c r="Y174" s="58"/>
      <c r="Z174" s="12"/>
      <c r="AA174" s="27"/>
      <c r="AB174" s="58"/>
      <c r="AC174" s="12"/>
      <c r="AD174" s="27">
        <v>0</v>
      </c>
      <c r="AE174" s="58">
        <v>0</v>
      </c>
      <c r="AF174" s="107"/>
      <c r="AG174" s="27">
        <v>0</v>
      </c>
      <c r="AH174" s="58">
        <v>0</v>
      </c>
      <c r="AI174" s="107"/>
      <c r="AJ174" s="27">
        <v>28</v>
      </c>
      <c r="AK174" s="58">
        <v>364</v>
      </c>
      <c r="AL174" s="107"/>
      <c r="AM174" s="27">
        <v>56</v>
      </c>
      <c r="AN174" s="58">
        <v>700</v>
      </c>
      <c r="AO174" s="107"/>
      <c r="AP174" s="27">
        <v>45</v>
      </c>
      <c r="AQ174" s="58">
        <v>680</v>
      </c>
      <c r="AR174" s="12"/>
      <c r="AS174" s="27">
        <v>40</v>
      </c>
      <c r="AT174" s="58">
        <v>480</v>
      </c>
      <c r="AU174" s="12"/>
      <c r="AV174" s="54"/>
      <c r="AW174" s="63"/>
      <c r="AX174" s="55"/>
      <c r="AY174" s="54"/>
      <c r="AZ174" s="63"/>
      <c r="BA174" s="55"/>
      <c r="BB174" s="10">
        <v>15</v>
      </c>
      <c r="BC174" s="15">
        <v>180</v>
      </c>
      <c r="BD174" s="11">
        <v>180</v>
      </c>
      <c r="BE174" s="10">
        <v>0</v>
      </c>
      <c r="BF174" s="15">
        <v>0</v>
      </c>
      <c r="BG174" s="11">
        <v>0</v>
      </c>
      <c r="BH174" s="10">
        <v>30</v>
      </c>
      <c r="BI174" s="15">
        <v>360</v>
      </c>
      <c r="BJ174" s="11">
        <v>360</v>
      </c>
      <c r="BK174" s="10">
        <v>68</v>
      </c>
      <c r="BL174" s="15">
        <v>1286</v>
      </c>
      <c r="BM174" s="11">
        <v>770.6</v>
      </c>
      <c r="BN174" s="46">
        <v>80</v>
      </c>
      <c r="BO174" s="43">
        <v>1016</v>
      </c>
      <c r="BP174" s="47">
        <v>964</v>
      </c>
      <c r="BQ174" s="46">
        <v>20</v>
      </c>
      <c r="BR174" s="43">
        <v>240</v>
      </c>
      <c r="BS174" s="47">
        <v>240</v>
      </c>
      <c r="BT174" s="46">
        <v>46</v>
      </c>
      <c r="BU174" s="43">
        <v>664</v>
      </c>
      <c r="BV174" s="114">
        <v>560</v>
      </c>
      <c r="BW174" s="119">
        <v>30</v>
      </c>
      <c r="BX174" s="120">
        <v>360</v>
      </c>
      <c r="BY174" s="114">
        <v>360</v>
      </c>
      <c r="BZ174" s="119">
        <v>15</v>
      </c>
      <c r="CA174" s="120">
        <v>180</v>
      </c>
      <c r="CB174" s="114">
        <v>180</v>
      </c>
      <c r="CC174" s="119">
        <v>57.5</v>
      </c>
      <c r="CD174" s="120">
        <v>858</v>
      </c>
      <c r="CE174" s="114">
        <v>685.68000000000006</v>
      </c>
      <c r="CF174" s="119">
        <v>35</v>
      </c>
      <c r="CG174" s="120">
        <v>430</v>
      </c>
      <c r="CH174" s="114">
        <v>404.8</v>
      </c>
      <c r="CI174" s="119">
        <v>35</v>
      </c>
      <c r="CJ174" s="120">
        <v>430</v>
      </c>
      <c r="CK174" s="114">
        <v>404.8</v>
      </c>
      <c r="CL174" s="54">
        <f t="shared" si="17"/>
        <v>431.5</v>
      </c>
      <c r="CM174" s="63">
        <f t="shared" si="17"/>
        <v>6004</v>
      </c>
      <c r="CN174" s="55">
        <f t="shared" si="17"/>
        <v>5109.88</v>
      </c>
      <c r="CO174" s="54">
        <f t="shared" si="18"/>
        <v>35.958333333333336</v>
      </c>
      <c r="CP174" s="63">
        <f t="shared" si="18"/>
        <v>500.33333333333331</v>
      </c>
      <c r="CQ174" s="55">
        <f t="shared" si="18"/>
        <v>425.82333333333332</v>
      </c>
    </row>
    <row r="175" spans="1:95" s="25" customFormat="1" ht="31.5" customHeight="1" x14ac:dyDescent="0.6">
      <c r="A175" s="5">
        <v>172</v>
      </c>
      <c r="B175" s="18" t="s">
        <v>421</v>
      </c>
      <c r="C175" s="18" t="s">
        <v>467</v>
      </c>
      <c r="D175" s="18" t="s">
        <v>422</v>
      </c>
      <c r="E175" s="18" t="s">
        <v>82</v>
      </c>
      <c r="F175" s="23" t="s">
        <v>414</v>
      </c>
      <c r="G175" s="7" t="s">
        <v>406</v>
      </c>
      <c r="H175" s="123"/>
      <c r="I175" s="123"/>
      <c r="J175" s="123" t="s">
        <v>1020</v>
      </c>
      <c r="K175" s="49" t="s">
        <v>407</v>
      </c>
      <c r="L175" s="27"/>
      <c r="M175" s="58"/>
      <c r="N175" s="78"/>
      <c r="O175" s="27"/>
      <c r="P175" s="58"/>
      <c r="Q175" s="49"/>
      <c r="R175" s="27"/>
      <c r="S175" s="58"/>
      <c r="T175" s="98"/>
      <c r="U175" s="27"/>
      <c r="V175" s="58"/>
      <c r="W175" s="12"/>
      <c r="X175" s="27"/>
      <c r="Y175" s="58"/>
      <c r="Z175" s="12"/>
      <c r="AA175" s="27"/>
      <c r="AB175" s="58"/>
      <c r="AC175" s="12"/>
      <c r="AD175" s="27">
        <v>35</v>
      </c>
      <c r="AE175" s="58">
        <v>420</v>
      </c>
      <c r="AF175" s="107"/>
      <c r="AG175" s="27">
        <v>30</v>
      </c>
      <c r="AH175" s="58">
        <v>360</v>
      </c>
      <c r="AI175" s="107"/>
      <c r="AJ175" s="27">
        <v>45</v>
      </c>
      <c r="AK175" s="58">
        <v>540</v>
      </c>
      <c r="AL175" s="107"/>
      <c r="AM175" s="27">
        <v>91</v>
      </c>
      <c r="AN175" s="58">
        <v>1400</v>
      </c>
      <c r="AO175" s="107"/>
      <c r="AP175" s="27">
        <v>30</v>
      </c>
      <c r="AQ175" s="58">
        <v>360</v>
      </c>
      <c r="AR175" s="12"/>
      <c r="AS175" s="27">
        <v>6</v>
      </c>
      <c r="AT175" s="58">
        <v>100</v>
      </c>
      <c r="AU175" s="12"/>
      <c r="AV175" s="54"/>
      <c r="AW175" s="63"/>
      <c r="AX175" s="55"/>
      <c r="AY175" s="54"/>
      <c r="AZ175" s="63"/>
      <c r="BA175" s="55"/>
      <c r="BB175" s="10">
        <v>0</v>
      </c>
      <c r="BC175" s="15">
        <v>0</v>
      </c>
      <c r="BD175" s="11">
        <v>0</v>
      </c>
      <c r="BE175" s="10">
        <v>0</v>
      </c>
      <c r="BF175" s="15">
        <v>0</v>
      </c>
      <c r="BG175" s="11">
        <v>0</v>
      </c>
      <c r="BH175" s="10">
        <v>20</v>
      </c>
      <c r="BI175" s="15">
        <v>240</v>
      </c>
      <c r="BJ175" s="11">
        <v>240</v>
      </c>
      <c r="BK175" s="10">
        <v>76</v>
      </c>
      <c r="BL175" s="15">
        <v>1136</v>
      </c>
      <c r="BM175" s="11">
        <v>928</v>
      </c>
      <c r="BN175" s="46">
        <v>65</v>
      </c>
      <c r="BO175" s="43">
        <v>1340</v>
      </c>
      <c r="BP175" s="47">
        <v>820</v>
      </c>
      <c r="BQ175" s="46">
        <v>28</v>
      </c>
      <c r="BR175" s="43">
        <v>440</v>
      </c>
      <c r="BS175" s="47">
        <v>311.60000000000002</v>
      </c>
      <c r="BT175" s="46">
        <v>41</v>
      </c>
      <c r="BU175" s="43">
        <v>632</v>
      </c>
      <c r="BV175" s="114">
        <v>502</v>
      </c>
      <c r="BW175" s="119">
        <v>10</v>
      </c>
      <c r="BX175" s="120">
        <v>140</v>
      </c>
      <c r="BY175" s="114">
        <v>89.6</v>
      </c>
      <c r="BZ175" s="119">
        <v>15.25</v>
      </c>
      <c r="CA175" s="120">
        <v>183</v>
      </c>
      <c r="CB175" s="114">
        <v>182.04</v>
      </c>
      <c r="CC175" s="119">
        <v>62</v>
      </c>
      <c r="CD175" s="120">
        <v>856</v>
      </c>
      <c r="CE175" s="114">
        <v>752</v>
      </c>
      <c r="CF175" s="119">
        <v>17</v>
      </c>
      <c r="CG175" s="120">
        <v>260</v>
      </c>
      <c r="CH175" s="114">
        <v>208</v>
      </c>
      <c r="CI175" s="119">
        <v>15</v>
      </c>
      <c r="CJ175" s="120">
        <v>180</v>
      </c>
      <c r="CK175" s="114">
        <v>180</v>
      </c>
      <c r="CL175" s="54">
        <f t="shared" si="17"/>
        <v>349.25</v>
      </c>
      <c r="CM175" s="63">
        <f t="shared" si="17"/>
        <v>5407</v>
      </c>
      <c r="CN175" s="55">
        <f t="shared" si="17"/>
        <v>4213.24</v>
      </c>
      <c r="CO175" s="54">
        <f t="shared" si="18"/>
        <v>29.104166666666668</v>
      </c>
      <c r="CP175" s="63">
        <f t="shared" si="18"/>
        <v>450.58333333333331</v>
      </c>
      <c r="CQ175" s="55">
        <f t="shared" si="18"/>
        <v>351.1033333333333</v>
      </c>
    </row>
    <row r="176" spans="1:95" s="25" customFormat="1" ht="31.5" customHeight="1" x14ac:dyDescent="0.6">
      <c r="A176" s="5">
        <v>173</v>
      </c>
      <c r="B176" s="18" t="s">
        <v>423</v>
      </c>
      <c r="C176" s="18" t="s">
        <v>259</v>
      </c>
      <c r="D176" s="18" t="s">
        <v>424</v>
      </c>
      <c r="E176" s="18" t="s">
        <v>82</v>
      </c>
      <c r="F176" s="23" t="s">
        <v>414</v>
      </c>
      <c r="G176" s="7" t="s">
        <v>406</v>
      </c>
      <c r="H176" s="123"/>
      <c r="I176" s="123"/>
      <c r="J176" s="123" t="s">
        <v>1021</v>
      </c>
      <c r="K176" s="49" t="s">
        <v>407</v>
      </c>
      <c r="L176" s="27"/>
      <c r="M176" s="58"/>
      <c r="N176" s="78"/>
      <c r="O176" s="27"/>
      <c r="P176" s="58"/>
      <c r="Q176" s="49"/>
      <c r="R176" s="27"/>
      <c r="S176" s="58"/>
      <c r="T176" s="98"/>
      <c r="U176" s="27"/>
      <c r="V176" s="58"/>
      <c r="W176" s="12"/>
      <c r="X176" s="27"/>
      <c r="Y176" s="58"/>
      <c r="Z176" s="12"/>
      <c r="AA176" s="27"/>
      <c r="AB176" s="58"/>
      <c r="AC176" s="12"/>
      <c r="AD176" s="27">
        <v>34</v>
      </c>
      <c r="AE176" s="58">
        <v>468</v>
      </c>
      <c r="AF176" s="107"/>
      <c r="AG176" s="27">
        <v>51</v>
      </c>
      <c r="AH176" s="58">
        <v>728</v>
      </c>
      <c r="AI176" s="107"/>
      <c r="AJ176" s="27">
        <v>83</v>
      </c>
      <c r="AK176" s="58">
        <v>1056</v>
      </c>
      <c r="AL176" s="107"/>
      <c r="AM176" s="27">
        <v>85</v>
      </c>
      <c r="AN176" s="58">
        <v>1160</v>
      </c>
      <c r="AO176" s="107"/>
      <c r="AP176" s="27">
        <v>39</v>
      </c>
      <c r="AQ176" s="58">
        <v>528</v>
      </c>
      <c r="AR176" s="12"/>
      <c r="AS176" s="27">
        <v>50</v>
      </c>
      <c r="AT176" s="58">
        <v>600</v>
      </c>
      <c r="AU176" s="12"/>
      <c r="AV176" s="54"/>
      <c r="AW176" s="63"/>
      <c r="AX176" s="55"/>
      <c r="AY176" s="54"/>
      <c r="AZ176" s="63"/>
      <c r="BA176" s="55"/>
      <c r="BB176" s="10">
        <v>45</v>
      </c>
      <c r="BC176" s="15">
        <v>540</v>
      </c>
      <c r="BD176" s="11">
        <v>540</v>
      </c>
      <c r="BE176" s="10">
        <v>30</v>
      </c>
      <c r="BF176" s="15">
        <v>360</v>
      </c>
      <c r="BG176" s="11">
        <v>360</v>
      </c>
      <c r="BH176" s="10">
        <v>115</v>
      </c>
      <c r="BI176" s="15">
        <v>1410</v>
      </c>
      <c r="BJ176" s="11">
        <v>1334.6</v>
      </c>
      <c r="BK176" s="10">
        <v>70</v>
      </c>
      <c r="BL176" s="15">
        <v>1820</v>
      </c>
      <c r="BM176" s="11">
        <v>910</v>
      </c>
      <c r="BN176" s="46">
        <v>31</v>
      </c>
      <c r="BO176" s="43">
        <v>820</v>
      </c>
      <c r="BP176" s="47">
        <v>404</v>
      </c>
      <c r="BQ176" s="46">
        <v>15</v>
      </c>
      <c r="BR176" s="43">
        <v>180</v>
      </c>
      <c r="BS176" s="47">
        <v>180</v>
      </c>
      <c r="BT176" s="46">
        <v>16</v>
      </c>
      <c r="BU176" s="43">
        <v>192</v>
      </c>
      <c r="BV176" s="114">
        <v>192</v>
      </c>
      <c r="BW176" s="119">
        <v>5.3</v>
      </c>
      <c r="BX176" s="120">
        <v>203</v>
      </c>
      <c r="BY176" s="114">
        <v>72.040000000000006</v>
      </c>
      <c r="BZ176" s="119">
        <v>60</v>
      </c>
      <c r="CA176" s="120">
        <v>1140</v>
      </c>
      <c r="CB176" s="114">
        <v>750</v>
      </c>
      <c r="CC176" s="119">
        <v>70</v>
      </c>
      <c r="CD176" s="120">
        <v>870</v>
      </c>
      <c r="CE176" s="114">
        <v>794.4</v>
      </c>
      <c r="CF176" s="119">
        <v>71</v>
      </c>
      <c r="CG176" s="120">
        <v>1294</v>
      </c>
      <c r="CH176" s="114">
        <v>848.56</v>
      </c>
      <c r="CI176" s="119">
        <v>105</v>
      </c>
      <c r="CJ176" s="120">
        <v>1740</v>
      </c>
      <c r="CK176" s="114">
        <v>1198.8</v>
      </c>
      <c r="CL176" s="54">
        <f t="shared" si="17"/>
        <v>633.29999999999995</v>
      </c>
      <c r="CM176" s="63">
        <f t="shared" si="17"/>
        <v>10569</v>
      </c>
      <c r="CN176" s="55">
        <f t="shared" si="17"/>
        <v>7584.3999999999987</v>
      </c>
      <c r="CO176" s="54">
        <f t="shared" si="18"/>
        <v>52.774999999999999</v>
      </c>
      <c r="CP176" s="63">
        <f t="shared" si="18"/>
        <v>880.75</v>
      </c>
      <c r="CQ176" s="55">
        <f t="shared" si="18"/>
        <v>632.03333333333319</v>
      </c>
    </row>
    <row r="177" spans="1:95" s="25" customFormat="1" ht="31.5" customHeight="1" x14ac:dyDescent="0.6">
      <c r="A177" s="5">
        <v>174</v>
      </c>
      <c r="B177" s="18" t="s">
        <v>425</v>
      </c>
      <c r="C177" s="18" t="s">
        <v>316</v>
      </c>
      <c r="D177" s="18" t="s">
        <v>426</v>
      </c>
      <c r="E177" s="18" t="s">
        <v>82</v>
      </c>
      <c r="F177" s="23" t="s">
        <v>414</v>
      </c>
      <c r="G177" s="7" t="s">
        <v>406</v>
      </c>
      <c r="H177" s="123"/>
      <c r="I177" s="123"/>
      <c r="J177" s="123" t="s">
        <v>1022</v>
      </c>
      <c r="K177" s="49" t="s">
        <v>407</v>
      </c>
      <c r="L177" s="27"/>
      <c r="M177" s="58"/>
      <c r="N177" s="78"/>
      <c r="O177" s="27"/>
      <c r="P177" s="58"/>
      <c r="Q177" s="49"/>
      <c r="R177" s="27"/>
      <c r="S177" s="58"/>
      <c r="T177" s="98"/>
      <c r="U177" s="27"/>
      <c r="V177" s="58"/>
      <c r="W177" s="12"/>
      <c r="X177" s="27"/>
      <c r="Y177" s="58"/>
      <c r="Z177" s="12"/>
      <c r="AA177" s="27"/>
      <c r="AB177" s="58"/>
      <c r="AC177" s="12"/>
      <c r="AD177" s="27">
        <v>57</v>
      </c>
      <c r="AE177" s="58">
        <v>1170</v>
      </c>
      <c r="AF177" s="107"/>
      <c r="AG177" s="27">
        <v>66</v>
      </c>
      <c r="AH177" s="58">
        <v>952</v>
      </c>
      <c r="AI177" s="107"/>
      <c r="AJ177" s="27">
        <v>75</v>
      </c>
      <c r="AK177" s="58">
        <v>900</v>
      </c>
      <c r="AL177" s="107"/>
      <c r="AM177" s="27">
        <v>0</v>
      </c>
      <c r="AN177" s="58">
        <v>0</v>
      </c>
      <c r="AO177" s="107"/>
      <c r="AP177" s="27">
        <v>16</v>
      </c>
      <c r="AQ177" s="58">
        <v>192</v>
      </c>
      <c r="AR177" s="12"/>
      <c r="AS177" s="27">
        <v>45</v>
      </c>
      <c r="AT177" s="58">
        <v>540</v>
      </c>
      <c r="AU177" s="12"/>
      <c r="AV177" s="54"/>
      <c r="AW177" s="63"/>
      <c r="AX177" s="55"/>
      <c r="AY177" s="54"/>
      <c r="AZ177" s="63"/>
      <c r="BA177" s="55"/>
      <c r="BB177" s="10">
        <v>0</v>
      </c>
      <c r="BC177" s="15">
        <v>0</v>
      </c>
      <c r="BD177" s="11">
        <v>0</v>
      </c>
      <c r="BE177" s="10">
        <v>20</v>
      </c>
      <c r="BF177" s="15">
        <v>250</v>
      </c>
      <c r="BG177" s="11">
        <v>224.8</v>
      </c>
      <c r="BH177" s="10">
        <v>20</v>
      </c>
      <c r="BI177" s="15">
        <v>240</v>
      </c>
      <c r="BJ177" s="11">
        <v>240</v>
      </c>
      <c r="BK177" s="10">
        <v>65</v>
      </c>
      <c r="BL177" s="15">
        <v>1520</v>
      </c>
      <c r="BM177" s="11">
        <v>769</v>
      </c>
      <c r="BN177" s="46">
        <v>10</v>
      </c>
      <c r="BO177" s="43">
        <v>400</v>
      </c>
      <c r="BP177" s="47">
        <v>140</v>
      </c>
      <c r="BQ177" s="46">
        <v>62</v>
      </c>
      <c r="BR177" s="43">
        <v>1333</v>
      </c>
      <c r="BS177" s="47">
        <v>765.76</v>
      </c>
      <c r="BT177" s="46">
        <v>70</v>
      </c>
      <c r="BU177" s="43">
        <v>966</v>
      </c>
      <c r="BV177" s="114">
        <v>826.72</v>
      </c>
      <c r="BW177" s="119">
        <v>12</v>
      </c>
      <c r="BX177" s="120">
        <v>200</v>
      </c>
      <c r="BY177" s="114">
        <v>148</v>
      </c>
      <c r="BZ177" s="119">
        <v>35.25</v>
      </c>
      <c r="CA177" s="120">
        <v>463</v>
      </c>
      <c r="CB177" s="114">
        <v>361.24</v>
      </c>
      <c r="CC177" s="119">
        <v>30</v>
      </c>
      <c r="CD177" s="120">
        <v>360</v>
      </c>
      <c r="CE177" s="114">
        <v>360</v>
      </c>
      <c r="CF177" s="119">
        <v>15</v>
      </c>
      <c r="CG177" s="120">
        <v>210</v>
      </c>
      <c r="CH177" s="114">
        <v>134.4</v>
      </c>
      <c r="CI177" s="119">
        <v>10</v>
      </c>
      <c r="CJ177" s="120">
        <v>218</v>
      </c>
      <c r="CK177" s="114">
        <v>104.72</v>
      </c>
      <c r="CL177" s="54">
        <f t="shared" si="17"/>
        <v>349.25</v>
      </c>
      <c r="CM177" s="63">
        <f t="shared" si="17"/>
        <v>6160</v>
      </c>
      <c r="CN177" s="55">
        <f t="shared" si="17"/>
        <v>4074.6399999999994</v>
      </c>
      <c r="CO177" s="54">
        <f t="shared" si="18"/>
        <v>29.104166666666668</v>
      </c>
      <c r="CP177" s="63">
        <f t="shared" si="18"/>
        <v>513.33333333333337</v>
      </c>
      <c r="CQ177" s="55">
        <f t="shared" si="18"/>
        <v>339.55333333333328</v>
      </c>
    </row>
    <row r="178" spans="1:95" s="25" customFormat="1" ht="31.5" customHeight="1" x14ac:dyDescent="0.6">
      <c r="A178" s="5">
        <v>175</v>
      </c>
      <c r="B178" s="18">
        <v>494</v>
      </c>
      <c r="C178" s="18" t="s">
        <v>318</v>
      </c>
      <c r="D178" s="18">
        <v>494</v>
      </c>
      <c r="E178" s="18" t="s">
        <v>82</v>
      </c>
      <c r="F178" s="23" t="s">
        <v>414</v>
      </c>
      <c r="G178" s="7" t="s">
        <v>406</v>
      </c>
      <c r="H178" s="123"/>
      <c r="I178" s="123"/>
      <c r="J178" s="123" t="s">
        <v>1023</v>
      </c>
      <c r="K178" s="49" t="s">
        <v>407</v>
      </c>
      <c r="L178" s="27"/>
      <c r="M178" s="58"/>
      <c r="N178" s="78"/>
      <c r="O178" s="27"/>
      <c r="P178" s="58"/>
      <c r="Q178" s="49"/>
      <c r="R178" s="27"/>
      <c r="S178" s="58"/>
      <c r="T178" s="98"/>
      <c r="U178" s="27"/>
      <c r="V178" s="58"/>
      <c r="W178" s="12"/>
      <c r="X178" s="27"/>
      <c r="Y178" s="58"/>
      <c r="Z178" s="12"/>
      <c r="AA178" s="27"/>
      <c r="AB178" s="58"/>
      <c r="AC178" s="12"/>
      <c r="AD178" s="27">
        <v>20</v>
      </c>
      <c r="AE178" s="58">
        <v>380</v>
      </c>
      <c r="AF178" s="107"/>
      <c r="AG178" s="27">
        <v>60</v>
      </c>
      <c r="AH178" s="58">
        <v>1000</v>
      </c>
      <c r="AI178" s="107"/>
      <c r="AJ178" s="27">
        <v>40</v>
      </c>
      <c r="AK178" s="58">
        <v>480</v>
      </c>
      <c r="AL178" s="107"/>
      <c r="AM178" s="27">
        <v>0</v>
      </c>
      <c r="AN178" s="58">
        <v>0</v>
      </c>
      <c r="AO178" s="12"/>
      <c r="AP178" s="27">
        <v>15</v>
      </c>
      <c r="AQ178" s="58">
        <v>600</v>
      </c>
      <c r="AR178" s="12"/>
      <c r="AS178" s="27">
        <v>35</v>
      </c>
      <c r="AT178" s="58">
        <v>560</v>
      </c>
      <c r="AU178" s="12"/>
      <c r="AV178" s="54"/>
      <c r="AW178" s="63"/>
      <c r="AX178" s="55"/>
      <c r="AY178" s="54"/>
      <c r="AZ178" s="63"/>
      <c r="BA178" s="55"/>
      <c r="BB178" s="10">
        <v>0</v>
      </c>
      <c r="BC178" s="15">
        <v>0</v>
      </c>
      <c r="BD178" s="11">
        <v>0</v>
      </c>
      <c r="BE178" s="10">
        <v>20</v>
      </c>
      <c r="BF178" s="15">
        <v>250</v>
      </c>
      <c r="BG178" s="11">
        <v>224.8</v>
      </c>
      <c r="BH178" s="10">
        <v>190</v>
      </c>
      <c r="BI178" s="15">
        <v>3608</v>
      </c>
      <c r="BJ178" s="11">
        <v>2239.4</v>
      </c>
      <c r="BK178" s="10">
        <v>40</v>
      </c>
      <c r="BL178" s="15">
        <v>480</v>
      </c>
      <c r="BM178" s="11">
        <v>480</v>
      </c>
      <c r="BN178" s="46">
        <v>105</v>
      </c>
      <c r="BO178" s="43">
        <v>1680</v>
      </c>
      <c r="BP178" s="47">
        <v>1290</v>
      </c>
      <c r="BQ178" s="46">
        <v>15</v>
      </c>
      <c r="BR178" s="43">
        <v>186</v>
      </c>
      <c r="BS178" s="47">
        <v>182</v>
      </c>
      <c r="BT178" s="46">
        <v>65</v>
      </c>
      <c r="BU178" s="43">
        <v>780</v>
      </c>
      <c r="BV178" s="114">
        <v>732</v>
      </c>
      <c r="BW178" s="119">
        <v>15.1</v>
      </c>
      <c r="BX178" s="120">
        <v>471</v>
      </c>
      <c r="BY178" s="114">
        <v>185.48000000000002</v>
      </c>
      <c r="BZ178" s="119">
        <v>40</v>
      </c>
      <c r="CA178" s="120">
        <v>630</v>
      </c>
      <c r="CB178" s="114">
        <v>474.8</v>
      </c>
      <c r="CC178" s="119">
        <v>21</v>
      </c>
      <c r="CD178" s="120">
        <v>420</v>
      </c>
      <c r="CE178" s="114">
        <v>264</v>
      </c>
      <c r="CF178" s="119">
        <v>81</v>
      </c>
      <c r="CG178" s="120">
        <v>1230</v>
      </c>
      <c r="CH178" s="114">
        <v>847.2</v>
      </c>
      <c r="CI178" s="119">
        <v>50</v>
      </c>
      <c r="CJ178" s="120">
        <v>692</v>
      </c>
      <c r="CK178" s="114">
        <v>549.28</v>
      </c>
      <c r="CL178" s="54">
        <f t="shared" si="17"/>
        <v>642.1</v>
      </c>
      <c r="CM178" s="63">
        <f t="shared" si="17"/>
        <v>10427</v>
      </c>
      <c r="CN178" s="55">
        <f t="shared" si="17"/>
        <v>7468.96</v>
      </c>
      <c r="CO178" s="54">
        <f t="shared" si="18"/>
        <v>53.508333333333333</v>
      </c>
      <c r="CP178" s="63">
        <f t="shared" si="18"/>
        <v>868.91666666666663</v>
      </c>
      <c r="CQ178" s="55">
        <f t="shared" si="18"/>
        <v>622.4133333333333</v>
      </c>
    </row>
    <row r="179" spans="1:95" s="25" customFormat="1" ht="31.5" customHeight="1" x14ac:dyDescent="0.6">
      <c r="A179" s="5">
        <v>176</v>
      </c>
      <c r="B179" s="18" t="s">
        <v>427</v>
      </c>
      <c r="C179" s="18" t="s">
        <v>320</v>
      </c>
      <c r="D179" s="18" t="s">
        <v>427</v>
      </c>
      <c r="E179" s="18" t="s">
        <v>67</v>
      </c>
      <c r="F179" s="23" t="s">
        <v>68</v>
      </c>
      <c r="G179" s="7" t="s">
        <v>406</v>
      </c>
      <c r="H179" s="123"/>
      <c r="I179" s="123"/>
      <c r="J179" s="123" t="s">
        <v>1024</v>
      </c>
      <c r="K179" s="49" t="s">
        <v>407</v>
      </c>
      <c r="L179" s="27"/>
      <c r="M179" s="58"/>
      <c r="N179" s="78"/>
      <c r="O179" s="27"/>
      <c r="P179" s="58"/>
      <c r="Q179" s="49"/>
      <c r="R179" s="27"/>
      <c r="S179" s="58"/>
      <c r="T179" s="98"/>
      <c r="U179" s="27"/>
      <c r="V179" s="58"/>
      <c r="W179" s="12"/>
      <c r="X179" s="27"/>
      <c r="Y179" s="58"/>
      <c r="Z179" s="12"/>
      <c r="AA179" s="27"/>
      <c r="AB179" s="58"/>
      <c r="AC179" s="12"/>
      <c r="AD179" s="27">
        <v>55</v>
      </c>
      <c r="AE179" s="58">
        <v>940</v>
      </c>
      <c r="AF179" s="107"/>
      <c r="AG179" s="27">
        <v>15</v>
      </c>
      <c r="AH179" s="58">
        <v>600</v>
      </c>
      <c r="AI179" s="107"/>
      <c r="AJ179" s="27">
        <v>60</v>
      </c>
      <c r="AK179" s="58">
        <v>720</v>
      </c>
      <c r="AL179" s="107"/>
      <c r="AM179" s="27">
        <v>175</v>
      </c>
      <c r="AN179" s="58">
        <v>2940</v>
      </c>
      <c r="AO179" s="12"/>
      <c r="AP179" s="27">
        <v>15</v>
      </c>
      <c r="AQ179" s="58">
        <v>180</v>
      </c>
      <c r="AR179" s="12"/>
      <c r="AS179" s="27">
        <v>31</v>
      </c>
      <c r="AT179" s="58">
        <v>400</v>
      </c>
      <c r="AU179" s="12"/>
      <c r="AV179" s="54"/>
      <c r="AW179" s="63"/>
      <c r="AX179" s="55"/>
      <c r="AY179" s="54"/>
      <c r="AZ179" s="63"/>
      <c r="BA179" s="55"/>
      <c r="BB179" s="10">
        <v>40</v>
      </c>
      <c r="BC179" s="15">
        <v>620</v>
      </c>
      <c r="BD179" s="11">
        <v>466</v>
      </c>
      <c r="BE179" s="10">
        <v>15</v>
      </c>
      <c r="BF179" s="15">
        <v>180</v>
      </c>
      <c r="BG179" s="11">
        <v>180</v>
      </c>
      <c r="BH179" s="10">
        <v>48</v>
      </c>
      <c r="BI179" s="15">
        <v>660</v>
      </c>
      <c r="BJ179" s="11">
        <v>582</v>
      </c>
      <c r="BK179" s="10">
        <v>50</v>
      </c>
      <c r="BL179" s="15">
        <v>600</v>
      </c>
      <c r="BM179" s="11">
        <v>600</v>
      </c>
      <c r="BN179" s="46">
        <v>89</v>
      </c>
      <c r="BO179" s="43">
        <v>1776</v>
      </c>
      <c r="BP179" s="47">
        <v>1105.8399999999999</v>
      </c>
      <c r="BQ179" s="46">
        <v>52</v>
      </c>
      <c r="BR179" s="43">
        <v>680</v>
      </c>
      <c r="BS179" s="47">
        <v>628</v>
      </c>
      <c r="BT179" s="46">
        <v>105</v>
      </c>
      <c r="BU179" s="43">
        <v>1820</v>
      </c>
      <c r="BV179" s="114">
        <v>1300</v>
      </c>
      <c r="BW179" s="119">
        <v>15.3</v>
      </c>
      <c r="BX179" s="120">
        <v>603</v>
      </c>
      <c r="BY179" s="114">
        <v>212.04</v>
      </c>
      <c r="BZ179" s="119">
        <v>0</v>
      </c>
      <c r="CA179" s="120">
        <v>0</v>
      </c>
      <c r="CB179" s="114">
        <v>0</v>
      </c>
      <c r="CC179" s="119">
        <v>36</v>
      </c>
      <c r="CD179" s="120">
        <v>488</v>
      </c>
      <c r="CE179" s="114">
        <v>416.8</v>
      </c>
      <c r="CF179" s="119">
        <v>30</v>
      </c>
      <c r="CG179" s="120">
        <v>360</v>
      </c>
      <c r="CH179" s="114">
        <v>360</v>
      </c>
      <c r="CI179" s="119">
        <v>60</v>
      </c>
      <c r="CJ179" s="120">
        <v>720</v>
      </c>
      <c r="CK179" s="114">
        <v>720</v>
      </c>
      <c r="CL179" s="54">
        <f t="shared" si="17"/>
        <v>540.29999999999995</v>
      </c>
      <c r="CM179" s="63">
        <f t="shared" si="17"/>
        <v>8507</v>
      </c>
      <c r="CN179" s="55">
        <f t="shared" si="17"/>
        <v>6570.68</v>
      </c>
      <c r="CO179" s="54">
        <f t="shared" si="18"/>
        <v>45.024999999999999</v>
      </c>
      <c r="CP179" s="63">
        <f t="shared" si="18"/>
        <v>708.91666666666663</v>
      </c>
      <c r="CQ179" s="55">
        <f t="shared" si="18"/>
        <v>547.55666666666673</v>
      </c>
    </row>
    <row r="180" spans="1:95" s="25" customFormat="1" ht="31.5" customHeight="1" x14ac:dyDescent="0.6">
      <c r="A180" s="5">
        <v>177</v>
      </c>
      <c r="B180" s="18" t="s">
        <v>428</v>
      </c>
      <c r="C180" s="18" t="s">
        <v>340</v>
      </c>
      <c r="D180" s="18" t="s">
        <v>428</v>
      </c>
      <c r="E180" s="18" t="s">
        <v>82</v>
      </c>
      <c r="F180" s="23" t="s">
        <v>414</v>
      </c>
      <c r="G180" s="7" t="s">
        <v>406</v>
      </c>
      <c r="H180" s="123"/>
      <c r="I180" s="123"/>
      <c r="J180" s="123" t="s">
        <v>1025</v>
      </c>
      <c r="K180" s="49" t="s">
        <v>407</v>
      </c>
      <c r="L180" s="27"/>
      <c r="M180" s="58"/>
      <c r="N180" s="78"/>
      <c r="O180" s="27"/>
      <c r="P180" s="58"/>
      <c r="Q180" s="49"/>
      <c r="R180" s="27"/>
      <c r="S180" s="58"/>
      <c r="T180" s="98"/>
      <c r="U180" s="27"/>
      <c r="V180" s="58"/>
      <c r="W180" s="12"/>
      <c r="X180" s="27"/>
      <c r="Y180" s="58"/>
      <c r="Z180" s="12"/>
      <c r="AA180" s="27"/>
      <c r="AB180" s="58"/>
      <c r="AC180" s="12"/>
      <c r="AD180" s="27">
        <v>21</v>
      </c>
      <c r="AE180" s="58">
        <v>364</v>
      </c>
      <c r="AF180" s="107"/>
      <c r="AG180" s="27">
        <v>0</v>
      </c>
      <c r="AH180" s="58">
        <v>0</v>
      </c>
      <c r="AI180" s="107"/>
      <c r="AJ180" s="27">
        <v>72</v>
      </c>
      <c r="AK180" s="58">
        <v>976</v>
      </c>
      <c r="AL180" s="107"/>
      <c r="AM180" s="27">
        <v>110</v>
      </c>
      <c r="AN180" s="58">
        <v>1740</v>
      </c>
      <c r="AO180" s="12"/>
      <c r="AP180" s="27">
        <v>37</v>
      </c>
      <c r="AQ180" s="58">
        <v>444</v>
      </c>
      <c r="AR180" s="12"/>
      <c r="AS180" s="27">
        <v>30</v>
      </c>
      <c r="AT180" s="58">
        <v>360</v>
      </c>
      <c r="AU180" s="12"/>
      <c r="AV180" s="54"/>
      <c r="AW180" s="63"/>
      <c r="AX180" s="55"/>
      <c r="AY180" s="54"/>
      <c r="AZ180" s="63"/>
      <c r="BA180" s="55"/>
      <c r="BB180" s="10">
        <v>30</v>
      </c>
      <c r="BC180" s="15">
        <v>360</v>
      </c>
      <c r="BD180" s="11">
        <v>360</v>
      </c>
      <c r="BE180" s="10">
        <v>15</v>
      </c>
      <c r="BF180" s="15">
        <v>180</v>
      </c>
      <c r="BG180" s="11">
        <v>180</v>
      </c>
      <c r="BH180" s="10">
        <v>70</v>
      </c>
      <c r="BI180" s="15">
        <v>850</v>
      </c>
      <c r="BJ180" s="11">
        <v>776.8</v>
      </c>
      <c r="BK180" s="10">
        <v>0</v>
      </c>
      <c r="BL180" s="15">
        <v>0</v>
      </c>
      <c r="BM180" s="11">
        <v>0</v>
      </c>
      <c r="BN180" s="46">
        <v>15</v>
      </c>
      <c r="BO180" s="43">
        <v>180</v>
      </c>
      <c r="BP180" s="47">
        <v>180</v>
      </c>
      <c r="BQ180" s="46">
        <v>40</v>
      </c>
      <c r="BR180" s="43">
        <v>620</v>
      </c>
      <c r="BS180" s="47">
        <v>490</v>
      </c>
      <c r="BT180" s="46">
        <v>77</v>
      </c>
      <c r="BU180" s="43">
        <v>924</v>
      </c>
      <c r="BV180" s="114">
        <v>924</v>
      </c>
      <c r="BW180" s="119">
        <v>0</v>
      </c>
      <c r="BX180" s="120">
        <v>3</v>
      </c>
      <c r="BY180" s="114">
        <v>2.04</v>
      </c>
      <c r="BZ180" s="119">
        <v>26</v>
      </c>
      <c r="CA180" s="120">
        <v>480</v>
      </c>
      <c r="CB180" s="114">
        <v>324</v>
      </c>
      <c r="CC180" s="119">
        <v>5</v>
      </c>
      <c r="CD180" s="120">
        <v>70</v>
      </c>
      <c r="CE180" s="114">
        <v>44.8</v>
      </c>
      <c r="CF180" s="119">
        <v>47</v>
      </c>
      <c r="CG180" s="120">
        <v>620</v>
      </c>
      <c r="CH180" s="114">
        <v>568</v>
      </c>
      <c r="CI180" s="119">
        <v>45</v>
      </c>
      <c r="CJ180" s="120">
        <v>540</v>
      </c>
      <c r="CK180" s="114">
        <v>540</v>
      </c>
      <c r="CL180" s="54">
        <f t="shared" si="17"/>
        <v>370</v>
      </c>
      <c r="CM180" s="63">
        <f t="shared" si="17"/>
        <v>4827</v>
      </c>
      <c r="CN180" s="55">
        <f t="shared" si="17"/>
        <v>4389.6400000000003</v>
      </c>
      <c r="CO180" s="54">
        <f t="shared" si="18"/>
        <v>30.833333333333332</v>
      </c>
      <c r="CP180" s="63">
        <f t="shared" si="18"/>
        <v>402.25</v>
      </c>
      <c r="CQ180" s="55">
        <f t="shared" si="18"/>
        <v>365.80333333333334</v>
      </c>
    </row>
    <row r="181" spans="1:95" s="25" customFormat="1" ht="31.5" customHeight="1" x14ac:dyDescent="0.6">
      <c r="A181" s="5">
        <v>178</v>
      </c>
      <c r="B181" s="18" t="s">
        <v>429</v>
      </c>
      <c r="C181" s="18" t="s">
        <v>1156</v>
      </c>
      <c r="D181" s="18" t="s">
        <v>430</v>
      </c>
      <c r="E181" s="18" t="s">
        <v>82</v>
      </c>
      <c r="F181" s="23" t="s">
        <v>414</v>
      </c>
      <c r="G181" s="7" t="s">
        <v>406</v>
      </c>
      <c r="H181" s="123"/>
      <c r="I181" s="123"/>
      <c r="J181" s="123"/>
      <c r="K181" s="49" t="s">
        <v>407</v>
      </c>
      <c r="L181" s="27"/>
      <c r="M181" s="58"/>
      <c r="N181" s="78"/>
      <c r="O181" s="27"/>
      <c r="P181" s="58"/>
      <c r="Q181" s="49"/>
      <c r="R181" s="27"/>
      <c r="S181" s="58"/>
      <c r="T181" s="98"/>
      <c r="U181" s="27"/>
      <c r="V181" s="58"/>
      <c r="W181" s="12"/>
      <c r="X181" s="27"/>
      <c r="Y181" s="58"/>
      <c r="Z181" s="12"/>
      <c r="AA181" s="27"/>
      <c r="AB181" s="58"/>
      <c r="AC181" s="12"/>
      <c r="AD181" s="27">
        <v>0</v>
      </c>
      <c r="AE181" s="58">
        <v>0</v>
      </c>
      <c r="AF181" s="107"/>
      <c r="AG181" s="27">
        <v>0</v>
      </c>
      <c r="AH181" s="58">
        <v>0</v>
      </c>
      <c r="AI181" s="107"/>
      <c r="AJ181" s="27">
        <v>0</v>
      </c>
      <c r="AK181" s="58">
        <v>0</v>
      </c>
      <c r="AL181" s="107"/>
      <c r="AM181" s="27">
        <v>77</v>
      </c>
      <c r="AN181" s="58">
        <v>700</v>
      </c>
      <c r="AO181" s="12"/>
      <c r="AP181" s="27">
        <v>148</v>
      </c>
      <c r="AQ181" s="58">
        <v>1816</v>
      </c>
      <c r="AR181" s="12"/>
      <c r="AS181" s="27">
        <v>120</v>
      </c>
      <c r="AT181" s="58">
        <v>2060</v>
      </c>
      <c r="AU181" s="12"/>
      <c r="AV181" s="54"/>
      <c r="AW181" s="63"/>
      <c r="AX181" s="55"/>
      <c r="AY181" s="54"/>
      <c r="AZ181" s="63"/>
      <c r="BA181" s="55"/>
      <c r="BB181" s="10">
        <v>75</v>
      </c>
      <c r="BC181" s="15">
        <v>1320</v>
      </c>
      <c r="BD181" s="11">
        <v>930</v>
      </c>
      <c r="BE181" s="10">
        <v>115</v>
      </c>
      <c r="BF181" s="15">
        <v>1620</v>
      </c>
      <c r="BG181" s="11">
        <v>1238</v>
      </c>
      <c r="BH181" s="10">
        <v>280</v>
      </c>
      <c r="BI181" s="15">
        <v>4650</v>
      </c>
      <c r="BJ181" s="11">
        <v>3404.4</v>
      </c>
      <c r="BK181" s="10">
        <v>0</v>
      </c>
      <c r="BL181" s="15">
        <v>0</v>
      </c>
      <c r="BM181" s="11">
        <v>0</v>
      </c>
      <c r="BN181" s="46">
        <v>0</v>
      </c>
      <c r="BO181" s="43">
        <v>0</v>
      </c>
      <c r="BP181" s="47">
        <v>0</v>
      </c>
      <c r="BQ181" s="46">
        <v>0</v>
      </c>
      <c r="BR181" s="43">
        <v>0</v>
      </c>
      <c r="BS181" s="47">
        <v>0</v>
      </c>
      <c r="BT181" s="46">
        <v>0</v>
      </c>
      <c r="BU181" s="43">
        <v>0</v>
      </c>
      <c r="BV181" s="114">
        <v>0</v>
      </c>
      <c r="BW181" s="119">
        <v>0</v>
      </c>
      <c r="BX181" s="120">
        <v>0</v>
      </c>
      <c r="BY181" s="114">
        <v>0</v>
      </c>
      <c r="BZ181" s="119">
        <v>0</v>
      </c>
      <c r="CA181" s="120">
        <v>0</v>
      </c>
      <c r="CB181" s="114">
        <v>0</v>
      </c>
      <c r="CC181" s="119">
        <v>0</v>
      </c>
      <c r="CD181" s="120">
        <v>0</v>
      </c>
      <c r="CE181" s="114">
        <v>0</v>
      </c>
      <c r="CF181" s="119">
        <v>0</v>
      </c>
      <c r="CG181" s="120">
        <v>0</v>
      </c>
      <c r="CH181" s="114">
        <v>0</v>
      </c>
      <c r="CI181" s="119">
        <v>0</v>
      </c>
      <c r="CJ181" s="120">
        <v>0</v>
      </c>
      <c r="CK181" s="114">
        <v>0</v>
      </c>
      <c r="CL181" s="54">
        <f t="shared" si="17"/>
        <v>470</v>
      </c>
      <c r="CM181" s="63">
        <f t="shared" si="17"/>
        <v>7590</v>
      </c>
      <c r="CN181" s="55">
        <f t="shared" si="17"/>
        <v>5572.4</v>
      </c>
      <c r="CO181" s="54">
        <f t="shared" si="18"/>
        <v>39.166666666666664</v>
      </c>
      <c r="CP181" s="63">
        <f t="shared" si="18"/>
        <v>632.5</v>
      </c>
      <c r="CQ181" s="55">
        <f t="shared" si="18"/>
        <v>464.36666666666662</v>
      </c>
    </row>
    <row r="182" spans="1:95" s="25" customFormat="1" ht="31.5" customHeight="1" x14ac:dyDescent="0.6">
      <c r="A182" s="5">
        <v>179</v>
      </c>
      <c r="B182" s="18" t="s">
        <v>431</v>
      </c>
      <c r="C182" s="18" t="s">
        <v>1157</v>
      </c>
      <c r="D182" s="18" t="s">
        <v>432</v>
      </c>
      <c r="E182" s="18" t="s">
        <v>363</v>
      </c>
      <c r="F182" s="23" t="s">
        <v>79</v>
      </c>
      <c r="G182" s="7" t="s">
        <v>406</v>
      </c>
      <c r="H182" s="123"/>
      <c r="I182" s="123"/>
      <c r="J182" s="123" t="s">
        <v>1026</v>
      </c>
      <c r="K182" s="49" t="s">
        <v>407</v>
      </c>
      <c r="L182" s="27"/>
      <c r="M182" s="58"/>
      <c r="N182" s="78"/>
      <c r="O182" s="27"/>
      <c r="P182" s="58"/>
      <c r="Q182" s="49"/>
      <c r="R182" s="27"/>
      <c r="S182" s="58"/>
      <c r="T182" s="98"/>
      <c r="U182" s="27"/>
      <c r="V182" s="58"/>
      <c r="W182" s="12"/>
      <c r="X182" s="27"/>
      <c r="Y182" s="58"/>
      <c r="Z182" s="12"/>
      <c r="AA182" s="27"/>
      <c r="AB182" s="58"/>
      <c r="AC182" s="12"/>
      <c r="AD182" s="27">
        <v>0</v>
      </c>
      <c r="AE182" s="58">
        <v>0</v>
      </c>
      <c r="AF182" s="107"/>
      <c r="AG182" s="27">
        <v>0</v>
      </c>
      <c r="AH182" s="58">
        <v>0</v>
      </c>
      <c r="AI182" s="107"/>
      <c r="AJ182" s="27">
        <v>0</v>
      </c>
      <c r="AK182" s="58">
        <v>0</v>
      </c>
      <c r="AL182" s="107"/>
      <c r="AM182" s="27">
        <v>0</v>
      </c>
      <c r="AN182" s="58">
        <v>0</v>
      </c>
      <c r="AO182" s="12"/>
      <c r="AP182" s="27">
        <v>50</v>
      </c>
      <c r="AQ182" s="58">
        <v>880</v>
      </c>
      <c r="AR182" s="12"/>
      <c r="AS182" s="27">
        <v>85</v>
      </c>
      <c r="AT182" s="58">
        <v>1080</v>
      </c>
      <c r="AU182" s="12"/>
      <c r="AV182" s="54"/>
      <c r="AW182" s="63"/>
      <c r="AX182" s="55"/>
      <c r="AY182" s="54"/>
      <c r="AZ182" s="63"/>
      <c r="BA182" s="55"/>
      <c r="BB182" s="10">
        <v>115</v>
      </c>
      <c r="BC182" s="15">
        <v>180</v>
      </c>
      <c r="BD182" s="11">
        <v>180</v>
      </c>
      <c r="BE182" s="10">
        <v>15</v>
      </c>
      <c r="BF182" s="15">
        <v>180</v>
      </c>
      <c r="BG182" s="11">
        <v>180</v>
      </c>
      <c r="BH182" s="10">
        <v>305</v>
      </c>
      <c r="BI182" s="15">
        <v>4490</v>
      </c>
      <c r="BJ182" s="11">
        <v>3194</v>
      </c>
      <c r="BK182" s="10">
        <v>30</v>
      </c>
      <c r="BL182" s="15">
        <v>360</v>
      </c>
      <c r="BM182" s="11">
        <v>360</v>
      </c>
      <c r="BN182" s="46">
        <v>135</v>
      </c>
      <c r="BO182" s="43">
        <v>2600</v>
      </c>
      <c r="BP182" s="47">
        <v>1570</v>
      </c>
      <c r="BQ182" s="46">
        <v>301</v>
      </c>
      <c r="BR182" s="43">
        <v>3860</v>
      </c>
      <c r="BS182" s="47">
        <v>3231.6</v>
      </c>
      <c r="BT182" s="46">
        <v>70</v>
      </c>
      <c r="BU182" s="43">
        <v>860</v>
      </c>
      <c r="BV182" s="114">
        <v>569.6</v>
      </c>
      <c r="BW182" s="119">
        <v>295</v>
      </c>
      <c r="BX182" s="120">
        <v>5030</v>
      </c>
      <c r="BY182" s="114">
        <v>3503.2</v>
      </c>
      <c r="BZ182" s="119">
        <v>270</v>
      </c>
      <c r="CA182" s="120">
        <v>3460</v>
      </c>
      <c r="CB182" s="114">
        <v>2665.6</v>
      </c>
      <c r="CC182" s="119">
        <v>100</v>
      </c>
      <c r="CD182" s="120">
        <v>1200</v>
      </c>
      <c r="CE182" s="114">
        <v>1200</v>
      </c>
      <c r="CF182" s="119">
        <v>186</v>
      </c>
      <c r="CG182" s="120">
        <v>2892</v>
      </c>
      <c r="CH182" s="114">
        <v>1976</v>
      </c>
      <c r="CI182" s="119">
        <v>131</v>
      </c>
      <c r="CJ182" s="120">
        <v>2190</v>
      </c>
      <c r="CK182" s="114">
        <v>1345.6</v>
      </c>
      <c r="CL182" s="54">
        <f t="shared" si="17"/>
        <v>1953</v>
      </c>
      <c r="CM182" s="63">
        <f t="shared" si="17"/>
        <v>27302</v>
      </c>
      <c r="CN182" s="55">
        <f t="shared" si="17"/>
        <v>19975.599999999999</v>
      </c>
      <c r="CO182" s="54">
        <f t="shared" si="18"/>
        <v>162.75</v>
      </c>
      <c r="CP182" s="63">
        <f t="shared" si="18"/>
        <v>2275.1666666666665</v>
      </c>
      <c r="CQ182" s="55">
        <f t="shared" si="18"/>
        <v>1664.6333333333332</v>
      </c>
    </row>
    <row r="183" spans="1:95" s="25" customFormat="1" ht="31.5" customHeight="1" x14ac:dyDescent="0.6">
      <c r="A183" s="5">
        <v>180</v>
      </c>
      <c r="B183" s="18" t="s">
        <v>433</v>
      </c>
      <c r="C183" s="18" t="s">
        <v>477</v>
      </c>
      <c r="D183" s="18" t="s">
        <v>434</v>
      </c>
      <c r="E183" s="18" t="s">
        <v>272</v>
      </c>
      <c r="F183" s="23" t="s">
        <v>273</v>
      </c>
      <c r="G183" s="7" t="s">
        <v>435</v>
      </c>
      <c r="H183" s="123"/>
      <c r="I183" s="123"/>
      <c r="J183" s="123" t="s">
        <v>1027</v>
      </c>
      <c r="K183" s="49" t="s">
        <v>436</v>
      </c>
      <c r="L183" s="27"/>
      <c r="M183" s="58"/>
      <c r="N183" s="78"/>
      <c r="O183" s="27"/>
      <c r="P183" s="58"/>
      <c r="Q183" s="49"/>
      <c r="R183" s="27"/>
      <c r="S183" s="58"/>
      <c r="T183" s="98"/>
      <c r="U183" s="27"/>
      <c r="V183" s="58"/>
      <c r="W183" s="12"/>
      <c r="X183" s="27"/>
      <c r="Y183" s="58"/>
      <c r="Z183" s="12"/>
      <c r="AA183" s="27"/>
      <c r="AB183" s="58"/>
      <c r="AC183" s="12"/>
      <c r="AD183" s="27">
        <v>40</v>
      </c>
      <c r="AE183" s="58">
        <v>536</v>
      </c>
      <c r="AF183" s="107"/>
      <c r="AG183" s="27">
        <v>20</v>
      </c>
      <c r="AH183" s="58">
        <v>240</v>
      </c>
      <c r="AI183" s="107"/>
      <c r="AJ183" s="27">
        <v>42</v>
      </c>
      <c r="AK183" s="58">
        <v>564</v>
      </c>
      <c r="AL183" s="107"/>
      <c r="AM183" s="27">
        <v>37</v>
      </c>
      <c r="AN183" s="58">
        <v>472</v>
      </c>
      <c r="AO183" s="12"/>
      <c r="AP183" s="27">
        <v>54</v>
      </c>
      <c r="AQ183" s="58">
        <v>676</v>
      </c>
      <c r="AR183" s="12"/>
      <c r="AS183" s="27">
        <v>13</v>
      </c>
      <c r="AT183" s="58">
        <v>156</v>
      </c>
      <c r="AU183" s="12"/>
      <c r="AV183" s="54"/>
      <c r="AW183" s="63"/>
      <c r="AX183" s="55"/>
      <c r="AY183" s="54"/>
      <c r="AZ183" s="63"/>
      <c r="BA183" s="55"/>
      <c r="BB183" s="10">
        <v>30</v>
      </c>
      <c r="BC183" s="15">
        <v>381</v>
      </c>
      <c r="BD183" s="11">
        <v>369</v>
      </c>
      <c r="BE183" s="10">
        <v>31</v>
      </c>
      <c r="BF183" s="15">
        <v>428</v>
      </c>
      <c r="BG183" s="11">
        <v>376</v>
      </c>
      <c r="BH183" s="10">
        <v>53</v>
      </c>
      <c r="BI183" s="15">
        <v>748</v>
      </c>
      <c r="BJ183" s="11">
        <v>644</v>
      </c>
      <c r="BK183" s="10">
        <v>1</v>
      </c>
      <c r="BL183" s="15">
        <v>12</v>
      </c>
      <c r="BM183" s="11">
        <v>4</v>
      </c>
      <c r="BN183" s="46">
        <v>38</v>
      </c>
      <c r="BO183" s="43">
        <v>456</v>
      </c>
      <c r="BP183" s="47">
        <v>456</v>
      </c>
      <c r="BQ183" s="46">
        <v>43</v>
      </c>
      <c r="BR183" s="43">
        <v>532</v>
      </c>
      <c r="BS183" s="47">
        <v>500.4</v>
      </c>
      <c r="BT183" s="46">
        <v>68</v>
      </c>
      <c r="BU183" s="43">
        <v>956</v>
      </c>
      <c r="BV183" s="114">
        <v>826</v>
      </c>
      <c r="BW183" s="119">
        <v>44.3</v>
      </c>
      <c r="BX183" s="120">
        <v>531</v>
      </c>
      <c r="BY183" s="114">
        <v>530.04</v>
      </c>
      <c r="BZ183" s="119">
        <v>56</v>
      </c>
      <c r="CA183" s="120">
        <v>728</v>
      </c>
      <c r="CB183" s="114">
        <v>672.16</v>
      </c>
      <c r="CC183" s="119">
        <v>16</v>
      </c>
      <c r="CD183" s="120">
        <v>192</v>
      </c>
      <c r="CE183" s="114">
        <v>188.16</v>
      </c>
      <c r="CF183" s="119">
        <v>67</v>
      </c>
      <c r="CG183" s="120">
        <v>972</v>
      </c>
      <c r="CH183" s="114">
        <v>812.16000000000008</v>
      </c>
      <c r="CI183" s="119">
        <v>24</v>
      </c>
      <c r="CJ183" s="120">
        <v>288</v>
      </c>
      <c r="CK183" s="114">
        <v>284.16000000000003</v>
      </c>
      <c r="CL183" s="54">
        <f t="shared" si="17"/>
        <v>471.3</v>
      </c>
      <c r="CM183" s="63">
        <f t="shared" si="17"/>
        <v>6224</v>
      </c>
      <c r="CN183" s="55">
        <f t="shared" si="17"/>
        <v>5662.08</v>
      </c>
      <c r="CO183" s="54">
        <f t="shared" si="18"/>
        <v>39.274999999999999</v>
      </c>
      <c r="CP183" s="63">
        <f t="shared" si="18"/>
        <v>518.66666666666663</v>
      </c>
      <c r="CQ183" s="55">
        <f t="shared" si="18"/>
        <v>471.84</v>
      </c>
    </row>
    <row r="184" spans="1:95" s="25" customFormat="1" ht="31.5" customHeight="1" x14ac:dyDescent="0.6">
      <c r="A184" s="5">
        <v>181</v>
      </c>
      <c r="B184" s="18" t="s">
        <v>437</v>
      </c>
      <c r="C184" s="18" t="s">
        <v>479</v>
      </c>
      <c r="D184" s="18" t="s">
        <v>438</v>
      </c>
      <c r="E184" s="18" t="s">
        <v>272</v>
      </c>
      <c r="F184" s="23" t="s">
        <v>273</v>
      </c>
      <c r="G184" s="7" t="s">
        <v>435</v>
      </c>
      <c r="H184" s="123"/>
      <c r="I184" s="123"/>
      <c r="J184" s="123" t="s">
        <v>1028</v>
      </c>
      <c r="K184" s="49" t="s">
        <v>436</v>
      </c>
      <c r="L184" s="27"/>
      <c r="M184" s="58"/>
      <c r="N184" s="78"/>
      <c r="O184" s="27"/>
      <c r="P184" s="58"/>
      <c r="Q184" s="49"/>
      <c r="R184" s="27"/>
      <c r="S184" s="58"/>
      <c r="T184" s="98"/>
      <c r="U184" s="27"/>
      <c r="V184" s="58"/>
      <c r="W184" s="12"/>
      <c r="X184" s="27"/>
      <c r="Y184" s="58"/>
      <c r="Z184" s="12"/>
      <c r="AA184" s="27"/>
      <c r="AB184" s="58"/>
      <c r="AC184" s="12"/>
      <c r="AD184" s="27">
        <v>27</v>
      </c>
      <c r="AE184" s="58">
        <v>354</v>
      </c>
      <c r="AF184" s="107"/>
      <c r="AG184" s="27">
        <v>0</v>
      </c>
      <c r="AH184" s="58">
        <v>0</v>
      </c>
      <c r="AI184" s="107"/>
      <c r="AJ184" s="27">
        <v>95</v>
      </c>
      <c r="AK184" s="58">
        <v>1420</v>
      </c>
      <c r="AL184" s="107"/>
      <c r="AM184" s="27">
        <v>46</v>
      </c>
      <c r="AN184" s="58">
        <v>554</v>
      </c>
      <c r="AO184" s="12"/>
      <c r="AP184" s="27">
        <v>32</v>
      </c>
      <c r="AQ184" s="58">
        <v>394</v>
      </c>
      <c r="AR184" s="12"/>
      <c r="AS184" s="27">
        <v>17</v>
      </c>
      <c r="AT184" s="58">
        <v>260</v>
      </c>
      <c r="AU184" s="12"/>
      <c r="AV184" s="54"/>
      <c r="AW184" s="63"/>
      <c r="AX184" s="55"/>
      <c r="AY184" s="54"/>
      <c r="AZ184" s="63"/>
      <c r="BA184" s="55"/>
      <c r="BB184" s="10">
        <v>17</v>
      </c>
      <c r="BC184" s="15">
        <v>343</v>
      </c>
      <c r="BD184" s="11">
        <v>243.92000000000002</v>
      </c>
      <c r="BE184" s="10">
        <v>11</v>
      </c>
      <c r="BF184" s="15">
        <v>242</v>
      </c>
      <c r="BG184" s="11">
        <v>127.4</v>
      </c>
      <c r="BH184" s="10">
        <v>121</v>
      </c>
      <c r="BI184" s="15">
        <v>2582</v>
      </c>
      <c r="BJ184" s="11">
        <v>1491.6000000000001</v>
      </c>
      <c r="BK184" s="10">
        <v>28</v>
      </c>
      <c r="BL184" s="15">
        <v>493</v>
      </c>
      <c r="BM184" s="11">
        <v>332.96</v>
      </c>
      <c r="BN184" s="46">
        <v>28</v>
      </c>
      <c r="BO184" s="43">
        <v>404</v>
      </c>
      <c r="BP184" s="47">
        <v>336.4</v>
      </c>
      <c r="BQ184" s="46">
        <v>53.5</v>
      </c>
      <c r="BR184" s="43">
        <v>795</v>
      </c>
      <c r="BS184" s="47">
        <v>636.20000000000005</v>
      </c>
      <c r="BT184" s="46">
        <v>42</v>
      </c>
      <c r="BU184" s="43">
        <v>528</v>
      </c>
      <c r="BV184" s="114">
        <v>496.8</v>
      </c>
      <c r="BW184" s="119">
        <v>10.3</v>
      </c>
      <c r="BX184" s="120">
        <v>403</v>
      </c>
      <c r="BY184" s="114">
        <v>142.04</v>
      </c>
      <c r="BZ184" s="119">
        <v>3</v>
      </c>
      <c r="CA184" s="120">
        <v>36</v>
      </c>
      <c r="CB184" s="114">
        <v>36</v>
      </c>
      <c r="CC184" s="119">
        <v>5</v>
      </c>
      <c r="CD184" s="120">
        <v>200</v>
      </c>
      <c r="CE184" s="114">
        <v>70</v>
      </c>
      <c r="CF184" s="119">
        <v>22.17</v>
      </c>
      <c r="CG184" s="120">
        <v>826</v>
      </c>
      <c r="CH184" s="114">
        <v>302.15999999999997</v>
      </c>
      <c r="CI184" s="119">
        <v>18</v>
      </c>
      <c r="CJ184" s="120">
        <v>216</v>
      </c>
      <c r="CK184" s="114">
        <v>212.16</v>
      </c>
      <c r="CL184" s="54">
        <f t="shared" si="17"/>
        <v>358.97</v>
      </c>
      <c r="CM184" s="63">
        <f t="shared" si="17"/>
        <v>7068</v>
      </c>
      <c r="CN184" s="55">
        <f t="shared" si="17"/>
        <v>4427.6400000000003</v>
      </c>
      <c r="CO184" s="54">
        <f t="shared" si="18"/>
        <v>29.91416666666667</v>
      </c>
      <c r="CP184" s="63">
        <f t="shared" si="18"/>
        <v>589</v>
      </c>
      <c r="CQ184" s="55">
        <f t="shared" si="18"/>
        <v>368.97</v>
      </c>
    </row>
    <row r="185" spans="1:95" s="25" customFormat="1" ht="31.5" customHeight="1" x14ac:dyDescent="0.6">
      <c r="A185" s="5">
        <v>182</v>
      </c>
      <c r="B185" s="18" t="s">
        <v>439</v>
      </c>
      <c r="C185" s="18" t="s">
        <v>481</v>
      </c>
      <c r="D185" s="18" t="s">
        <v>439</v>
      </c>
      <c r="E185" s="18" t="s">
        <v>272</v>
      </c>
      <c r="F185" s="23" t="s">
        <v>273</v>
      </c>
      <c r="G185" s="7" t="s">
        <v>435</v>
      </c>
      <c r="H185" s="123"/>
      <c r="I185" s="123"/>
      <c r="J185" s="123" t="s">
        <v>1029</v>
      </c>
      <c r="K185" s="49" t="s">
        <v>436</v>
      </c>
      <c r="L185" s="27"/>
      <c r="M185" s="58"/>
      <c r="N185" s="78"/>
      <c r="O185" s="27"/>
      <c r="P185" s="58"/>
      <c r="Q185" s="49"/>
      <c r="R185" s="27"/>
      <c r="S185" s="58"/>
      <c r="T185" s="98"/>
      <c r="U185" s="27"/>
      <c r="V185" s="58"/>
      <c r="W185" s="12"/>
      <c r="X185" s="27"/>
      <c r="Y185" s="58"/>
      <c r="Z185" s="12"/>
      <c r="AA185" s="27"/>
      <c r="AB185" s="58"/>
      <c r="AC185" s="12"/>
      <c r="AD185" s="27">
        <v>11</v>
      </c>
      <c r="AE185" s="58">
        <v>160</v>
      </c>
      <c r="AF185" s="107"/>
      <c r="AG185" s="27">
        <v>0</v>
      </c>
      <c r="AH185" s="58">
        <v>0</v>
      </c>
      <c r="AI185" s="107"/>
      <c r="AJ185" s="27">
        <v>0</v>
      </c>
      <c r="AK185" s="58">
        <v>0</v>
      </c>
      <c r="AL185" s="107"/>
      <c r="AM185" s="27">
        <v>9</v>
      </c>
      <c r="AN185" s="58">
        <v>108</v>
      </c>
      <c r="AO185" s="12"/>
      <c r="AP185" s="27">
        <v>20</v>
      </c>
      <c r="AQ185" s="58">
        <v>240</v>
      </c>
      <c r="AR185" s="12"/>
      <c r="AS185" s="27">
        <v>17</v>
      </c>
      <c r="AT185" s="58">
        <v>260</v>
      </c>
      <c r="AU185" s="12"/>
      <c r="AV185" s="54"/>
      <c r="AW185" s="63"/>
      <c r="AX185" s="55"/>
      <c r="AY185" s="54"/>
      <c r="AZ185" s="63"/>
      <c r="BA185" s="55"/>
      <c r="BB185" s="10">
        <v>0</v>
      </c>
      <c r="BC185" s="15">
        <v>72</v>
      </c>
      <c r="BD185" s="11">
        <v>72</v>
      </c>
      <c r="BE185" s="10">
        <v>5</v>
      </c>
      <c r="BF185" s="15">
        <v>60</v>
      </c>
      <c r="BG185" s="11">
        <v>60</v>
      </c>
      <c r="BH185" s="10">
        <v>36</v>
      </c>
      <c r="BI185" s="15">
        <v>460</v>
      </c>
      <c r="BJ185" s="11">
        <v>434</v>
      </c>
      <c r="BK185" s="10">
        <v>3</v>
      </c>
      <c r="BL185" s="15">
        <v>36</v>
      </c>
      <c r="BM185" s="11">
        <v>36</v>
      </c>
      <c r="BN185" s="46">
        <v>5</v>
      </c>
      <c r="BO185" s="43">
        <v>60</v>
      </c>
      <c r="BP185" s="47">
        <v>60</v>
      </c>
      <c r="BQ185" s="46">
        <v>6</v>
      </c>
      <c r="BR185" s="43">
        <v>72</v>
      </c>
      <c r="BS185" s="47">
        <v>72</v>
      </c>
      <c r="BT185" s="46">
        <v>15</v>
      </c>
      <c r="BU185" s="43">
        <v>180</v>
      </c>
      <c r="BV185" s="114">
        <v>180</v>
      </c>
      <c r="BW185" s="119">
        <v>5</v>
      </c>
      <c r="BX185" s="120">
        <v>60</v>
      </c>
      <c r="BY185" s="114">
        <v>60</v>
      </c>
      <c r="BZ185" s="119">
        <v>0.25</v>
      </c>
      <c r="CA185" s="120">
        <v>3</v>
      </c>
      <c r="CB185" s="114">
        <v>2.04</v>
      </c>
      <c r="CC185" s="119">
        <v>10</v>
      </c>
      <c r="CD185" s="120">
        <v>120</v>
      </c>
      <c r="CE185" s="114">
        <v>120</v>
      </c>
      <c r="CF185" s="119">
        <v>0</v>
      </c>
      <c r="CG185" s="120">
        <v>0</v>
      </c>
      <c r="CH185" s="114">
        <v>0</v>
      </c>
      <c r="CI185" s="119">
        <v>0</v>
      </c>
      <c r="CJ185" s="120">
        <v>0</v>
      </c>
      <c r="CK185" s="114">
        <v>0</v>
      </c>
      <c r="CL185" s="54">
        <f t="shared" si="17"/>
        <v>85.25</v>
      </c>
      <c r="CM185" s="63">
        <f t="shared" si="17"/>
        <v>1123</v>
      </c>
      <c r="CN185" s="55">
        <f t="shared" si="17"/>
        <v>1096.04</v>
      </c>
      <c r="CO185" s="54">
        <f t="shared" si="18"/>
        <v>7.104166666666667</v>
      </c>
      <c r="CP185" s="63">
        <f t="shared" si="18"/>
        <v>93.583333333333329</v>
      </c>
      <c r="CQ185" s="55">
        <f t="shared" si="18"/>
        <v>91.336666666666659</v>
      </c>
    </row>
    <row r="186" spans="1:95" s="25" customFormat="1" ht="31.5" customHeight="1" x14ac:dyDescent="0.6">
      <c r="A186" s="5">
        <v>183</v>
      </c>
      <c r="B186" s="18" t="s">
        <v>440</v>
      </c>
      <c r="C186" s="18" t="s">
        <v>483</v>
      </c>
      <c r="D186" s="18" t="s">
        <v>440</v>
      </c>
      <c r="E186" s="18" t="s">
        <v>272</v>
      </c>
      <c r="F186" s="23" t="s">
        <v>273</v>
      </c>
      <c r="G186" s="7" t="s">
        <v>435</v>
      </c>
      <c r="H186" s="123"/>
      <c r="I186" s="123"/>
      <c r="J186" s="123" t="s">
        <v>1030</v>
      </c>
      <c r="K186" s="49" t="s">
        <v>436</v>
      </c>
      <c r="L186" s="27"/>
      <c r="M186" s="58"/>
      <c r="N186" s="78"/>
      <c r="O186" s="27"/>
      <c r="P186" s="58"/>
      <c r="Q186" s="49"/>
      <c r="R186" s="27"/>
      <c r="S186" s="58"/>
      <c r="T186" s="98"/>
      <c r="U186" s="27"/>
      <c r="V186" s="58"/>
      <c r="W186" s="12"/>
      <c r="X186" s="27"/>
      <c r="Y186" s="58"/>
      <c r="Z186" s="12"/>
      <c r="AA186" s="27"/>
      <c r="AB186" s="58"/>
      <c r="AC186" s="12"/>
      <c r="AD186" s="27">
        <v>8</v>
      </c>
      <c r="AE186" s="58">
        <v>102</v>
      </c>
      <c r="AF186" s="107"/>
      <c r="AG186" s="27">
        <v>15</v>
      </c>
      <c r="AH186" s="58">
        <v>180</v>
      </c>
      <c r="AI186" s="107"/>
      <c r="AJ186" s="27">
        <v>15</v>
      </c>
      <c r="AK186" s="58">
        <v>180</v>
      </c>
      <c r="AL186" s="107"/>
      <c r="AM186" s="27">
        <v>16</v>
      </c>
      <c r="AN186" s="58">
        <v>194</v>
      </c>
      <c r="AO186" s="12"/>
      <c r="AP186" s="27">
        <v>10</v>
      </c>
      <c r="AQ186" s="58">
        <v>120</v>
      </c>
      <c r="AR186" s="12"/>
      <c r="AS186" s="27">
        <v>15</v>
      </c>
      <c r="AT186" s="58">
        <v>180</v>
      </c>
      <c r="AU186" s="12"/>
      <c r="AV186" s="54"/>
      <c r="AW186" s="63"/>
      <c r="AX186" s="55"/>
      <c r="AY186" s="54"/>
      <c r="AZ186" s="63"/>
      <c r="BA186" s="55"/>
      <c r="BB186" s="10">
        <v>15</v>
      </c>
      <c r="BC186" s="15">
        <v>180</v>
      </c>
      <c r="BD186" s="11">
        <v>180</v>
      </c>
      <c r="BE186" s="10">
        <v>0.21</v>
      </c>
      <c r="BF186" s="15">
        <v>5</v>
      </c>
      <c r="BG186" s="11">
        <v>1.75</v>
      </c>
      <c r="BH186" s="10">
        <v>62</v>
      </c>
      <c r="BI186" s="15">
        <v>774</v>
      </c>
      <c r="BJ186" s="11">
        <v>743</v>
      </c>
      <c r="BK186" s="10">
        <v>0</v>
      </c>
      <c r="BL186" s="15">
        <v>0</v>
      </c>
      <c r="BM186" s="11">
        <v>0</v>
      </c>
      <c r="BN186" s="46">
        <v>15</v>
      </c>
      <c r="BO186" s="43">
        <v>180</v>
      </c>
      <c r="BP186" s="47">
        <v>180</v>
      </c>
      <c r="BQ186" s="46">
        <v>0</v>
      </c>
      <c r="BR186" s="43">
        <v>0</v>
      </c>
      <c r="BS186" s="47">
        <v>0</v>
      </c>
      <c r="BT186" s="46">
        <v>0</v>
      </c>
      <c r="BU186" s="43">
        <v>0</v>
      </c>
      <c r="BV186" s="114">
        <v>0</v>
      </c>
      <c r="BW186" s="119">
        <v>15</v>
      </c>
      <c r="BX186" s="120">
        <v>180</v>
      </c>
      <c r="BY186" s="114">
        <v>180</v>
      </c>
      <c r="BZ186" s="119">
        <v>0</v>
      </c>
      <c r="CA186" s="120">
        <v>0</v>
      </c>
      <c r="CB186" s="114">
        <v>0</v>
      </c>
      <c r="CC186" s="119">
        <v>15</v>
      </c>
      <c r="CD186" s="120">
        <v>180</v>
      </c>
      <c r="CE186" s="114">
        <v>180</v>
      </c>
      <c r="CF186" s="119">
        <v>30</v>
      </c>
      <c r="CG186" s="120">
        <v>360</v>
      </c>
      <c r="CH186" s="114">
        <v>360</v>
      </c>
      <c r="CI186" s="119">
        <v>60</v>
      </c>
      <c r="CJ186" s="120">
        <v>720</v>
      </c>
      <c r="CK186" s="114">
        <v>720</v>
      </c>
      <c r="CL186" s="54">
        <f t="shared" si="17"/>
        <v>212.21</v>
      </c>
      <c r="CM186" s="63">
        <f t="shared" si="17"/>
        <v>2579</v>
      </c>
      <c r="CN186" s="55">
        <f t="shared" si="17"/>
        <v>2544.75</v>
      </c>
      <c r="CO186" s="54">
        <f t="shared" si="18"/>
        <v>17.684166666666666</v>
      </c>
      <c r="CP186" s="63">
        <f t="shared" si="18"/>
        <v>214.91666666666666</v>
      </c>
      <c r="CQ186" s="55">
        <f t="shared" si="18"/>
        <v>212.0625</v>
      </c>
    </row>
    <row r="187" spans="1:95" s="25" customFormat="1" ht="31.5" customHeight="1" x14ac:dyDescent="0.6">
      <c r="A187" s="5">
        <v>184</v>
      </c>
      <c r="B187" s="18" t="s">
        <v>441</v>
      </c>
      <c r="C187" s="18" t="s">
        <v>487</v>
      </c>
      <c r="D187" s="18" t="s">
        <v>442</v>
      </c>
      <c r="E187" s="18" t="s">
        <v>272</v>
      </c>
      <c r="F187" s="23" t="s">
        <v>273</v>
      </c>
      <c r="G187" s="7" t="s">
        <v>435</v>
      </c>
      <c r="H187" s="123"/>
      <c r="I187" s="123"/>
      <c r="J187" s="123" t="s">
        <v>1031</v>
      </c>
      <c r="K187" s="49" t="s">
        <v>436</v>
      </c>
      <c r="L187" s="27"/>
      <c r="M187" s="58"/>
      <c r="N187" s="78"/>
      <c r="O187" s="27"/>
      <c r="P187" s="58"/>
      <c r="Q187" s="49"/>
      <c r="R187" s="27"/>
      <c r="S187" s="58"/>
      <c r="T187" s="98"/>
      <c r="U187" s="27"/>
      <c r="V187" s="58"/>
      <c r="W187" s="12"/>
      <c r="X187" s="27"/>
      <c r="Y187" s="58"/>
      <c r="Z187" s="12"/>
      <c r="AA187" s="27"/>
      <c r="AB187" s="58"/>
      <c r="AC187" s="12"/>
      <c r="AD187" s="27">
        <v>29</v>
      </c>
      <c r="AE187" s="58">
        <v>432</v>
      </c>
      <c r="AF187" s="107"/>
      <c r="AG187" s="27">
        <v>3</v>
      </c>
      <c r="AH187" s="58">
        <v>120</v>
      </c>
      <c r="AI187" s="107"/>
      <c r="AJ187" s="27">
        <v>42</v>
      </c>
      <c r="AK187" s="58">
        <v>588</v>
      </c>
      <c r="AL187" s="107"/>
      <c r="AM187" s="27">
        <v>52</v>
      </c>
      <c r="AN187" s="58">
        <v>764</v>
      </c>
      <c r="AO187" s="12"/>
      <c r="AP187" s="27">
        <v>4</v>
      </c>
      <c r="AQ187" s="58">
        <v>48</v>
      </c>
      <c r="AR187" s="12"/>
      <c r="AS187" s="27">
        <v>25</v>
      </c>
      <c r="AT187" s="58">
        <v>356</v>
      </c>
      <c r="AU187" s="12"/>
      <c r="AV187" s="54"/>
      <c r="AW187" s="63"/>
      <c r="AX187" s="55"/>
      <c r="AY187" s="54"/>
      <c r="AZ187" s="63"/>
      <c r="BA187" s="55"/>
      <c r="BB187" s="10">
        <v>20</v>
      </c>
      <c r="BC187" s="15">
        <v>243</v>
      </c>
      <c r="BD187" s="11">
        <v>241</v>
      </c>
      <c r="BE187" s="10">
        <v>35</v>
      </c>
      <c r="BF187" s="15">
        <v>420</v>
      </c>
      <c r="BG187" s="11">
        <v>420</v>
      </c>
      <c r="BH187" s="10">
        <v>89</v>
      </c>
      <c r="BI187" s="15">
        <v>1292</v>
      </c>
      <c r="BJ187" s="11">
        <v>1045.5999999999999</v>
      </c>
      <c r="BK187" s="10">
        <v>20</v>
      </c>
      <c r="BL187" s="15">
        <v>258</v>
      </c>
      <c r="BM187" s="11">
        <v>246</v>
      </c>
      <c r="BN187" s="46">
        <v>30</v>
      </c>
      <c r="BO187" s="43">
        <v>556</v>
      </c>
      <c r="BP187" s="47">
        <v>359.4</v>
      </c>
      <c r="BQ187" s="46">
        <v>51</v>
      </c>
      <c r="BR187" s="43">
        <v>745</v>
      </c>
      <c r="BS187" s="47">
        <v>613.29999999999995</v>
      </c>
      <c r="BT187" s="46">
        <v>37</v>
      </c>
      <c r="BU187" s="43">
        <v>472</v>
      </c>
      <c r="BV187" s="114">
        <v>436.4</v>
      </c>
      <c r="BW187" s="119">
        <v>57</v>
      </c>
      <c r="BX187" s="120">
        <v>796</v>
      </c>
      <c r="BY187" s="114">
        <v>677.6</v>
      </c>
      <c r="BZ187" s="119">
        <v>26.25</v>
      </c>
      <c r="CA187" s="120">
        <v>399</v>
      </c>
      <c r="CB187" s="114">
        <v>315.24</v>
      </c>
      <c r="CC187" s="119">
        <v>17</v>
      </c>
      <c r="CD187" s="120">
        <v>204</v>
      </c>
      <c r="CE187" s="114">
        <v>194.4</v>
      </c>
      <c r="CF187" s="119">
        <v>55.25</v>
      </c>
      <c r="CG187" s="120">
        <v>747</v>
      </c>
      <c r="CH187" s="114">
        <v>658.44</v>
      </c>
      <c r="CI187" s="119">
        <v>37</v>
      </c>
      <c r="CJ187" s="120">
        <v>528</v>
      </c>
      <c r="CK187" s="114">
        <v>440.4</v>
      </c>
      <c r="CL187" s="54">
        <f t="shared" si="17"/>
        <v>474.5</v>
      </c>
      <c r="CM187" s="63">
        <f t="shared" si="17"/>
        <v>6660</v>
      </c>
      <c r="CN187" s="55">
        <f t="shared" si="17"/>
        <v>5647.7799999999988</v>
      </c>
      <c r="CO187" s="54">
        <f t="shared" si="18"/>
        <v>39.541666666666664</v>
      </c>
      <c r="CP187" s="63">
        <f t="shared" si="18"/>
        <v>555</v>
      </c>
      <c r="CQ187" s="55">
        <f t="shared" si="18"/>
        <v>470.64833333333326</v>
      </c>
    </row>
    <row r="188" spans="1:95" s="25" customFormat="1" ht="31.5" customHeight="1" x14ac:dyDescent="0.6">
      <c r="A188" s="5">
        <v>185</v>
      </c>
      <c r="B188" s="18" t="s">
        <v>401</v>
      </c>
      <c r="C188" s="18" t="s">
        <v>489</v>
      </c>
      <c r="D188" s="18" t="s">
        <v>402</v>
      </c>
      <c r="E188" s="18" t="s">
        <v>443</v>
      </c>
      <c r="F188" s="23" t="s">
        <v>444</v>
      </c>
      <c r="G188" s="7" t="s">
        <v>435</v>
      </c>
      <c r="H188" s="123"/>
      <c r="I188" s="123"/>
      <c r="J188" s="123" t="s">
        <v>1011</v>
      </c>
      <c r="K188" s="49" t="s">
        <v>436</v>
      </c>
      <c r="L188" s="27"/>
      <c r="M188" s="58"/>
      <c r="N188" s="78"/>
      <c r="O188" s="27"/>
      <c r="P188" s="58"/>
      <c r="Q188" s="49"/>
      <c r="R188" s="27"/>
      <c r="S188" s="58"/>
      <c r="T188" s="98"/>
      <c r="U188" s="27"/>
      <c r="V188" s="58"/>
      <c r="W188" s="12"/>
      <c r="X188" s="27"/>
      <c r="Y188" s="58"/>
      <c r="Z188" s="12"/>
      <c r="AA188" s="27"/>
      <c r="AB188" s="58"/>
      <c r="AC188" s="12"/>
      <c r="AD188" s="27">
        <v>36</v>
      </c>
      <c r="AE188" s="58">
        <v>820</v>
      </c>
      <c r="AF188" s="107"/>
      <c r="AG188" s="27">
        <v>32</v>
      </c>
      <c r="AH188" s="58">
        <v>716</v>
      </c>
      <c r="AI188" s="107"/>
      <c r="AJ188" s="27">
        <v>64</v>
      </c>
      <c r="AK188" s="58">
        <v>1180</v>
      </c>
      <c r="AL188" s="107"/>
      <c r="AM188" s="27">
        <v>28</v>
      </c>
      <c r="AN188" s="58">
        <v>584</v>
      </c>
      <c r="AO188" s="12"/>
      <c r="AP188" s="27">
        <v>76</v>
      </c>
      <c r="AQ188" s="58">
        <v>1216</v>
      </c>
      <c r="AR188" s="12"/>
      <c r="AS188" s="27">
        <v>38</v>
      </c>
      <c r="AT188" s="58">
        <v>760</v>
      </c>
      <c r="AU188" s="12"/>
      <c r="AV188" s="54"/>
      <c r="AW188" s="63"/>
      <c r="AX188" s="55"/>
      <c r="AY188" s="54"/>
      <c r="AZ188" s="63"/>
      <c r="BA188" s="55"/>
      <c r="BB188" s="10">
        <v>4</v>
      </c>
      <c r="BC188" s="15">
        <v>72</v>
      </c>
      <c r="BD188" s="11">
        <v>40.4</v>
      </c>
      <c r="BE188" s="10">
        <v>7</v>
      </c>
      <c r="BF188" s="15">
        <v>248</v>
      </c>
      <c r="BG188" s="11">
        <v>87</v>
      </c>
      <c r="BH188" s="10">
        <v>91</v>
      </c>
      <c r="BI188" s="15">
        <v>1516</v>
      </c>
      <c r="BJ188" s="11">
        <v>974.8</v>
      </c>
      <c r="BK188" s="10">
        <v>44</v>
      </c>
      <c r="BL188" s="15">
        <v>956</v>
      </c>
      <c r="BM188" s="11">
        <v>511.6</v>
      </c>
      <c r="BN188" s="46">
        <v>87</v>
      </c>
      <c r="BO188" s="43">
        <v>2036</v>
      </c>
      <c r="BP188" s="47">
        <v>1110.4000000000001</v>
      </c>
      <c r="BQ188" s="46">
        <v>57.5</v>
      </c>
      <c r="BR188" s="43">
        <v>1266</v>
      </c>
      <c r="BS188" s="47">
        <v>720.3</v>
      </c>
      <c r="BT188" s="46">
        <v>71</v>
      </c>
      <c r="BU188" s="43">
        <v>1248</v>
      </c>
      <c r="BV188" s="114">
        <v>828.8</v>
      </c>
      <c r="BW188" s="119">
        <v>33.5</v>
      </c>
      <c r="BX188" s="120">
        <v>486</v>
      </c>
      <c r="BY188" s="114">
        <v>367.68</v>
      </c>
      <c r="BZ188" s="119">
        <v>50</v>
      </c>
      <c r="CA188" s="120">
        <v>1140</v>
      </c>
      <c r="CB188" s="114">
        <v>606</v>
      </c>
      <c r="CC188" s="119">
        <v>34</v>
      </c>
      <c r="CD188" s="120">
        <v>908</v>
      </c>
      <c r="CE188" s="114">
        <v>434.79999999999995</v>
      </c>
      <c r="CF188" s="119">
        <v>22.5</v>
      </c>
      <c r="CG188" s="120">
        <v>590</v>
      </c>
      <c r="CH188" s="114">
        <v>262.48</v>
      </c>
      <c r="CI188" s="119">
        <v>51</v>
      </c>
      <c r="CJ188" s="120">
        <v>1072</v>
      </c>
      <c r="CK188" s="114">
        <v>621.20000000000005</v>
      </c>
      <c r="CL188" s="54">
        <f t="shared" si="17"/>
        <v>552.5</v>
      </c>
      <c r="CM188" s="63">
        <f t="shared" si="17"/>
        <v>11538</v>
      </c>
      <c r="CN188" s="55">
        <f t="shared" si="17"/>
        <v>6565.46</v>
      </c>
      <c r="CO188" s="54">
        <f t="shared" si="18"/>
        <v>46.041666666666664</v>
      </c>
      <c r="CP188" s="63">
        <f t="shared" si="18"/>
        <v>961.5</v>
      </c>
      <c r="CQ188" s="55">
        <f t="shared" si="18"/>
        <v>547.12166666666667</v>
      </c>
    </row>
    <row r="189" spans="1:95" s="25" customFormat="1" ht="31.5" customHeight="1" x14ac:dyDescent="0.6">
      <c r="A189" s="5">
        <v>186</v>
      </c>
      <c r="B189" s="18" t="s">
        <v>440</v>
      </c>
      <c r="C189" s="18" t="s">
        <v>491</v>
      </c>
      <c r="D189" s="18" t="s">
        <v>440</v>
      </c>
      <c r="E189" s="18" t="s">
        <v>443</v>
      </c>
      <c r="F189" s="23" t="s">
        <v>444</v>
      </c>
      <c r="G189" s="7" t="s">
        <v>435</v>
      </c>
      <c r="H189" s="123"/>
      <c r="I189" s="123"/>
      <c r="J189" s="123" t="s">
        <v>1032</v>
      </c>
      <c r="K189" s="49" t="s">
        <v>436</v>
      </c>
      <c r="L189" s="27"/>
      <c r="M189" s="58"/>
      <c r="N189" s="78"/>
      <c r="O189" s="27"/>
      <c r="P189" s="58"/>
      <c r="Q189" s="49"/>
      <c r="R189" s="27"/>
      <c r="S189" s="58"/>
      <c r="T189" s="98"/>
      <c r="U189" s="27"/>
      <c r="V189" s="58"/>
      <c r="W189" s="12"/>
      <c r="X189" s="27"/>
      <c r="Y189" s="58"/>
      <c r="Z189" s="12"/>
      <c r="AA189" s="27"/>
      <c r="AB189" s="58"/>
      <c r="AC189" s="12"/>
      <c r="AD189" s="27">
        <v>2</v>
      </c>
      <c r="AE189" s="58">
        <v>24</v>
      </c>
      <c r="AF189" s="107"/>
      <c r="AG189" s="27">
        <v>0</v>
      </c>
      <c r="AH189" s="58">
        <v>0</v>
      </c>
      <c r="AI189" s="107"/>
      <c r="AJ189" s="27">
        <v>1</v>
      </c>
      <c r="AK189" s="58">
        <v>12</v>
      </c>
      <c r="AL189" s="107"/>
      <c r="AM189" s="27">
        <v>4</v>
      </c>
      <c r="AN189" s="58">
        <v>48</v>
      </c>
      <c r="AO189" s="12"/>
      <c r="AP189" s="27">
        <v>1</v>
      </c>
      <c r="AQ189" s="58">
        <v>12</v>
      </c>
      <c r="AR189" s="12"/>
      <c r="AS189" s="27">
        <v>1</v>
      </c>
      <c r="AT189" s="58">
        <v>12</v>
      </c>
      <c r="AU189" s="12"/>
      <c r="AV189" s="54"/>
      <c r="AW189" s="63"/>
      <c r="AX189" s="55"/>
      <c r="AY189" s="54"/>
      <c r="AZ189" s="63"/>
      <c r="BA189" s="55"/>
      <c r="BB189" s="10">
        <v>2</v>
      </c>
      <c r="BC189" s="15">
        <v>24</v>
      </c>
      <c r="BD189" s="11">
        <v>16</v>
      </c>
      <c r="BE189" s="10">
        <v>1</v>
      </c>
      <c r="BF189" s="15">
        <v>12</v>
      </c>
      <c r="BG189" s="11">
        <v>8</v>
      </c>
      <c r="BH189" s="10">
        <v>2</v>
      </c>
      <c r="BI189" s="15">
        <v>24</v>
      </c>
      <c r="BJ189" s="11">
        <v>16.8</v>
      </c>
      <c r="BK189" s="10">
        <v>1</v>
      </c>
      <c r="BL189" s="15">
        <v>12</v>
      </c>
      <c r="BM189" s="11">
        <v>8</v>
      </c>
      <c r="BN189" s="46">
        <v>2</v>
      </c>
      <c r="BO189" s="43">
        <v>24</v>
      </c>
      <c r="BP189" s="47">
        <v>21</v>
      </c>
      <c r="BQ189" s="46">
        <v>0</v>
      </c>
      <c r="BR189" s="43">
        <v>0</v>
      </c>
      <c r="BS189" s="47">
        <v>0</v>
      </c>
      <c r="BT189" s="46">
        <v>0</v>
      </c>
      <c r="BU189" s="43">
        <v>0</v>
      </c>
      <c r="BV189" s="114">
        <v>0</v>
      </c>
      <c r="BW189" s="119">
        <v>5.0999999999999996</v>
      </c>
      <c r="BX189" s="120">
        <v>61</v>
      </c>
      <c r="BY189" s="114">
        <v>42.68</v>
      </c>
      <c r="BZ189" s="119">
        <v>1</v>
      </c>
      <c r="CA189" s="120">
        <v>12</v>
      </c>
      <c r="CB189" s="114">
        <v>8.4</v>
      </c>
      <c r="CC189" s="119">
        <v>2</v>
      </c>
      <c r="CD189" s="120">
        <v>24</v>
      </c>
      <c r="CE189" s="114">
        <v>16.8</v>
      </c>
      <c r="CF189" s="119">
        <v>0</v>
      </c>
      <c r="CG189" s="120">
        <v>0</v>
      </c>
      <c r="CH189" s="114">
        <v>0</v>
      </c>
      <c r="CI189" s="119">
        <v>0</v>
      </c>
      <c r="CJ189" s="120">
        <v>0</v>
      </c>
      <c r="CK189" s="114">
        <v>0</v>
      </c>
      <c r="CL189" s="54">
        <f t="shared" si="17"/>
        <v>16.100000000000001</v>
      </c>
      <c r="CM189" s="63">
        <f t="shared" si="17"/>
        <v>193</v>
      </c>
      <c r="CN189" s="55">
        <f t="shared" si="17"/>
        <v>137.68</v>
      </c>
      <c r="CO189" s="54">
        <f t="shared" si="18"/>
        <v>1.3416666666666668</v>
      </c>
      <c r="CP189" s="63">
        <f t="shared" si="18"/>
        <v>16.083333333333332</v>
      </c>
      <c r="CQ189" s="55">
        <f t="shared" si="18"/>
        <v>11.473333333333334</v>
      </c>
    </row>
    <row r="190" spans="1:95" s="25" customFormat="1" ht="31.5" customHeight="1" x14ac:dyDescent="0.6">
      <c r="A190" s="5">
        <v>187</v>
      </c>
      <c r="B190" s="18" t="s">
        <v>445</v>
      </c>
      <c r="C190" s="18" t="s">
        <v>1158</v>
      </c>
      <c r="D190" s="18" t="s">
        <v>445</v>
      </c>
      <c r="E190" s="18" t="s">
        <v>443</v>
      </c>
      <c r="F190" s="23" t="s">
        <v>444</v>
      </c>
      <c r="G190" s="7" t="s">
        <v>435</v>
      </c>
      <c r="H190" s="123"/>
      <c r="I190" s="123"/>
      <c r="J190" s="123" t="s">
        <v>1033</v>
      </c>
      <c r="K190" s="49" t="s">
        <v>436</v>
      </c>
      <c r="L190" s="27"/>
      <c r="M190" s="58"/>
      <c r="N190" s="78"/>
      <c r="O190" s="27"/>
      <c r="P190" s="58"/>
      <c r="Q190" s="49"/>
      <c r="R190" s="27"/>
      <c r="S190" s="58"/>
      <c r="T190" s="98"/>
      <c r="U190" s="27"/>
      <c r="V190" s="58"/>
      <c r="W190" s="12"/>
      <c r="X190" s="27"/>
      <c r="Y190" s="58"/>
      <c r="Z190" s="12"/>
      <c r="AA190" s="27"/>
      <c r="AB190" s="58"/>
      <c r="AC190" s="12"/>
      <c r="AD190" s="27">
        <v>30</v>
      </c>
      <c r="AE190" s="58">
        <v>556</v>
      </c>
      <c r="AF190" s="107"/>
      <c r="AG190" s="27">
        <v>13</v>
      </c>
      <c r="AH190" s="58">
        <v>156</v>
      </c>
      <c r="AI190" s="107"/>
      <c r="AJ190" s="27">
        <v>74</v>
      </c>
      <c r="AK190" s="58">
        <v>1196</v>
      </c>
      <c r="AL190" s="107"/>
      <c r="AM190" s="27">
        <v>56</v>
      </c>
      <c r="AN190" s="58">
        <v>868</v>
      </c>
      <c r="AO190" s="12"/>
      <c r="AP190" s="27">
        <v>24</v>
      </c>
      <c r="AQ190" s="58">
        <v>484</v>
      </c>
      <c r="AR190" s="12"/>
      <c r="AS190" s="27">
        <v>31</v>
      </c>
      <c r="AT190" s="58">
        <v>596</v>
      </c>
      <c r="AU190" s="12"/>
      <c r="AV190" s="54"/>
      <c r="AW190" s="63"/>
      <c r="AX190" s="55"/>
      <c r="AY190" s="54"/>
      <c r="AZ190" s="63"/>
      <c r="BA190" s="55"/>
      <c r="BB190" s="10">
        <v>5</v>
      </c>
      <c r="BC190" s="15">
        <v>292</v>
      </c>
      <c r="BD190" s="11">
        <v>258</v>
      </c>
      <c r="BE190" s="10">
        <v>12</v>
      </c>
      <c r="BF190" s="15">
        <v>169</v>
      </c>
      <c r="BG190" s="11">
        <v>138.30000000000001</v>
      </c>
      <c r="BH190" s="10">
        <v>148</v>
      </c>
      <c r="BI190" s="15">
        <v>2056</v>
      </c>
      <c r="BJ190" s="11">
        <v>1796</v>
      </c>
      <c r="BK190" s="10">
        <v>31</v>
      </c>
      <c r="BL190" s="15">
        <v>446</v>
      </c>
      <c r="BM190" s="11">
        <v>374</v>
      </c>
      <c r="BN190" s="46">
        <v>63</v>
      </c>
      <c r="BO190" s="43">
        <v>868</v>
      </c>
      <c r="BP190" s="47">
        <v>764</v>
      </c>
      <c r="BQ190" s="46">
        <v>67</v>
      </c>
      <c r="BR190" s="43">
        <v>908</v>
      </c>
      <c r="BS190" s="47">
        <v>790.5</v>
      </c>
      <c r="BT190" s="46">
        <v>144</v>
      </c>
      <c r="BU190" s="43">
        <v>1806</v>
      </c>
      <c r="BV190" s="114">
        <v>1723</v>
      </c>
      <c r="BW190" s="119">
        <v>86.1</v>
      </c>
      <c r="BX190" s="120">
        <v>1201</v>
      </c>
      <c r="BY190" s="114">
        <v>1044.68</v>
      </c>
      <c r="BZ190" s="119">
        <v>60</v>
      </c>
      <c r="CA190" s="120">
        <v>720</v>
      </c>
      <c r="CB190" s="114">
        <v>720</v>
      </c>
      <c r="CC190" s="119">
        <v>15</v>
      </c>
      <c r="CD190" s="120">
        <v>180</v>
      </c>
      <c r="CE190" s="114">
        <v>180</v>
      </c>
      <c r="CF190" s="119">
        <v>62.75</v>
      </c>
      <c r="CG190" s="120">
        <v>753</v>
      </c>
      <c r="CH190" s="114">
        <v>750.12</v>
      </c>
      <c r="CI190" s="119">
        <v>82</v>
      </c>
      <c r="CJ190" s="120">
        <v>1040</v>
      </c>
      <c r="CK190" s="114">
        <v>988</v>
      </c>
      <c r="CL190" s="54">
        <f t="shared" si="17"/>
        <v>775.85</v>
      </c>
      <c r="CM190" s="63">
        <f t="shared" si="17"/>
        <v>10439</v>
      </c>
      <c r="CN190" s="55">
        <f t="shared" si="17"/>
        <v>9526.6</v>
      </c>
      <c r="CO190" s="54">
        <f t="shared" si="18"/>
        <v>64.654166666666669</v>
      </c>
      <c r="CP190" s="63">
        <f t="shared" si="18"/>
        <v>869.91666666666663</v>
      </c>
      <c r="CQ190" s="55">
        <f t="shared" si="18"/>
        <v>793.88333333333333</v>
      </c>
    </row>
    <row r="191" spans="1:95" s="25" customFormat="1" ht="31.5" customHeight="1" x14ac:dyDescent="0.6">
      <c r="A191" s="5">
        <v>188</v>
      </c>
      <c r="B191" s="18" t="s">
        <v>446</v>
      </c>
      <c r="C191" s="18" t="s">
        <v>440</v>
      </c>
      <c r="D191" s="18" t="s">
        <v>447</v>
      </c>
      <c r="E191" s="18" t="s">
        <v>448</v>
      </c>
      <c r="F191" s="23" t="s">
        <v>449</v>
      </c>
      <c r="G191" s="7" t="s">
        <v>435</v>
      </c>
      <c r="H191" s="123"/>
      <c r="I191" s="123"/>
      <c r="J191" s="123" t="s">
        <v>1034</v>
      </c>
      <c r="K191" s="49" t="s">
        <v>436</v>
      </c>
      <c r="L191" s="27"/>
      <c r="M191" s="58"/>
      <c r="N191" s="78"/>
      <c r="O191" s="27"/>
      <c r="P191" s="58"/>
      <c r="Q191" s="49"/>
      <c r="R191" s="27"/>
      <c r="S191" s="58"/>
      <c r="T191" s="98"/>
      <c r="U191" s="27"/>
      <c r="V191" s="58"/>
      <c r="W191" s="12"/>
      <c r="X191" s="27"/>
      <c r="Y191" s="58"/>
      <c r="Z191" s="12"/>
      <c r="AA191" s="27"/>
      <c r="AB191" s="58"/>
      <c r="AC191" s="12"/>
      <c r="AD191" s="27">
        <v>185</v>
      </c>
      <c r="AE191" s="58">
        <v>2220</v>
      </c>
      <c r="AF191" s="107"/>
      <c r="AG191" s="27">
        <v>55</v>
      </c>
      <c r="AH191" s="58">
        <v>660</v>
      </c>
      <c r="AI191" s="107"/>
      <c r="AJ191" s="27">
        <v>90</v>
      </c>
      <c r="AK191" s="58">
        <v>1080</v>
      </c>
      <c r="AL191" s="107"/>
      <c r="AM191" s="27">
        <v>90</v>
      </c>
      <c r="AN191" s="58">
        <v>1080</v>
      </c>
      <c r="AO191" s="12"/>
      <c r="AP191" s="27">
        <v>50</v>
      </c>
      <c r="AQ191" s="58">
        <v>600</v>
      </c>
      <c r="AR191" s="12"/>
      <c r="AS191" s="27">
        <v>45</v>
      </c>
      <c r="AT191" s="58">
        <v>540</v>
      </c>
      <c r="AU191" s="12"/>
      <c r="AV191" s="54"/>
      <c r="AW191" s="63"/>
      <c r="AX191" s="55"/>
      <c r="AY191" s="54"/>
      <c r="AZ191" s="63"/>
      <c r="BA191" s="55"/>
      <c r="BB191" s="10">
        <v>25</v>
      </c>
      <c r="BC191" s="15">
        <v>300</v>
      </c>
      <c r="BD191" s="11">
        <v>300</v>
      </c>
      <c r="BE191" s="10">
        <v>30</v>
      </c>
      <c r="BF191" s="15">
        <v>360</v>
      </c>
      <c r="BG191" s="11">
        <v>360</v>
      </c>
      <c r="BH191" s="10">
        <v>85</v>
      </c>
      <c r="BI191" s="15">
        <v>1020</v>
      </c>
      <c r="BJ191" s="11">
        <v>1020</v>
      </c>
      <c r="BK191" s="10">
        <v>15</v>
      </c>
      <c r="BL191" s="15">
        <v>180</v>
      </c>
      <c r="BM191" s="11">
        <v>180</v>
      </c>
      <c r="BN191" s="46">
        <v>0</v>
      </c>
      <c r="BO191" s="43">
        <v>0</v>
      </c>
      <c r="BP191" s="47">
        <v>0</v>
      </c>
      <c r="BQ191" s="46">
        <v>160</v>
      </c>
      <c r="BR191" s="43">
        <v>2200</v>
      </c>
      <c r="BS191" s="47">
        <v>1940</v>
      </c>
      <c r="BT191" s="46">
        <v>100</v>
      </c>
      <c r="BU191" s="43">
        <v>1200</v>
      </c>
      <c r="BV191" s="114">
        <v>1200</v>
      </c>
      <c r="BW191" s="119">
        <v>20</v>
      </c>
      <c r="BX191" s="120">
        <v>243</v>
      </c>
      <c r="BY191" s="114">
        <v>242.04</v>
      </c>
      <c r="BZ191" s="119">
        <v>2</v>
      </c>
      <c r="CA191" s="120">
        <v>80</v>
      </c>
      <c r="CB191" s="114">
        <v>28</v>
      </c>
      <c r="CC191" s="119">
        <v>15</v>
      </c>
      <c r="CD191" s="120">
        <v>180</v>
      </c>
      <c r="CE191" s="114">
        <v>180</v>
      </c>
      <c r="CF191" s="119">
        <v>71.5</v>
      </c>
      <c r="CG191" s="120">
        <v>1026</v>
      </c>
      <c r="CH191" s="114">
        <v>868.08</v>
      </c>
      <c r="CI191" s="119">
        <v>70.5</v>
      </c>
      <c r="CJ191" s="120">
        <v>1546</v>
      </c>
      <c r="CK191" s="114">
        <v>896</v>
      </c>
      <c r="CL191" s="54">
        <f t="shared" si="17"/>
        <v>594</v>
      </c>
      <c r="CM191" s="63">
        <f t="shared" si="17"/>
        <v>8335</v>
      </c>
      <c r="CN191" s="55">
        <f t="shared" si="17"/>
        <v>7214.12</v>
      </c>
      <c r="CO191" s="54">
        <f t="shared" si="18"/>
        <v>49.5</v>
      </c>
      <c r="CP191" s="63">
        <f t="shared" si="18"/>
        <v>694.58333333333337</v>
      </c>
      <c r="CQ191" s="55">
        <f t="shared" si="18"/>
        <v>601.17666666666662</v>
      </c>
    </row>
    <row r="192" spans="1:95" s="25" customFormat="1" ht="31.5" customHeight="1" x14ac:dyDescent="0.6">
      <c r="A192" s="5">
        <v>189</v>
      </c>
      <c r="B192" s="18" t="s">
        <v>450</v>
      </c>
      <c r="C192" s="18" t="s">
        <v>496</v>
      </c>
      <c r="D192" s="18" t="s">
        <v>451</v>
      </c>
      <c r="E192" s="18" t="s">
        <v>448</v>
      </c>
      <c r="F192" s="23" t="s">
        <v>449</v>
      </c>
      <c r="G192" s="7" t="s">
        <v>435</v>
      </c>
      <c r="H192" s="123"/>
      <c r="I192" s="123"/>
      <c r="J192" s="123" t="s">
        <v>1035</v>
      </c>
      <c r="K192" s="49" t="s">
        <v>436</v>
      </c>
      <c r="L192" s="27"/>
      <c r="M192" s="58"/>
      <c r="N192" s="78"/>
      <c r="O192" s="27"/>
      <c r="P192" s="58"/>
      <c r="Q192" s="49"/>
      <c r="R192" s="27"/>
      <c r="S192" s="58"/>
      <c r="T192" s="98"/>
      <c r="U192" s="27"/>
      <c r="V192" s="58"/>
      <c r="W192" s="12"/>
      <c r="X192" s="27"/>
      <c r="Y192" s="58"/>
      <c r="Z192" s="12"/>
      <c r="AA192" s="27"/>
      <c r="AB192" s="58"/>
      <c r="AC192" s="12"/>
      <c r="AD192" s="27">
        <v>0</v>
      </c>
      <c r="AE192" s="58">
        <v>0</v>
      </c>
      <c r="AF192" s="107"/>
      <c r="AG192" s="27">
        <v>0</v>
      </c>
      <c r="AH192" s="58">
        <v>0</v>
      </c>
      <c r="AI192" s="107"/>
      <c r="AJ192" s="27">
        <v>40</v>
      </c>
      <c r="AK192" s="58">
        <v>480</v>
      </c>
      <c r="AL192" s="107"/>
      <c r="AM192" s="27">
        <v>22</v>
      </c>
      <c r="AN192" s="58">
        <v>264</v>
      </c>
      <c r="AO192" s="12"/>
      <c r="AP192" s="27">
        <v>45</v>
      </c>
      <c r="AQ192" s="58">
        <v>540</v>
      </c>
      <c r="AR192" s="12"/>
      <c r="AS192" s="27">
        <v>25</v>
      </c>
      <c r="AT192" s="58">
        <v>300</v>
      </c>
      <c r="AU192" s="12"/>
      <c r="AV192" s="54"/>
      <c r="AW192" s="63"/>
      <c r="AX192" s="55"/>
      <c r="AY192" s="54"/>
      <c r="AZ192" s="63"/>
      <c r="BA192" s="55"/>
      <c r="BB192" s="10">
        <v>30</v>
      </c>
      <c r="BC192" s="15">
        <v>360</v>
      </c>
      <c r="BD192" s="11">
        <v>360</v>
      </c>
      <c r="BE192" s="10">
        <v>25</v>
      </c>
      <c r="BF192" s="15">
        <v>300</v>
      </c>
      <c r="BG192" s="11">
        <v>300</v>
      </c>
      <c r="BH192" s="10">
        <v>45</v>
      </c>
      <c r="BI192" s="15">
        <v>540</v>
      </c>
      <c r="BJ192" s="11">
        <v>540</v>
      </c>
      <c r="BK192" s="10">
        <v>10</v>
      </c>
      <c r="BL192" s="15">
        <v>120</v>
      </c>
      <c r="BM192" s="11">
        <v>120</v>
      </c>
      <c r="BN192" s="46">
        <v>45</v>
      </c>
      <c r="BO192" s="43">
        <v>540</v>
      </c>
      <c r="BP192" s="47">
        <v>540</v>
      </c>
      <c r="BQ192" s="46">
        <v>26</v>
      </c>
      <c r="BR192" s="43">
        <v>312</v>
      </c>
      <c r="BS192" s="47">
        <v>312</v>
      </c>
      <c r="BT192" s="46">
        <v>25</v>
      </c>
      <c r="BU192" s="43">
        <v>300</v>
      </c>
      <c r="BV192" s="114">
        <v>300</v>
      </c>
      <c r="BW192" s="119">
        <v>30</v>
      </c>
      <c r="BX192" s="120">
        <v>360</v>
      </c>
      <c r="BY192" s="114">
        <v>360</v>
      </c>
      <c r="BZ192" s="119">
        <v>29</v>
      </c>
      <c r="CA192" s="120">
        <v>348</v>
      </c>
      <c r="CB192" s="114">
        <v>348</v>
      </c>
      <c r="CC192" s="119">
        <v>22</v>
      </c>
      <c r="CD192" s="120">
        <v>264</v>
      </c>
      <c r="CE192" s="114">
        <v>264</v>
      </c>
      <c r="CF192" s="119">
        <v>30</v>
      </c>
      <c r="CG192" s="120">
        <v>360</v>
      </c>
      <c r="CH192" s="114">
        <v>360</v>
      </c>
      <c r="CI192" s="119">
        <v>23</v>
      </c>
      <c r="CJ192" s="120">
        <v>276</v>
      </c>
      <c r="CK192" s="114">
        <v>276</v>
      </c>
      <c r="CL192" s="54">
        <f t="shared" si="17"/>
        <v>340</v>
      </c>
      <c r="CM192" s="63">
        <f t="shared" si="17"/>
        <v>4080</v>
      </c>
      <c r="CN192" s="55">
        <f t="shared" si="17"/>
        <v>4080</v>
      </c>
      <c r="CO192" s="54">
        <f t="shared" si="18"/>
        <v>28.333333333333332</v>
      </c>
      <c r="CP192" s="63">
        <f t="shared" si="18"/>
        <v>340</v>
      </c>
      <c r="CQ192" s="55">
        <f t="shared" si="18"/>
        <v>340</v>
      </c>
    </row>
    <row r="193" spans="1:95" s="25" customFormat="1" ht="31.5" customHeight="1" x14ac:dyDescent="0.6">
      <c r="A193" s="5">
        <v>190</v>
      </c>
      <c r="B193" s="18" t="s">
        <v>452</v>
      </c>
      <c r="C193" s="18" t="s">
        <v>497</v>
      </c>
      <c r="D193" s="18" t="s">
        <v>452</v>
      </c>
      <c r="E193" s="18" t="s">
        <v>448</v>
      </c>
      <c r="F193" s="23" t="s">
        <v>449</v>
      </c>
      <c r="G193" s="7" t="s">
        <v>435</v>
      </c>
      <c r="H193" s="123"/>
      <c r="I193" s="123"/>
      <c r="J193" s="123" t="s">
        <v>1036</v>
      </c>
      <c r="K193" s="49" t="s">
        <v>436</v>
      </c>
      <c r="L193" s="27"/>
      <c r="M193" s="58"/>
      <c r="N193" s="78"/>
      <c r="O193" s="27"/>
      <c r="P193" s="58"/>
      <c r="Q193" s="49"/>
      <c r="R193" s="27"/>
      <c r="S193" s="58"/>
      <c r="T193" s="98"/>
      <c r="U193" s="27"/>
      <c r="V193" s="58"/>
      <c r="W193" s="12"/>
      <c r="X193" s="27"/>
      <c r="Y193" s="58"/>
      <c r="Z193" s="12"/>
      <c r="AA193" s="27"/>
      <c r="AB193" s="58"/>
      <c r="AC193" s="12"/>
      <c r="AD193" s="27">
        <v>58</v>
      </c>
      <c r="AE193" s="58">
        <v>920</v>
      </c>
      <c r="AF193" s="107"/>
      <c r="AG193" s="27">
        <v>0</v>
      </c>
      <c r="AH193" s="58">
        <v>0</v>
      </c>
      <c r="AI193" s="107"/>
      <c r="AJ193" s="27">
        <v>45</v>
      </c>
      <c r="AK193" s="58">
        <v>540</v>
      </c>
      <c r="AL193" s="107"/>
      <c r="AM193" s="27">
        <v>27</v>
      </c>
      <c r="AN193" s="58">
        <v>380</v>
      </c>
      <c r="AO193" s="12"/>
      <c r="AP193" s="27">
        <v>70</v>
      </c>
      <c r="AQ193" s="58">
        <v>840</v>
      </c>
      <c r="AR193" s="12"/>
      <c r="AS193" s="27">
        <v>56</v>
      </c>
      <c r="AT193" s="58">
        <v>812</v>
      </c>
      <c r="AU193" s="12"/>
      <c r="AV193" s="54"/>
      <c r="AW193" s="63"/>
      <c r="AX193" s="55"/>
      <c r="AY193" s="54"/>
      <c r="AZ193" s="63"/>
      <c r="BA193" s="55"/>
      <c r="BB193" s="10">
        <v>43</v>
      </c>
      <c r="BC193" s="15">
        <v>600</v>
      </c>
      <c r="BD193" s="11">
        <v>522</v>
      </c>
      <c r="BE193" s="10">
        <v>40</v>
      </c>
      <c r="BF193" s="15">
        <v>480</v>
      </c>
      <c r="BG193" s="11">
        <v>480</v>
      </c>
      <c r="BH193" s="10">
        <v>123</v>
      </c>
      <c r="BI193" s="15">
        <v>1560</v>
      </c>
      <c r="BJ193" s="11">
        <v>1482</v>
      </c>
      <c r="BK193" s="10">
        <v>73</v>
      </c>
      <c r="BL193" s="15">
        <v>1212</v>
      </c>
      <c r="BM193" s="11">
        <v>900</v>
      </c>
      <c r="BN193" s="46">
        <v>62</v>
      </c>
      <c r="BO193" s="43">
        <v>940</v>
      </c>
      <c r="BP193" s="47">
        <v>758</v>
      </c>
      <c r="BQ193" s="46">
        <v>149</v>
      </c>
      <c r="BR193" s="43">
        <v>1981</v>
      </c>
      <c r="BS193" s="47">
        <v>1799</v>
      </c>
      <c r="BT193" s="46">
        <v>173</v>
      </c>
      <c r="BU193" s="43">
        <v>2104</v>
      </c>
      <c r="BV193" s="114">
        <v>2078</v>
      </c>
      <c r="BW193" s="119">
        <v>81.3</v>
      </c>
      <c r="BX193" s="120">
        <v>975</v>
      </c>
      <c r="BY193" s="114">
        <v>974.04</v>
      </c>
      <c r="BZ193" s="119">
        <v>105</v>
      </c>
      <c r="CA193" s="120">
        <v>1344</v>
      </c>
      <c r="CB193" s="114">
        <v>1258.8</v>
      </c>
      <c r="CC193" s="119">
        <v>125</v>
      </c>
      <c r="CD193" s="120">
        <v>1500</v>
      </c>
      <c r="CE193" s="114">
        <v>1500</v>
      </c>
      <c r="CF193" s="119">
        <v>146.5</v>
      </c>
      <c r="CG193" s="120">
        <v>1758</v>
      </c>
      <c r="CH193" s="114">
        <v>1752.48</v>
      </c>
      <c r="CI193" s="119">
        <v>99</v>
      </c>
      <c r="CJ193" s="120">
        <v>1418</v>
      </c>
      <c r="CK193" s="114">
        <v>1194.8800000000001</v>
      </c>
      <c r="CL193" s="54">
        <f t="shared" si="17"/>
        <v>1219.8</v>
      </c>
      <c r="CM193" s="63">
        <f t="shared" si="17"/>
        <v>15872</v>
      </c>
      <c r="CN193" s="55">
        <f t="shared" si="17"/>
        <v>14699.2</v>
      </c>
      <c r="CO193" s="54">
        <f t="shared" si="18"/>
        <v>101.64999999999999</v>
      </c>
      <c r="CP193" s="63">
        <f t="shared" si="18"/>
        <v>1322.6666666666667</v>
      </c>
      <c r="CQ193" s="55">
        <f t="shared" si="18"/>
        <v>1224.9333333333334</v>
      </c>
    </row>
    <row r="194" spans="1:95" s="25" customFormat="1" ht="31.5" customHeight="1" x14ac:dyDescent="0.6">
      <c r="A194" s="5">
        <v>191</v>
      </c>
      <c r="B194" s="18" t="s">
        <v>453</v>
      </c>
      <c r="C194" s="18" t="s">
        <v>458</v>
      </c>
      <c r="D194" s="18" t="s">
        <v>453</v>
      </c>
      <c r="E194" s="18" t="s">
        <v>345</v>
      </c>
      <c r="F194" s="23" t="s">
        <v>454</v>
      </c>
      <c r="G194" s="7" t="s">
        <v>435</v>
      </c>
      <c r="H194" s="123"/>
      <c r="I194" s="123"/>
      <c r="J194" s="123" t="s">
        <v>1037</v>
      </c>
      <c r="K194" s="49" t="s">
        <v>436</v>
      </c>
      <c r="L194" s="27"/>
      <c r="M194" s="58"/>
      <c r="N194" s="78"/>
      <c r="O194" s="27"/>
      <c r="P194" s="58"/>
      <c r="Q194" s="49"/>
      <c r="R194" s="27"/>
      <c r="S194" s="58"/>
      <c r="T194" s="98"/>
      <c r="U194" s="27"/>
      <c r="V194" s="58"/>
      <c r="W194" s="12"/>
      <c r="X194" s="27"/>
      <c r="Y194" s="58"/>
      <c r="Z194" s="12"/>
      <c r="AA194" s="27"/>
      <c r="AB194" s="58"/>
      <c r="AC194" s="12"/>
      <c r="AD194" s="27">
        <v>6</v>
      </c>
      <c r="AE194" s="58">
        <v>156</v>
      </c>
      <c r="AF194" s="107"/>
      <c r="AG194" s="27">
        <v>67</v>
      </c>
      <c r="AH194" s="58">
        <v>1000</v>
      </c>
      <c r="AI194" s="107"/>
      <c r="AJ194" s="27">
        <v>105</v>
      </c>
      <c r="AK194" s="58">
        <v>1540</v>
      </c>
      <c r="AL194" s="107"/>
      <c r="AM194" s="27">
        <v>30</v>
      </c>
      <c r="AN194" s="58">
        <v>360</v>
      </c>
      <c r="AO194" s="12"/>
      <c r="AP194" s="27">
        <v>40</v>
      </c>
      <c r="AQ194" s="58">
        <v>620</v>
      </c>
      <c r="AR194" s="12"/>
      <c r="AS194" s="27">
        <v>56</v>
      </c>
      <c r="AT194" s="58">
        <v>728</v>
      </c>
      <c r="AU194" s="12"/>
      <c r="AV194" s="54"/>
      <c r="AW194" s="63"/>
      <c r="AX194" s="55"/>
      <c r="AY194" s="54"/>
      <c r="AZ194" s="63"/>
      <c r="BA194" s="55"/>
      <c r="BB194" s="10">
        <v>36</v>
      </c>
      <c r="BC194" s="15">
        <v>432</v>
      </c>
      <c r="BD194" s="11">
        <v>429</v>
      </c>
      <c r="BE194" s="10">
        <v>22</v>
      </c>
      <c r="BF194" s="15">
        <v>292</v>
      </c>
      <c r="BG194" s="11">
        <v>263</v>
      </c>
      <c r="BH194" s="10">
        <v>203</v>
      </c>
      <c r="BI194" s="15">
        <v>3024</v>
      </c>
      <c r="BJ194" s="11">
        <v>2470.8000000000002</v>
      </c>
      <c r="BK194" s="10">
        <v>75</v>
      </c>
      <c r="BL194" s="15">
        <v>1040</v>
      </c>
      <c r="BM194" s="11">
        <v>892.8</v>
      </c>
      <c r="BN194" s="46">
        <v>62</v>
      </c>
      <c r="BO194" s="43">
        <v>1024</v>
      </c>
      <c r="BP194" s="47">
        <v>756.8</v>
      </c>
      <c r="BQ194" s="46">
        <v>120</v>
      </c>
      <c r="BR194" s="43">
        <v>1872</v>
      </c>
      <c r="BS194" s="47">
        <v>1463.05</v>
      </c>
      <c r="BT194" s="46">
        <v>101</v>
      </c>
      <c r="BU194" s="43">
        <v>1436</v>
      </c>
      <c r="BV194" s="114">
        <v>1216.8</v>
      </c>
      <c r="BW194" s="119">
        <v>32.299999999999997</v>
      </c>
      <c r="BX194" s="120">
        <v>527</v>
      </c>
      <c r="BY194" s="114">
        <v>388.84</v>
      </c>
      <c r="BZ194" s="119">
        <v>64</v>
      </c>
      <c r="CA194" s="120">
        <v>964</v>
      </c>
      <c r="CB194" s="114">
        <v>774.8</v>
      </c>
      <c r="CC194" s="119">
        <v>36</v>
      </c>
      <c r="CD194" s="120">
        <v>544</v>
      </c>
      <c r="CE194" s="114">
        <v>432.8</v>
      </c>
      <c r="CF194" s="119">
        <v>48</v>
      </c>
      <c r="CG194" s="120">
        <v>800</v>
      </c>
      <c r="CH194" s="114">
        <v>592</v>
      </c>
      <c r="CI194" s="119">
        <v>58</v>
      </c>
      <c r="CJ194" s="120">
        <v>1004</v>
      </c>
      <c r="CK194" s="114">
        <v>710.8</v>
      </c>
      <c r="CL194" s="54">
        <f t="shared" si="17"/>
        <v>857.3</v>
      </c>
      <c r="CM194" s="63">
        <f t="shared" si="17"/>
        <v>12959</v>
      </c>
      <c r="CN194" s="55">
        <f t="shared" si="17"/>
        <v>10391.49</v>
      </c>
      <c r="CO194" s="54">
        <f t="shared" si="18"/>
        <v>71.441666666666663</v>
      </c>
      <c r="CP194" s="63">
        <f t="shared" si="18"/>
        <v>1079.9166666666667</v>
      </c>
      <c r="CQ194" s="55">
        <f t="shared" si="18"/>
        <v>865.95749999999998</v>
      </c>
    </row>
    <row r="195" spans="1:95" s="25" customFormat="1" ht="31.5" customHeight="1" x14ac:dyDescent="0.6">
      <c r="A195" s="5">
        <v>192</v>
      </c>
      <c r="B195" s="18" t="s">
        <v>455</v>
      </c>
      <c r="C195" s="18" t="s">
        <v>499</v>
      </c>
      <c r="D195" s="18" t="s">
        <v>455</v>
      </c>
      <c r="E195" s="18" t="s">
        <v>345</v>
      </c>
      <c r="F195" s="23" t="s">
        <v>454</v>
      </c>
      <c r="G195" s="7" t="s">
        <v>435</v>
      </c>
      <c r="H195" s="123"/>
      <c r="I195" s="123"/>
      <c r="J195" s="123" t="s">
        <v>1038</v>
      </c>
      <c r="K195" s="49" t="s">
        <v>436</v>
      </c>
      <c r="L195" s="27"/>
      <c r="M195" s="58"/>
      <c r="N195" s="78"/>
      <c r="O195" s="27"/>
      <c r="P195" s="58"/>
      <c r="Q195" s="49"/>
      <c r="R195" s="27"/>
      <c r="S195" s="58"/>
      <c r="T195" s="98"/>
      <c r="U195" s="27"/>
      <c r="V195" s="58"/>
      <c r="W195" s="12"/>
      <c r="X195" s="27"/>
      <c r="Y195" s="58"/>
      <c r="Z195" s="12"/>
      <c r="AA195" s="27"/>
      <c r="AB195" s="58"/>
      <c r="AC195" s="12"/>
      <c r="AD195" s="27">
        <v>3</v>
      </c>
      <c r="AE195" s="58">
        <v>96</v>
      </c>
      <c r="AF195" s="107"/>
      <c r="AG195" s="27">
        <v>32</v>
      </c>
      <c r="AH195" s="58">
        <v>944</v>
      </c>
      <c r="AI195" s="107"/>
      <c r="AJ195" s="27">
        <v>43</v>
      </c>
      <c r="AK195" s="58">
        <v>588</v>
      </c>
      <c r="AL195" s="107"/>
      <c r="AM195" s="27">
        <v>29</v>
      </c>
      <c r="AN195" s="58">
        <v>348</v>
      </c>
      <c r="AO195" s="12"/>
      <c r="AP195" s="27">
        <v>28</v>
      </c>
      <c r="AQ195" s="58">
        <v>396</v>
      </c>
      <c r="AR195" s="12"/>
      <c r="AS195" s="27">
        <v>25</v>
      </c>
      <c r="AT195" s="58">
        <v>440</v>
      </c>
      <c r="AU195" s="12"/>
      <c r="AV195" s="54"/>
      <c r="AW195" s="63"/>
      <c r="AX195" s="55"/>
      <c r="AY195" s="54"/>
      <c r="AZ195" s="63"/>
      <c r="BA195" s="55"/>
      <c r="BB195" s="10">
        <v>6</v>
      </c>
      <c r="BC195" s="15">
        <v>48</v>
      </c>
      <c r="BD195" s="11">
        <v>48</v>
      </c>
      <c r="BE195" s="10">
        <v>16</v>
      </c>
      <c r="BF195" s="15">
        <v>192</v>
      </c>
      <c r="BG195" s="11">
        <v>168</v>
      </c>
      <c r="BH195" s="10">
        <v>20</v>
      </c>
      <c r="BI195" s="15">
        <v>352</v>
      </c>
      <c r="BJ195" s="11">
        <v>219.2</v>
      </c>
      <c r="BK195" s="10">
        <v>34</v>
      </c>
      <c r="BL195" s="15">
        <v>744</v>
      </c>
      <c r="BM195" s="11">
        <v>399</v>
      </c>
      <c r="BN195" s="46">
        <v>16</v>
      </c>
      <c r="BO195" s="43">
        <v>332</v>
      </c>
      <c r="BP195" s="47">
        <v>187.6</v>
      </c>
      <c r="BQ195" s="46">
        <v>17</v>
      </c>
      <c r="BR195" s="43">
        <v>260</v>
      </c>
      <c r="BS195" s="47">
        <v>193.60000000000002</v>
      </c>
      <c r="BT195" s="46">
        <v>15</v>
      </c>
      <c r="BU195" s="43">
        <v>348</v>
      </c>
      <c r="BV195" s="114">
        <v>182.4</v>
      </c>
      <c r="BW195" s="119">
        <v>0</v>
      </c>
      <c r="BX195" s="120">
        <v>0</v>
      </c>
      <c r="BY195" s="114">
        <v>0</v>
      </c>
      <c r="BZ195" s="119">
        <v>0</v>
      </c>
      <c r="CA195" s="120">
        <v>0</v>
      </c>
      <c r="CB195" s="114">
        <v>0</v>
      </c>
      <c r="CC195" s="119">
        <v>0</v>
      </c>
      <c r="CD195" s="120">
        <v>0</v>
      </c>
      <c r="CE195" s="114">
        <v>0</v>
      </c>
      <c r="CF195" s="119">
        <v>0</v>
      </c>
      <c r="CG195" s="120">
        <v>0</v>
      </c>
      <c r="CH195" s="114">
        <v>0</v>
      </c>
      <c r="CI195" s="119">
        <v>0</v>
      </c>
      <c r="CJ195" s="120">
        <v>0</v>
      </c>
      <c r="CK195" s="114">
        <v>0</v>
      </c>
      <c r="CL195" s="54">
        <f t="shared" si="17"/>
        <v>124</v>
      </c>
      <c r="CM195" s="63">
        <f t="shared" si="17"/>
        <v>2276</v>
      </c>
      <c r="CN195" s="55">
        <f t="shared" si="17"/>
        <v>1397.8000000000002</v>
      </c>
      <c r="CO195" s="54">
        <f t="shared" si="18"/>
        <v>10.333333333333334</v>
      </c>
      <c r="CP195" s="63">
        <f t="shared" si="18"/>
        <v>189.66666666666666</v>
      </c>
      <c r="CQ195" s="55">
        <f t="shared" si="18"/>
        <v>116.48333333333335</v>
      </c>
    </row>
    <row r="196" spans="1:95" s="25" customFormat="1" ht="31.5" customHeight="1" x14ac:dyDescent="0.6">
      <c r="A196" s="5">
        <v>193</v>
      </c>
      <c r="B196" s="18" t="s">
        <v>456</v>
      </c>
      <c r="C196" s="18" t="s">
        <v>505</v>
      </c>
      <c r="D196" s="18" t="s">
        <v>456</v>
      </c>
      <c r="E196" s="18" t="s">
        <v>345</v>
      </c>
      <c r="F196" s="23" t="s">
        <v>454</v>
      </c>
      <c r="G196" s="7" t="s">
        <v>435</v>
      </c>
      <c r="H196" s="123"/>
      <c r="I196" s="123"/>
      <c r="J196" s="123" t="s">
        <v>1039</v>
      </c>
      <c r="K196" s="49" t="s">
        <v>436</v>
      </c>
      <c r="L196" s="27"/>
      <c r="M196" s="58"/>
      <c r="N196" s="78"/>
      <c r="O196" s="27"/>
      <c r="P196" s="58"/>
      <c r="Q196" s="49"/>
      <c r="R196" s="27"/>
      <c r="S196" s="58"/>
      <c r="T196" s="98"/>
      <c r="U196" s="27"/>
      <c r="V196" s="58"/>
      <c r="W196" s="12"/>
      <c r="X196" s="27"/>
      <c r="Y196" s="58"/>
      <c r="Z196" s="12"/>
      <c r="AA196" s="27"/>
      <c r="AB196" s="58"/>
      <c r="AC196" s="12"/>
      <c r="AD196" s="27">
        <v>7</v>
      </c>
      <c r="AE196" s="58">
        <v>120</v>
      </c>
      <c r="AF196" s="107"/>
      <c r="AG196" s="27">
        <v>13</v>
      </c>
      <c r="AH196" s="58">
        <v>240</v>
      </c>
      <c r="AI196" s="107"/>
      <c r="AJ196" s="27">
        <v>24</v>
      </c>
      <c r="AK196" s="58">
        <v>372</v>
      </c>
      <c r="AL196" s="107"/>
      <c r="AM196" s="27">
        <v>39</v>
      </c>
      <c r="AN196" s="58">
        <v>608</v>
      </c>
      <c r="AO196" s="12"/>
      <c r="AP196" s="27">
        <v>38</v>
      </c>
      <c r="AQ196" s="58">
        <v>596</v>
      </c>
      <c r="AR196" s="12"/>
      <c r="AS196" s="27">
        <v>13</v>
      </c>
      <c r="AT196" s="58">
        <v>212</v>
      </c>
      <c r="AU196" s="12"/>
      <c r="AV196" s="54"/>
      <c r="AW196" s="63"/>
      <c r="AX196" s="55"/>
      <c r="AY196" s="54"/>
      <c r="AZ196" s="63"/>
      <c r="BA196" s="55"/>
      <c r="BB196" s="10">
        <v>5</v>
      </c>
      <c r="BC196" s="15">
        <v>100</v>
      </c>
      <c r="BD196" s="11">
        <v>74</v>
      </c>
      <c r="BE196" s="10">
        <v>20</v>
      </c>
      <c r="BF196" s="15">
        <v>324</v>
      </c>
      <c r="BG196" s="11">
        <v>246</v>
      </c>
      <c r="BH196" s="10">
        <v>31</v>
      </c>
      <c r="BI196" s="15">
        <v>540</v>
      </c>
      <c r="BJ196" s="11">
        <v>384</v>
      </c>
      <c r="BK196" s="10">
        <v>55</v>
      </c>
      <c r="BL196" s="15">
        <v>800</v>
      </c>
      <c r="BM196" s="11">
        <v>670</v>
      </c>
      <c r="BN196" s="46">
        <v>26</v>
      </c>
      <c r="BO196" s="43">
        <v>480</v>
      </c>
      <c r="BP196" s="47">
        <v>324</v>
      </c>
      <c r="BQ196" s="46">
        <v>60</v>
      </c>
      <c r="BR196" s="43">
        <v>944</v>
      </c>
      <c r="BS196" s="47">
        <v>736</v>
      </c>
      <c r="BT196" s="46">
        <v>71</v>
      </c>
      <c r="BU196" s="43">
        <v>939</v>
      </c>
      <c r="BV196" s="114">
        <v>861</v>
      </c>
      <c r="BW196" s="119">
        <v>35.299999999999997</v>
      </c>
      <c r="BX196" s="120">
        <v>423</v>
      </c>
      <c r="BY196" s="114">
        <v>422.04</v>
      </c>
      <c r="BZ196" s="119">
        <v>57</v>
      </c>
      <c r="CA196" s="120">
        <v>740</v>
      </c>
      <c r="CB196" s="114">
        <v>688</v>
      </c>
      <c r="CC196" s="119">
        <v>58</v>
      </c>
      <c r="CD196" s="120">
        <v>780</v>
      </c>
      <c r="CE196" s="114">
        <v>702</v>
      </c>
      <c r="CF196" s="119">
        <v>47</v>
      </c>
      <c r="CG196" s="120">
        <v>620</v>
      </c>
      <c r="CH196" s="114">
        <v>568</v>
      </c>
      <c r="CI196" s="119">
        <v>55</v>
      </c>
      <c r="CJ196" s="120">
        <v>660</v>
      </c>
      <c r="CK196" s="114">
        <v>660</v>
      </c>
      <c r="CL196" s="54">
        <f t="shared" si="17"/>
        <v>520.29999999999995</v>
      </c>
      <c r="CM196" s="63">
        <f t="shared" si="17"/>
        <v>7350</v>
      </c>
      <c r="CN196" s="55">
        <f t="shared" si="17"/>
        <v>6335.04</v>
      </c>
      <c r="CO196" s="54">
        <f t="shared" si="18"/>
        <v>43.358333333333327</v>
      </c>
      <c r="CP196" s="63">
        <f t="shared" si="18"/>
        <v>612.5</v>
      </c>
      <c r="CQ196" s="55">
        <f t="shared" si="18"/>
        <v>527.91999999999996</v>
      </c>
    </row>
    <row r="197" spans="1:95" s="25" customFormat="1" ht="31.5" customHeight="1" x14ac:dyDescent="0.6">
      <c r="A197" s="5">
        <v>194</v>
      </c>
      <c r="B197" s="18" t="s">
        <v>457</v>
      </c>
      <c r="C197" s="18" t="s">
        <v>506</v>
      </c>
      <c r="D197" s="18" t="s">
        <v>277</v>
      </c>
      <c r="E197" s="18" t="s">
        <v>345</v>
      </c>
      <c r="F197" s="23" t="s">
        <v>454</v>
      </c>
      <c r="G197" s="7" t="s">
        <v>435</v>
      </c>
      <c r="H197" s="123"/>
      <c r="I197" s="123"/>
      <c r="J197" s="123" t="s">
        <v>1040</v>
      </c>
      <c r="K197" s="49" t="s">
        <v>436</v>
      </c>
      <c r="L197" s="27"/>
      <c r="M197" s="58"/>
      <c r="N197" s="78"/>
      <c r="O197" s="27"/>
      <c r="P197" s="58"/>
      <c r="Q197" s="49"/>
      <c r="R197" s="27"/>
      <c r="S197" s="58"/>
      <c r="T197" s="98"/>
      <c r="U197" s="27"/>
      <c r="V197" s="58"/>
      <c r="W197" s="12"/>
      <c r="X197" s="27"/>
      <c r="Y197" s="58"/>
      <c r="Z197" s="12"/>
      <c r="AA197" s="27"/>
      <c r="AB197" s="58"/>
      <c r="AC197" s="12"/>
      <c r="AD197" s="27">
        <v>24</v>
      </c>
      <c r="AE197" s="58">
        <v>312</v>
      </c>
      <c r="AF197" s="107"/>
      <c r="AG197" s="27">
        <v>0</v>
      </c>
      <c r="AH197" s="58">
        <v>0</v>
      </c>
      <c r="AI197" s="107"/>
      <c r="AJ197" s="27">
        <v>20</v>
      </c>
      <c r="AK197" s="58">
        <v>274</v>
      </c>
      <c r="AL197" s="107"/>
      <c r="AM197" s="27">
        <v>32</v>
      </c>
      <c r="AN197" s="58">
        <v>384</v>
      </c>
      <c r="AO197" s="12"/>
      <c r="AP197" s="27">
        <v>23</v>
      </c>
      <c r="AQ197" s="58">
        <v>304</v>
      </c>
      <c r="AR197" s="12"/>
      <c r="AS197" s="27">
        <v>8</v>
      </c>
      <c r="AT197" s="58">
        <v>124</v>
      </c>
      <c r="AU197" s="12"/>
      <c r="AV197" s="54"/>
      <c r="AW197" s="63"/>
      <c r="AX197" s="55"/>
      <c r="AY197" s="54"/>
      <c r="AZ197" s="63"/>
      <c r="BA197" s="55"/>
      <c r="BB197" s="10">
        <v>21</v>
      </c>
      <c r="BC197" s="15">
        <v>252</v>
      </c>
      <c r="BD197" s="11">
        <v>252</v>
      </c>
      <c r="BE197" s="10">
        <v>7</v>
      </c>
      <c r="BF197" s="15">
        <v>112</v>
      </c>
      <c r="BG197" s="11">
        <v>86</v>
      </c>
      <c r="BH197" s="10">
        <v>15</v>
      </c>
      <c r="BI197" s="15">
        <v>180</v>
      </c>
      <c r="BJ197" s="11">
        <v>180</v>
      </c>
      <c r="BK197" s="10">
        <v>17</v>
      </c>
      <c r="BL197" s="15">
        <v>260</v>
      </c>
      <c r="BM197" s="11">
        <v>208</v>
      </c>
      <c r="BN197" s="46">
        <v>50</v>
      </c>
      <c r="BO197" s="43">
        <v>600</v>
      </c>
      <c r="BP197" s="47">
        <v>600</v>
      </c>
      <c r="BQ197" s="46">
        <v>70.599999999999994</v>
      </c>
      <c r="BR197" s="43">
        <v>904</v>
      </c>
      <c r="BS197" s="47">
        <v>846.96</v>
      </c>
      <c r="BT197" s="46">
        <v>15</v>
      </c>
      <c r="BU197" s="43">
        <v>210</v>
      </c>
      <c r="BV197" s="114">
        <v>178.96</v>
      </c>
      <c r="BW197" s="119">
        <v>0</v>
      </c>
      <c r="BX197" s="120">
        <v>0</v>
      </c>
      <c r="BY197" s="114">
        <v>0</v>
      </c>
      <c r="BZ197" s="119">
        <v>5</v>
      </c>
      <c r="CA197" s="120">
        <v>118</v>
      </c>
      <c r="CB197" s="114">
        <v>60.96</v>
      </c>
      <c r="CC197" s="119">
        <v>36</v>
      </c>
      <c r="CD197" s="120">
        <v>432</v>
      </c>
      <c r="CE197" s="114">
        <v>432</v>
      </c>
      <c r="CF197" s="119">
        <v>0</v>
      </c>
      <c r="CG197" s="120">
        <v>0</v>
      </c>
      <c r="CH197" s="114">
        <v>0</v>
      </c>
      <c r="CI197" s="119">
        <v>30</v>
      </c>
      <c r="CJ197" s="120">
        <v>360</v>
      </c>
      <c r="CK197" s="114">
        <v>360</v>
      </c>
      <c r="CL197" s="54">
        <f t="shared" ref="CL197:CN260" si="19">+BB197+BE197+BH197+BK197+BN197+BQ197+BT197+BW197+BZ197+CC197+CF197+CI197</f>
        <v>266.60000000000002</v>
      </c>
      <c r="CM197" s="63">
        <f t="shared" si="19"/>
        <v>3428</v>
      </c>
      <c r="CN197" s="55">
        <f t="shared" si="19"/>
        <v>3204.88</v>
      </c>
      <c r="CO197" s="54">
        <f t="shared" ref="CO197:CQ260" si="20">CL197/12</f>
        <v>22.216666666666669</v>
      </c>
      <c r="CP197" s="63">
        <f t="shared" si="20"/>
        <v>285.66666666666669</v>
      </c>
      <c r="CQ197" s="55">
        <f t="shared" si="20"/>
        <v>267.07333333333332</v>
      </c>
    </row>
    <row r="198" spans="1:95" s="25" customFormat="1" ht="31.5" customHeight="1" x14ac:dyDescent="0.6">
      <c r="A198" s="5">
        <v>195</v>
      </c>
      <c r="B198" s="18" t="s">
        <v>458</v>
      </c>
      <c r="C198" s="18" t="s">
        <v>510</v>
      </c>
      <c r="D198" s="18" t="s">
        <v>459</v>
      </c>
      <c r="E198" s="18" t="s">
        <v>460</v>
      </c>
      <c r="F198" s="23" t="s">
        <v>91</v>
      </c>
      <c r="G198" s="7" t="s">
        <v>435</v>
      </c>
      <c r="H198" s="123"/>
      <c r="I198" s="123"/>
      <c r="J198" s="123" t="s">
        <v>1041</v>
      </c>
      <c r="K198" s="49" t="s">
        <v>436</v>
      </c>
      <c r="L198" s="27"/>
      <c r="M198" s="58"/>
      <c r="N198" s="78"/>
      <c r="O198" s="27"/>
      <c r="P198" s="58"/>
      <c r="Q198" s="49"/>
      <c r="R198" s="27"/>
      <c r="S198" s="58"/>
      <c r="T198" s="98"/>
      <c r="U198" s="27"/>
      <c r="V198" s="58"/>
      <c r="W198" s="12"/>
      <c r="X198" s="27"/>
      <c r="Y198" s="58"/>
      <c r="Z198" s="12"/>
      <c r="AA198" s="27"/>
      <c r="AB198" s="58"/>
      <c r="AC198" s="12"/>
      <c r="AD198" s="27">
        <v>1</v>
      </c>
      <c r="AE198" s="58">
        <v>12</v>
      </c>
      <c r="AF198" s="107"/>
      <c r="AG198" s="27">
        <v>0</v>
      </c>
      <c r="AH198" s="58">
        <v>0</v>
      </c>
      <c r="AI198" s="107"/>
      <c r="AJ198" s="27">
        <v>11</v>
      </c>
      <c r="AK198" s="58">
        <v>144</v>
      </c>
      <c r="AL198" s="107"/>
      <c r="AM198" s="27">
        <v>5</v>
      </c>
      <c r="AN198" s="58">
        <v>60</v>
      </c>
      <c r="AO198" s="12"/>
      <c r="AP198" s="27">
        <v>10.6</v>
      </c>
      <c r="AQ198" s="58">
        <v>126</v>
      </c>
      <c r="AR198" s="12"/>
      <c r="AS198" s="27">
        <v>8</v>
      </c>
      <c r="AT198" s="58">
        <v>108</v>
      </c>
      <c r="AU198" s="12"/>
      <c r="AV198" s="54"/>
      <c r="AW198" s="63"/>
      <c r="AX198" s="55"/>
      <c r="AY198" s="54"/>
      <c r="AZ198" s="63"/>
      <c r="BA198" s="55"/>
      <c r="BB198" s="10">
        <v>13</v>
      </c>
      <c r="BC198" s="15">
        <v>0</v>
      </c>
      <c r="BD198" s="11">
        <v>0</v>
      </c>
      <c r="BE198" s="10">
        <v>6</v>
      </c>
      <c r="BF198" s="15">
        <v>81</v>
      </c>
      <c r="BG198" s="11">
        <v>69</v>
      </c>
      <c r="BH198" s="10">
        <v>40</v>
      </c>
      <c r="BI198" s="15">
        <v>480</v>
      </c>
      <c r="BJ198" s="11">
        <v>480</v>
      </c>
      <c r="BK198" s="10">
        <v>35</v>
      </c>
      <c r="BL198" s="15">
        <v>420</v>
      </c>
      <c r="BM198" s="11">
        <v>420</v>
      </c>
      <c r="BN198" s="46">
        <v>67</v>
      </c>
      <c r="BO198" s="43">
        <v>860</v>
      </c>
      <c r="BP198" s="47">
        <v>808</v>
      </c>
      <c r="BQ198" s="46">
        <v>12</v>
      </c>
      <c r="BR198" s="43">
        <v>202</v>
      </c>
      <c r="BS198" s="47">
        <v>145</v>
      </c>
      <c r="BT198" s="46">
        <v>63</v>
      </c>
      <c r="BU198" s="43">
        <v>896</v>
      </c>
      <c r="BV198" s="114">
        <v>766</v>
      </c>
      <c r="BW198" s="119">
        <v>15</v>
      </c>
      <c r="BX198" s="120">
        <v>180</v>
      </c>
      <c r="BY198" s="114">
        <v>180</v>
      </c>
      <c r="BZ198" s="119">
        <v>0</v>
      </c>
      <c r="CA198" s="120">
        <v>0</v>
      </c>
      <c r="CB198" s="114">
        <v>0</v>
      </c>
      <c r="CC198" s="119">
        <v>0</v>
      </c>
      <c r="CD198" s="120">
        <v>0</v>
      </c>
      <c r="CE198" s="114">
        <v>0</v>
      </c>
      <c r="CF198" s="119">
        <v>0</v>
      </c>
      <c r="CG198" s="120">
        <v>0</v>
      </c>
      <c r="CH198" s="114">
        <v>0</v>
      </c>
      <c r="CI198" s="119">
        <v>0</v>
      </c>
      <c r="CJ198" s="120">
        <v>0</v>
      </c>
      <c r="CK198" s="114">
        <v>0</v>
      </c>
      <c r="CL198" s="54">
        <f t="shared" si="19"/>
        <v>251</v>
      </c>
      <c r="CM198" s="63">
        <f t="shared" si="19"/>
        <v>3119</v>
      </c>
      <c r="CN198" s="55">
        <f t="shared" si="19"/>
        <v>2868</v>
      </c>
      <c r="CO198" s="54">
        <f t="shared" si="20"/>
        <v>20.916666666666668</v>
      </c>
      <c r="CP198" s="63">
        <f t="shared" si="20"/>
        <v>259.91666666666669</v>
      </c>
      <c r="CQ198" s="55">
        <f t="shared" si="20"/>
        <v>239</v>
      </c>
    </row>
    <row r="199" spans="1:95" s="25" customFormat="1" ht="31.5" customHeight="1" x14ac:dyDescent="0.6">
      <c r="A199" s="5">
        <v>196</v>
      </c>
      <c r="B199" s="18" t="s">
        <v>461</v>
      </c>
      <c r="C199" s="18" t="s">
        <v>511</v>
      </c>
      <c r="D199" s="18" t="s">
        <v>462</v>
      </c>
      <c r="E199" s="18" t="s">
        <v>460</v>
      </c>
      <c r="F199" s="23" t="s">
        <v>91</v>
      </c>
      <c r="G199" s="7" t="s">
        <v>435</v>
      </c>
      <c r="H199" s="123"/>
      <c r="I199" s="123"/>
      <c r="J199" s="123" t="s">
        <v>1042</v>
      </c>
      <c r="K199" s="49" t="s">
        <v>436</v>
      </c>
      <c r="L199" s="27"/>
      <c r="M199" s="58"/>
      <c r="N199" s="78"/>
      <c r="O199" s="27"/>
      <c r="P199" s="58"/>
      <c r="Q199" s="49"/>
      <c r="R199" s="27"/>
      <c r="S199" s="58"/>
      <c r="T199" s="98"/>
      <c r="U199" s="27"/>
      <c r="V199" s="58"/>
      <c r="W199" s="12"/>
      <c r="X199" s="27"/>
      <c r="Y199" s="58"/>
      <c r="Z199" s="12"/>
      <c r="AA199" s="27"/>
      <c r="AB199" s="58"/>
      <c r="AC199" s="12"/>
      <c r="AD199" s="27">
        <v>74</v>
      </c>
      <c r="AE199" s="58">
        <v>1060</v>
      </c>
      <c r="AF199" s="107"/>
      <c r="AG199" s="27">
        <v>143</v>
      </c>
      <c r="AH199" s="58">
        <v>2014</v>
      </c>
      <c r="AI199" s="107"/>
      <c r="AJ199" s="27">
        <v>91</v>
      </c>
      <c r="AK199" s="58">
        <v>1392</v>
      </c>
      <c r="AL199" s="107"/>
      <c r="AM199" s="27">
        <v>48</v>
      </c>
      <c r="AN199" s="58">
        <v>700</v>
      </c>
      <c r="AO199" s="12"/>
      <c r="AP199" s="27">
        <v>63</v>
      </c>
      <c r="AQ199" s="58">
        <v>1290</v>
      </c>
      <c r="AR199" s="12"/>
      <c r="AS199" s="27">
        <v>115</v>
      </c>
      <c r="AT199" s="58">
        <v>1604</v>
      </c>
      <c r="AU199" s="12"/>
      <c r="AV199" s="54"/>
      <c r="AW199" s="63"/>
      <c r="AX199" s="55"/>
      <c r="AY199" s="54"/>
      <c r="AZ199" s="63"/>
      <c r="BA199" s="55"/>
      <c r="BB199" s="10">
        <v>58</v>
      </c>
      <c r="BC199" s="15">
        <v>740</v>
      </c>
      <c r="BD199" s="11">
        <v>626</v>
      </c>
      <c r="BE199" s="10">
        <v>99</v>
      </c>
      <c r="BF199" s="15">
        <v>1296</v>
      </c>
      <c r="BG199" s="11">
        <v>1109</v>
      </c>
      <c r="BH199" s="10">
        <v>178</v>
      </c>
      <c r="BI199" s="15">
        <v>2444</v>
      </c>
      <c r="BJ199" s="11">
        <v>1980.28</v>
      </c>
      <c r="BK199" s="10">
        <v>5</v>
      </c>
      <c r="BL199" s="15">
        <v>70</v>
      </c>
      <c r="BM199" s="11">
        <v>44.8</v>
      </c>
      <c r="BN199" s="46">
        <v>61</v>
      </c>
      <c r="BO199" s="43">
        <v>790</v>
      </c>
      <c r="BP199" s="47">
        <v>688.40000000000009</v>
      </c>
      <c r="BQ199" s="46">
        <v>44</v>
      </c>
      <c r="BR199" s="43">
        <v>643</v>
      </c>
      <c r="BS199" s="47">
        <v>539</v>
      </c>
      <c r="BT199" s="46">
        <v>75</v>
      </c>
      <c r="BU199" s="43">
        <v>1070</v>
      </c>
      <c r="BV199" s="114">
        <v>864.8</v>
      </c>
      <c r="BW199" s="119">
        <v>21</v>
      </c>
      <c r="BX199" s="120">
        <v>262</v>
      </c>
      <c r="BY199" s="114">
        <v>232.96</v>
      </c>
      <c r="BZ199" s="119">
        <v>56</v>
      </c>
      <c r="CA199" s="120">
        <v>730</v>
      </c>
      <c r="CB199" s="114">
        <v>628.4</v>
      </c>
      <c r="CC199" s="119">
        <v>16</v>
      </c>
      <c r="CD199" s="120">
        <v>422</v>
      </c>
      <c r="CE199" s="114">
        <v>198.88</v>
      </c>
      <c r="CF199" s="119">
        <v>50</v>
      </c>
      <c r="CG199" s="120">
        <v>620</v>
      </c>
      <c r="CH199" s="114">
        <v>569.6</v>
      </c>
      <c r="CI199" s="119">
        <v>17</v>
      </c>
      <c r="CJ199" s="120">
        <v>260</v>
      </c>
      <c r="CK199" s="114">
        <v>208</v>
      </c>
      <c r="CL199" s="54">
        <f t="shared" si="19"/>
        <v>680</v>
      </c>
      <c r="CM199" s="63">
        <f t="shared" si="19"/>
        <v>9347</v>
      </c>
      <c r="CN199" s="55">
        <f t="shared" si="19"/>
        <v>7690.12</v>
      </c>
      <c r="CO199" s="54">
        <f t="shared" si="20"/>
        <v>56.666666666666664</v>
      </c>
      <c r="CP199" s="63">
        <f t="shared" si="20"/>
        <v>778.91666666666663</v>
      </c>
      <c r="CQ199" s="55">
        <f t="shared" si="20"/>
        <v>640.84333333333336</v>
      </c>
    </row>
    <row r="200" spans="1:95" s="25" customFormat="1" ht="31.5" customHeight="1" x14ac:dyDescent="0.6">
      <c r="A200" s="5">
        <v>197</v>
      </c>
      <c r="B200" s="18" t="s">
        <v>463</v>
      </c>
      <c r="C200" s="18" t="s">
        <v>512</v>
      </c>
      <c r="D200" s="18" t="s">
        <v>464</v>
      </c>
      <c r="E200" s="18" t="s">
        <v>465</v>
      </c>
      <c r="F200" s="23" t="s">
        <v>466</v>
      </c>
      <c r="G200" s="7" t="s">
        <v>435</v>
      </c>
      <c r="H200" s="123"/>
      <c r="I200" s="123"/>
      <c r="J200" s="123" t="s">
        <v>1043</v>
      </c>
      <c r="K200" s="49" t="s">
        <v>436</v>
      </c>
      <c r="L200" s="27"/>
      <c r="M200" s="58"/>
      <c r="N200" s="78"/>
      <c r="O200" s="27"/>
      <c r="P200" s="58"/>
      <c r="Q200" s="49"/>
      <c r="R200" s="27"/>
      <c r="S200" s="58"/>
      <c r="T200" s="98"/>
      <c r="U200" s="27"/>
      <c r="V200" s="58"/>
      <c r="W200" s="12"/>
      <c r="X200" s="27"/>
      <c r="Y200" s="58"/>
      <c r="Z200" s="12"/>
      <c r="AA200" s="27"/>
      <c r="AB200" s="58"/>
      <c r="AC200" s="12"/>
      <c r="AD200" s="27">
        <v>10</v>
      </c>
      <c r="AE200" s="58">
        <v>120</v>
      </c>
      <c r="AF200" s="107"/>
      <c r="AG200" s="27">
        <v>4</v>
      </c>
      <c r="AH200" s="58">
        <v>72</v>
      </c>
      <c r="AI200" s="107"/>
      <c r="AJ200" s="27">
        <v>7</v>
      </c>
      <c r="AK200" s="58">
        <v>84</v>
      </c>
      <c r="AL200" s="107"/>
      <c r="AM200" s="27">
        <v>2</v>
      </c>
      <c r="AN200" s="58">
        <v>24</v>
      </c>
      <c r="AO200" s="12"/>
      <c r="AP200" s="27">
        <v>6</v>
      </c>
      <c r="AQ200" s="58">
        <v>84</v>
      </c>
      <c r="AR200" s="12"/>
      <c r="AS200" s="27">
        <v>34</v>
      </c>
      <c r="AT200" s="58">
        <v>408</v>
      </c>
      <c r="AU200" s="12"/>
      <c r="AV200" s="54"/>
      <c r="AW200" s="63"/>
      <c r="AX200" s="55"/>
      <c r="AY200" s="54"/>
      <c r="AZ200" s="63"/>
      <c r="BA200" s="55"/>
      <c r="BB200" s="10">
        <v>29</v>
      </c>
      <c r="BC200" s="15">
        <v>0</v>
      </c>
      <c r="BD200" s="11">
        <v>0</v>
      </c>
      <c r="BE200" s="10">
        <v>4</v>
      </c>
      <c r="BF200" s="15">
        <v>60</v>
      </c>
      <c r="BG200" s="11">
        <v>52</v>
      </c>
      <c r="BH200" s="10">
        <v>44</v>
      </c>
      <c r="BI200" s="15">
        <v>724</v>
      </c>
      <c r="BJ200" s="11">
        <v>542</v>
      </c>
      <c r="BK200" s="10">
        <v>69</v>
      </c>
      <c r="BL200" s="15">
        <v>974</v>
      </c>
      <c r="BM200" s="11">
        <v>840</v>
      </c>
      <c r="BN200" s="46">
        <v>57</v>
      </c>
      <c r="BO200" s="43">
        <v>824</v>
      </c>
      <c r="BP200" s="47">
        <v>694</v>
      </c>
      <c r="BQ200" s="46">
        <v>28</v>
      </c>
      <c r="BR200" s="43">
        <v>420</v>
      </c>
      <c r="BS200" s="47">
        <v>342</v>
      </c>
      <c r="BT200" s="46">
        <v>10</v>
      </c>
      <c r="BU200" s="43">
        <v>120</v>
      </c>
      <c r="BV200" s="114">
        <v>120</v>
      </c>
      <c r="BW200" s="119">
        <v>37</v>
      </c>
      <c r="BX200" s="120">
        <v>500</v>
      </c>
      <c r="BY200" s="114">
        <v>448</v>
      </c>
      <c r="BZ200" s="119">
        <v>30</v>
      </c>
      <c r="CA200" s="120">
        <v>360</v>
      </c>
      <c r="CB200" s="114">
        <v>360</v>
      </c>
      <c r="CC200" s="119">
        <v>48</v>
      </c>
      <c r="CD200" s="120">
        <v>576</v>
      </c>
      <c r="CE200" s="114">
        <v>576</v>
      </c>
      <c r="CF200" s="119">
        <v>35</v>
      </c>
      <c r="CG200" s="120">
        <v>504</v>
      </c>
      <c r="CH200" s="114">
        <v>418.8</v>
      </c>
      <c r="CI200" s="119">
        <v>65</v>
      </c>
      <c r="CJ200" s="120">
        <v>920</v>
      </c>
      <c r="CK200" s="114">
        <v>790</v>
      </c>
      <c r="CL200" s="54">
        <f t="shared" si="19"/>
        <v>456</v>
      </c>
      <c r="CM200" s="63">
        <f t="shared" si="19"/>
        <v>5982</v>
      </c>
      <c r="CN200" s="55">
        <f t="shared" si="19"/>
        <v>5182.8</v>
      </c>
      <c r="CO200" s="54">
        <f t="shared" si="20"/>
        <v>38</v>
      </c>
      <c r="CP200" s="63">
        <f t="shared" si="20"/>
        <v>498.5</v>
      </c>
      <c r="CQ200" s="55">
        <f t="shared" si="20"/>
        <v>431.90000000000003</v>
      </c>
    </row>
    <row r="201" spans="1:95" s="25" customFormat="1" ht="31.5" customHeight="1" x14ac:dyDescent="0.6">
      <c r="A201" s="5">
        <v>198</v>
      </c>
      <c r="B201" s="18" t="s">
        <v>467</v>
      </c>
      <c r="C201" s="18" t="s">
        <v>514</v>
      </c>
      <c r="D201" s="26" t="s">
        <v>468</v>
      </c>
      <c r="E201" s="18" t="s">
        <v>469</v>
      </c>
      <c r="F201" s="23" t="s">
        <v>470</v>
      </c>
      <c r="G201" s="7" t="s">
        <v>435</v>
      </c>
      <c r="H201" s="123"/>
      <c r="I201" s="123"/>
      <c r="J201" s="123" t="s">
        <v>1044</v>
      </c>
      <c r="K201" s="49" t="s">
        <v>436</v>
      </c>
      <c r="L201" s="27"/>
      <c r="M201" s="58"/>
      <c r="N201" s="78"/>
      <c r="O201" s="27"/>
      <c r="P201" s="58"/>
      <c r="Q201" s="49"/>
      <c r="R201" s="27"/>
      <c r="S201" s="58"/>
      <c r="T201" s="98"/>
      <c r="U201" s="27"/>
      <c r="V201" s="58"/>
      <c r="W201" s="12"/>
      <c r="X201" s="27"/>
      <c r="Y201" s="58"/>
      <c r="Z201" s="12"/>
      <c r="AA201" s="27"/>
      <c r="AB201" s="58"/>
      <c r="AC201" s="12"/>
      <c r="AD201" s="27">
        <v>18</v>
      </c>
      <c r="AE201" s="58">
        <v>362</v>
      </c>
      <c r="AF201" s="107"/>
      <c r="AG201" s="27">
        <v>15</v>
      </c>
      <c r="AH201" s="58">
        <v>180</v>
      </c>
      <c r="AI201" s="107"/>
      <c r="AJ201" s="27">
        <v>42</v>
      </c>
      <c r="AK201" s="58">
        <v>508</v>
      </c>
      <c r="AL201" s="107"/>
      <c r="AM201" s="27">
        <v>20</v>
      </c>
      <c r="AN201" s="58">
        <v>240</v>
      </c>
      <c r="AO201" s="12"/>
      <c r="AP201" s="27">
        <v>25</v>
      </c>
      <c r="AQ201" s="58">
        <v>300</v>
      </c>
      <c r="AR201" s="12"/>
      <c r="AS201" s="27">
        <v>28.8</v>
      </c>
      <c r="AT201" s="58">
        <v>364</v>
      </c>
      <c r="AU201" s="12"/>
      <c r="AV201" s="54"/>
      <c r="AW201" s="63"/>
      <c r="AX201" s="55"/>
      <c r="AY201" s="54"/>
      <c r="AZ201" s="63"/>
      <c r="BA201" s="55"/>
      <c r="BB201" s="10">
        <v>15</v>
      </c>
      <c r="BC201" s="15">
        <v>180</v>
      </c>
      <c r="BD201" s="11">
        <v>180</v>
      </c>
      <c r="BE201" s="10">
        <v>10</v>
      </c>
      <c r="BF201" s="15">
        <v>120</v>
      </c>
      <c r="BG201" s="11">
        <v>120</v>
      </c>
      <c r="BH201" s="10">
        <v>65</v>
      </c>
      <c r="BI201" s="15">
        <v>960</v>
      </c>
      <c r="BJ201" s="11">
        <v>729</v>
      </c>
      <c r="BK201" s="10">
        <v>62</v>
      </c>
      <c r="BL201" s="15">
        <v>800</v>
      </c>
      <c r="BM201" s="11">
        <v>748</v>
      </c>
      <c r="BN201" s="46">
        <v>40</v>
      </c>
      <c r="BO201" s="43">
        <v>480</v>
      </c>
      <c r="BP201" s="47">
        <v>480</v>
      </c>
      <c r="BQ201" s="46">
        <v>43</v>
      </c>
      <c r="BR201" s="43">
        <v>575</v>
      </c>
      <c r="BS201" s="47">
        <v>523</v>
      </c>
      <c r="BT201" s="46">
        <v>103</v>
      </c>
      <c r="BU201" s="43">
        <v>1460</v>
      </c>
      <c r="BV201" s="114">
        <v>1252</v>
      </c>
      <c r="BW201" s="119">
        <v>40.299999999999997</v>
      </c>
      <c r="BX201" s="120">
        <v>483</v>
      </c>
      <c r="BY201" s="114">
        <v>482.04</v>
      </c>
      <c r="BZ201" s="119">
        <v>20</v>
      </c>
      <c r="CA201" s="120">
        <v>240</v>
      </c>
      <c r="CB201" s="114">
        <v>240</v>
      </c>
      <c r="CC201" s="119">
        <v>50</v>
      </c>
      <c r="CD201" s="120">
        <v>610</v>
      </c>
      <c r="CE201" s="114">
        <v>584.79999999999995</v>
      </c>
      <c r="CF201" s="119">
        <v>43</v>
      </c>
      <c r="CG201" s="120">
        <v>600</v>
      </c>
      <c r="CH201" s="114">
        <v>522</v>
      </c>
      <c r="CI201" s="119">
        <v>30</v>
      </c>
      <c r="CJ201" s="120">
        <v>360</v>
      </c>
      <c r="CK201" s="114">
        <v>360</v>
      </c>
      <c r="CL201" s="54">
        <f t="shared" si="19"/>
        <v>521.29999999999995</v>
      </c>
      <c r="CM201" s="63">
        <f t="shared" si="19"/>
        <v>6868</v>
      </c>
      <c r="CN201" s="55">
        <f t="shared" si="19"/>
        <v>6220.84</v>
      </c>
      <c r="CO201" s="54">
        <f t="shared" si="20"/>
        <v>43.441666666666663</v>
      </c>
      <c r="CP201" s="63">
        <f t="shared" si="20"/>
        <v>572.33333333333337</v>
      </c>
      <c r="CQ201" s="55">
        <f t="shared" si="20"/>
        <v>518.40333333333331</v>
      </c>
    </row>
    <row r="202" spans="1:95" s="25" customFormat="1" ht="31.5" customHeight="1" x14ac:dyDescent="0.6">
      <c r="A202" s="5">
        <v>199</v>
      </c>
      <c r="B202" s="18" t="s">
        <v>471</v>
      </c>
      <c r="C202" s="18" t="s">
        <v>516</v>
      </c>
      <c r="D202" s="18" t="s">
        <v>472</v>
      </c>
      <c r="E202" s="18" t="s">
        <v>469</v>
      </c>
      <c r="F202" s="23" t="s">
        <v>470</v>
      </c>
      <c r="G202" s="7" t="s">
        <v>435</v>
      </c>
      <c r="H202" s="123"/>
      <c r="I202" s="123"/>
      <c r="J202" s="123"/>
      <c r="K202" s="49" t="s">
        <v>436</v>
      </c>
      <c r="L202" s="27"/>
      <c r="M202" s="58"/>
      <c r="N202" s="78"/>
      <c r="O202" s="27"/>
      <c r="P202" s="58"/>
      <c r="Q202" s="49"/>
      <c r="R202" s="27"/>
      <c r="S202" s="58"/>
      <c r="T202" s="98"/>
      <c r="U202" s="27"/>
      <c r="V202" s="58"/>
      <c r="W202" s="12"/>
      <c r="X202" s="27"/>
      <c r="Y202" s="58"/>
      <c r="Z202" s="12"/>
      <c r="AA202" s="27"/>
      <c r="AB202" s="58"/>
      <c r="AC202" s="12"/>
      <c r="AD202" s="27">
        <v>130</v>
      </c>
      <c r="AE202" s="58">
        <v>1560</v>
      </c>
      <c r="AF202" s="107"/>
      <c r="AG202" s="27">
        <v>90</v>
      </c>
      <c r="AH202" s="58">
        <v>1640</v>
      </c>
      <c r="AI202" s="107"/>
      <c r="AJ202" s="27">
        <v>370</v>
      </c>
      <c r="AK202" s="58">
        <v>6680</v>
      </c>
      <c r="AL202" s="107"/>
      <c r="AM202" s="27">
        <v>290</v>
      </c>
      <c r="AN202" s="58">
        <v>4640</v>
      </c>
      <c r="AO202" s="12"/>
      <c r="AP202" s="27">
        <v>371</v>
      </c>
      <c r="AQ202" s="58">
        <v>6140</v>
      </c>
      <c r="AR202" s="12"/>
      <c r="AS202" s="27">
        <v>295</v>
      </c>
      <c r="AT202" s="58">
        <v>5540</v>
      </c>
      <c r="AU202" s="12"/>
      <c r="AV202" s="54"/>
      <c r="AW202" s="63"/>
      <c r="AX202" s="55"/>
      <c r="AY202" s="54"/>
      <c r="AZ202" s="63"/>
      <c r="BA202" s="55"/>
      <c r="BB202" s="10">
        <v>60</v>
      </c>
      <c r="BC202" s="15">
        <v>720</v>
      </c>
      <c r="BD202" s="11">
        <v>720</v>
      </c>
      <c r="BE202" s="10">
        <v>118</v>
      </c>
      <c r="BF202" s="15">
        <v>1956</v>
      </c>
      <c r="BG202" s="11">
        <v>1263.8</v>
      </c>
      <c r="BH202" s="10">
        <v>251</v>
      </c>
      <c r="BI202" s="15">
        <v>4900</v>
      </c>
      <c r="BJ202" s="11">
        <v>3035</v>
      </c>
      <c r="BK202" s="10">
        <v>55</v>
      </c>
      <c r="BL202" s="15">
        <v>940</v>
      </c>
      <c r="BM202" s="11">
        <v>680</v>
      </c>
      <c r="BN202" s="46">
        <v>0</v>
      </c>
      <c r="BO202" s="43">
        <v>0</v>
      </c>
      <c r="BP202" s="47">
        <v>0</v>
      </c>
      <c r="BQ202" s="46">
        <v>0</v>
      </c>
      <c r="BR202" s="43">
        <v>0</v>
      </c>
      <c r="BS202" s="47">
        <v>0</v>
      </c>
      <c r="BT202" s="46">
        <v>0</v>
      </c>
      <c r="BU202" s="43">
        <v>0</v>
      </c>
      <c r="BV202" s="114">
        <v>0</v>
      </c>
      <c r="BW202" s="119">
        <v>0</v>
      </c>
      <c r="BX202" s="120">
        <v>0</v>
      </c>
      <c r="BY202" s="114">
        <v>0</v>
      </c>
      <c r="BZ202" s="119">
        <v>0</v>
      </c>
      <c r="CA202" s="120">
        <v>0</v>
      </c>
      <c r="CB202" s="114">
        <v>0</v>
      </c>
      <c r="CC202" s="119">
        <v>0</v>
      </c>
      <c r="CD202" s="120">
        <v>0</v>
      </c>
      <c r="CE202" s="114">
        <v>0</v>
      </c>
      <c r="CF202" s="119">
        <v>0</v>
      </c>
      <c r="CG202" s="120">
        <v>0</v>
      </c>
      <c r="CH202" s="114">
        <v>0</v>
      </c>
      <c r="CI202" s="119">
        <v>0</v>
      </c>
      <c r="CJ202" s="120">
        <v>0</v>
      </c>
      <c r="CK202" s="114">
        <v>0</v>
      </c>
      <c r="CL202" s="54">
        <f t="shared" si="19"/>
        <v>484</v>
      </c>
      <c r="CM202" s="63">
        <f t="shared" si="19"/>
        <v>8516</v>
      </c>
      <c r="CN202" s="55">
        <f t="shared" si="19"/>
        <v>5698.8</v>
      </c>
      <c r="CO202" s="54">
        <f t="shared" si="20"/>
        <v>40.333333333333336</v>
      </c>
      <c r="CP202" s="63">
        <f t="shared" si="20"/>
        <v>709.66666666666663</v>
      </c>
      <c r="CQ202" s="55">
        <f t="shared" si="20"/>
        <v>474.90000000000003</v>
      </c>
    </row>
    <row r="203" spans="1:95" s="25" customFormat="1" ht="31.5" customHeight="1" x14ac:dyDescent="0.6">
      <c r="A203" s="5">
        <v>200</v>
      </c>
      <c r="B203" s="18" t="s">
        <v>473</v>
      </c>
      <c r="C203" s="18" t="s">
        <v>518</v>
      </c>
      <c r="D203" s="18" t="s">
        <v>474</v>
      </c>
      <c r="E203" s="18" t="s">
        <v>128</v>
      </c>
      <c r="F203" s="23" t="s">
        <v>129</v>
      </c>
      <c r="G203" s="7" t="s">
        <v>475</v>
      </c>
      <c r="H203" s="123"/>
      <c r="I203" s="123"/>
      <c r="J203" s="123" t="s">
        <v>1045</v>
      </c>
      <c r="K203" s="49" t="s">
        <v>476</v>
      </c>
      <c r="L203" s="27"/>
      <c r="M203" s="58"/>
      <c r="N203" s="78"/>
      <c r="O203" s="27"/>
      <c r="P203" s="58"/>
      <c r="Q203" s="49"/>
      <c r="R203" s="27"/>
      <c r="S203" s="58"/>
      <c r="T203" s="98"/>
      <c r="U203" s="27"/>
      <c r="V203" s="58"/>
      <c r="W203" s="12"/>
      <c r="X203" s="27"/>
      <c r="Y203" s="58"/>
      <c r="Z203" s="12"/>
      <c r="AA203" s="27"/>
      <c r="AB203" s="58"/>
      <c r="AC203" s="12"/>
      <c r="AD203" s="27">
        <v>0</v>
      </c>
      <c r="AE203" s="58">
        <v>0</v>
      </c>
      <c r="AF203" s="107"/>
      <c r="AG203" s="27">
        <v>0</v>
      </c>
      <c r="AH203" s="58">
        <v>0</v>
      </c>
      <c r="AI203" s="107"/>
      <c r="AJ203" s="27">
        <v>0</v>
      </c>
      <c r="AK203" s="58">
        <v>0</v>
      </c>
      <c r="AL203" s="107"/>
      <c r="AM203" s="27">
        <v>30</v>
      </c>
      <c r="AN203" s="58">
        <v>482</v>
      </c>
      <c r="AO203" s="12"/>
      <c r="AP203" s="27">
        <v>39</v>
      </c>
      <c r="AQ203" s="58">
        <v>740</v>
      </c>
      <c r="AR203" s="12"/>
      <c r="AS203" s="27">
        <v>6</v>
      </c>
      <c r="AT203" s="58">
        <v>128</v>
      </c>
      <c r="AU203" s="12"/>
      <c r="AV203" s="54"/>
      <c r="AW203" s="63"/>
      <c r="AX203" s="55"/>
      <c r="AY203" s="54"/>
      <c r="AZ203" s="63"/>
      <c r="BA203" s="55"/>
      <c r="BB203" s="10">
        <v>14</v>
      </c>
      <c r="BC203" s="15">
        <v>224</v>
      </c>
      <c r="BD203" s="11">
        <v>172</v>
      </c>
      <c r="BE203" s="10">
        <v>0</v>
      </c>
      <c r="BF203" s="15">
        <v>0</v>
      </c>
      <c r="BG203" s="11">
        <v>0</v>
      </c>
      <c r="BH203" s="10">
        <v>0</v>
      </c>
      <c r="BI203" s="15">
        <v>0</v>
      </c>
      <c r="BJ203" s="11">
        <v>0</v>
      </c>
      <c r="BK203" s="10">
        <v>0</v>
      </c>
      <c r="BL203" s="15">
        <v>0</v>
      </c>
      <c r="BM203" s="11">
        <v>0</v>
      </c>
      <c r="BN203" s="46">
        <v>0</v>
      </c>
      <c r="BO203" s="43">
        <v>0</v>
      </c>
      <c r="BP203" s="47">
        <v>0</v>
      </c>
      <c r="BQ203" s="46">
        <v>8</v>
      </c>
      <c r="BR203" s="43">
        <v>152</v>
      </c>
      <c r="BS203" s="47">
        <v>95.2</v>
      </c>
      <c r="BT203" s="46">
        <v>5.2</v>
      </c>
      <c r="BU203" s="43">
        <v>90</v>
      </c>
      <c r="BV203" s="114">
        <v>59.2</v>
      </c>
      <c r="BW203" s="119">
        <v>4.3</v>
      </c>
      <c r="BX203" s="120">
        <v>51</v>
      </c>
      <c r="BY203" s="114">
        <v>50.04</v>
      </c>
      <c r="BZ203" s="119">
        <v>8</v>
      </c>
      <c r="CA203" s="120">
        <v>152</v>
      </c>
      <c r="CB203" s="114">
        <v>71.2</v>
      </c>
      <c r="CC203" s="119">
        <v>0</v>
      </c>
      <c r="CD203" s="120">
        <v>0</v>
      </c>
      <c r="CE203" s="114">
        <v>0</v>
      </c>
      <c r="CF203" s="119">
        <v>12</v>
      </c>
      <c r="CG203" s="120">
        <v>200</v>
      </c>
      <c r="CH203" s="114">
        <v>138.4</v>
      </c>
      <c r="CI203" s="119">
        <v>9</v>
      </c>
      <c r="CJ203" s="120">
        <v>136</v>
      </c>
      <c r="CK203" s="114">
        <v>90.800000000000011</v>
      </c>
      <c r="CL203" s="54">
        <f t="shared" si="19"/>
        <v>60.5</v>
      </c>
      <c r="CM203" s="63">
        <f t="shared" si="19"/>
        <v>1005</v>
      </c>
      <c r="CN203" s="55">
        <f t="shared" si="19"/>
        <v>676.83999999999992</v>
      </c>
      <c r="CO203" s="54">
        <f t="shared" si="20"/>
        <v>5.041666666666667</v>
      </c>
      <c r="CP203" s="63">
        <f t="shared" si="20"/>
        <v>83.75</v>
      </c>
      <c r="CQ203" s="55">
        <f t="shared" si="20"/>
        <v>56.403333333333329</v>
      </c>
    </row>
    <row r="204" spans="1:95" s="25" customFormat="1" ht="31.5" customHeight="1" x14ac:dyDescent="0.6">
      <c r="A204" s="5">
        <v>201</v>
      </c>
      <c r="B204" s="18" t="s">
        <v>477</v>
      </c>
      <c r="C204" s="18">
        <v>185</v>
      </c>
      <c r="D204" s="18" t="s">
        <v>478</v>
      </c>
      <c r="E204" s="18" t="s">
        <v>128</v>
      </c>
      <c r="F204" s="23" t="s">
        <v>129</v>
      </c>
      <c r="G204" s="7" t="s">
        <v>475</v>
      </c>
      <c r="H204" s="123"/>
      <c r="I204" s="123"/>
      <c r="J204" s="123" t="s">
        <v>1046</v>
      </c>
      <c r="K204" s="49" t="s">
        <v>476</v>
      </c>
      <c r="L204" s="27"/>
      <c r="M204" s="58"/>
      <c r="N204" s="78"/>
      <c r="O204" s="27"/>
      <c r="P204" s="58"/>
      <c r="Q204" s="49"/>
      <c r="R204" s="27"/>
      <c r="S204" s="58"/>
      <c r="T204" s="98"/>
      <c r="U204" s="27"/>
      <c r="V204" s="58"/>
      <c r="W204" s="12"/>
      <c r="X204" s="27"/>
      <c r="Y204" s="58"/>
      <c r="Z204" s="12"/>
      <c r="AA204" s="27"/>
      <c r="AB204" s="58"/>
      <c r="AC204" s="12"/>
      <c r="AD204" s="27">
        <v>10</v>
      </c>
      <c r="AE204" s="58">
        <v>20</v>
      </c>
      <c r="AF204" s="107"/>
      <c r="AG204" s="27">
        <v>0</v>
      </c>
      <c r="AH204" s="58">
        <v>0</v>
      </c>
      <c r="AI204" s="107"/>
      <c r="AJ204" s="27">
        <v>84</v>
      </c>
      <c r="AK204" s="58">
        <v>1190</v>
      </c>
      <c r="AL204" s="107"/>
      <c r="AM204" s="27">
        <v>43</v>
      </c>
      <c r="AN204" s="58">
        <v>662</v>
      </c>
      <c r="AO204" s="12"/>
      <c r="AP204" s="27">
        <v>55</v>
      </c>
      <c r="AQ204" s="58">
        <v>940</v>
      </c>
      <c r="AR204" s="12"/>
      <c r="AS204" s="27">
        <v>112</v>
      </c>
      <c r="AT204" s="58">
        <v>1680</v>
      </c>
      <c r="AU204" s="12"/>
      <c r="AV204" s="54"/>
      <c r="AW204" s="63"/>
      <c r="AX204" s="55"/>
      <c r="AY204" s="54"/>
      <c r="AZ204" s="63"/>
      <c r="BA204" s="55"/>
      <c r="BB204" s="10">
        <v>50</v>
      </c>
      <c r="BC204" s="15">
        <v>740</v>
      </c>
      <c r="BD204" s="11">
        <v>514</v>
      </c>
      <c r="BE204" s="10">
        <v>0</v>
      </c>
      <c r="BF204" s="15">
        <v>0</v>
      </c>
      <c r="BG204" s="11">
        <v>0</v>
      </c>
      <c r="BH204" s="10">
        <v>140</v>
      </c>
      <c r="BI204" s="15">
        <v>2102</v>
      </c>
      <c r="BJ204" s="11">
        <v>1487</v>
      </c>
      <c r="BK204" s="10">
        <v>78</v>
      </c>
      <c r="BL204" s="15">
        <v>1092</v>
      </c>
      <c r="BM204" s="11">
        <v>864.8</v>
      </c>
      <c r="BN204" s="46">
        <v>162</v>
      </c>
      <c r="BO204" s="43">
        <v>2396</v>
      </c>
      <c r="BP204" s="47">
        <v>1766.5600000000002</v>
      </c>
      <c r="BQ204" s="46">
        <v>136</v>
      </c>
      <c r="BR204" s="43">
        <v>2068</v>
      </c>
      <c r="BS204" s="47">
        <v>1516.2</v>
      </c>
      <c r="BT204" s="46">
        <v>85</v>
      </c>
      <c r="BU204" s="43">
        <v>1384</v>
      </c>
      <c r="BV204" s="114">
        <v>926</v>
      </c>
      <c r="BW204" s="119">
        <v>44.3</v>
      </c>
      <c r="BX204" s="120">
        <v>731</v>
      </c>
      <c r="BY204" s="114">
        <v>489.96000000000004</v>
      </c>
      <c r="BZ204" s="119">
        <v>79</v>
      </c>
      <c r="CA204" s="120">
        <v>1428</v>
      </c>
      <c r="CB204" s="114">
        <v>865.52</v>
      </c>
      <c r="CC204" s="119">
        <v>72</v>
      </c>
      <c r="CD204" s="120">
        <v>1284</v>
      </c>
      <c r="CE204" s="114">
        <v>822</v>
      </c>
      <c r="CF204" s="119">
        <v>75</v>
      </c>
      <c r="CG204" s="120">
        <v>1294</v>
      </c>
      <c r="CH204" s="114">
        <v>852.96</v>
      </c>
      <c r="CI204" s="119">
        <v>81</v>
      </c>
      <c r="CJ204" s="120">
        <v>1508</v>
      </c>
      <c r="CK204" s="114">
        <v>883.92000000000007</v>
      </c>
      <c r="CL204" s="54">
        <f t="shared" si="19"/>
        <v>1002.3</v>
      </c>
      <c r="CM204" s="63">
        <f t="shared" si="19"/>
        <v>16027</v>
      </c>
      <c r="CN204" s="55">
        <f t="shared" si="19"/>
        <v>10988.92</v>
      </c>
      <c r="CO204" s="54">
        <f t="shared" si="20"/>
        <v>83.524999999999991</v>
      </c>
      <c r="CP204" s="63">
        <f t="shared" si="20"/>
        <v>1335.5833333333333</v>
      </c>
      <c r="CQ204" s="55">
        <f t="shared" si="20"/>
        <v>915.74333333333334</v>
      </c>
    </row>
    <row r="205" spans="1:95" s="25" customFormat="1" ht="31.5" customHeight="1" x14ac:dyDescent="0.6">
      <c r="A205" s="5">
        <v>202</v>
      </c>
      <c r="B205" s="18" t="s">
        <v>479</v>
      </c>
      <c r="C205" s="18" t="s">
        <v>522</v>
      </c>
      <c r="D205" s="18" t="s">
        <v>480</v>
      </c>
      <c r="E205" s="18" t="s">
        <v>128</v>
      </c>
      <c r="F205" s="23" t="s">
        <v>129</v>
      </c>
      <c r="G205" s="7" t="s">
        <v>475</v>
      </c>
      <c r="H205" s="123"/>
      <c r="I205" s="123"/>
      <c r="J205" s="123" t="s">
        <v>1047</v>
      </c>
      <c r="K205" s="49" t="s">
        <v>476</v>
      </c>
      <c r="L205" s="27"/>
      <c r="M205" s="58"/>
      <c r="N205" s="78"/>
      <c r="O205" s="27"/>
      <c r="P205" s="58"/>
      <c r="Q205" s="49"/>
      <c r="R205" s="27"/>
      <c r="S205" s="58"/>
      <c r="T205" s="98"/>
      <c r="U205" s="27"/>
      <c r="V205" s="58"/>
      <c r="W205" s="12"/>
      <c r="X205" s="27"/>
      <c r="Y205" s="58"/>
      <c r="Z205" s="12"/>
      <c r="AA205" s="27"/>
      <c r="AB205" s="58"/>
      <c r="AC205" s="12"/>
      <c r="AD205" s="27">
        <v>0</v>
      </c>
      <c r="AE205" s="58">
        <v>0</v>
      </c>
      <c r="AF205" s="107"/>
      <c r="AG205" s="27">
        <v>47</v>
      </c>
      <c r="AH205" s="58">
        <v>620</v>
      </c>
      <c r="AI205" s="107"/>
      <c r="AJ205" s="27">
        <v>45</v>
      </c>
      <c r="AK205" s="58">
        <v>540</v>
      </c>
      <c r="AL205" s="107"/>
      <c r="AM205" s="27">
        <v>40</v>
      </c>
      <c r="AN205" s="58">
        <v>480</v>
      </c>
      <c r="AO205" s="12"/>
      <c r="AP205" s="27">
        <v>60</v>
      </c>
      <c r="AQ205" s="58">
        <v>720</v>
      </c>
      <c r="AR205" s="12"/>
      <c r="AS205" s="27">
        <v>17</v>
      </c>
      <c r="AT205" s="58">
        <v>204</v>
      </c>
      <c r="AU205" s="12"/>
      <c r="AV205" s="54"/>
      <c r="AW205" s="63"/>
      <c r="AX205" s="55"/>
      <c r="AY205" s="54"/>
      <c r="AZ205" s="63"/>
      <c r="BA205" s="55"/>
      <c r="BB205" s="10">
        <v>30</v>
      </c>
      <c r="BC205" s="15">
        <v>360</v>
      </c>
      <c r="BD205" s="11">
        <v>360</v>
      </c>
      <c r="BE205" s="10">
        <v>15</v>
      </c>
      <c r="BF205" s="15">
        <v>180</v>
      </c>
      <c r="BG205" s="11">
        <v>180</v>
      </c>
      <c r="BH205" s="10">
        <v>65</v>
      </c>
      <c r="BI205" s="15">
        <v>785</v>
      </c>
      <c r="BJ205" s="11">
        <v>782</v>
      </c>
      <c r="BK205" s="10">
        <v>30</v>
      </c>
      <c r="BL205" s="15">
        <v>360</v>
      </c>
      <c r="BM205" s="11">
        <v>360</v>
      </c>
      <c r="BN205" s="46">
        <v>93</v>
      </c>
      <c r="BO205" s="43">
        <v>1228</v>
      </c>
      <c r="BP205" s="47">
        <v>1124</v>
      </c>
      <c r="BQ205" s="46">
        <v>45</v>
      </c>
      <c r="BR205" s="43">
        <v>542</v>
      </c>
      <c r="BS205" s="47">
        <v>542</v>
      </c>
      <c r="BT205" s="46">
        <v>70</v>
      </c>
      <c r="BU205" s="43">
        <v>840</v>
      </c>
      <c r="BV205" s="114">
        <v>792</v>
      </c>
      <c r="BW205" s="119">
        <v>0.3</v>
      </c>
      <c r="BX205" s="120">
        <v>3</v>
      </c>
      <c r="BY205" s="114">
        <v>2.04</v>
      </c>
      <c r="BZ205" s="119">
        <v>30</v>
      </c>
      <c r="CA205" s="120">
        <v>360</v>
      </c>
      <c r="CB205" s="114">
        <v>360</v>
      </c>
      <c r="CC205" s="119">
        <v>0</v>
      </c>
      <c r="CD205" s="120">
        <v>0</v>
      </c>
      <c r="CE205" s="114">
        <v>0</v>
      </c>
      <c r="CF205" s="119">
        <v>1.08</v>
      </c>
      <c r="CG205" s="120">
        <v>13</v>
      </c>
      <c r="CH205" s="114">
        <v>12.68</v>
      </c>
      <c r="CI205" s="119">
        <v>0</v>
      </c>
      <c r="CJ205" s="120">
        <v>0</v>
      </c>
      <c r="CK205" s="114">
        <v>0</v>
      </c>
      <c r="CL205" s="54">
        <f t="shared" si="19"/>
        <v>379.38</v>
      </c>
      <c r="CM205" s="63">
        <f t="shared" si="19"/>
        <v>4671</v>
      </c>
      <c r="CN205" s="55">
        <f t="shared" si="19"/>
        <v>4514.72</v>
      </c>
      <c r="CO205" s="54">
        <f t="shared" si="20"/>
        <v>31.614999999999998</v>
      </c>
      <c r="CP205" s="63">
        <f t="shared" si="20"/>
        <v>389.25</v>
      </c>
      <c r="CQ205" s="55">
        <f t="shared" si="20"/>
        <v>376.22666666666669</v>
      </c>
    </row>
    <row r="206" spans="1:95" s="25" customFormat="1" ht="31.5" customHeight="1" x14ac:dyDescent="0.6">
      <c r="A206" s="5">
        <v>203</v>
      </c>
      <c r="B206" s="18" t="s">
        <v>481</v>
      </c>
      <c r="C206" s="18" t="s">
        <v>524</v>
      </c>
      <c r="D206" s="18" t="s">
        <v>482</v>
      </c>
      <c r="E206" s="18" t="s">
        <v>128</v>
      </c>
      <c r="F206" s="23" t="s">
        <v>129</v>
      </c>
      <c r="G206" s="7" t="s">
        <v>475</v>
      </c>
      <c r="H206" s="123"/>
      <c r="I206" s="123"/>
      <c r="J206" s="123" t="s">
        <v>1048</v>
      </c>
      <c r="K206" s="49" t="s">
        <v>476</v>
      </c>
      <c r="L206" s="27"/>
      <c r="M206" s="58"/>
      <c r="N206" s="78"/>
      <c r="O206" s="27"/>
      <c r="P206" s="58"/>
      <c r="Q206" s="49"/>
      <c r="R206" s="27"/>
      <c r="S206" s="58"/>
      <c r="T206" s="98"/>
      <c r="U206" s="27"/>
      <c r="V206" s="58"/>
      <c r="W206" s="12"/>
      <c r="X206" s="27"/>
      <c r="Y206" s="58"/>
      <c r="Z206" s="12"/>
      <c r="AA206" s="27"/>
      <c r="AB206" s="58"/>
      <c r="AC206" s="12"/>
      <c r="AD206" s="27">
        <v>27</v>
      </c>
      <c r="AE206" s="58">
        <v>352</v>
      </c>
      <c r="AF206" s="107"/>
      <c r="AG206" s="27">
        <v>9</v>
      </c>
      <c r="AH206" s="58">
        <v>260</v>
      </c>
      <c r="AI206" s="107"/>
      <c r="AJ206" s="27">
        <v>1</v>
      </c>
      <c r="AK206" s="58">
        <v>12</v>
      </c>
      <c r="AL206" s="107"/>
      <c r="AM206" s="27">
        <v>26</v>
      </c>
      <c r="AN206" s="58">
        <v>402</v>
      </c>
      <c r="AO206" s="12"/>
      <c r="AP206" s="27">
        <v>0</v>
      </c>
      <c r="AQ206" s="58">
        <v>0</v>
      </c>
      <c r="AR206" s="12"/>
      <c r="AS206" s="27">
        <v>16.75</v>
      </c>
      <c r="AT206" s="58">
        <v>390</v>
      </c>
      <c r="AU206" s="12"/>
      <c r="AV206" s="54"/>
      <c r="AW206" s="63"/>
      <c r="AX206" s="55"/>
      <c r="AY206" s="54"/>
      <c r="AZ206" s="63"/>
      <c r="BA206" s="55"/>
      <c r="BB206" s="10">
        <v>0</v>
      </c>
      <c r="BC206" s="15">
        <v>0</v>
      </c>
      <c r="BD206" s="11">
        <v>0</v>
      </c>
      <c r="BE206" s="10">
        <v>0</v>
      </c>
      <c r="BF206" s="15">
        <v>0</v>
      </c>
      <c r="BG206" s="11">
        <v>0</v>
      </c>
      <c r="BH206" s="10">
        <v>48</v>
      </c>
      <c r="BI206" s="15">
        <v>810</v>
      </c>
      <c r="BJ206" s="11">
        <v>577</v>
      </c>
      <c r="BK206" s="10">
        <v>1.6</v>
      </c>
      <c r="BL206" s="15">
        <v>30</v>
      </c>
      <c r="BM206" s="11">
        <v>12.6</v>
      </c>
      <c r="BN206" s="46">
        <v>13</v>
      </c>
      <c r="BO206" s="43">
        <v>359</v>
      </c>
      <c r="BP206" s="47">
        <v>153.80000000000001</v>
      </c>
      <c r="BQ206" s="46">
        <v>2</v>
      </c>
      <c r="BR206" s="43">
        <v>18</v>
      </c>
      <c r="BS206" s="47">
        <v>18</v>
      </c>
      <c r="BT206" s="46">
        <v>6</v>
      </c>
      <c r="BU206" s="43">
        <v>224</v>
      </c>
      <c r="BV206" s="114">
        <v>78.400000000000006</v>
      </c>
      <c r="BW206" s="119">
        <v>43.5</v>
      </c>
      <c r="BX206" s="120">
        <v>746</v>
      </c>
      <c r="BY206" s="114">
        <v>536.08000000000004</v>
      </c>
      <c r="BZ206" s="119">
        <v>0</v>
      </c>
      <c r="CA206" s="120">
        <v>0</v>
      </c>
      <c r="CB206" s="114">
        <v>0</v>
      </c>
      <c r="CC206" s="119">
        <v>25</v>
      </c>
      <c r="CD206" s="120">
        <v>440</v>
      </c>
      <c r="CE206" s="114">
        <v>310</v>
      </c>
      <c r="CF206" s="119">
        <v>16</v>
      </c>
      <c r="CG206" s="120">
        <v>276</v>
      </c>
      <c r="CH206" s="114">
        <v>194.16</v>
      </c>
      <c r="CI206" s="119">
        <v>12</v>
      </c>
      <c r="CJ206" s="120">
        <v>200</v>
      </c>
      <c r="CK206" s="114">
        <v>148</v>
      </c>
      <c r="CL206" s="54">
        <f t="shared" si="19"/>
        <v>167.1</v>
      </c>
      <c r="CM206" s="63">
        <f t="shared" si="19"/>
        <v>3103</v>
      </c>
      <c r="CN206" s="55">
        <f t="shared" si="19"/>
        <v>2028.0400000000002</v>
      </c>
      <c r="CO206" s="54">
        <f t="shared" si="20"/>
        <v>13.924999999999999</v>
      </c>
      <c r="CP206" s="63">
        <f t="shared" si="20"/>
        <v>258.58333333333331</v>
      </c>
      <c r="CQ206" s="55">
        <f t="shared" si="20"/>
        <v>169.00333333333336</v>
      </c>
    </row>
    <row r="207" spans="1:95" s="25" customFormat="1" ht="31.5" customHeight="1" x14ac:dyDescent="0.6">
      <c r="A207" s="5">
        <v>204</v>
      </c>
      <c r="B207" s="18" t="s">
        <v>483</v>
      </c>
      <c r="C207" s="18" t="s">
        <v>1159</v>
      </c>
      <c r="D207" s="18" t="s">
        <v>484</v>
      </c>
      <c r="E207" s="18" t="s">
        <v>128</v>
      </c>
      <c r="F207" s="23" t="s">
        <v>129</v>
      </c>
      <c r="G207" s="7" t="s">
        <v>475</v>
      </c>
      <c r="H207" s="123"/>
      <c r="I207" s="123"/>
      <c r="J207" s="123" t="s">
        <v>1049</v>
      </c>
      <c r="K207" s="49" t="s">
        <v>476</v>
      </c>
      <c r="L207" s="27"/>
      <c r="M207" s="58"/>
      <c r="N207" s="78"/>
      <c r="O207" s="27"/>
      <c r="P207" s="58"/>
      <c r="Q207" s="49"/>
      <c r="R207" s="27"/>
      <c r="S207" s="58"/>
      <c r="T207" s="98"/>
      <c r="U207" s="27"/>
      <c r="V207" s="58"/>
      <c r="W207" s="12"/>
      <c r="X207" s="27"/>
      <c r="Y207" s="58"/>
      <c r="Z207" s="12"/>
      <c r="AA207" s="27"/>
      <c r="AB207" s="58"/>
      <c r="AC207" s="12"/>
      <c r="AD207" s="27">
        <v>30</v>
      </c>
      <c r="AE207" s="58">
        <v>360</v>
      </c>
      <c r="AF207" s="107"/>
      <c r="AG207" s="27">
        <v>50</v>
      </c>
      <c r="AH207" s="58">
        <v>740</v>
      </c>
      <c r="AI207" s="107"/>
      <c r="AJ207" s="27">
        <v>40</v>
      </c>
      <c r="AK207" s="58">
        <v>760</v>
      </c>
      <c r="AL207" s="107"/>
      <c r="AM207" s="27">
        <v>60</v>
      </c>
      <c r="AN207" s="58">
        <v>740</v>
      </c>
      <c r="AO207" s="12"/>
      <c r="AP207" s="27">
        <v>83</v>
      </c>
      <c r="AQ207" s="58">
        <v>1416</v>
      </c>
      <c r="AR207" s="12"/>
      <c r="AS207" s="27">
        <v>87</v>
      </c>
      <c r="AT207" s="58">
        <v>1660</v>
      </c>
      <c r="AU207" s="12"/>
      <c r="AV207" s="54"/>
      <c r="AW207" s="63"/>
      <c r="AX207" s="55"/>
      <c r="AY207" s="54"/>
      <c r="AZ207" s="63"/>
      <c r="BA207" s="55"/>
      <c r="BB207" s="10">
        <v>89</v>
      </c>
      <c r="BC207" s="15">
        <v>1348</v>
      </c>
      <c r="BD207" s="11">
        <v>1040</v>
      </c>
      <c r="BE207" s="10">
        <v>30</v>
      </c>
      <c r="BF207" s="15">
        <v>360</v>
      </c>
      <c r="BG207" s="11">
        <v>360</v>
      </c>
      <c r="BH207" s="10">
        <v>150</v>
      </c>
      <c r="BI207" s="15">
        <v>2920</v>
      </c>
      <c r="BJ207" s="11">
        <v>1784</v>
      </c>
      <c r="BK207" s="10">
        <v>45</v>
      </c>
      <c r="BL207" s="15">
        <v>540</v>
      </c>
      <c r="BM207" s="11">
        <v>516</v>
      </c>
      <c r="BN207" s="46">
        <v>135</v>
      </c>
      <c r="BO207" s="43">
        <v>2180</v>
      </c>
      <c r="BP207" s="47">
        <v>1564</v>
      </c>
      <c r="BQ207" s="46">
        <v>65</v>
      </c>
      <c r="BR207" s="43">
        <v>1200</v>
      </c>
      <c r="BS207" s="47">
        <v>786</v>
      </c>
      <c r="BT207" s="46">
        <v>164</v>
      </c>
      <c r="BU207" s="43">
        <v>2920</v>
      </c>
      <c r="BV207" s="114">
        <v>1916</v>
      </c>
      <c r="BW207" s="119">
        <v>45.3</v>
      </c>
      <c r="BX207" s="120">
        <v>1383</v>
      </c>
      <c r="BY207" s="114">
        <v>530.04</v>
      </c>
      <c r="BZ207" s="119">
        <v>10.25</v>
      </c>
      <c r="CA207" s="120">
        <v>123</v>
      </c>
      <c r="CB207" s="114">
        <v>74.040000000000006</v>
      </c>
      <c r="CC207" s="119">
        <v>83</v>
      </c>
      <c r="CD207" s="120">
        <v>1640</v>
      </c>
      <c r="CE207" s="114">
        <v>922</v>
      </c>
      <c r="CF207" s="119">
        <v>85</v>
      </c>
      <c r="CG207" s="120">
        <v>1642</v>
      </c>
      <c r="CH207" s="114">
        <v>958.88</v>
      </c>
      <c r="CI207" s="119">
        <v>55</v>
      </c>
      <c r="CJ207" s="120">
        <v>950</v>
      </c>
      <c r="CK207" s="114">
        <v>592.79999999999995</v>
      </c>
      <c r="CL207" s="54">
        <f t="shared" si="19"/>
        <v>956.55</v>
      </c>
      <c r="CM207" s="63">
        <f t="shared" si="19"/>
        <v>17206</v>
      </c>
      <c r="CN207" s="55">
        <f t="shared" si="19"/>
        <v>11043.76</v>
      </c>
      <c r="CO207" s="54">
        <f t="shared" si="20"/>
        <v>79.712499999999991</v>
      </c>
      <c r="CP207" s="63">
        <f t="shared" si="20"/>
        <v>1433.8333333333333</v>
      </c>
      <c r="CQ207" s="55">
        <f t="shared" si="20"/>
        <v>920.31333333333339</v>
      </c>
    </row>
    <row r="208" spans="1:95" s="25" customFormat="1" ht="31.5" customHeight="1" x14ac:dyDescent="0.6">
      <c r="A208" s="5">
        <v>205</v>
      </c>
      <c r="B208" s="18" t="s">
        <v>485</v>
      </c>
      <c r="C208" s="18" t="s">
        <v>160</v>
      </c>
      <c r="D208" s="18" t="s">
        <v>486</v>
      </c>
      <c r="E208" s="18" t="s">
        <v>128</v>
      </c>
      <c r="F208" s="23" t="s">
        <v>129</v>
      </c>
      <c r="G208" s="7" t="s">
        <v>475</v>
      </c>
      <c r="H208" s="123"/>
      <c r="I208" s="123"/>
      <c r="J208" s="123" t="s">
        <v>1050</v>
      </c>
      <c r="K208" s="49" t="s">
        <v>476</v>
      </c>
      <c r="L208" s="27"/>
      <c r="M208" s="58"/>
      <c r="N208" s="78"/>
      <c r="O208" s="27"/>
      <c r="P208" s="58"/>
      <c r="Q208" s="49"/>
      <c r="R208" s="27"/>
      <c r="S208" s="58"/>
      <c r="T208" s="98"/>
      <c r="U208" s="27"/>
      <c r="V208" s="58"/>
      <c r="W208" s="12"/>
      <c r="X208" s="27"/>
      <c r="Y208" s="58"/>
      <c r="Z208" s="12"/>
      <c r="AA208" s="27"/>
      <c r="AB208" s="58"/>
      <c r="AC208" s="12"/>
      <c r="AD208" s="27">
        <v>50</v>
      </c>
      <c r="AE208" s="58">
        <v>662</v>
      </c>
      <c r="AF208" s="107"/>
      <c r="AG208" s="27">
        <v>0</v>
      </c>
      <c r="AH208" s="58">
        <v>0</v>
      </c>
      <c r="AI208" s="107"/>
      <c r="AJ208" s="27">
        <v>0</v>
      </c>
      <c r="AK208" s="58">
        <v>0</v>
      </c>
      <c r="AL208" s="107"/>
      <c r="AM208" s="27">
        <v>0</v>
      </c>
      <c r="AN208" s="58">
        <v>0</v>
      </c>
      <c r="AO208" s="12"/>
      <c r="AP208" s="27">
        <v>0</v>
      </c>
      <c r="AQ208" s="58">
        <v>0</v>
      </c>
      <c r="AR208" s="12"/>
      <c r="AS208" s="27">
        <v>0</v>
      </c>
      <c r="AT208" s="58">
        <v>0</v>
      </c>
      <c r="AU208" s="12"/>
      <c r="AV208" s="54"/>
      <c r="AW208" s="63"/>
      <c r="AX208" s="55"/>
      <c r="AY208" s="54"/>
      <c r="AZ208" s="63"/>
      <c r="BA208" s="55"/>
      <c r="BB208" s="10">
        <v>0</v>
      </c>
      <c r="BC208" s="15">
        <v>0</v>
      </c>
      <c r="BD208" s="11">
        <v>0</v>
      </c>
      <c r="BE208" s="10">
        <v>0</v>
      </c>
      <c r="BF208" s="15">
        <v>0</v>
      </c>
      <c r="BG208" s="11">
        <v>0</v>
      </c>
      <c r="BH208" s="10">
        <v>0</v>
      </c>
      <c r="BI208" s="15">
        <v>0</v>
      </c>
      <c r="BJ208" s="11">
        <v>0</v>
      </c>
      <c r="BK208" s="10">
        <v>0</v>
      </c>
      <c r="BL208" s="15">
        <v>0</v>
      </c>
      <c r="BM208" s="11">
        <v>0</v>
      </c>
      <c r="BN208" s="46">
        <v>0</v>
      </c>
      <c r="BO208" s="43">
        <v>0</v>
      </c>
      <c r="BP208" s="47">
        <v>0</v>
      </c>
      <c r="BQ208" s="46">
        <v>0</v>
      </c>
      <c r="BR208" s="43">
        <v>0</v>
      </c>
      <c r="BS208" s="47">
        <v>0</v>
      </c>
      <c r="BT208" s="46">
        <v>0</v>
      </c>
      <c r="BU208" s="43">
        <v>0</v>
      </c>
      <c r="BV208" s="114">
        <v>0</v>
      </c>
      <c r="BW208" s="119">
        <v>0</v>
      </c>
      <c r="BX208" s="120">
        <v>0</v>
      </c>
      <c r="BY208" s="114">
        <v>0</v>
      </c>
      <c r="BZ208" s="119">
        <v>0</v>
      </c>
      <c r="CA208" s="120">
        <v>0</v>
      </c>
      <c r="CB208" s="114">
        <v>0</v>
      </c>
      <c r="CC208" s="119">
        <v>0</v>
      </c>
      <c r="CD208" s="120">
        <v>0</v>
      </c>
      <c r="CE208" s="114">
        <v>0</v>
      </c>
      <c r="CF208" s="119">
        <v>0</v>
      </c>
      <c r="CG208" s="120">
        <v>0</v>
      </c>
      <c r="CH208" s="114">
        <v>0</v>
      </c>
      <c r="CI208" s="119">
        <v>0</v>
      </c>
      <c r="CJ208" s="120">
        <v>0</v>
      </c>
      <c r="CK208" s="114">
        <v>0</v>
      </c>
      <c r="CL208" s="54">
        <f t="shared" si="19"/>
        <v>0</v>
      </c>
      <c r="CM208" s="63">
        <f t="shared" si="19"/>
        <v>0</v>
      </c>
      <c r="CN208" s="55">
        <f t="shared" si="19"/>
        <v>0</v>
      </c>
      <c r="CO208" s="54">
        <f t="shared" si="20"/>
        <v>0</v>
      </c>
      <c r="CP208" s="63">
        <f t="shared" si="20"/>
        <v>0</v>
      </c>
      <c r="CQ208" s="55">
        <f t="shared" si="20"/>
        <v>0</v>
      </c>
    </row>
    <row r="209" spans="1:95" s="25" customFormat="1" ht="31.5" customHeight="1" x14ac:dyDescent="0.6">
      <c r="A209" s="5">
        <v>206</v>
      </c>
      <c r="B209" s="18" t="s">
        <v>487</v>
      </c>
      <c r="C209" s="18" t="s">
        <v>217</v>
      </c>
      <c r="D209" s="18" t="s">
        <v>488</v>
      </c>
      <c r="E209" s="18" t="s">
        <v>128</v>
      </c>
      <c r="F209" s="23" t="s">
        <v>129</v>
      </c>
      <c r="G209" s="7" t="s">
        <v>475</v>
      </c>
      <c r="H209" s="123"/>
      <c r="I209" s="123"/>
      <c r="J209" s="123" t="s">
        <v>1051</v>
      </c>
      <c r="K209" s="49" t="s">
        <v>476</v>
      </c>
      <c r="L209" s="27"/>
      <c r="M209" s="58"/>
      <c r="N209" s="78"/>
      <c r="O209" s="27"/>
      <c r="P209" s="58"/>
      <c r="Q209" s="49"/>
      <c r="R209" s="27"/>
      <c r="S209" s="58"/>
      <c r="T209" s="98"/>
      <c r="U209" s="27"/>
      <c r="V209" s="58"/>
      <c r="W209" s="12"/>
      <c r="X209" s="27"/>
      <c r="Y209" s="58"/>
      <c r="Z209" s="12"/>
      <c r="AA209" s="27"/>
      <c r="AB209" s="58"/>
      <c r="AC209" s="12"/>
      <c r="AD209" s="27">
        <v>63</v>
      </c>
      <c r="AE209" s="58">
        <v>932</v>
      </c>
      <c r="AF209" s="107"/>
      <c r="AG209" s="27">
        <v>36</v>
      </c>
      <c r="AH209" s="58">
        <v>550</v>
      </c>
      <c r="AI209" s="107"/>
      <c r="AJ209" s="27">
        <v>70</v>
      </c>
      <c r="AK209" s="58">
        <v>980</v>
      </c>
      <c r="AL209" s="107"/>
      <c r="AM209" s="27">
        <v>41</v>
      </c>
      <c r="AN209" s="58">
        <v>638</v>
      </c>
      <c r="AO209" s="12"/>
      <c r="AP209" s="27">
        <v>46</v>
      </c>
      <c r="AQ209" s="58">
        <v>642</v>
      </c>
      <c r="AR209" s="12"/>
      <c r="AS209" s="27">
        <v>58</v>
      </c>
      <c r="AT209" s="58">
        <v>790</v>
      </c>
      <c r="AU209" s="12"/>
      <c r="AV209" s="54"/>
      <c r="AW209" s="63"/>
      <c r="AX209" s="55"/>
      <c r="AY209" s="54"/>
      <c r="AZ209" s="63"/>
      <c r="BA209" s="55"/>
      <c r="BB209" s="10">
        <v>44</v>
      </c>
      <c r="BC209" s="15">
        <v>640</v>
      </c>
      <c r="BD209" s="11">
        <v>536</v>
      </c>
      <c r="BE209" s="10">
        <v>17</v>
      </c>
      <c r="BF209" s="15">
        <v>208</v>
      </c>
      <c r="BG209" s="11">
        <v>200</v>
      </c>
      <c r="BH209" s="10">
        <v>55</v>
      </c>
      <c r="BI209" s="15">
        <v>866</v>
      </c>
      <c r="BJ209" s="11">
        <v>647.95000000000005</v>
      </c>
      <c r="BK209" s="10">
        <v>0</v>
      </c>
      <c r="BL209" s="15">
        <v>0</v>
      </c>
      <c r="BM209" s="11">
        <v>0</v>
      </c>
      <c r="BN209" s="46">
        <v>62</v>
      </c>
      <c r="BO209" s="43">
        <v>940</v>
      </c>
      <c r="BP209" s="47">
        <v>734</v>
      </c>
      <c r="BQ209" s="46">
        <v>49</v>
      </c>
      <c r="BR209" s="43">
        <v>616</v>
      </c>
      <c r="BS209" s="47">
        <v>582.79999999999995</v>
      </c>
      <c r="BT209" s="46">
        <v>47</v>
      </c>
      <c r="BU209" s="43">
        <v>620</v>
      </c>
      <c r="BV209" s="114">
        <v>553.6</v>
      </c>
      <c r="BW209" s="119">
        <v>31.3</v>
      </c>
      <c r="BX209" s="120">
        <v>487</v>
      </c>
      <c r="BY209" s="114">
        <v>374.84000000000003</v>
      </c>
      <c r="BZ209" s="119">
        <v>32</v>
      </c>
      <c r="CA209" s="120">
        <v>450</v>
      </c>
      <c r="CB209" s="114">
        <v>372.8</v>
      </c>
      <c r="CC209" s="119">
        <v>39</v>
      </c>
      <c r="CD209" s="120">
        <v>524</v>
      </c>
      <c r="CE209" s="114">
        <v>472</v>
      </c>
      <c r="CF209" s="119">
        <v>34.5</v>
      </c>
      <c r="CG209" s="120">
        <v>470</v>
      </c>
      <c r="CH209" s="114">
        <v>401.43999999999994</v>
      </c>
      <c r="CI209" s="119">
        <v>37</v>
      </c>
      <c r="CJ209" s="120">
        <v>444</v>
      </c>
      <c r="CK209" s="114">
        <v>436.8</v>
      </c>
      <c r="CL209" s="54">
        <f t="shared" si="19"/>
        <v>447.8</v>
      </c>
      <c r="CM209" s="63">
        <f t="shared" si="19"/>
        <v>6265</v>
      </c>
      <c r="CN209" s="55">
        <f t="shared" si="19"/>
        <v>5312.23</v>
      </c>
      <c r="CO209" s="54">
        <f t="shared" si="20"/>
        <v>37.31666666666667</v>
      </c>
      <c r="CP209" s="63">
        <f t="shared" si="20"/>
        <v>522.08333333333337</v>
      </c>
      <c r="CQ209" s="55">
        <f t="shared" si="20"/>
        <v>442.68583333333328</v>
      </c>
    </row>
    <row r="210" spans="1:95" s="25" customFormat="1" ht="31.5" customHeight="1" x14ac:dyDescent="0.6">
      <c r="A210" s="5">
        <v>207</v>
      </c>
      <c r="B210" s="18" t="s">
        <v>489</v>
      </c>
      <c r="C210" s="18" t="s">
        <v>228</v>
      </c>
      <c r="D210" s="18" t="s">
        <v>490</v>
      </c>
      <c r="E210" s="18" t="s">
        <v>128</v>
      </c>
      <c r="F210" s="23" t="s">
        <v>129</v>
      </c>
      <c r="G210" s="7" t="s">
        <v>475</v>
      </c>
      <c r="H210" s="123"/>
      <c r="I210" s="123"/>
      <c r="J210" s="123" t="s">
        <v>1052</v>
      </c>
      <c r="K210" s="49" t="s">
        <v>476</v>
      </c>
      <c r="L210" s="27"/>
      <c r="M210" s="58"/>
      <c r="N210" s="78"/>
      <c r="O210" s="27"/>
      <c r="P210" s="58"/>
      <c r="Q210" s="49"/>
      <c r="R210" s="27"/>
      <c r="S210" s="58"/>
      <c r="T210" s="98"/>
      <c r="U210" s="27"/>
      <c r="V210" s="58"/>
      <c r="W210" s="12"/>
      <c r="X210" s="27"/>
      <c r="Y210" s="58"/>
      <c r="Z210" s="12"/>
      <c r="AA210" s="27"/>
      <c r="AB210" s="58"/>
      <c r="AC210" s="12"/>
      <c r="AD210" s="27">
        <v>25</v>
      </c>
      <c r="AE210" s="58">
        <v>450</v>
      </c>
      <c r="AF210" s="107"/>
      <c r="AG210" s="27">
        <v>83</v>
      </c>
      <c r="AH210" s="58">
        <v>1800</v>
      </c>
      <c r="AI210" s="107"/>
      <c r="AJ210" s="27">
        <v>56</v>
      </c>
      <c r="AK210" s="58">
        <v>714</v>
      </c>
      <c r="AL210" s="107"/>
      <c r="AM210" s="27">
        <v>55</v>
      </c>
      <c r="AN210" s="58">
        <v>680</v>
      </c>
      <c r="AO210" s="12"/>
      <c r="AP210" s="27">
        <v>22</v>
      </c>
      <c r="AQ210" s="58">
        <v>548</v>
      </c>
      <c r="AR210" s="12"/>
      <c r="AS210" s="27">
        <v>31</v>
      </c>
      <c r="AT210" s="58">
        <v>400</v>
      </c>
      <c r="AU210" s="12"/>
      <c r="AV210" s="54"/>
      <c r="AW210" s="63"/>
      <c r="AX210" s="55"/>
      <c r="AY210" s="54"/>
      <c r="AZ210" s="63"/>
      <c r="BA210" s="55"/>
      <c r="BB210" s="10">
        <v>10</v>
      </c>
      <c r="BC210" s="15">
        <v>270</v>
      </c>
      <c r="BD210" s="11">
        <v>116</v>
      </c>
      <c r="BE210" s="10">
        <v>15</v>
      </c>
      <c r="BF210" s="15">
        <v>180</v>
      </c>
      <c r="BG210" s="11">
        <v>180</v>
      </c>
      <c r="BH210" s="10">
        <v>40</v>
      </c>
      <c r="BI210" s="15">
        <v>480</v>
      </c>
      <c r="BJ210" s="11">
        <v>480</v>
      </c>
      <c r="BK210" s="10">
        <v>8</v>
      </c>
      <c r="BL210" s="15">
        <v>264</v>
      </c>
      <c r="BM210" s="11">
        <v>100.8</v>
      </c>
      <c r="BN210" s="46">
        <v>85</v>
      </c>
      <c r="BO210" s="43">
        <v>1182</v>
      </c>
      <c r="BP210" s="47">
        <v>924.56</v>
      </c>
      <c r="BQ210" s="46">
        <v>82</v>
      </c>
      <c r="BR210" s="43">
        <v>1205</v>
      </c>
      <c r="BS210" s="47">
        <v>974.04</v>
      </c>
      <c r="BT210" s="46">
        <v>46</v>
      </c>
      <c r="BU210" s="43">
        <v>758</v>
      </c>
      <c r="BV210" s="114">
        <v>513.6</v>
      </c>
      <c r="BW210" s="119">
        <v>20</v>
      </c>
      <c r="BX210" s="120">
        <v>521</v>
      </c>
      <c r="BY210" s="114">
        <v>260.68</v>
      </c>
      <c r="BZ210" s="119">
        <v>15</v>
      </c>
      <c r="CA210" s="120">
        <v>180</v>
      </c>
      <c r="CB210" s="114">
        <v>180</v>
      </c>
      <c r="CC210" s="119">
        <v>20</v>
      </c>
      <c r="CD210" s="120">
        <v>520</v>
      </c>
      <c r="CE210" s="114">
        <v>260</v>
      </c>
      <c r="CF210" s="119">
        <v>25</v>
      </c>
      <c r="CG210" s="120">
        <v>320</v>
      </c>
      <c r="CH210" s="114">
        <v>269.60000000000002</v>
      </c>
      <c r="CI210" s="119">
        <v>17</v>
      </c>
      <c r="CJ210" s="120">
        <v>260</v>
      </c>
      <c r="CK210" s="114">
        <v>208</v>
      </c>
      <c r="CL210" s="54">
        <f t="shared" si="19"/>
        <v>383</v>
      </c>
      <c r="CM210" s="63">
        <f t="shared" si="19"/>
        <v>6140</v>
      </c>
      <c r="CN210" s="55">
        <f t="shared" si="19"/>
        <v>4467.28</v>
      </c>
      <c r="CO210" s="54">
        <f t="shared" si="20"/>
        <v>31.916666666666668</v>
      </c>
      <c r="CP210" s="63">
        <f t="shared" si="20"/>
        <v>511.66666666666669</v>
      </c>
      <c r="CQ210" s="55">
        <f t="shared" si="20"/>
        <v>372.27333333333331</v>
      </c>
    </row>
    <row r="211" spans="1:95" s="25" customFormat="1" ht="31.5" customHeight="1" x14ac:dyDescent="0.6">
      <c r="A211" s="5">
        <v>208</v>
      </c>
      <c r="B211" s="18" t="s">
        <v>491</v>
      </c>
      <c r="C211" s="18" t="s">
        <v>527</v>
      </c>
      <c r="D211" s="18" t="s">
        <v>491</v>
      </c>
      <c r="E211" s="18" t="s">
        <v>128</v>
      </c>
      <c r="F211" s="23" t="s">
        <v>129</v>
      </c>
      <c r="G211" s="7" t="s">
        <v>475</v>
      </c>
      <c r="H211" s="123"/>
      <c r="I211" s="123"/>
      <c r="J211" s="123" t="s">
        <v>1053</v>
      </c>
      <c r="K211" s="49" t="s">
        <v>476</v>
      </c>
      <c r="L211" s="27"/>
      <c r="M211" s="58"/>
      <c r="N211" s="78"/>
      <c r="O211" s="27"/>
      <c r="P211" s="58"/>
      <c r="Q211" s="49"/>
      <c r="R211" s="27"/>
      <c r="S211" s="58"/>
      <c r="T211" s="98"/>
      <c r="U211" s="27"/>
      <c r="V211" s="58"/>
      <c r="W211" s="12"/>
      <c r="X211" s="27"/>
      <c r="Y211" s="58"/>
      <c r="Z211" s="12"/>
      <c r="AA211" s="27"/>
      <c r="AB211" s="58"/>
      <c r="AC211" s="12"/>
      <c r="AD211" s="27">
        <v>60</v>
      </c>
      <c r="AE211" s="58">
        <v>720</v>
      </c>
      <c r="AF211" s="107"/>
      <c r="AG211" s="27">
        <v>0</v>
      </c>
      <c r="AH211" s="58">
        <v>0</v>
      </c>
      <c r="AI211" s="107"/>
      <c r="AJ211" s="27">
        <v>134</v>
      </c>
      <c r="AK211" s="58">
        <v>1916</v>
      </c>
      <c r="AL211" s="107"/>
      <c r="AM211" s="27">
        <v>66</v>
      </c>
      <c r="AN211" s="58">
        <v>932</v>
      </c>
      <c r="AO211" s="12"/>
      <c r="AP211" s="27">
        <v>112</v>
      </c>
      <c r="AQ211" s="58">
        <v>1384</v>
      </c>
      <c r="AR211" s="12"/>
      <c r="AS211" s="27">
        <v>107</v>
      </c>
      <c r="AT211" s="58">
        <v>1350</v>
      </c>
      <c r="AU211" s="12"/>
      <c r="AV211" s="54"/>
      <c r="AW211" s="63"/>
      <c r="AX211" s="55"/>
      <c r="AY211" s="54"/>
      <c r="AZ211" s="63"/>
      <c r="BA211" s="55"/>
      <c r="BB211" s="10">
        <v>75</v>
      </c>
      <c r="BC211" s="15">
        <v>920</v>
      </c>
      <c r="BD211" s="11">
        <v>868</v>
      </c>
      <c r="BE211" s="10">
        <v>45</v>
      </c>
      <c r="BF211" s="15">
        <v>540</v>
      </c>
      <c r="BG211" s="11">
        <v>540</v>
      </c>
      <c r="BH211" s="10">
        <v>180</v>
      </c>
      <c r="BI211" s="15">
        <v>2310</v>
      </c>
      <c r="BJ211" s="11">
        <v>2154.8000000000002</v>
      </c>
      <c r="BK211" s="10">
        <v>28</v>
      </c>
      <c r="BL211" s="15">
        <v>430</v>
      </c>
      <c r="BM211" s="11">
        <v>326.8</v>
      </c>
      <c r="BN211" s="46">
        <v>125</v>
      </c>
      <c r="BO211" s="43">
        <v>1640</v>
      </c>
      <c r="BP211" s="47">
        <v>1486</v>
      </c>
      <c r="BQ211" s="46">
        <v>95</v>
      </c>
      <c r="BR211" s="43">
        <v>1374</v>
      </c>
      <c r="BS211" s="47">
        <v>1116.8</v>
      </c>
      <c r="BT211" s="46">
        <v>140</v>
      </c>
      <c r="BU211" s="43">
        <v>1820</v>
      </c>
      <c r="BV211" s="114">
        <v>1666</v>
      </c>
      <c r="BW211" s="119">
        <v>50.5</v>
      </c>
      <c r="BX211" s="120">
        <v>606</v>
      </c>
      <c r="BY211" s="114">
        <v>604.08000000000004</v>
      </c>
      <c r="BZ211" s="119">
        <v>109.25</v>
      </c>
      <c r="CA211" s="120">
        <v>1591</v>
      </c>
      <c r="CB211" s="114">
        <v>1286.8400000000001</v>
      </c>
      <c r="CC211" s="119">
        <v>95</v>
      </c>
      <c r="CD211" s="120">
        <v>1280</v>
      </c>
      <c r="CE211" s="114">
        <v>1102</v>
      </c>
      <c r="CF211" s="119">
        <v>122</v>
      </c>
      <c r="CG211" s="120">
        <v>1744</v>
      </c>
      <c r="CH211" s="114">
        <v>1432.1599999999999</v>
      </c>
      <c r="CI211" s="119">
        <v>90</v>
      </c>
      <c r="CJ211" s="120">
        <v>1304</v>
      </c>
      <c r="CK211" s="114">
        <v>1072</v>
      </c>
      <c r="CL211" s="54">
        <f t="shared" si="19"/>
        <v>1154.75</v>
      </c>
      <c r="CM211" s="63">
        <f t="shared" si="19"/>
        <v>15559</v>
      </c>
      <c r="CN211" s="55">
        <f t="shared" si="19"/>
        <v>13655.480000000001</v>
      </c>
      <c r="CO211" s="54">
        <f t="shared" si="20"/>
        <v>96.229166666666671</v>
      </c>
      <c r="CP211" s="63">
        <f t="shared" si="20"/>
        <v>1296.5833333333333</v>
      </c>
      <c r="CQ211" s="55">
        <f t="shared" si="20"/>
        <v>1137.9566666666667</v>
      </c>
    </row>
    <row r="212" spans="1:95" s="25" customFormat="1" ht="31.5" customHeight="1" x14ac:dyDescent="0.6">
      <c r="A212" s="5">
        <v>209</v>
      </c>
      <c r="B212" s="18" t="s">
        <v>492</v>
      </c>
      <c r="C212" s="18" t="s">
        <v>532</v>
      </c>
      <c r="D212" s="18" t="s">
        <v>493</v>
      </c>
      <c r="E212" s="18" t="s">
        <v>128</v>
      </c>
      <c r="F212" s="23" t="s">
        <v>129</v>
      </c>
      <c r="G212" s="7" t="s">
        <v>475</v>
      </c>
      <c r="H212" s="123"/>
      <c r="I212" s="123"/>
      <c r="J212" s="123" t="s">
        <v>1054</v>
      </c>
      <c r="K212" s="49" t="s">
        <v>476</v>
      </c>
      <c r="L212" s="27"/>
      <c r="M212" s="58"/>
      <c r="N212" s="78"/>
      <c r="O212" s="27"/>
      <c r="P212" s="58"/>
      <c r="Q212" s="49"/>
      <c r="R212" s="27"/>
      <c r="S212" s="58"/>
      <c r="T212" s="98"/>
      <c r="U212" s="27"/>
      <c r="V212" s="58"/>
      <c r="W212" s="12"/>
      <c r="X212" s="27"/>
      <c r="Y212" s="58"/>
      <c r="Z212" s="12"/>
      <c r="AA212" s="27"/>
      <c r="AB212" s="58"/>
      <c r="AC212" s="12"/>
      <c r="AD212" s="27">
        <v>5</v>
      </c>
      <c r="AE212" s="58">
        <v>60</v>
      </c>
      <c r="AF212" s="107"/>
      <c r="AG212" s="27">
        <v>20</v>
      </c>
      <c r="AH212" s="58">
        <v>280</v>
      </c>
      <c r="AI212" s="107"/>
      <c r="AJ212" s="27">
        <v>25</v>
      </c>
      <c r="AK212" s="58">
        <v>440</v>
      </c>
      <c r="AL212" s="107"/>
      <c r="AM212" s="27">
        <v>10</v>
      </c>
      <c r="AN212" s="58">
        <v>120</v>
      </c>
      <c r="AO212" s="12"/>
      <c r="AP212" s="27">
        <v>1</v>
      </c>
      <c r="AQ212" s="58">
        <v>40</v>
      </c>
      <c r="AR212" s="12"/>
      <c r="AS212" s="27">
        <v>10</v>
      </c>
      <c r="AT212" s="58">
        <v>120</v>
      </c>
      <c r="AU212" s="12"/>
      <c r="AV212" s="54"/>
      <c r="AW212" s="63"/>
      <c r="AX212" s="55"/>
      <c r="AY212" s="54"/>
      <c r="AZ212" s="63"/>
      <c r="BA212" s="55"/>
      <c r="BB212" s="10">
        <v>35</v>
      </c>
      <c r="BC212" s="15">
        <v>490</v>
      </c>
      <c r="BD212" s="11">
        <v>314</v>
      </c>
      <c r="BE212" s="10">
        <v>0</v>
      </c>
      <c r="BF212" s="15">
        <v>0</v>
      </c>
      <c r="BG212" s="11">
        <v>0</v>
      </c>
      <c r="BH212" s="10">
        <v>28</v>
      </c>
      <c r="BI212" s="15">
        <v>402</v>
      </c>
      <c r="BJ212" s="11">
        <v>324.8</v>
      </c>
      <c r="BK212" s="10">
        <v>1</v>
      </c>
      <c r="BL212" s="15">
        <v>14</v>
      </c>
      <c r="BM212" s="11">
        <v>8.9600000000000009</v>
      </c>
      <c r="BN212" s="46">
        <v>0</v>
      </c>
      <c r="BO212" s="43">
        <v>0</v>
      </c>
      <c r="BP212" s="47">
        <v>0</v>
      </c>
      <c r="BQ212" s="46">
        <v>0</v>
      </c>
      <c r="BR212" s="43">
        <v>0</v>
      </c>
      <c r="BS212" s="47">
        <v>0</v>
      </c>
      <c r="BT212" s="46">
        <v>2</v>
      </c>
      <c r="BU212" s="43">
        <v>24</v>
      </c>
      <c r="BV212" s="114">
        <v>16.8</v>
      </c>
      <c r="BW212" s="119">
        <v>10</v>
      </c>
      <c r="BX212" s="120">
        <v>120</v>
      </c>
      <c r="BY212" s="114">
        <v>120</v>
      </c>
      <c r="BZ212" s="119">
        <v>30</v>
      </c>
      <c r="CA212" s="120">
        <v>360</v>
      </c>
      <c r="CB212" s="114">
        <v>360</v>
      </c>
      <c r="CC212" s="119">
        <v>0</v>
      </c>
      <c r="CD212" s="120">
        <v>0</v>
      </c>
      <c r="CE212" s="114">
        <v>0</v>
      </c>
      <c r="CF212" s="119">
        <v>10</v>
      </c>
      <c r="CG212" s="120">
        <v>120</v>
      </c>
      <c r="CH212" s="114">
        <v>120</v>
      </c>
      <c r="CI212" s="119">
        <v>0</v>
      </c>
      <c r="CJ212" s="120">
        <v>0</v>
      </c>
      <c r="CK212" s="114">
        <v>0</v>
      </c>
      <c r="CL212" s="54">
        <f t="shared" si="19"/>
        <v>116</v>
      </c>
      <c r="CM212" s="63">
        <f t="shared" si="19"/>
        <v>1530</v>
      </c>
      <c r="CN212" s="55">
        <f t="shared" si="19"/>
        <v>1264.56</v>
      </c>
      <c r="CO212" s="54">
        <f t="shared" si="20"/>
        <v>9.6666666666666661</v>
      </c>
      <c r="CP212" s="63">
        <f t="shared" si="20"/>
        <v>127.5</v>
      </c>
      <c r="CQ212" s="55">
        <f t="shared" si="20"/>
        <v>105.38</v>
      </c>
    </row>
    <row r="213" spans="1:95" s="25" customFormat="1" ht="31.5" customHeight="1" x14ac:dyDescent="0.6">
      <c r="A213" s="5">
        <v>210</v>
      </c>
      <c r="B213" s="18" t="s">
        <v>440</v>
      </c>
      <c r="C213" s="18" t="s">
        <v>534</v>
      </c>
      <c r="D213" s="18" t="s">
        <v>440</v>
      </c>
      <c r="E213" s="18" t="s">
        <v>494</v>
      </c>
      <c r="F213" s="23" t="s">
        <v>495</v>
      </c>
      <c r="G213" s="7" t="s">
        <v>475</v>
      </c>
      <c r="H213" s="123"/>
      <c r="I213" s="123"/>
      <c r="J213" s="123" t="s">
        <v>1055</v>
      </c>
      <c r="K213" s="49" t="s">
        <v>476</v>
      </c>
      <c r="L213" s="27"/>
      <c r="M213" s="58"/>
      <c r="N213" s="78"/>
      <c r="O213" s="27"/>
      <c r="P213" s="58"/>
      <c r="Q213" s="49"/>
      <c r="R213" s="27"/>
      <c r="S213" s="58"/>
      <c r="T213" s="98"/>
      <c r="U213" s="27"/>
      <c r="V213" s="58"/>
      <c r="W213" s="12"/>
      <c r="X213" s="27"/>
      <c r="Y213" s="58"/>
      <c r="Z213" s="12"/>
      <c r="AA213" s="27"/>
      <c r="AB213" s="58"/>
      <c r="AC213" s="12"/>
      <c r="AD213" s="27">
        <v>18</v>
      </c>
      <c r="AE213" s="58">
        <v>216</v>
      </c>
      <c r="AF213" s="107"/>
      <c r="AG213" s="27">
        <v>34</v>
      </c>
      <c r="AH213" s="58">
        <v>596</v>
      </c>
      <c r="AI213" s="107"/>
      <c r="AJ213" s="27">
        <v>94</v>
      </c>
      <c r="AK213" s="58">
        <v>1188</v>
      </c>
      <c r="AL213" s="107"/>
      <c r="AM213" s="27">
        <v>96</v>
      </c>
      <c r="AN213" s="58">
        <v>1360</v>
      </c>
      <c r="AO213" s="12"/>
      <c r="AP213" s="27">
        <v>60</v>
      </c>
      <c r="AQ213" s="58">
        <v>992</v>
      </c>
      <c r="AR213" s="12"/>
      <c r="AS213" s="27">
        <v>71</v>
      </c>
      <c r="AT213" s="58">
        <v>918</v>
      </c>
      <c r="AU213" s="12"/>
      <c r="AV213" s="54"/>
      <c r="AW213" s="63"/>
      <c r="AX213" s="55"/>
      <c r="AY213" s="54"/>
      <c r="AZ213" s="63"/>
      <c r="BA213" s="55"/>
      <c r="BB213" s="10">
        <v>51</v>
      </c>
      <c r="BC213" s="15">
        <v>742</v>
      </c>
      <c r="BD213" s="11">
        <v>572</v>
      </c>
      <c r="BE213" s="10">
        <v>55</v>
      </c>
      <c r="BF213" s="15">
        <v>772</v>
      </c>
      <c r="BG213" s="11">
        <v>603.79999999999995</v>
      </c>
      <c r="BH213" s="10">
        <v>115</v>
      </c>
      <c r="BI213" s="15">
        <v>1940</v>
      </c>
      <c r="BJ213" s="11">
        <v>1372</v>
      </c>
      <c r="BK213" s="10">
        <v>42</v>
      </c>
      <c r="BL213" s="15">
        <v>560</v>
      </c>
      <c r="BM213" s="11">
        <v>508</v>
      </c>
      <c r="BN213" s="46">
        <v>78</v>
      </c>
      <c r="BO213" s="43">
        <v>1188</v>
      </c>
      <c r="BP213" s="47">
        <v>902.28</v>
      </c>
      <c r="BQ213" s="46">
        <v>101</v>
      </c>
      <c r="BR213" s="43">
        <v>1492</v>
      </c>
      <c r="BS213" s="47">
        <v>1170.8800000000001</v>
      </c>
      <c r="BT213" s="46">
        <v>62</v>
      </c>
      <c r="BU213" s="43">
        <v>824</v>
      </c>
      <c r="BV213" s="114">
        <v>719.8</v>
      </c>
      <c r="BW213" s="119">
        <v>0.1</v>
      </c>
      <c r="BX213" s="120">
        <v>1</v>
      </c>
      <c r="BY213" s="114">
        <v>0.68</v>
      </c>
      <c r="BZ213" s="119">
        <v>57</v>
      </c>
      <c r="CA213" s="120">
        <v>892</v>
      </c>
      <c r="CB213" s="114">
        <v>680</v>
      </c>
      <c r="CC213" s="119">
        <v>49</v>
      </c>
      <c r="CD213" s="120">
        <v>700</v>
      </c>
      <c r="CE213" s="114">
        <v>596</v>
      </c>
      <c r="CF213" s="119">
        <v>35</v>
      </c>
      <c r="CG213" s="120">
        <v>488</v>
      </c>
      <c r="CH213" s="114">
        <v>413.2</v>
      </c>
      <c r="CI213" s="119">
        <v>53</v>
      </c>
      <c r="CJ213" s="120">
        <v>882</v>
      </c>
      <c r="CK213" s="114">
        <v>618.79999999999995</v>
      </c>
      <c r="CL213" s="54">
        <f t="shared" si="19"/>
        <v>698.1</v>
      </c>
      <c r="CM213" s="63">
        <f t="shared" si="19"/>
        <v>10481</v>
      </c>
      <c r="CN213" s="55">
        <f t="shared" si="19"/>
        <v>8157.4400000000005</v>
      </c>
      <c r="CO213" s="54">
        <f t="shared" si="20"/>
        <v>58.175000000000004</v>
      </c>
      <c r="CP213" s="63">
        <f t="shared" si="20"/>
        <v>873.41666666666663</v>
      </c>
      <c r="CQ213" s="55">
        <f t="shared" si="20"/>
        <v>679.78666666666675</v>
      </c>
    </row>
    <row r="214" spans="1:95" s="25" customFormat="1" ht="31.5" customHeight="1" x14ac:dyDescent="0.6">
      <c r="A214" s="5">
        <v>211</v>
      </c>
      <c r="B214" s="18" t="s">
        <v>496</v>
      </c>
      <c r="C214" s="18" t="s">
        <v>536</v>
      </c>
      <c r="D214" s="18" t="s">
        <v>496</v>
      </c>
      <c r="E214" s="18" t="s">
        <v>494</v>
      </c>
      <c r="F214" s="23" t="s">
        <v>495</v>
      </c>
      <c r="G214" s="7" t="s">
        <v>475</v>
      </c>
      <c r="H214" s="123"/>
      <c r="I214" s="123"/>
      <c r="J214" s="123" t="s">
        <v>1056</v>
      </c>
      <c r="K214" s="49" t="s">
        <v>476</v>
      </c>
      <c r="L214" s="27"/>
      <c r="M214" s="58"/>
      <c r="N214" s="78"/>
      <c r="O214" s="27"/>
      <c r="P214" s="58"/>
      <c r="Q214" s="49"/>
      <c r="R214" s="27"/>
      <c r="S214" s="58"/>
      <c r="T214" s="98"/>
      <c r="U214" s="27"/>
      <c r="V214" s="58"/>
      <c r="W214" s="12"/>
      <c r="X214" s="27"/>
      <c r="Y214" s="58"/>
      <c r="Z214" s="12"/>
      <c r="AA214" s="27"/>
      <c r="AB214" s="58"/>
      <c r="AC214" s="12"/>
      <c r="AD214" s="27">
        <v>17</v>
      </c>
      <c r="AE214" s="58">
        <v>276</v>
      </c>
      <c r="AF214" s="107"/>
      <c r="AG214" s="27">
        <v>0</v>
      </c>
      <c r="AH214" s="58">
        <v>0</v>
      </c>
      <c r="AI214" s="107"/>
      <c r="AJ214" s="27">
        <v>15</v>
      </c>
      <c r="AK214" s="58">
        <v>180</v>
      </c>
      <c r="AL214" s="107"/>
      <c r="AM214" s="27">
        <v>31</v>
      </c>
      <c r="AN214" s="58">
        <v>408</v>
      </c>
      <c r="AO214" s="12"/>
      <c r="AP214" s="27">
        <v>15</v>
      </c>
      <c r="AQ214" s="58">
        <v>180</v>
      </c>
      <c r="AR214" s="12"/>
      <c r="AS214" s="27">
        <v>15</v>
      </c>
      <c r="AT214" s="58">
        <v>180</v>
      </c>
      <c r="AU214" s="12"/>
      <c r="AV214" s="54"/>
      <c r="AW214" s="63"/>
      <c r="AX214" s="55"/>
      <c r="AY214" s="54"/>
      <c r="AZ214" s="63"/>
      <c r="BA214" s="55"/>
      <c r="BB214" s="10">
        <v>30</v>
      </c>
      <c r="BC214" s="15">
        <v>384</v>
      </c>
      <c r="BD214" s="11">
        <v>384</v>
      </c>
      <c r="BE214" s="10">
        <v>16</v>
      </c>
      <c r="BF214" s="15">
        <v>220</v>
      </c>
      <c r="BG214" s="11">
        <v>194</v>
      </c>
      <c r="BH214" s="10">
        <v>30</v>
      </c>
      <c r="BI214" s="15">
        <v>360</v>
      </c>
      <c r="BJ214" s="11">
        <v>360</v>
      </c>
      <c r="BK214" s="10">
        <v>0</v>
      </c>
      <c r="BL214" s="15">
        <v>0</v>
      </c>
      <c r="BM214" s="11">
        <v>0</v>
      </c>
      <c r="BN214" s="46">
        <v>16</v>
      </c>
      <c r="BO214" s="43">
        <v>220</v>
      </c>
      <c r="BP214" s="47">
        <v>194</v>
      </c>
      <c r="BQ214" s="46">
        <v>15</v>
      </c>
      <c r="BR214" s="43">
        <v>180</v>
      </c>
      <c r="BS214" s="47">
        <v>180</v>
      </c>
      <c r="BT214" s="46">
        <v>0</v>
      </c>
      <c r="BU214" s="43">
        <v>0</v>
      </c>
      <c r="BV214" s="114">
        <v>0</v>
      </c>
      <c r="BW214" s="119">
        <v>15</v>
      </c>
      <c r="BX214" s="120">
        <v>180</v>
      </c>
      <c r="BY214" s="114">
        <v>180</v>
      </c>
      <c r="BZ214" s="119">
        <v>2.5</v>
      </c>
      <c r="CA214" s="120">
        <v>30</v>
      </c>
      <c r="CB214" s="114">
        <v>28.08</v>
      </c>
      <c r="CC214" s="119">
        <v>0</v>
      </c>
      <c r="CD214" s="120">
        <v>0</v>
      </c>
      <c r="CE214" s="114">
        <v>0</v>
      </c>
      <c r="CF214" s="119">
        <v>0</v>
      </c>
      <c r="CG214" s="120">
        <v>0</v>
      </c>
      <c r="CH214" s="114">
        <v>0</v>
      </c>
      <c r="CI214" s="119">
        <v>30</v>
      </c>
      <c r="CJ214" s="120">
        <v>360</v>
      </c>
      <c r="CK214" s="114">
        <v>360</v>
      </c>
      <c r="CL214" s="54">
        <f t="shared" si="19"/>
        <v>154.5</v>
      </c>
      <c r="CM214" s="63">
        <f t="shared" si="19"/>
        <v>1934</v>
      </c>
      <c r="CN214" s="55">
        <f t="shared" si="19"/>
        <v>1880.08</v>
      </c>
      <c r="CO214" s="54">
        <f t="shared" si="20"/>
        <v>12.875</v>
      </c>
      <c r="CP214" s="63">
        <f t="shared" si="20"/>
        <v>161.16666666666666</v>
      </c>
      <c r="CQ214" s="55">
        <f t="shared" si="20"/>
        <v>156.67333333333332</v>
      </c>
    </row>
    <row r="215" spans="1:95" s="25" customFormat="1" ht="31.5" customHeight="1" x14ac:dyDescent="0.6">
      <c r="A215" s="5">
        <v>212</v>
      </c>
      <c r="B215" s="18" t="s">
        <v>497</v>
      </c>
      <c r="C215" s="18" t="s">
        <v>537</v>
      </c>
      <c r="D215" s="18" t="s">
        <v>498</v>
      </c>
      <c r="E215" s="18" t="s">
        <v>494</v>
      </c>
      <c r="F215" s="23" t="s">
        <v>495</v>
      </c>
      <c r="G215" s="7" t="s">
        <v>475</v>
      </c>
      <c r="H215" s="123"/>
      <c r="I215" s="123"/>
      <c r="J215" s="123" t="s">
        <v>1057</v>
      </c>
      <c r="K215" s="49" t="s">
        <v>476</v>
      </c>
      <c r="L215" s="27"/>
      <c r="M215" s="58"/>
      <c r="N215" s="78"/>
      <c r="O215" s="27"/>
      <c r="P215" s="58"/>
      <c r="Q215" s="49"/>
      <c r="R215" s="27"/>
      <c r="S215" s="58"/>
      <c r="T215" s="98"/>
      <c r="U215" s="27"/>
      <c r="V215" s="58"/>
      <c r="W215" s="12"/>
      <c r="X215" s="27"/>
      <c r="Y215" s="58"/>
      <c r="Z215" s="12"/>
      <c r="AA215" s="27"/>
      <c r="AB215" s="58"/>
      <c r="AC215" s="12"/>
      <c r="AD215" s="27">
        <v>30</v>
      </c>
      <c r="AE215" s="58">
        <v>360</v>
      </c>
      <c r="AF215" s="107"/>
      <c r="AG215" s="27">
        <v>0</v>
      </c>
      <c r="AH215" s="58">
        <v>0</v>
      </c>
      <c r="AI215" s="107"/>
      <c r="AJ215" s="27">
        <v>0</v>
      </c>
      <c r="AK215" s="58">
        <v>0</v>
      </c>
      <c r="AL215" s="107"/>
      <c r="AM215" s="27">
        <v>76</v>
      </c>
      <c r="AN215" s="58">
        <v>1344</v>
      </c>
      <c r="AO215" s="12"/>
      <c r="AP215" s="27">
        <v>27</v>
      </c>
      <c r="AQ215" s="58">
        <v>348</v>
      </c>
      <c r="AR215" s="12"/>
      <c r="AS215" s="27">
        <v>40</v>
      </c>
      <c r="AT215" s="58">
        <v>480</v>
      </c>
      <c r="AU215" s="12"/>
      <c r="AV215" s="54"/>
      <c r="AW215" s="63"/>
      <c r="AX215" s="55"/>
      <c r="AY215" s="54"/>
      <c r="AZ215" s="63"/>
      <c r="BA215" s="55"/>
      <c r="BB215" s="10">
        <v>15</v>
      </c>
      <c r="BC215" s="15">
        <v>180</v>
      </c>
      <c r="BD215" s="11">
        <v>180</v>
      </c>
      <c r="BE215" s="10">
        <v>27</v>
      </c>
      <c r="BF215" s="15">
        <v>380</v>
      </c>
      <c r="BG215" s="11">
        <v>304</v>
      </c>
      <c r="BH215" s="10">
        <v>84</v>
      </c>
      <c r="BI215" s="15">
        <v>1260</v>
      </c>
      <c r="BJ215" s="11">
        <v>978</v>
      </c>
      <c r="BK215" s="10">
        <v>0</v>
      </c>
      <c r="BL215" s="15">
        <v>0</v>
      </c>
      <c r="BM215" s="11">
        <v>0</v>
      </c>
      <c r="BN215" s="46">
        <v>51</v>
      </c>
      <c r="BO215" s="43">
        <v>668</v>
      </c>
      <c r="BP215" s="47">
        <v>582.4</v>
      </c>
      <c r="BQ215" s="46">
        <v>42</v>
      </c>
      <c r="BR215" s="43">
        <v>532</v>
      </c>
      <c r="BS215" s="47">
        <v>486.4</v>
      </c>
      <c r="BT215" s="46">
        <v>79.099999999999994</v>
      </c>
      <c r="BU215" s="43">
        <v>1184</v>
      </c>
      <c r="BV215" s="114">
        <v>940.6</v>
      </c>
      <c r="BW215" s="119">
        <v>65.3</v>
      </c>
      <c r="BX215" s="120">
        <v>923</v>
      </c>
      <c r="BY215" s="114">
        <v>744.04</v>
      </c>
      <c r="BZ215" s="119">
        <v>50.25</v>
      </c>
      <c r="CA215" s="120">
        <v>743</v>
      </c>
      <c r="CB215" s="114">
        <v>588.04</v>
      </c>
      <c r="CC215" s="119">
        <v>52</v>
      </c>
      <c r="CD215" s="120">
        <v>680</v>
      </c>
      <c r="CE215" s="114">
        <v>628</v>
      </c>
      <c r="CF215" s="119">
        <v>46</v>
      </c>
      <c r="CG215" s="120">
        <v>608</v>
      </c>
      <c r="CH215" s="114">
        <v>536.79999999999995</v>
      </c>
      <c r="CI215" s="119">
        <v>58</v>
      </c>
      <c r="CJ215" s="120">
        <v>780</v>
      </c>
      <c r="CK215" s="114">
        <v>692.4</v>
      </c>
      <c r="CL215" s="54">
        <f t="shared" si="19"/>
        <v>569.65000000000009</v>
      </c>
      <c r="CM215" s="63">
        <f t="shared" si="19"/>
        <v>7938</v>
      </c>
      <c r="CN215" s="55">
        <f t="shared" si="19"/>
        <v>6660.68</v>
      </c>
      <c r="CO215" s="54">
        <f t="shared" si="20"/>
        <v>47.470833333333339</v>
      </c>
      <c r="CP215" s="63">
        <f t="shared" si="20"/>
        <v>661.5</v>
      </c>
      <c r="CQ215" s="55">
        <f t="shared" si="20"/>
        <v>555.05666666666673</v>
      </c>
    </row>
    <row r="216" spans="1:95" s="25" customFormat="1" ht="31.5" customHeight="1" x14ac:dyDescent="0.6">
      <c r="A216" s="5">
        <v>213</v>
      </c>
      <c r="B216" s="18" t="s">
        <v>458</v>
      </c>
      <c r="C216" s="18" t="s">
        <v>112</v>
      </c>
      <c r="D216" s="18" t="s">
        <v>459</v>
      </c>
      <c r="E216" s="18" t="s">
        <v>494</v>
      </c>
      <c r="F216" s="23" t="s">
        <v>495</v>
      </c>
      <c r="G216" s="7" t="s">
        <v>475</v>
      </c>
      <c r="H216" s="123"/>
      <c r="I216" s="123"/>
      <c r="J216" s="123" t="s">
        <v>1058</v>
      </c>
      <c r="K216" s="49" t="s">
        <v>476</v>
      </c>
      <c r="L216" s="27"/>
      <c r="M216" s="58"/>
      <c r="N216" s="78"/>
      <c r="O216" s="27"/>
      <c r="P216" s="58"/>
      <c r="Q216" s="49"/>
      <c r="R216" s="27"/>
      <c r="S216" s="58"/>
      <c r="T216" s="98"/>
      <c r="U216" s="27"/>
      <c r="V216" s="58"/>
      <c r="W216" s="12"/>
      <c r="X216" s="27"/>
      <c r="Y216" s="58"/>
      <c r="Z216" s="12"/>
      <c r="AA216" s="27"/>
      <c r="AB216" s="58"/>
      <c r="AC216" s="12"/>
      <c r="AD216" s="27">
        <v>0</v>
      </c>
      <c r="AE216" s="58">
        <v>0</v>
      </c>
      <c r="AF216" s="107"/>
      <c r="AG216" s="27">
        <v>0</v>
      </c>
      <c r="AH216" s="58">
        <v>0</v>
      </c>
      <c r="AI216" s="107"/>
      <c r="AJ216" s="27">
        <v>4</v>
      </c>
      <c r="AK216" s="58">
        <v>76</v>
      </c>
      <c r="AL216" s="107"/>
      <c r="AM216" s="27">
        <v>36</v>
      </c>
      <c r="AN216" s="58">
        <v>444</v>
      </c>
      <c r="AO216" s="12"/>
      <c r="AP216" s="27">
        <v>0</v>
      </c>
      <c r="AQ216" s="58">
        <v>0</v>
      </c>
      <c r="AR216" s="12"/>
      <c r="AS216" s="27">
        <v>2</v>
      </c>
      <c r="AT216" s="58">
        <v>24</v>
      </c>
      <c r="AU216" s="12"/>
      <c r="AV216" s="54"/>
      <c r="AW216" s="63"/>
      <c r="AX216" s="55"/>
      <c r="AY216" s="54"/>
      <c r="AZ216" s="63"/>
      <c r="BA216" s="55"/>
      <c r="BB216" s="10">
        <v>16</v>
      </c>
      <c r="BC216" s="15">
        <v>204</v>
      </c>
      <c r="BD216" s="11">
        <v>188</v>
      </c>
      <c r="BE216" s="10">
        <v>30</v>
      </c>
      <c r="BF216" s="15">
        <v>360</v>
      </c>
      <c r="BG216" s="11">
        <v>360</v>
      </c>
      <c r="BH216" s="10">
        <v>58</v>
      </c>
      <c r="BI216" s="15">
        <v>696</v>
      </c>
      <c r="BJ216" s="11">
        <v>682.4</v>
      </c>
      <c r="BK216" s="10">
        <v>22</v>
      </c>
      <c r="BL216" s="15">
        <v>404</v>
      </c>
      <c r="BM216" s="11">
        <v>274</v>
      </c>
      <c r="BN216" s="46">
        <v>32</v>
      </c>
      <c r="BO216" s="43">
        <v>412</v>
      </c>
      <c r="BP216" s="47">
        <v>382.4</v>
      </c>
      <c r="BQ216" s="46">
        <v>8</v>
      </c>
      <c r="BR216" s="43">
        <v>96</v>
      </c>
      <c r="BS216" s="47">
        <v>85.2</v>
      </c>
      <c r="BT216" s="46">
        <v>0</v>
      </c>
      <c r="BU216" s="43">
        <v>0</v>
      </c>
      <c r="BV216" s="114">
        <v>0</v>
      </c>
      <c r="BW216" s="119">
        <v>15</v>
      </c>
      <c r="BX216" s="120">
        <v>180</v>
      </c>
      <c r="BY216" s="114">
        <v>180</v>
      </c>
      <c r="BZ216" s="119">
        <v>4.25</v>
      </c>
      <c r="CA216" s="120">
        <v>51</v>
      </c>
      <c r="CB216" s="114">
        <v>50.04</v>
      </c>
      <c r="CC216" s="119">
        <v>0</v>
      </c>
      <c r="CD216" s="120">
        <v>0</v>
      </c>
      <c r="CE216" s="114">
        <v>0</v>
      </c>
      <c r="CF216" s="119">
        <v>24</v>
      </c>
      <c r="CG216" s="120">
        <v>288</v>
      </c>
      <c r="CH216" s="114">
        <v>288</v>
      </c>
      <c r="CI216" s="119">
        <v>60</v>
      </c>
      <c r="CJ216" s="120">
        <v>720</v>
      </c>
      <c r="CK216" s="114">
        <v>720</v>
      </c>
      <c r="CL216" s="54">
        <f t="shared" si="19"/>
        <v>269.25</v>
      </c>
      <c r="CM216" s="63">
        <f t="shared" si="19"/>
        <v>3411</v>
      </c>
      <c r="CN216" s="55">
        <f t="shared" si="19"/>
        <v>3210.04</v>
      </c>
      <c r="CO216" s="54">
        <f t="shared" si="20"/>
        <v>22.4375</v>
      </c>
      <c r="CP216" s="63">
        <f t="shared" si="20"/>
        <v>284.25</v>
      </c>
      <c r="CQ216" s="55">
        <f t="shared" si="20"/>
        <v>267.50333333333333</v>
      </c>
    </row>
    <row r="217" spans="1:95" s="25" customFormat="1" ht="31.5" customHeight="1" x14ac:dyDescent="0.6">
      <c r="A217" s="5">
        <v>214</v>
      </c>
      <c r="B217" s="18" t="s">
        <v>499</v>
      </c>
      <c r="C217" s="18" t="s">
        <v>666</v>
      </c>
      <c r="D217" s="18" t="s">
        <v>500</v>
      </c>
      <c r="E217" s="18" t="s">
        <v>494</v>
      </c>
      <c r="F217" s="23" t="s">
        <v>495</v>
      </c>
      <c r="G217" s="7" t="s">
        <v>475</v>
      </c>
      <c r="H217" s="123"/>
      <c r="I217" s="123"/>
      <c r="J217" s="123" t="s">
        <v>1059</v>
      </c>
      <c r="K217" s="49" t="s">
        <v>476</v>
      </c>
      <c r="L217" s="27"/>
      <c r="M217" s="58"/>
      <c r="N217" s="78"/>
      <c r="O217" s="27"/>
      <c r="P217" s="58"/>
      <c r="Q217" s="49"/>
      <c r="R217" s="27"/>
      <c r="S217" s="58"/>
      <c r="T217" s="98"/>
      <c r="U217" s="27"/>
      <c r="V217" s="58"/>
      <c r="W217" s="12"/>
      <c r="X217" s="27"/>
      <c r="Y217" s="58"/>
      <c r="Z217" s="12"/>
      <c r="AA217" s="27"/>
      <c r="AB217" s="58"/>
      <c r="AC217" s="12"/>
      <c r="AD217" s="27">
        <v>13</v>
      </c>
      <c r="AE217" s="58">
        <v>192</v>
      </c>
      <c r="AF217" s="107"/>
      <c r="AG217" s="27">
        <v>21</v>
      </c>
      <c r="AH217" s="58">
        <v>360</v>
      </c>
      <c r="AI217" s="107"/>
      <c r="AJ217" s="27">
        <v>13</v>
      </c>
      <c r="AK217" s="58">
        <v>194</v>
      </c>
      <c r="AL217" s="107"/>
      <c r="AM217" s="27">
        <v>31</v>
      </c>
      <c r="AN217" s="58">
        <v>512</v>
      </c>
      <c r="AO217" s="12"/>
      <c r="AP217" s="27">
        <v>3</v>
      </c>
      <c r="AQ217" s="58">
        <v>36</v>
      </c>
      <c r="AR217" s="12"/>
      <c r="AS217" s="27">
        <v>7</v>
      </c>
      <c r="AT217" s="58">
        <v>84</v>
      </c>
      <c r="AU217" s="12"/>
      <c r="AV217" s="54"/>
      <c r="AW217" s="63"/>
      <c r="AX217" s="55"/>
      <c r="AY217" s="54"/>
      <c r="AZ217" s="63"/>
      <c r="BA217" s="55"/>
      <c r="BB217" s="10">
        <v>1</v>
      </c>
      <c r="BC217" s="15">
        <v>12</v>
      </c>
      <c r="BD217" s="11">
        <v>8</v>
      </c>
      <c r="BE217" s="10">
        <v>2</v>
      </c>
      <c r="BF217" s="15">
        <v>24</v>
      </c>
      <c r="BG217" s="11">
        <v>24</v>
      </c>
      <c r="BH217" s="10">
        <v>55</v>
      </c>
      <c r="BI217" s="15">
        <v>1008</v>
      </c>
      <c r="BJ217" s="11">
        <v>670.4</v>
      </c>
      <c r="BK217" s="10">
        <v>23</v>
      </c>
      <c r="BL217" s="15">
        <v>360</v>
      </c>
      <c r="BM217" s="11">
        <v>282</v>
      </c>
      <c r="BN217" s="46">
        <v>14</v>
      </c>
      <c r="BO217" s="43">
        <v>208</v>
      </c>
      <c r="BP217" s="47">
        <v>156</v>
      </c>
      <c r="BQ217" s="46">
        <v>5</v>
      </c>
      <c r="BR217" s="43">
        <v>60</v>
      </c>
      <c r="BS217" s="47">
        <v>60</v>
      </c>
      <c r="BT217" s="46">
        <v>21</v>
      </c>
      <c r="BU217" s="43">
        <v>342</v>
      </c>
      <c r="BV217" s="114">
        <v>248.4</v>
      </c>
      <c r="BW217" s="119">
        <v>24.1</v>
      </c>
      <c r="BX217" s="120">
        <v>415</v>
      </c>
      <c r="BY217" s="114">
        <v>275.64</v>
      </c>
      <c r="BZ217" s="119">
        <v>3</v>
      </c>
      <c r="CA217" s="120">
        <v>104</v>
      </c>
      <c r="CB217" s="114">
        <v>36.4</v>
      </c>
      <c r="CC217" s="119">
        <v>11</v>
      </c>
      <c r="CD217" s="120">
        <v>216</v>
      </c>
      <c r="CE217" s="114">
        <v>123.6</v>
      </c>
      <c r="CF217" s="119">
        <v>6</v>
      </c>
      <c r="CG217" s="120">
        <v>72</v>
      </c>
      <c r="CH217" s="114">
        <v>67.2</v>
      </c>
      <c r="CI217" s="119">
        <v>9</v>
      </c>
      <c r="CJ217" s="120">
        <v>164</v>
      </c>
      <c r="CK217" s="114">
        <v>102.4</v>
      </c>
      <c r="CL217" s="54">
        <f t="shared" si="19"/>
        <v>174.1</v>
      </c>
      <c r="CM217" s="63">
        <f t="shared" si="19"/>
        <v>2985</v>
      </c>
      <c r="CN217" s="55">
        <f t="shared" si="19"/>
        <v>2054.04</v>
      </c>
      <c r="CO217" s="54">
        <f t="shared" si="20"/>
        <v>14.508333333333333</v>
      </c>
      <c r="CP217" s="63">
        <f t="shared" si="20"/>
        <v>248.75</v>
      </c>
      <c r="CQ217" s="55">
        <f t="shared" si="20"/>
        <v>171.17</v>
      </c>
    </row>
    <row r="218" spans="1:95" s="25" customFormat="1" ht="31.5" customHeight="1" x14ac:dyDescent="0.6">
      <c r="A218" s="5">
        <v>215</v>
      </c>
      <c r="B218" s="18" t="s">
        <v>501</v>
      </c>
      <c r="C218" s="18" t="s">
        <v>1160</v>
      </c>
      <c r="D218" s="18" t="s">
        <v>502</v>
      </c>
      <c r="E218" s="18" t="s">
        <v>503</v>
      </c>
      <c r="F218" s="23" t="s">
        <v>504</v>
      </c>
      <c r="G218" s="7" t="s">
        <v>475</v>
      </c>
      <c r="H218" s="123"/>
      <c r="I218" s="123"/>
      <c r="J218" s="123"/>
      <c r="K218" s="49" t="s">
        <v>476</v>
      </c>
      <c r="L218" s="27"/>
      <c r="M218" s="58"/>
      <c r="N218" s="78"/>
      <c r="O218" s="27"/>
      <c r="P218" s="58"/>
      <c r="Q218" s="49"/>
      <c r="R218" s="27"/>
      <c r="S218" s="58"/>
      <c r="T218" s="98"/>
      <c r="U218" s="27"/>
      <c r="V218" s="58"/>
      <c r="W218" s="12"/>
      <c r="X218" s="27"/>
      <c r="Y218" s="58"/>
      <c r="Z218" s="12"/>
      <c r="AA218" s="27"/>
      <c r="AB218" s="58"/>
      <c r="AC218" s="12"/>
      <c r="AD218" s="27">
        <v>80</v>
      </c>
      <c r="AE218" s="58">
        <v>1016</v>
      </c>
      <c r="AF218" s="107"/>
      <c r="AG218" s="27">
        <v>128</v>
      </c>
      <c r="AH218" s="58">
        <v>1968</v>
      </c>
      <c r="AI218" s="107"/>
      <c r="AJ218" s="27">
        <v>144</v>
      </c>
      <c r="AK218" s="58">
        <v>2176</v>
      </c>
      <c r="AL218" s="107"/>
      <c r="AM218" s="27">
        <v>154</v>
      </c>
      <c r="AN218" s="58">
        <v>2296</v>
      </c>
      <c r="AO218" s="12"/>
      <c r="AP218" s="27">
        <v>126</v>
      </c>
      <c r="AQ218" s="58">
        <v>1932</v>
      </c>
      <c r="AR218" s="12"/>
      <c r="AS218" s="27">
        <v>106</v>
      </c>
      <c r="AT218" s="58">
        <v>1608</v>
      </c>
      <c r="AU218" s="12"/>
      <c r="AV218" s="54"/>
      <c r="AW218" s="63"/>
      <c r="AX218" s="55"/>
      <c r="AY218" s="54"/>
      <c r="AZ218" s="63"/>
      <c r="BA218" s="55"/>
      <c r="BB218" s="10">
        <v>103</v>
      </c>
      <c r="BC218" s="15">
        <v>1432</v>
      </c>
      <c r="BD218" s="11">
        <v>1224</v>
      </c>
      <c r="BE218" s="10">
        <v>56</v>
      </c>
      <c r="BF218" s="15">
        <v>840</v>
      </c>
      <c r="BG218" s="11">
        <v>636.79999999999995</v>
      </c>
      <c r="BH218" s="10">
        <v>187</v>
      </c>
      <c r="BI218" s="15">
        <v>2720</v>
      </c>
      <c r="BJ218" s="11">
        <v>2231.8000000000002</v>
      </c>
      <c r="BK218" s="10">
        <v>5</v>
      </c>
      <c r="BL218" s="15">
        <v>200</v>
      </c>
      <c r="BM218" s="11">
        <v>70</v>
      </c>
      <c r="BN218" s="46">
        <v>0</v>
      </c>
      <c r="BO218" s="43">
        <v>0</v>
      </c>
      <c r="BP218" s="47">
        <v>0</v>
      </c>
      <c r="BQ218" s="46">
        <v>0</v>
      </c>
      <c r="BR218" s="43">
        <v>0</v>
      </c>
      <c r="BS218" s="47">
        <v>0</v>
      </c>
      <c r="BT218" s="46">
        <v>0</v>
      </c>
      <c r="BU218" s="43">
        <v>0</v>
      </c>
      <c r="BV218" s="114">
        <v>0</v>
      </c>
      <c r="BW218" s="119">
        <v>0</v>
      </c>
      <c r="BX218" s="120">
        <v>0</v>
      </c>
      <c r="BY218" s="114">
        <v>0</v>
      </c>
      <c r="BZ218" s="119">
        <v>0</v>
      </c>
      <c r="CA218" s="120">
        <v>0</v>
      </c>
      <c r="CB218" s="114">
        <v>0</v>
      </c>
      <c r="CC218" s="119">
        <v>0</v>
      </c>
      <c r="CD218" s="120">
        <v>0</v>
      </c>
      <c r="CE218" s="114">
        <v>0</v>
      </c>
      <c r="CF218" s="119">
        <v>0</v>
      </c>
      <c r="CG218" s="120">
        <v>0</v>
      </c>
      <c r="CH218" s="114">
        <v>0</v>
      </c>
      <c r="CI218" s="119">
        <v>0</v>
      </c>
      <c r="CJ218" s="120">
        <v>0</v>
      </c>
      <c r="CK218" s="114">
        <v>0</v>
      </c>
      <c r="CL218" s="54">
        <f t="shared" si="19"/>
        <v>351</v>
      </c>
      <c r="CM218" s="63">
        <f t="shared" si="19"/>
        <v>5192</v>
      </c>
      <c r="CN218" s="55">
        <f t="shared" si="19"/>
        <v>4162.6000000000004</v>
      </c>
      <c r="CO218" s="54">
        <f t="shared" si="20"/>
        <v>29.25</v>
      </c>
      <c r="CP218" s="63">
        <f t="shared" si="20"/>
        <v>432.66666666666669</v>
      </c>
      <c r="CQ218" s="55">
        <f t="shared" si="20"/>
        <v>346.88333333333338</v>
      </c>
    </row>
    <row r="219" spans="1:95" s="25" customFormat="1" ht="31.5" customHeight="1" x14ac:dyDescent="0.6">
      <c r="A219" s="5">
        <v>216</v>
      </c>
      <c r="B219" s="18" t="s">
        <v>505</v>
      </c>
      <c r="C219" s="153" t="s">
        <v>541</v>
      </c>
      <c r="D219" s="18" t="s">
        <v>505</v>
      </c>
      <c r="E219" s="18" t="s">
        <v>503</v>
      </c>
      <c r="F219" s="23" t="s">
        <v>504</v>
      </c>
      <c r="G219" s="7" t="s">
        <v>475</v>
      </c>
      <c r="H219" s="123"/>
      <c r="I219" s="123"/>
      <c r="J219" s="123" t="s">
        <v>1060</v>
      </c>
      <c r="K219" s="49" t="s">
        <v>476</v>
      </c>
      <c r="L219" s="27"/>
      <c r="M219" s="58"/>
      <c r="N219" s="78"/>
      <c r="O219" s="27"/>
      <c r="P219" s="58"/>
      <c r="Q219" s="49"/>
      <c r="R219" s="27"/>
      <c r="S219" s="58"/>
      <c r="T219" s="98"/>
      <c r="U219" s="27"/>
      <c r="V219" s="58"/>
      <c r="W219" s="12"/>
      <c r="X219" s="27"/>
      <c r="Y219" s="58"/>
      <c r="Z219" s="12"/>
      <c r="AA219" s="27"/>
      <c r="AB219" s="58"/>
      <c r="AC219" s="12"/>
      <c r="AD219" s="27">
        <v>36</v>
      </c>
      <c r="AE219" s="58">
        <v>460</v>
      </c>
      <c r="AF219" s="107"/>
      <c r="AG219" s="27">
        <v>31</v>
      </c>
      <c r="AH219" s="58">
        <v>400</v>
      </c>
      <c r="AI219" s="107"/>
      <c r="AJ219" s="27">
        <v>3</v>
      </c>
      <c r="AK219" s="58">
        <v>36</v>
      </c>
      <c r="AL219" s="107"/>
      <c r="AM219" s="27">
        <v>49</v>
      </c>
      <c r="AN219" s="58">
        <v>588</v>
      </c>
      <c r="AO219" s="12"/>
      <c r="AP219" s="27">
        <v>27</v>
      </c>
      <c r="AQ219" s="58">
        <v>352</v>
      </c>
      <c r="AR219" s="12"/>
      <c r="AS219" s="27">
        <v>78</v>
      </c>
      <c r="AT219" s="58">
        <v>992</v>
      </c>
      <c r="AU219" s="12"/>
      <c r="AV219" s="54"/>
      <c r="AW219" s="63"/>
      <c r="AX219" s="55"/>
      <c r="AY219" s="54"/>
      <c r="AZ219" s="63"/>
      <c r="BA219" s="55"/>
      <c r="BB219" s="10">
        <v>18</v>
      </c>
      <c r="BC219" s="15">
        <v>272</v>
      </c>
      <c r="BD219" s="11">
        <v>215</v>
      </c>
      <c r="BE219" s="10">
        <v>18</v>
      </c>
      <c r="BF219" s="15">
        <v>244</v>
      </c>
      <c r="BG219" s="11">
        <v>218</v>
      </c>
      <c r="BH219" s="10">
        <v>108</v>
      </c>
      <c r="BI219" s="15">
        <v>1380</v>
      </c>
      <c r="BJ219" s="11">
        <v>1278</v>
      </c>
      <c r="BK219" s="10">
        <v>25</v>
      </c>
      <c r="BL219" s="15">
        <v>496</v>
      </c>
      <c r="BM219" s="11">
        <v>299.60000000000002</v>
      </c>
      <c r="BN219" s="46">
        <v>16</v>
      </c>
      <c r="BO219" s="43">
        <v>360</v>
      </c>
      <c r="BP219" s="47">
        <v>204</v>
      </c>
      <c r="BQ219" s="46">
        <v>60</v>
      </c>
      <c r="BR219" s="43">
        <v>888</v>
      </c>
      <c r="BS219" s="47">
        <v>703.2</v>
      </c>
      <c r="BT219" s="46">
        <v>66</v>
      </c>
      <c r="BU219" s="43">
        <v>904</v>
      </c>
      <c r="BV219" s="114">
        <v>786</v>
      </c>
      <c r="BW219" s="119">
        <v>24</v>
      </c>
      <c r="BX219" s="120">
        <v>316</v>
      </c>
      <c r="BY219" s="114">
        <v>266</v>
      </c>
      <c r="BZ219" s="119">
        <v>44</v>
      </c>
      <c r="CA219" s="120">
        <v>584</v>
      </c>
      <c r="CB219" s="114">
        <v>522.4</v>
      </c>
      <c r="CC219" s="119">
        <v>16</v>
      </c>
      <c r="CD219" s="120">
        <v>360</v>
      </c>
      <c r="CE219" s="114">
        <v>204</v>
      </c>
      <c r="CF219" s="119">
        <v>21</v>
      </c>
      <c r="CG219" s="120">
        <v>392</v>
      </c>
      <c r="CH219" s="114">
        <v>247.6</v>
      </c>
      <c r="CI219" s="119">
        <v>13</v>
      </c>
      <c r="CJ219" s="120">
        <v>184</v>
      </c>
      <c r="CK219" s="114">
        <v>148.4</v>
      </c>
      <c r="CL219" s="54">
        <f t="shared" si="19"/>
        <v>429</v>
      </c>
      <c r="CM219" s="63">
        <f t="shared" si="19"/>
        <v>6380</v>
      </c>
      <c r="CN219" s="55">
        <f t="shared" si="19"/>
        <v>5092.2</v>
      </c>
      <c r="CO219" s="54">
        <f t="shared" si="20"/>
        <v>35.75</v>
      </c>
      <c r="CP219" s="63">
        <f t="shared" si="20"/>
        <v>531.66666666666663</v>
      </c>
      <c r="CQ219" s="55">
        <f t="shared" si="20"/>
        <v>424.34999999999997</v>
      </c>
    </row>
    <row r="220" spans="1:95" s="25" customFormat="1" ht="31.5" customHeight="1" x14ac:dyDescent="0.6">
      <c r="A220" s="5">
        <v>217</v>
      </c>
      <c r="B220" s="18" t="s">
        <v>506</v>
      </c>
      <c r="C220" s="18" t="s">
        <v>547</v>
      </c>
      <c r="D220" s="18" t="s">
        <v>507</v>
      </c>
      <c r="E220" s="18" t="s">
        <v>508</v>
      </c>
      <c r="F220" s="23" t="s">
        <v>509</v>
      </c>
      <c r="G220" s="7" t="s">
        <v>475</v>
      </c>
      <c r="H220" s="123"/>
      <c r="I220" s="123"/>
      <c r="J220" s="123" t="s">
        <v>1061</v>
      </c>
      <c r="K220" s="49" t="s">
        <v>476</v>
      </c>
      <c r="L220" s="27"/>
      <c r="M220" s="58"/>
      <c r="N220" s="78"/>
      <c r="O220" s="27"/>
      <c r="P220" s="58"/>
      <c r="Q220" s="49"/>
      <c r="R220" s="27"/>
      <c r="S220" s="58"/>
      <c r="T220" s="98"/>
      <c r="U220" s="27"/>
      <c r="V220" s="58"/>
      <c r="W220" s="12"/>
      <c r="X220" s="27"/>
      <c r="Y220" s="58"/>
      <c r="Z220" s="12"/>
      <c r="AA220" s="27"/>
      <c r="AB220" s="58"/>
      <c r="AC220" s="12"/>
      <c r="AD220" s="27">
        <v>10</v>
      </c>
      <c r="AE220" s="58">
        <v>176</v>
      </c>
      <c r="AF220" s="107"/>
      <c r="AG220" s="27">
        <v>10</v>
      </c>
      <c r="AH220" s="58">
        <v>176</v>
      </c>
      <c r="AI220" s="107"/>
      <c r="AJ220" s="27">
        <v>110</v>
      </c>
      <c r="AK220" s="58">
        <v>1684</v>
      </c>
      <c r="AL220" s="107"/>
      <c r="AM220" s="27">
        <v>39</v>
      </c>
      <c r="AN220" s="58">
        <v>608</v>
      </c>
      <c r="AO220" s="12"/>
      <c r="AP220" s="27">
        <v>19</v>
      </c>
      <c r="AQ220" s="58">
        <v>396</v>
      </c>
      <c r="AR220" s="12"/>
      <c r="AS220" s="27">
        <v>37.6</v>
      </c>
      <c r="AT220" s="58">
        <v>652</v>
      </c>
      <c r="AU220" s="12"/>
      <c r="AV220" s="54"/>
      <c r="AW220" s="63"/>
      <c r="AX220" s="55"/>
      <c r="AY220" s="54"/>
      <c r="AZ220" s="63"/>
      <c r="BA220" s="55"/>
      <c r="BB220" s="10">
        <v>32</v>
      </c>
      <c r="BC220" s="15">
        <v>424</v>
      </c>
      <c r="BD220" s="11">
        <v>356</v>
      </c>
      <c r="BE220" s="10">
        <v>36</v>
      </c>
      <c r="BF220" s="15">
        <v>488</v>
      </c>
      <c r="BG220" s="11">
        <v>429</v>
      </c>
      <c r="BH220" s="10">
        <v>64</v>
      </c>
      <c r="BI220" s="15">
        <v>770</v>
      </c>
      <c r="BJ220" s="11">
        <v>760.96</v>
      </c>
      <c r="BK220" s="10">
        <v>46</v>
      </c>
      <c r="BL220" s="15">
        <v>610</v>
      </c>
      <c r="BM220" s="11">
        <v>543.5</v>
      </c>
      <c r="BN220" s="46">
        <v>71</v>
      </c>
      <c r="BO220" s="43">
        <v>1020</v>
      </c>
      <c r="BP220" s="47">
        <v>859.2</v>
      </c>
      <c r="BQ220" s="46">
        <v>35</v>
      </c>
      <c r="BR220" s="43">
        <v>553</v>
      </c>
      <c r="BS220" s="47">
        <v>414</v>
      </c>
      <c r="BT220" s="46">
        <v>21</v>
      </c>
      <c r="BU220" s="43">
        <v>392</v>
      </c>
      <c r="BV220" s="114">
        <v>262</v>
      </c>
      <c r="BW220" s="119">
        <v>26.1</v>
      </c>
      <c r="BX220" s="120">
        <v>394</v>
      </c>
      <c r="BY220" s="114">
        <v>322.68</v>
      </c>
      <c r="BZ220" s="119">
        <v>18.25</v>
      </c>
      <c r="CA220" s="120">
        <v>361</v>
      </c>
      <c r="CB220" s="114">
        <v>225</v>
      </c>
      <c r="CC220" s="119">
        <v>24</v>
      </c>
      <c r="CD220" s="120">
        <v>596</v>
      </c>
      <c r="CE220" s="114">
        <v>310</v>
      </c>
      <c r="CF220" s="119">
        <v>28</v>
      </c>
      <c r="CG220" s="120">
        <v>616</v>
      </c>
      <c r="CH220" s="114">
        <v>356</v>
      </c>
      <c r="CI220" s="119">
        <v>34.75</v>
      </c>
      <c r="CJ220" s="120">
        <v>781</v>
      </c>
      <c r="CK220" s="114">
        <v>433.4</v>
      </c>
      <c r="CL220" s="54">
        <f t="shared" si="19"/>
        <v>436.1</v>
      </c>
      <c r="CM220" s="63">
        <f t="shared" si="19"/>
        <v>7005</v>
      </c>
      <c r="CN220" s="55">
        <f t="shared" si="19"/>
        <v>5271.74</v>
      </c>
      <c r="CO220" s="54">
        <f t="shared" si="20"/>
        <v>36.341666666666669</v>
      </c>
      <c r="CP220" s="63">
        <f t="shared" si="20"/>
        <v>583.75</v>
      </c>
      <c r="CQ220" s="55">
        <f t="shared" si="20"/>
        <v>439.31166666666667</v>
      </c>
    </row>
    <row r="221" spans="1:95" s="25" customFormat="1" ht="31.5" customHeight="1" x14ac:dyDescent="0.6">
      <c r="A221" s="5">
        <v>218</v>
      </c>
      <c r="B221" s="18" t="s">
        <v>510</v>
      </c>
      <c r="C221" s="18" t="s">
        <v>549</v>
      </c>
      <c r="D221" s="18" t="s">
        <v>510</v>
      </c>
      <c r="E221" s="18" t="s">
        <v>508</v>
      </c>
      <c r="F221" s="23" t="s">
        <v>509</v>
      </c>
      <c r="G221" s="7" t="s">
        <v>475</v>
      </c>
      <c r="H221" s="123"/>
      <c r="I221" s="123"/>
      <c r="J221" s="123" t="s">
        <v>1062</v>
      </c>
      <c r="K221" s="49" t="s">
        <v>476</v>
      </c>
      <c r="L221" s="27"/>
      <c r="M221" s="58"/>
      <c r="N221" s="78"/>
      <c r="O221" s="27"/>
      <c r="P221" s="58"/>
      <c r="Q221" s="49"/>
      <c r="R221" s="27"/>
      <c r="S221" s="58"/>
      <c r="T221" s="98"/>
      <c r="U221" s="27"/>
      <c r="V221" s="58"/>
      <c r="W221" s="12"/>
      <c r="X221" s="27"/>
      <c r="Y221" s="58"/>
      <c r="Z221" s="12"/>
      <c r="AA221" s="27"/>
      <c r="AB221" s="58"/>
      <c r="AC221" s="12"/>
      <c r="AD221" s="27">
        <v>15</v>
      </c>
      <c r="AE221" s="58">
        <v>180</v>
      </c>
      <c r="AF221" s="107"/>
      <c r="AG221" s="27">
        <v>15</v>
      </c>
      <c r="AH221" s="58">
        <v>180</v>
      </c>
      <c r="AI221" s="107"/>
      <c r="AJ221" s="27">
        <v>0</v>
      </c>
      <c r="AK221" s="58">
        <v>0</v>
      </c>
      <c r="AL221" s="107"/>
      <c r="AM221" s="27">
        <v>15</v>
      </c>
      <c r="AN221" s="58">
        <v>180</v>
      </c>
      <c r="AO221" s="12"/>
      <c r="AP221" s="27">
        <v>16</v>
      </c>
      <c r="AQ221" s="58">
        <v>192</v>
      </c>
      <c r="AR221" s="12"/>
      <c r="AS221" s="27">
        <v>2</v>
      </c>
      <c r="AT221" s="58">
        <v>80</v>
      </c>
      <c r="AU221" s="12"/>
      <c r="AV221" s="54"/>
      <c r="AW221" s="63"/>
      <c r="AX221" s="55"/>
      <c r="AY221" s="54"/>
      <c r="AZ221" s="63"/>
      <c r="BA221" s="55"/>
      <c r="BB221" s="10">
        <v>25</v>
      </c>
      <c r="BC221" s="15">
        <v>300</v>
      </c>
      <c r="BD221" s="11">
        <v>300</v>
      </c>
      <c r="BE221" s="10">
        <v>30</v>
      </c>
      <c r="BF221" s="15">
        <v>360</v>
      </c>
      <c r="BG221" s="11">
        <v>360</v>
      </c>
      <c r="BH221" s="10">
        <v>45</v>
      </c>
      <c r="BI221" s="15">
        <v>540</v>
      </c>
      <c r="BJ221" s="11">
        <v>540</v>
      </c>
      <c r="BK221" s="10">
        <v>0</v>
      </c>
      <c r="BL221" s="15">
        <v>0</v>
      </c>
      <c r="BM221" s="11">
        <v>0</v>
      </c>
      <c r="BN221" s="46">
        <v>45</v>
      </c>
      <c r="BO221" s="43">
        <v>680</v>
      </c>
      <c r="BP221" s="47">
        <v>550</v>
      </c>
      <c r="BQ221" s="46">
        <v>45</v>
      </c>
      <c r="BR221" s="43">
        <v>540</v>
      </c>
      <c r="BS221" s="47">
        <v>540</v>
      </c>
      <c r="BT221" s="46">
        <v>0</v>
      </c>
      <c r="BU221" s="43">
        <v>0</v>
      </c>
      <c r="BV221" s="114">
        <v>0</v>
      </c>
      <c r="BW221" s="119">
        <v>30.3</v>
      </c>
      <c r="BX221" s="120">
        <v>363</v>
      </c>
      <c r="BY221" s="114">
        <v>362.04</v>
      </c>
      <c r="BZ221" s="119">
        <v>15</v>
      </c>
      <c r="CA221" s="120">
        <v>180</v>
      </c>
      <c r="CB221" s="114">
        <v>180</v>
      </c>
      <c r="CC221" s="119">
        <v>0</v>
      </c>
      <c r="CD221" s="120">
        <v>0</v>
      </c>
      <c r="CE221" s="114">
        <v>0</v>
      </c>
      <c r="CF221" s="119">
        <v>17</v>
      </c>
      <c r="CG221" s="120">
        <v>260</v>
      </c>
      <c r="CH221" s="114">
        <v>208</v>
      </c>
      <c r="CI221" s="119">
        <v>30</v>
      </c>
      <c r="CJ221" s="120">
        <v>360</v>
      </c>
      <c r="CK221" s="114">
        <v>360</v>
      </c>
      <c r="CL221" s="54">
        <f t="shared" si="19"/>
        <v>282.3</v>
      </c>
      <c r="CM221" s="63">
        <f t="shared" si="19"/>
        <v>3583</v>
      </c>
      <c r="CN221" s="55">
        <f t="shared" si="19"/>
        <v>3400.04</v>
      </c>
      <c r="CO221" s="54">
        <f t="shared" si="20"/>
        <v>23.525000000000002</v>
      </c>
      <c r="CP221" s="63">
        <f t="shared" si="20"/>
        <v>298.58333333333331</v>
      </c>
      <c r="CQ221" s="55">
        <f t="shared" si="20"/>
        <v>283.33666666666664</v>
      </c>
    </row>
    <row r="222" spans="1:95" s="25" customFormat="1" ht="31.5" customHeight="1" x14ac:dyDescent="0.6">
      <c r="A222" s="5">
        <v>219</v>
      </c>
      <c r="B222" s="18" t="s">
        <v>511</v>
      </c>
      <c r="C222" s="18" t="s">
        <v>551</v>
      </c>
      <c r="D222" s="18" t="s">
        <v>511</v>
      </c>
      <c r="E222" s="18" t="s">
        <v>508</v>
      </c>
      <c r="F222" s="23" t="s">
        <v>509</v>
      </c>
      <c r="G222" s="7" t="s">
        <v>475</v>
      </c>
      <c r="H222" s="123"/>
      <c r="I222" s="123"/>
      <c r="J222" s="123" t="s">
        <v>1063</v>
      </c>
      <c r="K222" s="49" t="s">
        <v>476</v>
      </c>
      <c r="L222" s="27"/>
      <c r="M222" s="58"/>
      <c r="N222" s="78"/>
      <c r="O222" s="27"/>
      <c r="P222" s="58"/>
      <c r="Q222" s="49"/>
      <c r="R222" s="27"/>
      <c r="S222" s="58"/>
      <c r="T222" s="98"/>
      <c r="U222" s="27"/>
      <c r="V222" s="58"/>
      <c r="W222" s="12"/>
      <c r="X222" s="27"/>
      <c r="Y222" s="58"/>
      <c r="Z222" s="12"/>
      <c r="AA222" s="27"/>
      <c r="AB222" s="58"/>
      <c r="AC222" s="12"/>
      <c r="AD222" s="27">
        <v>15</v>
      </c>
      <c r="AE222" s="58">
        <v>180</v>
      </c>
      <c r="AF222" s="107"/>
      <c r="AG222" s="27">
        <v>0</v>
      </c>
      <c r="AH222" s="58">
        <v>0</v>
      </c>
      <c r="AI222" s="107"/>
      <c r="AJ222" s="27">
        <v>90</v>
      </c>
      <c r="AK222" s="58">
        <v>1080</v>
      </c>
      <c r="AL222" s="107"/>
      <c r="AM222" s="27">
        <v>150</v>
      </c>
      <c r="AN222" s="58">
        <v>1800</v>
      </c>
      <c r="AO222" s="12"/>
      <c r="AP222" s="27">
        <v>5</v>
      </c>
      <c r="AQ222" s="58">
        <v>96</v>
      </c>
      <c r="AR222" s="12"/>
      <c r="AS222" s="27">
        <v>152</v>
      </c>
      <c r="AT222" s="58">
        <v>1880</v>
      </c>
      <c r="AU222" s="12"/>
      <c r="AV222" s="54"/>
      <c r="AW222" s="63"/>
      <c r="AX222" s="55"/>
      <c r="AY222" s="54"/>
      <c r="AZ222" s="63"/>
      <c r="BA222" s="55"/>
      <c r="BB222" s="10">
        <v>0</v>
      </c>
      <c r="BC222" s="15">
        <v>0</v>
      </c>
      <c r="BD222" s="11">
        <v>0</v>
      </c>
      <c r="BE222" s="10">
        <v>0</v>
      </c>
      <c r="BF222" s="15">
        <v>0</v>
      </c>
      <c r="BG222" s="11">
        <v>0</v>
      </c>
      <c r="BH222" s="10">
        <v>45</v>
      </c>
      <c r="BI222" s="15">
        <v>540</v>
      </c>
      <c r="BJ222" s="11">
        <v>540</v>
      </c>
      <c r="BK222" s="10">
        <v>0</v>
      </c>
      <c r="BL222" s="15">
        <v>0</v>
      </c>
      <c r="BM222" s="11">
        <v>0</v>
      </c>
      <c r="BN222" s="46">
        <v>150</v>
      </c>
      <c r="BO222" s="43">
        <v>1810</v>
      </c>
      <c r="BP222" s="47">
        <v>1784.8</v>
      </c>
      <c r="BQ222" s="46">
        <v>30</v>
      </c>
      <c r="BR222" s="43">
        <v>500</v>
      </c>
      <c r="BS222" s="47">
        <v>370</v>
      </c>
      <c r="BT222" s="46">
        <v>140</v>
      </c>
      <c r="BU222" s="43">
        <v>1828</v>
      </c>
      <c r="BV222" s="114">
        <v>1494.8</v>
      </c>
      <c r="BW222" s="119">
        <v>30.3</v>
      </c>
      <c r="BX222" s="120">
        <v>363</v>
      </c>
      <c r="BY222" s="114">
        <v>362.04</v>
      </c>
      <c r="BZ222" s="119">
        <v>45</v>
      </c>
      <c r="CA222" s="120">
        <v>540</v>
      </c>
      <c r="CB222" s="114">
        <v>540</v>
      </c>
      <c r="CC222" s="119">
        <v>69</v>
      </c>
      <c r="CD222" s="120">
        <v>828</v>
      </c>
      <c r="CE222" s="114">
        <v>828</v>
      </c>
      <c r="CF222" s="119">
        <v>9</v>
      </c>
      <c r="CG222" s="120">
        <v>136</v>
      </c>
      <c r="CH222" s="114">
        <v>105.2</v>
      </c>
      <c r="CI222" s="119">
        <v>30</v>
      </c>
      <c r="CJ222" s="120">
        <v>360</v>
      </c>
      <c r="CK222" s="114">
        <v>360</v>
      </c>
      <c r="CL222" s="54">
        <f t="shared" si="19"/>
        <v>548.29999999999995</v>
      </c>
      <c r="CM222" s="63">
        <f t="shared" si="19"/>
        <v>6905</v>
      </c>
      <c r="CN222" s="55">
        <f t="shared" si="19"/>
        <v>6384.84</v>
      </c>
      <c r="CO222" s="54">
        <f t="shared" si="20"/>
        <v>45.691666666666663</v>
      </c>
      <c r="CP222" s="63">
        <f t="shared" si="20"/>
        <v>575.41666666666663</v>
      </c>
      <c r="CQ222" s="55">
        <f t="shared" si="20"/>
        <v>532.07000000000005</v>
      </c>
    </row>
    <row r="223" spans="1:95" s="25" customFormat="1" ht="31.5" customHeight="1" x14ac:dyDescent="0.6">
      <c r="A223" s="5">
        <v>220</v>
      </c>
      <c r="B223" s="18" t="s">
        <v>512</v>
      </c>
      <c r="C223" s="18" t="s">
        <v>461</v>
      </c>
      <c r="D223" s="18" t="s">
        <v>513</v>
      </c>
      <c r="E223" s="18" t="s">
        <v>190</v>
      </c>
      <c r="F223" s="23" t="s">
        <v>187</v>
      </c>
      <c r="G223" s="7" t="s">
        <v>475</v>
      </c>
      <c r="H223" s="123"/>
      <c r="I223" s="123"/>
      <c r="J223" s="123" t="s">
        <v>1064</v>
      </c>
      <c r="K223" s="49" t="s">
        <v>476</v>
      </c>
      <c r="L223" s="27"/>
      <c r="M223" s="58"/>
      <c r="N223" s="78"/>
      <c r="O223" s="27"/>
      <c r="P223" s="58"/>
      <c r="Q223" s="49"/>
      <c r="R223" s="27"/>
      <c r="S223" s="58"/>
      <c r="T223" s="98"/>
      <c r="U223" s="27"/>
      <c r="V223" s="58"/>
      <c r="W223" s="12"/>
      <c r="X223" s="27"/>
      <c r="Y223" s="58"/>
      <c r="Z223" s="12"/>
      <c r="AA223" s="27"/>
      <c r="AB223" s="58"/>
      <c r="AC223" s="12"/>
      <c r="AD223" s="27">
        <v>0</v>
      </c>
      <c r="AE223" s="58">
        <v>0</v>
      </c>
      <c r="AF223" s="107"/>
      <c r="AG223" s="27">
        <v>20</v>
      </c>
      <c r="AH223" s="58">
        <v>268</v>
      </c>
      <c r="AI223" s="107"/>
      <c r="AJ223" s="27">
        <v>44</v>
      </c>
      <c r="AK223" s="58">
        <v>584</v>
      </c>
      <c r="AL223" s="107"/>
      <c r="AM223" s="27">
        <v>23</v>
      </c>
      <c r="AN223" s="58">
        <v>304</v>
      </c>
      <c r="AO223" s="12"/>
      <c r="AP223" s="27">
        <v>60</v>
      </c>
      <c r="AQ223" s="58">
        <v>748</v>
      </c>
      <c r="AR223" s="12"/>
      <c r="AS223" s="27">
        <v>78</v>
      </c>
      <c r="AT223" s="58">
        <v>1104</v>
      </c>
      <c r="AU223" s="12"/>
      <c r="AV223" s="54"/>
      <c r="AW223" s="63"/>
      <c r="AX223" s="55"/>
      <c r="AY223" s="54"/>
      <c r="AZ223" s="63"/>
      <c r="BA223" s="55"/>
      <c r="BB223" s="10">
        <v>44</v>
      </c>
      <c r="BC223" s="15">
        <v>640</v>
      </c>
      <c r="BD223" s="11">
        <v>536</v>
      </c>
      <c r="BE223" s="10">
        <v>15</v>
      </c>
      <c r="BF223" s="15">
        <v>180</v>
      </c>
      <c r="BG223" s="11">
        <v>180</v>
      </c>
      <c r="BH223" s="10">
        <v>111</v>
      </c>
      <c r="BI223" s="15">
        <v>1500</v>
      </c>
      <c r="BJ223" s="11">
        <v>1335</v>
      </c>
      <c r="BK223" s="10">
        <v>3</v>
      </c>
      <c r="BL223" s="15">
        <v>120</v>
      </c>
      <c r="BM223" s="11">
        <v>42</v>
      </c>
      <c r="BN223" s="46">
        <v>7</v>
      </c>
      <c r="BO223" s="43">
        <v>84</v>
      </c>
      <c r="BP223" s="47">
        <v>76.8</v>
      </c>
      <c r="BQ223" s="46">
        <v>55</v>
      </c>
      <c r="BR223" s="43">
        <v>718</v>
      </c>
      <c r="BS223" s="47">
        <v>653.76</v>
      </c>
      <c r="BT223" s="46">
        <v>63</v>
      </c>
      <c r="BU223" s="43">
        <v>840</v>
      </c>
      <c r="BV223" s="114">
        <v>745.14</v>
      </c>
      <c r="BW223" s="119">
        <v>27.3</v>
      </c>
      <c r="BX223" s="120">
        <v>467</v>
      </c>
      <c r="BY223" s="114">
        <v>329.04</v>
      </c>
      <c r="BZ223" s="119">
        <v>43</v>
      </c>
      <c r="CA223" s="120">
        <v>572</v>
      </c>
      <c r="CB223" s="114">
        <v>516.4</v>
      </c>
      <c r="CC223" s="119">
        <v>42</v>
      </c>
      <c r="CD223" s="120">
        <v>616</v>
      </c>
      <c r="CE223" s="114">
        <v>512</v>
      </c>
      <c r="CF223" s="119">
        <v>47</v>
      </c>
      <c r="CG223" s="120">
        <v>704</v>
      </c>
      <c r="CH223" s="114">
        <v>562.96</v>
      </c>
      <c r="CI223" s="119">
        <v>38</v>
      </c>
      <c r="CJ223" s="120">
        <v>680</v>
      </c>
      <c r="CK223" s="114">
        <v>472</v>
      </c>
      <c r="CL223" s="54">
        <f t="shared" si="19"/>
        <v>495.3</v>
      </c>
      <c r="CM223" s="63">
        <f t="shared" si="19"/>
        <v>7121</v>
      </c>
      <c r="CN223" s="55">
        <f t="shared" si="19"/>
        <v>5961.1</v>
      </c>
      <c r="CO223" s="54">
        <f t="shared" si="20"/>
        <v>41.274999999999999</v>
      </c>
      <c r="CP223" s="63">
        <f t="shared" si="20"/>
        <v>593.41666666666663</v>
      </c>
      <c r="CQ223" s="55">
        <f t="shared" si="20"/>
        <v>496.75833333333338</v>
      </c>
    </row>
    <row r="224" spans="1:95" s="25" customFormat="1" ht="31.5" customHeight="1" x14ac:dyDescent="0.6">
      <c r="A224" s="5">
        <v>221</v>
      </c>
      <c r="B224" s="18" t="s">
        <v>514</v>
      </c>
      <c r="C224" s="18" t="s">
        <v>553</v>
      </c>
      <c r="D224" s="18" t="s">
        <v>515</v>
      </c>
      <c r="E224" s="18" t="s">
        <v>190</v>
      </c>
      <c r="F224" s="23" t="s">
        <v>187</v>
      </c>
      <c r="G224" s="7" t="s">
        <v>475</v>
      </c>
      <c r="H224" s="123"/>
      <c r="I224" s="123"/>
      <c r="J224" s="123" t="s">
        <v>1065</v>
      </c>
      <c r="K224" s="49" t="s">
        <v>476</v>
      </c>
      <c r="L224" s="27"/>
      <c r="M224" s="58"/>
      <c r="N224" s="78"/>
      <c r="O224" s="27"/>
      <c r="P224" s="58"/>
      <c r="Q224" s="49"/>
      <c r="R224" s="27"/>
      <c r="S224" s="58"/>
      <c r="T224" s="98"/>
      <c r="U224" s="27"/>
      <c r="V224" s="58"/>
      <c r="W224" s="12"/>
      <c r="X224" s="27"/>
      <c r="Y224" s="58"/>
      <c r="Z224" s="12"/>
      <c r="AA224" s="27"/>
      <c r="AB224" s="58"/>
      <c r="AC224" s="12"/>
      <c r="AD224" s="27">
        <v>31</v>
      </c>
      <c r="AE224" s="58">
        <v>400</v>
      </c>
      <c r="AF224" s="107"/>
      <c r="AG224" s="27">
        <v>0</v>
      </c>
      <c r="AH224" s="58">
        <v>0</v>
      </c>
      <c r="AI224" s="107"/>
      <c r="AJ224" s="27">
        <v>24</v>
      </c>
      <c r="AK224" s="58">
        <v>536</v>
      </c>
      <c r="AL224" s="12"/>
      <c r="AM224" s="27">
        <v>58.6</v>
      </c>
      <c r="AN224" s="58">
        <v>898</v>
      </c>
      <c r="AO224" s="12"/>
      <c r="AP224" s="27">
        <v>5</v>
      </c>
      <c r="AQ224" s="58">
        <v>96</v>
      </c>
      <c r="AR224" s="12"/>
      <c r="AS224" s="27">
        <v>3</v>
      </c>
      <c r="AT224" s="58">
        <v>76</v>
      </c>
      <c r="AU224" s="12"/>
      <c r="AV224" s="54"/>
      <c r="AW224" s="63"/>
      <c r="AX224" s="55"/>
      <c r="AY224" s="54"/>
      <c r="AZ224" s="63"/>
      <c r="BA224" s="55"/>
      <c r="BB224" s="10">
        <v>0</v>
      </c>
      <c r="BC224" s="15">
        <v>0</v>
      </c>
      <c r="BD224" s="11">
        <v>0</v>
      </c>
      <c r="BE224" s="10">
        <v>5</v>
      </c>
      <c r="BF224" s="15">
        <v>60</v>
      </c>
      <c r="BG224" s="11">
        <v>60</v>
      </c>
      <c r="BH224" s="10">
        <v>32</v>
      </c>
      <c r="BI224" s="15">
        <v>580</v>
      </c>
      <c r="BJ224" s="11">
        <v>374</v>
      </c>
      <c r="BK224" s="10">
        <v>2</v>
      </c>
      <c r="BL224" s="15">
        <v>80</v>
      </c>
      <c r="BM224" s="11">
        <v>28</v>
      </c>
      <c r="BN224" s="46">
        <v>2</v>
      </c>
      <c r="BO224" s="43">
        <v>52</v>
      </c>
      <c r="BP224" s="47">
        <v>26</v>
      </c>
      <c r="BQ224" s="46">
        <v>8.5</v>
      </c>
      <c r="BR224" s="43">
        <v>130</v>
      </c>
      <c r="BS224" s="47">
        <v>104</v>
      </c>
      <c r="BT224" s="46">
        <v>25</v>
      </c>
      <c r="BU224" s="43">
        <v>302</v>
      </c>
      <c r="BV224" s="114">
        <v>302</v>
      </c>
      <c r="BW224" s="119">
        <v>12.600000000000001</v>
      </c>
      <c r="BX224" s="120">
        <v>234</v>
      </c>
      <c r="BY224" s="114">
        <v>154.07999999999998</v>
      </c>
      <c r="BZ224" s="119">
        <v>11</v>
      </c>
      <c r="CA224" s="120">
        <v>244</v>
      </c>
      <c r="CB224" s="114">
        <v>140</v>
      </c>
      <c r="CC224" s="119">
        <v>2</v>
      </c>
      <c r="CD224" s="120">
        <v>24</v>
      </c>
      <c r="CE224" s="114">
        <v>24</v>
      </c>
      <c r="CF224" s="119">
        <v>0</v>
      </c>
      <c r="CG224" s="120">
        <v>0</v>
      </c>
      <c r="CH224" s="114">
        <v>0</v>
      </c>
      <c r="CI224" s="119">
        <v>1</v>
      </c>
      <c r="CJ224" s="120">
        <v>12</v>
      </c>
      <c r="CK224" s="114">
        <v>12</v>
      </c>
      <c r="CL224" s="54">
        <f t="shared" si="19"/>
        <v>101.1</v>
      </c>
      <c r="CM224" s="63">
        <f t="shared" si="19"/>
        <v>1718</v>
      </c>
      <c r="CN224" s="55">
        <f t="shared" si="19"/>
        <v>1224.08</v>
      </c>
      <c r="CO224" s="54">
        <f t="shared" si="20"/>
        <v>8.4249999999999989</v>
      </c>
      <c r="CP224" s="63">
        <f t="shared" si="20"/>
        <v>143.16666666666666</v>
      </c>
      <c r="CQ224" s="55">
        <f t="shared" si="20"/>
        <v>102.00666666666666</v>
      </c>
    </row>
    <row r="225" spans="1:95" s="25" customFormat="1" ht="31.5" customHeight="1" x14ac:dyDescent="0.6">
      <c r="A225" s="5">
        <v>222</v>
      </c>
      <c r="B225" s="18" t="s">
        <v>516</v>
      </c>
      <c r="C225" s="18" t="s">
        <v>1161</v>
      </c>
      <c r="D225" s="18" t="s">
        <v>517</v>
      </c>
      <c r="E225" s="18" t="s">
        <v>190</v>
      </c>
      <c r="F225" s="23" t="s">
        <v>187</v>
      </c>
      <c r="G225" s="7" t="s">
        <v>475</v>
      </c>
      <c r="H225" s="123"/>
      <c r="I225" s="123"/>
      <c r="J225" s="123" t="s">
        <v>1066</v>
      </c>
      <c r="K225" s="49" t="s">
        <v>476</v>
      </c>
      <c r="L225" s="27"/>
      <c r="M225" s="58"/>
      <c r="N225" s="78"/>
      <c r="O225" s="27"/>
      <c r="P225" s="58"/>
      <c r="Q225" s="49"/>
      <c r="R225" s="27"/>
      <c r="S225" s="58"/>
      <c r="T225" s="98"/>
      <c r="U225" s="27"/>
      <c r="V225" s="58"/>
      <c r="W225" s="12"/>
      <c r="X225" s="27"/>
      <c r="Y225" s="58"/>
      <c r="Z225" s="12"/>
      <c r="AA225" s="27"/>
      <c r="AB225" s="58"/>
      <c r="AC225" s="12"/>
      <c r="AD225" s="27">
        <v>30</v>
      </c>
      <c r="AE225" s="58">
        <v>416</v>
      </c>
      <c r="AF225" s="107"/>
      <c r="AG225" s="27">
        <v>27</v>
      </c>
      <c r="AH225" s="58">
        <v>380</v>
      </c>
      <c r="AI225" s="107"/>
      <c r="AJ225" s="27">
        <v>78</v>
      </c>
      <c r="AK225" s="58">
        <v>1108</v>
      </c>
      <c r="AL225" s="12"/>
      <c r="AM225" s="27">
        <v>50</v>
      </c>
      <c r="AN225" s="58">
        <v>760</v>
      </c>
      <c r="AO225" s="12"/>
      <c r="AP225" s="27">
        <v>23</v>
      </c>
      <c r="AQ225" s="58">
        <v>360</v>
      </c>
      <c r="AR225" s="12"/>
      <c r="AS225" s="27">
        <v>20</v>
      </c>
      <c r="AT225" s="58">
        <v>380</v>
      </c>
      <c r="AU225" s="12"/>
      <c r="AV225" s="54"/>
      <c r="AW225" s="63"/>
      <c r="AX225" s="55"/>
      <c r="AY225" s="54"/>
      <c r="AZ225" s="63"/>
      <c r="BA225" s="55"/>
      <c r="BB225" s="10">
        <v>32</v>
      </c>
      <c r="BC225" s="15">
        <v>440</v>
      </c>
      <c r="BD225" s="11">
        <v>388</v>
      </c>
      <c r="BE225" s="10">
        <v>15</v>
      </c>
      <c r="BF225" s="15">
        <v>180</v>
      </c>
      <c r="BG225" s="11">
        <v>180</v>
      </c>
      <c r="BH225" s="10">
        <v>49</v>
      </c>
      <c r="BI225" s="15">
        <v>730</v>
      </c>
      <c r="BJ225" s="11">
        <v>580.55999999999995</v>
      </c>
      <c r="BK225" s="10">
        <v>35</v>
      </c>
      <c r="BL225" s="15">
        <v>560</v>
      </c>
      <c r="BM225" s="11">
        <v>406</v>
      </c>
      <c r="BN225" s="46">
        <v>85</v>
      </c>
      <c r="BO225" s="43">
        <v>1272</v>
      </c>
      <c r="BP225" s="47">
        <v>1018.6</v>
      </c>
      <c r="BQ225" s="46">
        <v>46</v>
      </c>
      <c r="BR225" s="43">
        <v>664</v>
      </c>
      <c r="BS225" s="47">
        <v>560</v>
      </c>
      <c r="BT225" s="46">
        <v>80</v>
      </c>
      <c r="BU225" s="43">
        <v>1048</v>
      </c>
      <c r="BV225" s="114">
        <v>946</v>
      </c>
      <c r="BW225" s="119">
        <v>40.6</v>
      </c>
      <c r="BX225" s="120">
        <v>682</v>
      </c>
      <c r="BY225" s="114">
        <v>464.47999999999996</v>
      </c>
      <c r="BZ225" s="119">
        <v>15</v>
      </c>
      <c r="CA225" s="120">
        <v>180</v>
      </c>
      <c r="CB225" s="114">
        <v>175.2</v>
      </c>
      <c r="CC225" s="119">
        <v>56</v>
      </c>
      <c r="CD225" s="120">
        <v>728</v>
      </c>
      <c r="CE225" s="114">
        <v>652</v>
      </c>
      <c r="CF225" s="119">
        <v>15</v>
      </c>
      <c r="CG225" s="120">
        <v>180</v>
      </c>
      <c r="CH225" s="114">
        <v>180</v>
      </c>
      <c r="CI225" s="119">
        <v>26</v>
      </c>
      <c r="CJ225" s="120">
        <v>424</v>
      </c>
      <c r="CK225" s="114">
        <v>286.39999999999998</v>
      </c>
      <c r="CL225" s="54">
        <f t="shared" si="19"/>
        <v>494.6</v>
      </c>
      <c r="CM225" s="63">
        <f t="shared" si="19"/>
        <v>7088</v>
      </c>
      <c r="CN225" s="55">
        <f t="shared" si="19"/>
        <v>5837.2399999999989</v>
      </c>
      <c r="CO225" s="54">
        <f t="shared" si="20"/>
        <v>41.216666666666669</v>
      </c>
      <c r="CP225" s="63">
        <f t="shared" si="20"/>
        <v>590.66666666666663</v>
      </c>
      <c r="CQ225" s="55">
        <f t="shared" si="20"/>
        <v>486.43666666666655</v>
      </c>
    </row>
    <row r="226" spans="1:95" s="25" customFormat="1" ht="31.5" customHeight="1" x14ac:dyDescent="0.6">
      <c r="A226" s="5">
        <v>223</v>
      </c>
      <c r="B226" s="18" t="s">
        <v>518</v>
      </c>
      <c r="C226" s="18" t="s">
        <v>557</v>
      </c>
      <c r="D226" s="18" t="s">
        <v>519</v>
      </c>
      <c r="E226" s="18" t="s">
        <v>190</v>
      </c>
      <c r="F226" s="23" t="s">
        <v>187</v>
      </c>
      <c r="G226" s="7" t="s">
        <v>475</v>
      </c>
      <c r="H226" s="123"/>
      <c r="I226" s="123"/>
      <c r="J226" s="123" t="s">
        <v>1067</v>
      </c>
      <c r="K226" s="49" t="s">
        <v>476</v>
      </c>
      <c r="L226" s="27"/>
      <c r="M226" s="58"/>
      <c r="N226" s="78"/>
      <c r="O226" s="27"/>
      <c r="P226" s="58"/>
      <c r="Q226" s="49"/>
      <c r="R226" s="27"/>
      <c r="S226" s="58"/>
      <c r="T226" s="98"/>
      <c r="U226" s="27"/>
      <c r="V226" s="58"/>
      <c r="W226" s="12"/>
      <c r="X226" s="27"/>
      <c r="Y226" s="58"/>
      <c r="Z226" s="12"/>
      <c r="AA226" s="27"/>
      <c r="AB226" s="58"/>
      <c r="AC226" s="12"/>
      <c r="AD226" s="27">
        <v>16</v>
      </c>
      <c r="AE226" s="58">
        <v>192</v>
      </c>
      <c r="AF226" s="107"/>
      <c r="AG226" s="27">
        <v>0</v>
      </c>
      <c r="AH226" s="58">
        <v>0</v>
      </c>
      <c r="AI226" s="12"/>
      <c r="AJ226" s="27">
        <v>30</v>
      </c>
      <c r="AK226" s="58">
        <v>360</v>
      </c>
      <c r="AL226" s="12"/>
      <c r="AM226" s="27">
        <v>15</v>
      </c>
      <c r="AN226" s="58">
        <v>180</v>
      </c>
      <c r="AO226" s="12"/>
      <c r="AP226" s="27">
        <v>1</v>
      </c>
      <c r="AQ226" s="58">
        <v>12</v>
      </c>
      <c r="AR226" s="12"/>
      <c r="AS226" s="27">
        <v>16</v>
      </c>
      <c r="AT226" s="58">
        <v>192</v>
      </c>
      <c r="AU226" s="12"/>
      <c r="AV226" s="54"/>
      <c r="AW226" s="63"/>
      <c r="AX226" s="55"/>
      <c r="AY226" s="54"/>
      <c r="AZ226" s="63"/>
      <c r="BA226" s="55"/>
      <c r="BB226" s="10">
        <v>16</v>
      </c>
      <c r="BC226" s="15">
        <v>192</v>
      </c>
      <c r="BD226" s="11">
        <v>188</v>
      </c>
      <c r="BE226" s="10">
        <v>31</v>
      </c>
      <c r="BF226" s="15">
        <v>372</v>
      </c>
      <c r="BG226" s="11">
        <v>368</v>
      </c>
      <c r="BH226" s="10">
        <v>45</v>
      </c>
      <c r="BI226" s="15">
        <v>540</v>
      </c>
      <c r="BJ226" s="11">
        <v>540</v>
      </c>
      <c r="BK226" s="10">
        <v>10</v>
      </c>
      <c r="BL226" s="15">
        <v>120</v>
      </c>
      <c r="BM226" s="11">
        <v>120</v>
      </c>
      <c r="BN226" s="46">
        <v>2</v>
      </c>
      <c r="BO226" s="43">
        <v>24</v>
      </c>
      <c r="BP226" s="47">
        <v>15.4</v>
      </c>
      <c r="BQ226" s="46">
        <v>4</v>
      </c>
      <c r="BR226" s="43">
        <v>78</v>
      </c>
      <c r="BS226" s="47">
        <v>42.4</v>
      </c>
      <c r="BT226" s="46">
        <v>20</v>
      </c>
      <c r="BU226" s="43">
        <v>234</v>
      </c>
      <c r="BV226" s="114">
        <v>224.4</v>
      </c>
      <c r="BW226" s="119">
        <v>19</v>
      </c>
      <c r="BX226" s="120">
        <v>256</v>
      </c>
      <c r="BY226" s="114">
        <v>220.4</v>
      </c>
      <c r="BZ226" s="119">
        <v>5</v>
      </c>
      <c r="CA226" s="120">
        <v>88</v>
      </c>
      <c r="CB226" s="114">
        <v>62</v>
      </c>
      <c r="CC226" s="119">
        <v>16</v>
      </c>
      <c r="CD226" s="120">
        <v>192</v>
      </c>
      <c r="CE226" s="114">
        <v>192</v>
      </c>
      <c r="CF226" s="119">
        <v>35</v>
      </c>
      <c r="CG226" s="120">
        <v>448</v>
      </c>
      <c r="CH226" s="114">
        <v>417.2</v>
      </c>
      <c r="CI226" s="119">
        <v>2</v>
      </c>
      <c r="CJ226" s="120">
        <v>52</v>
      </c>
      <c r="CK226" s="114">
        <v>21.2</v>
      </c>
      <c r="CL226" s="54">
        <f t="shared" si="19"/>
        <v>205</v>
      </c>
      <c r="CM226" s="63">
        <f t="shared" si="19"/>
        <v>2596</v>
      </c>
      <c r="CN226" s="55">
        <f t="shared" si="19"/>
        <v>2411</v>
      </c>
      <c r="CO226" s="54">
        <f t="shared" si="20"/>
        <v>17.083333333333332</v>
      </c>
      <c r="CP226" s="63">
        <f t="shared" si="20"/>
        <v>216.33333333333334</v>
      </c>
      <c r="CQ226" s="55">
        <f t="shared" si="20"/>
        <v>200.91666666666666</v>
      </c>
    </row>
    <row r="227" spans="1:95" s="25" customFormat="1" ht="31.5" customHeight="1" x14ac:dyDescent="0.6">
      <c r="A227" s="5">
        <v>224</v>
      </c>
      <c r="B227" s="18">
        <v>185</v>
      </c>
      <c r="C227" s="18" t="s">
        <v>559</v>
      </c>
      <c r="D227" s="18">
        <v>185</v>
      </c>
      <c r="E227" s="18" t="s">
        <v>520</v>
      </c>
      <c r="F227" s="23" t="s">
        <v>521</v>
      </c>
      <c r="G227" s="7" t="s">
        <v>475</v>
      </c>
      <c r="H227" s="123"/>
      <c r="I227" s="123"/>
      <c r="J227" s="123" t="s">
        <v>1068</v>
      </c>
      <c r="K227" s="49" t="s">
        <v>476</v>
      </c>
      <c r="L227" s="27"/>
      <c r="M227" s="58"/>
      <c r="N227" s="78"/>
      <c r="O227" s="27"/>
      <c r="P227" s="58"/>
      <c r="Q227" s="49"/>
      <c r="R227" s="27"/>
      <c r="S227" s="58"/>
      <c r="T227" s="98"/>
      <c r="U227" s="27"/>
      <c r="V227" s="58"/>
      <c r="W227" s="12"/>
      <c r="X227" s="27"/>
      <c r="Y227" s="58"/>
      <c r="Z227" s="12"/>
      <c r="AA227" s="27"/>
      <c r="AB227" s="58"/>
      <c r="AC227" s="12"/>
      <c r="AD227" s="27">
        <v>0</v>
      </c>
      <c r="AE227" s="58">
        <v>0</v>
      </c>
      <c r="AF227" s="12"/>
      <c r="AG227" s="27">
        <v>0</v>
      </c>
      <c r="AH227" s="58">
        <v>0</v>
      </c>
      <c r="AI227" s="12"/>
      <c r="AJ227" s="27">
        <v>0</v>
      </c>
      <c r="AK227" s="58">
        <v>0</v>
      </c>
      <c r="AL227" s="12"/>
      <c r="AM227" s="27">
        <v>0</v>
      </c>
      <c r="AN227" s="58">
        <v>0</v>
      </c>
      <c r="AO227" s="12"/>
      <c r="AP227" s="27">
        <v>0</v>
      </c>
      <c r="AQ227" s="58">
        <v>0</v>
      </c>
      <c r="AR227" s="12"/>
      <c r="AS227" s="27">
        <v>50</v>
      </c>
      <c r="AT227" s="58">
        <v>730</v>
      </c>
      <c r="AU227" s="12"/>
      <c r="AV227" s="54"/>
      <c r="AW227" s="63"/>
      <c r="AX227" s="55"/>
      <c r="AY227" s="54"/>
      <c r="AZ227" s="63"/>
      <c r="BA227" s="55"/>
      <c r="BB227" s="10">
        <v>13</v>
      </c>
      <c r="BC227" s="15">
        <v>144</v>
      </c>
      <c r="BD227" s="11">
        <v>144</v>
      </c>
      <c r="BE227" s="10">
        <v>2</v>
      </c>
      <c r="BF227" s="15">
        <v>24</v>
      </c>
      <c r="BG227" s="11">
        <v>24</v>
      </c>
      <c r="BH227" s="10">
        <v>36</v>
      </c>
      <c r="BI227" s="15">
        <v>434</v>
      </c>
      <c r="BJ227" s="11">
        <v>429</v>
      </c>
      <c r="BK227" s="10">
        <v>9</v>
      </c>
      <c r="BL227" s="15">
        <v>108</v>
      </c>
      <c r="BM227" s="11">
        <v>108</v>
      </c>
      <c r="BN227" s="46">
        <v>10</v>
      </c>
      <c r="BO227" s="43">
        <v>148</v>
      </c>
      <c r="BP227" s="47">
        <v>122</v>
      </c>
      <c r="BQ227" s="46">
        <v>10</v>
      </c>
      <c r="BR227" s="43">
        <v>120</v>
      </c>
      <c r="BS227" s="47">
        <v>120</v>
      </c>
      <c r="BT227" s="46">
        <v>5</v>
      </c>
      <c r="BU227" s="43">
        <v>62</v>
      </c>
      <c r="BV227" s="114">
        <v>62</v>
      </c>
      <c r="BW227" s="119">
        <v>10.3</v>
      </c>
      <c r="BX227" s="120">
        <v>123</v>
      </c>
      <c r="BY227" s="114">
        <v>123</v>
      </c>
      <c r="BZ227" s="119">
        <v>7</v>
      </c>
      <c r="CA227" s="120">
        <v>84</v>
      </c>
      <c r="CB227" s="114">
        <v>84</v>
      </c>
      <c r="CC227" s="119">
        <v>0</v>
      </c>
      <c r="CD227" s="120">
        <v>0</v>
      </c>
      <c r="CE227" s="114">
        <v>0</v>
      </c>
      <c r="CF227" s="119">
        <v>8</v>
      </c>
      <c r="CG227" s="120">
        <v>96</v>
      </c>
      <c r="CH227" s="114">
        <v>96</v>
      </c>
      <c r="CI227" s="119">
        <v>6</v>
      </c>
      <c r="CJ227" s="120">
        <v>72</v>
      </c>
      <c r="CK227" s="114">
        <v>72</v>
      </c>
      <c r="CL227" s="54">
        <f t="shared" si="19"/>
        <v>116.3</v>
      </c>
      <c r="CM227" s="63">
        <f t="shared" si="19"/>
        <v>1415</v>
      </c>
      <c r="CN227" s="55">
        <f t="shared" si="19"/>
        <v>1384</v>
      </c>
      <c r="CO227" s="54">
        <f t="shared" si="20"/>
        <v>9.6916666666666664</v>
      </c>
      <c r="CP227" s="63">
        <f t="shared" si="20"/>
        <v>117.91666666666667</v>
      </c>
      <c r="CQ227" s="55">
        <f t="shared" si="20"/>
        <v>115.33333333333333</v>
      </c>
    </row>
    <row r="228" spans="1:95" s="25" customFormat="1" ht="31.5" customHeight="1" x14ac:dyDescent="0.6">
      <c r="A228" s="5">
        <v>225</v>
      </c>
      <c r="B228" s="18" t="s">
        <v>522</v>
      </c>
      <c r="C228" s="18" t="s">
        <v>561</v>
      </c>
      <c r="D228" s="18" t="s">
        <v>523</v>
      </c>
      <c r="E228" s="18" t="s">
        <v>190</v>
      </c>
      <c r="F228" s="23" t="s">
        <v>187</v>
      </c>
      <c r="G228" s="7" t="s">
        <v>475</v>
      </c>
      <c r="H228" s="123"/>
      <c r="I228" s="123"/>
      <c r="J228" s="123" t="s">
        <v>1069</v>
      </c>
      <c r="K228" s="49" t="s">
        <v>476</v>
      </c>
      <c r="L228" s="27"/>
      <c r="M228" s="58"/>
      <c r="N228" s="78"/>
      <c r="O228" s="27"/>
      <c r="P228" s="58"/>
      <c r="Q228" s="49"/>
      <c r="R228" s="27"/>
      <c r="S228" s="58"/>
      <c r="T228" s="98"/>
      <c r="U228" s="27"/>
      <c r="V228" s="58"/>
      <c r="W228" s="12"/>
      <c r="X228" s="27"/>
      <c r="Y228" s="58"/>
      <c r="Z228" s="12"/>
      <c r="AA228" s="27"/>
      <c r="AB228" s="58"/>
      <c r="AC228" s="12"/>
      <c r="AD228" s="27">
        <v>3</v>
      </c>
      <c r="AE228" s="58">
        <v>36</v>
      </c>
      <c r="AF228" s="12"/>
      <c r="AG228" s="27">
        <v>0</v>
      </c>
      <c r="AH228" s="58">
        <v>0</v>
      </c>
      <c r="AI228" s="12"/>
      <c r="AJ228" s="27">
        <v>2</v>
      </c>
      <c r="AK228" s="58">
        <v>24</v>
      </c>
      <c r="AL228" s="12"/>
      <c r="AM228" s="27">
        <v>12</v>
      </c>
      <c r="AN228" s="58">
        <v>156</v>
      </c>
      <c r="AO228" s="12"/>
      <c r="AP228" s="27">
        <v>4</v>
      </c>
      <c r="AQ228" s="58">
        <v>60</v>
      </c>
      <c r="AR228" s="12"/>
      <c r="AS228" s="27">
        <v>5</v>
      </c>
      <c r="AT228" s="58">
        <v>60</v>
      </c>
      <c r="AU228" s="12"/>
      <c r="AV228" s="54"/>
      <c r="AW228" s="63"/>
      <c r="AX228" s="55"/>
      <c r="AY228" s="54"/>
      <c r="AZ228" s="63"/>
      <c r="BA228" s="55"/>
      <c r="BB228" s="10">
        <v>0</v>
      </c>
      <c r="BC228" s="15">
        <v>0</v>
      </c>
      <c r="BD228" s="11">
        <v>0</v>
      </c>
      <c r="BE228" s="10">
        <v>10</v>
      </c>
      <c r="BF228" s="15">
        <v>136</v>
      </c>
      <c r="BG228" s="11">
        <v>95.68</v>
      </c>
      <c r="BH228" s="10">
        <v>20</v>
      </c>
      <c r="BI228" s="15">
        <v>240</v>
      </c>
      <c r="BJ228" s="11">
        <v>240</v>
      </c>
      <c r="BK228" s="10">
        <v>31</v>
      </c>
      <c r="BL228" s="15">
        <v>410</v>
      </c>
      <c r="BM228" s="11">
        <v>354</v>
      </c>
      <c r="BN228" s="46">
        <v>16</v>
      </c>
      <c r="BO228" s="43">
        <v>240</v>
      </c>
      <c r="BP228" s="47">
        <v>163.6</v>
      </c>
      <c r="BQ228" s="46">
        <v>16</v>
      </c>
      <c r="BR228" s="43">
        <v>240</v>
      </c>
      <c r="BS228" s="47">
        <v>163.6</v>
      </c>
      <c r="BT228" s="46">
        <v>30</v>
      </c>
      <c r="BU228" s="43">
        <v>462</v>
      </c>
      <c r="BV228" s="114">
        <v>314.64</v>
      </c>
      <c r="BW228" s="119">
        <v>26</v>
      </c>
      <c r="BX228" s="120">
        <v>360</v>
      </c>
      <c r="BY228" s="114">
        <v>274</v>
      </c>
      <c r="BZ228" s="119">
        <v>72</v>
      </c>
      <c r="CA228" s="120">
        <v>990</v>
      </c>
      <c r="CB228" s="114">
        <v>761.6</v>
      </c>
      <c r="CC228" s="119">
        <v>42</v>
      </c>
      <c r="CD228" s="120">
        <v>572</v>
      </c>
      <c r="CE228" s="114">
        <v>440.4</v>
      </c>
      <c r="CF228" s="119">
        <v>12</v>
      </c>
      <c r="CG228" s="120">
        <v>200</v>
      </c>
      <c r="CH228" s="114">
        <v>148</v>
      </c>
      <c r="CI228" s="119">
        <v>15</v>
      </c>
      <c r="CJ228" s="120">
        <v>180</v>
      </c>
      <c r="CK228" s="114">
        <v>180</v>
      </c>
      <c r="CL228" s="54">
        <f t="shared" si="19"/>
        <v>290</v>
      </c>
      <c r="CM228" s="63">
        <f t="shared" si="19"/>
        <v>4030</v>
      </c>
      <c r="CN228" s="55">
        <f t="shared" si="19"/>
        <v>3135.52</v>
      </c>
      <c r="CO228" s="54">
        <f t="shared" si="20"/>
        <v>24.166666666666668</v>
      </c>
      <c r="CP228" s="63">
        <f t="shared" si="20"/>
        <v>335.83333333333331</v>
      </c>
      <c r="CQ228" s="55">
        <f t="shared" si="20"/>
        <v>261.29333333333335</v>
      </c>
    </row>
    <row r="229" spans="1:95" s="25" customFormat="1" ht="31.5" customHeight="1" x14ac:dyDescent="0.6">
      <c r="A229" s="5">
        <v>226</v>
      </c>
      <c r="B229" s="18" t="s">
        <v>524</v>
      </c>
      <c r="C229" s="18" t="s">
        <v>563</v>
      </c>
      <c r="D229" s="18" t="s">
        <v>525</v>
      </c>
      <c r="E229" s="148" t="s">
        <v>100</v>
      </c>
      <c r="F229" s="23" t="s">
        <v>526</v>
      </c>
      <c r="G229" s="7" t="s">
        <v>475</v>
      </c>
      <c r="H229" s="123"/>
      <c r="I229" s="123"/>
      <c r="J229" s="123"/>
      <c r="K229" s="49" t="s">
        <v>476</v>
      </c>
      <c r="L229" s="27"/>
      <c r="M229" s="58"/>
      <c r="N229" s="78"/>
      <c r="O229" s="27"/>
      <c r="P229" s="58"/>
      <c r="Q229" s="49"/>
      <c r="R229" s="27"/>
      <c r="S229" s="58"/>
      <c r="T229" s="98"/>
      <c r="U229" s="27"/>
      <c r="V229" s="58"/>
      <c r="W229" s="12"/>
      <c r="X229" s="27"/>
      <c r="Y229" s="58"/>
      <c r="Z229" s="12"/>
      <c r="AA229" s="27"/>
      <c r="AB229" s="58"/>
      <c r="AC229" s="12"/>
      <c r="AD229" s="27">
        <v>0</v>
      </c>
      <c r="AE229" s="58">
        <v>0</v>
      </c>
      <c r="AF229" s="12"/>
      <c r="AG229" s="27">
        <v>0</v>
      </c>
      <c r="AH229" s="58">
        <v>0</v>
      </c>
      <c r="AI229" s="12"/>
      <c r="AJ229" s="27">
        <v>0</v>
      </c>
      <c r="AK229" s="58">
        <v>0</v>
      </c>
      <c r="AL229" s="12"/>
      <c r="AM229" s="27">
        <v>0</v>
      </c>
      <c r="AN229" s="58">
        <v>0</v>
      </c>
      <c r="AO229" s="12"/>
      <c r="AP229" s="27">
        <v>0</v>
      </c>
      <c r="AQ229" s="58">
        <v>0</v>
      </c>
      <c r="AR229" s="12"/>
      <c r="AS229" s="27">
        <v>90</v>
      </c>
      <c r="AT229" s="58">
        <v>1100</v>
      </c>
      <c r="AU229" s="12"/>
      <c r="AV229" s="54"/>
      <c r="AW229" s="63"/>
      <c r="AX229" s="55"/>
      <c r="AY229" s="54"/>
      <c r="AZ229" s="63"/>
      <c r="BA229" s="55"/>
      <c r="BB229" s="10">
        <v>80</v>
      </c>
      <c r="BC229" s="15">
        <v>1020</v>
      </c>
      <c r="BD229" s="11">
        <v>869.6</v>
      </c>
      <c r="BE229" s="10">
        <v>20</v>
      </c>
      <c r="BF229" s="15">
        <v>240</v>
      </c>
      <c r="BG229" s="11">
        <v>192</v>
      </c>
      <c r="BH229" s="10">
        <v>206</v>
      </c>
      <c r="BI229" s="15">
        <v>2532</v>
      </c>
      <c r="BJ229" s="11">
        <v>2352</v>
      </c>
      <c r="BK229" s="10">
        <v>250</v>
      </c>
      <c r="BL229" s="15">
        <v>3020</v>
      </c>
      <c r="BM229" s="11">
        <v>2969.6</v>
      </c>
      <c r="BN229" s="46">
        <v>106</v>
      </c>
      <c r="BO229" s="43">
        <v>1480</v>
      </c>
      <c r="BP229" s="47">
        <v>1223.2</v>
      </c>
      <c r="BQ229" s="46">
        <v>230</v>
      </c>
      <c r="BR229" s="43">
        <v>2840</v>
      </c>
      <c r="BS229" s="47">
        <v>2638.4</v>
      </c>
      <c r="BT229" s="46">
        <v>120</v>
      </c>
      <c r="BU229" s="43">
        <v>1480</v>
      </c>
      <c r="BV229" s="114">
        <v>1379.2</v>
      </c>
      <c r="BW229" s="119">
        <v>125.3</v>
      </c>
      <c r="BX229" s="120">
        <v>1593</v>
      </c>
      <c r="BY229" s="114">
        <v>1365.24</v>
      </c>
      <c r="BZ229" s="119">
        <v>0</v>
      </c>
      <c r="CA229" s="120">
        <v>0</v>
      </c>
      <c r="CB229" s="114">
        <v>0</v>
      </c>
      <c r="CC229" s="119">
        <v>190</v>
      </c>
      <c r="CD229" s="120">
        <v>2320</v>
      </c>
      <c r="CE229" s="114">
        <v>2219.1999999999998</v>
      </c>
      <c r="CF229" s="119">
        <v>72</v>
      </c>
      <c r="CG229" s="120">
        <v>904</v>
      </c>
      <c r="CH229" s="114">
        <v>803.2</v>
      </c>
      <c r="CI229" s="119">
        <v>225</v>
      </c>
      <c r="CJ229" s="120">
        <v>2740</v>
      </c>
      <c r="CK229" s="114">
        <v>2639.2</v>
      </c>
      <c r="CL229" s="54">
        <f t="shared" si="19"/>
        <v>1624.3</v>
      </c>
      <c r="CM229" s="63">
        <f t="shared" si="19"/>
        <v>20169</v>
      </c>
      <c r="CN229" s="55">
        <f t="shared" si="19"/>
        <v>18650.84</v>
      </c>
      <c r="CO229" s="54">
        <f t="shared" si="20"/>
        <v>135.35833333333332</v>
      </c>
      <c r="CP229" s="63">
        <f t="shared" si="20"/>
        <v>1680.75</v>
      </c>
      <c r="CQ229" s="55">
        <f t="shared" si="20"/>
        <v>1554.2366666666667</v>
      </c>
    </row>
    <row r="230" spans="1:95" s="25" customFormat="1" ht="31.5" customHeight="1" x14ac:dyDescent="0.6">
      <c r="A230" s="5">
        <v>227</v>
      </c>
      <c r="B230" s="18" t="s">
        <v>527</v>
      </c>
      <c r="C230" s="18" t="s">
        <v>565</v>
      </c>
      <c r="D230" s="18" t="s">
        <v>528</v>
      </c>
      <c r="E230" s="18" t="s">
        <v>529</v>
      </c>
      <c r="F230" s="23" t="s">
        <v>530</v>
      </c>
      <c r="G230" s="7" t="s">
        <v>531</v>
      </c>
      <c r="H230" s="123"/>
      <c r="I230" s="123"/>
      <c r="J230" s="123" t="s">
        <v>1070</v>
      </c>
      <c r="K230" s="49" t="s">
        <v>1165</v>
      </c>
      <c r="L230" s="27"/>
      <c r="M230" s="58"/>
      <c r="N230" s="78"/>
      <c r="O230" s="27"/>
      <c r="P230" s="58"/>
      <c r="Q230" s="49"/>
      <c r="R230" s="27"/>
      <c r="S230" s="58"/>
      <c r="T230" s="98"/>
      <c r="U230" s="27"/>
      <c r="V230" s="58"/>
      <c r="W230" s="12"/>
      <c r="X230" s="27"/>
      <c r="Y230" s="58"/>
      <c r="Z230" s="12"/>
      <c r="AA230" s="27"/>
      <c r="AB230" s="58"/>
      <c r="AC230" s="12"/>
      <c r="AD230" s="27">
        <v>0</v>
      </c>
      <c r="AE230" s="58">
        <v>0</v>
      </c>
      <c r="AF230" s="12"/>
      <c r="AG230" s="27">
        <v>0</v>
      </c>
      <c r="AH230" s="58">
        <v>0</v>
      </c>
      <c r="AI230" s="12"/>
      <c r="AJ230" s="27">
        <v>0</v>
      </c>
      <c r="AK230" s="58">
        <v>0</v>
      </c>
      <c r="AL230" s="12"/>
      <c r="AM230" s="27">
        <v>0</v>
      </c>
      <c r="AN230" s="58">
        <v>0</v>
      </c>
      <c r="AO230" s="12"/>
      <c r="AP230" s="27">
        <v>0</v>
      </c>
      <c r="AQ230" s="58">
        <v>0</v>
      </c>
      <c r="AR230" s="12"/>
      <c r="AS230" s="27">
        <v>60</v>
      </c>
      <c r="AT230" s="58">
        <v>720</v>
      </c>
      <c r="AU230" s="12"/>
      <c r="AV230" s="54"/>
      <c r="AW230" s="63"/>
      <c r="AX230" s="55"/>
      <c r="AY230" s="54"/>
      <c r="AZ230" s="63"/>
      <c r="BA230" s="55"/>
      <c r="BB230" s="10">
        <v>0</v>
      </c>
      <c r="BC230" s="15">
        <v>12</v>
      </c>
      <c r="BD230" s="11">
        <v>5</v>
      </c>
      <c r="BE230" s="10">
        <v>0</v>
      </c>
      <c r="BF230" s="15">
        <v>0</v>
      </c>
      <c r="BG230" s="11">
        <v>0</v>
      </c>
      <c r="BH230" s="10">
        <v>84.24</v>
      </c>
      <c r="BI230" s="15">
        <v>1104</v>
      </c>
      <c r="BJ230" s="11">
        <v>898.8</v>
      </c>
      <c r="BK230" s="10">
        <v>1</v>
      </c>
      <c r="BL230" s="15">
        <v>37</v>
      </c>
      <c r="BM230" s="11">
        <v>13</v>
      </c>
      <c r="BN230" s="46">
        <v>45</v>
      </c>
      <c r="BO230" s="43">
        <v>570</v>
      </c>
      <c r="BP230" s="47">
        <v>494.4</v>
      </c>
      <c r="BQ230" s="46">
        <v>126</v>
      </c>
      <c r="BR230" s="43">
        <v>1578</v>
      </c>
      <c r="BS230" s="47">
        <v>1456.24</v>
      </c>
      <c r="BT230" s="46">
        <v>31</v>
      </c>
      <c r="BU230" s="43">
        <v>378</v>
      </c>
      <c r="BV230" s="114">
        <v>374</v>
      </c>
      <c r="BW230" s="119">
        <v>20</v>
      </c>
      <c r="BX230" s="120">
        <v>240</v>
      </c>
      <c r="BY230" s="114">
        <v>240</v>
      </c>
      <c r="BZ230" s="119">
        <v>29.167000000000002</v>
      </c>
      <c r="CA230" s="120">
        <v>354</v>
      </c>
      <c r="CB230" s="114">
        <v>343.28000000000003</v>
      </c>
      <c r="CC230" s="119">
        <v>79</v>
      </c>
      <c r="CD230" s="120">
        <v>1026</v>
      </c>
      <c r="CE230" s="114">
        <v>933.2</v>
      </c>
      <c r="CF230" s="119">
        <v>77</v>
      </c>
      <c r="CG230" s="120">
        <v>990</v>
      </c>
      <c r="CH230" s="114">
        <v>912.8</v>
      </c>
      <c r="CI230" s="119">
        <v>95.25</v>
      </c>
      <c r="CJ230" s="120">
        <v>1180</v>
      </c>
      <c r="CK230" s="114">
        <v>1107.1399999999999</v>
      </c>
      <c r="CL230" s="54">
        <f t="shared" si="19"/>
        <v>587.65700000000004</v>
      </c>
      <c r="CM230" s="63">
        <f t="shared" si="19"/>
        <v>7469</v>
      </c>
      <c r="CN230" s="55">
        <f t="shared" si="19"/>
        <v>6777.8600000000006</v>
      </c>
      <c r="CO230" s="54">
        <f t="shared" si="20"/>
        <v>48.97141666666667</v>
      </c>
      <c r="CP230" s="63">
        <f t="shared" si="20"/>
        <v>622.41666666666663</v>
      </c>
      <c r="CQ230" s="55">
        <f t="shared" si="20"/>
        <v>564.82166666666672</v>
      </c>
    </row>
    <row r="231" spans="1:95" s="25" customFormat="1" ht="31.5" customHeight="1" x14ac:dyDescent="0.6">
      <c r="A231" s="5">
        <v>228</v>
      </c>
      <c r="B231" s="18" t="s">
        <v>532</v>
      </c>
      <c r="C231" s="18" t="s">
        <v>567</v>
      </c>
      <c r="D231" s="18" t="s">
        <v>533</v>
      </c>
      <c r="E231" s="18" t="s">
        <v>529</v>
      </c>
      <c r="F231" s="23" t="s">
        <v>530</v>
      </c>
      <c r="G231" s="7" t="s">
        <v>531</v>
      </c>
      <c r="H231" s="123"/>
      <c r="I231" s="123"/>
      <c r="J231" s="123" t="s">
        <v>1071</v>
      </c>
      <c r="K231" s="49" t="s">
        <v>1165</v>
      </c>
      <c r="L231" s="27"/>
      <c r="M231" s="58"/>
      <c r="N231" s="78"/>
      <c r="O231" s="27"/>
      <c r="P231" s="58"/>
      <c r="Q231" s="49"/>
      <c r="R231" s="27"/>
      <c r="S231" s="58"/>
      <c r="T231" s="98"/>
      <c r="U231" s="27"/>
      <c r="V231" s="58"/>
      <c r="W231" s="12"/>
      <c r="X231" s="27"/>
      <c r="Y231" s="58"/>
      <c r="Z231" s="12"/>
      <c r="AA231" s="27"/>
      <c r="AB231" s="58"/>
      <c r="AC231" s="12"/>
      <c r="AD231" s="27">
        <v>0</v>
      </c>
      <c r="AE231" s="58">
        <v>0</v>
      </c>
      <c r="AF231" s="12"/>
      <c r="AG231" s="27">
        <v>0</v>
      </c>
      <c r="AH231" s="58">
        <v>0</v>
      </c>
      <c r="AI231" s="12"/>
      <c r="AJ231" s="27">
        <v>0</v>
      </c>
      <c r="AK231" s="58">
        <v>0</v>
      </c>
      <c r="AL231" s="12"/>
      <c r="AM231" s="27">
        <v>0</v>
      </c>
      <c r="AN231" s="58">
        <v>0</v>
      </c>
      <c r="AO231" s="12"/>
      <c r="AP231" s="27">
        <v>0</v>
      </c>
      <c r="AQ231" s="58">
        <v>0</v>
      </c>
      <c r="AR231" s="12"/>
      <c r="AS231" s="27">
        <v>45</v>
      </c>
      <c r="AT231" s="58">
        <v>540</v>
      </c>
      <c r="AU231" s="12"/>
      <c r="AV231" s="54"/>
      <c r="AW231" s="63"/>
      <c r="AX231" s="55"/>
      <c r="AY231" s="54"/>
      <c r="AZ231" s="63"/>
      <c r="BA231" s="55"/>
      <c r="BB231" s="10">
        <v>0</v>
      </c>
      <c r="BC231" s="15">
        <v>24</v>
      </c>
      <c r="BD231" s="11">
        <v>8</v>
      </c>
      <c r="BE231" s="10">
        <v>0</v>
      </c>
      <c r="BF231" s="15">
        <v>0</v>
      </c>
      <c r="BG231" s="11">
        <v>0</v>
      </c>
      <c r="BH231" s="10">
        <v>136</v>
      </c>
      <c r="BI231" s="15">
        <v>1709</v>
      </c>
      <c r="BJ231" s="11">
        <v>1624.88</v>
      </c>
      <c r="BK231" s="10">
        <v>103.3</v>
      </c>
      <c r="BL231" s="15">
        <v>1428</v>
      </c>
      <c r="BM231" s="11">
        <v>1224</v>
      </c>
      <c r="BN231" s="46">
        <v>71</v>
      </c>
      <c r="BO231" s="43">
        <v>890</v>
      </c>
      <c r="BP231" s="47">
        <v>838.8</v>
      </c>
      <c r="BQ231" s="46">
        <v>74</v>
      </c>
      <c r="BR231" s="43">
        <v>1012</v>
      </c>
      <c r="BS231" s="47">
        <v>863.36</v>
      </c>
      <c r="BT231" s="46">
        <v>29</v>
      </c>
      <c r="BU231" s="43">
        <v>520</v>
      </c>
      <c r="BV231" s="114">
        <v>349.12</v>
      </c>
      <c r="BW231" s="119">
        <v>15.3</v>
      </c>
      <c r="BX231" s="120">
        <v>189</v>
      </c>
      <c r="BY231" s="114">
        <v>172.92</v>
      </c>
      <c r="BZ231" s="119">
        <v>35</v>
      </c>
      <c r="CA231" s="120">
        <v>512</v>
      </c>
      <c r="CB231" s="114">
        <v>399.44</v>
      </c>
      <c r="CC231" s="119">
        <v>76</v>
      </c>
      <c r="CD231" s="120">
        <v>1058</v>
      </c>
      <c r="CE231" s="114">
        <v>912.88</v>
      </c>
      <c r="CF231" s="119">
        <v>59</v>
      </c>
      <c r="CG231" s="120">
        <v>850</v>
      </c>
      <c r="CH231" s="114">
        <v>705.36</v>
      </c>
      <c r="CI231" s="119">
        <v>92.915999999999997</v>
      </c>
      <c r="CJ231" s="120">
        <v>1304</v>
      </c>
      <c r="CK231" s="114">
        <v>1105.46</v>
      </c>
      <c r="CL231" s="54">
        <f t="shared" si="19"/>
        <v>691.51600000000008</v>
      </c>
      <c r="CM231" s="63">
        <f t="shared" si="19"/>
        <v>9496</v>
      </c>
      <c r="CN231" s="55">
        <f t="shared" si="19"/>
        <v>8204.2199999999993</v>
      </c>
      <c r="CO231" s="54">
        <f t="shared" si="20"/>
        <v>57.626333333333342</v>
      </c>
      <c r="CP231" s="63">
        <f t="shared" si="20"/>
        <v>791.33333333333337</v>
      </c>
      <c r="CQ231" s="55">
        <f t="shared" si="20"/>
        <v>683.68499999999995</v>
      </c>
    </row>
    <row r="232" spans="1:95" s="25" customFormat="1" ht="31.5" customHeight="1" x14ac:dyDescent="0.6">
      <c r="A232" s="5">
        <v>229</v>
      </c>
      <c r="B232" s="18" t="s">
        <v>534</v>
      </c>
      <c r="C232" s="18" t="s">
        <v>569</v>
      </c>
      <c r="D232" s="18" t="s">
        <v>535</v>
      </c>
      <c r="E232" s="18" t="s">
        <v>529</v>
      </c>
      <c r="F232" s="23" t="s">
        <v>530</v>
      </c>
      <c r="G232" s="7" t="s">
        <v>531</v>
      </c>
      <c r="H232" s="123"/>
      <c r="I232" s="123"/>
      <c r="J232" s="123" t="s">
        <v>1072</v>
      </c>
      <c r="K232" s="49" t="s">
        <v>1165</v>
      </c>
      <c r="L232" s="27"/>
      <c r="M232" s="58"/>
      <c r="N232" s="78"/>
      <c r="O232" s="27"/>
      <c r="P232" s="58"/>
      <c r="Q232" s="49"/>
      <c r="R232" s="27"/>
      <c r="S232" s="58"/>
      <c r="T232" s="98"/>
      <c r="U232" s="27"/>
      <c r="V232" s="58"/>
      <c r="W232" s="12"/>
      <c r="X232" s="27"/>
      <c r="Y232" s="58"/>
      <c r="Z232" s="12"/>
      <c r="AA232" s="27"/>
      <c r="AB232" s="58"/>
      <c r="AC232" s="12"/>
      <c r="AD232" s="27">
        <v>0</v>
      </c>
      <c r="AE232" s="58">
        <v>0</v>
      </c>
      <c r="AF232" s="12"/>
      <c r="AG232" s="27">
        <v>0</v>
      </c>
      <c r="AH232" s="58">
        <v>0</v>
      </c>
      <c r="AI232" s="12"/>
      <c r="AJ232" s="27">
        <v>0</v>
      </c>
      <c r="AK232" s="58">
        <v>0</v>
      </c>
      <c r="AL232" s="12"/>
      <c r="AM232" s="27">
        <v>0</v>
      </c>
      <c r="AN232" s="58">
        <v>0</v>
      </c>
      <c r="AO232" s="12"/>
      <c r="AP232" s="27">
        <v>0</v>
      </c>
      <c r="AQ232" s="58">
        <v>0</v>
      </c>
      <c r="AR232" s="12"/>
      <c r="AS232" s="27">
        <v>37</v>
      </c>
      <c r="AT232" s="58">
        <v>640</v>
      </c>
      <c r="AU232" s="12"/>
      <c r="AV232" s="54"/>
      <c r="AW232" s="63"/>
      <c r="AX232" s="55"/>
      <c r="AY232" s="54"/>
      <c r="AZ232" s="63"/>
      <c r="BA232" s="55"/>
      <c r="BB232" s="10">
        <v>10</v>
      </c>
      <c r="BC232" s="15">
        <v>460</v>
      </c>
      <c r="BD232" s="11">
        <v>165</v>
      </c>
      <c r="BE232" s="10">
        <v>10</v>
      </c>
      <c r="BF232" s="15">
        <v>400</v>
      </c>
      <c r="BG232" s="11">
        <v>140</v>
      </c>
      <c r="BH232" s="10">
        <v>81</v>
      </c>
      <c r="BI232" s="15">
        <v>1484</v>
      </c>
      <c r="BJ232" s="11">
        <v>950.6</v>
      </c>
      <c r="BK232" s="10">
        <v>58.3</v>
      </c>
      <c r="BL232" s="15">
        <v>789</v>
      </c>
      <c r="BM232" s="11">
        <v>669.3</v>
      </c>
      <c r="BN232" s="46">
        <v>20</v>
      </c>
      <c r="BO232" s="43">
        <v>240</v>
      </c>
      <c r="BP232" s="47">
        <v>240</v>
      </c>
      <c r="BQ232" s="46">
        <v>27</v>
      </c>
      <c r="BR232" s="43">
        <v>756</v>
      </c>
      <c r="BS232" s="47">
        <v>350.4</v>
      </c>
      <c r="BT232" s="46">
        <v>57</v>
      </c>
      <c r="BU232" s="43">
        <v>756</v>
      </c>
      <c r="BV232" s="114">
        <v>657.8</v>
      </c>
      <c r="BW232" s="119">
        <v>40.299999999999997</v>
      </c>
      <c r="BX232" s="120">
        <v>903</v>
      </c>
      <c r="BY232" s="114">
        <v>512.04</v>
      </c>
      <c r="BZ232" s="119">
        <v>17</v>
      </c>
      <c r="CA232" s="120">
        <v>232</v>
      </c>
      <c r="CB232" s="114">
        <v>202.16</v>
      </c>
      <c r="CC232" s="119">
        <v>79</v>
      </c>
      <c r="CD232" s="120">
        <v>1676</v>
      </c>
      <c r="CE232" s="114">
        <v>981.76</v>
      </c>
      <c r="CF232" s="119">
        <v>63</v>
      </c>
      <c r="CG232" s="120">
        <v>924</v>
      </c>
      <c r="CH232" s="114">
        <v>722.88000000000011</v>
      </c>
      <c r="CI232" s="119">
        <v>105</v>
      </c>
      <c r="CJ232" s="120">
        <v>1760</v>
      </c>
      <c r="CK232" s="114">
        <v>1263.76</v>
      </c>
      <c r="CL232" s="54">
        <f t="shared" si="19"/>
        <v>567.6</v>
      </c>
      <c r="CM232" s="63">
        <f t="shared" si="19"/>
        <v>10380</v>
      </c>
      <c r="CN232" s="55">
        <f t="shared" si="19"/>
        <v>6855.7</v>
      </c>
      <c r="CO232" s="54">
        <f t="shared" si="20"/>
        <v>47.300000000000004</v>
      </c>
      <c r="CP232" s="63">
        <f t="shared" si="20"/>
        <v>865</v>
      </c>
      <c r="CQ232" s="55">
        <f t="shared" si="20"/>
        <v>571.30833333333328</v>
      </c>
    </row>
    <row r="233" spans="1:95" s="25" customFormat="1" ht="31.5" customHeight="1" x14ac:dyDescent="0.6">
      <c r="A233" s="5">
        <v>230</v>
      </c>
      <c r="B233" s="18" t="s">
        <v>536</v>
      </c>
      <c r="C233" s="18" t="s">
        <v>570</v>
      </c>
      <c r="D233" s="18" t="s">
        <v>536</v>
      </c>
      <c r="E233" s="18" t="s">
        <v>529</v>
      </c>
      <c r="F233" s="23" t="s">
        <v>530</v>
      </c>
      <c r="G233" s="7" t="s">
        <v>531</v>
      </c>
      <c r="H233" s="123"/>
      <c r="I233" s="123"/>
      <c r="J233" s="123" t="s">
        <v>1073</v>
      </c>
      <c r="K233" s="49" t="s">
        <v>1165</v>
      </c>
      <c r="L233" s="27"/>
      <c r="M233" s="58"/>
      <c r="N233" s="78"/>
      <c r="O233" s="27"/>
      <c r="P233" s="58"/>
      <c r="Q233" s="49"/>
      <c r="R233" s="27"/>
      <c r="S233" s="58"/>
      <c r="T233" s="98"/>
      <c r="U233" s="27"/>
      <c r="V233" s="58"/>
      <c r="W233" s="12"/>
      <c r="X233" s="27"/>
      <c r="Y233" s="58"/>
      <c r="Z233" s="12"/>
      <c r="AA233" s="27"/>
      <c r="AB233" s="58"/>
      <c r="AC233" s="12"/>
      <c r="AD233" s="27">
        <v>0</v>
      </c>
      <c r="AE233" s="58">
        <v>0</v>
      </c>
      <c r="AF233" s="12"/>
      <c r="AG233" s="27">
        <v>0</v>
      </c>
      <c r="AH233" s="58">
        <v>0</v>
      </c>
      <c r="AI233" s="12"/>
      <c r="AJ233" s="27">
        <v>0</v>
      </c>
      <c r="AK233" s="58">
        <v>0</v>
      </c>
      <c r="AL233" s="12"/>
      <c r="AM233" s="27">
        <v>0</v>
      </c>
      <c r="AN233" s="58">
        <v>0</v>
      </c>
      <c r="AO233" s="12"/>
      <c r="AP233" s="27">
        <v>0</v>
      </c>
      <c r="AQ233" s="58">
        <v>0</v>
      </c>
      <c r="AR233" s="12"/>
      <c r="AS233" s="27">
        <v>50</v>
      </c>
      <c r="AT233" s="58">
        <v>640</v>
      </c>
      <c r="AU233" s="12"/>
      <c r="AV233" s="54"/>
      <c r="AW233" s="63"/>
      <c r="AX233" s="55"/>
      <c r="AY233" s="54"/>
      <c r="AZ233" s="63"/>
      <c r="BA233" s="55"/>
      <c r="BB233" s="10">
        <v>43</v>
      </c>
      <c r="BC233" s="15">
        <v>684</v>
      </c>
      <c r="BD233" s="11">
        <v>439</v>
      </c>
      <c r="BE233" s="10">
        <v>50</v>
      </c>
      <c r="BF233" s="15">
        <v>700</v>
      </c>
      <c r="BG233" s="11">
        <v>448</v>
      </c>
      <c r="BH233" s="10">
        <v>192</v>
      </c>
      <c r="BI233" s="15">
        <v>2388</v>
      </c>
      <c r="BJ233" s="11">
        <v>2176.3200000000002</v>
      </c>
      <c r="BK233" s="10">
        <v>211</v>
      </c>
      <c r="BL233" s="15">
        <v>2780</v>
      </c>
      <c r="BM233" s="11">
        <v>2199.6</v>
      </c>
      <c r="BN233" s="46">
        <v>350</v>
      </c>
      <c r="BO233" s="43">
        <v>4300</v>
      </c>
      <c r="BP233" s="47">
        <v>4048</v>
      </c>
      <c r="BQ233" s="46">
        <v>153</v>
      </c>
      <c r="BR233" s="43">
        <v>1923</v>
      </c>
      <c r="BS233" s="47">
        <v>1845</v>
      </c>
      <c r="BT233" s="46">
        <v>317</v>
      </c>
      <c r="BU233" s="43">
        <v>4008</v>
      </c>
      <c r="BV233" s="114">
        <v>3627.6</v>
      </c>
      <c r="BW233" s="119">
        <v>71.3</v>
      </c>
      <c r="BX233" s="120">
        <v>983</v>
      </c>
      <c r="BY233" s="114">
        <v>704.04</v>
      </c>
      <c r="BZ233" s="119">
        <v>47</v>
      </c>
      <c r="CA233" s="120">
        <v>820</v>
      </c>
      <c r="CB233" s="114">
        <v>486.8</v>
      </c>
      <c r="CC233" s="119">
        <v>60</v>
      </c>
      <c r="CD233" s="120">
        <v>780</v>
      </c>
      <c r="CE233" s="114">
        <v>628.79999999999995</v>
      </c>
      <c r="CF233" s="119">
        <v>4</v>
      </c>
      <c r="CG233" s="120">
        <v>160</v>
      </c>
      <c r="CH233" s="114">
        <v>56</v>
      </c>
      <c r="CI233" s="119">
        <v>72</v>
      </c>
      <c r="CJ233" s="120">
        <v>980</v>
      </c>
      <c r="CK233" s="114">
        <v>776.8</v>
      </c>
      <c r="CL233" s="54">
        <f t="shared" si="19"/>
        <v>1570.3</v>
      </c>
      <c r="CM233" s="63">
        <f t="shared" si="19"/>
        <v>20506</v>
      </c>
      <c r="CN233" s="55">
        <f t="shared" si="19"/>
        <v>17435.96</v>
      </c>
      <c r="CO233" s="54">
        <f t="shared" si="20"/>
        <v>130.85833333333332</v>
      </c>
      <c r="CP233" s="63">
        <f t="shared" si="20"/>
        <v>1708.8333333333333</v>
      </c>
      <c r="CQ233" s="55">
        <f t="shared" si="20"/>
        <v>1452.9966666666667</v>
      </c>
    </row>
    <row r="234" spans="1:95" s="25" customFormat="1" ht="31.5" customHeight="1" x14ac:dyDescent="0.6">
      <c r="A234" s="5">
        <v>231</v>
      </c>
      <c r="B234" s="18" t="s">
        <v>537</v>
      </c>
      <c r="C234" s="18" t="s">
        <v>572</v>
      </c>
      <c r="D234" s="18" t="s">
        <v>538</v>
      </c>
      <c r="E234" s="18" t="s">
        <v>539</v>
      </c>
      <c r="F234" s="23" t="s">
        <v>530</v>
      </c>
      <c r="G234" s="7" t="s">
        <v>531</v>
      </c>
      <c r="H234" s="123"/>
      <c r="I234" s="123"/>
      <c r="J234" s="123" t="s">
        <v>1074</v>
      </c>
      <c r="K234" s="49" t="s">
        <v>1165</v>
      </c>
      <c r="L234" s="27"/>
      <c r="M234" s="58"/>
      <c r="N234" s="78"/>
      <c r="O234" s="27"/>
      <c r="P234" s="58"/>
      <c r="Q234" s="49"/>
      <c r="R234" s="27"/>
      <c r="S234" s="58"/>
      <c r="T234" s="98"/>
      <c r="U234" s="27"/>
      <c r="V234" s="58"/>
      <c r="W234" s="12"/>
      <c r="X234" s="27"/>
      <c r="Y234" s="58"/>
      <c r="Z234" s="12"/>
      <c r="AA234" s="27"/>
      <c r="AB234" s="58"/>
      <c r="AC234" s="12"/>
      <c r="AD234" s="27">
        <v>0</v>
      </c>
      <c r="AE234" s="58">
        <v>0</v>
      </c>
      <c r="AF234" s="12"/>
      <c r="AG234" s="27">
        <v>0</v>
      </c>
      <c r="AH234" s="58">
        <v>0</v>
      </c>
      <c r="AI234" s="12"/>
      <c r="AJ234" s="27">
        <v>0</v>
      </c>
      <c r="AK234" s="58">
        <v>0</v>
      </c>
      <c r="AL234" s="12"/>
      <c r="AM234" s="27">
        <v>0</v>
      </c>
      <c r="AN234" s="58">
        <v>0</v>
      </c>
      <c r="AO234" s="12"/>
      <c r="AP234" s="27">
        <v>0</v>
      </c>
      <c r="AQ234" s="58">
        <v>0</v>
      </c>
      <c r="AR234" s="12"/>
      <c r="AS234" s="27">
        <v>0</v>
      </c>
      <c r="AT234" s="58">
        <v>0</v>
      </c>
      <c r="AU234" s="12"/>
      <c r="AV234" s="54"/>
      <c r="AW234" s="63"/>
      <c r="AX234" s="55"/>
      <c r="AY234" s="54"/>
      <c r="AZ234" s="63"/>
      <c r="BA234" s="55"/>
      <c r="BB234" s="10">
        <v>20</v>
      </c>
      <c r="BC234" s="15">
        <v>240</v>
      </c>
      <c r="BD234" s="11">
        <v>240</v>
      </c>
      <c r="BE234" s="10">
        <v>15</v>
      </c>
      <c r="BF234" s="15">
        <v>200</v>
      </c>
      <c r="BG234" s="11">
        <v>150</v>
      </c>
      <c r="BH234" s="10">
        <v>182</v>
      </c>
      <c r="BI234" s="15">
        <v>3780</v>
      </c>
      <c r="BJ234" s="11">
        <v>2075</v>
      </c>
      <c r="BK234" s="10">
        <v>125</v>
      </c>
      <c r="BL234" s="15">
        <v>1638</v>
      </c>
      <c r="BM234" s="11">
        <v>1267.5999999999999</v>
      </c>
      <c r="BN234" s="46">
        <v>29</v>
      </c>
      <c r="BO234" s="43">
        <v>460</v>
      </c>
      <c r="BP234" s="47">
        <v>356</v>
      </c>
      <c r="BQ234" s="46">
        <v>167.5</v>
      </c>
      <c r="BR234" s="43">
        <v>2190</v>
      </c>
      <c r="BS234" s="47">
        <v>1736.4</v>
      </c>
      <c r="BT234" s="46">
        <v>85</v>
      </c>
      <c r="BU234" s="43">
        <v>1384</v>
      </c>
      <c r="BV234" s="114">
        <v>1009.1</v>
      </c>
      <c r="BW234" s="119">
        <v>25</v>
      </c>
      <c r="BX234" s="120">
        <v>330</v>
      </c>
      <c r="BY234" s="114">
        <v>254.4</v>
      </c>
      <c r="BZ234" s="119">
        <v>35.25</v>
      </c>
      <c r="CA234" s="120">
        <v>591</v>
      </c>
      <c r="CB234" s="114">
        <v>434.03999999999996</v>
      </c>
      <c r="CC234" s="119">
        <v>61</v>
      </c>
      <c r="CD234" s="120">
        <v>740</v>
      </c>
      <c r="CE234" s="114">
        <v>719.84</v>
      </c>
      <c r="CF234" s="119">
        <v>46</v>
      </c>
      <c r="CG234" s="120">
        <v>556</v>
      </c>
      <c r="CH234" s="114">
        <v>542.08000000000004</v>
      </c>
      <c r="CI234" s="119">
        <v>87</v>
      </c>
      <c r="CJ234" s="120">
        <v>1058</v>
      </c>
      <c r="CK234" s="114">
        <v>998.72</v>
      </c>
      <c r="CL234" s="54">
        <f t="shared" si="19"/>
        <v>877.75</v>
      </c>
      <c r="CM234" s="63">
        <f t="shared" si="19"/>
        <v>13167</v>
      </c>
      <c r="CN234" s="55">
        <f t="shared" si="19"/>
        <v>9783.1799999999985</v>
      </c>
      <c r="CO234" s="54">
        <f t="shared" si="20"/>
        <v>73.145833333333329</v>
      </c>
      <c r="CP234" s="63">
        <f t="shared" si="20"/>
        <v>1097.25</v>
      </c>
      <c r="CQ234" s="55">
        <f t="shared" si="20"/>
        <v>815.26499999999987</v>
      </c>
    </row>
    <row r="235" spans="1:95" s="25" customFormat="1" ht="31.5" customHeight="1" x14ac:dyDescent="0.6">
      <c r="A235" s="5">
        <v>232</v>
      </c>
      <c r="B235" s="18" t="s">
        <v>112</v>
      </c>
      <c r="C235" s="18" t="s">
        <v>576</v>
      </c>
      <c r="D235" s="18" t="s">
        <v>113</v>
      </c>
      <c r="E235" s="18" t="s">
        <v>540</v>
      </c>
      <c r="F235" s="23" t="s">
        <v>530</v>
      </c>
      <c r="G235" s="7" t="s">
        <v>531</v>
      </c>
      <c r="H235" s="123"/>
      <c r="I235" s="123"/>
      <c r="J235" s="123" t="s">
        <v>1075</v>
      </c>
      <c r="K235" s="49" t="s">
        <v>1165</v>
      </c>
      <c r="L235" s="27"/>
      <c r="M235" s="58"/>
      <c r="N235" s="78"/>
      <c r="O235" s="27"/>
      <c r="P235" s="58"/>
      <c r="Q235" s="49"/>
      <c r="R235" s="27"/>
      <c r="S235" s="58"/>
      <c r="T235" s="98"/>
      <c r="U235" s="27"/>
      <c r="V235" s="58"/>
      <c r="W235" s="12"/>
      <c r="X235" s="27"/>
      <c r="Y235" s="58"/>
      <c r="Z235" s="12"/>
      <c r="AA235" s="27"/>
      <c r="AB235" s="58"/>
      <c r="AC235" s="12"/>
      <c r="AD235" s="27">
        <v>0</v>
      </c>
      <c r="AE235" s="58">
        <v>0</v>
      </c>
      <c r="AF235" s="12"/>
      <c r="AG235" s="27">
        <v>0</v>
      </c>
      <c r="AH235" s="58">
        <v>0</v>
      </c>
      <c r="AI235" s="12"/>
      <c r="AJ235" s="27">
        <v>0</v>
      </c>
      <c r="AK235" s="58">
        <v>0</v>
      </c>
      <c r="AL235" s="12"/>
      <c r="AM235" s="27">
        <v>0</v>
      </c>
      <c r="AN235" s="58">
        <v>0</v>
      </c>
      <c r="AO235" s="12"/>
      <c r="AP235" s="27">
        <v>0</v>
      </c>
      <c r="AQ235" s="58">
        <v>0</v>
      </c>
      <c r="AR235" s="12"/>
      <c r="AS235" s="27">
        <v>20</v>
      </c>
      <c r="AT235" s="58">
        <v>240</v>
      </c>
      <c r="AU235" s="12"/>
      <c r="AV235" s="54"/>
      <c r="AW235" s="63"/>
      <c r="AX235" s="55"/>
      <c r="AY235" s="54"/>
      <c r="AZ235" s="63"/>
      <c r="BA235" s="55"/>
      <c r="BB235" s="10">
        <v>21</v>
      </c>
      <c r="BC235" s="15">
        <v>335</v>
      </c>
      <c r="BD235" s="11">
        <v>266.92</v>
      </c>
      <c r="BE235" s="10">
        <v>2.75</v>
      </c>
      <c r="BF235" s="15">
        <v>54</v>
      </c>
      <c r="BG235" s="11">
        <v>18.399999999999999</v>
      </c>
      <c r="BH235" s="10">
        <v>104</v>
      </c>
      <c r="BI235" s="15">
        <v>1284</v>
      </c>
      <c r="BJ235" s="11">
        <v>1165</v>
      </c>
      <c r="BK235" s="10">
        <v>130</v>
      </c>
      <c r="BL235" s="15">
        <v>1760</v>
      </c>
      <c r="BM235" s="11">
        <v>1256</v>
      </c>
      <c r="BN235" s="46">
        <v>89</v>
      </c>
      <c r="BO235" s="43">
        <v>1587</v>
      </c>
      <c r="BP235" s="47">
        <v>920.18</v>
      </c>
      <c r="BQ235" s="46">
        <v>93</v>
      </c>
      <c r="BR235" s="43">
        <v>1584</v>
      </c>
      <c r="BS235" s="47">
        <v>956.16000000000008</v>
      </c>
      <c r="BT235" s="46">
        <v>66</v>
      </c>
      <c r="BU235" s="43">
        <v>852</v>
      </c>
      <c r="BV235" s="114">
        <v>780.31999999999994</v>
      </c>
      <c r="BW235" s="119">
        <v>15.3</v>
      </c>
      <c r="BX235" s="120">
        <v>183</v>
      </c>
      <c r="BY235" s="114">
        <v>182.04</v>
      </c>
      <c r="BZ235" s="119">
        <v>14.25</v>
      </c>
      <c r="CA235" s="120">
        <v>227</v>
      </c>
      <c r="CB235" s="114">
        <v>174.04</v>
      </c>
      <c r="CC235" s="119">
        <v>73</v>
      </c>
      <c r="CD235" s="120">
        <v>1380</v>
      </c>
      <c r="CE235" s="114">
        <v>912</v>
      </c>
      <c r="CF235" s="119">
        <v>109</v>
      </c>
      <c r="CG235" s="120">
        <v>1308</v>
      </c>
      <c r="CH235" s="114">
        <v>1293.5999999999999</v>
      </c>
      <c r="CI235" s="119">
        <v>127</v>
      </c>
      <c r="CJ235" s="120">
        <v>1636</v>
      </c>
      <c r="CK235" s="114">
        <v>1517.6</v>
      </c>
      <c r="CL235" s="54">
        <f t="shared" si="19"/>
        <v>844.3</v>
      </c>
      <c r="CM235" s="63">
        <f t="shared" si="19"/>
        <v>12190</v>
      </c>
      <c r="CN235" s="55">
        <f t="shared" si="19"/>
        <v>9442.26</v>
      </c>
      <c r="CO235" s="54">
        <f t="shared" si="20"/>
        <v>70.358333333333334</v>
      </c>
      <c r="CP235" s="63">
        <f t="shared" si="20"/>
        <v>1015.8333333333334</v>
      </c>
      <c r="CQ235" s="55">
        <f t="shared" si="20"/>
        <v>786.85500000000002</v>
      </c>
    </row>
    <row r="236" spans="1:95" s="25" customFormat="1" ht="31.5" customHeight="1" x14ac:dyDescent="0.6">
      <c r="A236" s="5">
        <v>233</v>
      </c>
      <c r="B236" s="18" t="s">
        <v>541</v>
      </c>
      <c r="C236" s="18" t="s">
        <v>578</v>
      </c>
      <c r="D236" s="18" t="s">
        <v>542</v>
      </c>
      <c r="E236" s="18" t="s">
        <v>543</v>
      </c>
      <c r="F236" s="23" t="s">
        <v>544</v>
      </c>
      <c r="G236" s="7" t="s">
        <v>545</v>
      </c>
      <c r="H236" s="123"/>
      <c r="I236" s="123"/>
      <c r="J236" s="123" t="s">
        <v>1076</v>
      </c>
      <c r="K236" s="49" t="s">
        <v>546</v>
      </c>
      <c r="L236" s="27"/>
      <c r="M236" s="58"/>
      <c r="N236" s="78"/>
      <c r="O236" s="27"/>
      <c r="P236" s="58"/>
      <c r="Q236" s="49"/>
      <c r="R236" s="27"/>
      <c r="S236" s="58"/>
      <c r="T236" s="98"/>
      <c r="U236" s="27"/>
      <c r="V236" s="58"/>
      <c r="W236" s="12"/>
      <c r="X236" s="27"/>
      <c r="Y236" s="58"/>
      <c r="Z236" s="12"/>
      <c r="AA236" s="27"/>
      <c r="AB236" s="58"/>
      <c r="AC236" s="12"/>
      <c r="AD236" s="27">
        <v>40</v>
      </c>
      <c r="AE236" s="58">
        <v>620</v>
      </c>
      <c r="AF236" s="12"/>
      <c r="AG236" s="27">
        <v>35</v>
      </c>
      <c r="AH236" s="58">
        <v>560</v>
      </c>
      <c r="AI236" s="12"/>
      <c r="AJ236" s="27">
        <v>42</v>
      </c>
      <c r="AK236" s="58">
        <v>672</v>
      </c>
      <c r="AL236" s="12"/>
      <c r="AM236" s="27">
        <v>60</v>
      </c>
      <c r="AN236" s="58">
        <v>888</v>
      </c>
      <c r="AO236" s="12"/>
      <c r="AP236" s="27">
        <v>22</v>
      </c>
      <c r="AQ236" s="58">
        <v>376</v>
      </c>
      <c r="AR236" s="12"/>
      <c r="AS236" s="27">
        <v>18</v>
      </c>
      <c r="AT236" s="58">
        <v>216</v>
      </c>
      <c r="AU236" s="12"/>
      <c r="AV236" s="54"/>
      <c r="AW236" s="63"/>
      <c r="AX236" s="55"/>
      <c r="AY236" s="54"/>
      <c r="AZ236" s="63"/>
      <c r="BA236" s="55"/>
      <c r="BB236" s="10">
        <v>14</v>
      </c>
      <c r="BC236" s="15">
        <v>252</v>
      </c>
      <c r="BD236" s="11">
        <v>150</v>
      </c>
      <c r="BE236" s="10">
        <v>0</v>
      </c>
      <c r="BF236" s="15">
        <v>0</v>
      </c>
      <c r="BG236" s="11">
        <v>0</v>
      </c>
      <c r="BH236" s="10">
        <v>49</v>
      </c>
      <c r="BI236" s="15">
        <v>644</v>
      </c>
      <c r="BJ236" s="11">
        <v>544</v>
      </c>
      <c r="BK236" s="10">
        <v>36</v>
      </c>
      <c r="BL236" s="15">
        <v>516</v>
      </c>
      <c r="BM236" s="11">
        <v>423.6</v>
      </c>
      <c r="BN236" s="46">
        <v>94</v>
      </c>
      <c r="BO236" s="43">
        <v>1296</v>
      </c>
      <c r="BP236" s="47">
        <v>1078.8</v>
      </c>
      <c r="BQ236" s="46">
        <v>30</v>
      </c>
      <c r="BR236" s="43">
        <v>416</v>
      </c>
      <c r="BS236" s="47">
        <v>349.6</v>
      </c>
      <c r="BT236" s="46">
        <v>97</v>
      </c>
      <c r="BU236" s="43">
        <v>1480</v>
      </c>
      <c r="BV236" s="114">
        <v>1156.5999999999999</v>
      </c>
      <c r="BW236" s="119">
        <v>42.3</v>
      </c>
      <c r="BX236" s="120">
        <v>619</v>
      </c>
      <c r="BY236" s="114">
        <v>475.64</v>
      </c>
      <c r="BZ236" s="119">
        <v>49</v>
      </c>
      <c r="CA236" s="120">
        <v>644</v>
      </c>
      <c r="CB236" s="114">
        <v>554.55999999999995</v>
      </c>
      <c r="CC236" s="119">
        <v>38</v>
      </c>
      <c r="CD236" s="120">
        <v>484</v>
      </c>
      <c r="CE236" s="114">
        <v>448.4</v>
      </c>
      <c r="CF236" s="119">
        <v>79</v>
      </c>
      <c r="CG236" s="120">
        <v>1192</v>
      </c>
      <c r="CH236" s="114">
        <v>880.80000000000007</v>
      </c>
      <c r="CI236" s="119">
        <v>75</v>
      </c>
      <c r="CJ236" s="120">
        <v>1012</v>
      </c>
      <c r="CK236" s="114">
        <v>898.4</v>
      </c>
      <c r="CL236" s="54">
        <f t="shared" si="19"/>
        <v>603.29999999999995</v>
      </c>
      <c r="CM236" s="63">
        <f t="shared" si="19"/>
        <v>8555</v>
      </c>
      <c r="CN236" s="55">
        <f t="shared" si="19"/>
        <v>6960.3999999999987</v>
      </c>
      <c r="CO236" s="54">
        <f t="shared" si="20"/>
        <v>50.274999999999999</v>
      </c>
      <c r="CP236" s="63">
        <f t="shared" si="20"/>
        <v>712.91666666666663</v>
      </c>
      <c r="CQ236" s="55">
        <f t="shared" si="20"/>
        <v>580.03333333333319</v>
      </c>
    </row>
    <row r="237" spans="1:95" s="25" customFormat="1" ht="31.5" customHeight="1" x14ac:dyDescent="0.6">
      <c r="A237" s="5">
        <v>234</v>
      </c>
      <c r="B237" s="18" t="s">
        <v>547</v>
      </c>
      <c r="C237" s="18">
        <v>99</v>
      </c>
      <c r="D237" s="18" t="s">
        <v>548</v>
      </c>
      <c r="E237" s="18" t="s">
        <v>543</v>
      </c>
      <c r="F237" s="23" t="s">
        <v>544</v>
      </c>
      <c r="G237" s="7" t="s">
        <v>545</v>
      </c>
      <c r="H237" s="123"/>
      <c r="I237" s="123"/>
      <c r="J237" s="123" t="s">
        <v>1077</v>
      </c>
      <c r="K237" s="49" t="s">
        <v>546</v>
      </c>
      <c r="L237" s="27"/>
      <c r="M237" s="58"/>
      <c r="N237" s="78"/>
      <c r="O237" s="27"/>
      <c r="P237" s="58"/>
      <c r="Q237" s="49"/>
      <c r="R237" s="27"/>
      <c r="S237" s="58"/>
      <c r="T237" s="98"/>
      <c r="U237" s="27"/>
      <c r="V237" s="58"/>
      <c r="W237" s="12"/>
      <c r="X237" s="27"/>
      <c r="Y237" s="58"/>
      <c r="Z237" s="12"/>
      <c r="AA237" s="27"/>
      <c r="AB237" s="58"/>
      <c r="AC237" s="12"/>
      <c r="AD237" s="27">
        <v>21</v>
      </c>
      <c r="AE237" s="58">
        <v>336</v>
      </c>
      <c r="AF237" s="12"/>
      <c r="AG237" s="27">
        <v>8</v>
      </c>
      <c r="AH237" s="58">
        <v>180</v>
      </c>
      <c r="AI237" s="12"/>
      <c r="AJ237" s="27">
        <v>16</v>
      </c>
      <c r="AK237" s="58">
        <v>248</v>
      </c>
      <c r="AL237" s="12"/>
      <c r="AM237" s="27">
        <v>18</v>
      </c>
      <c r="AN237" s="58">
        <v>216</v>
      </c>
      <c r="AO237" s="12"/>
      <c r="AP237" s="27">
        <v>16</v>
      </c>
      <c r="AQ237" s="58">
        <v>304</v>
      </c>
      <c r="AR237" s="12"/>
      <c r="AS237" s="27">
        <v>24</v>
      </c>
      <c r="AT237" s="58">
        <v>410</v>
      </c>
      <c r="AU237" s="12"/>
      <c r="AV237" s="54"/>
      <c r="AW237" s="63"/>
      <c r="AX237" s="55"/>
      <c r="AY237" s="54"/>
      <c r="AZ237" s="63"/>
      <c r="BA237" s="55"/>
      <c r="BB237" s="10">
        <v>32</v>
      </c>
      <c r="BC237" s="15">
        <v>468</v>
      </c>
      <c r="BD237" s="11">
        <v>347.2</v>
      </c>
      <c r="BE237" s="10">
        <v>54</v>
      </c>
      <c r="BF237" s="15">
        <v>676</v>
      </c>
      <c r="BG237" s="11">
        <v>611.20000000000005</v>
      </c>
      <c r="BH237" s="10">
        <v>29</v>
      </c>
      <c r="BI237" s="15">
        <v>432</v>
      </c>
      <c r="BJ237" s="11">
        <v>325.2</v>
      </c>
      <c r="BK237" s="10">
        <v>25</v>
      </c>
      <c r="BL237" s="15">
        <v>356</v>
      </c>
      <c r="BM237" s="11">
        <v>260.79999999999995</v>
      </c>
      <c r="BN237" s="46">
        <v>20</v>
      </c>
      <c r="BO237" s="43">
        <v>296</v>
      </c>
      <c r="BP237" s="47">
        <v>229.6</v>
      </c>
      <c r="BQ237" s="46">
        <v>33</v>
      </c>
      <c r="BR237" s="43">
        <v>536</v>
      </c>
      <c r="BS237" s="47">
        <v>367.4</v>
      </c>
      <c r="BT237" s="46">
        <v>19</v>
      </c>
      <c r="BU237" s="43">
        <v>256</v>
      </c>
      <c r="BV237" s="114">
        <v>201.2</v>
      </c>
      <c r="BW237" s="119">
        <v>17.3</v>
      </c>
      <c r="BX237" s="120">
        <v>263</v>
      </c>
      <c r="BY237" s="114">
        <v>210.04</v>
      </c>
      <c r="BZ237" s="119">
        <v>26</v>
      </c>
      <c r="CA237" s="120">
        <v>396</v>
      </c>
      <c r="CB237" s="114">
        <v>303.60000000000002</v>
      </c>
      <c r="CC237" s="119">
        <v>22</v>
      </c>
      <c r="CD237" s="120">
        <v>264</v>
      </c>
      <c r="CE237" s="114">
        <v>264</v>
      </c>
      <c r="CF237" s="119">
        <v>101</v>
      </c>
      <c r="CG237" s="120">
        <v>1352</v>
      </c>
      <c r="CH237" s="114">
        <v>1183.5999999999999</v>
      </c>
      <c r="CI237" s="119">
        <v>74</v>
      </c>
      <c r="CJ237" s="120">
        <v>1252</v>
      </c>
      <c r="CK237" s="114">
        <v>885.2</v>
      </c>
      <c r="CL237" s="54">
        <f t="shared" si="19"/>
        <v>452.3</v>
      </c>
      <c r="CM237" s="63">
        <f t="shared" si="19"/>
        <v>6547</v>
      </c>
      <c r="CN237" s="55">
        <f t="shared" si="19"/>
        <v>5189.04</v>
      </c>
      <c r="CO237" s="54">
        <f t="shared" si="20"/>
        <v>37.69166666666667</v>
      </c>
      <c r="CP237" s="63">
        <f t="shared" si="20"/>
        <v>545.58333333333337</v>
      </c>
      <c r="CQ237" s="55">
        <f t="shared" si="20"/>
        <v>432.42</v>
      </c>
    </row>
    <row r="238" spans="1:95" s="25" customFormat="1" ht="31.5" customHeight="1" x14ac:dyDescent="0.6">
      <c r="A238" s="5">
        <v>235</v>
      </c>
      <c r="B238" s="18" t="s">
        <v>549</v>
      </c>
      <c r="C238" s="18" t="s">
        <v>582</v>
      </c>
      <c r="D238" s="18" t="s">
        <v>550</v>
      </c>
      <c r="E238" s="18" t="s">
        <v>543</v>
      </c>
      <c r="F238" s="23" t="s">
        <v>544</v>
      </c>
      <c r="G238" s="7" t="s">
        <v>545</v>
      </c>
      <c r="H238" s="123"/>
      <c r="I238" s="123"/>
      <c r="J238" s="123" t="s">
        <v>1078</v>
      </c>
      <c r="K238" s="49" t="s">
        <v>546</v>
      </c>
      <c r="L238" s="27"/>
      <c r="M238" s="58"/>
      <c r="N238" s="78"/>
      <c r="O238" s="27"/>
      <c r="P238" s="58"/>
      <c r="Q238" s="49"/>
      <c r="R238" s="27"/>
      <c r="S238" s="58"/>
      <c r="T238" s="98"/>
      <c r="U238" s="27"/>
      <c r="V238" s="58"/>
      <c r="W238" s="12"/>
      <c r="X238" s="27"/>
      <c r="Y238" s="58"/>
      <c r="Z238" s="12"/>
      <c r="AA238" s="27"/>
      <c r="AB238" s="58"/>
      <c r="AC238" s="12"/>
      <c r="AD238" s="27">
        <v>35</v>
      </c>
      <c r="AE238" s="58">
        <v>490</v>
      </c>
      <c r="AF238" s="12"/>
      <c r="AG238" s="27">
        <v>0</v>
      </c>
      <c r="AH238" s="58">
        <v>0</v>
      </c>
      <c r="AI238" s="12"/>
      <c r="AJ238" s="27">
        <v>12</v>
      </c>
      <c r="AK238" s="58">
        <v>168</v>
      </c>
      <c r="AL238" s="12"/>
      <c r="AM238" s="27">
        <v>20</v>
      </c>
      <c r="AN238" s="58">
        <v>280</v>
      </c>
      <c r="AO238" s="12"/>
      <c r="AP238" s="27">
        <v>25</v>
      </c>
      <c r="AQ238" s="58">
        <v>350</v>
      </c>
      <c r="AR238" s="12"/>
      <c r="AS238" s="27">
        <v>40</v>
      </c>
      <c r="AT238" s="58">
        <v>560</v>
      </c>
      <c r="AU238" s="12"/>
      <c r="AV238" s="54"/>
      <c r="AW238" s="63"/>
      <c r="AX238" s="55"/>
      <c r="AY238" s="54"/>
      <c r="AZ238" s="63"/>
      <c r="BA238" s="55"/>
      <c r="BB238" s="10">
        <v>20</v>
      </c>
      <c r="BC238" s="15">
        <v>280</v>
      </c>
      <c r="BD238" s="11">
        <v>179.60000000000002</v>
      </c>
      <c r="BE238" s="10">
        <v>20</v>
      </c>
      <c r="BF238" s="15">
        <v>280</v>
      </c>
      <c r="BG238" s="11">
        <v>179.40000000000003</v>
      </c>
      <c r="BH238" s="10">
        <v>45</v>
      </c>
      <c r="BI238" s="15">
        <v>630</v>
      </c>
      <c r="BJ238" s="11">
        <v>403.19999999999993</v>
      </c>
      <c r="BK238" s="10">
        <v>5</v>
      </c>
      <c r="BL238" s="15">
        <v>70</v>
      </c>
      <c r="BM238" s="11">
        <v>45</v>
      </c>
      <c r="BN238" s="46">
        <v>22</v>
      </c>
      <c r="BO238" s="43">
        <v>308</v>
      </c>
      <c r="BP238" s="47">
        <v>197.12</v>
      </c>
      <c r="BQ238" s="46">
        <v>27</v>
      </c>
      <c r="BR238" s="43">
        <v>378</v>
      </c>
      <c r="BS238" s="47">
        <v>241.92000000000002</v>
      </c>
      <c r="BT238" s="46">
        <v>35</v>
      </c>
      <c r="BU238" s="43">
        <v>490</v>
      </c>
      <c r="BV238" s="114">
        <v>313.60000000000002</v>
      </c>
      <c r="BW238" s="119">
        <v>17</v>
      </c>
      <c r="BX238" s="120">
        <v>238</v>
      </c>
      <c r="BY238" s="114">
        <v>152.32</v>
      </c>
      <c r="BZ238" s="119">
        <v>32</v>
      </c>
      <c r="CA238" s="120">
        <v>448</v>
      </c>
      <c r="CB238" s="114">
        <v>286.72000000000003</v>
      </c>
      <c r="CC238" s="119">
        <v>34</v>
      </c>
      <c r="CD238" s="120">
        <v>476</v>
      </c>
      <c r="CE238" s="114">
        <v>304.64</v>
      </c>
      <c r="CF238" s="119">
        <v>36</v>
      </c>
      <c r="CG238" s="120">
        <v>504</v>
      </c>
      <c r="CH238" s="114">
        <v>322.56</v>
      </c>
      <c r="CI238" s="119">
        <v>62</v>
      </c>
      <c r="CJ238" s="120">
        <v>824</v>
      </c>
      <c r="CK238" s="114">
        <v>622.4</v>
      </c>
      <c r="CL238" s="54">
        <f t="shared" si="19"/>
        <v>355</v>
      </c>
      <c r="CM238" s="63">
        <f t="shared" si="19"/>
        <v>4926</v>
      </c>
      <c r="CN238" s="55">
        <f t="shared" si="19"/>
        <v>3248.48</v>
      </c>
      <c r="CO238" s="54">
        <f t="shared" si="20"/>
        <v>29.583333333333332</v>
      </c>
      <c r="CP238" s="63">
        <f t="shared" si="20"/>
        <v>410.5</v>
      </c>
      <c r="CQ238" s="55">
        <f t="shared" si="20"/>
        <v>270.70666666666665</v>
      </c>
    </row>
    <row r="239" spans="1:95" s="25" customFormat="1" ht="31.5" customHeight="1" x14ac:dyDescent="0.6">
      <c r="A239" s="5">
        <v>236</v>
      </c>
      <c r="B239" s="18" t="s">
        <v>551</v>
      </c>
      <c r="C239" s="18" t="s">
        <v>585</v>
      </c>
      <c r="D239" s="18" t="s">
        <v>552</v>
      </c>
      <c r="E239" s="18" t="s">
        <v>543</v>
      </c>
      <c r="F239" s="23" t="s">
        <v>544</v>
      </c>
      <c r="G239" s="7" t="s">
        <v>545</v>
      </c>
      <c r="H239" s="123"/>
      <c r="I239" s="123"/>
      <c r="J239" s="123" t="s">
        <v>1079</v>
      </c>
      <c r="K239" s="49" t="s">
        <v>546</v>
      </c>
      <c r="L239" s="27"/>
      <c r="M239" s="58"/>
      <c r="N239" s="78"/>
      <c r="O239" s="27"/>
      <c r="P239" s="58"/>
      <c r="Q239" s="49"/>
      <c r="R239" s="27"/>
      <c r="S239" s="58"/>
      <c r="T239" s="98"/>
      <c r="U239" s="27"/>
      <c r="V239" s="58"/>
      <c r="W239" s="12"/>
      <c r="X239" s="27"/>
      <c r="Y239" s="58"/>
      <c r="Z239" s="12"/>
      <c r="AA239" s="27"/>
      <c r="AB239" s="58"/>
      <c r="AC239" s="12"/>
      <c r="AD239" s="27">
        <v>103</v>
      </c>
      <c r="AE239" s="58">
        <v>1504</v>
      </c>
      <c r="AF239" s="12"/>
      <c r="AG239" s="27">
        <v>0</v>
      </c>
      <c r="AH239" s="58">
        <v>0</v>
      </c>
      <c r="AI239" s="12"/>
      <c r="AJ239" s="27">
        <v>40</v>
      </c>
      <c r="AK239" s="58">
        <v>788</v>
      </c>
      <c r="AL239" s="12"/>
      <c r="AM239" s="27">
        <v>239</v>
      </c>
      <c r="AN239" s="58">
        <v>3378</v>
      </c>
      <c r="AO239" s="12"/>
      <c r="AP239" s="27">
        <v>110</v>
      </c>
      <c r="AQ239" s="58">
        <v>1520</v>
      </c>
      <c r="AR239" s="12"/>
      <c r="AS239" s="27">
        <v>215</v>
      </c>
      <c r="AT239" s="58">
        <v>3020</v>
      </c>
      <c r="AU239" s="12"/>
      <c r="AV239" s="54"/>
      <c r="AW239" s="63"/>
      <c r="AX239" s="55"/>
      <c r="AY239" s="54"/>
      <c r="AZ239" s="63"/>
      <c r="BA239" s="55"/>
      <c r="BB239" s="10">
        <v>91</v>
      </c>
      <c r="BC239" s="15">
        <v>1340</v>
      </c>
      <c r="BD239" s="11">
        <v>958.72</v>
      </c>
      <c r="BE239" s="10">
        <v>47</v>
      </c>
      <c r="BF239" s="15">
        <v>704</v>
      </c>
      <c r="BG239" s="11">
        <v>536.4</v>
      </c>
      <c r="BH239" s="10">
        <v>199</v>
      </c>
      <c r="BI239" s="15">
        <v>2860</v>
      </c>
      <c r="BJ239" s="11">
        <v>2242.88</v>
      </c>
      <c r="BK239" s="10">
        <v>97</v>
      </c>
      <c r="BL239" s="15">
        <v>1354</v>
      </c>
      <c r="BM239" s="11">
        <v>1132.0999999999999</v>
      </c>
      <c r="BN239" s="46">
        <v>158</v>
      </c>
      <c r="BO239" s="43">
        <v>2310</v>
      </c>
      <c r="BP239" s="47">
        <v>1865.52</v>
      </c>
      <c r="BQ239" s="46">
        <v>217</v>
      </c>
      <c r="BR239" s="43">
        <v>3286</v>
      </c>
      <c r="BS239" s="47">
        <v>2689.2000000000003</v>
      </c>
      <c r="BT239" s="46">
        <v>151</v>
      </c>
      <c r="BU239" s="43">
        <v>2324</v>
      </c>
      <c r="BV239" s="114">
        <v>1927.04</v>
      </c>
      <c r="BW239" s="119">
        <v>60.3</v>
      </c>
      <c r="BX239" s="120">
        <v>1115</v>
      </c>
      <c r="BY239" s="114">
        <v>787.72</v>
      </c>
      <c r="BZ239" s="119">
        <v>151</v>
      </c>
      <c r="CA239" s="120">
        <v>2436</v>
      </c>
      <c r="CB239" s="114">
        <v>1943.52</v>
      </c>
      <c r="CC239" s="119">
        <v>98</v>
      </c>
      <c r="CD239" s="120">
        <v>1642</v>
      </c>
      <c r="CE239" s="114">
        <v>1379.6</v>
      </c>
      <c r="CF239" s="119">
        <v>162</v>
      </c>
      <c r="CG239" s="120">
        <v>2580</v>
      </c>
      <c r="CH239" s="114">
        <v>2092.8000000000002</v>
      </c>
      <c r="CI239" s="119">
        <v>173</v>
      </c>
      <c r="CJ239" s="120">
        <v>3018</v>
      </c>
      <c r="CK239" s="114">
        <v>2455.2000000000003</v>
      </c>
      <c r="CL239" s="54">
        <f t="shared" si="19"/>
        <v>1604.3</v>
      </c>
      <c r="CM239" s="63">
        <f t="shared" si="19"/>
        <v>24969</v>
      </c>
      <c r="CN239" s="55">
        <f t="shared" si="19"/>
        <v>20010.7</v>
      </c>
      <c r="CO239" s="54">
        <f t="shared" si="20"/>
        <v>133.69166666666666</v>
      </c>
      <c r="CP239" s="63">
        <f t="shared" si="20"/>
        <v>2080.75</v>
      </c>
      <c r="CQ239" s="55">
        <f t="shared" si="20"/>
        <v>1667.5583333333334</v>
      </c>
    </row>
    <row r="240" spans="1:95" s="25" customFormat="1" ht="31.5" customHeight="1" x14ac:dyDescent="0.6">
      <c r="A240" s="5">
        <v>237</v>
      </c>
      <c r="B240" s="18" t="s">
        <v>461</v>
      </c>
      <c r="C240" s="18" t="s">
        <v>587</v>
      </c>
      <c r="D240" s="18" t="s">
        <v>462</v>
      </c>
      <c r="E240" s="18" t="s">
        <v>543</v>
      </c>
      <c r="F240" s="23" t="s">
        <v>544</v>
      </c>
      <c r="G240" s="7" t="s">
        <v>545</v>
      </c>
      <c r="H240" s="123"/>
      <c r="I240" s="123"/>
      <c r="J240" s="123" t="s">
        <v>1080</v>
      </c>
      <c r="K240" s="49" t="s">
        <v>546</v>
      </c>
      <c r="L240" s="27"/>
      <c r="M240" s="58"/>
      <c r="N240" s="78"/>
      <c r="O240" s="27"/>
      <c r="P240" s="58"/>
      <c r="Q240" s="49"/>
      <c r="R240" s="27"/>
      <c r="S240" s="58"/>
      <c r="T240" s="98"/>
      <c r="U240" s="27"/>
      <c r="V240" s="58"/>
      <c r="W240" s="12"/>
      <c r="X240" s="27"/>
      <c r="Y240" s="58"/>
      <c r="Z240" s="12"/>
      <c r="AA240" s="27"/>
      <c r="AB240" s="58"/>
      <c r="AC240" s="12"/>
      <c r="AD240" s="27">
        <v>56</v>
      </c>
      <c r="AE240" s="58">
        <v>716</v>
      </c>
      <c r="AF240" s="12"/>
      <c r="AG240" s="27">
        <v>0</v>
      </c>
      <c r="AH240" s="58">
        <v>0</v>
      </c>
      <c r="AI240" s="12"/>
      <c r="AJ240" s="27">
        <v>82</v>
      </c>
      <c r="AK240" s="58">
        <v>1216</v>
      </c>
      <c r="AL240" s="12"/>
      <c r="AM240" s="27">
        <v>52</v>
      </c>
      <c r="AN240" s="58">
        <v>836</v>
      </c>
      <c r="AO240" s="12"/>
      <c r="AP240" s="27">
        <v>74</v>
      </c>
      <c r="AQ240" s="58">
        <v>1178</v>
      </c>
      <c r="AR240" s="12"/>
      <c r="AS240" s="27">
        <v>76</v>
      </c>
      <c r="AT240" s="58">
        <v>1156</v>
      </c>
      <c r="AU240" s="12"/>
      <c r="AV240" s="54"/>
      <c r="AW240" s="63"/>
      <c r="AX240" s="55"/>
      <c r="AY240" s="54"/>
      <c r="AZ240" s="63"/>
      <c r="BA240" s="55"/>
      <c r="BB240" s="10">
        <v>49</v>
      </c>
      <c r="BC240" s="15">
        <v>778</v>
      </c>
      <c r="BD240" s="11">
        <v>619.79999999999995</v>
      </c>
      <c r="BE240" s="10">
        <v>31</v>
      </c>
      <c r="BF240" s="15">
        <v>524</v>
      </c>
      <c r="BG240" s="11">
        <v>371.40000000000003</v>
      </c>
      <c r="BH240" s="10">
        <v>107</v>
      </c>
      <c r="BI240" s="15">
        <v>1558</v>
      </c>
      <c r="BJ240" s="11">
        <v>1264.2</v>
      </c>
      <c r="BK240" s="10">
        <v>117</v>
      </c>
      <c r="BL240" s="15">
        <v>1604</v>
      </c>
      <c r="BM240" s="11">
        <v>1337.8</v>
      </c>
      <c r="BN240" s="46">
        <v>125</v>
      </c>
      <c r="BO240" s="43">
        <v>1806</v>
      </c>
      <c r="BP240" s="47">
        <v>1456.2400000000002</v>
      </c>
      <c r="BQ240" s="46">
        <v>154</v>
      </c>
      <c r="BR240" s="43">
        <v>2168</v>
      </c>
      <c r="BS240" s="47">
        <v>1787.7199999999998</v>
      </c>
      <c r="BT240" s="46">
        <v>111</v>
      </c>
      <c r="BU240" s="43">
        <v>1608</v>
      </c>
      <c r="BV240" s="114">
        <v>1277.1999999999998</v>
      </c>
      <c r="BW240" s="119">
        <v>108.3</v>
      </c>
      <c r="BX240" s="120">
        <v>1633</v>
      </c>
      <c r="BY240" s="114">
        <v>1314.6399999999999</v>
      </c>
      <c r="BZ240" s="119">
        <v>137</v>
      </c>
      <c r="CA240" s="120">
        <v>2132</v>
      </c>
      <c r="CB240" s="114">
        <v>1602.48</v>
      </c>
      <c r="CC240" s="119">
        <v>103</v>
      </c>
      <c r="CD240" s="120">
        <v>1636</v>
      </c>
      <c r="CE240" s="114">
        <v>1203.2</v>
      </c>
      <c r="CF240" s="119">
        <v>127</v>
      </c>
      <c r="CG240" s="120">
        <v>1946</v>
      </c>
      <c r="CH240" s="114">
        <v>1553.3600000000001</v>
      </c>
      <c r="CI240" s="119">
        <v>178</v>
      </c>
      <c r="CJ240" s="120">
        <v>3064</v>
      </c>
      <c r="CK240" s="114">
        <v>2234.4</v>
      </c>
      <c r="CL240" s="54">
        <f t="shared" si="19"/>
        <v>1347.3</v>
      </c>
      <c r="CM240" s="63">
        <f t="shared" si="19"/>
        <v>20457</v>
      </c>
      <c r="CN240" s="55">
        <f t="shared" si="19"/>
        <v>16022.44</v>
      </c>
      <c r="CO240" s="54">
        <f t="shared" si="20"/>
        <v>112.27499999999999</v>
      </c>
      <c r="CP240" s="63">
        <f t="shared" si="20"/>
        <v>1704.75</v>
      </c>
      <c r="CQ240" s="55">
        <f t="shared" si="20"/>
        <v>1335.2033333333334</v>
      </c>
    </row>
    <row r="241" spans="1:95" s="25" customFormat="1" ht="31.5" customHeight="1" x14ac:dyDescent="0.6">
      <c r="A241" s="5">
        <v>238</v>
      </c>
      <c r="B241" s="18" t="s">
        <v>553</v>
      </c>
      <c r="C241" s="18" t="s">
        <v>589</v>
      </c>
      <c r="D241" s="18" t="s">
        <v>554</v>
      </c>
      <c r="E241" s="18" t="s">
        <v>543</v>
      </c>
      <c r="F241" s="23" t="s">
        <v>544</v>
      </c>
      <c r="G241" s="7" t="s">
        <v>545</v>
      </c>
      <c r="H241" s="123"/>
      <c r="I241" s="123"/>
      <c r="J241" s="123" t="s">
        <v>1081</v>
      </c>
      <c r="K241" s="49" t="s">
        <v>546</v>
      </c>
      <c r="L241" s="27"/>
      <c r="M241" s="58"/>
      <c r="N241" s="78"/>
      <c r="O241" s="27"/>
      <c r="P241" s="58"/>
      <c r="Q241" s="49"/>
      <c r="R241" s="27"/>
      <c r="S241" s="58"/>
      <c r="T241" s="98"/>
      <c r="U241" s="27"/>
      <c r="V241" s="58"/>
      <c r="W241" s="12"/>
      <c r="X241" s="27"/>
      <c r="Y241" s="58"/>
      <c r="Z241" s="12"/>
      <c r="AA241" s="27"/>
      <c r="AB241" s="58"/>
      <c r="AC241" s="12"/>
      <c r="AD241" s="27">
        <v>45</v>
      </c>
      <c r="AE241" s="58">
        <v>630</v>
      </c>
      <c r="AF241" s="12"/>
      <c r="AG241" s="27">
        <v>0</v>
      </c>
      <c r="AH241" s="58">
        <v>0</v>
      </c>
      <c r="AI241" s="12"/>
      <c r="AJ241" s="27">
        <v>22</v>
      </c>
      <c r="AK241" s="58">
        <v>308</v>
      </c>
      <c r="AL241" s="12"/>
      <c r="AM241" s="27">
        <v>45</v>
      </c>
      <c r="AN241" s="58">
        <v>630</v>
      </c>
      <c r="AO241" s="12"/>
      <c r="AP241" s="27">
        <v>16</v>
      </c>
      <c r="AQ241" s="58">
        <v>222</v>
      </c>
      <c r="AR241" s="12"/>
      <c r="AS241" s="27">
        <v>46</v>
      </c>
      <c r="AT241" s="58">
        <v>644</v>
      </c>
      <c r="AU241" s="12"/>
      <c r="AV241" s="54"/>
      <c r="AW241" s="63"/>
      <c r="AX241" s="55"/>
      <c r="AY241" s="54"/>
      <c r="AZ241" s="63"/>
      <c r="BA241" s="55"/>
      <c r="BB241" s="10">
        <v>60</v>
      </c>
      <c r="BC241" s="15">
        <v>840</v>
      </c>
      <c r="BD241" s="11">
        <v>537</v>
      </c>
      <c r="BE241" s="10">
        <v>75</v>
      </c>
      <c r="BF241" s="15">
        <v>1050</v>
      </c>
      <c r="BG241" s="11">
        <v>671.4</v>
      </c>
      <c r="BH241" s="10">
        <v>120</v>
      </c>
      <c r="BI241" s="15">
        <v>1680</v>
      </c>
      <c r="BJ241" s="11">
        <v>1074.8</v>
      </c>
      <c r="BK241" s="10">
        <v>115</v>
      </c>
      <c r="BL241" s="15">
        <v>1510</v>
      </c>
      <c r="BM241" s="11">
        <v>1183.4000000000001</v>
      </c>
      <c r="BN241" s="46">
        <v>75</v>
      </c>
      <c r="BO241" s="43">
        <v>1050</v>
      </c>
      <c r="BP241" s="47">
        <v>671.8</v>
      </c>
      <c r="BQ241" s="46">
        <v>98</v>
      </c>
      <c r="BR241" s="43">
        <v>1372</v>
      </c>
      <c r="BS241" s="47">
        <v>878.2</v>
      </c>
      <c r="BT241" s="46">
        <v>75</v>
      </c>
      <c r="BU241" s="43">
        <v>1050</v>
      </c>
      <c r="BV241" s="114">
        <v>672.4</v>
      </c>
      <c r="BW241" s="119">
        <v>60.3</v>
      </c>
      <c r="BX241" s="120">
        <v>843</v>
      </c>
      <c r="BY241" s="114">
        <v>539.44000000000005</v>
      </c>
      <c r="BZ241" s="119">
        <v>95</v>
      </c>
      <c r="CA241" s="120">
        <v>1330</v>
      </c>
      <c r="CB241" s="114">
        <v>851.2</v>
      </c>
      <c r="CC241" s="119">
        <v>75</v>
      </c>
      <c r="CD241" s="120">
        <v>1050</v>
      </c>
      <c r="CE241" s="114">
        <v>671.99999999999989</v>
      </c>
      <c r="CF241" s="119">
        <v>75</v>
      </c>
      <c r="CG241" s="120">
        <v>1080</v>
      </c>
      <c r="CH241" s="114">
        <v>727.2</v>
      </c>
      <c r="CI241" s="119">
        <v>105</v>
      </c>
      <c r="CJ241" s="120">
        <v>1470</v>
      </c>
      <c r="CK241" s="114">
        <v>940.80000000000018</v>
      </c>
      <c r="CL241" s="54">
        <f t="shared" si="19"/>
        <v>1028.3</v>
      </c>
      <c r="CM241" s="63">
        <f t="shared" si="19"/>
        <v>14325</v>
      </c>
      <c r="CN241" s="55">
        <f t="shared" si="19"/>
        <v>9419.64</v>
      </c>
      <c r="CO241" s="54">
        <f t="shared" si="20"/>
        <v>85.691666666666663</v>
      </c>
      <c r="CP241" s="63">
        <f t="shared" si="20"/>
        <v>1193.75</v>
      </c>
      <c r="CQ241" s="55">
        <f t="shared" si="20"/>
        <v>784.96999999999991</v>
      </c>
    </row>
    <row r="242" spans="1:95" s="25" customFormat="1" ht="31.5" customHeight="1" x14ac:dyDescent="0.6">
      <c r="A242" s="5">
        <v>239</v>
      </c>
      <c r="B242" s="18" t="s">
        <v>555</v>
      </c>
      <c r="C242" s="18" t="s">
        <v>591</v>
      </c>
      <c r="D242" s="18" t="s">
        <v>556</v>
      </c>
      <c r="E242" s="18" t="s">
        <v>543</v>
      </c>
      <c r="F242" s="23" t="s">
        <v>544</v>
      </c>
      <c r="G242" s="7" t="s">
        <v>545</v>
      </c>
      <c r="H242" s="123"/>
      <c r="I242" s="123"/>
      <c r="J242" s="123" t="s">
        <v>1082</v>
      </c>
      <c r="K242" s="49" t="s">
        <v>546</v>
      </c>
      <c r="L242" s="27"/>
      <c r="M242" s="58"/>
      <c r="N242" s="78"/>
      <c r="O242" s="27"/>
      <c r="P242" s="58"/>
      <c r="Q242" s="49"/>
      <c r="R242" s="27"/>
      <c r="S242" s="58"/>
      <c r="T242" s="98"/>
      <c r="U242" s="27"/>
      <c r="V242" s="58"/>
      <c r="W242" s="12"/>
      <c r="X242" s="27"/>
      <c r="Y242" s="58"/>
      <c r="Z242" s="12"/>
      <c r="AA242" s="27"/>
      <c r="AB242" s="58"/>
      <c r="AC242" s="12"/>
      <c r="AD242" s="27">
        <v>10</v>
      </c>
      <c r="AE242" s="58">
        <v>120</v>
      </c>
      <c r="AF242" s="12"/>
      <c r="AG242" s="27">
        <v>0</v>
      </c>
      <c r="AH242" s="58">
        <v>0</v>
      </c>
      <c r="AI242" s="12"/>
      <c r="AJ242" s="27">
        <v>5</v>
      </c>
      <c r="AK242" s="58">
        <v>60</v>
      </c>
      <c r="AL242" s="12"/>
      <c r="AM242" s="27">
        <v>25</v>
      </c>
      <c r="AN242" s="58">
        <v>300</v>
      </c>
      <c r="AO242" s="12"/>
      <c r="AP242" s="27">
        <v>12</v>
      </c>
      <c r="AQ242" s="58">
        <v>144</v>
      </c>
      <c r="AR242" s="12"/>
      <c r="AS242" s="27">
        <v>6</v>
      </c>
      <c r="AT242" s="58">
        <v>72</v>
      </c>
      <c r="AU242" s="12"/>
      <c r="AV242" s="54"/>
      <c r="AW242" s="63"/>
      <c r="AX242" s="55"/>
      <c r="AY242" s="54"/>
      <c r="AZ242" s="63"/>
      <c r="BA242" s="55"/>
      <c r="BB242" s="10">
        <v>50</v>
      </c>
      <c r="BC242" s="15">
        <v>700</v>
      </c>
      <c r="BD242" s="11">
        <v>448</v>
      </c>
      <c r="BE242" s="10">
        <v>0</v>
      </c>
      <c r="BF242" s="15">
        <v>0</v>
      </c>
      <c r="BG242" s="11">
        <v>0</v>
      </c>
      <c r="BH242" s="10">
        <v>0</v>
      </c>
      <c r="BI242" s="15">
        <v>0</v>
      </c>
      <c r="BJ242" s="11">
        <v>0</v>
      </c>
      <c r="BK242" s="10">
        <v>0</v>
      </c>
      <c r="BL242" s="15">
        <v>0</v>
      </c>
      <c r="BM242" s="11">
        <v>0</v>
      </c>
      <c r="BN242" s="46">
        <v>0</v>
      </c>
      <c r="BO242" s="43">
        <v>0</v>
      </c>
      <c r="BP242" s="47">
        <v>0</v>
      </c>
      <c r="BQ242" s="46">
        <v>0</v>
      </c>
      <c r="BR242" s="43">
        <v>0</v>
      </c>
      <c r="BS242" s="47">
        <v>0</v>
      </c>
      <c r="BT242" s="46">
        <v>0</v>
      </c>
      <c r="BU242" s="43">
        <v>0</v>
      </c>
      <c r="BV242" s="114">
        <v>0</v>
      </c>
      <c r="BW242" s="119">
        <v>0</v>
      </c>
      <c r="BX242" s="120">
        <v>0</v>
      </c>
      <c r="BY242" s="114">
        <v>0</v>
      </c>
      <c r="BZ242" s="119">
        <v>0</v>
      </c>
      <c r="CA242" s="120">
        <v>0</v>
      </c>
      <c r="CB242" s="114">
        <v>0</v>
      </c>
      <c r="CC242" s="119">
        <v>10</v>
      </c>
      <c r="CD242" s="120">
        <v>120</v>
      </c>
      <c r="CE242" s="114">
        <v>120</v>
      </c>
      <c r="CF242" s="119">
        <v>60</v>
      </c>
      <c r="CG242" s="120">
        <v>720</v>
      </c>
      <c r="CH242" s="114">
        <v>720</v>
      </c>
      <c r="CI242" s="119">
        <v>48</v>
      </c>
      <c r="CJ242" s="120">
        <v>604</v>
      </c>
      <c r="CK242" s="114">
        <v>578</v>
      </c>
      <c r="CL242" s="54">
        <f t="shared" si="19"/>
        <v>168</v>
      </c>
      <c r="CM242" s="63">
        <f t="shared" si="19"/>
        <v>2144</v>
      </c>
      <c r="CN242" s="55">
        <f t="shared" si="19"/>
        <v>1866</v>
      </c>
      <c r="CO242" s="54">
        <f t="shared" si="20"/>
        <v>14</v>
      </c>
      <c r="CP242" s="63">
        <f t="shared" si="20"/>
        <v>178.66666666666666</v>
      </c>
      <c r="CQ242" s="55">
        <f t="shared" si="20"/>
        <v>155.5</v>
      </c>
    </row>
    <row r="243" spans="1:95" s="25" customFormat="1" ht="31.5" customHeight="1" x14ac:dyDescent="0.6">
      <c r="A243" s="5">
        <v>240</v>
      </c>
      <c r="B243" s="18" t="s">
        <v>557</v>
      </c>
      <c r="C243" s="18" t="s">
        <v>593</v>
      </c>
      <c r="D243" s="18" t="s">
        <v>558</v>
      </c>
      <c r="E243" s="18" t="s">
        <v>307</v>
      </c>
      <c r="F243" s="23" t="s">
        <v>308</v>
      </c>
      <c r="G243" s="7" t="s">
        <v>545</v>
      </c>
      <c r="H243" s="123"/>
      <c r="I243" s="123"/>
      <c r="J243" s="123" t="s">
        <v>1083</v>
      </c>
      <c r="K243" s="49" t="s">
        <v>546</v>
      </c>
      <c r="L243" s="27"/>
      <c r="M243" s="58"/>
      <c r="N243" s="78"/>
      <c r="O243" s="27"/>
      <c r="P243" s="58"/>
      <c r="Q243" s="49"/>
      <c r="R243" s="27"/>
      <c r="S243" s="58"/>
      <c r="T243" s="98"/>
      <c r="U243" s="27"/>
      <c r="V243" s="58"/>
      <c r="W243" s="12"/>
      <c r="X243" s="27"/>
      <c r="Y243" s="58"/>
      <c r="Z243" s="12"/>
      <c r="AA243" s="27"/>
      <c r="AB243" s="58"/>
      <c r="AC243" s="12"/>
      <c r="AD243" s="27">
        <v>40</v>
      </c>
      <c r="AE243" s="58">
        <v>514</v>
      </c>
      <c r="AF243" s="12"/>
      <c r="AG243" s="27">
        <v>0</v>
      </c>
      <c r="AH243" s="58">
        <v>0</v>
      </c>
      <c r="AI243" s="12"/>
      <c r="AJ243" s="27">
        <v>17</v>
      </c>
      <c r="AK243" s="58">
        <v>218</v>
      </c>
      <c r="AL243" s="12"/>
      <c r="AM243" s="27">
        <v>46</v>
      </c>
      <c r="AN243" s="58">
        <v>592</v>
      </c>
      <c r="AO243" s="12"/>
      <c r="AP243" s="27">
        <v>21</v>
      </c>
      <c r="AQ243" s="58">
        <v>272</v>
      </c>
      <c r="AR243" s="12"/>
      <c r="AS243" s="27">
        <v>33</v>
      </c>
      <c r="AT243" s="58">
        <v>410</v>
      </c>
      <c r="AU243" s="12"/>
      <c r="AV243" s="54"/>
      <c r="AW243" s="63"/>
      <c r="AX243" s="55"/>
      <c r="AY243" s="54"/>
      <c r="AZ243" s="63"/>
      <c r="BA243" s="55"/>
      <c r="BB243" s="10">
        <v>9</v>
      </c>
      <c r="BC243" s="15">
        <v>136</v>
      </c>
      <c r="BD243" s="11">
        <v>79.8</v>
      </c>
      <c r="BE243" s="10">
        <v>39.200000000000003</v>
      </c>
      <c r="BF243" s="15">
        <v>556</v>
      </c>
      <c r="BG243" s="11">
        <v>417.6</v>
      </c>
      <c r="BH243" s="10">
        <v>41.5</v>
      </c>
      <c r="BI243" s="15">
        <v>534</v>
      </c>
      <c r="BJ243" s="11">
        <v>442.6</v>
      </c>
      <c r="BK243" s="10">
        <v>21</v>
      </c>
      <c r="BL243" s="15">
        <v>290</v>
      </c>
      <c r="BM243" s="11">
        <v>238.8</v>
      </c>
      <c r="BN243" s="46">
        <v>58</v>
      </c>
      <c r="BO243" s="43">
        <v>764</v>
      </c>
      <c r="BP243" s="47">
        <v>593.19999999999993</v>
      </c>
      <c r="BQ243" s="46">
        <v>46</v>
      </c>
      <c r="BR243" s="43">
        <v>626</v>
      </c>
      <c r="BS243" s="47">
        <v>484.08000000000004</v>
      </c>
      <c r="BT243" s="46">
        <v>38</v>
      </c>
      <c r="BU243" s="43">
        <v>536</v>
      </c>
      <c r="BV243" s="114">
        <v>423.76</v>
      </c>
      <c r="BW243" s="119">
        <v>26.3</v>
      </c>
      <c r="BX243" s="120">
        <v>397</v>
      </c>
      <c r="BY243" s="114">
        <v>278.52</v>
      </c>
      <c r="BZ243" s="119">
        <v>15</v>
      </c>
      <c r="CA243" s="120">
        <v>268</v>
      </c>
      <c r="CB243" s="114">
        <v>179.92000000000002</v>
      </c>
      <c r="CC243" s="119">
        <v>60</v>
      </c>
      <c r="CD243" s="120">
        <v>798</v>
      </c>
      <c r="CE243" s="114">
        <v>601.44000000000005</v>
      </c>
      <c r="CF243" s="119">
        <v>22</v>
      </c>
      <c r="CG243" s="120">
        <v>344</v>
      </c>
      <c r="CH243" s="114">
        <v>246.16000000000003</v>
      </c>
      <c r="CI243" s="119">
        <v>38</v>
      </c>
      <c r="CJ243" s="120">
        <v>588</v>
      </c>
      <c r="CK243" s="114">
        <v>433.6</v>
      </c>
      <c r="CL243" s="54">
        <f t="shared" si="19"/>
        <v>414</v>
      </c>
      <c r="CM243" s="63">
        <f t="shared" si="19"/>
        <v>5837</v>
      </c>
      <c r="CN243" s="55">
        <f t="shared" si="19"/>
        <v>4419.4800000000005</v>
      </c>
      <c r="CO243" s="54">
        <f t="shared" si="20"/>
        <v>34.5</v>
      </c>
      <c r="CP243" s="63">
        <f t="shared" si="20"/>
        <v>486.41666666666669</v>
      </c>
      <c r="CQ243" s="55">
        <f t="shared" si="20"/>
        <v>368.29</v>
      </c>
    </row>
    <row r="244" spans="1:95" s="25" customFormat="1" ht="31.5" customHeight="1" x14ac:dyDescent="0.6">
      <c r="A244" s="5">
        <v>241</v>
      </c>
      <c r="B244" s="18" t="s">
        <v>559</v>
      </c>
      <c r="C244" s="18" t="s">
        <v>595</v>
      </c>
      <c r="D244" s="18" t="s">
        <v>560</v>
      </c>
      <c r="E244" s="18" t="s">
        <v>307</v>
      </c>
      <c r="F244" s="23" t="s">
        <v>308</v>
      </c>
      <c r="G244" s="7" t="s">
        <v>545</v>
      </c>
      <c r="H244" s="123"/>
      <c r="I244" s="123"/>
      <c r="J244" s="123"/>
      <c r="K244" s="49" t="s">
        <v>546</v>
      </c>
      <c r="L244" s="27"/>
      <c r="M244" s="58"/>
      <c r="N244" s="78"/>
      <c r="O244" s="27"/>
      <c r="P244" s="58"/>
      <c r="Q244" s="49"/>
      <c r="R244" s="27"/>
      <c r="S244" s="58"/>
      <c r="T244" s="98"/>
      <c r="U244" s="27"/>
      <c r="V244" s="58"/>
      <c r="W244" s="12"/>
      <c r="X244" s="27"/>
      <c r="Y244" s="58"/>
      <c r="Z244" s="12"/>
      <c r="AA244" s="27"/>
      <c r="AB244" s="58"/>
      <c r="AC244" s="12"/>
      <c r="AD244" s="27">
        <v>13</v>
      </c>
      <c r="AE244" s="58">
        <v>198</v>
      </c>
      <c r="AF244" s="12"/>
      <c r="AG244" s="27">
        <v>0</v>
      </c>
      <c r="AH244" s="58">
        <v>0</v>
      </c>
      <c r="AI244" s="12"/>
      <c r="AJ244" s="27">
        <v>10</v>
      </c>
      <c r="AK244" s="58">
        <v>148</v>
      </c>
      <c r="AL244" s="12"/>
      <c r="AM244" s="27">
        <v>18</v>
      </c>
      <c r="AN244" s="58">
        <v>244</v>
      </c>
      <c r="AO244" s="12"/>
      <c r="AP244" s="27">
        <v>22</v>
      </c>
      <c r="AQ244" s="58">
        <v>330</v>
      </c>
      <c r="AR244" s="12"/>
      <c r="AS244" s="27">
        <v>12</v>
      </c>
      <c r="AT244" s="58">
        <v>174</v>
      </c>
      <c r="AU244" s="12"/>
      <c r="AV244" s="54"/>
      <c r="AW244" s="63"/>
      <c r="AX244" s="55"/>
      <c r="AY244" s="54"/>
      <c r="AZ244" s="63"/>
      <c r="BA244" s="55"/>
      <c r="BB244" s="10">
        <v>10.3</v>
      </c>
      <c r="BC244" s="15">
        <v>123</v>
      </c>
      <c r="BD244" s="11">
        <v>123</v>
      </c>
      <c r="BE244" s="10">
        <v>8</v>
      </c>
      <c r="BF244" s="15">
        <v>96</v>
      </c>
      <c r="BG244" s="11">
        <v>80.2</v>
      </c>
      <c r="BH244" s="10">
        <v>7</v>
      </c>
      <c r="BI244" s="15">
        <v>112</v>
      </c>
      <c r="BJ244" s="11">
        <v>86</v>
      </c>
      <c r="BK244" s="10">
        <v>12</v>
      </c>
      <c r="BL244" s="15">
        <v>204</v>
      </c>
      <c r="BM244" s="11">
        <v>139.4</v>
      </c>
      <c r="BN244" s="46">
        <v>6</v>
      </c>
      <c r="BO244" s="43">
        <v>104</v>
      </c>
      <c r="BP244" s="47">
        <v>61.2</v>
      </c>
      <c r="BQ244" s="46">
        <v>8</v>
      </c>
      <c r="BR244" s="43">
        <v>124</v>
      </c>
      <c r="BS244" s="47">
        <v>98</v>
      </c>
      <c r="BT244" s="46">
        <v>12</v>
      </c>
      <c r="BU244" s="43">
        <v>172</v>
      </c>
      <c r="BV244" s="114">
        <v>117</v>
      </c>
      <c r="BW244" s="119">
        <v>5.3</v>
      </c>
      <c r="BX244" s="120">
        <v>91</v>
      </c>
      <c r="BY244" s="114">
        <v>54.44</v>
      </c>
      <c r="BZ244" s="119">
        <v>12</v>
      </c>
      <c r="CA244" s="120">
        <v>144</v>
      </c>
      <c r="CB244" s="114">
        <v>136.32</v>
      </c>
      <c r="CC244" s="119">
        <v>12</v>
      </c>
      <c r="CD244" s="120">
        <v>172</v>
      </c>
      <c r="CE244" s="114">
        <v>146</v>
      </c>
      <c r="CF244" s="119">
        <v>6</v>
      </c>
      <c r="CG244" s="120">
        <v>156</v>
      </c>
      <c r="CH244" s="114">
        <v>73.2</v>
      </c>
      <c r="CI244" s="119">
        <v>9.5500000000000007</v>
      </c>
      <c r="CJ244" s="120">
        <v>155</v>
      </c>
      <c r="CK244" s="114">
        <v>99.789999999999992</v>
      </c>
      <c r="CL244" s="54">
        <f t="shared" si="19"/>
        <v>108.14999999999999</v>
      </c>
      <c r="CM244" s="63">
        <f t="shared" si="19"/>
        <v>1653</v>
      </c>
      <c r="CN244" s="55">
        <f t="shared" si="19"/>
        <v>1214.55</v>
      </c>
      <c r="CO244" s="54">
        <f t="shared" si="20"/>
        <v>9.0124999999999993</v>
      </c>
      <c r="CP244" s="63">
        <f t="shared" si="20"/>
        <v>137.75</v>
      </c>
      <c r="CQ244" s="55">
        <f t="shared" si="20"/>
        <v>101.21249999999999</v>
      </c>
    </row>
    <row r="245" spans="1:95" s="25" customFormat="1" ht="31.5" customHeight="1" x14ac:dyDescent="0.6">
      <c r="A245" s="5">
        <v>242</v>
      </c>
      <c r="B245" s="18" t="s">
        <v>561</v>
      </c>
      <c r="C245" s="18" t="s">
        <v>310</v>
      </c>
      <c r="D245" s="18" t="s">
        <v>562</v>
      </c>
      <c r="E245" s="18" t="s">
        <v>307</v>
      </c>
      <c r="F245" s="23" t="s">
        <v>308</v>
      </c>
      <c r="G245" s="7" t="s">
        <v>545</v>
      </c>
      <c r="H245" s="123"/>
      <c r="I245" s="123"/>
      <c r="J245" s="123" t="s">
        <v>1084</v>
      </c>
      <c r="K245" s="49" t="s">
        <v>546</v>
      </c>
      <c r="L245" s="27"/>
      <c r="M245" s="58"/>
      <c r="N245" s="78"/>
      <c r="O245" s="27"/>
      <c r="P245" s="58"/>
      <c r="Q245" s="49"/>
      <c r="R245" s="27"/>
      <c r="S245" s="58"/>
      <c r="T245" s="98"/>
      <c r="U245" s="27"/>
      <c r="V245" s="58"/>
      <c r="W245" s="12"/>
      <c r="X245" s="27"/>
      <c r="Y245" s="58"/>
      <c r="Z245" s="12"/>
      <c r="AA245" s="27"/>
      <c r="AB245" s="58"/>
      <c r="AC245" s="12"/>
      <c r="AD245" s="27">
        <v>39</v>
      </c>
      <c r="AE245" s="58">
        <v>536</v>
      </c>
      <c r="AF245" s="12"/>
      <c r="AG245" s="27">
        <v>0</v>
      </c>
      <c r="AH245" s="58">
        <v>0</v>
      </c>
      <c r="AI245" s="12"/>
      <c r="AJ245" s="27">
        <v>21</v>
      </c>
      <c r="AK245" s="58">
        <v>308</v>
      </c>
      <c r="AL245" s="12"/>
      <c r="AM245" s="27">
        <v>11</v>
      </c>
      <c r="AN245" s="58">
        <v>216</v>
      </c>
      <c r="AO245" s="12"/>
      <c r="AP245" s="27">
        <v>6</v>
      </c>
      <c r="AQ245" s="58">
        <v>84</v>
      </c>
      <c r="AR245" s="12"/>
      <c r="AS245" s="27">
        <v>18</v>
      </c>
      <c r="AT245" s="58">
        <v>244</v>
      </c>
      <c r="AU245" s="12"/>
      <c r="AV245" s="54"/>
      <c r="AW245" s="63"/>
      <c r="AX245" s="55"/>
      <c r="AY245" s="54"/>
      <c r="AZ245" s="63"/>
      <c r="BA245" s="55"/>
      <c r="BB245" s="10">
        <v>13</v>
      </c>
      <c r="BC245" s="15">
        <v>184</v>
      </c>
      <c r="BD245" s="11">
        <v>148</v>
      </c>
      <c r="BE245" s="10">
        <v>15</v>
      </c>
      <c r="BF245" s="15">
        <v>248</v>
      </c>
      <c r="BG245" s="11">
        <v>180.2</v>
      </c>
      <c r="BH245" s="10">
        <v>34</v>
      </c>
      <c r="BI245" s="15">
        <v>536</v>
      </c>
      <c r="BJ245" s="11">
        <v>396.4</v>
      </c>
      <c r="BK245" s="10">
        <v>36</v>
      </c>
      <c r="BL245" s="15">
        <v>508</v>
      </c>
      <c r="BM245" s="11">
        <v>404.29999999999995</v>
      </c>
      <c r="BN245" s="46">
        <v>28</v>
      </c>
      <c r="BO245" s="43">
        <v>452</v>
      </c>
      <c r="BP245" s="47">
        <v>348</v>
      </c>
      <c r="BQ245" s="46">
        <v>28</v>
      </c>
      <c r="BR245" s="43">
        <v>392</v>
      </c>
      <c r="BS245" s="47">
        <v>330.4</v>
      </c>
      <c r="BT245" s="46">
        <v>39</v>
      </c>
      <c r="BU245" s="43">
        <v>580</v>
      </c>
      <c r="BV245" s="114">
        <v>461.6</v>
      </c>
      <c r="BW245" s="119">
        <v>32.799999999999997</v>
      </c>
      <c r="BX245" s="120">
        <v>449</v>
      </c>
      <c r="BY245" s="114">
        <v>381.03999999999996</v>
      </c>
      <c r="BZ245" s="119">
        <v>36</v>
      </c>
      <c r="CA245" s="120">
        <v>572</v>
      </c>
      <c r="CB245" s="114">
        <v>438.15999999999997</v>
      </c>
      <c r="CC245" s="119">
        <v>19</v>
      </c>
      <c r="CD245" s="120">
        <v>284</v>
      </c>
      <c r="CE245" s="114">
        <v>217.6</v>
      </c>
      <c r="CF245" s="119">
        <v>35</v>
      </c>
      <c r="CG245" s="120">
        <v>784</v>
      </c>
      <c r="CH245" s="114">
        <v>431.6</v>
      </c>
      <c r="CI245" s="119">
        <v>26.25</v>
      </c>
      <c r="CJ245" s="120">
        <v>374</v>
      </c>
      <c r="CK245" s="114">
        <v>308.5</v>
      </c>
      <c r="CL245" s="54">
        <f t="shared" si="19"/>
        <v>342.05</v>
      </c>
      <c r="CM245" s="63">
        <f t="shared" si="19"/>
        <v>5363</v>
      </c>
      <c r="CN245" s="55">
        <f t="shared" si="19"/>
        <v>4045.7999999999993</v>
      </c>
      <c r="CO245" s="54">
        <f t="shared" si="20"/>
        <v>28.504166666666666</v>
      </c>
      <c r="CP245" s="63">
        <f t="shared" si="20"/>
        <v>446.91666666666669</v>
      </c>
      <c r="CQ245" s="55">
        <f t="shared" si="20"/>
        <v>337.14999999999992</v>
      </c>
    </row>
    <row r="246" spans="1:95" s="25" customFormat="1" ht="31.5" customHeight="1" x14ac:dyDescent="0.6">
      <c r="A246" s="5">
        <v>243</v>
      </c>
      <c r="B246" s="18" t="s">
        <v>563</v>
      </c>
      <c r="C246" s="18" t="s">
        <v>371</v>
      </c>
      <c r="D246" s="18" t="s">
        <v>564</v>
      </c>
      <c r="E246" s="18" t="s">
        <v>307</v>
      </c>
      <c r="F246" s="23" t="s">
        <v>308</v>
      </c>
      <c r="G246" s="7" t="s">
        <v>545</v>
      </c>
      <c r="H246" s="123"/>
      <c r="I246" s="123"/>
      <c r="J246" s="123" t="s">
        <v>1085</v>
      </c>
      <c r="K246" s="49" t="s">
        <v>546</v>
      </c>
      <c r="L246" s="27"/>
      <c r="M246" s="58"/>
      <c r="N246" s="78"/>
      <c r="O246" s="27"/>
      <c r="P246" s="58"/>
      <c r="Q246" s="49"/>
      <c r="R246" s="27"/>
      <c r="S246" s="58"/>
      <c r="T246" s="98"/>
      <c r="U246" s="27"/>
      <c r="V246" s="58"/>
      <c r="W246" s="12"/>
      <c r="X246" s="27"/>
      <c r="Y246" s="58"/>
      <c r="Z246" s="12"/>
      <c r="AA246" s="27"/>
      <c r="AB246" s="58"/>
      <c r="AC246" s="12"/>
      <c r="AD246" s="27">
        <v>21</v>
      </c>
      <c r="AE246" s="58">
        <v>480</v>
      </c>
      <c r="AF246" s="12"/>
      <c r="AG246" s="27">
        <v>0</v>
      </c>
      <c r="AH246" s="58">
        <v>0</v>
      </c>
      <c r="AI246" s="12"/>
      <c r="AJ246" s="27">
        <v>21</v>
      </c>
      <c r="AK246" s="58">
        <v>450</v>
      </c>
      <c r="AL246" s="12"/>
      <c r="AM246" s="27">
        <v>16</v>
      </c>
      <c r="AN246" s="58">
        <v>234</v>
      </c>
      <c r="AO246" s="12"/>
      <c r="AP246" s="27">
        <v>19</v>
      </c>
      <c r="AQ246" s="58">
        <v>346</v>
      </c>
      <c r="AR246" s="12"/>
      <c r="AS246" s="27">
        <v>22</v>
      </c>
      <c r="AT246" s="58">
        <v>528</v>
      </c>
      <c r="AU246" s="12"/>
      <c r="AV246" s="54"/>
      <c r="AW246" s="63"/>
      <c r="AX246" s="55"/>
      <c r="AY246" s="54"/>
      <c r="AZ246" s="63"/>
      <c r="BA246" s="55"/>
      <c r="BB246" s="10">
        <v>7</v>
      </c>
      <c r="BC246" s="15">
        <v>144</v>
      </c>
      <c r="BD246" s="11">
        <v>82</v>
      </c>
      <c r="BE246" s="10">
        <v>12</v>
      </c>
      <c r="BF246" s="15">
        <v>284</v>
      </c>
      <c r="BG246" s="11">
        <v>154</v>
      </c>
      <c r="BH246" s="10">
        <v>17</v>
      </c>
      <c r="BI246" s="15">
        <v>410</v>
      </c>
      <c r="BJ246" s="11">
        <v>202.8</v>
      </c>
      <c r="BK246" s="10">
        <v>18</v>
      </c>
      <c r="BL246" s="15">
        <v>394</v>
      </c>
      <c r="BM246" s="11">
        <v>201.52</v>
      </c>
      <c r="BN246" s="46">
        <v>12</v>
      </c>
      <c r="BO246" s="43">
        <v>260</v>
      </c>
      <c r="BP246" s="47">
        <v>150.96</v>
      </c>
      <c r="BQ246" s="46">
        <v>12</v>
      </c>
      <c r="BR246" s="43">
        <v>175</v>
      </c>
      <c r="BS246" s="47">
        <v>118.76</v>
      </c>
      <c r="BT246" s="46">
        <v>12</v>
      </c>
      <c r="BU246" s="43">
        <v>288</v>
      </c>
      <c r="BV246" s="114">
        <v>147.92000000000002</v>
      </c>
      <c r="BW246" s="119">
        <v>5.3</v>
      </c>
      <c r="BX246" s="120">
        <v>95</v>
      </c>
      <c r="BY246" s="114">
        <v>57.96</v>
      </c>
      <c r="BZ246" s="119">
        <v>12</v>
      </c>
      <c r="CA246" s="120">
        <v>204</v>
      </c>
      <c r="CB246" s="114">
        <v>141.92000000000002</v>
      </c>
      <c r="CC246" s="119">
        <v>5</v>
      </c>
      <c r="CD246" s="120">
        <v>90</v>
      </c>
      <c r="CE246" s="114">
        <v>49.36</v>
      </c>
      <c r="CF246" s="119">
        <v>8</v>
      </c>
      <c r="CG246" s="120">
        <v>154</v>
      </c>
      <c r="CH246" s="114">
        <v>96.960000000000008</v>
      </c>
      <c r="CI246" s="119">
        <v>5</v>
      </c>
      <c r="CJ246" s="120">
        <v>66</v>
      </c>
      <c r="CK246" s="114">
        <v>50.88</v>
      </c>
      <c r="CL246" s="54">
        <f t="shared" si="19"/>
        <v>125.3</v>
      </c>
      <c r="CM246" s="63">
        <f t="shared" si="19"/>
        <v>2564</v>
      </c>
      <c r="CN246" s="55">
        <f t="shared" si="19"/>
        <v>1455.0400000000002</v>
      </c>
      <c r="CO246" s="54">
        <f t="shared" si="20"/>
        <v>10.441666666666666</v>
      </c>
      <c r="CP246" s="63">
        <f t="shared" si="20"/>
        <v>213.66666666666666</v>
      </c>
      <c r="CQ246" s="55">
        <f t="shared" si="20"/>
        <v>121.25333333333334</v>
      </c>
    </row>
    <row r="247" spans="1:95" s="25" customFormat="1" ht="31.5" customHeight="1" x14ac:dyDescent="0.6">
      <c r="A247" s="5">
        <v>244</v>
      </c>
      <c r="B247" s="18" t="s">
        <v>565</v>
      </c>
      <c r="C247" s="18" t="s">
        <v>596</v>
      </c>
      <c r="D247" s="18" t="s">
        <v>566</v>
      </c>
      <c r="E247" s="18" t="s">
        <v>307</v>
      </c>
      <c r="F247" s="23" t="s">
        <v>308</v>
      </c>
      <c r="G247" s="7" t="s">
        <v>545</v>
      </c>
      <c r="H247" s="123"/>
      <c r="I247" s="123"/>
      <c r="J247" s="123" t="s">
        <v>1086</v>
      </c>
      <c r="K247" s="49" t="s">
        <v>546</v>
      </c>
      <c r="L247" s="27"/>
      <c r="M247" s="58"/>
      <c r="N247" s="78"/>
      <c r="O247" s="27"/>
      <c r="P247" s="58"/>
      <c r="Q247" s="49"/>
      <c r="R247" s="27"/>
      <c r="S247" s="58"/>
      <c r="T247" s="98"/>
      <c r="U247" s="27"/>
      <c r="V247" s="58"/>
      <c r="W247" s="12"/>
      <c r="X247" s="27"/>
      <c r="Y247" s="58"/>
      <c r="Z247" s="12"/>
      <c r="AA247" s="27"/>
      <c r="AB247" s="58"/>
      <c r="AC247" s="12"/>
      <c r="AD247" s="27">
        <v>47</v>
      </c>
      <c r="AE247" s="58">
        <v>718</v>
      </c>
      <c r="AF247" s="12"/>
      <c r="AG247" s="27">
        <v>46</v>
      </c>
      <c r="AH247" s="58">
        <v>688</v>
      </c>
      <c r="AI247" s="12"/>
      <c r="AJ247" s="27">
        <v>25</v>
      </c>
      <c r="AK247" s="58">
        <v>416</v>
      </c>
      <c r="AL247" s="12"/>
      <c r="AM247" s="27">
        <v>24</v>
      </c>
      <c r="AN247" s="58">
        <v>378</v>
      </c>
      <c r="AO247" s="12"/>
      <c r="AP247" s="27">
        <v>8</v>
      </c>
      <c r="AQ247" s="58">
        <v>130</v>
      </c>
      <c r="AR247" s="12"/>
      <c r="AS247" s="27">
        <v>28</v>
      </c>
      <c r="AT247" s="58">
        <v>490</v>
      </c>
      <c r="AU247" s="12"/>
      <c r="AV247" s="54"/>
      <c r="AW247" s="63"/>
      <c r="AX247" s="55"/>
      <c r="AY247" s="54"/>
      <c r="AZ247" s="63"/>
      <c r="BA247" s="55"/>
      <c r="BB247" s="10">
        <v>10</v>
      </c>
      <c r="BC247" s="15">
        <v>0</v>
      </c>
      <c r="BD247" s="11">
        <v>0</v>
      </c>
      <c r="BE247" s="10">
        <v>17</v>
      </c>
      <c r="BF247" s="15">
        <v>284</v>
      </c>
      <c r="BG247" s="11">
        <v>171.8</v>
      </c>
      <c r="BH247" s="10">
        <v>24</v>
      </c>
      <c r="BI247" s="15">
        <v>350</v>
      </c>
      <c r="BJ247" s="11">
        <v>238.39999999999998</v>
      </c>
      <c r="BK247" s="10">
        <v>23</v>
      </c>
      <c r="BL247" s="15">
        <v>364</v>
      </c>
      <c r="BM247" s="11">
        <v>232.6</v>
      </c>
      <c r="BN247" s="46">
        <v>19</v>
      </c>
      <c r="BO247" s="43">
        <v>326</v>
      </c>
      <c r="BP247" s="47">
        <v>192.56</v>
      </c>
      <c r="BQ247" s="46">
        <v>24</v>
      </c>
      <c r="BR247" s="43">
        <v>386</v>
      </c>
      <c r="BS247" s="47">
        <v>233.2</v>
      </c>
      <c r="BT247" s="46">
        <v>25</v>
      </c>
      <c r="BU247" s="43">
        <v>418</v>
      </c>
      <c r="BV247" s="114">
        <v>254.32</v>
      </c>
      <c r="BW247" s="119">
        <v>31.3</v>
      </c>
      <c r="BX247" s="120">
        <v>503</v>
      </c>
      <c r="BY247" s="114">
        <v>312.60000000000002</v>
      </c>
      <c r="BZ247" s="119">
        <v>29</v>
      </c>
      <c r="CA247" s="120">
        <v>522</v>
      </c>
      <c r="CB247" s="114">
        <v>302.48</v>
      </c>
      <c r="CC247" s="119">
        <v>22</v>
      </c>
      <c r="CD247" s="120">
        <v>378</v>
      </c>
      <c r="CE247" s="114">
        <v>224.4</v>
      </c>
      <c r="CF247" s="119">
        <v>19</v>
      </c>
      <c r="CG247" s="120">
        <v>338</v>
      </c>
      <c r="CH247" s="114">
        <v>194.48000000000002</v>
      </c>
      <c r="CI247" s="119">
        <v>21</v>
      </c>
      <c r="CJ247" s="120">
        <v>390</v>
      </c>
      <c r="CK247" s="114">
        <v>220.48000000000002</v>
      </c>
      <c r="CL247" s="54">
        <f t="shared" si="19"/>
        <v>264.3</v>
      </c>
      <c r="CM247" s="63">
        <f t="shared" si="19"/>
        <v>4259</v>
      </c>
      <c r="CN247" s="55">
        <f t="shared" si="19"/>
        <v>2577.3200000000002</v>
      </c>
      <c r="CO247" s="54">
        <f t="shared" si="20"/>
        <v>22.025000000000002</v>
      </c>
      <c r="CP247" s="63">
        <f t="shared" si="20"/>
        <v>354.91666666666669</v>
      </c>
      <c r="CQ247" s="55">
        <f t="shared" si="20"/>
        <v>214.77666666666667</v>
      </c>
    </row>
    <row r="248" spans="1:95" s="25" customFormat="1" ht="31.5" customHeight="1" x14ac:dyDescent="0.6">
      <c r="A248" s="5">
        <v>245</v>
      </c>
      <c r="B248" s="18" t="s">
        <v>567</v>
      </c>
      <c r="C248" s="18" t="s">
        <v>496</v>
      </c>
      <c r="D248" s="18" t="s">
        <v>568</v>
      </c>
      <c r="E248" s="18" t="s">
        <v>307</v>
      </c>
      <c r="F248" s="23" t="s">
        <v>308</v>
      </c>
      <c r="G248" s="7" t="s">
        <v>545</v>
      </c>
      <c r="H248" s="123"/>
      <c r="I248" s="123"/>
      <c r="J248" s="123" t="s">
        <v>1087</v>
      </c>
      <c r="K248" s="49" t="s">
        <v>546</v>
      </c>
      <c r="L248" s="27"/>
      <c r="M248" s="58"/>
      <c r="N248" s="78"/>
      <c r="O248" s="27"/>
      <c r="P248" s="58"/>
      <c r="Q248" s="49"/>
      <c r="R248" s="27"/>
      <c r="S248" s="58"/>
      <c r="T248" s="98"/>
      <c r="U248" s="27"/>
      <c r="V248" s="58"/>
      <c r="W248" s="12"/>
      <c r="X248" s="27"/>
      <c r="Y248" s="58"/>
      <c r="Z248" s="12"/>
      <c r="AA248" s="27"/>
      <c r="AB248" s="58"/>
      <c r="AC248" s="12"/>
      <c r="AD248" s="27">
        <v>17</v>
      </c>
      <c r="AE248" s="58">
        <v>222</v>
      </c>
      <c r="AF248" s="12"/>
      <c r="AG248" s="27">
        <v>0</v>
      </c>
      <c r="AH248" s="58">
        <v>0</v>
      </c>
      <c r="AI248" s="12"/>
      <c r="AJ248" s="27">
        <v>23</v>
      </c>
      <c r="AK248" s="58">
        <v>286</v>
      </c>
      <c r="AL248" s="12"/>
      <c r="AM248" s="27">
        <v>30</v>
      </c>
      <c r="AN248" s="58">
        <v>374</v>
      </c>
      <c r="AO248" s="12"/>
      <c r="AP248" s="27">
        <v>15</v>
      </c>
      <c r="AQ248" s="58">
        <v>184</v>
      </c>
      <c r="AR248" s="12"/>
      <c r="AS248" s="27">
        <v>27</v>
      </c>
      <c r="AT248" s="58">
        <v>390</v>
      </c>
      <c r="AU248" s="12"/>
      <c r="AV248" s="54"/>
      <c r="AW248" s="63"/>
      <c r="AX248" s="55"/>
      <c r="AY248" s="54"/>
      <c r="AZ248" s="63"/>
      <c r="BA248" s="55"/>
      <c r="BB248" s="10">
        <v>16</v>
      </c>
      <c r="BC248" s="15">
        <v>200</v>
      </c>
      <c r="BD248" s="11">
        <v>179.9</v>
      </c>
      <c r="BE248" s="10">
        <v>11</v>
      </c>
      <c r="BF248" s="15">
        <v>162</v>
      </c>
      <c r="BG248" s="11">
        <v>131</v>
      </c>
      <c r="BH248" s="10">
        <v>23</v>
      </c>
      <c r="BI248" s="15">
        <v>316</v>
      </c>
      <c r="BJ248" s="11">
        <v>259.76</v>
      </c>
      <c r="BK248" s="10">
        <v>28</v>
      </c>
      <c r="BL248" s="15">
        <v>378</v>
      </c>
      <c r="BM248" s="11">
        <v>316.7</v>
      </c>
      <c r="BN248" s="46">
        <v>19</v>
      </c>
      <c r="BO248" s="43">
        <v>236</v>
      </c>
      <c r="BP248" s="47">
        <v>220.88</v>
      </c>
      <c r="BQ248" s="46">
        <v>12</v>
      </c>
      <c r="BR248" s="43">
        <v>146</v>
      </c>
      <c r="BS248" s="47">
        <v>140.96</v>
      </c>
      <c r="BT248" s="46">
        <v>23</v>
      </c>
      <c r="BU248" s="43">
        <v>280</v>
      </c>
      <c r="BV248" s="114">
        <v>269.92</v>
      </c>
      <c r="BW248" s="119">
        <v>15.3</v>
      </c>
      <c r="BX248" s="120">
        <v>189</v>
      </c>
      <c r="BY248" s="114">
        <v>172.92000000000002</v>
      </c>
      <c r="BZ248" s="119">
        <v>14</v>
      </c>
      <c r="CA248" s="120">
        <v>174</v>
      </c>
      <c r="CB248" s="114">
        <v>155.04000000000002</v>
      </c>
      <c r="CC248" s="119">
        <v>13</v>
      </c>
      <c r="CD248" s="120">
        <v>188</v>
      </c>
      <c r="CE248" s="114">
        <v>151.92000000000002</v>
      </c>
      <c r="CF248" s="119">
        <v>7</v>
      </c>
      <c r="CG248" s="120">
        <v>88</v>
      </c>
      <c r="CH248" s="114">
        <v>77.92</v>
      </c>
      <c r="CI248" s="119">
        <v>9</v>
      </c>
      <c r="CJ248" s="120">
        <v>110</v>
      </c>
      <c r="CK248" s="114">
        <v>104.96000000000001</v>
      </c>
      <c r="CL248" s="54">
        <f t="shared" si="19"/>
        <v>190.3</v>
      </c>
      <c r="CM248" s="63">
        <f t="shared" si="19"/>
        <v>2467</v>
      </c>
      <c r="CN248" s="55">
        <f t="shared" si="19"/>
        <v>2181.88</v>
      </c>
      <c r="CO248" s="54">
        <f t="shared" si="20"/>
        <v>15.858333333333334</v>
      </c>
      <c r="CP248" s="63">
        <f t="shared" si="20"/>
        <v>205.58333333333334</v>
      </c>
      <c r="CQ248" s="55">
        <f t="shared" si="20"/>
        <v>181.82333333333335</v>
      </c>
    </row>
    <row r="249" spans="1:95" s="25" customFormat="1" ht="31.5" customHeight="1" x14ac:dyDescent="0.6">
      <c r="A249" s="5">
        <v>246</v>
      </c>
      <c r="B249" s="18" t="s">
        <v>569</v>
      </c>
      <c r="C249" s="18" t="s">
        <v>599</v>
      </c>
      <c r="D249" s="18" t="s">
        <v>569</v>
      </c>
      <c r="E249" s="18" t="s">
        <v>307</v>
      </c>
      <c r="F249" s="23" t="s">
        <v>308</v>
      </c>
      <c r="G249" s="7" t="s">
        <v>545</v>
      </c>
      <c r="H249" s="123"/>
      <c r="I249" s="123"/>
      <c r="J249" s="123" t="s">
        <v>1088</v>
      </c>
      <c r="K249" s="49" t="s">
        <v>546</v>
      </c>
      <c r="L249" s="27"/>
      <c r="M249" s="58"/>
      <c r="N249" s="78"/>
      <c r="O249" s="27"/>
      <c r="P249" s="58"/>
      <c r="Q249" s="49"/>
      <c r="R249" s="27"/>
      <c r="S249" s="58"/>
      <c r="T249" s="98"/>
      <c r="U249" s="27"/>
      <c r="V249" s="58"/>
      <c r="W249" s="12"/>
      <c r="X249" s="27"/>
      <c r="Y249" s="58"/>
      <c r="Z249" s="12"/>
      <c r="AA249" s="27"/>
      <c r="AB249" s="58"/>
      <c r="AC249" s="12"/>
      <c r="AD249" s="27">
        <v>8</v>
      </c>
      <c r="AE249" s="58">
        <v>102</v>
      </c>
      <c r="AF249" s="12"/>
      <c r="AG249" s="27">
        <v>0</v>
      </c>
      <c r="AH249" s="58">
        <v>0</v>
      </c>
      <c r="AI249" s="12"/>
      <c r="AJ249" s="27">
        <v>0</v>
      </c>
      <c r="AK249" s="58">
        <v>0</v>
      </c>
      <c r="AL249" s="12"/>
      <c r="AM249" s="27">
        <v>15</v>
      </c>
      <c r="AN249" s="58">
        <v>180</v>
      </c>
      <c r="AO249" s="12"/>
      <c r="AP249" s="27">
        <v>6</v>
      </c>
      <c r="AQ249" s="58">
        <v>72</v>
      </c>
      <c r="AR249" s="12"/>
      <c r="AS249" s="27">
        <v>3</v>
      </c>
      <c r="AT249" s="58">
        <v>64</v>
      </c>
      <c r="AU249" s="12"/>
      <c r="AV249" s="54"/>
      <c r="AW249" s="63"/>
      <c r="AX249" s="55"/>
      <c r="AY249" s="54"/>
      <c r="AZ249" s="63"/>
      <c r="BA249" s="55"/>
      <c r="BB249" s="10">
        <v>7</v>
      </c>
      <c r="BC249" s="15">
        <v>112</v>
      </c>
      <c r="BD249" s="11">
        <v>86</v>
      </c>
      <c r="BE249" s="10">
        <v>7</v>
      </c>
      <c r="BF249" s="15">
        <v>84</v>
      </c>
      <c r="BG249" s="11">
        <v>84</v>
      </c>
      <c r="BH249" s="10">
        <v>7</v>
      </c>
      <c r="BI249" s="15">
        <v>112</v>
      </c>
      <c r="BJ249" s="11">
        <v>86</v>
      </c>
      <c r="BK249" s="10">
        <v>15</v>
      </c>
      <c r="BL249" s="15">
        <v>186</v>
      </c>
      <c r="BM249" s="11">
        <v>170.9</v>
      </c>
      <c r="BN249" s="46">
        <v>11</v>
      </c>
      <c r="BO249" s="43">
        <v>138</v>
      </c>
      <c r="BP249" s="47">
        <v>134</v>
      </c>
      <c r="BQ249" s="46">
        <v>16</v>
      </c>
      <c r="BR249" s="43">
        <v>282</v>
      </c>
      <c r="BS249" s="47">
        <v>188.88</v>
      </c>
      <c r="BT249" s="46">
        <v>27</v>
      </c>
      <c r="BU249" s="43">
        <v>330</v>
      </c>
      <c r="BV249" s="114">
        <v>314.96000000000004</v>
      </c>
      <c r="BW249" s="119">
        <v>7.3</v>
      </c>
      <c r="BX249" s="120">
        <v>89</v>
      </c>
      <c r="BY249" s="114">
        <v>83.000000000000014</v>
      </c>
      <c r="BZ249" s="119">
        <v>13</v>
      </c>
      <c r="CA249" s="120">
        <v>216</v>
      </c>
      <c r="CB249" s="114">
        <v>153.92000000000002</v>
      </c>
      <c r="CC249" s="119">
        <v>20</v>
      </c>
      <c r="CD249" s="120">
        <v>242</v>
      </c>
      <c r="CE249" s="114">
        <v>236.95999999999998</v>
      </c>
      <c r="CF249" s="119">
        <v>8</v>
      </c>
      <c r="CG249" s="120">
        <v>98</v>
      </c>
      <c r="CH249" s="114">
        <v>92.960000000000008</v>
      </c>
      <c r="CI249" s="119">
        <v>12</v>
      </c>
      <c r="CJ249" s="120">
        <v>176</v>
      </c>
      <c r="CK249" s="114">
        <v>139.92000000000002</v>
      </c>
      <c r="CL249" s="54">
        <f t="shared" si="19"/>
        <v>150.30000000000001</v>
      </c>
      <c r="CM249" s="63">
        <f t="shared" si="19"/>
        <v>2065</v>
      </c>
      <c r="CN249" s="55">
        <f t="shared" si="19"/>
        <v>1771.5000000000002</v>
      </c>
      <c r="CO249" s="54">
        <f t="shared" si="20"/>
        <v>12.525</v>
      </c>
      <c r="CP249" s="63">
        <f t="shared" si="20"/>
        <v>172.08333333333334</v>
      </c>
      <c r="CQ249" s="55">
        <f t="shared" si="20"/>
        <v>147.62500000000003</v>
      </c>
    </row>
    <row r="250" spans="1:95" s="25" customFormat="1" ht="31.5" customHeight="1" x14ac:dyDescent="0.6">
      <c r="A250" s="5">
        <v>247</v>
      </c>
      <c r="B250" s="18" t="s">
        <v>570</v>
      </c>
      <c r="C250" s="18" t="s">
        <v>601</v>
      </c>
      <c r="D250" s="18" t="s">
        <v>571</v>
      </c>
      <c r="E250" s="18" t="s">
        <v>263</v>
      </c>
      <c r="F250" s="23" t="s">
        <v>264</v>
      </c>
      <c r="G250" s="7" t="s">
        <v>545</v>
      </c>
      <c r="H250" s="123"/>
      <c r="I250" s="123"/>
      <c r="J250" s="123" t="s">
        <v>1089</v>
      </c>
      <c r="K250" s="49" t="s">
        <v>546</v>
      </c>
      <c r="L250" s="27"/>
      <c r="M250" s="58"/>
      <c r="N250" s="78"/>
      <c r="O250" s="27"/>
      <c r="P250" s="58"/>
      <c r="Q250" s="49"/>
      <c r="R250" s="27"/>
      <c r="S250" s="58"/>
      <c r="T250" s="98"/>
      <c r="U250" s="27"/>
      <c r="V250" s="58"/>
      <c r="W250" s="12"/>
      <c r="X250" s="27"/>
      <c r="Y250" s="58"/>
      <c r="Z250" s="12"/>
      <c r="AA250" s="27"/>
      <c r="AB250" s="58"/>
      <c r="AC250" s="12"/>
      <c r="AD250" s="27">
        <v>93</v>
      </c>
      <c r="AE250" s="58">
        <v>1200</v>
      </c>
      <c r="AF250" s="12"/>
      <c r="AG250" s="27">
        <v>0</v>
      </c>
      <c r="AH250" s="58">
        <v>0</v>
      </c>
      <c r="AI250" s="12"/>
      <c r="AJ250" s="27">
        <v>6</v>
      </c>
      <c r="AK250" s="58">
        <v>156</v>
      </c>
      <c r="AL250" s="12"/>
      <c r="AM250" s="27">
        <v>7</v>
      </c>
      <c r="AN250" s="58">
        <v>124</v>
      </c>
      <c r="AO250" s="12"/>
      <c r="AP250" s="27">
        <v>20</v>
      </c>
      <c r="AQ250" s="58">
        <v>288</v>
      </c>
      <c r="AR250" s="12"/>
      <c r="AS250" s="27">
        <v>56</v>
      </c>
      <c r="AT250" s="58">
        <v>702</v>
      </c>
      <c r="AU250" s="12"/>
      <c r="AV250" s="54"/>
      <c r="AW250" s="63"/>
      <c r="AX250" s="55"/>
      <c r="AY250" s="54"/>
      <c r="AZ250" s="63"/>
      <c r="BA250" s="55"/>
      <c r="BB250" s="10">
        <v>13</v>
      </c>
      <c r="BC250" s="15">
        <v>176</v>
      </c>
      <c r="BD250" s="11">
        <v>116</v>
      </c>
      <c r="BE250" s="10">
        <v>35</v>
      </c>
      <c r="BF250" s="15">
        <v>460</v>
      </c>
      <c r="BG250" s="11">
        <v>335.4</v>
      </c>
      <c r="BH250" s="10">
        <v>105</v>
      </c>
      <c r="BI250" s="15">
        <v>1266</v>
      </c>
      <c r="BJ250" s="11">
        <v>1250.8800000000001</v>
      </c>
      <c r="BK250" s="10">
        <v>47</v>
      </c>
      <c r="BL250" s="15">
        <v>784</v>
      </c>
      <c r="BM250" s="11">
        <v>463.20000000000005</v>
      </c>
      <c r="BN250" s="46">
        <v>87</v>
      </c>
      <c r="BO250" s="43">
        <v>1270</v>
      </c>
      <c r="BP250" s="47">
        <v>862</v>
      </c>
      <c r="BQ250" s="46">
        <v>79</v>
      </c>
      <c r="BR250" s="43">
        <v>1126</v>
      </c>
      <c r="BS250" s="47">
        <v>828.43999999999994</v>
      </c>
      <c r="BT250" s="46">
        <v>69</v>
      </c>
      <c r="BU250" s="43">
        <v>990</v>
      </c>
      <c r="BV250" s="114">
        <v>762.07999999999993</v>
      </c>
      <c r="BW250" s="119">
        <v>27.3</v>
      </c>
      <c r="BX250" s="120">
        <v>335</v>
      </c>
      <c r="BY250" s="114">
        <v>313.88</v>
      </c>
      <c r="BZ250" s="119">
        <v>30</v>
      </c>
      <c r="CA250" s="120">
        <v>474</v>
      </c>
      <c r="CB250" s="114">
        <v>281.04000000000002</v>
      </c>
      <c r="CC250" s="119">
        <v>66</v>
      </c>
      <c r="CD250" s="120">
        <v>1088</v>
      </c>
      <c r="CE250" s="114">
        <v>780</v>
      </c>
      <c r="CF250" s="119">
        <v>103</v>
      </c>
      <c r="CG250" s="120">
        <v>1540</v>
      </c>
      <c r="CH250" s="114">
        <v>1058.3999999999999</v>
      </c>
      <c r="CI250" s="119">
        <v>49</v>
      </c>
      <c r="CJ250" s="120">
        <v>656</v>
      </c>
      <c r="CK250" s="114">
        <v>540.4</v>
      </c>
      <c r="CL250" s="54">
        <f t="shared" si="19"/>
        <v>710.3</v>
      </c>
      <c r="CM250" s="63">
        <f t="shared" si="19"/>
        <v>10165</v>
      </c>
      <c r="CN250" s="55">
        <f t="shared" si="19"/>
        <v>7591.7199999999993</v>
      </c>
      <c r="CO250" s="54">
        <f t="shared" si="20"/>
        <v>59.191666666666663</v>
      </c>
      <c r="CP250" s="63">
        <f t="shared" si="20"/>
        <v>847.08333333333337</v>
      </c>
      <c r="CQ250" s="55">
        <f t="shared" si="20"/>
        <v>632.64333333333332</v>
      </c>
    </row>
    <row r="251" spans="1:95" s="25" customFormat="1" ht="31.5" customHeight="1" x14ac:dyDescent="0.6">
      <c r="A251" s="5">
        <v>248</v>
      </c>
      <c r="B251" s="18" t="s">
        <v>572</v>
      </c>
      <c r="C251" s="18" t="s">
        <v>603</v>
      </c>
      <c r="D251" s="18" t="s">
        <v>573</v>
      </c>
      <c r="E251" s="18" t="s">
        <v>263</v>
      </c>
      <c r="F251" s="23" t="s">
        <v>264</v>
      </c>
      <c r="G251" s="7" t="s">
        <v>545</v>
      </c>
      <c r="H251" s="123"/>
      <c r="I251" s="123"/>
      <c r="J251" s="123" t="s">
        <v>1090</v>
      </c>
      <c r="K251" s="49" t="s">
        <v>546</v>
      </c>
      <c r="L251" s="27"/>
      <c r="M251" s="58"/>
      <c r="N251" s="78"/>
      <c r="O251" s="27"/>
      <c r="P251" s="58"/>
      <c r="Q251" s="49"/>
      <c r="R251" s="27"/>
      <c r="S251" s="58"/>
      <c r="T251" s="98"/>
      <c r="U251" s="27"/>
      <c r="V251" s="58"/>
      <c r="W251" s="12"/>
      <c r="X251" s="27"/>
      <c r="Y251" s="58"/>
      <c r="Z251" s="12"/>
      <c r="AA251" s="27"/>
      <c r="AB251" s="58"/>
      <c r="AC251" s="12"/>
      <c r="AD251" s="27">
        <v>75</v>
      </c>
      <c r="AE251" s="58">
        <v>1074</v>
      </c>
      <c r="AF251" s="12"/>
      <c r="AG251" s="27">
        <v>0</v>
      </c>
      <c r="AH251" s="58">
        <v>0</v>
      </c>
      <c r="AI251" s="12"/>
      <c r="AJ251" s="27">
        <v>39</v>
      </c>
      <c r="AK251" s="58">
        <v>542</v>
      </c>
      <c r="AL251" s="12"/>
      <c r="AM251" s="27">
        <v>45</v>
      </c>
      <c r="AN251" s="58">
        <v>710</v>
      </c>
      <c r="AO251" s="12"/>
      <c r="AP251" s="27">
        <v>19</v>
      </c>
      <c r="AQ251" s="58">
        <v>388</v>
      </c>
      <c r="AR251" s="12"/>
      <c r="AS251" s="27">
        <v>43</v>
      </c>
      <c r="AT251" s="58">
        <v>616</v>
      </c>
      <c r="AU251" s="12"/>
      <c r="AV251" s="54"/>
      <c r="AW251" s="63"/>
      <c r="AX251" s="55"/>
      <c r="AY251" s="54"/>
      <c r="AZ251" s="63"/>
      <c r="BA251" s="55"/>
      <c r="BB251" s="10">
        <v>18</v>
      </c>
      <c r="BC251" s="15">
        <v>270</v>
      </c>
      <c r="BD251" s="11">
        <v>175</v>
      </c>
      <c r="BE251" s="10">
        <v>49</v>
      </c>
      <c r="BF251" s="15">
        <v>768</v>
      </c>
      <c r="BG251" s="11">
        <v>498.8</v>
      </c>
      <c r="BH251" s="10">
        <v>73</v>
      </c>
      <c r="BI251" s="15">
        <v>1100</v>
      </c>
      <c r="BJ251" s="11">
        <v>832</v>
      </c>
      <c r="BK251" s="10">
        <v>71</v>
      </c>
      <c r="BL251" s="15">
        <v>1104</v>
      </c>
      <c r="BM251" s="11">
        <v>785.64</v>
      </c>
      <c r="BN251" s="46">
        <v>109</v>
      </c>
      <c r="BO251" s="43">
        <v>1582</v>
      </c>
      <c r="BP251" s="47">
        <v>1154.24</v>
      </c>
      <c r="BQ251" s="46">
        <v>137</v>
      </c>
      <c r="BR251" s="43">
        <v>1830</v>
      </c>
      <c r="BS251" s="47">
        <v>1338.9299999999998</v>
      </c>
      <c r="BT251" s="46">
        <v>82</v>
      </c>
      <c r="BU251" s="43">
        <v>1154</v>
      </c>
      <c r="BV251" s="114">
        <v>920.2</v>
      </c>
      <c r="BW251" s="119">
        <v>48.3</v>
      </c>
      <c r="BX251" s="120">
        <v>795</v>
      </c>
      <c r="BY251" s="114">
        <v>519.64</v>
      </c>
      <c r="BZ251" s="119">
        <v>51</v>
      </c>
      <c r="CA251" s="120">
        <v>960</v>
      </c>
      <c r="CB251" s="114">
        <v>610.07999999999993</v>
      </c>
      <c r="CC251" s="119">
        <v>60</v>
      </c>
      <c r="CD251" s="120">
        <v>942</v>
      </c>
      <c r="CE251" s="114">
        <v>659.68000000000006</v>
      </c>
      <c r="CF251" s="119">
        <v>109</v>
      </c>
      <c r="CG251" s="120">
        <v>1672</v>
      </c>
      <c r="CH251" s="114">
        <v>1234.08</v>
      </c>
      <c r="CI251" s="119">
        <v>42</v>
      </c>
      <c r="CJ251" s="120">
        <v>680</v>
      </c>
      <c r="CK251" s="114">
        <v>471.44</v>
      </c>
      <c r="CL251" s="54">
        <f t="shared" si="19"/>
        <v>849.3</v>
      </c>
      <c r="CM251" s="63">
        <f t="shared" si="19"/>
        <v>12857</v>
      </c>
      <c r="CN251" s="55">
        <f t="shared" si="19"/>
        <v>9199.7300000000014</v>
      </c>
      <c r="CO251" s="54">
        <f t="shared" si="20"/>
        <v>70.774999999999991</v>
      </c>
      <c r="CP251" s="63">
        <f t="shared" si="20"/>
        <v>1071.4166666666667</v>
      </c>
      <c r="CQ251" s="55">
        <f t="shared" si="20"/>
        <v>766.64416666666682</v>
      </c>
    </row>
    <row r="252" spans="1:95" s="25" customFormat="1" ht="31.5" customHeight="1" x14ac:dyDescent="0.6">
      <c r="A252" s="5">
        <v>249</v>
      </c>
      <c r="B252" s="18" t="s">
        <v>574</v>
      </c>
      <c r="C252" s="18" t="s">
        <v>605</v>
      </c>
      <c r="D252" s="18" t="s">
        <v>575</v>
      </c>
      <c r="E252" s="18" t="s">
        <v>263</v>
      </c>
      <c r="F252" s="23" t="s">
        <v>264</v>
      </c>
      <c r="G252" s="7" t="s">
        <v>545</v>
      </c>
      <c r="H252" s="123"/>
      <c r="I252" s="123"/>
      <c r="J252" s="123"/>
      <c r="K252" s="49" t="s">
        <v>546</v>
      </c>
      <c r="L252" s="27"/>
      <c r="M252" s="58"/>
      <c r="N252" s="78"/>
      <c r="O252" s="27"/>
      <c r="P252" s="58"/>
      <c r="Q252" s="49"/>
      <c r="R252" s="27"/>
      <c r="S252" s="58"/>
      <c r="T252" s="98"/>
      <c r="U252" s="27"/>
      <c r="V252" s="58"/>
      <c r="W252" s="12"/>
      <c r="X252" s="27"/>
      <c r="Y252" s="58"/>
      <c r="Z252" s="12"/>
      <c r="AA252" s="27"/>
      <c r="AB252" s="58"/>
      <c r="AC252" s="12"/>
      <c r="AD252" s="27">
        <v>140</v>
      </c>
      <c r="AE252" s="58">
        <v>1922</v>
      </c>
      <c r="AF252" s="12"/>
      <c r="AG252" s="27">
        <v>40</v>
      </c>
      <c r="AH252" s="58">
        <v>530</v>
      </c>
      <c r="AI252" s="12"/>
      <c r="AJ252" s="27">
        <v>36</v>
      </c>
      <c r="AK252" s="58">
        <v>460</v>
      </c>
      <c r="AL252" s="12"/>
      <c r="AM252" s="27">
        <v>47</v>
      </c>
      <c r="AN252" s="58">
        <v>654</v>
      </c>
      <c r="AO252" s="12"/>
      <c r="AP252" s="27">
        <v>9</v>
      </c>
      <c r="AQ252" s="58">
        <v>114</v>
      </c>
      <c r="AR252" s="12"/>
      <c r="AS252" s="27">
        <v>130</v>
      </c>
      <c r="AT252" s="58">
        <v>1786</v>
      </c>
      <c r="AU252" s="12"/>
      <c r="AV252" s="54"/>
      <c r="AW252" s="63"/>
      <c r="AX252" s="55"/>
      <c r="AY252" s="54"/>
      <c r="AZ252" s="63"/>
      <c r="BA252" s="55"/>
      <c r="BB252" s="10">
        <v>192</v>
      </c>
      <c r="BC252" s="15">
        <v>2688</v>
      </c>
      <c r="BD252" s="11">
        <v>1857.8600000000001</v>
      </c>
      <c r="BE252" s="10">
        <v>172</v>
      </c>
      <c r="BF252" s="15">
        <v>2460</v>
      </c>
      <c r="BG252" s="11">
        <v>1651.52</v>
      </c>
      <c r="BH252" s="10">
        <v>187</v>
      </c>
      <c r="BI252" s="15">
        <v>2644</v>
      </c>
      <c r="BJ252" s="11">
        <v>1833.6</v>
      </c>
      <c r="BK252" s="10">
        <v>133</v>
      </c>
      <c r="BL252" s="15">
        <v>1944</v>
      </c>
      <c r="BM252" s="11">
        <v>1291.4000000000001</v>
      </c>
      <c r="BN252" s="46">
        <v>0</v>
      </c>
      <c r="BO252" s="43">
        <v>0</v>
      </c>
      <c r="BP252" s="47">
        <v>0</v>
      </c>
      <c r="BQ252" s="46">
        <v>0</v>
      </c>
      <c r="BR252" s="43">
        <v>0</v>
      </c>
      <c r="BS252" s="47">
        <v>0</v>
      </c>
      <c r="BT252" s="46">
        <v>0</v>
      </c>
      <c r="BU252" s="43">
        <v>0</v>
      </c>
      <c r="BV252" s="114">
        <v>0</v>
      </c>
      <c r="BW252" s="119">
        <v>0</v>
      </c>
      <c r="BX252" s="120">
        <v>0</v>
      </c>
      <c r="BY252" s="114">
        <v>0</v>
      </c>
      <c r="BZ252" s="119">
        <v>0</v>
      </c>
      <c r="CA252" s="120">
        <v>0</v>
      </c>
      <c r="CB252" s="114">
        <v>0</v>
      </c>
      <c r="CC252" s="119">
        <v>0</v>
      </c>
      <c r="CD252" s="120">
        <v>0</v>
      </c>
      <c r="CE252" s="114">
        <v>0</v>
      </c>
      <c r="CF252" s="119">
        <v>0</v>
      </c>
      <c r="CG252" s="120">
        <v>0</v>
      </c>
      <c r="CH252" s="114">
        <v>0</v>
      </c>
      <c r="CI252" s="119">
        <v>0</v>
      </c>
      <c r="CJ252" s="120">
        <v>0</v>
      </c>
      <c r="CK252" s="114">
        <v>0</v>
      </c>
      <c r="CL252" s="54">
        <f t="shared" si="19"/>
        <v>684</v>
      </c>
      <c r="CM252" s="63">
        <f t="shared" si="19"/>
        <v>9736</v>
      </c>
      <c r="CN252" s="55">
        <f t="shared" si="19"/>
        <v>6634.3799999999992</v>
      </c>
      <c r="CO252" s="54">
        <f t="shared" si="20"/>
        <v>57</v>
      </c>
      <c r="CP252" s="63">
        <f t="shared" si="20"/>
        <v>811.33333333333337</v>
      </c>
      <c r="CQ252" s="55">
        <f t="shared" si="20"/>
        <v>552.8649999999999</v>
      </c>
    </row>
    <row r="253" spans="1:95" s="25" customFormat="1" ht="31.5" customHeight="1" x14ac:dyDescent="0.6">
      <c r="A253" s="5">
        <v>250</v>
      </c>
      <c r="B253" s="18" t="s">
        <v>576</v>
      </c>
      <c r="C253" s="18" t="s">
        <v>606</v>
      </c>
      <c r="D253" s="18" t="s">
        <v>577</v>
      </c>
      <c r="E253" s="18" t="s">
        <v>263</v>
      </c>
      <c r="F253" s="23" t="s">
        <v>264</v>
      </c>
      <c r="G253" s="7" t="s">
        <v>545</v>
      </c>
      <c r="H253" s="123"/>
      <c r="I253" s="123"/>
      <c r="J253" s="123" t="s">
        <v>1091</v>
      </c>
      <c r="K253" s="49" t="s">
        <v>546</v>
      </c>
      <c r="L253" s="27"/>
      <c r="M253" s="58"/>
      <c r="N253" s="78"/>
      <c r="O253" s="27"/>
      <c r="P253" s="58"/>
      <c r="Q253" s="49"/>
      <c r="R253" s="27"/>
      <c r="S253" s="58"/>
      <c r="T253" s="98"/>
      <c r="U253" s="27"/>
      <c r="V253" s="58"/>
      <c r="W253" s="12"/>
      <c r="X253" s="27"/>
      <c r="Y253" s="58"/>
      <c r="Z253" s="12"/>
      <c r="AA253" s="27"/>
      <c r="AB253" s="58"/>
      <c r="AC253" s="12"/>
      <c r="AD253" s="27">
        <v>15</v>
      </c>
      <c r="AE253" s="58">
        <v>180</v>
      </c>
      <c r="AF253" s="12"/>
      <c r="AG253" s="27">
        <v>11</v>
      </c>
      <c r="AH253" s="58">
        <v>160</v>
      </c>
      <c r="AI253" s="12"/>
      <c r="AJ253" s="27">
        <v>2</v>
      </c>
      <c r="AK253" s="58">
        <v>48</v>
      </c>
      <c r="AL253" s="12"/>
      <c r="AM253" s="27">
        <v>2</v>
      </c>
      <c r="AN253" s="58">
        <v>48</v>
      </c>
      <c r="AO253" s="12"/>
      <c r="AP253" s="27">
        <v>7</v>
      </c>
      <c r="AQ253" s="58">
        <v>90</v>
      </c>
      <c r="AR253" s="12"/>
      <c r="AS253" s="27">
        <v>3</v>
      </c>
      <c r="AT253" s="58">
        <v>64</v>
      </c>
      <c r="AU253" s="12"/>
      <c r="AV253" s="54"/>
      <c r="AW253" s="63"/>
      <c r="AX253" s="55"/>
      <c r="AY253" s="54"/>
      <c r="AZ253" s="63"/>
      <c r="BA253" s="55"/>
      <c r="BB253" s="10">
        <v>0</v>
      </c>
      <c r="BC253" s="15">
        <v>0</v>
      </c>
      <c r="BD253" s="11">
        <v>0</v>
      </c>
      <c r="BE253" s="10">
        <v>0</v>
      </c>
      <c r="BF253" s="15">
        <v>0</v>
      </c>
      <c r="BG253" s="11">
        <v>0</v>
      </c>
      <c r="BH253" s="10">
        <v>0</v>
      </c>
      <c r="BI253" s="15">
        <v>0</v>
      </c>
      <c r="BJ253" s="11">
        <v>0</v>
      </c>
      <c r="BK253" s="10">
        <v>0</v>
      </c>
      <c r="BL253" s="15">
        <v>0</v>
      </c>
      <c r="BM253" s="11">
        <v>0</v>
      </c>
      <c r="BN253" s="46">
        <v>0</v>
      </c>
      <c r="BO253" s="43">
        <v>0</v>
      </c>
      <c r="BP253" s="47">
        <v>0</v>
      </c>
      <c r="BQ253" s="46">
        <v>6</v>
      </c>
      <c r="BR253" s="43">
        <v>100</v>
      </c>
      <c r="BS253" s="47">
        <v>74</v>
      </c>
      <c r="BT253" s="46">
        <v>16</v>
      </c>
      <c r="BU253" s="43">
        <v>192</v>
      </c>
      <c r="BV253" s="114">
        <v>187.2</v>
      </c>
      <c r="BW253" s="119">
        <v>16.3</v>
      </c>
      <c r="BX253" s="120">
        <v>195</v>
      </c>
      <c r="BY253" s="114">
        <v>194.04000000000002</v>
      </c>
      <c r="BZ253" s="119">
        <v>11</v>
      </c>
      <c r="CA253" s="120">
        <v>142</v>
      </c>
      <c r="CB253" s="114">
        <v>112.96000000000001</v>
      </c>
      <c r="CC253" s="119">
        <v>21</v>
      </c>
      <c r="CD253" s="120">
        <v>308</v>
      </c>
      <c r="CE253" s="114">
        <v>246.4</v>
      </c>
      <c r="CF253" s="119">
        <v>16</v>
      </c>
      <c r="CG253" s="120">
        <v>192</v>
      </c>
      <c r="CH253" s="114">
        <v>172.8</v>
      </c>
      <c r="CI253" s="119">
        <v>23</v>
      </c>
      <c r="CJ253" s="120">
        <v>276</v>
      </c>
      <c r="CK253" s="114">
        <v>276</v>
      </c>
      <c r="CL253" s="54">
        <f t="shared" si="19"/>
        <v>109.3</v>
      </c>
      <c r="CM253" s="63">
        <f t="shared" si="19"/>
        <v>1405</v>
      </c>
      <c r="CN253" s="55">
        <f t="shared" si="19"/>
        <v>1263.4000000000001</v>
      </c>
      <c r="CO253" s="54">
        <f t="shared" si="20"/>
        <v>9.1083333333333325</v>
      </c>
      <c r="CP253" s="63">
        <f t="shared" si="20"/>
        <v>117.08333333333333</v>
      </c>
      <c r="CQ253" s="55">
        <f t="shared" si="20"/>
        <v>105.28333333333335</v>
      </c>
    </row>
    <row r="254" spans="1:95" s="25" customFormat="1" ht="31.5" customHeight="1" x14ac:dyDescent="0.6">
      <c r="A254" s="5">
        <v>251</v>
      </c>
      <c r="B254" s="18" t="s">
        <v>578</v>
      </c>
      <c r="C254" s="18" t="s">
        <v>607</v>
      </c>
      <c r="D254" s="18" t="s">
        <v>579</v>
      </c>
      <c r="E254" s="18" t="s">
        <v>263</v>
      </c>
      <c r="F254" s="23" t="s">
        <v>264</v>
      </c>
      <c r="G254" s="7" t="s">
        <v>545</v>
      </c>
      <c r="H254" s="123"/>
      <c r="I254" s="123"/>
      <c r="J254" s="123" t="s">
        <v>1092</v>
      </c>
      <c r="K254" s="49" t="s">
        <v>546</v>
      </c>
      <c r="L254" s="27"/>
      <c r="M254" s="58"/>
      <c r="N254" s="78"/>
      <c r="O254" s="27"/>
      <c r="P254" s="58"/>
      <c r="Q254" s="49"/>
      <c r="R254" s="27"/>
      <c r="S254" s="58"/>
      <c r="T254" s="98"/>
      <c r="U254" s="27"/>
      <c r="V254" s="58"/>
      <c r="W254" s="12"/>
      <c r="X254" s="27"/>
      <c r="Y254" s="58"/>
      <c r="Z254" s="12"/>
      <c r="AA254" s="27"/>
      <c r="AB254" s="58"/>
      <c r="AC254" s="12"/>
      <c r="AD254" s="27">
        <v>0</v>
      </c>
      <c r="AE254" s="58">
        <v>0</v>
      </c>
      <c r="AF254" s="12"/>
      <c r="AG254" s="27">
        <v>0</v>
      </c>
      <c r="AH254" s="58">
        <v>0</v>
      </c>
      <c r="AI254" s="12"/>
      <c r="AJ254" s="27">
        <v>125</v>
      </c>
      <c r="AK254" s="58">
        <v>1780</v>
      </c>
      <c r="AL254" s="12"/>
      <c r="AM254" s="27">
        <v>0</v>
      </c>
      <c r="AN254" s="58">
        <v>0</v>
      </c>
      <c r="AO254" s="12"/>
      <c r="AP254" s="27">
        <v>20</v>
      </c>
      <c r="AQ254" s="58">
        <v>296</v>
      </c>
      <c r="AR254" s="12"/>
      <c r="AS254" s="27">
        <v>5</v>
      </c>
      <c r="AT254" s="58">
        <v>60</v>
      </c>
      <c r="AU254" s="12"/>
      <c r="AV254" s="54"/>
      <c r="AW254" s="63"/>
      <c r="AX254" s="55"/>
      <c r="AY254" s="54"/>
      <c r="AZ254" s="63"/>
      <c r="BA254" s="55"/>
      <c r="BB254" s="10">
        <v>125</v>
      </c>
      <c r="BC254" s="15">
        <v>1780</v>
      </c>
      <c r="BD254" s="11">
        <v>1280</v>
      </c>
      <c r="BE254" s="10">
        <v>0</v>
      </c>
      <c r="BF254" s="15">
        <v>0</v>
      </c>
      <c r="BG254" s="11">
        <v>0</v>
      </c>
      <c r="BH254" s="10">
        <v>0</v>
      </c>
      <c r="BI254" s="15">
        <v>0</v>
      </c>
      <c r="BJ254" s="11">
        <v>0</v>
      </c>
      <c r="BK254" s="10">
        <v>125</v>
      </c>
      <c r="BL254" s="15">
        <v>1780</v>
      </c>
      <c r="BM254" s="11">
        <v>1280</v>
      </c>
      <c r="BN254" s="46">
        <v>0</v>
      </c>
      <c r="BO254" s="43">
        <v>0</v>
      </c>
      <c r="BP254" s="47">
        <v>0</v>
      </c>
      <c r="BQ254" s="46">
        <v>120</v>
      </c>
      <c r="BR254" s="43">
        <v>1580</v>
      </c>
      <c r="BS254" s="47">
        <v>1210</v>
      </c>
      <c r="BT254" s="46">
        <v>0</v>
      </c>
      <c r="BU254" s="43">
        <v>0</v>
      </c>
      <c r="BV254" s="114">
        <v>0</v>
      </c>
      <c r="BW254" s="119">
        <v>70</v>
      </c>
      <c r="BX254" s="120">
        <v>840</v>
      </c>
      <c r="BY254" s="114">
        <v>822</v>
      </c>
      <c r="BZ254" s="119">
        <v>0</v>
      </c>
      <c r="CA254" s="120">
        <v>0</v>
      </c>
      <c r="CB254" s="114">
        <v>0</v>
      </c>
      <c r="CC254" s="119">
        <v>125</v>
      </c>
      <c r="CD254" s="120">
        <v>2080</v>
      </c>
      <c r="CE254" s="114">
        <v>1365.6</v>
      </c>
      <c r="CF254" s="119">
        <v>0</v>
      </c>
      <c r="CG254" s="120">
        <v>0</v>
      </c>
      <c r="CH254" s="114">
        <v>0</v>
      </c>
      <c r="CI254" s="119">
        <v>115</v>
      </c>
      <c r="CJ254" s="120">
        <v>1380</v>
      </c>
      <c r="CK254" s="114">
        <v>1140</v>
      </c>
      <c r="CL254" s="54">
        <f t="shared" si="19"/>
        <v>680</v>
      </c>
      <c r="CM254" s="63">
        <f t="shared" si="19"/>
        <v>9440</v>
      </c>
      <c r="CN254" s="55">
        <f t="shared" si="19"/>
        <v>7097.6</v>
      </c>
      <c r="CO254" s="54">
        <f t="shared" si="20"/>
        <v>56.666666666666664</v>
      </c>
      <c r="CP254" s="63">
        <f t="shared" si="20"/>
        <v>786.66666666666663</v>
      </c>
      <c r="CQ254" s="55">
        <f t="shared" si="20"/>
        <v>591.4666666666667</v>
      </c>
    </row>
    <row r="255" spans="1:95" s="25" customFormat="1" ht="31.5" customHeight="1" x14ac:dyDescent="0.6">
      <c r="A255" s="5">
        <v>252</v>
      </c>
      <c r="B255" s="18" t="s">
        <v>580</v>
      </c>
      <c r="C255" s="18" t="s">
        <v>609</v>
      </c>
      <c r="D255" s="18" t="s">
        <v>581</v>
      </c>
      <c r="E255" s="18" t="s">
        <v>263</v>
      </c>
      <c r="F255" s="23" t="s">
        <v>264</v>
      </c>
      <c r="G255" s="7" t="s">
        <v>545</v>
      </c>
      <c r="H255" s="123"/>
      <c r="I255" s="123"/>
      <c r="J255" s="123" t="s">
        <v>1093</v>
      </c>
      <c r="K255" s="49" t="s">
        <v>546</v>
      </c>
      <c r="L255" s="27"/>
      <c r="M255" s="58"/>
      <c r="N255" s="78"/>
      <c r="O255" s="27"/>
      <c r="P255" s="58"/>
      <c r="Q255" s="49"/>
      <c r="R255" s="27"/>
      <c r="S255" s="58"/>
      <c r="T255" s="98"/>
      <c r="U255" s="27"/>
      <c r="V255" s="58"/>
      <c r="W255" s="12"/>
      <c r="X255" s="27"/>
      <c r="Y255" s="58"/>
      <c r="Z255" s="12"/>
      <c r="AA255" s="27"/>
      <c r="AB255" s="58"/>
      <c r="AC255" s="12"/>
      <c r="AD255" s="27">
        <v>27</v>
      </c>
      <c r="AE255" s="58">
        <v>392</v>
      </c>
      <c r="AF255" s="12"/>
      <c r="AG255" s="27">
        <v>1</v>
      </c>
      <c r="AH255" s="58">
        <v>24</v>
      </c>
      <c r="AI255" s="12"/>
      <c r="AJ255" s="27">
        <v>8</v>
      </c>
      <c r="AK255" s="58">
        <v>112</v>
      </c>
      <c r="AL255" s="12"/>
      <c r="AM255" s="27">
        <v>31</v>
      </c>
      <c r="AN255" s="58">
        <v>492</v>
      </c>
      <c r="AO255" s="12"/>
      <c r="AP255" s="27">
        <v>11</v>
      </c>
      <c r="AQ255" s="58">
        <v>138</v>
      </c>
      <c r="AR255" s="12"/>
      <c r="AS255" s="27">
        <v>24</v>
      </c>
      <c r="AT255" s="58">
        <v>382</v>
      </c>
      <c r="AU255" s="12"/>
      <c r="AV255" s="54"/>
      <c r="AW255" s="63"/>
      <c r="AX255" s="55"/>
      <c r="AY255" s="54"/>
      <c r="AZ255" s="63"/>
      <c r="BA255" s="55"/>
      <c r="BB255" s="10">
        <v>15</v>
      </c>
      <c r="BC255" s="15">
        <v>194</v>
      </c>
      <c r="BD255" s="11">
        <v>155</v>
      </c>
      <c r="BE255" s="10">
        <v>14</v>
      </c>
      <c r="BF255" s="15">
        <v>290</v>
      </c>
      <c r="BG255" s="11">
        <v>160.88</v>
      </c>
      <c r="BH255" s="10">
        <v>14</v>
      </c>
      <c r="BI255" s="15">
        <v>230</v>
      </c>
      <c r="BJ255" s="11">
        <v>159.28</v>
      </c>
      <c r="BK255" s="10">
        <v>3</v>
      </c>
      <c r="BL255" s="15">
        <v>42</v>
      </c>
      <c r="BM255" s="11">
        <v>26.88</v>
      </c>
      <c r="BN255" s="46">
        <v>40</v>
      </c>
      <c r="BO255" s="43">
        <v>582</v>
      </c>
      <c r="BP255" s="47">
        <v>396.08</v>
      </c>
      <c r="BQ255" s="46">
        <v>12</v>
      </c>
      <c r="BR255" s="43">
        <v>197</v>
      </c>
      <c r="BS255" s="47">
        <v>127.84</v>
      </c>
      <c r="BT255" s="46">
        <v>12</v>
      </c>
      <c r="BU255" s="43">
        <v>236</v>
      </c>
      <c r="BV255" s="114">
        <v>123.44</v>
      </c>
      <c r="BW255" s="119">
        <v>8</v>
      </c>
      <c r="BX255" s="120">
        <v>134</v>
      </c>
      <c r="BY255" s="114">
        <v>82.8</v>
      </c>
      <c r="BZ255" s="119">
        <v>9.25</v>
      </c>
      <c r="CA255" s="120">
        <v>129</v>
      </c>
      <c r="CB255" s="114">
        <v>82.679999999999993</v>
      </c>
      <c r="CC255" s="119">
        <v>8</v>
      </c>
      <c r="CD255" s="120">
        <v>130</v>
      </c>
      <c r="CE255" s="114">
        <v>85.28</v>
      </c>
      <c r="CF255" s="119">
        <v>35</v>
      </c>
      <c r="CG255" s="120">
        <v>436</v>
      </c>
      <c r="CH255" s="114">
        <v>395.68</v>
      </c>
      <c r="CI255" s="119">
        <v>7</v>
      </c>
      <c r="CJ255" s="120">
        <v>122</v>
      </c>
      <c r="CK255" s="114">
        <v>70.8</v>
      </c>
      <c r="CL255" s="54">
        <f t="shared" si="19"/>
        <v>177.25</v>
      </c>
      <c r="CM255" s="63">
        <f t="shared" si="19"/>
        <v>2722</v>
      </c>
      <c r="CN255" s="55">
        <f t="shared" si="19"/>
        <v>1866.6399999999999</v>
      </c>
      <c r="CO255" s="54">
        <f t="shared" si="20"/>
        <v>14.770833333333334</v>
      </c>
      <c r="CP255" s="63">
        <f t="shared" si="20"/>
        <v>226.83333333333334</v>
      </c>
      <c r="CQ255" s="55">
        <f t="shared" si="20"/>
        <v>155.55333333333331</v>
      </c>
    </row>
    <row r="256" spans="1:95" s="25" customFormat="1" ht="31.5" customHeight="1" x14ac:dyDescent="0.6">
      <c r="A256" s="5">
        <v>253</v>
      </c>
      <c r="B256" s="18" t="s">
        <v>582</v>
      </c>
      <c r="C256" s="18" t="s">
        <v>615</v>
      </c>
      <c r="D256" s="18" t="s">
        <v>583</v>
      </c>
      <c r="E256" s="18" t="s">
        <v>584</v>
      </c>
      <c r="F256" s="23" t="s">
        <v>281</v>
      </c>
      <c r="G256" s="7" t="s">
        <v>545</v>
      </c>
      <c r="H256" s="123"/>
      <c r="I256" s="123"/>
      <c r="J256" s="123" t="s">
        <v>1094</v>
      </c>
      <c r="K256" s="49" t="s">
        <v>546</v>
      </c>
      <c r="L256" s="27"/>
      <c r="M256" s="58"/>
      <c r="N256" s="78"/>
      <c r="O256" s="27"/>
      <c r="P256" s="58"/>
      <c r="Q256" s="49"/>
      <c r="R256" s="27"/>
      <c r="S256" s="58"/>
      <c r="T256" s="98"/>
      <c r="U256" s="27"/>
      <c r="V256" s="58"/>
      <c r="W256" s="12"/>
      <c r="X256" s="27"/>
      <c r="Y256" s="58"/>
      <c r="Z256" s="12"/>
      <c r="AA256" s="27"/>
      <c r="AB256" s="58"/>
      <c r="AC256" s="12"/>
      <c r="AD256" s="27">
        <v>3</v>
      </c>
      <c r="AE256" s="58">
        <v>36</v>
      </c>
      <c r="AF256" s="12"/>
      <c r="AG256" s="27">
        <v>12</v>
      </c>
      <c r="AH256" s="58">
        <v>144</v>
      </c>
      <c r="AI256" s="12"/>
      <c r="AJ256" s="27">
        <v>11</v>
      </c>
      <c r="AK256" s="58">
        <v>148</v>
      </c>
      <c r="AL256" s="12"/>
      <c r="AM256" s="27">
        <v>4</v>
      </c>
      <c r="AN256" s="58">
        <v>56</v>
      </c>
      <c r="AO256" s="12"/>
      <c r="AP256" s="27">
        <v>15</v>
      </c>
      <c r="AQ256" s="58">
        <v>212</v>
      </c>
      <c r="AR256" s="12"/>
      <c r="AS256" s="27">
        <v>5</v>
      </c>
      <c r="AT256" s="58">
        <v>88</v>
      </c>
      <c r="AU256" s="12"/>
      <c r="AV256" s="54"/>
      <c r="AW256" s="63"/>
      <c r="AX256" s="55"/>
      <c r="AY256" s="54"/>
      <c r="AZ256" s="63"/>
      <c r="BA256" s="55"/>
      <c r="BB256" s="10">
        <v>14</v>
      </c>
      <c r="BC256" s="15">
        <v>204</v>
      </c>
      <c r="BD256" s="11">
        <v>174</v>
      </c>
      <c r="BE256" s="10">
        <v>13</v>
      </c>
      <c r="BF256" s="15">
        <v>176</v>
      </c>
      <c r="BG256" s="11">
        <v>142.13999999999999</v>
      </c>
      <c r="BH256" s="10">
        <v>17</v>
      </c>
      <c r="BI256" s="15">
        <v>240</v>
      </c>
      <c r="BJ256" s="11">
        <v>162.64000000000001</v>
      </c>
      <c r="BK256" s="10">
        <v>11</v>
      </c>
      <c r="BL256" s="15">
        <v>148</v>
      </c>
      <c r="BM256" s="11">
        <v>120.64</v>
      </c>
      <c r="BN256" s="46">
        <v>9</v>
      </c>
      <c r="BO256" s="43">
        <v>130</v>
      </c>
      <c r="BP256" s="47">
        <v>100.47999999999999</v>
      </c>
      <c r="BQ256" s="46">
        <v>8</v>
      </c>
      <c r="BR256" s="43">
        <v>108</v>
      </c>
      <c r="BS256" s="47">
        <v>83</v>
      </c>
      <c r="BT256" s="46">
        <v>25</v>
      </c>
      <c r="BU256" s="43">
        <v>394</v>
      </c>
      <c r="BV256" s="114">
        <v>274</v>
      </c>
      <c r="BW256" s="119">
        <v>5</v>
      </c>
      <c r="BX256" s="120">
        <v>66</v>
      </c>
      <c r="BY256" s="114">
        <v>43.68</v>
      </c>
      <c r="BZ256" s="119">
        <v>15</v>
      </c>
      <c r="CA256" s="120">
        <v>190</v>
      </c>
      <c r="CB256" s="114">
        <v>129.76</v>
      </c>
      <c r="CC256" s="119">
        <v>23</v>
      </c>
      <c r="CD256" s="120">
        <v>346</v>
      </c>
      <c r="CE256" s="114">
        <v>283.12</v>
      </c>
      <c r="CF256" s="119">
        <v>38</v>
      </c>
      <c r="CG256" s="120">
        <v>502</v>
      </c>
      <c r="CH256" s="114">
        <v>388.24</v>
      </c>
      <c r="CI256" s="119">
        <v>15</v>
      </c>
      <c r="CJ256" s="120">
        <v>194</v>
      </c>
      <c r="CK256" s="114">
        <v>151.51999999999998</v>
      </c>
      <c r="CL256" s="54">
        <f t="shared" si="19"/>
        <v>193</v>
      </c>
      <c r="CM256" s="63">
        <f t="shared" si="19"/>
        <v>2698</v>
      </c>
      <c r="CN256" s="55">
        <f t="shared" si="19"/>
        <v>2053.2200000000003</v>
      </c>
      <c r="CO256" s="54">
        <f t="shared" si="20"/>
        <v>16.083333333333332</v>
      </c>
      <c r="CP256" s="63">
        <f t="shared" si="20"/>
        <v>224.83333333333334</v>
      </c>
      <c r="CQ256" s="55">
        <f t="shared" si="20"/>
        <v>171.10166666666669</v>
      </c>
    </row>
    <row r="257" spans="1:95" s="25" customFormat="1" ht="31.5" customHeight="1" x14ac:dyDescent="0.6">
      <c r="A257" s="5">
        <v>254</v>
      </c>
      <c r="B257" s="18" t="s">
        <v>585</v>
      </c>
      <c r="C257" s="18" t="s">
        <v>617</v>
      </c>
      <c r="D257" s="18" t="s">
        <v>586</v>
      </c>
      <c r="E257" s="18" t="s">
        <v>584</v>
      </c>
      <c r="F257" s="23" t="s">
        <v>281</v>
      </c>
      <c r="G257" s="7" t="s">
        <v>545</v>
      </c>
      <c r="H257" s="123"/>
      <c r="I257" s="123"/>
      <c r="J257" s="123" t="s">
        <v>1095</v>
      </c>
      <c r="K257" s="49" t="s">
        <v>546</v>
      </c>
      <c r="L257" s="27"/>
      <c r="M257" s="58"/>
      <c r="N257" s="78"/>
      <c r="O257" s="27"/>
      <c r="P257" s="58"/>
      <c r="Q257" s="49"/>
      <c r="R257" s="27"/>
      <c r="S257" s="58"/>
      <c r="T257" s="98"/>
      <c r="U257" s="27"/>
      <c r="V257" s="58"/>
      <c r="W257" s="12"/>
      <c r="X257" s="27"/>
      <c r="Y257" s="58"/>
      <c r="Z257" s="12"/>
      <c r="AA257" s="27"/>
      <c r="AB257" s="58"/>
      <c r="AC257" s="12"/>
      <c r="AD257" s="27">
        <v>61</v>
      </c>
      <c r="AE257" s="58">
        <v>734</v>
      </c>
      <c r="AF257" s="12"/>
      <c r="AG257" s="27">
        <v>0</v>
      </c>
      <c r="AH257" s="58">
        <v>0</v>
      </c>
      <c r="AI257" s="12"/>
      <c r="AJ257" s="27">
        <v>60</v>
      </c>
      <c r="AK257" s="58">
        <v>720</v>
      </c>
      <c r="AL257" s="12"/>
      <c r="AM257" s="27">
        <v>120</v>
      </c>
      <c r="AN257" s="58">
        <v>1600</v>
      </c>
      <c r="AO257" s="12"/>
      <c r="AP257" s="27">
        <v>16</v>
      </c>
      <c r="AQ257" s="58">
        <v>202</v>
      </c>
      <c r="AR257" s="12"/>
      <c r="AS257" s="27">
        <v>0</v>
      </c>
      <c r="AT257" s="58">
        <v>0</v>
      </c>
      <c r="AU257" s="12"/>
      <c r="AV257" s="54"/>
      <c r="AW257" s="63"/>
      <c r="AX257" s="55"/>
      <c r="AY257" s="54"/>
      <c r="AZ257" s="63"/>
      <c r="BA257" s="55"/>
      <c r="BB257" s="10">
        <v>45</v>
      </c>
      <c r="BC257" s="15">
        <v>630</v>
      </c>
      <c r="BD257" s="11">
        <v>403</v>
      </c>
      <c r="BE257" s="10">
        <v>0</v>
      </c>
      <c r="BF257" s="15">
        <v>0</v>
      </c>
      <c r="BG257" s="11">
        <v>0</v>
      </c>
      <c r="BH257" s="10">
        <v>60</v>
      </c>
      <c r="BI257" s="15">
        <v>870</v>
      </c>
      <c r="BJ257" s="11">
        <v>714.8</v>
      </c>
      <c r="BK257" s="10">
        <v>0</v>
      </c>
      <c r="BL257" s="15">
        <v>0</v>
      </c>
      <c r="BM257" s="11">
        <v>0</v>
      </c>
      <c r="BN257" s="46">
        <v>43</v>
      </c>
      <c r="BO257" s="43">
        <v>672</v>
      </c>
      <c r="BP257" s="47">
        <v>501.8</v>
      </c>
      <c r="BQ257" s="46">
        <v>18</v>
      </c>
      <c r="BR257" s="43">
        <v>310</v>
      </c>
      <c r="BS257" s="47">
        <v>206.8</v>
      </c>
      <c r="BT257" s="46">
        <v>101</v>
      </c>
      <c r="BU257" s="43">
        <v>2756</v>
      </c>
      <c r="BV257" s="114">
        <v>1226.8</v>
      </c>
      <c r="BW257" s="119">
        <v>20</v>
      </c>
      <c r="BX257" s="120">
        <v>380</v>
      </c>
      <c r="BY257" s="114">
        <v>250</v>
      </c>
      <c r="BZ257" s="119">
        <v>17.25</v>
      </c>
      <c r="CA257" s="120">
        <v>297</v>
      </c>
      <c r="CB257" s="114">
        <v>202.92000000000002</v>
      </c>
      <c r="CC257" s="119">
        <v>71.33</v>
      </c>
      <c r="CD257" s="120">
        <v>1024</v>
      </c>
      <c r="CE257" s="114">
        <v>822.80000000000007</v>
      </c>
      <c r="CF257" s="119">
        <v>37</v>
      </c>
      <c r="CG257" s="120">
        <v>616</v>
      </c>
      <c r="CH257" s="114">
        <v>440.32</v>
      </c>
      <c r="CI257" s="119">
        <v>27</v>
      </c>
      <c r="CJ257" s="120">
        <v>498</v>
      </c>
      <c r="CK257" s="114">
        <v>326.88</v>
      </c>
      <c r="CL257" s="54">
        <f t="shared" si="19"/>
        <v>439.58</v>
      </c>
      <c r="CM257" s="63">
        <f t="shared" si="19"/>
        <v>8053</v>
      </c>
      <c r="CN257" s="55">
        <f t="shared" si="19"/>
        <v>5096.12</v>
      </c>
      <c r="CO257" s="54">
        <f t="shared" si="20"/>
        <v>36.631666666666668</v>
      </c>
      <c r="CP257" s="63">
        <f t="shared" si="20"/>
        <v>671.08333333333337</v>
      </c>
      <c r="CQ257" s="55">
        <f t="shared" si="20"/>
        <v>424.67666666666668</v>
      </c>
    </row>
    <row r="258" spans="1:95" s="25" customFormat="1" ht="31.5" customHeight="1" x14ac:dyDescent="0.6">
      <c r="A258" s="5">
        <v>255</v>
      </c>
      <c r="B258" s="18" t="s">
        <v>587</v>
      </c>
      <c r="C258" s="18" t="s">
        <v>1162</v>
      </c>
      <c r="D258" s="18" t="s">
        <v>588</v>
      </c>
      <c r="E258" s="18" t="s">
        <v>584</v>
      </c>
      <c r="F258" s="23" t="s">
        <v>281</v>
      </c>
      <c r="G258" s="7" t="s">
        <v>545</v>
      </c>
      <c r="H258" s="123"/>
      <c r="I258" s="123"/>
      <c r="J258" s="123" t="s">
        <v>1096</v>
      </c>
      <c r="K258" s="49" t="s">
        <v>546</v>
      </c>
      <c r="L258" s="27"/>
      <c r="M258" s="58"/>
      <c r="N258" s="78"/>
      <c r="O258" s="27"/>
      <c r="P258" s="58"/>
      <c r="Q258" s="49"/>
      <c r="R258" s="27"/>
      <c r="S258" s="58"/>
      <c r="T258" s="98"/>
      <c r="U258" s="27"/>
      <c r="V258" s="58"/>
      <c r="W258" s="12"/>
      <c r="X258" s="27"/>
      <c r="Y258" s="58"/>
      <c r="Z258" s="12"/>
      <c r="AA258" s="27"/>
      <c r="AB258" s="58"/>
      <c r="AC258" s="12"/>
      <c r="AD258" s="27">
        <v>14</v>
      </c>
      <c r="AE258" s="58">
        <v>280</v>
      </c>
      <c r="AF258" s="12"/>
      <c r="AG258" s="27">
        <v>0</v>
      </c>
      <c r="AH258" s="58">
        <v>0</v>
      </c>
      <c r="AI258" s="12"/>
      <c r="AJ258" s="27">
        <v>4</v>
      </c>
      <c r="AK258" s="58">
        <v>56</v>
      </c>
      <c r="AL258" s="12"/>
      <c r="AM258" s="27">
        <v>17</v>
      </c>
      <c r="AN258" s="58">
        <v>354</v>
      </c>
      <c r="AO258" s="12"/>
      <c r="AP258" s="27">
        <v>12</v>
      </c>
      <c r="AQ258" s="58">
        <v>158</v>
      </c>
      <c r="AR258" s="12"/>
      <c r="AS258" s="27">
        <v>2</v>
      </c>
      <c r="AT258" s="58">
        <v>52</v>
      </c>
      <c r="AU258" s="12"/>
      <c r="AV258" s="54"/>
      <c r="AW258" s="63"/>
      <c r="AX258" s="55"/>
      <c r="AY258" s="54"/>
      <c r="AZ258" s="63"/>
      <c r="BA258" s="55"/>
      <c r="BB258" s="10">
        <v>11</v>
      </c>
      <c r="BC258" s="15">
        <v>160</v>
      </c>
      <c r="BD258" s="11">
        <v>134</v>
      </c>
      <c r="BE258" s="10">
        <v>39</v>
      </c>
      <c r="BF258" s="15">
        <v>614</v>
      </c>
      <c r="BG258" s="11">
        <v>424.3</v>
      </c>
      <c r="BH258" s="10">
        <v>26</v>
      </c>
      <c r="BI258" s="15">
        <v>432</v>
      </c>
      <c r="BJ258" s="11">
        <v>263.48</v>
      </c>
      <c r="BK258" s="10">
        <v>20</v>
      </c>
      <c r="BL258" s="15">
        <v>378</v>
      </c>
      <c r="BM258" s="11">
        <v>208.45999999999998</v>
      </c>
      <c r="BN258" s="46">
        <v>24</v>
      </c>
      <c r="BO258" s="43">
        <v>368</v>
      </c>
      <c r="BP258" s="47">
        <v>255.52</v>
      </c>
      <c r="BQ258" s="46">
        <v>30</v>
      </c>
      <c r="BR258" s="43">
        <v>504</v>
      </c>
      <c r="BS258" s="47">
        <v>324.60000000000002</v>
      </c>
      <c r="BT258" s="46">
        <v>13</v>
      </c>
      <c r="BU258" s="43">
        <v>250</v>
      </c>
      <c r="BV258" s="114">
        <v>146.80000000000001</v>
      </c>
      <c r="BW258" s="119">
        <v>22.3</v>
      </c>
      <c r="BX258" s="120">
        <v>343</v>
      </c>
      <c r="BY258" s="114">
        <v>239.64</v>
      </c>
      <c r="BZ258" s="119">
        <v>42.5</v>
      </c>
      <c r="CA258" s="120">
        <v>694</v>
      </c>
      <c r="CB258" s="114">
        <v>496.72</v>
      </c>
      <c r="CC258" s="119">
        <v>28</v>
      </c>
      <c r="CD258" s="120">
        <v>432</v>
      </c>
      <c r="CE258" s="114">
        <v>279.20000000000005</v>
      </c>
      <c r="CF258" s="119">
        <v>26</v>
      </c>
      <c r="CG258" s="120">
        <v>492</v>
      </c>
      <c r="CH258" s="114">
        <v>305.76</v>
      </c>
      <c r="CI258" s="119">
        <v>24.417000000000002</v>
      </c>
      <c r="CJ258" s="120">
        <v>478</v>
      </c>
      <c r="CK258" s="114">
        <v>285.26</v>
      </c>
      <c r="CL258" s="54">
        <f t="shared" si="19"/>
        <v>306.21699999999998</v>
      </c>
      <c r="CM258" s="63">
        <f t="shared" si="19"/>
        <v>5145</v>
      </c>
      <c r="CN258" s="55">
        <f t="shared" si="19"/>
        <v>3363.7400000000007</v>
      </c>
      <c r="CO258" s="54">
        <f t="shared" si="20"/>
        <v>25.518083333333333</v>
      </c>
      <c r="CP258" s="63">
        <f t="shared" si="20"/>
        <v>428.75</v>
      </c>
      <c r="CQ258" s="55">
        <f t="shared" si="20"/>
        <v>280.31166666666672</v>
      </c>
    </row>
    <row r="259" spans="1:95" s="25" customFormat="1" ht="31.5" customHeight="1" x14ac:dyDescent="0.6">
      <c r="A259" s="5">
        <v>256</v>
      </c>
      <c r="B259" s="18" t="s">
        <v>589</v>
      </c>
      <c r="C259" s="18" t="s">
        <v>623</v>
      </c>
      <c r="D259" s="18" t="s">
        <v>590</v>
      </c>
      <c r="E259" s="18" t="s">
        <v>584</v>
      </c>
      <c r="F259" s="23" t="s">
        <v>281</v>
      </c>
      <c r="G259" s="7" t="s">
        <v>545</v>
      </c>
      <c r="H259" s="123"/>
      <c r="I259" s="123"/>
      <c r="J259" s="123" t="s">
        <v>1097</v>
      </c>
      <c r="K259" s="49" t="s">
        <v>546</v>
      </c>
      <c r="L259" s="27"/>
      <c r="M259" s="58"/>
      <c r="N259" s="78"/>
      <c r="O259" s="27"/>
      <c r="P259" s="58"/>
      <c r="Q259" s="49"/>
      <c r="R259" s="27"/>
      <c r="S259" s="58"/>
      <c r="T259" s="98"/>
      <c r="U259" s="27"/>
      <c r="V259" s="58"/>
      <c r="W259" s="12"/>
      <c r="X259" s="27"/>
      <c r="Y259" s="58"/>
      <c r="Z259" s="12"/>
      <c r="AA259" s="27"/>
      <c r="AB259" s="58"/>
      <c r="AC259" s="12"/>
      <c r="AD259" s="27">
        <v>0</v>
      </c>
      <c r="AE259" s="58">
        <v>0</v>
      </c>
      <c r="AF259" s="12"/>
      <c r="AG259" s="27">
        <v>4</v>
      </c>
      <c r="AH259" s="58">
        <v>66</v>
      </c>
      <c r="AI259" s="12"/>
      <c r="AJ259" s="27">
        <v>5</v>
      </c>
      <c r="AK259" s="58">
        <v>106</v>
      </c>
      <c r="AL259" s="12"/>
      <c r="AM259" s="27">
        <v>6</v>
      </c>
      <c r="AN259" s="58">
        <v>268</v>
      </c>
      <c r="AO259" s="12"/>
      <c r="AP259" s="27">
        <v>2</v>
      </c>
      <c r="AQ259" s="58">
        <v>28</v>
      </c>
      <c r="AR259" s="12"/>
      <c r="AS259" s="27">
        <v>5</v>
      </c>
      <c r="AT259" s="58">
        <v>70</v>
      </c>
      <c r="AU259" s="12"/>
      <c r="AV259" s="54"/>
      <c r="AW259" s="63"/>
      <c r="AX259" s="55"/>
      <c r="AY259" s="54"/>
      <c r="AZ259" s="63"/>
      <c r="BA259" s="55"/>
      <c r="BB259" s="10">
        <v>19</v>
      </c>
      <c r="BC259" s="15">
        <v>266</v>
      </c>
      <c r="BD259" s="11">
        <v>171</v>
      </c>
      <c r="BE259" s="10">
        <v>2</v>
      </c>
      <c r="BF259" s="15">
        <v>48</v>
      </c>
      <c r="BG259" s="11">
        <v>24</v>
      </c>
      <c r="BH259" s="10">
        <v>3</v>
      </c>
      <c r="BI259" s="15">
        <v>49</v>
      </c>
      <c r="BJ259" s="11">
        <v>32.96</v>
      </c>
      <c r="BK259" s="10">
        <v>5</v>
      </c>
      <c r="BL259" s="15">
        <v>96</v>
      </c>
      <c r="BM259" s="11">
        <v>49.760000000000005</v>
      </c>
      <c r="BN259" s="46">
        <v>11</v>
      </c>
      <c r="BO259" s="43">
        <v>153</v>
      </c>
      <c r="BP259" s="47">
        <v>101.76</v>
      </c>
      <c r="BQ259" s="46">
        <v>11</v>
      </c>
      <c r="BR259" s="43">
        <v>150</v>
      </c>
      <c r="BS259" s="47">
        <v>104.72</v>
      </c>
      <c r="BT259" s="46">
        <v>1</v>
      </c>
      <c r="BU259" s="43">
        <v>14</v>
      </c>
      <c r="BV259" s="114">
        <v>8.9600000000000009</v>
      </c>
      <c r="BW259" s="119">
        <v>7.3</v>
      </c>
      <c r="BX259" s="120">
        <v>105</v>
      </c>
      <c r="BY259" s="114">
        <v>66.760000000000005</v>
      </c>
      <c r="BZ259" s="119">
        <v>18</v>
      </c>
      <c r="CA259" s="120">
        <v>222</v>
      </c>
      <c r="CB259" s="114">
        <v>203.04</v>
      </c>
      <c r="CC259" s="119">
        <v>6</v>
      </c>
      <c r="CD259" s="120">
        <v>78</v>
      </c>
      <c r="CE259" s="114">
        <v>62.88</v>
      </c>
      <c r="CF259" s="119">
        <v>3</v>
      </c>
      <c r="CG259" s="120">
        <v>36</v>
      </c>
      <c r="CH259" s="114">
        <v>36</v>
      </c>
      <c r="CI259" s="119">
        <v>7.4169999999999998</v>
      </c>
      <c r="CJ259" s="120">
        <v>125</v>
      </c>
      <c r="CK259" s="114">
        <v>83.42</v>
      </c>
      <c r="CL259" s="54">
        <f t="shared" si="19"/>
        <v>93.716999999999999</v>
      </c>
      <c r="CM259" s="63">
        <f t="shared" si="19"/>
        <v>1342</v>
      </c>
      <c r="CN259" s="55">
        <f t="shared" si="19"/>
        <v>945.26</v>
      </c>
      <c r="CO259" s="54">
        <f t="shared" si="20"/>
        <v>7.8097500000000002</v>
      </c>
      <c r="CP259" s="63">
        <f t="shared" si="20"/>
        <v>111.83333333333333</v>
      </c>
      <c r="CQ259" s="55">
        <f t="shared" si="20"/>
        <v>78.771666666666661</v>
      </c>
    </row>
    <row r="260" spans="1:95" s="25" customFormat="1" ht="31.5" customHeight="1" x14ac:dyDescent="0.6">
      <c r="A260" s="5">
        <v>257</v>
      </c>
      <c r="B260" s="18" t="s">
        <v>591</v>
      </c>
      <c r="C260" s="18" t="s">
        <v>624</v>
      </c>
      <c r="D260" s="18" t="s">
        <v>592</v>
      </c>
      <c r="E260" s="18" t="s">
        <v>584</v>
      </c>
      <c r="F260" s="23" t="s">
        <v>281</v>
      </c>
      <c r="G260" s="7" t="s">
        <v>545</v>
      </c>
      <c r="H260" s="123"/>
      <c r="I260" s="123"/>
      <c r="J260" s="123" t="s">
        <v>1098</v>
      </c>
      <c r="K260" s="49" t="s">
        <v>546</v>
      </c>
      <c r="L260" s="27"/>
      <c r="M260" s="58"/>
      <c r="N260" s="78"/>
      <c r="O260" s="27"/>
      <c r="P260" s="58"/>
      <c r="Q260" s="49"/>
      <c r="R260" s="27"/>
      <c r="S260" s="58"/>
      <c r="T260" s="98"/>
      <c r="U260" s="27"/>
      <c r="V260" s="58"/>
      <c r="W260" s="12"/>
      <c r="X260" s="27"/>
      <c r="Y260" s="58"/>
      <c r="Z260" s="12"/>
      <c r="AA260" s="27"/>
      <c r="AB260" s="58"/>
      <c r="AC260" s="12"/>
      <c r="AD260" s="27">
        <v>12</v>
      </c>
      <c r="AE260" s="58">
        <v>236</v>
      </c>
      <c r="AF260" s="12"/>
      <c r="AG260" s="27">
        <v>9</v>
      </c>
      <c r="AH260" s="58">
        <v>144</v>
      </c>
      <c r="AI260" s="12"/>
      <c r="AJ260" s="27">
        <v>18</v>
      </c>
      <c r="AK260" s="58">
        <v>312</v>
      </c>
      <c r="AL260" s="12"/>
      <c r="AM260" s="27">
        <v>6</v>
      </c>
      <c r="AN260" s="58">
        <v>72</v>
      </c>
      <c r="AO260" s="12"/>
      <c r="AP260" s="27">
        <v>8</v>
      </c>
      <c r="AQ260" s="58">
        <v>124</v>
      </c>
      <c r="AR260" s="12"/>
      <c r="AS260" s="27">
        <v>13</v>
      </c>
      <c r="AT260" s="58">
        <v>156</v>
      </c>
      <c r="AU260" s="12"/>
      <c r="AV260" s="54"/>
      <c r="AW260" s="63"/>
      <c r="AX260" s="55"/>
      <c r="AY260" s="54"/>
      <c r="AZ260" s="63"/>
      <c r="BA260" s="55"/>
      <c r="BB260" s="10">
        <v>11</v>
      </c>
      <c r="BC260" s="15">
        <v>188</v>
      </c>
      <c r="BD260" s="11">
        <v>136</v>
      </c>
      <c r="BE260" s="10">
        <v>11</v>
      </c>
      <c r="BF260" s="15">
        <v>166</v>
      </c>
      <c r="BG260" s="11">
        <v>136</v>
      </c>
      <c r="BH260" s="10">
        <v>12</v>
      </c>
      <c r="BI260" s="15">
        <v>200</v>
      </c>
      <c r="BJ260" s="11">
        <v>148</v>
      </c>
      <c r="BK260" s="10">
        <v>1</v>
      </c>
      <c r="BL260" s="15">
        <v>12</v>
      </c>
      <c r="BM260" s="11">
        <v>12</v>
      </c>
      <c r="BN260" s="46">
        <v>7</v>
      </c>
      <c r="BO260" s="43">
        <v>99</v>
      </c>
      <c r="BP260" s="47">
        <v>90</v>
      </c>
      <c r="BQ260" s="46">
        <v>5</v>
      </c>
      <c r="BR260" s="43">
        <v>88</v>
      </c>
      <c r="BS260" s="47">
        <v>62</v>
      </c>
      <c r="BT260" s="46">
        <v>18</v>
      </c>
      <c r="BU260" s="43">
        <v>244</v>
      </c>
      <c r="BV260" s="114">
        <v>218</v>
      </c>
      <c r="BW260" s="119">
        <v>16.600000000000001</v>
      </c>
      <c r="BX260" s="120">
        <v>201</v>
      </c>
      <c r="BY260" s="114">
        <v>196.14</v>
      </c>
      <c r="BZ260" s="119">
        <v>10.5</v>
      </c>
      <c r="CA260" s="120">
        <v>126</v>
      </c>
      <c r="CB260" s="114">
        <v>122.16</v>
      </c>
      <c r="CC260" s="119">
        <v>23</v>
      </c>
      <c r="CD260" s="120">
        <v>276</v>
      </c>
      <c r="CE260" s="114">
        <v>276</v>
      </c>
      <c r="CF260" s="119">
        <v>28</v>
      </c>
      <c r="CG260" s="120">
        <v>336</v>
      </c>
      <c r="CH260" s="114">
        <v>336</v>
      </c>
      <c r="CI260" s="119">
        <v>13.08</v>
      </c>
      <c r="CJ260" s="120">
        <v>172</v>
      </c>
      <c r="CK260" s="114">
        <v>141.66</v>
      </c>
      <c r="CL260" s="54">
        <f t="shared" si="19"/>
        <v>156.18</v>
      </c>
      <c r="CM260" s="63">
        <f t="shared" si="19"/>
        <v>2108</v>
      </c>
      <c r="CN260" s="55">
        <f t="shared" si="19"/>
        <v>1873.96</v>
      </c>
      <c r="CO260" s="54">
        <f t="shared" si="20"/>
        <v>13.015000000000001</v>
      </c>
      <c r="CP260" s="63">
        <f t="shared" si="20"/>
        <v>175.66666666666666</v>
      </c>
      <c r="CQ260" s="55">
        <f t="shared" si="20"/>
        <v>156.16333333333333</v>
      </c>
    </row>
    <row r="261" spans="1:95" s="25" customFormat="1" ht="31.5" customHeight="1" x14ac:dyDescent="0.6">
      <c r="A261" s="5">
        <v>258</v>
      </c>
      <c r="B261" s="18" t="s">
        <v>593</v>
      </c>
      <c r="C261" s="18" t="s">
        <v>626</v>
      </c>
      <c r="D261" s="18" t="s">
        <v>594</v>
      </c>
      <c r="E261" s="18" t="s">
        <v>584</v>
      </c>
      <c r="F261" s="23" t="s">
        <v>281</v>
      </c>
      <c r="G261" s="7" t="s">
        <v>545</v>
      </c>
      <c r="H261" s="123"/>
      <c r="I261" s="123"/>
      <c r="J261" s="123" t="s">
        <v>1099</v>
      </c>
      <c r="K261" s="49" t="s">
        <v>546</v>
      </c>
      <c r="L261" s="27"/>
      <c r="M261" s="58"/>
      <c r="N261" s="78"/>
      <c r="O261" s="27"/>
      <c r="P261" s="58"/>
      <c r="Q261" s="49"/>
      <c r="R261" s="27"/>
      <c r="S261" s="58"/>
      <c r="T261" s="98"/>
      <c r="U261" s="27"/>
      <c r="V261" s="58"/>
      <c r="W261" s="12"/>
      <c r="X261" s="27"/>
      <c r="Y261" s="58"/>
      <c r="Z261" s="12"/>
      <c r="AA261" s="27"/>
      <c r="AB261" s="58"/>
      <c r="AC261" s="12"/>
      <c r="AD261" s="27">
        <v>9</v>
      </c>
      <c r="AE261" s="58">
        <v>248</v>
      </c>
      <c r="AF261" s="12"/>
      <c r="AG261" s="27">
        <v>15</v>
      </c>
      <c r="AH261" s="58">
        <v>320</v>
      </c>
      <c r="AI261" s="12"/>
      <c r="AJ261" s="27">
        <v>6</v>
      </c>
      <c r="AK261" s="58">
        <v>72</v>
      </c>
      <c r="AL261" s="12"/>
      <c r="AM261" s="27">
        <v>60</v>
      </c>
      <c r="AN261" s="58">
        <v>1280</v>
      </c>
      <c r="AO261" s="12"/>
      <c r="AP261" s="27">
        <v>6.5</v>
      </c>
      <c r="AQ261" s="58">
        <v>84</v>
      </c>
      <c r="AR261" s="12"/>
      <c r="AS261" s="27">
        <v>5</v>
      </c>
      <c r="AT261" s="58">
        <v>66</v>
      </c>
      <c r="AU261" s="12"/>
      <c r="AV261" s="54"/>
      <c r="AW261" s="63"/>
      <c r="AX261" s="55"/>
      <c r="AY261" s="54"/>
      <c r="AZ261" s="63"/>
      <c r="BA261" s="55"/>
      <c r="BB261" s="10">
        <v>1</v>
      </c>
      <c r="BC261" s="15">
        <v>14</v>
      </c>
      <c r="BD261" s="11">
        <v>9</v>
      </c>
      <c r="BE261" s="10">
        <v>9.5</v>
      </c>
      <c r="BF261" s="15">
        <v>150</v>
      </c>
      <c r="BG261" s="11">
        <v>86</v>
      </c>
      <c r="BH261" s="10">
        <v>20</v>
      </c>
      <c r="BI261" s="15">
        <v>240</v>
      </c>
      <c r="BJ261" s="11">
        <v>192</v>
      </c>
      <c r="BK261" s="10">
        <v>0</v>
      </c>
      <c r="BL261" s="15">
        <v>0</v>
      </c>
      <c r="BM261" s="11">
        <v>0</v>
      </c>
      <c r="BN261" s="46">
        <v>6</v>
      </c>
      <c r="BO261" s="43">
        <v>223</v>
      </c>
      <c r="BP261" s="47">
        <v>79.5</v>
      </c>
      <c r="BQ261" s="46">
        <v>0</v>
      </c>
      <c r="BR261" s="43">
        <v>0</v>
      </c>
      <c r="BS261" s="47">
        <v>0</v>
      </c>
      <c r="BT261" s="46">
        <v>5</v>
      </c>
      <c r="BU261" s="43">
        <v>70</v>
      </c>
      <c r="BV261" s="114">
        <v>44.8</v>
      </c>
      <c r="BW261" s="119">
        <v>6.1</v>
      </c>
      <c r="BX261" s="120">
        <v>109</v>
      </c>
      <c r="BY261" s="114">
        <v>60.74</v>
      </c>
      <c r="BZ261" s="119">
        <v>1</v>
      </c>
      <c r="CA261" s="120">
        <v>12</v>
      </c>
      <c r="CB261" s="114">
        <v>8.16</v>
      </c>
      <c r="CC261" s="119">
        <v>5</v>
      </c>
      <c r="CD261" s="120">
        <v>88</v>
      </c>
      <c r="CE261" s="114">
        <v>58.16</v>
      </c>
      <c r="CF261" s="119">
        <v>5</v>
      </c>
      <c r="CG261" s="120">
        <v>60</v>
      </c>
      <c r="CH261" s="114">
        <v>36</v>
      </c>
      <c r="CI261" s="119">
        <v>8</v>
      </c>
      <c r="CJ261" s="120">
        <v>96</v>
      </c>
      <c r="CK261" s="114">
        <v>81.599999999999994</v>
      </c>
      <c r="CL261" s="54">
        <f t="shared" ref="CL261:CN285" si="21">+BB261+BE261+BH261+BK261+BN261+BQ261+BT261+BW261+BZ261+CC261+CF261+CI261</f>
        <v>66.599999999999994</v>
      </c>
      <c r="CM261" s="63">
        <f t="shared" si="21"/>
        <v>1062</v>
      </c>
      <c r="CN261" s="55">
        <f t="shared" si="21"/>
        <v>655.96</v>
      </c>
      <c r="CO261" s="54">
        <f t="shared" ref="CO261:CQ286" si="22">CL261/12</f>
        <v>5.55</v>
      </c>
      <c r="CP261" s="63">
        <f t="shared" si="22"/>
        <v>88.5</v>
      </c>
      <c r="CQ261" s="55">
        <f t="shared" si="22"/>
        <v>54.663333333333334</v>
      </c>
    </row>
    <row r="262" spans="1:95" s="25" customFormat="1" ht="31.5" customHeight="1" x14ac:dyDescent="0.6">
      <c r="A262" s="5">
        <v>259</v>
      </c>
      <c r="B262" s="18" t="s">
        <v>595</v>
      </c>
      <c r="C262" s="18" t="s">
        <v>628</v>
      </c>
      <c r="D262" s="18" t="s">
        <v>595</v>
      </c>
      <c r="E262" s="18" t="s">
        <v>584</v>
      </c>
      <c r="F262" s="23" t="s">
        <v>281</v>
      </c>
      <c r="G262" s="7" t="s">
        <v>545</v>
      </c>
      <c r="H262" s="123"/>
      <c r="I262" s="123"/>
      <c r="J262" s="123" t="s">
        <v>1100</v>
      </c>
      <c r="K262" s="49" t="s">
        <v>546</v>
      </c>
      <c r="L262" s="27"/>
      <c r="M262" s="58"/>
      <c r="N262" s="78"/>
      <c r="O262" s="27"/>
      <c r="P262" s="58"/>
      <c r="Q262" s="49"/>
      <c r="R262" s="27"/>
      <c r="S262" s="58"/>
      <c r="T262" s="98"/>
      <c r="U262" s="27"/>
      <c r="V262" s="58"/>
      <c r="W262" s="12"/>
      <c r="X262" s="27"/>
      <c r="Y262" s="58"/>
      <c r="Z262" s="12"/>
      <c r="AA262" s="27"/>
      <c r="AB262" s="58"/>
      <c r="AC262" s="12"/>
      <c r="AD262" s="27">
        <v>13</v>
      </c>
      <c r="AE262" s="58">
        <v>240</v>
      </c>
      <c r="AF262" s="12"/>
      <c r="AG262" s="27">
        <v>18</v>
      </c>
      <c r="AH262" s="58">
        <v>226</v>
      </c>
      <c r="AI262" s="12"/>
      <c r="AJ262" s="27">
        <v>14</v>
      </c>
      <c r="AK262" s="58">
        <v>196</v>
      </c>
      <c r="AL262" s="12"/>
      <c r="AM262" s="27">
        <v>18</v>
      </c>
      <c r="AN262" s="58">
        <v>274</v>
      </c>
      <c r="AO262" s="12"/>
      <c r="AP262" s="27">
        <v>21</v>
      </c>
      <c r="AQ262" s="58">
        <v>346</v>
      </c>
      <c r="AR262" s="12"/>
      <c r="AS262" s="27">
        <v>11</v>
      </c>
      <c r="AT262" s="58">
        <v>132</v>
      </c>
      <c r="AU262" s="12"/>
      <c r="AV262" s="54"/>
      <c r="AW262" s="63"/>
      <c r="AX262" s="55"/>
      <c r="AY262" s="54"/>
      <c r="AZ262" s="63"/>
      <c r="BA262" s="55"/>
      <c r="BB262" s="10">
        <v>15</v>
      </c>
      <c r="BC262" s="15">
        <v>220</v>
      </c>
      <c r="BD262" s="11">
        <v>190</v>
      </c>
      <c r="BE262" s="10">
        <v>18</v>
      </c>
      <c r="BF262" s="15">
        <v>330</v>
      </c>
      <c r="BG262" s="11">
        <v>213</v>
      </c>
      <c r="BH262" s="10">
        <v>18</v>
      </c>
      <c r="BI262" s="15">
        <v>278</v>
      </c>
      <c r="BJ262" s="11">
        <v>204.28</v>
      </c>
      <c r="BK262" s="10">
        <v>0</v>
      </c>
      <c r="BL262" s="15">
        <v>0</v>
      </c>
      <c r="BM262" s="11">
        <v>0</v>
      </c>
      <c r="BN262" s="46">
        <v>15</v>
      </c>
      <c r="BO262" s="43">
        <v>276</v>
      </c>
      <c r="BP262" s="47">
        <v>164.16</v>
      </c>
      <c r="BQ262" s="46">
        <v>14</v>
      </c>
      <c r="BR262" s="43">
        <v>196</v>
      </c>
      <c r="BS262" s="47">
        <v>161.6</v>
      </c>
      <c r="BT262" s="46">
        <v>8</v>
      </c>
      <c r="BU262" s="43">
        <v>100</v>
      </c>
      <c r="BV262" s="114">
        <v>73.12</v>
      </c>
      <c r="BW262" s="119">
        <v>18.3</v>
      </c>
      <c r="BX262" s="120">
        <v>247</v>
      </c>
      <c r="BY262" s="114">
        <v>220.04</v>
      </c>
      <c r="BZ262" s="119">
        <v>2</v>
      </c>
      <c r="CA262" s="120">
        <v>24</v>
      </c>
      <c r="CB262" s="114">
        <v>15.599999999999998</v>
      </c>
      <c r="CC262" s="119">
        <v>17</v>
      </c>
      <c r="CD262" s="120">
        <v>232</v>
      </c>
      <c r="CE262" s="114">
        <v>170</v>
      </c>
      <c r="CF262" s="119">
        <v>10</v>
      </c>
      <c r="CG262" s="120">
        <v>148</v>
      </c>
      <c r="CH262" s="114">
        <v>114.8</v>
      </c>
      <c r="CI262" s="119">
        <v>8</v>
      </c>
      <c r="CJ262" s="120">
        <v>124</v>
      </c>
      <c r="CK262" s="114">
        <v>74</v>
      </c>
      <c r="CL262" s="54">
        <f t="shared" si="21"/>
        <v>143.30000000000001</v>
      </c>
      <c r="CM262" s="63">
        <f t="shared" si="21"/>
        <v>2175</v>
      </c>
      <c r="CN262" s="55">
        <f t="shared" si="21"/>
        <v>1600.6</v>
      </c>
      <c r="CO262" s="54">
        <f t="shared" si="22"/>
        <v>11.941666666666668</v>
      </c>
      <c r="CP262" s="63">
        <f t="shared" si="22"/>
        <v>181.25</v>
      </c>
      <c r="CQ262" s="55">
        <f t="shared" si="22"/>
        <v>133.38333333333333</v>
      </c>
    </row>
    <row r="263" spans="1:95" s="25" customFormat="1" ht="31.5" customHeight="1" x14ac:dyDescent="0.6">
      <c r="A263" s="5">
        <v>260</v>
      </c>
      <c r="B263" s="18" t="s">
        <v>596</v>
      </c>
      <c r="C263" s="18" t="s">
        <v>632</v>
      </c>
      <c r="D263" s="18" t="s">
        <v>596</v>
      </c>
      <c r="E263" s="18" t="s">
        <v>267</v>
      </c>
      <c r="F263" s="23" t="s">
        <v>46</v>
      </c>
      <c r="G263" s="7" t="s">
        <v>597</v>
      </c>
      <c r="H263" s="123"/>
      <c r="I263" s="123"/>
      <c r="J263" s="123" t="s">
        <v>1101</v>
      </c>
      <c r="K263" s="49" t="s">
        <v>598</v>
      </c>
      <c r="L263" s="27"/>
      <c r="M263" s="58"/>
      <c r="N263" s="78"/>
      <c r="O263" s="27"/>
      <c r="P263" s="58"/>
      <c r="Q263" s="49"/>
      <c r="R263" s="27"/>
      <c r="S263" s="58"/>
      <c r="T263" s="98"/>
      <c r="U263" s="27"/>
      <c r="V263" s="58"/>
      <c r="W263" s="12"/>
      <c r="X263" s="27"/>
      <c r="Y263" s="58"/>
      <c r="Z263" s="12"/>
      <c r="AA263" s="27"/>
      <c r="AB263" s="58"/>
      <c r="AC263" s="12"/>
      <c r="AD263" s="27">
        <v>0</v>
      </c>
      <c r="AE263" s="58">
        <v>0</v>
      </c>
      <c r="AF263" s="12"/>
      <c r="AG263" s="27">
        <v>0</v>
      </c>
      <c r="AH263" s="58">
        <v>0</v>
      </c>
      <c r="AI263" s="12"/>
      <c r="AJ263" s="27">
        <v>25</v>
      </c>
      <c r="AK263" s="58">
        <v>300</v>
      </c>
      <c r="AL263" s="12"/>
      <c r="AM263" s="27">
        <v>15</v>
      </c>
      <c r="AN263" s="58">
        <v>180</v>
      </c>
      <c r="AO263" s="12"/>
      <c r="AP263" s="27">
        <v>0</v>
      </c>
      <c r="AQ263" s="58">
        <v>0</v>
      </c>
      <c r="AR263" s="12"/>
      <c r="AS263" s="27">
        <v>30</v>
      </c>
      <c r="AT263" s="58">
        <v>360</v>
      </c>
      <c r="AU263" s="12"/>
      <c r="AV263" s="54"/>
      <c r="AW263" s="63"/>
      <c r="AX263" s="55"/>
      <c r="AY263" s="54"/>
      <c r="AZ263" s="63"/>
      <c r="BA263" s="55"/>
      <c r="BB263" s="10">
        <v>17</v>
      </c>
      <c r="BC263" s="15">
        <v>220</v>
      </c>
      <c r="BD263" s="11">
        <v>210</v>
      </c>
      <c r="BE263" s="10">
        <v>15</v>
      </c>
      <c r="BF263" s="15">
        <v>180</v>
      </c>
      <c r="BG263" s="11">
        <v>180</v>
      </c>
      <c r="BH263" s="10">
        <v>32</v>
      </c>
      <c r="BI263" s="15">
        <v>387</v>
      </c>
      <c r="BJ263" s="11">
        <v>370</v>
      </c>
      <c r="BK263" s="10">
        <v>32</v>
      </c>
      <c r="BL263" s="15">
        <v>440</v>
      </c>
      <c r="BM263" s="11">
        <v>388</v>
      </c>
      <c r="BN263" s="46">
        <v>16</v>
      </c>
      <c r="BO263" s="43">
        <v>204</v>
      </c>
      <c r="BP263" s="47">
        <v>197.1</v>
      </c>
      <c r="BQ263" s="46">
        <v>45</v>
      </c>
      <c r="BR263" s="43">
        <v>540</v>
      </c>
      <c r="BS263" s="47">
        <v>540</v>
      </c>
      <c r="BT263" s="46">
        <v>45</v>
      </c>
      <c r="BU263" s="43">
        <v>540</v>
      </c>
      <c r="BV263" s="114">
        <v>540</v>
      </c>
      <c r="BW263" s="119">
        <v>17.3</v>
      </c>
      <c r="BX263" s="120">
        <v>231</v>
      </c>
      <c r="BY263" s="114">
        <v>201.23999999999998</v>
      </c>
      <c r="BZ263" s="119">
        <v>22</v>
      </c>
      <c r="CA263" s="120">
        <v>264</v>
      </c>
      <c r="CB263" s="114">
        <v>244.8</v>
      </c>
      <c r="CC263" s="119">
        <v>15</v>
      </c>
      <c r="CD263" s="120">
        <v>180</v>
      </c>
      <c r="CE263" s="114">
        <v>180</v>
      </c>
      <c r="CF263" s="119">
        <v>15</v>
      </c>
      <c r="CG263" s="120">
        <v>180</v>
      </c>
      <c r="CH263" s="114">
        <v>180</v>
      </c>
      <c r="CI263" s="119">
        <v>0</v>
      </c>
      <c r="CJ263" s="120">
        <v>0</v>
      </c>
      <c r="CK263" s="114">
        <v>0</v>
      </c>
      <c r="CL263" s="54">
        <f t="shared" si="21"/>
        <v>271.3</v>
      </c>
      <c r="CM263" s="63">
        <f t="shared" si="21"/>
        <v>3366</v>
      </c>
      <c r="CN263" s="55">
        <f t="shared" si="21"/>
        <v>3231.14</v>
      </c>
      <c r="CO263" s="54">
        <f t="shared" si="22"/>
        <v>22.608333333333334</v>
      </c>
      <c r="CP263" s="63">
        <f t="shared" si="22"/>
        <v>280.5</v>
      </c>
      <c r="CQ263" s="55">
        <f t="shared" si="22"/>
        <v>269.26166666666666</v>
      </c>
    </row>
    <row r="264" spans="1:95" s="25" customFormat="1" ht="31.5" customHeight="1" x14ac:dyDescent="0.6">
      <c r="A264" s="5">
        <v>261</v>
      </c>
      <c r="B264" s="18" t="s">
        <v>496</v>
      </c>
      <c r="C264" s="18" t="s">
        <v>634</v>
      </c>
      <c r="D264" s="18" t="s">
        <v>496</v>
      </c>
      <c r="E264" s="18" t="s">
        <v>267</v>
      </c>
      <c r="F264" s="23" t="s">
        <v>46</v>
      </c>
      <c r="G264" s="7" t="s">
        <v>597</v>
      </c>
      <c r="H264" s="123"/>
      <c r="I264" s="123"/>
      <c r="J264" s="123" t="s">
        <v>1102</v>
      </c>
      <c r="K264" s="49" t="s">
        <v>598</v>
      </c>
      <c r="L264" s="27"/>
      <c r="M264" s="58"/>
      <c r="N264" s="78"/>
      <c r="O264" s="27"/>
      <c r="P264" s="58"/>
      <c r="Q264" s="49"/>
      <c r="R264" s="27"/>
      <c r="S264" s="58"/>
      <c r="T264" s="98"/>
      <c r="U264" s="27"/>
      <c r="V264" s="58"/>
      <c r="W264" s="12"/>
      <c r="X264" s="27"/>
      <c r="Y264" s="58"/>
      <c r="Z264" s="12"/>
      <c r="AA264" s="27"/>
      <c r="AB264" s="58"/>
      <c r="AC264" s="12"/>
      <c r="AD264" s="27">
        <v>16</v>
      </c>
      <c r="AE264" s="58">
        <v>192</v>
      </c>
      <c r="AF264" s="12"/>
      <c r="AG264" s="27">
        <v>23</v>
      </c>
      <c r="AH264" s="58">
        <v>316</v>
      </c>
      <c r="AI264" s="12"/>
      <c r="AJ264" s="27">
        <v>14</v>
      </c>
      <c r="AK264" s="58">
        <v>170</v>
      </c>
      <c r="AL264" s="12"/>
      <c r="AM264" s="27">
        <v>7</v>
      </c>
      <c r="AN264" s="58">
        <v>112</v>
      </c>
      <c r="AO264" s="12"/>
      <c r="AP264" s="27">
        <v>2</v>
      </c>
      <c r="AQ264" s="58">
        <v>80</v>
      </c>
      <c r="AR264" s="12"/>
      <c r="AS264" s="27">
        <v>4</v>
      </c>
      <c r="AT264" s="58">
        <v>88</v>
      </c>
      <c r="AU264" s="12"/>
      <c r="AV264" s="54"/>
      <c r="AW264" s="63"/>
      <c r="AX264" s="55"/>
      <c r="AY264" s="54"/>
      <c r="AZ264" s="63"/>
      <c r="BA264" s="55"/>
      <c r="BB264" s="10">
        <v>0</v>
      </c>
      <c r="BC264" s="15">
        <v>24</v>
      </c>
      <c r="BD264" s="11">
        <v>8</v>
      </c>
      <c r="BE264" s="10">
        <v>5</v>
      </c>
      <c r="BF264" s="15">
        <v>60</v>
      </c>
      <c r="BG264" s="11">
        <v>60</v>
      </c>
      <c r="BH264" s="10">
        <v>2</v>
      </c>
      <c r="BI264" s="15">
        <v>36</v>
      </c>
      <c r="BJ264" s="11">
        <v>12</v>
      </c>
      <c r="BK264" s="10">
        <v>0</v>
      </c>
      <c r="BL264" s="15">
        <v>0</v>
      </c>
      <c r="BM264" s="11">
        <v>0</v>
      </c>
      <c r="BN264" s="46">
        <v>14</v>
      </c>
      <c r="BO264" s="43">
        <v>188</v>
      </c>
      <c r="BP264" s="47">
        <v>141.60000000000002</v>
      </c>
      <c r="BQ264" s="46">
        <v>11</v>
      </c>
      <c r="BR264" s="43">
        <v>188</v>
      </c>
      <c r="BS264" s="47">
        <v>136</v>
      </c>
      <c r="BT264" s="46">
        <v>5</v>
      </c>
      <c r="BU264" s="43">
        <v>66</v>
      </c>
      <c r="BV264" s="114">
        <v>62</v>
      </c>
      <c r="BW264" s="119">
        <v>1</v>
      </c>
      <c r="BX264" s="120">
        <v>24</v>
      </c>
      <c r="BY264" s="114">
        <v>8</v>
      </c>
      <c r="BZ264" s="119">
        <v>1.75</v>
      </c>
      <c r="CA264" s="120">
        <v>21</v>
      </c>
      <c r="CB264" s="114">
        <v>19.079999999999998</v>
      </c>
      <c r="CC264" s="119">
        <v>0</v>
      </c>
      <c r="CD264" s="120">
        <v>0</v>
      </c>
      <c r="CE264" s="114">
        <v>0</v>
      </c>
      <c r="CF264" s="119">
        <v>2</v>
      </c>
      <c r="CG264" s="120">
        <v>28</v>
      </c>
      <c r="CH264" s="114">
        <v>17.920000000000002</v>
      </c>
      <c r="CI264" s="119">
        <v>0</v>
      </c>
      <c r="CJ264" s="120">
        <v>0</v>
      </c>
      <c r="CK264" s="114">
        <v>0</v>
      </c>
      <c r="CL264" s="54">
        <f t="shared" si="21"/>
        <v>41.75</v>
      </c>
      <c r="CM264" s="63">
        <f t="shared" si="21"/>
        <v>635</v>
      </c>
      <c r="CN264" s="55">
        <f t="shared" si="21"/>
        <v>464.6</v>
      </c>
      <c r="CO264" s="54">
        <f t="shared" si="22"/>
        <v>3.4791666666666665</v>
      </c>
      <c r="CP264" s="63">
        <f t="shared" si="22"/>
        <v>52.916666666666664</v>
      </c>
      <c r="CQ264" s="55">
        <f t="shared" si="22"/>
        <v>38.716666666666669</v>
      </c>
    </row>
    <row r="265" spans="1:95" s="25" customFormat="1" ht="31.5" customHeight="1" x14ac:dyDescent="0.6">
      <c r="A265" s="5">
        <v>262</v>
      </c>
      <c r="B265" s="18" t="s">
        <v>599</v>
      </c>
      <c r="C265" s="18" t="s">
        <v>663</v>
      </c>
      <c r="D265" s="18" t="s">
        <v>600</v>
      </c>
      <c r="E265" s="18" t="s">
        <v>267</v>
      </c>
      <c r="F265" s="23" t="s">
        <v>46</v>
      </c>
      <c r="G265" s="7" t="s">
        <v>597</v>
      </c>
      <c r="H265" s="123"/>
      <c r="I265" s="123"/>
      <c r="J265" s="123" t="s">
        <v>1103</v>
      </c>
      <c r="K265" s="49" t="s">
        <v>598</v>
      </c>
      <c r="L265" s="27"/>
      <c r="M265" s="58"/>
      <c r="N265" s="78"/>
      <c r="O265" s="27"/>
      <c r="P265" s="58"/>
      <c r="Q265" s="49"/>
      <c r="R265" s="27"/>
      <c r="S265" s="58"/>
      <c r="T265" s="98"/>
      <c r="U265" s="27"/>
      <c r="V265" s="58"/>
      <c r="W265" s="12"/>
      <c r="X265" s="27"/>
      <c r="Y265" s="58"/>
      <c r="Z265" s="12"/>
      <c r="AA265" s="27"/>
      <c r="AB265" s="58"/>
      <c r="AC265" s="12"/>
      <c r="AD265" s="27">
        <v>30</v>
      </c>
      <c r="AE265" s="58">
        <v>360</v>
      </c>
      <c r="AF265" s="12"/>
      <c r="AG265" s="27">
        <v>0</v>
      </c>
      <c r="AH265" s="58">
        <v>0</v>
      </c>
      <c r="AI265" s="12"/>
      <c r="AJ265" s="27">
        <v>64</v>
      </c>
      <c r="AK265" s="58">
        <v>780</v>
      </c>
      <c r="AL265" s="12"/>
      <c r="AM265" s="27">
        <v>62</v>
      </c>
      <c r="AN265" s="58">
        <v>756</v>
      </c>
      <c r="AO265" s="12"/>
      <c r="AP265" s="27">
        <v>15</v>
      </c>
      <c r="AQ265" s="58">
        <v>180</v>
      </c>
      <c r="AR265" s="12"/>
      <c r="AS265" s="27">
        <v>30</v>
      </c>
      <c r="AT265" s="58">
        <v>360</v>
      </c>
      <c r="AU265" s="12"/>
      <c r="AV265" s="54"/>
      <c r="AW265" s="63"/>
      <c r="AX265" s="55"/>
      <c r="AY265" s="54"/>
      <c r="AZ265" s="63"/>
      <c r="BA265" s="55"/>
      <c r="BB265" s="10">
        <v>30</v>
      </c>
      <c r="BC265" s="15">
        <v>360</v>
      </c>
      <c r="BD265" s="11">
        <v>360</v>
      </c>
      <c r="BE265" s="10">
        <v>50</v>
      </c>
      <c r="BF265" s="15">
        <v>600</v>
      </c>
      <c r="BG265" s="11">
        <v>600</v>
      </c>
      <c r="BH265" s="10">
        <v>86</v>
      </c>
      <c r="BI265" s="15">
        <v>1091</v>
      </c>
      <c r="BJ265" s="11">
        <v>1024.5</v>
      </c>
      <c r="BK265" s="10">
        <v>60</v>
      </c>
      <c r="BL265" s="15">
        <v>720</v>
      </c>
      <c r="BM265" s="11">
        <v>720</v>
      </c>
      <c r="BN265" s="46">
        <v>75</v>
      </c>
      <c r="BO265" s="43">
        <v>900</v>
      </c>
      <c r="BP265" s="47">
        <v>900</v>
      </c>
      <c r="BQ265" s="46">
        <v>45</v>
      </c>
      <c r="BR265" s="43">
        <v>540</v>
      </c>
      <c r="BS265" s="47">
        <v>540</v>
      </c>
      <c r="BT265" s="46">
        <v>45</v>
      </c>
      <c r="BU265" s="43">
        <v>540</v>
      </c>
      <c r="BV265" s="114">
        <v>540</v>
      </c>
      <c r="BW265" s="119">
        <v>60.3</v>
      </c>
      <c r="BX265" s="120">
        <v>723</v>
      </c>
      <c r="BY265" s="114">
        <v>722.04</v>
      </c>
      <c r="BZ265" s="119">
        <v>62</v>
      </c>
      <c r="CA265" s="120">
        <v>744</v>
      </c>
      <c r="CB265" s="114">
        <v>740.16000000000008</v>
      </c>
      <c r="CC265" s="119">
        <v>45</v>
      </c>
      <c r="CD265" s="120">
        <v>540</v>
      </c>
      <c r="CE265" s="114">
        <v>540</v>
      </c>
      <c r="CF265" s="119">
        <v>75</v>
      </c>
      <c r="CG265" s="120">
        <v>900</v>
      </c>
      <c r="CH265" s="114">
        <v>900</v>
      </c>
      <c r="CI265" s="119">
        <v>45</v>
      </c>
      <c r="CJ265" s="120">
        <v>540</v>
      </c>
      <c r="CK265" s="114">
        <v>540</v>
      </c>
      <c r="CL265" s="54">
        <f t="shared" si="21"/>
        <v>678.3</v>
      </c>
      <c r="CM265" s="63">
        <f t="shared" si="21"/>
        <v>8198</v>
      </c>
      <c r="CN265" s="55">
        <f t="shared" si="21"/>
        <v>8126.7</v>
      </c>
      <c r="CO265" s="54">
        <f t="shared" si="22"/>
        <v>56.524999999999999</v>
      </c>
      <c r="CP265" s="63">
        <f t="shared" si="22"/>
        <v>683.16666666666663</v>
      </c>
      <c r="CQ265" s="55">
        <f t="shared" si="22"/>
        <v>677.22500000000002</v>
      </c>
    </row>
    <row r="266" spans="1:95" s="25" customFormat="1" ht="31.5" customHeight="1" x14ac:dyDescent="0.6">
      <c r="A266" s="5">
        <v>263</v>
      </c>
      <c r="B266" s="18" t="s">
        <v>601</v>
      </c>
      <c r="C266" s="18" t="s">
        <v>665</v>
      </c>
      <c r="D266" s="18" t="s">
        <v>602</v>
      </c>
      <c r="E266" s="18" t="s">
        <v>267</v>
      </c>
      <c r="F266" s="23" t="s">
        <v>46</v>
      </c>
      <c r="G266" s="7" t="s">
        <v>597</v>
      </c>
      <c r="H266" s="123"/>
      <c r="I266" s="123"/>
      <c r="J266" s="123" t="s">
        <v>1104</v>
      </c>
      <c r="K266" s="49" t="s">
        <v>598</v>
      </c>
      <c r="L266" s="27"/>
      <c r="M266" s="58"/>
      <c r="N266" s="78"/>
      <c r="O266" s="27"/>
      <c r="P266" s="58"/>
      <c r="Q266" s="49"/>
      <c r="R266" s="27"/>
      <c r="S266" s="58"/>
      <c r="T266" s="98"/>
      <c r="U266" s="27"/>
      <c r="V266" s="58"/>
      <c r="W266" s="12"/>
      <c r="X266" s="27"/>
      <c r="Y266" s="58"/>
      <c r="Z266" s="12"/>
      <c r="AA266" s="27"/>
      <c r="AB266" s="58"/>
      <c r="AC266" s="12"/>
      <c r="AD266" s="27">
        <v>49</v>
      </c>
      <c r="AE266" s="58">
        <v>638</v>
      </c>
      <c r="AF266" s="12"/>
      <c r="AG266" s="27">
        <v>36</v>
      </c>
      <c r="AH266" s="58">
        <v>514</v>
      </c>
      <c r="AI266" s="12"/>
      <c r="AJ266" s="27">
        <v>108</v>
      </c>
      <c r="AK266" s="58">
        <v>1420</v>
      </c>
      <c r="AL266" s="12"/>
      <c r="AM266" s="27">
        <v>67</v>
      </c>
      <c r="AN266" s="58">
        <v>962</v>
      </c>
      <c r="AO266" s="12"/>
      <c r="AP266" s="27">
        <v>70</v>
      </c>
      <c r="AQ266" s="58">
        <v>900</v>
      </c>
      <c r="AR266" s="12"/>
      <c r="AS266" s="27">
        <v>103</v>
      </c>
      <c r="AT266" s="58">
        <v>1448</v>
      </c>
      <c r="AU266" s="12"/>
      <c r="AV266" s="54"/>
      <c r="AW266" s="63"/>
      <c r="AX266" s="55"/>
      <c r="AY266" s="54"/>
      <c r="AZ266" s="63"/>
      <c r="BA266" s="55"/>
      <c r="BB266" s="10">
        <v>33</v>
      </c>
      <c r="BC266" s="15">
        <v>0</v>
      </c>
      <c r="BD266" s="11">
        <v>0</v>
      </c>
      <c r="BE266" s="10">
        <v>0</v>
      </c>
      <c r="BF266" s="15">
        <v>0</v>
      </c>
      <c r="BG266" s="11">
        <v>0</v>
      </c>
      <c r="BH266" s="10">
        <v>0</v>
      </c>
      <c r="BI266" s="15">
        <v>12</v>
      </c>
      <c r="BJ266" s="11">
        <v>6</v>
      </c>
      <c r="BK266" s="10">
        <v>0</v>
      </c>
      <c r="BL266" s="15">
        <v>0</v>
      </c>
      <c r="BM266" s="11">
        <v>0</v>
      </c>
      <c r="BN266" s="46">
        <v>13</v>
      </c>
      <c r="BO266" s="43">
        <v>328</v>
      </c>
      <c r="BP266" s="47">
        <v>173.8</v>
      </c>
      <c r="BQ266" s="46">
        <v>0</v>
      </c>
      <c r="BR266" s="43">
        <v>0</v>
      </c>
      <c r="BS266" s="47">
        <v>0</v>
      </c>
      <c r="BT266" s="46">
        <v>7</v>
      </c>
      <c r="BU266" s="43">
        <v>133</v>
      </c>
      <c r="BV266" s="114">
        <v>114.7</v>
      </c>
      <c r="BW266" s="119">
        <v>1</v>
      </c>
      <c r="BX266" s="120">
        <v>24</v>
      </c>
      <c r="BY266" s="114">
        <v>8</v>
      </c>
      <c r="BZ266" s="119">
        <v>16</v>
      </c>
      <c r="CA266" s="120">
        <v>192</v>
      </c>
      <c r="CB266" s="114">
        <v>192</v>
      </c>
      <c r="CC266" s="119">
        <v>0</v>
      </c>
      <c r="CD266" s="120">
        <v>0</v>
      </c>
      <c r="CE266" s="114">
        <v>0</v>
      </c>
      <c r="CF266" s="119">
        <v>8</v>
      </c>
      <c r="CG266" s="120">
        <v>130</v>
      </c>
      <c r="CH266" s="114">
        <v>104.8</v>
      </c>
      <c r="CI266" s="119">
        <v>17</v>
      </c>
      <c r="CJ266" s="120">
        <v>308</v>
      </c>
      <c r="CK266" s="114">
        <v>231.04</v>
      </c>
      <c r="CL266" s="54">
        <f t="shared" si="21"/>
        <v>95</v>
      </c>
      <c r="CM266" s="63">
        <f t="shared" si="21"/>
        <v>1127</v>
      </c>
      <c r="CN266" s="55">
        <f t="shared" si="21"/>
        <v>830.33999999999992</v>
      </c>
      <c r="CO266" s="54">
        <f t="shared" si="22"/>
        <v>7.916666666666667</v>
      </c>
      <c r="CP266" s="63">
        <f t="shared" si="22"/>
        <v>93.916666666666671</v>
      </c>
      <c r="CQ266" s="55">
        <f t="shared" si="22"/>
        <v>69.194999999999993</v>
      </c>
    </row>
    <row r="267" spans="1:95" s="25" customFormat="1" ht="31.5" customHeight="1" x14ac:dyDescent="0.6">
      <c r="A267" s="5">
        <v>264</v>
      </c>
      <c r="B267" s="18" t="s">
        <v>603</v>
      </c>
      <c r="C267" s="18" t="s">
        <v>265</v>
      </c>
      <c r="D267" s="18" t="s">
        <v>604</v>
      </c>
      <c r="E267" s="18" t="s">
        <v>267</v>
      </c>
      <c r="F267" s="23" t="s">
        <v>46</v>
      </c>
      <c r="G267" s="7" t="s">
        <v>597</v>
      </c>
      <c r="H267" s="123"/>
      <c r="I267" s="123"/>
      <c r="J267" s="123" t="s">
        <v>1105</v>
      </c>
      <c r="K267" s="49" t="s">
        <v>598</v>
      </c>
      <c r="L267" s="27"/>
      <c r="M267" s="58"/>
      <c r="N267" s="78"/>
      <c r="O267" s="27"/>
      <c r="P267" s="58"/>
      <c r="Q267" s="49"/>
      <c r="R267" s="27"/>
      <c r="S267" s="58"/>
      <c r="T267" s="98"/>
      <c r="U267" s="27"/>
      <c r="V267" s="58"/>
      <c r="W267" s="12"/>
      <c r="X267" s="27"/>
      <c r="Y267" s="58"/>
      <c r="Z267" s="12"/>
      <c r="AA267" s="27"/>
      <c r="AB267" s="58"/>
      <c r="AC267" s="12"/>
      <c r="AD267" s="27">
        <v>29</v>
      </c>
      <c r="AE267" s="58">
        <v>540</v>
      </c>
      <c r="AF267" s="12"/>
      <c r="AG267" s="27">
        <v>0</v>
      </c>
      <c r="AH267" s="58">
        <v>0</v>
      </c>
      <c r="AI267" s="12"/>
      <c r="AJ267" s="27">
        <v>6</v>
      </c>
      <c r="AK267" s="58">
        <v>162</v>
      </c>
      <c r="AL267" s="12"/>
      <c r="AM267" s="27">
        <v>16</v>
      </c>
      <c r="AN267" s="58">
        <v>276</v>
      </c>
      <c r="AO267" s="12"/>
      <c r="AP267" s="27">
        <v>6</v>
      </c>
      <c r="AQ267" s="58">
        <v>240</v>
      </c>
      <c r="AR267" s="12"/>
      <c r="AS267" s="27">
        <v>7</v>
      </c>
      <c r="AT267" s="58">
        <v>84</v>
      </c>
      <c r="AU267" s="12"/>
      <c r="AV267" s="54"/>
      <c r="AW267" s="63"/>
      <c r="AX267" s="55"/>
      <c r="AY267" s="54"/>
      <c r="AZ267" s="63"/>
      <c r="BA267" s="55"/>
      <c r="BB267" s="10">
        <v>27</v>
      </c>
      <c r="BC267" s="15">
        <v>504</v>
      </c>
      <c r="BD267" s="11">
        <v>309</v>
      </c>
      <c r="BE267" s="10">
        <v>40</v>
      </c>
      <c r="BF267" s="15">
        <v>582</v>
      </c>
      <c r="BG267" s="11">
        <v>454.64</v>
      </c>
      <c r="BH267" s="10">
        <v>27</v>
      </c>
      <c r="BI267" s="15">
        <v>484</v>
      </c>
      <c r="BJ267" s="11">
        <v>303.58</v>
      </c>
      <c r="BK267" s="10">
        <v>39</v>
      </c>
      <c r="BL267" s="15">
        <v>680</v>
      </c>
      <c r="BM267" s="11">
        <v>454.08000000000004</v>
      </c>
      <c r="BN267" s="46">
        <v>34</v>
      </c>
      <c r="BO267" s="43">
        <v>737</v>
      </c>
      <c r="BP267" s="47">
        <v>390</v>
      </c>
      <c r="BQ267" s="46">
        <v>22</v>
      </c>
      <c r="BR267" s="43">
        <v>424</v>
      </c>
      <c r="BS267" s="47">
        <v>258.24</v>
      </c>
      <c r="BT267" s="46">
        <v>41</v>
      </c>
      <c r="BU267" s="43">
        <v>728</v>
      </c>
      <c r="BV267" s="114">
        <v>456.64</v>
      </c>
      <c r="BW267" s="119">
        <v>26</v>
      </c>
      <c r="BX267" s="120">
        <v>600</v>
      </c>
      <c r="BY267" s="114">
        <v>298.32</v>
      </c>
      <c r="BZ267" s="119">
        <v>45</v>
      </c>
      <c r="CA267" s="120">
        <v>934</v>
      </c>
      <c r="CB267" s="114">
        <v>512</v>
      </c>
      <c r="CC267" s="119">
        <v>32</v>
      </c>
      <c r="CD267" s="120">
        <v>570</v>
      </c>
      <c r="CE267" s="114">
        <v>364.79999999999995</v>
      </c>
      <c r="CF267" s="119">
        <v>73</v>
      </c>
      <c r="CG267" s="120">
        <v>1556</v>
      </c>
      <c r="CH267" s="114">
        <v>852.88000000000011</v>
      </c>
      <c r="CI267" s="119">
        <v>43</v>
      </c>
      <c r="CJ267" s="120">
        <v>824</v>
      </c>
      <c r="CK267" s="114">
        <v>493.44000000000005</v>
      </c>
      <c r="CL267" s="54">
        <f t="shared" si="21"/>
        <v>449</v>
      </c>
      <c r="CM267" s="63">
        <f t="shared" si="21"/>
        <v>8623</v>
      </c>
      <c r="CN267" s="55">
        <f t="shared" si="21"/>
        <v>5147.6200000000008</v>
      </c>
      <c r="CO267" s="54">
        <f t="shared" si="22"/>
        <v>37.416666666666664</v>
      </c>
      <c r="CP267" s="63">
        <f t="shared" si="22"/>
        <v>718.58333333333337</v>
      </c>
      <c r="CQ267" s="55">
        <f t="shared" si="22"/>
        <v>428.96833333333342</v>
      </c>
    </row>
    <row r="268" spans="1:95" s="25" customFormat="1" ht="31.5" customHeight="1" x14ac:dyDescent="0.6">
      <c r="A268" s="5">
        <v>265</v>
      </c>
      <c r="B268" s="18" t="s">
        <v>605</v>
      </c>
      <c r="C268" s="108" t="s">
        <v>352</v>
      </c>
      <c r="D268" s="18" t="s">
        <v>605</v>
      </c>
      <c r="E268" s="18" t="s">
        <v>75</v>
      </c>
      <c r="F268" s="23" t="s">
        <v>76</v>
      </c>
      <c r="G268" s="7" t="s">
        <v>597</v>
      </c>
      <c r="H268" s="123"/>
      <c r="I268" s="123"/>
      <c r="J268" s="123" t="s">
        <v>1106</v>
      </c>
      <c r="K268" s="49" t="s">
        <v>598</v>
      </c>
      <c r="L268" s="27"/>
      <c r="M268" s="58"/>
      <c r="N268" s="78"/>
      <c r="O268" s="27"/>
      <c r="P268" s="58"/>
      <c r="Q268" s="49"/>
      <c r="R268" s="27"/>
      <c r="S268" s="58"/>
      <c r="T268" s="98"/>
      <c r="U268" s="27"/>
      <c r="V268" s="58"/>
      <c r="W268" s="12"/>
      <c r="X268" s="27"/>
      <c r="Y268" s="58"/>
      <c r="Z268" s="12"/>
      <c r="AA268" s="27"/>
      <c r="AB268" s="58"/>
      <c r="AC268" s="12"/>
      <c r="AD268" s="27">
        <v>12</v>
      </c>
      <c r="AE268" s="58">
        <v>180</v>
      </c>
      <c r="AF268" s="12"/>
      <c r="AG268" s="27">
        <v>22</v>
      </c>
      <c r="AH268" s="58">
        <v>320</v>
      </c>
      <c r="AI268" s="12"/>
      <c r="AJ268" s="27">
        <v>22</v>
      </c>
      <c r="AK268" s="58">
        <v>358</v>
      </c>
      <c r="AL268" s="12"/>
      <c r="AM268" s="27">
        <v>6</v>
      </c>
      <c r="AN268" s="58">
        <v>100</v>
      </c>
      <c r="AO268" s="12"/>
      <c r="AP268" s="27">
        <v>6</v>
      </c>
      <c r="AQ268" s="58">
        <v>128</v>
      </c>
      <c r="AR268" s="12"/>
      <c r="AS268" s="27">
        <v>12</v>
      </c>
      <c r="AT268" s="58">
        <v>178</v>
      </c>
      <c r="AU268" s="12"/>
      <c r="AV268" s="54"/>
      <c r="AW268" s="63"/>
      <c r="AX268" s="55"/>
      <c r="AY268" s="54"/>
      <c r="AZ268" s="63"/>
      <c r="BA268" s="55"/>
      <c r="BB268" s="10">
        <v>10</v>
      </c>
      <c r="BC268" s="15">
        <v>166</v>
      </c>
      <c r="BD268" s="11">
        <v>115</v>
      </c>
      <c r="BE268" s="10">
        <v>16</v>
      </c>
      <c r="BF268" s="15">
        <v>258</v>
      </c>
      <c r="BG268" s="11">
        <v>180.8</v>
      </c>
      <c r="BH268" s="10">
        <v>13</v>
      </c>
      <c r="BI268" s="15">
        <v>220</v>
      </c>
      <c r="BJ268" s="11">
        <v>147.82</v>
      </c>
      <c r="BK268" s="10">
        <v>18</v>
      </c>
      <c r="BL268" s="15">
        <v>244</v>
      </c>
      <c r="BM268" s="11">
        <v>218</v>
      </c>
      <c r="BN268" s="46">
        <v>32</v>
      </c>
      <c r="BO268" s="43">
        <v>430</v>
      </c>
      <c r="BP268" s="47">
        <v>378.8</v>
      </c>
      <c r="BQ268" s="46">
        <v>28</v>
      </c>
      <c r="BR268" s="43">
        <v>376</v>
      </c>
      <c r="BS268" s="47">
        <v>339.9</v>
      </c>
      <c r="BT268" s="46">
        <v>21</v>
      </c>
      <c r="BU268" s="43">
        <v>306</v>
      </c>
      <c r="BV268" s="114">
        <v>254.8</v>
      </c>
      <c r="BW268" s="119">
        <v>32.299999999999997</v>
      </c>
      <c r="BX268" s="120">
        <v>453</v>
      </c>
      <c r="BY268" s="114">
        <v>410.92</v>
      </c>
      <c r="BZ268" s="119">
        <v>48</v>
      </c>
      <c r="CA268" s="120">
        <v>642</v>
      </c>
      <c r="CB268" s="114">
        <v>600.88</v>
      </c>
      <c r="CC268" s="119">
        <v>38</v>
      </c>
      <c r="CD268" s="120">
        <v>564</v>
      </c>
      <c r="CE268" s="114">
        <v>454.32</v>
      </c>
      <c r="CF268" s="119">
        <v>22</v>
      </c>
      <c r="CG268" s="120">
        <v>320</v>
      </c>
      <c r="CH268" s="114">
        <v>283.91999999999996</v>
      </c>
      <c r="CI268" s="119">
        <v>28.9</v>
      </c>
      <c r="CJ268" s="120">
        <v>456</v>
      </c>
      <c r="CK268" s="114">
        <v>381.62</v>
      </c>
      <c r="CL268" s="54">
        <f t="shared" si="21"/>
        <v>307.2</v>
      </c>
      <c r="CM268" s="63">
        <f t="shared" si="21"/>
        <v>4435</v>
      </c>
      <c r="CN268" s="55">
        <f t="shared" si="21"/>
        <v>3766.78</v>
      </c>
      <c r="CO268" s="54">
        <f t="shared" si="22"/>
        <v>25.599999999999998</v>
      </c>
      <c r="CP268" s="63">
        <f t="shared" si="22"/>
        <v>369.58333333333331</v>
      </c>
      <c r="CQ268" s="55">
        <f t="shared" si="22"/>
        <v>313.89833333333337</v>
      </c>
    </row>
    <row r="269" spans="1:95" s="25" customFormat="1" ht="31.5" customHeight="1" x14ac:dyDescent="0.6">
      <c r="A269" s="5">
        <v>266</v>
      </c>
      <c r="B269" s="18" t="s">
        <v>606</v>
      </c>
      <c r="C269" s="153" t="s">
        <v>201</v>
      </c>
      <c r="D269" s="18" t="s">
        <v>606</v>
      </c>
      <c r="E269" s="18" t="s">
        <v>75</v>
      </c>
      <c r="F269" s="23" t="s">
        <v>76</v>
      </c>
      <c r="G269" s="7" t="s">
        <v>597</v>
      </c>
      <c r="H269" s="123"/>
      <c r="I269" s="123"/>
      <c r="J269" s="123" t="s">
        <v>1107</v>
      </c>
      <c r="K269" s="49" t="s">
        <v>598</v>
      </c>
      <c r="L269" s="27"/>
      <c r="M269" s="58"/>
      <c r="N269" s="78"/>
      <c r="O269" s="27"/>
      <c r="P269" s="58"/>
      <c r="Q269" s="49"/>
      <c r="R269" s="27"/>
      <c r="S269" s="58"/>
      <c r="T269" s="98"/>
      <c r="U269" s="27"/>
      <c r="V269" s="58"/>
      <c r="W269" s="12"/>
      <c r="X269" s="27"/>
      <c r="Y269" s="58"/>
      <c r="Z269" s="12"/>
      <c r="AA269" s="27"/>
      <c r="AB269" s="58"/>
      <c r="AC269" s="12"/>
      <c r="AD269" s="27">
        <v>21</v>
      </c>
      <c r="AE269" s="58">
        <v>430</v>
      </c>
      <c r="AF269" s="12"/>
      <c r="AG269" s="27">
        <v>0</v>
      </c>
      <c r="AH269" s="58">
        <v>0</v>
      </c>
      <c r="AI269" s="12"/>
      <c r="AJ269" s="27">
        <v>27</v>
      </c>
      <c r="AK269" s="58">
        <v>468</v>
      </c>
      <c r="AL269" s="12"/>
      <c r="AM269" s="27">
        <v>23</v>
      </c>
      <c r="AN269" s="58">
        <v>322</v>
      </c>
      <c r="AO269" s="12"/>
      <c r="AP269" s="27">
        <v>53</v>
      </c>
      <c r="AQ269" s="58">
        <v>742</v>
      </c>
      <c r="AR269" s="12"/>
      <c r="AS269" s="27">
        <v>105</v>
      </c>
      <c r="AT269" s="58">
        <v>1494</v>
      </c>
      <c r="AU269" s="12"/>
      <c r="AV269" s="54"/>
      <c r="AW269" s="63"/>
      <c r="AX269" s="55"/>
      <c r="AY269" s="54"/>
      <c r="AZ269" s="63"/>
      <c r="BA269" s="55"/>
      <c r="BB269" s="10">
        <v>84</v>
      </c>
      <c r="BC269" s="15">
        <v>1190</v>
      </c>
      <c r="BD269" s="11">
        <v>860</v>
      </c>
      <c r="BE269" s="10">
        <v>107</v>
      </c>
      <c r="BF269" s="15">
        <v>1540</v>
      </c>
      <c r="BG269" s="11">
        <v>1109.2</v>
      </c>
      <c r="BH269" s="10">
        <v>97</v>
      </c>
      <c r="BI269" s="15">
        <v>1410</v>
      </c>
      <c r="BJ269" s="11">
        <v>1004</v>
      </c>
      <c r="BK269" s="10">
        <v>133</v>
      </c>
      <c r="BL269" s="15">
        <v>1940</v>
      </c>
      <c r="BM269" s="11">
        <v>1331.8</v>
      </c>
      <c r="BN269" s="46">
        <v>114</v>
      </c>
      <c r="BO269" s="43">
        <v>1648</v>
      </c>
      <c r="BP269" s="47">
        <v>1160.96</v>
      </c>
      <c r="BQ269" s="46">
        <v>72</v>
      </c>
      <c r="BR269" s="43">
        <v>1045</v>
      </c>
      <c r="BS269" s="47">
        <v>741</v>
      </c>
      <c r="BT269" s="46">
        <v>84</v>
      </c>
      <c r="BU269" s="43">
        <v>1182</v>
      </c>
      <c r="BV269" s="114">
        <v>828.4</v>
      </c>
      <c r="BW269" s="119">
        <v>107.3</v>
      </c>
      <c r="BX269" s="120">
        <v>1545</v>
      </c>
      <c r="BY269" s="114">
        <v>1088.04</v>
      </c>
      <c r="BZ269" s="119">
        <v>56</v>
      </c>
      <c r="CA269" s="120">
        <v>750</v>
      </c>
      <c r="CB269" s="114">
        <v>598</v>
      </c>
      <c r="CC269" s="119">
        <v>37</v>
      </c>
      <c r="CD269" s="120">
        <v>480</v>
      </c>
      <c r="CE269" s="114">
        <v>454</v>
      </c>
      <c r="CF269" s="119">
        <v>53</v>
      </c>
      <c r="CG269" s="120">
        <v>702</v>
      </c>
      <c r="CH269" s="114">
        <v>555.83999999999992</v>
      </c>
      <c r="CI269" s="119">
        <v>46</v>
      </c>
      <c r="CJ269" s="120">
        <v>600</v>
      </c>
      <c r="CK269" s="114">
        <v>523.6</v>
      </c>
      <c r="CL269" s="54">
        <f t="shared" si="21"/>
        <v>990.3</v>
      </c>
      <c r="CM269" s="63">
        <f t="shared" si="21"/>
        <v>14032</v>
      </c>
      <c r="CN269" s="55">
        <f t="shared" si="21"/>
        <v>10254.84</v>
      </c>
      <c r="CO269" s="54">
        <f t="shared" si="22"/>
        <v>82.524999999999991</v>
      </c>
      <c r="CP269" s="63">
        <f t="shared" si="22"/>
        <v>1169.3333333333333</v>
      </c>
      <c r="CQ269" s="55">
        <f t="shared" si="22"/>
        <v>854.57</v>
      </c>
    </row>
    <row r="270" spans="1:95" s="25" customFormat="1" ht="31.5" customHeight="1" x14ac:dyDescent="0.6">
      <c r="A270" s="5">
        <v>267</v>
      </c>
      <c r="B270" s="18" t="s">
        <v>607</v>
      </c>
      <c r="C270" s="153" t="s">
        <v>1163</v>
      </c>
      <c r="D270" s="18" t="s">
        <v>608</v>
      </c>
      <c r="E270" s="18" t="s">
        <v>75</v>
      </c>
      <c r="F270" s="23" t="s">
        <v>76</v>
      </c>
      <c r="G270" s="7" t="s">
        <v>597</v>
      </c>
      <c r="H270" s="123"/>
      <c r="I270" s="123"/>
      <c r="J270" s="123" t="s">
        <v>1108</v>
      </c>
      <c r="K270" s="49" t="s">
        <v>598</v>
      </c>
      <c r="L270" s="27"/>
      <c r="M270" s="58"/>
      <c r="N270" s="78"/>
      <c r="O270" s="27"/>
      <c r="P270" s="58"/>
      <c r="Q270" s="49"/>
      <c r="R270" s="27"/>
      <c r="S270" s="58"/>
      <c r="T270" s="98"/>
      <c r="U270" s="27"/>
      <c r="V270" s="58"/>
      <c r="W270" s="12"/>
      <c r="X270" s="27"/>
      <c r="Y270" s="58"/>
      <c r="Z270" s="12"/>
      <c r="AA270" s="27"/>
      <c r="AB270" s="58"/>
      <c r="AC270" s="12"/>
      <c r="AD270" s="27">
        <v>15</v>
      </c>
      <c r="AE270" s="58">
        <v>300</v>
      </c>
      <c r="AF270" s="12"/>
      <c r="AG270" s="27">
        <v>0</v>
      </c>
      <c r="AH270" s="58">
        <v>0</v>
      </c>
      <c r="AI270" s="12"/>
      <c r="AJ270" s="27">
        <v>18</v>
      </c>
      <c r="AK270" s="58">
        <v>316</v>
      </c>
      <c r="AL270" s="12"/>
      <c r="AM270" s="27">
        <v>12</v>
      </c>
      <c r="AN270" s="58">
        <v>204</v>
      </c>
      <c r="AO270" s="12"/>
      <c r="AP270" s="27">
        <v>5</v>
      </c>
      <c r="AQ270" s="58">
        <v>70</v>
      </c>
      <c r="AR270" s="12"/>
      <c r="AS270" s="27">
        <v>6</v>
      </c>
      <c r="AT270" s="58">
        <v>124</v>
      </c>
      <c r="AU270" s="12"/>
      <c r="AV270" s="54"/>
      <c r="AW270" s="63"/>
      <c r="AX270" s="55"/>
      <c r="AY270" s="54"/>
      <c r="AZ270" s="63"/>
      <c r="BA270" s="55"/>
      <c r="BB270" s="10">
        <v>18</v>
      </c>
      <c r="BC270" s="15">
        <v>320</v>
      </c>
      <c r="BD270" s="11">
        <v>268</v>
      </c>
      <c r="BE270" s="10">
        <v>22</v>
      </c>
      <c r="BF270" s="15">
        <v>340</v>
      </c>
      <c r="BG270" s="11">
        <v>314</v>
      </c>
      <c r="BH270" s="10">
        <v>25</v>
      </c>
      <c r="BI270" s="15">
        <v>420</v>
      </c>
      <c r="BJ270" s="11">
        <v>368</v>
      </c>
      <c r="BK270" s="10">
        <v>29</v>
      </c>
      <c r="BL270" s="15">
        <v>490</v>
      </c>
      <c r="BM270" s="11">
        <v>438.8</v>
      </c>
      <c r="BN270" s="46">
        <v>42</v>
      </c>
      <c r="BO270" s="43">
        <v>740</v>
      </c>
      <c r="BP270" s="47">
        <v>569.68000000000006</v>
      </c>
      <c r="BQ270" s="46">
        <v>21</v>
      </c>
      <c r="BR270" s="43">
        <v>316</v>
      </c>
      <c r="BS270" s="47">
        <v>316</v>
      </c>
      <c r="BT270" s="46">
        <v>24</v>
      </c>
      <c r="BU270" s="43">
        <v>432</v>
      </c>
      <c r="BV270" s="114">
        <v>380</v>
      </c>
      <c r="BW270" s="119">
        <v>32.299999999999997</v>
      </c>
      <c r="BX270" s="120">
        <v>549</v>
      </c>
      <c r="BY270" s="114">
        <v>470.84000000000003</v>
      </c>
      <c r="BZ270" s="119">
        <v>38</v>
      </c>
      <c r="CA270" s="120">
        <v>612</v>
      </c>
      <c r="CB270" s="114">
        <v>545.68000000000006</v>
      </c>
      <c r="CC270" s="119">
        <v>31</v>
      </c>
      <c r="CD270" s="120">
        <v>506</v>
      </c>
      <c r="CE270" s="114">
        <v>411.04</v>
      </c>
      <c r="CF270" s="119">
        <v>27</v>
      </c>
      <c r="CG270" s="120">
        <v>432</v>
      </c>
      <c r="CH270" s="114">
        <v>365.68</v>
      </c>
      <c r="CI270" s="119">
        <v>30.92</v>
      </c>
      <c r="CJ270" s="120">
        <v>526</v>
      </c>
      <c r="CK270" s="114">
        <v>448.58000000000004</v>
      </c>
      <c r="CL270" s="54">
        <f t="shared" si="21"/>
        <v>340.22</v>
      </c>
      <c r="CM270" s="63">
        <f t="shared" si="21"/>
        <v>5683</v>
      </c>
      <c r="CN270" s="55">
        <f t="shared" si="21"/>
        <v>4896.3</v>
      </c>
      <c r="CO270" s="54">
        <f t="shared" si="22"/>
        <v>28.35166666666667</v>
      </c>
      <c r="CP270" s="63">
        <f t="shared" si="22"/>
        <v>473.58333333333331</v>
      </c>
      <c r="CQ270" s="55">
        <f t="shared" si="22"/>
        <v>408.02500000000003</v>
      </c>
    </row>
    <row r="271" spans="1:95" s="25" customFormat="1" ht="31.5" customHeight="1" x14ac:dyDescent="0.6">
      <c r="A271" s="5">
        <v>268</v>
      </c>
      <c r="B271" s="18" t="s">
        <v>609</v>
      </c>
      <c r="C271" s="18"/>
      <c r="D271" s="18" t="s">
        <v>610</v>
      </c>
      <c r="E271" s="18" t="s">
        <v>75</v>
      </c>
      <c r="F271" s="23" t="s">
        <v>76</v>
      </c>
      <c r="G271" s="7" t="s">
        <v>597</v>
      </c>
      <c r="H271" s="123"/>
      <c r="I271" s="123"/>
      <c r="J271" s="123" t="s">
        <v>1109</v>
      </c>
      <c r="K271" s="49" t="s">
        <v>598</v>
      </c>
      <c r="L271" s="27"/>
      <c r="M271" s="58"/>
      <c r="N271" s="78"/>
      <c r="O271" s="27"/>
      <c r="P271" s="58"/>
      <c r="Q271" s="49"/>
      <c r="R271" s="27"/>
      <c r="S271" s="58"/>
      <c r="T271" s="98"/>
      <c r="U271" s="27"/>
      <c r="V271" s="58"/>
      <c r="W271" s="12"/>
      <c r="X271" s="27"/>
      <c r="Y271" s="58"/>
      <c r="Z271" s="12"/>
      <c r="AA271" s="27"/>
      <c r="AB271" s="58"/>
      <c r="AC271" s="12"/>
      <c r="AD271" s="27">
        <v>18</v>
      </c>
      <c r="AE271" s="58">
        <v>280</v>
      </c>
      <c r="AF271" s="12"/>
      <c r="AG271" s="27">
        <v>0</v>
      </c>
      <c r="AH271" s="58">
        <v>0</v>
      </c>
      <c r="AI271" s="12"/>
      <c r="AJ271" s="27">
        <v>6</v>
      </c>
      <c r="AK271" s="58">
        <v>72</v>
      </c>
      <c r="AL271" s="12"/>
      <c r="AM271" s="27">
        <v>8</v>
      </c>
      <c r="AN271" s="58">
        <v>160</v>
      </c>
      <c r="AO271" s="12"/>
      <c r="AP271" s="27">
        <v>1</v>
      </c>
      <c r="AQ271" s="58">
        <v>14</v>
      </c>
      <c r="AR271" s="12"/>
      <c r="AS271" s="27">
        <v>3</v>
      </c>
      <c r="AT271" s="58">
        <v>36</v>
      </c>
      <c r="AU271" s="12"/>
      <c r="AV271" s="54"/>
      <c r="AW271" s="63"/>
      <c r="AX271" s="55"/>
      <c r="AY271" s="54"/>
      <c r="AZ271" s="63"/>
      <c r="BA271" s="55"/>
      <c r="BB271" s="10">
        <v>9</v>
      </c>
      <c r="BC271" s="15">
        <v>200</v>
      </c>
      <c r="BD271" s="11">
        <v>122</v>
      </c>
      <c r="BE271" s="10">
        <v>17</v>
      </c>
      <c r="BF271" s="15">
        <v>280</v>
      </c>
      <c r="BG271" s="11">
        <v>177.6</v>
      </c>
      <c r="BH271" s="10">
        <v>36</v>
      </c>
      <c r="BI271" s="15">
        <v>480</v>
      </c>
      <c r="BJ271" s="11">
        <v>403.8</v>
      </c>
      <c r="BK271" s="10">
        <v>20</v>
      </c>
      <c r="BL271" s="15">
        <v>380</v>
      </c>
      <c r="BM271" s="11">
        <v>250</v>
      </c>
      <c r="BN271" s="46">
        <v>21</v>
      </c>
      <c r="BO271" s="43">
        <v>336</v>
      </c>
      <c r="BP271" s="47">
        <v>258</v>
      </c>
      <c r="BQ271" s="46">
        <v>44</v>
      </c>
      <c r="BR271" s="43">
        <v>652</v>
      </c>
      <c r="BS271" s="47">
        <v>474.40000000000003</v>
      </c>
      <c r="BT271" s="46">
        <v>35</v>
      </c>
      <c r="BU271" s="43">
        <v>580</v>
      </c>
      <c r="BV271" s="114">
        <v>399.6</v>
      </c>
      <c r="BW271" s="119">
        <v>65.3</v>
      </c>
      <c r="BX271" s="120">
        <v>955</v>
      </c>
      <c r="BY271" s="114">
        <v>698.83999999999992</v>
      </c>
      <c r="BZ271" s="119">
        <v>39</v>
      </c>
      <c r="CA271" s="120">
        <v>600</v>
      </c>
      <c r="CB271" s="114">
        <v>445.6</v>
      </c>
      <c r="CC271" s="119">
        <v>39</v>
      </c>
      <c r="CD271" s="120">
        <v>636</v>
      </c>
      <c r="CE271" s="114">
        <v>476.15999999999997</v>
      </c>
      <c r="CF271" s="119">
        <v>46</v>
      </c>
      <c r="CG271" s="120">
        <v>848</v>
      </c>
      <c r="CH271" s="114">
        <v>547.68000000000006</v>
      </c>
      <c r="CI271" s="119">
        <v>47.75</v>
      </c>
      <c r="CJ271" s="120">
        <v>770</v>
      </c>
      <c r="CK271" s="114">
        <v>548.05999999999995</v>
      </c>
      <c r="CL271" s="54">
        <f t="shared" si="21"/>
        <v>419.05</v>
      </c>
      <c r="CM271" s="63">
        <f t="shared" si="21"/>
        <v>6717</v>
      </c>
      <c r="CN271" s="55">
        <f t="shared" si="21"/>
        <v>4801.74</v>
      </c>
      <c r="CO271" s="54">
        <f t="shared" si="22"/>
        <v>34.920833333333334</v>
      </c>
      <c r="CP271" s="63">
        <f t="shared" si="22"/>
        <v>559.75</v>
      </c>
      <c r="CQ271" s="55">
        <f t="shared" si="22"/>
        <v>400.14499999999998</v>
      </c>
    </row>
    <row r="272" spans="1:95" s="25" customFormat="1" ht="31.5" customHeight="1" x14ac:dyDescent="0.6">
      <c r="A272" s="5">
        <v>269</v>
      </c>
      <c r="B272" s="18" t="s">
        <v>611</v>
      </c>
      <c r="C272" s="18"/>
      <c r="D272" s="18" t="s">
        <v>612</v>
      </c>
      <c r="E272" s="18" t="s">
        <v>613</v>
      </c>
      <c r="F272" s="23" t="s">
        <v>614</v>
      </c>
      <c r="G272" s="7" t="s">
        <v>597</v>
      </c>
      <c r="H272" s="123"/>
      <c r="I272" s="123"/>
      <c r="J272" s="123"/>
      <c r="K272" s="49" t="s">
        <v>598</v>
      </c>
      <c r="L272" s="27"/>
      <c r="M272" s="58"/>
      <c r="N272" s="78"/>
      <c r="O272" s="27"/>
      <c r="P272" s="58"/>
      <c r="Q272" s="49"/>
      <c r="R272" s="27"/>
      <c r="S272" s="58"/>
      <c r="T272" s="98"/>
      <c r="U272" s="27"/>
      <c r="V272" s="58"/>
      <c r="W272" s="12"/>
      <c r="X272" s="27"/>
      <c r="Y272" s="58"/>
      <c r="Z272" s="12"/>
      <c r="AA272" s="27"/>
      <c r="AB272" s="58"/>
      <c r="AC272" s="12"/>
      <c r="AD272" s="27">
        <v>54</v>
      </c>
      <c r="AE272" s="58">
        <v>696</v>
      </c>
      <c r="AF272" s="12"/>
      <c r="AG272" s="27">
        <v>220</v>
      </c>
      <c r="AH272" s="58">
        <v>2960</v>
      </c>
      <c r="AI272" s="12"/>
      <c r="AJ272" s="27">
        <v>280</v>
      </c>
      <c r="AK272" s="58">
        <v>3629</v>
      </c>
      <c r="AL272" s="12"/>
      <c r="AM272" s="27">
        <v>85</v>
      </c>
      <c r="AN272" s="58">
        <v>1124</v>
      </c>
      <c r="AO272" s="12"/>
      <c r="AP272" s="27">
        <v>208</v>
      </c>
      <c r="AQ272" s="58">
        <v>2566</v>
      </c>
      <c r="AR272" s="12"/>
      <c r="AS272" s="27">
        <v>245</v>
      </c>
      <c r="AT272" s="58">
        <v>3244</v>
      </c>
      <c r="AU272" s="12"/>
      <c r="AV272" s="54"/>
      <c r="AW272" s="63"/>
      <c r="AX272" s="55"/>
      <c r="AY272" s="54"/>
      <c r="AZ272" s="63"/>
      <c r="BA272" s="55"/>
      <c r="BB272" s="10">
        <v>135</v>
      </c>
      <c r="BC272" s="15">
        <v>1780</v>
      </c>
      <c r="BD272" s="11">
        <v>1576</v>
      </c>
      <c r="BE272" s="10">
        <v>109</v>
      </c>
      <c r="BF272" s="15">
        <v>1384</v>
      </c>
      <c r="BG272" s="11">
        <v>1271.8</v>
      </c>
      <c r="BH272" s="10">
        <v>309</v>
      </c>
      <c r="BI272" s="15">
        <v>3984</v>
      </c>
      <c r="BJ272" s="11">
        <v>3576.6</v>
      </c>
      <c r="BK272" s="10">
        <v>80</v>
      </c>
      <c r="BL272" s="15">
        <v>1110</v>
      </c>
      <c r="BM272" s="11">
        <v>954.8</v>
      </c>
      <c r="BN272" s="46">
        <v>0</v>
      </c>
      <c r="BO272" s="43">
        <v>0</v>
      </c>
      <c r="BP272" s="47">
        <v>0</v>
      </c>
      <c r="BQ272" s="46">
        <v>0</v>
      </c>
      <c r="BR272" s="43">
        <v>0</v>
      </c>
      <c r="BS272" s="47">
        <v>0</v>
      </c>
      <c r="BT272" s="46">
        <v>0</v>
      </c>
      <c r="BU272" s="43">
        <v>0</v>
      </c>
      <c r="BV272" s="114">
        <v>0</v>
      </c>
      <c r="BW272" s="119">
        <v>0</v>
      </c>
      <c r="BX272" s="120">
        <v>0</v>
      </c>
      <c r="BY272" s="114">
        <v>0</v>
      </c>
      <c r="BZ272" s="119">
        <v>0</v>
      </c>
      <c r="CA272" s="120">
        <v>0</v>
      </c>
      <c r="CB272" s="114">
        <v>0</v>
      </c>
      <c r="CC272" s="119">
        <v>0</v>
      </c>
      <c r="CD272" s="120">
        <v>0</v>
      </c>
      <c r="CE272" s="114">
        <v>0</v>
      </c>
      <c r="CF272" s="119">
        <v>0</v>
      </c>
      <c r="CG272" s="120">
        <v>0</v>
      </c>
      <c r="CH272" s="114">
        <v>0</v>
      </c>
      <c r="CI272" s="119">
        <v>0</v>
      </c>
      <c r="CJ272" s="120">
        <v>0</v>
      </c>
      <c r="CK272" s="114">
        <v>0</v>
      </c>
      <c r="CL272" s="54">
        <f t="shared" si="21"/>
        <v>633</v>
      </c>
      <c r="CM272" s="63">
        <f t="shared" si="21"/>
        <v>8258</v>
      </c>
      <c r="CN272" s="55">
        <f t="shared" si="21"/>
        <v>7379.2</v>
      </c>
      <c r="CO272" s="54">
        <f t="shared" si="22"/>
        <v>52.75</v>
      </c>
      <c r="CP272" s="63">
        <f t="shared" si="22"/>
        <v>688.16666666666663</v>
      </c>
      <c r="CQ272" s="55">
        <f t="shared" si="22"/>
        <v>614.93333333333328</v>
      </c>
    </row>
    <row r="273" spans="1:95" s="25" customFormat="1" ht="31.5" customHeight="1" x14ac:dyDescent="0.6">
      <c r="A273" s="5">
        <v>270</v>
      </c>
      <c r="B273" s="18" t="s">
        <v>615</v>
      </c>
      <c r="C273" s="18"/>
      <c r="D273" s="18" t="s">
        <v>616</v>
      </c>
      <c r="E273" s="18" t="s">
        <v>613</v>
      </c>
      <c r="F273" s="23" t="s">
        <v>614</v>
      </c>
      <c r="G273" s="7" t="s">
        <v>597</v>
      </c>
      <c r="H273" s="123"/>
      <c r="I273" s="123"/>
      <c r="J273" s="123" t="s">
        <v>1110</v>
      </c>
      <c r="K273" s="49" t="s">
        <v>598</v>
      </c>
      <c r="L273" s="27"/>
      <c r="M273" s="58"/>
      <c r="N273" s="78"/>
      <c r="O273" s="27"/>
      <c r="P273" s="58"/>
      <c r="Q273" s="49"/>
      <c r="R273" s="27"/>
      <c r="S273" s="58"/>
      <c r="T273" s="98"/>
      <c r="U273" s="27"/>
      <c r="V273" s="58"/>
      <c r="W273" s="12"/>
      <c r="X273" s="27"/>
      <c r="Y273" s="58"/>
      <c r="Z273" s="12"/>
      <c r="AA273" s="27"/>
      <c r="AB273" s="58"/>
      <c r="AC273" s="12"/>
      <c r="AD273" s="27">
        <v>25</v>
      </c>
      <c r="AE273" s="58">
        <v>300</v>
      </c>
      <c r="AF273" s="12"/>
      <c r="AG273" s="27">
        <v>0</v>
      </c>
      <c r="AH273" s="58">
        <v>0</v>
      </c>
      <c r="AI273" s="12"/>
      <c r="AJ273" s="27">
        <v>19</v>
      </c>
      <c r="AK273" s="58">
        <v>228</v>
      </c>
      <c r="AL273" s="12"/>
      <c r="AM273" s="27">
        <v>25</v>
      </c>
      <c r="AN273" s="58">
        <v>300</v>
      </c>
      <c r="AO273" s="12"/>
      <c r="AP273" s="27">
        <v>20</v>
      </c>
      <c r="AQ273" s="58">
        <v>296</v>
      </c>
      <c r="AR273" s="12"/>
      <c r="AS273" s="27">
        <v>20</v>
      </c>
      <c r="AT273" s="58">
        <v>240</v>
      </c>
      <c r="AU273" s="12"/>
      <c r="AV273" s="54"/>
      <c r="AW273" s="63"/>
      <c r="AX273" s="55"/>
      <c r="AY273" s="54"/>
      <c r="AZ273" s="63"/>
      <c r="BA273" s="55"/>
      <c r="BB273" s="10">
        <v>1</v>
      </c>
      <c r="BC273" s="15">
        <v>40</v>
      </c>
      <c r="BD273" s="11">
        <v>14</v>
      </c>
      <c r="BE273" s="10">
        <v>17</v>
      </c>
      <c r="BF273" s="15">
        <v>204</v>
      </c>
      <c r="BG273" s="11">
        <v>204</v>
      </c>
      <c r="BH273" s="10">
        <v>21</v>
      </c>
      <c r="BI273" s="15">
        <v>280</v>
      </c>
      <c r="BJ273" s="11">
        <v>254</v>
      </c>
      <c r="BK273" s="10">
        <v>0</v>
      </c>
      <c r="BL273" s="15">
        <v>0</v>
      </c>
      <c r="BM273" s="11">
        <v>0</v>
      </c>
      <c r="BN273" s="46">
        <v>8</v>
      </c>
      <c r="BO273" s="43">
        <v>180</v>
      </c>
      <c r="BP273" s="47">
        <v>102</v>
      </c>
      <c r="BQ273" s="46">
        <v>57</v>
      </c>
      <c r="BR273" s="43">
        <v>743</v>
      </c>
      <c r="BS273" s="47">
        <v>641.4</v>
      </c>
      <c r="BT273" s="46">
        <v>6</v>
      </c>
      <c r="BU273" s="43">
        <v>100</v>
      </c>
      <c r="BV273" s="114">
        <v>74</v>
      </c>
      <c r="BW273" s="119">
        <v>0.3</v>
      </c>
      <c r="BX273" s="120">
        <v>3</v>
      </c>
      <c r="BY273" s="114">
        <v>2.04</v>
      </c>
      <c r="BZ273" s="119">
        <v>16</v>
      </c>
      <c r="CA273" s="120">
        <v>248</v>
      </c>
      <c r="CB273" s="114">
        <v>196</v>
      </c>
      <c r="CC273" s="119">
        <v>31</v>
      </c>
      <c r="CD273" s="120">
        <v>400</v>
      </c>
      <c r="CE273" s="114">
        <v>374</v>
      </c>
      <c r="CF273" s="119">
        <v>20</v>
      </c>
      <c r="CG273" s="120">
        <v>240</v>
      </c>
      <c r="CH273" s="114">
        <v>240</v>
      </c>
      <c r="CI273" s="119">
        <v>14</v>
      </c>
      <c r="CJ273" s="120">
        <v>168</v>
      </c>
      <c r="CK273" s="114">
        <v>168</v>
      </c>
      <c r="CL273" s="54">
        <f t="shared" si="21"/>
        <v>191.3</v>
      </c>
      <c r="CM273" s="63">
        <f t="shared" si="21"/>
        <v>2606</v>
      </c>
      <c r="CN273" s="55">
        <f t="shared" si="21"/>
        <v>2269.44</v>
      </c>
      <c r="CO273" s="54">
        <f t="shared" si="22"/>
        <v>15.941666666666668</v>
      </c>
      <c r="CP273" s="63">
        <f t="shared" si="22"/>
        <v>217.16666666666666</v>
      </c>
      <c r="CQ273" s="55">
        <f t="shared" si="22"/>
        <v>189.12</v>
      </c>
    </row>
    <row r="274" spans="1:95" s="25" customFormat="1" ht="31.5" customHeight="1" x14ac:dyDescent="0.6">
      <c r="A274" s="5">
        <v>271</v>
      </c>
      <c r="B274" s="18" t="s">
        <v>617</v>
      </c>
      <c r="C274" s="18"/>
      <c r="D274" s="18" t="s">
        <v>618</v>
      </c>
      <c r="E274" s="18" t="s">
        <v>613</v>
      </c>
      <c r="F274" s="23" t="s">
        <v>614</v>
      </c>
      <c r="G274" s="7" t="s">
        <v>597</v>
      </c>
      <c r="H274" s="123"/>
      <c r="I274" s="123"/>
      <c r="J274" s="123"/>
      <c r="K274" s="49" t="s">
        <v>598</v>
      </c>
      <c r="L274" s="27"/>
      <c r="M274" s="58"/>
      <c r="N274" s="78"/>
      <c r="O274" s="27"/>
      <c r="P274" s="58"/>
      <c r="Q274" s="49"/>
      <c r="R274" s="27"/>
      <c r="S274" s="58"/>
      <c r="T274" s="98"/>
      <c r="U274" s="27"/>
      <c r="V274" s="58"/>
      <c r="W274" s="12"/>
      <c r="X274" s="27"/>
      <c r="Y274" s="58"/>
      <c r="Z274" s="12"/>
      <c r="AA274" s="27"/>
      <c r="AB274" s="58"/>
      <c r="AC274" s="12"/>
      <c r="AD274" s="27">
        <v>60</v>
      </c>
      <c r="AE274" s="58">
        <v>932</v>
      </c>
      <c r="AF274" s="12"/>
      <c r="AG274" s="27">
        <v>0</v>
      </c>
      <c r="AH274" s="58">
        <v>0</v>
      </c>
      <c r="AI274" s="12"/>
      <c r="AJ274" s="27">
        <v>93</v>
      </c>
      <c r="AK274" s="58">
        <v>1342</v>
      </c>
      <c r="AL274" s="12"/>
      <c r="AM274" s="27">
        <v>44</v>
      </c>
      <c r="AN274" s="58">
        <v>664</v>
      </c>
      <c r="AO274" s="12"/>
      <c r="AP274" s="27">
        <v>103</v>
      </c>
      <c r="AQ274" s="58">
        <v>1538</v>
      </c>
      <c r="AR274" s="12"/>
      <c r="AS274" s="27">
        <v>141</v>
      </c>
      <c r="AT274" s="58">
        <v>2038</v>
      </c>
      <c r="AU274" s="12"/>
      <c r="AV274" s="54"/>
      <c r="AW274" s="63"/>
      <c r="AX274" s="55"/>
      <c r="AY274" s="54"/>
      <c r="AZ274" s="63"/>
      <c r="BA274" s="55"/>
      <c r="BB274" s="10">
        <v>91</v>
      </c>
      <c r="BC274" s="15">
        <v>1420</v>
      </c>
      <c r="BD274" s="11">
        <v>860</v>
      </c>
      <c r="BE274" s="10">
        <v>100</v>
      </c>
      <c r="BF274" s="15">
        <v>1408</v>
      </c>
      <c r="BG274" s="11">
        <v>928</v>
      </c>
      <c r="BH274" s="10">
        <v>169</v>
      </c>
      <c r="BI274" s="15">
        <v>2376</v>
      </c>
      <c r="BJ274" s="11">
        <v>1543.6</v>
      </c>
      <c r="BK274" s="10">
        <v>61</v>
      </c>
      <c r="BL274" s="15">
        <v>802</v>
      </c>
      <c r="BM274" s="11">
        <v>625.4</v>
      </c>
      <c r="BN274" s="46">
        <v>0</v>
      </c>
      <c r="BO274" s="43">
        <v>0</v>
      </c>
      <c r="BP274" s="47">
        <v>0</v>
      </c>
      <c r="BQ274" s="46">
        <v>0</v>
      </c>
      <c r="BR274" s="43">
        <v>0</v>
      </c>
      <c r="BS274" s="47">
        <v>0</v>
      </c>
      <c r="BT274" s="46">
        <v>217</v>
      </c>
      <c r="BU274" s="43">
        <v>3138</v>
      </c>
      <c r="BV274" s="114">
        <v>1970.3600000000001</v>
      </c>
      <c r="BW274" s="119">
        <v>137.6</v>
      </c>
      <c r="BX274" s="120">
        <v>1966</v>
      </c>
      <c r="BY274" s="114">
        <v>1257.24</v>
      </c>
      <c r="BZ274" s="119">
        <v>98</v>
      </c>
      <c r="CA274" s="120">
        <v>1366</v>
      </c>
      <c r="CB274" s="114">
        <v>887.2</v>
      </c>
      <c r="CC274" s="119">
        <v>164</v>
      </c>
      <c r="CD274" s="120">
        <v>2324</v>
      </c>
      <c r="CE274" s="114">
        <v>1516</v>
      </c>
      <c r="CF274" s="119">
        <v>92</v>
      </c>
      <c r="CG274" s="120">
        <v>1274</v>
      </c>
      <c r="CH274" s="114">
        <v>845.59999999999991</v>
      </c>
      <c r="CI274" s="119">
        <v>107</v>
      </c>
      <c r="CJ274" s="120">
        <v>1530</v>
      </c>
      <c r="CK274" s="114">
        <v>999.2</v>
      </c>
      <c r="CL274" s="54">
        <f t="shared" si="21"/>
        <v>1236.5999999999999</v>
      </c>
      <c r="CM274" s="63">
        <f t="shared" si="21"/>
        <v>17604</v>
      </c>
      <c r="CN274" s="55">
        <f t="shared" si="21"/>
        <v>11432.6</v>
      </c>
      <c r="CO274" s="54">
        <f t="shared" si="22"/>
        <v>103.05</v>
      </c>
      <c r="CP274" s="63">
        <f t="shared" si="22"/>
        <v>1467</v>
      </c>
      <c r="CQ274" s="55">
        <f t="shared" si="22"/>
        <v>952.7166666666667</v>
      </c>
    </row>
    <row r="275" spans="1:95" s="25" customFormat="1" ht="31.5" customHeight="1" x14ac:dyDescent="0.6">
      <c r="A275" s="5">
        <v>272</v>
      </c>
      <c r="B275" s="18" t="s">
        <v>619</v>
      </c>
      <c r="C275" s="18"/>
      <c r="D275" s="18" t="s">
        <v>619</v>
      </c>
      <c r="E275" s="18" t="s">
        <v>620</v>
      </c>
      <c r="F275" s="23" t="s">
        <v>621</v>
      </c>
      <c r="G275" s="7" t="s">
        <v>597</v>
      </c>
      <c r="H275" s="123"/>
      <c r="I275" s="123"/>
      <c r="J275" s="123" t="s">
        <v>1111</v>
      </c>
      <c r="K275" s="49" t="s">
        <v>622</v>
      </c>
      <c r="L275" s="27"/>
      <c r="M275" s="58"/>
      <c r="N275" s="78"/>
      <c r="O275" s="27"/>
      <c r="P275" s="58"/>
      <c r="Q275" s="49"/>
      <c r="R275" s="27"/>
      <c r="S275" s="58"/>
      <c r="T275" s="98"/>
      <c r="U275" s="27"/>
      <c r="V275" s="58"/>
      <c r="W275" s="12"/>
      <c r="X275" s="27"/>
      <c r="Y275" s="58"/>
      <c r="Z275" s="12"/>
      <c r="AA275" s="27"/>
      <c r="AB275" s="58"/>
      <c r="AC275" s="12"/>
      <c r="AD275" s="27">
        <v>10</v>
      </c>
      <c r="AE275" s="58">
        <v>130</v>
      </c>
      <c r="AF275" s="12"/>
      <c r="AG275" s="27">
        <v>22</v>
      </c>
      <c r="AH275" s="58">
        <v>284</v>
      </c>
      <c r="AI275" s="12"/>
      <c r="AJ275" s="27">
        <v>0</v>
      </c>
      <c r="AK275" s="58">
        <v>0</v>
      </c>
      <c r="AL275" s="12"/>
      <c r="AM275" s="27">
        <v>0</v>
      </c>
      <c r="AN275" s="58">
        <v>0</v>
      </c>
      <c r="AO275" s="12"/>
      <c r="AP275" s="27">
        <v>0</v>
      </c>
      <c r="AQ275" s="58">
        <v>0</v>
      </c>
      <c r="AR275" s="12"/>
      <c r="AS275" s="27">
        <v>10</v>
      </c>
      <c r="AT275" s="58">
        <v>130</v>
      </c>
      <c r="AU275" s="12"/>
      <c r="AV275" s="54"/>
      <c r="AW275" s="63"/>
      <c r="AX275" s="55"/>
      <c r="AY275" s="54"/>
      <c r="AZ275" s="63"/>
      <c r="BA275" s="55"/>
      <c r="BB275" s="10">
        <v>9</v>
      </c>
      <c r="BC275" s="15">
        <v>126</v>
      </c>
      <c r="BD275" s="11">
        <v>80.84</v>
      </c>
      <c r="BE275" s="10">
        <v>3</v>
      </c>
      <c r="BF275" s="15">
        <v>42</v>
      </c>
      <c r="BG275" s="11">
        <v>27</v>
      </c>
      <c r="BH275" s="10">
        <v>0</v>
      </c>
      <c r="BI275" s="15">
        <v>0</v>
      </c>
      <c r="BJ275" s="11">
        <v>0</v>
      </c>
      <c r="BK275" s="10">
        <v>3</v>
      </c>
      <c r="BL275" s="15">
        <v>36</v>
      </c>
      <c r="BM275" s="11">
        <v>36</v>
      </c>
      <c r="BN275" s="46">
        <v>0</v>
      </c>
      <c r="BO275" s="43">
        <v>0</v>
      </c>
      <c r="BP275" s="47">
        <v>0</v>
      </c>
      <c r="BQ275" s="46">
        <v>0</v>
      </c>
      <c r="BR275" s="43">
        <v>0</v>
      </c>
      <c r="BS275" s="47">
        <v>0</v>
      </c>
      <c r="BT275" s="46">
        <v>0</v>
      </c>
      <c r="BU275" s="43">
        <v>0</v>
      </c>
      <c r="BV275" s="114">
        <v>0</v>
      </c>
      <c r="BW275" s="119">
        <v>0</v>
      </c>
      <c r="BX275" s="120">
        <v>0</v>
      </c>
      <c r="BY275" s="114">
        <v>0</v>
      </c>
      <c r="BZ275" s="119">
        <v>0</v>
      </c>
      <c r="CA275" s="120">
        <v>0</v>
      </c>
      <c r="CB275" s="114">
        <v>0</v>
      </c>
      <c r="CC275" s="119">
        <v>0</v>
      </c>
      <c r="CD275" s="120">
        <v>0</v>
      </c>
      <c r="CE275" s="114">
        <v>0</v>
      </c>
      <c r="CF275" s="119">
        <v>0</v>
      </c>
      <c r="CG275" s="120">
        <v>0</v>
      </c>
      <c r="CH275" s="114">
        <v>0</v>
      </c>
      <c r="CI275" s="119">
        <v>0</v>
      </c>
      <c r="CJ275" s="120">
        <v>0</v>
      </c>
      <c r="CK275" s="114">
        <v>0</v>
      </c>
      <c r="CL275" s="54">
        <f t="shared" si="21"/>
        <v>15</v>
      </c>
      <c r="CM275" s="63">
        <f t="shared" si="21"/>
        <v>204</v>
      </c>
      <c r="CN275" s="55">
        <f>+BD275+BG275+BJ275+BM275+BP275+BS275+BV275+BY275+CB275+CE275+CH275+CK275</f>
        <v>143.84</v>
      </c>
      <c r="CO275" s="54">
        <f t="shared" si="22"/>
        <v>1.25</v>
      </c>
      <c r="CP275" s="63">
        <f t="shared" si="22"/>
        <v>17</v>
      </c>
      <c r="CQ275" s="55">
        <f t="shared" si="22"/>
        <v>11.986666666666666</v>
      </c>
    </row>
    <row r="276" spans="1:95" s="25" customFormat="1" ht="31.5" customHeight="1" x14ac:dyDescent="0.6">
      <c r="A276" s="5">
        <v>273</v>
      </c>
      <c r="B276" s="18" t="s">
        <v>623</v>
      </c>
      <c r="C276" s="18"/>
      <c r="D276" s="18" t="s">
        <v>623</v>
      </c>
      <c r="E276" s="18" t="s">
        <v>620</v>
      </c>
      <c r="F276" s="23" t="s">
        <v>621</v>
      </c>
      <c r="G276" s="7" t="s">
        <v>597</v>
      </c>
      <c r="H276" s="123"/>
      <c r="I276" s="123"/>
      <c r="J276" s="123" t="s">
        <v>1112</v>
      </c>
      <c r="K276" s="49" t="s">
        <v>598</v>
      </c>
      <c r="L276" s="27"/>
      <c r="M276" s="58"/>
      <c r="N276" s="78"/>
      <c r="O276" s="27"/>
      <c r="P276" s="58"/>
      <c r="Q276" s="49"/>
      <c r="R276" s="27"/>
      <c r="S276" s="58"/>
      <c r="T276" s="98"/>
      <c r="U276" s="27"/>
      <c r="V276" s="58"/>
      <c r="W276" s="12"/>
      <c r="X276" s="27"/>
      <c r="Y276" s="58"/>
      <c r="Z276" s="12"/>
      <c r="AA276" s="27"/>
      <c r="AB276" s="58"/>
      <c r="AC276" s="12"/>
      <c r="AD276" s="27">
        <v>38</v>
      </c>
      <c r="AE276" s="58">
        <v>560</v>
      </c>
      <c r="AF276" s="12"/>
      <c r="AG276" s="27">
        <v>15</v>
      </c>
      <c r="AH276" s="58">
        <v>180</v>
      </c>
      <c r="AI276" s="12"/>
      <c r="AJ276" s="27">
        <v>58</v>
      </c>
      <c r="AK276" s="58">
        <v>980</v>
      </c>
      <c r="AL276" s="12"/>
      <c r="AM276" s="27">
        <v>99</v>
      </c>
      <c r="AN276" s="58">
        <v>1546</v>
      </c>
      <c r="AO276" s="12"/>
      <c r="AP276" s="27">
        <v>48</v>
      </c>
      <c r="AQ276" s="58">
        <v>602</v>
      </c>
      <c r="AR276" s="12"/>
      <c r="AS276" s="27">
        <v>113</v>
      </c>
      <c r="AT276" s="58">
        <v>1624</v>
      </c>
      <c r="AU276" s="12"/>
      <c r="AV276" s="54"/>
      <c r="AW276" s="63"/>
      <c r="AX276" s="55"/>
      <c r="AY276" s="54"/>
      <c r="AZ276" s="63"/>
      <c r="BA276" s="55"/>
      <c r="BB276" s="10">
        <v>111</v>
      </c>
      <c r="BC276" s="15">
        <v>1450</v>
      </c>
      <c r="BD276" s="11">
        <v>1198</v>
      </c>
      <c r="BE276" s="10">
        <v>58</v>
      </c>
      <c r="BF276" s="15">
        <v>810</v>
      </c>
      <c r="BG276" s="11">
        <v>656.40000000000009</v>
      </c>
      <c r="BH276" s="10">
        <v>118</v>
      </c>
      <c r="BI276" s="15">
        <v>1742</v>
      </c>
      <c r="BJ276" s="11">
        <v>1366</v>
      </c>
      <c r="BK276" s="10">
        <v>8</v>
      </c>
      <c r="BL276" s="15">
        <v>112</v>
      </c>
      <c r="BM276" s="11">
        <v>71.680000000000007</v>
      </c>
      <c r="BN276" s="46">
        <v>37</v>
      </c>
      <c r="BO276" s="43">
        <v>576</v>
      </c>
      <c r="BP276" s="47">
        <v>377.03999999999996</v>
      </c>
      <c r="BQ276" s="46">
        <v>95</v>
      </c>
      <c r="BR276" s="43">
        <v>1382</v>
      </c>
      <c r="BS276" s="47">
        <v>1084.08</v>
      </c>
      <c r="BT276" s="46">
        <v>84</v>
      </c>
      <c r="BU276" s="43">
        <v>1094</v>
      </c>
      <c r="BV276" s="114">
        <v>966.4</v>
      </c>
      <c r="BW276" s="119">
        <v>68.3</v>
      </c>
      <c r="BX276" s="120">
        <v>971</v>
      </c>
      <c r="BY276" s="114">
        <v>765.24</v>
      </c>
      <c r="BZ276" s="119">
        <v>77</v>
      </c>
      <c r="CA276" s="120">
        <v>1202</v>
      </c>
      <c r="CB276" s="114">
        <v>857.92</v>
      </c>
      <c r="CC276" s="119">
        <v>90</v>
      </c>
      <c r="CD276" s="120">
        <v>1314</v>
      </c>
      <c r="CE276" s="114">
        <v>972.48</v>
      </c>
      <c r="CF276" s="119">
        <v>76</v>
      </c>
      <c r="CG276" s="120">
        <v>1088</v>
      </c>
      <c r="CH276" s="114">
        <v>859.6</v>
      </c>
      <c r="CI276" s="119">
        <v>103.9</v>
      </c>
      <c r="CJ276" s="120">
        <v>1582</v>
      </c>
      <c r="CK276" s="114">
        <v>1166.9000000000001</v>
      </c>
      <c r="CL276" s="54">
        <f t="shared" si="21"/>
        <v>926.19999999999993</v>
      </c>
      <c r="CM276" s="63">
        <f t="shared" si="21"/>
        <v>13323</v>
      </c>
      <c r="CN276" s="55">
        <f t="shared" si="21"/>
        <v>10341.74</v>
      </c>
      <c r="CO276" s="54">
        <f t="shared" si="22"/>
        <v>77.183333333333323</v>
      </c>
      <c r="CP276" s="63">
        <f t="shared" si="22"/>
        <v>1110.25</v>
      </c>
      <c r="CQ276" s="55">
        <f t="shared" si="22"/>
        <v>861.81166666666661</v>
      </c>
    </row>
    <row r="277" spans="1:95" s="25" customFormat="1" ht="31.5" customHeight="1" x14ac:dyDescent="0.6">
      <c r="A277" s="5">
        <v>274</v>
      </c>
      <c r="B277" s="18" t="s">
        <v>624</v>
      </c>
      <c r="C277" s="18"/>
      <c r="D277" s="18" t="s">
        <v>625</v>
      </c>
      <c r="E277" s="18" t="s">
        <v>620</v>
      </c>
      <c r="F277" s="23" t="s">
        <v>621</v>
      </c>
      <c r="G277" s="7" t="s">
        <v>597</v>
      </c>
      <c r="H277" s="123"/>
      <c r="I277" s="123"/>
      <c r="J277" s="123" t="s">
        <v>1113</v>
      </c>
      <c r="K277" s="49" t="s">
        <v>598</v>
      </c>
      <c r="L277" s="27"/>
      <c r="M277" s="58"/>
      <c r="N277" s="78"/>
      <c r="O277" s="27"/>
      <c r="P277" s="58"/>
      <c r="Q277" s="49"/>
      <c r="R277" s="27"/>
      <c r="S277" s="58"/>
      <c r="T277" s="98"/>
      <c r="U277" s="27"/>
      <c r="V277" s="58"/>
      <c r="W277" s="12"/>
      <c r="X277" s="27"/>
      <c r="Y277" s="58"/>
      <c r="Z277" s="12"/>
      <c r="AA277" s="27"/>
      <c r="AB277" s="58"/>
      <c r="AC277" s="12"/>
      <c r="AD277" s="27">
        <v>0</v>
      </c>
      <c r="AE277" s="58">
        <v>0</v>
      </c>
      <c r="AF277" s="12"/>
      <c r="AG277" s="27">
        <v>42</v>
      </c>
      <c r="AH277" s="58">
        <v>574</v>
      </c>
      <c r="AI277" s="12"/>
      <c r="AJ277" s="27">
        <v>93</v>
      </c>
      <c r="AK277" s="58">
        <v>1122</v>
      </c>
      <c r="AL277" s="12"/>
      <c r="AM277" s="27">
        <v>3</v>
      </c>
      <c r="AN277" s="58">
        <v>36</v>
      </c>
      <c r="AO277" s="12"/>
      <c r="AP277" s="27">
        <v>0</v>
      </c>
      <c r="AQ277" s="58">
        <v>0</v>
      </c>
      <c r="AR277" s="12"/>
      <c r="AS277" s="27">
        <v>3</v>
      </c>
      <c r="AT277" s="58">
        <v>36</v>
      </c>
      <c r="AU277" s="12"/>
      <c r="AV277" s="54"/>
      <c r="AW277" s="63"/>
      <c r="AX277" s="55"/>
      <c r="AY277" s="54"/>
      <c r="AZ277" s="63"/>
      <c r="BA277" s="55"/>
      <c r="BB277" s="10">
        <v>5</v>
      </c>
      <c r="BC277" s="15">
        <v>116</v>
      </c>
      <c r="BD277" s="11">
        <v>64</v>
      </c>
      <c r="BE277" s="10">
        <v>0</v>
      </c>
      <c r="BF277" s="15">
        <v>0</v>
      </c>
      <c r="BG277" s="11">
        <v>0</v>
      </c>
      <c r="BH277" s="10">
        <v>5</v>
      </c>
      <c r="BI277" s="15">
        <v>60</v>
      </c>
      <c r="BJ277" s="11">
        <v>60</v>
      </c>
      <c r="BK277" s="10">
        <v>25</v>
      </c>
      <c r="BL277" s="15">
        <v>440</v>
      </c>
      <c r="BM277" s="11">
        <v>310</v>
      </c>
      <c r="BN277" s="46">
        <v>5</v>
      </c>
      <c r="BO277" s="43">
        <v>60</v>
      </c>
      <c r="BP277" s="47">
        <v>60</v>
      </c>
      <c r="BQ277" s="46">
        <v>7</v>
      </c>
      <c r="BR277" s="43">
        <v>144</v>
      </c>
      <c r="BS277" s="47">
        <v>81.92</v>
      </c>
      <c r="BT277" s="46">
        <v>22</v>
      </c>
      <c r="BU277" s="43">
        <v>320</v>
      </c>
      <c r="BV277" s="114">
        <v>268</v>
      </c>
      <c r="BW277" s="119">
        <v>15.3</v>
      </c>
      <c r="BX277" s="120">
        <v>183</v>
      </c>
      <c r="BY277" s="114">
        <v>182.04000000000002</v>
      </c>
      <c r="BZ277" s="119">
        <v>47</v>
      </c>
      <c r="CA277" s="120">
        <v>732</v>
      </c>
      <c r="CB277" s="114">
        <v>576</v>
      </c>
      <c r="CC277" s="119">
        <v>12.5</v>
      </c>
      <c r="CD277" s="120">
        <v>150</v>
      </c>
      <c r="CE277" s="114">
        <v>146.16</v>
      </c>
      <c r="CF277" s="119">
        <v>10</v>
      </c>
      <c r="CG277" s="120">
        <v>120</v>
      </c>
      <c r="CH277" s="114">
        <v>120</v>
      </c>
      <c r="CI277" s="119">
        <v>36.6</v>
      </c>
      <c r="CJ277" s="120">
        <v>444</v>
      </c>
      <c r="CK277" s="114">
        <v>435.02</v>
      </c>
      <c r="CL277" s="54">
        <f t="shared" si="21"/>
        <v>190.4</v>
      </c>
      <c r="CM277" s="63">
        <f t="shared" si="21"/>
        <v>2769</v>
      </c>
      <c r="CN277" s="55">
        <f t="shared" si="21"/>
        <v>2303.1400000000003</v>
      </c>
      <c r="CO277" s="54">
        <f t="shared" si="22"/>
        <v>15.866666666666667</v>
      </c>
      <c r="CP277" s="63">
        <f t="shared" si="22"/>
        <v>230.75</v>
      </c>
      <c r="CQ277" s="55">
        <f t="shared" si="22"/>
        <v>191.92833333333337</v>
      </c>
    </row>
    <row r="278" spans="1:95" s="25" customFormat="1" ht="31.5" customHeight="1" x14ac:dyDescent="0.6">
      <c r="A278" s="5">
        <v>275</v>
      </c>
      <c r="B278" s="18" t="s">
        <v>626</v>
      </c>
      <c r="C278" s="18"/>
      <c r="D278" s="18" t="s">
        <v>627</v>
      </c>
      <c r="E278" s="18" t="s">
        <v>620</v>
      </c>
      <c r="F278" s="23" t="s">
        <v>621</v>
      </c>
      <c r="G278" s="7" t="s">
        <v>597</v>
      </c>
      <c r="H278" s="123"/>
      <c r="I278" s="123"/>
      <c r="J278" s="123" t="s">
        <v>1114</v>
      </c>
      <c r="K278" s="49" t="s">
        <v>598</v>
      </c>
      <c r="L278" s="27"/>
      <c r="M278" s="58"/>
      <c r="N278" s="78"/>
      <c r="O278" s="27"/>
      <c r="P278" s="58"/>
      <c r="Q278" s="49"/>
      <c r="R278" s="27"/>
      <c r="S278" s="58"/>
      <c r="T278" s="98"/>
      <c r="U278" s="27"/>
      <c r="V278" s="58"/>
      <c r="W278" s="12"/>
      <c r="X278" s="27"/>
      <c r="Y278" s="58"/>
      <c r="Z278" s="12"/>
      <c r="AA278" s="27"/>
      <c r="AB278" s="58"/>
      <c r="AC278" s="12"/>
      <c r="AD278" s="27">
        <v>12</v>
      </c>
      <c r="AE278" s="58">
        <v>200</v>
      </c>
      <c r="AF278" s="12"/>
      <c r="AG278" s="27">
        <v>0</v>
      </c>
      <c r="AH278" s="58">
        <v>0</v>
      </c>
      <c r="AI278" s="12"/>
      <c r="AJ278" s="27">
        <v>66</v>
      </c>
      <c r="AK278" s="58">
        <v>918</v>
      </c>
      <c r="AL278" s="12"/>
      <c r="AM278" s="27">
        <v>5</v>
      </c>
      <c r="AN278" s="58">
        <v>60</v>
      </c>
      <c r="AO278" s="12"/>
      <c r="AP278" s="27">
        <v>2</v>
      </c>
      <c r="AQ278" s="58">
        <v>24</v>
      </c>
      <c r="AR278" s="12"/>
      <c r="AS278" s="27">
        <v>31</v>
      </c>
      <c r="AT278" s="58">
        <v>466</v>
      </c>
      <c r="AU278" s="12"/>
      <c r="AV278" s="54"/>
      <c r="AW278" s="63"/>
      <c r="AX278" s="55"/>
      <c r="AY278" s="54"/>
      <c r="AZ278" s="63"/>
      <c r="BA278" s="55"/>
      <c r="BB278" s="10">
        <v>5</v>
      </c>
      <c r="BC278" s="15">
        <v>201</v>
      </c>
      <c r="BD278" s="11">
        <v>106</v>
      </c>
      <c r="BE278" s="10">
        <v>33</v>
      </c>
      <c r="BF278" s="15">
        <v>490</v>
      </c>
      <c r="BG278" s="11">
        <v>387</v>
      </c>
      <c r="BH278" s="10">
        <v>130</v>
      </c>
      <c r="BI278" s="15">
        <v>1956</v>
      </c>
      <c r="BJ278" s="11">
        <v>1270</v>
      </c>
      <c r="BK278" s="10">
        <v>0</v>
      </c>
      <c r="BL278" s="15">
        <v>0</v>
      </c>
      <c r="BM278" s="11">
        <v>0</v>
      </c>
      <c r="BN278" s="46">
        <v>60</v>
      </c>
      <c r="BO278" s="43">
        <v>866</v>
      </c>
      <c r="BP278" s="47">
        <v>617.16</v>
      </c>
      <c r="BQ278" s="46">
        <v>50</v>
      </c>
      <c r="BR278" s="43">
        <v>704</v>
      </c>
      <c r="BS278" s="47">
        <v>575.6</v>
      </c>
      <c r="BT278" s="46">
        <v>35</v>
      </c>
      <c r="BU278" s="43">
        <v>480</v>
      </c>
      <c r="BV278" s="114">
        <v>328.8</v>
      </c>
      <c r="BW278" s="119">
        <v>40</v>
      </c>
      <c r="BX278" s="120">
        <v>520</v>
      </c>
      <c r="BY278" s="114">
        <v>419.20000000000005</v>
      </c>
      <c r="BZ278" s="119">
        <v>6.5</v>
      </c>
      <c r="CA278" s="120">
        <v>106</v>
      </c>
      <c r="CB278" s="114">
        <v>78.08</v>
      </c>
      <c r="CC278" s="119">
        <v>22</v>
      </c>
      <c r="CD278" s="120">
        <v>264</v>
      </c>
      <c r="CE278" s="114">
        <v>264</v>
      </c>
      <c r="CF278" s="119">
        <v>6.5</v>
      </c>
      <c r="CG278" s="120">
        <v>108</v>
      </c>
      <c r="CH278" s="114">
        <v>75.039999999999992</v>
      </c>
      <c r="CI278" s="119">
        <v>26</v>
      </c>
      <c r="CJ278" s="120">
        <v>340</v>
      </c>
      <c r="CK278" s="114">
        <v>310.16000000000003</v>
      </c>
      <c r="CL278" s="54">
        <f t="shared" si="21"/>
        <v>414</v>
      </c>
      <c r="CM278" s="63">
        <f t="shared" si="21"/>
        <v>6035</v>
      </c>
      <c r="CN278" s="55">
        <f t="shared" si="21"/>
        <v>4431.04</v>
      </c>
      <c r="CO278" s="54">
        <f t="shared" si="22"/>
        <v>34.5</v>
      </c>
      <c r="CP278" s="63">
        <f t="shared" si="22"/>
        <v>502.91666666666669</v>
      </c>
      <c r="CQ278" s="55">
        <f t="shared" si="22"/>
        <v>369.25333333333333</v>
      </c>
    </row>
    <row r="279" spans="1:95" s="25" customFormat="1" ht="31.5" customHeight="1" x14ac:dyDescent="0.6">
      <c r="A279" s="5">
        <v>276</v>
      </c>
      <c r="B279" s="18" t="s">
        <v>628</v>
      </c>
      <c r="C279" s="18"/>
      <c r="D279" s="18" t="s">
        <v>629</v>
      </c>
      <c r="E279" s="18" t="s">
        <v>620</v>
      </c>
      <c r="F279" s="23" t="s">
        <v>621</v>
      </c>
      <c r="G279" s="7" t="s">
        <v>597</v>
      </c>
      <c r="H279" s="123"/>
      <c r="I279" s="123"/>
      <c r="J279" s="123" t="s">
        <v>1115</v>
      </c>
      <c r="K279" s="49" t="s">
        <v>598</v>
      </c>
      <c r="L279" s="27"/>
      <c r="M279" s="58"/>
      <c r="N279" s="78"/>
      <c r="O279" s="27"/>
      <c r="P279" s="58"/>
      <c r="Q279" s="49"/>
      <c r="R279" s="27"/>
      <c r="S279" s="58"/>
      <c r="T279" s="98"/>
      <c r="U279" s="27"/>
      <c r="V279" s="58"/>
      <c r="W279" s="12"/>
      <c r="X279" s="27"/>
      <c r="Y279" s="58"/>
      <c r="Z279" s="12"/>
      <c r="AA279" s="27"/>
      <c r="AB279" s="58"/>
      <c r="AC279" s="12"/>
      <c r="AD279" s="27">
        <v>18</v>
      </c>
      <c r="AE279" s="58">
        <v>2280</v>
      </c>
      <c r="AF279" s="12"/>
      <c r="AG279" s="27">
        <v>0</v>
      </c>
      <c r="AH279" s="58">
        <v>0</v>
      </c>
      <c r="AI279" s="12"/>
      <c r="AJ279" s="27">
        <v>14</v>
      </c>
      <c r="AK279" s="58">
        <v>234</v>
      </c>
      <c r="AL279" s="12"/>
      <c r="AM279" s="27">
        <v>0</v>
      </c>
      <c r="AN279" s="58">
        <v>0</v>
      </c>
      <c r="AO279" s="12"/>
      <c r="AP279" s="27">
        <v>1</v>
      </c>
      <c r="AQ279" s="58">
        <v>14</v>
      </c>
      <c r="AR279" s="12"/>
      <c r="AS279" s="27">
        <v>3</v>
      </c>
      <c r="AT279" s="58">
        <v>64</v>
      </c>
      <c r="AU279" s="12"/>
      <c r="AV279" s="54"/>
      <c r="AW279" s="63"/>
      <c r="AX279" s="55"/>
      <c r="AY279" s="54"/>
      <c r="AZ279" s="63"/>
      <c r="BA279" s="55"/>
      <c r="BB279" s="10">
        <v>5</v>
      </c>
      <c r="BC279" s="15">
        <v>60</v>
      </c>
      <c r="BD279" s="11">
        <v>60</v>
      </c>
      <c r="BE279" s="10">
        <v>5</v>
      </c>
      <c r="BF279" s="15">
        <v>144</v>
      </c>
      <c r="BG279" s="11">
        <v>66</v>
      </c>
      <c r="BH279" s="10">
        <v>220</v>
      </c>
      <c r="BI279" s="15">
        <v>3140</v>
      </c>
      <c r="BJ279" s="11">
        <v>2103</v>
      </c>
      <c r="BK279" s="10">
        <v>10</v>
      </c>
      <c r="BL279" s="15">
        <v>192</v>
      </c>
      <c r="BM279" s="11">
        <v>99.68</v>
      </c>
      <c r="BN279" s="46">
        <v>15</v>
      </c>
      <c r="BO279" s="43">
        <v>258</v>
      </c>
      <c r="BP279" s="47">
        <v>151.76</v>
      </c>
      <c r="BQ279" s="46">
        <v>13.5</v>
      </c>
      <c r="BR279" s="43">
        <v>228</v>
      </c>
      <c r="BS279" s="47">
        <v>150.80000000000001</v>
      </c>
      <c r="BT279" s="46">
        <v>22</v>
      </c>
      <c r="BU279" s="43">
        <v>452</v>
      </c>
      <c r="BV279" s="114">
        <v>245.6</v>
      </c>
      <c r="BW279" s="119">
        <v>24.3</v>
      </c>
      <c r="BX279" s="120">
        <v>351</v>
      </c>
      <c r="BY279" s="114">
        <v>243.39999999999998</v>
      </c>
      <c r="BZ279" s="119">
        <v>19</v>
      </c>
      <c r="CA279" s="120">
        <v>370</v>
      </c>
      <c r="CB279" s="114">
        <v>190.39999999999998</v>
      </c>
      <c r="CC279" s="119">
        <v>22.5</v>
      </c>
      <c r="CD279" s="120">
        <v>402</v>
      </c>
      <c r="CE279" s="114">
        <v>230.32</v>
      </c>
      <c r="CF279" s="119">
        <v>38</v>
      </c>
      <c r="CG279" s="120">
        <v>532</v>
      </c>
      <c r="CH279" s="114">
        <v>340.47999999999996</v>
      </c>
      <c r="CI279" s="119">
        <v>37.92</v>
      </c>
      <c r="CJ279" s="120">
        <v>618</v>
      </c>
      <c r="CK279" s="114">
        <v>388.18000000000006</v>
      </c>
      <c r="CL279" s="54">
        <f t="shared" si="21"/>
        <v>432.22</v>
      </c>
      <c r="CM279" s="63">
        <f t="shared" si="21"/>
        <v>6747</v>
      </c>
      <c r="CN279" s="55">
        <f t="shared" si="21"/>
        <v>4269.62</v>
      </c>
      <c r="CO279" s="54">
        <f t="shared" si="22"/>
        <v>36.018333333333338</v>
      </c>
      <c r="CP279" s="63">
        <f t="shared" si="22"/>
        <v>562.25</v>
      </c>
      <c r="CQ279" s="55">
        <f t="shared" si="22"/>
        <v>355.80166666666668</v>
      </c>
    </row>
    <row r="280" spans="1:95" s="25" customFormat="1" ht="31.5" customHeight="1" x14ac:dyDescent="0.6">
      <c r="A280" s="5">
        <v>277</v>
      </c>
      <c r="B280" s="18" t="s">
        <v>630</v>
      </c>
      <c r="C280" s="18"/>
      <c r="D280" s="18" t="s">
        <v>631</v>
      </c>
      <c r="E280" s="18" t="s">
        <v>620</v>
      </c>
      <c r="F280" s="23" t="s">
        <v>621</v>
      </c>
      <c r="G280" s="7" t="s">
        <v>597</v>
      </c>
      <c r="H280" s="123"/>
      <c r="I280" s="123"/>
      <c r="J280" s="123" t="s">
        <v>1116</v>
      </c>
      <c r="K280" s="49" t="s">
        <v>598</v>
      </c>
      <c r="L280" s="27"/>
      <c r="M280" s="58"/>
      <c r="N280" s="78"/>
      <c r="O280" s="27"/>
      <c r="P280" s="58"/>
      <c r="Q280" s="49"/>
      <c r="R280" s="27"/>
      <c r="S280" s="58"/>
      <c r="T280" s="98"/>
      <c r="U280" s="27"/>
      <c r="V280" s="58"/>
      <c r="W280" s="12"/>
      <c r="X280" s="27"/>
      <c r="Y280" s="58"/>
      <c r="Z280" s="12"/>
      <c r="AA280" s="27"/>
      <c r="AB280" s="58"/>
      <c r="AC280" s="12"/>
      <c r="AD280" s="27">
        <v>0</v>
      </c>
      <c r="AE280" s="58">
        <v>0</v>
      </c>
      <c r="AF280" s="12"/>
      <c r="AG280" s="27">
        <v>0</v>
      </c>
      <c r="AH280" s="58">
        <v>0</v>
      </c>
      <c r="AI280" s="12"/>
      <c r="AJ280" s="27">
        <v>25</v>
      </c>
      <c r="AK280" s="58">
        <v>350</v>
      </c>
      <c r="AL280" s="12"/>
      <c r="AM280" s="27">
        <v>0</v>
      </c>
      <c r="AN280" s="58">
        <v>0</v>
      </c>
      <c r="AO280" s="12"/>
      <c r="AP280" s="27">
        <v>0</v>
      </c>
      <c r="AQ280" s="58">
        <v>0</v>
      </c>
      <c r="AR280" s="12"/>
      <c r="AS280" s="27">
        <v>0</v>
      </c>
      <c r="AT280" s="58">
        <v>0</v>
      </c>
      <c r="AU280" s="12"/>
      <c r="AV280" s="54"/>
      <c r="AW280" s="63"/>
      <c r="AX280" s="55"/>
      <c r="AY280" s="54"/>
      <c r="AZ280" s="63"/>
      <c r="BA280" s="55"/>
      <c r="BB280" s="10">
        <v>0</v>
      </c>
      <c r="BC280" s="15">
        <v>0</v>
      </c>
      <c r="BD280" s="11">
        <v>0</v>
      </c>
      <c r="BE280" s="10">
        <v>0</v>
      </c>
      <c r="BF280" s="15">
        <v>0</v>
      </c>
      <c r="BG280" s="11">
        <v>0</v>
      </c>
      <c r="BH280" s="10">
        <v>0</v>
      </c>
      <c r="BI280" s="15">
        <v>0</v>
      </c>
      <c r="BJ280" s="11">
        <v>0</v>
      </c>
      <c r="BK280" s="10">
        <v>0</v>
      </c>
      <c r="BL280" s="15">
        <v>0</v>
      </c>
      <c r="BM280" s="11">
        <v>0</v>
      </c>
      <c r="BN280" s="46">
        <v>0</v>
      </c>
      <c r="BO280" s="43">
        <v>0</v>
      </c>
      <c r="BP280" s="47">
        <v>0</v>
      </c>
      <c r="BQ280" s="46">
        <v>0</v>
      </c>
      <c r="BR280" s="43">
        <v>0</v>
      </c>
      <c r="BS280" s="47">
        <v>0</v>
      </c>
      <c r="BT280" s="46">
        <v>0</v>
      </c>
      <c r="BU280" s="43">
        <v>0</v>
      </c>
      <c r="BV280" s="114">
        <v>0</v>
      </c>
      <c r="BW280" s="119">
        <v>0</v>
      </c>
      <c r="BX280" s="120">
        <v>0</v>
      </c>
      <c r="BY280" s="114">
        <v>0</v>
      </c>
      <c r="BZ280" s="119">
        <v>0</v>
      </c>
      <c r="CA280" s="120">
        <v>0</v>
      </c>
      <c r="CB280" s="114">
        <v>0</v>
      </c>
      <c r="CC280" s="119">
        <v>0</v>
      </c>
      <c r="CD280" s="120">
        <v>0</v>
      </c>
      <c r="CE280" s="114">
        <v>0</v>
      </c>
      <c r="CF280" s="119">
        <v>0</v>
      </c>
      <c r="CG280" s="120">
        <v>0</v>
      </c>
      <c r="CH280" s="114">
        <v>0</v>
      </c>
      <c r="CI280" s="119">
        <v>0</v>
      </c>
      <c r="CJ280" s="120">
        <v>0</v>
      </c>
      <c r="CK280" s="114">
        <v>0</v>
      </c>
      <c r="CL280" s="54">
        <f t="shared" si="21"/>
        <v>0</v>
      </c>
      <c r="CM280" s="63">
        <f t="shared" si="21"/>
        <v>0</v>
      </c>
      <c r="CN280" s="55">
        <f t="shared" si="21"/>
        <v>0</v>
      </c>
      <c r="CO280" s="54">
        <f t="shared" si="22"/>
        <v>0</v>
      </c>
      <c r="CP280" s="63">
        <f t="shared" si="22"/>
        <v>0</v>
      </c>
      <c r="CQ280" s="55">
        <f t="shared" si="22"/>
        <v>0</v>
      </c>
    </row>
    <row r="281" spans="1:95" s="25" customFormat="1" ht="31.5" customHeight="1" x14ac:dyDescent="0.6">
      <c r="A281" s="5">
        <v>278</v>
      </c>
      <c r="B281" s="18" t="s">
        <v>632</v>
      </c>
      <c r="C281" s="18"/>
      <c r="D281" s="18" t="s">
        <v>633</v>
      </c>
      <c r="E281" s="18" t="s">
        <v>300</v>
      </c>
      <c r="F281" s="23" t="s">
        <v>301</v>
      </c>
      <c r="G281" s="7" t="s">
        <v>597</v>
      </c>
      <c r="H281" s="123"/>
      <c r="I281" s="123"/>
      <c r="J281" s="123" t="s">
        <v>1117</v>
      </c>
      <c r="K281" s="49" t="s">
        <v>598</v>
      </c>
      <c r="L281" s="27"/>
      <c r="M281" s="58"/>
      <c r="N281" s="78"/>
      <c r="O281" s="27"/>
      <c r="P281" s="58"/>
      <c r="Q281" s="49"/>
      <c r="R281" s="27"/>
      <c r="S281" s="58"/>
      <c r="T281" s="98"/>
      <c r="U281" s="27"/>
      <c r="V281" s="58"/>
      <c r="W281" s="12"/>
      <c r="X281" s="27"/>
      <c r="Y281" s="58"/>
      <c r="Z281" s="12"/>
      <c r="AA281" s="27"/>
      <c r="AB281" s="58"/>
      <c r="AC281" s="12"/>
      <c r="AD281" s="27">
        <v>23</v>
      </c>
      <c r="AE281" s="58">
        <v>296</v>
      </c>
      <c r="AF281" s="12"/>
      <c r="AG281" s="27">
        <v>11</v>
      </c>
      <c r="AH281" s="58">
        <v>160</v>
      </c>
      <c r="AI281" s="12"/>
      <c r="AJ281" s="27">
        <v>47</v>
      </c>
      <c r="AK281" s="58">
        <v>650</v>
      </c>
      <c r="AL281" s="12"/>
      <c r="AM281" s="27">
        <v>5</v>
      </c>
      <c r="AN281" s="58">
        <v>60</v>
      </c>
      <c r="AO281" s="12"/>
      <c r="AP281" s="27">
        <v>6</v>
      </c>
      <c r="AQ281" s="58">
        <v>104</v>
      </c>
      <c r="AR281" s="12"/>
      <c r="AS281" s="27">
        <v>11</v>
      </c>
      <c r="AT281" s="58">
        <v>134</v>
      </c>
      <c r="AU281" s="12"/>
      <c r="AV281" s="54"/>
      <c r="AW281" s="63"/>
      <c r="AX281" s="55"/>
      <c r="AY281" s="54"/>
      <c r="AZ281" s="63"/>
      <c r="BA281" s="55"/>
      <c r="BB281" s="10">
        <v>27.5</v>
      </c>
      <c r="BC281" s="15">
        <v>405</v>
      </c>
      <c r="BD281" s="11">
        <v>295</v>
      </c>
      <c r="BE281" s="10">
        <v>12</v>
      </c>
      <c r="BF281" s="15">
        <v>148</v>
      </c>
      <c r="BG281" s="11">
        <v>130.4</v>
      </c>
      <c r="BH281" s="10">
        <v>32</v>
      </c>
      <c r="BI281" s="15">
        <v>416</v>
      </c>
      <c r="BJ281" s="11">
        <v>325.88</v>
      </c>
      <c r="BK281" s="10">
        <v>27</v>
      </c>
      <c r="BL281" s="15">
        <v>344</v>
      </c>
      <c r="BM281" s="11">
        <v>286</v>
      </c>
      <c r="BN281" s="46">
        <v>32</v>
      </c>
      <c r="BO281" s="43">
        <v>432</v>
      </c>
      <c r="BP281" s="47">
        <v>352.8</v>
      </c>
      <c r="BQ281" s="46">
        <v>40</v>
      </c>
      <c r="BR281" s="43">
        <v>541</v>
      </c>
      <c r="BS281" s="47">
        <v>432.2</v>
      </c>
      <c r="BT281" s="46">
        <v>55</v>
      </c>
      <c r="BU281" s="43">
        <v>764</v>
      </c>
      <c r="BV281" s="114">
        <v>632</v>
      </c>
      <c r="BW281" s="119">
        <v>50</v>
      </c>
      <c r="BX281" s="120">
        <v>698</v>
      </c>
      <c r="BY281" s="114">
        <v>532.71999999999991</v>
      </c>
      <c r="BZ281" s="119">
        <v>36</v>
      </c>
      <c r="CA281" s="120">
        <v>468</v>
      </c>
      <c r="CB281" s="114">
        <v>373.68</v>
      </c>
      <c r="CC281" s="119">
        <v>39</v>
      </c>
      <c r="CD281" s="120">
        <v>558</v>
      </c>
      <c r="CE281" s="114">
        <v>416.71999999999997</v>
      </c>
      <c r="CF281" s="119">
        <v>45</v>
      </c>
      <c r="CG281" s="120">
        <v>692</v>
      </c>
      <c r="CH281" s="114">
        <v>483.59999999999997</v>
      </c>
      <c r="CI281" s="119">
        <v>56</v>
      </c>
      <c r="CJ281" s="120">
        <v>836</v>
      </c>
      <c r="CK281" s="114">
        <v>597.36</v>
      </c>
      <c r="CL281" s="54">
        <f t="shared" si="21"/>
        <v>451.5</v>
      </c>
      <c r="CM281" s="63">
        <f t="shared" si="21"/>
        <v>6302</v>
      </c>
      <c r="CN281" s="55">
        <f t="shared" si="21"/>
        <v>4858.3599999999988</v>
      </c>
      <c r="CO281" s="54">
        <f t="shared" si="22"/>
        <v>37.625</v>
      </c>
      <c r="CP281" s="63">
        <f t="shared" si="22"/>
        <v>525.16666666666663</v>
      </c>
      <c r="CQ281" s="55">
        <f t="shared" si="22"/>
        <v>404.86333333333323</v>
      </c>
    </row>
    <row r="282" spans="1:95" s="25" customFormat="1" ht="31.5" customHeight="1" x14ac:dyDescent="0.6">
      <c r="A282" s="5">
        <v>279</v>
      </c>
      <c r="B282" s="18" t="s">
        <v>634</v>
      </c>
      <c r="C282" s="18"/>
      <c r="D282" s="18" t="s">
        <v>635</v>
      </c>
      <c r="E282" s="18" t="s">
        <v>300</v>
      </c>
      <c r="F282" s="23" t="s">
        <v>301</v>
      </c>
      <c r="G282" s="7" t="s">
        <v>597</v>
      </c>
      <c r="H282" s="123"/>
      <c r="I282" s="123"/>
      <c r="J282" s="123" t="s">
        <v>1118</v>
      </c>
      <c r="K282" s="49" t="s">
        <v>598</v>
      </c>
      <c r="L282" s="27"/>
      <c r="M282" s="58"/>
      <c r="N282" s="78"/>
      <c r="O282" s="27"/>
      <c r="P282" s="58"/>
      <c r="Q282" s="49"/>
      <c r="R282" s="27"/>
      <c r="S282" s="58"/>
      <c r="T282" s="98"/>
      <c r="U282" s="27"/>
      <c r="V282" s="58"/>
      <c r="W282" s="12"/>
      <c r="X282" s="27"/>
      <c r="Y282" s="58"/>
      <c r="Z282" s="12"/>
      <c r="AA282" s="27"/>
      <c r="AB282" s="58"/>
      <c r="AC282" s="12"/>
      <c r="AD282" s="27">
        <v>29</v>
      </c>
      <c r="AE282" s="58">
        <v>466</v>
      </c>
      <c r="AF282" s="12"/>
      <c r="AG282" s="27">
        <v>0</v>
      </c>
      <c r="AH282" s="58">
        <v>0</v>
      </c>
      <c r="AI282" s="12"/>
      <c r="AJ282" s="27">
        <v>21</v>
      </c>
      <c r="AK282" s="58">
        <v>336</v>
      </c>
      <c r="AL282" s="12"/>
      <c r="AM282" s="27">
        <v>9</v>
      </c>
      <c r="AN282" s="58">
        <v>138</v>
      </c>
      <c r="AO282" s="12"/>
      <c r="AP282" s="27">
        <v>12</v>
      </c>
      <c r="AQ282" s="58">
        <v>200</v>
      </c>
      <c r="AR282" s="12"/>
      <c r="AS282" s="27">
        <v>19</v>
      </c>
      <c r="AT282" s="58">
        <v>256</v>
      </c>
      <c r="AU282" s="12"/>
      <c r="AV282" s="54"/>
      <c r="AW282" s="63"/>
      <c r="AX282" s="55"/>
      <c r="AY282" s="54"/>
      <c r="AZ282" s="63"/>
      <c r="BA282" s="55"/>
      <c r="BB282" s="10">
        <v>27</v>
      </c>
      <c r="BC282" s="15">
        <v>496</v>
      </c>
      <c r="BD282" s="11">
        <v>330</v>
      </c>
      <c r="BE282" s="10">
        <v>33</v>
      </c>
      <c r="BF282" s="15">
        <v>648</v>
      </c>
      <c r="BG282" s="11">
        <v>390.8</v>
      </c>
      <c r="BH282" s="10">
        <v>20</v>
      </c>
      <c r="BI282" s="15">
        <v>380</v>
      </c>
      <c r="BJ282" s="11">
        <v>240</v>
      </c>
      <c r="BK282" s="10">
        <v>39</v>
      </c>
      <c r="BL282" s="15">
        <v>720</v>
      </c>
      <c r="BM282" s="11">
        <v>468</v>
      </c>
      <c r="BN282" s="46">
        <v>53</v>
      </c>
      <c r="BO282" s="43">
        <v>1004</v>
      </c>
      <c r="BP282" s="47">
        <v>655.92</v>
      </c>
      <c r="BQ282" s="46">
        <v>50</v>
      </c>
      <c r="BR282" s="43">
        <v>796</v>
      </c>
      <c r="BS282" s="47">
        <v>593.4</v>
      </c>
      <c r="BT282" s="46">
        <v>72</v>
      </c>
      <c r="BU282" s="43">
        <v>1092</v>
      </c>
      <c r="BV282" s="114">
        <v>868.92</v>
      </c>
      <c r="BW282" s="119">
        <v>46</v>
      </c>
      <c r="BX282" s="120">
        <v>776</v>
      </c>
      <c r="BY282" s="114">
        <v>551.8599999999999</v>
      </c>
      <c r="BZ282" s="119">
        <v>49</v>
      </c>
      <c r="CA282" s="120">
        <v>756</v>
      </c>
      <c r="CB282" s="114">
        <v>585.6</v>
      </c>
      <c r="CC282" s="119">
        <v>65</v>
      </c>
      <c r="CD282" s="120">
        <v>1060</v>
      </c>
      <c r="CE282" s="114">
        <v>800</v>
      </c>
      <c r="CF282" s="119">
        <v>53</v>
      </c>
      <c r="CG282" s="120">
        <v>804</v>
      </c>
      <c r="CH282" s="114">
        <v>628.79999999999995</v>
      </c>
      <c r="CI282" s="119">
        <v>64</v>
      </c>
      <c r="CJ282" s="120">
        <v>964</v>
      </c>
      <c r="CK282" s="114">
        <v>777.2</v>
      </c>
      <c r="CL282" s="54">
        <f t="shared" si="21"/>
        <v>571</v>
      </c>
      <c r="CM282" s="63">
        <f t="shared" si="21"/>
        <v>9496</v>
      </c>
      <c r="CN282" s="55">
        <f t="shared" si="21"/>
        <v>6890.5</v>
      </c>
      <c r="CO282" s="54">
        <f t="shared" si="22"/>
        <v>47.583333333333336</v>
      </c>
      <c r="CP282" s="63">
        <f t="shared" si="22"/>
        <v>791.33333333333337</v>
      </c>
      <c r="CQ282" s="55">
        <f t="shared" si="22"/>
        <v>574.20833333333337</v>
      </c>
    </row>
    <row r="283" spans="1:95" s="25" customFormat="1" ht="31.5" customHeight="1" x14ac:dyDescent="0.6">
      <c r="A283" s="5">
        <v>280</v>
      </c>
      <c r="B283" s="18" t="s">
        <v>636</v>
      </c>
      <c r="C283" s="18"/>
      <c r="D283" s="18" t="s">
        <v>637</v>
      </c>
      <c r="E283" s="18" t="s">
        <v>613</v>
      </c>
      <c r="F283" s="23" t="s">
        <v>614</v>
      </c>
      <c r="G283" s="7" t="s">
        <v>597</v>
      </c>
      <c r="H283" s="123"/>
      <c r="I283" s="123"/>
      <c r="J283" s="123"/>
      <c r="K283" s="49" t="s">
        <v>598</v>
      </c>
      <c r="L283" s="27"/>
      <c r="M283" s="58"/>
      <c r="N283" s="78"/>
      <c r="O283" s="27"/>
      <c r="P283" s="58"/>
      <c r="Q283" s="49"/>
      <c r="R283" s="27"/>
      <c r="S283" s="58"/>
      <c r="T283" s="98"/>
      <c r="U283" s="27"/>
      <c r="V283" s="58"/>
      <c r="W283" s="12"/>
      <c r="X283" s="27"/>
      <c r="Y283" s="58"/>
      <c r="Z283" s="12"/>
      <c r="AA283" s="27"/>
      <c r="AB283" s="58"/>
      <c r="AC283" s="12"/>
      <c r="AD283" s="27"/>
      <c r="AE283" s="58"/>
      <c r="AF283" s="12"/>
      <c r="AG283" s="27"/>
      <c r="AH283" s="58"/>
      <c r="AI283" s="12"/>
      <c r="AJ283" s="27"/>
      <c r="AK283" s="58"/>
      <c r="AL283" s="12"/>
      <c r="AM283" s="27"/>
      <c r="AN283" s="58"/>
      <c r="AO283" s="12"/>
      <c r="AP283" s="27"/>
      <c r="AQ283" s="58"/>
      <c r="AR283" s="12"/>
      <c r="AS283" s="27"/>
      <c r="AT283" s="58"/>
      <c r="AU283" s="12"/>
      <c r="AV283" s="54"/>
      <c r="AW283" s="63"/>
      <c r="AX283" s="55"/>
      <c r="AY283" s="54"/>
      <c r="AZ283" s="63"/>
      <c r="BA283" s="55"/>
      <c r="BB283" s="10">
        <v>635</v>
      </c>
      <c r="BC283" s="15">
        <v>10230</v>
      </c>
      <c r="BD283" s="11">
        <v>9600</v>
      </c>
      <c r="BE283" s="10">
        <v>650</v>
      </c>
      <c r="BF283" s="15">
        <v>8200</v>
      </c>
      <c r="BG283" s="11">
        <v>7192</v>
      </c>
      <c r="BH283" s="10">
        <v>1150</v>
      </c>
      <c r="BI283" s="15">
        <v>14000</v>
      </c>
      <c r="BJ283" s="11">
        <v>13496</v>
      </c>
      <c r="BK283" s="10">
        <v>550</v>
      </c>
      <c r="BL283" s="15">
        <v>7000</v>
      </c>
      <c r="BM283" s="11">
        <v>5849</v>
      </c>
      <c r="BN283" s="46">
        <v>0</v>
      </c>
      <c r="BO283" s="43">
        <v>0</v>
      </c>
      <c r="BP283" s="47">
        <v>0</v>
      </c>
      <c r="BQ283" s="46"/>
      <c r="BR283" s="43"/>
      <c r="BS283" s="47"/>
      <c r="BT283" s="46"/>
      <c r="BU283" s="43"/>
      <c r="BV283" s="47"/>
      <c r="BW283" s="46">
        <v>0</v>
      </c>
      <c r="BX283" s="43">
        <v>0</v>
      </c>
      <c r="BY283" s="47">
        <v>0</v>
      </c>
      <c r="BZ283" s="46">
        <v>0</v>
      </c>
      <c r="CA283" s="43">
        <v>0</v>
      </c>
      <c r="CB283" s="47">
        <v>0</v>
      </c>
      <c r="CC283" s="46">
        <v>0</v>
      </c>
      <c r="CD283" s="43">
        <v>0</v>
      </c>
      <c r="CE283" s="47">
        <v>0</v>
      </c>
      <c r="CF283" s="46">
        <v>0</v>
      </c>
      <c r="CG283" s="43">
        <v>0</v>
      </c>
      <c r="CH283" s="47">
        <v>0</v>
      </c>
      <c r="CI283" s="46">
        <v>0</v>
      </c>
      <c r="CJ283" s="43">
        <v>0</v>
      </c>
      <c r="CK283" s="47">
        <v>0</v>
      </c>
      <c r="CL283" s="54">
        <f t="shared" si="21"/>
        <v>2985</v>
      </c>
      <c r="CM283" s="63">
        <f t="shared" si="21"/>
        <v>39430</v>
      </c>
      <c r="CN283" s="55">
        <f t="shared" si="21"/>
        <v>36137</v>
      </c>
      <c r="CO283" s="54">
        <f t="shared" si="22"/>
        <v>248.75</v>
      </c>
      <c r="CP283" s="63">
        <f t="shared" si="22"/>
        <v>3285.8333333333335</v>
      </c>
      <c r="CQ283" s="55">
        <f t="shared" si="22"/>
        <v>3011.4166666666665</v>
      </c>
    </row>
    <row r="284" spans="1:95" s="25" customFormat="1" ht="31.5" customHeight="1" x14ac:dyDescent="0.6">
      <c r="A284" s="5">
        <v>281</v>
      </c>
      <c r="B284" s="108" t="s">
        <v>663</v>
      </c>
      <c r="C284" s="108"/>
      <c r="D284" s="109" t="s">
        <v>664</v>
      </c>
      <c r="E284" s="19" t="s">
        <v>620</v>
      </c>
      <c r="F284" s="24" t="s">
        <v>621</v>
      </c>
      <c r="G284" s="110" t="s">
        <v>597</v>
      </c>
      <c r="H284" s="124"/>
      <c r="I284" s="124"/>
      <c r="J284" s="124"/>
      <c r="K284" s="49" t="s">
        <v>598</v>
      </c>
      <c r="L284" s="27"/>
      <c r="M284" s="58"/>
      <c r="N284" s="78"/>
      <c r="O284" s="27"/>
      <c r="P284" s="58"/>
      <c r="Q284" s="49"/>
      <c r="R284" s="27"/>
      <c r="S284" s="58"/>
      <c r="T284" s="98"/>
      <c r="U284" s="27"/>
      <c r="V284" s="58"/>
      <c r="W284" s="12"/>
      <c r="X284" s="27"/>
      <c r="Y284" s="58"/>
      <c r="Z284" s="12"/>
      <c r="AA284" s="27"/>
      <c r="AB284" s="58"/>
      <c r="AC284" s="12"/>
      <c r="AD284" s="27"/>
      <c r="AE284" s="58"/>
      <c r="AF284" s="12"/>
      <c r="AG284" s="27"/>
      <c r="AH284" s="58"/>
      <c r="AI284" s="12"/>
      <c r="AJ284" s="27"/>
      <c r="AK284" s="58"/>
      <c r="AL284" s="12"/>
      <c r="AM284" s="27"/>
      <c r="AN284" s="58"/>
      <c r="AO284" s="12"/>
      <c r="AP284" s="27"/>
      <c r="AQ284" s="58"/>
      <c r="AR284" s="12"/>
      <c r="AS284" s="27"/>
      <c r="AT284" s="58"/>
      <c r="AU284" s="12"/>
      <c r="AV284" s="54"/>
      <c r="AW284" s="63"/>
      <c r="AX284" s="55"/>
      <c r="AY284" s="54"/>
      <c r="AZ284" s="63"/>
      <c r="BA284" s="55"/>
      <c r="BB284" s="10"/>
      <c r="BC284" s="15"/>
      <c r="BD284" s="11"/>
      <c r="BE284" s="10"/>
      <c r="BF284" s="15"/>
      <c r="BG284" s="11"/>
      <c r="BH284" s="10"/>
      <c r="BI284" s="15"/>
      <c r="BJ284" s="11"/>
      <c r="BK284" s="10"/>
      <c r="BL284" s="15"/>
      <c r="BM284" s="11"/>
      <c r="BN284" s="46"/>
      <c r="BO284" s="43"/>
      <c r="BP284" s="47"/>
      <c r="BQ284" s="46"/>
      <c r="BR284" s="43"/>
      <c r="BS284" s="47"/>
      <c r="BT284" s="46"/>
      <c r="BU284" s="43"/>
      <c r="BV284" s="47"/>
      <c r="BW284" s="46">
        <v>58</v>
      </c>
      <c r="BX284" s="43">
        <v>835</v>
      </c>
      <c r="BY284" s="47">
        <v>705.6400000000001</v>
      </c>
      <c r="BZ284" s="46">
        <v>54</v>
      </c>
      <c r="CA284" s="43">
        <v>800</v>
      </c>
      <c r="CB284" s="47">
        <v>595.20000000000005</v>
      </c>
      <c r="CC284" s="46">
        <v>80</v>
      </c>
      <c r="CD284" s="43">
        <v>1106</v>
      </c>
      <c r="CE284" s="47">
        <v>885.6</v>
      </c>
      <c r="CF284" s="46">
        <v>87.5</v>
      </c>
      <c r="CG284" s="43">
        <v>1286</v>
      </c>
      <c r="CH284" s="47">
        <v>1001.28</v>
      </c>
      <c r="CI284" s="46">
        <v>58.67</v>
      </c>
      <c r="CJ284" s="43">
        <v>762</v>
      </c>
      <c r="CK284" s="47">
        <v>629.5200000000001</v>
      </c>
      <c r="CL284" s="54">
        <f t="shared" si="21"/>
        <v>338.17</v>
      </c>
      <c r="CM284" s="63">
        <f t="shared" si="21"/>
        <v>4789</v>
      </c>
      <c r="CN284" s="55">
        <f t="shared" si="21"/>
        <v>3817.2400000000002</v>
      </c>
      <c r="CO284" s="54">
        <f t="shared" si="22"/>
        <v>28.180833333333336</v>
      </c>
      <c r="CP284" s="63">
        <f t="shared" si="22"/>
        <v>399.08333333333331</v>
      </c>
      <c r="CQ284" s="55">
        <f t="shared" si="22"/>
        <v>318.10333333333335</v>
      </c>
    </row>
    <row r="285" spans="1:95" s="25" customFormat="1" ht="31.5" customHeight="1" x14ac:dyDescent="0.6">
      <c r="A285" s="5">
        <v>282</v>
      </c>
      <c r="B285" s="109" t="s">
        <v>665</v>
      </c>
      <c r="C285" s="109"/>
      <c r="D285" s="109" t="s">
        <v>665</v>
      </c>
      <c r="E285" s="19" t="s">
        <v>620</v>
      </c>
      <c r="F285" s="24" t="s">
        <v>621</v>
      </c>
      <c r="G285" s="110" t="s">
        <v>597</v>
      </c>
      <c r="H285" s="124"/>
      <c r="I285" s="124"/>
      <c r="J285" s="124"/>
      <c r="K285" s="49" t="s">
        <v>598</v>
      </c>
      <c r="L285" s="27"/>
      <c r="M285" s="58"/>
      <c r="N285" s="78"/>
      <c r="O285" s="27"/>
      <c r="P285" s="58"/>
      <c r="Q285" s="49"/>
      <c r="R285" s="27"/>
      <c r="S285" s="58"/>
      <c r="T285" s="98"/>
      <c r="U285" s="27"/>
      <c r="V285" s="58"/>
      <c r="W285" s="12"/>
      <c r="X285" s="27"/>
      <c r="Y285" s="58"/>
      <c r="Z285" s="12"/>
      <c r="AA285" s="27"/>
      <c r="AB285" s="58"/>
      <c r="AC285" s="12"/>
      <c r="AD285" s="27"/>
      <c r="AE285" s="58"/>
      <c r="AF285" s="12"/>
      <c r="AG285" s="27"/>
      <c r="AH285" s="58"/>
      <c r="AI285" s="12"/>
      <c r="AJ285" s="27"/>
      <c r="AK285" s="58"/>
      <c r="AL285" s="12"/>
      <c r="AM285" s="27"/>
      <c r="AN285" s="58"/>
      <c r="AO285" s="12"/>
      <c r="AP285" s="27"/>
      <c r="AQ285" s="58"/>
      <c r="AR285" s="12"/>
      <c r="AS285" s="27"/>
      <c r="AT285" s="58"/>
      <c r="AU285" s="12"/>
      <c r="AV285" s="54"/>
      <c r="AW285" s="63"/>
      <c r="AX285" s="55"/>
      <c r="AY285" s="54"/>
      <c r="AZ285" s="63"/>
      <c r="BA285" s="55"/>
      <c r="BB285" s="10"/>
      <c r="BC285" s="15"/>
      <c r="BD285" s="11"/>
      <c r="BE285" s="10"/>
      <c r="BF285" s="15"/>
      <c r="BG285" s="11"/>
      <c r="BH285" s="10"/>
      <c r="BI285" s="15"/>
      <c r="BJ285" s="11"/>
      <c r="BK285" s="10"/>
      <c r="BL285" s="15"/>
      <c r="BM285" s="11"/>
      <c r="BN285" s="46"/>
      <c r="BO285" s="43"/>
      <c r="BP285" s="47"/>
      <c r="BQ285" s="46"/>
      <c r="BR285" s="43"/>
      <c r="BS285" s="47"/>
      <c r="BT285" s="46"/>
      <c r="BU285" s="43"/>
      <c r="BV285" s="47"/>
      <c r="BW285" s="46">
        <v>81.5</v>
      </c>
      <c r="BX285" s="43">
        <v>1201</v>
      </c>
      <c r="BY285" s="47">
        <v>946.88</v>
      </c>
      <c r="BZ285" s="46">
        <v>51</v>
      </c>
      <c r="CA285" s="43">
        <v>992</v>
      </c>
      <c r="CB285" s="47">
        <v>613.68000000000006</v>
      </c>
      <c r="CC285" s="46">
        <v>50</v>
      </c>
      <c r="CD285" s="43">
        <v>802</v>
      </c>
      <c r="CE285" s="47">
        <v>604.88</v>
      </c>
      <c r="CF285" s="46">
        <v>47.93</v>
      </c>
      <c r="CG285" s="43">
        <v>807</v>
      </c>
      <c r="CH285" s="47">
        <v>564.79999999999995</v>
      </c>
      <c r="CI285" s="46">
        <v>72.09</v>
      </c>
      <c r="CJ285" s="43">
        <v>1054</v>
      </c>
      <c r="CK285" s="47">
        <v>851.02</v>
      </c>
      <c r="CL285" s="54">
        <f t="shared" si="21"/>
        <v>302.52</v>
      </c>
      <c r="CM285" s="63">
        <f t="shared" si="21"/>
        <v>4856</v>
      </c>
      <c r="CN285" s="55">
        <f t="shared" si="21"/>
        <v>3581.2599999999998</v>
      </c>
      <c r="CO285" s="54">
        <f t="shared" si="22"/>
        <v>25.209999999999997</v>
      </c>
      <c r="CP285" s="63">
        <f t="shared" si="22"/>
        <v>404.66666666666669</v>
      </c>
      <c r="CQ285" s="55">
        <f t="shared" si="22"/>
        <v>298.43833333333333</v>
      </c>
    </row>
    <row r="286" spans="1:95" s="25" customFormat="1" ht="31.5" customHeight="1" x14ac:dyDescent="0.6">
      <c r="A286" s="5">
        <v>283</v>
      </c>
      <c r="B286" s="109" t="s">
        <v>666</v>
      </c>
      <c r="C286" s="109"/>
      <c r="D286" s="109" t="s">
        <v>667</v>
      </c>
      <c r="E286" s="109" t="s">
        <v>120</v>
      </c>
      <c r="F286" s="109" t="s">
        <v>20</v>
      </c>
      <c r="G286" s="110" t="s">
        <v>597</v>
      </c>
      <c r="H286" s="124"/>
      <c r="I286" s="124"/>
      <c r="J286" s="124"/>
      <c r="K286" s="49" t="s">
        <v>598</v>
      </c>
      <c r="L286" s="27"/>
      <c r="M286" s="58"/>
      <c r="N286" s="78"/>
      <c r="O286" s="27"/>
      <c r="P286" s="58"/>
      <c r="Q286" s="49"/>
      <c r="R286" s="27"/>
      <c r="S286" s="58"/>
      <c r="T286" s="98"/>
      <c r="U286" s="27"/>
      <c r="V286" s="58"/>
      <c r="W286" s="12"/>
      <c r="X286" s="27"/>
      <c r="Y286" s="58"/>
      <c r="Z286" s="12"/>
      <c r="AA286" s="27"/>
      <c r="AB286" s="58"/>
      <c r="AC286" s="12"/>
      <c r="AD286" s="27"/>
      <c r="AE286" s="58"/>
      <c r="AF286" s="12"/>
      <c r="AG286" s="27"/>
      <c r="AH286" s="58"/>
      <c r="AI286" s="12"/>
      <c r="AJ286" s="27"/>
      <c r="AK286" s="58"/>
      <c r="AL286" s="12"/>
      <c r="AM286" s="27"/>
      <c r="AN286" s="58"/>
      <c r="AO286" s="12"/>
      <c r="AP286" s="27"/>
      <c r="AQ286" s="58"/>
      <c r="AR286" s="12"/>
      <c r="AS286" s="27"/>
      <c r="AT286" s="58"/>
      <c r="AU286" s="12"/>
      <c r="AV286" s="56"/>
      <c r="AW286" s="64"/>
      <c r="AX286" s="57"/>
      <c r="AY286" s="56"/>
      <c r="AZ286" s="64"/>
      <c r="BA286" s="57"/>
      <c r="BB286" s="28"/>
      <c r="BC286" s="65"/>
      <c r="BD286" s="29"/>
      <c r="BE286" s="28"/>
      <c r="BF286" s="65"/>
      <c r="BG286" s="29"/>
      <c r="BH286" s="28"/>
      <c r="BI286" s="65"/>
      <c r="BJ286" s="29"/>
      <c r="BK286" s="28"/>
      <c r="BL286" s="65"/>
      <c r="BM286" s="29"/>
      <c r="BN286" s="46"/>
      <c r="BO286" s="43"/>
      <c r="BP286" s="47"/>
      <c r="BQ286" s="46"/>
      <c r="BR286" s="43"/>
      <c r="BS286" s="47"/>
      <c r="BT286" s="46"/>
      <c r="BU286" s="43"/>
      <c r="BV286" s="47"/>
      <c r="BW286" s="46">
        <v>312</v>
      </c>
      <c r="BX286" s="43">
        <v>5014</v>
      </c>
      <c r="BY286" s="47">
        <v>3097.87</v>
      </c>
      <c r="BZ286" s="46">
        <v>110.25</v>
      </c>
      <c r="CA286" s="43">
        <v>1323</v>
      </c>
      <c r="CB286" s="47">
        <v>1322.04</v>
      </c>
      <c r="CC286" s="46">
        <v>260</v>
      </c>
      <c r="CD286" s="43">
        <v>3320</v>
      </c>
      <c r="CE286" s="47">
        <v>2816</v>
      </c>
      <c r="CF286" s="46">
        <v>141</v>
      </c>
      <c r="CG286" s="43">
        <v>1894</v>
      </c>
      <c r="CH286" s="47">
        <v>1384.96</v>
      </c>
      <c r="CI286" s="46">
        <v>140</v>
      </c>
      <c r="CJ286" s="43">
        <v>1880</v>
      </c>
      <c r="CK286" s="47">
        <v>1376</v>
      </c>
      <c r="CL286" s="54">
        <f>+BB286+BE286+BH286+BK286+BN286+BQ286+BT286+BW286+BZ286+CC286+CF286+CI286</f>
        <v>963.25</v>
      </c>
      <c r="CM286" s="63">
        <f t="shared" ref="CM286:CN286" si="23">+BC286+BF286+BI286+BL286+BO286+BR286+BU286+BX286+CA286+CD286+CG286+CJ286</f>
        <v>13431</v>
      </c>
      <c r="CN286" s="55">
        <f t="shared" si="23"/>
        <v>9996.869999999999</v>
      </c>
      <c r="CO286" s="54">
        <f t="shared" si="22"/>
        <v>80.270833333333329</v>
      </c>
      <c r="CP286" s="63">
        <f t="shared" si="22"/>
        <v>1119.25</v>
      </c>
      <c r="CQ286" s="55">
        <f t="shared" si="22"/>
        <v>833.07249999999988</v>
      </c>
    </row>
    <row r="287" spans="1:95" ht="32.25" customHeight="1" thickBot="1" x14ac:dyDescent="0.65">
      <c r="A287" s="30"/>
      <c r="B287" s="31"/>
      <c r="C287" s="31"/>
      <c r="D287" s="32"/>
      <c r="E287" s="33"/>
      <c r="F287" s="33"/>
      <c r="G287" s="34"/>
      <c r="H287" s="125"/>
      <c r="I287" s="125"/>
      <c r="J287" s="125"/>
      <c r="K287" s="50"/>
      <c r="L287" s="51">
        <f>SUM(L4:L286)</f>
        <v>170624</v>
      </c>
      <c r="M287" s="71">
        <f>SUM(M4:M286)</f>
        <v>2427429</v>
      </c>
      <c r="N287" s="102">
        <f>SUM(N4:N286)</f>
        <v>1784740.0799999994</v>
      </c>
      <c r="O287" s="51">
        <f t="shared" ref="O287:BZ287" si="24">SUM(O4:O286)</f>
        <v>137211</v>
      </c>
      <c r="P287" s="71">
        <f t="shared" si="24"/>
        <v>1960150</v>
      </c>
      <c r="Q287" s="84">
        <f t="shared" si="24"/>
        <v>1436305.6800000002</v>
      </c>
      <c r="R287" s="51">
        <f t="shared" si="24"/>
        <v>162825</v>
      </c>
      <c r="S287" s="71">
        <f t="shared" si="24"/>
        <v>2308690</v>
      </c>
      <c r="T287" s="106">
        <f t="shared" si="24"/>
        <v>1721434.7600000007</v>
      </c>
      <c r="U287" s="51">
        <f t="shared" si="24"/>
        <v>164006</v>
      </c>
      <c r="V287" s="71">
        <f t="shared" si="24"/>
        <v>2359790</v>
      </c>
      <c r="W287" s="52">
        <f t="shared" si="24"/>
        <v>1580826.5999999999</v>
      </c>
      <c r="X287" s="51">
        <f t="shared" si="24"/>
        <v>167399</v>
      </c>
      <c r="Y287" s="71">
        <f t="shared" si="24"/>
        <v>2378646</v>
      </c>
      <c r="Z287" s="52">
        <f t="shared" si="24"/>
        <v>1757850.2400000009</v>
      </c>
      <c r="AA287" s="51">
        <f t="shared" si="24"/>
        <v>183895.11</v>
      </c>
      <c r="AB287" s="71">
        <f t="shared" si="24"/>
        <v>2576225</v>
      </c>
      <c r="AC287" s="52">
        <f t="shared" si="24"/>
        <v>1851229.48</v>
      </c>
      <c r="AD287" s="51">
        <f t="shared" si="24"/>
        <v>176686</v>
      </c>
      <c r="AE287" s="71">
        <f t="shared" si="24"/>
        <v>2412757</v>
      </c>
      <c r="AF287" s="52">
        <f t="shared" si="24"/>
        <v>1760061.1199999999</v>
      </c>
      <c r="AG287" s="51">
        <f t="shared" si="24"/>
        <v>144561</v>
      </c>
      <c r="AH287" s="71">
        <f t="shared" si="24"/>
        <v>2078546</v>
      </c>
      <c r="AI287" s="52">
        <f t="shared" si="24"/>
        <v>1523576.28</v>
      </c>
      <c r="AJ287" s="51">
        <f t="shared" si="24"/>
        <v>140286</v>
      </c>
      <c r="AK287" s="71">
        <f t="shared" si="24"/>
        <v>2005583</v>
      </c>
      <c r="AL287" s="52">
        <f t="shared" si="24"/>
        <v>1430890.1199999999</v>
      </c>
      <c r="AM287" s="51">
        <f t="shared" si="24"/>
        <v>159955.6</v>
      </c>
      <c r="AN287" s="71">
        <f t="shared" si="24"/>
        <v>2291902</v>
      </c>
      <c r="AO287" s="52">
        <f t="shared" si="24"/>
        <v>1665105.7999999991</v>
      </c>
      <c r="AP287" s="51">
        <f t="shared" si="24"/>
        <v>152031.1</v>
      </c>
      <c r="AQ287" s="71">
        <f t="shared" si="24"/>
        <v>2191735</v>
      </c>
      <c r="AR287" s="52">
        <f t="shared" si="24"/>
        <v>1572383.12</v>
      </c>
      <c r="AS287" s="51">
        <f t="shared" si="24"/>
        <v>144854.15</v>
      </c>
      <c r="AT287" s="71">
        <f t="shared" si="24"/>
        <v>2093314</v>
      </c>
      <c r="AU287" s="52">
        <f t="shared" si="24"/>
        <v>1482027.5199999998</v>
      </c>
      <c r="AV287" s="86">
        <f t="shared" si="24"/>
        <v>1880487.11</v>
      </c>
      <c r="AW287" s="87">
        <f t="shared" si="24"/>
        <v>26738910</v>
      </c>
      <c r="AX287" s="53">
        <f t="shared" si="24"/>
        <v>19566430.800000001</v>
      </c>
      <c r="AY287" s="86">
        <f t="shared" si="24"/>
        <v>156707.25916666668</v>
      </c>
      <c r="AZ287" s="87">
        <f t="shared" si="24"/>
        <v>13058.938263888893</v>
      </c>
      <c r="BA287" s="53">
        <f t="shared" si="24"/>
        <v>1630535.8999999997</v>
      </c>
      <c r="BB287" s="35">
        <f t="shared" si="24"/>
        <v>132533.79999999999</v>
      </c>
      <c r="BC287" s="90">
        <f t="shared" si="24"/>
        <v>1892284</v>
      </c>
      <c r="BD287" s="36">
        <f t="shared" si="24"/>
        <v>1420920.9600000007</v>
      </c>
      <c r="BE287" s="35">
        <f t="shared" si="24"/>
        <v>135807.66</v>
      </c>
      <c r="BF287" s="90">
        <f t="shared" si="24"/>
        <v>1936560</v>
      </c>
      <c r="BG287" s="36">
        <f t="shared" si="24"/>
        <v>1445872.3099999998</v>
      </c>
      <c r="BH287" s="35">
        <f t="shared" si="24"/>
        <v>200070.74</v>
      </c>
      <c r="BI287" s="90">
        <f t="shared" si="24"/>
        <v>2866362</v>
      </c>
      <c r="BJ287" s="36">
        <f t="shared" si="24"/>
        <v>2168350.5599999977</v>
      </c>
      <c r="BK287" s="35">
        <f t="shared" si="24"/>
        <v>116428.20000000001</v>
      </c>
      <c r="BL287" s="90">
        <f t="shared" si="24"/>
        <v>1669490</v>
      </c>
      <c r="BM287" s="36">
        <f t="shared" si="24"/>
        <v>1241145.5800000005</v>
      </c>
      <c r="BN287" s="95">
        <f t="shared" si="24"/>
        <v>145432</v>
      </c>
      <c r="BO287" s="96">
        <f t="shared" si="24"/>
        <v>2068846</v>
      </c>
      <c r="BP287" s="48">
        <f t="shared" si="24"/>
        <v>1568513.0999999994</v>
      </c>
      <c r="BQ287" s="95">
        <f t="shared" si="24"/>
        <v>149013.1</v>
      </c>
      <c r="BR287" s="96">
        <f t="shared" si="24"/>
        <v>2116578</v>
      </c>
      <c r="BS287" s="48">
        <f t="shared" si="24"/>
        <v>1606956.6900000002</v>
      </c>
      <c r="BT287" s="95">
        <f t="shared" si="24"/>
        <v>144383.30000000002</v>
      </c>
      <c r="BU287" s="96">
        <f t="shared" si="24"/>
        <v>2066933</v>
      </c>
      <c r="BV287" s="48">
        <f t="shared" si="24"/>
        <v>1559867.300000001</v>
      </c>
      <c r="BW287" s="95">
        <f t="shared" si="24"/>
        <v>139837.14999999944</v>
      </c>
      <c r="BX287" s="96">
        <f t="shared" si="24"/>
        <v>2011112</v>
      </c>
      <c r="BY287" s="48">
        <f t="shared" si="24"/>
        <v>1514560.0899999989</v>
      </c>
      <c r="BZ287" s="95">
        <f t="shared" si="24"/>
        <v>136430.66699999999</v>
      </c>
      <c r="CA287" s="96">
        <f t="shared" ref="CA287:CQ287" si="25">SUM(CA4:CA286)</f>
        <v>1967263</v>
      </c>
      <c r="CB287" s="48">
        <f t="shared" si="25"/>
        <v>1486812.1199999992</v>
      </c>
      <c r="CC287" s="95">
        <f t="shared" si="25"/>
        <v>142269.57999999999</v>
      </c>
      <c r="CD287" s="96">
        <f t="shared" si="25"/>
        <v>2052591</v>
      </c>
      <c r="CE287" s="48">
        <f t="shared" si="25"/>
        <v>1551183.16</v>
      </c>
      <c r="CF287" s="95">
        <f t="shared" si="25"/>
        <v>134369.17999999996</v>
      </c>
      <c r="CG287" s="96">
        <f t="shared" si="25"/>
        <v>1939134</v>
      </c>
      <c r="CH287" s="48">
        <f t="shared" si="25"/>
        <v>1465612.6000000003</v>
      </c>
      <c r="CI287" s="95">
        <f t="shared" si="25"/>
        <v>144380.92166666663</v>
      </c>
      <c r="CJ287" s="96">
        <f t="shared" si="25"/>
        <v>2085544</v>
      </c>
      <c r="CK287" s="48">
        <f t="shared" si="25"/>
        <v>1582103.5999999982</v>
      </c>
      <c r="CL287" s="86">
        <f t="shared" si="25"/>
        <v>1720956.2986666691</v>
      </c>
      <c r="CM287" s="87">
        <f t="shared" si="25"/>
        <v>24672697</v>
      </c>
      <c r="CN287" s="53">
        <f t="shared" si="25"/>
        <v>18611898.069999993</v>
      </c>
      <c r="CO287" s="86">
        <f t="shared" si="25"/>
        <v>143413.02488888882</v>
      </c>
      <c r="CP287" s="87">
        <f t="shared" si="25"/>
        <v>2056058.0833333337</v>
      </c>
      <c r="CQ287" s="53">
        <f t="shared" si="25"/>
        <v>1550991.5058333336</v>
      </c>
    </row>
    <row r="289" spans="1:65" ht="22.5" thickBot="1" x14ac:dyDescent="0.65">
      <c r="BH289" s="74"/>
      <c r="BI289" s="74"/>
      <c r="BJ289" s="74"/>
      <c r="BL289" s="74"/>
      <c r="BM289" s="74"/>
    </row>
    <row r="290" spans="1:65" x14ac:dyDescent="0.6">
      <c r="A290" s="202" t="s">
        <v>1</v>
      </c>
      <c r="B290" s="204" t="s">
        <v>2</v>
      </c>
      <c r="C290" s="228"/>
      <c r="D290" s="205"/>
      <c r="E290" s="204" t="s">
        <v>3</v>
      </c>
      <c r="F290" s="205"/>
      <c r="G290" s="208" t="s">
        <v>4</v>
      </c>
      <c r="H290" s="204" t="s">
        <v>998</v>
      </c>
      <c r="I290" s="205"/>
      <c r="J290" s="230" t="s">
        <v>999</v>
      </c>
      <c r="K290" s="210" t="s">
        <v>5</v>
      </c>
      <c r="L290" s="198" t="s">
        <v>1140</v>
      </c>
      <c r="M290" s="199"/>
      <c r="N290" s="200"/>
      <c r="O290" s="198" t="s">
        <v>1141</v>
      </c>
      <c r="P290" s="199"/>
      <c r="Q290" s="200"/>
      <c r="R290" s="198" t="s">
        <v>1142</v>
      </c>
      <c r="S290" s="199"/>
      <c r="T290" s="201"/>
      <c r="U290" s="195" t="s">
        <v>1143</v>
      </c>
      <c r="V290" s="196"/>
      <c r="W290" s="197"/>
      <c r="X290" s="195" t="s">
        <v>1144</v>
      </c>
      <c r="Y290" s="196"/>
      <c r="Z290" s="197"/>
      <c r="AA290" s="192" t="s">
        <v>1145</v>
      </c>
      <c r="AB290" s="193"/>
      <c r="AC290" s="194"/>
      <c r="AD290" s="195" t="s">
        <v>1146</v>
      </c>
      <c r="AE290" s="196"/>
      <c r="AF290" s="197"/>
      <c r="AG290" s="195" t="s">
        <v>1147</v>
      </c>
      <c r="AH290" s="196"/>
      <c r="AI290" s="197"/>
      <c r="AJ290" s="195" t="s">
        <v>1148</v>
      </c>
      <c r="AK290" s="196"/>
      <c r="AL290" s="197"/>
      <c r="AM290" s="192" t="s">
        <v>1149</v>
      </c>
      <c r="AN290" s="193"/>
      <c r="AO290" s="194"/>
      <c r="AP290" s="192" t="s">
        <v>1150</v>
      </c>
      <c r="AQ290" s="193"/>
      <c r="AR290" s="194"/>
      <c r="AS290" s="195" t="s">
        <v>1151</v>
      </c>
      <c r="AT290" s="196"/>
      <c r="AU290" s="197"/>
    </row>
    <row r="291" spans="1:65" ht="22.5" thickBot="1" x14ac:dyDescent="0.65">
      <c r="A291" s="203"/>
      <c r="B291" s="206"/>
      <c r="C291" s="229"/>
      <c r="D291" s="207"/>
      <c r="E291" s="206"/>
      <c r="F291" s="207"/>
      <c r="G291" s="209"/>
      <c r="H291" s="206"/>
      <c r="I291" s="207"/>
      <c r="J291" s="231"/>
      <c r="K291" s="211"/>
      <c r="L291" s="69" t="s">
        <v>8</v>
      </c>
      <c r="M291" s="59" t="s">
        <v>9</v>
      </c>
      <c r="N291" s="101" t="s">
        <v>10</v>
      </c>
      <c r="O291" s="69" t="s">
        <v>8</v>
      </c>
      <c r="P291" s="59" t="s">
        <v>9</v>
      </c>
      <c r="Q291" s="99" t="s">
        <v>10</v>
      </c>
      <c r="R291" s="69" t="s">
        <v>8</v>
      </c>
      <c r="S291" s="59" t="s">
        <v>9</v>
      </c>
      <c r="T291" s="105" t="s">
        <v>10</v>
      </c>
      <c r="U291" s="69" t="s">
        <v>8</v>
      </c>
      <c r="V291" s="59" t="s">
        <v>9</v>
      </c>
      <c r="W291" s="70" t="s">
        <v>10</v>
      </c>
      <c r="X291" s="69" t="s">
        <v>8</v>
      </c>
      <c r="Y291" s="59" t="s">
        <v>9</v>
      </c>
      <c r="Z291" s="70" t="s">
        <v>10</v>
      </c>
      <c r="AA291" s="69" t="s">
        <v>8</v>
      </c>
      <c r="AB291" s="59" t="s">
        <v>9</v>
      </c>
      <c r="AC291" s="70" t="s">
        <v>10</v>
      </c>
      <c r="AD291" s="69" t="s">
        <v>8</v>
      </c>
      <c r="AE291" s="59" t="s">
        <v>9</v>
      </c>
      <c r="AF291" s="70" t="s">
        <v>10</v>
      </c>
      <c r="AG291" s="69" t="s">
        <v>8</v>
      </c>
      <c r="AH291" s="59" t="s">
        <v>9</v>
      </c>
      <c r="AI291" s="70" t="s">
        <v>10</v>
      </c>
      <c r="AJ291" s="69" t="s">
        <v>8</v>
      </c>
      <c r="AK291" s="59" t="s">
        <v>9</v>
      </c>
      <c r="AL291" s="70" t="s">
        <v>10</v>
      </c>
      <c r="AM291" s="69" t="s">
        <v>8</v>
      </c>
      <c r="AN291" s="59" t="s">
        <v>9</v>
      </c>
      <c r="AO291" s="70" t="s">
        <v>10</v>
      </c>
      <c r="AP291" s="69" t="s">
        <v>8</v>
      </c>
      <c r="AQ291" s="59" t="s">
        <v>9</v>
      </c>
      <c r="AR291" s="70" t="s">
        <v>10</v>
      </c>
      <c r="AS291" s="69" t="s">
        <v>8</v>
      </c>
      <c r="AT291" s="59" t="s">
        <v>9</v>
      </c>
      <c r="AU291" s="70" t="s">
        <v>10</v>
      </c>
    </row>
    <row r="292" spans="1:65" ht="29.25" customHeight="1" x14ac:dyDescent="0.6">
      <c r="A292" s="5">
        <v>1</v>
      </c>
      <c r="B292" s="126" t="s">
        <v>11</v>
      </c>
      <c r="C292" s="126"/>
      <c r="D292" s="127" t="s">
        <v>12</v>
      </c>
      <c r="E292" s="128" t="s">
        <v>13</v>
      </c>
      <c r="F292" s="128" t="s">
        <v>14</v>
      </c>
      <c r="G292" s="6" t="s">
        <v>15</v>
      </c>
      <c r="H292" s="129" t="s">
        <v>668</v>
      </c>
      <c r="I292" s="130" t="s">
        <v>669</v>
      </c>
      <c r="J292" s="130" t="s">
        <v>670</v>
      </c>
      <c r="K292" s="40" t="s">
        <v>16</v>
      </c>
      <c r="L292" s="9">
        <v>9580</v>
      </c>
      <c r="M292" s="62">
        <v>147920</v>
      </c>
      <c r="N292" s="78">
        <v>105054.39999999999</v>
      </c>
      <c r="O292" s="9"/>
      <c r="P292" s="62"/>
      <c r="Q292" s="41"/>
      <c r="R292" s="9"/>
      <c r="S292" s="62"/>
      <c r="T292" s="98"/>
      <c r="U292" s="9"/>
      <c r="V292" s="62"/>
      <c r="W292" s="8"/>
      <c r="X292" s="9"/>
      <c r="Y292" s="62"/>
      <c r="Z292" s="8"/>
      <c r="AA292" s="9"/>
      <c r="AB292" s="62"/>
      <c r="AC292" s="8"/>
      <c r="AD292" s="9"/>
      <c r="AE292" s="62"/>
      <c r="AF292" s="8"/>
      <c r="AG292" s="9"/>
      <c r="AH292" s="62"/>
      <c r="AI292" s="8"/>
      <c r="AJ292" s="9"/>
      <c r="AK292" s="62"/>
      <c r="AL292" s="8"/>
      <c r="AM292" s="9"/>
      <c r="AN292" s="62"/>
      <c r="AO292" s="8"/>
      <c r="AP292" s="9"/>
      <c r="AQ292" s="62"/>
      <c r="AR292" s="8"/>
      <c r="AS292" s="9"/>
      <c r="AT292" s="62"/>
      <c r="AU292" s="8"/>
    </row>
    <row r="293" spans="1:65" ht="29.25" customHeight="1" x14ac:dyDescent="0.6">
      <c r="A293" s="5">
        <v>2</v>
      </c>
      <c r="B293" s="131" t="s">
        <v>17</v>
      </c>
      <c r="C293" s="131"/>
      <c r="D293" s="14" t="s">
        <v>18</v>
      </c>
      <c r="E293" s="132" t="s">
        <v>19</v>
      </c>
      <c r="F293" s="132" t="s">
        <v>20</v>
      </c>
      <c r="G293" s="7" t="s">
        <v>15</v>
      </c>
      <c r="H293" s="16" t="s">
        <v>671</v>
      </c>
      <c r="I293" s="133" t="s">
        <v>672</v>
      </c>
      <c r="J293" s="133" t="s">
        <v>673</v>
      </c>
      <c r="K293" s="41" t="s">
        <v>16</v>
      </c>
      <c r="L293" s="9">
        <v>13210</v>
      </c>
      <c r="M293" s="62">
        <v>179840</v>
      </c>
      <c r="N293" s="78">
        <v>145052</v>
      </c>
      <c r="O293" s="9"/>
      <c r="P293" s="62"/>
      <c r="Q293" s="41"/>
      <c r="R293" s="9"/>
      <c r="S293" s="62"/>
      <c r="T293" s="98"/>
      <c r="U293" s="9"/>
      <c r="V293" s="62"/>
      <c r="W293" s="8"/>
      <c r="X293" s="9"/>
      <c r="Y293" s="62"/>
      <c r="Z293" s="8"/>
      <c r="AA293" s="9"/>
      <c r="AB293" s="62"/>
      <c r="AC293" s="8"/>
      <c r="AD293" s="9"/>
      <c r="AE293" s="62"/>
      <c r="AF293" s="8"/>
      <c r="AG293" s="9"/>
      <c r="AH293" s="62"/>
      <c r="AI293" s="8"/>
      <c r="AJ293" s="9"/>
      <c r="AK293" s="62"/>
      <c r="AL293" s="8"/>
      <c r="AM293" s="9"/>
      <c r="AN293" s="62"/>
      <c r="AO293" s="8"/>
      <c r="AP293" s="9"/>
      <c r="AQ293" s="62"/>
      <c r="AR293" s="8"/>
      <c r="AS293" s="9"/>
      <c r="AT293" s="62"/>
      <c r="AU293" s="8"/>
    </row>
    <row r="294" spans="1:65" ht="29.25" customHeight="1" x14ac:dyDescent="0.6">
      <c r="A294" s="5">
        <v>3</v>
      </c>
      <c r="B294" s="131" t="s">
        <v>21</v>
      </c>
      <c r="C294" s="131"/>
      <c r="D294" s="14" t="s">
        <v>22</v>
      </c>
      <c r="E294" s="132" t="s">
        <v>23</v>
      </c>
      <c r="F294" s="132" t="s">
        <v>24</v>
      </c>
      <c r="G294" s="7" t="s">
        <v>15</v>
      </c>
      <c r="H294" s="16" t="s">
        <v>674</v>
      </c>
      <c r="I294" s="133" t="s">
        <v>675</v>
      </c>
      <c r="J294" s="133" t="s">
        <v>676</v>
      </c>
      <c r="K294" s="41" t="s">
        <v>16</v>
      </c>
      <c r="L294" s="9">
        <v>4538</v>
      </c>
      <c r="M294" s="62">
        <v>68506</v>
      </c>
      <c r="N294" s="78">
        <v>52108</v>
      </c>
      <c r="O294" s="9"/>
      <c r="P294" s="62"/>
      <c r="Q294" s="41"/>
      <c r="R294" s="9"/>
      <c r="S294" s="62"/>
      <c r="T294" s="98"/>
      <c r="U294" s="9"/>
      <c r="V294" s="62"/>
      <c r="W294" s="8"/>
      <c r="X294" s="9"/>
      <c r="Y294" s="62"/>
      <c r="Z294" s="8"/>
      <c r="AA294" s="9"/>
      <c r="AB294" s="62"/>
      <c r="AC294" s="8"/>
      <c r="AD294" s="9"/>
      <c r="AE294" s="62"/>
      <c r="AF294" s="8"/>
      <c r="AG294" s="9"/>
      <c r="AH294" s="62"/>
      <c r="AI294" s="8"/>
      <c r="AJ294" s="9"/>
      <c r="AK294" s="62"/>
      <c r="AL294" s="8"/>
      <c r="AM294" s="9"/>
      <c r="AN294" s="62"/>
      <c r="AO294" s="8"/>
      <c r="AP294" s="9"/>
      <c r="AQ294" s="62"/>
      <c r="AR294" s="8"/>
      <c r="AS294" s="9"/>
      <c r="AT294" s="62"/>
      <c r="AU294" s="8"/>
    </row>
    <row r="295" spans="1:65" ht="29.25" customHeight="1" x14ac:dyDescent="0.6">
      <c r="A295" s="5">
        <v>4</v>
      </c>
      <c r="B295" s="131" t="s">
        <v>25</v>
      </c>
      <c r="C295" s="131"/>
      <c r="D295" s="14" t="s">
        <v>26</v>
      </c>
      <c r="E295" s="132" t="s">
        <v>19</v>
      </c>
      <c r="F295" s="132" t="s">
        <v>20</v>
      </c>
      <c r="G295" s="7" t="s">
        <v>15</v>
      </c>
      <c r="H295" s="16" t="s">
        <v>677</v>
      </c>
      <c r="I295" s="133" t="s">
        <v>678</v>
      </c>
      <c r="J295" s="133" t="s">
        <v>679</v>
      </c>
      <c r="K295" s="41" t="s">
        <v>16</v>
      </c>
      <c r="L295" s="9">
        <v>6679</v>
      </c>
      <c r="M295" s="62">
        <v>90908</v>
      </c>
      <c r="N295" s="78">
        <v>74604.800000000003</v>
      </c>
      <c r="O295" s="9"/>
      <c r="P295" s="62"/>
      <c r="Q295" s="41"/>
      <c r="R295" s="9"/>
      <c r="S295" s="62"/>
      <c r="T295" s="98"/>
      <c r="U295" s="9"/>
      <c r="V295" s="62"/>
      <c r="W295" s="8"/>
      <c r="X295" s="9"/>
      <c r="Y295" s="62"/>
      <c r="Z295" s="8"/>
      <c r="AA295" s="9"/>
      <c r="AB295" s="62"/>
      <c r="AC295" s="8"/>
      <c r="AD295" s="9"/>
      <c r="AE295" s="62"/>
      <c r="AF295" s="8"/>
      <c r="AG295" s="9"/>
      <c r="AH295" s="62"/>
      <c r="AI295" s="8"/>
      <c r="AJ295" s="9"/>
      <c r="AK295" s="62"/>
      <c r="AL295" s="8"/>
      <c r="AM295" s="9"/>
      <c r="AN295" s="62"/>
      <c r="AO295" s="8"/>
      <c r="AP295" s="9"/>
      <c r="AQ295" s="62"/>
      <c r="AR295" s="8"/>
      <c r="AS295" s="9"/>
      <c r="AT295" s="62"/>
      <c r="AU295" s="8"/>
    </row>
    <row r="296" spans="1:65" ht="29.25" customHeight="1" x14ac:dyDescent="0.6">
      <c r="A296" s="5">
        <v>5</v>
      </c>
      <c r="B296" s="131" t="s">
        <v>27</v>
      </c>
      <c r="C296" s="131"/>
      <c r="D296" s="14" t="s">
        <v>28</v>
      </c>
      <c r="E296" s="132" t="s">
        <v>29</v>
      </c>
      <c r="F296" s="132" t="s">
        <v>30</v>
      </c>
      <c r="G296" s="7" t="s">
        <v>15</v>
      </c>
      <c r="H296" s="16" t="s">
        <v>680</v>
      </c>
      <c r="I296" s="133" t="s">
        <v>681</v>
      </c>
      <c r="J296" s="133" t="s">
        <v>682</v>
      </c>
      <c r="K296" s="41" t="s">
        <v>16</v>
      </c>
      <c r="L296" s="9">
        <v>4030</v>
      </c>
      <c r="M296" s="62">
        <v>60820</v>
      </c>
      <c r="N296" s="78">
        <v>44817.600000000006</v>
      </c>
      <c r="O296" s="9"/>
      <c r="P296" s="62"/>
      <c r="Q296" s="41"/>
      <c r="R296" s="9"/>
      <c r="S296" s="62"/>
      <c r="T296" s="98"/>
      <c r="U296" s="9"/>
      <c r="V296" s="62"/>
      <c r="W296" s="8"/>
      <c r="X296" s="9"/>
      <c r="Y296" s="62"/>
      <c r="Z296" s="8"/>
      <c r="AA296" s="9"/>
      <c r="AB296" s="62"/>
      <c r="AC296" s="8"/>
      <c r="AD296" s="9"/>
      <c r="AE296" s="62"/>
      <c r="AF296" s="8"/>
      <c r="AG296" s="9"/>
      <c r="AH296" s="62"/>
      <c r="AI296" s="8"/>
      <c r="AJ296" s="9"/>
      <c r="AK296" s="62"/>
      <c r="AL296" s="8"/>
      <c r="AM296" s="9"/>
      <c r="AN296" s="62"/>
      <c r="AO296" s="8"/>
      <c r="AP296" s="9"/>
      <c r="AQ296" s="62"/>
      <c r="AR296" s="8"/>
      <c r="AS296" s="9"/>
      <c r="AT296" s="62"/>
      <c r="AU296" s="8"/>
    </row>
    <row r="297" spans="1:65" ht="29.25" customHeight="1" x14ac:dyDescent="0.6">
      <c r="A297" s="5">
        <v>6</v>
      </c>
      <c r="B297" s="131" t="s">
        <v>31</v>
      </c>
      <c r="C297" s="131"/>
      <c r="D297" s="14" t="s">
        <v>32</v>
      </c>
      <c r="E297" s="132" t="s">
        <v>33</v>
      </c>
      <c r="F297" s="132" t="s">
        <v>34</v>
      </c>
      <c r="G297" s="7" t="s">
        <v>15</v>
      </c>
      <c r="H297" s="16" t="s">
        <v>683</v>
      </c>
      <c r="I297" s="133" t="s">
        <v>684</v>
      </c>
      <c r="J297" s="133" t="s">
        <v>685</v>
      </c>
      <c r="K297" s="41" t="s">
        <v>16</v>
      </c>
      <c r="L297" s="9">
        <v>7250</v>
      </c>
      <c r="M297" s="62">
        <v>99490</v>
      </c>
      <c r="N297" s="78">
        <v>74399.199999999997</v>
      </c>
      <c r="O297" s="9"/>
      <c r="P297" s="62"/>
      <c r="Q297" s="41"/>
      <c r="R297" s="9"/>
      <c r="S297" s="62"/>
      <c r="T297" s="98"/>
      <c r="U297" s="9"/>
      <c r="V297" s="62"/>
      <c r="W297" s="8"/>
      <c r="X297" s="9"/>
      <c r="Y297" s="62"/>
      <c r="Z297" s="8"/>
      <c r="AA297" s="9"/>
      <c r="AB297" s="62"/>
      <c r="AC297" s="8"/>
      <c r="AD297" s="9"/>
      <c r="AE297" s="62"/>
      <c r="AF297" s="8"/>
      <c r="AG297" s="9"/>
      <c r="AH297" s="62"/>
      <c r="AI297" s="8"/>
      <c r="AJ297" s="9"/>
      <c r="AK297" s="62"/>
      <c r="AL297" s="8"/>
      <c r="AM297" s="9"/>
      <c r="AN297" s="62"/>
      <c r="AO297" s="8"/>
      <c r="AP297" s="9"/>
      <c r="AQ297" s="62"/>
      <c r="AR297" s="8"/>
      <c r="AS297" s="9"/>
      <c r="AT297" s="62"/>
      <c r="AU297" s="8"/>
    </row>
    <row r="298" spans="1:65" ht="29.25" customHeight="1" x14ac:dyDescent="0.6">
      <c r="A298" s="5">
        <v>7</v>
      </c>
      <c r="B298" s="131" t="s">
        <v>35</v>
      </c>
      <c r="C298" s="131"/>
      <c r="D298" s="14" t="s">
        <v>36</v>
      </c>
      <c r="E298" s="132" t="s">
        <v>37</v>
      </c>
      <c r="F298" s="132" t="s">
        <v>38</v>
      </c>
      <c r="G298" s="7" t="s">
        <v>15</v>
      </c>
      <c r="H298" s="16" t="s">
        <v>686</v>
      </c>
      <c r="I298" s="133" t="s">
        <v>687</v>
      </c>
      <c r="J298" s="133" t="s">
        <v>688</v>
      </c>
      <c r="K298" s="41" t="s">
        <v>16</v>
      </c>
      <c r="L298" s="9">
        <v>5030</v>
      </c>
      <c r="M298" s="62">
        <v>79460</v>
      </c>
      <c r="N298" s="78">
        <v>59660.800000000003</v>
      </c>
      <c r="O298" s="9"/>
      <c r="P298" s="62"/>
      <c r="Q298" s="41"/>
      <c r="R298" s="9"/>
      <c r="S298" s="62"/>
      <c r="T298" s="98"/>
      <c r="U298" s="9"/>
      <c r="V298" s="62"/>
      <c r="W298" s="8"/>
      <c r="X298" s="9"/>
      <c r="Y298" s="62"/>
      <c r="Z298" s="8"/>
      <c r="AA298" s="9"/>
      <c r="AB298" s="62"/>
      <c r="AC298" s="8"/>
      <c r="AD298" s="9"/>
      <c r="AE298" s="62"/>
      <c r="AF298" s="8"/>
      <c r="AG298" s="9"/>
      <c r="AH298" s="62"/>
      <c r="AI298" s="8"/>
      <c r="AJ298" s="9"/>
      <c r="AK298" s="62"/>
      <c r="AL298" s="8"/>
      <c r="AM298" s="9"/>
      <c r="AN298" s="62"/>
      <c r="AO298" s="8"/>
      <c r="AP298" s="9"/>
      <c r="AQ298" s="62"/>
      <c r="AR298" s="8"/>
      <c r="AS298" s="9"/>
      <c r="AT298" s="62"/>
      <c r="AU298" s="8"/>
    </row>
    <row r="299" spans="1:65" ht="29.25" customHeight="1" x14ac:dyDescent="0.6">
      <c r="A299" s="5">
        <v>8</v>
      </c>
      <c r="B299" s="131" t="s">
        <v>39</v>
      </c>
      <c r="C299" s="131"/>
      <c r="D299" s="14" t="s">
        <v>40</v>
      </c>
      <c r="E299" s="132" t="s">
        <v>41</v>
      </c>
      <c r="F299" s="132" t="s">
        <v>42</v>
      </c>
      <c r="G299" s="7" t="s">
        <v>15</v>
      </c>
      <c r="H299" s="16" t="s">
        <v>689</v>
      </c>
      <c r="I299" s="133" t="s">
        <v>690</v>
      </c>
      <c r="J299" s="133" t="s">
        <v>691</v>
      </c>
      <c r="K299" s="41" t="s">
        <v>16</v>
      </c>
      <c r="L299" s="9">
        <v>3725</v>
      </c>
      <c r="M299" s="62">
        <v>53190</v>
      </c>
      <c r="N299" s="78">
        <v>37985.599999999999</v>
      </c>
      <c r="O299" s="9"/>
      <c r="P299" s="62"/>
      <c r="Q299" s="41"/>
      <c r="R299" s="9"/>
      <c r="S299" s="62"/>
      <c r="T299" s="98"/>
      <c r="U299" s="9"/>
      <c r="V299" s="62"/>
      <c r="W299" s="8"/>
      <c r="X299" s="9"/>
      <c r="Y299" s="62"/>
      <c r="Z299" s="8"/>
      <c r="AA299" s="9"/>
      <c r="AB299" s="62"/>
      <c r="AC299" s="8"/>
      <c r="AD299" s="9"/>
      <c r="AE299" s="62"/>
      <c r="AF299" s="8"/>
      <c r="AG299" s="9"/>
      <c r="AH299" s="62"/>
      <c r="AI299" s="8"/>
      <c r="AJ299" s="9"/>
      <c r="AK299" s="62"/>
      <c r="AL299" s="8"/>
      <c r="AM299" s="9"/>
      <c r="AN299" s="62"/>
      <c r="AO299" s="8"/>
      <c r="AP299" s="9"/>
      <c r="AQ299" s="62"/>
      <c r="AR299" s="8"/>
      <c r="AS299" s="9"/>
      <c r="AT299" s="62"/>
      <c r="AU299" s="8"/>
    </row>
    <row r="300" spans="1:65" ht="29.25" customHeight="1" x14ac:dyDescent="0.6">
      <c r="A300" s="5">
        <v>9</v>
      </c>
      <c r="B300" s="131" t="s">
        <v>43</v>
      </c>
      <c r="C300" s="131"/>
      <c r="D300" s="14" t="s">
        <v>44</v>
      </c>
      <c r="E300" s="132" t="s">
        <v>45</v>
      </c>
      <c r="F300" s="132" t="s">
        <v>46</v>
      </c>
      <c r="G300" s="7" t="s">
        <v>15</v>
      </c>
      <c r="H300" s="16" t="s">
        <v>692</v>
      </c>
      <c r="I300" s="133" t="s">
        <v>693</v>
      </c>
      <c r="J300" s="133" t="s">
        <v>694</v>
      </c>
      <c r="K300" s="41" t="s">
        <v>16</v>
      </c>
      <c r="L300" s="9">
        <v>3743</v>
      </c>
      <c r="M300" s="62">
        <v>56966</v>
      </c>
      <c r="N300" s="78">
        <v>40708</v>
      </c>
      <c r="O300" s="9"/>
      <c r="P300" s="62"/>
      <c r="Q300" s="41"/>
      <c r="R300" s="9"/>
      <c r="S300" s="62"/>
      <c r="T300" s="98"/>
      <c r="U300" s="9"/>
      <c r="V300" s="62"/>
      <c r="W300" s="8"/>
      <c r="X300" s="9"/>
      <c r="Y300" s="62"/>
      <c r="Z300" s="8"/>
      <c r="AA300" s="9"/>
      <c r="AB300" s="62"/>
      <c r="AC300" s="8"/>
      <c r="AD300" s="9"/>
      <c r="AE300" s="62"/>
      <c r="AF300" s="8"/>
      <c r="AG300" s="9"/>
      <c r="AH300" s="62"/>
      <c r="AI300" s="8"/>
      <c r="AJ300" s="9"/>
      <c r="AK300" s="62"/>
      <c r="AL300" s="8"/>
      <c r="AM300" s="9"/>
      <c r="AN300" s="62"/>
      <c r="AO300" s="8"/>
      <c r="AP300" s="9"/>
      <c r="AQ300" s="62"/>
      <c r="AR300" s="8"/>
      <c r="AS300" s="9"/>
      <c r="AT300" s="62"/>
      <c r="AU300" s="8"/>
    </row>
    <row r="301" spans="1:65" ht="29.25" customHeight="1" x14ac:dyDescent="0.6">
      <c r="A301" s="5">
        <v>10</v>
      </c>
      <c r="B301" s="131" t="s">
        <v>47</v>
      </c>
      <c r="C301" s="131"/>
      <c r="D301" s="14" t="s">
        <v>48</v>
      </c>
      <c r="E301" s="132" t="s">
        <v>49</v>
      </c>
      <c r="F301" s="132" t="s">
        <v>50</v>
      </c>
      <c r="G301" s="7" t="s">
        <v>15</v>
      </c>
      <c r="H301" s="16" t="s">
        <v>695</v>
      </c>
      <c r="I301" s="133" t="s">
        <v>696</v>
      </c>
      <c r="J301" s="133" t="s">
        <v>697</v>
      </c>
      <c r="K301" s="41" t="s">
        <v>16</v>
      </c>
      <c r="L301" s="9">
        <v>3683</v>
      </c>
      <c r="M301" s="62">
        <v>54980</v>
      </c>
      <c r="N301" s="78">
        <v>41559.279999999999</v>
      </c>
      <c r="O301" s="9"/>
      <c r="P301" s="62"/>
      <c r="Q301" s="41"/>
      <c r="R301" s="9"/>
      <c r="S301" s="62"/>
      <c r="T301" s="98"/>
      <c r="U301" s="9"/>
      <c r="V301" s="62"/>
      <c r="W301" s="8"/>
      <c r="X301" s="9"/>
      <c r="Y301" s="62"/>
      <c r="Z301" s="8"/>
      <c r="AA301" s="9"/>
      <c r="AB301" s="62"/>
      <c r="AC301" s="8"/>
      <c r="AD301" s="9"/>
      <c r="AE301" s="62"/>
      <c r="AF301" s="8"/>
      <c r="AG301" s="9"/>
      <c r="AH301" s="62"/>
      <c r="AI301" s="8"/>
      <c r="AJ301" s="9"/>
      <c r="AK301" s="62"/>
      <c r="AL301" s="8"/>
      <c r="AM301" s="9"/>
      <c r="AN301" s="62"/>
      <c r="AO301" s="8"/>
      <c r="AP301" s="9"/>
      <c r="AQ301" s="62"/>
      <c r="AR301" s="8"/>
      <c r="AS301" s="9"/>
      <c r="AT301" s="62"/>
      <c r="AU301" s="8"/>
    </row>
    <row r="302" spans="1:65" ht="29.25" customHeight="1" x14ac:dyDescent="0.6">
      <c r="A302" s="5">
        <v>11</v>
      </c>
      <c r="B302" s="131" t="s">
        <v>51</v>
      </c>
      <c r="C302" s="131"/>
      <c r="D302" s="14" t="s">
        <v>52</v>
      </c>
      <c r="E302" s="132" t="s">
        <v>53</v>
      </c>
      <c r="F302" s="132" t="s">
        <v>54</v>
      </c>
      <c r="G302" s="7" t="s">
        <v>15</v>
      </c>
      <c r="H302" s="16" t="s">
        <v>698</v>
      </c>
      <c r="I302" s="133" t="s">
        <v>699</v>
      </c>
      <c r="J302" s="133" t="s">
        <v>700</v>
      </c>
      <c r="K302" s="41" t="s">
        <v>16</v>
      </c>
      <c r="L302" s="9">
        <v>4526</v>
      </c>
      <c r="M302" s="62">
        <v>62124</v>
      </c>
      <c r="N302" s="78">
        <v>44413.760000000002</v>
      </c>
      <c r="O302" s="9"/>
      <c r="P302" s="62"/>
      <c r="Q302" s="41"/>
      <c r="R302" s="9"/>
      <c r="S302" s="62"/>
      <c r="T302" s="98"/>
      <c r="U302" s="9"/>
      <c r="V302" s="62"/>
      <c r="W302" s="8"/>
      <c r="X302" s="9"/>
      <c r="Y302" s="62"/>
      <c r="Z302" s="8"/>
      <c r="AA302" s="9"/>
      <c r="AB302" s="62"/>
      <c r="AC302" s="8"/>
      <c r="AD302" s="9"/>
      <c r="AE302" s="62"/>
      <c r="AF302" s="8"/>
      <c r="AG302" s="9"/>
      <c r="AH302" s="62"/>
      <c r="AI302" s="8"/>
      <c r="AJ302" s="9"/>
      <c r="AK302" s="62"/>
      <c r="AL302" s="8"/>
      <c r="AM302" s="9"/>
      <c r="AN302" s="62"/>
      <c r="AO302" s="8"/>
      <c r="AP302" s="9"/>
      <c r="AQ302" s="62"/>
      <c r="AR302" s="8"/>
      <c r="AS302" s="9"/>
      <c r="AT302" s="62"/>
      <c r="AU302" s="8"/>
    </row>
    <row r="303" spans="1:65" ht="29.25" customHeight="1" x14ac:dyDescent="0.6">
      <c r="A303" s="5">
        <v>12</v>
      </c>
      <c r="B303" s="131" t="s">
        <v>55</v>
      </c>
      <c r="C303" s="131"/>
      <c r="D303" s="14" t="s">
        <v>56</v>
      </c>
      <c r="E303" s="132" t="s">
        <v>57</v>
      </c>
      <c r="F303" s="132" t="s">
        <v>58</v>
      </c>
      <c r="G303" s="7" t="s">
        <v>15</v>
      </c>
      <c r="H303" s="16" t="s">
        <v>701</v>
      </c>
      <c r="I303" s="133" t="s">
        <v>702</v>
      </c>
      <c r="J303" s="133" t="s">
        <v>703</v>
      </c>
      <c r="K303" s="41" t="s">
        <v>16</v>
      </c>
      <c r="L303" s="9">
        <v>2760</v>
      </c>
      <c r="M303" s="62">
        <v>42100</v>
      </c>
      <c r="N303" s="78">
        <v>31731.200000000001</v>
      </c>
      <c r="O303" s="9"/>
      <c r="P303" s="62"/>
      <c r="Q303" s="41"/>
      <c r="R303" s="9"/>
      <c r="S303" s="62"/>
      <c r="T303" s="98"/>
      <c r="U303" s="9"/>
      <c r="V303" s="62"/>
      <c r="W303" s="8"/>
      <c r="X303" s="9"/>
      <c r="Y303" s="62"/>
      <c r="Z303" s="8"/>
      <c r="AA303" s="9"/>
      <c r="AB303" s="62"/>
      <c r="AC303" s="8"/>
      <c r="AD303" s="9"/>
      <c r="AE303" s="62"/>
      <c r="AF303" s="8"/>
      <c r="AG303" s="9"/>
      <c r="AH303" s="62"/>
      <c r="AI303" s="8"/>
      <c r="AJ303" s="9"/>
      <c r="AK303" s="62"/>
      <c r="AL303" s="8"/>
      <c r="AM303" s="9"/>
      <c r="AN303" s="62"/>
      <c r="AO303" s="8"/>
      <c r="AP303" s="9"/>
      <c r="AQ303" s="62"/>
      <c r="AR303" s="8"/>
      <c r="AS303" s="9"/>
      <c r="AT303" s="62"/>
      <c r="AU303" s="8"/>
    </row>
    <row r="304" spans="1:65" ht="29.25" customHeight="1" x14ac:dyDescent="0.6">
      <c r="A304" s="5">
        <v>13</v>
      </c>
      <c r="B304" s="131" t="s">
        <v>59</v>
      </c>
      <c r="C304" s="131"/>
      <c r="D304" s="14" t="s">
        <v>60</v>
      </c>
      <c r="E304" s="132" t="s">
        <v>37</v>
      </c>
      <c r="F304" s="132" t="s">
        <v>38</v>
      </c>
      <c r="G304" s="7" t="s">
        <v>15</v>
      </c>
      <c r="H304" s="16" t="s">
        <v>704</v>
      </c>
      <c r="I304" s="133" t="s">
        <v>705</v>
      </c>
      <c r="J304" s="133" t="s">
        <v>706</v>
      </c>
      <c r="K304" s="41" t="s">
        <v>16</v>
      </c>
      <c r="L304" s="9">
        <v>2355</v>
      </c>
      <c r="M304" s="62">
        <v>36700</v>
      </c>
      <c r="N304" s="78">
        <v>27354.399999999998</v>
      </c>
      <c r="O304" s="9"/>
      <c r="P304" s="62"/>
      <c r="Q304" s="41"/>
      <c r="R304" s="9"/>
      <c r="S304" s="62"/>
      <c r="T304" s="98"/>
      <c r="U304" s="9"/>
      <c r="V304" s="62"/>
      <c r="W304" s="8"/>
      <c r="X304" s="9"/>
      <c r="Y304" s="62"/>
      <c r="Z304" s="8"/>
      <c r="AA304" s="9"/>
      <c r="AB304" s="62"/>
      <c r="AC304" s="8"/>
      <c r="AD304" s="9"/>
      <c r="AE304" s="62"/>
      <c r="AF304" s="8"/>
      <c r="AG304" s="9"/>
      <c r="AH304" s="62"/>
      <c r="AI304" s="8"/>
      <c r="AJ304" s="9"/>
      <c r="AK304" s="62"/>
      <c r="AL304" s="8"/>
      <c r="AM304" s="9"/>
      <c r="AN304" s="62"/>
      <c r="AO304" s="8"/>
      <c r="AP304" s="9"/>
      <c r="AQ304" s="62"/>
      <c r="AR304" s="8"/>
      <c r="AS304" s="9"/>
      <c r="AT304" s="62"/>
      <c r="AU304" s="8"/>
    </row>
    <row r="305" spans="1:47" ht="29.25" customHeight="1" x14ac:dyDescent="0.6">
      <c r="A305" s="5">
        <v>14</v>
      </c>
      <c r="B305" s="131" t="s">
        <v>61</v>
      </c>
      <c r="C305" s="131"/>
      <c r="D305" s="14" t="s">
        <v>62</v>
      </c>
      <c r="E305" s="132" t="s">
        <v>41</v>
      </c>
      <c r="F305" s="132" t="s">
        <v>42</v>
      </c>
      <c r="G305" s="7" t="s">
        <v>15</v>
      </c>
      <c r="H305" s="16" t="s">
        <v>61</v>
      </c>
      <c r="I305" s="133" t="s">
        <v>707</v>
      </c>
      <c r="J305" s="133" t="s">
        <v>708</v>
      </c>
      <c r="K305" s="41" t="s">
        <v>16</v>
      </c>
      <c r="L305" s="9">
        <v>3160</v>
      </c>
      <c r="M305" s="62">
        <v>45640</v>
      </c>
      <c r="N305" s="78">
        <v>33195.199999999997</v>
      </c>
      <c r="O305" s="9"/>
      <c r="P305" s="62"/>
      <c r="Q305" s="41"/>
      <c r="R305" s="9"/>
      <c r="S305" s="62"/>
      <c r="T305" s="98"/>
      <c r="U305" s="9"/>
      <c r="V305" s="62"/>
      <c r="W305" s="8"/>
      <c r="X305" s="9"/>
      <c r="Y305" s="62"/>
      <c r="Z305" s="8"/>
      <c r="AA305" s="9"/>
      <c r="AB305" s="62"/>
      <c r="AC305" s="8"/>
      <c r="AD305" s="9"/>
      <c r="AE305" s="62"/>
      <c r="AF305" s="8"/>
      <c r="AG305" s="9"/>
      <c r="AH305" s="62"/>
      <c r="AI305" s="8"/>
      <c r="AJ305" s="9"/>
      <c r="AK305" s="62"/>
      <c r="AL305" s="8"/>
      <c r="AM305" s="9"/>
      <c r="AN305" s="62"/>
      <c r="AO305" s="8"/>
      <c r="AP305" s="9"/>
      <c r="AQ305" s="62"/>
      <c r="AR305" s="8"/>
      <c r="AS305" s="9"/>
      <c r="AT305" s="62"/>
      <c r="AU305" s="8"/>
    </row>
    <row r="306" spans="1:47" ht="29.25" customHeight="1" x14ac:dyDescent="0.6">
      <c r="A306" s="5">
        <v>15</v>
      </c>
      <c r="B306" s="131" t="s">
        <v>63</v>
      </c>
      <c r="C306" s="131"/>
      <c r="D306" s="14" t="s">
        <v>64</v>
      </c>
      <c r="E306" s="132" t="s">
        <v>49</v>
      </c>
      <c r="F306" s="132" t="s">
        <v>50</v>
      </c>
      <c r="G306" s="7" t="s">
        <v>15</v>
      </c>
      <c r="H306" s="16" t="s">
        <v>709</v>
      </c>
      <c r="I306" s="133" t="s">
        <v>710</v>
      </c>
      <c r="J306" s="133" t="s">
        <v>711</v>
      </c>
      <c r="K306" s="41" t="s">
        <v>16</v>
      </c>
      <c r="L306" s="9">
        <v>2680</v>
      </c>
      <c r="M306" s="62">
        <v>40610</v>
      </c>
      <c r="N306" s="78">
        <v>31456.800000000003</v>
      </c>
      <c r="O306" s="9"/>
      <c r="P306" s="62"/>
      <c r="Q306" s="41"/>
      <c r="R306" s="9"/>
      <c r="S306" s="62"/>
      <c r="T306" s="98"/>
      <c r="U306" s="9"/>
      <c r="V306" s="62"/>
      <c r="W306" s="8"/>
      <c r="X306" s="9"/>
      <c r="Y306" s="62"/>
      <c r="Z306" s="8"/>
      <c r="AA306" s="9"/>
      <c r="AB306" s="62"/>
      <c r="AC306" s="8"/>
      <c r="AD306" s="9"/>
      <c r="AE306" s="62"/>
      <c r="AF306" s="8"/>
      <c r="AG306" s="9"/>
      <c r="AH306" s="62"/>
      <c r="AI306" s="8"/>
      <c r="AJ306" s="9"/>
      <c r="AK306" s="62"/>
      <c r="AL306" s="8"/>
      <c r="AM306" s="9"/>
      <c r="AN306" s="62"/>
      <c r="AO306" s="8"/>
      <c r="AP306" s="9"/>
      <c r="AQ306" s="62"/>
      <c r="AR306" s="8"/>
      <c r="AS306" s="9"/>
      <c r="AT306" s="62"/>
      <c r="AU306" s="8"/>
    </row>
    <row r="307" spans="1:47" ht="29.25" customHeight="1" x14ac:dyDescent="0.6">
      <c r="A307" s="5">
        <v>16</v>
      </c>
      <c r="B307" s="131" t="s">
        <v>65</v>
      </c>
      <c r="C307" s="131"/>
      <c r="D307" s="14" t="s">
        <v>66</v>
      </c>
      <c r="E307" s="132" t="s">
        <v>67</v>
      </c>
      <c r="F307" s="132" t="s">
        <v>68</v>
      </c>
      <c r="G307" s="7" t="s">
        <v>15</v>
      </c>
      <c r="H307" s="16" t="s">
        <v>712</v>
      </c>
      <c r="I307" s="133" t="s">
        <v>713</v>
      </c>
      <c r="J307" s="133" t="s">
        <v>714</v>
      </c>
      <c r="K307" s="41" t="s">
        <v>16</v>
      </c>
      <c r="L307" s="9">
        <v>1665</v>
      </c>
      <c r="M307" s="62">
        <v>24260</v>
      </c>
      <c r="N307" s="78">
        <v>19089.599999999999</v>
      </c>
      <c r="O307" s="9"/>
      <c r="P307" s="62"/>
      <c r="Q307" s="41"/>
      <c r="R307" s="9"/>
      <c r="S307" s="62"/>
      <c r="T307" s="98"/>
      <c r="U307" s="9"/>
      <c r="V307" s="62"/>
      <c r="W307" s="8"/>
      <c r="X307" s="9"/>
      <c r="Y307" s="62"/>
      <c r="Z307" s="8"/>
      <c r="AA307" s="9"/>
      <c r="AB307" s="62"/>
      <c r="AC307" s="8"/>
      <c r="AD307" s="9"/>
      <c r="AE307" s="62"/>
      <c r="AF307" s="8"/>
      <c r="AG307" s="9"/>
      <c r="AH307" s="62"/>
      <c r="AI307" s="8"/>
      <c r="AJ307" s="9"/>
      <c r="AK307" s="62"/>
      <c r="AL307" s="8"/>
      <c r="AM307" s="9"/>
      <c r="AN307" s="62"/>
      <c r="AO307" s="8"/>
      <c r="AP307" s="9"/>
      <c r="AQ307" s="62"/>
      <c r="AR307" s="8"/>
      <c r="AS307" s="9"/>
      <c r="AT307" s="62"/>
      <c r="AU307" s="8"/>
    </row>
    <row r="308" spans="1:47" ht="29.25" customHeight="1" x14ac:dyDescent="0.6">
      <c r="A308" s="5">
        <v>17</v>
      </c>
      <c r="B308" s="131" t="s">
        <v>69</v>
      </c>
      <c r="C308" s="131"/>
      <c r="D308" s="14" t="s">
        <v>70</v>
      </c>
      <c r="E308" s="132" t="s">
        <v>29</v>
      </c>
      <c r="F308" s="132" t="s">
        <v>30</v>
      </c>
      <c r="G308" s="7" t="s">
        <v>15</v>
      </c>
      <c r="H308" s="16" t="s">
        <v>715</v>
      </c>
      <c r="I308" s="133" t="s">
        <v>716</v>
      </c>
      <c r="J308" s="133" t="s">
        <v>717</v>
      </c>
      <c r="K308" s="41" t="s">
        <v>16</v>
      </c>
      <c r="L308" s="9">
        <v>2190</v>
      </c>
      <c r="M308" s="62">
        <v>32800</v>
      </c>
      <c r="N308" s="78">
        <v>23773.200000000001</v>
      </c>
      <c r="O308" s="9"/>
      <c r="P308" s="62"/>
      <c r="Q308" s="41"/>
      <c r="R308" s="9"/>
      <c r="S308" s="62"/>
      <c r="T308" s="98"/>
      <c r="U308" s="9"/>
      <c r="V308" s="62"/>
      <c r="W308" s="8"/>
      <c r="X308" s="9"/>
      <c r="Y308" s="62"/>
      <c r="Z308" s="8"/>
      <c r="AA308" s="9"/>
      <c r="AB308" s="62"/>
      <c r="AC308" s="8"/>
      <c r="AD308" s="9"/>
      <c r="AE308" s="62"/>
      <c r="AF308" s="8"/>
      <c r="AG308" s="9"/>
      <c r="AH308" s="62"/>
      <c r="AI308" s="8"/>
      <c r="AJ308" s="9"/>
      <c r="AK308" s="62"/>
      <c r="AL308" s="8"/>
      <c r="AM308" s="9"/>
      <c r="AN308" s="62"/>
      <c r="AO308" s="8"/>
      <c r="AP308" s="9"/>
      <c r="AQ308" s="62"/>
      <c r="AR308" s="8"/>
      <c r="AS308" s="9"/>
      <c r="AT308" s="62"/>
      <c r="AU308" s="8"/>
    </row>
    <row r="309" spans="1:47" ht="29.25" customHeight="1" x14ac:dyDescent="0.6">
      <c r="A309" s="5">
        <v>18</v>
      </c>
      <c r="B309" s="132" t="s">
        <v>71</v>
      </c>
      <c r="C309" s="132"/>
      <c r="D309" s="15" t="s">
        <v>72</v>
      </c>
      <c r="E309" s="132" t="s">
        <v>45</v>
      </c>
      <c r="F309" s="132" t="s">
        <v>46</v>
      </c>
      <c r="G309" s="7" t="s">
        <v>15</v>
      </c>
      <c r="H309" s="16" t="s">
        <v>718</v>
      </c>
      <c r="I309" s="133" t="s">
        <v>719</v>
      </c>
      <c r="J309" s="133" t="s">
        <v>720</v>
      </c>
      <c r="K309" s="41" t="s">
        <v>16</v>
      </c>
      <c r="L309" s="9">
        <v>2430</v>
      </c>
      <c r="M309" s="62">
        <v>36480</v>
      </c>
      <c r="N309" s="78">
        <v>26369.600000000002</v>
      </c>
      <c r="O309" s="9"/>
      <c r="P309" s="62"/>
      <c r="Q309" s="41"/>
      <c r="R309" s="9"/>
      <c r="S309" s="62"/>
      <c r="T309" s="98"/>
      <c r="U309" s="9"/>
      <c r="V309" s="62"/>
      <c r="W309" s="8"/>
      <c r="X309" s="9"/>
      <c r="Y309" s="62"/>
      <c r="Z309" s="8"/>
      <c r="AA309" s="9"/>
      <c r="AB309" s="62"/>
      <c r="AC309" s="8"/>
      <c r="AD309" s="9"/>
      <c r="AE309" s="62"/>
      <c r="AF309" s="8"/>
      <c r="AG309" s="9"/>
      <c r="AH309" s="62"/>
      <c r="AI309" s="8"/>
      <c r="AJ309" s="9"/>
      <c r="AK309" s="62"/>
      <c r="AL309" s="8"/>
      <c r="AM309" s="9"/>
      <c r="AN309" s="62"/>
      <c r="AO309" s="8"/>
      <c r="AP309" s="9"/>
      <c r="AQ309" s="62"/>
      <c r="AR309" s="8"/>
      <c r="AS309" s="9"/>
      <c r="AT309" s="62"/>
      <c r="AU309" s="8"/>
    </row>
    <row r="310" spans="1:47" ht="29.25" customHeight="1" x14ac:dyDescent="0.6">
      <c r="A310" s="5">
        <v>19</v>
      </c>
      <c r="B310" s="131" t="s">
        <v>73</v>
      </c>
      <c r="C310" s="131"/>
      <c r="D310" s="14" t="s">
        <v>74</v>
      </c>
      <c r="E310" s="132" t="s">
        <v>75</v>
      </c>
      <c r="F310" s="132" t="s">
        <v>76</v>
      </c>
      <c r="G310" s="7" t="s">
        <v>15</v>
      </c>
      <c r="H310" s="16" t="s">
        <v>721</v>
      </c>
      <c r="I310" s="133" t="s">
        <v>722</v>
      </c>
      <c r="J310" s="133" t="s">
        <v>723</v>
      </c>
      <c r="K310" s="41" t="s">
        <v>16</v>
      </c>
      <c r="L310" s="9">
        <v>2795</v>
      </c>
      <c r="M310" s="62">
        <v>41020</v>
      </c>
      <c r="N310" s="78">
        <v>30170.399999999998</v>
      </c>
      <c r="O310" s="9"/>
      <c r="P310" s="62"/>
      <c r="Q310" s="41"/>
      <c r="R310" s="9"/>
      <c r="S310" s="62"/>
      <c r="T310" s="98"/>
      <c r="U310" s="9"/>
      <c r="V310" s="62"/>
      <c r="W310" s="8"/>
      <c r="X310" s="9"/>
      <c r="Y310" s="62"/>
      <c r="Z310" s="8"/>
      <c r="AA310" s="9"/>
      <c r="AB310" s="62"/>
      <c r="AC310" s="8"/>
      <c r="AD310" s="9"/>
      <c r="AE310" s="62"/>
      <c r="AF310" s="8"/>
      <c r="AG310" s="9"/>
      <c r="AH310" s="62"/>
      <c r="AI310" s="8"/>
      <c r="AJ310" s="9"/>
      <c r="AK310" s="62"/>
      <c r="AL310" s="8"/>
      <c r="AM310" s="9"/>
      <c r="AN310" s="62"/>
      <c r="AO310" s="8"/>
      <c r="AP310" s="9"/>
      <c r="AQ310" s="62"/>
      <c r="AR310" s="8"/>
      <c r="AS310" s="9"/>
      <c r="AT310" s="62"/>
      <c r="AU310" s="8"/>
    </row>
    <row r="311" spans="1:47" ht="29.25" customHeight="1" x14ac:dyDescent="0.6">
      <c r="A311" s="5">
        <v>20</v>
      </c>
      <c r="B311" s="131" t="s">
        <v>77</v>
      </c>
      <c r="C311" s="131"/>
      <c r="D311" s="14" t="s">
        <v>78</v>
      </c>
      <c r="E311" s="132" t="s">
        <v>13</v>
      </c>
      <c r="F311" s="132" t="s">
        <v>79</v>
      </c>
      <c r="G311" s="7" t="s">
        <v>15</v>
      </c>
      <c r="H311" s="16" t="s">
        <v>724</v>
      </c>
      <c r="I311" s="133" t="s">
        <v>725</v>
      </c>
      <c r="J311" s="133" t="s">
        <v>726</v>
      </c>
      <c r="K311" s="41" t="s">
        <v>16</v>
      </c>
      <c r="L311" s="9">
        <v>2414</v>
      </c>
      <c r="M311" s="62">
        <v>37126</v>
      </c>
      <c r="N311" s="78">
        <v>25681.84</v>
      </c>
      <c r="O311" s="9"/>
      <c r="P311" s="62"/>
      <c r="Q311" s="41"/>
      <c r="R311" s="9"/>
      <c r="S311" s="62"/>
      <c r="T311" s="98"/>
      <c r="U311" s="9"/>
      <c r="V311" s="62"/>
      <c r="W311" s="8"/>
      <c r="X311" s="9"/>
      <c r="Y311" s="62"/>
      <c r="Z311" s="8"/>
      <c r="AA311" s="9"/>
      <c r="AB311" s="62"/>
      <c r="AC311" s="8"/>
      <c r="AD311" s="9"/>
      <c r="AE311" s="62"/>
      <c r="AF311" s="8"/>
      <c r="AG311" s="9"/>
      <c r="AH311" s="62"/>
      <c r="AI311" s="8"/>
      <c r="AJ311" s="9"/>
      <c r="AK311" s="62"/>
      <c r="AL311" s="8"/>
      <c r="AM311" s="9"/>
      <c r="AN311" s="62"/>
      <c r="AO311" s="8"/>
      <c r="AP311" s="9"/>
      <c r="AQ311" s="62"/>
      <c r="AR311" s="8"/>
      <c r="AS311" s="9"/>
      <c r="AT311" s="62"/>
      <c r="AU311" s="8"/>
    </row>
    <row r="312" spans="1:47" ht="29.25" customHeight="1" x14ac:dyDescent="0.6">
      <c r="A312" s="5">
        <v>21</v>
      </c>
      <c r="B312" s="131" t="s">
        <v>80</v>
      </c>
      <c r="C312" s="131"/>
      <c r="D312" s="14" t="s">
        <v>81</v>
      </c>
      <c r="E312" s="132" t="s">
        <v>82</v>
      </c>
      <c r="F312" s="132" t="s">
        <v>83</v>
      </c>
      <c r="G312" s="7" t="s">
        <v>15</v>
      </c>
      <c r="H312" s="16" t="s">
        <v>727</v>
      </c>
      <c r="I312" s="133" t="s">
        <v>728</v>
      </c>
      <c r="J312" s="133" t="s">
        <v>729</v>
      </c>
      <c r="K312" s="41" t="s">
        <v>16</v>
      </c>
      <c r="L312" s="9">
        <v>1420</v>
      </c>
      <c r="M312" s="62">
        <v>23680</v>
      </c>
      <c r="N312" s="78">
        <v>16088.8</v>
      </c>
      <c r="O312" s="9"/>
      <c r="P312" s="62"/>
      <c r="Q312" s="41"/>
      <c r="R312" s="9"/>
      <c r="S312" s="62"/>
      <c r="T312" s="98"/>
      <c r="U312" s="9"/>
      <c r="V312" s="62"/>
      <c r="W312" s="8"/>
      <c r="X312" s="9"/>
      <c r="Y312" s="62"/>
      <c r="Z312" s="8"/>
      <c r="AA312" s="9"/>
      <c r="AB312" s="62"/>
      <c r="AC312" s="8"/>
      <c r="AD312" s="9"/>
      <c r="AE312" s="62"/>
      <c r="AF312" s="8"/>
      <c r="AG312" s="9"/>
      <c r="AH312" s="62"/>
      <c r="AI312" s="8"/>
      <c r="AJ312" s="9"/>
      <c r="AK312" s="62"/>
      <c r="AL312" s="8"/>
      <c r="AM312" s="9"/>
      <c r="AN312" s="62"/>
      <c r="AO312" s="8"/>
      <c r="AP312" s="9"/>
      <c r="AQ312" s="62"/>
      <c r="AR312" s="8"/>
      <c r="AS312" s="9"/>
      <c r="AT312" s="62"/>
      <c r="AU312" s="8"/>
    </row>
    <row r="313" spans="1:47" ht="29.25" customHeight="1" x14ac:dyDescent="0.6">
      <c r="A313" s="5">
        <v>22</v>
      </c>
      <c r="B313" s="131" t="s">
        <v>84</v>
      </c>
      <c r="C313" s="131"/>
      <c r="D313" s="14" t="s">
        <v>85</v>
      </c>
      <c r="E313" s="132" t="s">
        <v>19</v>
      </c>
      <c r="F313" s="132" t="s">
        <v>20</v>
      </c>
      <c r="G313" s="7" t="s">
        <v>15</v>
      </c>
      <c r="H313" s="16" t="s">
        <v>730</v>
      </c>
      <c r="I313" s="133" t="s">
        <v>731</v>
      </c>
      <c r="J313" s="133" t="s">
        <v>732</v>
      </c>
      <c r="K313" s="41" t="s">
        <v>16</v>
      </c>
      <c r="L313" s="9">
        <v>2750</v>
      </c>
      <c r="M313" s="62">
        <v>39860</v>
      </c>
      <c r="N313" s="78">
        <v>29764</v>
      </c>
      <c r="O313" s="9"/>
      <c r="P313" s="62"/>
      <c r="Q313" s="41"/>
      <c r="R313" s="9"/>
      <c r="S313" s="62"/>
      <c r="T313" s="98"/>
      <c r="U313" s="9"/>
      <c r="V313" s="62"/>
      <c r="W313" s="8"/>
      <c r="X313" s="9"/>
      <c r="Y313" s="62"/>
      <c r="Z313" s="8"/>
      <c r="AA313" s="9"/>
      <c r="AB313" s="62"/>
      <c r="AC313" s="8"/>
      <c r="AD313" s="9"/>
      <c r="AE313" s="62"/>
      <c r="AF313" s="8"/>
      <c r="AG313" s="9"/>
      <c r="AH313" s="62"/>
      <c r="AI313" s="8"/>
      <c r="AJ313" s="9"/>
      <c r="AK313" s="62"/>
      <c r="AL313" s="8"/>
      <c r="AM313" s="9"/>
      <c r="AN313" s="62"/>
      <c r="AO313" s="8"/>
      <c r="AP313" s="9"/>
      <c r="AQ313" s="62"/>
      <c r="AR313" s="8"/>
      <c r="AS313" s="9"/>
      <c r="AT313" s="62"/>
      <c r="AU313" s="8"/>
    </row>
    <row r="314" spans="1:47" ht="29.25" customHeight="1" x14ac:dyDescent="0.6">
      <c r="A314" s="5">
        <v>23</v>
      </c>
      <c r="B314" s="131" t="s">
        <v>86</v>
      </c>
      <c r="C314" s="131"/>
      <c r="D314" s="14" t="s">
        <v>87</v>
      </c>
      <c r="E314" s="132" t="s">
        <v>53</v>
      </c>
      <c r="F314" s="132" t="s">
        <v>54</v>
      </c>
      <c r="G314" s="7" t="s">
        <v>15</v>
      </c>
      <c r="H314" s="16" t="s">
        <v>733</v>
      </c>
      <c r="I314" s="133" t="s">
        <v>734</v>
      </c>
      <c r="J314" s="133" t="s">
        <v>735</v>
      </c>
      <c r="K314" s="41" t="s">
        <v>16</v>
      </c>
      <c r="L314" s="9">
        <v>2575</v>
      </c>
      <c r="M314" s="62">
        <v>34240</v>
      </c>
      <c r="N314" s="78">
        <v>26714.400000000001</v>
      </c>
      <c r="O314" s="9"/>
      <c r="P314" s="62"/>
      <c r="Q314" s="41"/>
      <c r="R314" s="9"/>
      <c r="S314" s="62"/>
      <c r="T314" s="98"/>
      <c r="U314" s="9"/>
      <c r="V314" s="62"/>
      <c r="W314" s="8"/>
      <c r="X314" s="9"/>
      <c r="Y314" s="62"/>
      <c r="Z314" s="8"/>
      <c r="AA314" s="9"/>
      <c r="AB314" s="62"/>
      <c r="AC314" s="8"/>
      <c r="AD314" s="9"/>
      <c r="AE314" s="62"/>
      <c r="AF314" s="8"/>
      <c r="AG314" s="9"/>
      <c r="AH314" s="62"/>
      <c r="AI314" s="8"/>
      <c r="AJ314" s="9"/>
      <c r="AK314" s="62"/>
      <c r="AL314" s="8"/>
      <c r="AM314" s="9"/>
      <c r="AN314" s="62"/>
      <c r="AO314" s="8"/>
      <c r="AP314" s="9"/>
      <c r="AQ314" s="62"/>
      <c r="AR314" s="8"/>
      <c r="AS314" s="9"/>
      <c r="AT314" s="62"/>
      <c r="AU314" s="8"/>
    </row>
    <row r="315" spans="1:47" ht="29.25" customHeight="1" x14ac:dyDescent="0.6">
      <c r="A315" s="5">
        <v>24</v>
      </c>
      <c r="B315" s="131" t="s">
        <v>88</v>
      </c>
      <c r="C315" s="131"/>
      <c r="D315" s="14" t="s">
        <v>89</v>
      </c>
      <c r="E315" s="132" t="s">
        <v>90</v>
      </c>
      <c r="F315" s="132" t="s">
        <v>91</v>
      </c>
      <c r="G315" s="7" t="s">
        <v>15</v>
      </c>
      <c r="H315" s="16" t="s">
        <v>88</v>
      </c>
      <c r="I315" s="16" t="s">
        <v>89</v>
      </c>
      <c r="J315" s="133" t="s">
        <v>736</v>
      </c>
      <c r="K315" s="41" t="s">
        <v>16</v>
      </c>
      <c r="L315" s="9">
        <v>805</v>
      </c>
      <c r="M315" s="62">
        <v>12660</v>
      </c>
      <c r="N315" s="78">
        <v>9412</v>
      </c>
      <c r="O315" s="9"/>
      <c r="P315" s="62"/>
      <c r="Q315" s="41"/>
      <c r="R315" s="9"/>
      <c r="S315" s="62"/>
      <c r="T315" s="98"/>
      <c r="U315" s="9"/>
      <c r="V315" s="62"/>
      <c r="W315" s="8"/>
      <c r="X315" s="9"/>
      <c r="Y315" s="62"/>
      <c r="Z315" s="8"/>
      <c r="AA315" s="9"/>
      <c r="AB315" s="62"/>
      <c r="AC315" s="8"/>
      <c r="AD315" s="9"/>
      <c r="AE315" s="62"/>
      <c r="AF315" s="8"/>
      <c r="AG315" s="9"/>
      <c r="AH315" s="62"/>
      <c r="AI315" s="8"/>
      <c r="AJ315" s="9"/>
      <c r="AK315" s="62"/>
      <c r="AL315" s="8"/>
      <c r="AM315" s="9"/>
      <c r="AN315" s="62"/>
      <c r="AO315" s="8"/>
      <c r="AP315" s="9"/>
      <c r="AQ315" s="62"/>
      <c r="AR315" s="8"/>
      <c r="AS315" s="9"/>
      <c r="AT315" s="62"/>
      <c r="AU315" s="8"/>
    </row>
    <row r="316" spans="1:47" ht="29.25" customHeight="1" x14ac:dyDescent="0.6">
      <c r="A316" s="5">
        <v>25</v>
      </c>
      <c r="B316" s="131" t="s">
        <v>92</v>
      </c>
      <c r="C316" s="131"/>
      <c r="D316" s="14" t="s">
        <v>93</v>
      </c>
      <c r="E316" s="132" t="s">
        <v>53</v>
      </c>
      <c r="F316" s="132" t="s">
        <v>54</v>
      </c>
      <c r="G316" s="7" t="s">
        <v>15</v>
      </c>
      <c r="H316" s="16" t="s">
        <v>737</v>
      </c>
      <c r="I316" s="133" t="s">
        <v>738</v>
      </c>
      <c r="J316" s="133" t="s">
        <v>739</v>
      </c>
      <c r="K316" s="41" t="s">
        <v>16</v>
      </c>
      <c r="L316" s="9">
        <v>1450</v>
      </c>
      <c r="M316" s="62">
        <v>19700</v>
      </c>
      <c r="N316" s="78">
        <v>16132</v>
      </c>
      <c r="O316" s="9"/>
      <c r="P316" s="62"/>
      <c r="Q316" s="41"/>
      <c r="R316" s="9"/>
      <c r="S316" s="62"/>
      <c r="T316" s="98"/>
      <c r="U316" s="9"/>
      <c r="V316" s="62"/>
      <c r="W316" s="8"/>
      <c r="X316" s="9"/>
      <c r="Y316" s="62"/>
      <c r="Z316" s="8"/>
      <c r="AA316" s="9"/>
      <c r="AB316" s="62"/>
      <c r="AC316" s="8"/>
      <c r="AD316" s="9"/>
      <c r="AE316" s="62"/>
      <c r="AF316" s="8"/>
      <c r="AG316" s="9"/>
      <c r="AH316" s="62"/>
      <c r="AI316" s="8"/>
      <c r="AJ316" s="9"/>
      <c r="AK316" s="62"/>
      <c r="AL316" s="8"/>
      <c r="AM316" s="9"/>
      <c r="AN316" s="62"/>
      <c r="AO316" s="8"/>
      <c r="AP316" s="9"/>
      <c r="AQ316" s="62"/>
      <c r="AR316" s="8"/>
      <c r="AS316" s="9"/>
      <c r="AT316" s="62"/>
      <c r="AU316" s="8"/>
    </row>
    <row r="317" spans="1:47" ht="29.25" customHeight="1" x14ac:dyDescent="0.6">
      <c r="A317" s="5">
        <v>26</v>
      </c>
      <c r="B317" s="131" t="s">
        <v>94</v>
      </c>
      <c r="C317" s="131"/>
      <c r="D317" s="14" t="s">
        <v>95</v>
      </c>
      <c r="E317" s="132" t="s">
        <v>96</v>
      </c>
      <c r="F317" s="132" t="s">
        <v>97</v>
      </c>
      <c r="G317" s="7" t="s">
        <v>15</v>
      </c>
      <c r="H317" s="16" t="s">
        <v>740</v>
      </c>
      <c r="I317" s="133" t="s">
        <v>741</v>
      </c>
      <c r="J317" s="133" t="s">
        <v>742</v>
      </c>
      <c r="K317" s="41" t="s">
        <v>16</v>
      </c>
      <c r="L317" s="9">
        <v>1060</v>
      </c>
      <c r="M317" s="62">
        <v>15240</v>
      </c>
      <c r="N317" s="78">
        <v>11419.2</v>
      </c>
      <c r="O317" s="9"/>
      <c r="P317" s="62"/>
      <c r="Q317" s="41"/>
      <c r="R317" s="9"/>
      <c r="S317" s="62"/>
      <c r="T317" s="98"/>
      <c r="U317" s="9"/>
      <c r="V317" s="62"/>
      <c r="W317" s="8"/>
      <c r="X317" s="9"/>
      <c r="Y317" s="62"/>
      <c r="Z317" s="8"/>
      <c r="AA317" s="9"/>
      <c r="AB317" s="62"/>
      <c r="AC317" s="8"/>
      <c r="AD317" s="9"/>
      <c r="AE317" s="62"/>
      <c r="AF317" s="8"/>
      <c r="AG317" s="9"/>
      <c r="AH317" s="62"/>
      <c r="AI317" s="8"/>
      <c r="AJ317" s="9"/>
      <c r="AK317" s="62"/>
      <c r="AL317" s="8"/>
      <c r="AM317" s="9"/>
      <c r="AN317" s="62"/>
      <c r="AO317" s="8"/>
      <c r="AP317" s="9"/>
      <c r="AQ317" s="62"/>
      <c r="AR317" s="8"/>
      <c r="AS317" s="9"/>
      <c r="AT317" s="62"/>
      <c r="AU317" s="8"/>
    </row>
    <row r="318" spans="1:47" ht="29.25" customHeight="1" x14ac:dyDescent="0.6">
      <c r="A318" s="5">
        <v>27</v>
      </c>
      <c r="B318" s="131" t="s">
        <v>98</v>
      </c>
      <c r="C318" s="131"/>
      <c r="D318" s="14" t="s">
        <v>99</v>
      </c>
      <c r="E318" s="132" t="s">
        <v>100</v>
      </c>
      <c r="F318" s="132" t="s">
        <v>101</v>
      </c>
      <c r="G318" s="7" t="s">
        <v>15</v>
      </c>
      <c r="H318" s="16" t="s">
        <v>743</v>
      </c>
      <c r="I318" s="133" t="s">
        <v>744</v>
      </c>
      <c r="J318" s="133" t="s">
        <v>745</v>
      </c>
      <c r="K318" s="41" t="s">
        <v>16</v>
      </c>
      <c r="L318" s="9">
        <v>1730</v>
      </c>
      <c r="M318" s="62">
        <v>23820</v>
      </c>
      <c r="N318" s="78">
        <v>19891.199999999997</v>
      </c>
      <c r="O318" s="9"/>
      <c r="P318" s="62"/>
      <c r="Q318" s="41"/>
      <c r="R318" s="9"/>
      <c r="S318" s="62"/>
      <c r="T318" s="98"/>
      <c r="U318" s="9"/>
      <c r="V318" s="62"/>
      <c r="W318" s="8"/>
      <c r="X318" s="9"/>
      <c r="Y318" s="62"/>
      <c r="Z318" s="8"/>
      <c r="AA318" s="9"/>
      <c r="AB318" s="62"/>
      <c r="AC318" s="8"/>
      <c r="AD318" s="9"/>
      <c r="AE318" s="62"/>
      <c r="AF318" s="8"/>
      <c r="AG318" s="9"/>
      <c r="AH318" s="62"/>
      <c r="AI318" s="8"/>
      <c r="AJ318" s="9"/>
      <c r="AK318" s="62"/>
      <c r="AL318" s="8"/>
      <c r="AM318" s="9"/>
      <c r="AN318" s="62"/>
      <c r="AO318" s="8"/>
      <c r="AP318" s="9"/>
      <c r="AQ318" s="62"/>
      <c r="AR318" s="8"/>
      <c r="AS318" s="9"/>
      <c r="AT318" s="62"/>
      <c r="AU318" s="8"/>
    </row>
    <row r="319" spans="1:47" ht="29.25" customHeight="1" x14ac:dyDescent="0.6">
      <c r="A319" s="5">
        <v>28</v>
      </c>
      <c r="B319" s="131" t="s">
        <v>102</v>
      </c>
      <c r="C319" s="131"/>
      <c r="D319" s="14" t="s">
        <v>103</v>
      </c>
      <c r="E319" s="132" t="s">
        <v>104</v>
      </c>
      <c r="F319" s="132" t="s">
        <v>105</v>
      </c>
      <c r="G319" s="7" t="s">
        <v>15</v>
      </c>
      <c r="H319" s="16" t="s">
        <v>746</v>
      </c>
      <c r="I319" s="133" t="s">
        <v>747</v>
      </c>
      <c r="J319" s="133" t="s">
        <v>748</v>
      </c>
      <c r="K319" s="41" t="s">
        <v>16</v>
      </c>
      <c r="L319" s="9">
        <v>1150</v>
      </c>
      <c r="M319" s="62">
        <v>16080</v>
      </c>
      <c r="N319" s="78">
        <v>11769.199999999999</v>
      </c>
      <c r="O319" s="9"/>
      <c r="P319" s="62"/>
      <c r="Q319" s="41"/>
      <c r="R319" s="9"/>
      <c r="S319" s="62"/>
      <c r="T319" s="98"/>
      <c r="U319" s="9"/>
      <c r="V319" s="62"/>
      <c r="W319" s="8"/>
      <c r="X319" s="9"/>
      <c r="Y319" s="62"/>
      <c r="Z319" s="8"/>
      <c r="AA319" s="9"/>
      <c r="AB319" s="62"/>
      <c r="AC319" s="8"/>
      <c r="AD319" s="9"/>
      <c r="AE319" s="62"/>
      <c r="AF319" s="8"/>
      <c r="AG319" s="9"/>
      <c r="AH319" s="62"/>
      <c r="AI319" s="8"/>
      <c r="AJ319" s="9"/>
      <c r="AK319" s="62"/>
      <c r="AL319" s="8"/>
      <c r="AM319" s="9"/>
      <c r="AN319" s="62"/>
      <c r="AO319" s="8"/>
      <c r="AP319" s="9"/>
      <c r="AQ319" s="62"/>
      <c r="AR319" s="8"/>
      <c r="AS319" s="9"/>
      <c r="AT319" s="62"/>
      <c r="AU319" s="8"/>
    </row>
    <row r="320" spans="1:47" ht="29.25" customHeight="1" x14ac:dyDescent="0.6">
      <c r="A320" s="5">
        <v>29</v>
      </c>
      <c r="B320" s="131" t="s">
        <v>106</v>
      </c>
      <c r="C320" s="131"/>
      <c r="D320" s="14" t="s">
        <v>107</v>
      </c>
      <c r="E320" s="132" t="s">
        <v>82</v>
      </c>
      <c r="F320" s="132" t="s">
        <v>83</v>
      </c>
      <c r="G320" s="7" t="s">
        <v>15</v>
      </c>
      <c r="H320" s="16" t="s">
        <v>749</v>
      </c>
      <c r="I320" s="133" t="s">
        <v>750</v>
      </c>
      <c r="J320" s="133" t="s">
        <v>751</v>
      </c>
      <c r="K320" s="41" t="s">
        <v>16</v>
      </c>
      <c r="L320" s="9">
        <v>825</v>
      </c>
      <c r="M320" s="62">
        <v>12210</v>
      </c>
      <c r="N320" s="78">
        <v>9682.8000000000011</v>
      </c>
      <c r="O320" s="9"/>
      <c r="P320" s="62"/>
      <c r="Q320" s="41"/>
      <c r="R320" s="9"/>
      <c r="S320" s="62"/>
      <c r="T320" s="98"/>
      <c r="U320" s="9"/>
      <c r="V320" s="62"/>
      <c r="W320" s="8"/>
      <c r="X320" s="9"/>
      <c r="Y320" s="62"/>
      <c r="Z320" s="8"/>
      <c r="AA320" s="9"/>
      <c r="AB320" s="62"/>
      <c r="AC320" s="8"/>
      <c r="AD320" s="9"/>
      <c r="AE320" s="62"/>
      <c r="AF320" s="8"/>
      <c r="AG320" s="9"/>
      <c r="AH320" s="62"/>
      <c r="AI320" s="8"/>
      <c r="AJ320" s="9"/>
      <c r="AK320" s="62"/>
      <c r="AL320" s="8"/>
      <c r="AM320" s="9"/>
      <c r="AN320" s="62"/>
      <c r="AO320" s="8"/>
      <c r="AP320" s="9"/>
      <c r="AQ320" s="62"/>
      <c r="AR320" s="8"/>
      <c r="AS320" s="9"/>
      <c r="AT320" s="62"/>
      <c r="AU320" s="8"/>
    </row>
    <row r="321" spans="1:47" ht="29.25" customHeight="1" x14ac:dyDescent="0.6">
      <c r="A321" s="5">
        <v>30</v>
      </c>
      <c r="B321" s="131" t="s">
        <v>108</v>
      </c>
      <c r="C321" s="131"/>
      <c r="D321" s="14" t="s">
        <v>109</v>
      </c>
      <c r="E321" s="132" t="s">
        <v>110</v>
      </c>
      <c r="F321" s="132" t="s">
        <v>111</v>
      </c>
      <c r="G321" s="7" t="s">
        <v>15</v>
      </c>
      <c r="H321" s="16" t="s">
        <v>752</v>
      </c>
      <c r="I321" s="133" t="s">
        <v>753</v>
      </c>
      <c r="J321" s="133" t="s">
        <v>754</v>
      </c>
      <c r="K321" s="41" t="s">
        <v>16</v>
      </c>
      <c r="L321" s="9">
        <v>924</v>
      </c>
      <c r="M321" s="62">
        <v>14008</v>
      </c>
      <c r="N321" s="78">
        <v>9908.4</v>
      </c>
      <c r="O321" s="9"/>
      <c r="P321" s="62"/>
      <c r="Q321" s="41"/>
      <c r="R321" s="9"/>
      <c r="S321" s="62"/>
      <c r="T321" s="98"/>
      <c r="U321" s="9"/>
      <c r="V321" s="62"/>
      <c r="W321" s="8"/>
      <c r="X321" s="9"/>
      <c r="Y321" s="62"/>
      <c r="Z321" s="8"/>
      <c r="AA321" s="9"/>
      <c r="AB321" s="62"/>
      <c r="AC321" s="8"/>
      <c r="AD321" s="9"/>
      <c r="AE321" s="62"/>
      <c r="AF321" s="8"/>
      <c r="AG321" s="9"/>
      <c r="AH321" s="62"/>
      <c r="AI321" s="8"/>
      <c r="AJ321" s="9"/>
      <c r="AK321" s="62"/>
      <c r="AL321" s="8"/>
      <c r="AM321" s="9"/>
      <c r="AN321" s="62"/>
      <c r="AO321" s="8"/>
      <c r="AP321" s="9"/>
      <c r="AQ321" s="62"/>
      <c r="AR321" s="8"/>
      <c r="AS321" s="9"/>
      <c r="AT321" s="62"/>
      <c r="AU321" s="8"/>
    </row>
    <row r="322" spans="1:47" ht="29.25" customHeight="1" x14ac:dyDescent="0.6">
      <c r="A322" s="5">
        <v>31</v>
      </c>
      <c r="B322" s="131" t="s">
        <v>112</v>
      </c>
      <c r="C322" s="131"/>
      <c r="D322" s="14" t="s">
        <v>113</v>
      </c>
      <c r="E322" s="132" t="s">
        <v>75</v>
      </c>
      <c r="F322" s="132" t="s">
        <v>76</v>
      </c>
      <c r="G322" s="7" t="s">
        <v>15</v>
      </c>
      <c r="H322" s="16" t="s">
        <v>755</v>
      </c>
      <c r="I322" s="133" t="s">
        <v>756</v>
      </c>
      <c r="J322" s="133" t="s">
        <v>757</v>
      </c>
      <c r="K322" s="41" t="s">
        <v>16</v>
      </c>
      <c r="L322" s="9">
        <v>635</v>
      </c>
      <c r="M322" s="62">
        <v>9020</v>
      </c>
      <c r="N322" s="78">
        <v>5937.6</v>
      </c>
      <c r="O322" s="9"/>
      <c r="P322" s="62"/>
      <c r="Q322" s="41"/>
      <c r="R322" s="9"/>
      <c r="S322" s="62"/>
      <c r="T322" s="98"/>
      <c r="U322" s="9"/>
      <c r="V322" s="62"/>
      <c r="W322" s="8"/>
      <c r="X322" s="9"/>
      <c r="Y322" s="62"/>
      <c r="Z322" s="8"/>
      <c r="AA322" s="9"/>
      <c r="AB322" s="62"/>
      <c r="AC322" s="8"/>
      <c r="AD322" s="9"/>
      <c r="AE322" s="62"/>
      <c r="AF322" s="8"/>
      <c r="AG322" s="9"/>
      <c r="AH322" s="62"/>
      <c r="AI322" s="8"/>
      <c r="AJ322" s="9"/>
      <c r="AK322" s="62"/>
      <c r="AL322" s="8"/>
      <c r="AM322" s="9"/>
      <c r="AN322" s="62"/>
      <c r="AO322" s="8"/>
      <c r="AP322" s="9"/>
      <c r="AQ322" s="62"/>
      <c r="AR322" s="8"/>
      <c r="AS322" s="9"/>
      <c r="AT322" s="62"/>
      <c r="AU322" s="8"/>
    </row>
    <row r="323" spans="1:47" ht="29.25" customHeight="1" x14ac:dyDescent="0.6">
      <c r="A323" s="5">
        <v>32</v>
      </c>
      <c r="B323" s="131" t="s">
        <v>114</v>
      </c>
      <c r="C323" s="131"/>
      <c r="D323" s="14" t="s">
        <v>115</v>
      </c>
      <c r="E323" s="132" t="s">
        <v>116</v>
      </c>
      <c r="F323" s="132" t="s">
        <v>117</v>
      </c>
      <c r="G323" s="7" t="s">
        <v>15</v>
      </c>
      <c r="H323" s="16" t="s">
        <v>758</v>
      </c>
      <c r="I323" s="133" t="s">
        <v>759</v>
      </c>
      <c r="J323" s="133" t="s">
        <v>760</v>
      </c>
      <c r="K323" s="41" t="s">
        <v>16</v>
      </c>
      <c r="L323" s="9">
        <v>1000</v>
      </c>
      <c r="M323" s="62">
        <v>13780</v>
      </c>
      <c r="N323" s="78">
        <v>9114.4</v>
      </c>
      <c r="O323" s="9"/>
      <c r="P323" s="62"/>
      <c r="Q323" s="41"/>
      <c r="R323" s="9"/>
      <c r="S323" s="62"/>
      <c r="T323" s="98"/>
      <c r="U323" s="9"/>
      <c r="V323" s="62"/>
      <c r="W323" s="8"/>
      <c r="X323" s="9"/>
      <c r="Y323" s="62"/>
      <c r="Z323" s="8"/>
      <c r="AA323" s="9"/>
      <c r="AB323" s="62"/>
      <c r="AC323" s="8"/>
      <c r="AD323" s="9"/>
      <c r="AE323" s="62"/>
      <c r="AF323" s="8"/>
      <c r="AG323" s="9"/>
      <c r="AH323" s="62"/>
      <c r="AI323" s="8"/>
      <c r="AJ323" s="9"/>
      <c r="AK323" s="62"/>
      <c r="AL323" s="8"/>
      <c r="AM323" s="9"/>
      <c r="AN323" s="62"/>
      <c r="AO323" s="8"/>
      <c r="AP323" s="9"/>
      <c r="AQ323" s="62"/>
      <c r="AR323" s="8"/>
      <c r="AS323" s="9"/>
      <c r="AT323" s="62"/>
      <c r="AU323" s="8"/>
    </row>
    <row r="324" spans="1:47" ht="29.25" customHeight="1" x14ac:dyDescent="0.6">
      <c r="A324" s="5">
        <v>33</v>
      </c>
      <c r="B324" s="134" t="s">
        <v>118</v>
      </c>
      <c r="C324" s="134"/>
      <c r="D324" s="18" t="s">
        <v>119</v>
      </c>
      <c r="E324" s="131" t="s">
        <v>120</v>
      </c>
      <c r="F324" s="131" t="s">
        <v>20</v>
      </c>
      <c r="G324" s="7" t="s">
        <v>15</v>
      </c>
      <c r="H324" s="135"/>
      <c r="I324" s="135"/>
      <c r="J324" s="21" t="s">
        <v>1119</v>
      </c>
      <c r="K324" s="41" t="s">
        <v>16</v>
      </c>
      <c r="L324" s="9">
        <v>360</v>
      </c>
      <c r="M324" s="62">
        <v>4680</v>
      </c>
      <c r="N324" s="78">
        <v>3772.8</v>
      </c>
      <c r="O324" s="9"/>
      <c r="P324" s="62"/>
      <c r="Q324" s="41"/>
      <c r="R324" s="9"/>
      <c r="S324" s="62"/>
      <c r="T324" s="98"/>
      <c r="U324" s="9"/>
      <c r="V324" s="62"/>
      <c r="W324" s="8"/>
      <c r="X324" s="9"/>
      <c r="Y324" s="62"/>
      <c r="Z324" s="8"/>
      <c r="AA324" s="9"/>
      <c r="AB324" s="62"/>
      <c r="AC324" s="8"/>
      <c r="AD324" s="9"/>
      <c r="AE324" s="62"/>
      <c r="AF324" s="8"/>
      <c r="AG324" s="9"/>
      <c r="AH324" s="62"/>
      <c r="AI324" s="8"/>
      <c r="AJ324" s="9"/>
      <c r="AK324" s="62"/>
      <c r="AL324" s="8"/>
      <c r="AM324" s="9"/>
      <c r="AN324" s="62"/>
      <c r="AO324" s="8"/>
      <c r="AP324" s="9"/>
      <c r="AQ324" s="62"/>
      <c r="AR324" s="8"/>
      <c r="AS324" s="9"/>
      <c r="AT324" s="62"/>
      <c r="AU324" s="8"/>
    </row>
    <row r="325" spans="1:47" ht="29.25" customHeight="1" x14ac:dyDescent="0.6">
      <c r="A325" s="5">
        <v>34</v>
      </c>
      <c r="B325" s="131" t="s">
        <v>121</v>
      </c>
      <c r="C325" s="131"/>
      <c r="D325" s="14" t="s">
        <v>122</v>
      </c>
      <c r="E325" s="132" t="s">
        <v>41</v>
      </c>
      <c r="F325" s="132" t="s">
        <v>42</v>
      </c>
      <c r="G325" s="7" t="s">
        <v>15</v>
      </c>
      <c r="H325" s="21" t="s">
        <v>761</v>
      </c>
      <c r="I325" s="136" t="s">
        <v>762</v>
      </c>
      <c r="J325" s="136" t="s">
        <v>763</v>
      </c>
      <c r="K325" s="41" t="s">
        <v>16</v>
      </c>
      <c r="L325" s="9">
        <v>805</v>
      </c>
      <c r="M325" s="62">
        <v>10100</v>
      </c>
      <c r="N325" s="78">
        <v>9214</v>
      </c>
      <c r="O325" s="9"/>
      <c r="P325" s="62"/>
      <c r="Q325" s="41"/>
      <c r="R325" s="9"/>
      <c r="S325" s="62"/>
      <c r="T325" s="98"/>
      <c r="U325" s="9"/>
      <c r="V325" s="62"/>
      <c r="W325" s="8"/>
      <c r="X325" s="9"/>
      <c r="Y325" s="62"/>
      <c r="Z325" s="8"/>
      <c r="AA325" s="9"/>
      <c r="AB325" s="62"/>
      <c r="AC325" s="8"/>
      <c r="AD325" s="9"/>
      <c r="AE325" s="62"/>
      <c r="AF325" s="8"/>
      <c r="AG325" s="9"/>
      <c r="AH325" s="62"/>
      <c r="AI325" s="8"/>
      <c r="AJ325" s="9"/>
      <c r="AK325" s="62"/>
      <c r="AL325" s="8"/>
      <c r="AM325" s="9"/>
      <c r="AN325" s="62"/>
      <c r="AO325" s="8"/>
      <c r="AP325" s="9"/>
      <c r="AQ325" s="62"/>
      <c r="AR325" s="8"/>
      <c r="AS325" s="9"/>
      <c r="AT325" s="62"/>
      <c r="AU325" s="8"/>
    </row>
    <row r="326" spans="1:47" ht="29.25" customHeight="1" x14ac:dyDescent="0.6">
      <c r="A326" s="76">
        <v>35</v>
      </c>
      <c r="B326" s="137" t="s">
        <v>123</v>
      </c>
      <c r="C326" s="137"/>
      <c r="D326" s="79" t="s">
        <v>124</v>
      </c>
      <c r="E326" s="137" t="s">
        <v>75</v>
      </c>
      <c r="F326" s="137" t="s">
        <v>76</v>
      </c>
      <c r="G326" s="77" t="s">
        <v>15</v>
      </c>
      <c r="H326" s="16" t="s">
        <v>764</v>
      </c>
      <c r="I326" s="133" t="s">
        <v>765</v>
      </c>
      <c r="J326" s="133" t="s">
        <v>766</v>
      </c>
      <c r="K326" s="78" t="s">
        <v>125</v>
      </c>
      <c r="L326" s="83">
        <v>925</v>
      </c>
      <c r="M326" s="75">
        <v>12320</v>
      </c>
      <c r="N326" s="78">
        <v>9083.6</v>
      </c>
      <c r="O326" s="83"/>
      <c r="P326" s="75"/>
      <c r="Q326" s="78"/>
      <c r="R326" s="83"/>
      <c r="S326" s="75"/>
      <c r="T326" s="98"/>
      <c r="U326" s="83"/>
      <c r="V326" s="75"/>
      <c r="W326" s="97"/>
      <c r="X326" s="83"/>
      <c r="Y326" s="75"/>
      <c r="Z326" s="98"/>
      <c r="AA326" s="83"/>
      <c r="AB326" s="75"/>
      <c r="AC326" s="98"/>
      <c r="AD326" s="83"/>
      <c r="AE326" s="75"/>
      <c r="AF326" s="98"/>
      <c r="AG326" s="83"/>
      <c r="AH326" s="75"/>
      <c r="AI326" s="98"/>
      <c r="AJ326" s="83"/>
      <c r="AK326" s="75"/>
      <c r="AL326" s="98"/>
      <c r="AM326" s="83"/>
      <c r="AN326" s="75"/>
      <c r="AO326" s="98"/>
      <c r="AP326" s="83"/>
      <c r="AQ326" s="75"/>
      <c r="AR326" s="98"/>
      <c r="AS326" s="83"/>
      <c r="AT326" s="75"/>
      <c r="AU326" s="98"/>
    </row>
    <row r="327" spans="1:47" ht="29.25" customHeight="1" x14ac:dyDescent="0.6">
      <c r="A327" s="5">
        <v>36</v>
      </c>
      <c r="B327" s="134" t="s">
        <v>126</v>
      </c>
      <c r="C327" s="134"/>
      <c r="D327" s="16" t="s">
        <v>127</v>
      </c>
      <c r="E327" s="132" t="s">
        <v>128</v>
      </c>
      <c r="F327" s="131" t="s">
        <v>129</v>
      </c>
      <c r="G327" s="7" t="s">
        <v>15</v>
      </c>
      <c r="H327" s="16" t="s">
        <v>767</v>
      </c>
      <c r="I327" s="16" t="s">
        <v>768</v>
      </c>
      <c r="J327" s="16" t="s">
        <v>769</v>
      </c>
      <c r="K327" s="41" t="s">
        <v>16</v>
      </c>
      <c r="L327" s="9">
        <v>1320</v>
      </c>
      <c r="M327" s="62">
        <v>19430</v>
      </c>
      <c r="N327" s="78">
        <v>15099.6</v>
      </c>
      <c r="O327" s="9"/>
      <c r="P327" s="62"/>
      <c r="Q327" s="41"/>
      <c r="R327" s="9"/>
      <c r="S327" s="62"/>
      <c r="T327" s="98"/>
      <c r="U327" s="9"/>
      <c r="V327" s="62"/>
      <c r="W327" s="8"/>
      <c r="X327" s="9"/>
      <c r="Y327" s="62"/>
      <c r="Z327" s="8"/>
      <c r="AA327" s="9"/>
      <c r="AB327" s="62"/>
      <c r="AC327" s="8"/>
      <c r="AD327" s="9"/>
      <c r="AE327" s="62"/>
      <c r="AF327" s="8"/>
      <c r="AG327" s="9"/>
      <c r="AH327" s="62"/>
      <c r="AI327" s="8"/>
      <c r="AJ327" s="9"/>
      <c r="AK327" s="62"/>
      <c r="AL327" s="8"/>
      <c r="AM327" s="9"/>
      <c r="AN327" s="62"/>
      <c r="AO327" s="8"/>
      <c r="AP327" s="9"/>
      <c r="AQ327" s="62"/>
      <c r="AR327" s="8"/>
      <c r="AS327" s="9"/>
      <c r="AT327" s="62"/>
      <c r="AU327" s="8"/>
    </row>
    <row r="328" spans="1:47" ht="29.25" customHeight="1" x14ac:dyDescent="0.6">
      <c r="A328" s="5">
        <v>37</v>
      </c>
      <c r="B328" s="131" t="s">
        <v>130</v>
      </c>
      <c r="C328" s="131"/>
      <c r="D328" s="14" t="s">
        <v>131</v>
      </c>
      <c r="E328" s="132" t="s">
        <v>132</v>
      </c>
      <c r="F328" s="132" t="s">
        <v>133</v>
      </c>
      <c r="G328" s="7" t="s">
        <v>15</v>
      </c>
      <c r="H328" s="16" t="s">
        <v>770</v>
      </c>
      <c r="I328" s="133" t="s">
        <v>771</v>
      </c>
      <c r="J328" s="133" t="s">
        <v>772</v>
      </c>
      <c r="K328" s="41" t="s">
        <v>16</v>
      </c>
      <c r="L328" s="9">
        <v>668</v>
      </c>
      <c r="M328" s="62">
        <v>9116</v>
      </c>
      <c r="N328" s="78">
        <v>7484.0000000000009</v>
      </c>
      <c r="O328" s="9"/>
      <c r="P328" s="62"/>
      <c r="Q328" s="41"/>
      <c r="R328" s="9"/>
      <c r="S328" s="62"/>
      <c r="T328" s="98"/>
      <c r="U328" s="9"/>
      <c r="V328" s="62"/>
      <c r="W328" s="8"/>
      <c r="X328" s="9"/>
      <c r="Y328" s="62"/>
      <c r="Z328" s="8"/>
      <c r="AA328" s="9"/>
      <c r="AB328" s="62"/>
      <c r="AC328" s="8"/>
      <c r="AD328" s="9"/>
      <c r="AE328" s="62"/>
      <c r="AF328" s="8"/>
      <c r="AG328" s="9"/>
      <c r="AH328" s="62"/>
      <c r="AI328" s="8"/>
      <c r="AJ328" s="9"/>
      <c r="AK328" s="62"/>
      <c r="AL328" s="8"/>
      <c r="AM328" s="9"/>
      <c r="AN328" s="62"/>
      <c r="AO328" s="8"/>
      <c r="AP328" s="9"/>
      <c r="AQ328" s="62"/>
      <c r="AR328" s="8"/>
      <c r="AS328" s="9"/>
      <c r="AT328" s="62"/>
      <c r="AU328" s="8"/>
    </row>
    <row r="329" spans="1:47" ht="29.25" customHeight="1" x14ac:dyDescent="0.6">
      <c r="A329" s="5">
        <v>38</v>
      </c>
      <c r="B329" s="131" t="s">
        <v>134</v>
      </c>
      <c r="C329" s="131"/>
      <c r="D329" s="14" t="s">
        <v>135</v>
      </c>
      <c r="E329" s="131" t="s">
        <v>136</v>
      </c>
      <c r="F329" s="131" t="s">
        <v>137</v>
      </c>
      <c r="G329" s="7" t="s">
        <v>15</v>
      </c>
      <c r="H329" s="21" t="s">
        <v>773</v>
      </c>
      <c r="I329" s="21" t="s">
        <v>774</v>
      </c>
      <c r="J329" s="21" t="s">
        <v>775</v>
      </c>
      <c r="K329" s="41" t="s">
        <v>16</v>
      </c>
      <c r="L329" s="9">
        <v>700</v>
      </c>
      <c r="M329" s="62">
        <v>9320</v>
      </c>
      <c r="N329" s="78">
        <v>6821.6</v>
      </c>
      <c r="O329" s="9"/>
      <c r="P329" s="62"/>
      <c r="Q329" s="41"/>
      <c r="R329" s="9"/>
      <c r="S329" s="62"/>
      <c r="T329" s="98"/>
      <c r="U329" s="9"/>
      <c r="V329" s="62"/>
      <c r="W329" s="8"/>
      <c r="X329" s="9"/>
      <c r="Y329" s="62"/>
      <c r="Z329" s="8"/>
      <c r="AA329" s="9"/>
      <c r="AB329" s="62"/>
      <c r="AC329" s="8"/>
      <c r="AD329" s="9"/>
      <c r="AE329" s="62"/>
      <c r="AF329" s="8"/>
      <c r="AG329" s="9"/>
      <c r="AH329" s="62"/>
      <c r="AI329" s="8"/>
      <c r="AJ329" s="9"/>
      <c r="AK329" s="62"/>
      <c r="AL329" s="8"/>
      <c r="AM329" s="9"/>
      <c r="AN329" s="62"/>
      <c r="AO329" s="8"/>
      <c r="AP329" s="9"/>
      <c r="AQ329" s="62"/>
      <c r="AR329" s="8"/>
      <c r="AS329" s="9"/>
      <c r="AT329" s="62"/>
      <c r="AU329" s="8"/>
    </row>
    <row r="330" spans="1:47" ht="29.25" customHeight="1" x14ac:dyDescent="0.6">
      <c r="A330" s="5">
        <v>39</v>
      </c>
      <c r="B330" s="138" t="s">
        <v>138</v>
      </c>
      <c r="C330" s="138"/>
      <c r="D330" s="20" t="s">
        <v>139</v>
      </c>
      <c r="E330" s="139" t="s">
        <v>140</v>
      </c>
      <c r="F330" s="140" t="s">
        <v>30</v>
      </c>
      <c r="G330" s="7" t="s">
        <v>15</v>
      </c>
      <c r="H330" s="21"/>
      <c r="I330" s="21"/>
      <c r="J330" s="21" t="s">
        <v>1120</v>
      </c>
      <c r="K330" s="41" t="s">
        <v>16</v>
      </c>
      <c r="L330" s="9">
        <v>200</v>
      </c>
      <c r="M330" s="62">
        <v>2600</v>
      </c>
      <c r="N330" s="78">
        <v>2096</v>
      </c>
      <c r="O330" s="9"/>
      <c r="P330" s="62"/>
      <c r="Q330" s="41"/>
      <c r="R330" s="9"/>
      <c r="S330" s="62"/>
      <c r="T330" s="98"/>
      <c r="U330" s="9"/>
      <c r="V330" s="62"/>
      <c r="W330" s="8"/>
      <c r="X330" s="9"/>
      <c r="Y330" s="62"/>
      <c r="Z330" s="8"/>
      <c r="AA330" s="9"/>
      <c r="AB330" s="62"/>
      <c r="AC330" s="8"/>
      <c r="AD330" s="9"/>
      <c r="AE330" s="62"/>
      <c r="AF330" s="8"/>
      <c r="AG330" s="9"/>
      <c r="AH330" s="62"/>
      <c r="AI330" s="8"/>
      <c r="AJ330" s="9"/>
      <c r="AK330" s="62"/>
      <c r="AL330" s="8"/>
      <c r="AM330" s="9"/>
      <c r="AN330" s="62"/>
      <c r="AO330" s="8"/>
      <c r="AP330" s="9"/>
      <c r="AQ330" s="62"/>
      <c r="AR330" s="8"/>
      <c r="AS330" s="9"/>
      <c r="AT330" s="62"/>
      <c r="AU330" s="8"/>
    </row>
    <row r="331" spans="1:47" ht="29.25" customHeight="1" x14ac:dyDescent="0.6">
      <c r="A331" s="5">
        <v>40</v>
      </c>
      <c r="B331" s="131" t="s">
        <v>141</v>
      </c>
      <c r="C331" s="131"/>
      <c r="D331" s="14" t="s">
        <v>142</v>
      </c>
      <c r="E331" s="132" t="s">
        <v>116</v>
      </c>
      <c r="F331" s="132" t="s">
        <v>117</v>
      </c>
      <c r="G331" s="7" t="s">
        <v>15</v>
      </c>
      <c r="H331" s="16" t="s">
        <v>776</v>
      </c>
      <c r="I331" s="133" t="s">
        <v>777</v>
      </c>
      <c r="J331" s="133" t="s">
        <v>778</v>
      </c>
      <c r="K331" s="41" t="s">
        <v>16</v>
      </c>
      <c r="L331" s="9">
        <v>600</v>
      </c>
      <c r="M331" s="62">
        <v>8200</v>
      </c>
      <c r="N331" s="78">
        <v>5320</v>
      </c>
      <c r="O331" s="9"/>
      <c r="P331" s="62"/>
      <c r="Q331" s="41"/>
      <c r="R331" s="9"/>
      <c r="S331" s="62"/>
      <c r="T331" s="98"/>
      <c r="U331" s="9"/>
      <c r="V331" s="62"/>
      <c r="W331" s="8"/>
      <c r="X331" s="9"/>
      <c r="Y331" s="62"/>
      <c r="Z331" s="8"/>
      <c r="AA331" s="9"/>
      <c r="AB331" s="62"/>
      <c r="AC331" s="8"/>
      <c r="AD331" s="9"/>
      <c r="AE331" s="62"/>
      <c r="AF331" s="8"/>
      <c r="AG331" s="9"/>
      <c r="AH331" s="62"/>
      <c r="AI331" s="8"/>
      <c r="AJ331" s="9"/>
      <c r="AK331" s="62"/>
      <c r="AL331" s="8"/>
      <c r="AM331" s="9"/>
      <c r="AN331" s="62"/>
      <c r="AO331" s="8"/>
      <c r="AP331" s="9"/>
      <c r="AQ331" s="62"/>
      <c r="AR331" s="8"/>
      <c r="AS331" s="9"/>
      <c r="AT331" s="62"/>
      <c r="AU331" s="8"/>
    </row>
    <row r="332" spans="1:47" ht="29.25" customHeight="1" x14ac:dyDescent="0.6">
      <c r="A332" s="76">
        <v>41</v>
      </c>
      <c r="B332" s="137" t="s">
        <v>143</v>
      </c>
      <c r="C332" s="137"/>
      <c r="D332" s="79" t="s">
        <v>144</v>
      </c>
      <c r="E332" s="137" t="s">
        <v>145</v>
      </c>
      <c r="F332" s="137" t="s">
        <v>146</v>
      </c>
      <c r="G332" s="77" t="s">
        <v>15</v>
      </c>
      <c r="H332" s="21" t="s">
        <v>779</v>
      </c>
      <c r="I332" s="21" t="s">
        <v>780</v>
      </c>
      <c r="J332" s="21" t="s">
        <v>781</v>
      </c>
      <c r="K332" s="78" t="s">
        <v>16</v>
      </c>
      <c r="L332" s="83">
        <v>549</v>
      </c>
      <c r="M332" s="75">
        <v>6788</v>
      </c>
      <c r="N332" s="78">
        <v>6284</v>
      </c>
      <c r="O332" s="83"/>
      <c r="P332" s="75"/>
      <c r="Q332" s="78"/>
      <c r="R332" s="83"/>
      <c r="S332" s="75"/>
      <c r="T332" s="98"/>
      <c r="U332" s="83"/>
      <c r="V332" s="75"/>
      <c r="W332" s="98"/>
      <c r="X332" s="83"/>
      <c r="Y332" s="75"/>
      <c r="Z332" s="98"/>
      <c r="AA332" s="83"/>
      <c r="AB332" s="75"/>
      <c r="AC332" s="98"/>
      <c r="AD332" s="83"/>
      <c r="AE332" s="75"/>
      <c r="AF332" s="98"/>
      <c r="AG332" s="83"/>
      <c r="AH332" s="75"/>
      <c r="AI332" s="98"/>
      <c r="AJ332" s="83"/>
      <c r="AK332" s="75"/>
      <c r="AL332" s="98"/>
      <c r="AM332" s="83"/>
      <c r="AN332" s="75"/>
      <c r="AO332" s="98"/>
      <c r="AP332" s="83"/>
      <c r="AQ332" s="75"/>
      <c r="AR332" s="98"/>
      <c r="AS332" s="83"/>
      <c r="AT332" s="75"/>
      <c r="AU332" s="98"/>
    </row>
    <row r="333" spans="1:47" ht="29.25" customHeight="1" x14ac:dyDescent="0.6">
      <c r="A333" s="5">
        <v>42</v>
      </c>
      <c r="B333" s="21" t="s">
        <v>147</v>
      </c>
      <c r="C333" s="21"/>
      <c r="D333" s="14" t="s">
        <v>147</v>
      </c>
      <c r="E333" s="15" t="s">
        <v>148</v>
      </c>
      <c r="F333" s="14" t="s">
        <v>149</v>
      </c>
      <c r="G333" s="7" t="s">
        <v>150</v>
      </c>
      <c r="H333" s="18" t="s">
        <v>782</v>
      </c>
      <c r="I333" s="18" t="s">
        <v>783</v>
      </c>
      <c r="J333" s="14" t="s">
        <v>784</v>
      </c>
      <c r="K333" s="49" t="s">
        <v>151</v>
      </c>
      <c r="L333" s="151">
        <v>117</v>
      </c>
      <c r="M333" s="152">
        <v>1678</v>
      </c>
      <c r="N333" s="121">
        <v>1203.1200000000001</v>
      </c>
      <c r="O333" s="27"/>
      <c r="P333" s="58"/>
      <c r="Q333" s="104"/>
      <c r="R333" s="27"/>
      <c r="S333" s="58"/>
      <c r="T333" s="98"/>
      <c r="U333" s="27"/>
      <c r="V333" s="58"/>
      <c r="W333" s="107"/>
      <c r="X333" s="27"/>
      <c r="Y333" s="58"/>
      <c r="Z333" s="107"/>
      <c r="AA333" s="27"/>
      <c r="AB333" s="58"/>
      <c r="AC333" s="107"/>
      <c r="AD333" s="27"/>
      <c r="AE333" s="58"/>
      <c r="AF333" s="12"/>
      <c r="AG333" s="27"/>
      <c r="AH333" s="58"/>
      <c r="AI333" s="107"/>
      <c r="AJ333" s="27"/>
      <c r="AK333" s="58"/>
      <c r="AL333" s="107"/>
      <c r="AM333" s="27"/>
      <c r="AN333" s="58"/>
      <c r="AO333" s="107"/>
      <c r="AP333" s="27"/>
      <c r="AQ333" s="58"/>
      <c r="AR333" s="107"/>
      <c r="AS333" s="27"/>
      <c r="AT333" s="58"/>
      <c r="AU333" s="12"/>
    </row>
    <row r="334" spans="1:47" ht="29.25" customHeight="1" x14ac:dyDescent="0.6">
      <c r="A334" s="5">
        <v>43</v>
      </c>
      <c r="B334" s="21" t="s">
        <v>154</v>
      </c>
      <c r="C334" s="21"/>
      <c r="D334" s="16" t="s">
        <v>153</v>
      </c>
      <c r="E334" s="15" t="s">
        <v>148</v>
      </c>
      <c r="F334" s="14" t="s">
        <v>149</v>
      </c>
      <c r="G334" s="7" t="s">
        <v>150</v>
      </c>
      <c r="H334" s="18" t="s">
        <v>152</v>
      </c>
      <c r="I334" s="18" t="s">
        <v>153</v>
      </c>
      <c r="J334" s="14" t="s">
        <v>785</v>
      </c>
      <c r="K334" s="49" t="s">
        <v>151</v>
      </c>
      <c r="L334" s="151">
        <v>535</v>
      </c>
      <c r="M334" s="152">
        <v>8080</v>
      </c>
      <c r="N334" s="121">
        <v>6076.8</v>
      </c>
      <c r="O334" s="27"/>
      <c r="P334" s="58"/>
      <c r="Q334" s="104"/>
      <c r="R334" s="27"/>
      <c r="S334" s="58"/>
      <c r="T334" s="98"/>
      <c r="U334" s="27"/>
      <c r="V334" s="58"/>
      <c r="W334" s="107"/>
      <c r="X334" s="27"/>
      <c r="Y334" s="58"/>
      <c r="Z334" s="12"/>
      <c r="AA334" s="27"/>
      <c r="AB334" s="58"/>
      <c r="AC334" s="12"/>
      <c r="AD334" s="27"/>
      <c r="AE334" s="58"/>
      <c r="AF334" s="12"/>
      <c r="AG334" s="27"/>
      <c r="AH334" s="58"/>
      <c r="AI334" s="107"/>
      <c r="AJ334" s="27"/>
      <c r="AK334" s="58"/>
      <c r="AL334" s="107"/>
      <c r="AM334" s="27"/>
      <c r="AN334" s="58"/>
      <c r="AO334" s="107"/>
      <c r="AP334" s="27"/>
      <c r="AQ334" s="58"/>
      <c r="AR334" s="107"/>
      <c r="AS334" s="27"/>
      <c r="AT334" s="58"/>
      <c r="AU334" s="12"/>
    </row>
    <row r="335" spans="1:47" ht="29.25" customHeight="1" x14ac:dyDescent="0.6">
      <c r="A335" s="5">
        <v>44</v>
      </c>
      <c r="B335" s="21" t="s">
        <v>156</v>
      </c>
      <c r="C335" s="21"/>
      <c r="D335" s="16" t="s">
        <v>155</v>
      </c>
      <c r="E335" s="15" t="s">
        <v>128</v>
      </c>
      <c r="F335" s="14" t="s">
        <v>129</v>
      </c>
      <c r="G335" s="7" t="s">
        <v>150</v>
      </c>
      <c r="H335" s="18" t="s">
        <v>786</v>
      </c>
      <c r="I335" s="18" t="s">
        <v>787</v>
      </c>
      <c r="J335" s="14" t="s">
        <v>788</v>
      </c>
      <c r="K335" s="49" t="s">
        <v>151</v>
      </c>
      <c r="L335" s="151">
        <v>48</v>
      </c>
      <c r="M335" s="152">
        <v>1008</v>
      </c>
      <c r="N335" s="121">
        <v>524</v>
      </c>
      <c r="O335" s="27"/>
      <c r="P335" s="58"/>
      <c r="Q335" s="104"/>
      <c r="R335" s="27"/>
      <c r="S335" s="58"/>
      <c r="T335" s="98"/>
      <c r="U335" s="27"/>
      <c r="V335" s="58"/>
      <c r="W335" s="107"/>
      <c r="X335" s="27"/>
      <c r="Y335" s="58"/>
      <c r="Z335" s="12"/>
      <c r="AA335" s="27"/>
      <c r="AB335" s="58"/>
      <c r="AC335" s="107"/>
      <c r="AD335" s="27"/>
      <c r="AE335" s="58"/>
      <c r="AF335" s="107"/>
      <c r="AG335" s="27"/>
      <c r="AH335" s="58"/>
      <c r="AI335" s="107"/>
      <c r="AJ335" s="27"/>
      <c r="AK335" s="58"/>
      <c r="AL335" s="107"/>
      <c r="AM335" s="27"/>
      <c r="AN335" s="58"/>
      <c r="AO335" s="107"/>
      <c r="AP335" s="27"/>
      <c r="AQ335" s="58"/>
      <c r="AR335" s="107"/>
      <c r="AS335" s="27"/>
      <c r="AT335" s="58"/>
      <c r="AU335" s="12"/>
    </row>
    <row r="336" spans="1:47" ht="29.25" customHeight="1" x14ac:dyDescent="0.6">
      <c r="A336" s="5">
        <v>45</v>
      </c>
      <c r="B336" s="21" t="s">
        <v>158</v>
      </c>
      <c r="C336" s="21"/>
      <c r="D336" s="16" t="s">
        <v>157</v>
      </c>
      <c r="E336" s="15" t="s">
        <v>128</v>
      </c>
      <c r="F336" s="14" t="s">
        <v>129</v>
      </c>
      <c r="G336" s="7" t="s">
        <v>150</v>
      </c>
      <c r="H336" s="18" t="s">
        <v>789</v>
      </c>
      <c r="I336" s="18" t="s">
        <v>790</v>
      </c>
      <c r="J336" s="14" t="s">
        <v>791</v>
      </c>
      <c r="K336" s="49" t="s">
        <v>151</v>
      </c>
      <c r="L336" s="151">
        <v>170</v>
      </c>
      <c r="M336" s="152">
        <v>3080</v>
      </c>
      <c r="N336" s="121">
        <v>2018.8</v>
      </c>
      <c r="O336" s="27"/>
      <c r="P336" s="58"/>
      <c r="Q336" s="49"/>
      <c r="R336" s="27"/>
      <c r="S336" s="58"/>
      <c r="T336" s="98"/>
      <c r="U336" s="27"/>
      <c r="V336" s="58"/>
      <c r="W336" s="107"/>
      <c r="X336" s="27"/>
      <c r="Y336" s="58"/>
      <c r="Z336" s="12"/>
      <c r="AA336" s="27"/>
      <c r="AB336" s="58"/>
      <c r="AC336" s="107"/>
      <c r="AD336" s="27"/>
      <c r="AE336" s="58"/>
      <c r="AF336" s="107"/>
      <c r="AG336" s="27"/>
      <c r="AH336" s="58"/>
      <c r="AI336" s="107"/>
      <c r="AJ336" s="27"/>
      <c r="AK336" s="58"/>
      <c r="AL336" s="107"/>
      <c r="AM336" s="27"/>
      <c r="AN336" s="58"/>
      <c r="AO336" s="107"/>
      <c r="AP336" s="27"/>
      <c r="AQ336" s="58"/>
      <c r="AR336" s="107"/>
      <c r="AS336" s="27"/>
      <c r="AT336" s="58"/>
      <c r="AU336" s="12"/>
    </row>
    <row r="337" spans="1:47" ht="29.25" customHeight="1" x14ac:dyDescent="0.6">
      <c r="A337" s="5">
        <v>46</v>
      </c>
      <c r="B337" s="21" t="s">
        <v>162</v>
      </c>
      <c r="C337" s="21"/>
      <c r="D337" s="16" t="s">
        <v>159</v>
      </c>
      <c r="E337" s="15" t="s">
        <v>128</v>
      </c>
      <c r="F337" s="14" t="s">
        <v>129</v>
      </c>
      <c r="G337" s="7" t="s">
        <v>150</v>
      </c>
      <c r="H337" s="18" t="s">
        <v>158</v>
      </c>
      <c r="I337" s="18" t="s">
        <v>792</v>
      </c>
      <c r="J337" s="14" t="s">
        <v>793</v>
      </c>
      <c r="K337" s="49" t="s">
        <v>151</v>
      </c>
      <c r="L337" s="151">
        <v>147</v>
      </c>
      <c r="M337" s="152">
        <v>1764</v>
      </c>
      <c r="N337" s="121">
        <v>1764</v>
      </c>
      <c r="O337" s="27"/>
      <c r="P337" s="58"/>
      <c r="Q337" s="49"/>
      <c r="R337" s="27"/>
      <c r="S337" s="58"/>
      <c r="T337" s="98"/>
      <c r="U337" s="27"/>
      <c r="V337" s="58"/>
      <c r="W337" s="12"/>
      <c r="X337" s="27"/>
      <c r="Y337" s="58"/>
      <c r="Z337" s="12"/>
      <c r="AA337" s="27"/>
      <c r="AB337" s="58"/>
      <c r="AC337" s="107"/>
      <c r="AD337" s="27"/>
      <c r="AE337" s="58"/>
      <c r="AF337" s="107"/>
      <c r="AG337" s="27"/>
      <c r="AH337" s="58"/>
      <c r="AI337" s="107"/>
      <c r="AJ337" s="27"/>
      <c r="AK337" s="58"/>
      <c r="AL337" s="107"/>
      <c r="AM337" s="27"/>
      <c r="AN337" s="58"/>
      <c r="AO337" s="107"/>
      <c r="AP337" s="27"/>
      <c r="AQ337" s="58"/>
      <c r="AR337" s="107"/>
      <c r="AS337" s="27"/>
      <c r="AT337" s="58"/>
      <c r="AU337" s="12"/>
    </row>
    <row r="338" spans="1:47" ht="29.25" customHeight="1" x14ac:dyDescent="0.6">
      <c r="A338" s="5">
        <v>47</v>
      </c>
      <c r="B338" s="21" t="s">
        <v>164</v>
      </c>
      <c r="C338" s="21"/>
      <c r="D338" s="16" t="s">
        <v>161</v>
      </c>
      <c r="E338" s="15" t="s">
        <v>128</v>
      </c>
      <c r="F338" s="14" t="s">
        <v>129</v>
      </c>
      <c r="G338" s="7" t="s">
        <v>150</v>
      </c>
      <c r="H338" s="141" t="s">
        <v>794</v>
      </c>
      <c r="I338" s="141"/>
      <c r="J338" s="141" t="s">
        <v>1121</v>
      </c>
      <c r="K338" s="49" t="s">
        <v>151</v>
      </c>
      <c r="L338" s="151">
        <v>83</v>
      </c>
      <c r="M338" s="152">
        <v>1120</v>
      </c>
      <c r="N338" s="121">
        <v>941.2</v>
      </c>
      <c r="O338" s="27"/>
      <c r="P338" s="58"/>
      <c r="Q338" s="49"/>
      <c r="R338" s="27"/>
      <c r="S338" s="58"/>
      <c r="T338" s="98"/>
      <c r="U338" s="27"/>
      <c r="V338" s="58"/>
      <c r="W338" s="12"/>
      <c r="X338" s="27"/>
      <c r="Y338" s="58"/>
      <c r="Z338" s="12"/>
      <c r="AA338" s="27"/>
      <c r="AB338" s="58"/>
      <c r="AC338" s="107"/>
      <c r="AD338" s="27"/>
      <c r="AE338" s="58"/>
      <c r="AF338" s="107"/>
      <c r="AG338" s="27"/>
      <c r="AH338" s="58"/>
      <c r="AI338" s="107"/>
      <c r="AJ338" s="27"/>
      <c r="AK338" s="58"/>
      <c r="AL338" s="107"/>
      <c r="AM338" s="27"/>
      <c r="AN338" s="58"/>
      <c r="AO338" s="107"/>
      <c r="AP338" s="27"/>
      <c r="AQ338" s="58"/>
      <c r="AR338" s="107"/>
      <c r="AS338" s="27"/>
      <c r="AT338" s="58"/>
      <c r="AU338" s="12"/>
    </row>
    <row r="339" spans="1:47" ht="29.25" customHeight="1" x14ac:dyDescent="0.6">
      <c r="A339" s="5">
        <v>48</v>
      </c>
      <c r="B339" s="21" t="s">
        <v>166</v>
      </c>
      <c r="C339" s="21"/>
      <c r="D339" s="16" t="s">
        <v>163</v>
      </c>
      <c r="E339" s="15" t="s">
        <v>128</v>
      </c>
      <c r="F339" s="14" t="s">
        <v>129</v>
      </c>
      <c r="G339" s="7" t="s">
        <v>150</v>
      </c>
      <c r="H339" s="18" t="s">
        <v>795</v>
      </c>
      <c r="I339" s="18" t="s">
        <v>796</v>
      </c>
      <c r="J339" s="14" t="s">
        <v>797</v>
      </c>
      <c r="K339" s="49" t="s">
        <v>151</v>
      </c>
      <c r="L339" s="151">
        <v>162</v>
      </c>
      <c r="M339" s="152">
        <v>2030</v>
      </c>
      <c r="N339" s="121">
        <v>1902.3999999999999</v>
      </c>
      <c r="O339" s="27"/>
      <c r="P339" s="58"/>
      <c r="Q339" s="104"/>
      <c r="R339" s="27"/>
      <c r="S339" s="58"/>
      <c r="T339" s="98"/>
      <c r="U339" s="27"/>
      <c r="V339" s="58"/>
      <c r="W339" s="107"/>
      <c r="X339" s="27"/>
      <c r="Y339" s="58"/>
      <c r="Z339" s="12"/>
      <c r="AA339" s="27"/>
      <c r="AB339" s="58"/>
      <c r="AC339" s="107"/>
      <c r="AD339" s="27"/>
      <c r="AE339" s="58"/>
      <c r="AF339" s="107"/>
      <c r="AG339" s="27"/>
      <c r="AH339" s="58"/>
      <c r="AI339" s="107"/>
      <c r="AJ339" s="27"/>
      <c r="AK339" s="58"/>
      <c r="AL339" s="107"/>
      <c r="AM339" s="27"/>
      <c r="AN339" s="58"/>
      <c r="AO339" s="107"/>
      <c r="AP339" s="27"/>
      <c r="AQ339" s="58"/>
      <c r="AR339" s="107"/>
      <c r="AS339" s="27"/>
      <c r="AT339" s="58"/>
      <c r="AU339" s="12"/>
    </row>
    <row r="340" spans="1:47" ht="29.25" customHeight="1" x14ac:dyDescent="0.6">
      <c r="A340" s="5">
        <v>49</v>
      </c>
      <c r="B340" s="21" t="s">
        <v>168</v>
      </c>
      <c r="C340" s="21"/>
      <c r="D340" s="16" t="s">
        <v>165</v>
      </c>
      <c r="E340" s="15" t="s">
        <v>128</v>
      </c>
      <c r="F340" s="14" t="s">
        <v>129</v>
      </c>
      <c r="G340" s="7" t="s">
        <v>150</v>
      </c>
      <c r="H340" s="18" t="s">
        <v>798</v>
      </c>
      <c r="I340" s="18" t="s">
        <v>799</v>
      </c>
      <c r="J340" s="14" t="s">
        <v>800</v>
      </c>
      <c r="K340" s="49" t="s">
        <v>151</v>
      </c>
      <c r="L340" s="151">
        <v>85</v>
      </c>
      <c r="M340" s="152">
        <v>1080</v>
      </c>
      <c r="N340" s="121">
        <v>928.8</v>
      </c>
      <c r="O340" s="27"/>
      <c r="P340" s="58"/>
      <c r="Q340" s="104"/>
      <c r="R340" s="27"/>
      <c r="S340" s="58"/>
      <c r="T340" s="98"/>
      <c r="U340" s="27"/>
      <c r="V340" s="58"/>
      <c r="W340" s="107"/>
      <c r="X340" s="27"/>
      <c r="Y340" s="58"/>
      <c r="Z340" s="12"/>
      <c r="AA340" s="27"/>
      <c r="AB340" s="58"/>
      <c r="AC340" s="107"/>
      <c r="AD340" s="27"/>
      <c r="AE340" s="58"/>
      <c r="AF340" s="107"/>
      <c r="AG340" s="27"/>
      <c r="AH340" s="58"/>
      <c r="AI340" s="107"/>
      <c r="AJ340" s="27"/>
      <c r="AK340" s="58"/>
      <c r="AL340" s="107"/>
      <c r="AM340" s="27"/>
      <c r="AN340" s="58"/>
      <c r="AO340" s="107"/>
      <c r="AP340" s="27"/>
      <c r="AQ340" s="58"/>
      <c r="AR340" s="107"/>
      <c r="AS340" s="27"/>
      <c r="AT340" s="58"/>
      <c r="AU340" s="12"/>
    </row>
    <row r="341" spans="1:47" ht="29.25" customHeight="1" x14ac:dyDescent="0.6">
      <c r="A341" s="5">
        <v>50</v>
      </c>
      <c r="B341" s="21" t="s">
        <v>170</v>
      </c>
      <c r="C341" s="21"/>
      <c r="D341" s="16" t="s">
        <v>167</v>
      </c>
      <c r="E341" s="15" t="s">
        <v>128</v>
      </c>
      <c r="F341" s="14" t="s">
        <v>129</v>
      </c>
      <c r="G341" s="7" t="s">
        <v>150</v>
      </c>
      <c r="H341" s="19" t="s">
        <v>752</v>
      </c>
      <c r="I341" s="19" t="s">
        <v>753</v>
      </c>
      <c r="J341" s="20" t="s">
        <v>801</v>
      </c>
      <c r="K341" s="49" t="s">
        <v>151</v>
      </c>
      <c r="L341" s="151">
        <v>130</v>
      </c>
      <c r="M341" s="152">
        <v>1760</v>
      </c>
      <c r="N341" s="121">
        <v>1256</v>
      </c>
      <c r="O341" s="27"/>
      <c r="P341" s="58"/>
      <c r="Q341" s="104"/>
      <c r="R341" s="27"/>
      <c r="S341" s="58"/>
      <c r="T341" s="98"/>
      <c r="U341" s="27"/>
      <c r="V341" s="58"/>
      <c r="W341" s="107"/>
      <c r="X341" s="27"/>
      <c r="Y341" s="58"/>
      <c r="Z341" s="12"/>
      <c r="AA341" s="27"/>
      <c r="AB341" s="58"/>
      <c r="AC341" s="12"/>
      <c r="AD341" s="27"/>
      <c r="AE341" s="58"/>
      <c r="AF341" s="107"/>
      <c r="AG341" s="27"/>
      <c r="AH341" s="58"/>
      <c r="AI341" s="107"/>
      <c r="AJ341" s="27"/>
      <c r="AK341" s="58"/>
      <c r="AL341" s="107"/>
      <c r="AM341" s="27"/>
      <c r="AN341" s="58"/>
      <c r="AO341" s="107"/>
      <c r="AP341" s="27"/>
      <c r="AQ341" s="58"/>
      <c r="AR341" s="107"/>
      <c r="AS341" s="27"/>
      <c r="AT341" s="58"/>
      <c r="AU341" s="12"/>
    </row>
    <row r="342" spans="1:47" ht="29.25" customHeight="1" x14ac:dyDescent="0.6">
      <c r="A342" s="5">
        <v>51</v>
      </c>
      <c r="B342" s="21" t="s">
        <v>172</v>
      </c>
      <c r="C342" s="21"/>
      <c r="D342" s="16" t="s">
        <v>169</v>
      </c>
      <c r="E342" s="15" t="s">
        <v>128</v>
      </c>
      <c r="F342" s="14" t="s">
        <v>129</v>
      </c>
      <c r="G342" s="7" t="s">
        <v>150</v>
      </c>
      <c r="H342" s="142" t="s">
        <v>645</v>
      </c>
      <c r="I342" s="142" t="s">
        <v>645</v>
      </c>
      <c r="J342" s="20" t="s">
        <v>802</v>
      </c>
      <c r="K342" s="49" t="s">
        <v>151</v>
      </c>
      <c r="L342" s="151">
        <v>715</v>
      </c>
      <c r="M342" s="152">
        <v>8610</v>
      </c>
      <c r="N342" s="121">
        <v>8534.4000000000015</v>
      </c>
      <c r="O342" s="27"/>
      <c r="P342" s="58"/>
      <c r="Q342" s="49"/>
      <c r="R342" s="27"/>
      <c r="S342" s="58"/>
      <c r="T342" s="98"/>
      <c r="U342" s="27"/>
      <c r="V342" s="58"/>
      <c r="W342" s="107"/>
      <c r="X342" s="27"/>
      <c r="Y342" s="58"/>
      <c r="Z342" s="12"/>
      <c r="AA342" s="27"/>
      <c r="AB342" s="58"/>
      <c r="AC342" s="12"/>
      <c r="AD342" s="27"/>
      <c r="AE342" s="58"/>
      <c r="AF342" s="107"/>
      <c r="AG342" s="27"/>
      <c r="AH342" s="58"/>
      <c r="AI342" s="107"/>
      <c r="AJ342" s="27"/>
      <c r="AK342" s="58"/>
      <c r="AL342" s="107"/>
      <c r="AM342" s="27"/>
      <c r="AN342" s="58"/>
      <c r="AO342" s="107"/>
      <c r="AP342" s="27"/>
      <c r="AQ342" s="58"/>
      <c r="AR342" s="107"/>
      <c r="AS342" s="27"/>
      <c r="AT342" s="58"/>
      <c r="AU342" s="12"/>
    </row>
    <row r="343" spans="1:47" ht="29.25" customHeight="1" x14ac:dyDescent="0.6">
      <c r="A343" s="5">
        <v>52</v>
      </c>
      <c r="B343" s="21" t="s">
        <v>175</v>
      </c>
      <c r="C343" s="21"/>
      <c r="D343" s="16" t="s">
        <v>171</v>
      </c>
      <c r="E343" s="15" t="s">
        <v>128</v>
      </c>
      <c r="F343" s="14" t="s">
        <v>129</v>
      </c>
      <c r="G343" s="7" t="s">
        <v>150</v>
      </c>
      <c r="H343" s="18" t="s">
        <v>170</v>
      </c>
      <c r="I343" s="18" t="s">
        <v>171</v>
      </c>
      <c r="J343" s="14" t="s">
        <v>803</v>
      </c>
      <c r="K343" s="49" t="s">
        <v>151</v>
      </c>
      <c r="L343" s="151">
        <v>180</v>
      </c>
      <c r="M343" s="152">
        <v>2220</v>
      </c>
      <c r="N343" s="121">
        <v>2068.8000000000002</v>
      </c>
      <c r="O343" s="27"/>
      <c r="P343" s="58"/>
      <c r="Q343" s="49"/>
      <c r="R343" s="27"/>
      <c r="S343" s="58"/>
      <c r="T343" s="98"/>
      <c r="U343" s="27"/>
      <c r="V343" s="58"/>
      <c r="W343" s="107"/>
      <c r="X343" s="27"/>
      <c r="Y343" s="58"/>
      <c r="Z343" s="12"/>
      <c r="AA343" s="27"/>
      <c r="AB343" s="58"/>
      <c r="AC343" s="12"/>
      <c r="AD343" s="27"/>
      <c r="AE343" s="58"/>
      <c r="AF343" s="107"/>
      <c r="AG343" s="27"/>
      <c r="AH343" s="58"/>
      <c r="AI343" s="107"/>
      <c r="AJ343" s="27"/>
      <c r="AK343" s="58"/>
      <c r="AL343" s="107"/>
      <c r="AM343" s="27"/>
      <c r="AN343" s="58"/>
      <c r="AO343" s="107"/>
      <c r="AP343" s="27"/>
      <c r="AQ343" s="58"/>
      <c r="AR343" s="107"/>
      <c r="AS343" s="27"/>
      <c r="AT343" s="58"/>
      <c r="AU343" s="12"/>
    </row>
    <row r="344" spans="1:47" ht="29.25" customHeight="1" x14ac:dyDescent="0.6">
      <c r="A344" s="5">
        <v>53</v>
      </c>
      <c r="B344" s="21" t="s">
        <v>178</v>
      </c>
      <c r="C344" s="21"/>
      <c r="D344" s="16" t="s">
        <v>173</v>
      </c>
      <c r="E344" s="15" t="s">
        <v>174</v>
      </c>
      <c r="F344" s="14" t="s">
        <v>129</v>
      </c>
      <c r="G344" s="7" t="s">
        <v>150</v>
      </c>
      <c r="H344" s="18" t="s">
        <v>804</v>
      </c>
      <c r="I344" s="18" t="s">
        <v>805</v>
      </c>
      <c r="J344" s="14" t="s">
        <v>806</v>
      </c>
      <c r="K344" s="49" t="s">
        <v>151</v>
      </c>
      <c r="L344" s="151">
        <v>202</v>
      </c>
      <c r="M344" s="152">
        <v>2638</v>
      </c>
      <c r="N344" s="121">
        <v>2321.52</v>
      </c>
      <c r="O344" s="27"/>
      <c r="P344" s="58"/>
      <c r="Q344" s="49"/>
      <c r="R344" s="27"/>
      <c r="S344" s="58"/>
      <c r="T344" s="98"/>
      <c r="U344" s="27"/>
      <c r="V344" s="58"/>
      <c r="W344" s="107"/>
      <c r="X344" s="27"/>
      <c r="Y344" s="58"/>
      <c r="Z344" s="12"/>
      <c r="AA344" s="27"/>
      <c r="AB344" s="58"/>
      <c r="AC344" s="12"/>
      <c r="AD344" s="27"/>
      <c r="AE344" s="58"/>
      <c r="AF344" s="107"/>
      <c r="AG344" s="27"/>
      <c r="AH344" s="58"/>
      <c r="AI344" s="107"/>
      <c r="AJ344" s="27"/>
      <c r="AK344" s="58"/>
      <c r="AL344" s="107"/>
      <c r="AM344" s="27"/>
      <c r="AN344" s="58"/>
      <c r="AO344" s="107"/>
      <c r="AP344" s="27"/>
      <c r="AQ344" s="58"/>
      <c r="AR344" s="107"/>
      <c r="AS344" s="27"/>
      <c r="AT344" s="58"/>
      <c r="AU344" s="12"/>
    </row>
    <row r="345" spans="1:47" ht="29.25" customHeight="1" x14ac:dyDescent="0.6">
      <c r="A345" s="5">
        <v>54</v>
      </c>
      <c r="B345" s="21" t="s">
        <v>180</v>
      </c>
      <c r="C345" s="21"/>
      <c r="D345" s="16" t="s">
        <v>176</v>
      </c>
      <c r="E345" s="15" t="s">
        <v>145</v>
      </c>
      <c r="F345" s="14" t="s">
        <v>177</v>
      </c>
      <c r="G345" s="7" t="s">
        <v>150</v>
      </c>
      <c r="H345" s="142" t="s">
        <v>175</v>
      </c>
      <c r="I345" s="142" t="s">
        <v>176</v>
      </c>
      <c r="J345" s="20" t="s">
        <v>807</v>
      </c>
      <c r="K345" s="49" t="s">
        <v>151</v>
      </c>
      <c r="L345" s="151">
        <v>0</v>
      </c>
      <c r="M345" s="152">
        <v>0</v>
      </c>
      <c r="N345" s="121">
        <v>0</v>
      </c>
      <c r="O345" s="27"/>
      <c r="P345" s="58"/>
      <c r="Q345" s="49"/>
      <c r="R345" s="27"/>
      <c r="S345" s="58"/>
      <c r="T345" s="98"/>
      <c r="U345" s="27"/>
      <c r="V345" s="58"/>
      <c r="W345" s="12"/>
      <c r="X345" s="27"/>
      <c r="Y345" s="58"/>
      <c r="Z345" s="12"/>
      <c r="AA345" s="27"/>
      <c r="AB345" s="58"/>
      <c r="AC345" s="12"/>
      <c r="AD345" s="27"/>
      <c r="AE345" s="58"/>
      <c r="AF345" s="107"/>
      <c r="AG345" s="27"/>
      <c r="AH345" s="58"/>
      <c r="AI345" s="107"/>
      <c r="AJ345" s="27"/>
      <c r="AK345" s="58"/>
      <c r="AL345" s="107"/>
      <c r="AM345" s="27"/>
      <c r="AN345" s="58"/>
      <c r="AO345" s="107"/>
      <c r="AP345" s="27"/>
      <c r="AQ345" s="58"/>
      <c r="AR345" s="107"/>
      <c r="AS345" s="27"/>
      <c r="AT345" s="58"/>
      <c r="AU345" s="12"/>
    </row>
    <row r="346" spans="1:47" ht="29.25" customHeight="1" x14ac:dyDescent="0.6">
      <c r="A346" s="5">
        <v>55</v>
      </c>
      <c r="B346" s="21" t="s">
        <v>182</v>
      </c>
      <c r="C346" s="21"/>
      <c r="D346" s="16" t="s">
        <v>179</v>
      </c>
      <c r="E346" s="15" t="s">
        <v>37</v>
      </c>
      <c r="F346" s="14" t="s">
        <v>38</v>
      </c>
      <c r="G346" s="7" t="s">
        <v>150</v>
      </c>
      <c r="H346" s="142" t="s">
        <v>808</v>
      </c>
      <c r="I346" s="142" t="s">
        <v>809</v>
      </c>
      <c r="J346" s="20" t="s">
        <v>810</v>
      </c>
      <c r="K346" s="49" t="s">
        <v>151</v>
      </c>
      <c r="L346" s="151">
        <v>600</v>
      </c>
      <c r="M346" s="152">
        <v>7870</v>
      </c>
      <c r="N346" s="121">
        <v>6531.2</v>
      </c>
      <c r="O346" s="27"/>
      <c r="P346" s="58"/>
      <c r="Q346" s="49"/>
      <c r="R346" s="27"/>
      <c r="S346" s="58"/>
      <c r="T346" s="98"/>
      <c r="U346" s="27"/>
      <c r="V346" s="58"/>
      <c r="W346" s="107"/>
      <c r="X346" s="27"/>
      <c r="Y346" s="58"/>
      <c r="Z346" s="12"/>
      <c r="AA346" s="27"/>
      <c r="AB346" s="58"/>
      <c r="AC346" s="12"/>
      <c r="AD346" s="27"/>
      <c r="AE346" s="58"/>
      <c r="AF346" s="107"/>
      <c r="AG346" s="27"/>
      <c r="AH346" s="58"/>
      <c r="AI346" s="107"/>
      <c r="AJ346" s="27"/>
      <c r="AK346" s="58"/>
      <c r="AL346" s="107"/>
      <c r="AM346" s="27"/>
      <c r="AN346" s="58"/>
      <c r="AO346" s="107"/>
      <c r="AP346" s="27"/>
      <c r="AQ346" s="58"/>
      <c r="AR346" s="107"/>
      <c r="AS346" s="27"/>
      <c r="AT346" s="58"/>
      <c r="AU346" s="107"/>
    </row>
    <row r="347" spans="1:47" ht="29.25" customHeight="1" x14ac:dyDescent="0.6">
      <c r="A347" s="5">
        <v>56</v>
      </c>
      <c r="B347" s="21" t="s">
        <v>184</v>
      </c>
      <c r="C347" s="21"/>
      <c r="D347" s="16" t="s">
        <v>181</v>
      </c>
      <c r="E347" s="15" t="s">
        <v>120</v>
      </c>
      <c r="F347" s="14" t="s">
        <v>20</v>
      </c>
      <c r="G347" s="7" t="s">
        <v>150</v>
      </c>
      <c r="H347" s="18"/>
      <c r="I347" s="18"/>
      <c r="J347" s="14" t="s">
        <v>1122</v>
      </c>
      <c r="K347" s="49" t="s">
        <v>151</v>
      </c>
      <c r="L347" s="151">
        <v>293</v>
      </c>
      <c r="M347" s="152">
        <v>3874</v>
      </c>
      <c r="N347" s="121">
        <v>3191.2</v>
      </c>
      <c r="O347" s="27"/>
      <c r="P347" s="58"/>
      <c r="Q347" s="49"/>
      <c r="R347" s="27"/>
      <c r="S347" s="58"/>
      <c r="T347" s="98"/>
      <c r="U347" s="27"/>
      <c r="V347" s="58"/>
      <c r="W347" s="12"/>
      <c r="X347" s="27"/>
      <c r="Y347" s="58"/>
      <c r="Z347" s="12"/>
      <c r="AA347" s="27"/>
      <c r="AB347" s="58"/>
      <c r="AC347" s="12"/>
      <c r="AD347" s="27"/>
      <c r="AE347" s="58"/>
      <c r="AF347" s="107"/>
      <c r="AG347" s="27"/>
      <c r="AH347" s="58"/>
      <c r="AI347" s="107"/>
      <c r="AJ347" s="27"/>
      <c r="AK347" s="58"/>
      <c r="AL347" s="107"/>
      <c r="AM347" s="27"/>
      <c r="AN347" s="58"/>
      <c r="AO347" s="107"/>
      <c r="AP347" s="27"/>
      <c r="AQ347" s="58"/>
      <c r="AR347" s="107"/>
      <c r="AS347" s="27"/>
      <c r="AT347" s="58"/>
      <c r="AU347" s="107"/>
    </row>
    <row r="348" spans="1:47" ht="29.25" customHeight="1" x14ac:dyDescent="0.6">
      <c r="A348" s="5">
        <v>57</v>
      </c>
      <c r="B348" s="21" t="s">
        <v>188</v>
      </c>
      <c r="C348" s="21"/>
      <c r="D348" s="16" t="s">
        <v>183</v>
      </c>
      <c r="E348" s="15" t="s">
        <v>120</v>
      </c>
      <c r="F348" s="14" t="s">
        <v>20</v>
      </c>
      <c r="G348" s="7" t="s">
        <v>150</v>
      </c>
      <c r="H348" s="18" t="s">
        <v>811</v>
      </c>
      <c r="I348" s="18" t="s">
        <v>812</v>
      </c>
      <c r="J348" s="14" t="s">
        <v>813</v>
      </c>
      <c r="K348" s="49" t="s">
        <v>151</v>
      </c>
      <c r="L348" s="151">
        <v>53</v>
      </c>
      <c r="M348" s="152">
        <v>758</v>
      </c>
      <c r="N348" s="121">
        <v>553.20000000000005</v>
      </c>
      <c r="O348" s="27"/>
      <c r="P348" s="58"/>
      <c r="Q348" s="49"/>
      <c r="R348" s="27"/>
      <c r="S348" s="58"/>
      <c r="T348" s="98"/>
      <c r="U348" s="27"/>
      <c r="V348" s="58"/>
      <c r="W348" s="12"/>
      <c r="X348" s="27"/>
      <c r="Y348" s="58"/>
      <c r="Z348" s="12"/>
      <c r="AA348" s="27"/>
      <c r="AB348" s="58"/>
      <c r="AC348" s="12"/>
      <c r="AD348" s="27"/>
      <c r="AE348" s="58"/>
      <c r="AF348" s="107"/>
      <c r="AG348" s="27"/>
      <c r="AH348" s="58"/>
      <c r="AI348" s="107"/>
      <c r="AJ348" s="27"/>
      <c r="AK348" s="58"/>
      <c r="AL348" s="107"/>
      <c r="AM348" s="27"/>
      <c r="AN348" s="58"/>
      <c r="AO348" s="107"/>
      <c r="AP348" s="27"/>
      <c r="AQ348" s="58"/>
      <c r="AR348" s="107"/>
      <c r="AS348" s="27"/>
      <c r="AT348" s="58"/>
      <c r="AU348" s="107"/>
    </row>
    <row r="349" spans="1:47" ht="29.25" customHeight="1" x14ac:dyDescent="0.6">
      <c r="A349" s="5">
        <v>58</v>
      </c>
      <c r="B349" s="21" t="s">
        <v>191</v>
      </c>
      <c r="C349" s="21"/>
      <c r="D349" s="16" t="s">
        <v>185</v>
      </c>
      <c r="E349" s="15" t="s">
        <v>186</v>
      </c>
      <c r="F349" s="14" t="s">
        <v>187</v>
      </c>
      <c r="G349" s="7" t="s">
        <v>150</v>
      </c>
      <c r="H349" s="18" t="s">
        <v>814</v>
      </c>
      <c r="I349" s="18" t="s">
        <v>815</v>
      </c>
      <c r="J349" s="14" t="s">
        <v>816</v>
      </c>
      <c r="K349" s="49" t="s">
        <v>151</v>
      </c>
      <c r="L349" s="151">
        <v>253</v>
      </c>
      <c r="M349" s="152">
        <v>4436</v>
      </c>
      <c r="N349" s="121">
        <v>3125.2</v>
      </c>
      <c r="O349" s="27"/>
      <c r="P349" s="58"/>
      <c r="Q349" s="104"/>
      <c r="R349" s="27"/>
      <c r="S349" s="58"/>
      <c r="T349" s="98"/>
      <c r="U349" s="27"/>
      <c r="V349" s="58"/>
      <c r="W349" s="107"/>
      <c r="X349" s="27"/>
      <c r="Y349" s="58"/>
      <c r="Z349" s="107"/>
      <c r="AA349" s="27"/>
      <c r="AB349" s="58"/>
      <c r="AC349" s="12"/>
      <c r="AD349" s="27"/>
      <c r="AE349" s="58"/>
      <c r="AF349" s="107"/>
      <c r="AG349" s="27"/>
      <c r="AH349" s="58"/>
      <c r="AI349" s="107"/>
      <c r="AJ349" s="27"/>
      <c r="AK349" s="58"/>
      <c r="AL349" s="107"/>
      <c r="AM349" s="27"/>
      <c r="AN349" s="58"/>
      <c r="AO349" s="107"/>
      <c r="AP349" s="27"/>
      <c r="AQ349" s="58"/>
      <c r="AR349" s="107"/>
      <c r="AS349" s="27"/>
      <c r="AT349" s="58"/>
      <c r="AU349" s="107"/>
    </row>
    <row r="350" spans="1:47" ht="29.25" customHeight="1" x14ac:dyDescent="0.6">
      <c r="A350" s="5">
        <v>59</v>
      </c>
      <c r="B350" s="21" t="s">
        <v>195</v>
      </c>
      <c r="C350" s="21"/>
      <c r="D350" s="16" t="s">
        <v>189</v>
      </c>
      <c r="E350" s="15" t="s">
        <v>190</v>
      </c>
      <c r="F350" s="14" t="s">
        <v>187</v>
      </c>
      <c r="G350" s="7" t="s">
        <v>150</v>
      </c>
      <c r="H350" s="18" t="s">
        <v>817</v>
      </c>
      <c r="I350" s="18" t="s">
        <v>818</v>
      </c>
      <c r="J350" s="14" t="s">
        <v>819</v>
      </c>
      <c r="K350" s="49" t="s">
        <v>151</v>
      </c>
      <c r="L350" s="151">
        <v>300</v>
      </c>
      <c r="M350" s="152">
        <v>4000</v>
      </c>
      <c r="N350" s="121">
        <v>2902</v>
      </c>
      <c r="O350" s="27"/>
      <c r="P350" s="58"/>
      <c r="Q350" s="104"/>
      <c r="R350" s="27"/>
      <c r="S350" s="58"/>
      <c r="T350" s="98"/>
      <c r="U350" s="27"/>
      <c r="V350" s="58"/>
      <c r="W350" s="107"/>
      <c r="X350" s="27"/>
      <c r="Y350" s="58"/>
      <c r="Z350" s="107"/>
      <c r="AA350" s="27"/>
      <c r="AB350" s="58"/>
      <c r="AC350" s="12"/>
      <c r="AD350" s="27"/>
      <c r="AE350" s="58"/>
      <c r="AF350" s="107"/>
      <c r="AG350" s="27"/>
      <c r="AH350" s="58"/>
      <c r="AI350" s="107"/>
      <c r="AJ350" s="27"/>
      <c r="AK350" s="58"/>
      <c r="AL350" s="107"/>
      <c r="AM350" s="27"/>
      <c r="AN350" s="58"/>
      <c r="AO350" s="107"/>
      <c r="AP350" s="27"/>
      <c r="AQ350" s="58"/>
      <c r="AR350" s="107"/>
      <c r="AS350" s="27"/>
      <c r="AT350" s="58"/>
      <c r="AU350" s="107"/>
    </row>
    <row r="351" spans="1:47" ht="29.25" customHeight="1" x14ac:dyDescent="0.6">
      <c r="A351" s="5">
        <v>60</v>
      </c>
      <c r="B351" s="21" t="s">
        <v>197</v>
      </c>
      <c r="C351" s="21"/>
      <c r="D351" s="16" t="s">
        <v>192</v>
      </c>
      <c r="E351" s="15" t="s">
        <v>193</v>
      </c>
      <c r="F351" s="14" t="s">
        <v>194</v>
      </c>
      <c r="G351" s="7" t="s">
        <v>150</v>
      </c>
      <c r="H351" s="18" t="s">
        <v>820</v>
      </c>
      <c r="I351" s="18" t="s">
        <v>821</v>
      </c>
      <c r="J351" s="14" t="s">
        <v>822</v>
      </c>
      <c r="K351" s="49" t="s">
        <v>151</v>
      </c>
      <c r="L351" s="151">
        <v>161</v>
      </c>
      <c r="M351" s="152">
        <v>1948</v>
      </c>
      <c r="N351" s="121">
        <v>1909.8400000000001</v>
      </c>
      <c r="O351" s="27"/>
      <c r="P351" s="58"/>
      <c r="Q351" s="104"/>
      <c r="R351" s="27"/>
      <c r="S351" s="58"/>
      <c r="T351" s="98"/>
      <c r="U351" s="27"/>
      <c r="V351" s="58"/>
      <c r="W351" s="107"/>
      <c r="X351" s="27"/>
      <c r="Y351" s="58"/>
      <c r="Z351" s="107"/>
      <c r="AA351" s="27"/>
      <c r="AB351" s="58"/>
      <c r="AC351" s="12"/>
      <c r="AD351" s="27"/>
      <c r="AE351" s="58"/>
      <c r="AF351" s="107"/>
      <c r="AG351" s="27"/>
      <c r="AH351" s="58"/>
      <c r="AI351" s="107"/>
      <c r="AJ351" s="27"/>
      <c r="AK351" s="58"/>
      <c r="AL351" s="107"/>
      <c r="AM351" s="27"/>
      <c r="AN351" s="58"/>
      <c r="AO351" s="107"/>
      <c r="AP351" s="27"/>
      <c r="AQ351" s="58"/>
      <c r="AR351" s="107"/>
      <c r="AS351" s="27"/>
      <c r="AT351" s="58"/>
      <c r="AU351" s="107"/>
    </row>
    <row r="352" spans="1:47" ht="29.25" customHeight="1" x14ac:dyDescent="0.6">
      <c r="A352" s="5">
        <v>61</v>
      </c>
      <c r="B352" s="21" t="s">
        <v>199</v>
      </c>
      <c r="C352" s="21"/>
      <c r="D352" s="16" t="s">
        <v>196</v>
      </c>
      <c r="E352" s="15" t="s">
        <v>136</v>
      </c>
      <c r="F352" s="14" t="s">
        <v>137</v>
      </c>
      <c r="G352" s="7" t="s">
        <v>150</v>
      </c>
      <c r="H352" s="18" t="s">
        <v>823</v>
      </c>
      <c r="I352" s="18" t="s">
        <v>824</v>
      </c>
      <c r="J352" s="14" t="s">
        <v>825</v>
      </c>
      <c r="K352" s="49" t="s">
        <v>151</v>
      </c>
      <c r="L352" s="151">
        <v>700</v>
      </c>
      <c r="M352" s="152">
        <v>8740</v>
      </c>
      <c r="N352" s="121">
        <v>8328.7999999999993</v>
      </c>
      <c r="O352" s="27"/>
      <c r="P352" s="58"/>
      <c r="Q352" s="104"/>
      <c r="R352" s="27"/>
      <c r="S352" s="58"/>
      <c r="T352" s="98"/>
      <c r="U352" s="27"/>
      <c r="V352" s="58"/>
      <c r="W352" s="107"/>
      <c r="X352" s="27"/>
      <c r="Y352" s="58"/>
      <c r="Z352" s="107"/>
      <c r="AA352" s="27"/>
      <c r="AB352" s="58"/>
      <c r="AC352" s="12"/>
      <c r="AD352" s="27"/>
      <c r="AE352" s="58"/>
      <c r="AF352" s="107"/>
      <c r="AG352" s="27"/>
      <c r="AH352" s="58"/>
      <c r="AI352" s="107"/>
      <c r="AJ352" s="27"/>
      <c r="AK352" s="58"/>
      <c r="AL352" s="107"/>
      <c r="AM352" s="27"/>
      <c r="AN352" s="58"/>
      <c r="AO352" s="107"/>
      <c r="AP352" s="27"/>
      <c r="AQ352" s="58"/>
      <c r="AR352" s="107"/>
      <c r="AS352" s="27"/>
      <c r="AT352" s="58"/>
      <c r="AU352" s="107"/>
    </row>
    <row r="353" spans="1:47" ht="29.25" customHeight="1" x14ac:dyDescent="0.6">
      <c r="A353" s="5">
        <v>62</v>
      </c>
      <c r="B353" s="21" t="s">
        <v>203</v>
      </c>
      <c r="C353" s="21"/>
      <c r="D353" s="16" t="s">
        <v>198</v>
      </c>
      <c r="E353" s="15" t="s">
        <v>53</v>
      </c>
      <c r="F353" s="14" t="s">
        <v>54</v>
      </c>
      <c r="G353" s="7" t="s">
        <v>150</v>
      </c>
      <c r="H353" s="18" t="s">
        <v>826</v>
      </c>
      <c r="I353" s="18" t="s">
        <v>827</v>
      </c>
      <c r="J353" s="14" t="s">
        <v>828</v>
      </c>
      <c r="K353" s="49" t="s">
        <v>151</v>
      </c>
      <c r="L353" s="151">
        <v>560</v>
      </c>
      <c r="M353" s="152">
        <v>7080</v>
      </c>
      <c r="N353" s="121">
        <v>6172.8</v>
      </c>
      <c r="O353" s="27"/>
      <c r="P353" s="58"/>
      <c r="Q353" s="104"/>
      <c r="R353" s="27"/>
      <c r="S353" s="58"/>
      <c r="T353" s="98"/>
      <c r="U353" s="27"/>
      <c r="V353" s="58"/>
      <c r="W353" s="12"/>
      <c r="X353" s="27"/>
      <c r="Y353" s="58"/>
      <c r="Z353" s="107"/>
      <c r="AA353" s="27"/>
      <c r="AB353" s="58"/>
      <c r="AC353" s="12"/>
      <c r="AD353" s="27"/>
      <c r="AE353" s="58"/>
      <c r="AF353" s="107"/>
      <c r="AG353" s="27"/>
      <c r="AH353" s="58"/>
      <c r="AI353" s="107"/>
      <c r="AJ353" s="27"/>
      <c r="AK353" s="58"/>
      <c r="AL353" s="107"/>
      <c r="AM353" s="27"/>
      <c r="AN353" s="58"/>
      <c r="AO353" s="107"/>
      <c r="AP353" s="27"/>
      <c r="AQ353" s="58"/>
      <c r="AR353" s="107"/>
      <c r="AS353" s="27"/>
      <c r="AT353" s="58"/>
      <c r="AU353" s="107"/>
    </row>
    <row r="354" spans="1:47" ht="29.25" customHeight="1" x14ac:dyDescent="0.6">
      <c r="A354" s="5">
        <v>63</v>
      </c>
      <c r="B354" s="21" t="s">
        <v>205</v>
      </c>
      <c r="C354" s="21"/>
      <c r="D354" s="16" t="s">
        <v>200</v>
      </c>
      <c r="E354" s="15" t="s">
        <v>53</v>
      </c>
      <c r="F354" s="14" t="s">
        <v>54</v>
      </c>
      <c r="G354" s="7" t="s">
        <v>150</v>
      </c>
      <c r="H354" s="18" t="s">
        <v>829</v>
      </c>
      <c r="I354" s="18" t="s">
        <v>830</v>
      </c>
      <c r="J354" s="14" t="s">
        <v>831</v>
      </c>
      <c r="K354" s="49" t="s">
        <v>151</v>
      </c>
      <c r="L354" s="151">
        <v>800</v>
      </c>
      <c r="M354" s="152">
        <v>9900</v>
      </c>
      <c r="N354" s="121">
        <v>9144</v>
      </c>
      <c r="O354" s="27"/>
      <c r="P354" s="58"/>
      <c r="Q354" s="104"/>
      <c r="R354" s="27"/>
      <c r="S354" s="58"/>
      <c r="T354" s="98"/>
      <c r="U354" s="27"/>
      <c r="V354" s="58"/>
      <c r="W354" s="12"/>
      <c r="X354" s="27"/>
      <c r="Y354" s="58"/>
      <c r="Z354" s="107"/>
      <c r="AA354" s="27"/>
      <c r="AB354" s="58"/>
      <c r="AC354" s="12"/>
      <c r="AD354" s="27"/>
      <c r="AE354" s="58"/>
      <c r="AF354" s="107"/>
      <c r="AG354" s="27"/>
      <c r="AH354" s="58"/>
      <c r="AI354" s="107"/>
      <c r="AJ354" s="27"/>
      <c r="AK354" s="58"/>
      <c r="AL354" s="107"/>
      <c r="AM354" s="27"/>
      <c r="AN354" s="58"/>
      <c r="AO354" s="107"/>
      <c r="AP354" s="27"/>
      <c r="AQ354" s="58"/>
      <c r="AR354" s="107"/>
      <c r="AS354" s="27"/>
      <c r="AT354" s="58"/>
      <c r="AU354" s="107"/>
    </row>
    <row r="355" spans="1:47" ht="29.25" customHeight="1" x14ac:dyDescent="0.6">
      <c r="A355" s="5">
        <v>64</v>
      </c>
      <c r="B355" s="21" t="s">
        <v>207</v>
      </c>
      <c r="C355" s="21"/>
      <c r="D355" s="14" t="s">
        <v>202</v>
      </c>
      <c r="E355" s="15" t="s">
        <v>53</v>
      </c>
      <c r="F355" s="15" t="s">
        <v>54</v>
      </c>
      <c r="G355" s="7" t="s">
        <v>150</v>
      </c>
      <c r="H355" s="18" t="s">
        <v>832</v>
      </c>
      <c r="I355" s="18" t="s">
        <v>833</v>
      </c>
      <c r="J355" s="14" t="s">
        <v>834</v>
      </c>
      <c r="K355" s="49" t="s">
        <v>151</v>
      </c>
      <c r="L355" s="151">
        <v>100</v>
      </c>
      <c r="M355" s="152">
        <v>1240</v>
      </c>
      <c r="N355" s="121">
        <v>1139.2</v>
      </c>
      <c r="O355" s="27"/>
      <c r="P355" s="58"/>
      <c r="Q355" s="104"/>
      <c r="R355" s="27"/>
      <c r="S355" s="58"/>
      <c r="T355" s="98"/>
      <c r="U355" s="27"/>
      <c r="V355" s="58"/>
      <c r="W355" s="12"/>
      <c r="X355" s="27"/>
      <c r="Y355" s="58"/>
      <c r="Z355" s="107"/>
      <c r="AA355" s="27"/>
      <c r="AB355" s="58"/>
      <c r="AC355" s="12"/>
      <c r="AD355" s="27"/>
      <c r="AE355" s="58"/>
      <c r="AF355" s="107"/>
      <c r="AG355" s="27"/>
      <c r="AH355" s="58"/>
      <c r="AI355" s="107"/>
      <c r="AJ355" s="27"/>
      <c r="AK355" s="58"/>
      <c r="AL355" s="107"/>
      <c r="AM355" s="27"/>
      <c r="AN355" s="58"/>
      <c r="AO355" s="107"/>
      <c r="AP355" s="27"/>
      <c r="AQ355" s="58"/>
      <c r="AR355" s="107"/>
      <c r="AS355" s="27"/>
      <c r="AT355" s="58"/>
      <c r="AU355" s="107"/>
    </row>
    <row r="356" spans="1:47" ht="29.25" customHeight="1" x14ac:dyDescent="0.6">
      <c r="A356" s="5">
        <v>65</v>
      </c>
      <c r="B356" s="21" t="s">
        <v>211</v>
      </c>
      <c r="C356" s="21"/>
      <c r="D356" s="14" t="s">
        <v>204</v>
      </c>
      <c r="E356" s="15" t="s">
        <v>53</v>
      </c>
      <c r="F356" s="15" t="s">
        <v>54</v>
      </c>
      <c r="G356" s="7" t="s">
        <v>150</v>
      </c>
      <c r="H356" s="18" t="s">
        <v>203</v>
      </c>
      <c r="I356" s="18" t="s">
        <v>835</v>
      </c>
      <c r="J356" s="14" t="s">
        <v>836</v>
      </c>
      <c r="K356" s="49" t="s">
        <v>151</v>
      </c>
      <c r="L356" s="151">
        <v>295</v>
      </c>
      <c r="M356" s="152">
        <v>3880</v>
      </c>
      <c r="N356" s="121">
        <v>3246</v>
      </c>
      <c r="O356" s="27"/>
      <c r="P356" s="58"/>
      <c r="Q356" s="104"/>
      <c r="R356" s="27"/>
      <c r="S356" s="58"/>
      <c r="T356" s="98"/>
      <c r="U356" s="27"/>
      <c r="V356" s="58"/>
      <c r="W356" s="12"/>
      <c r="X356" s="27"/>
      <c r="Y356" s="58"/>
      <c r="Z356" s="107"/>
      <c r="AA356" s="27"/>
      <c r="AB356" s="58"/>
      <c r="AC356" s="12"/>
      <c r="AD356" s="27"/>
      <c r="AE356" s="58"/>
      <c r="AF356" s="107"/>
      <c r="AG356" s="27"/>
      <c r="AH356" s="58"/>
      <c r="AI356" s="107"/>
      <c r="AJ356" s="27"/>
      <c r="AK356" s="58"/>
      <c r="AL356" s="107"/>
      <c r="AM356" s="27"/>
      <c r="AN356" s="58"/>
      <c r="AO356" s="107"/>
      <c r="AP356" s="27"/>
      <c r="AQ356" s="58"/>
      <c r="AR356" s="107"/>
      <c r="AS356" s="27"/>
      <c r="AT356" s="58"/>
      <c r="AU356" s="107"/>
    </row>
    <row r="357" spans="1:47" ht="29.25" customHeight="1" x14ac:dyDescent="0.6">
      <c r="A357" s="5">
        <v>66</v>
      </c>
      <c r="B357" s="21" t="s">
        <v>215</v>
      </c>
      <c r="C357" s="21"/>
      <c r="D357" s="14" t="s">
        <v>206</v>
      </c>
      <c r="E357" s="15" t="s">
        <v>53</v>
      </c>
      <c r="F357" s="15" t="s">
        <v>54</v>
      </c>
      <c r="G357" s="7" t="s">
        <v>150</v>
      </c>
      <c r="H357" s="18" t="s">
        <v>837</v>
      </c>
      <c r="I357" s="18" t="s">
        <v>838</v>
      </c>
      <c r="J357" s="14" t="s">
        <v>839</v>
      </c>
      <c r="K357" s="49" t="s">
        <v>151</v>
      </c>
      <c r="L357" s="151">
        <v>140</v>
      </c>
      <c r="M357" s="152">
        <v>1680</v>
      </c>
      <c r="N357" s="121">
        <v>1680</v>
      </c>
      <c r="O357" s="27"/>
      <c r="P357" s="58"/>
      <c r="Q357" s="104"/>
      <c r="R357" s="27"/>
      <c r="S357" s="58"/>
      <c r="T357" s="98"/>
      <c r="U357" s="27"/>
      <c r="V357" s="58"/>
      <c r="W357" s="12"/>
      <c r="X357" s="27"/>
      <c r="Y357" s="58"/>
      <c r="Z357" s="107"/>
      <c r="AA357" s="27"/>
      <c r="AB357" s="58"/>
      <c r="AC357" s="12"/>
      <c r="AD357" s="27"/>
      <c r="AE357" s="58"/>
      <c r="AF357" s="107"/>
      <c r="AG357" s="27"/>
      <c r="AH357" s="58"/>
      <c r="AI357" s="107"/>
      <c r="AJ357" s="27"/>
      <c r="AK357" s="58"/>
      <c r="AL357" s="107"/>
      <c r="AM357" s="27"/>
      <c r="AN357" s="58"/>
      <c r="AO357" s="107"/>
      <c r="AP357" s="27"/>
      <c r="AQ357" s="58"/>
      <c r="AR357" s="107"/>
      <c r="AS357" s="27"/>
      <c r="AT357" s="58"/>
      <c r="AU357" s="107"/>
    </row>
    <row r="358" spans="1:47" ht="29.25" customHeight="1" x14ac:dyDescent="0.6">
      <c r="A358" s="5">
        <v>67</v>
      </c>
      <c r="B358" s="21" t="s">
        <v>230</v>
      </c>
      <c r="C358" s="21"/>
      <c r="D358" s="16" t="s">
        <v>208</v>
      </c>
      <c r="E358" s="15" t="s">
        <v>209</v>
      </c>
      <c r="F358" s="16" t="s">
        <v>210</v>
      </c>
      <c r="G358" s="7" t="s">
        <v>150</v>
      </c>
      <c r="H358" s="18" t="s">
        <v>840</v>
      </c>
      <c r="I358" s="18" t="s">
        <v>841</v>
      </c>
      <c r="J358" s="14" t="s">
        <v>842</v>
      </c>
      <c r="K358" s="49" t="s">
        <v>151</v>
      </c>
      <c r="L358" s="151">
        <v>515</v>
      </c>
      <c r="M358" s="152">
        <v>9040</v>
      </c>
      <c r="N358" s="121">
        <v>5940.8</v>
      </c>
      <c r="O358" s="27"/>
      <c r="P358" s="58"/>
      <c r="Q358" s="104"/>
      <c r="R358" s="27"/>
      <c r="S358" s="58"/>
      <c r="T358" s="98"/>
      <c r="U358" s="27"/>
      <c r="V358" s="58"/>
      <c r="W358" s="12"/>
      <c r="X358" s="27"/>
      <c r="Y358" s="58"/>
      <c r="Z358" s="107"/>
      <c r="AA358" s="27"/>
      <c r="AB358" s="58"/>
      <c r="AC358" s="12"/>
      <c r="AD358" s="27"/>
      <c r="AE358" s="58"/>
      <c r="AF358" s="107"/>
      <c r="AG358" s="27"/>
      <c r="AH358" s="58"/>
      <c r="AI358" s="107"/>
      <c r="AJ358" s="27"/>
      <c r="AK358" s="58"/>
      <c r="AL358" s="107"/>
      <c r="AM358" s="27"/>
      <c r="AN358" s="58"/>
      <c r="AO358" s="107"/>
      <c r="AP358" s="27"/>
      <c r="AQ358" s="58"/>
      <c r="AR358" s="107"/>
      <c r="AS358" s="27"/>
      <c r="AT358" s="58"/>
      <c r="AU358" s="107"/>
    </row>
    <row r="359" spans="1:47" ht="29.25" customHeight="1" x14ac:dyDescent="0.6">
      <c r="A359" s="5">
        <v>68</v>
      </c>
      <c r="B359" s="21" t="s">
        <v>232</v>
      </c>
      <c r="C359" s="21"/>
      <c r="D359" s="16" t="s">
        <v>212</v>
      </c>
      <c r="E359" s="15" t="s">
        <v>213</v>
      </c>
      <c r="F359" s="14" t="s">
        <v>214</v>
      </c>
      <c r="G359" s="7" t="s">
        <v>150</v>
      </c>
      <c r="H359" s="18" t="s">
        <v>843</v>
      </c>
      <c r="I359" s="18" t="s">
        <v>844</v>
      </c>
      <c r="J359" s="14" t="s">
        <v>845</v>
      </c>
      <c r="K359" s="49" t="s">
        <v>151</v>
      </c>
      <c r="L359" s="151">
        <v>80</v>
      </c>
      <c r="M359" s="152">
        <v>1260</v>
      </c>
      <c r="N359" s="121">
        <v>949.6</v>
      </c>
      <c r="O359" s="27"/>
      <c r="P359" s="58"/>
      <c r="Q359" s="104"/>
      <c r="R359" s="27"/>
      <c r="S359" s="58"/>
      <c r="T359" s="98"/>
      <c r="U359" s="27"/>
      <c r="V359" s="58"/>
      <c r="W359" s="12"/>
      <c r="X359" s="27"/>
      <c r="Y359" s="58"/>
      <c r="Z359" s="107"/>
      <c r="AA359" s="27"/>
      <c r="AB359" s="58"/>
      <c r="AC359" s="107"/>
      <c r="AD359" s="27"/>
      <c r="AE359" s="58"/>
      <c r="AF359" s="107"/>
      <c r="AG359" s="27"/>
      <c r="AH359" s="58"/>
      <c r="AI359" s="107"/>
      <c r="AJ359" s="27"/>
      <c r="AK359" s="58"/>
      <c r="AL359" s="107"/>
      <c r="AM359" s="27"/>
      <c r="AN359" s="58"/>
      <c r="AO359" s="107"/>
      <c r="AP359" s="27"/>
      <c r="AQ359" s="58"/>
      <c r="AR359" s="107"/>
      <c r="AS359" s="27"/>
      <c r="AT359" s="58"/>
      <c r="AU359" s="107"/>
    </row>
    <row r="360" spans="1:47" ht="29.25" customHeight="1" x14ac:dyDescent="0.6">
      <c r="A360" s="5">
        <v>69</v>
      </c>
      <c r="B360" s="21" t="s">
        <v>234</v>
      </c>
      <c r="C360" s="21"/>
      <c r="D360" s="16" t="s">
        <v>216</v>
      </c>
      <c r="E360" s="15" t="s">
        <v>190</v>
      </c>
      <c r="F360" s="14" t="s">
        <v>187</v>
      </c>
      <c r="G360" s="7" t="s">
        <v>150</v>
      </c>
      <c r="H360" s="18" t="s">
        <v>846</v>
      </c>
      <c r="I360" s="18" t="s">
        <v>847</v>
      </c>
      <c r="J360" s="14" t="s">
        <v>848</v>
      </c>
      <c r="K360" s="49" t="s">
        <v>151</v>
      </c>
      <c r="L360" s="151">
        <v>0</v>
      </c>
      <c r="M360" s="152">
        <v>0</v>
      </c>
      <c r="N360" s="121">
        <v>0</v>
      </c>
      <c r="O360" s="27"/>
      <c r="P360" s="58"/>
      <c r="Q360" s="49"/>
      <c r="R360" s="27"/>
      <c r="S360" s="58"/>
      <c r="T360" s="98"/>
      <c r="U360" s="27"/>
      <c r="V360" s="58"/>
      <c r="W360" s="12"/>
      <c r="X360" s="27"/>
      <c r="Y360" s="58"/>
      <c r="Z360" s="12"/>
      <c r="AA360" s="27"/>
      <c r="AB360" s="58"/>
      <c r="AC360" s="12"/>
      <c r="AD360" s="27"/>
      <c r="AE360" s="58"/>
      <c r="AF360" s="107"/>
      <c r="AG360" s="27"/>
      <c r="AH360" s="58"/>
      <c r="AI360" s="107"/>
      <c r="AJ360" s="27"/>
      <c r="AK360" s="58"/>
      <c r="AL360" s="107"/>
      <c r="AM360" s="27"/>
      <c r="AN360" s="58"/>
      <c r="AO360" s="107"/>
      <c r="AP360" s="27"/>
      <c r="AQ360" s="58"/>
      <c r="AR360" s="107"/>
      <c r="AS360" s="27"/>
      <c r="AT360" s="58"/>
      <c r="AU360" s="107"/>
    </row>
    <row r="361" spans="1:47" ht="29.25" customHeight="1" x14ac:dyDescent="0.6">
      <c r="A361" s="5">
        <v>70</v>
      </c>
      <c r="B361" s="21" t="s">
        <v>238</v>
      </c>
      <c r="C361" s="21"/>
      <c r="D361" s="16" t="s">
        <v>218</v>
      </c>
      <c r="E361" s="15" t="s">
        <v>219</v>
      </c>
      <c r="F361" s="14" t="s">
        <v>101</v>
      </c>
      <c r="G361" s="7" t="s">
        <v>150</v>
      </c>
      <c r="H361" s="18" t="s">
        <v>217</v>
      </c>
      <c r="I361" s="18" t="s">
        <v>849</v>
      </c>
      <c r="J361" s="14" t="s">
        <v>850</v>
      </c>
      <c r="K361" s="49" t="s">
        <v>151</v>
      </c>
      <c r="L361" s="151">
        <v>50</v>
      </c>
      <c r="M361" s="152">
        <v>700</v>
      </c>
      <c r="N361" s="121">
        <v>448</v>
      </c>
      <c r="O361" s="27"/>
      <c r="P361" s="58"/>
      <c r="Q361" s="49"/>
      <c r="R361" s="27"/>
      <c r="S361" s="58"/>
      <c r="T361" s="98"/>
      <c r="U361" s="27"/>
      <c r="V361" s="58"/>
      <c r="W361" s="12"/>
      <c r="X361" s="27"/>
      <c r="Y361" s="58"/>
      <c r="Z361" s="12"/>
      <c r="AA361" s="27"/>
      <c r="AB361" s="58"/>
      <c r="AC361" s="107"/>
      <c r="AD361" s="27"/>
      <c r="AE361" s="58"/>
      <c r="AF361" s="107"/>
      <c r="AG361" s="27"/>
      <c r="AH361" s="58"/>
      <c r="AI361" s="107"/>
      <c r="AJ361" s="27"/>
      <c r="AK361" s="58"/>
      <c r="AL361" s="107"/>
      <c r="AM361" s="27"/>
      <c r="AN361" s="58"/>
      <c r="AO361" s="107"/>
      <c r="AP361" s="27"/>
      <c r="AQ361" s="58"/>
      <c r="AR361" s="107"/>
      <c r="AS361" s="27"/>
      <c r="AT361" s="58"/>
      <c r="AU361" s="107"/>
    </row>
    <row r="362" spans="1:47" ht="29.25" customHeight="1" x14ac:dyDescent="0.6">
      <c r="A362" s="5">
        <v>71</v>
      </c>
      <c r="B362" s="21" t="s">
        <v>230</v>
      </c>
      <c r="C362" s="21"/>
      <c r="D362" s="16" t="s">
        <v>221</v>
      </c>
      <c r="E362" s="15" t="s">
        <v>222</v>
      </c>
      <c r="F362" s="14" t="s">
        <v>223</v>
      </c>
      <c r="G362" s="7" t="s">
        <v>150</v>
      </c>
      <c r="H362" s="18" t="s">
        <v>851</v>
      </c>
      <c r="I362" s="18" t="s">
        <v>221</v>
      </c>
      <c r="J362" s="14" t="s">
        <v>852</v>
      </c>
      <c r="K362" s="49" t="s">
        <v>151</v>
      </c>
      <c r="L362" s="151">
        <v>75</v>
      </c>
      <c r="M362" s="152">
        <v>1320</v>
      </c>
      <c r="N362" s="121">
        <v>930</v>
      </c>
      <c r="O362" s="27"/>
      <c r="P362" s="58"/>
      <c r="Q362" s="49"/>
      <c r="R362" s="27"/>
      <c r="S362" s="58"/>
      <c r="T362" s="98"/>
      <c r="U362" s="27"/>
      <c r="V362" s="58"/>
      <c r="W362" s="12"/>
      <c r="X362" s="27"/>
      <c r="Y362" s="58"/>
      <c r="Z362" s="107"/>
      <c r="AA362" s="27"/>
      <c r="AB362" s="58"/>
      <c r="AC362" s="107"/>
      <c r="AD362" s="27"/>
      <c r="AE362" s="58"/>
      <c r="AF362" s="107"/>
      <c r="AG362" s="27"/>
      <c r="AH362" s="58"/>
      <c r="AI362" s="107"/>
      <c r="AJ362" s="27"/>
      <c r="AK362" s="58"/>
      <c r="AL362" s="107"/>
      <c r="AM362" s="27"/>
      <c r="AN362" s="58"/>
      <c r="AO362" s="107"/>
      <c r="AP362" s="27"/>
      <c r="AQ362" s="58"/>
      <c r="AR362" s="107"/>
      <c r="AS362" s="27"/>
      <c r="AT362" s="58"/>
      <c r="AU362" s="107"/>
    </row>
    <row r="363" spans="1:47" ht="29.25" customHeight="1" x14ac:dyDescent="0.6">
      <c r="A363" s="5">
        <v>72</v>
      </c>
      <c r="B363" s="21" t="s">
        <v>640</v>
      </c>
      <c r="C363" s="21"/>
      <c r="D363" s="16" t="s">
        <v>225</v>
      </c>
      <c r="E363" s="15" t="s">
        <v>226</v>
      </c>
      <c r="F363" s="14" t="s">
        <v>227</v>
      </c>
      <c r="G363" s="7" t="s">
        <v>150</v>
      </c>
      <c r="H363" s="18" t="s">
        <v>224</v>
      </c>
      <c r="I363" s="18" t="s">
        <v>225</v>
      </c>
      <c r="J363" s="14" t="s">
        <v>853</v>
      </c>
      <c r="K363" s="49" t="s">
        <v>151</v>
      </c>
      <c r="L363" s="151">
        <v>153</v>
      </c>
      <c r="M363" s="152">
        <v>1936</v>
      </c>
      <c r="N363" s="121">
        <v>1673.2</v>
      </c>
      <c r="O363" s="27"/>
      <c r="P363" s="58"/>
      <c r="Q363" s="49"/>
      <c r="R363" s="27"/>
      <c r="S363" s="58"/>
      <c r="T363" s="98"/>
      <c r="U363" s="27"/>
      <c r="V363" s="58"/>
      <c r="W363" s="12"/>
      <c r="X363" s="27"/>
      <c r="Y363" s="58"/>
      <c r="Z363" s="107"/>
      <c r="AA363" s="27"/>
      <c r="AB363" s="58"/>
      <c r="AC363" s="107"/>
      <c r="AD363" s="27"/>
      <c r="AE363" s="58"/>
      <c r="AF363" s="107"/>
      <c r="AG363" s="27"/>
      <c r="AH363" s="58"/>
      <c r="AI363" s="107"/>
      <c r="AJ363" s="27"/>
      <c r="AK363" s="58"/>
      <c r="AL363" s="107"/>
      <c r="AM363" s="27"/>
      <c r="AN363" s="58"/>
      <c r="AO363" s="107"/>
      <c r="AP363" s="27"/>
      <c r="AQ363" s="58"/>
      <c r="AR363" s="107"/>
      <c r="AS363" s="27"/>
      <c r="AT363" s="58"/>
      <c r="AU363" s="107"/>
    </row>
    <row r="364" spans="1:47" ht="29.25" customHeight="1" x14ac:dyDescent="0.6">
      <c r="A364" s="5">
        <v>73</v>
      </c>
      <c r="B364" s="21" t="s">
        <v>619</v>
      </c>
      <c r="C364" s="21"/>
      <c r="D364" s="16" t="s">
        <v>229</v>
      </c>
      <c r="E364" s="14" t="s">
        <v>128</v>
      </c>
      <c r="F364" s="14" t="s">
        <v>129</v>
      </c>
      <c r="G364" s="7" t="s">
        <v>150</v>
      </c>
      <c r="H364" s="18"/>
      <c r="I364" s="18"/>
      <c r="J364" s="14" t="s">
        <v>854</v>
      </c>
      <c r="K364" s="49" t="s">
        <v>151</v>
      </c>
      <c r="L364" s="151">
        <v>285</v>
      </c>
      <c r="M364" s="152">
        <v>3780</v>
      </c>
      <c r="N364" s="121">
        <v>2782.8</v>
      </c>
      <c r="O364" s="27"/>
      <c r="P364" s="58"/>
      <c r="Q364" s="49"/>
      <c r="R364" s="27"/>
      <c r="S364" s="58"/>
      <c r="T364" s="98"/>
      <c r="U364" s="27"/>
      <c r="V364" s="58"/>
      <c r="W364" s="12"/>
      <c r="X364" s="27"/>
      <c r="Y364" s="58"/>
      <c r="Z364" s="12"/>
      <c r="AA364" s="27"/>
      <c r="AB364" s="58"/>
      <c r="AC364" s="107"/>
      <c r="AD364" s="27"/>
      <c r="AE364" s="58"/>
      <c r="AF364" s="107"/>
      <c r="AG364" s="27"/>
      <c r="AH364" s="58"/>
      <c r="AI364" s="107"/>
      <c r="AJ364" s="27"/>
      <c r="AK364" s="58"/>
      <c r="AL364" s="107"/>
      <c r="AM364" s="27"/>
      <c r="AN364" s="58"/>
      <c r="AO364" s="107"/>
      <c r="AP364" s="27"/>
      <c r="AQ364" s="58"/>
      <c r="AR364" s="107"/>
      <c r="AS364" s="27"/>
      <c r="AT364" s="58"/>
      <c r="AU364" s="107"/>
    </row>
    <row r="365" spans="1:47" ht="29.25" customHeight="1" x14ac:dyDescent="0.6">
      <c r="A365" s="5">
        <v>74</v>
      </c>
      <c r="B365" s="21" t="s">
        <v>641</v>
      </c>
      <c r="C365" s="21"/>
      <c r="D365" s="14" t="s">
        <v>231</v>
      </c>
      <c r="E365" s="14" t="s">
        <v>100</v>
      </c>
      <c r="F365" s="16" t="s">
        <v>101</v>
      </c>
      <c r="G365" s="7" t="s">
        <v>150</v>
      </c>
      <c r="H365" s="18"/>
      <c r="I365" s="18"/>
      <c r="J365" s="14" t="s">
        <v>855</v>
      </c>
      <c r="K365" s="49" t="s">
        <v>151</v>
      </c>
      <c r="L365" s="151">
        <v>200</v>
      </c>
      <c r="M365" s="152">
        <v>2400</v>
      </c>
      <c r="N365" s="121">
        <v>2220</v>
      </c>
      <c r="O365" s="27"/>
      <c r="P365" s="58"/>
      <c r="Q365" s="49"/>
      <c r="R365" s="27"/>
      <c r="S365" s="58"/>
      <c r="T365" s="98"/>
      <c r="U365" s="27"/>
      <c r="V365" s="58"/>
      <c r="W365" s="12"/>
      <c r="X365" s="27"/>
      <c r="Y365" s="58"/>
      <c r="Z365" s="12"/>
      <c r="AA365" s="27"/>
      <c r="AB365" s="58"/>
      <c r="AC365" s="107"/>
      <c r="AD365" s="27"/>
      <c r="AE365" s="58"/>
      <c r="AF365" s="107"/>
      <c r="AG365" s="27"/>
      <c r="AH365" s="58"/>
      <c r="AI365" s="107"/>
      <c r="AJ365" s="27"/>
      <c r="AK365" s="58"/>
      <c r="AL365" s="107"/>
      <c r="AM365" s="27"/>
      <c r="AN365" s="58"/>
      <c r="AO365" s="107"/>
      <c r="AP365" s="27"/>
      <c r="AQ365" s="58"/>
      <c r="AR365" s="107"/>
      <c r="AS365" s="27"/>
      <c r="AT365" s="58"/>
      <c r="AU365" s="107"/>
    </row>
    <row r="366" spans="1:47" ht="29.25" customHeight="1" x14ac:dyDescent="0.6">
      <c r="A366" s="5">
        <v>75</v>
      </c>
      <c r="B366" s="21" t="s">
        <v>642</v>
      </c>
      <c r="C366" s="21"/>
      <c r="D366" s="19" t="s">
        <v>233</v>
      </c>
      <c r="E366" s="15" t="s">
        <v>128</v>
      </c>
      <c r="F366" s="20" t="s">
        <v>129</v>
      </c>
      <c r="G366" s="7" t="s">
        <v>150</v>
      </c>
      <c r="H366" s="18" t="s">
        <v>856</v>
      </c>
      <c r="I366" s="18"/>
      <c r="J366" s="14" t="s">
        <v>857</v>
      </c>
      <c r="K366" s="49" t="s">
        <v>151</v>
      </c>
      <c r="L366" s="151">
        <v>350</v>
      </c>
      <c r="M366" s="152">
        <v>4500</v>
      </c>
      <c r="N366" s="121">
        <v>3744</v>
      </c>
      <c r="O366" s="27"/>
      <c r="P366" s="58"/>
      <c r="Q366" s="49"/>
      <c r="R366" s="27"/>
      <c r="S366" s="58"/>
      <c r="T366" s="98"/>
      <c r="U366" s="27"/>
      <c r="V366" s="58"/>
      <c r="W366" s="12"/>
      <c r="X366" s="27"/>
      <c r="Y366" s="58"/>
      <c r="Z366" s="12"/>
      <c r="AA366" s="27"/>
      <c r="AB366" s="58"/>
      <c r="AC366" s="12"/>
      <c r="AD366" s="27"/>
      <c r="AE366" s="58"/>
      <c r="AF366" s="107"/>
      <c r="AG366" s="27"/>
      <c r="AH366" s="58"/>
      <c r="AI366" s="107"/>
      <c r="AJ366" s="27"/>
      <c r="AK366" s="58"/>
      <c r="AL366" s="107"/>
      <c r="AM366" s="27"/>
      <c r="AN366" s="58"/>
      <c r="AO366" s="107"/>
      <c r="AP366" s="27"/>
      <c r="AQ366" s="58"/>
      <c r="AR366" s="107"/>
      <c r="AS366" s="27"/>
      <c r="AT366" s="58"/>
      <c r="AU366" s="107"/>
    </row>
    <row r="367" spans="1:47" ht="29.25" customHeight="1" x14ac:dyDescent="0.6">
      <c r="A367" s="5">
        <v>76</v>
      </c>
      <c r="B367" s="21" t="s">
        <v>1154</v>
      </c>
      <c r="C367" s="21"/>
      <c r="D367" s="21" t="s">
        <v>235</v>
      </c>
      <c r="E367" s="14" t="s">
        <v>236</v>
      </c>
      <c r="F367" s="20" t="s">
        <v>237</v>
      </c>
      <c r="G367" s="7" t="s">
        <v>150</v>
      </c>
      <c r="H367" s="18" t="s">
        <v>858</v>
      </c>
      <c r="I367" s="18"/>
      <c r="J367" s="14" t="s">
        <v>859</v>
      </c>
      <c r="K367" s="49" t="s">
        <v>151</v>
      </c>
      <c r="L367" s="151">
        <v>230</v>
      </c>
      <c r="M367" s="152">
        <v>3160</v>
      </c>
      <c r="N367" s="121">
        <v>2152</v>
      </c>
      <c r="O367" s="27"/>
      <c r="P367" s="58"/>
      <c r="Q367" s="49"/>
      <c r="R367" s="27"/>
      <c r="S367" s="58"/>
      <c r="T367" s="98"/>
      <c r="U367" s="27"/>
      <c r="V367" s="58"/>
      <c r="W367" s="12"/>
      <c r="X367" s="27"/>
      <c r="Y367" s="58"/>
      <c r="Z367" s="12"/>
      <c r="AA367" s="27"/>
      <c r="AB367" s="58"/>
      <c r="AC367" s="12"/>
      <c r="AD367" s="27"/>
      <c r="AE367" s="58"/>
      <c r="AF367" s="107"/>
      <c r="AG367" s="27"/>
      <c r="AH367" s="58"/>
      <c r="AI367" s="107"/>
      <c r="AJ367" s="27"/>
      <c r="AK367" s="58"/>
      <c r="AL367" s="107"/>
      <c r="AM367" s="27"/>
      <c r="AN367" s="58"/>
      <c r="AO367" s="107"/>
      <c r="AP367" s="27"/>
      <c r="AQ367" s="58"/>
      <c r="AR367" s="107"/>
      <c r="AS367" s="27"/>
      <c r="AT367" s="58"/>
      <c r="AU367" s="107"/>
    </row>
    <row r="368" spans="1:47" ht="29.25" customHeight="1" x14ac:dyDescent="0.6">
      <c r="A368" s="5">
        <v>77</v>
      </c>
      <c r="B368" s="21" t="s">
        <v>644</v>
      </c>
      <c r="C368" s="21"/>
      <c r="D368" s="21" t="s">
        <v>239</v>
      </c>
      <c r="E368" s="14" t="s">
        <v>53</v>
      </c>
      <c r="F368" s="20" t="s">
        <v>54</v>
      </c>
      <c r="G368" s="7" t="s">
        <v>150</v>
      </c>
      <c r="H368" s="18" t="s">
        <v>860</v>
      </c>
      <c r="I368" s="18"/>
      <c r="J368" s="14" t="s">
        <v>861</v>
      </c>
      <c r="K368" s="49" t="s">
        <v>151</v>
      </c>
      <c r="L368" s="151">
        <v>82</v>
      </c>
      <c r="M368" s="152">
        <v>1236</v>
      </c>
      <c r="N368" s="121">
        <v>987.6</v>
      </c>
      <c r="O368" s="27"/>
      <c r="P368" s="58"/>
      <c r="Q368" s="49"/>
      <c r="R368" s="27"/>
      <c r="S368" s="58"/>
      <c r="T368" s="98"/>
      <c r="U368" s="27"/>
      <c r="V368" s="58"/>
      <c r="W368" s="12"/>
      <c r="X368" s="27"/>
      <c r="Y368" s="58"/>
      <c r="Z368" s="12"/>
      <c r="AA368" s="27"/>
      <c r="AB368" s="58"/>
      <c r="AC368" s="12"/>
      <c r="AD368" s="27"/>
      <c r="AE368" s="58"/>
      <c r="AF368" s="107"/>
      <c r="AG368" s="27"/>
      <c r="AH368" s="58"/>
      <c r="AI368" s="107"/>
      <c r="AJ368" s="27"/>
      <c r="AK368" s="58"/>
      <c r="AL368" s="107"/>
      <c r="AM368" s="27"/>
      <c r="AN368" s="58"/>
      <c r="AO368" s="107"/>
      <c r="AP368" s="27"/>
      <c r="AQ368" s="58"/>
      <c r="AR368" s="107"/>
      <c r="AS368" s="27"/>
      <c r="AT368" s="58"/>
      <c r="AU368" s="107"/>
    </row>
    <row r="369" spans="1:47" ht="29.25" customHeight="1" x14ac:dyDescent="0.6">
      <c r="A369" s="5">
        <v>78</v>
      </c>
      <c r="B369" s="21" t="s">
        <v>251</v>
      </c>
      <c r="C369" s="21"/>
      <c r="D369" s="14" t="s">
        <v>241</v>
      </c>
      <c r="E369" s="15" t="s">
        <v>242</v>
      </c>
      <c r="F369" s="15" t="s">
        <v>243</v>
      </c>
      <c r="G369" s="7" t="s">
        <v>150</v>
      </c>
      <c r="H369" s="18"/>
      <c r="I369" s="18"/>
      <c r="J369" s="14" t="s">
        <v>862</v>
      </c>
      <c r="K369" s="49" t="s">
        <v>151</v>
      </c>
      <c r="L369" s="151">
        <v>190</v>
      </c>
      <c r="M369" s="152">
        <v>2750</v>
      </c>
      <c r="N369" s="121">
        <v>2011.2</v>
      </c>
      <c r="O369" s="27"/>
      <c r="P369" s="58"/>
      <c r="Q369" s="49"/>
      <c r="R369" s="27"/>
      <c r="S369" s="58"/>
      <c r="T369" s="98"/>
      <c r="U369" s="27"/>
      <c r="V369" s="58"/>
      <c r="W369" s="12"/>
      <c r="X369" s="27"/>
      <c r="Y369" s="58"/>
      <c r="Z369" s="12"/>
      <c r="AA369" s="27"/>
      <c r="AB369" s="58"/>
      <c r="AC369" s="12"/>
      <c r="AD369" s="27"/>
      <c r="AE369" s="58"/>
      <c r="AF369" s="107"/>
      <c r="AG369" s="27"/>
      <c r="AH369" s="58"/>
      <c r="AI369" s="107"/>
      <c r="AJ369" s="27"/>
      <c r="AK369" s="58"/>
      <c r="AL369" s="107"/>
      <c r="AM369" s="27"/>
      <c r="AN369" s="58"/>
      <c r="AO369" s="107"/>
      <c r="AP369" s="27"/>
      <c r="AQ369" s="58"/>
      <c r="AR369" s="107"/>
      <c r="AS369" s="27"/>
      <c r="AT369" s="58"/>
      <c r="AU369" s="107"/>
    </row>
    <row r="370" spans="1:47" ht="29.25" customHeight="1" x14ac:dyDescent="0.6">
      <c r="A370" s="5">
        <v>79</v>
      </c>
      <c r="B370" s="21" t="s">
        <v>253</v>
      </c>
      <c r="C370" s="21"/>
      <c r="D370" s="14" t="s">
        <v>245</v>
      </c>
      <c r="E370" s="15" t="s">
        <v>33</v>
      </c>
      <c r="F370" s="14" t="s">
        <v>246</v>
      </c>
      <c r="G370" s="7" t="s">
        <v>150</v>
      </c>
      <c r="H370" s="18" t="s">
        <v>863</v>
      </c>
      <c r="I370" s="18"/>
      <c r="J370" s="14" t="s">
        <v>864</v>
      </c>
      <c r="K370" s="49" t="s">
        <v>151</v>
      </c>
      <c r="L370" s="151">
        <v>79</v>
      </c>
      <c r="M370" s="152">
        <v>1060</v>
      </c>
      <c r="N370" s="121">
        <v>956</v>
      </c>
      <c r="O370" s="27"/>
      <c r="P370" s="58"/>
      <c r="Q370" s="49"/>
      <c r="R370" s="27"/>
      <c r="S370" s="58"/>
      <c r="T370" s="98"/>
      <c r="U370" s="27"/>
      <c r="V370" s="58"/>
      <c r="W370" s="12"/>
      <c r="X370" s="27"/>
      <c r="Y370" s="58"/>
      <c r="Z370" s="12"/>
      <c r="AA370" s="27"/>
      <c r="AB370" s="58"/>
      <c r="AC370" s="12"/>
      <c r="AD370" s="27"/>
      <c r="AE370" s="58"/>
      <c r="AF370" s="107"/>
      <c r="AG370" s="27"/>
      <c r="AH370" s="58"/>
      <c r="AI370" s="107"/>
      <c r="AJ370" s="27"/>
      <c r="AK370" s="58"/>
      <c r="AL370" s="107"/>
      <c r="AM370" s="27"/>
      <c r="AN370" s="58"/>
      <c r="AO370" s="107"/>
      <c r="AP370" s="27"/>
      <c r="AQ370" s="58"/>
      <c r="AR370" s="107"/>
      <c r="AS370" s="27"/>
      <c r="AT370" s="58"/>
      <c r="AU370" s="107"/>
    </row>
    <row r="371" spans="1:47" ht="29.25" customHeight="1" x14ac:dyDescent="0.6">
      <c r="A371" s="5">
        <v>80</v>
      </c>
      <c r="B371" s="21" t="s">
        <v>255</v>
      </c>
      <c r="C371" s="21"/>
      <c r="D371" s="21" t="s">
        <v>248</v>
      </c>
      <c r="E371" s="20" t="s">
        <v>249</v>
      </c>
      <c r="F371" s="20" t="s">
        <v>250</v>
      </c>
      <c r="G371" s="7" t="s">
        <v>150</v>
      </c>
      <c r="H371" s="18"/>
      <c r="I371" s="18"/>
      <c r="J371" s="14" t="s">
        <v>1123</v>
      </c>
      <c r="K371" s="49" t="s">
        <v>151</v>
      </c>
      <c r="L371" s="151">
        <v>307</v>
      </c>
      <c r="M371" s="152">
        <v>4130</v>
      </c>
      <c r="N371" s="121">
        <v>3318</v>
      </c>
      <c r="O371" s="27"/>
      <c r="P371" s="58"/>
      <c r="Q371" s="49"/>
      <c r="R371" s="27"/>
      <c r="S371" s="58"/>
      <c r="T371" s="98"/>
      <c r="U371" s="27"/>
      <c r="V371" s="58"/>
      <c r="W371" s="12"/>
      <c r="X371" s="27"/>
      <c r="Y371" s="58"/>
      <c r="Z371" s="12"/>
      <c r="AA371" s="27"/>
      <c r="AB371" s="58"/>
      <c r="AC371" s="12"/>
      <c r="AD371" s="27"/>
      <c r="AE371" s="58"/>
      <c r="AF371" s="107"/>
      <c r="AG371" s="27"/>
      <c r="AH371" s="58"/>
      <c r="AI371" s="107"/>
      <c r="AJ371" s="27"/>
      <c r="AK371" s="58"/>
      <c r="AL371" s="107"/>
      <c r="AM371" s="27"/>
      <c r="AN371" s="58"/>
      <c r="AO371" s="107"/>
      <c r="AP371" s="27"/>
      <c r="AQ371" s="58"/>
      <c r="AR371" s="107"/>
      <c r="AS371" s="27"/>
      <c r="AT371" s="58"/>
      <c r="AU371" s="107"/>
    </row>
    <row r="372" spans="1:47" ht="29.25" customHeight="1" x14ac:dyDescent="0.6">
      <c r="A372" s="5">
        <v>81</v>
      </c>
      <c r="B372" s="21" t="s">
        <v>257</v>
      </c>
      <c r="C372" s="21"/>
      <c r="D372" s="21"/>
      <c r="E372" s="20" t="s">
        <v>661</v>
      </c>
      <c r="F372" s="20"/>
      <c r="G372" s="7" t="s">
        <v>150</v>
      </c>
      <c r="H372" s="143"/>
      <c r="I372" s="143"/>
      <c r="J372" s="144" t="s">
        <v>1124</v>
      </c>
      <c r="K372" s="49" t="s">
        <v>151</v>
      </c>
      <c r="L372" s="151">
        <v>504</v>
      </c>
      <c r="M372" s="152">
        <v>7070</v>
      </c>
      <c r="N372" s="121">
        <v>5563.9999999999991</v>
      </c>
      <c r="O372" s="27"/>
      <c r="P372" s="58"/>
      <c r="Q372" s="49"/>
      <c r="R372" s="27"/>
      <c r="S372" s="58"/>
      <c r="T372" s="98"/>
      <c r="U372" s="27"/>
      <c r="V372" s="58"/>
      <c r="W372" s="12"/>
      <c r="X372" s="27"/>
      <c r="Y372" s="58"/>
      <c r="Z372" s="12"/>
      <c r="AA372" s="27"/>
      <c r="AB372" s="58"/>
      <c r="AC372" s="12"/>
      <c r="AD372" s="27"/>
      <c r="AE372" s="58"/>
      <c r="AF372" s="107"/>
      <c r="AG372" s="27"/>
      <c r="AH372" s="58"/>
      <c r="AI372" s="107"/>
      <c r="AJ372" s="27"/>
      <c r="AK372" s="58"/>
      <c r="AL372" s="107"/>
      <c r="AM372" s="27"/>
      <c r="AN372" s="58"/>
      <c r="AO372" s="107"/>
      <c r="AP372" s="27"/>
      <c r="AQ372" s="58"/>
      <c r="AR372" s="107"/>
      <c r="AS372" s="27"/>
      <c r="AT372" s="58"/>
      <c r="AU372" s="107"/>
    </row>
    <row r="373" spans="1:47" ht="29.25" customHeight="1" x14ac:dyDescent="0.6">
      <c r="A373" s="5">
        <v>82</v>
      </c>
      <c r="B373" s="21" t="s">
        <v>261</v>
      </c>
      <c r="C373" s="21"/>
      <c r="D373" s="21"/>
      <c r="E373" s="20" t="s">
        <v>661</v>
      </c>
      <c r="F373" s="20"/>
      <c r="G373" s="7" t="s">
        <v>150</v>
      </c>
      <c r="H373" s="143"/>
      <c r="I373" s="143"/>
      <c r="J373" s="144" t="s">
        <v>1125</v>
      </c>
      <c r="K373" s="49" t="s">
        <v>151</v>
      </c>
      <c r="L373" s="151">
        <v>287</v>
      </c>
      <c r="M373" s="152">
        <v>3734</v>
      </c>
      <c r="N373" s="121">
        <v>2993.6000000000004</v>
      </c>
      <c r="O373" s="27"/>
      <c r="P373" s="58"/>
      <c r="Q373" s="49"/>
      <c r="R373" s="27"/>
      <c r="S373" s="58"/>
      <c r="T373" s="98"/>
      <c r="U373" s="27"/>
      <c r="V373" s="58"/>
      <c r="W373" s="12"/>
      <c r="X373" s="27"/>
      <c r="Y373" s="58"/>
      <c r="Z373" s="12"/>
      <c r="AA373" s="27"/>
      <c r="AB373" s="58"/>
      <c r="AC373" s="12"/>
      <c r="AD373" s="27"/>
      <c r="AE373" s="58"/>
      <c r="AF373" s="107"/>
      <c r="AG373" s="27"/>
      <c r="AH373" s="58"/>
      <c r="AI373" s="107"/>
      <c r="AJ373" s="27"/>
      <c r="AK373" s="58"/>
      <c r="AL373" s="107"/>
      <c r="AM373" s="27"/>
      <c r="AN373" s="58"/>
      <c r="AO373" s="107"/>
      <c r="AP373" s="27"/>
      <c r="AQ373" s="58"/>
      <c r="AR373" s="107"/>
      <c r="AS373" s="27"/>
      <c r="AT373" s="58"/>
      <c r="AU373" s="107"/>
    </row>
    <row r="374" spans="1:47" ht="29.25" customHeight="1" x14ac:dyDescent="0.6">
      <c r="A374" s="5">
        <v>83</v>
      </c>
      <c r="B374" s="21" t="s">
        <v>268</v>
      </c>
      <c r="C374" s="21"/>
      <c r="D374" s="21"/>
      <c r="E374" s="20" t="s">
        <v>662</v>
      </c>
      <c r="F374" s="20"/>
      <c r="G374" s="7" t="s">
        <v>150</v>
      </c>
      <c r="H374" s="143"/>
      <c r="I374" s="143"/>
      <c r="J374" s="144" t="s">
        <v>1126</v>
      </c>
      <c r="K374" s="49" t="s">
        <v>151</v>
      </c>
      <c r="L374" s="151">
        <v>150</v>
      </c>
      <c r="M374" s="152">
        <v>2100</v>
      </c>
      <c r="N374" s="121">
        <v>1344</v>
      </c>
      <c r="O374" s="27"/>
      <c r="P374" s="58"/>
      <c r="Q374" s="49"/>
      <c r="R374" s="27"/>
      <c r="S374" s="58"/>
      <c r="T374" s="98"/>
      <c r="U374" s="27"/>
      <c r="V374" s="58"/>
      <c r="W374" s="12"/>
      <c r="X374" s="27"/>
      <c r="Y374" s="58"/>
      <c r="Z374" s="12"/>
      <c r="AA374" s="27"/>
      <c r="AB374" s="58"/>
      <c r="AC374" s="12"/>
      <c r="AD374" s="27"/>
      <c r="AE374" s="58"/>
      <c r="AF374" s="107"/>
      <c r="AG374" s="27"/>
      <c r="AH374" s="58"/>
      <c r="AI374" s="107"/>
      <c r="AJ374" s="27"/>
      <c r="AK374" s="58"/>
      <c r="AL374" s="107"/>
      <c r="AM374" s="27"/>
      <c r="AN374" s="58"/>
      <c r="AO374" s="107"/>
      <c r="AP374" s="27"/>
      <c r="AQ374" s="58"/>
      <c r="AR374" s="107"/>
      <c r="AS374" s="27"/>
      <c r="AT374" s="58"/>
      <c r="AU374" s="107"/>
    </row>
    <row r="375" spans="1:47" ht="29.25" customHeight="1" x14ac:dyDescent="0.6">
      <c r="A375" s="5">
        <v>84</v>
      </c>
      <c r="B375" s="21" t="s">
        <v>270</v>
      </c>
      <c r="C375" s="21"/>
      <c r="D375" s="21"/>
      <c r="E375" s="20" t="s">
        <v>661</v>
      </c>
      <c r="F375" s="20"/>
      <c r="G375" s="7" t="s">
        <v>150</v>
      </c>
      <c r="H375" s="143"/>
      <c r="I375" s="143"/>
      <c r="J375" s="144" t="s">
        <v>1127</v>
      </c>
      <c r="K375" s="49" t="s">
        <v>151</v>
      </c>
      <c r="L375" s="151">
        <v>143</v>
      </c>
      <c r="M375" s="152">
        <v>1866</v>
      </c>
      <c r="N375" s="121">
        <v>1488</v>
      </c>
      <c r="O375" s="27"/>
      <c r="P375" s="58"/>
      <c r="Q375" s="49"/>
      <c r="R375" s="27"/>
      <c r="S375" s="58"/>
      <c r="T375" s="98"/>
      <c r="U375" s="27"/>
      <c r="V375" s="58"/>
      <c r="W375" s="12"/>
      <c r="X375" s="27"/>
      <c r="Y375" s="58"/>
      <c r="Z375" s="12"/>
      <c r="AA375" s="27"/>
      <c r="AB375" s="58"/>
      <c r="AC375" s="12"/>
      <c r="AD375" s="27"/>
      <c r="AE375" s="58"/>
      <c r="AF375" s="107"/>
      <c r="AG375" s="27"/>
      <c r="AH375" s="58"/>
      <c r="AI375" s="107"/>
      <c r="AJ375" s="27"/>
      <c r="AK375" s="58"/>
      <c r="AL375" s="107"/>
      <c r="AM375" s="27"/>
      <c r="AN375" s="58"/>
      <c r="AO375" s="107"/>
      <c r="AP375" s="27"/>
      <c r="AQ375" s="58"/>
      <c r="AR375" s="107"/>
      <c r="AS375" s="27"/>
      <c r="AT375" s="58"/>
      <c r="AU375" s="107"/>
    </row>
    <row r="376" spans="1:47" ht="29.25" customHeight="1" x14ac:dyDescent="0.6">
      <c r="A376" s="5">
        <v>85</v>
      </c>
      <c r="B376" s="21" t="s">
        <v>274</v>
      </c>
      <c r="C376" s="21"/>
      <c r="D376" s="21"/>
      <c r="E376" s="20" t="s">
        <v>661</v>
      </c>
      <c r="F376" s="20"/>
      <c r="G376" s="7" t="s">
        <v>150</v>
      </c>
      <c r="H376" s="143"/>
      <c r="I376" s="143"/>
      <c r="J376" s="144" t="s">
        <v>1128</v>
      </c>
      <c r="K376" s="49" t="s">
        <v>151</v>
      </c>
      <c r="L376" s="151">
        <v>150</v>
      </c>
      <c r="M376" s="152">
        <v>2680</v>
      </c>
      <c r="N376" s="121">
        <v>1799.2</v>
      </c>
      <c r="O376" s="27"/>
      <c r="P376" s="58"/>
      <c r="Q376" s="49"/>
      <c r="R376" s="27"/>
      <c r="S376" s="58"/>
      <c r="T376" s="98"/>
      <c r="U376" s="27"/>
      <c r="V376" s="58"/>
      <c r="W376" s="12"/>
      <c r="X376" s="27"/>
      <c r="Y376" s="58"/>
      <c r="Z376" s="12"/>
      <c r="AA376" s="27"/>
      <c r="AB376" s="58"/>
      <c r="AC376" s="12"/>
      <c r="AD376" s="27"/>
      <c r="AE376" s="58"/>
      <c r="AF376" s="107"/>
      <c r="AG376" s="27"/>
      <c r="AH376" s="58"/>
      <c r="AI376" s="107"/>
      <c r="AJ376" s="27"/>
      <c r="AK376" s="58"/>
      <c r="AL376" s="107"/>
      <c r="AM376" s="27"/>
      <c r="AN376" s="58"/>
      <c r="AO376" s="107"/>
      <c r="AP376" s="27"/>
      <c r="AQ376" s="58"/>
      <c r="AR376" s="107"/>
      <c r="AS376" s="27"/>
      <c r="AT376" s="58"/>
      <c r="AU376" s="107"/>
    </row>
    <row r="377" spans="1:47" ht="29.25" customHeight="1" x14ac:dyDescent="0.6">
      <c r="A377" s="5">
        <v>86</v>
      </c>
      <c r="B377" s="21" t="s">
        <v>278</v>
      </c>
      <c r="C377" s="21"/>
      <c r="D377" s="21"/>
      <c r="E377" s="20" t="s">
        <v>503</v>
      </c>
      <c r="F377" s="20"/>
      <c r="G377" s="7" t="s">
        <v>150</v>
      </c>
      <c r="H377" s="143"/>
      <c r="I377" s="143"/>
      <c r="J377" s="144" t="s">
        <v>1129</v>
      </c>
      <c r="K377" s="49" t="s">
        <v>151</v>
      </c>
      <c r="L377" s="151">
        <v>600</v>
      </c>
      <c r="M377" s="152">
        <v>9310</v>
      </c>
      <c r="N377" s="121">
        <v>6991.9999999999991</v>
      </c>
      <c r="O377" s="27"/>
      <c r="P377" s="58"/>
      <c r="Q377" s="49"/>
      <c r="R377" s="27"/>
      <c r="S377" s="58"/>
      <c r="T377" s="98"/>
      <c r="U377" s="27"/>
      <c r="V377" s="58"/>
      <c r="W377" s="12"/>
      <c r="X377" s="27"/>
      <c r="Y377" s="58"/>
      <c r="Z377" s="12"/>
      <c r="AA377" s="27"/>
      <c r="AB377" s="58"/>
      <c r="AC377" s="12"/>
      <c r="AD377" s="27"/>
      <c r="AE377" s="58"/>
      <c r="AF377" s="107"/>
      <c r="AG377" s="27"/>
      <c r="AH377" s="58"/>
      <c r="AI377" s="107"/>
      <c r="AJ377" s="27"/>
      <c r="AK377" s="58"/>
      <c r="AL377" s="107"/>
      <c r="AM377" s="27"/>
      <c r="AN377" s="58"/>
      <c r="AO377" s="107"/>
      <c r="AP377" s="27"/>
      <c r="AQ377" s="58"/>
      <c r="AR377" s="107"/>
      <c r="AS377" s="27"/>
      <c r="AT377" s="58"/>
      <c r="AU377" s="107"/>
    </row>
    <row r="378" spans="1:47" ht="29.25" customHeight="1" x14ac:dyDescent="0.6">
      <c r="A378" s="5">
        <v>87</v>
      </c>
      <c r="B378" s="150">
        <v>126</v>
      </c>
      <c r="C378" s="150"/>
      <c r="D378" s="16" t="s">
        <v>252</v>
      </c>
      <c r="E378" s="15" t="s">
        <v>82</v>
      </c>
      <c r="F378" s="15" t="s">
        <v>83</v>
      </c>
      <c r="G378" s="7" t="s">
        <v>150</v>
      </c>
      <c r="H378" s="18" t="s">
        <v>865</v>
      </c>
      <c r="I378" s="18" t="s">
        <v>866</v>
      </c>
      <c r="J378" s="14" t="s">
        <v>867</v>
      </c>
      <c r="K378" s="49" t="s">
        <v>125</v>
      </c>
      <c r="L378" s="151">
        <v>32</v>
      </c>
      <c r="M378" s="152">
        <v>470</v>
      </c>
      <c r="N378" s="121">
        <v>342.4</v>
      </c>
      <c r="O378" s="27"/>
      <c r="P378" s="58"/>
      <c r="Q378" s="49"/>
      <c r="R378" s="27"/>
      <c r="S378" s="58"/>
      <c r="T378" s="98"/>
      <c r="U378" s="27"/>
      <c r="V378" s="58"/>
      <c r="W378" s="12"/>
      <c r="X378" s="27"/>
      <c r="Y378" s="58"/>
      <c r="Z378" s="107"/>
      <c r="AA378" s="27"/>
      <c r="AB378" s="58"/>
      <c r="AC378" s="12"/>
      <c r="AD378" s="27"/>
      <c r="AE378" s="58"/>
      <c r="AF378" s="107"/>
      <c r="AG378" s="27"/>
      <c r="AH378" s="58"/>
      <c r="AI378" s="107"/>
      <c r="AJ378" s="27"/>
      <c r="AK378" s="58"/>
      <c r="AL378" s="107"/>
      <c r="AM378" s="27"/>
      <c r="AN378" s="58"/>
      <c r="AO378" s="107"/>
      <c r="AP378" s="27"/>
      <c r="AQ378" s="58"/>
      <c r="AR378" s="107"/>
      <c r="AS378" s="27"/>
      <c r="AT378" s="58"/>
      <c r="AU378" s="107"/>
    </row>
    <row r="379" spans="1:47" ht="29.25" customHeight="1" x14ac:dyDescent="0.6">
      <c r="A379" s="5">
        <v>88</v>
      </c>
      <c r="B379" s="21" t="s">
        <v>285</v>
      </c>
      <c r="C379" s="21"/>
      <c r="D379" s="16" t="s">
        <v>254</v>
      </c>
      <c r="E379" s="15" t="s">
        <v>82</v>
      </c>
      <c r="F379" s="15" t="s">
        <v>83</v>
      </c>
      <c r="G379" s="7" t="s">
        <v>150</v>
      </c>
      <c r="H379" s="18" t="s">
        <v>868</v>
      </c>
      <c r="I379" s="18" t="s">
        <v>869</v>
      </c>
      <c r="J379" s="14" t="s">
        <v>870</v>
      </c>
      <c r="K379" s="49" t="s">
        <v>125</v>
      </c>
      <c r="L379" s="151">
        <v>545</v>
      </c>
      <c r="M379" s="152">
        <v>7610</v>
      </c>
      <c r="N379" s="121">
        <v>6202.4000000000005</v>
      </c>
      <c r="O379" s="27"/>
      <c r="P379" s="58"/>
      <c r="Q379" s="104"/>
      <c r="R379" s="27"/>
      <c r="S379" s="58"/>
      <c r="T379" s="98"/>
      <c r="U379" s="27"/>
      <c r="V379" s="58"/>
      <c r="W379" s="12"/>
      <c r="X379" s="27"/>
      <c r="Y379" s="58"/>
      <c r="Z379" s="107"/>
      <c r="AA379" s="27"/>
      <c r="AB379" s="58"/>
      <c r="AC379" s="12"/>
      <c r="AD379" s="27"/>
      <c r="AE379" s="58"/>
      <c r="AF379" s="107"/>
      <c r="AG379" s="27"/>
      <c r="AH379" s="58"/>
      <c r="AI379" s="107"/>
      <c r="AJ379" s="27"/>
      <c r="AK379" s="58"/>
      <c r="AL379" s="107"/>
      <c r="AM379" s="27"/>
      <c r="AN379" s="58"/>
      <c r="AO379" s="107"/>
      <c r="AP379" s="27"/>
      <c r="AQ379" s="58"/>
      <c r="AR379" s="107"/>
      <c r="AS379" s="27"/>
      <c r="AT379" s="58"/>
      <c r="AU379" s="107"/>
    </row>
    <row r="380" spans="1:47" ht="29.25" customHeight="1" x14ac:dyDescent="0.6">
      <c r="A380" s="5">
        <v>89</v>
      </c>
      <c r="B380" s="21" t="s">
        <v>287</v>
      </c>
      <c r="C380" s="21"/>
      <c r="D380" s="16" t="s">
        <v>256</v>
      </c>
      <c r="E380" s="15" t="s">
        <v>82</v>
      </c>
      <c r="F380" s="15" t="s">
        <v>83</v>
      </c>
      <c r="G380" s="7" t="s">
        <v>150</v>
      </c>
      <c r="H380" s="18" t="s">
        <v>871</v>
      </c>
      <c r="I380" s="18" t="s">
        <v>872</v>
      </c>
      <c r="J380" s="14" t="s">
        <v>873</v>
      </c>
      <c r="K380" s="49" t="s">
        <v>125</v>
      </c>
      <c r="L380" s="151">
        <v>110</v>
      </c>
      <c r="M380" s="152">
        <v>2210</v>
      </c>
      <c r="N380" s="121">
        <v>1304</v>
      </c>
      <c r="O380" s="27"/>
      <c r="P380" s="58"/>
      <c r="Q380" s="104"/>
      <c r="R380" s="27"/>
      <c r="S380" s="58"/>
      <c r="T380" s="98"/>
      <c r="U380" s="27"/>
      <c r="V380" s="58"/>
      <c r="W380" s="12"/>
      <c r="X380" s="27"/>
      <c r="Y380" s="58"/>
      <c r="Z380" s="107"/>
      <c r="AA380" s="27"/>
      <c r="AB380" s="58"/>
      <c r="AC380" s="12"/>
      <c r="AD380" s="27"/>
      <c r="AE380" s="58"/>
      <c r="AF380" s="107"/>
      <c r="AG380" s="27"/>
      <c r="AH380" s="58"/>
      <c r="AI380" s="107"/>
      <c r="AJ380" s="27"/>
      <c r="AK380" s="58"/>
      <c r="AL380" s="107"/>
      <c r="AM380" s="27"/>
      <c r="AN380" s="58"/>
      <c r="AO380" s="107"/>
      <c r="AP380" s="27"/>
      <c r="AQ380" s="58"/>
      <c r="AR380" s="107"/>
      <c r="AS380" s="27"/>
      <c r="AT380" s="58"/>
      <c r="AU380" s="107"/>
    </row>
    <row r="381" spans="1:47" ht="29.25" customHeight="1" x14ac:dyDescent="0.6">
      <c r="A381" s="5">
        <v>90</v>
      </c>
      <c r="B381" s="21" t="s">
        <v>289</v>
      </c>
      <c r="C381" s="21"/>
      <c r="D381" s="16" t="s">
        <v>258</v>
      </c>
      <c r="E381" s="15" t="s">
        <v>82</v>
      </c>
      <c r="F381" s="15" t="s">
        <v>83</v>
      </c>
      <c r="G381" s="7" t="s">
        <v>150</v>
      </c>
      <c r="H381" s="18" t="s">
        <v>257</v>
      </c>
      <c r="I381" s="18" t="s">
        <v>258</v>
      </c>
      <c r="J381" s="14" t="s">
        <v>874</v>
      </c>
      <c r="K381" s="49" t="s">
        <v>125</v>
      </c>
      <c r="L381" s="151">
        <v>420</v>
      </c>
      <c r="M381" s="152">
        <v>6270</v>
      </c>
      <c r="N381" s="121">
        <v>4507.2</v>
      </c>
      <c r="O381" s="27"/>
      <c r="P381" s="58"/>
      <c r="Q381" s="104"/>
      <c r="R381" s="27"/>
      <c r="S381" s="58"/>
      <c r="T381" s="98"/>
      <c r="U381" s="27"/>
      <c r="V381" s="58"/>
      <c r="W381" s="12"/>
      <c r="X381" s="27"/>
      <c r="Y381" s="58"/>
      <c r="Z381" s="107"/>
      <c r="AA381" s="27"/>
      <c r="AB381" s="58"/>
      <c r="AC381" s="12"/>
      <c r="AD381" s="27"/>
      <c r="AE381" s="58"/>
      <c r="AF381" s="107"/>
      <c r="AG381" s="27"/>
      <c r="AH381" s="58"/>
      <c r="AI381" s="107"/>
      <c r="AJ381" s="27"/>
      <c r="AK381" s="58"/>
      <c r="AL381" s="107"/>
      <c r="AM381" s="27"/>
      <c r="AN381" s="58"/>
      <c r="AO381" s="107"/>
      <c r="AP381" s="27"/>
      <c r="AQ381" s="58"/>
      <c r="AR381" s="107"/>
      <c r="AS381" s="27"/>
      <c r="AT381" s="58"/>
      <c r="AU381" s="107"/>
    </row>
    <row r="382" spans="1:47" ht="29.25" customHeight="1" x14ac:dyDescent="0.6">
      <c r="A382" s="5">
        <v>91</v>
      </c>
      <c r="B382" s="21" t="s">
        <v>291</v>
      </c>
      <c r="C382" s="21"/>
      <c r="D382" s="16" t="s">
        <v>260</v>
      </c>
      <c r="E382" s="15" t="s">
        <v>96</v>
      </c>
      <c r="F382" s="15" t="s">
        <v>97</v>
      </c>
      <c r="G382" s="7" t="s">
        <v>150</v>
      </c>
      <c r="H382" s="18" t="s">
        <v>875</v>
      </c>
      <c r="I382" s="18" t="s">
        <v>876</v>
      </c>
      <c r="J382" s="14" t="s">
        <v>877</v>
      </c>
      <c r="K382" s="49" t="s">
        <v>125</v>
      </c>
      <c r="L382" s="151">
        <v>80</v>
      </c>
      <c r="M382" s="152">
        <v>1120</v>
      </c>
      <c r="N382" s="121">
        <v>867.6</v>
      </c>
      <c r="O382" s="27"/>
      <c r="P382" s="58"/>
      <c r="Q382" s="49"/>
      <c r="R382" s="27"/>
      <c r="S382" s="58"/>
      <c r="T382" s="98"/>
      <c r="U382" s="27"/>
      <c r="V382" s="58"/>
      <c r="W382" s="12"/>
      <c r="X382" s="27"/>
      <c r="Y382" s="58"/>
      <c r="Z382" s="107"/>
      <c r="AA382" s="27"/>
      <c r="AB382" s="58"/>
      <c r="AC382" s="107"/>
      <c r="AD382" s="27"/>
      <c r="AE382" s="58"/>
      <c r="AF382" s="107"/>
      <c r="AG382" s="27"/>
      <c r="AH382" s="58"/>
      <c r="AI382" s="107"/>
      <c r="AJ382" s="27"/>
      <c r="AK382" s="58"/>
      <c r="AL382" s="107"/>
      <c r="AM382" s="27"/>
      <c r="AN382" s="58"/>
      <c r="AO382" s="107"/>
      <c r="AP382" s="27"/>
      <c r="AQ382" s="58"/>
      <c r="AR382" s="107"/>
      <c r="AS382" s="27"/>
      <c r="AT382" s="58"/>
      <c r="AU382" s="107"/>
    </row>
    <row r="383" spans="1:47" ht="29.25" customHeight="1" x14ac:dyDescent="0.6">
      <c r="A383" s="5">
        <v>92</v>
      </c>
      <c r="B383" s="21" t="s">
        <v>294</v>
      </c>
      <c r="C383" s="21"/>
      <c r="D383" s="16" t="s">
        <v>262</v>
      </c>
      <c r="E383" s="15" t="s">
        <v>263</v>
      </c>
      <c r="F383" s="14" t="s">
        <v>264</v>
      </c>
      <c r="G383" s="7" t="s">
        <v>150</v>
      </c>
      <c r="H383" s="18" t="s">
        <v>878</v>
      </c>
      <c r="I383" s="18" t="s">
        <v>879</v>
      </c>
      <c r="J383" s="14" t="s">
        <v>880</v>
      </c>
      <c r="K383" s="49" t="s">
        <v>125</v>
      </c>
      <c r="L383" s="151">
        <v>160</v>
      </c>
      <c r="M383" s="152">
        <v>2320</v>
      </c>
      <c r="N383" s="121">
        <v>1757.6</v>
      </c>
      <c r="O383" s="27"/>
      <c r="P383" s="58"/>
      <c r="Q383" s="49"/>
      <c r="R383" s="27"/>
      <c r="S383" s="58"/>
      <c r="T383" s="98"/>
      <c r="U383" s="27"/>
      <c r="V383" s="58"/>
      <c r="W383" s="12"/>
      <c r="X383" s="27"/>
      <c r="Y383" s="58"/>
      <c r="Z383" s="107"/>
      <c r="AA383" s="27"/>
      <c r="AB383" s="58"/>
      <c r="AC383" s="12"/>
      <c r="AD383" s="27"/>
      <c r="AE383" s="58"/>
      <c r="AF383" s="107"/>
      <c r="AG383" s="27"/>
      <c r="AH383" s="58"/>
      <c r="AI383" s="107"/>
      <c r="AJ383" s="27"/>
      <c r="AK383" s="58"/>
      <c r="AL383" s="107"/>
      <c r="AM383" s="27"/>
      <c r="AN383" s="58"/>
      <c r="AO383" s="107"/>
      <c r="AP383" s="27"/>
      <c r="AQ383" s="58"/>
      <c r="AR383" s="107"/>
      <c r="AS383" s="27"/>
      <c r="AT383" s="58"/>
      <c r="AU383" s="107"/>
    </row>
    <row r="384" spans="1:47" ht="29.25" customHeight="1" x14ac:dyDescent="0.6">
      <c r="A384" s="5">
        <v>93</v>
      </c>
      <c r="B384" s="21" t="s">
        <v>296</v>
      </c>
      <c r="C384" s="21"/>
      <c r="D384" s="16" t="s">
        <v>266</v>
      </c>
      <c r="E384" s="15" t="s">
        <v>267</v>
      </c>
      <c r="F384" s="14" t="s">
        <v>46</v>
      </c>
      <c r="G384" s="7" t="s">
        <v>150</v>
      </c>
      <c r="H384" s="18" t="s">
        <v>881</v>
      </c>
      <c r="I384" s="18" t="s">
        <v>882</v>
      </c>
      <c r="J384" s="14" t="s">
        <v>883</v>
      </c>
      <c r="K384" s="49" t="s">
        <v>125</v>
      </c>
      <c r="L384" s="151">
        <v>15</v>
      </c>
      <c r="M384" s="152">
        <v>180</v>
      </c>
      <c r="N384" s="121">
        <v>180</v>
      </c>
      <c r="O384" s="27"/>
      <c r="P384" s="58"/>
      <c r="Q384" s="49"/>
      <c r="R384" s="27"/>
      <c r="S384" s="58"/>
      <c r="T384" s="98"/>
      <c r="U384" s="27"/>
      <c r="V384" s="58"/>
      <c r="W384" s="12"/>
      <c r="X384" s="27"/>
      <c r="Y384" s="58"/>
      <c r="Z384" s="107"/>
      <c r="AA384" s="27"/>
      <c r="AB384" s="58"/>
      <c r="AC384" s="107"/>
      <c r="AD384" s="27"/>
      <c r="AE384" s="58"/>
      <c r="AF384" s="107"/>
      <c r="AG384" s="27"/>
      <c r="AH384" s="58"/>
      <c r="AI384" s="107"/>
      <c r="AJ384" s="27"/>
      <c r="AK384" s="58"/>
      <c r="AL384" s="107"/>
      <c r="AM384" s="27"/>
      <c r="AN384" s="58"/>
      <c r="AO384" s="107"/>
      <c r="AP384" s="27"/>
      <c r="AQ384" s="58"/>
      <c r="AR384" s="107"/>
      <c r="AS384" s="27"/>
      <c r="AT384" s="58"/>
      <c r="AU384" s="107"/>
    </row>
    <row r="385" spans="1:47" ht="29.25" customHeight="1" x14ac:dyDescent="0.6">
      <c r="A385" s="5">
        <v>94</v>
      </c>
      <c r="B385" s="21" t="s">
        <v>170</v>
      </c>
      <c r="C385" s="21"/>
      <c r="D385" s="16" t="s">
        <v>269</v>
      </c>
      <c r="E385" s="15" t="s">
        <v>267</v>
      </c>
      <c r="F385" s="14" t="s">
        <v>46</v>
      </c>
      <c r="G385" s="7" t="s">
        <v>150</v>
      </c>
      <c r="H385" s="18" t="s">
        <v>268</v>
      </c>
      <c r="I385" s="18" t="s">
        <v>269</v>
      </c>
      <c r="J385" s="14" t="s">
        <v>884</v>
      </c>
      <c r="K385" s="49" t="s">
        <v>125</v>
      </c>
      <c r="L385" s="151">
        <v>330</v>
      </c>
      <c r="M385" s="152">
        <v>3960</v>
      </c>
      <c r="N385" s="121">
        <v>3960</v>
      </c>
      <c r="O385" s="27"/>
      <c r="P385" s="58"/>
      <c r="Q385" s="49"/>
      <c r="R385" s="27"/>
      <c r="S385" s="58"/>
      <c r="T385" s="98"/>
      <c r="U385" s="27"/>
      <c r="V385" s="58"/>
      <c r="W385" s="12"/>
      <c r="X385" s="27"/>
      <c r="Y385" s="58"/>
      <c r="Z385" s="107"/>
      <c r="AA385" s="27"/>
      <c r="AB385" s="58"/>
      <c r="AC385" s="12"/>
      <c r="AD385" s="27"/>
      <c r="AE385" s="58"/>
      <c r="AF385" s="107"/>
      <c r="AG385" s="27"/>
      <c r="AH385" s="58"/>
      <c r="AI385" s="107"/>
      <c r="AJ385" s="27"/>
      <c r="AK385" s="58"/>
      <c r="AL385" s="107"/>
      <c r="AM385" s="27"/>
      <c r="AN385" s="58"/>
      <c r="AO385" s="107"/>
      <c r="AP385" s="27"/>
      <c r="AQ385" s="58"/>
      <c r="AR385" s="107"/>
      <c r="AS385" s="27"/>
      <c r="AT385" s="58"/>
      <c r="AU385" s="107"/>
    </row>
    <row r="386" spans="1:47" ht="29.25" customHeight="1" x14ac:dyDescent="0.6">
      <c r="A386" s="5">
        <v>95</v>
      </c>
      <c r="B386" s="21" t="s">
        <v>302</v>
      </c>
      <c r="C386" s="21"/>
      <c r="D386" s="16" t="s">
        <v>271</v>
      </c>
      <c r="E386" s="15" t="s">
        <v>190</v>
      </c>
      <c r="F386" s="14" t="s">
        <v>187</v>
      </c>
      <c r="G386" s="7" t="s">
        <v>150</v>
      </c>
      <c r="H386" s="18" t="s">
        <v>885</v>
      </c>
      <c r="I386" s="18" t="s">
        <v>886</v>
      </c>
      <c r="J386" s="14" t="s">
        <v>887</v>
      </c>
      <c r="K386" s="49" t="s">
        <v>125</v>
      </c>
      <c r="L386" s="151">
        <v>100</v>
      </c>
      <c r="M386" s="152">
        <v>2320</v>
      </c>
      <c r="N386" s="121">
        <v>1280</v>
      </c>
      <c r="O386" s="27"/>
      <c r="P386" s="58"/>
      <c r="Q386" s="49"/>
      <c r="R386" s="27"/>
      <c r="S386" s="58"/>
      <c r="T386" s="98"/>
      <c r="U386" s="27"/>
      <c r="V386" s="58"/>
      <c r="W386" s="12"/>
      <c r="X386" s="27"/>
      <c r="Y386" s="58"/>
      <c r="Z386" s="107"/>
      <c r="AA386" s="27"/>
      <c r="AB386" s="58"/>
      <c r="AC386" s="12"/>
      <c r="AD386" s="27"/>
      <c r="AE386" s="58"/>
      <c r="AF386" s="107"/>
      <c r="AG386" s="27"/>
      <c r="AH386" s="58"/>
      <c r="AI386" s="107"/>
      <c r="AJ386" s="27"/>
      <c r="AK386" s="58"/>
      <c r="AL386" s="107"/>
      <c r="AM386" s="27"/>
      <c r="AN386" s="58"/>
      <c r="AO386" s="107"/>
      <c r="AP386" s="27"/>
      <c r="AQ386" s="58"/>
      <c r="AR386" s="107"/>
      <c r="AS386" s="27"/>
      <c r="AT386" s="58"/>
      <c r="AU386" s="107"/>
    </row>
    <row r="387" spans="1:47" ht="29.25" customHeight="1" x14ac:dyDescent="0.6">
      <c r="A387" s="5">
        <v>96</v>
      </c>
      <c r="B387" s="21" t="s">
        <v>305</v>
      </c>
      <c r="C387" s="21"/>
      <c r="D387" s="16" t="s">
        <v>275</v>
      </c>
      <c r="E387" s="15" t="s">
        <v>276</v>
      </c>
      <c r="F387" s="14" t="s">
        <v>277</v>
      </c>
      <c r="G387" s="7" t="s">
        <v>150</v>
      </c>
      <c r="H387" s="18" t="s">
        <v>274</v>
      </c>
      <c r="I387" s="18" t="s">
        <v>275</v>
      </c>
      <c r="J387" s="14" t="s">
        <v>888</v>
      </c>
      <c r="K387" s="49" t="s">
        <v>125</v>
      </c>
      <c r="L387" s="151">
        <v>0</v>
      </c>
      <c r="M387" s="152">
        <v>0</v>
      </c>
      <c r="N387" s="121">
        <v>0</v>
      </c>
      <c r="O387" s="27"/>
      <c r="P387" s="58"/>
      <c r="Q387" s="49"/>
      <c r="R387" s="27"/>
      <c r="S387" s="58"/>
      <c r="T387" s="98"/>
      <c r="U387" s="27"/>
      <c r="V387" s="58"/>
      <c r="W387" s="12"/>
      <c r="X387" s="27"/>
      <c r="Y387" s="58"/>
      <c r="Z387" s="107"/>
      <c r="AA387" s="27"/>
      <c r="AB387" s="58"/>
      <c r="AC387" s="12"/>
      <c r="AD387" s="27"/>
      <c r="AE387" s="58"/>
      <c r="AF387" s="107"/>
      <c r="AG387" s="27"/>
      <c r="AH387" s="58"/>
      <c r="AI387" s="107"/>
      <c r="AJ387" s="27"/>
      <c r="AK387" s="58"/>
      <c r="AL387" s="107"/>
      <c r="AM387" s="27"/>
      <c r="AN387" s="58"/>
      <c r="AO387" s="107"/>
      <c r="AP387" s="27"/>
      <c r="AQ387" s="58"/>
      <c r="AR387" s="107"/>
      <c r="AS387" s="27"/>
      <c r="AT387" s="58"/>
      <c r="AU387" s="107"/>
    </row>
    <row r="388" spans="1:47" ht="29.25" customHeight="1" x14ac:dyDescent="0.6">
      <c r="A388" s="5">
        <v>97</v>
      </c>
      <c r="B388" s="21" t="s">
        <v>309</v>
      </c>
      <c r="C388" s="21"/>
      <c r="D388" s="16" t="s">
        <v>279</v>
      </c>
      <c r="E388" s="15" t="s">
        <v>280</v>
      </c>
      <c r="F388" s="14" t="s">
        <v>281</v>
      </c>
      <c r="G388" s="7" t="s">
        <v>150</v>
      </c>
      <c r="H388" s="18" t="s">
        <v>889</v>
      </c>
      <c r="I388" s="18" t="s">
        <v>890</v>
      </c>
      <c r="J388" s="14" t="s">
        <v>891</v>
      </c>
      <c r="K388" s="49" t="s">
        <v>125</v>
      </c>
      <c r="L388" s="151">
        <v>150</v>
      </c>
      <c r="M388" s="152">
        <v>2200</v>
      </c>
      <c r="N388" s="121">
        <v>1637.6</v>
      </c>
      <c r="O388" s="27"/>
      <c r="P388" s="58"/>
      <c r="Q388" s="104"/>
      <c r="R388" s="27"/>
      <c r="S388" s="58"/>
      <c r="T388" s="98"/>
      <c r="U388" s="27"/>
      <c r="V388" s="58"/>
      <c r="W388" s="12"/>
      <c r="X388" s="27"/>
      <c r="Y388" s="58"/>
      <c r="Z388" s="107"/>
      <c r="AA388" s="27"/>
      <c r="AB388" s="58"/>
      <c r="AC388" s="107"/>
      <c r="AD388" s="27"/>
      <c r="AE388" s="58"/>
      <c r="AF388" s="107"/>
      <c r="AG388" s="27"/>
      <c r="AH388" s="58"/>
      <c r="AI388" s="107"/>
      <c r="AJ388" s="27"/>
      <c r="AK388" s="58"/>
      <c r="AL388" s="107"/>
      <c r="AM388" s="27"/>
      <c r="AN388" s="58"/>
      <c r="AO388" s="107"/>
      <c r="AP388" s="27"/>
      <c r="AQ388" s="58"/>
      <c r="AR388" s="107"/>
      <c r="AS388" s="27"/>
      <c r="AT388" s="58"/>
      <c r="AU388" s="107"/>
    </row>
    <row r="389" spans="1:47" ht="29.25" customHeight="1" x14ac:dyDescent="0.6">
      <c r="A389" s="5">
        <v>98</v>
      </c>
      <c r="B389" s="21" t="s">
        <v>312</v>
      </c>
      <c r="C389" s="21"/>
      <c r="D389" s="22">
        <v>126</v>
      </c>
      <c r="E389" s="15" t="s">
        <v>282</v>
      </c>
      <c r="F389" s="14" t="s">
        <v>91</v>
      </c>
      <c r="G389" s="7" t="s">
        <v>150</v>
      </c>
      <c r="H389" s="18" t="s">
        <v>892</v>
      </c>
      <c r="I389" s="18" t="s">
        <v>893</v>
      </c>
      <c r="J389" s="14" t="s">
        <v>894</v>
      </c>
      <c r="K389" s="49" t="s">
        <v>125</v>
      </c>
      <c r="L389" s="151">
        <v>318</v>
      </c>
      <c r="M389" s="152">
        <v>4500</v>
      </c>
      <c r="N389" s="121">
        <v>3132.8</v>
      </c>
      <c r="O389" s="27"/>
      <c r="P389" s="58"/>
      <c r="Q389" s="49"/>
      <c r="R389" s="27"/>
      <c r="S389" s="58"/>
      <c r="T389" s="98"/>
      <c r="U389" s="27"/>
      <c r="V389" s="58"/>
      <c r="W389" s="12"/>
      <c r="X389" s="27"/>
      <c r="Y389" s="58"/>
      <c r="Z389" s="12"/>
      <c r="AA389" s="27"/>
      <c r="AB389" s="58"/>
      <c r="AC389" s="12"/>
      <c r="AD389" s="27"/>
      <c r="AE389" s="58"/>
      <c r="AF389" s="107"/>
      <c r="AG389" s="27"/>
      <c r="AH389" s="58"/>
      <c r="AI389" s="107"/>
      <c r="AJ389" s="27"/>
      <c r="AK389" s="58"/>
      <c r="AL389" s="107"/>
      <c r="AM389" s="27"/>
      <c r="AN389" s="58"/>
      <c r="AO389" s="107"/>
      <c r="AP389" s="27"/>
      <c r="AQ389" s="58"/>
      <c r="AR389" s="107"/>
      <c r="AS389" s="27"/>
      <c r="AT389" s="58"/>
      <c r="AU389" s="107"/>
    </row>
    <row r="390" spans="1:47" ht="29.25" customHeight="1" x14ac:dyDescent="0.6">
      <c r="A390" s="5">
        <v>99</v>
      </c>
      <c r="B390" s="21" t="s">
        <v>314</v>
      </c>
      <c r="C390" s="21"/>
      <c r="D390" s="16" t="s">
        <v>284</v>
      </c>
      <c r="E390" s="15" t="s">
        <v>49</v>
      </c>
      <c r="F390" s="14" t="s">
        <v>50</v>
      </c>
      <c r="G390" s="7" t="s">
        <v>150</v>
      </c>
      <c r="H390" s="18" t="s">
        <v>895</v>
      </c>
      <c r="I390" s="18" t="s">
        <v>896</v>
      </c>
      <c r="J390" s="14" t="s">
        <v>897</v>
      </c>
      <c r="K390" s="49" t="s">
        <v>125</v>
      </c>
      <c r="L390" s="151">
        <v>385</v>
      </c>
      <c r="M390" s="152">
        <v>6080</v>
      </c>
      <c r="N390" s="121">
        <v>4490.8</v>
      </c>
      <c r="O390" s="27"/>
      <c r="P390" s="58"/>
      <c r="Q390" s="49"/>
      <c r="R390" s="27"/>
      <c r="S390" s="58"/>
      <c r="T390" s="98"/>
      <c r="U390" s="27"/>
      <c r="V390" s="58"/>
      <c r="W390" s="12"/>
      <c r="X390" s="27"/>
      <c r="Y390" s="58"/>
      <c r="Z390" s="107"/>
      <c r="AA390" s="27"/>
      <c r="AB390" s="58"/>
      <c r="AC390" s="107"/>
      <c r="AD390" s="27"/>
      <c r="AE390" s="58"/>
      <c r="AF390" s="107"/>
      <c r="AG390" s="27"/>
      <c r="AH390" s="58"/>
      <c r="AI390" s="107"/>
      <c r="AJ390" s="27"/>
      <c r="AK390" s="58"/>
      <c r="AL390" s="107"/>
      <c r="AM390" s="27"/>
      <c r="AN390" s="58"/>
      <c r="AO390" s="107"/>
      <c r="AP390" s="27"/>
      <c r="AQ390" s="58"/>
      <c r="AR390" s="107"/>
      <c r="AS390" s="27"/>
      <c r="AT390" s="58"/>
      <c r="AU390" s="107"/>
    </row>
    <row r="391" spans="1:47" ht="29.25" customHeight="1" x14ac:dyDescent="0.6">
      <c r="A391" s="5">
        <v>100</v>
      </c>
      <c r="B391" s="21" t="s">
        <v>322</v>
      </c>
      <c r="C391" s="21"/>
      <c r="D391" s="16" t="s">
        <v>286</v>
      </c>
      <c r="E391" s="15" t="s">
        <v>49</v>
      </c>
      <c r="F391" s="14" t="s">
        <v>50</v>
      </c>
      <c r="G391" s="7" t="s">
        <v>150</v>
      </c>
      <c r="H391" s="18" t="s">
        <v>898</v>
      </c>
      <c r="I391" s="18" t="s">
        <v>899</v>
      </c>
      <c r="J391" s="14" t="s">
        <v>900</v>
      </c>
      <c r="K391" s="49" t="s">
        <v>125</v>
      </c>
      <c r="L391" s="151">
        <v>227</v>
      </c>
      <c r="M391" s="152">
        <v>3516</v>
      </c>
      <c r="N391" s="121">
        <v>2396.96</v>
      </c>
      <c r="O391" s="27"/>
      <c r="P391" s="58"/>
      <c r="Q391" s="104"/>
      <c r="R391" s="27"/>
      <c r="S391" s="58"/>
      <c r="T391" s="98"/>
      <c r="U391" s="27"/>
      <c r="V391" s="58"/>
      <c r="W391" s="107"/>
      <c r="X391" s="27"/>
      <c r="Y391" s="58"/>
      <c r="Z391" s="12"/>
      <c r="AA391" s="27"/>
      <c r="AB391" s="58"/>
      <c r="AC391" s="107"/>
      <c r="AD391" s="27"/>
      <c r="AE391" s="58"/>
      <c r="AF391" s="107"/>
      <c r="AG391" s="27"/>
      <c r="AH391" s="58"/>
      <c r="AI391" s="107"/>
      <c r="AJ391" s="27"/>
      <c r="AK391" s="58"/>
      <c r="AL391" s="107"/>
      <c r="AM391" s="27"/>
      <c r="AN391" s="58"/>
      <c r="AO391" s="107"/>
      <c r="AP391" s="27"/>
      <c r="AQ391" s="58"/>
      <c r="AR391" s="107"/>
      <c r="AS391" s="27"/>
      <c r="AT391" s="58"/>
      <c r="AU391" s="107"/>
    </row>
    <row r="392" spans="1:47" ht="29.25" customHeight="1" x14ac:dyDescent="0.6">
      <c r="A392" s="5">
        <v>101</v>
      </c>
      <c r="B392" s="21" t="s">
        <v>326</v>
      </c>
      <c r="C392" s="21"/>
      <c r="D392" s="16" t="s">
        <v>288</v>
      </c>
      <c r="E392" s="15" t="s">
        <v>49</v>
      </c>
      <c r="F392" s="14" t="s">
        <v>50</v>
      </c>
      <c r="G392" s="7" t="s">
        <v>150</v>
      </c>
      <c r="H392" s="18" t="s">
        <v>287</v>
      </c>
      <c r="I392" s="18" t="s">
        <v>901</v>
      </c>
      <c r="J392" s="14" t="s">
        <v>902</v>
      </c>
      <c r="K392" s="49" t="s">
        <v>125</v>
      </c>
      <c r="L392" s="151">
        <v>80</v>
      </c>
      <c r="M392" s="152">
        <v>1120</v>
      </c>
      <c r="N392" s="121">
        <v>716.80000000000007</v>
      </c>
      <c r="O392" s="27"/>
      <c r="P392" s="58"/>
      <c r="Q392" s="104"/>
      <c r="R392" s="27"/>
      <c r="S392" s="58"/>
      <c r="T392" s="98"/>
      <c r="U392" s="27"/>
      <c r="V392" s="58"/>
      <c r="W392" s="107"/>
      <c r="X392" s="27"/>
      <c r="Y392" s="58"/>
      <c r="Z392" s="12"/>
      <c r="AA392" s="27"/>
      <c r="AB392" s="58"/>
      <c r="AC392" s="107"/>
      <c r="AD392" s="27"/>
      <c r="AE392" s="58"/>
      <c r="AF392" s="107"/>
      <c r="AG392" s="27"/>
      <c r="AH392" s="58"/>
      <c r="AI392" s="107"/>
      <c r="AJ392" s="27"/>
      <c r="AK392" s="58"/>
      <c r="AL392" s="107"/>
      <c r="AM392" s="27"/>
      <c r="AN392" s="58"/>
      <c r="AO392" s="107"/>
      <c r="AP392" s="27"/>
      <c r="AQ392" s="58"/>
      <c r="AR392" s="107"/>
      <c r="AS392" s="27"/>
      <c r="AT392" s="58"/>
      <c r="AU392" s="107"/>
    </row>
    <row r="393" spans="1:47" ht="29.25" customHeight="1" x14ac:dyDescent="0.6">
      <c r="A393" s="5">
        <v>102</v>
      </c>
      <c r="B393" s="21" t="s">
        <v>328</v>
      </c>
      <c r="C393" s="21"/>
      <c r="D393" s="16" t="s">
        <v>290</v>
      </c>
      <c r="E393" s="15" t="s">
        <v>49</v>
      </c>
      <c r="F393" s="14" t="s">
        <v>50</v>
      </c>
      <c r="G393" s="7" t="s">
        <v>150</v>
      </c>
      <c r="H393" s="18" t="s">
        <v>903</v>
      </c>
      <c r="I393" s="18" t="s">
        <v>904</v>
      </c>
      <c r="J393" s="14" t="s">
        <v>905</v>
      </c>
      <c r="K393" s="49" t="s">
        <v>125</v>
      </c>
      <c r="L393" s="151">
        <v>750</v>
      </c>
      <c r="M393" s="152">
        <v>12620</v>
      </c>
      <c r="N393" s="121">
        <v>7912.4</v>
      </c>
      <c r="O393" s="27"/>
      <c r="P393" s="58"/>
      <c r="Q393" s="49"/>
      <c r="R393" s="27"/>
      <c r="S393" s="58"/>
      <c r="T393" s="98"/>
      <c r="U393" s="27"/>
      <c r="V393" s="58"/>
      <c r="W393" s="107"/>
      <c r="X393" s="27"/>
      <c r="Y393" s="58"/>
      <c r="Z393" s="107"/>
      <c r="AA393" s="27"/>
      <c r="AB393" s="58"/>
      <c r="AC393" s="12"/>
      <c r="AD393" s="27"/>
      <c r="AE393" s="58"/>
      <c r="AF393" s="107"/>
      <c r="AG393" s="27"/>
      <c r="AH393" s="58"/>
      <c r="AI393" s="107"/>
      <c r="AJ393" s="27"/>
      <c r="AK393" s="58"/>
      <c r="AL393" s="107"/>
      <c r="AM393" s="27"/>
      <c r="AN393" s="58"/>
      <c r="AO393" s="107"/>
      <c r="AP393" s="27"/>
      <c r="AQ393" s="58"/>
      <c r="AR393" s="107"/>
      <c r="AS393" s="27"/>
      <c r="AT393" s="58"/>
      <c r="AU393" s="107"/>
    </row>
    <row r="394" spans="1:47" ht="29.25" customHeight="1" x14ac:dyDescent="0.6">
      <c r="A394" s="5">
        <v>103</v>
      </c>
      <c r="B394" s="21" t="s">
        <v>330</v>
      </c>
      <c r="C394" s="21"/>
      <c r="D394" s="16" t="s">
        <v>292</v>
      </c>
      <c r="E394" s="15" t="s">
        <v>293</v>
      </c>
      <c r="F394" s="14" t="s">
        <v>50</v>
      </c>
      <c r="G394" s="7" t="s">
        <v>150</v>
      </c>
      <c r="H394" s="18" t="s">
        <v>906</v>
      </c>
      <c r="I394" s="18" t="s">
        <v>907</v>
      </c>
      <c r="J394" s="14" t="s">
        <v>908</v>
      </c>
      <c r="K394" s="49" t="s">
        <v>125</v>
      </c>
      <c r="L394" s="151">
        <v>118</v>
      </c>
      <c r="M394" s="152">
        <v>1740</v>
      </c>
      <c r="N394" s="121">
        <v>1220</v>
      </c>
      <c r="O394" s="27"/>
      <c r="P394" s="58"/>
      <c r="Q394" s="49"/>
      <c r="R394" s="27"/>
      <c r="S394" s="58"/>
      <c r="T394" s="98"/>
      <c r="U394" s="27"/>
      <c r="V394" s="58"/>
      <c r="W394" s="107"/>
      <c r="X394" s="27"/>
      <c r="Y394" s="58"/>
      <c r="Z394" s="107"/>
      <c r="AA394" s="27"/>
      <c r="AB394" s="58"/>
      <c r="AC394" s="12"/>
      <c r="AD394" s="27"/>
      <c r="AE394" s="58"/>
      <c r="AF394" s="107"/>
      <c r="AG394" s="27"/>
      <c r="AH394" s="58"/>
      <c r="AI394" s="107"/>
      <c r="AJ394" s="27"/>
      <c r="AK394" s="58"/>
      <c r="AL394" s="107"/>
      <c r="AM394" s="27"/>
      <c r="AN394" s="58"/>
      <c r="AO394" s="107"/>
      <c r="AP394" s="27"/>
      <c r="AQ394" s="58"/>
      <c r="AR394" s="107"/>
      <c r="AS394" s="27"/>
      <c r="AT394" s="58"/>
      <c r="AU394" s="107"/>
    </row>
    <row r="395" spans="1:47" ht="29.25" customHeight="1" x14ac:dyDescent="0.6">
      <c r="A395" s="5">
        <v>104</v>
      </c>
      <c r="B395" s="16" t="s">
        <v>332</v>
      </c>
      <c r="C395" s="16"/>
      <c r="D395" s="16" t="s">
        <v>295</v>
      </c>
      <c r="E395" s="15" t="s">
        <v>263</v>
      </c>
      <c r="F395" s="23" t="s">
        <v>264</v>
      </c>
      <c r="G395" s="7" t="s">
        <v>150</v>
      </c>
      <c r="H395" s="145" t="s">
        <v>645</v>
      </c>
      <c r="I395" s="145" t="s">
        <v>645</v>
      </c>
      <c r="J395" s="14" t="s">
        <v>909</v>
      </c>
      <c r="K395" s="49" t="s">
        <v>125</v>
      </c>
      <c r="L395" s="151">
        <v>245</v>
      </c>
      <c r="M395" s="152">
        <v>3170</v>
      </c>
      <c r="N395" s="121">
        <v>2518.4</v>
      </c>
      <c r="O395" s="27"/>
      <c r="P395" s="58"/>
      <c r="Q395" s="49"/>
      <c r="R395" s="27"/>
      <c r="S395" s="58"/>
      <c r="T395" s="98"/>
      <c r="U395" s="27"/>
      <c r="V395" s="58"/>
      <c r="W395" s="12"/>
      <c r="X395" s="27"/>
      <c r="Y395" s="58"/>
      <c r="Z395" s="107"/>
      <c r="AA395" s="27"/>
      <c r="AB395" s="58"/>
      <c r="AC395" s="12"/>
      <c r="AD395" s="27"/>
      <c r="AE395" s="58"/>
      <c r="AF395" s="107"/>
      <c r="AG395" s="27"/>
      <c r="AH395" s="58"/>
      <c r="AI395" s="107"/>
      <c r="AJ395" s="27"/>
      <c r="AK395" s="58"/>
      <c r="AL395" s="107"/>
      <c r="AM395" s="27"/>
      <c r="AN395" s="58"/>
      <c r="AO395" s="107"/>
      <c r="AP395" s="27"/>
      <c r="AQ395" s="58"/>
      <c r="AR395" s="107"/>
      <c r="AS395" s="27"/>
      <c r="AT395" s="58"/>
      <c r="AU395" s="107"/>
    </row>
    <row r="396" spans="1:47" ht="29.25" customHeight="1" x14ac:dyDescent="0.6">
      <c r="A396" s="5">
        <v>105</v>
      </c>
      <c r="B396" s="16" t="s">
        <v>334</v>
      </c>
      <c r="C396" s="16"/>
      <c r="D396" s="16" t="s">
        <v>297</v>
      </c>
      <c r="E396" s="15" t="s">
        <v>298</v>
      </c>
      <c r="F396" s="14" t="s">
        <v>299</v>
      </c>
      <c r="G396" s="7" t="s">
        <v>150</v>
      </c>
      <c r="H396" s="18" t="s">
        <v>910</v>
      </c>
      <c r="I396" s="18" t="s">
        <v>911</v>
      </c>
      <c r="J396" s="14" t="s">
        <v>912</v>
      </c>
      <c r="K396" s="49" t="s">
        <v>125</v>
      </c>
      <c r="L396" s="151">
        <v>135</v>
      </c>
      <c r="M396" s="152">
        <v>2090</v>
      </c>
      <c r="N396" s="121">
        <v>1279.2</v>
      </c>
      <c r="O396" s="27"/>
      <c r="P396" s="58"/>
      <c r="Q396" s="49"/>
      <c r="R396" s="27"/>
      <c r="S396" s="58"/>
      <c r="T396" s="98"/>
      <c r="U396" s="27"/>
      <c r="V396" s="58"/>
      <c r="W396" s="12"/>
      <c r="X396" s="27"/>
      <c r="Y396" s="58"/>
      <c r="Z396" s="107"/>
      <c r="AA396" s="27"/>
      <c r="AB396" s="58"/>
      <c r="AC396" s="107"/>
      <c r="AD396" s="27"/>
      <c r="AE396" s="58"/>
      <c r="AF396" s="107"/>
      <c r="AG396" s="27"/>
      <c r="AH396" s="58"/>
      <c r="AI396" s="107"/>
      <c r="AJ396" s="27"/>
      <c r="AK396" s="58"/>
      <c r="AL396" s="107"/>
      <c r="AM396" s="27"/>
      <c r="AN396" s="58"/>
      <c r="AO396" s="107"/>
      <c r="AP396" s="27"/>
      <c r="AQ396" s="58"/>
      <c r="AR396" s="107"/>
      <c r="AS396" s="27"/>
      <c r="AT396" s="58"/>
      <c r="AU396" s="107"/>
    </row>
    <row r="397" spans="1:47" ht="29.25" customHeight="1" x14ac:dyDescent="0.6">
      <c r="A397" s="5">
        <v>106</v>
      </c>
      <c r="B397" s="21" t="s">
        <v>336</v>
      </c>
      <c r="C397" s="21"/>
      <c r="D397" s="16" t="s">
        <v>171</v>
      </c>
      <c r="E397" s="15" t="s">
        <v>300</v>
      </c>
      <c r="F397" s="14" t="s">
        <v>301</v>
      </c>
      <c r="G397" s="7" t="s">
        <v>150</v>
      </c>
      <c r="H397" s="18" t="s">
        <v>913</v>
      </c>
      <c r="I397" s="18" t="s">
        <v>914</v>
      </c>
      <c r="J397" s="14" t="s">
        <v>915</v>
      </c>
      <c r="K397" s="49" t="s">
        <v>125</v>
      </c>
      <c r="L397" s="151">
        <v>480</v>
      </c>
      <c r="M397" s="152">
        <v>7140</v>
      </c>
      <c r="N397" s="121">
        <v>5156.8</v>
      </c>
      <c r="O397" s="27"/>
      <c r="P397" s="58"/>
      <c r="Q397" s="49"/>
      <c r="R397" s="27"/>
      <c r="S397" s="58"/>
      <c r="T397" s="98"/>
      <c r="U397" s="27"/>
      <c r="V397" s="58"/>
      <c r="W397" s="12"/>
      <c r="X397" s="27"/>
      <c r="Y397" s="58"/>
      <c r="Z397" s="12"/>
      <c r="AA397" s="27"/>
      <c r="AB397" s="58"/>
      <c r="AC397" s="107"/>
      <c r="AD397" s="27"/>
      <c r="AE397" s="58"/>
      <c r="AF397" s="107"/>
      <c r="AG397" s="27"/>
      <c r="AH397" s="58"/>
      <c r="AI397" s="107"/>
      <c r="AJ397" s="27"/>
      <c r="AK397" s="58"/>
      <c r="AL397" s="107"/>
      <c r="AM397" s="27"/>
      <c r="AN397" s="58"/>
      <c r="AO397" s="107"/>
      <c r="AP397" s="27"/>
      <c r="AQ397" s="58"/>
      <c r="AR397" s="107"/>
      <c r="AS397" s="27"/>
      <c r="AT397" s="58"/>
      <c r="AU397" s="107"/>
    </row>
    <row r="398" spans="1:47" ht="29.25" customHeight="1" x14ac:dyDescent="0.6">
      <c r="A398" s="5">
        <v>107</v>
      </c>
      <c r="B398" s="21" t="s">
        <v>338</v>
      </c>
      <c r="C398" s="21"/>
      <c r="D398" s="16" t="s">
        <v>303</v>
      </c>
      <c r="E398" s="15" t="s">
        <v>57</v>
      </c>
      <c r="F398" s="14" t="s">
        <v>304</v>
      </c>
      <c r="G398" s="7" t="s">
        <v>150</v>
      </c>
      <c r="H398" s="19" t="s">
        <v>916</v>
      </c>
      <c r="I398" s="19" t="s">
        <v>917</v>
      </c>
      <c r="J398" s="20" t="s">
        <v>918</v>
      </c>
      <c r="K398" s="49" t="s">
        <v>125</v>
      </c>
      <c r="L398" s="151">
        <v>68</v>
      </c>
      <c r="M398" s="152">
        <v>1376</v>
      </c>
      <c r="N398" s="121">
        <v>845.2</v>
      </c>
      <c r="O398" s="27"/>
      <c r="P398" s="58"/>
      <c r="Q398" s="104"/>
      <c r="R398" s="27"/>
      <c r="S398" s="58"/>
      <c r="T398" s="98"/>
      <c r="U398" s="27"/>
      <c r="V398" s="58"/>
      <c r="W398" s="107"/>
      <c r="X398" s="27"/>
      <c r="Y398" s="58"/>
      <c r="Z398" s="12"/>
      <c r="AA398" s="27"/>
      <c r="AB398" s="58"/>
      <c r="AC398" s="12"/>
      <c r="AD398" s="27"/>
      <c r="AE398" s="58"/>
      <c r="AF398" s="107"/>
      <c r="AG398" s="27"/>
      <c r="AH398" s="58"/>
      <c r="AI398" s="107"/>
      <c r="AJ398" s="27"/>
      <c r="AK398" s="58"/>
      <c r="AL398" s="107"/>
      <c r="AM398" s="27"/>
      <c r="AN398" s="58"/>
      <c r="AO398" s="107"/>
      <c r="AP398" s="27"/>
      <c r="AQ398" s="58"/>
      <c r="AR398" s="107"/>
      <c r="AS398" s="27"/>
      <c r="AT398" s="58"/>
      <c r="AU398" s="107"/>
    </row>
    <row r="399" spans="1:47" ht="29.25" customHeight="1" x14ac:dyDescent="0.6">
      <c r="A399" s="5">
        <v>108</v>
      </c>
      <c r="B399" s="21" t="s">
        <v>342</v>
      </c>
      <c r="C399" s="21"/>
      <c r="D399" s="16" t="s">
        <v>306</v>
      </c>
      <c r="E399" s="15" t="s">
        <v>307</v>
      </c>
      <c r="F399" s="14" t="s">
        <v>308</v>
      </c>
      <c r="G399" s="7" t="s">
        <v>150</v>
      </c>
      <c r="H399" s="18" t="s">
        <v>305</v>
      </c>
      <c r="I399" s="18" t="s">
        <v>919</v>
      </c>
      <c r="J399" s="14" t="s">
        <v>920</v>
      </c>
      <c r="K399" s="49" t="s">
        <v>125</v>
      </c>
      <c r="L399" s="151">
        <v>330</v>
      </c>
      <c r="M399" s="152">
        <v>6240</v>
      </c>
      <c r="N399" s="121">
        <v>4059.2</v>
      </c>
      <c r="O399" s="27"/>
      <c r="P399" s="58"/>
      <c r="Q399" s="104"/>
      <c r="R399" s="27"/>
      <c r="S399" s="58"/>
      <c r="T399" s="98"/>
      <c r="U399" s="27"/>
      <c r="V399" s="58"/>
      <c r="W399" s="107"/>
      <c r="X399" s="27"/>
      <c r="Y399" s="58"/>
      <c r="Z399" s="12"/>
      <c r="AA399" s="27"/>
      <c r="AB399" s="58"/>
      <c r="AC399" s="107"/>
      <c r="AD399" s="27"/>
      <c r="AE399" s="58"/>
      <c r="AF399" s="107"/>
      <c r="AG399" s="27"/>
      <c r="AH399" s="58"/>
      <c r="AI399" s="107"/>
      <c r="AJ399" s="27"/>
      <c r="AK399" s="58"/>
      <c r="AL399" s="107"/>
      <c r="AM399" s="27"/>
      <c r="AN399" s="58"/>
      <c r="AO399" s="107"/>
      <c r="AP399" s="27"/>
      <c r="AQ399" s="58"/>
      <c r="AR399" s="107"/>
      <c r="AS399" s="27"/>
      <c r="AT399" s="58"/>
      <c r="AU399" s="107"/>
    </row>
    <row r="400" spans="1:47" ht="29.25" customHeight="1" x14ac:dyDescent="0.6">
      <c r="A400" s="5">
        <v>109</v>
      </c>
      <c r="B400" s="21" t="s">
        <v>343</v>
      </c>
      <c r="C400" s="21"/>
      <c r="D400" s="16" t="s">
        <v>309</v>
      </c>
      <c r="E400" s="15" t="s">
        <v>307</v>
      </c>
      <c r="F400" s="14" t="s">
        <v>308</v>
      </c>
      <c r="G400" s="7" t="s">
        <v>150</v>
      </c>
      <c r="H400" s="18" t="s">
        <v>921</v>
      </c>
      <c r="I400" s="18" t="s">
        <v>922</v>
      </c>
      <c r="J400" s="14" t="s">
        <v>923</v>
      </c>
      <c r="K400" s="49" t="s">
        <v>125</v>
      </c>
      <c r="L400" s="151">
        <v>0</v>
      </c>
      <c r="M400" s="152">
        <v>0</v>
      </c>
      <c r="N400" s="121">
        <v>0</v>
      </c>
      <c r="O400" s="27"/>
      <c r="P400" s="58"/>
      <c r="Q400" s="104"/>
      <c r="R400" s="27"/>
      <c r="S400" s="58"/>
      <c r="T400" s="98"/>
      <c r="U400" s="27"/>
      <c r="V400" s="58"/>
      <c r="W400" s="12"/>
      <c r="X400" s="27"/>
      <c r="Y400" s="58"/>
      <c r="Z400" s="107"/>
      <c r="AA400" s="27"/>
      <c r="AB400" s="58"/>
      <c r="AC400" s="107"/>
      <c r="AD400" s="27"/>
      <c r="AE400" s="58"/>
      <c r="AF400" s="107"/>
      <c r="AG400" s="27"/>
      <c r="AH400" s="58"/>
      <c r="AI400" s="107"/>
      <c r="AJ400" s="27"/>
      <c r="AK400" s="58"/>
      <c r="AL400" s="107"/>
      <c r="AM400" s="27"/>
      <c r="AN400" s="58"/>
      <c r="AO400" s="107"/>
      <c r="AP400" s="27"/>
      <c r="AQ400" s="58"/>
      <c r="AR400" s="107"/>
      <c r="AS400" s="27"/>
      <c r="AT400" s="58"/>
      <c r="AU400" s="107"/>
    </row>
    <row r="401" spans="1:47" ht="29.25" customHeight="1" x14ac:dyDescent="0.6">
      <c r="A401" s="5">
        <v>110</v>
      </c>
      <c r="B401" s="16" t="s">
        <v>347</v>
      </c>
      <c r="C401" s="16"/>
      <c r="D401" s="16" t="s">
        <v>311</v>
      </c>
      <c r="E401" s="15" t="s">
        <v>307</v>
      </c>
      <c r="F401" s="14" t="s">
        <v>308</v>
      </c>
      <c r="G401" s="7" t="s">
        <v>150</v>
      </c>
      <c r="H401" s="18" t="s">
        <v>924</v>
      </c>
      <c r="I401" s="18" t="s">
        <v>925</v>
      </c>
      <c r="J401" s="14" t="s">
        <v>926</v>
      </c>
      <c r="K401" s="49" t="s">
        <v>125</v>
      </c>
      <c r="L401" s="151">
        <v>168</v>
      </c>
      <c r="M401" s="152">
        <v>2552</v>
      </c>
      <c r="N401" s="121">
        <v>1712.96</v>
      </c>
      <c r="O401" s="27"/>
      <c r="P401" s="58"/>
      <c r="Q401" s="104"/>
      <c r="R401" s="27"/>
      <c r="S401" s="58"/>
      <c r="T401" s="98"/>
      <c r="U401" s="27"/>
      <c r="V401" s="58"/>
      <c r="W401" s="12"/>
      <c r="X401" s="27"/>
      <c r="Y401" s="58"/>
      <c r="Z401" s="107"/>
      <c r="AA401" s="27"/>
      <c r="AB401" s="58"/>
      <c r="AC401" s="107"/>
      <c r="AD401" s="27"/>
      <c r="AE401" s="58"/>
      <c r="AF401" s="107"/>
      <c r="AG401" s="27"/>
      <c r="AH401" s="58"/>
      <c r="AI401" s="107"/>
      <c r="AJ401" s="27"/>
      <c r="AK401" s="58"/>
      <c r="AL401" s="107"/>
      <c r="AM401" s="27"/>
      <c r="AN401" s="58"/>
      <c r="AO401" s="107"/>
      <c r="AP401" s="27"/>
      <c r="AQ401" s="58"/>
      <c r="AR401" s="107"/>
      <c r="AS401" s="27"/>
      <c r="AT401" s="58"/>
      <c r="AU401" s="107"/>
    </row>
    <row r="402" spans="1:47" ht="29.25" customHeight="1" x14ac:dyDescent="0.6">
      <c r="A402" s="5">
        <v>111</v>
      </c>
      <c r="B402" s="21" t="s">
        <v>349</v>
      </c>
      <c r="C402" s="21"/>
      <c r="D402" s="16" t="s">
        <v>313</v>
      </c>
      <c r="E402" s="15" t="s">
        <v>307</v>
      </c>
      <c r="F402" s="14" t="s">
        <v>308</v>
      </c>
      <c r="G402" s="7" t="s">
        <v>150</v>
      </c>
      <c r="H402" s="18" t="s">
        <v>927</v>
      </c>
      <c r="I402" s="18" t="s">
        <v>928</v>
      </c>
      <c r="J402" s="14" t="s">
        <v>929</v>
      </c>
      <c r="K402" s="49" t="s">
        <v>125</v>
      </c>
      <c r="L402" s="151">
        <v>1040</v>
      </c>
      <c r="M402" s="152">
        <v>14900</v>
      </c>
      <c r="N402" s="121">
        <v>11536.8</v>
      </c>
      <c r="O402" s="27"/>
      <c r="P402" s="58"/>
      <c r="Q402" s="104"/>
      <c r="R402" s="27"/>
      <c r="S402" s="58"/>
      <c r="T402" s="98"/>
      <c r="U402" s="27"/>
      <c r="V402" s="58"/>
      <c r="W402" s="12"/>
      <c r="X402" s="27"/>
      <c r="Y402" s="58"/>
      <c r="Z402" s="107"/>
      <c r="AA402" s="27"/>
      <c r="AB402" s="58"/>
      <c r="AC402" s="107"/>
      <c r="AD402" s="27"/>
      <c r="AE402" s="58"/>
      <c r="AF402" s="107"/>
      <c r="AG402" s="27"/>
      <c r="AH402" s="58"/>
      <c r="AI402" s="107"/>
      <c r="AJ402" s="27"/>
      <c r="AK402" s="58"/>
      <c r="AL402" s="107"/>
      <c r="AM402" s="27"/>
      <c r="AN402" s="58"/>
      <c r="AO402" s="107"/>
      <c r="AP402" s="27"/>
      <c r="AQ402" s="58"/>
      <c r="AR402" s="107"/>
      <c r="AS402" s="27"/>
      <c r="AT402" s="58"/>
      <c r="AU402" s="107"/>
    </row>
    <row r="403" spans="1:47" ht="29.25" customHeight="1" x14ac:dyDescent="0.6">
      <c r="A403" s="5">
        <v>112</v>
      </c>
      <c r="B403" s="21" t="s">
        <v>350</v>
      </c>
      <c r="C403" s="21"/>
      <c r="D403" s="16" t="s">
        <v>315</v>
      </c>
      <c r="E403" s="15" t="s">
        <v>90</v>
      </c>
      <c r="F403" s="14" t="s">
        <v>91</v>
      </c>
      <c r="G403" s="7" t="s">
        <v>150</v>
      </c>
      <c r="H403" s="18" t="s">
        <v>930</v>
      </c>
      <c r="I403" s="18" t="s">
        <v>931</v>
      </c>
      <c r="J403" s="14" t="s">
        <v>932</v>
      </c>
      <c r="K403" s="49" t="s">
        <v>125</v>
      </c>
      <c r="L403" s="151">
        <v>425</v>
      </c>
      <c r="M403" s="152">
        <v>6670</v>
      </c>
      <c r="N403" s="121">
        <v>4201.2</v>
      </c>
      <c r="O403" s="27"/>
      <c r="P403" s="58"/>
      <c r="Q403" s="49"/>
      <c r="R403" s="27"/>
      <c r="S403" s="58"/>
      <c r="T403" s="98"/>
      <c r="U403" s="27"/>
      <c r="V403" s="58"/>
      <c r="W403" s="12"/>
      <c r="X403" s="27"/>
      <c r="Y403" s="58"/>
      <c r="Z403" s="12"/>
      <c r="AA403" s="27"/>
      <c r="AB403" s="58"/>
      <c r="AC403" s="107"/>
      <c r="AD403" s="27"/>
      <c r="AE403" s="58"/>
      <c r="AF403" s="107"/>
      <c r="AG403" s="27"/>
      <c r="AH403" s="58"/>
      <c r="AI403" s="107"/>
      <c r="AJ403" s="27"/>
      <c r="AK403" s="58"/>
      <c r="AL403" s="107"/>
      <c r="AM403" s="27"/>
      <c r="AN403" s="58"/>
      <c r="AO403" s="107"/>
      <c r="AP403" s="27"/>
      <c r="AQ403" s="58"/>
      <c r="AR403" s="107"/>
      <c r="AS403" s="27"/>
      <c r="AT403" s="58"/>
      <c r="AU403" s="107"/>
    </row>
    <row r="404" spans="1:47" ht="29.25" customHeight="1" x14ac:dyDescent="0.6">
      <c r="A404" s="5">
        <v>113</v>
      </c>
      <c r="B404" s="21" t="s">
        <v>354</v>
      </c>
      <c r="C404" s="21"/>
      <c r="D404" s="16" t="s">
        <v>317</v>
      </c>
      <c r="E404" s="15" t="s">
        <v>90</v>
      </c>
      <c r="F404" s="14" t="s">
        <v>91</v>
      </c>
      <c r="G404" s="7" t="s">
        <v>150</v>
      </c>
      <c r="H404" s="18" t="s">
        <v>933</v>
      </c>
      <c r="I404" s="18" t="s">
        <v>934</v>
      </c>
      <c r="J404" s="14" t="s">
        <v>935</v>
      </c>
      <c r="K404" s="49" t="s">
        <v>125</v>
      </c>
      <c r="L404" s="151">
        <v>375</v>
      </c>
      <c r="M404" s="152">
        <v>5520</v>
      </c>
      <c r="N404" s="121">
        <v>4063.6</v>
      </c>
      <c r="O404" s="27"/>
      <c r="P404" s="58"/>
      <c r="Q404" s="49"/>
      <c r="R404" s="27"/>
      <c r="S404" s="58"/>
      <c r="T404" s="98"/>
      <c r="U404" s="27"/>
      <c r="V404" s="58"/>
      <c r="W404" s="12"/>
      <c r="X404" s="27"/>
      <c r="Y404" s="58"/>
      <c r="Z404" s="12"/>
      <c r="AA404" s="27"/>
      <c r="AB404" s="58"/>
      <c r="AC404" s="12"/>
      <c r="AD404" s="27"/>
      <c r="AE404" s="58"/>
      <c r="AF404" s="107"/>
      <c r="AG404" s="27"/>
      <c r="AH404" s="58"/>
      <c r="AI404" s="107"/>
      <c r="AJ404" s="27"/>
      <c r="AK404" s="58"/>
      <c r="AL404" s="107"/>
      <c r="AM404" s="27"/>
      <c r="AN404" s="58"/>
      <c r="AO404" s="107"/>
      <c r="AP404" s="27"/>
      <c r="AQ404" s="58"/>
      <c r="AR404" s="107"/>
      <c r="AS404" s="27"/>
      <c r="AT404" s="58"/>
      <c r="AU404" s="107"/>
    </row>
    <row r="405" spans="1:47" ht="29.25" customHeight="1" x14ac:dyDescent="0.6">
      <c r="A405" s="5">
        <v>114</v>
      </c>
      <c r="B405" s="21" t="s">
        <v>356</v>
      </c>
      <c r="C405" s="21"/>
      <c r="D405" s="16" t="s">
        <v>319</v>
      </c>
      <c r="E405" s="15" t="s">
        <v>90</v>
      </c>
      <c r="F405" s="14" t="s">
        <v>91</v>
      </c>
      <c r="G405" s="7" t="s">
        <v>150</v>
      </c>
      <c r="H405" s="18" t="s">
        <v>936</v>
      </c>
      <c r="I405" s="18" t="s">
        <v>937</v>
      </c>
      <c r="J405" s="14" t="s">
        <v>938</v>
      </c>
      <c r="K405" s="49" t="s">
        <v>125</v>
      </c>
      <c r="L405" s="151">
        <v>160</v>
      </c>
      <c r="M405" s="152">
        <v>2160</v>
      </c>
      <c r="N405" s="121">
        <v>1555.2</v>
      </c>
      <c r="O405" s="27"/>
      <c r="P405" s="58"/>
      <c r="Q405" s="49"/>
      <c r="R405" s="27"/>
      <c r="S405" s="58"/>
      <c r="T405" s="98"/>
      <c r="U405" s="27"/>
      <c r="V405" s="58"/>
      <c r="W405" s="107"/>
      <c r="X405" s="27"/>
      <c r="Y405" s="58"/>
      <c r="Z405" s="12"/>
      <c r="AA405" s="27"/>
      <c r="AB405" s="58"/>
      <c r="AC405" s="107"/>
      <c r="AD405" s="27"/>
      <c r="AE405" s="58"/>
      <c r="AF405" s="107"/>
      <c r="AG405" s="27"/>
      <c r="AH405" s="58"/>
      <c r="AI405" s="107"/>
      <c r="AJ405" s="27"/>
      <c r="AK405" s="58"/>
      <c r="AL405" s="107"/>
      <c r="AM405" s="27"/>
      <c r="AN405" s="58"/>
      <c r="AO405" s="107"/>
      <c r="AP405" s="27"/>
      <c r="AQ405" s="58"/>
      <c r="AR405" s="107"/>
      <c r="AS405" s="27"/>
      <c r="AT405" s="58"/>
      <c r="AU405" s="107"/>
    </row>
    <row r="406" spans="1:47" ht="29.25" customHeight="1" x14ac:dyDescent="0.6">
      <c r="A406" s="5">
        <v>115</v>
      </c>
      <c r="B406" s="21" t="s">
        <v>358</v>
      </c>
      <c r="C406" s="21"/>
      <c r="D406" s="16" t="s">
        <v>321</v>
      </c>
      <c r="E406" s="15" t="s">
        <v>90</v>
      </c>
      <c r="F406" s="14" t="s">
        <v>91</v>
      </c>
      <c r="G406" s="7" t="s">
        <v>150</v>
      </c>
      <c r="H406" s="18" t="s">
        <v>320</v>
      </c>
      <c r="I406" s="18" t="s">
        <v>321</v>
      </c>
      <c r="J406" s="14" t="s">
        <v>939</v>
      </c>
      <c r="K406" s="49" t="s">
        <v>125</v>
      </c>
      <c r="L406" s="151">
        <v>500</v>
      </c>
      <c r="M406" s="152">
        <v>7720</v>
      </c>
      <c r="N406" s="121">
        <v>5168</v>
      </c>
      <c r="O406" s="27"/>
      <c r="P406" s="58"/>
      <c r="Q406" s="49"/>
      <c r="R406" s="27"/>
      <c r="S406" s="58"/>
      <c r="T406" s="98"/>
      <c r="U406" s="27"/>
      <c r="V406" s="58"/>
      <c r="W406" s="12"/>
      <c r="X406" s="27"/>
      <c r="Y406" s="58"/>
      <c r="Z406" s="12"/>
      <c r="AA406" s="27"/>
      <c r="AB406" s="58"/>
      <c r="AC406" s="107"/>
      <c r="AD406" s="27"/>
      <c r="AE406" s="58"/>
      <c r="AF406" s="107"/>
      <c r="AG406" s="27"/>
      <c r="AH406" s="58"/>
      <c r="AI406" s="107"/>
      <c r="AJ406" s="27"/>
      <c r="AK406" s="58"/>
      <c r="AL406" s="107"/>
      <c r="AM406" s="27"/>
      <c r="AN406" s="58"/>
      <c r="AO406" s="107"/>
      <c r="AP406" s="27"/>
      <c r="AQ406" s="58"/>
      <c r="AR406" s="107"/>
      <c r="AS406" s="27"/>
      <c r="AT406" s="58"/>
      <c r="AU406" s="107"/>
    </row>
    <row r="407" spans="1:47" ht="29.25" customHeight="1" x14ac:dyDescent="0.6">
      <c r="A407" s="5">
        <v>116</v>
      </c>
      <c r="B407" s="21" t="s">
        <v>366</v>
      </c>
      <c r="C407" s="21"/>
      <c r="D407" s="16" t="s">
        <v>323</v>
      </c>
      <c r="E407" s="15" t="s">
        <v>90</v>
      </c>
      <c r="F407" s="14" t="s">
        <v>91</v>
      </c>
      <c r="G407" s="7" t="s">
        <v>150</v>
      </c>
      <c r="H407" s="18" t="s">
        <v>322</v>
      </c>
      <c r="I407" s="18" t="s">
        <v>323</v>
      </c>
      <c r="J407" s="14" t="s">
        <v>940</v>
      </c>
      <c r="K407" s="49" t="s">
        <v>125</v>
      </c>
      <c r="L407" s="151">
        <v>55</v>
      </c>
      <c r="M407" s="152">
        <v>1370</v>
      </c>
      <c r="N407" s="121">
        <v>694.8</v>
      </c>
      <c r="O407" s="27"/>
      <c r="P407" s="58"/>
      <c r="Q407" s="104"/>
      <c r="R407" s="27"/>
      <c r="S407" s="58"/>
      <c r="T407" s="98"/>
      <c r="U407" s="27"/>
      <c r="V407" s="58"/>
      <c r="W407" s="12"/>
      <c r="X407" s="27"/>
      <c r="Y407" s="58"/>
      <c r="Z407" s="107"/>
      <c r="AA407" s="27"/>
      <c r="AB407" s="58"/>
      <c r="AC407" s="107"/>
      <c r="AD407" s="27"/>
      <c r="AE407" s="58"/>
      <c r="AF407" s="107"/>
      <c r="AG407" s="27"/>
      <c r="AH407" s="58"/>
      <c r="AI407" s="107"/>
      <c r="AJ407" s="27"/>
      <c r="AK407" s="58"/>
      <c r="AL407" s="107"/>
      <c r="AM407" s="27"/>
      <c r="AN407" s="58"/>
      <c r="AO407" s="107"/>
      <c r="AP407" s="27"/>
      <c r="AQ407" s="58"/>
      <c r="AR407" s="107"/>
      <c r="AS407" s="27"/>
      <c r="AT407" s="58"/>
      <c r="AU407" s="107"/>
    </row>
    <row r="408" spans="1:47" ht="29.25" customHeight="1" x14ac:dyDescent="0.6">
      <c r="A408" s="5">
        <v>117</v>
      </c>
      <c r="B408" s="21" t="s">
        <v>368</v>
      </c>
      <c r="C408" s="21"/>
      <c r="D408" s="16" t="s">
        <v>325</v>
      </c>
      <c r="E408" s="15" t="s">
        <v>90</v>
      </c>
      <c r="F408" s="14" t="s">
        <v>91</v>
      </c>
      <c r="G408" s="7" t="s">
        <v>150</v>
      </c>
      <c r="H408" s="18" t="s">
        <v>941</v>
      </c>
      <c r="I408" s="18" t="s">
        <v>942</v>
      </c>
      <c r="J408" s="14" t="s">
        <v>943</v>
      </c>
      <c r="K408" s="49" t="s">
        <v>125</v>
      </c>
      <c r="L408" s="151">
        <v>385</v>
      </c>
      <c r="M408" s="152">
        <v>6400</v>
      </c>
      <c r="N408" s="121">
        <v>4588</v>
      </c>
      <c r="O408" s="27"/>
      <c r="P408" s="58"/>
      <c r="Q408" s="49"/>
      <c r="R408" s="27"/>
      <c r="S408" s="58"/>
      <c r="T408" s="98"/>
      <c r="U408" s="27"/>
      <c r="V408" s="58"/>
      <c r="W408" s="107"/>
      <c r="X408" s="27"/>
      <c r="Y408" s="58"/>
      <c r="Z408" s="107"/>
      <c r="AA408" s="27"/>
      <c r="AB408" s="58"/>
      <c r="AC408" s="107"/>
      <c r="AD408" s="27"/>
      <c r="AE408" s="58"/>
      <c r="AF408" s="107"/>
      <c r="AG408" s="27"/>
      <c r="AH408" s="58"/>
      <c r="AI408" s="107"/>
      <c r="AJ408" s="27"/>
      <c r="AK408" s="58"/>
      <c r="AL408" s="107"/>
      <c r="AM408" s="27"/>
      <c r="AN408" s="58"/>
      <c r="AO408" s="107"/>
      <c r="AP408" s="27"/>
      <c r="AQ408" s="58"/>
      <c r="AR408" s="107"/>
      <c r="AS408" s="27"/>
      <c r="AT408" s="58"/>
      <c r="AU408" s="107"/>
    </row>
    <row r="409" spans="1:47" ht="29.25" customHeight="1" x14ac:dyDescent="0.6">
      <c r="A409" s="5">
        <v>118</v>
      </c>
      <c r="B409" s="21" t="s">
        <v>369</v>
      </c>
      <c r="C409" s="21"/>
      <c r="D409" s="16" t="s">
        <v>327</v>
      </c>
      <c r="E409" s="15" t="s">
        <v>13</v>
      </c>
      <c r="F409" s="14" t="s">
        <v>79</v>
      </c>
      <c r="G409" s="7" t="s">
        <v>150</v>
      </c>
      <c r="H409" s="18" t="s">
        <v>944</v>
      </c>
      <c r="I409" s="18" t="s">
        <v>945</v>
      </c>
      <c r="J409" s="14" t="s">
        <v>946</v>
      </c>
      <c r="K409" s="49" t="s">
        <v>125</v>
      </c>
      <c r="L409" s="151">
        <v>109</v>
      </c>
      <c r="M409" s="152">
        <v>1308</v>
      </c>
      <c r="N409" s="121">
        <v>837.12000000000012</v>
      </c>
      <c r="O409" s="27"/>
      <c r="P409" s="58"/>
      <c r="Q409" s="49"/>
      <c r="R409" s="27"/>
      <c r="S409" s="58"/>
      <c r="T409" s="98"/>
      <c r="U409" s="27"/>
      <c r="V409" s="58"/>
      <c r="W409" s="107"/>
      <c r="X409" s="27"/>
      <c r="Y409" s="58"/>
      <c r="Z409" s="107"/>
      <c r="AA409" s="27"/>
      <c r="AB409" s="58"/>
      <c r="AC409" s="12"/>
      <c r="AD409" s="27"/>
      <c r="AE409" s="58"/>
      <c r="AF409" s="107"/>
      <c r="AG409" s="27"/>
      <c r="AH409" s="58"/>
      <c r="AI409" s="107"/>
      <c r="AJ409" s="27"/>
      <c r="AK409" s="58"/>
      <c r="AL409" s="107"/>
      <c r="AM409" s="27"/>
      <c r="AN409" s="58"/>
      <c r="AO409" s="107"/>
      <c r="AP409" s="27"/>
      <c r="AQ409" s="58"/>
      <c r="AR409" s="107"/>
      <c r="AS409" s="27"/>
      <c r="AT409" s="58"/>
      <c r="AU409" s="107"/>
    </row>
    <row r="410" spans="1:47" ht="29.25" customHeight="1" x14ac:dyDescent="0.6">
      <c r="A410" s="5">
        <v>119</v>
      </c>
      <c r="B410" s="21" t="s">
        <v>373</v>
      </c>
      <c r="C410" s="21"/>
      <c r="D410" s="16" t="s">
        <v>329</v>
      </c>
      <c r="E410" s="15" t="s">
        <v>13</v>
      </c>
      <c r="F410" s="14" t="s">
        <v>79</v>
      </c>
      <c r="G410" s="7" t="s">
        <v>150</v>
      </c>
      <c r="H410" s="18" t="s">
        <v>947</v>
      </c>
      <c r="I410" s="18" t="s">
        <v>948</v>
      </c>
      <c r="J410" s="14" t="s">
        <v>949</v>
      </c>
      <c r="K410" s="49" t="s">
        <v>125</v>
      </c>
      <c r="L410" s="151">
        <v>180</v>
      </c>
      <c r="M410" s="152">
        <v>2260</v>
      </c>
      <c r="N410" s="121">
        <v>2008</v>
      </c>
      <c r="O410" s="27"/>
      <c r="P410" s="58"/>
      <c r="Q410" s="104"/>
      <c r="R410" s="27"/>
      <c r="S410" s="58"/>
      <c r="T410" s="98"/>
      <c r="U410" s="27"/>
      <c r="V410" s="58"/>
      <c r="W410" s="107"/>
      <c r="X410" s="27"/>
      <c r="Y410" s="58"/>
      <c r="Z410" s="107"/>
      <c r="AA410" s="27"/>
      <c r="AB410" s="58"/>
      <c r="AC410" s="107"/>
      <c r="AD410" s="27"/>
      <c r="AE410" s="58"/>
      <c r="AF410" s="107"/>
      <c r="AG410" s="27"/>
      <c r="AH410" s="58"/>
      <c r="AI410" s="107"/>
      <c r="AJ410" s="27"/>
      <c r="AK410" s="58"/>
      <c r="AL410" s="107"/>
      <c r="AM410" s="27"/>
      <c r="AN410" s="58"/>
      <c r="AO410" s="107"/>
      <c r="AP410" s="27"/>
      <c r="AQ410" s="58"/>
      <c r="AR410" s="107"/>
      <c r="AS410" s="27"/>
      <c r="AT410" s="58"/>
      <c r="AU410" s="107"/>
    </row>
    <row r="411" spans="1:47" ht="29.25" customHeight="1" x14ac:dyDescent="0.6">
      <c r="A411" s="5">
        <v>120</v>
      </c>
      <c r="B411" s="21" t="s">
        <v>429</v>
      </c>
      <c r="C411" s="21"/>
      <c r="D411" s="16" t="s">
        <v>331</v>
      </c>
      <c r="E411" s="15" t="s">
        <v>13</v>
      </c>
      <c r="F411" s="14" t="s">
        <v>79</v>
      </c>
      <c r="G411" s="7" t="s">
        <v>150</v>
      </c>
      <c r="H411" s="18" t="s">
        <v>950</v>
      </c>
      <c r="I411" s="18" t="s">
        <v>951</v>
      </c>
      <c r="J411" s="14" t="s">
        <v>952</v>
      </c>
      <c r="K411" s="49" t="s">
        <v>125</v>
      </c>
      <c r="L411" s="151">
        <v>485</v>
      </c>
      <c r="M411" s="152">
        <v>8100</v>
      </c>
      <c r="N411" s="121">
        <v>5823.2</v>
      </c>
      <c r="O411" s="27"/>
      <c r="P411" s="58"/>
      <c r="Q411" s="104"/>
      <c r="R411" s="27"/>
      <c r="S411" s="58"/>
      <c r="T411" s="98"/>
      <c r="U411" s="27"/>
      <c r="V411" s="58"/>
      <c r="W411" s="107"/>
      <c r="X411" s="27"/>
      <c r="Y411" s="58"/>
      <c r="Z411" s="107"/>
      <c r="AA411" s="27"/>
      <c r="AB411" s="58"/>
      <c r="AC411" s="107"/>
      <c r="AD411" s="27"/>
      <c r="AE411" s="58"/>
      <c r="AF411" s="107"/>
      <c r="AG411" s="27"/>
      <c r="AH411" s="58"/>
      <c r="AI411" s="107"/>
      <c r="AJ411" s="27"/>
      <c r="AK411" s="58"/>
      <c r="AL411" s="107"/>
      <c r="AM411" s="27"/>
      <c r="AN411" s="58"/>
      <c r="AO411" s="107"/>
      <c r="AP411" s="27"/>
      <c r="AQ411" s="58"/>
      <c r="AR411" s="107"/>
      <c r="AS411" s="27"/>
      <c r="AT411" s="58"/>
      <c r="AU411" s="107"/>
    </row>
    <row r="412" spans="1:47" ht="29.25" customHeight="1" x14ac:dyDescent="0.6">
      <c r="A412" s="5">
        <v>121</v>
      </c>
      <c r="B412" s="21" t="s">
        <v>471</v>
      </c>
      <c r="C412" s="21"/>
      <c r="D412" s="16" t="s">
        <v>333</v>
      </c>
      <c r="E412" s="15" t="s">
        <v>13</v>
      </c>
      <c r="F412" s="14" t="s">
        <v>79</v>
      </c>
      <c r="G412" s="7" t="s">
        <v>150</v>
      </c>
      <c r="H412" s="18" t="s">
        <v>953</v>
      </c>
      <c r="I412" s="18" t="s">
        <v>954</v>
      </c>
      <c r="J412" s="14" t="s">
        <v>955</v>
      </c>
      <c r="K412" s="49" t="s">
        <v>125</v>
      </c>
      <c r="L412" s="151">
        <v>245</v>
      </c>
      <c r="M412" s="152">
        <v>4420</v>
      </c>
      <c r="N412" s="121">
        <v>2870.4</v>
      </c>
      <c r="O412" s="27"/>
      <c r="P412" s="58"/>
      <c r="Q412" s="104"/>
      <c r="R412" s="27"/>
      <c r="S412" s="58"/>
      <c r="T412" s="98"/>
      <c r="U412" s="27"/>
      <c r="V412" s="58"/>
      <c r="W412" s="107"/>
      <c r="X412" s="27"/>
      <c r="Y412" s="58"/>
      <c r="Z412" s="12"/>
      <c r="AA412" s="27"/>
      <c r="AB412" s="58"/>
      <c r="AC412" s="107"/>
      <c r="AD412" s="27"/>
      <c r="AE412" s="58"/>
      <c r="AF412" s="107"/>
      <c r="AG412" s="27"/>
      <c r="AH412" s="58"/>
      <c r="AI412" s="107"/>
      <c r="AJ412" s="27"/>
      <c r="AK412" s="58"/>
      <c r="AL412" s="107"/>
      <c r="AM412" s="27"/>
      <c r="AN412" s="58"/>
      <c r="AO412" s="107"/>
      <c r="AP412" s="27"/>
      <c r="AQ412" s="58"/>
      <c r="AR412" s="107"/>
      <c r="AS412" s="27"/>
      <c r="AT412" s="58"/>
      <c r="AU412" s="107"/>
    </row>
    <row r="413" spans="1:47" ht="29.25" customHeight="1" x14ac:dyDescent="0.6">
      <c r="A413" s="5">
        <v>122</v>
      </c>
      <c r="B413" s="21" t="s">
        <v>574</v>
      </c>
      <c r="C413" s="21"/>
      <c r="D413" s="16" t="s">
        <v>335</v>
      </c>
      <c r="E413" s="15" t="s">
        <v>13</v>
      </c>
      <c r="F413" s="14" t="s">
        <v>79</v>
      </c>
      <c r="G413" s="7" t="s">
        <v>150</v>
      </c>
      <c r="H413" s="18" t="s">
        <v>334</v>
      </c>
      <c r="I413" s="18" t="s">
        <v>956</v>
      </c>
      <c r="J413" s="14" t="s">
        <v>957</v>
      </c>
      <c r="K413" s="49" t="s">
        <v>125</v>
      </c>
      <c r="L413" s="151">
        <v>248</v>
      </c>
      <c r="M413" s="152">
        <v>3446</v>
      </c>
      <c r="N413" s="121">
        <v>2437.6000000000004</v>
      </c>
      <c r="O413" s="27"/>
      <c r="P413" s="58"/>
      <c r="Q413" s="104"/>
      <c r="R413" s="27"/>
      <c r="S413" s="58"/>
      <c r="T413" s="98"/>
      <c r="U413" s="27"/>
      <c r="V413" s="58"/>
      <c r="W413" s="107"/>
      <c r="X413" s="27"/>
      <c r="Y413" s="58"/>
      <c r="Z413" s="107"/>
      <c r="AA413" s="27"/>
      <c r="AB413" s="58"/>
      <c r="AC413" s="107"/>
      <c r="AD413" s="27"/>
      <c r="AE413" s="58"/>
      <c r="AF413" s="107"/>
      <c r="AG413" s="27"/>
      <c r="AH413" s="58"/>
      <c r="AI413" s="107"/>
      <c r="AJ413" s="27"/>
      <c r="AK413" s="58"/>
      <c r="AL413" s="107"/>
      <c r="AM413" s="27"/>
      <c r="AN413" s="58"/>
      <c r="AO413" s="107"/>
      <c r="AP413" s="27"/>
      <c r="AQ413" s="58"/>
      <c r="AR413" s="107"/>
      <c r="AS413" s="27"/>
      <c r="AT413" s="58"/>
      <c r="AU413" s="107"/>
    </row>
    <row r="414" spans="1:47" ht="29.25" customHeight="1" x14ac:dyDescent="0.6">
      <c r="A414" s="5">
        <v>123</v>
      </c>
      <c r="B414" s="21" t="s">
        <v>636</v>
      </c>
      <c r="C414" s="21"/>
      <c r="D414" s="16" t="s">
        <v>337</v>
      </c>
      <c r="E414" s="15" t="s">
        <v>13</v>
      </c>
      <c r="F414" s="14" t="s">
        <v>79</v>
      </c>
      <c r="G414" s="7" t="s">
        <v>150</v>
      </c>
      <c r="H414" s="18" t="s">
        <v>958</v>
      </c>
      <c r="I414" s="18" t="s">
        <v>959</v>
      </c>
      <c r="J414" s="14" t="s">
        <v>960</v>
      </c>
      <c r="K414" s="49" t="s">
        <v>125</v>
      </c>
      <c r="L414" s="151">
        <v>1100</v>
      </c>
      <c r="M414" s="152">
        <v>13400</v>
      </c>
      <c r="N414" s="121">
        <v>12896</v>
      </c>
      <c r="O414" s="27"/>
      <c r="P414" s="58"/>
      <c r="Q414" s="104"/>
      <c r="R414" s="27"/>
      <c r="S414" s="58"/>
      <c r="T414" s="98"/>
      <c r="U414" s="27"/>
      <c r="V414" s="58"/>
      <c r="W414" s="107"/>
      <c r="X414" s="27"/>
      <c r="Y414" s="58"/>
      <c r="Z414" s="107"/>
      <c r="AA414" s="27"/>
      <c r="AB414" s="58"/>
      <c r="AC414" s="107"/>
      <c r="AD414" s="27"/>
      <c r="AE414" s="58"/>
      <c r="AF414" s="107"/>
      <c r="AG414" s="27"/>
      <c r="AH414" s="58"/>
      <c r="AI414" s="107"/>
      <c r="AJ414" s="27"/>
      <c r="AK414" s="58"/>
      <c r="AL414" s="107"/>
      <c r="AM414" s="27"/>
      <c r="AN414" s="58"/>
      <c r="AO414" s="107"/>
      <c r="AP414" s="27"/>
      <c r="AQ414" s="58"/>
      <c r="AR414" s="107"/>
      <c r="AS414" s="27"/>
      <c r="AT414" s="58"/>
      <c r="AU414" s="107"/>
    </row>
    <row r="415" spans="1:47" ht="29.25" customHeight="1" x14ac:dyDescent="0.6">
      <c r="A415" s="5">
        <v>124</v>
      </c>
      <c r="B415" s="21" t="s">
        <v>646</v>
      </c>
      <c r="C415" s="21"/>
      <c r="D415" s="16" t="s">
        <v>339</v>
      </c>
      <c r="E415" s="15" t="s">
        <v>96</v>
      </c>
      <c r="F415" s="15" t="s">
        <v>97</v>
      </c>
      <c r="G415" s="7" t="s">
        <v>150</v>
      </c>
      <c r="H415" s="18" t="s">
        <v>961</v>
      </c>
      <c r="I415" s="18" t="s">
        <v>962</v>
      </c>
      <c r="J415" s="14" t="s">
        <v>963</v>
      </c>
      <c r="K415" s="49" t="s">
        <v>125</v>
      </c>
      <c r="L415" s="27"/>
      <c r="M415" s="58"/>
      <c r="N415" s="78"/>
      <c r="O415" s="27"/>
      <c r="P415" s="58"/>
      <c r="Q415" s="49"/>
      <c r="R415" s="27"/>
      <c r="S415" s="58"/>
      <c r="T415" s="98"/>
      <c r="U415" s="27"/>
      <c r="V415" s="58"/>
      <c r="W415" s="12"/>
      <c r="X415" s="27"/>
      <c r="Y415" s="58"/>
      <c r="Z415" s="12"/>
      <c r="AA415" s="27"/>
      <c r="AB415" s="58"/>
      <c r="AC415" s="107"/>
      <c r="AD415" s="27"/>
      <c r="AE415" s="58"/>
      <c r="AF415" s="107"/>
      <c r="AG415" s="27"/>
      <c r="AH415" s="58"/>
      <c r="AI415" s="107"/>
      <c r="AJ415" s="27"/>
      <c r="AK415" s="58"/>
      <c r="AL415" s="107"/>
      <c r="AM415" s="27"/>
      <c r="AN415" s="58"/>
      <c r="AO415" s="107"/>
      <c r="AP415" s="27"/>
      <c r="AQ415" s="58"/>
      <c r="AR415" s="107"/>
      <c r="AS415" s="27"/>
      <c r="AT415" s="58"/>
      <c r="AU415" s="107"/>
    </row>
    <row r="416" spans="1:47" ht="29.25" customHeight="1" x14ac:dyDescent="0.6">
      <c r="A416" s="5">
        <v>125</v>
      </c>
      <c r="B416" s="18" t="s">
        <v>375</v>
      </c>
      <c r="C416" s="18"/>
      <c r="D416" s="16" t="s">
        <v>341</v>
      </c>
      <c r="E416" s="14" t="s">
        <v>90</v>
      </c>
      <c r="F416" s="14" t="s">
        <v>273</v>
      </c>
      <c r="G416" s="58" t="s">
        <v>377</v>
      </c>
      <c r="H416" s="18" t="s">
        <v>964</v>
      </c>
      <c r="I416" s="18" t="s">
        <v>965</v>
      </c>
      <c r="J416" s="14" t="s">
        <v>966</v>
      </c>
      <c r="K416" s="49" t="s">
        <v>378</v>
      </c>
      <c r="L416" s="158">
        <v>66.415000000000006</v>
      </c>
      <c r="M416" s="159">
        <v>826</v>
      </c>
      <c r="N416" s="160">
        <v>782.66</v>
      </c>
      <c r="O416" s="27"/>
      <c r="P416" s="58"/>
      <c r="Q416" s="49"/>
      <c r="R416" s="27"/>
      <c r="S416" s="58"/>
      <c r="T416" s="98"/>
      <c r="U416" s="27"/>
      <c r="V416" s="58"/>
      <c r="W416" s="12"/>
      <c r="X416" s="27"/>
      <c r="Y416" s="58"/>
      <c r="Z416" s="107"/>
      <c r="AA416" s="27"/>
      <c r="AB416" s="58"/>
      <c r="AC416" s="12"/>
      <c r="AD416" s="27"/>
      <c r="AE416" s="58"/>
      <c r="AF416" s="107"/>
      <c r="AG416" s="27"/>
      <c r="AH416" s="58"/>
      <c r="AI416" s="107"/>
      <c r="AJ416" s="27"/>
      <c r="AK416" s="58"/>
      <c r="AL416" s="107"/>
      <c r="AM416" s="27"/>
      <c r="AN416" s="58"/>
      <c r="AO416" s="107"/>
      <c r="AP416" s="27"/>
      <c r="AQ416" s="58"/>
      <c r="AR416" s="107"/>
      <c r="AS416" s="27"/>
      <c r="AT416" s="58"/>
      <c r="AU416" s="107"/>
    </row>
    <row r="417" spans="1:47" ht="29.25" customHeight="1" x14ac:dyDescent="0.6">
      <c r="A417" s="5">
        <v>126</v>
      </c>
      <c r="B417" s="18" t="s">
        <v>379</v>
      </c>
      <c r="C417" s="18"/>
      <c r="D417" s="16" t="s">
        <v>342</v>
      </c>
      <c r="E417" s="14" t="s">
        <v>57</v>
      </c>
      <c r="F417" s="14" t="s">
        <v>58</v>
      </c>
      <c r="G417" s="58" t="s">
        <v>377</v>
      </c>
      <c r="H417" s="18" t="s">
        <v>967</v>
      </c>
      <c r="I417" s="18" t="s">
        <v>968</v>
      </c>
      <c r="J417" s="14" t="s">
        <v>969</v>
      </c>
      <c r="K417" s="49" t="s">
        <v>378</v>
      </c>
      <c r="L417" s="158">
        <v>60</v>
      </c>
      <c r="M417" s="159">
        <v>720</v>
      </c>
      <c r="N417" s="160">
        <v>720</v>
      </c>
      <c r="O417" s="27"/>
      <c r="P417" s="58"/>
      <c r="Q417" s="49"/>
      <c r="R417" s="27"/>
      <c r="S417" s="58"/>
      <c r="T417" s="98"/>
      <c r="U417" s="27"/>
      <c r="V417" s="58"/>
      <c r="W417" s="12"/>
      <c r="X417" s="27"/>
      <c r="Y417" s="58"/>
      <c r="Z417" s="107"/>
      <c r="AA417" s="27"/>
      <c r="AB417" s="58"/>
      <c r="AC417" s="107"/>
      <c r="AD417" s="27"/>
      <c r="AE417" s="58"/>
      <c r="AF417" s="107"/>
      <c r="AG417" s="27"/>
      <c r="AH417" s="58"/>
      <c r="AI417" s="107"/>
      <c r="AJ417" s="27"/>
      <c r="AK417" s="58"/>
      <c r="AL417" s="107"/>
      <c r="AM417" s="27"/>
      <c r="AN417" s="58"/>
      <c r="AO417" s="107"/>
      <c r="AP417" s="27"/>
      <c r="AQ417" s="58"/>
      <c r="AR417" s="107"/>
      <c r="AS417" s="27"/>
      <c r="AT417" s="58"/>
      <c r="AU417" s="107"/>
    </row>
    <row r="418" spans="1:47" ht="29.25" customHeight="1" x14ac:dyDescent="0.6">
      <c r="A418" s="5">
        <v>127</v>
      </c>
      <c r="B418" s="18" t="s">
        <v>381</v>
      </c>
      <c r="C418" s="18"/>
      <c r="D418" s="16" t="s">
        <v>344</v>
      </c>
      <c r="E418" s="14" t="s">
        <v>345</v>
      </c>
      <c r="F418" s="14" t="s">
        <v>346</v>
      </c>
      <c r="G418" s="58" t="s">
        <v>377</v>
      </c>
      <c r="H418" s="18" t="s">
        <v>970</v>
      </c>
      <c r="I418" s="18" t="s">
        <v>971</v>
      </c>
      <c r="J418" s="14" t="s">
        <v>972</v>
      </c>
      <c r="K418" s="49" t="s">
        <v>378</v>
      </c>
      <c r="L418" s="158">
        <v>105</v>
      </c>
      <c r="M418" s="159">
        <v>1290</v>
      </c>
      <c r="N418" s="160">
        <v>1214.4000000000001</v>
      </c>
      <c r="O418" s="27"/>
      <c r="P418" s="58"/>
      <c r="Q418" s="49"/>
      <c r="R418" s="27"/>
      <c r="S418" s="58"/>
      <c r="T418" s="98"/>
      <c r="U418" s="27"/>
      <c r="V418" s="58"/>
      <c r="W418" s="12"/>
      <c r="X418" s="27"/>
      <c r="Y418" s="58"/>
      <c r="Z418" s="107"/>
      <c r="AA418" s="27"/>
      <c r="AB418" s="58"/>
      <c r="AC418" s="12"/>
      <c r="AD418" s="27"/>
      <c r="AE418" s="58"/>
      <c r="AF418" s="107"/>
      <c r="AG418" s="27"/>
      <c r="AH418" s="58"/>
      <c r="AI418" s="107"/>
      <c r="AJ418" s="27"/>
      <c r="AK418" s="58"/>
      <c r="AL418" s="107"/>
      <c r="AM418" s="27"/>
      <c r="AN418" s="58"/>
      <c r="AO418" s="107"/>
      <c r="AP418" s="27"/>
      <c r="AQ418" s="58"/>
      <c r="AR418" s="107"/>
      <c r="AS418" s="27"/>
      <c r="AT418" s="58"/>
      <c r="AU418" s="107"/>
    </row>
    <row r="419" spans="1:47" ht="29.25" customHeight="1" x14ac:dyDescent="0.6">
      <c r="A419" s="5">
        <v>128</v>
      </c>
      <c r="B419" s="18" t="s">
        <v>385</v>
      </c>
      <c r="C419" s="18"/>
      <c r="D419" s="16" t="s">
        <v>348</v>
      </c>
      <c r="E419" s="14" t="s">
        <v>267</v>
      </c>
      <c r="F419" s="20" t="s">
        <v>46</v>
      </c>
      <c r="G419" s="58" t="s">
        <v>377</v>
      </c>
      <c r="H419" s="145"/>
      <c r="I419" s="145"/>
      <c r="J419" s="14" t="s">
        <v>1130</v>
      </c>
      <c r="K419" s="49" t="s">
        <v>378</v>
      </c>
      <c r="L419" s="158">
        <v>60</v>
      </c>
      <c r="M419" s="159">
        <v>720</v>
      </c>
      <c r="N419" s="160">
        <v>720</v>
      </c>
      <c r="O419" s="27"/>
      <c r="P419" s="58"/>
      <c r="Q419" s="49"/>
      <c r="R419" s="27"/>
      <c r="S419" s="58"/>
      <c r="T419" s="98"/>
      <c r="U419" s="27"/>
      <c r="V419" s="58"/>
      <c r="W419" s="12"/>
      <c r="X419" s="27"/>
      <c r="Y419" s="58"/>
      <c r="Z419" s="107"/>
      <c r="AA419" s="27"/>
      <c r="AB419" s="58"/>
      <c r="AC419" s="107"/>
      <c r="AD419" s="27"/>
      <c r="AE419" s="58"/>
      <c r="AF419" s="107"/>
      <c r="AG419" s="27"/>
      <c r="AH419" s="58"/>
      <c r="AI419" s="107"/>
      <c r="AJ419" s="27"/>
      <c r="AK419" s="58"/>
      <c r="AL419" s="107"/>
      <c r="AM419" s="27"/>
      <c r="AN419" s="58"/>
      <c r="AO419" s="107"/>
      <c r="AP419" s="27"/>
      <c r="AQ419" s="58"/>
      <c r="AR419" s="107"/>
      <c r="AS419" s="27"/>
      <c r="AT419" s="58"/>
      <c r="AU419" s="107"/>
    </row>
    <row r="420" spans="1:47" ht="29.25" customHeight="1" x14ac:dyDescent="0.6">
      <c r="A420" s="5">
        <v>129</v>
      </c>
      <c r="B420" s="18" t="s">
        <v>387</v>
      </c>
      <c r="C420" s="18"/>
      <c r="D420" s="14" t="s">
        <v>349</v>
      </c>
      <c r="E420" s="15" t="s">
        <v>190</v>
      </c>
      <c r="F420" s="14" t="s">
        <v>91</v>
      </c>
      <c r="G420" s="58" t="s">
        <v>377</v>
      </c>
      <c r="H420" s="145" t="s">
        <v>973</v>
      </c>
      <c r="I420" s="145"/>
      <c r="J420" s="14" t="s">
        <v>974</v>
      </c>
      <c r="K420" s="49" t="s">
        <v>378</v>
      </c>
      <c r="L420" s="158">
        <v>30</v>
      </c>
      <c r="M420" s="159">
        <v>360</v>
      </c>
      <c r="N420" s="160">
        <v>360</v>
      </c>
      <c r="O420" s="27"/>
      <c r="P420" s="58"/>
      <c r="Q420" s="49"/>
      <c r="R420" s="27"/>
      <c r="S420" s="58"/>
      <c r="T420" s="98"/>
      <c r="U420" s="27"/>
      <c r="V420" s="58"/>
      <c r="W420" s="12"/>
      <c r="X420" s="27"/>
      <c r="Y420" s="58"/>
      <c r="Z420" s="107"/>
      <c r="AA420" s="27"/>
      <c r="AB420" s="58"/>
      <c r="AC420" s="12"/>
      <c r="AD420" s="27"/>
      <c r="AE420" s="58"/>
      <c r="AF420" s="107"/>
      <c r="AG420" s="27"/>
      <c r="AH420" s="58"/>
      <c r="AI420" s="107"/>
      <c r="AJ420" s="27"/>
      <c r="AK420" s="58"/>
      <c r="AL420" s="107"/>
      <c r="AM420" s="27"/>
      <c r="AN420" s="58"/>
      <c r="AO420" s="107"/>
      <c r="AP420" s="27"/>
      <c r="AQ420" s="58"/>
      <c r="AR420" s="107"/>
      <c r="AS420" s="27"/>
      <c r="AT420" s="58"/>
      <c r="AU420" s="107"/>
    </row>
    <row r="421" spans="1:47" ht="29.25" customHeight="1" x14ac:dyDescent="0.6">
      <c r="A421" s="5">
        <v>130</v>
      </c>
      <c r="B421" s="18" t="s">
        <v>389</v>
      </c>
      <c r="C421" s="18"/>
      <c r="D421" s="21" t="s">
        <v>351</v>
      </c>
      <c r="E421" s="14" t="s">
        <v>267</v>
      </c>
      <c r="F421" s="20" t="s">
        <v>46</v>
      </c>
      <c r="G421" s="58" t="s">
        <v>377</v>
      </c>
      <c r="H421" s="145" t="s">
        <v>975</v>
      </c>
      <c r="I421" s="145"/>
      <c r="J421" s="14" t="s">
        <v>976</v>
      </c>
      <c r="K421" s="49" t="s">
        <v>378</v>
      </c>
      <c r="L421" s="158">
        <v>65</v>
      </c>
      <c r="M421" s="159">
        <v>790</v>
      </c>
      <c r="N421" s="160">
        <v>764.8</v>
      </c>
      <c r="O421" s="27"/>
      <c r="P421" s="58"/>
      <c r="Q421" s="104"/>
      <c r="R421" s="27"/>
      <c r="S421" s="58"/>
      <c r="T421" s="98"/>
      <c r="U421" s="27"/>
      <c r="V421" s="58"/>
      <c r="W421" s="12"/>
      <c r="X421" s="27"/>
      <c r="Y421" s="58"/>
      <c r="Z421" s="107"/>
      <c r="AA421" s="27"/>
      <c r="AB421" s="58"/>
      <c r="AC421" s="107"/>
      <c r="AD421" s="27"/>
      <c r="AE421" s="58"/>
      <c r="AF421" s="107"/>
      <c r="AG421" s="27"/>
      <c r="AH421" s="58"/>
      <c r="AI421" s="107"/>
      <c r="AJ421" s="27"/>
      <c r="AK421" s="58"/>
      <c r="AL421" s="107"/>
      <c r="AM421" s="27"/>
      <c r="AN421" s="58"/>
      <c r="AO421" s="107"/>
      <c r="AP421" s="27"/>
      <c r="AQ421" s="58"/>
      <c r="AR421" s="107"/>
      <c r="AS421" s="27"/>
      <c r="AT421" s="58"/>
      <c r="AU421" s="107"/>
    </row>
    <row r="422" spans="1:47" ht="29.25" customHeight="1" x14ac:dyDescent="0.6">
      <c r="A422" s="5">
        <v>131</v>
      </c>
      <c r="B422" s="18" t="s">
        <v>391</v>
      </c>
      <c r="C422" s="18"/>
      <c r="D422" s="21" t="s">
        <v>353</v>
      </c>
      <c r="E422" s="14" t="s">
        <v>267</v>
      </c>
      <c r="F422" s="20" t="s">
        <v>46</v>
      </c>
      <c r="G422" s="58" t="s">
        <v>377</v>
      </c>
      <c r="H422" s="145" t="s">
        <v>977</v>
      </c>
      <c r="I422" s="145"/>
      <c r="J422" s="14" t="s">
        <v>978</v>
      </c>
      <c r="K422" s="49" t="s">
        <v>378</v>
      </c>
      <c r="L422" s="158">
        <v>0</v>
      </c>
      <c r="M422" s="159">
        <v>0</v>
      </c>
      <c r="N422" s="160">
        <v>0</v>
      </c>
      <c r="O422" s="27"/>
      <c r="P422" s="58"/>
      <c r="Q422" s="104"/>
      <c r="R422" s="27"/>
      <c r="S422" s="58"/>
      <c r="T422" s="98"/>
      <c r="U422" s="27"/>
      <c r="V422" s="58"/>
      <c r="W422" s="12"/>
      <c r="X422" s="27"/>
      <c r="Y422" s="58"/>
      <c r="Z422" s="107"/>
      <c r="AA422" s="27"/>
      <c r="AB422" s="58"/>
      <c r="AC422" s="107"/>
      <c r="AD422" s="27"/>
      <c r="AE422" s="58"/>
      <c r="AF422" s="107"/>
      <c r="AG422" s="27"/>
      <c r="AH422" s="58"/>
      <c r="AI422" s="107"/>
      <c r="AJ422" s="27"/>
      <c r="AK422" s="58"/>
      <c r="AL422" s="107"/>
      <c r="AM422" s="27"/>
      <c r="AN422" s="58"/>
      <c r="AO422" s="107"/>
      <c r="AP422" s="27"/>
      <c r="AQ422" s="58"/>
      <c r="AR422" s="107"/>
      <c r="AS422" s="27"/>
      <c r="AT422" s="58"/>
      <c r="AU422" s="107"/>
    </row>
    <row r="423" spans="1:47" ht="29.25" customHeight="1" x14ac:dyDescent="0.6">
      <c r="A423" s="5">
        <v>132</v>
      </c>
      <c r="B423" s="18" t="s">
        <v>393</v>
      </c>
      <c r="C423" s="18"/>
      <c r="D423" s="21" t="s">
        <v>355</v>
      </c>
      <c r="E423" s="14" t="s">
        <v>267</v>
      </c>
      <c r="F423" s="20" t="s">
        <v>46</v>
      </c>
      <c r="G423" s="110" t="s">
        <v>377</v>
      </c>
      <c r="H423" s="145" t="s">
        <v>979</v>
      </c>
      <c r="I423" s="145"/>
      <c r="J423" s="14" t="s">
        <v>980</v>
      </c>
      <c r="K423" s="49" t="s">
        <v>378</v>
      </c>
      <c r="L423" s="158">
        <v>76</v>
      </c>
      <c r="M423" s="159">
        <v>912</v>
      </c>
      <c r="N423" s="160">
        <v>912</v>
      </c>
      <c r="O423" s="27"/>
      <c r="P423" s="58"/>
      <c r="Q423" s="104"/>
      <c r="R423" s="27"/>
      <c r="S423" s="58"/>
      <c r="T423" s="98"/>
      <c r="U423" s="27"/>
      <c r="V423" s="58"/>
      <c r="W423" s="12"/>
      <c r="X423" s="27"/>
      <c r="Y423" s="58"/>
      <c r="Z423" s="107"/>
      <c r="AA423" s="27"/>
      <c r="AB423" s="58"/>
      <c r="AC423" s="107"/>
      <c r="AD423" s="27"/>
      <c r="AE423" s="58"/>
      <c r="AF423" s="107"/>
      <c r="AG423" s="27"/>
      <c r="AH423" s="58"/>
      <c r="AI423" s="107"/>
      <c r="AJ423" s="27"/>
      <c r="AK423" s="58"/>
      <c r="AL423" s="107"/>
      <c r="AM423" s="27"/>
      <c r="AN423" s="58"/>
      <c r="AO423" s="107"/>
      <c r="AP423" s="27"/>
      <c r="AQ423" s="58"/>
      <c r="AR423" s="107"/>
      <c r="AS423" s="27"/>
      <c r="AT423" s="58"/>
      <c r="AU423" s="107"/>
    </row>
    <row r="424" spans="1:47" ht="29.25" customHeight="1" x14ac:dyDescent="0.6">
      <c r="A424" s="5">
        <v>133</v>
      </c>
      <c r="B424" s="18" t="s">
        <v>395</v>
      </c>
      <c r="C424" s="18"/>
      <c r="D424" s="21" t="s">
        <v>357</v>
      </c>
      <c r="E424" s="14" t="s">
        <v>267</v>
      </c>
      <c r="F424" s="20" t="s">
        <v>46</v>
      </c>
      <c r="G424" s="58" t="s">
        <v>377</v>
      </c>
      <c r="H424" s="145" t="s">
        <v>981</v>
      </c>
      <c r="I424" s="145"/>
      <c r="J424" s="14" t="s">
        <v>982</v>
      </c>
      <c r="K424" s="49" t="s">
        <v>378</v>
      </c>
      <c r="L424" s="158">
        <v>85</v>
      </c>
      <c r="M424" s="159">
        <v>1040</v>
      </c>
      <c r="N424" s="160">
        <v>989.6</v>
      </c>
      <c r="O424" s="27"/>
      <c r="P424" s="58"/>
      <c r="Q424" s="104"/>
      <c r="R424" s="27"/>
      <c r="S424" s="58"/>
      <c r="T424" s="98"/>
      <c r="U424" s="27"/>
      <c r="V424" s="58"/>
      <c r="W424" s="107"/>
      <c r="X424" s="27"/>
      <c r="Y424" s="58"/>
      <c r="Z424" s="107"/>
      <c r="AA424" s="27"/>
      <c r="AB424" s="58"/>
      <c r="AC424" s="107"/>
      <c r="AD424" s="27"/>
      <c r="AE424" s="58"/>
      <c r="AF424" s="107"/>
      <c r="AG424" s="27"/>
      <c r="AH424" s="58"/>
      <c r="AI424" s="107"/>
      <c r="AJ424" s="27"/>
      <c r="AK424" s="58"/>
      <c r="AL424" s="107"/>
      <c r="AM424" s="27"/>
      <c r="AN424" s="58"/>
      <c r="AO424" s="107"/>
      <c r="AP424" s="27"/>
      <c r="AQ424" s="58"/>
      <c r="AR424" s="107"/>
      <c r="AS424" s="27"/>
      <c r="AT424" s="58"/>
      <c r="AU424" s="107"/>
    </row>
    <row r="425" spans="1:47" ht="29.25" customHeight="1" x14ac:dyDescent="0.6">
      <c r="A425" s="5">
        <v>134</v>
      </c>
      <c r="B425" s="18" t="s">
        <v>397</v>
      </c>
      <c r="C425" s="18"/>
      <c r="D425" s="21" t="s">
        <v>358</v>
      </c>
      <c r="E425" s="20" t="s">
        <v>359</v>
      </c>
      <c r="F425" s="20" t="s">
        <v>76</v>
      </c>
      <c r="G425" s="58" t="s">
        <v>377</v>
      </c>
      <c r="H425" s="145" t="s">
        <v>983</v>
      </c>
      <c r="I425" s="145"/>
      <c r="J425" s="14" t="s">
        <v>984</v>
      </c>
      <c r="K425" s="49" t="s">
        <v>378</v>
      </c>
      <c r="L425" s="158">
        <v>45</v>
      </c>
      <c r="M425" s="159">
        <v>540</v>
      </c>
      <c r="N425" s="160">
        <v>540</v>
      </c>
      <c r="O425" s="27"/>
      <c r="P425" s="58"/>
      <c r="Q425" s="104"/>
      <c r="R425" s="27"/>
      <c r="S425" s="58"/>
      <c r="T425" s="98"/>
      <c r="U425" s="27"/>
      <c r="V425" s="58"/>
      <c r="W425" s="12"/>
      <c r="X425" s="27"/>
      <c r="Y425" s="58"/>
      <c r="Z425" s="107"/>
      <c r="AA425" s="27"/>
      <c r="AB425" s="58"/>
      <c r="AC425" s="107"/>
      <c r="AD425" s="27"/>
      <c r="AE425" s="58"/>
      <c r="AF425" s="107"/>
      <c r="AG425" s="27"/>
      <c r="AH425" s="58"/>
      <c r="AI425" s="107"/>
      <c r="AJ425" s="27"/>
      <c r="AK425" s="58"/>
      <c r="AL425" s="107"/>
      <c r="AM425" s="27"/>
      <c r="AN425" s="58"/>
      <c r="AO425" s="107"/>
      <c r="AP425" s="27"/>
      <c r="AQ425" s="58"/>
      <c r="AR425" s="107"/>
      <c r="AS425" s="27"/>
      <c r="AT425" s="58"/>
      <c r="AU425" s="107"/>
    </row>
    <row r="426" spans="1:47" ht="29.25" customHeight="1" x14ac:dyDescent="0.6">
      <c r="A426" s="5">
        <v>135</v>
      </c>
      <c r="B426" s="18" t="s">
        <v>399</v>
      </c>
      <c r="C426" s="18"/>
      <c r="D426" s="14" t="s">
        <v>361</v>
      </c>
      <c r="E426" s="15" t="s">
        <v>82</v>
      </c>
      <c r="F426" s="24" t="s">
        <v>83</v>
      </c>
      <c r="G426" s="58" t="s">
        <v>377</v>
      </c>
      <c r="H426" s="19" t="s">
        <v>985</v>
      </c>
      <c r="I426" s="19"/>
      <c r="J426" s="20" t="s">
        <v>986</v>
      </c>
      <c r="K426" s="49" t="s">
        <v>378</v>
      </c>
      <c r="L426" s="158">
        <v>0</v>
      </c>
      <c r="M426" s="159">
        <v>0</v>
      </c>
      <c r="N426" s="160">
        <v>0</v>
      </c>
      <c r="O426" s="27"/>
      <c r="P426" s="58"/>
      <c r="Q426" s="104"/>
      <c r="R426" s="27"/>
      <c r="S426" s="58"/>
      <c r="T426" s="98"/>
      <c r="U426" s="27"/>
      <c r="V426" s="58"/>
      <c r="W426" s="12"/>
      <c r="X426" s="27"/>
      <c r="Y426" s="58"/>
      <c r="Z426" s="12"/>
      <c r="AA426" s="27"/>
      <c r="AB426" s="58"/>
      <c r="AC426" s="12"/>
      <c r="AD426" s="27"/>
      <c r="AE426" s="58"/>
      <c r="AF426" s="107"/>
      <c r="AG426" s="27"/>
      <c r="AH426" s="58"/>
      <c r="AI426" s="107"/>
      <c r="AJ426" s="27"/>
      <c r="AK426" s="58"/>
      <c r="AL426" s="107"/>
      <c r="AM426" s="27"/>
      <c r="AN426" s="58"/>
      <c r="AO426" s="107"/>
      <c r="AP426" s="27"/>
      <c r="AQ426" s="58"/>
      <c r="AR426" s="107"/>
      <c r="AS426" s="27"/>
      <c r="AT426" s="58"/>
      <c r="AU426" s="107"/>
    </row>
    <row r="427" spans="1:47" ht="29.25" customHeight="1" x14ac:dyDescent="0.6">
      <c r="A427" s="5">
        <v>136</v>
      </c>
      <c r="B427" s="18" t="s">
        <v>401</v>
      </c>
      <c r="C427" s="18"/>
      <c r="D427" s="14" t="s">
        <v>32</v>
      </c>
      <c r="E427" s="15" t="s">
        <v>363</v>
      </c>
      <c r="F427" s="20" t="s">
        <v>79</v>
      </c>
      <c r="G427" s="58" t="s">
        <v>377</v>
      </c>
      <c r="H427" s="19" t="s">
        <v>987</v>
      </c>
      <c r="I427" s="19"/>
      <c r="J427" s="20" t="s">
        <v>988</v>
      </c>
      <c r="K427" s="49" t="s">
        <v>378</v>
      </c>
      <c r="L427" s="158">
        <v>135.625</v>
      </c>
      <c r="M427" s="159">
        <v>1725</v>
      </c>
      <c r="N427" s="160">
        <v>1488.4500000000003</v>
      </c>
      <c r="O427" s="27"/>
      <c r="P427" s="58"/>
      <c r="Q427" s="104"/>
      <c r="R427" s="27"/>
      <c r="S427" s="58"/>
      <c r="T427" s="98"/>
      <c r="U427" s="27"/>
      <c r="V427" s="58"/>
      <c r="W427" s="12"/>
      <c r="X427" s="27"/>
      <c r="Y427" s="58"/>
      <c r="Z427" s="12"/>
      <c r="AA427" s="27"/>
      <c r="AB427" s="58"/>
      <c r="AC427" s="107"/>
      <c r="AD427" s="27"/>
      <c r="AE427" s="58"/>
      <c r="AF427" s="107"/>
      <c r="AG427" s="27"/>
      <c r="AH427" s="58"/>
      <c r="AI427" s="107"/>
      <c r="AJ427" s="27"/>
      <c r="AK427" s="58"/>
      <c r="AL427" s="107"/>
      <c r="AM427" s="27"/>
      <c r="AN427" s="58"/>
      <c r="AO427" s="107"/>
      <c r="AP427" s="27"/>
      <c r="AQ427" s="58"/>
      <c r="AR427" s="107"/>
      <c r="AS427" s="27"/>
      <c r="AT427" s="58"/>
      <c r="AU427" s="107"/>
    </row>
    <row r="428" spans="1:47" ht="29.25" customHeight="1" x14ac:dyDescent="0.6">
      <c r="A428" s="5">
        <v>137</v>
      </c>
      <c r="B428" s="18" t="s">
        <v>403</v>
      </c>
      <c r="C428" s="18"/>
      <c r="D428" s="14" t="s">
        <v>365</v>
      </c>
      <c r="E428" s="15" t="s">
        <v>363</v>
      </c>
      <c r="F428" s="20" t="s">
        <v>79</v>
      </c>
      <c r="G428" s="58" t="s">
        <v>377</v>
      </c>
      <c r="H428" s="19" t="s">
        <v>989</v>
      </c>
      <c r="I428" s="19"/>
      <c r="J428" s="20" t="s">
        <v>990</v>
      </c>
      <c r="K428" s="49" t="s">
        <v>378</v>
      </c>
      <c r="L428" s="158">
        <v>50</v>
      </c>
      <c r="M428" s="159">
        <v>610</v>
      </c>
      <c r="N428" s="160">
        <v>584.79999999999995</v>
      </c>
      <c r="O428" s="27"/>
      <c r="P428" s="58"/>
      <c r="Q428" s="104"/>
      <c r="R428" s="27"/>
      <c r="S428" s="58"/>
      <c r="T428" s="98"/>
      <c r="U428" s="27"/>
      <c r="V428" s="58"/>
      <c r="W428" s="12"/>
      <c r="X428" s="27"/>
      <c r="Y428" s="58"/>
      <c r="Z428" s="12"/>
      <c r="AA428" s="27"/>
      <c r="AB428" s="58"/>
      <c r="AC428" s="12"/>
      <c r="AD428" s="27"/>
      <c r="AE428" s="58"/>
      <c r="AF428" s="107"/>
      <c r="AG428" s="27"/>
      <c r="AH428" s="58"/>
      <c r="AI428" s="107"/>
      <c r="AJ428" s="27"/>
      <c r="AK428" s="58"/>
      <c r="AL428" s="107"/>
      <c r="AM428" s="27"/>
      <c r="AN428" s="58"/>
      <c r="AO428" s="107"/>
      <c r="AP428" s="27"/>
      <c r="AQ428" s="58"/>
      <c r="AR428" s="107"/>
      <c r="AS428" s="27"/>
      <c r="AT428" s="58"/>
      <c r="AU428" s="107"/>
    </row>
    <row r="429" spans="1:47" ht="29.25" customHeight="1" x14ac:dyDescent="0.6">
      <c r="A429" s="5">
        <v>138</v>
      </c>
      <c r="B429" s="18" t="s">
        <v>283</v>
      </c>
      <c r="C429" s="18"/>
      <c r="D429" s="14" t="s">
        <v>367</v>
      </c>
      <c r="E429" s="15" t="s">
        <v>293</v>
      </c>
      <c r="F429" s="20" t="s">
        <v>50</v>
      </c>
      <c r="G429" s="58" t="s">
        <v>377</v>
      </c>
      <c r="H429" s="19" t="s">
        <v>991</v>
      </c>
      <c r="I429" s="19"/>
      <c r="J429" s="20" t="s">
        <v>992</v>
      </c>
      <c r="K429" s="49" t="s">
        <v>378</v>
      </c>
      <c r="L429" s="158">
        <v>15</v>
      </c>
      <c r="M429" s="159">
        <v>180</v>
      </c>
      <c r="N429" s="160">
        <v>180</v>
      </c>
      <c r="O429" s="27"/>
      <c r="P429" s="58"/>
      <c r="Q429" s="104"/>
      <c r="R429" s="27"/>
      <c r="S429" s="58"/>
      <c r="T429" s="98"/>
      <c r="U429" s="27"/>
      <c r="V429" s="58"/>
      <c r="W429" s="12"/>
      <c r="X429" s="27"/>
      <c r="Y429" s="58"/>
      <c r="Z429" s="12"/>
      <c r="AA429" s="27"/>
      <c r="AB429" s="58"/>
      <c r="AC429" s="12"/>
      <c r="AD429" s="27"/>
      <c r="AE429" s="58"/>
      <c r="AF429" s="107"/>
      <c r="AG429" s="27"/>
      <c r="AH429" s="58"/>
      <c r="AI429" s="107"/>
      <c r="AJ429" s="27"/>
      <c r="AK429" s="58"/>
      <c r="AL429" s="107"/>
      <c r="AM429" s="27"/>
      <c r="AN429" s="58"/>
      <c r="AO429" s="107"/>
      <c r="AP429" s="27"/>
      <c r="AQ429" s="58"/>
      <c r="AR429" s="107"/>
      <c r="AS429" s="27"/>
      <c r="AT429" s="58"/>
      <c r="AU429" s="107"/>
    </row>
    <row r="430" spans="1:47" ht="29.25" customHeight="1" x14ac:dyDescent="0.6">
      <c r="A430" s="5">
        <v>139</v>
      </c>
      <c r="B430" s="18" t="s">
        <v>404</v>
      </c>
      <c r="C430" s="18"/>
      <c r="D430" s="14" t="s">
        <v>368</v>
      </c>
      <c r="E430" s="15" t="s">
        <v>82</v>
      </c>
      <c r="F430" s="24" t="s">
        <v>83</v>
      </c>
      <c r="G430" s="58" t="s">
        <v>406</v>
      </c>
      <c r="H430" s="19" t="s">
        <v>993</v>
      </c>
      <c r="I430" s="19"/>
      <c r="J430" s="20" t="s">
        <v>994</v>
      </c>
      <c r="K430" s="49" t="s">
        <v>407</v>
      </c>
      <c r="L430" s="158">
        <v>63</v>
      </c>
      <c r="M430" s="159">
        <v>852</v>
      </c>
      <c r="N430" s="160">
        <v>610.07999999999993</v>
      </c>
      <c r="O430" s="27"/>
      <c r="P430" s="58"/>
      <c r="Q430" s="49"/>
      <c r="R430" s="27"/>
      <c r="S430" s="58"/>
      <c r="T430" s="98"/>
      <c r="U430" s="27"/>
      <c r="V430" s="58"/>
      <c r="W430" s="12"/>
      <c r="X430" s="27"/>
      <c r="Y430" s="58"/>
      <c r="Z430" s="12"/>
      <c r="AA430" s="27"/>
      <c r="AB430" s="58"/>
      <c r="AC430" s="12"/>
      <c r="AD430" s="27"/>
      <c r="AE430" s="58"/>
      <c r="AF430" s="107"/>
      <c r="AG430" s="27"/>
      <c r="AH430" s="58"/>
      <c r="AI430" s="107"/>
      <c r="AJ430" s="27"/>
      <c r="AK430" s="58"/>
      <c r="AL430" s="107"/>
      <c r="AM430" s="27"/>
      <c r="AN430" s="58"/>
      <c r="AO430" s="107"/>
      <c r="AP430" s="27"/>
      <c r="AQ430" s="58"/>
      <c r="AR430" s="107"/>
      <c r="AS430" s="27"/>
      <c r="AT430" s="58"/>
      <c r="AU430" s="107"/>
    </row>
    <row r="431" spans="1:47" ht="29.25" customHeight="1" x14ac:dyDescent="0.6">
      <c r="A431" s="5">
        <v>140</v>
      </c>
      <c r="B431" s="18" t="s">
        <v>1155</v>
      </c>
      <c r="C431" s="18"/>
      <c r="D431" s="14" t="s">
        <v>369</v>
      </c>
      <c r="E431" s="15" t="s">
        <v>82</v>
      </c>
      <c r="F431" s="24" t="s">
        <v>83</v>
      </c>
      <c r="G431" s="58" t="s">
        <v>406</v>
      </c>
      <c r="H431" s="19" t="s">
        <v>995</v>
      </c>
      <c r="I431" s="19"/>
      <c r="J431" s="20" t="s">
        <v>996</v>
      </c>
      <c r="K431" s="49" t="s">
        <v>407</v>
      </c>
      <c r="L431" s="158">
        <v>12</v>
      </c>
      <c r="M431" s="159">
        <v>144</v>
      </c>
      <c r="N431" s="160">
        <v>144</v>
      </c>
      <c r="O431" s="27"/>
      <c r="P431" s="58"/>
      <c r="Q431" s="49"/>
      <c r="R431" s="27"/>
      <c r="S431" s="58"/>
      <c r="T431" s="98"/>
      <c r="U431" s="27"/>
      <c r="V431" s="58"/>
      <c r="W431" s="12"/>
      <c r="X431" s="27"/>
      <c r="Y431" s="58"/>
      <c r="Z431" s="12"/>
      <c r="AA431" s="27"/>
      <c r="AB431" s="58"/>
      <c r="AC431" s="12"/>
      <c r="AD431" s="27"/>
      <c r="AE431" s="58"/>
      <c r="AF431" s="107"/>
      <c r="AG431" s="27"/>
      <c r="AH431" s="58"/>
      <c r="AI431" s="107"/>
      <c r="AJ431" s="27"/>
      <c r="AK431" s="58"/>
      <c r="AL431" s="107"/>
      <c r="AM431" s="27"/>
      <c r="AN431" s="58"/>
      <c r="AO431" s="107"/>
      <c r="AP431" s="27"/>
      <c r="AQ431" s="58"/>
      <c r="AR431" s="107"/>
      <c r="AS431" s="27"/>
      <c r="AT431" s="58"/>
      <c r="AU431" s="107"/>
    </row>
    <row r="432" spans="1:47" ht="29.25" customHeight="1" x14ac:dyDescent="0.6">
      <c r="A432" s="5">
        <v>141</v>
      </c>
      <c r="B432" s="18" t="s">
        <v>410</v>
      </c>
      <c r="C432" s="18"/>
      <c r="D432" s="14" t="s">
        <v>370</v>
      </c>
      <c r="E432" s="15" t="s">
        <v>222</v>
      </c>
      <c r="F432" s="14" t="s">
        <v>223</v>
      </c>
      <c r="G432" s="58" t="s">
        <v>406</v>
      </c>
      <c r="H432" s="19" t="s">
        <v>997</v>
      </c>
      <c r="I432" s="19"/>
      <c r="J432" s="20"/>
      <c r="K432" s="49" t="s">
        <v>407</v>
      </c>
      <c r="L432" s="158">
        <v>0</v>
      </c>
      <c r="M432" s="159">
        <v>0</v>
      </c>
      <c r="N432" s="160">
        <v>0</v>
      </c>
      <c r="O432" s="27"/>
      <c r="P432" s="58"/>
      <c r="Q432" s="104"/>
      <c r="R432" s="27"/>
      <c r="S432" s="58"/>
      <c r="T432" s="98"/>
      <c r="U432" s="27"/>
      <c r="V432" s="58"/>
      <c r="W432" s="12"/>
      <c r="X432" s="27"/>
      <c r="Y432" s="58"/>
      <c r="Z432" s="12"/>
      <c r="AA432" s="27"/>
      <c r="AB432" s="58"/>
      <c r="AC432" s="12"/>
      <c r="AD432" s="27"/>
      <c r="AE432" s="58"/>
      <c r="AF432" s="107"/>
      <c r="AG432" s="27"/>
      <c r="AH432" s="58"/>
      <c r="AI432" s="107"/>
      <c r="AJ432" s="27"/>
      <c r="AK432" s="58"/>
      <c r="AL432" s="107"/>
      <c r="AM432" s="27"/>
      <c r="AN432" s="58"/>
      <c r="AO432" s="107"/>
      <c r="AP432" s="27"/>
      <c r="AQ432" s="58"/>
      <c r="AR432" s="107"/>
      <c r="AS432" s="27"/>
      <c r="AT432" s="58"/>
      <c r="AU432" s="107"/>
    </row>
    <row r="433" spans="1:47" ht="29.25" customHeight="1" x14ac:dyDescent="0.6">
      <c r="A433" s="5">
        <v>142</v>
      </c>
      <c r="B433" s="18" t="s">
        <v>412</v>
      </c>
      <c r="C433" s="18"/>
      <c r="D433" s="21"/>
      <c r="E433" s="20" t="s">
        <v>307</v>
      </c>
      <c r="F433" s="14" t="s">
        <v>308</v>
      </c>
      <c r="G433" s="58" t="s">
        <v>406</v>
      </c>
      <c r="H433" s="19"/>
      <c r="I433" s="19"/>
      <c r="J433" s="20" t="s">
        <v>1131</v>
      </c>
      <c r="K433" s="49" t="s">
        <v>407</v>
      </c>
      <c r="L433" s="158">
        <v>0</v>
      </c>
      <c r="M433" s="159">
        <v>0</v>
      </c>
      <c r="N433" s="160">
        <v>0</v>
      </c>
      <c r="O433" s="27"/>
      <c r="P433" s="58"/>
      <c r="Q433" s="104"/>
      <c r="R433" s="27"/>
      <c r="S433" s="58"/>
      <c r="T433" s="98"/>
      <c r="U433" s="27"/>
      <c r="V433" s="58"/>
      <c r="W433" s="12"/>
      <c r="X433" s="27"/>
      <c r="Y433" s="58"/>
      <c r="Z433" s="12"/>
      <c r="AA433" s="27"/>
      <c r="AB433" s="58"/>
      <c r="AC433" s="12"/>
      <c r="AD433" s="27"/>
      <c r="AE433" s="58"/>
      <c r="AF433" s="107"/>
      <c r="AG433" s="27"/>
      <c r="AH433" s="58"/>
      <c r="AI433" s="107"/>
      <c r="AJ433" s="27"/>
      <c r="AK433" s="58"/>
      <c r="AL433" s="107"/>
      <c r="AM433" s="27"/>
      <c r="AN433" s="58"/>
      <c r="AO433" s="107"/>
      <c r="AP433" s="27"/>
      <c r="AQ433" s="58"/>
      <c r="AR433" s="107"/>
      <c r="AS433" s="27"/>
      <c r="AT433" s="58"/>
      <c r="AU433" s="107"/>
    </row>
    <row r="434" spans="1:47" ht="29.25" customHeight="1" x14ac:dyDescent="0.6">
      <c r="A434" s="5">
        <v>143</v>
      </c>
      <c r="B434" s="18" t="s">
        <v>415</v>
      </c>
      <c r="C434" s="18"/>
      <c r="D434" s="21"/>
      <c r="E434" s="20" t="s">
        <v>263</v>
      </c>
      <c r="F434" s="14" t="s">
        <v>264</v>
      </c>
      <c r="G434" s="58" t="s">
        <v>406</v>
      </c>
      <c r="H434" s="19"/>
      <c r="I434" s="19"/>
      <c r="J434" s="20" t="s">
        <v>1132</v>
      </c>
      <c r="K434" s="49" t="s">
        <v>407</v>
      </c>
      <c r="L434" s="158">
        <v>45</v>
      </c>
      <c r="M434" s="159">
        <v>540</v>
      </c>
      <c r="N434" s="160">
        <v>540</v>
      </c>
      <c r="O434" s="27"/>
      <c r="P434" s="58"/>
      <c r="Q434" s="104"/>
      <c r="R434" s="27"/>
      <c r="S434" s="58"/>
      <c r="T434" s="98"/>
      <c r="U434" s="27"/>
      <c r="V434" s="58"/>
      <c r="W434" s="12"/>
      <c r="X434" s="27"/>
      <c r="Y434" s="58"/>
      <c r="Z434" s="107"/>
      <c r="AA434" s="27"/>
      <c r="AB434" s="58"/>
      <c r="AC434" s="107"/>
      <c r="AD434" s="27"/>
      <c r="AE434" s="58"/>
      <c r="AF434" s="107"/>
      <c r="AG434" s="27"/>
      <c r="AH434" s="58"/>
      <c r="AI434" s="107"/>
      <c r="AJ434" s="27"/>
      <c r="AK434" s="58"/>
      <c r="AL434" s="107"/>
      <c r="AM434" s="27"/>
      <c r="AN434" s="58"/>
      <c r="AO434" s="107"/>
      <c r="AP434" s="27"/>
      <c r="AQ434" s="58"/>
      <c r="AR434" s="107"/>
      <c r="AS434" s="27"/>
      <c r="AT434" s="58"/>
      <c r="AU434" s="107"/>
    </row>
    <row r="435" spans="1:47" ht="29.25" customHeight="1" x14ac:dyDescent="0.6">
      <c r="A435" s="5">
        <v>144</v>
      </c>
      <c r="B435" s="18" t="s">
        <v>417</v>
      </c>
      <c r="C435" s="18"/>
      <c r="D435" s="21" t="s">
        <v>374</v>
      </c>
      <c r="E435" s="20" t="s">
        <v>41</v>
      </c>
      <c r="F435" s="23" t="s">
        <v>42</v>
      </c>
      <c r="G435" s="58" t="s">
        <v>406</v>
      </c>
      <c r="H435" s="19"/>
      <c r="I435" s="19"/>
      <c r="J435" s="20" t="s">
        <v>1133</v>
      </c>
      <c r="K435" s="49" t="s">
        <v>407</v>
      </c>
      <c r="L435" s="158">
        <v>30</v>
      </c>
      <c r="M435" s="159">
        <v>360</v>
      </c>
      <c r="N435" s="160">
        <v>360</v>
      </c>
      <c r="O435" s="27"/>
      <c r="P435" s="58"/>
      <c r="Q435" s="104"/>
      <c r="R435" s="27"/>
      <c r="S435" s="58"/>
      <c r="T435" s="98"/>
      <c r="U435" s="27"/>
      <c r="V435" s="58"/>
      <c r="W435" s="12"/>
      <c r="X435" s="27"/>
      <c r="Y435" s="58"/>
      <c r="Z435" s="12"/>
      <c r="AA435" s="27"/>
      <c r="AB435" s="58"/>
      <c r="AC435" s="12"/>
      <c r="AD435" s="27"/>
      <c r="AE435" s="58"/>
      <c r="AF435" s="107"/>
      <c r="AG435" s="27"/>
      <c r="AH435" s="58"/>
      <c r="AI435" s="107"/>
      <c r="AJ435" s="27"/>
      <c r="AK435" s="58"/>
      <c r="AL435" s="107"/>
      <c r="AM435" s="27"/>
      <c r="AN435" s="58"/>
      <c r="AO435" s="107"/>
      <c r="AP435" s="27"/>
      <c r="AQ435" s="58"/>
      <c r="AR435" s="107"/>
      <c r="AS435" s="27"/>
      <c r="AT435" s="58"/>
      <c r="AU435" s="107"/>
    </row>
    <row r="436" spans="1:47" ht="29.25" customHeight="1" x14ac:dyDescent="0.6">
      <c r="A436" s="5">
        <v>145</v>
      </c>
      <c r="B436" s="18" t="s">
        <v>419</v>
      </c>
      <c r="C436" s="18"/>
      <c r="D436" s="21"/>
      <c r="E436" s="20" t="s">
        <v>82</v>
      </c>
      <c r="F436" s="24" t="s">
        <v>83</v>
      </c>
      <c r="G436" s="58" t="s">
        <v>406</v>
      </c>
      <c r="H436" s="146"/>
      <c r="I436" s="146"/>
      <c r="J436" s="147" t="s">
        <v>1134</v>
      </c>
      <c r="K436" s="49" t="s">
        <v>407</v>
      </c>
      <c r="L436" s="158">
        <v>0</v>
      </c>
      <c r="M436" s="159">
        <v>0</v>
      </c>
      <c r="N436" s="160">
        <v>0</v>
      </c>
      <c r="O436" s="27"/>
      <c r="P436" s="58"/>
      <c r="Q436" s="49"/>
      <c r="R436" s="27"/>
      <c r="S436" s="58"/>
      <c r="T436" s="98"/>
      <c r="U436" s="27"/>
      <c r="V436" s="58"/>
      <c r="W436" s="12"/>
      <c r="X436" s="27"/>
      <c r="Y436" s="58"/>
      <c r="Z436" s="12"/>
      <c r="AA436" s="27"/>
      <c r="AB436" s="58"/>
      <c r="AC436" s="12"/>
      <c r="AD436" s="27"/>
      <c r="AE436" s="58"/>
      <c r="AF436" s="107"/>
      <c r="AG436" s="27"/>
      <c r="AH436" s="58"/>
      <c r="AI436" s="107"/>
      <c r="AJ436" s="27"/>
      <c r="AK436" s="58"/>
      <c r="AL436" s="107"/>
      <c r="AM436" s="27"/>
      <c r="AN436" s="58"/>
      <c r="AO436" s="107"/>
      <c r="AP436" s="27"/>
      <c r="AQ436" s="58"/>
      <c r="AR436" s="107"/>
      <c r="AS436" s="27"/>
      <c r="AT436" s="58"/>
      <c r="AU436" s="107"/>
    </row>
    <row r="437" spans="1:47" ht="29.25" customHeight="1" x14ac:dyDescent="0.6">
      <c r="A437" s="5">
        <v>146</v>
      </c>
      <c r="B437" s="18" t="s">
        <v>421</v>
      </c>
      <c r="C437" s="18"/>
      <c r="D437" s="21"/>
      <c r="E437" s="20" t="s">
        <v>82</v>
      </c>
      <c r="F437" s="24" t="s">
        <v>83</v>
      </c>
      <c r="G437" s="58" t="s">
        <v>406</v>
      </c>
      <c r="H437" s="146"/>
      <c r="I437" s="146"/>
      <c r="J437" s="147" t="s">
        <v>1135</v>
      </c>
      <c r="K437" s="49" t="s">
        <v>407</v>
      </c>
      <c r="L437" s="158">
        <v>15</v>
      </c>
      <c r="M437" s="159">
        <v>180</v>
      </c>
      <c r="N437" s="160">
        <v>180</v>
      </c>
      <c r="O437" s="27"/>
      <c r="P437" s="58"/>
      <c r="Q437" s="49"/>
      <c r="R437" s="27"/>
      <c r="S437" s="58"/>
      <c r="T437" s="98"/>
      <c r="U437" s="27"/>
      <c r="V437" s="58"/>
      <c r="W437" s="12"/>
      <c r="X437" s="27"/>
      <c r="Y437" s="58"/>
      <c r="Z437" s="12"/>
      <c r="AA437" s="27"/>
      <c r="AB437" s="58"/>
      <c r="AC437" s="12"/>
      <c r="AD437" s="27"/>
      <c r="AE437" s="58"/>
      <c r="AF437" s="107"/>
      <c r="AG437" s="27"/>
      <c r="AH437" s="58"/>
      <c r="AI437" s="107"/>
      <c r="AJ437" s="27"/>
      <c r="AK437" s="58"/>
      <c r="AL437" s="107"/>
      <c r="AM437" s="27"/>
      <c r="AN437" s="58"/>
      <c r="AO437" s="107"/>
      <c r="AP437" s="27"/>
      <c r="AQ437" s="58"/>
      <c r="AR437" s="107"/>
      <c r="AS437" s="27"/>
      <c r="AT437" s="58"/>
      <c r="AU437" s="107"/>
    </row>
    <row r="438" spans="1:47" ht="29.25" customHeight="1" x14ac:dyDescent="0.6">
      <c r="A438" s="5">
        <v>147</v>
      </c>
      <c r="B438" s="18" t="s">
        <v>423</v>
      </c>
      <c r="C438" s="18"/>
      <c r="D438" s="21"/>
      <c r="E438" s="20" t="s">
        <v>263</v>
      </c>
      <c r="F438" s="14" t="s">
        <v>264</v>
      </c>
      <c r="G438" s="58" t="s">
        <v>406</v>
      </c>
      <c r="H438" s="146"/>
      <c r="I438" s="146"/>
      <c r="J438" s="147" t="s">
        <v>1136</v>
      </c>
      <c r="K438" s="49" t="s">
        <v>407</v>
      </c>
      <c r="L438" s="158">
        <v>37</v>
      </c>
      <c r="M438" s="159">
        <v>500</v>
      </c>
      <c r="N438" s="160">
        <v>448</v>
      </c>
      <c r="O438" s="27"/>
      <c r="P438" s="58"/>
      <c r="Q438" s="49"/>
      <c r="R438" s="27"/>
      <c r="S438" s="58"/>
      <c r="T438" s="98"/>
      <c r="U438" s="27"/>
      <c r="V438" s="58"/>
      <c r="W438" s="107"/>
      <c r="X438" s="27"/>
      <c r="Y438" s="58"/>
      <c r="Z438" s="12"/>
      <c r="AA438" s="27"/>
      <c r="AB438" s="58"/>
      <c r="AC438" s="12"/>
      <c r="AD438" s="27"/>
      <c r="AE438" s="58"/>
      <c r="AF438" s="107"/>
      <c r="AG438" s="27"/>
      <c r="AH438" s="58"/>
      <c r="AI438" s="107"/>
      <c r="AJ438" s="27"/>
      <c r="AK438" s="58"/>
      <c r="AL438" s="107"/>
      <c r="AM438" s="27"/>
      <c r="AN438" s="58"/>
      <c r="AO438" s="107"/>
      <c r="AP438" s="27"/>
      <c r="AQ438" s="58"/>
      <c r="AR438" s="107"/>
      <c r="AS438" s="27"/>
      <c r="AT438" s="58"/>
      <c r="AU438" s="107"/>
    </row>
    <row r="439" spans="1:47" ht="29.25" customHeight="1" x14ac:dyDescent="0.6">
      <c r="A439" s="5">
        <v>148</v>
      </c>
      <c r="B439" s="18" t="s">
        <v>425</v>
      </c>
      <c r="C439" s="18"/>
      <c r="D439" s="21"/>
      <c r="E439" s="20" t="s">
        <v>359</v>
      </c>
      <c r="F439" s="132" t="s">
        <v>76</v>
      </c>
      <c r="G439" s="58" t="s">
        <v>406</v>
      </c>
      <c r="H439" s="146"/>
      <c r="I439" s="146"/>
      <c r="J439" s="147" t="s">
        <v>1137</v>
      </c>
      <c r="K439" s="49" t="s">
        <v>407</v>
      </c>
      <c r="L439" s="158">
        <v>0</v>
      </c>
      <c r="M439" s="159">
        <v>0</v>
      </c>
      <c r="N439" s="160">
        <v>0</v>
      </c>
      <c r="O439" s="27"/>
      <c r="P439" s="58"/>
      <c r="Q439" s="49"/>
      <c r="R439" s="27"/>
      <c r="S439" s="58"/>
      <c r="T439" s="98"/>
      <c r="U439" s="27"/>
      <c r="V439" s="58"/>
      <c r="W439" s="12"/>
      <c r="X439" s="27"/>
      <c r="Y439" s="58"/>
      <c r="Z439" s="107"/>
      <c r="AA439" s="27"/>
      <c r="AB439" s="58"/>
      <c r="AC439" s="12"/>
      <c r="AD439" s="27"/>
      <c r="AE439" s="58"/>
      <c r="AF439" s="107"/>
      <c r="AG439" s="27"/>
      <c r="AH439" s="58"/>
      <c r="AI439" s="107"/>
      <c r="AJ439" s="27"/>
      <c r="AK439" s="58"/>
      <c r="AL439" s="107"/>
      <c r="AM439" s="27"/>
      <c r="AN439" s="58"/>
      <c r="AO439" s="107"/>
      <c r="AP439" s="27"/>
      <c r="AQ439" s="58"/>
      <c r="AR439" s="107"/>
      <c r="AS439" s="27"/>
      <c r="AT439" s="58"/>
      <c r="AU439" s="107"/>
    </row>
    <row r="440" spans="1:47" ht="29.25" customHeight="1" x14ac:dyDescent="0.6">
      <c r="A440" s="5">
        <v>149</v>
      </c>
      <c r="B440" s="18">
        <v>494</v>
      </c>
      <c r="C440" s="18"/>
      <c r="D440" s="21"/>
      <c r="E440" s="20" t="s">
        <v>359</v>
      </c>
      <c r="F440" s="132" t="s">
        <v>76</v>
      </c>
      <c r="G440" s="58" t="s">
        <v>406</v>
      </c>
      <c r="H440" s="146"/>
      <c r="I440" s="146"/>
      <c r="J440" s="147"/>
      <c r="K440" s="49" t="s">
        <v>407</v>
      </c>
      <c r="L440" s="158">
        <v>5</v>
      </c>
      <c r="M440" s="159">
        <v>122</v>
      </c>
      <c r="N440" s="160">
        <v>54.88</v>
      </c>
      <c r="O440" s="27"/>
      <c r="P440" s="58"/>
      <c r="Q440" s="49"/>
      <c r="R440" s="27"/>
      <c r="S440" s="58"/>
      <c r="T440" s="98"/>
      <c r="U440" s="27"/>
      <c r="V440" s="58"/>
      <c r="W440" s="12"/>
      <c r="X440" s="27"/>
      <c r="Y440" s="58"/>
      <c r="Z440" s="12"/>
      <c r="AA440" s="27"/>
      <c r="AB440" s="58"/>
      <c r="AC440" s="12"/>
      <c r="AD440" s="27"/>
      <c r="AE440" s="58"/>
      <c r="AF440" s="107"/>
      <c r="AG440" s="27"/>
      <c r="AH440" s="58"/>
      <c r="AI440" s="107"/>
      <c r="AJ440" s="27"/>
      <c r="AK440" s="58"/>
      <c r="AL440" s="107"/>
      <c r="AM440" s="27"/>
      <c r="AN440" s="58"/>
      <c r="AO440" s="107"/>
      <c r="AP440" s="27"/>
      <c r="AQ440" s="58"/>
      <c r="AR440" s="107"/>
      <c r="AS440" s="27"/>
      <c r="AT440" s="58"/>
      <c r="AU440" s="107"/>
    </row>
    <row r="441" spans="1:47" ht="29.25" customHeight="1" x14ac:dyDescent="0.6">
      <c r="A441" s="5">
        <v>150</v>
      </c>
      <c r="B441" s="18" t="s">
        <v>427</v>
      </c>
      <c r="C441" s="18"/>
      <c r="D441" s="21"/>
      <c r="E441" s="20" t="s">
        <v>359</v>
      </c>
      <c r="F441" s="132" t="s">
        <v>76</v>
      </c>
      <c r="G441" s="110" t="s">
        <v>406</v>
      </c>
      <c r="H441" s="146"/>
      <c r="I441" s="146"/>
      <c r="J441" s="147" t="s">
        <v>1138</v>
      </c>
      <c r="K441" s="49" t="s">
        <v>407</v>
      </c>
      <c r="L441" s="158">
        <v>45</v>
      </c>
      <c r="M441" s="159">
        <v>960</v>
      </c>
      <c r="N441" s="160">
        <v>570</v>
      </c>
      <c r="O441" s="27"/>
      <c r="P441" s="58"/>
      <c r="Q441" s="49"/>
      <c r="R441" s="27"/>
      <c r="S441" s="58"/>
      <c r="T441" s="98"/>
      <c r="U441" s="27"/>
      <c r="V441" s="58"/>
      <c r="W441" s="12"/>
      <c r="X441" s="27"/>
      <c r="Y441" s="58"/>
      <c r="Z441" s="12"/>
      <c r="AA441" s="27"/>
      <c r="AB441" s="58"/>
      <c r="AC441" s="12"/>
      <c r="AD441" s="27"/>
      <c r="AE441" s="58"/>
      <c r="AF441" s="107"/>
      <c r="AG441" s="27"/>
      <c r="AH441" s="58"/>
      <c r="AI441" s="107"/>
      <c r="AJ441" s="27"/>
      <c r="AK441" s="58"/>
      <c r="AL441" s="107"/>
      <c r="AM441" s="27"/>
      <c r="AN441" s="58"/>
      <c r="AO441" s="107"/>
      <c r="AP441" s="27"/>
      <c r="AQ441" s="58"/>
      <c r="AR441" s="107"/>
      <c r="AS441" s="27"/>
      <c r="AT441" s="58"/>
      <c r="AU441" s="107"/>
    </row>
    <row r="442" spans="1:47" ht="29.25" customHeight="1" x14ac:dyDescent="0.6">
      <c r="A442" s="5">
        <v>151</v>
      </c>
      <c r="B442" s="18" t="s">
        <v>428</v>
      </c>
      <c r="C442" s="18"/>
      <c r="D442" s="21"/>
      <c r="E442" s="20" t="s">
        <v>359</v>
      </c>
      <c r="F442" s="132" t="s">
        <v>76</v>
      </c>
      <c r="G442" s="58" t="s">
        <v>406</v>
      </c>
      <c r="H442" s="146"/>
      <c r="I442" s="146"/>
      <c r="J442" s="147" t="s">
        <v>1139</v>
      </c>
      <c r="K442" s="49" t="s">
        <v>407</v>
      </c>
      <c r="L442" s="158">
        <v>30</v>
      </c>
      <c r="M442" s="159">
        <v>780</v>
      </c>
      <c r="N442" s="160">
        <v>390</v>
      </c>
      <c r="O442" s="27"/>
      <c r="P442" s="58"/>
      <c r="Q442" s="49"/>
      <c r="R442" s="27"/>
      <c r="S442" s="58"/>
      <c r="T442" s="98"/>
      <c r="U442" s="27"/>
      <c r="V442" s="58"/>
      <c r="W442" s="12"/>
      <c r="X442" s="27"/>
      <c r="Y442" s="58"/>
      <c r="Z442" s="12"/>
      <c r="AA442" s="27"/>
      <c r="AB442" s="58"/>
      <c r="AC442" s="12"/>
      <c r="AD442" s="27"/>
      <c r="AE442" s="58"/>
      <c r="AF442" s="107"/>
      <c r="AG442" s="27"/>
      <c r="AH442" s="58"/>
      <c r="AI442" s="107"/>
      <c r="AJ442" s="27"/>
      <c r="AK442" s="58"/>
      <c r="AL442" s="107"/>
      <c r="AM442" s="27"/>
      <c r="AN442" s="58"/>
      <c r="AO442" s="107"/>
      <c r="AP442" s="27"/>
      <c r="AQ442" s="58"/>
      <c r="AR442" s="107"/>
      <c r="AS442" s="27"/>
      <c r="AT442" s="58"/>
      <c r="AU442" s="107"/>
    </row>
    <row r="443" spans="1:47" ht="29.25" customHeight="1" x14ac:dyDescent="0.6">
      <c r="A443" s="5">
        <v>152</v>
      </c>
      <c r="B443" s="18" t="s">
        <v>431</v>
      </c>
      <c r="C443" s="18"/>
      <c r="D443" s="18" t="s">
        <v>376</v>
      </c>
      <c r="E443" s="18" t="s">
        <v>49</v>
      </c>
      <c r="F443" s="23" t="s">
        <v>50</v>
      </c>
      <c r="G443" s="110" t="s">
        <v>406</v>
      </c>
      <c r="H443" s="123"/>
      <c r="I443" s="123"/>
      <c r="J443" s="123" t="s">
        <v>1000</v>
      </c>
      <c r="K443" s="49" t="s">
        <v>407</v>
      </c>
      <c r="L443" s="158">
        <v>360</v>
      </c>
      <c r="M443" s="159">
        <v>5460</v>
      </c>
      <c r="N443" s="160">
        <v>3732</v>
      </c>
      <c r="O443" s="27"/>
      <c r="P443" s="58"/>
      <c r="Q443" s="49"/>
      <c r="R443" s="27"/>
      <c r="S443" s="58"/>
      <c r="T443" s="98"/>
      <c r="U443" s="27"/>
      <c r="V443" s="58"/>
      <c r="W443" s="12"/>
      <c r="X443" s="27"/>
      <c r="Y443" s="58"/>
      <c r="Z443" s="12"/>
      <c r="AA443" s="27"/>
      <c r="AB443" s="58"/>
      <c r="AC443" s="12"/>
      <c r="AD443" s="27"/>
      <c r="AE443" s="58"/>
      <c r="AF443" s="107"/>
      <c r="AG443" s="27"/>
      <c r="AH443" s="58"/>
      <c r="AI443" s="107"/>
      <c r="AJ443" s="27"/>
      <c r="AK443" s="58"/>
      <c r="AL443" s="107"/>
      <c r="AM443" s="27"/>
      <c r="AN443" s="58"/>
      <c r="AO443" s="107"/>
      <c r="AP443" s="27"/>
      <c r="AQ443" s="58"/>
      <c r="AR443" s="107"/>
      <c r="AS443" s="27"/>
      <c r="AT443" s="58"/>
      <c r="AU443" s="107"/>
    </row>
    <row r="444" spans="1:47" ht="29.25" customHeight="1" x14ac:dyDescent="0.6">
      <c r="A444" s="5">
        <v>153</v>
      </c>
      <c r="B444" s="18" t="s">
        <v>364</v>
      </c>
      <c r="C444" s="18"/>
      <c r="D444" s="18" t="s">
        <v>380</v>
      </c>
      <c r="E444" s="18" t="s">
        <v>49</v>
      </c>
      <c r="F444" s="23" t="s">
        <v>50</v>
      </c>
      <c r="G444" s="110" t="s">
        <v>406</v>
      </c>
      <c r="H444" s="123"/>
      <c r="I444" s="123"/>
      <c r="J444" s="123" t="s">
        <v>1001</v>
      </c>
      <c r="K444" s="49" t="s">
        <v>407</v>
      </c>
      <c r="L444" s="158">
        <v>0</v>
      </c>
      <c r="M444" s="159">
        <v>0</v>
      </c>
      <c r="N444" s="160">
        <v>0</v>
      </c>
      <c r="O444" s="27"/>
      <c r="P444" s="58"/>
      <c r="Q444" s="49"/>
      <c r="R444" s="27"/>
      <c r="S444" s="58"/>
      <c r="T444" s="98"/>
      <c r="U444" s="27"/>
      <c r="V444" s="58"/>
      <c r="W444" s="12"/>
      <c r="X444" s="27"/>
      <c r="Y444" s="58"/>
      <c r="Z444" s="12"/>
      <c r="AA444" s="27"/>
      <c r="AB444" s="58"/>
      <c r="AC444" s="12"/>
      <c r="AD444" s="27"/>
      <c r="AE444" s="58"/>
      <c r="AF444" s="107"/>
      <c r="AG444" s="27"/>
      <c r="AH444" s="58"/>
      <c r="AI444" s="107"/>
      <c r="AJ444" s="27"/>
      <c r="AK444" s="58"/>
      <c r="AL444" s="107"/>
      <c r="AM444" s="27"/>
      <c r="AN444" s="58"/>
      <c r="AO444" s="107"/>
      <c r="AP444" s="27"/>
      <c r="AQ444" s="58"/>
      <c r="AR444" s="107"/>
      <c r="AS444" s="27"/>
      <c r="AT444" s="58"/>
      <c r="AU444" s="107"/>
    </row>
    <row r="445" spans="1:47" ht="29.25" customHeight="1" x14ac:dyDescent="0.6">
      <c r="A445" s="5">
        <v>154</v>
      </c>
      <c r="B445" s="18" t="s">
        <v>360</v>
      </c>
      <c r="C445" s="18"/>
      <c r="D445" s="18" t="s">
        <v>382</v>
      </c>
      <c r="E445" s="18" t="s">
        <v>383</v>
      </c>
      <c r="F445" s="23" t="s">
        <v>384</v>
      </c>
      <c r="G445" s="110" t="s">
        <v>406</v>
      </c>
      <c r="H445" s="123"/>
      <c r="I445" s="123"/>
      <c r="J445" s="123" t="s">
        <v>1002</v>
      </c>
      <c r="K445" s="49" t="s">
        <v>407</v>
      </c>
      <c r="L445" s="158">
        <v>50</v>
      </c>
      <c r="M445" s="159">
        <v>700</v>
      </c>
      <c r="N445" s="160">
        <v>448</v>
      </c>
      <c r="O445" s="27"/>
      <c r="P445" s="58"/>
      <c r="Q445" s="49"/>
      <c r="R445" s="27"/>
      <c r="S445" s="58"/>
      <c r="T445" s="98"/>
      <c r="U445" s="27"/>
      <c r="V445" s="58"/>
      <c r="W445" s="12"/>
      <c r="X445" s="27"/>
      <c r="Y445" s="58"/>
      <c r="Z445" s="12"/>
      <c r="AA445" s="27"/>
      <c r="AB445" s="58"/>
      <c r="AC445" s="12"/>
      <c r="AD445" s="27"/>
      <c r="AE445" s="58"/>
      <c r="AF445" s="107"/>
      <c r="AG445" s="27"/>
      <c r="AH445" s="58"/>
      <c r="AI445" s="107"/>
      <c r="AJ445" s="27"/>
      <c r="AK445" s="58"/>
      <c r="AL445" s="107"/>
      <c r="AM445" s="27"/>
      <c r="AN445" s="58"/>
      <c r="AO445" s="107"/>
      <c r="AP445" s="27"/>
      <c r="AQ445" s="58"/>
      <c r="AR445" s="107"/>
      <c r="AS445" s="27"/>
      <c r="AT445" s="58"/>
      <c r="AU445" s="107"/>
    </row>
    <row r="446" spans="1:47" ht="29.25" customHeight="1" x14ac:dyDescent="0.6">
      <c r="A446" s="5">
        <v>155</v>
      </c>
      <c r="B446" s="18" t="s">
        <v>362</v>
      </c>
      <c r="C446" s="18"/>
      <c r="D446" s="18" t="s">
        <v>386</v>
      </c>
      <c r="E446" s="18" t="s">
        <v>49</v>
      </c>
      <c r="F446" s="23" t="s">
        <v>50</v>
      </c>
      <c r="G446" s="110" t="s">
        <v>406</v>
      </c>
      <c r="H446" s="123"/>
      <c r="I446" s="123"/>
      <c r="J446" s="123" t="s">
        <v>1003</v>
      </c>
      <c r="K446" s="49" t="s">
        <v>407</v>
      </c>
      <c r="L446" s="158">
        <v>30</v>
      </c>
      <c r="M446" s="159">
        <v>464</v>
      </c>
      <c r="N446" s="160">
        <v>302</v>
      </c>
      <c r="O446" s="27"/>
      <c r="P446" s="58"/>
      <c r="Q446" s="49"/>
      <c r="R446" s="27"/>
      <c r="S446" s="58"/>
      <c r="T446" s="98"/>
      <c r="U446" s="27"/>
      <c r="V446" s="58"/>
      <c r="W446" s="12"/>
      <c r="X446" s="27"/>
      <c r="Y446" s="58"/>
      <c r="Z446" s="12"/>
      <c r="AA446" s="27"/>
      <c r="AB446" s="58"/>
      <c r="AC446" s="12"/>
      <c r="AD446" s="27"/>
      <c r="AE446" s="58"/>
      <c r="AF446" s="107"/>
      <c r="AG446" s="27"/>
      <c r="AH446" s="58"/>
      <c r="AI446" s="107"/>
      <c r="AJ446" s="27"/>
      <c r="AK446" s="58"/>
      <c r="AL446" s="107"/>
      <c r="AM446" s="27"/>
      <c r="AN446" s="58"/>
      <c r="AO446" s="107"/>
      <c r="AP446" s="27"/>
      <c r="AQ446" s="58"/>
      <c r="AR446" s="107"/>
      <c r="AS446" s="27"/>
      <c r="AT446" s="58"/>
      <c r="AU446" s="107"/>
    </row>
    <row r="447" spans="1:47" ht="29.25" customHeight="1" x14ac:dyDescent="0.6">
      <c r="A447" s="5">
        <v>156</v>
      </c>
      <c r="B447" s="18" t="s">
        <v>433</v>
      </c>
      <c r="C447" s="18"/>
      <c r="D447" s="18" t="s">
        <v>388</v>
      </c>
      <c r="E447" s="18" t="s">
        <v>49</v>
      </c>
      <c r="F447" s="23" t="s">
        <v>50</v>
      </c>
      <c r="G447" s="58" t="s">
        <v>435</v>
      </c>
      <c r="H447" s="123"/>
      <c r="I447" s="123"/>
      <c r="J447" s="123" t="s">
        <v>1004</v>
      </c>
      <c r="K447" s="49" t="s">
        <v>436</v>
      </c>
      <c r="L447" s="158">
        <v>37</v>
      </c>
      <c r="M447" s="159">
        <v>472</v>
      </c>
      <c r="N447" s="160">
        <v>442.15999999999997</v>
      </c>
      <c r="O447" s="27"/>
      <c r="P447" s="58"/>
      <c r="Q447" s="49"/>
      <c r="R447" s="27"/>
      <c r="S447" s="58"/>
      <c r="T447" s="98"/>
      <c r="U447" s="27"/>
      <c r="V447" s="58"/>
      <c r="W447" s="12"/>
      <c r="X447" s="27"/>
      <c r="Y447" s="58"/>
      <c r="Z447" s="12"/>
      <c r="AA447" s="27"/>
      <c r="AB447" s="58"/>
      <c r="AC447" s="12"/>
      <c r="AD447" s="27"/>
      <c r="AE447" s="58"/>
      <c r="AF447" s="107"/>
      <c r="AG447" s="27"/>
      <c r="AH447" s="58"/>
      <c r="AI447" s="107"/>
      <c r="AJ447" s="27"/>
      <c r="AK447" s="58"/>
      <c r="AL447" s="107"/>
      <c r="AM447" s="27"/>
      <c r="AN447" s="58"/>
      <c r="AO447" s="107"/>
      <c r="AP447" s="27"/>
      <c r="AQ447" s="58"/>
      <c r="AR447" s="12"/>
      <c r="AS447" s="27"/>
      <c r="AT447" s="58"/>
      <c r="AU447" s="107"/>
    </row>
    <row r="448" spans="1:47" ht="29.25" customHeight="1" x14ac:dyDescent="0.6">
      <c r="A448" s="5">
        <v>157</v>
      </c>
      <c r="B448" s="18" t="s">
        <v>437</v>
      </c>
      <c r="C448" s="18"/>
      <c r="D448" s="18" t="s">
        <v>390</v>
      </c>
      <c r="E448" s="18" t="s">
        <v>49</v>
      </c>
      <c r="F448" s="23" t="s">
        <v>50</v>
      </c>
      <c r="G448" s="58" t="s">
        <v>435</v>
      </c>
      <c r="H448" s="123"/>
      <c r="I448" s="123"/>
      <c r="J448" s="123" t="s">
        <v>1005</v>
      </c>
      <c r="K448" s="49" t="s">
        <v>436</v>
      </c>
      <c r="L448" s="158">
        <v>35</v>
      </c>
      <c r="M448" s="159">
        <v>840</v>
      </c>
      <c r="N448" s="160">
        <v>450</v>
      </c>
      <c r="O448" s="27"/>
      <c r="P448" s="58"/>
      <c r="Q448" s="49"/>
      <c r="R448" s="27"/>
      <c r="S448" s="58"/>
      <c r="T448" s="98"/>
      <c r="U448" s="27"/>
      <c r="V448" s="58"/>
      <c r="W448" s="12"/>
      <c r="X448" s="27"/>
      <c r="Y448" s="58"/>
      <c r="Z448" s="12"/>
      <c r="AA448" s="27"/>
      <c r="AB448" s="58"/>
      <c r="AC448" s="12"/>
      <c r="AD448" s="27"/>
      <c r="AE448" s="58"/>
      <c r="AF448" s="107"/>
      <c r="AG448" s="27"/>
      <c r="AH448" s="58"/>
      <c r="AI448" s="107"/>
      <c r="AJ448" s="27"/>
      <c r="AK448" s="58"/>
      <c r="AL448" s="107"/>
      <c r="AM448" s="27"/>
      <c r="AN448" s="58"/>
      <c r="AO448" s="107"/>
      <c r="AP448" s="27"/>
      <c r="AQ448" s="58"/>
      <c r="AR448" s="12"/>
      <c r="AS448" s="27"/>
      <c r="AT448" s="58"/>
      <c r="AU448" s="107"/>
    </row>
    <row r="449" spans="1:47" ht="29.25" customHeight="1" x14ac:dyDescent="0.6">
      <c r="A449" s="5">
        <v>158</v>
      </c>
      <c r="B449" s="18" t="s">
        <v>440</v>
      </c>
      <c r="C449" s="18"/>
      <c r="D449" s="18" t="s">
        <v>392</v>
      </c>
      <c r="E449" s="18" t="s">
        <v>49</v>
      </c>
      <c r="F449" s="23" t="s">
        <v>50</v>
      </c>
      <c r="G449" s="58" t="s">
        <v>435</v>
      </c>
      <c r="H449" s="123"/>
      <c r="I449" s="123"/>
      <c r="J449" s="123" t="s">
        <v>1006</v>
      </c>
      <c r="K449" s="49" t="s">
        <v>436</v>
      </c>
      <c r="L449" s="158">
        <v>30</v>
      </c>
      <c r="M449" s="159">
        <v>360</v>
      </c>
      <c r="N449" s="160">
        <v>360</v>
      </c>
      <c r="O449" s="27"/>
      <c r="P449" s="58"/>
      <c r="Q449" s="49"/>
      <c r="R449" s="27"/>
      <c r="S449" s="58"/>
      <c r="T449" s="98"/>
      <c r="U449" s="27"/>
      <c r="V449" s="58"/>
      <c r="W449" s="12"/>
      <c r="X449" s="27"/>
      <c r="Y449" s="58"/>
      <c r="Z449" s="12"/>
      <c r="AA449" s="27"/>
      <c r="AB449" s="58"/>
      <c r="AC449" s="12"/>
      <c r="AD449" s="27"/>
      <c r="AE449" s="58"/>
      <c r="AF449" s="107"/>
      <c r="AG449" s="27"/>
      <c r="AH449" s="58"/>
      <c r="AI449" s="107"/>
      <c r="AJ449" s="27"/>
      <c r="AK449" s="58"/>
      <c r="AL449" s="107"/>
      <c r="AM449" s="27"/>
      <c r="AN449" s="58"/>
      <c r="AO449" s="107"/>
      <c r="AP449" s="27"/>
      <c r="AQ449" s="58"/>
      <c r="AR449" s="12"/>
      <c r="AS449" s="27"/>
      <c r="AT449" s="58"/>
      <c r="AU449" s="107"/>
    </row>
    <row r="450" spans="1:47" ht="29.25" customHeight="1" x14ac:dyDescent="0.6">
      <c r="A450" s="5">
        <v>159</v>
      </c>
      <c r="B450" s="18" t="s">
        <v>441</v>
      </c>
      <c r="C450" s="18"/>
      <c r="D450" s="18" t="s">
        <v>394</v>
      </c>
      <c r="E450" s="18" t="s">
        <v>49</v>
      </c>
      <c r="F450" s="23" t="s">
        <v>50</v>
      </c>
      <c r="G450" s="58" t="s">
        <v>435</v>
      </c>
      <c r="H450" s="123" t="s">
        <v>393</v>
      </c>
      <c r="I450" s="123" t="s">
        <v>394</v>
      </c>
      <c r="J450" s="123" t="s">
        <v>1007</v>
      </c>
      <c r="K450" s="49" t="s">
        <v>436</v>
      </c>
      <c r="L450" s="158">
        <v>39</v>
      </c>
      <c r="M450" s="159">
        <v>524</v>
      </c>
      <c r="N450" s="160">
        <v>462.4</v>
      </c>
      <c r="O450" s="27"/>
      <c r="P450" s="58"/>
      <c r="Q450" s="49"/>
      <c r="R450" s="27"/>
      <c r="S450" s="58"/>
      <c r="T450" s="98"/>
      <c r="U450" s="27"/>
      <c r="V450" s="58"/>
      <c r="W450" s="12"/>
      <c r="X450" s="27"/>
      <c r="Y450" s="58"/>
      <c r="Z450" s="12"/>
      <c r="AA450" s="27"/>
      <c r="AB450" s="58"/>
      <c r="AC450" s="12"/>
      <c r="AD450" s="27"/>
      <c r="AE450" s="58"/>
      <c r="AF450" s="107"/>
      <c r="AG450" s="27"/>
      <c r="AH450" s="58"/>
      <c r="AI450" s="107"/>
      <c r="AJ450" s="27"/>
      <c r="AK450" s="58"/>
      <c r="AL450" s="107"/>
      <c r="AM450" s="27"/>
      <c r="AN450" s="58"/>
      <c r="AO450" s="107"/>
      <c r="AP450" s="27"/>
      <c r="AQ450" s="58"/>
      <c r="AR450" s="12"/>
      <c r="AS450" s="27"/>
      <c r="AT450" s="58"/>
      <c r="AU450" s="12"/>
    </row>
    <row r="451" spans="1:47" ht="29.25" customHeight="1" x14ac:dyDescent="0.6">
      <c r="A451" s="5">
        <v>160</v>
      </c>
      <c r="B451" s="18" t="s">
        <v>401</v>
      </c>
      <c r="C451" s="18"/>
      <c r="D451" s="18" t="s">
        <v>396</v>
      </c>
      <c r="E451" s="18" t="s">
        <v>49</v>
      </c>
      <c r="F451" s="23" t="s">
        <v>50</v>
      </c>
      <c r="G451" s="58" t="s">
        <v>435</v>
      </c>
      <c r="H451" s="123"/>
      <c r="I451" s="123"/>
      <c r="J451" s="123" t="s">
        <v>1008</v>
      </c>
      <c r="K451" s="49" t="s">
        <v>436</v>
      </c>
      <c r="L451" s="158">
        <v>12</v>
      </c>
      <c r="M451" s="159">
        <v>308</v>
      </c>
      <c r="N451" s="160">
        <v>122.80000000000001</v>
      </c>
      <c r="O451" s="27"/>
      <c r="P451" s="58"/>
      <c r="Q451" s="49"/>
      <c r="R451" s="27"/>
      <c r="S451" s="58"/>
      <c r="T451" s="98"/>
      <c r="U451" s="27"/>
      <c r="V451" s="58"/>
      <c r="W451" s="12"/>
      <c r="X451" s="27"/>
      <c r="Y451" s="58"/>
      <c r="Z451" s="12"/>
      <c r="AA451" s="27"/>
      <c r="AB451" s="58"/>
      <c r="AC451" s="12"/>
      <c r="AD451" s="27"/>
      <c r="AE451" s="58"/>
      <c r="AF451" s="107"/>
      <c r="AG451" s="27"/>
      <c r="AH451" s="58"/>
      <c r="AI451" s="107"/>
      <c r="AJ451" s="27"/>
      <c r="AK451" s="58"/>
      <c r="AL451" s="107"/>
      <c r="AM451" s="27"/>
      <c r="AN451" s="58"/>
      <c r="AO451" s="107"/>
      <c r="AP451" s="27"/>
      <c r="AQ451" s="58"/>
      <c r="AR451" s="12"/>
      <c r="AS451" s="27"/>
      <c r="AT451" s="58"/>
      <c r="AU451" s="12"/>
    </row>
    <row r="452" spans="1:47" ht="29.25" customHeight="1" x14ac:dyDescent="0.6">
      <c r="A452" s="5">
        <v>161</v>
      </c>
      <c r="B452" s="18" t="s">
        <v>445</v>
      </c>
      <c r="C452" s="18"/>
      <c r="D452" s="18" t="s">
        <v>398</v>
      </c>
      <c r="E452" s="18" t="s">
        <v>49</v>
      </c>
      <c r="F452" s="23" t="s">
        <v>50</v>
      </c>
      <c r="G452" s="58" t="s">
        <v>435</v>
      </c>
      <c r="H452" s="123"/>
      <c r="I452" s="123"/>
      <c r="J452" s="123" t="s">
        <v>1009</v>
      </c>
      <c r="K452" s="49" t="s">
        <v>436</v>
      </c>
      <c r="L452" s="158">
        <v>81</v>
      </c>
      <c r="M452" s="159">
        <v>1000</v>
      </c>
      <c r="N452" s="160">
        <v>974</v>
      </c>
      <c r="O452" s="27"/>
      <c r="P452" s="58"/>
      <c r="Q452" s="49"/>
      <c r="R452" s="27"/>
      <c r="S452" s="58"/>
      <c r="T452" s="98"/>
      <c r="U452" s="27"/>
      <c r="V452" s="58"/>
      <c r="W452" s="12"/>
      <c r="X452" s="27"/>
      <c r="Y452" s="58"/>
      <c r="Z452" s="12"/>
      <c r="AA452" s="27"/>
      <c r="AB452" s="58"/>
      <c r="AC452" s="12"/>
      <c r="AD452" s="27"/>
      <c r="AE452" s="58"/>
      <c r="AF452" s="107"/>
      <c r="AG452" s="27"/>
      <c r="AH452" s="58"/>
      <c r="AI452" s="107"/>
      <c r="AJ452" s="27"/>
      <c r="AK452" s="58"/>
      <c r="AL452" s="107"/>
      <c r="AM452" s="27"/>
      <c r="AN452" s="58"/>
      <c r="AO452" s="107"/>
      <c r="AP452" s="27"/>
      <c r="AQ452" s="58"/>
      <c r="AR452" s="12"/>
      <c r="AS452" s="27"/>
      <c r="AT452" s="58"/>
      <c r="AU452" s="12"/>
    </row>
    <row r="453" spans="1:47" ht="29.25" customHeight="1" x14ac:dyDescent="0.6">
      <c r="A453" s="5">
        <v>162</v>
      </c>
      <c r="B453" s="18" t="s">
        <v>446</v>
      </c>
      <c r="C453" s="18"/>
      <c r="D453" s="18" t="s">
        <v>400</v>
      </c>
      <c r="E453" s="18" t="s">
        <v>49</v>
      </c>
      <c r="F453" s="23" t="s">
        <v>50</v>
      </c>
      <c r="G453" s="58" t="s">
        <v>435</v>
      </c>
      <c r="H453" s="123"/>
      <c r="I453" s="123"/>
      <c r="J453" s="123" t="s">
        <v>1010</v>
      </c>
      <c r="K453" s="49" t="s">
        <v>436</v>
      </c>
      <c r="L453" s="158">
        <v>42</v>
      </c>
      <c r="M453" s="159">
        <v>700</v>
      </c>
      <c r="N453" s="160">
        <v>518</v>
      </c>
      <c r="O453" s="27"/>
      <c r="P453" s="58"/>
      <c r="Q453" s="49"/>
      <c r="R453" s="27"/>
      <c r="S453" s="58"/>
      <c r="T453" s="98"/>
      <c r="U453" s="27"/>
      <c r="V453" s="58"/>
      <c r="W453" s="12"/>
      <c r="X453" s="27"/>
      <c r="Y453" s="58"/>
      <c r="Z453" s="12"/>
      <c r="AA453" s="27"/>
      <c r="AB453" s="58"/>
      <c r="AC453" s="12"/>
      <c r="AD453" s="27"/>
      <c r="AE453" s="58"/>
      <c r="AF453" s="107"/>
      <c r="AG453" s="27"/>
      <c r="AH453" s="58"/>
      <c r="AI453" s="107"/>
      <c r="AJ453" s="27"/>
      <c r="AK453" s="58"/>
      <c r="AL453" s="107"/>
      <c r="AM453" s="27"/>
      <c r="AN453" s="58"/>
      <c r="AO453" s="107"/>
      <c r="AP453" s="27"/>
      <c r="AQ453" s="58"/>
      <c r="AR453" s="12"/>
      <c r="AS453" s="27"/>
      <c r="AT453" s="58"/>
      <c r="AU453" s="12"/>
    </row>
    <row r="454" spans="1:47" ht="29.25" customHeight="1" x14ac:dyDescent="0.6">
      <c r="A454" s="5">
        <v>163</v>
      </c>
      <c r="B454" s="18" t="s">
        <v>450</v>
      </c>
      <c r="C454" s="18"/>
      <c r="D454" s="18" t="s">
        <v>402</v>
      </c>
      <c r="E454" s="18" t="s">
        <v>49</v>
      </c>
      <c r="F454" s="23" t="s">
        <v>50</v>
      </c>
      <c r="G454" s="58" t="s">
        <v>435</v>
      </c>
      <c r="H454" s="123"/>
      <c r="I454" s="123"/>
      <c r="J454" s="123" t="s">
        <v>1011</v>
      </c>
      <c r="K454" s="49" t="s">
        <v>436</v>
      </c>
      <c r="L454" s="158">
        <v>27</v>
      </c>
      <c r="M454" s="159">
        <v>324</v>
      </c>
      <c r="N454" s="160">
        <v>324</v>
      </c>
      <c r="O454" s="27"/>
      <c r="P454" s="58"/>
      <c r="Q454" s="49"/>
      <c r="R454" s="27"/>
      <c r="S454" s="58"/>
      <c r="T454" s="98"/>
      <c r="U454" s="27"/>
      <c r="V454" s="58"/>
      <c r="W454" s="12"/>
      <c r="X454" s="27"/>
      <c r="Y454" s="58"/>
      <c r="Z454" s="12"/>
      <c r="AA454" s="27"/>
      <c r="AB454" s="58"/>
      <c r="AC454" s="12"/>
      <c r="AD454" s="27"/>
      <c r="AE454" s="58"/>
      <c r="AF454" s="107"/>
      <c r="AG454" s="27"/>
      <c r="AH454" s="58"/>
      <c r="AI454" s="107"/>
      <c r="AJ454" s="27"/>
      <c r="AK454" s="58"/>
      <c r="AL454" s="107"/>
      <c r="AM454" s="27"/>
      <c r="AN454" s="58"/>
      <c r="AO454" s="107"/>
      <c r="AP454" s="27"/>
      <c r="AQ454" s="58"/>
      <c r="AR454" s="12"/>
      <c r="AS454" s="27"/>
      <c r="AT454" s="58"/>
      <c r="AU454" s="12"/>
    </row>
    <row r="455" spans="1:47" ht="29.25" customHeight="1" x14ac:dyDescent="0.6">
      <c r="A455" s="5">
        <v>164</v>
      </c>
      <c r="B455" s="18" t="s">
        <v>452</v>
      </c>
      <c r="C455" s="18"/>
      <c r="D455" s="18" t="s">
        <v>403</v>
      </c>
      <c r="E455" s="18" t="s">
        <v>49</v>
      </c>
      <c r="F455" s="23" t="s">
        <v>50</v>
      </c>
      <c r="G455" s="58" t="s">
        <v>435</v>
      </c>
      <c r="H455" s="123"/>
      <c r="I455" s="123"/>
      <c r="J455" s="123" t="s">
        <v>1012</v>
      </c>
      <c r="K455" s="49" t="s">
        <v>436</v>
      </c>
      <c r="L455" s="158">
        <v>107</v>
      </c>
      <c r="M455" s="159">
        <v>1736</v>
      </c>
      <c r="N455" s="160">
        <v>1309.92</v>
      </c>
      <c r="O455" s="27"/>
      <c r="P455" s="58"/>
      <c r="Q455" s="49"/>
      <c r="R455" s="27"/>
      <c r="S455" s="58"/>
      <c r="T455" s="98"/>
      <c r="U455" s="27"/>
      <c r="V455" s="58"/>
      <c r="W455" s="12"/>
      <c r="X455" s="27"/>
      <c r="Y455" s="58"/>
      <c r="Z455" s="12"/>
      <c r="AA455" s="27"/>
      <c r="AB455" s="58"/>
      <c r="AC455" s="12"/>
      <c r="AD455" s="27"/>
      <c r="AE455" s="58"/>
      <c r="AF455" s="107"/>
      <c r="AG455" s="27"/>
      <c r="AH455" s="58"/>
      <c r="AI455" s="107"/>
      <c r="AJ455" s="27"/>
      <c r="AK455" s="58"/>
      <c r="AL455" s="107"/>
      <c r="AM455" s="27"/>
      <c r="AN455" s="58"/>
      <c r="AO455" s="107"/>
      <c r="AP455" s="27"/>
      <c r="AQ455" s="58"/>
      <c r="AR455" s="12"/>
      <c r="AS455" s="27"/>
      <c r="AT455" s="58"/>
      <c r="AU455" s="12"/>
    </row>
    <row r="456" spans="1:47" ht="29.25" customHeight="1" x14ac:dyDescent="0.6">
      <c r="A456" s="5">
        <v>165</v>
      </c>
      <c r="B456" s="18" t="s">
        <v>453</v>
      </c>
      <c r="C456" s="18"/>
      <c r="D456" s="18" t="s">
        <v>405</v>
      </c>
      <c r="E456" s="18" t="s">
        <v>363</v>
      </c>
      <c r="F456" s="23" t="s">
        <v>79</v>
      </c>
      <c r="G456" s="58" t="s">
        <v>435</v>
      </c>
      <c r="H456" s="123"/>
      <c r="I456" s="123"/>
      <c r="J456" s="123" t="s">
        <v>1013</v>
      </c>
      <c r="K456" s="49" t="s">
        <v>436</v>
      </c>
      <c r="L456" s="158">
        <v>47</v>
      </c>
      <c r="M456" s="159">
        <v>620</v>
      </c>
      <c r="N456" s="160">
        <v>568</v>
      </c>
      <c r="O456" s="27"/>
      <c r="P456" s="58"/>
      <c r="Q456" s="49"/>
      <c r="R456" s="27"/>
      <c r="S456" s="58"/>
      <c r="T456" s="98"/>
      <c r="U456" s="27"/>
      <c r="V456" s="58"/>
      <c r="W456" s="12"/>
      <c r="X456" s="27"/>
      <c r="Y456" s="58"/>
      <c r="Z456" s="12"/>
      <c r="AA456" s="27"/>
      <c r="AB456" s="58"/>
      <c r="AC456" s="12"/>
      <c r="AD456" s="27"/>
      <c r="AE456" s="58"/>
      <c r="AF456" s="107"/>
      <c r="AG456" s="27"/>
      <c r="AH456" s="58"/>
      <c r="AI456" s="107"/>
      <c r="AJ456" s="27"/>
      <c r="AK456" s="58"/>
      <c r="AL456" s="107"/>
      <c r="AM456" s="27"/>
      <c r="AN456" s="58"/>
      <c r="AO456" s="107"/>
      <c r="AP456" s="27"/>
      <c r="AQ456" s="58"/>
      <c r="AR456" s="12"/>
      <c r="AS456" s="27"/>
      <c r="AT456" s="58"/>
      <c r="AU456" s="12"/>
    </row>
    <row r="457" spans="1:47" ht="29.25" customHeight="1" x14ac:dyDescent="0.6">
      <c r="A457" s="5">
        <v>166</v>
      </c>
      <c r="B457" s="18" t="s">
        <v>455</v>
      </c>
      <c r="C457" s="18"/>
      <c r="D457" s="18" t="s">
        <v>409</v>
      </c>
      <c r="E457" s="18" t="s">
        <v>363</v>
      </c>
      <c r="F457" s="23" t="s">
        <v>79</v>
      </c>
      <c r="G457" s="58" t="s">
        <v>435</v>
      </c>
      <c r="H457" s="123"/>
      <c r="I457" s="123"/>
      <c r="J457" s="123" t="s">
        <v>1014</v>
      </c>
      <c r="K457" s="49" t="s">
        <v>436</v>
      </c>
      <c r="L457" s="158">
        <v>0</v>
      </c>
      <c r="M457" s="159">
        <v>0</v>
      </c>
      <c r="N457" s="160">
        <v>0</v>
      </c>
      <c r="O457" s="27"/>
      <c r="P457" s="58"/>
      <c r="Q457" s="49"/>
      <c r="R457" s="27"/>
      <c r="S457" s="58"/>
      <c r="T457" s="98"/>
      <c r="U457" s="27"/>
      <c r="V457" s="58"/>
      <c r="W457" s="12"/>
      <c r="X457" s="27"/>
      <c r="Y457" s="58"/>
      <c r="Z457" s="12"/>
      <c r="AA457" s="27"/>
      <c r="AB457" s="58"/>
      <c r="AC457" s="12"/>
      <c r="AD457" s="27"/>
      <c r="AE457" s="58"/>
      <c r="AF457" s="107"/>
      <c r="AG457" s="27"/>
      <c r="AH457" s="58"/>
      <c r="AI457" s="107"/>
      <c r="AJ457" s="27"/>
      <c r="AK457" s="58"/>
      <c r="AL457" s="107"/>
      <c r="AM457" s="27"/>
      <c r="AN457" s="58"/>
      <c r="AO457" s="107"/>
      <c r="AP457" s="27"/>
      <c r="AQ457" s="58"/>
      <c r="AR457" s="12"/>
      <c r="AS457" s="27"/>
      <c r="AT457" s="58"/>
      <c r="AU457" s="12"/>
    </row>
    <row r="458" spans="1:47" ht="29.25" customHeight="1" x14ac:dyDescent="0.6">
      <c r="A458" s="5">
        <v>167</v>
      </c>
      <c r="B458" s="18" t="s">
        <v>456</v>
      </c>
      <c r="C458" s="18"/>
      <c r="D458" s="18" t="s">
        <v>411</v>
      </c>
      <c r="E458" s="18" t="s">
        <v>363</v>
      </c>
      <c r="F458" s="23" t="s">
        <v>79</v>
      </c>
      <c r="G458" s="58" t="s">
        <v>435</v>
      </c>
      <c r="H458" s="123"/>
      <c r="I458" s="123"/>
      <c r="J458" s="123" t="s">
        <v>1015</v>
      </c>
      <c r="K458" s="49" t="s">
        <v>436</v>
      </c>
      <c r="L458" s="158">
        <v>35</v>
      </c>
      <c r="M458" s="159">
        <v>420</v>
      </c>
      <c r="N458" s="160">
        <v>420</v>
      </c>
      <c r="O458" s="27"/>
      <c r="P458" s="58"/>
      <c r="Q458" s="49"/>
      <c r="R458" s="27"/>
      <c r="S458" s="58"/>
      <c r="T458" s="98"/>
      <c r="U458" s="27"/>
      <c r="V458" s="58"/>
      <c r="W458" s="12"/>
      <c r="X458" s="27"/>
      <c r="Y458" s="58"/>
      <c r="Z458" s="12"/>
      <c r="AA458" s="27"/>
      <c r="AB458" s="58"/>
      <c r="AC458" s="12"/>
      <c r="AD458" s="27"/>
      <c r="AE458" s="58"/>
      <c r="AF458" s="107"/>
      <c r="AG458" s="27"/>
      <c r="AH458" s="58"/>
      <c r="AI458" s="107"/>
      <c r="AJ458" s="27"/>
      <c r="AK458" s="58"/>
      <c r="AL458" s="107"/>
      <c r="AM458" s="27"/>
      <c r="AN458" s="58"/>
      <c r="AO458" s="107"/>
      <c r="AP458" s="27"/>
      <c r="AQ458" s="58"/>
      <c r="AR458" s="12"/>
      <c r="AS458" s="27"/>
      <c r="AT458" s="58"/>
      <c r="AU458" s="12"/>
    </row>
    <row r="459" spans="1:47" ht="29.25" customHeight="1" x14ac:dyDescent="0.6">
      <c r="A459" s="5">
        <v>168</v>
      </c>
      <c r="B459" s="18" t="s">
        <v>457</v>
      </c>
      <c r="C459" s="18"/>
      <c r="D459" s="18" t="s">
        <v>413</v>
      </c>
      <c r="E459" s="18" t="s">
        <v>82</v>
      </c>
      <c r="F459" s="23" t="s">
        <v>414</v>
      </c>
      <c r="G459" s="58" t="s">
        <v>435</v>
      </c>
      <c r="H459" s="123"/>
      <c r="I459" s="123"/>
      <c r="J459" s="123" t="s">
        <v>1016</v>
      </c>
      <c r="K459" s="49" t="s">
        <v>436</v>
      </c>
      <c r="L459" s="158">
        <v>30</v>
      </c>
      <c r="M459" s="159">
        <v>360</v>
      </c>
      <c r="N459" s="160">
        <v>360</v>
      </c>
      <c r="O459" s="27"/>
      <c r="P459" s="58"/>
      <c r="Q459" s="49"/>
      <c r="R459" s="27"/>
      <c r="S459" s="58"/>
      <c r="T459" s="98"/>
      <c r="U459" s="27"/>
      <c r="V459" s="58"/>
      <c r="W459" s="12"/>
      <c r="X459" s="27"/>
      <c r="Y459" s="58"/>
      <c r="Z459" s="12"/>
      <c r="AA459" s="27"/>
      <c r="AB459" s="58"/>
      <c r="AC459" s="12"/>
      <c r="AD459" s="27"/>
      <c r="AE459" s="58"/>
      <c r="AF459" s="107"/>
      <c r="AG459" s="27"/>
      <c r="AH459" s="58"/>
      <c r="AI459" s="107"/>
      <c r="AJ459" s="27"/>
      <c r="AK459" s="58"/>
      <c r="AL459" s="107"/>
      <c r="AM459" s="27"/>
      <c r="AN459" s="58"/>
      <c r="AO459" s="107"/>
      <c r="AP459" s="27"/>
      <c r="AQ459" s="58"/>
      <c r="AR459" s="12"/>
      <c r="AS459" s="27"/>
      <c r="AT459" s="58"/>
      <c r="AU459" s="12"/>
    </row>
    <row r="460" spans="1:47" ht="29.25" customHeight="1" x14ac:dyDescent="0.6">
      <c r="A460" s="5">
        <v>169</v>
      </c>
      <c r="B460" s="18" t="s">
        <v>458</v>
      </c>
      <c r="C460" s="18"/>
      <c r="D460" s="18" t="s">
        <v>416</v>
      </c>
      <c r="E460" s="18" t="s">
        <v>82</v>
      </c>
      <c r="F460" s="23" t="s">
        <v>414</v>
      </c>
      <c r="G460" s="58" t="s">
        <v>435</v>
      </c>
      <c r="H460" s="123"/>
      <c r="I460" s="123"/>
      <c r="J460" s="123" t="s">
        <v>1017</v>
      </c>
      <c r="K460" s="49" t="s">
        <v>436</v>
      </c>
      <c r="L460" s="158">
        <v>0</v>
      </c>
      <c r="M460" s="159">
        <v>0</v>
      </c>
      <c r="N460" s="160">
        <v>0</v>
      </c>
      <c r="O460" s="27"/>
      <c r="P460" s="58"/>
      <c r="Q460" s="49"/>
      <c r="R460" s="27"/>
      <c r="S460" s="58"/>
      <c r="T460" s="98"/>
      <c r="U460" s="27"/>
      <c r="V460" s="58"/>
      <c r="W460" s="12"/>
      <c r="X460" s="27"/>
      <c r="Y460" s="58"/>
      <c r="Z460" s="12"/>
      <c r="AA460" s="27"/>
      <c r="AB460" s="58"/>
      <c r="AC460" s="12"/>
      <c r="AD460" s="27"/>
      <c r="AE460" s="58"/>
      <c r="AF460" s="107"/>
      <c r="AG460" s="27"/>
      <c r="AH460" s="58"/>
      <c r="AI460" s="107"/>
      <c r="AJ460" s="27"/>
      <c r="AK460" s="58"/>
      <c r="AL460" s="107"/>
      <c r="AM460" s="27"/>
      <c r="AN460" s="58"/>
      <c r="AO460" s="107"/>
      <c r="AP460" s="27"/>
      <c r="AQ460" s="58"/>
      <c r="AR460" s="12"/>
      <c r="AS460" s="27"/>
      <c r="AT460" s="58"/>
      <c r="AU460" s="12"/>
    </row>
    <row r="461" spans="1:47" ht="29.25" customHeight="1" x14ac:dyDescent="0.6">
      <c r="A461" s="5">
        <v>170</v>
      </c>
      <c r="B461" s="18" t="s">
        <v>461</v>
      </c>
      <c r="C461" s="18"/>
      <c r="D461" s="18" t="s">
        <v>418</v>
      </c>
      <c r="E461" s="18" t="s">
        <v>82</v>
      </c>
      <c r="F461" s="23" t="s">
        <v>414</v>
      </c>
      <c r="G461" s="58" t="s">
        <v>435</v>
      </c>
      <c r="H461" s="123"/>
      <c r="I461" s="123"/>
      <c r="J461" s="123" t="s">
        <v>1018</v>
      </c>
      <c r="K461" s="49" t="s">
        <v>436</v>
      </c>
      <c r="L461" s="158">
        <v>94</v>
      </c>
      <c r="M461" s="159">
        <v>1794</v>
      </c>
      <c r="N461" s="160">
        <v>1140.56</v>
      </c>
      <c r="O461" s="27"/>
      <c r="P461" s="58"/>
      <c r="Q461" s="49"/>
      <c r="R461" s="27"/>
      <c r="S461" s="58"/>
      <c r="T461" s="98"/>
      <c r="U461" s="27"/>
      <c r="V461" s="58"/>
      <c r="W461" s="12"/>
      <c r="X461" s="27"/>
      <c r="Y461" s="58"/>
      <c r="Z461" s="12"/>
      <c r="AA461" s="27"/>
      <c r="AB461" s="58"/>
      <c r="AC461" s="12"/>
      <c r="AD461" s="27"/>
      <c r="AE461" s="58"/>
      <c r="AF461" s="107"/>
      <c r="AG461" s="27"/>
      <c r="AH461" s="58"/>
      <c r="AI461" s="107"/>
      <c r="AJ461" s="27"/>
      <c r="AK461" s="58"/>
      <c r="AL461" s="107"/>
      <c r="AM461" s="27"/>
      <c r="AN461" s="58"/>
      <c r="AO461" s="107"/>
      <c r="AP461" s="27"/>
      <c r="AQ461" s="58"/>
      <c r="AR461" s="12"/>
      <c r="AS461" s="27"/>
      <c r="AT461" s="58"/>
      <c r="AU461" s="12"/>
    </row>
    <row r="462" spans="1:47" ht="29.25" customHeight="1" x14ac:dyDescent="0.6">
      <c r="A462" s="5">
        <v>171</v>
      </c>
      <c r="B462" s="18" t="s">
        <v>463</v>
      </c>
      <c r="C462" s="18"/>
      <c r="D462" s="18" t="s">
        <v>420</v>
      </c>
      <c r="E462" s="18" t="s">
        <v>82</v>
      </c>
      <c r="F462" s="23" t="s">
        <v>414</v>
      </c>
      <c r="G462" s="58" t="s">
        <v>435</v>
      </c>
      <c r="H462" s="123"/>
      <c r="I462" s="123"/>
      <c r="J462" s="123" t="s">
        <v>1019</v>
      </c>
      <c r="K462" s="49" t="s">
        <v>436</v>
      </c>
      <c r="L462" s="158">
        <v>31</v>
      </c>
      <c r="M462" s="159">
        <v>400</v>
      </c>
      <c r="N462" s="160">
        <v>374</v>
      </c>
      <c r="O462" s="27"/>
      <c r="P462" s="58"/>
      <c r="Q462" s="49"/>
      <c r="R462" s="27"/>
      <c r="S462" s="58"/>
      <c r="T462" s="98"/>
      <c r="U462" s="27"/>
      <c r="V462" s="58"/>
      <c r="W462" s="12"/>
      <c r="X462" s="27"/>
      <c r="Y462" s="58"/>
      <c r="Z462" s="12"/>
      <c r="AA462" s="27"/>
      <c r="AB462" s="58"/>
      <c r="AC462" s="12"/>
      <c r="AD462" s="27"/>
      <c r="AE462" s="58"/>
      <c r="AF462" s="107"/>
      <c r="AG462" s="27"/>
      <c r="AH462" s="58"/>
      <c r="AI462" s="107"/>
      <c r="AJ462" s="27"/>
      <c r="AK462" s="58"/>
      <c r="AL462" s="107"/>
      <c r="AM462" s="27"/>
      <c r="AN462" s="58"/>
      <c r="AO462" s="107"/>
      <c r="AP462" s="27"/>
      <c r="AQ462" s="58"/>
      <c r="AR462" s="12"/>
      <c r="AS462" s="27"/>
      <c r="AT462" s="58"/>
      <c r="AU462" s="12"/>
    </row>
    <row r="463" spans="1:47" ht="29.25" customHeight="1" x14ac:dyDescent="0.6">
      <c r="A463" s="5">
        <v>172</v>
      </c>
      <c r="B463" s="18" t="s">
        <v>467</v>
      </c>
      <c r="C463" s="18"/>
      <c r="D463" s="18" t="s">
        <v>422</v>
      </c>
      <c r="E463" s="18" t="s">
        <v>82</v>
      </c>
      <c r="F463" s="23" t="s">
        <v>414</v>
      </c>
      <c r="G463" s="58" t="s">
        <v>435</v>
      </c>
      <c r="H463" s="123"/>
      <c r="I463" s="123"/>
      <c r="J463" s="123" t="s">
        <v>1020</v>
      </c>
      <c r="K463" s="49" t="s">
        <v>436</v>
      </c>
      <c r="L463" s="158">
        <v>50</v>
      </c>
      <c r="M463" s="159">
        <v>714</v>
      </c>
      <c r="N463" s="160">
        <v>604.96</v>
      </c>
      <c r="O463" s="27"/>
      <c r="P463" s="58"/>
      <c r="Q463" s="49"/>
      <c r="R463" s="27"/>
      <c r="S463" s="58"/>
      <c r="T463" s="98"/>
      <c r="U463" s="27"/>
      <c r="V463" s="58"/>
      <c r="W463" s="12"/>
      <c r="X463" s="27"/>
      <c r="Y463" s="58"/>
      <c r="Z463" s="12"/>
      <c r="AA463" s="27"/>
      <c r="AB463" s="58"/>
      <c r="AC463" s="12"/>
      <c r="AD463" s="27"/>
      <c r="AE463" s="58"/>
      <c r="AF463" s="107"/>
      <c r="AG463" s="27"/>
      <c r="AH463" s="58"/>
      <c r="AI463" s="107"/>
      <c r="AJ463" s="27"/>
      <c r="AK463" s="58"/>
      <c r="AL463" s="107"/>
      <c r="AM463" s="27"/>
      <c r="AN463" s="58"/>
      <c r="AO463" s="107"/>
      <c r="AP463" s="27"/>
      <c r="AQ463" s="58"/>
      <c r="AR463" s="12"/>
      <c r="AS463" s="27"/>
      <c r="AT463" s="58"/>
      <c r="AU463" s="12"/>
    </row>
    <row r="464" spans="1:47" ht="29.25" customHeight="1" x14ac:dyDescent="0.6">
      <c r="A464" s="5">
        <v>173</v>
      </c>
      <c r="B464" s="18" t="s">
        <v>259</v>
      </c>
      <c r="C464" s="18"/>
      <c r="D464" s="18" t="s">
        <v>424</v>
      </c>
      <c r="E464" s="18" t="s">
        <v>82</v>
      </c>
      <c r="F464" s="23" t="s">
        <v>414</v>
      </c>
      <c r="G464" s="58" t="s">
        <v>435</v>
      </c>
      <c r="H464" s="123"/>
      <c r="I464" s="123"/>
      <c r="J464" s="123" t="s">
        <v>1021</v>
      </c>
      <c r="K464" s="49" t="s">
        <v>436</v>
      </c>
      <c r="L464" s="158">
        <v>0</v>
      </c>
      <c r="M464" s="159">
        <v>0</v>
      </c>
      <c r="N464" s="160">
        <v>0</v>
      </c>
      <c r="O464" s="27"/>
      <c r="P464" s="58"/>
      <c r="Q464" s="49"/>
      <c r="R464" s="27"/>
      <c r="S464" s="58"/>
      <c r="T464" s="98"/>
      <c r="U464" s="27"/>
      <c r="V464" s="58"/>
      <c r="W464" s="12"/>
      <c r="X464" s="27"/>
      <c r="Y464" s="58"/>
      <c r="Z464" s="12"/>
      <c r="AA464" s="27"/>
      <c r="AB464" s="58"/>
      <c r="AC464" s="12"/>
      <c r="AD464" s="27"/>
      <c r="AE464" s="58"/>
      <c r="AF464" s="107"/>
      <c r="AG464" s="27"/>
      <c r="AH464" s="58"/>
      <c r="AI464" s="107"/>
      <c r="AJ464" s="27"/>
      <c r="AK464" s="58"/>
      <c r="AL464" s="107"/>
      <c r="AM464" s="27"/>
      <c r="AN464" s="58"/>
      <c r="AO464" s="107"/>
      <c r="AP464" s="27"/>
      <c r="AQ464" s="58"/>
      <c r="AR464" s="12"/>
      <c r="AS464" s="27"/>
      <c r="AT464" s="58"/>
      <c r="AU464" s="12"/>
    </row>
    <row r="465" spans="1:47" ht="29.25" customHeight="1" x14ac:dyDescent="0.6">
      <c r="A465" s="5">
        <v>174</v>
      </c>
      <c r="B465" s="18" t="s">
        <v>316</v>
      </c>
      <c r="C465" s="18"/>
      <c r="D465" s="18" t="s">
        <v>426</v>
      </c>
      <c r="E465" s="18" t="s">
        <v>82</v>
      </c>
      <c r="F465" s="23" t="s">
        <v>414</v>
      </c>
      <c r="G465" s="58" t="s">
        <v>435</v>
      </c>
      <c r="H465" s="123"/>
      <c r="I465" s="123"/>
      <c r="J465" s="123" t="s">
        <v>1022</v>
      </c>
      <c r="K465" s="49" t="s">
        <v>436</v>
      </c>
      <c r="L465" s="158">
        <v>0</v>
      </c>
      <c r="M465" s="159">
        <v>0</v>
      </c>
      <c r="N465" s="160">
        <v>0</v>
      </c>
      <c r="O465" s="27"/>
      <c r="P465" s="58"/>
      <c r="Q465" s="49"/>
      <c r="R465" s="27"/>
      <c r="S465" s="58"/>
      <c r="T465" s="98"/>
      <c r="U465" s="27"/>
      <c r="V465" s="58"/>
      <c r="W465" s="12"/>
      <c r="X465" s="27"/>
      <c r="Y465" s="58"/>
      <c r="Z465" s="12"/>
      <c r="AA465" s="27"/>
      <c r="AB465" s="58"/>
      <c r="AC465" s="12"/>
      <c r="AD465" s="27"/>
      <c r="AE465" s="58"/>
      <c r="AF465" s="107"/>
      <c r="AG465" s="27"/>
      <c r="AH465" s="58"/>
      <c r="AI465" s="107"/>
      <c r="AJ465" s="27"/>
      <c r="AK465" s="58"/>
      <c r="AL465" s="107"/>
      <c r="AM465" s="27"/>
      <c r="AN465" s="58"/>
      <c r="AO465" s="107"/>
      <c r="AP465" s="27"/>
      <c r="AQ465" s="58"/>
      <c r="AR465" s="12"/>
      <c r="AS465" s="27"/>
      <c r="AT465" s="58"/>
      <c r="AU465" s="12"/>
    </row>
    <row r="466" spans="1:47" ht="29.25" customHeight="1" x14ac:dyDescent="0.6">
      <c r="A466" s="5">
        <v>175</v>
      </c>
      <c r="B466" s="18" t="s">
        <v>318</v>
      </c>
      <c r="C466" s="18"/>
      <c r="D466" s="18">
        <v>494</v>
      </c>
      <c r="E466" s="18" t="s">
        <v>82</v>
      </c>
      <c r="F466" s="23" t="s">
        <v>414</v>
      </c>
      <c r="G466" s="58" t="s">
        <v>435</v>
      </c>
      <c r="H466" s="123"/>
      <c r="I466" s="123"/>
      <c r="J466" s="123" t="s">
        <v>1023</v>
      </c>
      <c r="K466" s="49" t="s">
        <v>436</v>
      </c>
      <c r="L466" s="158">
        <v>15</v>
      </c>
      <c r="M466" s="159">
        <v>180</v>
      </c>
      <c r="N466" s="160">
        <v>180</v>
      </c>
      <c r="O466" s="27"/>
      <c r="P466" s="58"/>
      <c r="Q466" s="49"/>
      <c r="R466" s="27"/>
      <c r="S466" s="58"/>
      <c r="T466" s="98"/>
      <c r="U466" s="27"/>
      <c r="V466" s="58"/>
      <c r="W466" s="12"/>
      <c r="X466" s="27"/>
      <c r="Y466" s="58"/>
      <c r="Z466" s="12"/>
      <c r="AA466" s="27"/>
      <c r="AB466" s="58"/>
      <c r="AC466" s="12"/>
      <c r="AD466" s="27"/>
      <c r="AE466" s="58"/>
      <c r="AF466" s="107"/>
      <c r="AG466" s="27"/>
      <c r="AH466" s="58"/>
      <c r="AI466" s="107"/>
      <c r="AJ466" s="27"/>
      <c r="AK466" s="58"/>
      <c r="AL466" s="107"/>
      <c r="AM466" s="27"/>
      <c r="AN466" s="58"/>
      <c r="AO466" s="12"/>
      <c r="AP466" s="27"/>
      <c r="AQ466" s="58"/>
      <c r="AR466" s="12"/>
      <c r="AS466" s="27"/>
      <c r="AT466" s="58"/>
      <c r="AU466" s="12"/>
    </row>
    <row r="467" spans="1:47" ht="29.25" customHeight="1" x14ac:dyDescent="0.6">
      <c r="A467" s="5">
        <v>176</v>
      </c>
      <c r="B467" s="18" t="s">
        <v>320</v>
      </c>
      <c r="C467" s="18"/>
      <c r="D467" s="18" t="s">
        <v>427</v>
      </c>
      <c r="E467" s="18" t="s">
        <v>67</v>
      </c>
      <c r="F467" s="23" t="s">
        <v>68</v>
      </c>
      <c r="G467" s="58" t="s">
        <v>435</v>
      </c>
      <c r="H467" s="123"/>
      <c r="I467" s="123"/>
      <c r="J467" s="123" t="s">
        <v>1024</v>
      </c>
      <c r="K467" s="49" t="s">
        <v>436</v>
      </c>
      <c r="L467" s="158">
        <v>50</v>
      </c>
      <c r="M467" s="159">
        <v>700</v>
      </c>
      <c r="N467" s="160">
        <v>448</v>
      </c>
      <c r="O467" s="27"/>
      <c r="P467" s="58"/>
      <c r="Q467" s="49"/>
      <c r="R467" s="27"/>
      <c r="S467" s="58"/>
      <c r="T467" s="98"/>
      <c r="U467" s="27"/>
      <c r="V467" s="58"/>
      <c r="W467" s="12"/>
      <c r="X467" s="27"/>
      <c r="Y467" s="58"/>
      <c r="Z467" s="12"/>
      <c r="AA467" s="27"/>
      <c r="AB467" s="58"/>
      <c r="AC467" s="12"/>
      <c r="AD467" s="27"/>
      <c r="AE467" s="58"/>
      <c r="AF467" s="107"/>
      <c r="AG467" s="27"/>
      <c r="AH467" s="58"/>
      <c r="AI467" s="107"/>
      <c r="AJ467" s="27"/>
      <c r="AK467" s="58"/>
      <c r="AL467" s="107"/>
      <c r="AM467" s="27"/>
      <c r="AN467" s="58"/>
      <c r="AO467" s="12"/>
      <c r="AP467" s="27"/>
      <c r="AQ467" s="58"/>
      <c r="AR467" s="12"/>
      <c r="AS467" s="27"/>
      <c r="AT467" s="58"/>
      <c r="AU467" s="12"/>
    </row>
    <row r="468" spans="1:47" ht="29.25" customHeight="1" x14ac:dyDescent="0.6">
      <c r="A468" s="5">
        <v>177</v>
      </c>
      <c r="B468" s="18" t="s">
        <v>340</v>
      </c>
      <c r="C468" s="18"/>
      <c r="D468" s="18" t="s">
        <v>428</v>
      </c>
      <c r="E468" s="18" t="s">
        <v>82</v>
      </c>
      <c r="F468" s="23" t="s">
        <v>414</v>
      </c>
      <c r="G468" s="58" t="s">
        <v>435</v>
      </c>
      <c r="H468" s="123"/>
      <c r="I468" s="123"/>
      <c r="J468" s="123" t="s">
        <v>1025</v>
      </c>
      <c r="K468" s="49" t="s">
        <v>436</v>
      </c>
      <c r="L468" s="158">
        <v>60</v>
      </c>
      <c r="M468" s="159">
        <v>740</v>
      </c>
      <c r="N468" s="160">
        <v>689.6</v>
      </c>
      <c r="O468" s="27"/>
      <c r="P468" s="58"/>
      <c r="Q468" s="49"/>
      <c r="R468" s="27"/>
      <c r="S468" s="58"/>
      <c r="T468" s="98"/>
      <c r="U468" s="27"/>
      <c r="V468" s="58"/>
      <c r="W468" s="12"/>
      <c r="X468" s="27"/>
      <c r="Y468" s="58"/>
      <c r="Z468" s="12"/>
      <c r="AA468" s="27"/>
      <c r="AB468" s="58"/>
      <c r="AC468" s="12"/>
      <c r="AD468" s="27"/>
      <c r="AE468" s="58"/>
      <c r="AF468" s="107"/>
      <c r="AG468" s="27"/>
      <c r="AH468" s="58"/>
      <c r="AI468" s="107"/>
      <c r="AJ468" s="27"/>
      <c r="AK468" s="58"/>
      <c r="AL468" s="107"/>
      <c r="AM468" s="27"/>
      <c r="AN468" s="58"/>
      <c r="AO468" s="12"/>
      <c r="AP468" s="27"/>
      <c r="AQ468" s="58"/>
      <c r="AR468" s="12"/>
      <c r="AS468" s="27"/>
      <c r="AT468" s="58"/>
      <c r="AU468" s="12"/>
    </row>
    <row r="469" spans="1:47" ht="29.25" customHeight="1" x14ac:dyDescent="0.6">
      <c r="A469" s="5">
        <v>178</v>
      </c>
      <c r="B469" s="18" t="s">
        <v>1156</v>
      </c>
      <c r="C469" s="18"/>
      <c r="D469" s="18" t="s">
        <v>430</v>
      </c>
      <c r="E469" s="18" t="s">
        <v>82</v>
      </c>
      <c r="F469" s="23" t="s">
        <v>414</v>
      </c>
      <c r="G469" s="58" t="s">
        <v>435</v>
      </c>
      <c r="H469" s="123"/>
      <c r="I469" s="123"/>
      <c r="J469" s="123"/>
      <c r="K469" s="49" t="s">
        <v>436</v>
      </c>
      <c r="L469" s="158">
        <v>0</v>
      </c>
      <c r="M469" s="159">
        <v>0</v>
      </c>
      <c r="N469" s="160">
        <v>0</v>
      </c>
      <c r="O469" s="27"/>
      <c r="P469" s="58"/>
      <c r="Q469" s="49"/>
      <c r="R469" s="27"/>
      <c r="S469" s="58"/>
      <c r="T469" s="98"/>
      <c r="U469" s="27"/>
      <c r="V469" s="58"/>
      <c r="W469" s="12"/>
      <c r="X469" s="27"/>
      <c r="Y469" s="58"/>
      <c r="Z469" s="12"/>
      <c r="AA469" s="27"/>
      <c r="AB469" s="58"/>
      <c r="AC469" s="12"/>
      <c r="AD469" s="27"/>
      <c r="AE469" s="58"/>
      <c r="AF469" s="107"/>
      <c r="AG469" s="27"/>
      <c r="AH469" s="58"/>
      <c r="AI469" s="107"/>
      <c r="AJ469" s="27"/>
      <c r="AK469" s="58"/>
      <c r="AL469" s="107"/>
      <c r="AM469" s="27"/>
      <c r="AN469" s="58"/>
      <c r="AO469" s="12"/>
      <c r="AP469" s="27"/>
      <c r="AQ469" s="58"/>
      <c r="AR469" s="12"/>
      <c r="AS469" s="27"/>
      <c r="AT469" s="58"/>
      <c r="AU469" s="12"/>
    </row>
    <row r="470" spans="1:47" ht="29.25" customHeight="1" x14ac:dyDescent="0.6">
      <c r="A470" s="5">
        <v>179</v>
      </c>
      <c r="B470" s="18" t="s">
        <v>1157</v>
      </c>
      <c r="C470" s="18"/>
      <c r="D470" s="18" t="s">
        <v>432</v>
      </c>
      <c r="E470" s="18" t="s">
        <v>363</v>
      </c>
      <c r="F470" s="23" t="s">
        <v>79</v>
      </c>
      <c r="G470" s="58" t="s">
        <v>475</v>
      </c>
      <c r="H470" s="123"/>
      <c r="I470" s="123"/>
      <c r="J470" s="123" t="s">
        <v>1026</v>
      </c>
      <c r="K470" s="49" t="s">
        <v>476</v>
      </c>
      <c r="L470" s="158">
        <v>40</v>
      </c>
      <c r="M470" s="159">
        <v>480</v>
      </c>
      <c r="N470" s="160">
        <v>480</v>
      </c>
      <c r="O470" s="27"/>
      <c r="P470" s="58"/>
      <c r="Q470" s="49"/>
      <c r="R470" s="27"/>
      <c r="S470" s="58"/>
      <c r="T470" s="98"/>
      <c r="U470" s="27"/>
      <c r="V470" s="58"/>
      <c r="W470" s="12"/>
      <c r="X470" s="27"/>
      <c r="Y470" s="58"/>
      <c r="Z470" s="12"/>
      <c r="AA470" s="27"/>
      <c r="AB470" s="58"/>
      <c r="AC470" s="12"/>
      <c r="AD470" s="27"/>
      <c r="AE470" s="58"/>
      <c r="AF470" s="107"/>
      <c r="AG470" s="27"/>
      <c r="AH470" s="58"/>
      <c r="AI470" s="107"/>
      <c r="AJ470" s="27"/>
      <c r="AK470" s="58"/>
      <c r="AL470" s="107"/>
      <c r="AM470" s="27"/>
      <c r="AN470" s="58"/>
      <c r="AO470" s="12"/>
      <c r="AP470" s="27"/>
      <c r="AQ470" s="58"/>
      <c r="AR470" s="12"/>
      <c r="AS470" s="27"/>
      <c r="AT470" s="58"/>
      <c r="AU470" s="12"/>
    </row>
    <row r="471" spans="1:47" ht="29.25" customHeight="1" x14ac:dyDescent="0.6">
      <c r="A471" s="5">
        <v>180</v>
      </c>
      <c r="B471" s="18" t="s">
        <v>477</v>
      </c>
      <c r="C471" s="18"/>
      <c r="D471" s="18" t="s">
        <v>434</v>
      </c>
      <c r="E471" s="18" t="s">
        <v>272</v>
      </c>
      <c r="F471" s="23" t="s">
        <v>273</v>
      </c>
      <c r="G471" s="58" t="s">
        <v>475</v>
      </c>
      <c r="H471" s="123"/>
      <c r="I471" s="123"/>
      <c r="J471" s="123" t="s">
        <v>1027</v>
      </c>
      <c r="K471" s="49" t="s">
        <v>476</v>
      </c>
      <c r="L471" s="158">
        <v>45.5</v>
      </c>
      <c r="M471" s="159">
        <v>924</v>
      </c>
      <c r="N471" s="160">
        <v>529.79999999999995</v>
      </c>
      <c r="O471" s="27"/>
      <c r="P471" s="58"/>
      <c r="Q471" s="49"/>
      <c r="R471" s="27"/>
      <c r="S471" s="58"/>
      <c r="T471" s="98"/>
      <c r="U471" s="27"/>
      <c r="V471" s="58"/>
      <c r="W471" s="12"/>
      <c r="X471" s="27"/>
      <c r="Y471" s="58"/>
      <c r="Z471" s="12"/>
      <c r="AA471" s="27"/>
      <c r="AB471" s="58"/>
      <c r="AC471" s="12"/>
      <c r="AD471" s="27"/>
      <c r="AE471" s="58"/>
      <c r="AF471" s="107"/>
      <c r="AG471" s="27"/>
      <c r="AH471" s="58"/>
      <c r="AI471" s="107"/>
      <c r="AJ471" s="27"/>
      <c r="AK471" s="58"/>
      <c r="AL471" s="107"/>
      <c r="AM471" s="27"/>
      <c r="AN471" s="58"/>
      <c r="AO471" s="12"/>
      <c r="AP471" s="27"/>
      <c r="AQ471" s="58"/>
      <c r="AR471" s="12"/>
      <c r="AS471" s="27"/>
      <c r="AT471" s="58"/>
      <c r="AU471" s="12"/>
    </row>
    <row r="472" spans="1:47" ht="29.25" customHeight="1" x14ac:dyDescent="0.6">
      <c r="A472" s="5">
        <v>181</v>
      </c>
      <c r="B472" s="18" t="s">
        <v>479</v>
      </c>
      <c r="C472" s="18"/>
      <c r="D472" s="18" t="s">
        <v>438</v>
      </c>
      <c r="E472" s="18" t="s">
        <v>272</v>
      </c>
      <c r="F472" s="23" t="s">
        <v>273</v>
      </c>
      <c r="G472" s="58" t="s">
        <v>475</v>
      </c>
      <c r="H472" s="123"/>
      <c r="I472" s="123"/>
      <c r="J472" s="123" t="s">
        <v>1028</v>
      </c>
      <c r="K472" s="49" t="s">
        <v>476</v>
      </c>
      <c r="L472" s="158">
        <v>15</v>
      </c>
      <c r="M472" s="159">
        <v>180</v>
      </c>
      <c r="N472" s="160">
        <v>180</v>
      </c>
      <c r="O472" s="27"/>
      <c r="P472" s="58"/>
      <c r="Q472" s="49"/>
      <c r="R472" s="27"/>
      <c r="S472" s="58"/>
      <c r="T472" s="98"/>
      <c r="U472" s="27"/>
      <c r="V472" s="58"/>
      <c r="W472" s="12"/>
      <c r="X472" s="27"/>
      <c r="Y472" s="58"/>
      <c r="Z472" s="12"/>
      <c r="AA472" s="27"/>
      <c r="AB472" s="58"/>
      <c r="AC472" s="12"/>
      <c r="AD472" s="27"/>
      <c r="AE472" s="58"/>
      <c r="AF472" s="107"/>
      <c r="AG472" s="27"/>
      <c r="AH472" s="58"/>
      <c r="AI472" s="107"/>
      <c r="AJ472" s="27"/>
      <c r="AK472" s="58"/>
      <c r="AL472" s="107"/>
      <c r="AM472" s="27"/>
      <c r="AN472" s="58"/>
      <c r="AO472" s="12"/>
      <c r="AP472" s="27"/>
      <c r="AQ472" s="58"/>
      <c r="AR472" s="12"/>
      <c r="AS472" s="27"/>
      <c r="AT472" s="58"/>
      <c r="AU472" s="12"/>
    </row>
    <row r="473" spans="1:47" ht="29.25" customHeight="1" x14ac:dyDescent="0.6">
      <c r="A473" s="5">
        <v>182</v>
      </c>
      <c r="B473" s="18" t="s">
        <v>481</v>
      </c>
      <c r="C473" s="18"/>
      <c r="D473" s="18" t="s">
        <v>439</v>
      </c>
      <c r="E473" s="18" t="s">
        <v>272</v>
      </c>
      <c r="F473" s="23" t="s">
        <v>273</v>
      </c>
      <c r="G473" s="58" t="s">
        <v>475</v>
      </c>
      <c r="H473" s="123"/>
      <c r="I473" s="123"/>
      <c r="J473" s="123" t="s">
        <v>1029</v>
      </c>
      <c r="K473" s="49" t="s">
        <v>476</v>
      </c>
      <c r="L473" s="158">
        <v>22</v>
      </c>
      <c r="M473" s="159">
        <v>432</v>
      </c>
      <c r="N473" s="160">
        <v>276</v>
      </c>
      <c r="O473" s="27"/>
      <c r="P473" s="58"/>
      <c r="Q473" s="49"/>
      <c r="R473" s="27"/>
      <c r="S473" s="58"/>
      <c r="T473" s="98"/>
      <c r="U473" s="27"/>
      <c r="V473" s="58"/>
      <c r="W473" s="12"/>
      <c r="X473" s="27"/>
      <c r="Y473" s="58"/>
      <c r="Z473" s="12"/>
      <c r="AA473" s="27"/>
      <c r="AB473" s="58"/>
      <c r="AC473" s="12"/>
      <c r="AD473" s="27"/>
      <c r="AE473" s="58"/>
      <c r="AF473" s="107"/>
      <c r="AG473" s="27"/>
      <c r="AH473" s="58"/>
      <c r="AI473" s="107"/>
      <c r="AJ473" s="27"/>
      <c r="AK473" s="58"/>
      <c r="AL473" s="107"/>
      <c r="AM473" s="27"/>
      <c r="AN473" s="58"/>
      <c r="AO473" s="12"/>
      <c r="AP473" s="27"/>
      <c r="AQ473" s="58"/>
      <c r="AR473" s="12"/>
      <c r="AS473" s="27"/>
      <c r="AT473" s="58"/>
      <c r="AU473" s="12"/>
    </row>
    <row r="474" spans="1:47" ht="29.25" customHeight="1" x14ac:dyDescent="0.6">
      <c r="A474" s="5">
        <v>183</v>
      </c>
      <c r="B474" s="18" t="s">
        <v>483</v>
      </c>
      <c r="C474" s="18"/>
      <c r="D474" s="18" t="s">
        <v>440</v>
      </c>
      <c r="E474" s="18" t="s">
        <v>272</v>
      </c>
      <c r="F474" s="23" t="s">
        <v>273</v>
      </c>
      <c r="G474" s="58" t="s">
        <v>475</v>
      </c>
      <c r="H474" s="123"/>
      <c r="I474" s="123"/>
      <c r="J474" s="123" t="s">
        <v>1030</v>
      </c>
      <c r="K474" s="49" t="s">
        <v>476</v>
      </c>
      <c r="L474" s="158">
        <v>80</v>
      </c>
      <c r="M474" s="159">
        <v>1530</v>
      </c>
      <c r="N474" s="160">
        <v>888.8</v>
      </c>
      <c r="O474" s="27"/>
      <c r="P474" s="58"/>
      <c r="Q474" s="49"/>
      <c r="R474" s="27"/>
      <c r="S474" s="58"/>
      <c r="T474" s="98"/>
      <c r="U474" s="27"/>
      <c r="V474" s="58"/>
      <c r="W474" s="12"/>
      <c r="X474" s="27"/>
      <c r="Y474" s="58"/>
      <c r="Z474" s="12"/>
      <c r="AA474" s="27"/>
      <c r="AB474" s="58"/>
      <c r="AC474" s="12"/>
      <c r="AD474" s="27"/>
      <c r="AE474" s="58"/>
      <c r="AF474" s="107"/>
      <c r="AG474" s="27"/>
      <c r="AH474" s="58"/>
      <c r="AI474" s="107"/>
      <c r="AJ474" s="27"/>
      <c r="AK474" s="58"/>
      <c r="AL474" s="107"/>
      <c r="AM474" s="27"/>
      <c r="AN474" s="58"/>
      <c r="AO474" s="12"/>
      <c r="AP474" s="27"/>
      <c r="AQ474" s="58"/>
      <c r="AR474" s="12"/>
      <c r="AS474" s="27"/>
      <c r="AT474" s="58"/>
      <c r="AU474" s="12"/>
    </row>
    <row r="475" spans="1:47" ht="29.25" customHeight="1" x14ac:dyDescent="0.6">
      <c r="A475" s="5">
        <v>184</v>
      </c>
      <c r="B475" s="18" t="s">
        <v>487</v>
      </c>
      <c r="C475" s="18"/>
      <c r="D475" s="18" t="s">
        <v>442</v>
      </c>
      <c r="E475" s="18" t="s">
        <v>272</v>
      </c>
      <c r="F475" s="23" t="s">
        <v>273</v>
      </c>
      <c r="G475" s="58" t="s">
        <v>475</v>
      </c>
      <c r="H475" s="123"/>
      <c r="I475" s="123"/>
      <c r="J475" s="123" t="s">
        <v>1031</v>
      </c>
      <c r="K475" s="49" t="s">
        <v>476</v>
      </c>
      <c r="L475" s="158">
        <v>25</v>
      </c>
      <c r="M475" s="159">
        <v>356</v>
      </c>
      <c r="N475" s="160">
        <v>293.2</v>
      </c>
      <c r="O475" s="27"/>
      <c r="P475" s="58"/>
      <c r="Q475" s="49"/>
      <c r="R475" s="27"/>
      <c r="S475" s="58"/>
      <c r="T475" s="98"/>
      <c r="U475" s="27"/>
      <c r="V475" s="58"/>
      <c r="W475" s="12"/>
      <c r="X475" s="27"/>
      <c r="Y475" s="58"/>
      <c r="Z475" s="12"/>
      <c r="AA475" s="27"/>
      <c r="AB475" s="58"/>
      <c r="AC475" s="12"/>
      <c r="AD475" s="27"/>
      <c r="AE475" s="58"/>
      <c r="AF475" s="107"/>
      <c r="AG475" s="27"/>
      <c r="AH475" s="58"/>
      <c r="AI475" s="107"/>
      <c r="AJ475" s="27"/>
      <c r="AK475" s="58"/>
      <c r="AL475" s="107"/>
      <c r="AM475" s="27"/>
      <c r="AN475" s="58"/>
      <c r="AO475" s="12"/>
      <c r="AP475" s="27"/>
      <c r="AQ475" s="58"/>
      <c r="AR475" s="12"/>
      <c r="AS475" s="27"/>
      <c r="AT475" s="58"/>
      <c r="AU475" s="12"/>
    </row>
    <row r="476" spans="1:47" ht="29.25" customHeight="1" x14ac:dyDescent="0.6">
      <c r="A476" s="5">
        <v>185</v>
      </c>
      <c r="B476" s="18" t="s">
        <v>489</v>
      </c>
      <c r="C476" s="18"/>
      <c r="D476" s="18" t="s">
        <v>402</v>
      </c>
      <c r="E476" s="18" t="s">
        <v>443</v>
      </c>
      <c r="F476" s="23" t="s">
        <v>444</v>
      </c>
      <c r="G476" s="58" t="s">
        <v>475</v>
      </c>
      <c r="H476" s="123"/>
      <c r="I476" s="123"/>
      <c r="J476" s="123" t="s">
        <v>1011</v>
      </c>
      <c r="K476" s="49" t="s">
        <v>476</v>
      </c>
      <c r="L476" s="158">
        <v>10</v>
      </c>
      <c r="M476" s="159">
        <v>260</v>
      </c>
      <c r="N476" s="160">
        <v>130</v>
      </c>
      <c r="O476" s="27"/>
      <c r="P476" s="58"/>
      <c r="Q476" s="49"/>
      <c r="R476" s="27"/>
      <c r="S476" s="58"/>
      <c r="T476" s="98"/>
      <c r="U476" s="27"/>
      <c r="V476" s="58"/>
      <c r="W476" s="12"/>
      <c r="X476" s="27"/>
      <c r="Y476" s="58"/>
      <c r="Z476" s="12"/>
      <c r="AA476" s="27"/>
      <c r="AB476" s="58"/>
      <c r="AC476" s="12"/>
      <c r="AD476" s="27"/>
      <c r="AE476" s="58"/>
      <c r="AF476" s="107"/>
      <c r="AG476" s="27"/>
      <c r="AH476" s="58"/>
      <c r="AI476" s="107"/>
      <c r="AJ476" s="27"/>
      <c r="AK476" s="58"/>
      <c r="AL476" s="107"/>
      <c r="AM476" s="27"/>
      <c r="AN476" s="58"/>
      <c r="AO476" s="12"/>
      <c r="AP476" s="27"/>
      <c r="AQ476" s="58"/>
      <c r="AR476" s="12"/>
      <c r="AS476" s="27"/>
      <c r="AT476" s="58"/>
      <c r="AU476" s="12"/>
    </row>
    <row r="477" spans="1:47" ht="29.25" customHeight="1" x14ac:dyDescent="0.6">
      <c r="A477" s="5">
        <v>186</v>
      </c>
      <c r="B477" s="18" t="s">
        <v>491</v>
      </c>
      <c r="C477" s="18"/>
      <c r="D477" s="18" t="s">
        <v>440</v>
      </c>
      <c r="E477" s="18" t="s">
        <v>443</v>
      </c>
      <c r="F477" s="23" t="s">
        <v>444</v>
      </c>
      <c r="G477" s="58" t="s">
        <v>475</v>
      </c>
      <c r="H477" s="123"/>
      <c r="I477" s="123"/>
      <c r="J477" s="123" t="s">
        <v>1032</v>
      </c>
      <c r="K477" s="49" t="s">
        <v>476</v>
      </c>
      <c r="L477" s="158">
        <v>87</v>
      </c>
      <c r="M477" s="159">
        <v>1240</v>
      </c>
      <c r="N477" s="160">
        <v>1010</v>
      </c>
      <c r="O477" s="27"/>
      <c r="P477" s="58"/>
      <c r="Q477" s="49"/>
      <c r="R477" s="27"/>
      <c r="S477" s="58"/>
      <c r="T477" s="98"/>
      <c r="U477" s="27"/>
      <c r="V477" s="58"/>
      <c r="W477" s="12"/>
      <c r="X477" s="27"/>
      <c r="Y477" s="58"/>
      <c r="Z477" s="12"/>
      <c r="AA477" s="27"/>
      <c r="AB477" s="58"/>
      <c r="AC477" s="12"/>
      <c r="AD477" s="27"/>
      <c r="AE477" s="58"/>
      <c r="AF477" s="107"/>
      <c r="AG477" s="27"/>
      <c r="AH477" s="58"/>
      <c r="AI477" s="107"/>
      <c r="AJ477" s="27"/>
      <c r="AK477" s="58"/>
      <c r="AL477" s="107"/>
      <c r="AM477" s="27"/>
      <c r="AN477" s="58"/>
      <c r="AO477" s="12"/>
      <c r="AP477" s="27"/>
      <c r="AQ477" s="58"/>
      <c r="AR477" s="12"/>
      <c r="AS477" s="27"/>
      <c r="AT477" s="58"/>
      <c r="AU477" s="12"/>
    </row>
    <row r="478" spans="1:47" ht="29.25" customHeight="1" x14ac:dyDescent="0.6">
      <c r="A478" s="5">
        <v>187</v>
      </c>
      <c r="B478" s="18" t="s">
        <v>1158</v>
      </c>
      <c r="C478" s="18"/>
      <c r="D478" s="18" t="s">
        <v>445</v>
      </c>
      <c r="E478" s="18" t="s">
        <v>443</v>
      </c>
      <c r="F478" s="23" t="s">
        <v>444</v>
      </c>
      <c r="G478" s="58" t="s">
        <v>475</v>
      </c>
      <c r="H478" s="123"/>
      <c r="I478" s="123"/>
      <c r="J478" s="123" t="s">
        <v>1033</v>
      </c>
      <c r="K478" s="49" t="s">
        <v>476</v>
      </c>
      <c r="L478" s="158">
        <v>34</v>
      </c>
      <c r="M478" s="159">
        <v>464</v>
      </c>
      <c r="N478" s="160">
        <v>402.4</v>
      </c>
      <c r="O478" s="27"/>
      <c r="P478" s="58"/>
      <c r="Q478" s="49"/>
      <c r="R478" s="27"/>
      <c r="S478" s="58"/>
      <c r="T478" s="98"/>
      <c r="U478" s="27"/>
      <c r="V478" s="58"/>
      <c r="W478" s="12"/>
      <c r="X478" s="27"/>
      <c r="Y478" s="58"/>
      <c r="Z478" s="12"/>
      <c r="AA478" s="27"/>
      <c r="AB478" s="58"/>
      <c r="AC478" s="12"/>
      <c r="AD478" s="27"/>
      <c r="AE478" s="58"/>
      <c r="AF478" s="107"/>
      <c r="AG478" s="27"/>
      <c r="AH478" s="58"/>
      <c r="AI478" s="107"/>
      <c r="AJ478" s="27"/>
      <c r="AK478" s="58"/>
      <c r="AL478" s="107"/>
      <c r="AM478" s="27"/>
      <c r="AN478" s="58"/>
      <c r="AO478" s="12"/>
      <c r="AP478" s="27"/>
      <c r="AQ478" s="58"/>
      <c r="AR478" s="12"/>
      <c r="AS478" s="27"/>
      <c r="AT478" s="58"/>
      <c r="AU478" s="12"/>
    </row>
    <row r="479" spans="1:47" ht="29.25" customHeight="1" x14ac:dyDescent="0.6">
      <c r="A479" s="5">
        <v>188</v>
      </c>
      <c r="B479" s="18" t="s">
        <v>440</v>
      </c>
      <c r="C479" s="18"/>
      <c r="D479" s="18" t="s">
        <v>447</v>
      </c>
      <c r="E479" s="18" t="s">
        <v>448</v>
      </c>
      <c r="F479" s="23" t="s">
        <v>449</v>
      </c>
      <c r="G479" s="58" t="s">
        <v>475</v>
      </c>
      <c r="H479" s="123"/>
      <c r="I479" s="123"/>
      <c r="J479" s="123" t="s">
        <v>1034</v>
      </c>
      <c r="K479" s="49" t="s">
        <v>476</v>
      </c>
      <c r="L479" s="158">
        <v>93</v>
      </c>
      <c r="M479" s="159">
        <v>1182</v>
      </c>
      <c r="N479" s="160">
        <v>1083.2</v>
      </c>
      <c r="O479" s="27"/>
      <c r="P479" s="58"/>
      <c r="Q479" s="49"/>
      <c r="R479" s="27"/>
      <c r="S479" s="58"/>
      <c r="T479" s="98"/>
      <c r="U479" s="27"/>
      <c r="V479" s="58"/>
      <c r="W479" s="12"/>
      <c r="X479" s="27"/>
      <c r="Y479" s="58"/>
      <c r="Z479" s="12"/>
      <c r="AA479" s="27"/>
      <c r="AB479" s="58"/>
      <c r="AC479" s="12"/>
      <c r="AD479" s="27"/>
      <c r="AE479" s="58"/>
      <c r="AF479" s="107"/>
      <c r="AG479" s="27"/>
      <c r="AH479" s="58"/>
      <c r="AI479" s="107"/>
      <c r="AJ479" s="27"/>
      <c r="AK479" s="58"/>
      <c r="AL479" s="107"/>
      <c r="AM479" s="27"/>
      <c r="AN479" s="58"/>
      <c r="AO479" s="12"/>
      <c r="AP479" s="27"/>
      <c r="AQ479" s="58"/>
      <c r="AR479" s="12"/>
      <c r="AS479" s="27"/>
      <c r="AT479" s="58"/>
      <c r="AU479" s="12"/>
    </row>
    <row r="480" spans="1:47" ht="29.25" customHeight="1" x14ac:dyDescent="0.6">
      <c r="A480" s="5">
        <v>189</v>
      </c>
      <c r="B480" s="18" t="s">
        <v>496</v>
      </c>
      <c r="C480" s="18"/>
      <c r="D480" s="18" t="s">
        <v>451</v>
      </c>
      <c r="E480" s="18" t="s">
        <v>448</v>
      </c>
      <c r="F480" s="23" t="s">
        <v>449</v>
      </c>
      <c r="G480" s="58" t="s">
        <v>475</v>
      </c>
      <c r="H480" s="123"/>
      <c r="I480" s="123"/>
      <c r="J480" s="123" t="s">
        <v>1035</v>
      </c>
      <c r="K480" s="49" t="s">
        <v>476</v>
      </c>
      <c r="L480" s="158">
        <v>5</v>
      </c>
      <c r="M480" s="159">
        <v>60</v>
      </c>
      <c r="N480" s="160">
        <v>60</v>
      </c>
      <c r="O480" s="27"/>
      <c r="P480" s="58"/>
      <c r="Q480" s="49"/>
      <c r="R480" s="27"/>
      <c r="S480" s="58"/>
      <c r="T480" s="98"/>
      <c r="U480" s="27"/>
      <c r="V480" s="58"/>
      <c r="W480" s="12"/>
      <c r="X480" s="27"/>
      <c r="Y480" s="58"/>
      <c r="Z480" s="12"/>
      <c r="AA480" s="27"/>
      <c r="AB480" s="58"/>
      <c r="AC480" s="12"/>
      <c r="AD480" s="27"/>
      <c r="AE480" s="58"/>
      <c r="AF480" s="107"/>
      <c r="AG480" s="27"/>
      <c r="AH480" s="58"/>
      <c r="AI480" s="107"/>
      <c r="AJ480" s="27"/>
      <c r="AK480" s="58"/>
      <c r="AL480" s="107"/>
      <c r="AM480" s="27"/>
      <c r="AN480" s="58"/>
      <c r="AO480" s="12"/>
      <c r="AP480" s="27"/>
      <c r="AQ480" s="58"/>
      <c r="AR480" s="12"/>
      <c r="AS480" s="27"/>
      <c r="AT480" s="58"/>
      <c r="AU480" s="12"/>
    </row>
    <row r="481" spans="1:47" ht="29.25" customHeight="1" x14ac:dyDescent="0.6">
      <c r="A481" s="5">
        <v>190</v>
      </c>
      <c r="B481" s="18" t="s">
        <v>497</v>
      </c>
      <c r="C481" s="18"/>
      <c r="D481" s="18" t="s">
        <v>452</v>
      </c>
      <c r="E481" s="18" t="s">
        <v>448</v>
      </c>
      <c r="F481" s="23" t="s">
        <v>449</v>
      </c>
      <c r="G481" s="58" t="s">
        <v>475</v>
      </c>
      <c r="H481" s="123"/>
      <c r="I481" s="123"/>
      <c r="J481" s="123" t="s">
        <v>1036</v>
      </c>
      <c r="K481" s="49" t="s">
        <v>476</v>
      </c>
      <c r="L481" s="158">
        <v>44</v>
      </c>
      <c r="M481" s="159">
        <v>584</v>
      </c>
      <c r="N481" s="160">
        <v>522.4</v>
      </c>
      <c r="O481" s="27"/>
      <c r="P481" s="58"/>
      <c r="Q481" s="49"/>
      <c r="R481" s="27"/>
      <c r="S481" s="58"/>
      <c r="T481" s="98"/>
      <c r="U481" s="27"/>
      <c r="V481" s="58"/>
      <c r="W481" s="12"/>
      <c r="X481" s="27"/>
      <c r="Y481" s="58"/>
      <c r="Z481" s="12"/>
      <c r="AA481" s="27"/>
      <c r="AB481" s="58"/>
      <c r="AC481" s="12"/>
      <c r="AD481" s="27"/>
      <c r="AE481" s="58"/>
      <c r="AF481" s="107"/>
      <c r="AG481" s="27"/>
      <c r="AH481" s="58"/>
      <c r="AI481" s="107"/>
      <c r="AJ481" s="27"/>
      <c r="AK481" s="58"/>
      <c r="AL481" s="107"/>
      <c r="AM481" s="27"/>
      <c r="AN481" s="58"/>
      <c r="AO481" s="12"/>
      <c r="AP481" s="27"/>
      <c r="AQ481" s="58"/>
      <c r="AR481" s="12"/>
      <c r="AS481" s="27"/>
      <c r="AT481" s="58"/>
      <c r="AU481" s="12"/>
    </row>
    <row r="482" spans="1:47" ht="29.25" customHeight="1" x14ac:dyDescent="0.6">
      <c r="A482" s="5">
        <v>191</v>
      </c>
      <c r="B482" s="18" t="s">
        <v>458</v>
      </c>
      <c r="C482" s="18"/>
      <c r="D482" s="18" t="s">
        <v>453</v>
      </c>
      <c r="E482" s="18" t="s">
        <v>345</v>
      </c>
      <c r="F482" s="23" t="s">
        <v>454</v>
      </c>
      <c r="G482" s="58" t="s">
        <v>475</v>
      </c>
      <c r="H482" s="123"/>
      <c r="I482" s="123"/>
      <c r="J482" s="123" t="s">
        <v>1037</v>
      </c>
      <c r="K482" s="49" t="s">
        <v>476</v>
      </c>
      <c r="L482" s="158">
        <v>0</v>
      </c>
      <c r="M482" s="159">
        <v>0</v>
      </c>
      <c r="N482" s="160">
        <v>0</v>
      </c>
      <c r="O482" s="27"/>
      <c r="P482" s="58"/>
      <c r="Q482" s="49"/>
      <c r="R482" s="27"/>
      <c r="S482" s="58"/>
      <c r="T482" s="98"/>
      <c r="U482" s="27"/>
      <c r="V482" s="58"/>
      <c r="W482" s="12"/>
      <c r="X482" s="27"/>
      <c r="Y482" s="58"/>
      <c r="Z482" s="12"/>
      <c r="AA482" s="27"/>
      <c r="AB482" s="58"/>
      <c r="AC482" s="12"/>
      <c r="AD482" s="27"/>
      <c r="AE482" s="58"/>
      <c r="AF482" s="107"/>
      <c r="AG482" s="27"/>
      <c r="AH482" s="58"/>
      <c r="AI482" s="107"/>
      <c r="AJ482" s="27"/>
      <c r="AK482" s="58"/>
      <c r="AL482" s="107"/>
      <c r="AM482" s="27"/>
      <c r="AN482" s="58"/>
      <c r="AO482" s="12"/>
      <c r="AP482" s="27"/>
      <c r="AQ482" s="58"/>
      <c r="AR482" s="12"/>
      <c r="AS482" s="27"/>
      <c r="AT482" s="58"/>
      <c r="AU482" s="12"/>
    </row>
    <row r="483" spans="1:47" ht="29.25" customHeight="1" x14ac:dyDescent="0.6">
      <c r="A483" s="5">
        <v>192</v>
      </c>
      <c r="B483" s="18" t="s">
        <v>499</v>
      </c>
      <c r="C483" s="18"/>
      <c r="D483" s="18" t="s">
        <v>455</v>
      </c>
      <c r="E483" s="18" t="s">
        <v>345</v>
      </c>
      <c r="F483" s="23" t="s">
        <v>454</v>
      </c>
      <c r="G483" s="58" t="s">
        <v>475</v>
      </c>
      <c r="H483" s="123"/>
      <c r="I483" s="123"/>
      <c r="J483" s="123" t="s">
        <v>1038</v>
      </c>
      <c r="K483" s="49" t="s">
        <v>476</v>
      </c>
      <c r="L483" s="158">
        <v>17</v>
      </c>
      <c r="M483" s="159">
        <v>352</v>
      </c>
      <c r="N483" s="160">
        <v>201.2</v>
      </c>
      <c r="O483" s="27"/>
      <c r="P483" s="58"/>
      <c r="Q483" s="49"/>
      <c r="R483" s="27"/>
      <c r="S483" s="58"/>
      <c r="T483" s="98"/>
      <c r="U483" s="27"/>
      <c r="V483" s="58"/>
      <c r="W483" s="12"/>
      <c r="X483" s="27"/>
      <c r="Y483" s="58"/>
      <c r="Z483" s="12"/>
      <c r="AA483" s="27"/>
      <c r="AB483" s="58"/>
      <c r="AC483" s="12"/>
      <c r="AD483" s="27"/>
      <c r="AE483" s="58"/>
      <c r="AF483" s="107"/>
      <c r="AG483" s="27"/>
      <c r="AH483" s="58"/>
      <c r="AI483" s="107"/>
      <c r="AJ483" s="27"/>
      <c r="AK483" s="58"/>
      <c r="AL483" s="107"/>
      <c r="AM483" s="27"/>
      <c r="AN483" s="58"/>
      <c r="AO483" s="12"/>
      <c r="AP483" s="27"/>
      <c r="AQ483" s="58"/>
      <c r="AR483" s="12"/>
      <c r="AS483" s="27"/>
      <c r="AT483" s="58"/>
      <c r="AU483" s="12"/>
    </row>
    <row r="484" spans="1:47" ht="29.25" customHeight="1" x14ac:dyDescent="0.6">
      <c r="A484" s="5">
        <v>193</v>
      </c>
      <c r="B484" s="18" t="s">
        <v>505</v>
      </c>
      <c r="C484" s="18"/>
      <c r="D484" s="18" t="s">
        <v>456</v>
      </c>
      <c r="E484" s="18" t="s">
        <v>345</v>
      </c>
      <c r="F484" s="23" t="s">
        <v>454</v>
      </c>
      <c r="G484" s="58" t="s">
        <v>475</v>
      </c>
      <c r="H484" s="123"/>
      <c r="I484" s="123"/>
      <c r="J484" s="123" t="s">
        <v>1039</v>
      </c>
      <c r="K484" s="49" t="s">
        <v>476</v>
      </c>
      <c r="L484" s="158">
        <v>45</v>
      </c>
      <c r="M484" s="159">
        <v>540</v>
      </c>
      <c r="N484" s="160">
        <v>540</v>
      </c>
      <c r="O484" s="27"/>
      <c r="P484" s="58"/>
      <c r="Q484" s="49"/>
      <c r="R484" s="27"/>
      <c r="S484" s="58"/>
      <c r="T484" s="98"/>
      <c r="U484" s="27"/>
      <c r="V484" s="58"/>
      <c r="W484" s="12"/>
      <c r="X484" s="27"/>
      <c r="Y484" s="58"/>
      <c r="Z484" s="12"/>
      <c r="AA484" s="27"/>
      <c r="AB484" s="58"/>
      <c r="AC484" s="12"/>
      <c r="AD484" s="27"/>
      <c r="AE484" s="58"/>
      <c r="AF484" s="107"/>
      <c r="AG484" s="27"/>
      <c r="AH484" s="58"/>
      <c r="AI484" s="107"/>
      <c r="AJ484" s="27"/>
      <c r="AK484" s="58"/>
      <c r="AL484" s="107"/>
      <c r="AM484" s="27"/>
      <c r="AN484" s="58"/>
      <c r="AO484" s="12"/>
      <c r="AP484" s="27"/>
      <c r="AQ484" s="58"/>
      <c r="AR484" s="12"/>
      <c r="AS484" s="27"/>
      <c r="AT484" s="58"/>
      <c r="AU484" s="12"/>
    </row>
    <row r="485" spans="1:47" ht="29.25" customHeight="1" x14ac:dyDescent="0.6">
      <c r="A485" s="5">
        <v>194</v>
      </c>
      <c r="B485" s="18" t="s">
        <v>506</v>
      </c>
      <c r="C485" s="18"/>
      <c r="D485" s="18" t="s">
        <v>277</v>
      </c>
      <c r="E485" s="18" t="s">
        <v>345</v>
      </c>
      <c r="F485" s="23" t="s">
        <v>454</v>
      </c>
      <c r="G485" s="58" t="s">
        <v>475</v>
      </c>
      <c r="H485" s="123"/>
      <c r="I485" s="123"/>
      <c r="J485" s="123" t="s">
        <v>1040</v>
      </c>
      <c r="K485" s="49" t="s">
        <v>476</v>
      </c>
      <c r="L485" s="158">
        <v>23</v>
      </c>
      <c r="M485" s="159">
        <v>500</v>
      </c>
      <c r="N485" s="160">
        <v>292</v>
      </c>
      <c r="O485" s="27"/>
      <c r="P485" s="58"/>
      <c r="Q485" s="49"/>
      <c r="R485" s="27"/>
      <c r="S485" s="58"/>
      <c r="T485" s="98"/>
      <c r="U485" s="27"/>
      <c r="V485" s="58"/>
      <c r="W485" s="12"/>
      <c r="X485" s="27"/>
      <c r="Y485" s="58"/>
      <c r="Z485" s="12"/>
      <c r="AA485" s="27"/>
      <c r="AB485" s="58"/>
      <c r="AC485" s="12"/>
      <c r="AD485" s="27"/>
      <c r="AE485" s="58"/>
      <c r="AF485" s="107"/>
      <c r="AG485" s="27"/>
      <c r="AH485" s="58"/>
      <c r="AI485" s="107"/>
      <c r="AJ485" s="27"/>
      <c r="AK485" s="58"/>
      <c r="AL485" s="107"/>
      <c r="AM485" s="27"/>
      <c r="AN485" s="58"/>
      <c r="AO485" s="12"/>
      <c r="AP485" s="27"/>
      <c r="AQ485" s="58"/>
      <c r="AR485" s="12"/>
      <c r="AS485" s="27"/>
      <c r="AT485" s="58"/>
      <c r="AU485" s="12"/>
    </row>
    <row r="486" spans="1:47" ht="29.25" customHeight="1" x14ac:dyDescent="0.6">
      <c r="A486" s="5">
        <v>195</v>
      </c>
      <c r="B486" s="18" t="s">
        <v>510</v>
      </c>
      <c r="C486" s="18"/>
      <c r="D486" s="18" t="s">
        <v>459</v>
      </c>
      <c r="E486" s="18" t="s">
        <v>460</v>
      </c>
      <c r="F486" s="23" t="s">
        <v>91</v>
      </c>
      <c r="G486" s="58" t="s">
        <v>475</v>
      </c>
      <c r="H486" s="123"/>
      <c r="I486" s="123"/>
      <c r="J486" s="123" t="s">
        <v>1041</v>
      </c>
      <c r="K486" s="49" t="s">
        <v>476</v>
      </c>
      <c r="L486" s="158">
        <v>20</v>
      </c>
      <c r="M486" s="159">
        <v>240</v>
      </c>
      <c r="N486" s="160">
        <v>240</v>
      </c>
      <c r="O486" s="27"/>
      <c r="P486" s="58"/>
      <c r="Q486" s="49"/>
      <c r="R486" s="27"/>
      <c r="S486" s="58"/>
      <c r="T486" s="98"/>
      <c r="U486" s="27"/>
      <c r="V486" s="58"/>
      <c r="W486" s="12"/>
      <c r="X486" s="27"/>
      <c r="Y486" s="58"/>
      <c r="Z486" s="12"/>
      <c r="AA486" s="27"/>
      <c r="AB486" s="58"/>
      <c r="AC486" s="12"/>
      <c r="AD486" s="27"/>
      <c r="AE486" s="58"/>
      <c r="AF486" s="107"/>
      <c r="AG486" s="27"/>
      <c r="AH486" s="58"/>
      <c r="AI486" s="107"/>
      <c r="AJ486" s="27"/>
      <c r="AK486" s="58"/>
      <c r="AL486" s="107"/>
      <c r="AM486" s="27"/>
      <c r="AN486" s="58"/>
      <c r="AO486" s="12"/>
      <c r="AP486" s="27"/>
      <c r="AQ486" s="58"/>
      <c r="AR486" s="12"/>
      <c r="AS486" s="27"/>
      <c r="AT486" s="58"/>
      <c r="AU486" s="12"/>
    </row>
    <row r="487" spans="1:47" ht="29.25" customHeight="1" x14ac:dyDescent="0.6">
      <c r="A487" s="5">
        <v>196</v>
      </c>
      <c r="B487" s="18" t="s">
        <v>511</v>
      </c>
      <c r="C487" s="18"/>
      <c r="D487" s="18" t="s">
        <v>462</v>
      </c>
      <c r="E487" s="18" t="s">
        <v>460</v>
      </c>
      <c r="F487" s="23" t="s">
        <v>91</v>
      </c>
      <c r="G487" s="58" t="s">
        <v>475</v>
      </c>
      <c r="H487" s="123"/>
      <c r="I487" s="123"/>
      <c r="J487" s="123" t="s">
        <v>1042</v>
      </c>
      <c r="K487" s="49" t="s">
        <v>476</v>
      </c>
      <c r="L487" s="158">
        <v>15</v>
      </c>
      <c r="M487" s="159">
        <v>180</v>
      </c>
      <c r="N487" s="160">
        <v>180</v>
      </c>
      <c r="O487" s="27"/>
      <c r="P487" s="58"/>
      <c r="Q487" s="49"/>
      <c r="R487" s="27"/>
      <c r="S487" s="58"/>
      <c r="T487" s="98"/>
      <c r="U487" s="27"/>
      <c r="V487" s="58"/>
      <c r="W487" s="12"/>
      <c r="X487" s="27"/>
      <c r="Y487" s="58"/>
      <c r="Z487" s="12"/>
      <c r="AA487" s="27"/>
      <c r="AB487" s="58"/>
      <c r="AC487" s="12"/>
      <c r="AD487" s="27"/>
      <c r="AE487" s="58"/>
      <c r="AF487" s="107"/>
      <c r="AG487" s="27"/>
      <c r="AH487" s="58"/>
      <c r="AI487" s="107"/>
      <c r="AJ487" s="27"/>
      <c r="AK487" s="58"/>
      <c r="AL487" s="107"/>
      <c r="AM487" s="27"/>
      <c r="AN487" s="58"/>
      <c r="AO487" s="12"/>
      <c r="AP487" s="27"/>
      <c r="AQ487" s="58"/>
      <c r="AR487" s="12"/>
      <c r="AS487" s="27"/>
      <c r="AT487" s="58"/>
      <c r="AU487" s="12"/>
    </row>
    <row r="488" spans="1:47" ht="29.25" customHeight="1" x14ac:dyDescent="0.6">
      <c r="A488" s="5">
        <v>197</v>
      </c>
      <c r="B488" s="18" t="s">
        <v>512</v>
      </c>
      <c r="C488" s="18"/>
      <c r="D488" s="18" t="s">
        <v>464</v>
      </c>
      <c r="E488" s="18" t="s">
        <v>465</v>
      </c>
      <c r="F488" s="23" t="s">
        <v>466</v>
      </c>
      <c r="G488" s="58" t="s">
        <v>475</v>
      </c>
      <c r="H488" s="123"/>
      <c r="I488" s="123"/>
      <c r="J488" s="123" t="s">
        <v>1043</v>
      </c>
      <c r="K488" s="49" t="s">
        <v>476</v>
      </c>
      <c r="L488" s="158">
        <v>96</v>
      </c>
      <c r="M488" s="159">
        <v>1516</v>
      </c>
      <c r="N488" s="160">
        <v>1178</v>
      </c>
      <c r="O488" s="27"/>
      <c r="P488" s="58"/>
      <c r="Q488" s="49"/>
      <c r="R488" s="27"/>
      <c r="S488" s="58"/>
      <c r="T488" s="98"/>
      <c r="U488" s="27"/>
      <c r="V488" s="58"/>
      <c r="W488" s="12"/>
      <c r="X488" s="27"/>
      <c r="Y488" s="58"/>
      <c r="Z488" s="12"/>
      <c r="AA488" s="27"/>
      <c r="AB488" s="58"/>
      <c r="AC488" s="12"/>
      <c r="AD488" s="27"/>
      <c r="AE488" s="58"/>
      <c r="AF488" s="107"/>
      <c r="AG488" s="27"/>
      <c r="AH488" s="58"/>
      <c r="AI488" s="107"/>
      <c r="AJ488" s="27"/>
      <c r="AK488" s="58"/>
      <c r="AL488" s="107"/>
      <c r="AM488" s="27"/>
      <c r="AN488" s="58"/>
      <c r="AO488" s="12"/>
      <c r="AP488" s="27"/>
      <c r="AQ488" s="58"/>
      <c r="AR488" s="12"/>
      <c r="AS488" s="27"/>
      <c r="AT488" s="58"/>
      <c r="AU488" s="12"/>
    </row>
    <row r="489" spans="1:47" ht="29.25" customHeight="1" x14ac:dyDescent="0.6">
      <c r="A489" s="5">
        <v>198</v>
      </c>
      <c r="B489" s="18" t="s">
        <v>514</v>
      </c>
      <c r="C489" s="18"/>
      <c r="D489" s="26" t="s">
        <v>468</v>
      </c>
      <c r="E489" s="18" t="s">
        <v>469</v>
      </c>
      <c r="F489" s="23" t="s">
        <v>470</v>
      </c>
      <c r="G489" s="58" t="s">
        <v>475</v>
      </c>
      <c r="H489" s="123"/>
      <c r="I489" s="123"/>
      <c r="J489" s="123" t="s">
        <v>1044</v>
      </c>
      <c r="K489" s="49" t="s">
        <v>476</v>
      </c>
      <c r="L489" s="158">
        <v>2</v>
      </c>
      <c r="M489" s="159">
        <v>24</v>
      </c>
      <c r="N489" s="160">
        <v>24</v>
      </c>
      <c r="O489" s="27"/>
      <c r="P489" s="58"/>
      <c r="Q489" s="49"/>
      <c r="R489" s="27"/>
      <c r="S489" s="58"/>
      <c r="T489" s="98"/>
      <c r="U489" s="27"/>
      <c r="V489" s="58"/>
      <c r="W489" s="12"/>
      <c r="X489" s="27"/>
      <c r="Y489" s="58"/>
      <c r="Z489" s="12"/>
      <c r="AA489" s="27"/>
      <c r="AB489" s="58"/>
      <c r="AC489" s="12"/>
      <c r="AD489" s="27"/>
      <c r="AE489" s="58"/>
      <c r="AF489" s="107"/>
      <c r="AG489" s="27"/>
      <c r="AH489" s="58"/>
      <c r="AI489" s="107"/>
      <c r="AJ489" s="27"/>
      <c r="AK489" s="58"/>
      <c r="AL489" s="107"/>
      <c r="AM489" s="27"/>
      <c r="AN489" s="58"/>
      <c r="AO489" s="12"/>
      <c r="AP489" s="27"/>
      <c r="AQ489" s="58"/>
      <c r="AR489" s="12"/>
      <c r="AS489" s="27"/>
      <c r="AT489" s="58"/>
      <c r="AU489" s="12"/>
    </row>
    <row r="490" spans="1:47" ht="29.25" customHeight="1" x14ac:dyDescent="0.6">
      <c r="A490" s="5">
        <v>199</v>
      </c>
      <c r="B490" s="18" t="s">
        <v>516</v>
      </c>
      <c r="C490" s="18"/>
      <c r="D490" s="18" t="s">
        <v>472</v>
      </c>
      <c r="E490" s="18" t="s">
        <v>469</v>
      </c>
      <c r="F490" s="23" t="s">
        <v>470</v>
      </c>
      <c r="G490" s="58" t="s">
        <v>475</v>
      </c>
      <c r="H490" s="123"/>
      <c r="I490" s="123"/>
      <c r="J490" s="123"/>
      <c r="K490" s="49" t="s">
        <v>476</v>
      </c>
      <c r="L490" s="158">
        <v>52</v>
      </c>
      <c r="M490" s="159">
        <v>764</v>
      </c>
      <c r="N490" s="160">
        <v>586</v>
      </c>
      <c r="O490" s="27"/>
      <c r="P490" s="58"/>
      <c r="Q490" s="49"/>
      <c r="R490" s="27"/>
      <c r="S490" s="58"/>
      <c r="T490" s="98"/>
      <c r="U490" s="27"/>
      <c r="V490" s="58"/>
      <c r="W490" s="12"/>
      <c r="X490" s="27"/>
      <c r="Y490" s="58"/>
      <c r="Z490" s="12"/>
      <c r="AA490" s="27"/>
      <c r="AB490" s="58"/>
      <c r="AC490" s="12"/>
      <c r="AD490" s="27"/>
      <c r="AE490" s="58"/>
      <c r="AF490" s="107"/>
      <c r="AG490" s="27"/>
      <c r="AH490" s="58"/>
      <c r="AI490" s="107"/>
      <c r="AJ490" s="27"/>
      <c r="AK490" s="58"/>
      <c r="AL490" s="107"/>
      <c r="AM490" s="27"/>
      <c r="AN490" s="58"/>
      <c r="AO490" s="12"/>
      <c r="AP490" s="27"/>
      <c r="AQ490" s="58"/>
      <c r="AR490" s="12"/>
      <c r="AS490" s="27"/>
      <c r="AT490" s="58"/>
      <c r="AU490" s="12"/>
    </row>
    <row r="491" spans="1:47" ht="29.25" customHeight="1" x14ac:dyDescent="0.6">
      <c r="A491" s="5">
        <v>200</v>
      </c>
      <c r="B491" s="18" t="s">
        <v>518</v>
      </c>
      <c r="C491" s="18"/>
      <c r="D491" s="18" t="s">
        <v>474</v>
      </c>
      <c r="E491" s="18" t="s">
        <v>128</v>
      </c>
      <c r="F491" s="23" t="s">
        <v>129</v>
      </c>
      <c r="G491" s="58" t="s">
        <v>475</v>
      </c>
      <c r="H491" s="123"/>
      <c r="I491" s="123"/>
      <c r="J491" s="123" t="s">
        <v>1045</v>
      </c>
      <c r="K491" s="49" t="s">
        <v>476</v>
      </c>
      <c r="L491" s="158">
        <v>33</v>
      </c>
      <c r="M491" s="159">
        <v>424</v>
      </c>
      <c r="N491" s="160">
        <v>388.4</v>
      </c>
      <c r="O491" s="27"/>
      <c r="P491" s="58"/>
      <c r="Q491" s="49"/>
      <c r="R491" s="27"/>
      <c r="S491" s="58"/>
      <c r="T491" s="98"/>
      <c r="U491" s="27"/>
      <c r="V491" s="58"/>
      <c r="W491" s="12"/>
      <c r="X491" s="27"/>
      <c r="Y491" s="58"/>
      <c r="Z491" s="12"/>
      <c r="AA491" s="27"/>
      <c r="AB491" s="58"/>
      <c r="AC491" s="12"/>
      <c r="AD491" s="27"/>
      <c r="AE491" s="58"/>
      <c r="AF491" s="107"/>
      <c r="AG491" s="27"/>
      <c r="AH491" s="58"/>
      <c r="AI491" s="107"/>
      <c r="AJ491" s="27"/>
      <c r="AK491" s="58"/>
      <c r="AL491" s="107"/>
      <c r="AM491" s="27"/>
      <c r="AN491" s="58"/>
      <c r="AO491" s="12"/>
      <c r="AP491" s="27"/>
      <c r="AQ491" s="58"/>
      <c r="AR491" s="12"/>
      <c r="AS491" s="27"/>
      <c r="AT491" s="58"/>
      <c r="AU491" s="12"/>
    </row>
    <row r="492" spans="1:47" ht="29.25" customHeight="1" x14ac:dyDescent="0.6">
      <c r="A492" s="5">
        <v>201</v>
      </c>
      <c r="B492" s="18">
        <v>185</v>
      </c>
      <c r="C492" s="18"/>
      <c r="D492" s="18" t="s">
        <v>478</v>
      </c>
      <c r="E492" s="18" t="s">
        <v>128</v>
      </c>
      <c r="F492" s="23" t="s">
        <v>129</v>
      </c>
      <c r="G492" s="110" t="s">
        <v>475</v>
      </c>
      <c r="H492" s="123"/>
      <c r="I492" s="123"/>
      <c r="J492" s="123" t="s">
        <v>1046</v>
      </c>
      <c r="K492" s="49" t="s">
        <v>476</v>
      </c>
      <c r="L492" s="158">
        <v>9</v>
      </c>
      <c r="M492" s="159">
        <v>108</v>
      </c>
      <c r="N492" s="160">
        <v>108</v>
      </c>
      <c r="O492" s="27"/>
      <c r="P492" s="58"/>
      <c r="Q492" s="49"/>
      <c r="R492" s="27"/>
      <c r="S492" s="58"/>
      <c r="T492" s="98"/>
      <c r="U492" s="27"/>
      <c r="V492" s="58"/>
      <c r="W492" s="12"/>
      <c r="X492" s="27"/>
      <c r="Y492" s="58"/>
      <c r="Z492" s="12"/>
      <c r="AA492" s="27"/>
      <c r="AB492" s="58"/>
      <c r="AC492" s="12"/>
      <c r="AD492" s="27"/>
      <c r="AE492" s="58"/>
      <c r="AF492" s="107"/>
      <c r="AG492" s="27"/>
      <c r="AH492" s="58"/>
      <c r="AI492" s="107"/>
      <c r="AJ492" s="27"/>
      <c r="AK492" s="58"/>
      <c r="AL492" s="107"/>
      <c r="AM492" s="27"/>
      <c r="AN492" s="58"/>
      <c r="AO492" s="12"/>
      <c r="AP492" s="27"/>
      <c r="AQ492" s="58"/>
      <c r="AR492" s="12"/>
      <c r="AS492" s="27"/>
      <c r="AT492" s="58"/>
      <c r="AU492" s="12"/>
    </row>
    <row r="493" spans="1:47" ht="29.25" customHeight="1" x14ac:dyDescent="0.6">
      <c r="A493" s="5">
        <v>202</v>
      </c>
      <c r="B493" s="18" t="s">
        <v>522</v>
      </c>
      <c r="C493" s="18"/>
      <c r="D493" s="18" t="s">
        <v>480</v>
      </c>
      <c r="E493" s="18" t="s">
        <v>128</v>
      </c>
      <c r="F493" s="23" t="s">
        <v>129</v>
      </c>
      <c r="G493" s="58" t="s">
        <v>475</v>
      </c>
      <c r="H493" s="123"/>
      <c r="I493" s="123"/>
      <c r="J493" s="123" t="s">
        <v>1047</v>
      </c>
      <c r="K493" s="49" t="s">
        <v>476</v>
      </c>
      <c r="L493" s="158">
        <v>0</v>
      </c>
      <c r="M493" s="159">
        <v>0</v>
      </c>
      <c r="N493" s="160">
        <v>0</v>
      </c>
      <c r="O493" s="27"/>
      <c r="P493" s="58"/>
      <c r="Q493" s="49"/>
      <c r="R493" s="27"/>
      <c r="S493" s="58"/>
      <c r="T493" s="98"/>
      <c r="U493" s="27"/>
      <c r="V493" s="58"/>
      <c r="W493" s="12"/>
      <c r="X493" s="27"/>
      <c r="Y493" s="58"/>
      <c r="Z493" s="12"/>
      <c r="AA493" s="27"/>
      <c r="AB493" s="58"/>
      <c r="AC493" s="12"/>
      <c r="AD493" s="27"/>
      <c r="AE493" s="58"/>
      <c r="AF493" s="107"/>
      <c r="AG493" s="27"/>
      <c r="AH493" s="58"/>
      <c r="AI493" s="107"/>
      <c r="AJ493" s="27"/>
      <c r="AK493" s="58"/>
      <c r="AL493" s="107"/>
      <c r="AM493" s="27"/>
      <c r="AN493" s="58"/>
      <c r="AO493" s="12"/>
      <c r="AP493" s="27"/>
      <c r="AQ493" s="58"/>
      <c r="AR493" s="12"/>
      <c r="AS493" s="27"/>
      <c r="AT493" s="58"/>
      <c r="AU493" s="12"/>
    </row>
    <row r="494" spans="1:47" ht="29.25" customHeight="1" x14ac:dyDescent="0.6">
      <c r="A494" s="5">
        <v>203</v>
      </c>
      <c r="B494" s="18" t="s">
        <v>524</v>
      </c>
      <c r="C494" s="18"/>
      <c r="D494" s="18" t="s">
        <v>482</v>
      </c>
      <c r="E494" s="18" t="s">
        <v>128</v>
      </c>
      <c r="F494" s="23" t="s">
        <v>129</v>
      </c>
      <c r="G494" s="58" t="s">
        <v>475</v>
      </c>
      <c r="H494" s="123"/>
      <c r="I494" s="123"/>
      <c r="J494" s="123" t="s">
        <v>1048</v>
      </c>
      <c r="K494" s="49" t="s">
        <v>476</v>
      </c>
      <c r="L494" s="158">
        <v>218</v>
      </c>
      <c r="M494" s="159">
        <v>2692</v>
      </c>
      <c r="N494" s="160">
        <v>2500.48</v>
      </c>
      <c r="O494" s="27"/>
      <c r="P494" s="58"/>
      <c r="Q494" s="49"/>
      <c r="R494" s="27"/>
      <c r="S494" s="58"/>
      <c r="T494" s="98"/>
      <c r="U494" s="27"/>
      <c r="V494" s="58"/>
      <c r="W494" s="12"/>
      <c r="X494" s="27"/>
      <c r="Y494" s="58"/>
      <c r="Z494" s="12"/>
      <c r="AA494" s="27"/>
      <c r="AB494" s="58"/>
      <c r="AC494" s="12"/>
      <c r="AD494" s="27"/>
      <c r="AE494" s="58"/>
      <c r="AF494" s="107"/>
      <c r="AG494" s="27"/>
      <c r="AH494" s="58"/>
      <c r="AI494" s="107"/>
      <c r="AJ494" s="27"/>
      <c r="AK494" s="58"/>
      <c r="AL494" s="107"/>
      <c r="AM494" s="27"/>
      <c r="AN494" s="58"/>
      <c r="AO494" s="12"/>
      <c r="AP494" s="27"/>
      <c r="AQ494" s="58"/>
      <c r="AR494" s="12"/>
      <c r="AS494" s="27"/>
      <c r="AT494" s="58"/>
      <c r="AU494" s="12"/>
    </row>
    <row r="495" spans="1:47" ht="29.25" customHeight="1" x14ac:dyDescent="0.6">
      <c r="A495" s="5">
        <v>204</v>
      </c>
      <c r="B495" s="18" t="s">
        <v>1159</v>
      </c>
      <c r="C495" s="18"/>
      <c r="D495" s="18" t="s">
        <v>484</v>
      </c>
      <c r="E495" s="18" t="s">
        <v>128</v>
      </c>
      <c r="F495" s="23" t="s">
        <v>129</v>
      </c>
      <c r="G495" s="58" t="s">
        <v>475</v>
      </c>
      <c r="H495" s="123"/>
      <c r="I495" s="123"/>
      <c r="J495" s="123" t="s">
        <v>1049</v>
      </c>
      <c r="K495" s="49" t="s">
        <v>476</v>
      </c>
      <c r="L495" s="158">
        <v>0</v>
      </c>
      <c r="M495" s="159">
        <v>0</v>
      </c>
      <c r="N495" s="160">
        <v>0</v>
      </c>
      <c r="O495" s="27"/>
      <c r="P495" s="58"/>
      <c r="Q495" s="49"/>
      <c r="R495" s="27"/>
      <c r="S495" s="58"/>
      <c r="T495" s="98"/>
      <c r="U495" s="27"/>
      <c r="V495" s="58"/>
      <c r="W495" s="12"/>
      <c r="X495" s="27"/>
      <c r="Y495" s="58"/>
      <c r="Z495" s="12"/>
      <c r="AA495" s="27"/>
      <c r="AB495" s="58"/>
      <c r="AC495" s="12"/>
      <c r="AD495" s="27"/>
      <c r="AE495" s="58"/>
      <c r="AF495" s="107"/>
      <c r="AG495" s="27"/>
      <c r="AH495" s="58"/>
      <c r="AI495" s="107"/>
      <c r="AJ495" s="27"/>
      <c r="AK495" s="58"/>
      <c r="AL495" s="107"/>
      <c r="AM495" s="27"/>
      <c r="AN495" s="58"/>
      <c r="AO495" s="12"/>
      <c r="AP495" s="27"/>
      <c r="AQ495" s="58"/>
      <c r="AR495" s="12"/>
      <c r="AS495" s="27"/>
      <c r="AT495" s="58"/>
      <c r="AU495" s="12"/>
    </row>
    <row r="496" spans="1:47" ht="29.25" customHeight="1" x14ac:dyDescent="0.6">
      <c r="A496" s="5">
        <v>205</v>
      </c>
      <c r="B496" s="18" t="s">
        <v>160</v>
      </c>
      <c r="C496" s="18"/>
      <c r="D496" s="18" t="s">
        <v>486</v>
      </c>
      <c r="E496" s="18" t="s">
        <v>128</v>
      </c>
      <c r="F496" s="23" t="s">
        <v>129</v>
      </c>
      <c r="G496" s="58" t="s">
        <v>475</v>
      </c>
      <c r="H496" s="123"/>
      <c r="I496" s="123"/>
      <c r="J496" s="123" t="s">
        <v>1050</v>
      </c>
      <c r="K496" s="49" t="s">
        <v>476</v>
      </c>
      <c r="L496" s="158">
        <v>45</v>
      </c>
      <c r="M496" s="159">
        <v>540</v>
      </c>
      <c r="N496" s="160">
        <v>540</v>
      </c>
      <c r="O496" s="27"/>
      <c r="P496" s="58"/>
      <c r="Q496" s="49"/>
      <c r="R496" s="27"/>
      <c r="S496" s="58"/>
      <c r="T496" s="98"/>
      <c r="U496" s="27"/>
      <c r="V496" s="58"/>
      <c r="W496" s="12"/>
      <c r="X496" s="27"/>
      <c r="Y496" s="58"/>
      <c r="Z496" s="12"/>
      <c r="AA496" s="27"/>
      <c r="AB496" s="58"/>
      <c r="AC496" s="12"/>
      <c r="AD496" s="27"/>
      <c r="AE496" s="58"/>
      <c r="AF496" s="107"/>
      <c r="AG496" s="27"/>
      <c r="AH496" s="58"/>
      <c r="AI496" s="107"/>
      <c r="AJ496" s="27"/>
      <c r="AK496" s="58"/>
      <c r="AL496" s="107"/>
      <c r="AM496" s="27"/>
      <c r="AN496" s="58"/>
      <c r="AO496" s="12"/>
      <c r="AP496" s="27"/>
      <c r="AQ496" s="58"/>
      <c r="AR496" s="12"/>
      <c r="AS496" s="27"/>
      <c r="AT496" s="58"/>
      <c r="AU496" s="12"/>
    </row>
    <row r="497" spans="1:47" ht="29.25" customHeight="1" x14ac:dyDescent="0.6">
      <c r="A497" s="5">
        <v>206</v>
      </c>
      <c r="B497" s="18" t="s">
        <v>217</v>
      </c>
      <c r="C497" s="18"/>
      <c r="D497" s="18" t="s">
        <v>488</v>
      </c>
      <c r="E497" s="18" t="s">
        <v>128</v>
      </c>
      <c r="F497" s="23" t="s">
        <v>129</v>
      </c>
      <c r="G497" s="58" t="s">
        <v>475</v>
      </c>
      <c r="H497" s="123"/>
      <c r="I497" s="123"/>
      <c r="J497" s="123" t="s">
        <v>1051</v>
      </c>
      <c r="K497" s="49" t="s">
        <v>476</v>
      </c>
      <c r="L497" s="158">
        <v>61</v>
      </c>
      <c r="M497" s="159">
        <v>828</v>
      </c>
      <c r="N497" s="160">
        <v>671.36</v>
      </c>
      <c r="O497" s="27"/>
      <c r="P497" s="58"/>
      <c r="Q497" s="49"/>
      <c r="R497" s="27"/>
      <c r="S497" s="58"/>
      <c r="T497" s="98"/>
      <c r="U497" s="27"/>
      <c r="V497" s="58"/>
      <c r="W497" s="12"/>
      <c r="X497" s="27"/>
      <c r="Y497" s="58"/>
      <c r="Z497" s="12"/>
      <c r="AA497" s="27"/>
      <c r="AB497" s="58"/>
      <c r="AC497" s="12"/>
      <c r="AD497" s="27"/>
      <c r="AE497" s="58"/>
      <c r="AF497" s="107"/>
      <c r="AG497" s="27"/>
      <c r="AH497" s="58"/>
      <c r="AI497" s="107"/>
      <c r="AJ497" s="27"/>
      <c r="AK497" s="58"/>
      <c r="AL497" s="107"/>
      <c r="AM497" s="27"/>
      <c r="AN497" s="58"/>
      <c r="AO497" s="12"/>
      <c r="AP497" s="27"/>
      <c r="AQ497" s="58"/>
      <c r="AR497" s="12"/>
      <c r="AS497" s="27"/>
      <c r="AT497" s="58"/>
      <c r="AU497" s="12"/>
    </row>
    <row r="498" spans="1:47" ht="29.25" customHeight="1" x14ac:dyDescent="0.6">
      <c r="A498" s="5">
        <v>207</v>
      </c>
      <c r="B498" s="18" t="s">
        <v>228</v>
      </c>
      <c r="C498" s="18"/>
      <c r="D498" s="18" t="s">
        <v>490</v>
      </c>
      <c r="E498" s="18" t="s">
        <v>128</v>
      </c>
      <c r="F498" s="23" t="s">
        <v>129</v>
      </c>
      <c r="G498" s="58" t="s">
        <v>475</v>
      </c>
      <c r="H498" s="123"/>
      <c r="I498" s="123"/>
      <c r="J498" s="123" t="s">
        <v>1052</v>
      </c>
      <c r="K498" s="49" t="s">
        <v>476</v>
      </c>
      <c r="L498" s="158">
        <v>0</v>
      </c>
      <c r="M498" s="159">
        <v>0</v>
      </c>
      <c r="N498" s="160">
        <v>0</v>
      </c>
      <c r="O498" s="27"/>
      <c r="P498" s="58"/>
      <c r="Q498" s="49"/>
      <c r="R498" s="27"/>
      <c r="S498" s="58"/>
      <c r="T498" s="98"/>
      <c r="U498" s="27"/>
      <c r="V498" s="58"/>
      <c r="W498" s="12"/>
      <c r="X498" s="27"/>
      <c r="Y498" s="58"/>
      <c r="Z498" s="12"/>
      <c r="AA498" s="27"/>
      <c r="AB498" s="58"/>
      <c r="AC498" s="12"/>
      <c r="AD498" s="27"/>
      <c r="AE498" s="58"/>
      <c r="AF498" s="107"/>
      <c r="AG498" s="27"/>
      <c r="AH498" s="58"/>
      <c r="AI498" s="107"/>
      <c r="AJ498" s="27"/>
      <c r="AK498" s="58"/>
      <c r="AL498" s="107"/>
      <c r="AM498" s="27"/>
      <c r="AN498" s="58"/>
      <c r="AO498" s="12"/>
      <c r="AP498" s="27"/>
      <c r="AQ498" s="58"/>
      <c r="AR498" s="12"/>
      <c r="AS498" s="27"/>
      <c r="AT498" s="58"/>
      <c r="AU498" s="12"/>
    </row>
    <row r="499" spans="1:47" ht="29.25" customHeight="1" x14ac:dyDescent="0.6">
      <c r="A499" s="5">
        <v>208</v>
      </c>
      <c r="B499" s="18" t="s">
        <v>527</v>
      </c>
      <c r="C499" s="18"/>
      <c r="D499" s="18" t="s">
        <v>491</v>
      </c>
      <c r="E499" s="18" t="s">
        <v>128</v>
      </c>
      <c r="F499" s="23" t="s">
        <v>129</v>
      </c>
      <c r="G499" s="58" t="s">
        <v>531</v>
      </c>
      <c r="H499" s="123"/>
      <c r="I499" s="123"/>
      <c r="J499" s="123" t="s">
        <v>1053</v>
      </c>
      <c r="K499" s="49" t="s">
        <v>1165</v>
      </c>
      <c r="L499" s="158">
        <v>94.331999999999994</v>
      </c>
      <c r="M499" s="159">
        <v>1141</v>
      </c>
      <c r="N499" s="160">
        <v>1123.3600000000001</v>
      </c>
      <c r="O499" s="27"/>
      <c r="P499" s="58"/>
      <c r="Q499" s="49"/>
      <c r="R499" s="27"/>
      <c r="S499" s="58"/>
      <c r="T499" s="98"/>
      <c r="U499" s="27"/>
      <c r="V499" s="58"/>
      <c r="W499" s="12"/>
      <c r="X499" s="27"/>
      <c r="Y499" s="58"/>
      <c r="Z499" s="12"/>
      <c r="AA499" s="27"/>
      <c r="AB499" s="58"/>
      <c r="AC499" s="12"/>
      <c r="AD499" s="27"/>
      <c r="AE499" s="58"/>
      <c r="AF499" s="107"/>
      <c r="AG499" s="27"/>
      <c r="AH499" s="58"/>
      <c r="AI499" s="107"/>
      <c r="AJ499" s="27"/>
      <c r="AK499" s="58"/>
      <c r="AL499" s="107"/>
      <c r="AM499" s="27"/>
      <c r="AN499" s="58"/>
      <c r="AO499" s="12"/>
      <c r="AP499" s="27"/>
      <c r="AQ499" s="58"/>
      <c r="AR499" s="12"/>
      <c r="AS499" s="27"/>
      <c r="AT499" s="58"/>
      <c r="AU499" s="12"/>
    </row>
    <row r="500" spans="1:47" ht="29.25" customHeight="1" x14ac:dyDescent="0.6">
      <c r="A500" s="5">
        <v>209</v>
      </c>
      <c r="B500" s="18" t="s">
        <v>532</v>
      </c>
      <c r="C500" s="18"/>
      <c r="D500" s="18" t="s">
        <v>493</v>
      </c>
      <c r="E500" s="18" t="s">
        <v>128</v>
      </c>
      <c r="F500" s="23" t="s">
        <v>129</v>
      </c>
      <c r="G500" s="58" t="s">
        <v>531</v>
      </c>
      <c r="H500" s="123"/>
      <c r="I500" s="123"/>
      <c r="J500" s="123" t="s">
        <v>1054</v>
      </c>
      <c r="K500" s="49" t="s">
        <v>1165</v>
      </c>
      <c r="L500" s="158">
        <v>79.415999999999997</v>
      </c>
      <c r="M500" s="159">
        <v>1276</v>
      </c>
      <c r="N500" s="160">
        <v>988.7600000000001</v>
      </c>
      <c r="O500" s="27"/>
      <c r="P500" s="58"/>
      <c r="Q500" s="49"/>
      <c r="R500" s="27"/>
      <c r="S500" s="58"/>
      <c r="T500" s="98"/>
      <c r="U500" s="27"/>
      <c r="V500" s="58"/>
      <c r="W500" s="12"/>
      <c r="X500" s="27"/>
      <c r="Y500" s="58"/>
      <c r="Z500" s="12"/>
      <c r="AA500" s="27"/>
      <c r="AB500" s="58"/>
      <c r="AC500" s="12"/>
      <c r="AD500" s="27"/>
      <c r="AE500" s="58"/>
      <c r="AF500" s="107"/>
      <c r="AG500" s="27"/>
      <c r="AH500" s="58"/>
      <c r="AI500" s="107"/>
      <c r="AJ500" s="27"/>
      <c r="AK500" s="58"/>
      <c r="AL500" s="107"/>
      <c r="AM500" s="27"/>
      <c r="AN500" s="58"/>
      <c r="AO500" s="12"/>
      <c r="AP500" s="27"/>
      <c r="AQ500" s="58"/>
      <c r="AR500" s="12"/>
      <c r="AS500" s="27"/>
      <c r="AT500" s="58"/>
      <c r="AU500" s="12"/>
    </row>
    <row r="501" spans="1:47" ht="29.25" customHeight="1" x14ac:dyDescent="0.6">
      <c r="A501" s="5">
        <v>210</v>
      </c>
      <c r="B501" s="18" t="s">
        <v>534</v>
      </c>
      <c r="C501" s="18"/>
      <c r="D501" s="18" t="s">
        <v>440</v>
      </c>
      <c r="E501" s="18" t="s">
        <v>494</v>
      </c>
      <c r="F501" s="23" t="s">
        <v>495</v>
      </c>
      <c r="G501" s="58" t="s">
        <v>531</v>
      </c>
      <c r="H501" s="123"/>
      <c r="I501" s="123"/>
      <c r="J501" s="123" t="s">
        <v>1055</v>
      </c>
      <c r="K501" s="49" t="s">
        <v>1165</v>
      </c>
      <c r="L501" s="158">
        <v>122.5</v>
      </c>
      <c r="M501" s="159">
        <v>1668</v>
      </c>
      <c r="N501" s="160">
        <v>1450.3000000000002</v>
      </c>
      <c r="O501" s="27"/>
      <c r="P501" s="58"/>
      <c r="Q501" s="49"/>
      <c r="R501" s="27"/>
      <c r="S501" s="58"/>
      <c r="T501" s="98"/>
      <c r="U501" s="27"/>
      <c r="V501" s="58"/>
      <c r="W501" s="12"/>
      <c r="X501" s="27"/>
      <c r="Y501" s="58"/>
      <c r="Z501" s="12"/>
      <c r="AA501" s="27"/>
      <c r="AB501" s="58"/>
      <c r="AC501" s="12"/>
      <c r="AD501" s="27"/>
      <c r="AE501" s="58"/>
      <c r="AF501" s="107"/>
      <c r="AG501" s="27"/>
      <c r="AH501" s="58"/>
      <c r="AI501" s="107"/>
      <c r="AJ501" s="27"/>
      <c r="AK501" s="58"/>
      <c r="AL501" s="107"/>
      <c r="AM501" s="27"/>
      <c r="AN501" s="58"/>
      <c r="AO501" s="12"/>
      <c r="AP501" s="27"/>
      <c r="AQ501" s="58"/>
      <c r="AR501" s="12"/>
      <c r="AS501" s="27"/>
      <c r="AT501" s="58"/>
      <c r="AU501" s="12"/>
    </row>
    <row r="502" spans="1:47" ht="29.25" customHeight="1" x14ac:dyDescent="0.6">
      <c r="A502" s="5">
        <v>211</v>
      </c>
      <c r="B502" s="18" t="s">
        <v>536</v>
      </c>
      <c r="C502" s="18"/>
      <c r="D502" s="18" t="s">
        <v>496</v>
      </c>
      <c r="E502" s="18" t="s">
        <v>494</v>
      </c>
      <c r="F502" s="23" t="s">
        <v>495</v>
      </c>
      <c r="G502" s="58" t="s">
        <v>531</v>
      </c>
      <c r="H502" s="123"/>
      <c r="I502" s="123"/>
      <c r="J502" s="123" t="s">
        <v>1056</v>
      </c>
      <c r="K502" s="49" t="s">
        <v>1165</v>
      </c>
      <c r="L502" s="158">
        <v>77</v>
      </c>
      <c r="M502" s="159">
        <v>1000</v>
      </c>
      <c r="N502" s="160">
        <v>897.6</v>
      </c>
      <c r="O502" s="27"/>
      <c r="P502" s="58"/>
      <c r="Q502" s="49"/>
      <c r="R502" s="27"/>
      <c r="S502" s="58"/>
      <c r="T502" s="98"/>
      <c r="U502" s="27"/>
      <c r="V502" s="58"/>
      <c r="W502" s="12"/>
      <c r="X502" s="27"/>
      <c r="Y502" s="58"/>
      <c r="Z502" s="12"/>
      <c r="AA502" s="27"/>
      <c r="AB502" s="58"/>
      <c r="AC502" s="12"/>
      <c r="AD502" s="27"/>
      <c r="AE502" s="58"/>
      <c r="AF502" s="107"/>
      <c r="AG502" s="27"/>
      <c r="AH502" s="58"/>
      <c r="AI502" s="107"/>
      <c r="AJ502" s="27"/>
      <c r="AK502" s="58"/>
      <c r="AL502" s="107"/>
      <c r="AM502" s="27"/>
      <c r="AN502" s="58"/>
      <c r="AO502" s="12"/>
      <c r="AP502" s="27"/>
      <c r="AQ502" s="58"/>
      <c r="AR502" s="12"/>
      <c r="AS502" s="27"/>
      <c r="AT502" s="58"/>
      <c r="AU502" s="12"/>
    </row>
    <row r="503" spans="1:47" ht="29.25" customHeight="1" x14ac:dyDescent="0.6">
      <c r="A503" s="5">
        <v>212</v>
      </c>
      <c r="B503" s="18" t="s">
        <v>537</v>
      </c>
      <c r="C503" s="18"/>
      <c r="D503" s="18" t="s">
        <v>498</v>
      </c>
      <c r="E503" s="18" t="s">
        <v>494</v>
      </c>
      <c r="F503" s="23" t="s">
        <v>495</v>
      </c>
      <c r="G503" s="58" t="s">
        <v>531</v>
      </c>
      <c r="H503" s="123"/>
      <c r="I503" s="123"/>
      <c r="J503" s="123" t="s">
        <v>1057</v>
      </c>
      <c r="K503" s="49" t="s">
        <v>1165</v>
      </c>
      <c r="L503" s="158">
        <v>71</v>
      </c>
      <c r="M503" s="159">
        <v>1704</v>
      </c>
      <c r="N503" s="160">
        <v>893.76</v>
      </c>
      <c r="O503" s="27"/>
      <c r="P503" s="58"/>
      <c r="Q503" s="49"/>
      <c r="R503" s="27"/>
      <c r="S503" s="58"/>
      <c r="T503" s="98"/>
      <c r="U503" s="27"/>
      <c r="V503" s="58"/>
      <c r="W503" s="12"/>
      <c r="X503" s="27"/>
      <c r="Y503" s="58"/>
      <c r="Z503" s="12"/>
      <c r="AA503" s="27"/>
      <c r="AB503" s="58"/>
      <c r="AC503" s="12"/>
      <c r="AD503" s="27"/>
      <c r="AE503" s="58"/>
      <c r="AF503" s="107"/>
      <c r="AG503" s="27"/>
      <c r="AH503" s="58"/>
      <c r="AI503" s="107"/>
      <c r="AJ503" s="27"/>
      <c r="AK503" s="58"/>
      <c r="AL503" s="107"/>
      <c r="AM503" s="27"/>
      <c r="AN503" s="58"/>
      <c r="AO503" s="12"/>
      <c r="AP503" s="27"/>
      <c r="AQ503" s="58"/>
      <c r="AR503" s="12"/>
      <c r="AS503" s="27"/>
      <c r="AT503" s="58"/>
      <c r="AU503" s="12"/>
    </row>
    <row r="504" spans="1:47" ht="29.25" customHeight="1" x14ac:dyDescent="0.6">
      <c r="A504" s="5">
        <v>213</v>
      </c>
      <c r="B504" s="18" t="s">
        <v>112</v>
      </c>
      <c r="C504" s="18"/>
      <c r="D504" s="18" t="s">
        <v>459</v>
      </c>
      <c r="E504" s="18" t="s">
        <v>494</v>
      </c>
      <c r="F504" s="23" t="s">
        <v>495</v>
      </c>
      <c r="G504" s="110" t="s">
        <v>531</v>
      </c>
      <c r="H504" s="123"/>
      <c r="I504" s="123"/>
      <c r="J504" s="123" t="s">
        <v>1058</v>
      </c>
      <c r="K504" s="49" t="s">
        <v>1165</v>
      </c>
      <c r="L504" s="158">
        <v>60</v>
      </c>
      <c r="M504" s="159">
        <v>776</v>
      </c>
      <c r="N504" s="160">
        <v>709.6</v>
      </c>
      <c r="O504" s="27"/>
      <c r="P504" s="58"/>
      <c r="Q504" s="49"/>
      <c r="R504" s="27"/>
      <c r="S504" s="58"/>
      <c r="T504" s="98"/>
      <c r="U504" s="27"/>
      <c r="V504" s="58"/>
      <c r="W504" s="12"/>
      <c r="X504" s="27"/>
      <c r="Y504" s="58"/>
      <c r="Z504" s="12"/>
      <c r="AA504" s="27"/>
      <c r="AB504" s="58"/>
      <c r="AC504" s="12"/>
      <c r="AD504" s="27"/>
      <c r="AE504" s="58"/>
      <c r="AF504" s="107"/>
      <c r="AG504" s="27"/>
      <c r="AH504" s="58"/>
      <c r="AI504" s="107"/>
      <c r="AJ504" s="27"/>
      <c r="AK504" s="58"/>
      <c r="AL504" s="107"/>
      <c r="AM504" s="27"/>
      <c r="AN504" s="58"/>
      <c r="AO504" s="12"/>
      <c r="AP504" s="27"/>
      <c r="AQ504" s="58"/>
      <c r="AR504" s="12"/>
      <c r="AS504" s="27"/>
      <c r="AT504" s="58"/>
      <c r="AU504" s="12"/>
    </row>
    <row r="505" spans="1:47" ht="29.25" customHeight="1" x14ac:dyDescent="0.6">
      <c r="A505" s="5">
        <v>214</v>
      </c>
      <c r="B505" s="18" t="s">
        <v>666</v>
      </c>
      <c r="C505" s="18"/>
      <c r="D505" s="18" t="s">
        <v>500</v>
      </c>
      <c r="E505" s="18" t="s">
        <v>494</v>
      </c>
      <c r="F505" s="23" t="s">
        <v>495</v>
      </c>
      <c r="G505" s="110" t="s">
        <v>531</v>
      </c>
      <c r="H505" s="123"/>
      <c r="I505" s="123"/>
      <c r="J505" s="123" t="s">
        <v>1059</v>
      </c>
      <c r="K505" s="49" t="s">
        <v>1165</v>
      </c>
      <c r="L505" s="158">
        <v>150</v>
      </c>
      <c r="M505" s="159">
        <v>2060</v>
      </c>
      <c r="N505" s="160">
        <v>1404.8</v>
      </c>
      <c r="O505" s="27"/>
      <c r="P505" s="58"/>
      <c r="Q505" s="49"/>
      <c r="R505" s="27"/>
      <c r="S505" s="58"/>
      <c r="T505" s="98"/>
      <c r="U505" s="27"/>
      <c r="V505" s="58"/>
      <c r="W505" s="12"/>
      <c r="X505" s="27"/>
      <c r="Y505" s="58"/>
      <c r="Z505" s="12"/>
      <c r="AA505" s="27"/>
      <c r="AB505" s="58"/>
      <c r="AC505" s="12"/>
      <c r="AD505" s="27"/>
      <c r="AE505" s="58"/>
      <c r="AF505" s="107"/>
      <c r="AG505" s="27"/>
      <c r="AH505" s="58"/>
      <c r="AI505" s="107"/>
      <c r="AJ505" s="27"/>
      <c r="AK505" s="58"/>
      <c r="AL505" s="107"/>
      <c r="AM505" s="27"/>
      <c r="AN505" s="58"/>
      <c r="AO505" s="12"/>
      <c r="AP505" s="27"/>
      <c r="AQ505" s="58"/>
      <c r="AR505" s="12"/>
      <c r="AS505" s="27"/>
      <c r="AT505" s="58"/>
      <c r="AU505" s="12"/>
    </row>
    <row r="506" spans="1:47" ht="29.25" customHeight="1" x14ac:dyDescent="0.6">
      <c r="A506" s="5">
        <v>215</v>
      </c>
      <c r="B506" s="18" t="s">
        <v>1160</v>
      </c>
      <c r="C506" s="18"/>
      <c r="D506" s="18" t="s">
        <v>502</v>
      </c>
      <c r="E506" s="18" t="s">
        <v>503</v>
      </c>
      <c r="F506" s="23" t="s">
        <v>504</v>
      </c>
      <c r="G506" s="110" t="s">
        <v>531</v>
      </c>
      <c r="H506" s="123"/>
      <c r="I506" s="123"/>
      <c r="J506" s="123"/>
      <c r="K506" s="49" t="s">
        <v>1165</v>
      </c>
      <c r="L506" s="158">
        <v>107.333</v>
      </c>
      <c r="M506" s="159">
        <v>1328</v>
      </c>
      <c r="N506" s="160">
        <v>1285.1999999999998</v>
      </c>
      <c r="O506" s="27"/>
      <c r="P506" s="58"/>
      <c r="Q506" s="49"/>
      <c r="R506" s="27"/>
      <c r="S506" s="58"/>
      <c r="T506" s="98"/>
      <c r="U506" s="27"/>
      <c r="V506" s="58"/>
      <c r="W506" s="12"/>
      <c r="X506" s="27"/>
      <c r="Y506" s="58"/>
      <c r="Z506" s="12"/>
      <c r="AA506" s="27"/>
      <c r="AB506" s="58"/>
      <c r="AC506" s="12"/>
      <c r="AD506" s="27"/>
      <c r="AE506" s="58"/>
      <c r="AF506" s="107"/>
      <c r="AG506" s="27"/>
      <c r="AH506" s="58"/>
      <c r="AI506" s="107"/>
      <c r="AJ506" s="27"/>
      <c r="AK506" s="58"/>
      <c r="AL506" s="107"/>
      <c r="AM506" s="27"/>
      <c r="AN506" s="58"/>
      <c r="AO506" s="12"/>
      <c r="AP506" s="27"/>
      <c r="AQ506" s="58"/>
      <c r="AR506" s="12"/>
      <c r="AS506" s="27"/>
      <c r="AT506" s="58"/>
      <c r="AU506" s="12"/>
    </row>
    <row r="507" spans="1:47" ht="29.25" customHeight="1" x14ac:dyDescent="0.6">
      <c r="A507" s="5">
        <v>216</v>
      </c>
      <c r="B507" s="153" t="s">
        <v>541</v>
      </c>
      <c r="C507" s="153"/>
      <c r="D507" s="18" t="s">
        <v>505</v>
      </c>
      <c r="E507" s="18" t="s">
        <v>503</v>
      </c>
      <c r="F507" s="23" t="s">
        <v>504</v>
      </c>
      <c r="G507" s="58" t="s">
        <v>545</v>
      </c>
      <c r="H507" s="123"/>
      <c r="I507" s="123"/>
      <c r="J507" s="123" t="s">
        <v>1060</v>
      </c>
      <c r="K507" s="49" t="s">
        <v>546</v>
      </c>
      <c r="L507" s="158">
        <v>62</v>
      </c>
      <c r="M507" s="159">
        <v>1136</v>
      </c>
      <c r="N507" s="160">
        <v>728.80000000000007</v>
      </c>
      <c r="O507" s="27"/>
      <c r="P507" s="58"/>
      <c r="Q507" s="49"/>
      <c r="R507" s="27"/>
      <c r="S507" s="58"/>
      <c r="T507" s="98"/>
      <c r="U507" s="27"/>
      <c r="V507" s="58"/>
      <c r="W507" s="12"/>
      <c r="X507" s="27"/>
      <c r="Y507" s="58"/>
      <c r="Z507" s="12"/>
      <c r="AA507" s="27"/>
      <c r="AB507" s="58"/>
      <c r="AC507" s="12"/>
      <c r="AD507" s="27"/>
      <c r="AE507" s="58"/>
      <c r="AF507" s="107"/>
      <c r="AG507" s="27"/>
      <c r="AH507" s="58"/>
      <c r="AI507" s="107"/>
      <c r="AJ507" s="27"/>
      <c r="AK507" s="58"/>
      <c r="AL507" s="107"/>
      <c r="AM507" s="27"/>
      <c r="AN507" s="58"/>
      <c r="AO507" s="12"/>
      <c r="AP507" s="27"/>
      <c r="AQ507" s="58"/>
      <c r="AR507" s="12"/>
      <c r="AS507" s="27"/>
      <c r="AT507" s="58"/>
      <c r="AU507" s="12"/>
    </row>
    <row r="508" spans="1:47" ht="29.25" customHeight="1" x14ac:dyDescent="0.6">
      <c r="A508" s="5">
        <v>217</v>
      </c>
      <c r="B508" s="18" t="s">
        <v>547</v>
      </c>
      <c r="C508" s="18"/>
      <c r="D508" s="18" t="s">
        <v>507</v>
      </c>
      <c r="E508" s="18" t="s">
        <v>508</v>
      </c>
      <c r="F508" s="23" t="s">
        <v>509</v>
      </c>
      <c r="G508" s="58" t="s">
        <v>545</v>
      </c>
      <c r="H508" s="123"/>
      <c r="I508" s="123"/>
      <c r="J508" s="123" t="s">
        <v>1061</v>
      </c>
      <c r="K508" s="49" t="s">
        <v>546</v>
      </c>
      <c r="L508" s="158">
        <v>66</v>
      </c>
      <c r="M508" s="159">
        <v>876</v>
      </c>
      <c r="N508" s="160">
        <v>783.6</v>
      </c>
      <c r="O508" s="27"/>
      <c r="P508" s="58"/>
      <c r="Q508" s="49"/>
      <c r="R508" s="27"/>
      <c r="S508" s="58"/>
      <c r="T508" s="98"/>
      <c r="U508" s="27"/>
      <c r="V508" s="58"/>
      <c r="W508" s="12"/>
      <c r="X508" s="27"/>
      <c r="Y508" s="58"/>
      <c r="Z508" s="12"/>
      <c r="AA508" s="27"/>
      <c r="AB508" s="58"/>
      <c r="AC508" s="12"/>
      <c r="AD508" s="27"/>
      <c r="AE508" s="58"/>
      <c r="AF508" s="107"/>
      <c r="AG508" s="27"/>
      <c r="AH508" s="58"/>
      <c r="AI508" s="107"/>
      <c r="AJ508" s="27"/>
      <c r="AK508" s="58"/>
      <c r="AL508" s="107"/>
      <c r="AM508" s="27"/>
      <c r="AN508" s="58"/>
      <c r="AO508" s="12"/>
      <c r="AP508" s="27"/>
      <c r="AQ508" s="58"/>
      <c r="AR508" s="12"/>
      <c r="AS508" s="27"/>
      <c r="AT508" s="58"/>
      <c r="AU508" s="12"/>
    </row>
    <row r="509" spans="1:47" ht="29.25" customHeight="1" x14ac:dyDescent="0.6">
      <c r="A509" s="5">
        <v>218</v>
      </c>
      <c r="B509" s="18" t="s">
        <v>549</v>
      </c>
      <c r="C509" s="18"/>
      <c r="D509" s="18" t="s">
        <v>510</v>
      </c>
      <c r="E509" s="18" t="s">
        <v>508</v>
      </c>
      <c r="F509" s="23" t="s">
        <v>509</v>
      </c>
      <c r="G509" s="58" t="s">
        <v>545</v>
      </c>
      <c r="H509" s="123"/>
      <c r="I509" s="123"/>
      <c r="J509" s="123" t="s">
        <v>1062</v>
      </c>
      <c r="K509" s="49" t="s">
        <v>546</v>
      </c>
      <c r="L509" s="158">
        <v>31</v>
      </c>
      <c r="M509" s="159">
        <v>432</v>
      </c>
      <c r="N509" s="160">
        <v>280.8</v>
      </c>
      <c r="O509" s="27"/>
      <c r="P509" s="58"/>
      <c r="Q509" s="49"/>
      <c r="R509" s="27"/>
      <c r="S509" s="58"/>
      <c r="T509" s="98"/>
      <c r="U509" s="27"/>
      <c r="V509" s="58"/>
      <c r="W509" s="12"/>
      <c r="X509" s="27"/>
      <c r="Y509" s="58"/>
      <c r="Z509" s="12"/>
      <c r="AA509" s="27"/>
      <c r="AB509" s="58"/>
      <c r="AC509" s="12"/>
      <c r="AD509" s="27"/>
      <c r="AE509" s="58"/>
      <c r="AF509" s="107"/>
      <c r="AG509" s="27"/>
      <c r="AH509" s="58"/>
      <c r="AI509" s="107"/>
      <c r="AJ509" s="27"/>
      <c r="AK509" s="58"/>
      <c r="AL509" s="107"/>
      <c r="AM509" s="27"/>
      <c r="AN509" s="58"/>
      <c r="AO509" s="12"/>
      <c r="AP509" s="27"/>
      <c r="AQ509" s="58"/>
      <c r="AR509" s="12"/>
      <c r="AS509" s="27"/>
      <c r="AT509" s="58"/>
      <c r="AU509" s="12"/>
    </row>
    <row r="510" spans="1:47" ht="29.25" customHeight="1" x14ac:dyDescent="0.6">
      <c r="A510" s="5">
        <v>219</v>
      </c>
      <c r="B510" s="18" t="s">
        <v>551</v>
      </c>
      <c r="C510" s="18"/>
      <c r="D510" s="18" t="s">
        <v>511</v>
      </c>
      <c r="E510" s="18" t="s">
        <v>508</v>
      </c>
      <c r="F510" s="23" t="s">
        <v>509</v>
      </c>
      <c r="G510" s="58" t="s">
        <v>545</v>
      </c>
      <c r="H510" s="123"/>
      <c r="I510" s="123"/>
      <c r="J510" s="123" t="s">
        <v>1063</v>
      </c>
      <c r="K510" s="49" t="s">
        <v>546</v>
      </c>
      <c r="L510" s="158">
        <v>157</v>
      </c>
      <c r="M510" s="159">
        <v>2436</v>
      </c>
      <c r="N510" s="160">
        <v>2229.52</v>
      </c>
      <c r="O510" s="27"/>
      <c r="P510" s="58"/>
      <c r="Q510" s="49"/>
      <c r="R510" s="27"/>
      <c r="S510" s="58"/>
      <c r="T510" s="98"/>
      <c r="U510" s="27"/>
      <c r="V510" s="58"/>
      <c r="W510" s="12"/>
      <c r="X510" s="27"/>
      <c r="Y510" s="58"/>
      <c r="Z510" s="12"/>
      <c r="AA510" s="27"/>
      <c r="AB510" s="58"/>
      <c r="AC510" s="12"/>
      <c r="AD510" s="27"/>
      <c r="AE510" s="58"/>
      <c r="AF510" s="107"/>
      <c r="AG510" s="27"/>
      <c r="AH510" s="58"/>
      <c r="AI510" s="107"/>
      <c r="AJ510" s="27"/>
      <c r="AK510" s="58"/>
      <c r="AL510" s="107"/>
      <c r="AM510" s="27"/>
      <c r="AN510" s="58"/>
      <c r="AO510" s="12"/>
      <c r="AP510" s="27"/>
      <c r="AQ510" s="58"/>
      <c r="AR510" s="12"/>
      <c r="AS510" s="27"/>
      <c r="AT510" s="58"/>
      <c r="AU510" s="12"/>
    </row>
    <row r="511" spans="1:47" ht="29.25" customHeight="1" x14ac:dyDescent="0.6">
      <c r="A511" s="5">
        <v>220</v>
      </c>
      <c r="B511" s="18" t="s">
        <v>461</v>
      </c>
      <c r="C511" s="18"/>
      <c r="D511" s="18" t="s">
        <v>513</v>
      </c>
      <c r="E511" s="18" t="s">
        <v>190</v>
      </c>
      <c r="F511" s="23" t="s">
        <v>187</v>
      </c>
      <c r="G511" s="58" t="s">
        <v>545</v>
      </c>
      <c r="H511" s="123"/>
      <c r="I511" s="123"/>
      <c r="J511" s="123" t="s">
        <v>1064</v>
      </c>
      <c r="K511" s="49" t="s">
        <v>546</v>
      </c>
      <c r="L511" s="158">
        <v>187</v>
      </c>
      <c r="M511" s="159">
        <v>2706</v>
      </c>
      <c r="N511" s="160">
        <v>2290</v>
      </c>
      <c r="O511" s="27"/>
      <c r="P511" s="58"/>
      <c r="Q511" s="49"/>
      <c r="R511" s="27"/>
      <c r="S511" s="58"/>
      <c r="T511" s="98"/>
      <c r="U511" s="27"/>
      <c r="V511" s="58"/>
      <c r="W511" s="12"/>
      <c r="X511" s="27"/>
      <c r="Y511" s="58"/>
      <c r="Z511" s="12"/>
      <c r="AA511" s="27"/>
      <c r="AB511" s="58"/>
      <c r="AC511" s="12"/>
      <c r="AD511" s="27"/>
      <c r="AE511" s="58"/>
      <c r="AF511" s="107"/>
      <c r="AG511" s="27"/>
      <c r="AH511" s="58"/>
      <c r="AI511" s="107"/>
      <c r="AJ511" s="27"/>
      <c r="AK511" s="58"/>
      <c r="AL511" s="107"/>
      <c r="AM511" s="27"/>
      <c r="AN511" s="58"/>
      <c r="AO511" s="12"/>
      <c r="AP511" s="27"/>
      <c r="AQ511" s="58"/>
      <c r="AR511" s="12"/>
      <c r="AS511" s="27"/>
      <c r="AT511" s="58"/>
      <c r="AU511" s="12"/>
    </row>
    <row r="512" spans="1:47" ht="29.25" customHeight="1" x14ac:dyDescent="0.6">
      <c r="A512" s="5">
        <v>221</v>
      </c>
      <c r="B512" s="18" t="s">
        <v>553</v>
      </c>
      <c r="C512" s="18"/>
      <c r="D512" s="18" t="s">
        <v>515</v>
      </c>
      <c r="E512" s="18" t="s">
        <v>190</v>
      </c>
      <c r="F512" s="23" t="s">
        <v>187</v>
      </c>
      <c r="G512" s="58" t="s">
        <v>545</v>
      </c>
      <c r="H512" s="123"/>
      <c r="I512" s="123"/>
      <c r="J512" s="123" t="s">
        <v>1065</v>
      </c>
      <c r="K512" s="49" t="s">
        <v>546</v>
      </c>
      <c r="L512" s="158">
        <v>90</v>
      </c>
      <c r="M512" s="159">
        <v>1260</v>
      </c>
      <c r="N512" s="160">
        <v>806.4</v>
      </c>
      <c r="O512" s="27"/>
      <c r="P512" s="58"/>
      <c r="Q512" s="49"/>
      <c r="R512" s="27"/>
      <c r="S512" s="58"/>
      <c r="T512" s="98"/>
      <c r="U512" s="27"/>
      <c r="V512" s="58"/>
      <c r="W512" s="12"/>
      <c r="X512" s="27"/>
      <c r="Y512" s="58"/>
      <c r="Z512" s="12"/>
      <c r="AA512" s="27"/>
      <c r="AB512" s="58"/>
      <c r="AC512" s="12"/>
      <c r="AD512" s="27"/>
      <c r="AE512" s="58"/>
      <c r="AF512" s="107"/>
      <c r="AG512" s="27"/>
      <c r="AH512" s="58"/>
      <c r="AI512" s="107"/>
      <c r="AJ512" s="27"/>
      <c r="AK512" s="58"/>
      <c r="AL512" s="12"/>
      <c r="AM512" s="27"/>
      <c r="AN512" s="58"/>
      <c r="AO512" s="12"/>
      <c r="AP512" s="27"/>
      <c r="AQ512" s="58"/>
      <c r="AR512" s="12"/>
      <c r="AS512" s="27"/>
      <c r="AT512" s="58"/>
      <c r="AU512" s="12"/>
    </row>
    <row r="513" spans="1:47" ht="29.25" customHeight="1" x14ac:dyDescent="0.6">
      <c r="A513" s="5">
        <v>222</v>
      </c>
      <c r="B513" s="18" t="s">
        <v>1161</v>
      </c>
      <c r="C513" s="18"/>
      <c r="D513" s="18" t="s">
        <v>517</v>
      </c>
      <c r="E513" s="18" t="s">
        <v>190</v>
      </c>
      <c r="F513" s="23" t="s">
        <v>187</v>
      </c>
      <c r="G513" s="58" t="s">
        <v>545</v>
      </c>
      <c r="H513" s="123"/>
      <c r="I513" s="123"/>
      <c r="J513" s="123" t="s">
        <v>1066</v>
      </c>
      <c r="K513" s="49" t="s">
        <v>546</v>
      </c>
      <c r="L513" s="158">
        <v>131</v>
      </c>
      <c r="M513" s="159">
        <v>1730</v>
      </c>
      <c r="N513" s="160">
        <v>1519.2</v>
      </c>
      <c r="O513" s="27"/>
      <c r="P513" s="58"/>
      <c r="Q513" s="49"/>
      <c r="R513" s="27"/>
      <c r="S513" s="58"/>
      <c r="T513" s="98"/>
      <c r="U513" s="27"/>
      <c r="V513" s="58"/>
      <c r="W513" s="12"/>
      <c r="X513" s="27"/>
      <c r="Y513" s="58"/>
      <c r="Z513" s="12"/>
      <c r="AA513" s="27"/>
      <c r="AB513" s="58"/>
      <c r="AC513" s="12"/>
      <c r="AD513" s="27"/>
      <c r="AE513" s="58"/>
      <c r="AF513" s="107"/>
      <c r="AG513" s="27"/>
      <c r="AH513" s="58"/>
      <c r="AI513" s="107"/>
      <c r="AJ513" s="27"/>
      <c r="AK513" s="58"/>
      <c r="AL513" s="12"/>
      <c r="AM513" s="27"/>
      <c r="AN513" s="58"/>
      <c r="AO513" s="12"/>
      <c r="AP513" s="27"/>
      <c r="AQ513" s="58"/>
      <c r="AR513" s="12"/>
      <c r="AS513" s="27"/>
      <c r="AT513" s="58"/>
      <c r="AU513" s="12"/>
    </row>
    <row r="514" spans="1:47" ht="29.25" customHeight="1" x14ac:dyDescent="0.6">
      <c r="A514" s="5">
        <v>223</v>
      </c>
      <c r="B514" s="18" t="s">
        <v>557</v>
      </c>
      <c r="C514" s="18"/>
      <c r="D514" s="18" t="s">
        <v>519</v>
      </c>
      <c r="E514" s="18" t="s">
        <v>190</v>
      </c>
      <c r="F514" s="23" t="s">
        <v>187</v>
      </c>
      <c r="G514" s="58" t="s">
        <v>545</v>
      </c>
      <c r="H514" s="123"/>
      <c r="I514" s="123"/>
      <c r="J514" s="123" t="s">
        <v>1067</v>
      </c>
      <c r="K514" s="49" t="s">
        <v>546</v>
      </c>
      <c r="L514" s="158">
        <v>32</v>
      </c>
      <c r="M514" s="159">
        <v>502</v>
      </c>
      <c r="N514" s="160">
        <v>382.88</v>
      </c>
      <c r="O514" s="27"/>
      <c r="P514" s="58"/>
      <c r="Q514" s="49"/>
      <c r="R514" s="27"/>
      <c r="S514" s="58"/>
      <c r="T514" s="98"/>
      <c r="U514" s="27"/>
      <c r="V514" s="58"/>
      <c r="W514" s="12"/>
      <c r="X514" s="27"/>
      <c r="Y514" s="58"/>
      <c r="Z514" s="12"/>
      <c r="AA514" s="27"/>
      <c r="AB514" s="58"/>
      <c r="AC514" s="12"/>
      <c r="AD514" s="27"/>
      <c r="AE514" s="58"/>
      <c r="AF514" s="107"/>
      <c r="AG514" s="27"/>
      <c r="AH514" s="58"/>
      <c r="AI514" s="12"/>
      <c r="AJ514" s="27"/>
      <c r="AK514" s="58"/>
      <c r="AL514" s="12"/>
      <c r="AM514" s="27"/>
      <c r="AN514" s="58"/>
      <c r="AO514" s="12"/>
      <c r="AP514" s="27"/>
      <c r="AQ514" s="58"/>
      <c r="AR514" s="12"/>
      <c r="AS514" s="27"/>
      <c r="AT514" s="58"/>
      <c r="AU514" s="12"/>
    </row>
    <row r="515" spans="1:47" ht="29.25" customHeight="1" x14ac:dyDescent="0.6">
      <c r="A515" s="5">
        <v>224</v>
      </c>
      <c r="B515" s="18" t="s">
        <v>559</v>
      </c>
      <c r="C515" s="18"/>
      <c r="D515" s="18">
        <v>185</v>
      </c>
      <c r="E515" s="18" t="s">
        <v>520</v>
      </c>
      <c r="F515" s="23" t="s">
        <v>521</v>
      </c>
      <c r="G515" s="58" t="s">
        <v>545</v>
      </c>
      <c r="H515" s="123"/>
      <c r="I515" s="123"/>
      <c r="J515" s="123" t="s">
        <v>1068</v>
      </c>
      <c r="K515" s="49" t="s">
        <v>546</v>
      </c>
      <c r="L515" s="158">
        <v>5</v>
      </c>
      <c r="M515" s="159">
        <v>116</v>
      </c>
      <c r="N515" s="160">
        <v>64</v>
      </c>
      <c r="O515" s="27"/>
      <c r="P515" s="58"/>
      <c r="Q515" s="49"/>
      <c r="R515" s="27"/>
      <c r="S515" s="58"/>
      <c r="T515" s="98"/>
      <c r="U515" s="27"/>
      <c r="V515" s="58"/>
      <c r="W515" s="12"/>
      <c r="X515" s="27"/>
      <c r="Y515" s="58"/>
      <c r="Z515" s="12"/>
      <c r="AA515" s="27"/>
      <c r="AB515" s="58"/>
      <c r="AC515" s="12"/>
      <c r="AD515" s="27"/>
      <c r="AE515" s="58"/>
      <c r="AF515" s="12"/>
      <c r="AG515" s="27"/>
      <c r="AH515" s="58"/>
      <c r="AI515" s="12"/>
      <c r="AJ515" s="27"/>
      <c r="AK515" s="58"/>
      <c r="AL515" s="12"/>
      <c r="AM515" s="27"/>
      <c r="AN515" s="58"/>
      <c r="AO515" s="12"/>
      <c r="AP515" s="27"/>
      <c r="AQ515" s="58"/>
      <c r="AR515" s="12"/>
      <c r="AS515" s="27"/>
      <c r="AT515" s="58"/>
      <c r="AU515" s="12"/>
    </row>
    <row r="516" spans="1:47" ht="29.25" customHeight="1" x14ac:dyDescent="0.6">
      <c r="A516" s="5">
        <v>225</v>
      </c>
      <c r="B516" s="18" t="s">
        <v>561</v>
      </c>
      <c r="C516" s="18"/>
      <c r="D516" s="18" t="s">
        <v>523</v>
      </c>
      <c r="E516" s="18" t="s">
        <v>190</v>
      </c>
      <c r="F516" s="23" t="s">
        <v>187</v>
      </c>
      <c r="G516" s="58" t="s">
        <v>545</v>
      </c>
      <c r="H516" s="123"/>
      <c r="I516" s="123"/>
      <c r="J516" s="123" t="s">
        <v>1069</v>
      </c>
      <c r="K516" s="49" t="s">
        <v>546</v>
      </c>
      <c r="L516" s="158">
        <v>31</v>
      </c>
      <c r="M516" s="159">
        <v>512</v>
      </c>
      <c r="N516" s="160">
        <v>353.20000000000005</v>
      </c>
      <c r="O516" s="27"/>
      <c r="P516" s="58"/>
      <c r="Q516" s="49"/>
      <c r="R516" s="27"/>
      <c r="S516" s="58"/>
      <c r="T516" s="98"/>
      <c r="U516" s="27"/>
      <c r="V516" s="58"/>
      <c r="W516" s="12"/>
      <c r="X516" s="27"/>
      <c r="Y516" s="58"/>
      <c r="Z516" s="12"/>
      <c r="AA516" s="27"/>
      <c r="AB516" s="58"/>
      <c r="AC516" s="12"/>
      <c r="AD516" s="27"/>
      <c r="AE516" s="58"/>
      <c r="AF516" s="12"/>
      <c r="AG516" s="27"/>
      <c r="AH516" s="58"/>
      <c r="AI516" s="12"/>
      <c r="AJ516" s="27"/>
      <c r="AK516" s="58"/>
      <c r="AL516" s="12"/>
      <c r="AM516" s="27"/>
      <c r="AN516" s="58"/>
      <c r="AO516" s="12"/>
      <c r="AP516" s="27"/>
      <c r="AQ516" s="58"/>
      <c r="AR516" s="12"/>
      <c r="AS516" s="27"/>
      <c r="AT516" s="58"/>
      <c r="AU516" s="12"/>
    </row>
    <row r="517" spans="1:47" ht="29.25" customHeight="1" x14ac:dyDescent="0.6">
      <c r="A517" s="5">
        <v>226</v>
      </c>
      <c r="B517" s="18" t="s">
        <v>563</v>
      </c>
      <c r="C517" s="18"/>
      <c r="D517" s="18" t="s">
        <v>525</v>
      </c>
      <c r="E517" s="148" t="s">
        <v>100</v>
      </c>
      <c r="F517" s="23" t="s">
        <v>526</v>
      </c>
      <c r="G517" s="58" t="s">
        <v>545</v>
      </c>
      <c r="H517" s="123"/>
      <c r="I517" s="123"/>
      <c r="J517" s="123"/>
      <c r="K517" s="49" t="s">
        <v>546</v>
      </c>
      <c r="L517" s="158">
        <v>16</v>
      </c>
      <c r="M517" s="159">
        <v>310</v>
      </c>
      <c r="N517" s="160">
        <v>190.88000000000002</v>
      </c>
      <c r="O517" s="27"/>
      <c r="P517" s="58"/>
      <c r="Q517" s="49"/>
      <c r="R517" s="27"/>
      <c r="S517" s="58"/>
      <c r="T517" s="98"/>
      <c r="U517" s="27"/>
      <c r="V517" s="58"/>
      <c r="W517" s="12"/>
      <c r="X517" s="27"/>
      <c r="Y517" s="58"/>
      <c r="Z517" s="12"/>
      <c r="AA517" s="27"/>
      <c r="AB517" s="58"/>
      <c r="AC517" s="12"/>
      <c r="AD517" s="27"/>
      <c r="AE517" s="58"/>
      <c r="AF517" s="12"/>
      <c r="AG517" s="27"/>
      <c r="AH517" s="58"/>
      <c r="AI517" s="12"/>
      <c r="AJ517" s="27"/>
      <c r="AK517" s="58"/>
      <c r="AL517" s="12"/>
      <c r="AM517" s="27"/>
      <c r="AN517" s="58"/>
      <c r="AO517" s="12"/>
      <c r="AP517" s="27"/>
      <c r="AQ517" s="58"/>
      <c r="AR517" s="12"/>
      <c r="AS517" s="27"/>
      <c r="AT517" s="58"/>
      <c r="AU517" s="12"/>
    </row>
    <row r="518" spans="1:47" ht="29.25" customHeight="1" x14ac:dyDescent="0.6">
      <c r="A518" s="5">
        <v>227</v>
      </c>
      <c r="B518" s="18" t="s">
        <v>565</v>
      </c>
      <c r="C518" s="18"/>
      <c r="D518" s="18" t="s">
        <v>528</v>
      </c>
      <c r="E518" s="18" t="s">
        <v>529</v>
      </c>
      <c r="F518" s="23" t="s">
        <v>530</v>
      </c>
      <c r="G518" s="58" t="s">
        <v>545</v>
      </c>
      <c r="H518" s="123"/>
      <c r="I518" s="123"/>
      <c r="J518" s="123" t="s">
        <v>1070</v>
      </c>
      <c r="K518" s="49" t="s">
        <v>546</v>
      </c>
      <c r="L518" s="158">
        <v>31</v>
      </c>
      <c r="M518" s="159">
        <v>528</v>
      </c>
      <c r="N518" s="160">
        <v>313.12</v>
      </c>
      <c r="O518" s="27"/>
      <c r="P518" s="58"/>
      <c r="Q518" s="49"/>
      <c r="R518" s="27"/>
      <c r="S518" s="58"/>
      <c r="T518" s="98"/>
      <c r="U518" s="27"/>
      <c r="V518" s="58"/>
      <c r="W518" s="12"/>
      <c r="X518" s="27"/>
      <c r="Y518" s="58"/>
      <c r="Z518" s="12"/>
      <c r="AA518" s="27"/>
      <c r="AB518" s="58"/>
      <c r="AC518" s="12"/>
      <c r="AD518" s="27"/>
      <c r="AE518" s="58"/>
      <c r="AF518" s="12"/>
      <c r="AG518" s="27"/>
      <c r="AH518" s="58"/>
      <c r="AI518" s="12"/>
      <c r="AJ518" s="27"/>
      <c r="AK518" s="58"/>
      <c r="AL518" s="12"/>
      <c r="AM518" s="27"/>
      <c r="AN518" s="58"/>
      <c r="AO518" s="12"/>
      <c r="AP518" s="27"/>
      <c r="AQ518" s="58"/>
      <c r="AR518" s="12"/>
      <c r="AS518" s="27"/>
      <c r="AT518" s="58"/>
      <c r="AU518" s="12"/>
    </row>
    <row r="519" spans="1:47" ht="29.25" customHeight="1" x14ac:dyDescent="0.6">
      <c r="A519" s="5">
        <v>228</v>
      </c>
      <c r="B519" s="18" t="s">
        <v>567</v>
      </c>
      <c r="C519" s="18"/>
      <c r="D519" s="18" t="s">
        <v>533</v>
      </c>
      <c r="E519" s="18" t="s">
        <v>529</v>
      </c>
      <c r="F519" s="23" t="s">
        <v>530</v>
      </c>
      <c r="G519" s="58" t="s">
        <v>545</v>
      </c>
      <c r="H519" s="123"/>
      <c r="I519" s="123"/>
      <c r="J519" s="123" t="s">
        <v>1071</v>
      </c>
      <c r="K519" s="49" t="s">
        <v>546</v>
      </c>
      <c r="L519" s="158">
        <v>12</v>
      </c>
      <c r="M519" s="159">
        <v>146</v>
      </c>
      <c r="N519" s="160">
        <v>140.96</v>
      </c>
      <c r="O519" s="27"/>
      <c r="P519" s="58"/>
      <c r="Q519" s="49"/>
      <c r="R519" s="27"/>
      <c r="S519" s="58"/>
      <c r="T519" s="98"/>
      <c r="U519" s="27"/>
      <c r="V519" s="58"/>
      <c r="W519" s="12"/>
      <c r="X519" s="27"/>
      <c r="Y519" s="58"/>
      <c r="Z519" s="12"/>
      <c r="AA519" s="27"/>
      <c r="AB519" s="58"/>
      <c r="AC519" s="12"/>
      <c r="AD519" s="27"/>
      <c r="AE519" s="58"/>
      <c r="AF519" s="12"/>
      <c r="AG519" s="27"/>
      <c r="AH519" s="58"/>
      <c r="AI519" s="12"/>
      <c r="AJ519" s="27"/>
      <c r="AK519" s="58"/>
      <c r="AL519" s="12"/>
      <c r="AM519" s="27"/>
      <c r="AN519" s="58"/>
      <c r="AO519" s="12"/>
      <c r="AP519" s="27"/>
      <c r="AQ519" s="58"/>
      <c r="AR519" s="12"/>
      <c r="AS519" s="27"/>
      <c r="AT519" s="58"/>
      <c r="AU519" s="12"/>
    </row>
    <row r="520" spans="1:47" ht="29.25" customHeight="1" x14ac:dyDescent="0.6">
      <c r="A520" s="5">
        <v>229</v>
      </c>
      <c r="B520" s="18" t="s">
        <v>569</v>
      </c>
      <c r="C520" s="18"/>
      <c r="D520" s="18" t="s">
        <v>535</v>
      </c>
      <c r="E520" s="18" t="s">
        <v>529</v>
      </c>
      <c r="F520" s="23" t="s">
        <v>530</v>
      </c>
      <c r="G520" s="58" t="s">
        <v>545</v>
      </c>
      <c r="H520" s="123"/>
      <c r="I520" s="123"/>
      <c r="J520" s="123" t="s">
        <v>1072</v>
      </c>
      <c r="K520" s="49" t="s">
        <v>546</v>
      </c>
      <c r="L520" s="158">
        <v>26</v>
      </c>
      <c r="M520" s="159">
        <v>342</v>
      </c>
      <c r="N520" s="160">
        <v>310.96000000000004</v>
      </c>
      <c r="O520" s="27"/>
      <c r="P520" s="58"/>
      <c r="Q520" s="49"/>
      <c r="R520" s="27"/>
      <c r="S520" s="58"/>
      <c r="T520" s="98"/>
      <c r="U520" s="27"/>
      <c r="V520" s="58"/>
      <c r="W520" s="12"/>
      <c r="X520" s="27"/>
      <c r="Y520" s="58"/>
      <c r="Z520" s="12"/>
      <c r="AA520" s="27"/>
      <c r="AB520" s="58"/>
      <c r="AC520" s="12"/>
      <c r="AD520" s="27"/>
      <c r="AE520" s="58"/>
      <c r="AF520" s="12"/>
      <c r="AG520" s="27"/>
      <c r="AH520" s="58"/>
      <c r="AI520" s="12"/>
      <c r="AJ520" s="27"/>
      <c r="AK520" s="58"/>
      <c r="AL520" s="12"/>
      <c r="AM520" s="27"/>
      <c r="AN520" s="58"/>
      <c r="AO520" s="12"/>
      <c r="AP520" s="27"/>
      <c r="AQ520" s="58"/>
      <c r="AR520" s="12"/>
      <c r="AS520" s="27"/>
      <c r="AT520" s="58"/>
      <c r="AU520" s="12"/>
    </row>
    <row r="521" spans="1:47" ht="29.25" customHeight="1" x14ac:dyDescent="0.6">
      <c r="A521" s="5">
        <v>230</v>
      </c>
      <c r="B521" s="18" t="s">
        <v>570</v>
      </c>
      <c r="C521" s="18"/>
      <c r="D521" s="18" t="s">
        <v>536</v>
      </c>
      <c r="E521" s="18" t="s">
        <v>529</v>
      </c>
      <c r="F521" s="23" t="s">
        <v>530</v>
      </c>
      <c r="G521" s="58" t="s">
        <v>545</v>
      </c>
      <c r="H521" s="123"/>
      <c r="I521" s="123"/>
      <c r="J521" s="123" t="s">
        <v>1073</v>
      </c>
      <c r="K521" s="49" t="s">
        <v>546</v>
      </c>
      <c r="L521" s="158">
        <v>101</v>
      </c>
      <c r="M521" s="159">
        <v>1242</v>
      </c>
      <c r="N521" s="160">
        <v>1118.4000000000001</v>
      </c>
      <c r="O521" s="27"/>
      <c r="P521" s="58"/>
      <c r="Q521" s="49"/>
      <c r="R521" s="27"/>
      <c r="S521" s="58"/>
      <c r="T521" s="98"/>
      <c r="U521" s="27"/>
      <c r="V521" s="58"/>
      <c r="W521" s="12"/>
      <c r="X521" s="27"/>
      <c r="Y521" s="58"/>
      <c r="Z521" s="12"/>
      <c r="AA521" s="27"/>
      <c r="AB521" s="58"/>
      <c r="AC521" s="12"/>
      <c r="AD521" s="27"/>
      <c r="AE521" s="58"/>
      <c r="AF521" s="12"/>
      <c r="AG521" s="27"/>
      <c r="AH521" s="58"/>
      <c r="AI521" s="12"/>
      <c r="AJ521" s="27"/>
      <c r="AK521" s="58"/>
      <c r="AL521" s="12"/>
      <c r="AM521" s="27"/>
      <c r="AN521" s="58"/>
      <c r="AO521" s="12"/>
      <c r="AP521" s="27"/>
      <c r="AQ521" s="58"/>
      <c r="AR521" s="12"/>
      <c r="AS521" s="27"/>
      <c r="AT521" s="58"/>
      <c r="AU521" s="12"/>
    </row>
    <row r="522" spans="1:47" ht="29.25" customHeight="1" x14ac:dyDescent="0.6">
      <c r="A522" s="5">
        <v>231</v>
      </c>
      <c r="B522" s="18" t="s">
        <v>572</v>
      </c>
      <c r="C522" s="18"/>
      <c r="D522" s="18" t="s">
        <v>538</v>
      </c>
      <c r="E522" s="18" t="s">
        <v>539</v>
      </c>
      <c r="F522" s="23" t="s">
        <v>530</v>
      </c>
      <c r="G522" s="58" t="s">
        <v>545</v>
      </c>
      <c r="H522" s="123"/>
      <c r="I522" s="123"/>
      <c r="J522" s="123" t="s">
        <v>1074</v>
      </c>
      <c r="K522" s="49" t="s">
        <v>546</v>
      </c>
      <c r="L522" s="158">
        <v>49</v>
      </c>
      <c r="M522" s="159">
        <v>710</v>
      </c>
      <c r="N522" s="160">
        <v>580.79999999999995</v>
      </c>
      <c r="O522" s="27"/>
      <c r="P522" s="58"/>
      <c r="Q522" s="49"/>
      <c r="R522" s="27"/>
      <c r="S522" s="58"/>
      <c r="T522" s="98"/>
      <c r="U522" s="27"/>
      <c r="V522" s="58"/>
      <c r="W522" s="12"/>
      <c r="X522" s="27"/>
      <c r="Y522" s="58"/>
      <c r="Z522" s="12"/>
      <c r="AA522" s="27"/>
      <c r="AB522" s="58"/>
      <c r="AC522" s="12"/>
      <c r="AD522" s="27"/>
      <c r="AE522" s="58"/>
      <c r="AF522" s="12"/>
      <c r="AG522" s="27"/>
      <c r="AH522" s="58"/>
      <c r="AI522" s="12"/>
      <c r="AJ522" s="27"/>
      <c r="AK522" s="58"/>
      <c r="AL522" s="12"/>
      <c r="AM522" s="27"/>
      <c r="AN522" s="58"/>
      <c r="AO522" s="12"/>
      <c r="AP522" s="27"/>
      <c r="AQ522" s="58"/>
      <c r="AR522" s="12"/>
      <c r="AS522" s="27"/>
      <c r="AT522" s="58"/>
      <c r="AU522" s="12"/>
    </row>
    <row r="523" spans="1:47" ht="29.25" customHeight="1" x14ac:dyDescent="0.6">
      <c r="A523" s="5">
        <v>232</v>
      </c>
      <c r="B523" s="18" t="s">
        <v>576</v>
      </c>
      <c r="C523" s="18"/>
      <c r="D523" s="18" t="s">
        <v>113</v>
      </c>
      <c r="E523" s="18" t="s">
        <v>540</v>
      </c>
      <c r="F523" s="23" t="s">
        <v>530</v>
      </c>
      <c r="G523" s="58" t="s">
        <v>545</v>
      </c>
      <c r="H523" s="123"/>
      <c r="I523" s="123"/>
      <c r="J523" s="123" t="s">
        <v>1075</v>
      </c>
      <c r="K523" s="49" t="s">
        <v>546</v>
      </c>
      <c r="L523" s="158">
        <v>15</v>
      </c>
      <c r="M523" s="159">
        <v>208</v>
      </c>
      <c r="N523" s="160">
        <v>177.2</v>
      </c>
      <c r="O523" s="27"/>
      <c r="P523" s="58"/>
      <c r="Q523" s="49"/>
      <c r="R523" s="27"/>
      <c r="S523" s="58"/>
      <c r="T523" s="98"/>
      <c r="U523" s="27"/>
      <c r="V523" s="58"/>
      <c r="W523" s="12"/>
      <c r="X523" s="27"/>
      <c r="Y523" s="58"/>
      <c r="Z523" s="12"/>
      <c r="AA523" s="27"/>
      <c r="AB523" s="58"/>
      <c r="AC523" s="12"/>
      <c r="AD523" s="27"/>
      <c r="AE523" s="58"/>
      <c r="AF523" s="12"/>
      <c r="AG523" s="27"/>
      <c r="AH523" s="58"/>
      <c r="AI523" s="12"/>
      <c r="AJ523" s="27"/>
      <c r="AK523" s="58"/>
      <c r="AL523" s="12"/>
      <c r="AM523" s="27"/>
      <c r="AN523" s="58"/>
      <c r="AO523" s="12"/>
      <c r="AP523" s="27"/>
      <c r="AQ523" s="58"/>
      <c r="AR523" s="12"/>
      <c r="AS523" s="27"/>
      <c r="AT523" s="58"/>
      <c r="AU523" s="12"/>
    </row>
    <row r="524" spans="1:47" ht="29.25" customHeight="1" x14ac:dyDescent="0.6">
      <c r="A524" s="5">
        <v>233</v>
      </c>
      <c r="B524" s="18" t="s">
        <v>578</v>
      </c>
      <c r="C524" s="18"/>
      <c r="D524" s="18" t="s">
        <v>542</v>
      </c>
      <c r="E524" s="18" t="s">
        <v>543</v>
      </c>
      <c r="F524" s="23" t="s">
        <v>544</v>
      </c>
      <c r="G524" s="58" t="s">
        <v>545</v>
      </c>
      <c r="H524" s="123"/>
      <c r="I524" s="123"/>
      <c r="J524" s="123" t="s">
        <v>1076</v>
      </c>
      <c r="K524" s="49" t="s">
        <v>546</v>
      </c>
      <c r="L524" s="158">
        <v>0</v>
      </c>
      <c r="M524" s="159">
        <v>0</v>
      </c>
      <c r="N524" s="160">
        <v>0</v>
      </c>
      <c r="O524" s="27"/>
      <c r="P524" s="58"/>
      <c r="Q524" s="49"/>
      <c r="R524" s="27"/>
      <c r="S524" s="58"/>
      <c r="T524" s="98"/>
      <c r="U524" s="27"/>
      <c r="V524" s="58"/>
      <c r="W524" s="12"/>
      <c r="X524" s="27"/>
      <c r="Y524" s="58"/>
      <c r="Z524" s="12"/>
      <c r="AA524" s="27"/>
      <c r="AB524" s="58"/>
      <c r="AC524" s="12"/>
      <c r="AD524" s="27"/>
      <c r="AE524" s="58"/>
      <c r="AF524" s="12"/>
      <c r="AG524" s="27"/>
      <c r="AH524" s="58"/>
      <c r="AI524" s="12"/>
      <c r="AJ524" s="27"/>
      <c r="AK524" s="58"/>
      <c r="AL524" s="12"/>
      <c r="AM524" s="27"/>
      <c r="AN524" s="58"/>
      <c r="AO524" s="12"/>
      <c r="AP524" s="27"/>
      <c r="AQ524" s="58"/>
      <c r="AR524" s="12"/>
      <c r="AS524" s="27"/>
      <c r="AT524" s="58"/>
      <c r="AU524" s="12"/>
    </row>
    <row r="525" spans="1:47" ht="29.25" customHeight="1" x14ac:dyDescent="0.6">
      <c r="A525" s="5">
        <v>234</v>
      </c>
      <c r="B525" s="18">
        <v>99</v>
      </c>
      <c r="C525" s="18"/>
      <c r="D525" s="18" t="s">
        <v>548</v>
      </c>
      <c r="E525" s="18" t="s">
        <v>543</v>
      </c>
      <c r="F525" s="23" t="s">
        <v>544</v>
      </c>
      <c r="G525" s="58" t="s">
        <v>545</v>
      </c>
      <c r="H525" s="123"/>
      <c r="I525" s="123"/>
      <c r="J525" s="123" t="s">
        <v>1077</v>
      </c>
      <c r="K525" s="49" t="s">
        <v>546</v>
      </c>
      <c r="L525" s="158">
        <v>73</v>
      </c>
      <c r="M525" s="159">
        <v>970</v>
      </c>
      <c r="N525" s="160">
        <v>845.2</v>
      </c>
      <c r="O525" s="27"/>
      <c r="P525" s="58"/>
      <c r="Q525" s="49"/>
      <c r="R525" s="27"/>
      <c r="S525" s="58"/>
      <c r="T525" s="98"/>
      <c r="U525" s="27"/>
      <c r="V525" s="58"/>
      <c r="W525" s="12"/>
      <c r="X525" s="27"/>
      <c r="Y525" s="58"/>
      <c r="Z525" s="12"/>
      <c r="AA525" s="27"/>
      <c r="AB525" s="58"/>
      <c r="AC525" s="12"/>
      <c r="AD525" s="27"/>
      <c r="AE525" s="58"/>
      <c r="AF525" s="12"/>
      <c r="AG525" s="27"/>
      <c r="AH525" s="58"/>
      <c r="AI525" s="12"/>
      <c r="AJ525" s="27"/>
      <c r="AK525" s="58"/>
      <c r="AL525" s="12"/>
      <c r="AM525" s="27"/>
      <c r="AN525" s="58"/>
      <c r="AO525" s="12"/>
      <c r="AP525" s="27"/>
      <c r="AQ525" s="58"/>
      <c r="AR525" s="12"/>
      <c r="AS525" s="27"/>
      <c r="AT525" s="58"/>
      <c r="AU525" s="12"/>
    </row>
    <row r="526" spans="1:47" ht="29.25" customHeight="1" x14ac:dyDescent="0.6">
      <c r="A526" s="5">
        <v>235</v>
      </c>
      <c r="B526" s="18" t="s">
        <v>582</v>
      </c>
      <c r="C526" s="18"/>
      <c r="D526" s="18" t="s">
        <v>550</v>
      </c>
      <c r="E526" s="18" t="s">
        <v>543</v>
      </c>
      <c r="F526" s="23" t="s">
        <v>544</v>
      </c>
      <c r="G526" s="58" t="s">
        <v>545</v>
      </c>
      <c r="H526" s="123"/>
      <c r="I526" s="123"/>
      <c r="J526" s="123" t="s">
        <v>1078</v>
      </c>
      <c r="K526" s="49" t="s">
        <v>546</v>
      </c>
      <c r="L526" s="158">
        <v>32</v>
      </c>
      <c r="M526" s="159">
        <v>384</v>
      </c>
      <c r="N526" s="160">
        <v>376.8</v>
      </c>
      <c r="O526" s="27"/>
      <c r="P526" s="58"/>
      <c r="Q526" s="49"/>
      <c r="R526" s="27"/>
      <c r="S526" s="58"/>
      <c r="T526" s="98"/>
      <c r="U526" s="27"/>
      <c r="V526" s="58"/>
      <c r="W526" s="12"/>
      <c r="X526" s="27"/>
      <c r="Y526" s="58"/>
      <c r="Z526" s="12"/>
      <c r="AA526" s="27"/>
      <c r="AB526" s="58"/>
      <c r="AC526" s="12"/>
      <c r="AD526" s="27"/>
      <c r="AE526" s="58"/>
      <c r="AF526" s="12"/>
      <c r="AG526" s="27"/>
      <c r="AH526" s="58"/>
      <c r="AI526" s="12"/>
      <c r="AJ526" s="27"/>
      <c r="AK526" s="58"/>
      <c r="AL526" s="12"/>
      <c r="AM526" s="27"/>
      <c r="AN526" s="58"/>
      <c r="AO526" s="12"/>
      <c r="AP526" s="27"/>
      <c r="AQ526" s="58"/>
      <c r="AR526" s="12"/>
      <c r="AS526" s="27"/>
      <c r="AT526" s="58"/>
      <c r="AU526" s="12"/>
    </row>
    <row r="527" spans="1:47" ht="29.25" customHeight="1" x14ac:dyDescent="0.6">
      <c r="A527" s="5">
        <v>236</v>
      </c>
      <c r="B527" s="18" t="s">
        <v>585</v>
      </c>
      <c r="C527" s="18"/>
      <c r="D527" s="18" t="s">
        <v>552</v>
      </c>
      <c r="E527" s="18" t="s">
        <v>543</v>
      </c>
      <c r="F527" s="23" t="s">
        <v>544</v>
      </c>
      <c r="G527" s="58" t="s">
        <v>545</v>
      </c>
      <c r="H527" s="123"/>
      <c r="I527" s="123"/>
      <c r="J527" s="123" t="s">
        <v>1079</v>
      </c>
      <c r="K527" s="49" t="s">
        <v>546</v>
      </c>
      <c r="L527" s="158">
        <v>73</v>
      </c>
      <c r="M527" s="159">
        <v>876</v>
      </c>
      <c r="N527" s="160">
        <v>876</v>
      </c>
      <c r="O527" s="27"/>
      <c r="P527" s="58"/>
      <c r="Q527" s="49"/>
      <c r="R527" s="27"/>
      <c r="S527" s="58"/>
      <c r="T527" s="98"/>
      <c r="U527" s="27"/>
      <c r="V527" s="58"/>
      <c r="W527" s="12"/>
      <c r="X527" s="27"/>
      <c r="Y527" s="58"/>
      <c r="Z527" s="12"/>
      <c r="AA527" s="27"/>
      <c r="AB527" s="58"/>
      <c r="AC527" s="12"/>
      <c r="AD527" s="27"/>
      <c r="AE527" s="58"/>
      <c r="AF527" s="12"/>
      <c r="AG527" s="27"/>
      <c r="AH527" s="58"/>
      <c r="AI527" s="12"/>
      <c r="AJ527" s="27"/>
      <c r="AK527" s="58"/>
      <c r="AL527" s="12"/>
      <c r="AM527" s="27"/>
      <c r="AN527" s="58"/>
      <c r="AO527" s="12"/>
      <c r="AP527" s="27"/>
      <c r="AQ527" s="58"/>
      <c r="AR527" s="12"/>
      <c r="AS527" s="27"/>
      <c r="AT527" s="58"/>
      <c r="AU527" s="12"/>
    </row>
    <row r="528" spans="1:47" ht="29.25" customHeight="1" x14ac:dyDescent="0.6">
      <c r="A528" s="5">
        <v>237</v>
      </c>
      <c r="B528" s="18" t="s">
        <v>587</v>
      </c>
      <c r="C528" s="18"/>
      <c r="D528" s="18" t="s">
        <v>462</v>
      </c>
      <c r="E528" s="18" t="s">
        <v>543</v>
      </c>
      <c r="F528" s="23" t="s">
        <v>544</v>
      </c>
      <c r="G528" s="58" t="s">
        <v>545</v>
      </c>
      <c r="H528" s="123"/>
      <c r="I528" s="123"/>
      <c r="J528" s="123" t="s">
        <v>1080</v>
      </c>
      <c r="K528" s="49" t="s">
        <v>546</v>
      </c>
      <c r="L528" s="158">
        <v>27</v>
      </c>
      <c r="M528" s="159">
        <v>510</v>
      </c>
      <c r="N528" s="160">
        <v>308.64</v>
      </c>
      <c r="O528" s="27"/>
      <c r="P528" s="58"/>
      <c r="Q528" s="49"/>
      <c r="R528" s="27"/>
      <c r="S528" s="58"/>
      <c r="T528" s="98"/>
      <c r="U528" s="27"/>
      <c r="V528" s="58"/>
      <c r="W528" s="12"/>
      <c r="X528" s="27"/>
      <c r="Y528" s="58"/>
      <c r="Z528" s="12"/>
      <c r="AA528" s="27"/>
      <c r="AB528" s="58"/>
      <c r="AC528" s="12"/>
      <c r="AD528" s="27"/>
      <c r="AE528" s="58"/>
      <c r="AF528" s="12"/>
      <c r="AG528" s="27"/>
      <c r="AH528" s="58"/>
      <c r="AI528" s="12"/>
      <c r="AJ528" s="27"/>
      <c r="AK528" s="58"/>
      <c r="AL528" s="12"/>
      <c r="AM528" s="27"/>
      <c r="AN528" s="58"/>
      <c r="AO528" s="12"/>
      <c r="AP528" s="27"/>
      <c r="AQ528" s="58"/>
      <c r="AR528" s="12"/>
      <c r="AS528" s="27"/>
      <c r="AT528" s="58"/>
      <c r="AU528" s="12"/>
    </row>
    <row r="529" spans="1:47" ht="29.25" customHeight="1" x14ac:dyDescent="0.6">
      <c r="A529" s="5">
        <v>238</v>
      </c>
      <c r="B529" s="18" t="s">
        <v>589</v>
      </c>
      <c r="C529" s="18"/>
      <c r="D529" s="18" t="s">
        <v>554</v>
      </c>
      <c r="E529" s="18" t="s">
        <v>543</v>
      </c>
      <c r="F529" s="23" t="s">
        <v>544</v>
      </c>
      <c r="G529" s="58" t="s">
        <v>545</v>
      </c>
      <c r="H529" s="123"/>
      <c r="I529" s="123"/>
      <c r="J529" s="123" t="s">
        <v>1081</v>
      </c>
      <c r="K529" s="49" t="s">
        <v>546</v>
      </c>
      <c r="L529" s="158">
        <v>6</v>
      </c>
      <c r="M529" s="159">
        <v>132</v>
      </c>
      <c r="N529" s="160">
        <v>69.92</v>
      </c>
      <c r="O529" s="27"/>
      <c r="P529" s="58"/>
      <c r="Q529" s="49"/>
      <c r="R529" s="27"/>
      <c r="S529" s="58"/>
      <c r="T529" s="98"/>
      <c r="U529" s="27"/>
      <c r="V529" s="58"/>
      <c r="W529" s="12"/>
      <c r="X529" s="27"/>
      <c r="Y529" s="58"/>
      <c r="Z529" s="12"/>
      <c r="AA529" s="27"/>
      <c r="AB529" s="58"/>
      <c r="AC529" s="12"/>
      <c r="AD529" s="27"/>
      <c r="AE529" s="58"/>
      <c r="AF529" s="12"/>
      <c r="AG529" s="27"/>
      <c r="AH529" s="58"/>
      <c r="AI529" s="12"/>
      <c r="AJ529" s="27"/>
      <c r="AK529" s="58"/>
      <c r="AL529" s="12"/>
      <c r="AM529" s="27"/>
      <c r="AN529" s="58"/>
      <c r="AO529" s="12"/>
      <c r="AP529" s="27"/>
      <c r="AQ529" s="58"/>
      <c r="AR529" s="12"/>
      <c r="AS529" s="27"/>
      <c r="AT529" s="58"/>
      <c r="AU529" s="12"/>
    </row>
    <row r="530" spans="1:47" ht="29.25" customHeight="1" x14ac:dyDescent="0.6">
      <c r="A530" s="5">
        <v>239</v>
      </c>
      <c r="B530" s="18" t="s">
        <v>591</v>
      </c>
      <c r="C530" s="18"/>
      <c r="D530" s="18" t="s">
        <v>556</v>
      </c>
      <c r="E530" s="18" t="s">
        <v>543</v>
      </c>
      <c r="F530" s="23" t="s">
        <v>544</v>
      </c>
      <c r="G530" s="58" t="s">
        <v>545</v>
      </c>
      <c r="H530" s="123"/>
      <c r="I530" s="123"/>
      <c r="J530" s="123" t="s">
        <v>1082</v>
      </c>
      <c r="K530" s="49" t="s">
        <v>546</v>
      </c>
      <c r="L530" s="158">
        <v>10</v>
      </c>
      <c r="M530" s="159">
        <v>120</v>
      </c>
      <c r="N530" s="160">
        <v>108.47999999999999</v>
      </c>
      <c r="O530" s="27"/>
      <c r="P530" s="58"/>
      <c r="Q530" s="49"/>
      <c r="R530" s="27"/>
      <c r="S530" s="58"/>
      <c r="T530" s="98"/>
      <c r="U530" s="27"/>
      <c r="V530" s="58"/>
      <c r="W530" s="12"/>
      <c r="X530" s="27"/>
      <c r="Y530" s="58"/>
      <c r="Z530" s="12"/>
      <c r="AA530" s="27"/>
      <c r="AB530" s="58"/>
      <c r="AC530" s="12"/>
      <c r="AD530" s="27"/>
      <c r="AE530" s="58"/>
      <c r="AF530" s="12"/>
      <c r="AG530" s="27"/>
      <c r="AH530" s="58"/>
      <c r="AI530" s="12"/>
      <c r="AJ530" s="27"/>
      <c r="AK530" s="58"/>
      <c r="AL530" s="12"/>
      <c r="AM530" s="27"/>
      <c r="AN530" s="58"/>
      <c r="AO530" s="12"/>
      <c r="AP530" s="27"/>
      <c r="AQ530" s="58"/>
      <c r="AR530" s="12"/>
      <c r="AS530" s="27"/>
      <c r="AT530" s="58"/>
      <c r="AU530" s="12"/>
    </row>
    <row r="531" spans="1:47" ht="29.25" customHeight="1" x14ac:dyDescent="0.6">
      <c r="A531" s="5">
        <v>240</v>
      </c>
      <c r="B531" s="18" t="s">
        <v>593</v>
      </c>
      <c r="C531" s="18"/>
      <c r="D531" s="18" t="s">
        <v>558</v>
      </c>
      <c r="E531" s="18" t="s">
        <v>307</v>
      </c>
      <c r="F531" s="23" t="s">
        <v>308</v>
      </c>
      <c r="G531" s="58" t="s">
        <v>545</v>
      </c>
      <c r="H531" s="123"/>
      <c r="I531" s="123"/>
      <c r="J531" s="123" t="s">
        <v>1083</v>
      </c>
      <c r="K531" s="49" t="s">
        <v>546</v>
      </c>
      <c r="L531" s="158">
        <v>10</v>
      </c>
      <c r="M531" s="159">
        <v>120</v>
      </c>
      <c r="N531" s="160">
        <v>120</v>
      </c>
      <c r="O531" s="27"/>
      <c r="P531" s="58"/>
      <c r="Q531" s="49"/>
      <c r="R531" s="27"/>
      <c r="S531" s="58"/>
      <c r="T531" s="98"/>
      <c r="U531" s="27"/>
      <c r="V531" s="58"/>
      <c r="W531" s="12"/>
      <c r="X531" s="27"/>
      <c r="Y531" s="58"/>
      <c r="Z531" s="12"/>
      <c r="AA531" s="27"/>
      <c r="AB531" s="58"/>
      <c r="AC531" s="12"/>
      <c r="AD531" s="27"/>
      <c r="AE531" s="58"/>
      <c r="AF531" s="12"/>
      <c r="AG531" s="27"/>
      <c r="AH531" s="58"/>
      <c r="AI531" s="12"/>
      <c r="AJ531" s="27"/>
      <c r="AK531" s="58"/>
      <c r="AL531" s="12"/>
      <c r="AM531" s="27"/>
      <c r="AN531" s="58"/>
      <c r="AO531" s="12"/>
      <c r="AP531" s="27"/>
      <c r="AQ531" s="58"/>
      <c r="AR531" s="12"/>
      <c r="AS531" s="27"/>
      <c r="AT531" s="58"/>
      <c r="AU531" s="12"/>
    </row>
    <row r="532" spans="1:47" ht="29.25" customHeight="1" x14ac:dyDescent="0.6">
      <c r="A532" s="5">
        <v>241</v>
      </c>
      <c r="B532" s="18" t="s">
        <v>595</v>
      </c>
      <c r="C532" s="18"/>
      <c r="D532" s="18" t="s">
        <v>560</v>
      </c>
      <c r="E532" s="18" t="s">
        <v>307</v>
      </c>
      <c r="F532" s="23" t="s">
        <v>308</v>
      </c>
      <c r="G532" s="110" t="s">
        <v>545</v>
      </c>
      <c r="H532" s="123"/>
      <c r="I532" s="123"/>
      <c r="J532" s="123"/>
      <c r="K532" s="49" t="s">
        <v>546</v>
      </c>
      <c r="L532" s="158">
        <v>27</v>
      </c>
      <c r="M532" s="159">
        <v>470</v>
      </c>
      <c r="N532" s="160">
        <v>310.48</v>
      </c>
      <c r="O532" s="27"/>
      <c r="P532" s="58"/>
      <c r="Q532" s="49"/>
      <c r="R532" s="27"/>
      <c r="S532" s="58"/>
      <c r="T532" s="98"/>
      <c r="U532" s="27"/>
      <c r="V532" s="58"/>
      <c r="W532" s="12"/>
      <c r="X532" s="27"/>
      <c r="Y532" s="58"/>
      <c r="Z532" s="12"/>
      <c r="AA532" s="27"/>
      <c r="AB532" s="58"/>
      <c r="AC532" s="12"/>
      <c r="AD532" s="27"/>
      <c r="AE532" s="58"/>
      <c r="AF532" s="12"/>
      <c r="AG532" s="27"/>
      <c r="AH532" s="58"/>
      <c r="AI532" s="12"/>
      <c r="AJ532" s="27"/>
      <c r="AK532" s="58"/>
      <c r="AL532" s="12"/>
      <c r="AM532" s="27"/>
      <c r="AN532" s="58"/>
      <c r="AO532" s="12"/>
      <c r="AP532" s="27"/>
      <c r="AQ532" s="58"/>
      <c r="AR532" s="12"/>
      <c r="AS532" s="27"/>
      <c r="AT532" s="58"/>
      <c r="AU532" s="12"/>
    </row>
    <row r="533" spans="1:47" ht="29.25" customHeight="1" x14ac:dyDescent="0.6">
      <c r="A533" s="5">
        <v>242</v>
      </c>
      <c r="B533" s="18" t="s">
        <v>310</v>
      </c>
      <c r="C533" s="18"/>
      <c r="D533" s="18" t="s">
        <v>562</v>
      </c>
      <c r="E533" s="18" t="s">
        <v>307</v>
      </c>
      <c r="F533" s="23" t="s">
        <v>308</v>
      </c>
      <c r="G533" s="110" t="s">
        <v>545</v>
      </c>
      <c r="H533" s="123"/>
      <c r="I533" s="123"/>
      <c r="J533" s="123" t="s">
        <v>1084</v>
      </c>
      <c r="K533" s="49" t="s">
        <v>546</v>
      </c>
      <c r="L533" s="158">
        <v>0</v>
      </c>
      <c r="M533" s="159">
        <v>0</v>
      </c>
      <c r="N533" s="160">
        <v>0</v>
      </c>
      <c r="O533" s="27"/>
      <c r="P533" s="58"/>
      <c r="Q533" s="49"/>
      <c r="R533" s="27"/>
      <c r="S533" s="58"/>
      <c r="T533" s="98"/>
      <c r="U533" s="27"/>
      <c r="V533" s="58"/>
      <c r="W533" s="12"/>
      <c r="X533" s="27"/>
      <c r="Y533" s="58"/>
      <c r="Z533" s="12"/>
      <c r="AA533" s="27"/>
      <c r="AB533" s="58"/>
      <c r="AC533" s="12"/>
      <c r="AD533" s="27"/>
      <c r="AE533" s="58"/>
      <c r="AF533" s="12"/>
      <c r="AG533" s="27"/>
      <c r="AH533" s="58"/>
      <c r="AI533" s="12"/>
      <c r="AJ533" s="27"/>
      <c r="AK533" s="58"/>
      <c r="AL533" s="12"/>
      <c r="AM533" s="27"/>
      <c r="AN533" s="58"/>
      <c r="AO533" s="12"/>
      <c r="AP533" s="27"/>
      <c r="AQ533" s="58"/>
      <c r="AR533" s="12"/>
      <c r="AS533" s="27"/>
      <c r="AT533" s="58"/>
      <c r="AU533" s="12"/>
    </row>
    <row r="534" spans="1:47" ht="29.25" customHeight="1" x14ac:dyDescent="0.6">
      <c r="A534" s="5">
        <v>243</v>
      </c>
      <c r="B534" s="18" t="s">
        <v>371</v>
      </c>
      <c r="C534" s="18"/>
      <c r="D534" s="18" t="s">
        <v>564</v>
      </c>
      <c r="E534" s="18" t="s">
        <v>307</v>
      </c>
      <c r="F534" s="23" t="s">
        <v>308</v>
      </c>
      <c r="G534" s="110" t="s">
        <v>545</v>
      </c>
      <c r="H534" s="123"/>
      <c r="I534" s="123"/>
      <c r="J534" s="123" t="s">
        <v>1085</v>
      </c>
      <c r="K534" s="49" t="s">
        <v>546</v>
      </c>
      <c r="L534" s="158">
        <v>0</v>
      </c>
      <c r="M534" s="159">
        <v>0</v>
      </c>
      <c r="N534" s="160">
        <v>0</v>
      </c>
      <c r="O534" s="27"/>
      <c r="P534" s="58"/>
      <c r="Q534" s="49"/>
      <c r="R534" s="27"/>
      <c r="S534" s="58"/>
      <c r="T534" s="98"/>
      <c r="U534" s="27"/>
      <c r="V534" s="58"/>
      <c r="W534" s="12"/>
      <c r="X534" s="27"/>
      <c r="Y534" s="58"/>
      <c r="Z534" s="12"/>
      <c r="AA534" s="27"/>
      <c r="AB534" s="58"/>
      <c r="AC534" s="12"/>
      <c r="AD534" s="27"/>
      <c r="AE534" s="58"/>
      <c r="AF534" s="12"/>
      <c r="AG534" s="27"/>
      <c r="AH534" s="58"/>
      <c r="AI534" s="12"/>
      <c r="AJ534" s="27"/>
      <c r="AK534" s="58"/>
      <c r="AL534" s="12"/>
      <c r="AM534" s="27"/>
      <c r="AN534" s="58"/>
      <c r="AO534" s="12"/>
      <c r="AP534" s="27"/>
      <c r="AQ534" s="58"/>
      <c r="AR534" s="12"/>
      <c r="AS534" s="27"/>
      <c r="AT534" s="58"/>
      <c r="AU534" s="12"/>
    </row>
    <row r="535" spans="1:47" ht="29.25" customHeight="1" x14ac:dyDescent="0.6">
      <c r="A535" s="5">
        <v>244</v>
      </c>
      <c r="B535" s="18" t="s">
        <v>596</v>
      </c>
      <c r="C535" s="18"/>
      <c r="D535" s="18" t="s">
        <v>566</v>
      </c>
      <c r="E535" s="18" t="s">
        <v>307</v>
      </c>
      <c r="F535" s="23" t="s">
        <v>308</v>
      </c>
      <c r="G535" s="58" t="s">
        <v>597</v>
      </c>
      <c r="H535" s="123"/>
      <c r="I535" s="123"/>
      <c r="J535" s="123" t="s">
        <v>1086</v>
      </c>
      <c r="K535" s="49" t="s">
        <v>598</v>
      </c>
      <c r="L535" s="158">
        <v>0</v>
      </c>
      <c r="M535" s="159">
        <v>0</v>
      </c>
      <c r="N535" s="160">
        <v>0</v>
      </c>
      <c r="O535" s="27"/>
      <c r="P535" s="58"/>
      <c r="Q535" s="49"/>
      <c r="R535" s="27"/>
      <c r="S535" s="58"/>
      <c r="T535" s="98"/>
      <c r="U535" s="27"/>
      <c r="V535" s="58"/>
      <c r="W535" s="12"/>
      <c r="X535" s="27"/>
      <c r="Y535" s="58"/>
      <c r="Z535" s="12"/>
      <c r="AA535" s="27"/>
      <c r="AB535" s="58"/>
      <c r="AC535" s="12"/>
      <c r="AD535" s="27"/>
      <c r="AE535" s="58"/>
      <c r="AF535" s="12"/>
      <c r="AG535" s="27"/>
      <c r="AH535" s="58"/>
      <c r="AI535" s="12"/>
      <c r="AJ535" s="27"/>
      <c r="AK535" s="58"/>
      <c r="AL535" s="12"/>
      <c r="AM535" s="27"/>
      <c r="AN535" s="58"/>
      <c r="AO535" s="12"/>
      <c r="AP535" s="27"/>
      <c r="AQ535" s="58"/>
      <c r="AR535" s="12"/>
      <c r="AS535" s="27"/>
      <c r="AT535" s="58"/>
      <c r="AU535" s="12"/>
    </row>
    <row r="536" spans="1:47" ht="29.25" customHeight="1" x14ac:dyDescent="0.6">
      <c r="A536" s="5">
        <v>245</v>
      </c>
      <c r="B536" s="18" t="s">
        <v>496</v>
      </c>
      <c r="C536" s="18"/>
      <c r="D536" s="18" t="s">
        <v>568</v>
      </c>
      <c r="E536" s="18" t="s">
        <v>307</v>
      </c>
      <c r="F536" s="23" t="s">
        <v>308</v>
      </c>
      <c r="G536" s="58" t="s">
        <v>597</v>
      </c>
      <c r="H536" s="123"/>
      <c r="I536" s="123"/>
      <c r="J536" s="123" t="s">
        <v>1087</v>
      </c>
      <c r="K536" s="49" t="s">
        <v>598</v>
      </c>
      <c r="L536" s="158">
        <v>0</v>
      </c>
      <c r="M536" s="159">
        <v>0</v>
      </c>
      <c r="N536" s="160">
        <v>0</v>
      </c>
      <c r="O536" s="27"/>
      <c r="P536" s="58"/>
      <c r="Q536" s="49"/>
      <c r="R536" s="27"/>
      <c r="S536" s="58"/>
      <c r="T536" s="98"/>
      <c r="U536" s="27"/>
      <c r="V536" s="58"/>
      <c r="W536" s="12"/>
      <c r="X536" s="27"/>
      <c r="Y536" s="58"/>
      <c r="Z536" s="12"/>
      <c r="AA536" s="27"/>
      <c r="AB536" s="58"/>
      <c r="AC536" s="12"/>
      <c r="AD536" s="27"/>
      <c r="AE536" s="58"/>
      <c r="AF536" s="12"/>
      <c r="AG536" s="27"/>
      <c r="AH536" s="58"/>
      <c r="AI536" s="12"/>
      <c r="AJ536" s="27"/>
      <c r="AK536" s="58"/>
      <c r="AL536" s="12"/>
      <c r="AM536" s="27"/>
      <c r="AN536" s="58"/>
      <c r="AO536" s="12"/>
      <c r="AP536" s="27"/>
      <c r="AQ536" s="58"/>
      <c r="AR536" s="12"/>
      <c r="AS536" s="27"/>
      <c r="AT536" s="58"/>
      <c r="AU536" s="12"/>
    </row>
    <row r="537" spans="1:47" ht="29.25" customHeight="1" x14ac:dyDescent="0.6">
      <c r="A537" s="5">
        <v>246</v>
      </c>
      <c r="B537" s="18" t="s">
        <v>599</v>
      </c>
      <c r="C537" s="18"/>
      <c r="D537" s="18" t="s">
        <v>569</v>
      </c>
      <c r="E537" s="18" t="s">
        <v>307</v>
      </c>
      <c r="F537" s="23" t="s">
        <v>308</v>
      </c>
      <c r="G537" s="58" t="s">
        <v>597</v>
      </c>
      <c r="H537" s="123"/>
      <c r="I537" s="123"/>
      <c r="J537" s="123" t="s">
        <v>1088</v>
      </c>
      <c r="K537" s="49" t="s">
        <v>598</v>
      </c>
      <c r="L537" s="158">
        <v>75</v>
      </c>
      <c r="M537" s="159">
        <v>900</v>
      </c>
      <c r="N537" s="160">
        <v>900</v>
      </c>
      <c r="O537" s="27"/>
      <c r="P537" s="58"/>
      <c r="Q537" s="49"/>
      <c r="R537" s="27"/>
      <c r="S537" s="58"/>
      <c r="T537" s="98"/>
      <c r="U537" s="27"/>
      <c r="V537" s="58"/>
      <c r="W537" s="12"/>
      <c r="X537" s="27"/>
      <c r="Y537" s="58"/>
      <c r="Z537" s="12"/>
      <c r="AA537" s="27"/>
      <c r="AB537" s="58"/>
      <c r="AC537" s="12"/>
      <c r="AD537" s="27"/>
      <c r="AE537" s="58"/>
      <c r="AF537" s="12"/>
      <c r="AG537" s="27"/>
      <c r="AH537" s="58"/>
      <c r="AI537" s="12"/>
      <c r="AJ537" s="27"/>
      <c r="AK537" s="58"/>
      <c r="AL537" s="12"/>
      <c r="AM537" s="27"/>
      <c r="AN537" s="58"/>
      <c r="AO537" s="12"/>
      <c r="AP537" s="27"/>
      <c r="AQ537" s="58"/>
      <c r="AR537" s="12"/>
      <c r="AS537" s="27"/>
      <c r="AT537" s="58"/>
      <c r="AU537" s="12"/>
    </row>
    <row r="538" spans="1:47" ht="29.25" customHeight="1" x14ac:dyDescent="0.6">
      <c r="A538" s="5">
        <v>247</v>
      </c>
      <c r="B538" s="18" t="s">
        <v>601</v>
      </c>
      <c r="C538" s="18"/>
      <c r="D538" s="18" t="s">
        <v>571</v>
      </c>
      <c r="E538" s="18" t="s">
        <v>263</v>
      </c>
      <c r="F538" s="23" t="s">
        <v>264</v>
      </c>
      <c r="G538" s="58" t="s">
        <v>597</v>
      </c>
      <c r="H538" s="123"/>
      <c r="I538" s="123"/>
      <c r="J538" s="123" t="s">
        <v>1089</v>
      </c>
      <c r="K538" s="49" t="s">
        <v>598</v>
      </c>
      <c r="L538" s="158">
        <v>16</v>
      </c>
      <c r="M538" s="159">
        <v>296</v>
      </c>
      <c r="N538" s="160">
        <v>214.24</v>
      </c>
      <c r="O538" s="27"/>
      <c r="P538" s="58"/>
      <c r="Q538" s="49"/>
      <c r="R538" s="27"/>
      <c r="S538" s="58"/>
      <c r="T538" s="98"/>
      <c r="U538" s="27"/>
      <c r="V538" s="58"/>
      <c r="W538" s="12"/>
      <c r="X538" s="27"/>
      <c r="Y538" s="58"/>
      <c r="Z538" s="12"/>
      <c r="AA538" s="27"/>
      <c r="AB538" s="58"/>
      <c r="AC538" s="12"/>
      <c r="AD538" s="27"/>
      <c r="AE538" s="58"/>
      <c r="AF538" s="12"/>
      <c r="AG538" s="27"/>
      <c r="AH538" s="58"/>
      <c r="AI538" s="12"/>
      <c r="AJ538" s="27"/>
      <c r="AK538" s="58"/>
      <c r="AL538" s="12"/>
      <c r="AM538" s="27"/>
      <c r="AN538" s="58"/>
      <c r="AO538" s="12"/>
      <c r="AP538" s="27"/>
      <c r="AQ538" s="58"/>
      <c r="AR538" s="12"/>
      <c r="AS538" s="27"/>
      <c r="AT538" s="58"/>
      <c r="AU538" s="12"/>
    </row>
    <row r="539" spans="1:47" ht="29.25" customHeight="1" x14ac:dyDescent="0.6">
      <c r="A539" s="5">
        <v>248</v>
      </c>
      <c r="B539" s="18" t="s">
        <v>603</v>
      </c>
      <c r="C539" s="18"/>
      <c r="D539" s="18" t="s">
        <v>573</v>
      </c>
      <c r="E539" s="18" t="s">
        <v>263</v>
      </c>
      <c r="F539" s="23" t="s">
        <v>264</v>
      </c>
      <c r="G539" s="110" t="s">
        <v>597</v>
      </c>
      <c r="H539" s="123"/>
      <c r="I539" s="123"/>
      <c r="J539" s="123" t="s">
        <v>1090</v>
      </c>
      <c r="K539" s="49" t="s">
        <v>598</v>
      </c>
      <c r="L539" s="158">
        <v>36</v>
      </c>
      <c r="M539" s="159">
        <v>840</v>
      </c>
      <c r="N539" s="160">
        <v>430.88</v>
      </c>
      <c r="O539" s="27"/>
      <c r="P539" s="58"/>
      <c r="Q539" s="49"/>
      <c r="R539" s="27"/>
      <c r="S539" s="58"/>
      <c r="T539" s="98"/>
      <c r="U539" s="27"/>
      <c r="V539" s="58"/>
      <c r="W539" s="12"/>
      <c r="X539" s="27"/>
      <c r="Y539" s="58"/>
      <c r="Z539" s="12"/>
      <c r="AA539" s="27"/>
      <c r="AB539" s="58"/>
      <c r="AC539" s="12"/>
      <c r="AD539" s="27"/>
      <c r="AE539" s="58"/>
      <c r="AF539" s="12"/>
      <c r="AG539" s="27"/>
      <c r="AH539" s="58"/>
      <c r="AI539" s="12"/>
      <c r="AJ539" s="27"/>
      <c r="AK539" s="58"/>
      <c r="AL539" s="12"/>
      <c r="AM539" s="27"/>
      <c r="AN539" s="58"/>
      <c r="AO539" s="12"/>
      <c r="AP539" s="27"/>
      <c r="AQ539" s="58"/>
      <c r="AR539" s="12"/>
      <c r="AS539" s="27"/>
      <c r="AT539" s="58"/>
      <c r="AU539" s="12"/>
    </row>
    <row r="540" spans="1:47" ht="29.25" customHeight="1" x14ac:dyDescent="0.6">
      <c r="A540" s="5">
        <v>249</v>
      </c>
      <c r="B540" s="18" t="s">
        <v>605</v>
      </c>
      <c r="C540" s="18"/>
      <c r="D540" s="18" t="s">
        <v>575</v>
      </c>
      <c r="E540" s="18" t="s">
        <v>263</v>
      </c>
      <c r="F540" s="23" t="s">
        <v>264</v>
      </c>
      <c r="G540" s="58" t="s">
        <v>597</v>
      </c>
      <c r="H540" s="123"/>
      <c r="I540" s="123"/>
      <c r="J540" s="123"/>
      <c r="K540" s="49" t="s">
        <v>598</v>
      </c>
      <c r="L540" s="158">
        <v>27.216999999999999</v>
      </c>
      <c r="M540" s="159">
        <v>422</v>
      </c>
      <c r="N540" s="160">
        <v>353.46</v>
      </c>
      <c r="O540" s="27"/>
      <c r="P540" s="58"/>
      <c r="Q540" s="49"/>
      <c r="R540" s="27"/>
      <c r="S540" s="58"/>
      <c r="T540" s="98"/>
      <c r="U540" s="27"/>
      <c r="V540" s="58"/>
      <c r="W540" s="12"/>
      <c r="X540" s="27"/>
      <c r="Y540" s="58"/>
      <c r="Z540" s="12"/>
      <c r="AA540" s="27"/>
      <c r="AB540" s="58"/>
      <c r="AC540" s="12"/>
      <c r="AD540" s="27"/>
      <c r="AE540" s="58"/>
      <c r="AF540" s="12"/>
      <c r="AG540" s="27"/>
      <c r="AH540" s="58"/>
      <c r="AI540" s="12"/>
      <c r="AJ540" s="27"/>
      <c r="AK540" s="58"/>
      <c r="AL540" s="12"/>
      <c r="AM540" s="27"/>
      <c r="AN540" s="58"/>
      <c r="AO540" s="12"/>
      <c r="AP540" s="27"/>
      <c r="AQ540" s="58"/>
      <c r="AR540" s="12"/>
      <c r="AS540" s="27"/>
      <c r="AT540" s="58"/>
      <c r="AU540" s="12"/>
    </row>
    <row r="541" spans="1:47" ht="29.25" customHeight="1" x14ac:dyDescent="0.6">
      <c r="A541" s="5">
        <v>250</v>
      </c>
      <c r="B541" s="18" t="s">
        <v>606</v>
      </c>
      <c r="C541" s="18"/>
      <c r="D541" s="18" t="s">
        <v>577</v>
      </c>
      <c r="E541" s="18" t="s">
        <v>263</v>
      </c>
      <c r="F541" s="23" t="s">
        <v>264</v>
      </c>
      <c r="G541" s="58" t="s">
        <v>597</v>
      </c>
      <c r="H541" s="123"/>
      <c r="I541" s="123"/>
      <c r="J541" s="123" t="s">
        <v>1091</v>
      </c>
      <c r="K541" s="49" t="s">
        <v>598</v>
      </c>
      <c r="L541" s="158">
        <v>49</v>
      </c>
      <c r="M541" s="159">
        <v>692</v>
      </c>
      <c r="N541" s="160">
        <v>563.6</v>
      </c>
      <c r="O541" s="27"/>
      <c r="P541" s="58"/>
      <c r="Q541" s="49"/>
      <c r="R541" s="27"/>
      <c r="S541" s="58"/>
      <c r="T541" s="98"/>
      <c r="U541" s="27"/>
      <c r="V541" s="58"/>
      <c r="W541" s="12"/>
      <c r="X541" s="27"/>
      <c r="Y541" s="58"/>
      <c r="Z541" s="12"/>
      <c r="AA541" s="27"/>
      <c r="AB541" s="58"/>
      <c r="AC541" s="12"/>
      <c r="AD541" s="27"/>
      <c r="AE541" s="58"/>
      <c r="AF541" s="12"/>
      <c r="AG541" s="27"/>
      <c r="AH541" s="58"/>
      <c r="AI541" s="12"/>
      <c r="AJ541" s="27"/>
      <c r="AK541" s="58"/>
      <c r="AL541" s="12"/>
      <c r="AM541" s="27"/>
      <c r="AN541" s="58"/>
      <c r="AO541" s="12"/>
      <c r="AP541" s="27"/>
      <c r="AQ541" s="58"/>
      <c r="AR541" s="12"/>
      <c r="AS541" s="27"/>
      <c r="AT541" s="58"/>
      <c r="AU541" s="12"/>
    </row>
    <row r="542" spans="1:47" ht="29.25" customHeight="1" x14ac:dyDescent="0.6">
      <c r="A542" s="5">
        <v>251</v>
      </c>
      <c r="B542" s="18" t="s">
        <v>607</v>
      </c>
      <c r="C542" s="18"/>
      <c r="D542" s="18" t="s">
        <v>579</v>
      </c>
      <c r="E542" s="18" t="s">
        <v>263</v>
      </c>
      <c r="F542" s="23" t="s">
        <v>264</v>
      </c>
      <c r="G542" s="58" t="s">
        <v>597</v>
      </c>
      <c r="H542" s="123"/>
      <c r="I542" s="123"/>
      <c r="J542" s="123" t="s">
        <v>1092</v>
      </c>
      <c r="K542" s="49" t="s">
        <v>598</v>
      </c>
      <c r="L542" s="158">
        <v>39.700000000000003</v>
      </c>
      <c r="M542" s="159">
        <v>640</v>
      </c>
      <c r="N542" s="160">
        <v>564.48</v>
      </c>
      <c r="O542" s="27"/>
      <c r="P542" s="58"/>
      <c r="Q542" s="49"/>
      <c r="R542" s="27"/>
      <c r="S542" s="58"/>
      <c r="T542" s="98"/>
      <c r="U542" s="27"/>
      <c r="V542" s="58"/>
      <c r="W542" s="12"/>
      <c r="X542" s="27"/>
      <c r="Y542" s="58"/>
      <c r="Z542" s="12"/>
      <c r="AA542" s="27"/>
      <c r="AB542" s="58"/>
      <c r="AC542" s="12"/>
      <c r="AD542" s="27"/>
      <c r="AE542" s="58"/>
      <c r="AF542" s="12"/>
      <c r="AG542" s="27"/>
      <c r="AH542" s="58"/>
      <c r="AI542" s="12"/>
      <c r="AJ542" s="27"/>
      <c r="AK542" s="58"/>
      <c r="AL542" s="12"/>
      <c r="AM542" s="27"/>
      <c r="AN542" s="58"/>
      <c r="AO542" s="12"/>
      <c r="AP542" s="27"/>
      <c r="AQ542" s="58"/>
      <c r="AR542" s="12"/>
      <c r="AS542" s="27"/>
      <c r="AT542" s="58"/>
      <c r="AU542" s="12"/>
    </row>
    <row r="543" spans="1:47" ht="29.25" customHeight="1" x14ac:dyDescent="0.6">
      <c r="A543" s="5">
        <v>252</v>
      </c>
      <c r="B543" s="18" t="s">
        <v>609</v>
      </c>
      <c r="C543" s="18"/>
      <c r="D543" s="18" t="s">
        <v>581</v>
      </c>
      <c r="E543" s="18" t="s">
        <v>263</v>
      </c>
      <c r="F543" s="23" t="s">
        <v>264</v>
      </c>
      <c r="G543" s="58" t="s">
        <v>597</v>
      </c>
      <c r="H543" s="123"/>
      <c r="I543" s="123"/>
      <c r="J543" s="123" t="s">
        <v>1093</v>
      </c>
      <c r="K543" s="49" t="s">
        <v>598</v>
      </c>
      <c r="L543" s="158">
        <v>65</v>
      </c>
      <c r="M543" s="159">
        <v>1090</v>
      </c>
      <c r="N543" s="160">
        <v>754.40000000000009</v>
      </c>
      <c r="O543" s="27"/>
      <c r="P543" s="58"/>
      <c r="Q543" s="49"/>
      <c r="R543" s="27"/>
      <c r="S543" s="58"/>
      <c r="T543" s="98"/>
      <c r="U543" s="27"/>
      <c r="V543" s="58"/>
      <c r="W543" s="12"/>
      <c r="X543" s="27"/>
      <c r="Y543" s="58"/>
      <c r="Z543" s="12"/>
      <c r="AA543" s="27"/>
      <c r="AB543" s="58"/>
      <c r="AC543" s="12"/>
      <c r="AD543" s="27"/>
      <c r="AE543" s="58"/>
      <c r="AF543" s="12"/>
      <c r="AG543" s="27"/>
      <c r="AH543" s="58"/>
      <c r="AI543" s="12"/>
      <c r="AJ543" s="27"/>
      <c r="AK543" s="58"/>
      <c r="AL543" s="12"/>
      <c r="AM543" s="27"/>
      <c r="AN543" s="58"/>
      <c r="AO543" s="12"/>
      <c r="AP543" s="27"/>
      <c r="AQ543" s="58"/>
      <c r="AR543" s="12"/>
      <c r="AS543" s="27"/>
      <c r="AT543" s="58"/>
      <c r="AU543" s="12"/>
    </row>
    <row r="544" spans="1:47" ht="29.25" customHeight="1" x14ac:dyDescent="0.6">
      <c r="A544" s="5">
        <v>253</v>
      </c>
      <c r="B544" s="18" t="s">
        <v>615</v>
      </c>
      <c r="C544" s="18"/>
      <c r="D544" s="18" t="s">
        <v>583</v>
      </c>
      <c r="E544" s="18" t="s">
        <v>584</v>
      </c>
      <c r="F544" s="23" t="s">
        <v>281</v>
      </c>
      <c r="G544" s="58" t="s">
        <v>597</v>
      </c>
      <c r="H544" s="123"/>
      <c r="I544" s="123"/>
      <c r="J544" s="123" t="s">
        <v>1094</v>
      </c>
      <c r="K544" s="49" t="s">
        <v>598</v>
      </c>
      <c r="L544" s="158">
        <v>12</v>
      </c>
      <c r="M544" s="159">
        <v>144</v>
      </c>
      <c r="N544" s="160">
        <v>144</v>
      </c>
      <c r="O544" s="27"/>
      <c r="P544" s="58"/>
      <c r="Q544" s="49"/>
      <c r="R544" s="27"/>
      <c r="S544" s="58"/>
      <c r="T544" s="98"/>
      <c r="U544" s="27"/>
      <c r="V544" s="58"/>
      <c r="W544" s="12"/>
      <c r="X544" s="27"/>
      <c r="Y544" s="58"/>
      <c r="Z544" s="12"/>
      <c r="AA544" s="27"/>
      <c r="AB544" s="58"/>
      <c r="AC544" s="12"/>
      <c r="AD544" s="27"/>
      <c r="AE544" s="58"/>
      <c r="AF544" s="12"/>
      <c r="AG544" s="27"/>
      <c r="AH544" s="58"/>
      <c r="AI544" s="12"/>
      <c r="AJ544" s="27"/>
      <c r="AK544" s="58"/>
      <c r="AL544" s="12"/>
      <c r="AM544" s="27"/>
      <c r="AN544" s="58"/>
      <c r="AO544" s="12"/>
      <c r="AP544" s="27"/>
      <c r="AQ544" s="58"/>
      <c r="AR544" s="12"/>
      <c r="AS544" s="27"/>
      <c r="AT544" s="58"/>
      <c r="AU544" s="12"/>
    </row>
    <row r="545" spans="1:47" ht="29.25" customHeight="1" x14ac:dyDescent="0.6">
      <c r="A545" s="5">
        <v>254</v>
      </c>
      <c r="B545" s="18" t="s">
        <v>617</v>
      </c>
      <c r="C545" s="18"/>
      <c r="D545" s="18" t="s">
        <v>586</v>
      </c>
      <c r="E545" s="18" t="s">
        <v>584</v>
      </c>
      <c r="F545" s="23" t="s">
        <v>281</v>
      </c>
      <c r="G545" s="58" t="s">
        <v>597</v>
      </c>
      <c r="H545" s="123"/>
      <c r="I545" s="123"/>
      <c r="J545" s="123" t="s">
        <v>1095</v>
      </c>
      <c r="K545" s="49" t="s">
        <v>598</v>
      </c>
      <c r="L545" s="158">
        <v>116</v>
      </c>
      <c r="M545" s="159">
        <v>1658</v>
      </c>
      <c r="N545" s="160">
        <v>1076.8</v>
      </c>
      <c r="O545" s="27"/>
      <c r="P545" s="58"/>
      <c r="Q545" s="49"/>
      <c r="R545" s="27"/>
      <c r="S545" s="58"/>
      <c r="T545" s="98"/>
      <c r="U545" s="27"/>
      <c r="V545" s="58"/>
      <c r="W545" s="12"/>
      <c r="X545" s="27"/>
      <c r="Y545" s="58"/>
      <c r="Z545" s="12"/>
      <c r="AA545" s="27"/>
      <c r="AB545" s="58"/>
      <c r="AC545" s="12"/>
      <c r="AD545" s="27"/>
      <c r="AE545" s="58"/>
      <c r="AF545" s="12"/>
      <c r="AG545" s="27"/>
      <c r="AH545" s="58"/>
      <c r="AI545" s="12"/>
      <c r="AJ545" s="27"/>
      <c r="AK545" s="58"/>
      <c r="AL545" s="12"/>
      <c r="AM545" s="27"/>
      <c r="AN545" s="58"/>
      <c r="AO545" s="12"/>
      <c r="AP545" s="27"/>
      <c r="AQ545" s="58"/>
      <c r="AR545" s="12"/>
      <c r="AS545" s="27"/>
      <c r="AT545" s="58"/>
      <c r="AU545" s="12"/>
    </row>
    <row r="546" spans="1:47" ht="29.25" customHeight="1" x14ac:dyDescent="0.6">
      <c r="A546" s="5">
        <v>255</v>
      </c>
      <c r="B546" s="18" t="s">
        <v>1162</v>
      </c>
      <c r="C546" s="18"/>
      <c r="D546" s="18" t="s">
        <v>588</v>
      </c>
      <c r="E546" s="18" t="s">
        <v>584</v>
      </c>
      <c r="F546" s="23" t="s">
        <v>281</v>
      </c>
      <c r="G546" s="58" t="s">
        <v>597</v>
      </c>
      <c r="H546" s="123"/>
      <c r="I546" s="123"/>
      <c r="J546" s="123" t="s">
        <v>1096</v>
      </c>
      <c r="K546" s="49" t="s">
        <v>598</v>
      </c>
      <c r="L546" s="158">
        <v>0</v>
      </c>
      <c r="M546" s="159">
        <v>0</v>
      </c>
      <c r="N546" s="160">
        <v>0</v>
      </c>
      <c r="O546" s="27"/>
      <c r="P546" s="58"/>
      <c r="Q546" s="49"/>
      <c r="R546" s="27"/>
      <c r="S546" s="58"/>
      <c r="T546" s="98"/>
      <c r="U546" s="27"/>
      <c r="V546" s="58"/>
      <c r="W546" s="12"/>
      <c r="X546" s="27"/>
      <c r="Y546" s="58"/>
      <c r="Z546" s="12"/>
      <c r="AA546" s="27"/>
      <c r="AB546" s="58"/>
      <c r="AC546" s="12"/>
      <c r="AD546" s="27"/>
      <c r="AE546" s="58"/>
      <c r="AF546" s="12"/>
      <c r="AG546" s="27"/>
      <c r="AH546" s="58"/>
      <c r="AI546" s="12"/>
      <c r="AJ546" s="27"/>
      <c r="AK546" s="58"/>
      <c r="AL546" s="12"/>
      <c r="AM546" s="27"/>
      <c r="AN546" s="58"/>
      <c r="AO546" s="12"/>
      <c r="AP546" s="27"/>
      <c r="AQ546" s="58"/>
      <c r="AR546" s="12"/>
      <c r="AS546" s="27"/>
      <c r="AT546" s="58"/>
      <c r="AU546" s="12"/>
    </row>
    <row r="547" spans="1:47" ht="29.25" customHeight="1" x14ac:dyDescent="0.6">
      <c r="A547" s="5">
        <v>256</v>
      </c>
      <c r="B547" s="18" t="s">
        <v>623</v>
      </c>
      <c r="C547" s="18"/>
      <c r="D547" s="18" t="s">
        <v>590</v>
      </c>
      <c r="E547" s="18" t="s">
        <v>584</v>
      </c>
      <c r="F547" s="23" t="s">
        <v>281</v>
      </c>
      <c r="G547" s="110" t="s">
        <v>597</v>
      </c>
      <c r="H547" s="123"/>
      <c r="I547" s="123"/>
      <c r="J547" s="123" t="s">
        <v>1097</v>
      </c>
      <c r="K547" s="49" t="s">
        <v>598</v>
      </c>
      <c r="L547" s="158">
        <v>159.916</v>
      </c>
      <c r="M547" s="159">
        <v>2294</v>
      </c>
      <c r="N547" s="160">
        <v>1894.1</v>
      </c>
      <c r="O547" s="27"/>
      <c r="P547" s="58"/>
      <c r="Q547" s="49"/>
      <c r="R547" s="27"/>
      <c r="S547" s="58"/>
      <c r="T547" s="98"/>
      <c r="U547" s="27"/>
      <c r="V547" s="58"/>
      <c r="W547" s="12"/>
      <c r="X547" s="27"/>
      <c r="Y547" s="58"/>
      <c r="Z547" s="12"/>
      <c r="AA547" s="27"/>
      <c r="AB547" s="58"/>
      <c r="AC547" s="12"/>
      <c r="AD547" s="27"/>
      <c r="AE547" s="58"/>
      <c r="AF547" s="12"/>
      <c r="AG547" s="27"/>
      <c r="AH547" s="58"/>
      <c r="AI547" s="12"/>
      <c r="AJ547" s="27"/>
      <c r="AK547" s="58"/>
      <c r="AL547" s="12"/>
      <c r="AM547" s="27"/>
      <c r="AN547" s="58"/>
      <c r="AO547" s="12"/>
      <c r="AP547" s="27"/>
      <c r="AQ547" s="58"/>
      <c r="AR547" s="12"/>
      <c r="AS547" s="27"/>
      <c r="AT547" s="58"/>
      <c r="AU547" s="12"/>
    </row>
    <row r="548" spans="1:47" ht="29.25" customHeight="1" x14ac:dyDescent="0.6">
      <c r="A548" s="5">
        <v>257</v>
      </c>
      <c r="B548" s="18" t="s">
        <v>624</v>
      </c>
      <c r="C548" s="18"/>
      <c r="D548" s="18" t="s">
        <v>592</v>
      </c>
      <c r="E548" s="18" t="s">
        <v>584</v>
      </c>
      <c r="F548" s="23" t="s">
        <v>281</v>
      </c>
      <c r="G548" s="58" t="s">
        <v>597</v>
      </c>
      <c r="H548" s="123"/>
      <c r="I548" s="123"/>
      <c r="J548" s="123" t="s">
        <v>1098</v>
      </c>
      <c r="K548" s="49" t="s">
        <v>598</v>
      </c>
      <c r="L548" s="158">
        <v>28</v>
      </c>
      <c r="M548" s="159">
        <v>420</v>
      </c>
      <c r="N548" s="160">
        <v>342</v>
      </c>
      <c r="O548" s="27"/>
      <c r="P548" s="58"/>
      <c r="Q548" s="49"/>
      <c r="R548" s="27"/>
      <c r="S548" s="58"/>
      <c r="T548" s="98"/>
      <c r="U548" s="27"/>
      <c r="V548" s="58"/>
      <c r="W548" s="12"/>
      <c r="X548" s="27"/>
      <c r="Y548" s="58"/>
      <c r="Z548" s="12"/>
      <c r="AA548" s="27"/>
      <c r="AB548" s="58"/>
      <c r="AC548" s="12"/>
      <c r="AD548" s="27"/>
      <c r="AE548" s="58"/>
      <c r="AF548" s="12"/>
      <c r="AG548" s="27"/>
      <c r="AH548" s="58"/>
      <c r="AI548" s="12"/>
      <c r="AJ548" s="27"/>
      <c r="AK548" s="58"/>
      <c r="AL548" s="12"/>
      <c r="AM548" s="27"/>
      <c r="AN548" s="58"/>
      <c r="AO548" s="12"/>
      <c r="AP548" s="27"/>
      <c r="AQ548" s="58"/>
      <c r="AR548" s="12"/>
      <c r="AS548" s="27"/>
      <c r="AT548" s="58"/>
      <c r="AU548" s="12"/>
    </row>
    <row r="549" spans="1:47" ht="29.25" customHeight="1" x14ac:dyDescent="0.6">
      <c r="A549" s="5">
        <v>258</v>
      </c>
      <c r="B549" s="18" t="s">
        <v>626</v>
      </c>
      <c r="C549" s="18"/>
      <c r="D549" s="18" t="s">
        <v>594</v>
      </c>
      <c r="E549" s="18" t="s">
        <v>584</v>
      </c>
      <c r="F549" s="23" t="s">
        <v>281</v>
      </c>
      <c r="G549" s="110" t="s">
        <v>597</v>
      </c>
      <c r="H549" s="123"/>
      <c r="I549" s="123"/>
      <c r="J549" s="123" t="s">
        <v>1099</v>
      </c>
      <c r="K549" s="49" t="s">
        <v>598</v>
      </c>
      <c r="L549" s="158">
        <v>34</v>
      </c>
      <c r="M549" s="159">
        <v>436</v>
      </c>
      <c r="N549" s="160">
        <v>410</v>
      </c>
      <c r="O549" s="27"/>
      <c r="P549" s="58"/>
      <c r="Q549" s="49"/>
      <c r="R549" s="27"/>
      <c r="S549" s="58"/>
      <c r="T549" s="98"/>
      <c r="U549" s="27"/>
      <c r="V549" s="58"/>
      <c r="W549" s="12"/>
      <c r="X549" s="27"/>
      <c r="Y549" s="58"/>
      <c r="Z549" s="12"/>
      <c r="AA549" s="27"/>
      <c r="AB549" s="58"/>
      <c r="AC549" s="12"/>
      <c r="AD549" s="27"/>
      <c r="AE549" s="58"/>
      <c r="AF549" s="12"/>
      <c r="AG549" s="27"/>
      <c r="AH549" s="58"/>
      <c r="AI549" s="12"/>
      <c r="AJ549" s="27"/>
      <c r="AK549" s="58"/>
      <c r="AL549" s="12"/>
      <c r="AM549" s="27"/>
      <c r="AN549" s="58"/>
      <c r="AO549" s="12"/>
      <c r="AP549" s="27"/>
      <c r="AQ549" s="58"/>
      <c r="AR549" s="12"/>
      <c r="AS549" s="27"/>
      <c r="AT549" s="58"/>
      <c r="AU549" s="12"/>
    </row>
    <row r="550" spans="1:47" ht="29.25" customHeight="1" x14ac:dyDescent="0.6">
      <c r="A550" s="5">
        <v>259</v>
      </c>
      <c r="B550" s="18" t="s">
        <v>628</v>
      </c>
      <c r="C550" s="18"/>
      <c r="D550" s="18" t="s">
        <v>595</v>
      </c>
      <c r="E550" s="18" t="s">
        <v>584</v>
      </c>
      <c r="F550" s="23" t="s">
        <v>281</v>
      </c>
      <c r="G550" s="58" t="s">
        <v>597</v>
      </c>
      <c r="H550" s="123"/>
      <c r="I550" s="123"/>
      <c r="J550" s="123" t="s">
        <v>1100</v>
      </c>
      <c r="K550" s="49" t="s">
        <v>598</v>
      </c>
      <c r="L550" s="158">
        <v>76.165999999999997</v>
      </c>
      <c r="M550" s="159">
        <v>1042</v>
      </c>
      <c r="N550" s="160">
        <v>763.4</v>
      </c>
      <c r="O550" s="27"/>
      <c r="P550" s="58"/>
      <c r="Q550" s="49"/>
      <c r="R550" s="27"/>
      <c r="S550" s="58"/>
      <c r="T550" s="98"/>
      <c r="U550" s="27"/>
      <c r="V550" s="58"/>
      <c r="W550" s="12"/>
      <c r="X550" s="27"/>
      <c r="Y550" s="58"/>
      <c r="Z550" s="12"/>
      <c r="AA550" s="27"/>
      <c r="AB550" s="58"/>
      <c r="AC550" s="12"/>
      <c r="AD550" s="27"/>
      <c r="AE550" s="58"/>
      <c r="AF550" s="12"/>
      <c r="AG550" s="27"/>
      <c r="AH550" s="58"/>
      <c r="AI550" s="12"/>
      <c r="AJ550" s="27"/>
      <c r="AK550" s="58"/>
      <c r="AL550" s="12"/>
      <c r="AM550" s="27"/>
      <c r="AN550" s="58"/>
      <c r="AO550" s="12"/>
      <c r="AP550" s="27"/>
      <c r="AQ550" s="58"/>
      <c r="AR550" s="12"/>
      <c r="AS550" s="27"/>
      <c r="AT550" s="58"/>
      <c r="AU550" s="12"/>
    </row>
    <row r="551" spans="1:47" ht="29.25" customHeight="1" x14ac:dyDescent="0.6">
      <c r="A551" s="5">
        <v>260</v>
      </c>
      <c r="B551" s="18" t="s">
        <v>632</v>
      </c>
      <c r="C551" s="18"/>
      <c r="D551" s="18" t="s">
        <v>596</v>
      </c>
      <c r="E551" s="18" t="s">
        <v>267</v>
      </c>
      <c r="F551" s="23" t="s">
        <v>46</v>
      </c>
      <c r="G551" s="58" t="s">
        <v>597</v>
      </c>
      <c r="H551" s="123"/>
      <c r="I551" s="123"/>
      <c r="J551" s="123" t="s">
        <v>1101</v>
      </c>
      <c r="K551" s="49" t="s">
        <v>598</v>
      </c>
      <c r="L551" s="158">
        <v>34</v>
      </c>
      <c r="M551" s="159">
        <v>476</v>
      </c>
      <c r="N551" s="160">
        <v>393.76</v>
      </c>
      <c r="O551" s="27"/>
      <c r="P551" s="58"/>
      <c r="Q551" s="49"/>
      <c r="R551" s="27"/>
      <c r="S551" s="58"/>
      <c r="T551" s="98"/>
      <c r="U551" s="27"/>
      <c r="V551" s="58"/>
      <c r="W551" s="12"/>
      <c r="X551" s="27"/>
      <c r="Y551" s="58"/>
      <c r="Z551" s="12"/>
      <c r="AA551" s="27"/>
      <c r="AB551" s="58"/>
      <c r="AC551" s="12"/>
      <c r="AD551" s="27"/>
      <c r="AE551" s="58"/>
      <c r="AF551" s="12"/>
      <c r="AG551" s="27"/>
      <c r="AH551" s="58"/>
      <c r="AI551" s="12"/>
      <c r="AJ551" s="27"/>
      <c r="AK551" s="58"/>
      <c r="AL551" s="12"/>
      <c r="AM551" s="27"/>
      <c r="AN551" s="58"/>
      <c r="AO551" s="12"/>
      <c r="AP551" s="27"/>
      <c r="AQ551" s="58"/>
      <c r="AR551" s="12"/>
      <c r="AS551" s="27"/>
      <c r="AT551" s="58"/>
      <c r="AU551" s="12"/>
    </row>
    <row r="552" spans="1:47" ht="29.25" customHeight="1" x14ac:dyDescent="0.6">
      <c r="A552" s="5">
        <v>261</v>
      </c>
      <c r="B552" s="18" t="s">
        <v>634</v>
      </c>
      <c r="C552" s="18"/>
      <c r="D552" s="18" t="s">
        <v>496</v>
      </c>
      <c r="E552" s="18" t="s">
        <v>267</v>
      </c>
      <c r="F552" s="23" t="s">
        <v>46</v>
      </c>
      <c r="G552" s="58" t="s">
        <v>597</v>
      </c>
      <c r="H552" s="123"/>
      <c r="I552" s="123"/>
      <c r="J552" s="123" t="s">
        <v>1102</v>
      </c>
      <c r="K552" s="49" t="s">
        <v>598</v>
      </c>
      <c r="L552" s="158">
        <v>63</v>
      </c>
      <c r="M552" s="159">
        <v>980</v>
      </c>
      <c r="N552" s="160">
        <v>749.19999999999993</v>
      </c>
      <c r="O552" s="27"/>
      <c r="P552" s="58"/>
      <c r="Q552" s="49"/>
      <c r="R552" s="27"/>
      <c r="S552" s="58"/>
      <c r="T552" s="98"/>
      <c r="U552" s="27"/>
      <c r="V552" s="58"/>
      <c r="W552" s="12"/>
      <c r="X552" s="27"/>
      <c r="Y552" s="58"/>
      <c r="Z552" s="12"/>
      <c r="AA552" s="27"/>
      <c r="AB552" s="58"/>
      <c r="AC552" s="12"/>
      <c r="AD552" s="27"/>
      <c r="AE552" s="58"/>
      <c r="AF552" s="12"/>
      <c r="AG552" s="27"/>
      <c r="AH552" s="58"/>
      <c r="AI552" s="12"/>
      <c r="AJ552" s="27"/>
      <c r="AK552" s="58"/>
      <c r="AL552" s="12"/>
      <c r="AM552" s="27"/>
      <c r="AN552" s="58"/>
      <c r="AO552" s="12"/>
      <c r="AP552" s="27"/>
      <c r="AQ552" s="58"/>
      <c r="AR552" s="12"/>
      <c r="AS552" s="27"/>
      <c r="AT552" s="58"/>
      <c r="AU552" s="12"/>
    </row>
    <row r="553" spans="1:47" ht="29.25" customHeight="1" x14ac:dyDescent="0.6">
      <c r="A553" s="5">
        <v>262</v>
      </c>
      <c r="B553" s="18" t="s">
        <v>663</v>
      </c>
      <c r="C553" s="18"/>
      <c r="D553" s="18" t="s">
        <v>600</v>
      </c>
      <c r="E553" s="18" t="s">
        <v>267</v>
      </c>
      <c r="F553" s="23" t="s">
        <v>46</v>
      </c>
      <c r="G553" s="110" t="s">
        <v>597</v>
      </c>
      <c r="H553" s="123"/>
      <c r="I553" s="123"/>
      <c r="J553" s="123" t="s">
        <v>1103</v>
      </c>
      <c r="K553" s="49" t="s">
        <v>598</v>
      </c>
      <c r="L553" s="158">
        <v>121.5</v>
      </c>
      <c r="M553" s="159">
        <v>2054</v>
      </c>
      <c r="N553" s="160">
        <v>1446.76</v>
      </c>
      <c r="O553" s="27"/>
      <c r="P553" s="58"/>
      <c r="Q553" s="49"/>
      <c r="R553" s="27"/>
      <c r="S553" s="58"/>
      <c r="T553" s="98"/>
      <c r="U553" s="27"/>
      <c r="V553" s="58"/>
      <c r="W553" s="12"/>
      <c r="X553" s="27"/>
      <c r="Y553" s="58"/>
      <c r="Z553" s="12"/>
      <c r="AA553" s="27"/>
      <c r="AB553" s="58"/>
      <c r="AC553" s="12"/>
      <c r="AD553" s="27"/>
      <c r="AE553" s="58"/>
      <c r="AF553" s="12"/>
      <c r="AG553" s="27"/>
      <c r="AH553" s="58"/>
      <c r="AI553" s="12"/>
      <c r="AJ553" s="27"/>
      <c r="AK553" s="58"/>
      <c r="AL553" s="12"/>
      <c r="AM553" s="27"/>
      <c r="AN553" s="58"/>
      <c r="AO553" s="12"/>
      <c r="AP553" s="27"/>
      <c r="AQ553" s="58"/>
      <c r="AR553" s="12"/>
      <c r="AS553" s="27"/>
      <c r="AT553" s="58"/>
      <c r="AU553" s="12"/>
    </row>
    <row r="554" spans="1:47" ht="29.25" customHeight="1" x14ac:dyDescent="0.6">
      <c r="A554" s="5">
        <v>263</v>
      </c>
      <c r="B554" s="18" t="s">
        <v>665</v>
      </c>
      <c r="C554" s="18"/>
      <c r="D554" s="18" t="s">
        <v>602</v>
      </c>
      <c r="E554" s="18" t="s">
        <v>267</v>
      </c>
      <c r="F554" s="23" t="s">
        <v>46</v>
      </c>
      <c r="G554" s="110" t="s">
        <v>597</v>
      </c>
      <c r="H554" s="123"/>
      <c r="I554" s="123"/>
      <c r="J554" s="123" t="s">
        <v>1104</v>
      </c>
      <c r="K554" s="49" t="s">
        <v>598</v>
      </c>
      <c r="L554" s="158">
        <v>157.208</v>
      </c>
      <c r="M554" s="159">
        <v>2657</v>
      </c>
      <c r="N554" s="160">
        <v>1884.15</v>
      </c>
      <c r="O554" s="27"/>
      <c r="P554" s="58"/>
      <c r="Q554" s="49"/>
      <c r="R554" s="27"/>
      <c r="S554" s="58"/>
      <c r="T554" s="98"/>
      <c r="U554" s="27"/>
      <c r="V554" s="58"/>
      <c r="W554" s="12"/>
      <c r="X554" s="27"/>
      <c r="Y554" s="58"/>
      <c r="Z554" s="12"/>
      <c r="AA554" s="27"/>
      <c r="AB554" s="58"/>
      <c r="AC554" s="12"/>
      <c r="AD554" s="27"/>
      <c r="AE554" s="58"/>
      <c r="AF554" s="12"/>
      <c r="AG554" s="27"/>
      <c r="AH554" s="58"/>
      <c r="AI554" s="12"/>
      <c r="AJ554" s="27"/>
      <c r="AK554" s="58"/>
      <c r="AL554" s="12"/>
      <c r="AM554" s="27"/>
      <c r="AN554" s="58"/>
      <c r="AO554" s="12"/>
      <c r="AP554" s="27"/>
      <c r="AQ554" s="58"/>
      <c r="AR554" s="12"/>
      <c r="AS554" s="27"/>
      <c r="AT554" s="58"/>
      <c r="AU554" s="12"/>
    </row>
    <row r="555" spans="1:47" ht="29.25" customHeight="1" x14ac:dyDescent="0.6">
      <c r="A555" s="5">
        <v>264</v>
      </c>
      <c r="B555" s="18" t="s">
        <v>265</v>
      </c>
      <c r="C555" s="18"/>
      <c r="D555" s="18" t="s">
        <v>604</v>
      </c>
      <c r="E555" s="18" t="s">
        <v>267</v>
      </c>
      <c r="F555" s="23" t="s">
        <v>46</v>
      </c>
      <c r="G555" s="110" t="s">
        <v>597</v>
      </c>
      <c r="H555" s="123"/>
      <c r="I555" s="123"/>
      <c r="J555" s="123" t="s">
        <v>1105</v>
      </c>
      <c r="K555" s="49" t="s">
        <v>598</v>
      </c>
      <c r="L555" s="158">
        <v>0</v>
      </c>
      <c r="M555" s="159">
        <v>0</v>
      </c>
      <c r="N555" s="160">
        <v>0</v>
      </c>
      <c r="O555" s="27"/>
      <c r="P555" s="58"/>
      <c r="Q555" s="49"/>
      <c r="R555" s="27"/>
      <c r="S555" s="58"/>
      <c r="T555" s="98"/>
      <c r="U555" s="27"/>
      <c r="V555" s="58"/>
      <c r="W555" s="12"/>
      <c r="X555" s="27"/>
      <c r="Y555" s="58"/>
      <c r="Z555" s="12"/>
      <c r="AA555" s="27"/>
      <c r="AB555" s="58"/>
      <c r="AC555" s="12"/>
      <c r="AD555" s="27"/>
      <c r="AE555" s="58"/>
      <c r="AF555" s="12"/>
      <c r="AG555" s="27"/>
      <c r="AH555" s="58"/>
      <c r="AI555" s="12"/>
      <c r="AJ555" s="27"/>
      <c r="AK555" s="58"/>
      <c r="AL555" s="12"/>
      <c r="AM555" s="27"/>
      <c r="AN555" s="58"/>
      <c r="AO555" s="12"/>
      <c r="AP555" s="27"/>
      <c r="AQ555" s="58"/>
      <c r="AR555" s="12"/>
      <c r="AS555" s="27"/>
      <c r="AT555" s="58"/>
      <c r="AU555" s="12"/>
    </row>
    <row r="556" spans="1:47" ht="29.25" customHeight="1" x14ac:dyDescent="0.6">
      <c r="A556" s="5">
        <v>265</v>
      </c>
      <c r="B556" s="108" t="s">
        <v>352</v>
      </c>
      <c r="C556" s="108"/>
      <c r="D556" s="18" t="s">
        <v>605</v>
      </c>
      <c r="E556" s="18" t="s">
        <v>75</v>
      </c>
      <c r="F556" s="23" t="s">
        <v>76</v>
      </c>
      <c r="G556" s="110" t="s">
        <v>597</v>
      </c>
      <c r="H556" s="123"/>
      <c r="I556" s="123"/>
      <c r="J556" s="123" t="s">
        <v>1106</v>
      </c>
      <c r="K556" s="49" t="s">
        <v>598</v>
      </c>
      <c r="L556" s="158">
        <v>30</v>
      </c>
      <c r="M556" s="159">
        <v>420</v>
      </c>
      <c r="N556" s="160">
        <v>268.8</v>
      </c>
      <c r="O556" s="27"/>
      <c r="P556" s="58"/>
      <c r="Q556" s="49"/>
      <c r="R556" s="27"/>
      <c r="S556" s="58"/>
      <c r="T556" s="98"/>
      <c r="U556" s="27"/>
      <c r="V556" s="58"/>
      <c r="W556" s="12"/>
      <c r="X556" s="27"/>
      <c r="Y556" s="58"/>
      <c r="Z556" s="12"/>
      <c r="AA556" s="27"/>
      <c r="AB556" s="58"/>
      <c r="AC556" s="12"/>
      <c r="AD556" s="27"/>
      <c r="AE556" s="58"/>
      <c r="AF556" s="12"/>
      <c r="AG556" s="27"/>
      <c r="AH556" s="58"/>
      <c r="AI556" s="12"/>
      <c r="AJ556" s="27"/>
      <c r="AK556" s="58"/>
      <c r="AL556" s="12"/>
      <c r="AM556" s="27"/>
      <c r="AN556" s="58"/>
      <c r="AO556" s="12"/>
      <c r="AP556" s="27"/>
      <c r="AQ556" s="58"/>
      <c r="AR556" s="12"/>
      <c r="AS556" s="27"/>
      <c r="AT556" s="58"/>
      <c r="AU556" s="12"/>
    </row>
    <row r="557" spans="1:47" ht="29.25" customHeight="1" x14ac:dyDescent="0.6">
      <c r="A557" s="5">
        <v>266</v>
      </c>
      <c r="B557" s="153" t="s">
        <v>201</v>
      </c>
      <c r="C557" s="153"/>
      <c r="D557" s="18" t="s">
        <v>606</v>
      </c>
      <c r="E557" s="18" t="s">
        <v>75</v>
      </c>
      <c r="F557" s="23" t="s">
        <v>76</v>
      </c>
      <c r="G557" s="110" t="s">
        <v>1164</v>
      </c>
      <c r="H557" s="123"/>
      <c r="I557" s="123"/>
      <c r="J557" s="123" t="s">
        <v>1107</v>
      </c>
      <c r="K557" s="49" t="s">
        <v>622</v>
      </c>
      <c r="L557" s="158">
        <v>0</v>
      </c>
      <c r="M557" s="159">
        <v>0</v>
      </c>
      <c r="N557" s="160">
        <v>0</v>
      </c>
      <c r="O557" s="27"/>
      <c r="P557" s="58"/>
      <c r="Q557" s="49"/>
      <c r="R557" s="27"/>
      <c r="S557" s="58"/>
      <c r="T557" s="98"/>
      <c r="U557" s="27"/>
      <c r="V557" s="58"/>
      <c r="W557" s="12"/>
      <c r="X557" s="27"/>
      <c r="Y557" s="58"/>
      <c r="Z557" s="12"/>
      <c r="AA557" s="27"/>
      <c r="AB557" s="58"/>
      <c r="AC557" s="12"/>
      <c r="AD557" s="27"/>
      <c r="AE557" s="58"/>
      <c r="AF557" s="12"/>
      <c r="AG557" s="27"/>
      <c r="AH557" s="58"/>
      <c r="AI557" s="12"/>
      <c r="AJ557" s="27"/>
      <c r="AK557" s="58"/>
      <c r="AL557" s="12"/>
      <c r="AM557" s="27"/>
      <c r="AN557" s="58"/>
      <c r="AO557" s="12"/>
      <c r="AP557" s="27"/>
      <c r="AQ557" s="58"/>
      <c r="AR557" s="12"/>
      <c r="AS557" s="27"/>
      <c r="AT557" s="58"/>
      <c r="AU557" s="12"/>
    </row>
    <row r="558" spans="1:47" ht="29.25" customHeight="1" thickBot="1" x14ac:dyDescent="0.65">
      <c r="A558" s="5">
        <v>267</v>
      </c>
      <c r="B558" s="153" t="s">
        <v>1163</v>
      </c>
      <c r="C558" s="153"/>
      <c r="D558" s="18" t="s">
        <v>608</v>
      </c>
      <c r="E558" s="18" t="s">
        <v>75</v>
      </c>
      <c r="F558" s="23" t="s">
        <v>76</v>
      </c>
      <c r="G558" s="154" t="s">
        <v>1164</v>
      </c>
      <c r="H558" s="123"/>
      <c r="I558" s="123"/>
      <c r="J558" s="123" t="s">
        <v>1108</v>
      </c>
      <c r="K558" s="49" t="s">
        <v>622</v>
      </c>
      <c r="L558" s="158">
        <v>100</v>
      </c>
      <c r="M558" s="159">
        <v>1400</v>
      </c>
      <c r="N558" s="160">
        <v>896</v>
      </c>
      <c r="O558" s="27"/>
      <c r="P558" s="58"/>
      <c r="Q558" s="49"/>
      <c r="R558" s="27"/>
      <c r="S558" s="58"/>
      <c r="T558" s="98"/>
      <c r="U558" s="27"/>
      <c r="V558" s="58"/>
      <c r="W558" s="12"/>
      <c r="X558" s="27"/>
      <c r="Y558" s="58"/>
      <c r="Z558" s="12"/>
      <c r="AA558" s="27"/>
      <c r="AB558" s="58"/>
      <c r="AC558" s="12"/>
      <c r="AD558" s="27"/>
      <c r="AE558" s="58"/>
      <c r="AF558" s="12"/>
      <c r="AG558" s="27"/>
      <c r="AH558" s="58"/>
      <c r="AI558" s="12"/>
      <c r="AJ558" s="27"/>
      <c r="AK558" s="58"/>
      <c r="AL558" s="12"/>
      <c r="AM558" s="27"/>
      <c r="AN558" s="58"/>
      <c r="AO558" s="12"/>
      <c r="AP558" s="27"/>
      <c r="AQ558" s="58"/>
      <c r="AR558" s="12"/>
      <c r="AS558" s="27"/>
      <c r="AT558" s="58"/>
      <c r="AU558" s="12"/>
    </row>
    <row r="559" spans="1:47" ht="29.25" customHeight="1" thickBot="1" x14ac:dyDescent="0.65">
      <c r="A559" s="30"/>
      <c r="B559" s="31"/>
      <c r="C559" s="31"/>
      <c r="D559" s="32"/>
      <c r="E559" s="33"/>
      <c r="F559" s="156"/>
      <c r="G559" s="155"/>
      <c r="H559" s="157"/>
      <c r="I559" s="125"/>
      <c r="J559" s="125"/>
      <c r="K559" s="50"/>
      <c r="L559" s="51">
        <f t="shared" ref="L559:AU559" si="26">SUM(L292:L558)</f>
        <v>139480.82800000004</v>
      </c>
      <c r="M559" s="71">
        <f t="shared" si="26"/>
        <v>2018731</v>
      </c>
      <c r="N559" s="102">
        <f t="shared" si="26"/>
        <v>1530291.7599999995</v>
      </c>
      <c r="O559" s="51">
        <f t="shared" si="26"/>
        <v>0</v>
      </c>
      <c r="P559" s="71">
        <f t="shared" si="26"/>
        <v>0</v>
      </c>
      <c r="Q559" s="84">
        <f t="shared" si="26"/>
        <v>0</v>
      </c>
      <c r="R559" s="51">
        <f t="shared" si="26"/>
        <v>0</v>
      </c>
      <c r="S559" s="71">
        <f t="shared" si="26"/>
        <v>0</v>
      </c>
      <c r="T559" s="106">
        <f t="shared" si="26"/>
        <v>0</v>
      </c>
      <c r="U559" s="51">
        <f t="shared" si="26"/>
        <v>0</v>
      </c>
      <c r="V559" s="71">
        <f t="shared" si="26"/>
        <v>0</v>
      </c>
      <c r="W559" s="52">
        <f t="shared" si="26"/>
        <v>0</v>
      </c>
      <c r="X559" s="51">
        <f t="shared" si="26"/>
        <v>0</v>
      </c>
      <c r="Y559" s="71">
        <f t="shared" si="26"/>
        <v>0</v>
      </c>
      <c r="Z559" s="52">
        <f t="shared" si="26"/>
        <v>0</v>
      </c>
      <c r="AA559" s="51">
        <f t="shared" si="26"/>
        <v>0</v>
      </c>
      <c r="AB559" s="71">
        <f t="shared" si="26"/>
        <v>0</v>
      </c>
      <c r="AC559" s="52">
        <f t="shared" si="26"/>
        <v>0</v>
      </c>
      <c r="AD559" s="51">
        <f t="shared" si="26"/>
        <v>0</v>
      </c>
      <c r="AE559" s="71">
        <f t="shared" si="26"/>
        <v>0</v>
      </c>
      <c r="AF559" s="52">
        <f t="shared" si="26"/>
        <v>0</v>
      </c>
      <c r="AG559" s="51">
        <f t="shared" si="26"/>
        <v>0</v>
      </c>
      <c r="AH559" s="71">
        <f t="shared" si="26"/>
        <v>0</v>
      </c>
      <c r="AI559" s="52">
        <f t="shared" si="26"/>
        <v>0</v>
      </c>
      <c r="AJ559" s="51">
        <f t="shared" si="26"/>
        <v>0</v>
      </c>
      <c r="AK559" s="71">
        <f t="shared" si="26"/>
        <v>0</v>
      </c>
      <c r="AL559" s="52">
        <f t="shared" si="26"/>
        <v>0</v>
      </c>
      <c r="AM559" s="51">
        <f t="shared" si="26"/>
        <v>0</v>
      </c>
      <c r="AN559" s="71">
        <f t="shared" si="26"/>
        <v>0</v>
      </c>
      <c r="AO559" s="52">
        <f t="shared" si="26"/>
        <v>0</v>
      </c>
      <c r="AP559" s="51">
        <f t="shared" si="26"/>
        <v>0</v>
      </c>
      <c r="AQ559" s="71">
        <f t="shared" si="26"/>
        <v>0</v>
      </c>
      <c r="AR559" s="52">
        <f t="shared" si="26"/>
        <v>0</v>
      </c>
      <c r="AS559" s="51">
        <f t="shared" si="26"/>
        <v>0</v>
      </c>
      <c r="AT559" s="71">
        <f t="shared" si="26"/>
        <v>0</v>
      </c>
      <c r="AU559" s="52">
        <f t="shared" si="26"/>
        <v>0</v>
      </c>
    </row>
  </sheetData>
  <mergeCells count="54">
    <mergeCell ref="AM290:AO290"/>
    <mergeCell ref="X290:Z290"/>
    <mergeCell ref="AA290:AC290"/>
    <mergeCell ref="AD290:AF290"/>
    <mergeCell ref="AG290:AI290"/>
    <mergeCell ref="AJ290:AL290"/>
    <mergeCell ref="J290:J291"/>
    <mergeCell ref="K290:K291"/>
    <mergeCell ref="L290:N290"/>
    <mergeCell ref="O290:Q290"/>
    <mergeCell ref="R290:T290"/>
    <mergeCell ref="U290:W290"/>
    <mergeCell ref="CC2:CE2"/>
    <mergeCell ref="CF2:CH2"/>
    <mergeCell ref="CI2:CK2"/>
    <mergeCell ref="CL2:CN2"/>
    <mergeCell ref="BE2:BG2"/>
    <mergeCell ref="BH2:BJ2"/>
    <mergeCell ref="AA2:AC2"/>
    <mergeCell ref="AD2:AF2"/>
    <mergeCell ref="AG2:AI2"/>
    <mergeCell ref="AJ2:AL2"/>
    <mergeCell ref="AM2:AO2"/>
    <mergeCell ref="AP2:AR2"/>
    <mergeCell ref="X2:Z2"/>
    <mergeCell ref="AP290:AR290"/>
    <mergeCell ref="AS290:AU290"/>
    <mergeCell ref="CO2:CQ2"/>
    <mergeCell ref="A290:A291"/>
    <mergeCell ref="B290:D291"/>
    <mergeCell ref="E290:F291"/>
    <mergeCell ref="G290:G291"/>
    <mergeCell ref="H290:I291"/>
    <mergeCell ref="BK2:BM2"/>
    <mergeCell ref="BN2:BP2"/>
    <mergeCell ref="BQ2:BS2"/>
    <mergeCell ref="BT2:BV2"/>
    <mergeCell ref="BW2:BY2"/>
    <mergeCell ref="BZ2:CB2"/>
    <mergeCell ref="AS2:AU2"/>
    <mergeCell ref="AV2:AX2"/>
    <mergeCell ref="AY2:BA2"/>
    <mergeCell ref="BB2:BD2"/>
    <mergeCell ref="K2:K3"/>
    <mergeCell ref="L2:N2"/>
    <mergeCell ref="O2:Q2"/>
    <mergeCell ref="R2:T2"/>
    <mergeCell ref="U2:W2"/>
    <mergeCell ref="J2:J3"/>
    <mergeCell ref="A2:A3"/>
    <mergeCell ref="B2:D3"/>
    <mergeCell ref="E2:F3"/>
    <mergeCell ref="G2:G3"/>
    <mergeCell ref="H2:I3"/>
  </mergeCells>
  <conditionalFormatting sqref="B30:B44 D30:D44">
    <cfRule type="duplicateValues" dxfId="5" priority="5"/>
    <cfRule type="duplicateValues" dxfId="4" priority="6"/>
  </conditionalFormatting>
  <conditionalFormatting sqref="B318:D332">
    <cfRule type="duplicateValues" dxfId="3" priority="3"/>
    <cfRule type="duplicateValues" dxfId="2" priority="4"/>
  </conditionalFormatting>
  <conditionalFormatting sqref="C30:C44">
    <cfRule type="duplicateValues" dxfId="1" priority="1"/>
    <cfRule type="duplicateValues" dxfId="0" priority="2"/>
  </conditionalFormatting>
  <pageMargins left="0" right="0" top="0" bottom="0" header="0.3" footer="0.3"/>
  <pageSetup paperSize="5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Individual Sales</vt:lpstr>
      <vt:lpstr>Individual Sales (2)</vt:lpstr>
      <vt:lpstr>'Individual Sales'!Print_Area</vt:lpstr>
      <vt:lpstr>'Individual Sales (2)'!Print_Area</vt:lpstr>
      <vt:lpstr>'Individual Sales'!Print_Titles</vt:lpstr>
      <vt:lpstr>'Individual Sales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2025-02-26T04:00:07Z</dcterms:created>
  <dcterms:modified xsi:type="dcterms:W3CDTF">2026-03-03T05:08:26Z</dcterms:modified>
</cp:coreProperties>
</file>