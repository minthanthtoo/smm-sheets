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 မအေးသီရိ - ကိုစိုင်းပေး (Van Wise Sale)\New Jan - Dec YGN Van Wise SKU Summary\"/>
    </mc:Choice>
  </mc:AlternateContent>
  <xr:revisionPtr revIDLastSave="0" documentId="13_ncr:1_{214AFAA1-24E4-4D18-AE99-255029F51422}" xr6:coauthVersionLast="47" xr6:coauthVersionMax="47" xr10:uidLastSave="{00000000-0000-0000-0000-000000000000}"/>
  <bookViews>
    <workbookView xWindow="2340" yWindow="0" windowWidth="21885" windowHeight="15585" xr2:uid="{27908155-4091-4D98-8A04-ED5A4B803F03}"/>
  </bookViews>
  <sheets>
    <sheet name="Jan - Dec  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T76" i="1" l="1"/>
  <c r="DS139" i="1"/>
  <c r="DR139" i="1"/>
  <c r="DQ139" i="1"/>
  <c r="DN139" i="1"/>
  <c r="DK139" i="1"/>
  <c r="DH139" i="1"/>
  <c r="DE139" i="1"/>
  <c r="DB139" i="1"/>
  <c r="CY139" i="1"/>
  <c r="CV139" i="1"/>
  <c r="CS139" i="1"/>
  <c r="CP139" i="1"/>
  <c r="CM139" i="1"/>
  <c r="CJ139" i="1"/>
  <c r="CG139" i="1"/>
  <c r="CF139" i="1"/>
  <c r="CD139" i="1"/>
  <c r="CA139" i="1"/>
  <c r="BX139" i="1"/>
  <c r="BU139" i="1"/>
  <c r="BR139" i="1"/>
  <c r="BO139" i="1"/>
  <c r="BL139" i="1"/>
  <c r="BI139" i="1"/>
  <c r="BF139" i="1"/>
  <c r="BC139" i="1"/>
  <c r="AZ139" i="1"/>
  <c r="AW139" i="1"/>
  <c r="AV139" i="1"/>
  <c r="AT139" i="1"/>
  <c r="AQ139" i="1"/>
  <c r="AN139" i="1"/>
  <c r="AK139" i="1"/>
  <c r="AH139" i="1"/>
  <c r="AE139" i="1"/>
  <c r="AB139" i="1"/>
  <c r="Y139" i="1"/>
  <c r="X139" i="1"/>
  <c r="V139" i="1"/>
  <c r="S139" i="1"/>
  <c r="P139" i="1"/>
  <c r="M139" i="1"/>
  <c r="J139" i="1"/>
  <c r="G139" i="1"/>
  <c r="D139" i="1"/>
  <c r="DT138" i="1"/>
  <c r="DP138" i="1"/>
  <c r="DO138" i="1"/>
  <c r="DM138" i="1"/>
  <c r="DL138" i="1"/>
  <c r="DI138" i="1"/>
  <c r="DJ138" i="1" s="1"/>
  <c r="DG138" i="1"/>
  <c r="DF138" i="1"/>
  <c r="DD138" i="1"/>
  <c r="DC138" i="1"/>
  <c r="DA138" i="1"/>
  <c r="CZ138" i="1"/>
  <c r="CX138" i="1"/>
  <c r="CW138" i="1"/>
  <c r="CU138" i="1"/>
  <c r="CT138" i="1"/>
  <c r="CQ138" i="1"/>
  <c r="CR138" i="1" s="1"/>
  <c r="CO138" i="1"/>
  <c r="CN138" i="1"/>
  <c r="CL138" i="1"/>
  <c r="CK138" i="1"/>
  <c r="CI138" i="1"/>
  <c r="CH138" i="1"/>
  <c r="CF138" i="1"/>
  <c r="CE138" i="1"/>
  <c r="CC138" i="1"/>
  <c r="CB138" i="1"/>
  <c r="BY138" i="1"/>
  <c r="BZ138" i="1" s="1"/>
  <c r="BW138" i="1"/>
  <c r="BV138" i="1"/>
  <c r="BT138" i="1"/>
  <c r="BS138" i="1"/>
  <c r="BP138" i="1"/>
  <c r="BQ138" i="1" s="1"/>
  <c r="BN138" i="1"/>
  <c r="BM138" i="1"/>
  <c r="BK138" i="1"/>
  <c r="BJ138" i="1"/>
  <c r="BG138" i="1"/>
  <c r="BH138" i="1" s="1"/>
  <c r="BE138" i="1"/>
  <c r="BD138" i="1"/>
  <c r="BB138" i="1"/>
  <c r="BA138" i="1"/>
  <c r="AY138" i="1"/>
  <c r="AX138" i="1"/>
  <c r="AU138" i="1"/>
  <c r="AV138" i="1" s="1"/>
  <c r="AS138" i="1"/>
  <c r="AR138" i="1"/>
  <c r="AO138" i="1"/>
  <c r="AP138" i="1" s="1"/>
  <c r="AM138" i="1"/>
  <c r="AL138" i="1"/>
  <c r="AJ138" i="1"/>
  <c r="AI138" i="1"/>
  <c r="AF138" i="1"/>
  <c r="AG138" i="1" s="1"/>
  <c r="AC138" i="1"/>
  <c r="AD138" i="1" s="1"/>
  <c r="AA138" i="1"/>
  <c r="Z138" i="1"/>
  <c r="W138" i="1"/>
  <c r="X138" i="1" s="1"/>
  <c r="U138" i="1"/>
  <c r="T138" i="1"/>
  <c r="R138" i="1"/>
  <c r="Q138" i="1"/>
  <c r="N138" i="1"/>
  <c r="O138" i="1" s="1"/>
  <c r="L138" i="1"/>
  <c r="K138" i="1"/>
  <c r="I138" i="1"/>
  <c r="H138" i="1"/>
  <c r="E138" i="1"/>
  <c r="DT137" i="1"/>
  <c r="DO137" i="1"/>
  <c r="DP137" i="1" s="1"/>
  <c r="DL137" i="1"/>
  <c r="DM137" i="1" s="1"/>
  <c r="DI137" i="1"/>
  <c r="DJ137" i="1" s="1"/>
  <c r="DG137" i="1"/>
  <c r="DF137" i="1"/>
  <c r="DC137" i="1"/>
  <c r="DD137" i="1" s="1"/>
  <c r="CZ137" i="1"/>
  <c r="DA137" i="1" s="1"/>
  <c r="CW137" i="1"/>
  <c r="CX137" i="1" s="1"/>
  <c r="CU137" i="1"/>
  <c r="CT137" i="1"/>
  <c r="CQ137" i="1"/>
  <c r="CR137" i="1" s="1"/>
  <c r="CO137" i="1"/>
  <c r="CN137" i="1"/>
  <c r="CL137" i="1"/>
  <c r="CK137" i="1"/>
  <c r="CH137" i="1"/>
  <c r="CI137" i="1" s="1"/>
  <c r="CE137" i="1"/>
  <c r="CF137" i="1" s="1"/>
  <c r="CB137" i="1"/>
  <c r="CC137" i="1" s="1"/>
  <c r="BZ137" i="1"/>
  <c r="BY137" i="1"/>
  <c r="BW137" i="1"/>
  <c r="BV137" i="1"/>
  <c r="BS137" i="1"/>
  <c r="BT137" i="1" s="1"/>
  <c r="BP137" i="1"/>
  <c r="BQ137" i="1" s="1"/>
  <c r="BM137" i="1"/>
  <c r="BN137" i="1" s="1"/>
  <c r="BK137" i="1"/>
  <c r="BJ137" i="1"/>
  <c r="BH137" i="1"/>
  <c r="BG137" i="1"/>
  <c r="BE137" i="1"/>
  <c r="BD137" i="1"/>
  <c r="BA137" i="1"/>
  <c r="BB137" i="1" s="1"/>
  <c r="AX137" i="1"/>
  <c r="AY137" i="1" s="1"/>
  <c r="AU137" i="1"/>
  <c r="AV137" i="1" s="1"/>
  <c r="AS137" i="1"/>
  <c r="AR137" i="1"/>
  <c r="AP137" i="1"/>
  <c r="AO137" i="1"/>
  <c r="AM137" i="1"/>
  <c r="AL137" i="1"/>
  <c r="AJ137" i="1"/>
  <c r="AI137" i="1"/>
  <c r="AF137" i="1"/>
  <c r="AG137" i="1" s="1"/>
  <c r="AC137" i="1"/>
  <c r="AD137" i="1" s="1"/>
  <c r="AA137" i="1"/>
  <c r="Z137" i="1"/>
  <c r="X137" i="1"/>
  <c r="W137" i="1"/>
  <c r="U137" i="1"/>
  <c r="T137" i="1"/>
  <c r="Q137" i="1"/>
  <c r="R137" i="1" s="1"/>
  <c r="N137" i="1"/>
  <c r="O137" i="1" s="1"/>
  <c r="DV137" i="1" s="1"/>
  <c r="K137" i="1"/>
  <c r="L137" i="1" s="1"/>
  <c r="H137" i="1"/>
  <c r="I137" i="1" s="1"/>
  <c r="F137" i="1"/>
  <c r="E137" i="1"/>
  <c r="DT136" i="1"/>
  <c r="DP136" i="1"/>
  <c r="DO136" i="1"/>
  <c r="DM136" i="1"/>
  <c r="DL136" i="1"/>
  <c r="DI136" i="1"/>
  <c r="DJ136" i="1" s="1"/>
  <c r="DG136" i="1"/>
  <c r="DF136" i="1"/>
  <c r="DD136" i="1"/>
  <c r="DC136" i="1"/>
  <c r="CZ136" i="1"/>
  <c r="DA136" i="1" s="1"/>
  <c r="CX136" i="1"/>
  <c r="CW136" i="1"/>
  <c r="CU136" i="1"/>
  <c r="CT136" i="1"/>
  <c r="CQ136" i="1"/>
  <c r="CR136" i="1" s="1"/>
  <c r="CO136" i="1"/>
  <c r="CN136" i="1"/>
  <c r="CL136" i="1"/>
  <c r="CK136" i="1"/>
  <c r="CH136" i="1"/>
  <c r="CI136" i="1" s="1"/>
  <c r="CF136" i="1"/>
  <c r="CE136" i="1"/>
  <c r="CC136" i="1"/>
  <c r="CB136" i="1"/>
  <c r="BZ136" i="1"/>
  <c r="BY136" i="1"/>
  <c r="BV136" i="1"/>
  <c r="BW136" i="1" s="1"/>
  <c r="BT136" i="1"/>
  <c r="BS136" i="1"/>
  <c r="BP136" i="1"/>
  <c r="BQ136" i="1" s="1"/>
  <c r="BN136" i="1"/>
  <c r="BM136" i="1"/>
  <c r="BK136" i="1"/>
  <c r="BJ136" i="1"/>
  <c r="BH136" i="1"/>
  <c r="BG136" i="1"/>
  <c r="BD136" i="1"/>
  <c r="BE136" i="1" s="1"/>
  <c r="BB136" i="1"/>
  <c r="BA136" i="1"/>
  <c r="AX136" i="1"/>
  <c r="AY136" i="1" s="1"/>
  <c r="AV136" i="1"/>
  <c r="AU136" i="1"/>
  <c r="AS136" i="1"/>
  <c r="AR136" i="1"/>
  <c r="AO136" i="1"/>
  <c r="AP136" i="1" s="1"/>
  <c r="AL136" i="1"/>
  <c r="AM136" i="1" s="1"/>
  <c r="AJ136" i="1"/>
  <c r="AI136" i="1"/>
  <c r="AF136" i="1"/>
  <c r="AG136" i="1" s="1"/>
  <c r="AD136" i="1"/>
  <c r="AC136" i="1"/>
  <c r="AA136" i="1"/>
  <c r="Z136" i="1"/>
  <c r="X136" i="1"/>
  <c r="W136" i="1"/>
  <c r="T136" i="1"/>
  <c r="U136" i="1" s="1"/>
  <c r="R136" i="1"/>
  <c r="Q136" i="1"/>
  <c r="N136" i="1"/>
  <c r="O136" i="1" s="1"/>
  <c r="L136" i="1"/>
  <c r="K136" i="1"/>
  <c r="I136" i="1"/>
  <c r="H136" i="1"/>
  <c r="F136" i="1"/>
  <c r="E136" i="1"/>
  <c r="DT135" i="1"/>
  <c r="DP135" i="1"/>
  <c r="DO135" i="1"/>
  <c r="DM135" i="1"/>
  <c r="DL135" i="1"/>
  <c r="DI135" i="1"/>
  <c r="DJ135" i="1" s="1"/>
  <c r="DF135" i="1"/>
  <c r="DG135" i="1" s="1"/>
  <c r="DD135" i="1"/>
  <c r="DC135" i="1"/>
  <c r="DA135" i="1"/>
  <c r="CZ135" i="1"/>
  <c r="CX135" i="1"/>
  <c r="CW135" i="1"/>
  <c r="CT135" i="1"/>
  <c r="CU135" i="1" s="1"/>
  <c r="CQ135" i="1"/>
  <c r="CR135" i="1" s="1"/>
  <c r="CN135" i="1"/>
  <c r="CO135" i="1" s="1"/>
  <c r="CK135" i="1"/>
  <c r="CL135" i="1" s="1"/>
  <c r="CI135" i="1"/>
  <c r="CH135" i="1"/>
  <c r="CF135" i="1"/>
  <c r="CE135" i="1"/>
  <c r="CC135" i="1"/>
  <c r="CB135" i="1"/>
  <c r="BY135" i="1"/>
  <c r="BZ135" i="1" s="1"/>
  <c r="BV135" i="1"/>
  <c r="BW135" i="1" s="1"/>
  <c r="BT135" i="1"/>
  <c r="BS135" i="1"/>
  <c r="BP135" i="1"/>
  <c r="BQ135" i="1" s="1"/>
  <c r="BN135" i="1"/>
  <c r="BM135" i="1"/>
  <c r="BK135" i="1"/>
  <c r="BJ135" i="1"/>
  <c r="BG135" i="1"/>
  <c r="BH135" i="1" s="1"/>
  <c r="BD135" i="1"/>
  <c r="BE135" i="1" s="1"/>
  <c r="BA135" i="1"/>
  <c r="BB135" i="1" s="1"/>
  <c r="AY135" i="1"/>
  <c r="AX135" i="1"/>
  <c r="AV135" i="1"/>
  <c r="AU135" i="1"/>
  <c r="AS135" i="1"/>
  <c r="AR135" i="1"/>
  <c r="AO135" i="1"/>
  <c r="AP135" i="1" s="1"/>
  <c r="AL135" i="1"/>
  <c r="AM135" i="1" s="1"/>
  <c r="AJ135" i="1"/>
  <c r="AI135" i="1"/>
  <c r="AF135" i="1"/>
  <c r="AG135" i="1" s="1"/>
  <c r="AD135" i="1"/>
  <c r="AC135" i="1"/>
  <c r="Z135" i="1"/>
  <c r="AA135" i="1" s="1"/>
  <c r="W135" i="1"/>
  <c r="X135" i="1" s="1"/>
  <c r="T135" i="1"/>
  <c r="U135" i="1" s="1"/>
  <c r="R135" i="1"/>
  <c r="Q135" i="1"/>
  <c r="O135" i="1"/>
  <c r="N135" i="1"/>
  <c r="L135" i="1"/>
  <c r="K135" i="1"/>
  <c r="I135" i="1"/>
  <c r="H135" i="1"/>
  <c r="E135" i="1"/>
  <c r="F135" i="1" s="1"/>
  <c r="DT134" i="1"/>
  <c r="DO134" i="1"/>
  <c r="DP134" i="1" s="1"/>
  <c r="DM134" i="1"/>
  <c r="DL134" i="1"/>
  <c r="DI134" i="1"/>
  <c r="DJ134" i="1" s="1"/>
  <c r="DG134" i="1"/>
  <c r="DF134" i="1"/>
  <c r="DD134" i="1"/>
  <c r="DC134" i="1"/>
  <c r="CZ134" i="1"/>
  <c r="DA134" i="1" s="1"/>
  <c r="CX134" i="1"/>
  <c r="CW134" i="1"/>
  <c r="CU134" i="1"/>
  <c r="CT134" i="1"/>
  <c r="CQ134" i="1"/>
  <c r="CR134" i="1" s="1"/>
  <c r="CO134" i="1"/>
  <c r="CN134" i="1"/>
  <c r="CL134" i="1"/>
  <c r="CK134" i="1"/>
  <c r="CI134" i="1"/>
  <c r="CH134" i="1"/>
  <c r="CE134" i="1"/>
  <c r="CF134" i="1" s="1"/>
  <c r="CC134" i="1"/>
  <c r="CB134" i="1"/>
  <c r="BY134" i="1"/>
  <c r="BZ134" i="1" s="1"/>
  <c r="BW134" i="1"/>
  <c r="BV134" i="1"/>
  <c r="BT134" i="1"/>
  <c r="BS134" i="1"/>
  <c r="BQ134" i="1"/>
  <c r="BP134" i="1"/>
  <c r="BM134" i="1"/>
  <c r="BN134" i="1" s="1"/>
  <c r="BK134" i="1"/>
  <c r="BJ134" i="1"/>
  <c r="BG134" i="1"/>
  <c r="BH134" i="1" s="1"/>
  <c r="BE134" i="1"/>
  <c r="BD134" i="1"/>
  <c r="BB134" i="1"/>
  <c r="BA134" i="1"/>
  <c r="AY134" i="1"/>
  <c r="AX134" i="1"/>
  <c r="AV134" i="1"/>
  <c r="AU134" i="1"/>
  <c r="AS134" i="1"/>
  <c r="AR134" i="1"/>
  <c r="AO134" i="1"/>
  <c r="AP134" i="1" s="1"/>
  <c r="AM134" i="1"/>
  <c r="AL134" i="1"/>
  <c r="AJ134" i="1"/>
  <c r="AI134" i="1"/>
  <c r="AF134" i="1"/>
  <c r="AG134" i="1" s="1"/>
  <c r="AD134" i="1"/>
  <c r="AC134" i="1"/>
  <c r="AA134" i="1"/>
  <c r="Z134" i="1"/>
  <c r="W134" i="1"/>
  <c r="X134" i="1" s="1"/>
  <c r="U134" i="1"/>
  <c r="T134" i="1"/>
  <c r="R134" i="1"/>
  <c r="Q134" i="1"/>
  <c r="N134" i="1"/>
  <c r="O134" i="1" s="1"/>
  <c r="L134" i="1"/>
  <c r="K134" i="1"/>
  <c r="I134" i="1"/>
  <c r="H134" i="1"/>
  <c r="E134" i="1"/>
  <c r="F134" i="1" s="1"/>
  <c r="DT133" i="1"/>
  <c r="DO133" i="1"/>
  <c r="DM133" i="1"/>
  <c r="DL133" i="1"/>
  <c r="DI133" i="1"/>
  <c r="DJ133" i="1" s="1"/>
  <c r="DG133" i="1"/>
  <c r="DF133" i="1"/>
  <c r="DD133" i="1"/>
  <c r="DC133" i="1"/>
  <c r="CZ133" i="1"/>
  <c r="DA133" i="1" s="1"/>
  <c r="CW133" i="1"/>
  <c r="CX133" i="1" s="1"/>
  <c r="CT133" i="1"/>
  <c r="CU133" i="1" s="1"/>
  <c r="CR133" i="1"/>
  <c r="CQ133" i="1"/>
  <c r="CO133" i="1"/>
  <c r="CN133" i="1"/>
  <c r="CK133" i="1"/>
  <c r="CL133" i="1" s="1"/>
  <c r="CH133" i="1"/>
  <c r="CI133" i="1" s="1"/>
  <c r="CE133" i="1"/>
  <c r="CF133" i="1" s="1"/>
  <c r="CB133" i="1"/>
  <c r="CC133" i="1" s="1"/>
  <c r="BY133" i="1"/>
  <c r="BZ133" i="1" s="1"/>
  <c r="BW133" i="1"/>
  <c r="BV133" i="1"/>
  <c r="BS133" i="1"/>
  <c r="BT133" i="1" s="1"/>
  <c r="BP133" i="1"/>
  <c r="BQ133" i="1" s="1"/>
  <c r="BM133" i="1"/>
  <c r="BN133" i="1" s="1"/>
  <c r="BK133" i="1"/>
  <c r="BJ133" i="1"/>
  <c r="BG133" i="1"/>
  <c r="BH133" i="1" s="1"/>
  <c r="BE133" i="1"/>
  <c r="BD133" i="1"/>
  <c r="BB133" i="1"/>
  <c r="BA133" i="1"/>
  <c r="AX133" i="1"/>
  <c r="AY133" i="1" s="1"/>
  <c r="AU133" i="1"/>
  <c r="AV133" i="1" s="1"/>
  <c r="AR133" i="1"/>
  <c r="AS133" i="1" s="1"/>
  <c r="AP133" i="1"/>
  <c r="AO133" i="1"/>
  <c r="AL133" i="1"/>
  <c r="AM133" i="1" s="1"/>
  <c r="AJ133" i="1"/>
  <c r="AI133" i="1"/>
  <c r="AF133" i="1"/>
  <c r="AG133" i="1" s="1"/>
  <c r="AC133" i="1"/>
  <c r="AD133" i="1" s="1"/>
  <c r="AA133" i="1"/>
  <c r="Z133" i="1"/>
  <c r="W133" i="1"/>
  <c r="X133" i="1" s="1"/>
  <c r="T133" i="1"/>
  <c r="U133" i="1" s="1"/>
  <c r="R133" i="1"/>
  <c r="Q133" i="1"/>
  <c r="N133" i="1"/>
  <c r="O133" i="1" s="1"/>
  <c r="K133" i="1"/>
  <c r="L133" i="1" s="1"/>
  <c r="H133" i="1"/>
  <c r="I133" i="1" s="1"/>
  <c r="E133" i="1"/>
  <c r="DT132" i="1"/>
  <c r="DP132" i="1"/>
  <c r="DO132" i="1"/>
  <c r="DM132" i="1"/>
  <c r="DL132" i="1"/>
  <c r="DI132" i="1"/>
  <c r="DJ132" i="1" s="1"/>
  <c r="DJ139" i="1" s="1"/>
  <c r="DG132" i="1"/>
  <c r="DF132" i="1"/>
  <c r="DD132" i="1"/>
  <c r="DC132" i="1"/>
  <c r="CZ132" i="1"/>
  <c r="DA132" i="1" s="1"/>
  <c r="CX132" i="1"/>
  <c r="CW132" i="1"/>
  <c r="CU132" i="1"/>
  <c r="CT132" i="1"/>
  <c r="CR132" i="1"/>
  <c r="CQ132" i="1"/>
  <c r="CN132" i="1"/>
  <c r="CO132" i="1" s="1"/>
  <c r="CL132" i="1"/>
  <c r="CK132" i="1"/>
  <c r="CH132" i="1"/>
  <c r="CI132" i="1" s="1"/>
  <c r="CF132" i="1"/>
  <c r="CE132" i="1"/>
  <c r="CC132" i="1"/>
  <c r="CB132" i="1"/>
  <c r="BZ132" i="1"/>
  <c r="BY132" i="1"/>
  <c r="BV132" i="1"/>
  <c r="BW132" i="1" s="1"/>
  <c r="BT132" i="1"/>
  <c r="BS132" i="1"/>
  <c r="BP132" i="1"/>
  <c r="BQ132" i="1" s="1"/>
  <c r="BN132" i="1"/>
  <c r="BM132" i="1"/>
  <c r="BK132" i="1"/>
  <c r="BJ132" i="1"/>
  <c r="BH132" i="1"/>
  <c r="BG132" i="1"/>
  <c r="BE132" i="1"/>
  <c r="BD132" i="1"/>
  <c r="BB132" i="1"/>
  <c r="BA132" i="1"/>
  <c r="AX132" i="1"/>
  <c r="AY132" i="1" s="1"/>
  <c r="AV132" i="1"/>
  <c r="AU132" i="1"/>
  <c r="AS132" i="1"/>
  <c r="AR132" i="1"/>
  <c r="AO132" i="1"/>
  <c r="AP132" i="1" s="1"/>
  <c r="AM132" i="1"/>
  <c r="AL132" i="1"/>
  <c r="AJ132" i="1"/>
  <c r="AI132" i="1"/>
  <c r="AF132" i="1"/>
  <c r="AG132" i="1" s="1"/>
  <c r="AD132" i="1"/>
  <c r="AC132" i="1"/>
  <c r="AA132" i="1"/>
  <c r="Z132" i="1"/>
  <c r="W132" i="1"/>
  <c r="X132" i="1" s="1"/>
  <c r="T132" i="1"/>
  <c r="U132" i="1" s="1"/>
  <c r="R132" i="1"/>
  <c r="Q132" i="1"/>
  <c r="N132" i="1"/>
  <c r="O132" i="1" s="1"/>
  <c r="L132" i="1"/>
  <c r="K132" i="1"/>
  <c r="I132" i="1"/>
  <c r="H132" i="1"/>
  <c r="E132" i="1"/>
  <c r="DT131" i="1"/>
  <c r="DT139" i="1" s="1"/>
  <c r="DO131" i="1"/>
  <c r="DP131" i="1" s="1"/>
  <c r="DL131" i="1"/>
  <c r="DM131" i="1" s="1"/>
  <c r="DI131" i="1"/>
  <c r="DJ131" i="1" s="1"/>
  <c r="DF131" i="1"/>
  <c r="DD131" i="1"/>
  <c r="DC131" i="1"/>
  <c r="DA131" i="1"/>
  <c r="CZ131" i="1"/>
  <c r="CW131" i="1"/>
  <c r="CX131" i="1" s="1"/>
  <c r="CT131" i="1"/>
  <c r="CQ131" i="1"/>
  <c r="CR131" i="1" s="1"/>
  <c r="CN131" i="1"/>
  <c r="CO131" i="1" s="1"/>
  <c r="CK131" i="1"/>
  <c r="CL131" i="1" s="1"/>
  <c r="CH131" i="1"/>
  <c r="CI131" i="1" s="1"/>
  <c r="CF131" i="1"/>
  <c r="CE131" i="1"/>
  <c r="CC131" i="1"/>
  <c r="CB131" i="1"/>
  <c r="BY131" i="1"/>
  <c r="BZ131" i="1" s="1"/>
  <c r="BV131" i="1"/>
  <c r="BW131" i="1" s="1"/>
  <c r="BT131" i="1"/>
  <c r="BS131" i="1"/>
  <c r="BP131" i="1"/>
  <c r="BQ131" i="1" s="1"/>
  <c r="BM131" i="1"/>
  <c r="BN131" i="1" s="1"/>
  <c r="BJ131" i="1"/>
  <c r="BK131" i="1" s="1"/>
  <c r="BG131" i="1"/>
  <c r="BD131" i="1"/>
  <c r="BE131" i="1" s="1"/>
  <c r="BB131" i="1"/>
  <c r="BA131" i="1"/>
  <c r="AY131" i="1"/>
  <c r="AX131" i="1"/>
  <c r="AU131" i="1"/>
  <c r="AV131" i="1" s="1"/>
  <c r="AR131" i="1"/>
  <c r="AS131" i="1" s="1"/>
  <c r="AO131" i="1"/>
  <c r="AP131" i="1" s="1"/>
  <c r="AL131" i="1"/>
  <c r="AI131" i="1"/>
  <c r="AI139" i="1" s="1"/>
  <c r="AG131" i="1"/>
  <c r="AF131" i="1"/>
  <c r="AC131" i="1"/>
  <c r="AD131" i="1" s="1"/>
  <c r="AA131" i="1"/>
  <c r="Z131" i="1"/>
  <c r="W131" i="1"/>
  <c r="X131" i="1" s="1"/>
  <c r="T131" i="1"/>
  <c r="U131" i="1" s="1"/>
  <c r="Q131" i="1"/>
  <c r="R131" i="1" s="1"/>
  <c r="O131" i="1"/>
  <c r="N131" i="1"/>
  <c r="K131" i="1"/>
  <c r="L131" i="1" s="1"/>
  <c r="I131" i="1"/>
  <c r="H131" i="1"/>
  <c r="E131" i="1"/>
  <c r="F131" i="1" s="1"/>
  <c r="DT130" i="1"/>
  <c r="DO130" i="1"/>
  <c r="DP130" i="1" s="1"/>
  <c r="DM130" i="1"/>
  <c r="DL130" i="1"/>
  <c r="DI130" i="1"/>
  <c r="DJ130" i="1" s="1"/>
  <c r="DG130" i="1"/>
  <c r="DF130" i="1"/>
  <c r="DD130" i="1"/>
  <c r="DC130" i="1"/>
  <c r="DA130" i="1"/>
  <c r="CZ130" i="1"/>
  <c r="CX130" i="1"/>
  <c r="CW130" i="1"/>
  <c r="CU130" i="1"/>
  <c r="CT130" i="1"/>
  <c r="CQ130" i="1"/>
  <c r="CR130" i="1" s="1"/>
  <c r="CO130" i="1"/>
  <c r="CN130" i="1"/>
  <c r="CL130" i="1"/>
  <c r="CK130" i="1"/>
  <c r="CI130" i="1"/>
  <c r="CH130" i="1"/>
  <c r="CF130" i="1"/>
  <c r="CE130" i="1"/>
  <c r="CC130" i="1"/>
  <c r="CB130" i="1"/>
  <c r="BY130" i="1"/>
  <c r="BZ130" i="1" s="1"/>
  <c r="BW130" i="1"/>
  <c r="BW139" i="1" s="1"/>
  <c r="BV130" i="1"/>
  <c r="BT130" i="1"/>
  <c r="BS130" i="1"/>
  <c r="BP130" i="1"/>
  <c r="BQ130" i="1" s="1"/>
  <c r="BN130" i="1"/>
  <c r="BM130" i="1"/>
  <c r="BK130" i="1"/>
  <c r="BJ130" i="1"/>
  <c r="BG130" i="1"/>
  <c r="BH130" i="1" s="1"/>
  <c r="BE130" i="1"/>
  <c r="BD130" i="1"/>
  <c r="BB130" i="1"/>
  <c r="BA130" i="1"/>
  <c r="AY130" i="1"/>
  <c r="AX130" i="1"/>
  <c r="AV130" i="1"/>
  <c r="AU130" i="1"/>
  <c r="AS130" i="1"/>
  <c r="AR130" i="1"/>
  <c r="AO130" i="1"/>
  <c r="AP130" i="1" s="1"/>
  <c r="AM130" i="1"/>
  <c r="AL130" i="1"/>
  <c r="AJ130" i="1"/>
  <c r="AI130" i="1"/>
  <c r="AG130" i="1"/>
  <c r="AF130" i="1"/>
  <c r="AC130" i="1"/>
  <c r="AD130" i="1" s="1"/>
  <c r="AA130" i="1"/>
  <c r="Z130" i="1"/>
  <c r="W130" i="1"/>
  <c r="X130" i="1" s="1"/>
  <c r="U130" i="1"/>
  <c r="T130" i="1"/>
  <c r="R130" i="1"/>
  <c r="Q130" i="1"/>
  <c r="N130" i="1"/>
  <c r="O130" i="1" s="1"/>
  <c r="L130" i="1"/>
  <c r="K130" i="1"/>
  <c r="I130" i="1"/>
  <c r="H130" i="1"/>
  <c r="E130" i="1"/>
  <c r="F130" i="1" s="1"/>
  <c r="DT129" i="1"/>
  <c r="DO129" i="1"/>
  <c r="DP129" i="1" s="1"/>
  <c r="DL129" i="1"/>
  <c r="DJ129" i="1"/>
  <c r="DI129" i="1"/>
  <c r="DG129" i="1"/>
  <c r="DF129" i="1"/>
  <c r="DC129" i="1"/>
  <c r="CZ129" i="1"/>
  <c r="CW129" i="1"/>
  <c r="CT129" i="1"/>
  <c r="CU129" i="1" s="1"/>
  <c r="CQ129" i="1"/>
  <c r="CR129" i="1" s="1"/>
  <c r="CO129" i="1"/>
  <c r="CN129" i="1"/>
  <c r="CL129" i="1"/>
  <c r="CL139" i="1" s="1"/>
  <c r="CK129" i="1"/>
  <c r="CH129" i="1"/>
  <c r="CE129" i="1"/>
  <c r="CF129" i="1" s="1"/>
  <c r="CC129" i="1"/>
  <c r="CB129" i="1"/>
  <c r="BY129" i="1"/>
  <c r="BW129" i="1"/>
  <c r="BV129" i="1"/>
  <c r="BS129" i="1"/>
  <c r="BS139" i="1" s="1"/>
  <c r="BP129" i="1"/>
  <c r="BM129" i="1"/>
  <c r="BJ129" i="1"/>
  <c r="BH129" i="1"/>
  <c r="BG129" i="1"/>
  <c r="BE129" i="1"/>
  <c r="BD129" i="1"/>
  <c r="BA129" i="1"/>
  <c r="AX129" i="1"/>
  <c r="AU129" i="1"/>
  <c r="AV129" i="1" s="1"/>
  <c r="AR129" i="1"/>
  <c r="AP129" i="1"/>
  <c r="AP139" i="1" s="1"/>
  <c r="AO129" i="1"/>
  <c r="AM129" i="1"/>
  <c r="AL129" i="1"/>
  <c r="AI129" i="1"/>
  <c r="AJ129" i="1" s="1"/>
  <c r="AF129" i="1"/>
  <c r="AC129" i="1"/>
  <c r="Z129" i="1"/>
  <c r="AA129" i="1" s="1"/>
  <c r="X129" i="1"/>
  <c r="W129" i="1"/>
  <c r="T129" i="1"/>
  <c r="U129" i="1" s="1"/>
  <c r="Q129" i="1"/>
  <c r="N129" i="1"/>
  <c r="O129" i="1" s="1"/>
  <c r="K129" i="1"/>
  <c r="L129" i="1" s="1"/>
  <c r="H129" i="1"/>
  <c r="F129" i="1"/>
  <c r="E129" i="1"/>
  <c r="DS128" i="1"/>
  <c r="DR128" i="1"/>
  <c r="DQ128" i="1"/>
  <c r="DN128" i="1"/>
  <c r="DK128" i="1"/>
  <c r="DH128" i="1"/>
  <c r="DE128" i="1"/>
  <c r="DB128" i="1"/>
  <c r="CY128" i="1"/>
  <c r="CV128" i="1"/>
  <c r="CS128" i="1"/>
  <c r="CP128" i="1"/>
  <c r="CM128" i="1"/>
  <c r="CJ128" i="1"/>
  <c r="CG128" i="1"/>
  <c r="CD128" i="1"/>
  <c r="CA128" i="1"/>
  <c r="BX128" i="1"/>
  <c r="BU128" i="1"/>
  <c r="BR128" i="1"/>
  <c r="BO128" i="1"/>
  <c r="BL128" i="1"/>
  <c r="BI128" i="1"/>
  <c r="BF128" i="1"/>
  <c r="BG128" i="1" s="1"/>
  <c r="BH128" i="1" s="1"/>
  <c r="BC128" i="1"/>
  <c r="AZ128" i="1"/>
  <c r="AW128" i="1"/>
  <c r="AT128" i="1"/>
  <c r="AQ128" i="1"/>
  <c r="AN128" i="1"/>
  <c r="AK128" i="1"/>
  <c r="AH128" i="1"/>
  <c r="AE128" i="1"/>
  <c r="AB128" i="1"/>
  <c r="Y128" i="1"/>
  <c r="V128" i="1"/>
  <c r="S128" i="1"/>
  <c r="P128" i="1"/>
  <c r="M128" i="1"/>
  <c r="J128" i="1"/>
  <c r="G128" i="1"/>
  <c r="D128" i="1"/>
  <c r="DT127" i="1"/>
  <c r="DO127" i="1"/>
  <c r="DP127" i="1" s="1"/>
  <c r="DL127" i="1"/>
  <c r="DM127" i="1" s="1"/>
  <c r="DI127" i="1"/>
  <c r="DJ127" i="1" s="1"/>
  <c r="DG127" i="1"/>
  <c r="DF127" i="1"/>
  <c r="DC127" i="1"/>
  <c r="DD127" i="1" s="1"/>
  <c r="CZ127" i="1"/>
  <c r="DA127" i="1" s="1"/>
  <c r="CW127" i="1"/>
  <c r="CX127" i="1" s="1"/>
  <c r="CU127" i="1"/>
  <c r="CT127" i="1"/>
  <c r="CR127" i="1"/>
  <c r="CQ127" i="1"/>
  <c r="CN127" i="1"/>
  <c r="CO127" i="1" s="1"/>
  <c r="CK127" i="1"/>
  <c r="CL127" i="1" s="1"/>
  <c r="CH127" i="1"/>
  <c r="CI127" i="1" s="1"/>
  <c r="CE127" i="1"/>
  <c r="CF127" i="1" s="1"/>
  <c r="CB127" i="1"/>
  <c r="CC127" i="1" s="1"/>
  <c r="BZ127" i="1"/>
  <c r="BY127" i="1"/>
  <c r="BV127" i="1"/>
  <c r="BW127" i="1" s="1"/>
  <c r="BT127" i="1"/>
  <c r="BS127" i="1"/>
  <c r="BP127" i="1"/>
  <c r="BQ127" i="1" s="1"/>
  <c r="BM127" i="1"/>
  <c r="BN127" i="1" s="1"/>
  <c r="BK127" i="1"/>
  <c r="BJ127" i="1"/>
  <c r="BG127" i="1"/>
  <c r="BH127" i="1" s="1"/>
  <c r="BD127" i="1"/>
  <c r="BE127" i="1" s="1"/>
  <c r="BA127" i="1"/>
  <c r="BB127" i="1" s="1"/>
  <c r="AX127" i="1"/>
  <c r="AY127" i="1" s="1"/>
  <c r="AU127" i="1"/>
  <c r="AV127" i="1" s="1"/>
  <c r="AS127" i="1"/>
  <c r="AR127" i="1"/>
  <c r="AO127" i="1"/>
  <c r="AP127" i="1" s="1"/>
  <c r="AL127" i="1"/>
  <c r="AM127" i="1" s="1"/>
  <c r="AI127" i="1"/>
  <c r="AJ127" i="1" s="1"/>
  <c r="AF127" i="1"/>
  <c r="AG127" i="1" s="1"/>
  <c r="AC127" i="1"/>
  <c r="AD127" i="1" s="1"/>
  <c r="AA127" i="1"/>
  <c r="Z127" i="1"/>
  <c r="X127" i="1"/>
  <c r="W127" i="1"/>
  <c r="T127" i="1"/>
  <c r="U127" i="1" s="1"/>
  <c r="R127" i="1"/>
  <c r="Q127" i="1"/>
  <c r="N127" i="1"/>
  <c r="O127" i="1" s="1"/>
  <c r="K127" i="1"/>
  <c r="L127" i="1" s="1"/>
  <c r="H127" i="1"/>
  <c r="I127" i="1" s="1"/>
  <c r="E127" i="1"/>
  <c r="DT126" i="1"/>
  <c r="DP126" i="1"/>
  <c r="DO126" i="1"/>
  <c r="DM126" i="1"/>
  <c r="DL126" i="1"/>
  <c r="DJ126" i="1"/>
  <c r="DI126" i="1"/>
  <c r="DF126" i="1"/>
  <c r="DG126" i="1" s="1"/>
  <c r="DD126" i="1"/>
  <c r="DC126" i="1"/>
  <c r="CZ126" i="1"/>
  <c r="DA126" i="1" s="1"/>
  <c r="CX126" i="1"/>
  <c r="CW126" i="1"/>
  <c r="CU126" i="1"/>
  <c r="CT126" i="1"/>
  <c r="CR126" i="1"/>
  <c r="CQ126" i="1"/>
  <c r="CO126" i="1"/>
  <c r="CN126" i="1"/>
  <c r="CL126" i="1"/>
  <c r="CK126" i="1"/>
  <c r="CH126" i="1"/>
  <c r="CI126" i="1" s="1"/>
  <c r="CF126" i="1"/>
  <c r="CE126" i="1"/>
  <c r="CC126" i="1"/>
  <c r="CB126" i="1"/>
  <c r="BZ126" i="1"/>
  <c r="BY126" i="1"/>
  <c r="BW126" i="1"/>
  <c r="BV126" i="1"/>
  <c r="BT126" i="1"/>
  <c r="BS126" i="1"/>
  <c r="BP126" i="1"/>
  <c r="BQ126" i="1" s="1"/>
  <c r="BN126" i="1"/>
  <c r="BM126" i="1"/>
  <c r="BK126" i="1"/>
  <c r="BJ126" i="1"/>
  <c r="BG126" i="1"/>
  <c r="BH126" i="1" s="1"/>
  <c r="BE126" i="1"/>
  <c r="BD126" i="1"/>
  <c r="BB126" i="1"/>
  <c r="BA126" i="1"/>
  <c r="AX126" i="1"/>
  <c r="AY126" i="1" s="1"/>
  <c r="AV126" i="1"/>
  <c r="AU126" i="1"/>
  <c r="AS126" i="1"/>
  <c r="AR126" i="1"/>
  <c r="AP126" i="1"/>
  <c r="AO126" i="1"/>
  <c r="AM126" i="1"/>
  <c r="AL126" i="1"/>
  <c r="AJ126" i="1"/>
  <c r="AI126" i="1"/>
  <c r="AF126" i="1"/>
  <c r="AG126" i="1" s="1"/>
  <c r="AD126" i="1"/>
  <c r="AC126" i="1"/>
  <c r="AA126" i="1"/>
  <c r="Z126" i="1"/>
  <c r="X126" i="1"/>
  <c r="W126" i="1"/>
  <c r="T126" i="1"/>
  <c r="U126" i="1" s="1"/>
  <c r="R126" i="1"/>
  <c r="Q126" i="1"/>
  <c r="N126" i="1"/>
  <c r="O126" i="1" s="1"/>
  <c r="L126" i="1"/>
  <c r="K126" i="1"/>
  <c r="I126" i="1"/>
  <c r="H126" i="1"/>
  <c r="E126" i="1"/>
  <c r="DT125" i="1"/>
  <c r="DO125" i="1"/>
  <c r="DP125" i="1" s="1"/>
  <c r="DM125" i="1"/>
  <c r="DL125" i="1"/>
  <c r="DI125" i="1"/>
  <c r="DJ125" i="1" s="1"/>
  <c r="DF125" i="1"/>
  <c r="DG125" i="1" s="1"/>
  <c r="DD125" i="1"/>
  <c r="DC125" i="1"/>
  <c r="CZ125" i="1"/>
  <c r="DA125" i="1" s="1"/>
  <c r="CX125" i="1"/>
  <c r="CW125" i="1"/>
  <c r="CU125" i="1"/>
  <c r="CT125" i="1"/>
  <c r="CQ125" i="1"/>
  <c r="CR125" i="1" s="1"/>
  <c r="CN125" i="1"/>
  <c r="CO125" i="1" s="1"/>
  <c r="CK125" i="1"/>
  <c r="CL125" i="1" s="1"/>
  <c r="CH125" i="1"/>
  <c r="CI125" i="1" s="1"/>
  <c r="CF125" i="1"/>
  <c r="CE125" i="1"/>
  <c r="CB125" i="1"/>
  <c r="CC125" i="1" s="1"/>
  <c r="BY125" i="1"/>
  <c r="BZ125" i="1" s="1"/>
  <c r="BV125" i="1"/>
  <c r="BW125" i="1" s="1"/>
  <c r="BT125" i="1"/>
  <c r="BS125" i="1"/>
  <c r="BP125" i="1"/>
  <c r="BQ125" i="1" s="1"/>
  <c r="BN125" i="1"/>
  <c r="BM125" i="1"/>
  <c r="BJ125" i="1"/>
  <c r="BK125" i="1" s="1"/>
  <c r="BG125" i="1"/>
  <c r="BH125" i="1" s="1"/>
  <c r="BD125" i="1"/>
  <c r="BE125" i="1" s="1"/>
  <c r="BB125" i="1"/>
  <c r="BA125" i="1"/>
  <c r="AY125" i="1"/>
  <c r="AX125" i="1"/>
  <c r="AV125" i="1"/>
  <c r="AU125" i="1"/>
  <c r="AR125" i="1"/>
  <c r="AS125" i="1" s="1"/>
  <c r="AO125" i="1"/>
  <c r="AP125" i="1" s="1"/>
  <c r="AL125" i="1"/>
  <c r="AM125" i="1" s="1"/>
  <c r="AJ125" i="1"/>
  <c r="AI125" i="1"/>
  <c r="AF125" i="1"/>
  <c r="AG125" i="1" s="1"/>
  <c r="AC125" i="1"/>
  <c r="AD125" i="1" s="1"/>
  <c r="AA125" i="1"/>
  <c r="Z125" i="1"/>
  <c r="W125" i="1"/>
  <c r="X125" i="1" s="1"/>
  <c r="T125" i="1"/>
  <c r="U125" i="1" s="1"/>
  <c r="Q125" i="1"/>
  <c r="R125" i="1" s="1"/>
  <c r="N125" i="1"/>
  <c r="O125" i="1" s="1"/>
  <c r="K125" i="1"/>
  <c r="L125" i="1" s="1"/>
  <c r="H125" i="1"/>
  <c r="I125" i="1" s="1"/>
  <c r="E125" i="1"/>
  <c r="DT124" i="1"/>
  <c r="DO124" i="1"/>
  <c r="DP124" i="1" s="1"/>
  <c r="DM124" i="1"/>
  <c r="DL124" i="1"/>
  <c r="DI124" i="1"/>
  <c r="DJ124" i="1" s="1"/>
  <c r="DG124" i="1"/>
  <c r="DF124" i="1"/>
  <c r="DC124" i="1"/>
  <c r="DD124" i="1" s="1"/>
  <c r="DA124" i="1"/>
  <c r="CZ124" i="1"/>
  <c r="CW124" i="1"/>
  <c r="CX124" i="1" s="1"/>
  <c r="CU124" i="1"/>
  <c r="CT124" i="1"/>
  <c r="CQ124" i="1"/>
  <c r="CR124" i="1" s="1"/>
  <c r="CO124" i="1"/>
  <c r="CN124" i="1"/>
  <c r="CK124" i="1"/>
  <c r="CL124" i="1" s="1"/>
  <c r="CH124" i="1"/>
  <c r="CI124" i="1" s="1"/>
  <c r="CF124" i="1"/>
  <c r="CE124" i="1"/>
  <c r="CC124" i="1"/>
  <c r="CB124" i="1"/>
  <c r="BY124" i="1"/>
  <c r="BZ124" i="1" s="1"/>
  <c r="BW124" i="1"/>
  <c r="BV124" i="1"/>
  <c r="BS124" i="1"/>
  <c r="BT124" i="1" s="1"/>
  <c r="BP124" i="1"/>
  <c r="BQ124" i="1" s="1"/>
  <c r="BN124" i="1"/>
  <c r="BM124" i="1"/>
  <c r="BK124" i="1"/>
  <c r="BJ124" i="1"/>
  <c r="BG124" i="1"/>
  <c r="BH124" i="1" s="1"/>
  <c r="BE124" i="1"/>
  <c r="BD124" i="1"/>
  <c r="BA124" i="1"/>
  <c r="BB124" i="1" s="1"/>
  <c r="AY124" i="1"/>
  <c r="AX124" i="1"/>
  <c r="AU124" i="1"/>
  <c r="AV124" i="1" s="1"/>
  <c r="AS124" i="1"/>
  <c r="AR124" i="1"/>
  <c r="AO124" i="1"/>
  <c r="AP124" i="1" s="1"/>
  <c r="AM124" i="1"/>
  <c r="AL124" i="1"/>
  <c r="AJ124" i="1"/>
  <c r="AI124" i="1"/>
  <c r="AF124" i="1"/>
  <c r="AG124" i="1" s="1"/>
  <c r="AD124" i="1"/>
  <c r="AC124" i="1"/>
  <c r="AA124" i="1"/>
  <c r="Z124" i="1"/>
  <c r="W124" i="1"/>
  <c r="X124" i="1" s="1"/>
  <c r="U124" i="1"/>
  <c r="T124" i="1"/>
  <c r="R124" i="1"/>
  <c r="Q124" i="1"/>
  <c r="N124" i="1"/>
  <c r="O124" i="1" s="1"/>
  <c r="K124" i="1"/>
  <c r="L124" i="1" s="1"/>
  <c r="I124" i="1"/>
  <c r="H124" i="1"/>
  <c r="E124" i="1"/>
  <c r="F124" i="1" s="1"/>
  <c r="DT123" i="1"/>
  <c r="DO123" i="1"/>
  <c r="DP123" i="1" s="1"/>
  <c r="DM123" i="1"/>
  <c r="DL123" i="1"/>
  <c r="DI123" i="1"/>
  <c r="DJ123" i="1" s="1"/>
  <c r="DG123" i="1"/>
  <c r="DF123" i="1"/>
  <c r="DD123" i="1"/>
  <c r="DC123" i="1"/>
  <c r="CZ123" i="1"/>
  <c r="DA123" i="1" s="1"/>
  <c r="CW123" i="1"/>
  <c r="CX123" i="1" s="1"/>
  <c r="CT123" i="1"/>
  <c r="CU123" i="1" s="1"/>
  <c r="CR123" i="1"/>
  <c r="CQ123" i="1"/>
  <c r="CN123" i="1"/>
  <c r="CO123" i="1" s="1"/>
  <c r="CK123" i="1"/>
  <c r="CL123" i="1" s="1"/>
  <c r="CH123" i="1"/>
  <c r="CI123" i="1" s="1"/>
  <c r="CF123" i="1"/>
  <c r="CE123" i="1"/>
  <c r="CB123" i="1"/>
  <c r="CC123" i="1" s="1"/>
  <c r="BY123" i="1"/>
  <c r="BZ123" i="1" s="1"/>
  <c r="BV123" i="1"/>
  <c r="BW123" i="1" s="1"/>
  <c r="BT123" i="1"/>
  <c r="BS123" i="1"/>
  <c r="BP123" i="1"/>
  <c r="BQ123" i="1" s="1"/>
  <c r="BM123" i="1"/>
  <c r="BN123" i="1" s="1"/>
  <c r="BK123" i="1"/>
  <c r="BJ123" i="1"/>
  <c r="BG123" i="1"/>
  <c r="BH123" i="1" s="1"/>
  <c r="BD123" i="1"/>
  <c r="BE123" i="1" s="1"/>
  <c r="BB123" i="1"/>
  <c r="BA123" i="1"/>
  <c r="AX123" i="1"/>
  <c r="AY123" i="1" s="1"/>
  <c r="AV123" i="1"/>
  <c r="AU123" i="1"/>
  <c r="AR123" i="1"/>
  <c r="AS123" i="1" s="1"/>
  <c r="AP123" i="1"/>
  <c r="AO123" i="1"/>
  <c r="AL123" i="1"/>
  <c r="AM123" i="1" s="1"/>
  <c r="AJ123" i="1"/>
  <c r="AI123" i="1"/>
  <c r="AF123" i="1"/>
  <c r="AG123" i="1" s="1"/>
  <c r="AD123" i="1"/>
  <c r="AC123" i="1"/>
  <c r="AA123" i="1"/>
  <c r="Z123" i="1"/>
  <c r="W123" i="1"/>
  <c r="X123" i="1" s="1"/>
  <c r="T123" i="1"/>
  <c r="U123" i="1" s="1"/>
  <c r="Q123" i="1"/>
  <c r="R123" i="1" s="1"/>
  <c r="N123" i="1"/>
  <c r="O123" i="1" s="1"/>
  <c r="L123" i="1"/>
  <c r="K123" i="1"/>
  <c r="I123" i="1"/>
  <c r="H123" i="1"/>
  <c r="F123" i="1"/>
  <c r="E123" i="1"/>
  <c r="DT122" i="1"/>
  <c r="DO122" i="1"/>
  <c r="DP122" i="1" s="1"/>
  <c r="DM122" i="1"/>
  <c r="DL122" i="1"/>
  <c r="DI122" i="1"/>
  <c r="DJ122" i="1" s="1"/>
  <c r="DG122" i="1"/>
  <c r="DF122" i="1"/>
  <c r="DD122" i="1"/>
  <c r="DC122" i="1"/>
  <c r="DA122" i="1"/>
  <c r="CZ122" i="1"/>
  <c r="CW122" i="1"/>
  <c r="CX122" i="1" s="1"/>
  <c r="CT122" i="1"/>
  <c r="CU122" i="1" s="1"/>
  <c r="CQ122" i="1"/>
  <c r="CR122" i="1" s="1"/>
  <c r="CN122" i="1"/>
  <c r="CO122" i="1" s="1"/>
  <c r="CK122" i="1"/>
  <c r="CL122" i="1" s="1"/>
  <c r="CI122" i="1"/>
  <c r="CH122" i="1"/>
  <c r="CE122" i="1"/>
  <c r="CF122" i="1" s="1"/>
  <c r="CB122" i="1"/>
  <c r="CC122" i="1" s="1"/>
  <c r="BY122" i="1"/>
  <c r="BZ122" i="1" s="1"/>
  <c r="BV122" i="1"/>
  <c r="BW122" i="1" s="1"/>
  <c r="BT122" i="1"/>
  <c r="BS122" i="1"/>
  <c r="BQ122" i="1"/>
  <c r="BP122" i="1"/>
  <c r="BM122" i="1"/>
  <c r="BN122" i="1" s="1"/>
  <c r="BJ122" i="1"/>
  <c r="BK122" i="1" s="1"/>
  <c r="BH122" i="1"/>
  <c r="BG122" i="1"/>
  <c r="BD122" i="1"/>
  <c r="BE122" i="1" s="1"/>
  <c r="BA122" i="1"/>
  <c r="BB122" i="1" s="1"/>
  <c r="AY122" i="1"/>
  <c r="AX122" i="1"/>
  <c r="AU122" i="1"/>
  <c r="AV122" i="1" s="1"/>
  <c r="AS122" i="1"/>
  <c r="AR122" i="1"/>
  <c r="AO122" i="1"/>
  <c r="AP122" i="1" s="1"/>
  <c r="AM122" i="1"/>
  <c r="AL122" i="1"/>
  <c r="AI122" i="1"/>
  <c r="AJ122" i="1" s="1"/>
  <c r="AG122" i="1"/>
  <c r="AF122" i="1"/>
  <c r="AC122" i="1"/>
  <c r="AD122" i="1" s="1"/>
  <c r="AA122" i="1"/>
  <c r="Z122" i="1"/>
  <c r="W122" i="1"/>
  <c r="X122" i="1" s="1"/>
  <c r="U122" i="1"/>
  <c r="T122" i="1"/>
  <c r="Q122" i="1"/>
  <c r="R122" i="1" s="1"/>
  <c r="O122" i="1"/>
  <c r="N122" i="1"/>
  <c r="K122" i="1"/>
  <c r="L122" i="1" s="1"/>
  <c r="I122" i="1"/>
  <c r="H122" i="1"/>
  <c r="F122" i="1"/>
  <c r="E122" i="1"/>
  <c r="DU121" i="1"/>
  <c r="DT121" i="1"/>
  <c r="DP121" i="1"/>
  <c r="DO121" i="1"/>
  <c r="DL121" i="1"/>
  <c r="DM121" i="1" s="1"/>
  <c r="DI121" i="1"/>
  <c r="DJ121" i="1" s="1"/>
  <c r="DG121" i="1"/>
  <c r="DF121" i="1"/>
  <c r="DD121" i="1"/>
  <c r="DC121" i="1"/>
  <c r="CZ121" i="1"/>
  <c r="DA121" i="1" s="1"/>
  <c r="CX121" i="1"/>
  <c r="CW121" i="1"/>
  <c r="CT121" i="1"/>
  <c r="CU121" i="1" s="1"/>
  <c r="CQ121" i="1"/>
  <c r="CR121" i="1" s="1"/>
  <c r="CN121" i="1"/>
  <c r="CO121" i="1" s="1"/>
  <c r="CL121" i="1"/>
  <c r="CK121" i="1"/>
  <c r="CH121" i="1"/>
  <c r="CI121" i="1" s="1"/>
  <c r="CF121" i="1"/>
  <c r="CE121" i="1"/>
  <c r="CB121" i="1"/>
  <c r="CC121" i="1" s="1"/>
  <c r="BZ121" i="1"/>
  <c r="BY121" i="1"/>
  <c r="BV121" i="1"/>
  <c r="BW121" i="1" s="1"/>
  <c r="BT121" i="1"/>
  <c r="BS121" i="1"/>
  <c r="BQ121" i="1"/>
  <c r="BP121" i="1"/>
  <c r="BN121" i="1"/>
  <c r="BM121" i="1"/>
  <c r="BJ121" i="1"/>
  <c r="BK121" i="1" s="1"/>
  <c r="BH121" i="1"/>
  <c r="BG121" i="1"/>
  <c r="BD121" i="1"/>
  <c r="BE121" i="1" s="1"/>
  <c r="BA121" i="1"/>
  <c r="BB121" i="1" s="1"/>
  <c r="AY121" i="1"/>
  <c r="AX121" i="1"/>
  <c r="AV121" i="1"/>
  <c r="AU121" i="1"/>
  <c r="AR121" i="1"/>
  <c r="AS121" i="1" s="1"/>
  <c r="AO121" i="1"/>
  <c r="AP121" i="1" s="1"/>
  <c r="AM121" i="1"/>
  <c r="AL121" i="1"/>
  <c r="AI121" i="1"/>
  <c r="AJ121" i="1" s="1"/>
  <c r="AG121" i="1"/>
  <c r="AF121" i="1"/>
  <c r="AD121" i="1"/>
  <c r="AC121" i="1"/>
  <c r="Z121" i="1"/>
  <c r="AA121" i="1" s="1"/>
  <c r="X121" i="1"/>
  <c r="W121" i="1"/>
  <c r="U121" i="1"/>
  <c r="T121" i="1"/>
  <c r="Q121" i="1"/>
  <c r="R121" i="1" s="1"/>
  <c r="N121" i="1"/>
  <c r="O121" i="1" s="1"/>
  <c r="L121" i="1"/>
  <c r="K121" i="1"/>
  <c r="H121" i="1"/>
  <c r="I121" i="1" s="1"/>
  <c r="E121" i="1"/>
  <c r="F121" i="1" s="1"/>
  <c r="DV120" i="1"/>
  <c r="DT120" i="1"/>
  <c r="DP120" i="1"/>
  <c r="DO120" i="1"/>
  <c r="DL120" i="1"/>
  <c r="DM120" i="1" s="1"/>
  <c r="DJ120" i="1"/>
  <c r="DI120" i="1"/>
  <c r="DF120" i="1"/>
  <c r="DG120" i="1" s="1"/>
  <c r="DC120" i="1"/>
  <c r="DD120" i="1" s="1"/>
  <c r="CZ120" i="1"/>
  <c r="DA120" i="1" s="1"/>
  <c r="CW120" i="1"/>
  <c r="CX120" i="1" s="1"/>
  <c r="CU120" i="1"/>
  <c r="CT120" i="1"/>
  <c r="CR120" i="1"/>
  <c r="CQ120" i="1"/>
  <c r="CN120" i="1"/>
  <c r="CO120" i="1" s="1"/>
  <c r="CK120" i="1"/>
  <c r="CL120" i="1" s="1"/>
  <c r="CH120" i="1"/>
  <c r="CI120" i="1" s="1"/>
  <c r="CF120" i="1"/>
  <c r="CE120" i="1"/>
  <c r="CB120" i="1"/>
  <c r="CC120" i="1" s="1"/>
  <c r="BZ120" i="1"/>
  <c r="BY120" i="1"/>
  <c r="BV120" i="1"/>
  <c r="BW120" i="1" s="1"/>
  <c r="BT120" i="1"/>
  <c r="BS120" i="1"/>
  <c r="BP120" i="1"/>
  <c r="BQ120" i="1" s="1"/>
  <c r="BM120" i="1"/>
  <c r="BN120" i="1" s="1"/>
  <c r="BJ120" i="1"/>
  <c r="BK120" i="1" s="1"/>
  <c r="BH120" i="1"/>
  <c r="BG120" i="1"/>
  <c r="BD120" i="1"/>
  <c r="BE120" i="1" s="1"/>
  <c r="BB120" i="1"/>
  <c r="BA120" i="1"/>
  <c r="AX120" i="1"/>
  <c r="AY120" i="1" s="1"/>
  <c r="AU120" i="1"/>
  <c r="AV120" i="1" s="1"/>
  <c r="AR120" i="1"/>
  <c r="AS120" i="1" s="1"/>
  <c r="AP120" i="1"/>
  <c r="AO120" i="1"/>
  <c r="AL120" i="1"/>
  <c r="AM120" i="1" s="1"/>
  <c r="AJ120" i="1"/>
  <c r="AI120" i="1"/>
  <c r="AG120" i="1"/>
  <c r="AF120" i="1"/>
  <c r="AC120" i="1"/>
  <c r="AD120" i="1" s="1"/>
  <c r="Z120" i="1"/>
  <c r="AA120" i="1" s="1"/>
  <c r="X120" i="1"/>
  <c r="W120" i="1"/>
  <c r="T120" i="1"/>
  <c r="U120" i="1" s="1"/>
  <c r="R120" i="1"/>
  <c r="Q120" i="1"/>
  <c r="O120" i="1"/>
  <c r="N120" i="1"/>
  <c r="K120" i="1"/>
  <c r="L120" i="1" s="1"/>
  <c r="H120" i="1"/>
  <c r="I120" i="1" s="1"/>
  <c r="F120" i="1"/>
  <c r="E120" i="1"/>
  <c r="DT119" i="1"/>
  <c r="DP119" i="1"/>
  <c r="DO119" i="1"/>
  <c r="DM119" i="1"/>
  <c r="DL119" i="1"/>
  <c r="DI119" i="1"/>
  <c r="DJ119" i="1" s="1"/>
  <c r="DG119" i="1"/>
  <c r="DF119" i="1"/>
  <c r="DC119" i="1"/>
  <c r="DD119" i="1" s="1"/>
  <c r="CZ119" i="1"/>
  <c r="DA119" i="1" s="1"/>
  <c r="CW119" i="1"/>
  <c r="CX119" i="1" s="1"/>
  <c r="CU119" i="1"/>
  <c r="CT119" i="1"/>
  <c r="CR119" i="1"/>
  <c r="CQ119" i="1"/>
  <c r="CN119" i="1"/>
  <c r="CO119" i="1" s="1"/>
  <c r="CK119" i="1"/>
  <c r="CL119" i="1" s="1"/>
  <c r="CH119" i="1"/>
  <c r="CI119" i="1" s="1"/>
  <c r="CE119" i="1"/>
  <c r="CF119" i="1" s="1"/>
  <c r="CB119" i="1"/>
  <c r="CC119" i="1" s="1"/>
  <c r="BZ119" i="1"/>
  <c r="BY119" i="1"/>
  <c r="BV119" i="1"/>
  <c r="BW119" i="1" s="1"/>
  <c r="BS119" i="1"/>
  <c r="BT119" i="1" s="1"/>
  <c r="BQ119" i="1"/>
  <c r="BP119" i="1"/>
  <c r="BM119" i="1"/>
  <c r="BN119" i="1" s="1"/>
  <c r="BJ119" i="1"/>
  <c r="BK119" i="1" s="1"/>
  <c r="BH119" i="1"/>
  <c r="BG119" i="1"/>
  <c r="BE119" i="1"/>
  <c r="BD119" i="1"/>
  <c r="BA119" i="1"/>
  <c r="BB119" i="1" s="1"/>
  <c r="AY119" i="1"/>
  <c r="AX119" i="1"/>
  <c r="AU119" i="1"/>
  <c r="AV119" i="1" s="1"/>
  <c r="AR119" i="1"/>
  <c r="AS119" i="1" s="1"/>
  <c r="AP119" i="1"/>
  <c r="AO119" i="1"/>
  <c r="AM119" i="1"/>
  <c r="AL119" i="1"/>
  <c r="AI119" i="1"/>
  <c r="AJ119" i="1" s="1"/>
  <c r="AF119" i="1"/>
  <c r="AG119" i="1" s="1"/>
  <c r="AD119" i="1"/>
  <c r="AC119" i="1"/>
  <c r="Z119" i="1"/>
  <c r="AA119" i="1" s="1"/>
  <c r="W119" i="1"/>
  <c r="X119" i="1" s="1"/>
  <c r="U119" i="1"/>
  <c r="T119" i="1"/>
  <c r="Q119" i="1"/>
  <c r="R119" i="1" s="1"/>
  <c r="N119" i="1"/>
  <c r="O119" i="1" s="1"/>
  <c r="L119" i="1"/>
  <c r="K119" i="1"/>
  <c r="I119" i="1"/>
  <c r="H119" i="1"/>
  <c r="E119" i="1"/>
  <c r="F119" i="1" s="1"/>
  <c r="DT118" i="1"/>
  <c r="DO118" i="1"/>
  <c r="DP118" i="1" s="1"/>
  <c r="DL118" i="1"/>
  <c r="DM118" i="1" s="1"/>
  <c r="DI118" i="1"/>
  <c r="DJ118" i="1" s="1"/>
  <c r="DF118" i="1"/>
  <c r="DG118" i="1" s="1"/>
  <c r="DD118" i="1"/>
  <c r="DC118" i="1"/>
  <c r="DA118" i="1"/>
  <c r="CZ118" i="1"/>
  <c r="CW118" i="1"/>
  <c r="CX118" i="1" s="1"/>
  <c r="CU118" i="1"/>
  <c r="CT118" i="1"/>
  <c r="CQ118" i="1"/>
  <c r="CR118" i="1" s="1"/>
  <c r="CN118" i="1"/>
  <c r="CO118" i="1" s="1"/>
  <c r="CK118" i="1"/>
  <c r="CL118" i="1" s="1"/>
  <c r="CI118" i="1"/>
  <c r="CH118" i="1"/>
  <c r="CE118" i="1"/>
  <c r="CF118" i="1" s="1"/>
  <c r="CC118" i="1"/>
  <c r="CB118" i="1"/>
  <c r="BY118" i="1"/>
  <c r="BZ118" i="1" s="1"/>
  <c r="BV118" i="1"/>
  <c r="BW118" i="1" s="1"/>
  <c r="BT118" i="1"/>
  <c r="BS118" i="1"/>
  <c r="BQ118" i="1"/>
  <c r="BP118" i="1"/>
  <c r="BM118" i="1"/>
  <c r="BN118" i="1" s="1"/>
  <c r="BK118" i="1"/>
  <c r="BJ118" i="1"/>
  <c r="BH118" i="1"/>
  <c r="BG118" i="1"/>
  <c r="BD118" i="1"/>
  <c r="BE118" i="1" s="1"/>
  <c r="BA118" i="1"/>
  <c r="BB118" i="1" s="1"/>
  <c r="AY118" i="1"/>
  <c r="AX118" i="1"/>
  <c r="AU118" i="1"/>
  <c r="AV118" i="1" s="1"/>
  <c r="AS118" i="1"/>
  <c r="AR118" i="1"/>
  <c r="AP118" i="1"/>
  <c r="AO118" i="1"/>
  <c r="AL118" i="1"/>
  <c r="AM118" i="1" s="1"/>
  <c r="AI118" i="1"/>
  <c r="AJ118" i="1" s="1"/>
  <c r="AG118" i="1"/>
  <c r="AF118" i="1"/>
  <c r="AC118" i="1"/>
  <c r="AD118" i="1" s="1"/>
  <c r="AA118" i="1"/>
  <c r="Z118" i="1"/>
  <c r="X118" i="1"/>
  <c r="W118" i="1"/>
  <c r="U118" i="1"/>
  <c r="T118" i="1"/>
  <c r="Q118" i="1"/>
  <c r="R118" i="1" s="1"/>
  <c r="O118" i="1"/>
  <c r="N118" i="1"/>
  <c r="K118" i="1"/>
  <c r="L118" i="1" s="1"/>
  <c r="H118" i="1"/>
  <c r="I118" i="1" s="1"/>
  <c r="F118" i="1"/>
  <c r="E118" i="1"/>
  <c r="DU118" i="1" s="1"/>
  <c r="DT117" i="1"/>
  <c r="DO117" i="1"/>
  <c r="DP117" i="1" s="1"/>
  <c r="DM117" i="1"/>
  <c r="DL117" i="1"/>
  <c r="DI117" i="1"/>
  <c r="DJ117" i="1" s="1"/>
  <c r="DG117" i="1"/>
  <c r="DF117" i="1"/>
  <c r="DD117" i="1"/>
  <c r="DC117" i="1"/>
  <c r="CZ117" i="1"/>
  <c r="DA117" i="1" s="1"/>
  <c r="CW117" i="1"/>
  <c r="CX117" i="1" s="1"/>
  <c r="CU117" i="1"/>
  <c r="CT117" i="1"/>
  <c r="CQ117" i="1"/>
  <c r="CR117" i="1" s="1"/>
  <c r="CN117" i="1"/>
  <c r="CO117" i="1" s="1"/>
  <c r="CL117" i="1"/>
  <c r="CK117" i="1"/>
  <c r="CH117" i="1"/>
  <c r="CI117" i="1" s="1"/>
  <c r="CE117" i="1"/>
  <c r="CF117" i="1" s="1"/>
  <c r="CC117" i="1"/>
  <c r="CB117" i="1"/>
  <c r="BZ117" i="1"/>
  <c r="BY117" i="1"/>
  <c r="BV117" i="1"/>
  <c r="BW117" i="1" s="1"/>
  <c r="BT117" i="1"/>
  <c r="BS117" i="1"/>
  <c r="BP117" i="1"/>
  <c r="BQ117" i="1" s="1"/>
  <c r="BM117" i="1"/>
  <c r="BN117" i="1" s="1"/>
  <c r="BK117" i="1"/>
  <c r="BJ117" i="1"/>
  <c r="BH117" i="1"/>
  <c r="BG117" i="1"/>
  <c r="BE117" i="1"/>
  <c r="BD117" i="1"/>
  <c r="BB117" i="1"/>
  <c r="BA117" i="1"/>
  <c r="AX117" i="1"/>
  <c r="AY117" i="1" s="1"/>
  <c r="AU117" i="1"/>
  <c r="AV117" i="1" s="1"/>
  <c r="AS117" i="1"/>
  <c r="AR117" i="1"/>
  <c r="AO117" i="1"/>
  <c r="AP117" i="1" s="1"/>
  <c r="AM117" i="1"/>
  <c r="AL117" i="1"/>
  <c r="AJ117" i="1"/>
  <c r="AI117" i="1"/>
  <c r="AF117" i="1"/>
  <c r="AG117" i="1" s="1"/>
  <c r="AC117" i="1"/>
  <c r="AD117" i="1" s="1"/>
  <c r="AA117" i="1"/>
  <c r="Z117" i="1"/>
  <c r="X117" i="1"/>
  <c r="W117" i="1"/>
  <c r="T117" i="1"/>
  <c r="U117" i="1" s="1"/>
  <c r="R117" i="1"/>
  <c r="Q117" i="1"/>
  <c r="N117" i="1"/>
  <c r="O117" i="1" s="1"/>
  <c r="K117" i="1"/>
  <c r="L117" i="1" s="1"/>
  <c r="I117" i="1"/>
  <c r="H117" i="1"/>
  <c r="E117" i="1"/>
  <c r="DT116" i="1"/>
  <c r="DP116" i="1"/>
  <c r="DO116" i="1"/>
  <c r="DL116" i="1"/>
  <c r="DM116" i="1" s="1"/>
  <c r="DJ116" i="1"/>
  <c r="DI116" i="1"/>
  <c r="DF116" i="1"/>
  <c r="DG116" i="1" s="1"/>
  <c r="DC116" i="1"/>
  <c r="DD116" i="1" s="1"/>
  <c r="CZ116" i="1"/>
  <c r="DA116" i="1" s="1"/>
  <c r="CX116" i="1"/>
  <c r="CW116" i="1"/>
  <c r="CT116" i="1"/>
  <c r="CU116" i="1" s="1"/>
  <c r="CR116" i="1"/>
  <c r="CQ116" i="1"/>
  <c r="CN116" i="1"/>
  <c r="CO116" i="1" s="1"/>
  <c r="CL116" i="1"/>
  <c r="CK116" i="1"/>
  <c r="CH116" i="1"/>
  <c r="CI116" i="1" s="1"/>
  <c r="CE116" i="1"/>
  <c r="CF116" i="1" s="1"/>
  <c r="CC116" i="1"/>
  <c r="CB116" i="1"/>
  <c r="BZ116" i="1"/>
  <c r="BY116" i="1"/>
  <c r="BV116" i="1"/>
  <c r="BW116" i="1" s="1"/>
  <c r="BT116" i="1"/>
  <c r="BS116" i="1"/>
  <c r="BS128" i="1" s="1"/>
  <c r="BP116" i="1"/>
  <c r="BQ116" i="1" s="1"/>
  <c r="BM116" i="1"/>
  <c r="BN116" i="1" s="1"/>
  <c r="BK116" i="1"/>
  <c r="BJ116" i="1"/>
  <c r="BH116" i="1"/>
  <c r="BG116" i="1"/>
  <c r="BD116" i="1"/>
  <c r="BE116" i="1" s="1"/>
  <c r="BA116" i="1"/>
  <c r="BB116" i="1" s="1"/>
  <c r="AY116" i="1"/>
  <c r="AX116" i="1"/>
  <c r="AU116" i="1"/>
  <c r="AV116" i="1" s="1"/>
  <c r="AR116" i="1"/>
  <c r="AS116" i="1" s="1"/>
  <c r="AP116" i="1"/>
  <c r="AO116" i="1"/>
  <c r="AL116" i="1"/>
  <c r="AM116" i="1" s="1"/>
  <c r="AI116" i="1"/>
  <c r="AJ116" i="1" s="1"/>
  <c r="AF116" i="1"/>
  <c r="AG116" i="1" s="1"/>
  <c r="AD116" i="1"/>
  <c r="AC116" i="1"/>
  <c r="Z116" i="1"/>
  <c r="AA116" i="1" s="1"/>
  <c r="X116" i="1"/>
  <c r="W116" i="1"/>
  <c r="T116" i="1"/>
  <c r="U116" i="1" s="1"/>
  <c r="Q116" i="1"/>
  <c r="R116" i="1" s="1"/>
  <c r="N116" i="1"/>
  <c r="O116" i="1" s="1"/>
  <c r="K116" i="1"/>
  <c r="I116" i="1"/>
  <c r="H116" i="1"/>
  <c r="F116" i="1"/>
  <c r="E116" i="1"/>
  <c r="DT115" i="1"/>
  <c r="DO115" i="1"/>
  <c r="DP115" i="1" s="1"/>
  <c r="DL115" i="1"/>
  <c r="DM115" i="1" s="1"/>
  <c r="DJ115" i="1"/>
  <c r="DI115" i="1"/>
  <c r="DF115" i="1"/>
  <c r="DG115" i="1" s="1"/>
  <c r="DC115" i="1"/>
  <c r="DD115" i="1" s="1"/>
  <c r="DA115" i="1"/>
  <c r="CZ115" i="1"/>
  <c r="CW115" i="1"/>
  <c r="CX115" i="1" s="1"/>
  <c r="CT115" i="1"/>
  <c r="CU115" i="1" s="1"/>
  <c r="CQ115" i="1"/>
  <c r="CR115" i="1" s="1"/>
  <c r="CN115" i="1"/>
  <c r="CL115" i="1"/>
  <c r="CK115" i="1"/>
  <c r="CI115" i="1"/>
  <c r="CH115" i="1"/>
  <c r="CE115" i="1"/>
  <c r="CF115" i="1" s="1"/>
  <c r="CB115" i="1"/>
  <c r="CC115" i="1" s="1"/>
  <c r="BY115" i="1"/>
  <c r="BZ115" i="1" s="1"/>
  <c r="BW115" i="1"/>
  <c r="BV115" i="1"/>
  <c r="BT115" i="1"/>
  <c r="BS115" i="1"/>
  <c r="BQ115" i="1"/>
  <c r="BP115" i="1"/>
  <c r="BM115" i="1"/>
  <c r="BN115" i="1" s="1"/>
  <c r="BJ115" i="1"/>
  <c r="BK115" i="1" s="1"/>
  <c r="BG115" i="1"/>
  <c r="BH115" i="1" s="1"/>
  <c r="BD115" i="1"/>
  <c r="BE115" i="1" s="1"/>
  <c r="BB115" i="1"/>
  <c r="BA115" i="1"/>
  <c r="AY115" i="1"/>
  <c r="AX115" i="1"/>
  <c r="AU115" i="1"/>
  <c r="AV115" i="1" s="1"/>
  <c r="AR115" i="1"/>
  <c r="AS115" i="1" s="1"/>
  <c r="AP115" i="1"/>
  <c r="AO115" i="1"/>
  <c r="AL115" i="1"/>
  <c r="AM115" i="1" s="1"/>
  <c r="AI115" i="1"/>
  <c r="AJ115" i="1" s="1"/>
  <c r="AF115" i="1"/>
  <c r="AG115" i="1" s="1"/>
  <c r="AD115" i="1"/>
  <c r="AC115" i="1"/>
  <c r="Z115" i="1"/>
  <c r="AA115" i="1" s="1"/>
  <c r="X115" i="1"/>
  <c r="W115" i="1"/>
  <c r="U115" i="1"/>
  <c r="T115" i="1"/>
  <c r="Q115" i="1"/>
  <c r="R115" i="1" s="1"/>
  <c r="N115" i="1"/>
  <c r="O115" i="1" s="1"/>
  <c r="L115" i="1"/>
  <c r="K115" i="1"/>
  <c r="H115" i="1"/>
  <c r="I115" i="1" s="1"/>
  <c r="E115" i="1"/>
  <c r="DT114" i="1"/>
  <c r="DO114" i="1"/>
  <c r="DP114" i="1" s="1"/>
  <c r="DM114" i="1"/>
  <c r="DL114" i="1"/>
  <c r="DJ114" i="1"/>
  <c r="DI114" i="1"/>
  <c r="DF114" i="1"/>
  <c r="DG114" i="1" s="1"/>
  <c r="DC114" i="1"/>
  <c r="DD114" i="1" s="1"/>
  <c r="DA114" i="1"/>
  <c r="CZ114" i="1"/>
  <c r="CW114" i="1"/>
  <c r="CX114" i="1" s="1"/>
  <c r="CU114" i="1"/>
  <c r="CT114" i="1"/>
  <c r="CR114" i="1"/>
  <c r="CQ114" i="1"/>
  <c r="CO114" i="1"/>
  <c r="CN114" i="1"/>
  <c r="CK114" i="1"/>
  <c r="CL114" i="1" s="1"/>
  <c r="CI114" i="1"/>
  <c r="CH114" i="1"/>
  <c r="CE114" i="1"/>
  <c r="CF114" i="1" s="1"/>
  <c r="CB114" i="1"/>
  <c r="CC114" i="1" s="1"/>
  <c r="BZ114" i="1"/>
  <c r="BY114" i="1"/>
  <c r="BW114" i="1"/>
  <c r="BV114" i="1"/>
  <c r="BS114" i="1"/>
  <c r="BT114" i="1" s="1"/>
  <c r="BQ114" i="1"/>
  <c r="BP114" i="1"/>
  <c r="BM114" i="1"/>
  <c r="BN114" i="1" s="1"/>
  <c r="BJ114" i="1"/>
  <c r="BK114" i="1" s="1"/>
  <c r="BH114" i="1"/>
  <c r="BG114" i="1"/>
  <c r="BE114" i="1"/>
  <c r="BD114" i="1"/>
  <c r="BB114" i="1"/>
  <c r="BA114" i="1"/>
  <c r="AY114" i="1"/>
  <c r="AX114" i="1"/>
  <c r="AU114" i="1"/>
  <c r="AV114" i="1" s="1"/>
  <c r="AR114" i="1"/>
  <c r="AS114" i="1" s="1"/>
  <c r="AO114" i="1"/>
  <c r="AP114" i="1" s="1"/>
  <c r="AL114" i="1"/>
  <c r="AM114" i="1" s="1"/>
  <c r="AJ114" i="1"/>
  <c r="AI114" i="1"/>
  <c r="AG114" i="1"/>
  <c r="AF114" i="1"/>
  <c r="AC114" i="1"/>
  <c r="AD114" i="1" s="1"/>
  <c r="Z114" i="1"/>
  <c r="AA114" i="1" s="1"/>
  <c r="X114" i="1"/>
  <c r="W114" i="1"/>
  <c r="T114" i="1"/>
  <c r="U114" i="1" s="1"/>
  <c r="R114" i="1"/>
  <c r="Q114" i="1"/>
  <c r="O114" i="1"/>
  <c r="N114" i="1"/>
  <c r="K114" i="1"/>
  <c r="L114" i="1" s="1"/>
  <c r="H114" i="1"/>
  <c r="I114" i="1" s="1"/>
  <c r="E114" i="1"/>
  <c r="F114" i="1" s="1"/>
  <c r="DT113" i="1"/>
  <c r="DO113" i="1"/>
  <c r="DP113" i="1" s="1"/>
  <c r="DM113" i="1"/>
  <c r="DL113" i="1"/>
  <c r="DI113" i="1"/>
  <c r="DJ113" i="1" s="1"/>
  <c r="DF113" i="1"/>
  <c r="DG113" i="1" s="1"/>
  <c r="DC113" i="1"/>
  <c r="DD113" i="1" s="1"/>
  <c r="CZ113" i="1"/>
  <c r="DA113" i="1" s="1"/>
  <c r="CX113" i="1"/>
  <c r="CW113" i="1"/>
  <c r="CU113" i="1"/>
  <c r="CT113" i="1"/>
  <c r="CQ113" i="1"/>
  <c r="CR113" i="1" s="1"/>
  <c r="CO113" i="1"/>
  <c r="CN113" i="1"/>
  <c r="CK113" i="1"/>
  <c r="CL113" i="1" s="1"/>
  <c r="CH113" i="1"/>
  <c r="CI113" i="1" s="1"/>
  <c r="CE113" i="1"/>
  <c r="CF113" i="1" s="1"/>
  <c r="CC113" i="1"/>
  <c r="CB113" i="1"/>
  <c r="BY113" i="1"/>
  <c r="BZ113" i="1" s="1"/>
  <c r="BW113" i="1"/>
  <c r="BV113" i="1"/>
  <c r="BS113" i="1"/>
  <c r="BT113" i="1" s="1"/>
  <c r="BP113" i="1"/>
  <c r="BQ113" i="1" s="1"/>
  <c r="BN113" i="1"/>
  <c r="BM113" i="1"/>
  <c r="BK113" i="1"/>
  <c r="BJ113" i="1"/>
  <c r="BG113" i="1"/>
  <c r="BH113" i="1" s="1"/>
  <c r="BD113" i="1"/>
  <c r="BE113" i="1" s="1"/>
  <c r="BB113" i="1"/>
  <c r="BA113" i="1"/>
  <c r="AX113" i="1"/>
  <c r="AY113" i="1" s="1"/>
  <c r="AU113" i="1"/>
  <c r="AV113" i="1" s="1"/>
  <c r="AS113" i="1"/>
  <c r="AR113" i="1"/>
  <c r="AO113" i="1"/>
  <c r="AP113" i="1" s="1"/>
  <c r="AM113" i="1"/>
  <c r="AL113" i="1"/>
  <c r="AJ113" i="1"/>
  <c r="AI113" i="1"/>
  <c r="AF113" i="1"/>
  <c r="AC113" i="1"/>
  <c r="AD113" i="1" s="1"/>
  <c r="AA113" i="1"/>
  <c r="Z113" i="1"/>
  <c r="W113" i="1"/>
  <c r="X113" i="1" s="1"/>
  <c r="U113" i="1"/>
  <c r="T113" i="1"/>
  <c r="DU113" i="1" s="1"/>
  <c r="R113" i="1"/>
  <c r="Q113" i="1"/>
  <c r="O113" i="1"/>
  <c r="N113" i="1"/>
  <c r="K113" i="1"/>
  <c r="L113" i="1" s="1"/>
  <c r="I113" i="1"/>
  <c r="H113" i="1"/>
  <c r="E113" i="1"/>
  <c r="F113" i="1" s="1"/>
  <c r="DT112" i="1"/>
  <c r="DT128" i="1" s="1"/>
  <c r="DP112" i="1"/>
  <c r="DP128" i="1" s="1"/>
  <c r="DO112" i="1"/>
  <c r="DM112" i="1"/>
  <c r="DL112" i="1"/>
  <c r="DJ112" i="1"/>
  <c r="DI112" i="1"/>
  <c r="DF112" i="1"/>
  <c r="DC112" i="1"/>
  <c r="DC128" i="1" s="1"/>
  <c r="DA112" i="1"/>
  <c r="CZ112" i="1"/>
  <c r="CW112" i="1"/>
  <c r="CU112" i="1"/>
  <c r="CT112" i="1"/>
  <c r="CT128" i="1" s="1"/>
  <c r="CR112" i="1"/>
  <c r="CQ112" i="1"/>
  <c r="CN112" i="1"/>
  <c r="CO112" i="1" s="1"/>
  <c r="CK112" i="1"/>
  <c r="CH112" i="1"/>
  <c r="CF112" i="1"/>
  <c r="CE112" i="1"/>
  <c r="CB112" i="1"/>
  <c r="BZ112" i="1"/>
  <c r="BY112" i="1"/>
  <c r="BV112" i="1"/>
  <c r="BT112" i="1"/>
  <c r="BS112" i="1"/>
  <c r="BP112" i="1"/>
  <c r="BQ112" i="1" s="1"/>
  <c r="BM112" i="1"/>
  <c r="BJ112" i="1"/>
  <c r="BJ128" i="1" s="1"/>
  <c r="BH112" i="1"/>
  <c r="BG112" i="1"/>
  <c r="BD112" i="1"/>
  <c r="BB112" i="1"/>
  <c r="BA112" i="1"/>
  <c r="AX112" i="1"/>
  <c r="AU112" i="1"/>
  <c r="AV112" i="1" s="1"/>
  <c r="AR112" i="1"/>
  <c r="AP112" i="1"/>
  <c r="AO112" i="1"/>
  <c r="AL112" i="1"/>
  <c r="AJ112" i="1"/>
  <c r="AJ128" i="1" s="1"/>
  <c r="AI112" i="1"/>
  <c r="AG112" i="1"/>
  <c r="AF112" i="1"/>
  <c r="AC112" i="1"/>
  <c r="AA112" i="1"/>
  <c r="Z112" i="1"/>
  <c r="X112" i="1"/>
  <c r="W112" i="1"/>
  <c r="T112" i="1"/>
  <c r="Q112" i="1"/>
  <c r="O112" i="1"/>
  <c r="N112" i="1"/>
  <c r="K112" i="1"/>
  <c r="L112" i="1" s="1"/>
  <c r="H112" i="1"/>
  <c r="F112" i="1"/>
  <c r="E112" i="1"/>
  <c r="DS111" i="1"/>
  <c r="DR111" i="1"/>
  <c r="DQ111" i="1"/>
  <c r="DN111" i="1"/>
  <c r="DK111" i="1"/>
  <c r="DH111" i="1"/>
  <c r="DE111" i="1"/>
  <c r="DB111" i="1"/>
  <c r="CY111" i="1"/>
  <c r="CV111" i="1"/>
  <c r="CS111" i="1"/>
  <c r="CP111" i="1"/>
  <c r="CM111" i="1"/>
  <c r="CJ111" i="1"/>
  <c r="CG111" i="1"/>
  <c r="CD111" i="1"/>
  <c r="CA111" i="1"/>
  <c r="BX111" i="1"/>
  <c r="BU111" i="1"/>
  <c r="BR111" i="1"/>
  <c r="BO111" i="1"/>
  <c r="BL111" i="1"/>
  <c r="BI111" i="1"/>
  <c r="BF111" i="1"/>
  <c r="BG111" i="1" s="1"/>
  <c r="BH111" i="1" s="1"/>
  <c r="BC111" i="1"/>
  <c r="AZ111" i="1"/>
  <c r="AW111" i="1"/>
  <c r="AT111" i="1"/>
  <c r="AQ111" i="1"/>
  <c r="AN111" i="1"/>
  <c r="AK111" i="1"/>
  <c r="AH111" i="1"/>
  <c r="AE111" i="1"/>
  <c r="AB111" i="1"/>
  <c r="Y111" i="1"/>
  <c r="V111" i="1"/>
  <c r="S111" i="1"/>
  <c r="P111" i="1"/>
  <c r="M111" i="1"/>
  <c r="J111" i="1"/>
  <c r="G111" i="1"/>
  <c r="D111" i="1"/>
  <c r="DT110" i="1"/>
  <c r="DO110" i="1"/>
  <c r="DP110" i="1" s="1"/>
  <c r="DM110" i="1"/>
  <c r="DL110" i="1"/>
  <c r="DJ110" i="1"/>
  <c r="DI110" i="1"/>
  <c r="DF110" i="1"/>
  <c r="DG110" i="1" s="1"/>
  <c r="DD110" i="1"/>
  <c r="DC110" i="1"/>
  <c r="DA110" i="1"/>
  <c r="CZ110" i="1"/>
  <c r="CX110" i="1"/>
  <c r="CW110" i="1"/>
  <c r="CT110" i="1"/>
  <c r="CU110" i="1" s="1"/>
  <c r="CR110" i="1"/>
  <c r="CQ110" i="1"/>
  <c r="CN110" i="1"/>
  <c r="CO110" i="1" s="1"/>
  <c r="CL110" i="1"/>
  <c r="CK110" i="1"/>
  <c r="CI110" i="1"/>
  <c r="CH110" i="1"/>
  <c r="CE110" i="1"/>
  <c r="CF110" i="1" s="1"/>
  <c r="CC110" i="1"/>
  <c r="CB110" i="1"/>
  <c r="BY110" i="1"/>
  <c r="BZ110" i="1" s="1"/>
  <c r="BV110" i="1"/>
  <c r="BW110" i="1" s="1"/>
  <c r="BT110" i="1"/>
  <c r="BS110" i="1"/>
  <c r="BQ110" i="1"/>
  <c r="BP110" i="1"/>
  <c r="BN110" i="1"/>
  <c r="BM110" i="1"/>
  <c r="BK110" i="1"/>
  <c r="BJ110" i="1"/>
  <c r="BG110" i="1"/>
  <c r="BH110" i="1" s="1"/>
  <c r="BD110" i="1"/>
  <c r="BE110" i="1" s="1"/>
  <c r="BA110" i="1"/>
  <c r="BB110" i="1" s="1"/>
  <c r="AY110" i="1"/>
  <c r="AX110" i="1"/>
  <c r="AV110" i="1"/>
  <c r="AU110" i="1"/>
  <c r="AR110" i="1"/>
  <c r="AS110" i="1" s="1"/>
  <c r="AP110" i="1"/>
  <c r="AO110" i="1"/>
  <c r="AM110" i="1"/>
  <c r="AL110" i="1"/>
  <c r="AI110" i="1"/>
  <c r="AJ110" i="1" s="1"/>
  <c r="AG110" i="1"/>
  <c r="AF110" i="1"/>
  <c r="AD110" i="1"/>
  <c r="AC110" i="1"/>
  <c r="Z110" i="1"/>
  <c r="AA110" i="1" s="1"/>
  <c r="X110" i="1"/>
  <c r="W110" i="1"/>
  <c r="T110" i="1"/>
  <c r="U110" i="1" s="1"/>
  <c r="R110" i="1"/>
  <c r="Q110" i="1"/>
  <c r="N110" i="1"/>
  <c r="O110" i="1" s="1"/>
  <c r="L110" i="1"/>
  <c r="K110" i="1"/>
  <c r="H110" i="1"/>
  <c r="I110" i="1" s="1"/>
  <c r="F110" i="1"/>
  <c r="E110" i="1"/>
  <c r="DT109" i="1"/>
  <c r="DP109" i="1"/>
  <c r="DO109" i="1"/>
  <c r="DM109" i="1"/>
  <c r="DL109" i="1"/>
  <c r="DJ109" i="1"/>
  <c r="DI109" i="1"/>
  <c r="DF109" i="1"/>
  <c r="DG109" i="1" s="1"/>
  <c r="DC109" i="1"/>
  <c r="DD109" i="1" s="1"/>
  <c r="DA109" i="1"/>
  <c r="CZ109" i="1"/>
  <c r="CW109" i="1"/>
  <c r="CX109" i="1" s="1"/>
  <c r="CT109" i="1"/>
  <c r="CU109" i="1" s="1"/>
  <c r="CR109" i="1"/>
  <c r="CQ109" i="1"/>
  <c r="CN109" i="1"/>
  <c r="CO109" i="1" s="1"/>
  <c r="CK109" i="1"/>
  <c r="CL109" i="1" s="1"/>
  <c r="CI109" i="1"/>
  <c r="CH109" i="1"/>
  <c r="CF109" i="1"/>
  <c r="CE109" i="1"/>
  <c r="CB109" i="1"/>
  <c r="CC109" i="1" s="1"/>
  <c r="BZ109" i="1"/>
  <c r="BY109" i="1"/>
  <c r="BV109" i="1"/>
  <c r="BW109" i="1" s="1"/>
  <c r="BS109" i="1"/>
  <c r="BT109" i="1" s="1"/>
  <c r="BQ109" i="1"/>
  <c r="BP109" i="1"/>
  <c r="BN109" i="1"/>
  <c r="BM109" i="1"/>
  <c r="BK109" i="1"/>
  <c r="BJ109" i="1"/>
  <c r="BH109" i="1"/>
  <c r="BG109" i="1"/>
  <c r="BD109" i="1"/>
  <c r="BE109" i="1" s="1"/>
  <c r="BA109" i="1"/>
  <c r="BB109" i="1" s="1"/>
  <c r="AX109" i="1"/>
  <c r="AY109" i="1" s="1"/>
  <c r="AV109" i="1"/>
  <c r="AU109" i="1"/>
  <c r="AS109" i="1"/>
  <c r="AR109" i="1"/>
  <c r="AP109" i="1"/>
  <c r="AO109" i="1"/>
  <c r="AL109" i="1"/>
  <c r="AM109" i="1" s="1"/>
  <c r="AI109" i="1"/>
  <c r="AJ109" i="1" s="1"/>
  <c r="AF109" i="1"/>
  <c r="AG109" i="1" s="1"/>
  <c r="AD109" i="1"/>
  <c r="AC109" i="1"/>
  <c r="AA109" i="1"/>
  <c r="Z109" i="1"/>
  <c r="X109" i="1"/>
  <c r="W109" i="1"/>
  <c r="T109" i="1"/>
  <c r="U109" i="1" s="1"/>
  <c r="Q109" i="1"/>
  <c r="R109" i="1" s="1"/>
  <c r="N109" i="1"/>
  <c r="O109" i="1" s="1"/>
  <c r="K109" i="1"/>
  <c r="L109" i="1" s="1"/>
  <c r="H109" i="1"/>
  <c r="F109" i="1"/>
  <c r="E109" i="1"/>
  <c r="DT108" i="1"/>
  <c r="DO108" i="1"/>
  <c r="DP108" i="1" s="1"/>
  <c r="DL108" i="1"/>
  <c r="DM108" i="1" s="1"/>
  <c r="DJ108" i="1"/>
  <c r="DI108" i="1"/>
  <c r="DG108" i="1"/>
  <c r="DF108" i="1"/>
  <c r="DC108" i="1"/>
  <c r="DD108" i="1" s="1"/>
  <c r="DA108" i="1"/>
  <c r="CZ108" i="1"/>
  <c r="CX108" i="1"/>
  <c r="CW108" i="1"/>
  <c r="CU108" i="1"/>
  <c r="CT108" i="1"/>
  <c r="CQ108" i="1"/>
  <c r="CR108" i="1" s="1"/>
  <c r="CO108" i="1"/>
  <c r="CN108" i="1"/>
  <c r="CK108" i="1"/>
  <c r="CL108" i="1" s="1"/>
  <c r="CI108" i="1"/>
  <c r="CH108" i="1"/>
  <c r="CF108" i="1"/>
  <c r="CE108" i="1"/>
  <c r="CB108" i="1"/>
  <c r="CC108" i="1" s="1"/>
  <c r="BY108" i="1"/>
  <c r="BZ108" i="1" s="1"/>
  <c r="BV108" i="1"/>
  <c r="BW108" i="1" s="1"/>
  <c r="BS108" i="1"/>
  <c r="BT108" i="1" s="1"/>
  <c r="BQ108" i="1"/>
  <c r="BP108" i="1"/>
  <c r="BN108" i="1"/>
  <c r="BM108" i="1"/>
  <c r="BK108" i="1"/>
  <c r="BJ108" i="1"/>
  <c r="BH108" i="1"/>
  <c r="BG108" i="1"/>
  <c r="BD108" i="1"/>
  <c r="BE108" i="1" s="1"/>
  <c r="BA108" i="1"/>
  <c r="BB108" i="1" s="1"/>
  <c r="AY108" i="1"/>
  <c r="AX108" i="1"/>
  <c r="AV108" i="1"/>
  <c r="AU108" i="1"/>
  <c r="AS108" i="1"/>
  <c r="AR108" i="1"/>
  <c r="AO108" i="1"/>
  <c r="AP108" i="1" s="1"/>
  <c r="AL108" i="1"/>
  <c r="AM108" i="1" s="1"/>
  <c r="AI108" i="1"/>
  <c r="AJ108" i="1" s="1"/>
  <c r="AG108" i="1"/>
  <c r="AF108" i="1"/>
  <c r="AC108" i="1"/>
  <c r="AD108" i="1" s="1"/>
  <c r="Z108" i="1"/>
  <c r="AA108" i="1" s="1"/>
  <c r="X108" i="1"/>
  <c r="W108" i="1"/>
  <c r="U108" i="1"/>
  <c r="T108" i="1"/>
  <c r="Q108" i="1"/>
  <c r="R108" i="1" s="1"/>
  <c r="O108" i="1"/>
  <c r="N108" i="1"/>
  <c r="K108" i="1"/>
  <c r="L108" i="1" s="1"/>
  <c r="H108" i="1"/>
  <c r="I108" i="1" s="1"/>
  <c r="F108" i="1"/>
  <c r="E108" i="1"/>
  <c r="DT107" i="1"/>
  <c r="DO107" i="1"/>
  <c r="DP107" i="1" s="1"/>
  <c r="DL107" i="1"/>
  <c r="DM107" i="1" s="1"/>
  <c r="DI107" i="1"/>
  <c r="DJ107" i="1" s="1"/>
  <c r="DG107" i="1"/>
  <c r="DF107" i="1"/>
  <c r="DC107" i="1"/>
  <c r="DD107" i="1" s="1"/>
  <c r="DA107" i="1"/>
  <c r="CZ107" i="1"/>
  <c r="CW107" i="1"/>
  <c r="CX107" i="1" s="1"/>
  <c r="CT107" i="1"/>
  <c r="CU107" i="1" s="1"/>
  <c r="CQ107" i="1"/>
  <c r="CR107" i="1" s="1"/>
  <c r="CN107" i="1"/>
  <c r="CO107" i="1" s="1"/>
  <c r="CK107" i="1"/>
  <c r="CL107" i="1" s="1"/>
  <c r="CI107" i="1"/>
  <c r="CH107" i="1"/>
  <c r="CE107" i="1"/>
  <c r="CF107" i="1" s="1"/>
  <c r="CB107" i="1"/>
  <c r="CC107" i="1" s="1"/>
  <c r="BZ107" i="1"/>
  <c r="BY107" i="1"/>
  <c r="BV107" i="1"/>
  <c r="BW107" i="1" s="1"/>
  <c r="BS107" i="1"/>
  <c r="BT107" i="1" s="1"/>
  <c r="BQ107" i="1"/>
  <c r="BP107" i="1"/>
  <c r="BM107" i="1"/>
  <c r="BN107" i="1" s="1"/>
  <c r="BJ107" i="1"/>
  <c r="BK107" i="1" s="1"/>
  <c r="BH107" i="1"/>
  <c r="BG107" i="1"/>
  <c r="BE107" i="1"/>
  <c r="BD107" i="1"/>
  <c r="BA107" i="1"/>
  <c r="BB107" i="1" s="1"/>
  <c r="AY107" i="1"/>
  <c r="AX107" i="1"/>
  <c r="AU107" i="1"/>
  <c r="AV107" i="1" s="1"/>
  <c r="AR107" i="1"/>
  <c r="AS107" i="1" s="1"/>
  <c r="AP107" i="1"/>
  <c r="AO107" i="1"/>
  <c r="AM107" i="1"/>
  <c r="AL107" i="1"/>
  <c r="AJ107" i="1"/>
  <c r="AI107" i="1"/>
  <c r="AG107" i="1"/>
  <c r="AF107" i="1"/>
  <c r="AC107" i="1"/>
  <c r="AD107" i="1" s="1"/>
  <c r="Z107" i="1"/>
  <c r="AA107" i="1" s="1"/>
  <c r="W107" i="1"/>
  <c r="X107" i="1" s="1"/>
  <c r="T107" i="1"/>
  <c r="U107" i="1" s="1"/>
  <c r="R107" i="1"/>
  <c r="Q107" i="1"/>
  <c r="O107" i="1"/>
  <c r="N107" i="1"/>
  <c r="K107" i="1"/>
  <c r="L107" i="1" s="1"/>
  <c r="H107" i="1"/>
  <c r="I107" i="1" s="1"/>
  <c r="F107" i="1"/>
  <c r="E107" i="1"/>
  <c r="DT106" i="1"/>
  <c r="DP106" i="1"/>
  <c r="DO106" i="1"/>
  <c r="DL106" i="1"/>
  <c r="DM106" i="1" s="1"/>
  <c r="DJ106" i="1"/>
  <c r="DI106" i="1"/>
  <c r="DF106" i="1"/>
  <c r="DG106" i="1" s="1"/>
  <c r="DD106" i="1"/>
  <c r="DC106" i="1"/>
  <c r="CZ106" i="1"/>
  <c r="DA106" i="1" s="1"/>
  <c r="CW106" i="1"/>
  <c r="CX106" i="1" s="1"/>
  <c r="CT106" i="1"/>
  <c r="CU106" i="1" s="1"/>
  <c r="CR106" i="1"/>
  <c r="CQ106" i="1"/>
  <c r="CN106" i="1"/>
  <c r="CO106" i="1" s="1"/>
  <c r="CL106" i="1"/>
  <c r="CK106" i="1"/>
  <c r="CI106" i="1"/>
  <c r="CH106" i="1"/>
  <c r="CE106" i="1"/>
  <c r="CF106" i="1" s="1"/>
  <c r="CB106" i="1"/>
  <c r="CC106" i="1" s="1"/>
  <c r="BY106" i="1"/>
  <c r="BZ106" i="1" s="1"/>
  <c r="BV106" i="1"/>
  <c r="BW106" i="1" s="1"/>
  <c r="BS106" i="1"/>
  <c r="BT106" i="1" s="1"/>
  <c r="BP106" i="1"/>
  <c r="BQ106" i="1" s="1"/>
  <c r="BN106" i="1"/>
  <c r="BM106" i="1"/>
  <c r="BJ106" i="1"/>
  <c r="BK106" i="1" s="1"/>
  <c r="BG106" i="1"/>
  <c r="BH106" i="1" s="1"/>
  <c r="BE106" i="1"/>
  <c r="BD106" i="1"/>
  <c r="BA106" i="1"/>
  <c r="BB106" i="1" s="1"/>
  <c r="AX106" i="1"/>
  <c r="AY106" i="1" s="1"/>
  <c r="AV106" i="1"/>
  <c r="AU106" i="1"/>
  <c r="AR106" i="1"/>
  <c r="AS106" i="1" s="1"/>
  <c r="AO106" i="1"/>
  <c r="AP106" i="1" s="1"/>
  <c r="AM106" i="1"/>
  <c r="AL106" i="1"/>
  <c r="AJ106" i="1"/>
  <c r="AI106" i="1"/>
  <c r="AF106" i="1"/>
  <c r="AG106" i="1" s="1"/>
  <c r="AC106" i="1"/>
  <c r="AD106" i="1" s="1"/>
  <c r="Z106" i="1"/>
  <c r="AA106" i="1" s="1"/>
  <c r="W106" i="1"/>
  <c r="X106" i="1" s="1"/>
  <c r="U106" i="1"/>
  <c r="T106" i="1"/>
  <c r="Q106" i="1"/>
  <c r="O106" i="1"/>
  <c r="N106" i="1"/>
  <c r="K106" i="1"/>
  <c r="L106" i="1" s="1"/>
  <c r="H106" i="1"/>
  <c r="I106" i="1" s="1"/>
  <c r="E106" i="1"/>
  <c r="F106" i="1" s="1"/>
  <c r="DT105" i="1"/>
  <c r="DP105" i="1"/>
  <c r="DO105" i="1"/>
  <c r="DL105" i="1"/>
  <c r="DM105" i="1" s="1"/>
  <c r="DJ105" i="1"/>
  <c r="DI105" i="1"/>
  <c r="DG105" i="1"/>
  <c r="DF105" i="1"/>
  <c r="DC105" i="1"/>
  <c r="DD105" i="1" s="1"/>
  <c r="CZ105" i="1"/>
  <c r="DA105" i="1" s="1"/>
  <c r="CX105" i="1"/>
  <c r="CW105" i="1"/>
  <c r="CT105" i="1"/>
  <c r="CU105" i="1" s="1"/>
  <c r="CR105" i="1"/>
  <c r="CQ105" i="1"/>
  <c r="CO105" i="1"/>
  <c r="CN105" i="1"/>
  <c r="CK105" i="1"/>
  <c r="CL105" i="1" s="1"/>
  <c r="CH105" i="1"/>
  <c r="CI105" i="1" s="1"/>
  <c r="CE105" i="1"/>
  <c r="CF105" i="1" s="1"/>
  <c r="CC105" i="1"/>
  <c r="CB105" i="1"/>
  <c r="BZ105" i="1"/>
  <c r="BY105" i="1"/>
  <c r="BW105" i="1"/>
  <c r="BV105" i="1"/>
  <c r="BS105" i="1"/>
  <c r="BT105" i="1" s="1"/>
  <c r="BP105" i="1"/>
  <c r="BQ105" i="1" s="1"/>
  <c r="BN105" i="1"/>
  <c r="BM105" i="1"/>
  <c r="BJ105" i="1"/>
  <c r="BK105" i="1" s="1"/>
  <c r="BH105" i="1"/>
  <c r="BG105" i="1"/>
  <c r="BE105" i="1"/>
  <c r="BD105" i="1"/>
  <c r="BA105" i="1"/>
  <c r="BB105" i="1" s="1"/>
  <c r="AY105" i="1"/>
  <c r="AX105" i="1"/>
  <c r="AU105" i="1"/>
  <c r="AV105" i="1" s="1"/>
  <c r="AS105" i="1"/>
  <c r="AR105" i="1"/>
  <c r="AP105" i="1"/>
  <c r="AO105" i="1"/>
  <c r="AM105" i="1"/>
  <c r="AL105" i="1"/>
  <c r="AI105" i="1"/>
  <c r="AJ105" i="1" s="1"/>
  <c r="AF105" i="1"/>
  <c r="AG105" i="1" s="1"/>
  <c r="AC105" i="1"/>
  <c r="AD105" i="1" s="1"/>
  <c r="Z105" i="1"/>
  <c r="AA105" i="1" s="1"/>
  <c r="X105" i="1"/>
  <c r="W105" i="1"/>
  <c r="T105" i="1"/>
  <c r="U105" i="1" s="1"/>
  <c r="Q105" i="1"/>
  <c r="R105" i="1" s="1"/>
  <c r="O105" i="1"/>
  <c r="N105" i="1"/>
  <c r="L105" i="1"/>
  <c r="K105" i="1"/>
  <c r="H105" i="1"/>
  <c r="I105" i="1" s="1"/>
  <c r="E105" i="1"/>
  <c r="DT104" i="1"/>
  <c r="DP104" i="1"/>
  <c r="DO104" i="1"/>
  <c r="DL104" i="1"/>
  <c r="DM104" i="1" s="1"/>
  <c r="DI104" i="1"/>
  <c r="DJ104" i="1" s="1"/>
  <c r="DF104" i="1"/>
  <c r="DG104" i="1" s="1"/>
  <c r="DC104" i="1"/>
  <c r="DD104" i="1" s="1"/>
  <c r="DA104" i="1"/>
  <c r="CZ104" i="1"/>
  <c r="CX104" i="1"/>
  <c r="CW104" i="1"/>
  <c r="CT104" i="1"/>
  <c r="CU104" i="1" s="1"/>
  <c r="CQ104" i="1"/>
  <c r="CR104" i="1" s="1"/>
  <c r="CO104" i="1"/>
  <c r="CN104" i="1"/>
  <c r="CK104" i="1"/>
  <c r="CL104" i="1" s="1"/>
  <c r="CH104" i="1"/>
  <c r="CI104" i="1" s="1"/>
  <c r="CF104" i="1"/>
  <c r="CE104" i="1"/>
  <c r="CB104" i="1"/>
  <c r="CC104" i="1" s="1"/>
  <c r="BY104" i="1"/>
  <c r="BZ104" i="1" s="1"/>
  <c r="BV104" i="1"/>
  <c r="BW104" i="1" s="1"/>
  <c r="BS104" i="1"/>
  <c r="BT104" i="1" s="1"/>
  <c r="BP104" i="1"/>
  <c r="BQ104" i="1" s="1"/>
  <c r="BN104" i="1"/>
  <c r="BM104" i="1"/>
  <c r="BJ104" i="1"/>
  <c r="BK104" i="1" s="1"/>
  <c r="BG104" i="1"/>
  <c r="BH104" i="1" s="1"/>
  <c r="BE104" i="1"/>
  <c r="BD104" i="1"/>
  <c r="BA104" i="1"/>
  <c r="BB104" i="1" s="1"/>
  <c r="AX104" i="1"/>
  <c r="AY104" i="1" s="1"/>
  <c r="AV104" i="1"/>
  <c r="AU104" i="1"/>
  <c r="AR104" i="1"/>
  <c r="AS104" i="1" s="1"/>
  <c r="AO104" i="1"/>
  <c r="AP104" i="1" s="1"/>
  <c r="AM104" i="1"/>
  <c r="AL104" i="1"/>
  <c r="AJ104" i="1"/>
  <c r="AI104" i="1"/>
  <c r="AF104" i="1"/>
  <c r="AG104" i="1" s="1"/>
  <c r="AD104" i="1"/>
  <c r="AC104" i="1"/>
  <c r="Z104" i="1"/>
  <c r="AA104" i="1" s="1"/>
  <c r="W104" i="1"/>
  <c r="X104" i="1" s="1"/>
  <c r="T104" i="1"/>
  <c r="U104" i="1" s="1"/>
  <c r="R104" i="1"/>
  <c r="Q104" i="1"/>
  <c r="O104" i="1"/>
  <c r="N104" i="1"/>
  <c r="L104" i="1"/>
  <c r="K104" i="1"/>
  <c r="H104" i="1"/>
  <c r="I104" i="1" s="1"/>
  <c r="E104" i="1"/>
  <c r="F104" i="1" s="1"/>
  <c r="DT103" i="1"/>
  <c r="DO103" i="1"/>
  <c r="DP103" i="1" s="1"/>
  <c r="DM103" i="1"/>
  <c r="DL103" i="1"/>
  <c r="DJ103" i="1"/>
  <c r="DI103" i="1"/>
  <c r="DG103" i="1"/>
  <c r="DF103" i="1"/>
  <c r="DC103" i="1"/>
  <c r="DD103" i="1" s="1"/>
  <c r="DA103" i="1"/>
  <c r="CZ103" i="1"/>
  <c r="CW103" i="1"/>
  <c r="CX103" i="1" s="1"/>
  <c r="CU103" i="1"/>
  <c r="CT103" i="1"/>
  <c r="CR103" i="1"/>
  <c r="CQ103" i="1"/>
  <c r="CO103" i="1"/>
  <c r="CN103" i="1"/>
  <c r="CK103" i="1"/>
  <c r="CL103" i="1" s="1"/>
  <c r="CI103" i="1"/>
  <c r="CH103" i="1"/>
  <c r="CE103" i="1"/>
  <c r="CF103" i="1" s="1"/>
  <c r="CB103" i="1"/>
  <c r="CC103" i="1" s="1"/>
  <c r="BZ103" i="1"/>
  <c r="BY103" i="1"/>
  <c r="BW103" i="1"/>
  <c r="BV103" i="1"/>
  <c r="BS103" i="1"/>
  <c r="BT103" i="1" s="1"/>
  <c r="BP103" i="1"/>
  <c r="BQ103" i="1" s="1"/>
  <c r="BN103" i="1"/>
  <c r="BM103" i="1"/>
  <c r="BJ103" i="1"/>
  <c r="BK103" i="1" s="1"/>
  <c r="BH103" i="1"/>
  <c r="BG103" i="1"/>
  <c r="BE103" i="1"/>
  <c r="BD103" i="1"/>
  <c r="BA103" i="1"/>
  <c r="BB103" i="1" s="1"/>
  <c r="AX103" i="1"/>
  <c r="AY103" i="1" s="1"/>
  <c r="AV103" i="1"/>
  <c r="AU103" i="1"/>
  <c r="AR103" i="1"/>
  <c r="AS103" i="1" s="1"/>
  <c r="AP103" i="1"/>
  <c r="AO103" i="1"/>
  <c r="AM103" i="1"/>
  <c r="AL103" i="1"/>
  <c r="AI103" i="1"/>
  <c r="AJ103" i="1" s="1"/>
  <c r="AF103" i="1"/>
  <c r="AG103" i="1" s="1"/>
  <c r="AC103" i="1"/>
  <c r="AD103" i="1" s="1"/>
  <c r="Z103" i="1"/>
  <c r="AA103" i="1" s="1"/>
  <c r="X103" i="1"/>
  <c r="W103" i="1"/>
  <c r="U103" i="1"/>
  <c r="T103" i="1"/>
  <c r="Q103" i="1"/>
  <c r="R103" i="1" s="1"/>
  <c r="N103" i="1"/>
  <c r="O103" i="1" s="1"/>
  <c r="K103" i="1"/>
  <c r="L103" i="1" s="1"/>
  <c r="I103" i="1"/>
  <c r="H103" i="1"/>
  <c r="F103" i="1"/>
  <c r="E103" i="1"/>
  <c r="DT102" i="1"/>
  <c r="DP102" i="1"/>
  <c r="DO102" i="1"/>
  <c r="DM102" i="1"/>
  <c r="DL102" i="1"/>
  <c r="DI102" i="1"/>
  <c r="DJ102" i="1" s="1"/>
  <c r="DG102" i="1"/>
  <c r="DF102" i="1"/>
  <c r="DC102" i="1"/>
  <c r="DD102" i="1" s="1"/>
  <c r="CZ102" i="1"/>
  <c r="DA102" i="1" s="1"/>
  <c r="CW102" i="1"/>
  <c r="CX102" i="1" s="1"/>
  <c r="CU102" i="1"/>
  <c r="CT102" i="1"/>
  <c r="CR102" i="1"/>
  <c r="CQ102" i="1"/>
  <c r="CO102" i="1"/>
  <c r="CN102" i="1"/>
  <c r="CK102" i="1"/>
  <c r="CL102" i="1" s="1"/>
  <c r="CH102" i="1"/>
  <c r="CI102" i="1" s="1"/>
  <c r="CF102" i="1"/>
  <c r="CE102" i="1"/>
  <c r="CB102" i="1"/>
  <c r="CC102" i="1" s="1"/>
  <c r="BZ102" i="1"/>
  <c r="BY102" i="1"/>
  <c r="BW102" i="1"/>
  <c r="BV102" i="1"/>
  <c r="BS102" i="1"/>
  <c r="BT102" i="1" s="1"/>
  <c r="BP102" i="1"/>
  <c r="BQ102" i="1" s="1"/>
  <c r="BM102" i="1"/>
  <c r="BN102" i="1" s="1"/>
  <c r="BK102" i="1"/>
  <c r="BJ102" i="1"/>
  <c r="BG102" i="1"/>
  <c r="BH102" i="1" s="1"/>
  <c r="BE102" i="1"/>
  <c r="BD102" i="1"/>
  <c r="BA102" i="1"/>
  <c r="BB102" i="1" s="1"/>
  <c r="AX102" i="1"/>
  <c r="AY102" i="1" s="1"/>
  <c r="AU102" i="1"/>
  <c r="AV102" i="1" s="1"/>
  <c r="AR102" i="1"/>
  <c r="AS102" i="1" s="1"/>
  <c r="AP102" i="1"/>
  <c r="AO102" i="1"/>
  <c r="AM102" i="1"/>
  <c r="AL102" i="1"/>
  <c r="AI102" i="1"/>
  <c r="AJ102" i="1" s="1"/>
  <c r="AF102" i="1"/>
  <c r="AG102" i="1" s="1"/>
  <c r="AD102" i="1"/>
  <c r="AC102" i="1"/>
  <c r="Z102" i="1"/>
  <c r="AA102" i="1" s="1"/>
  <c r="X102" i="1"/>
  <c r="W102" i="1"/>
  <c r="U102" i="1"/>
  <c r="T102" i="1"/>
  <c r="Q102" i="1"/>
  <c r="R102" i="1" s="1"/>
  <c r="N102" i="1"/>
  <c r="O102" i="1" s="1"/>
  <c r="L102" i="1"/>
  <c r="K102" i="1"/>
  <c r="I102" i="1"/>
  <c r="H102" i="1"/>
  <c r="E102" i="1"/>
  <c r="DT101" i="1"/>
  <c r="DP101" i="1"/>
  <c r="DO101" i="1"/>
  <c r="DL101" i="1"/>
  <c r="DM101" i="1" s="1"/>
  <c r="DI101" i="1"/>
  <c r="DJ101" i="1" s="1"/>
  <c r="DG101" i="1"/>
  <c r="DF101" i="1"/>
  <c r="DC101" i="1"/>
  <c r="DD101" i="1" s="1"/>
  <c r="DA101" i="1"/>
  <c r="CZ101" i="1"/>
  <c r="CW101" i="1"/>
  <c r="CX101" i="1" s="1"/>
  <c r="CT101" i="1"/>
  <c r="CU101" i="1" s="1"/>
  <c r="CQ101" i="1"/>
  <c r="CR101" i="1" s="1"/>
  <c r="CN101" i="1"/>
  <c r="CO101" i="1" s="1"/>
  <c r="CL101" i="1"/>
  <c r="CK101" i="1"/>
  <c r="CI101" i="1"/>
  <c r="CH101" i="1"/>
  <c r="CE101" i="1"/>
  <c r="CF101" i="1" s="1"/>
  <c r="CB101" i="1"/>
  <c r="CC101" i="1" s="1"/>
  <c r="BZ101" i="1"/>
  <c r="BY101" i="1"/>
  <c r="BV101" i="1"/>
  <c r="BW101" i="1" s="1"/>
  <c r="BS101" i="1"/>
  <c r="BT101" i="1" s="1"/>
  <c r="BQ101" i="1"/>
  <c r="BP101" i="1"/>
  <c r="BN101" i="1"/>
  <c r="BM101" i="1"/>
  <c r="BJ101" i="1"/>
  <c r="BK101" i="1" s="1"/>
  <c r="BG101" i="1"/>
  <c r="BH101" i="1" s="1"/>
  <c r="BD101" i="1"/>
  <c r="BE101" i="1" s="1"/>
  <c r="BA101" i="1"/>
  <c r="BB101" i="1" s="1"/>
  <c r="AY101" i="1"/>
  <c r="AX101" i="1"/>
  <c r="AV101" i="1"/>
  <c r="AU101" i="1"/>
  <c r="AR101" i="1"/>
  <c r="AS101" i="1" s="1"/>
  <c r="AO101" i="1"/>
  <c r="AP101" i="1" s="1"/>
  <c r="AM101" i="1"/>
  <c r="AL101" i="1"/>
  <c r="AI101" i="1"/>
  <c r="AJ101" i="1" s="1"/>
  <c r="AG101" i="1"/>
  <c r="AF101" i="1"/>
  <c r="AD101" i="1"/>
  <c r="AC101" i="1"/>
  <c r="Z101" i="1"/>
  <c r="AA101" i="1" s="1"/>
  <c r="W101" i="1"/>
  <c r="X101" i="1" s="1"/>
  <c r="T101" i="1"/>
  <c r="U101" i="1" s="1"/>
  <c r="R101" i="1"/>
  <c r="Q101" i="1"/>
  <c r="O101" i="1"/>
  <c r="N101" i="1"/>
  <c r="L101" i="1"/>
  <c r="K101" i="1"/>
  <c r="H101" i="1"/>
  <c r="I101" i="1" s="1"/>
  <c r="E101" i="1"/>
  <c r="DT100" i="1"/>
  <c r="DP100" i="1"/>
  <c r="DO100" i="1"/>
  <c r="DL100" i="1"/>
  <c r="DM100" i="1" s="1"/>
  <c r="DI100" i="1"/>
  <c r="DJ100" i="1" s="1"/>
  <c r="DG100" i="1"/>
  <c r="DF100" i="1"/>
  <c r="DD100" i="1"/>
  <c r="DC100" i="1"/>
  <c r="CZ100" i="1"/>
  <c r="DA100" i="1" s="1"/>
  <c r="CX100" i="1"/>
  <c r="CW100" i="1"/>
  <c r="CT100" i="1"/>
  <c r="CU100" i="1" s="1"/>
  <c r="CQ100" i="1"/>
  <c r="CR100" i="1" s="1"/>
  <c r="CO100" i="1"/>
  <c r="CN100" i="1"/>
  <c r="CL100" i="1"/>
  <c r="CK100" i="1"/>
  <c r="CI100" i="1"/>
  <c r="CH100" i="1"/>
  <c r="CF100" i="1"/>
  <c r="CE100" i="1"/>
  <c r="CB100" i="1"/>
  <c r="CC100" i="1" s="1"/>
  <c r="BY100" i="1"/>
  <c r="BZ100" i="1" s="1"/>
  <c r="BV100" i="1"/>
  <c r="BW100" i="1" s="1"/>
  <c r="BS100" i="1"/>
  <c r="BT100" i="1" s="1"/>
  <c r="BQ100" i="1"/>
  <c r="BP100" i="1"/>
  <c r="BN100" i="1"/>
  <c r="BM100" i="1"/>
  <c r="BJ100" i="1"/>
  <c r="BK100" i="1" s="1"/>
  <c r="BG100" i="1"/>
  <c r="BH100" i="1" s="1"/>
  <c r="BE100" i="1"/>
  <c r="BD100" i="1"/>
  <c r="BB100" i="1"/>
  <c r="BA100" i="1"/>
  <c r="AX100" i="1"/>
  <c r="AY100" i="1" s="1"/>
  <c r="AV100" i="1"/>
  <c r="AU100" i="1"/>
  <c r="AR100" i="1"/>
  <c r="AS100" i="1" s="1"/>
  <c r="AO100" i="1"/>
  <c r="AP100" i="1" s="1"/>
  <c r="AL100" i="1"/>
  <c r="AM100" i="1" s="1"/>
  <c r="AI100" i="1"/>
  <c r="AJ100" i="1" s="1"/>
  <c r="AG100" i="1"/>
  <c r="AF100" i="1"/>
  <c r="AD100" i="1"/>
  <c r="AC100" i="1"/>
  <c r="Z100" i="1"/>
  <c r="AA100" i="1" s="1"/>
  <c r="W100" i="1"/>
  <c r="X100" i="1" s="1"/>
  <c r="U100" i="1"/>
  <c r="T100" i="1"/>
  <c r="Q100" i="1"/>
  <c r="R100" i="1" s="1"/>
  <c r="O100" i="1"/>
  <c r="N100" i="1"/>
  <c r="DU100" i="1" s="1"/>
  <c r="L100" i="1"/>
  <c r="K100" i="1"/>
  <c r="H100" i="1"/>
  <c r="I100" i="1" s="1"/>
  <c r="E100" i="1"/>
  <c r="F100" i="1" s="1"/>
  <c r="DT99" i="1"/>
  <c r="DO99" i="1"/>
  <c r="DP99" i="1" s="1"/>
  <c r="DL99" i="1"/>
  <c r="DM99" i="1" s="1"/>
  <c r="DJ99" i="1"/>
  <c r="DI99" i="1"/>
  <c r="DF99" i="1"/>
  <c r="DG99" i="1" s="1"/>
  <c r="DC99" i="1"/>
  <c r="DD99" i="1" s="1"/>
  <c r="DA99" i="1"/>
  <c r="CZ99" i="1"/>
  <c r="CX99" i="1"/>
  <c r="CW99" i="1"/>
  <c r="CT99" i="1"/>
  <c r="CU99" i="1" s="1"/>
  <c r="CR99" i="1"/>
  <c r="CQ99" i="1"/>
  <c r="CN99" i="1"/>
  <c r="CO99" i="1" s="1"/>
  <c r="CK99" i="1"/>
  <c r="CL99" i="1" s="1"/>
  <c r="CH99" i="1"/>
  <c r="CI99" i="1" s="1"/>
  <c r="CF99" i="1"/>
  <c r="CE99" i="1"/>
  <c r="CC99" i="1"/>
  <c r="CB99" i="1"/>
  <c r="BZ99" i="1"/>
  <c r="BY99" i="1"/>
  <c r="BV99" i="1"/>
  <c r="BW99" i="1" s="1"/>
  <c r="BS99" i="1"/>
  <c r="BT99" i="1" s="1"/>
  <c r="BQ99" i="1"/>
  <c r="BP99" i="1"/>
  <c r="BM99" i="1"/>
  <c r="BN99" i="1" s="1"/>
  <c r="BJ99" i="1"/>
  <c r="BK99" i="1" s="1"/>
  <c r="BH99" i="1"/>
  <c r="BG99" i="1"/>
  <c r="BE99" i="1"/>
  <c r="BD99" i="1"/>
  <c r="BA99" i="1"/>
  <c r="BB99" i="1" s="1"/>
  <c r="AX99" i="1"/>
  <c r="AY99" i="1" s="1"/>
  <c r="AU99" i="1"/>
  <c r="AV99" i="1" s="1"/>
  <c r="AR99" i="1"/>
  <c r="AS99" i="1" s="1"/>
  <c r="AP99" i="1"/>
  <c r="AO99" i="1"/>
  <c r="AM99" i="1"/>
  <c r="AL99" i="1"/>
  <c r="AI99" i="1"/>
  <c r="AJ99" i="1" s="1"/>
  <c r="AF99" i="1"/>
  <c r="AG99" i="1" s="1"/>
  <c r="AD99" i="1"/>
  <c r="AC99" i="1"/>
  <c r="Z99" i="1"/>
  <c r="AA99" i="1" s="1"/>
  <c r="X99" i="1"/>
  <c r="W99" i="1"/>
  <c r="U99" i="1"/>
  <c r="T99" i="1"/>
  <c r="Q99" i="1"/>
  <c r="R99" i="1" s="1"/>
  <c r="N99" i="1"/>
  <c r="O99" i="1" s="1"/>
  <c r="L99" i="1"/>
  <c r="K99" i="1"/>
  <c r="H99" i="1"/>
  <c r="I99" i="1" s="1"/>
  <c r="F99" i="1"/>
  <c r="E99" i="1"/>
  <c r="DT98" i="1"/>
  <c r="DP98" i="1"/>
  <c r="DO98" i="1"/>
  <c r="DL98" i="1"/>
  <c r="DM98" i="1" s="1"/>
  <c r="DI98" i="1"/>
  <c r="DJ98" i="1" s="1"/>
  <c r="DG98" i="1"/>
  <c r="DF98" i="1"/>
  <c r="DC98" i="1"/>
  <c r="DD98" i="1" s="1"/>
  <c r="CZ98" i="1"/>
  <c r="DA98" i="1" s="1"/>
  <c r="CW98" i="1"/>
  <c r="CX98" i="1" s="1"/>
  <c r="CU98" i="1"/>
  <c r="CT98" i="1"/>
  <c r="CQ98" i="1"/>
  <c r="CR98" i="1" s="1"/>
  <c r="CO98" i="1"/>
  <c r="CN98" i="1"/>
  <c r="CK98" i="1"/>
  <c r="CL98" i="1" s="1"/>
  <c r="CH98" i="1"/>
  <c r="CI98" i="1" s="1"/>
  <c r="CE98" i="1"/>
  <c r="CF98" i="1" s="1"/>
  <c r="CC98" i="1"/>
  <c r="CB98" i="1"/>
  <c r="BZ98" i="1"/>
  <c r="BY98" i="1"/>
  <c r="BW98" i="1"/>
  <c r="BV98" i="1"/>
  <c r="BS98" i="1"/>
  <c r="BT98" i="1" s="1"/>
  <c r="BP98" i="1"/>
  <c r="BQ98" i="1" s="1"/>
  <c r="BN98" i="1"/>
  <c r="BM98" i="1"/>
  <c r="BJ98" i="1"/>
  <c r="BK98" i="1" s="1"/>
  <c r="BG98" i="1"/>
  <c r="BH98" i="1" s="1"/>
  <c r="BE98" i="1"/>
  <c r="BD98" i="1"/>
  <c r="BA98" i="1"/>
  <c r="BB98" i="1" s="1"/>
  <c r="AX98" i="1"/>
  <c r="AY98" i="1" s="1"/>
  <c r="AU98" i="1"/>
  <c r="AV98" i="1" s="1"/>
  <c r="AS98" i="1"/>
  <c r="AR98" i="1"/>
  <c r="AO98" i="1"/>
  <c r="AP98" i="1" s="1"/>
  <c r="AM98" i="1"/>
  <c r="AL98" i="1"/>
  <c r="AI98" i="1"/>
  <c r="AJ98" i="1" s="1"/>
  <c r="AF98" i="1"/>
  <c r="AG98" i="1" s="1"/>
  <c r="AC98" i="1"/>
  <c r="AD98" i="1" s="1"/>
  <c r="Z98" i="1"/>
  <c r="AA98" i="1" s="1"/>
  <c r="X98" i="1"/>
  <c r="W98" i="1"/>
  <c r="U98" i="1"/>
  <c r="T98" i="1"/>
  <c r="Q98" i="1"/>
  <c r="R98" i="1" s="1"/>
  <c r="N98" i="1"/>
  <c r="O98" i="1" s="1"/>
  <c r="L98" i="1"/>
  <c r="K98" i="1"/>
  <c r="H98" i="1"/>
  <c r="I98" i="1" s="1"/>
  <c r="E98" i="1"/>
  <c r="DT97" i="1"/>
  <c r="DO97" i="1"/>
  <c r="DP97" i="1" s="1"/>
  <c r="DL97" i="1"/>
  <c r="DM97" i="1" s="1"/>
  <c r="DJ97" i="1"/>
  <c r="DI97" i="1"/>
  <c r="DG97" i="1"/>
  <c r="DF97" i="1"/>
  <c r="DC97" i="1"/>
  <c r="DD97" i="1" s="1"/>
  <c r="DA97" i="1"/>
  <c r="CZ97" i="1"/>
  <c r="CW97" i="1"/>
  <c r="CX97" i="1" s="1"/>
  <c r="CT97" i="1"/>
  <c r="CU97" i="1" s="1"/>
  <c r="CQ97" i="1"/>
  <c r="CR97" i="1" s="1"/>
  <c r="CO97" i="1"/>
  <c r="CN97" i="1"/>
  <c r="CL97" i="1"/>
  <c r="CK97" i="1"/>
  <c r="CI97" i="1"/>
  <c r="CH97" i="1"/>
  <c r="CE97" i="1"/>
  <c r="CF97" i="1" s="1"/>
  <c r="CB97" i="1"/>
  <c r="CC97" i="1" s="1"/>
  <c r="BZ97" i="1"/>
  <c r="BY97" i="1"/>
  <c r="BV97" i="1"/>
  <c r="BW97" i="1" s="1"/>
  <c r="BS97" i="1"/>
  <c r="BT97" i="1" s="1"/>
  <c r="BQ97" i="1"/>
  <c r="BP97" i="1"/>
  <c r="BM97" i="1"/>
  <c r="BN97" i="1" s="1"/>
  <c r="BJ97" i="1"/>
  <c r="BK97" i="1" s="1"/>
  <c r="BG97" i="1"/>
  <c r="BH97" i="1" s="1"/>
  <c r="BE97" i="1"/>
  <c r="BD97" i="1"/>
  <c r="BA97" i="1"/>
  <c r="BB97" i="1" s="1"/>
  <c r="AY97" i="1"/>
  <c r="AX97" i="1"/>
  <c r="AV97" i="1"/>
  <c r="AU97" i="1"/>
  <c r="AR97" i="1"/>
  <c r="AS97" i="1" s="1"/>
  <c r="AO97" i="1"/>
  <c r="AP97" i="1" s="1"/>
  <c r="AL97" i="1"/>
  <c r="AM97" i="1" s="1"/>
  <c r="AJ97" i="1"/>
  <c r="AI97" i="1"/>
  <c r="AG97" i="1"/>
  <c r="AF97" i="1"/>
  <c r="AD97" i="1"/>
  <c r="AC97" i="1"/>
  <c r="Z97" i="1"/>
  <c r="AA97" i="1" s="1"/>
  <c r="W97" i="1"/>
  <c r="X97" i="1" s="1"/>
  <c r="T97" i="1"/>
  <c r="U97" i="1" s="1"/>
  <c r="R97" i="1"/>
  <c r="Q97" i="1"/>
  <c r="O97" i="1"/>
  <c r="N97" i="1"/>
  <c r="L97" i="1"/>
  <c r="K97" i="1"/>
  <c r="H97" i="1"/>
  <c r="I97" i="1" s="1"/>
  <c r="F97" i="1"/>
  <c r="E97" i="1"/>
  <c r="DT96" i="1"/>
  <c r="DP96" i="1"/>
  <c r="DO96" i="1"/>
  <c r="DM96" i="1"/>
  <c r="DL96" i="1"/>
  <c r="DI96" i="1"/>
  <c r="DJ96" i="1" s="1"/>
  <c r="DG96" i="1"/>
  <c r="DF96" i="1"/>
  <c r="DD96" i="1"/>
  <c r="DC96" i="1"/>
  <c r="CZ96" i="1"/>
  <c r="DA96" i="1" s="1"/>
  <c r="CX96" i="1"/>
  <c r="CW96" i="1"/>
  <c r="CU96" i="1"/>
  <c r="CT96" i="1"/>
  <c r="CQ96" i="1"/>
  <c r="CR96" i="1" s="1"/>
  <c r="CN96" i="1"/>
  <c r="CO96" i="1" s="1"/>
  <c r="CL96" i="1"/>
  <c r="CK96" i="1"/>
  <c r="CH96" i="1"/>
  <c r="CI96" i="1" s="1"/>
  <c r="CF96" i="1"/>
  <c r="CE96" i="1"/>
  <c r="CC96" i="1"/>
  <c r="CB96" i="1"/>
  <c r="BY96" i="1"/>
  <c r="BZ96" i="1" s="1"/>
  <c r="BV96" i="1"/>
  <c r="BW96" i="1" s="1"/>
  <c r="BT96" i="1"/>
  <c r="BS96" i="1"/>
  <c r="BQ96" i="1"/>
  <c r="BP96" i="1"/>
  <c r="BN96" i="1"/>
  <c r="BM96" i="1"/>
  <c r="BJ96" i="1"/>
  <c r="BK96" i="1" s="1"/>
  <c r="BG96" i="1"/>
  <c r="BH96" i="1" s="1"/>
  <c r="BD96" i="1"/>
  <c r="BE96" i="1" s="1"/>
  <c r="BA96" i="1"/>
  <c r="BB96" i="1" s="1"/>
  <c r="AY96" i="1"/>
  <c r="AX96" i="1"/>
  <c r="AV96" i="1"/>
  <c r="AU96" i="1"/>
  <c r="AR96" i="1"/>
  <c r="AS96" i="1" s="1"/>
  <c r="AO96" i="1"/>
  <c r="AP96" i="1" s="1"/>
  <c r="AL96" i="1"/>
  <c r="AM96" i="1" s="1"/>
  <c r="AI96" i="1"/>
  <c r="AJ96" i="1" s="1"/>
  <c r="AF96" i="1"/>
  <c r="AG96" i="1" s="1"/>
  <c r="AD96" i="1"/>
  <c r="AC96" i="1"/>
  <c r="Z96" i="1"/>
  <c r="AA96" i="1" s="1"/>
  <c r="W96" i="1"/>
  <c r="X96" i="1" s="1"/>
  <c r="T96" i="1"/>
  <c r="U96" i="1" s="1"/>
  <c r="Q96" i="1"/>
  <c r="R96" i="1" s="1"/>
  <c r="N96" i="1"/>
  <c r="L96" i="1"/>
  <c r="K96" i="1"/>
  <c r="H96" i="1"/>
  <c r="I96" i="1" s="1"/>
  <c r="E96" i="1"/>
  <c r="F96" i="1" s="1"/>
  <c r="DT95" i="1"/>
  <c r="DO95" i="1"/>
  <c r="DP95" i="1" s="1"/>
  <c r="DM95" i="1"/>
  <c r="DL95" i="1"/>
  <c r="DJ95" i="1"/>
  <c r="DI95" i="1"/>
  <c r="DG95" i="1"/>
  <c r="DF95" i="1"/>
  <c r="DC95" i="1"/>
  <c r="DD95" i="1" s="1"/>
  <c r="DA95" i="1"/>
  <c r="CZ95" i="1"/>
  <c r="CW95" i="1"/>
  <c r="CX95" i="1" s="1"/>
  <c r="CT95" i="1"/>
  <c r="CU95" i="1" s="1"/>
  <c r="CR95" i="1"/>
  <c r="CQ95" i="1"/>
  <c r="CO95" i="1"/>
  <c r="CN95" i="1"/>
  <c r="CK95" i="1"/>
  <c r="CL95" i="1" s="1"/>
  <c r="CI95" i="1"/>
  <c r="CH95" i="1"/>
  <c r="CE95" i="1"/>
  <c r="CF95" i="1" s="1"/>
  <c r="CB95" i="1"/>
  <c r="CC95" i="1" s="1"/>
  <c r="BZ95" i="1"/>
  <c r="BY95" i="1"/>
  <c r="BV95" i="1"/>
  <c r="BW95" i="1" s="1"/>
  <c r="BS95" i="1"/>
  <c r="BT95" i="1" s="1"/>
  <c r="BP95" i="1"/>
  <c r="BQ95" i="1" s="1"/>
  <c r="BN95" i="1"/>
  <c r="BM95" i="1"/>
  <c r="BJ95" i="1"/>
  <c r="BK95" i="1" s="1"/>
  <c r="BH95" i="1"/>
  <c r="BG95" i="1"/>
  <c r="BD95" i="1"/>
  <c r="BE95" i="1" s="1"/>
  <c r="BA95" i="1"/>
  <c r="BB95" i="1" s="1"/>
  <c r="AX95" i="1"/>
  <c r="AY95" i="1" s="1"/>
  <c r="AV95" i="1"/>
  <c r="AU95" i="1"/>
  <c r="AS95" i="1"/>
  <c r="AR95" i="1"/>
  <c r="AP95" i="1"/>
  <c r="AO95" i="1"/>
  <c r="AL95" i="1"/>
  <c r="AM95" i="1" s="1"/>
  <c r="AI95" i="1"/>
  <c r="AJ95" i="1" s="1"/>
  <c r="AF95" i="1"/>
  <c r="AG95" i="1" s="1"/>
  <c r="AC95" i="1"/>
  <c r="AD95" i="1" s="1"/>
  <c r="AA95" i="1"/>
  <c r="Z95" i="1"/>
  <c r="X95" i="1"/>
  <c r="W95" i="1"/>
  <c r="T95" i="1"/>
  <c r="U95" i="1" s="1"/>
  <c r="Q95" i="1"/>
  <c r="R95" i="1" s="1"/>
  <c r="N95" i="1"/>
  <c r="O95" i="1" s="1"/>
  <c r="K95" i="1"/>
  <c r="L95" i="1" s="1"/>
  <c r="H95" i="1"/>
  <c r="F95" i="1"/>
  <c r="E95" i="1"/>
  <c r="DT94" i="1"/>
  <c r="DP94" i="1"/>
  <c r="DO94" i="1"/>
  <c r="DL94" i="1"/>
  <c r="DM94" i="1" s="1"/>
  <c r="DI94" i="1"/>
  <c r="DJ94" i="1" s="1"/>
  <c r="DG94" i="1"/>
  <c r="DF94" i="1"/>
  <c r="DC94" i="1"/>
  <c r="DD94" i="1" s="1"/>
  <c r="CZ94" i="1"/>
  <c r="DA94" i="1" s="1"/>
  <c r="CX94" i="1"/>
  <c r="CW94" i="1"/>
  <c r="CU94" i="1"/>
  <c r="CT94" i="1"/>
  <c r="CQ94" i="1"/>
  <c r="CR94" i="1" s="1"/>
  <c r="CO94" i="1"/>
  <c r="CN94" i="1"/>
  <c r="CK94" i="1"/>
  <c r="CL94" i="1" s="1"/>
  <c r="CH94" i="1"/>
  <c r="CI94" i="1" s="1"/>
  <c r="CE94" i="1"/>
  <c r="CF94" i="1" s="1"/>
  <c r="CB94" i="1"/>
  <c r="CC94" i="1" s="1"/>
  <c r="BZ94" i="1"/>
  <c r="BY94" i="1"/>
  <c r="BW94" i="1"/>
  <c r="BV94" i="1"/>
  <c r="BS94" i="1"/>
  <c r="BT94" i="1" s="1"/>
  <c r="BP94" i="1"/>
  <c r="BQ94" i="1" s="1"/>
  <c r="BN94" i="1"/>
  <c r="BM94" i="1"/>
  <c r="BJ94" i="1"/>
  <c r="BK94" i="1" s="1"/>
  <c r="BG94" i="1"/>
  <c r="BH94" i="1" s="1"/>
  <c r="BE94" i="1"/>
  <c r="BD94" i="1"/>
  <c r="BA94" i="1"/>
  <c r="BB94" i="1" s="1"/>
  <c r="AX94" i="1"/>
  <c r="AY94" i="1" s="1"/>
  <c r="AV94" i="1"/>
  <c r="AU94" i="1"/>
  <c r="AS94" i="1"/>
  <c r="AR94" i="1"/>
  <c r="AO94" i="1"/>
  <c r="AP94" i="1" s="1"/>
  <c r="AM94" i="1"/>
  <c r="AL94" i="1"/>
  <c r="AI94" i="1"/>
  <c r="AJ94" i="1" s="1"/>
  <c r="AF94" i="1"/>
  <c r="AG94" i="1" s="1"/>
  <c r="AC94" i="1"/>
  <c r="AD94" i="1" s="1"/>
  <c r="Z94" i="1"/>
  <c r="AA94" i="1" s="1"/>
  <c r="W94" i="1"/>
  <c r="X94" i="1" s="1"/>
  <c r="U94" i="1"/>
  <c r="T94" i="1"/>
  <c r="Q94" i="1"/>
  <c r="R94" i="1" s="1"/>
  <c r="N94" i="1"/>
  <c r="O94" i="1" s="1"/>
  <c r="L94" i="1"/>
  <c r="K94" i="1"/>
  <c r="H94" i="1"/>
  <c r="I94" i="1" s="1"/>
  <c r="E94" i="1"/>
  <c r="DT93" i="1"/>
  <c r="DO93" i="1"/>
  <c r="DP93" i="1" s="1"/>
  <c r="DL93" i="1"/>
  <c r="DM93" i="1" s="1"/>
  <c r="DJ93" i="1"/>
  <c r="DI93" i="1"/>
  <c r="DF93" i="1"/>
  <c r="DG93" i="1" s="1"/>
  <c r="DC93" i="1"/>
  <c r="DD93" i="1" s="1"/>
  <c r="CZ93" i="1"/>
  <c r="DA93" i="1" s="1"/>
  <c r="CW93" i="1"/>
  <c r="CX93" i="1" s="1"/>
  <c r="CT93" i="1"/>
  <c r="CU93" i="1" s="1"/>
  <c r="CQ93" i="1"/>
  <c r="CR93" i="1" s="1"/>
  <c r="CO93" i="1"/>
  <c r="CN93" i="1"/>
  <c r="CK93" i="1"/>
  <c r="CL93" i="1" s="1"/>
  <c r="CH93" i="1"/>
  <c r="CI93" i="1" s="1"/>
  <c r="CE93" i="1"/>
  <c r="CF93" i="1" s="1"/>
  <c r="CB93" i="1"/>
  <c r="CC93" i="1" s="1"/>
  <c r="BY93" i="1"/>
  <c r="BZ93" i="1" s="1"/>
  <c r="BW93" i="1"/>
  <c r="BV93" i="1"/>
  <c r="BT93" i="1"/>
  <c r="BS93" i="1"/>
  <c r="BP93" i="1"/>
  <c r="BQ93" i="1" s="1"/>
  <c r="BN93" i="1"/>
  <c r="BM93" i="1"/>
  <c r="BK93" i="1"/>
  <c r="BJ93" i="1"/>
  <c r="BG93" i="1"/>
  <c r="BH93" i="1" s="1"/>
  <c r="BD93" i="1"/>
  <c r="BE93" i="1" s="1"/>
  <c r="BA93" i="1"/>
  <c r="BB93" i="1" s="1"/>
  <c r="AX93" i="1"/>
  <c r="AY93" i="1" s="1"/>
  <c r="AV93" i="1"/>
  <c r="AU93" i="1"/>
  <c r="AR93" i="1"/>
  <c r="AS93" i="1" s="1"/>
  <c r="AP93" i="1"/>
  <c r="AO93" i="1"/>
  <c r="AL93" i="1"/>
  <c r="AM93" i="1" s="1"/>
  <c r="AI93" i="1"/>
  <c r="AJ93" i="1" s="1"/>
  <c r="AF93" i="1"/>
  <c r="AG93" i="1" s="1"/>
  <c r="AD93" i="1"/>
  <c r="AC93" i="1"/>
  <c r="Z93" i="1"/>
  <c r="AA93" i="1" s="1"/>
  <c r="W93" i="1"/>
  <c r="X93" i="1" s="1"/>
  <c r="U93" i="1"/>
  <c r="T93" i="1"/>
  <c r="Q93" i="1"/>
  <c r="R93" i="1" s="1"/>
  <c r="N93" i="1"/>
  <c r="O93" i="1" s="1"/>
  <c r="L93" i="1"/>
  <c r="K93" i="1"/>
  <c r="H93" i="1"/>
  <c r="I93" i="1" s="1"/>
  <c r="E93" i="1"/>
  <c r="DT92" i="1"/>
  <c r="DP92" i="1"/>
  <c r="DO92" i="1"/>
  <c r="DL92" i="1"/>
  <c r="DM92" i="1" s="1"/>
  <c r="DI92" i="1"/>
  <c r="DJ92" i="1" s="1"/>
  <c r="DG92" i="1"/>
  <c r="DF92" i="1"/>
  <c r="DC92" i="1"/>
  <c r="DD92" i="1" s="1"/>
  <c r="DA92" i="1"/>
  <c r="CZ92" i="1"/>
  <c r="CW92" i="1"/>
  <c r="CX92" i="1" s="1"/>
  <c r="CT92" i="1"/>
  <c r="CU92" i="1" s="1"/>
  <c r="CQ92" i="1"/>
  <c r="CR92" i="1" s="1"/>
  <c r="CN92" i="1"/>
  <c r="CO92" i="1" s="1"/>
  <c r="CL92" i="1"/>
  <c r="CK92" i="1"/>
  <c r="CH92" i="1"/>
  <c r="CI92" i="1" s="1"/>
  <c r="CE92" i="1"/>
  <c r="CF92" i="1" s="1"/>
  <c r="CB92" i="1"/>
  <c r="CC92" i="1" s="1"/>
  <c r="BY92" i="1"/>
  <c r="BZ92" i="1" s="1"/>
  <c r="BW92" i="1"/>
  <c r="BV92" i="1"/>
  <c r="BT92" i="1"/>
  <c r="BS92" i="1"/>
  <c r="BP92" i="1"/>
  <c r="BQ92" i="1" s="1"/>
  <c r="BN92" i="1"/>
  <c r="BM92" i="1"/>
  <c r="BK92" i="1"/>
  <c r="BJ92" i="1"/>
  <c r="BG92" i="1"/>
  <c r="BH92" i="1" s="1"/>
  <c r="BD92" i="1"/>
  <c r="BE92" i="1" s="1"/>
  <c r="BB92" i="1"/>
  <c r="BA92" i="1"/>
  <c r="AX92" i="1"/>
  <c r="AY92" i="1" s="1"/>
  <c r="AU92" i="1"/>
  <c r="AV92" i="1" s="1"/>
  <c r="AR92" i="1"/>
  <c r="AS92" i="1" s="1"/>
  <c r="AO92" i="1"/>
  <c r="AP92" i="1" s="1"/>
  <c r="AL92" i="1"/>
  <c r="AM92" i="1" s="1"/>
  <c r="AJ92" i="1"/>
  <c r="AI92" i="1"/>
  <c r="AF92" i="1"/>
  <c r="AG92" i="1" s="1"/>
  <c r="AC92" i="1"/>
  <c r="AD92" i="1" s="1"/>
  <c r="AA92" i="1"/>
  <c r="Z92" i="1"/>
  <c r="X92" i="1"/>
  <c r="W92" i="1"/>
  <c r="T92" i="1"/>
  <c r="U92" i="1" s="1"/>
  <c r="R92" i="1"/>
  <c r="Q92" i="1"/>
  <c r="N92" i="1"/>
  <c r="O92" i="1" s="1"/>
  <c r="K92" i="1"/>
  <c r="L92" i="1" s="1"/>
  <c r="H92" i="1"/>
  <c r="I92" i="1" s="1"/>
  <c r="E92" i="1"/>
  <c r="DU92" i="1" s="1"/>
  <c r="DT91" i="1"/>
  <c r="DO91" i="1"/>
  <c r="DP91" i="1" s="1"/>
  <c r="DL91" i="1"/>
  <c r="DM91" i="1" s="1"/>
  <c r="DI91" i="1"/>
  <c r="DJ91" i="1" s="1"/>
  <c r="DF91" i="1"/>
  <c r="DG91" i="1" s="1"/>
  <c r="DD91" i="1"/>
  <c r="DC91" i="1"/>
  <c r="DA91" i="1"/>
  <c r="CZ91" i="1"/>
  <c r="CW91" i="1"/>
  <c r="CX91" i="1" s="1"/>
  <c r="CT91" i="1"/>
  <c r="CU91" i="1" s="1"/>
  <c r="CQ91" i="1"/>
  <c r="CQ111" i="1" s="1"/>
  <c r="CN91" i="1"/>
  <c r="CO91" i="1" s="1"/>
  <c r="CK91" i="1"/>
  <c r="CL91" i="1" s="1"/>
  <c r="CI91" i="1"/>
  <c r="CH91" i="1"/>
  <c r="CE91" i="1"/>
  <c r="CF91" i="1" s="1"/>
  <c r="CB91" i="1"/>
  <c r="CC91" i="1" s="1"/>
  <c r="BY91" i="1"/>
  <c r="BZ91" i="1" s="1"/>
  <c r="BV91" i="1"/>
  <c r="BW91" i="1" s="1"/>
  <c r="BS91" i="1"/>
  <c r="BT91" i="1" s="1"/>
  <c r="BQ91" i="1"/>
  <c r="BP91" i="1"/>
  <c r="BM91" i="1"/>
  <c r="BN91" i="1" s="1"/>
  <c r="BJ91" i="1"/>
  <c r="BK91" i="1" s="1"/>
  <c r="BH91" i="1"/>
  <c r="BG91" i="1"/>
  <c r="BD91" i="1"/>
  <c r="BE91" i="1" s="1"/>
  <c r="BA91" i="1"/>
  <c r="BB91" i="1" s="1"/>
  <c r="AY91" i="1"/>
  <c r="AX91" i="1"/>
  <c r="AU91" i="1"/>
  <c r="AV91" i="1" s="1"/>
  <c r="AR91" i="1"/>
  <c r="AS91" i="1" s="1"/>
  <c r="AP91" i="1"/>
  <c r="AO91" i="1"/>
  <c r="AM91" i="1"/>
  <c r="AL91" i="1"/>
  <c r="AI91" i="1"/>
  <c r="AJ91" i="1" s="1"/>
  <c r="AG91" i="1"/>
  <c r="AF91" i="1"/>
  <c r="AC91" i="1"/>
  <c r="AD91" i="1" s="1"/>
  <c r="Z91" i="1"/>
  <c r="AA91" i="1" s="1"/>
  <c r="W91" i="1"/>
  <c r="X91" i="1" s="1"/>
  <c r="U91" i="1"/>
  <c r="T91" i="1"/>
  <c r="R91" i="1"/>
  <c r="Q91" i="1"/>
  <c r="O91" i="1"/>
  <c r="N91" i="1"/>
  <c r="K91" i="1"/>
  <c r="L91" i="1" s="1"/>
  <c r="H91" i="1"/>
  <c r="I91" i="1" s="1"/>
  <c r="E91" i="1"/>
  <c r="DU91" i="1" s="1"/>
  <c r="DT90" i="1"/>
  <c r="DT111" i="1" s="1"/>
  <c r="DO90" i="1"/>
  <c r="DO111" i="1" s="1"/>
  <c r="DM90" i="1"/>
  <c r="DL90" i="1"/>
  <c r="DI90" i="1"/>
  <c r="DJ90" i="1" s="1"/>
  <c r="DF90" i="1"/>
  <c r="DF111" i="1" s="1"/>
  <c r="DC90" i="1"/>
  <c r="CZ90" i="1"/>
  <c r="CZ111" i="1" s="1"/>
  <c r="CX90" i="1"/>
  <c r="CW90" i="1"/>
  <c r="CW111" i="1" s="1"/>
  <c r="CU90" i="1"/>
  <c r="CT90" i="1"/>
  <c r="CQ90" i="1"/>
  <c r="CR90" i="1" s="1"/>
  <c r="CO90" i="1"/>
  <c r="CN90" i="1"/>
  <c r="CL90" i="1"/>
  <c r="CK90" i="1"/>
  <c r="CH90" i="1"/>
  <c r="CI90" i="1" s="1"/>
  <c r="CI111" i="1" s="1"/>
  <c r="CE90" i="1"/>
  <c r="CF90" i="1" s="1"/>
  <c r="CC90" i="1"/>
  <c r="CB90" i="1"/>
  <c r="BY90" i="1"/>
  <c r="BV90" i="1"/>
  <c r="BS90" i="1"/>
  <c r="BS111" i="1" s="1"/>
  <c r="BP90" i="1"/>
  <c r="BM90" i="1"/>
  <c r="BM111" i="1" s="1"/>
  <c r="BK90" i="1"/>
  <c r="BJ90" i="1"/>
  <c r="BH90" i="1"/>
  <c r="BG90" i="1"/>
  <c r="BD90" i="1"/>
  <c r="BA90" i="1"/>
  <c r="AX90" i="1"/>
  <c r="AU90" i="1"/>
  <c r="AS90" i="1"/>
  <c r="AR90" i="1"/>
  <c r="AP90" i="1"/>
  <c r="AO90" i="1"/>
  <c r="AL90" i="1"/>
  <c r="AI90" i="1"/>
  <c r="AJ90" i="1" s="1"/>
  <c r="AF90" i="1"/>
  <c r="AF111" i="1" s="1"/>
  <c r="AC90" i="1"/>
  <c r="AC111" i="1" s="1"/>
  <c r="AA90" i="1"/>
  <c r="Z90" i="1"/>
  <c r="X90" i="1"/>
  <c r="W90" i="1"/>
  <c r="T90" i="1"/>
  <c r="U90" i="1" s="1"/>
  <c r="Q90" i="1"/>
  <c r="Q111" i="1" s="1"/>
  <c r="N90" i="1"/>
  <c r="K90" i="1"/>
  <c r="K111" i="1" s="1"/>
  <c r="I90" i="1"/>
  <c r="H90" i="1"/>
  <c r="F90" i="1"/>
  <c r="E90" i="1"/>
  <c r="DS89" i="1"/>
  <c r="DS140" i="1" s="1"/>
  <c r="DR89" i="1"/>
  <c r="DR140" i="1" s="1"/>
  <c r="DQ89" i="1"/>
  <c r="DN89" i="1"/>
  <c r="DN140" i="1" s="1"/>
  <c r="DK89" i="1"/>
  <c r="DK140" i="1" s="1"/>
  <c r="DH89" i="1"/>
  <c r="DH140" i="1" s="1"/>
  <c r="DE89" i="1"/>
  <c r="DE140" i="1" s="1"/>
  <c r="DB89" i="1"/>
  <c r="DB140" i="1" s="1"/>
  <c r="CY89" i="1"/>
  <c r="CY140" i="1" s="1"/>
  <c r="CV89" i="1"/>
  <c r="CV140" i="1" s="1"/>
  <c r="CS89" i="1"/>
  <c r="CS140" i="1" s="1"/>
  <c r="CP89" i="1"/>
  <c r="CP140" i="1" s="1"/>
  <c r="CM89" i="1"/>
  <c r="CM140" i="1" s="1"/>
  <c r="CJ89" i="1"/>
  <c r="CJ140" i="1" s="1"/>
  <c r="CH89" i="1"/>
  <c r="CG89" i="1"/>
  <c r="CD89" i="1"/>
  <c r="CA89" i="1"/>
  <c r="CA140" i="1" s="1"/>
  <c r="BX89" i="1"/>
  <c r="BX140" i="1" s="1"/>
  <c r="BU89" i="1"/>
  <c r="BU140" i="1" s="1"/>
  <c r="BR89" i="1"/>
  <c r="BO89" i="1"/>
  <c r="BO140" i="1" s="1"/>
  <c r="BL89" i="1"/>
  <c r="BL140" i="1" s="1"/>
  <c r="BI89" i="1"/>
  <c r="BI140" i="1" s="1"/>
  <c r="BH89" i="1"/>
  <c r="BG89" i="1"/>
  <c r="BF89" i="1"/>
  <c r="BF140" i="1" s="1"/>
  <c r="BC89" i="1"/>
  <c r="BC140" i="1" s="1"/>
  <c r="AZ89" i="1"/>
  <c r="AZ140" i="1" s="1"/>
  <c r="AW89" i="1"/>
  <c r="AT89" i="1"/>
  <c r="AQ89" i="1"/>
  <c r="AQ140" i="1" s="1"/>
  <c r="AN89" i="1"/>
  <c r="AN140" i="1" s="1"/>
  <c r="AK89" i="1"/>
  <c r="AK140" i="1" s="1"/>
  <c r="AH89" i="1"/>
  <c r="AH140" i="1" s="1"/>
  <c r="AE89" i="1"/>
  <c r="AB89" i="1"/>
  <c r="AB140" i="1" s="1"/>
  <c r="Y89" i="1"/>
  <c r="Y140" i="1" s="1"/>
  <c r="V89" i="1"/>
  <c r="V140" i="1" s="1"/>
  <c r="S89" i="1"/>
  <c r="P89" i="1"/>
  <c r="P140" i="1" s="1"/>
  <c r="N89" i="1"/>
  <c r="M89" i="1"/>
  <c r="M140" i="1" s="1"/>
  <c r="J89" i="1"/>
  <c r="G89" i="1"/>
  <c r="G140" i="1" s="1"/>
  <c r="D89" i="1"/>
  <c r="D140" i="1" s="1"/>
  <c r="DT88" i="1"/>
  <c r="DP88" i="1"/>
  <c r="DO88" i="1"/>
  <c r="DM88" i="1"/>
  <c r="DL88" i="1"/>
  <c r="DI88" i="1"/>
  <c r="DJ88" i="1" s="1"/>
  <c r="DG88" i="1"/>
  <c r="DF88" i="1"/>
  <c r="DC88" i="1"/>
  <c r="DD88" i="1" s="1"/>
  <c r="CZ88" i="1"/>
  <c r="DA88" i="1" s="1"/>
  <c r="CW88" i="1"/>
  <c r="CX88" i="1" s="1"/>
  <c r="CU88" i="1"/>
  <c r="CT88" i="1"/>
  <c r="CQ88" i="1"/>
  <c r="CR88" i="1" s="1"/>
  <c r="CN88" i="1"/>
  <c r="CO88" i="1" s="1"/>
  <c r="CL88" i="1"/>
  <c r="CK88" i="1"/>
  <c r="CH88" i="1"/>
  <c r="CI88" i="1" s="1"/>
  <c r="CF88" i="1"/>
  <c r="CE88" i="1"/>
  <c r="CC88" i="1"/>
  <c r="CB88" i="1"/>
  <c r="BY88" i="1"/>
  <c r="BZ88" i="1" s="1"/>
  <c r="BW88" i="1"/>
  <c r="BV88" i="1"/>
  <c r="BT88" i="1"/>
  <c r="BS88" i="1"/>
  <c r="BP88" i="1"/>
  <c r="BQ88" i="1" s="1"/>
  <c r="BM88" i="1"/>
  <c r="DU88" i="1" s="1"/>
  <c r="BK88" i="1"/>
  <c r="BJ88" i="1"/>
  <c r="BG88" i="1"/>
  <c r="BH88" i="1" s="1"/>
  <c r="BD88" i="1"/>
  <c r="BE88" i="1" s="1"/>
  <c r="BA88" i="1"/>
  <c r="BB88" i="1" s="1"/>
  <c r="AY88" i="1"/>
  <c r="AX88" i="1"/>
  <c r="AU88" i="1"/>
  <c r="AV88" i="1" s="1"/>
  <c r="AS88" i="1"/>
  <c r="AR88" i="1"/>
  <c r="AO88" i="1"/>
  <c r="AP88" i="1" s="1"/>
  <c r="AL88" i="1"/>
  <c r="AM88" i="1" s="1"/>
  <c r="AJ88" i="1"/>
  <c r="AI88" i="1"/>
  <c r="AG88" i="1"/>
  <c r="AF88" i="1"/>
  <c r="AC88" i="1"/>
  <c r="AD88" i="1" s="1"/>
  <c r="AA88" i="1"/>
  <c r="Z88" i="1"/>
  <c r="W88" i="1"/>
  <c r="X88" i="1" s="1"/>
  <c r="U88" i="1"/>
  <c r="T88" i="1"/>
  <c r="Q88" i="1"/>
  <c r="R88" i="1" s="1"/>
  <c r="N88" i="1"/>
  <c r="O88" i="1" s="1"/>
  <c r="L88" i="1"/>
  <c r="K88" i="1"/>
  <c r="I88" i="1"/>
  <c r="H88" i="1"/>
  <c r="E88" i="1"/>
  <c r="F88" i="1" s="1"/>
  <c r="DU87" i="1"/>
  <c r="DT87" i="1"/>
  <c r="DO87" i="1"/>
  <c r="DP87" i="1" s="1"/>
  <c r="DL87" i="1"/>
  <c r="DM87" i="1" s="1"/>
  <c r="DJ87" i="1"/>
  <c r="DI87" i="1"/>
  <c r="DF87" i="1"/>
  <c r="DG87" i="1" s="1"/>
  <c r="DC87" i="1"/>
  <c r="DD87" i="1" s="1"/>
  <c r="DA87" i="1"/>
  <c r="CZ87" i="1"/>
  <c r="CX87" i="1"/>
  <c r="CW87" i="1"/>
  <c r="CT87" i="1"/>
  <c r="CU87" i="1" s="1"/>
  <c r="CR87" i="1"/>
  <c r="CQ87" i="1"/>
  <c r="CN87" i="1"/>
  <c r="CO87" i="1" s="1"/>
  <c r="CK87" i="1"/>
  <c r="CL87" i="1" s="1"/>
  <c r="CH87" i="1"/>
  <c r="CI87" i="1" s="1"/>
  <c r="CF87" i="1"/>
  <c r="CE87" i="1"/>
  <c r="CC87" i="1"/>
  <c r="CB87" i="1"/>
  <c r="BZ87" i="1"/>
  <c r="BY87" i="1"/>
  <c r="BV87" i="1"/>
  <c r="BW87" i="1" s="1"/>
  <c r="BS87" i="1"/>
  <c r="BT87" i="1" s="1"/>
  <c r="BP87" i="1"/>
  <c r="BQ87" i="1" s="1"/>
  <c r="BM87" i="1"/>
  <c r="BN87" i="1" s="1"/>
  <c r="BK87" i="1"/>
  <c r="BJ87" i="1"/>
  <c r="BH87" i="1"/>
  <c r="BG87" i="1"/>
  <c r="BD87" i="1"/>
  <c r="BE87" i="1" s="1"/>
  <c r="BA87" i="1"/>
  <c r="BB87" i="1" s="1"/>
  <c r="AX87" i="1"/>
  <c r="AY87" i="1" s="1"/>
  <c r="AU87" i="1"/>
  <c r="AV87" i="1" s="1"/>
  <c r="AR87" i="1"/>
  <c r="AS87" i="1" s="1"/>
  <c r="AP87" i="1"/>
  <c r="AO87" i="1"/>
  <c r="AL87" i="1"/>
  <c r="AM87" i="1" s="1"/>
  <c r="AI87" i="1"/>
  <c r="AJ87" i="1" s="1"/>
  <c r="AF87" i="1"/>
  <c r="AG87" i="1" s="1"/>
  <c r="AC87" i="1"/>
  <c r="AD87" i="1" s="1"/>
  <c r="Z87" i="1"/>
  <c r="AA87" i="1" s="1"/>
  <c r="X87" i="1"/>
  <c r="W87" i="1"/>
  <c r="T87" i="1"/>
  <c r="U87" i="1" s="1"/>
  <c r="Q87" i="1"/>
  <c r="R87" i="1" s="1"/>
  <c r="O87" i="1"/>
  <c r="N87" i="1"/>
  <c r="K87" i="1"/>
  <c r="L87" i="1" s="1"/>
  <c r="H87" i="1"/>
  <c r="I87" i="1" s="1"/>
  <c r="F87" i="1"/>
  <c r="E87" i="1"/>
  <c r="DT86" i="1"/>
  <c r="DO86" i="1"/>
  <c r="DP86" i="1" s="1"/>
  <c r="DL86" i="1"/>
  <c r="DM86" i="1" s="1"/>
  <c r="DI86" i="1"/>
  <c r="DJ86" i="1" s="1"/>
  <c r="DG86" i="1"/>
  <c r="DF86" i="1"/>
  <c r="DC86" i="1"/>
  <c r="DD86" i="1" s="1"/>
  <c r="CZ86" i="1"/>
  <c r="DA86" i="1" s="1"/>
  <c r="CW86" i="1"/>
  <c r="CX86" i="1" s="1"/>
  <c r="CT86" i="1"/>
  <c r="CU86" i="1" s="1"/>
  <c r="CQ86" i="1"/>
  <c r="CR86" i="1" s="1"/>
  <c r="CN86" i="1"/>
  <c r="CO86" i="1" s="1"/>
  <c r="CK86" i="1"/>
  <c r="CL86" i="1" s="1"/>
  <c r="CH86" i="1"/>
  <c r="CI86" i="1" s="1"/>
  <c r="CF86" i="1"/>
  <c r="CE86" i="1"/>
  <c r="CB86" i="1"/>
  <c r="CC86" i="1" s="1"/>
  <c r="BY86" i="1"/>
  <c r="BZ86" i="1" s="1"/>
  <c r="BV86" i="1"/>
  <c r="BW86" i="1" s="1"/>
  <c r="BS86" i="1"/>
  <c r="BT86" i="1" s="1"/>
  <c r="BP86" i="1"/>
  <c r="BQ86" i="1" s="1"/>
  <c r="BM86" i="1"/>
  <c r="BN86" i="1" s="1"/>
  <c r="BK86" i="1"/>
  <c r="BJ86" i="1"/>
  <c r="BG86" i="1"/>
  <c r="BH86" i="1" s="1"/>
  <c r="BD86" i="1"/>
  <c r="BE86" i="1" s="1"/>
  <c r="BA86" i="1"/>
  <c r="BB86" i="1" s="1"/>
  <c r="AX86" i="1"/>
  <c r="AY86" i="1" s="1"/>
  <c r="AU86" i="1"/>
  <c r="AV86" i="1" s="1"/>
  <c r="AR86" i="1"/>
  <c r="AS86" i="1" s="1"/>
  <c r="AP86" i="1"/>
  <c r="AO86" i="1"/>
  <c r="AL86" i="1"/>
  <c r="AM86" i="1" s="1"/>
  <c r="AI86" i="1"/>
  <c r="AJ86" i="1" s="1"/>
  <c r="AF86" i="1"/>
  <c r="AG86" i="1" s="1"/>
  <c r="AC86" i="1"/>
  <c r="AD86" i="1" s="1"/>
  <c r="Z86" i="1"/>
  <c r="AA86" i="1" s="1"/>
  <c r="W86" i="1"/>
  <c r="X86" i="1" s="1"/>
  <c r="U86" i="1"/>
  <c r="T86" i="1"/>
  <c r="Q86" i="1"/>
  <c r="R86" i="1" s="1"/>
  <c r="N86" i="1"/>
  <c r="O86" i="1" s="1"/>
  <c r="K86" i="1"/>
  <c r="L86" i="1" s="1"/>
  <c r="H86" i="1"/>
  <c r="I86" i="1" s="1"/>
  <c r="E86" i="1"/>
  <c r="DT85" i="1"/>
  <c r="DO85" i="1"/>
  <c r="DP85" i="1" s="1"/>
  <c r="DL85" i="1"/>
  <c r="DM85" i="1" s="1"/>
  <c r="DI85" i="1"/>
  <c r="DJ85" i="1" s="1"/>
  <c r="DG85" i="1"/>
  <c r="DF85" i="1"/>
  <c r="DD85" i="1"/>
  <c r="DC85" i="1"/>
  <c r="DA85" i="1"/>
  <c r="CZ85" i="1"/>
  <c r="CW85" i="1"/>
  <c r="CX85" i="1" s="1"/>
  <c r="CT85" i="1"/>
  <c r="CU85" i="1" s="1"/>
  <c r="CQ85" i="1"/>
  <c r="CR85" i="1" s="1"/>
  <c r="CN85" i="1"/>
  <c r="CO85" i="1" s="1"/>
  <c r="CL85" i="1"/>
  <c r="CK85" i="1"/>
  <c r="CI85" i="1"/>
  <c r="CH85" i="1"/>
  <c r="CE85" i="1"/>
  <c r="CF85" i="1" s="1"/>
  <c r="CB85" i="1"/>
  <c r="CC85" i="1" s="1"/>
  <c r="BY85" i="1"/>
  <c r="BZ85" i="1" s="1"/>
  <c r="BV85" i="1"/>
  <c r="BW85" i="1" s="1"/>
  <c r="BS85" i="1"/>
  <c r="BT85" i="1" s="1"/>
  <c r="BQ85" i="1"/>
  <c r="BP85" i="1"/>
  <c r="BM85" i="1"/>
  <c r="BN85" i="1" s="1"/>
  <c r="BJ85" i="1"/>
  <c r="BK85" i="1" s="1"/>
  <c r="BG85" i="1"/>
  <c r="BH85" i="1" s="1"/>
  <c r="BD85" i="1"/>
  <c r="BE85" i="1" s="1"/>
  <c r="BA85" i="1"/>
  <c r="BB85" i="1" s="1"/>
  <c r="AY85" i="1"/>
  <c r="AX85" i="1"/>
  <c r="AU85" i="1"/>
  <c r="AV85" i="1" s="1"/>
  <c r="AR85" i="1"/>
  <c r="AS85" i="1" s="1"/>
  <c r="AP85" i="1"/>
  <c r="AO85" i="1"/>
  <c r="AL85" i="1"/>
  <c r="AM85" i="1" s="1"/>
  <c r="AI85" i="1"/>
  <c r="AJ85" i="1" s="1"/>
  <c r="AG85" i="1"/>
  <c r="AF85" i="1"/>
  <c r="AC85" i="1"/>
  <c r="AD85" i="1" s="1"/>
  <c r="Z85" i="1"/>
  <c r="AA85" i="1" s="1"/>
  <c r="X85" i="1"/>
  <c r="W85" i="1"/>
  <c r="U85" i="1"/>
  <c r="T85" i="1"/>
  <c r="Q85" i="1"/>
  <c r="R85" i="1" s="1"/>
  <c r="O85" i="1"/>
  <c r="N85" i="1"/>
  <c r="K85" i="1"/>
  <c r="L85" i="1" s="1"/>
  <c r="H85" i="1"/>
  <c r="I85" i="1" s="1"/>
  <c r="E85" i="1"/>
  <c r="DU85" i="1" s="1"/>
  <c r="DT84" i="1"/>
  <c r="DO84" i="1"/>
  <c r="DP84" i="1" s="1"/>
  <c r="DL84" i="1"/>
  <c r="DM84" i="1" s="1"/>
  <c r="DJ84" i="1"/>
  <c r="DI84" i="1"/>
  <c r="DF84" i="1"/>
  <c r="DG84" i="1" s="1"/>
  <c r="DC84" i="1"/>
  <c r="DD84" i="1" s="1"/>
  <c r="DA84" i="1"/>
  <c r="CZ84" i="1"/>
  <c r="CX84" i="1"/>
  <c r="CW84" i="1"/>
  <c r="CT84" i="1"/>
  <c r="CU84" i="1" s="1"/>
  <c r="CR84" i="1"/>
  <c r="CQ84" i="1"/>
  <c r="CO84" i="1"/>
  <c r="CN84" i="1"/>
  <c r="CK84" i="1"/>
  <c r="CL84" i="1" s="1"/>
  <c r="CH84" i="1"/>
  <c r="CI84" i="1" s="1"/>
  <c r="CE84" i="1"/>
  <c r="CF84" i="1" s="1"/>
  <c r="CB84" i="1"/>
  <c r="CC84" i="1" s="1"/>
  <c r="BZ84" i="1"/>
  <c r="BY84" i="1"/>
  <c r="BV84" i="1"/>
  <c r="BW84" i="1" s="1"/>
  <c r="BS84" i="1"/>
  <c r="BT84" i="1" s="1"/>
  <c r="BP84" i="1"/>
  <c r="BQ84" i="1" s="1"/>
  <c r="BN84" i="1"/>
  <c r="BM84" i="1"/>
  <c r="BJ84" i="1"/>
  <c r="BK84" i="1" s="1"/>
  <c r="BH84" i="1"/>
  <c r="BG84" i="1"/>
  <c r="BD84" i="1"/>
  <c r="BE84" i="1" s="1"/>
  <c r="BB84" i="1"/>
  <c r="BA84" i="1"/>
  <c r="AX84" i="1"/>
  <c r="AY84" i="1" s="1"/>
  <c r="AU84" i="1"/>
  <c r="AV84" i="1" s="1"/>
  <c r="AR84" i="1"/>
  <c r="AS84" i="1" s="1"/>
  <c r="AO84" i="1"/>
  <c r="AP84" i="1" s="1"/>
  <c r="AL84" i="1"/>
  <c r="AM84" i="1" s="1"/>
  <c r="AI84" i="1"/>
  <c r="AJ84" i="1" s="1"/>
  <c r="AG84" i="1"/>
  <c r="AF84" i="1"/>
  <c r="AC84" i="1"/>
  <c r="AD84" i="1" s="1"/>
  <c r="Z84" i="1"/>
  <c r="AA84" i="1" s="1"/>
  <c r="W84" i="1"/>
  <c r="X84" i="1" s="1"/>
  <c r="T84" i="1"/>
  <c r="DU84" i="1" s="1"/>
  <c r="Q84" i="1"/>
  <c r="R84" i="1" s="1"/>
  <c r="N84" i="1"/>
  <c r="O84" i="1" s="1"/>
  <c r="L84" i="1"/>
  <c r="K84" i="1"/>
  <c r="H84" i="1"/>
  <c r="I84" i="1" s="1"/>
  <c r="E84" i="1"/>
  <c r="F84" i="1" s="1"/>
  <c r="DU83" i="1"/>
  <c r="DT83" i="1"/>
  <c r="DP83" i="1"/>
  <c r="DO83" i="1"/>
  <c r="DL83" i="1"/>
  <c r="DM83" i="1" s="1"/>
  <c r="DJ83" i="1"/>
  <c r="DI83" i="1"/>
  <c r="DF83" i="1"/>
  <c r="DG83" i="1" s="1"/>
  <c r="DC83" i="1"/>
  <c r="DD83" i="1" s="1"/>
  <c r="CZ83" i="1"/>
  <c r="DA83" i="1" s="1"/>
  <c r="CX83" i="1"/>
  <c r="CW83" i="1"/>
  <c r="CU83" i="1"/>
  <c r="CT83" i="1"/>
  <c r="CR83" i="1"/>
  <c r="CQ83" i="1"/>
  <c r="CN83" i="1"/>
  <c r="CO83" i="1" s="1"/>
  <c r="CK83" i="1"/>
  <c r="CL83" i="1" s="1"/>
  <c r="CH83" i="1"/>
  <c r="CI83" i="1" s="1"/>
  <c r="CE83" i="1"/>
  <c r="CF83" i="1" s="1"/>
  <c r="CC83" i="1"/>
  <c r="CB83" i="1"/>
  <c r="BZ83" i="1"/>
  <c r="BY83" i="1"/>
  <c r="BV83" i="1"/>
  <c r="BW83" i="1" s="1"/>
  <c r="BS83" i="1"/>
  <c r="BT83" i="1" s="1"/>
  <c r="BP83" i="1"/>
  <c r="BQ83" i="1" s="1"/>
  <c r="BM83" i="1"/>
  <c r="BN83" i="1" s="1"/>
  <c r="BJ83" i="1"/>
  <c r="BK83" i="1" s="1"/>
  <c r="BH83" i="1"/>
  <c r="BG83" i="1"/>
  <c r="BD83" i="1"/>
  <c r="BE83" i="1" s="1"/>
  <c r="BA83" i="1"/>
  <c r="BB83" i="1" s="1"/>
  <c r="AX83" i="1"/>
  <c r="AY83" i="1" s="1"/>
  <c r="AU83" i="1"/>
  <c r="AV83" i="1" s="1"/>
  <c r="AR83" i="1"/>
  <c r="AS83" i="1" s="1"/>
  <c r="AP83" i="1"/>
  <c r="AO83" i="1"/>
  <c r="AL83" i="1"/>
  <c r="AM83" i="1" s="1"/>
  <c r="AI83" i="1"/>
  <c r="AJ83" i="1" s="1"/>
  <c r="AG83" i="1"/>
  <c r="AF83" i="1"/>
  <c r="AC83" i="1"/>
  <c r="AD83" i="1" s="1"/>
  <c r="Z83" i="1"/>
  <c r="AA83" i="1" s="1"/>
  <c r="X83" i="1"/>
  <c r="W83" i="1"/>
  <c r="T83" i="1"/>
  <c r="U83" i="1" s="1"/>
  <c r="Q83" i="1"/>
  <c r="R83" i="1" s="1"/>
  <c r="O83" i="1"/>
  <c r="N83" i="1"/>
  <c r="L83" i="1"/>
  <c r="K83" i="1"/>
  <c r="H83" i="1"/>
  <c r="I83" i="1" s="1"/>
  <c r="F83" i="1"/>
  <c r="E83" i="1"/>
  <c r="DT82" i="1"/>
  <c r="DO82" i="1"/>
  <c r="DP82" i="1" s="1"/>
  <c r="DL82" i="1"/>
  <c r="DM82" i="1" s="1"/>
  <c r="DI82" i="1"/>
  <c r="DJ82" i="1" s="1"/>
  <c r="DF82" i="1"/>
  <c r="DG82" i="1" s="1"/>
  <c r="DC82" i="1"/>
  <c r="DD82" i="1" s="1"/>
  <c r="CZ82" i="1"/>
  <c r="DA82" i="1" s="1"/>
  <c r="CX82" i="1"/>
  <c r="CW82" i="1"/>
  <c r="CT82" i="1"/>
  <c r="CU82" i="1" s="1"/>
  <c r="CQ82" i="1"/>
  <c r="CR82" i="1" s="1"/>
  <c r="CN82" i="1"/>
  <c r="CO82" i="1" s="1"/>
  <c r="CK82" i="1"/>
  <c r="CL82" i="1" s="1"/>
  <c r="CH82" i="1"/>
  <c r="CI82" i="1" s="1"/>
  <c r="CE82" i="1"/>
  <c r="CF82" i="1" s="1"/>
  <c r="CC82" i="1"/>
  <c r="CB82" i="1"/>
  <c r="BY82" i="1"/>
  <c r="BZ82" i="1" s="1"/>
  <c r="BV82" i="1"/>
  <c r="BW82" i="1" s="1"/>
  <c r="BS82" i="1"/>
  <c r="BT82" i="1" s="1"/>
  <c r="BP82" i="1"/>
  <c r="BQ82" i="1" s="1"/>
  <c r="BM82" i="1"/>
  <c r="BN82" i="1" s="1"/>
  <c r="BJ82" i="1"/>
  <c r="BK82" i="1" s="1"/>
  <c r="BH82" i="1"/>
  <c r="BG82" i="1"/>
  <c r="BD82" i="1"/>
  <c r="BE82" i="1" s="1"/>
  <c r="BA82" i="1"/>
  <c r="BB82" i="1" s="1"/>
  <c r="AX82" i="1"/>
  <c r="AY82" i="1" s="1"/>
  <c r="AU82" i="1"/>
  <c r="AV82" i="1" s="1"/>
  <c r="AR82" i="1"/>
  <c r="AS82" i="1" s="1"/>
  <c r="AO82" i="1"/>
  <c r="AP82" i="1" s="1"/>
  <c r="AM82" i="1"/>
  <c r="AL82" i="1"/>
  <c r="AI82" i="1"/>
  <c r="AJ82" i="1" s="1"/>
  <c r="AF82" i="1"/>
  <c r="AG82" i="1" s="1"/>
  <c r="AC82" i="1"/>
  <c r="AD82" i="1" s="1"/>
  <c r="Z82" i="1"/>
  <c r="AA82" i="1" s="1"/>
  <c r="W82" i="1"/>
  <c r="X82" i="1" s="1"/>
  <c r="T82" i="1"/>
  <c r="U82" i="1" s="1"/>
  <c r="Q82" i="1"/>
  <c r="R82" i="1" s="1"/>
  <c r="N82" i="1"/>
  <c r="O82" i="1" s="1"/>
  <c r="K82" i="1"/>
  <c r="L82" i="1" s="1"/>
  <c r="H82" i="1"/>
  <c r="I82" i="1" s="1"/>
  <c r="E82" i="1"/>
  <c r="DU82" i="1" s="1"/>
  <c r="DT81" i="1"/>
  <c r="DO81" i="1"/>
  <c r="DP81" i="1" s="1"/>
  <c r="DL81" i="1"/>
  <c r="DM81" i="1" s="1"/>
  <c r="DI81" i="1"/>
  <c r="DJ81" i="1" s="1"/>
  <c r="DF81" i="1"/>
  <c r="DG81" i="1" s="1"/>
  <c r="DD81" i="1"/>
  <c r="DC81" i="1"/>
  <c r="DA81" i="1"/>
  <c r="CZ81" i="1"/>
  <c r="CW81" i="1"/>
  <c r="CX81" i="1" s="1"/>
  <c r="CT81" i="1"/>
  <c r="CU81" i="1" s="1"/>
  <c r="CQ81" i="1"/>
  <c r="CQ89" i="1" s="1"/>
  <c r="CN81" i="1"/>
  <c r="CO81" i="1" s="1"/>
  <c r="CK81" i="1"/>
  <c r="CL81" i="1" s="1"/>
  <c r="CI81" i="1"/>
  <c r="CH81" i="1"/>
  <c r="CE81" i="1"/>
  <c r="CF81" i="1" s="1"/>
  <c r="CB81" i="1"/>
  <c r="CC81" i="1" s="1"/>
  <c r="BY81" i="1"/>
  <c r="BZ81" i="1" s="1"/>
  <c r="BV81" i="1"/>
  <c r="BW81" i="1" s="1"/>
  <c r="BS81" i="1"/>
  <c r="BT81" i="1" s="1"/>
  <c r="BQ81" i="1"/>
  <c r="BP81" i="1"/>
  <c r="BM81" i="1"/>
  <c r="BN81" i="1" s="1"/>
  <c r="BJ81" i="1"/>
  <c r="BK81" i="1" s="1"/>
  <c r="BH81" i="1"/>
  <c r="BG81" i="1"/>
  <c r="BD81" i="1"/>
  <c r="BE81" i="1" s="1"/>
  <c r="BA81" i="1"/>
  <c r="BB81" i="1" s="1"/>
  <c r="AY81" i="1"/>
  <c r="AX81" i="1"/>
  <c r="AU81" i="1"/>
  <c r="AV81" i="1" s="1"/>
  <c r="AR81" i="1"/>
  <c r="AS81" i="1" s="1"/>
  <c r="AP81" i="1"/>
  <c r="AO81" i="1"/>
  <c r="AM81" i="1"/>
  <c r="AL81" i="1"/>
  <c r="AI81" i="1"/>
  <c r="AJ81" i="1" s="1"/>
  <c r="AG81" i="1"/>
  <c r="AF81" i="1"/>
  <c r="AC81" i="1"/>
  <c r="AD81" i="1" s="1"/>
  <c r="Z81" i="1"/>
  <c r="AA81" i="1" s="1"/>
  <c r="W81" i="1"/>
  <c r="X81" i="1" s="1"/>
  <c r="U81" i="1"/>
  <c r="T81" i="1"/>
  <c r="R81" i="1"/>
  <c r="Q81" i="1"/>
  <c r="O81" i="1"/>
  <c r="N81" i="1"/>
  <c r="K81" i="1"/>
  <c r="L81" i="1" s="1"/>
  <c r="H81" i="1"/>
  <c r="I81" i="1" s="1"/>
  <c r="E81" i="1"/>
  <c r="DU81" i="1" s="1"/>
  <c r="DT80" i="1"/>
  <c r="DO80" i="1"/>
  <c r="DP80" i="1" s="1"/>
  <c r="DL80" i="1"/>
  <c r="DM80" i="1" s="1"/>
  <c r="DJ80" i="1"/>
  <c r="DI80" i="1"/>
  <c r="DF80" i="1"/>
  <c r="DG80" i="1" s="1"/>
  <c r="DC80" i="1"/>
  <c r="DD80" i="1" s="1"/>
  <c r="CZ80" i="1"/>
  <c r="DA80" i="1" s="1"/>
  <c r="CX80" i="1"/>
  <c r="CW80" i="1"/>
  <c r="CT80" i="1"/>
  <c r="CU80" i="1" s="1"/>
  <c r="CR80" i="1"/>
  <c r="CQ80" i="1"/>
  <c r="CN80" i="1"/>
  <c r="CO80" i="1" s="1"/>
  <c r="CL80" i="1"/>
  <c r="CK80" i="1"/>
  <c r="CH80" i="1"/>
  <c r="CI80" i="1" s="1"/>
  <c r="CE80" i="1"/>
  <c r="CF80" i="1" s="1"/>
  <c r="CB80" i="1"/>
  <c r="CC80" i="1" s="1"/>
  <c r="BY80" i="1"/>
  <c r="BZ80" i="1" s="1"/>
  <c r="BV80" i="1"/>
  <c r="BW80" i="1" s="1"/>
  <c r="BS80" i="1"/>
  <c r="BT80" i="1" s="1"/>
  <c r="BQ80" i="1"/>
  <c r="BP80" i="1"/>
  <c r="BM80" i="1"/>
  <c r="BN80" i="1" s="1"/>
  <c r="BJ80" i="1"/>
  <c r="BK80" i="1" s="1"/>
  <c r="BH80" i="1"/>
  <c r="BG80" i="1"/>
  <c r="BE80" i="1"/>
  <c r="BD80" i="1"/>
  <c r="BA80" i="1"/>
  <c r="BB80" i="1" s="1"/>
  <c r="AX80" i="1"/>
  <c r="AY80" i="1" s="1"/>
  <c r="AU80" i="1"/>
  <c r="AV80" i="1" s="1"/>
  <c r="AR80" i="1"/>
  <c r="AS80" i="1" s="1"/>
  <c r="AP80" i="1"/>
  <c r="AO80" i="1"/>
  <c r="AL80" i="1"/>
  <c r="AM80" i="1" s="1"/>
  <c r="AI80" i="1"/>
  <c r="AJ80" i="1" s="1"/>
  <c r="AF80" i="1"/>
  <c r="AG80" i="1" s="1"/>
  <c r="AD80" i="1"/>
  <c r="AC80" i="1"/>
  <c r="Z80" i="1"/>
  <c r="AA80" i="1" s="1"/>
  <c r="X80" i="1"/>
  <c r="W80" i="1"/>
  <c r="U80" i="1"/>
  <c r="T80" i="1"/>
  <c r="R80" i="1"/>
  <c r="Q80" i="1"/>
  <c r="N80" i="1"/>
  <c r="O80" i="1" s="1"/>
  <c r="K80" i="1"/>
  <c r="L80" i="1" s="1"/>
  <c r="H80" i="1"/>
  <c r="I80" i="1" s="1"/>
  <c r="F80" i="1"/>
  <c r="E80" i="1"/>
  <c r="DT79" i="1"/>
  <c r="DP79" i="1"/>
  <c r="DO79" i="1"/>
  <c r="DL79" i="1"/>
  <c r="DM79" i="1" s="1"/>
  <c r="DJ79" i="1"/>
  <c r="DI79" i="1"/>
  <c r="DF79" i="1"/>
  <c r="DG79" i="1" s="1"/>
  <c r="DC79" i="1"/>
  <c r="DD79" i="1" s="1"/>
  <c r="CZ79" i="1"/>
  <c r="DA79" i="1" s="1"/>
  <c r="CX79" i="1"/>
  <c r="CW79" i="1"/>
  <c r="CU79" i="1"/>
  <c r="CT79" i="1"/>
  <c r="CR79" i="1"/>
  <c r="CQ79" i="1"/>
  <c r="CO79" i="1"/>
  <c r="CN79" i="1"/>
  <c r="CK79" i="1"/>
  <c r="CL79" i="1" s="1"/>
  <c r="CH79" i="1"/>
  <c r="CI79" i="1" s="1"/>
  <c r="CE79" i="1"/>
  <c r="CF79" i="1" s="1"/>
  <c r="CB79" i="1"/>
  <c r="CC79" i="1" s="1"/>
  <c r="BZ79" i="1"/>
  <c r="BY79" i="1"/>
  <c r="BW79" i="1"/>
  <c r="BV79" i="1"/>
  <c r="BS79" i="1"/>
  <c r="BT79" i="1" s="1"/>
  <c r="BQ79" i="1"/>
  <c r="BP79" i="1"/>
  <c r="BM79" i="1"/>
  <c r="BN79" i="1" s="1"/>
  <c r="BK79" i="1"/>
  <c r="BJ79" i="1"/>
  <c r="BH79" i="1"/>
  <c r="BG79" i="1"/>
  <c r="BE79" i="1"/>
  <c r="BD79" i="1"/>
  <c r="BA79" i="1"/>
  <c r="BB79" i="1" s="1"/>
  <c r="AY79" i="1"/>
  <c r="AX79" i="1"/>
  <c r="AU79" i="1"/>
  <c r="AV79" i="1" s="1"/>
  <c r="AR79" i="1"/>
  <c r="AS79" i="1" s="1"/>
  <c r="AP79" i="1"/>
  <c r="AO79" i="1"/>
  <c r="AL79" i="1"/>
  <c r="AM79" i="1" s="1"/>
  <c r="AI79" i="1"/>
  <c r="AJ79" i="1" s="1"/>
  <c r="AF79" i="1"/>
  <c r="AG79" i="1" s="1"/>
  <c r="AD79" i="1"/>
  <c r="AC79" i="1"/>
  <c r="Z79" i="1"/>
  <c r="AA79" i="1" s="1"/>
  <c r="X79" i="1"/>
  <c r="W79" i="1"/>
  <c r="T79" i="1"/>
  <c r="U79" i="1" s="1"/>
  <c r="Q79" i="1"/>
  <c r="R79" i="1" s="1"/>
  <c r="N79" i="1"/>
  <c r="O79" i="1" s="1"/>
  <c r="K79" i="1"/>
  <c r="L79" i="1" s="1"/>
  <c r="I79" i="1"/>
  <c r="H79" i="1"/>
  <c r="F79" i="1"/>
  <c r="E79" i="1"/>
  <c r="DT78" i="1"/>
  <c r="DP78" i="1"/>
  <c r="DO78" i="1"/>
  <c r="DM78" i="1"/>
  <c r="DL78" i="1"/>
  <c r="DI78" i="1"/>
  <c r="DJ78" i="1" s="1"/>
  <c r="DF78" i="1"/>
  <c r="DG78" i="1" s="1"/>
  <c r="DC78" i="1"/>
  <c r="DD78" i="1" s="1"/>
  <c r="DA78" i="1"/>
  <c r="CZ78" i="1"/>
  <c r="CW78" i="1"/>
  <c r="CX78" i="1" s="1"/>
  <c r="CT78" i="1"/>
  <c r="CU78" i="1" s="1"/>
  <c r="CQ78" i="1"/>
  <c r="CR78" i="1" s="1"/>
  <c r="CN78" i="1"/>
  <c r="CO78" i="1" s="1"/>
  <c r="CK78" i="1"/>
  <c r="CL78" i="1" s="1"/>
  <c r="CI78" i="1"/>
  <c r="CH78" i="1"/>
  <c r="CE78" i="1"/>
  <c r="CF78" i="1" s="1"/>
  <c r="CC78" i="1"/>
  <c r="CB78" i="1"/>
  <c r="BZ78" i="1"/>
  <c r="BY78" i="1"/>
  <c r="BV78" i="1"/>
  <c r="BW78" i="1" s="1"/>
  <c r="BS78" i="1"/>
  <c r="BT78" i="1" s="1"/>
  <c r="BQ78" i="1"/>
  <c r="BP78" i="1"/>
  <c r="BM78" i="1"/>
  <c r="BN78" i="1" s="1"/>
  <c r="BJ78" i="1"/>
  <c r="BK78" i="1" s="1"/>
  <c r="BG78" i="1"/>
  <c r="BH78" i="1" s="1"/>
  <c r="BD78" i="1"/>
  <c r="BE78" i="1" s="1"/>
  <c r="BA78" i="1"/>
  <c r="BB78" i="1" s="1"/>
  <c r="AY78" i="1"/>
  <c r="AX78" i="1"/>
  <c r="AU78" i="1"/>
  <c r="AV78" i="1" s="1"/>
  <c r="AR78" i="1"/>
  <c r="AS78" i="1" s="1"/>
  <c r="AP78" i="1"/>
  <c r="AO78" i="1"/>
  <c r="AM78" i="1"/>
  <c r="AL78" i="1"/>
  <c r="AI78" i="1"/>
  <c r="AJ78" i="1" s="1"/>
  <c r="AG78" i="1"/>
  <c r="AF78" i="1"/>
  <c r="AD78" i="1"/>
  <c r="AC78" i="1"/>
  <c r="Z78" i="1"/>
  <c r="AA78" i="1" s="1"/>
  <c r="W78" i="1"/>
  <c r="X78" i="1" s="1"/>
  <c r="T78" i="1"/>
  <c r="U78" i="1" s="1"/>
  <c r="Q78" i="1"/>
  <c r="R78" i="1" s="1"/>
  <c r="O78" i="1"/>
  <c r="N78" i="1"/>
  <c r="K78" i="1"/>
  <c r="L78" i="1" s="1"/>
  <c r="H78" i="1"/>
  <c r="I78" i="1" s="1"/>
  <c r="E78" i="1"/>
  <c r="DT77" i="1"/>
  <c r="DO77" i="1"/>
  <c r="DP77" i="1" s="1"/>
  <c r="DL77" i="1"/>
  <c r="DM77" i="1" s="1"/>
  <c r="DI77" i="1"/>
  <c r="DJ77" i="1" s="1"/>
  <c r="DG77" i="1"/>
  <c r="DF77" i="1"/>
  <c r="DC77" i="1"/>
  <c r="DC89" i="1" s="1"/>
  <c r="DA77" i="1"/>
  <c r="CZ77" i="1"/>
  <c r="CX77" i="1"/>
  <c r="CW77" i="1"/>
  <c r="CT77" i="1"/>
  <c r="CU77" i="1" s="1"/>
  <c r="CQ77" i="1"/>
  <c r="CR77" i="1" s="1"/>
  <c r="CN77" i="1"/>
  <c r="CO77" i="1" s="1"/>
  <c r="CK77" i="1"/>
  <c r="CL77" i="1" s="1"/>
  <c r="CI77" i="1"/>
  <c r="CH77" i="1"/>
  <c r="CE77" i="1"/>
  <c r="CF77" i="1" s="1"/>
  <c r="CB77" i="1"/>
  <c r="CC77" i="1" s="1"/>
  <c r="BZ77" i="1"/>
  <c r="BY77" i="1"/>
  <c r="BV77" i="1"/>
  <c r="BW77" i="1" s="1"/>
  <c r="BS77" i="1"/>
  <c r="BT77" i="1" s="1"/>
  <c r="BQ77" i="1"/>
  <c r="BP77" i="1"/>
  <c r="BN77" i="1"/>
  <c r="BM77" i="1"/>
  <c r="BJ77" i="1"/>
  <c r="BK77" i="1" s="1"/>
  <c r="BG77" i="1"/>
  <c r="BH77" i="1" s="1"/>
  <c r="BD77" i="1"/>
  <c r="BE77" i="1" s="1"/>
  <c r="BA77" i="1"/>
  <c r="BB77" i="1" s="1"/>
  <c r="AY77" i="1"/>
  <c r="AX77" i="1"/>
  <c r="AU77" i="1"/>
  <c r="AV77" i="1" s="1"/>
  <c r="AR77" i="1"/>
  <c r="AS77" i="1" s="1"/>
  <c r="AO77" i="1"/>
  <c r="AP77" i="1" s="1"/>
  <c r="AL77" i="1"/>
  <c r="AM77" i="1" s="1"/>
  <c r="AI77" i="1"/>
  <c r="AJ77" i="1" s="1"/>
  <c r="AG77" i="1"/>
  <c r="AF77" i="1"/>
  <c r="AC77" i="1"/>
  <c r="AD77" i="1" s="1"/>
  <c r="Z77" i="1"/>
  <c r="AA77" i="1" s="1"/>
  <c r="W77" i="1"/>
  <c r="W89" i="1" s="1"/>
  <c r="T77" i="1"/>
  <c r="U77" i="1" s="1"/>
  <c r="Q77" i="1"/>
  <c r="R77" i="1" s="1"/>
  <c r="O77" i="1"/>
  <c r="N77" i="1"/>
  <c r="K77" i="1"/>
  <c r="L77" i="1" s="1"/>
  <c r="H77" i="1"/>
  <c r="I77" i="1" s="1"/>
  <c r="E77" i="1"/>
  <c r="DU77" i="1" s="1"/>
  <c r="DO76" i="1"/>
  <c r="DP76" i="1" s="1"/>
  <c r="DL76" i="1"/>
  <c r="DI76" i="1"/>
  <c r="DI89" i="1" s="1"/>
  <c r="DG76" i="1"/>
  <c r="DF76" i="1"/>
  <c r="DF89" i="1" s="1"/>
  <c r="DD76" i="1"/>
  <c r="DC76" i="1"/>
  <c r="CZ76" i="1"/>
  <c r="CW76" i="1"/>
  <c r="CX76" i="1" s="1"/>
  <c r="CX89" i="1" s="1"/>
  <c r="CT76" i="1"/>
  <c r="CT89" i="1" s="1"/>
  <c r="CQ76" i="1"/>
  <c r="CR76" i="1" s="1"/>
  <c r="CO76" i="1"/>
  <c r="CN76" i="1"/>
  <c r="CL76" i="1"/>
  <c r="CK76" i="1"/>
  <c r="CH76" i="1"/>
  <c r="CI76" i="1" s="1"/>
  <c r="CE76" i="1"/>
  <c r="CE89" i="1" s="1"/>
  <c r="CB76" i="1"/>
  <c r="BY76" i="1"/>
  <c r="BY89" i="1" s="1"/>
  <c r="BW76" i="1"/>
  <c r="BV76" i="1"/>
  <c r="BT76" i="1"/>
  <c r="BS76" i="1"/>
  <c r="BS89" i="1" s="1"/>
  <c r="BS140" i="1" s="1"/>
  <c r="BP76" i="1"/>
  <c r="BM76" i="1"/>
  <c r="BM89" i="1" s="1"/>
  <c r="BJ76" i="1"/>
  <c r="BK76" i="1" s="1"/>
  <c r="BG76" i="1"/>
  <c r="BH76" i="1" s="1"/>
  <c r="BE76" i="1"/>
  <c r="BD76" i="1"/>
  <c r="BB76" i="1"/>
  <c r="BA76" i="1"/>
  <c r="BA89" i="1" s="1"/>
  <c r="AX76" i="1"/>
  <c r="AY76" i="1" s="1"/>
  <c r="AU76" i="1"/>
  <c r="AV76" i="1" s="1"/>
  <c r="AV89" i="1" s="1"/>
  <c r="AR76" i="1"/>
  <c r="AO76" i="1"/>
  <c r="AO89" i="1" s="1"/>
  <c r="AM76" i="1"/>
  <c r="AL76" i="1"/>
  <c r="AL89" i="1" s="1"/>
  <c r="AJ76" i="1"/>
  <c r="AI76" i="1"/>
  <c r="AF76" i="1"/>
  <c r="AC76" i="1"/>
  <c r="AD76" i="1" s="1"/>
  <c r="Z76" i="1"/>
  <c r="Z89" i="1" s="1"/>
  <c r="W76" i="1"/>
  <c r="X76" i="1" s="1"/>
  <c r="U76" i="1"/>
  <c r="T76" i="1"/>
  <c r="R76" i="1"/>
  <c r="R89" i="1" s="1"/>
  <c r="Q76" i="1"/>
  <c r="N76" i="1"/>
  <c r="O76" i="1" s="1"/>
  <c r="K76" i="1"/>
  <c r="K89" i="1" s="1"/>
  <c r="H76" i="1"/>
  <c r="E76" i="1"/>
  <c r="DU76" i="1" s="1"/>
  <c r="E5" i="1"/>
  <c r="F5" i="1"/>
  <c r="H5" i="1"/>
  <c r="I5" i="1" s="1"/>
  <c r="K5" i="1"/>
  <c r="L5" i="1"/>
  <c r="N5" i="1"/>
  <c r="O5" i="1"/>
  <c r="Q5" i="1"/>
  <c r="R5" i="1"/>
  <c r="T5" i="1"/>
  <c r="U5" i="1" s="1"/>
  <c r="W5" i="1"/>
  <c r="X5" i="1" s="1"/>
  <c r="Z5" i="1"/>
  <c r="AA5" i="1" s="1"/>
  <c r="AC5" i="1"/>
  <c r="AD5" i="1"/>
  <c r="AF5" i="1"/>
  <c r="AG5" i="1"/>
  <c r="AI5" i="1"/>
  <c r="AJ5" i="1"/>
  <c r="AL5" i="1"/>
  <c r="AM5" i="1" s="1"/>
  <c r="AO5" i="1"/>
  <c r="AP5" i="1" s="1"/>
  <c r="AR5" i="1"/>
  <c r="AS5" i="1" s="1"/>
  <c r="AU5" i="1"/>
  <c r="AV5" i="1"/>
  <c r="AX5" i="1"/>
  <c r="AY5" i="1" s="1"/>
  <c r="BA5" i="1"/>
  <c r="BB5" i="1" s="1"/>
  <c r="BD5" i="1"/>
  <c r="BE5" i="1" s="1"/>
  <c r="BG5" i="1"/>
  <c r="BH5" i="1" s="1"/>
  <c r="BJ5" i="1"/>
  <c r="BK5" i="1" s="1"/>
  <c r="BM5" i="1"/>
  <c r="BN5" i="1"/>
  <c r="BP5" i="1"/>
  <c r="BQ5" i="1"/>
  <c r="BS5" i="1"/>
  <c r="BT5" i="1"/>
  <c r="BV5" i="1"/>
  <c r="BW5" i="1" s="1"/>
  <c r="BY5" i="1"/>
  <c r="BZ5" i="1" s="1"/>
  <c r="CB5" i="1"/>
  <c r="CC5" i="1" s="1"/>
  <c r="CE5" i="1"/>
  <c r="CF5" i="1"/>
  <c r="CH5" i="1"/>
  <c r="CI5" i="1"/>
  <c r="CK5" i="1"/>
  <c r="CL5" i="1"/>
  <c r="CN5" i="1"/>
  <c r="CO5" i="1" s="1"/>
  <c r="CQ5" i="1"/>
  <c r="CR5" i="1" s="1"/>
  <c r="CT5" i="1"/>
  <c r="CU5" i="1" s="1"/>
  <c r="CW5" i="1"/>
  <c r="CX5" i="1"/>
  <c r="CZ5" i="1"/>
  <c r="DA5" i="1"/>
  <c r="DC5" i="1"/>
  <c r="DD5" i="1"/>
  <c r="DF5" i="1"/>
  <c r="DG5" i="1" s="1"/>
  <c r="DI5" i="1"/>
  <c r="DJ5" i="1" s="1"/>
  <c r="DL5" i="1"/>
  <c r="DM5" i="1" s="1"/>
  <c r="E6" i="1"/>
  <c r="F6" i="1"/>
  <c r="H6" i="1"/>
  <c r="I6" i="1"/>
  <c r="K6" i="1"/>
  <c r="L6" i="1"/>
  <c r="N6" i="1"/>
  <c r="O6" i="1" s="1"/>
  <c r="Q6" i="1"/>
  <c r="R6" i="1" s="1"/>
  <c r="T6" i="1"/>
  <c r="U6" i="1" s="1"/>
  <c r="W6" i="1"/>
  <c r="X6" i="1"/>
  <c r="Z6" i="1"/>
  <c r="AA6" i="1"/>
  <c r="AC6" i="1"/>
  <c r="AD6" i="1"/>
  <c r="AF6" i="1"/>
  <c r="AG6" i="1" s="1"/>
  <c r="AI6" i="1"/>
  <c r="AJ6" i="1" s="1"/>
  <c r="AL6" i="1"/>
  <c r="AM6" i="1" s="1"/>
  <c r="AO6" i="1"/>
  <c r="AP6" i="1"/>
  <c r="AR6" i="1"/>
  <c r="AS6" i="1"/>
  <c r="AU6" i="1"/>
  <c r="AV6" i="1"/>
  <c r="AX6" i="1"/>
  <c r="AY6" i="1" s="1"/>
  <c r="BA6" i="1"/>
  <c r="BB6" i="1" s="1"/>
  <c r="BD6" i="1"/>
  <c r="BE6" i="1" s="1"/>
  <c r="BG6" i="1"/>
  <c r="BH6" i="1"/>
  <c r="BJ6" i="1"/>
  <c r="BK6" i="1"/>
  <c r="BM6" i="1"/>
  <c r="BN6" i="1"/>
  <c r="BP6" i="1"/>
  <c r="BQ6" i="1" s="1"/>
  <c r="BS6" i="1"/>
  <c r="BT6" i="1" s="1"/>
  <c r="BV6" i="1"/>
  <c r="BW6" i="1" s="1"/>
  <c r="BY6" i="1"/>
  <c r="BZ6" i="1"/>
  <c r="CB6" i="1"/>
  <c r="CC6" i="1"/>
  <c r="CE6" i="1"/>
  <c r="CF6" i="1"/>
  <c r="CH6" i="1"/>
  <c r="CI6" i="1" s="1"/>
  <c r="CK6" i="1"/>
  <c r="CL6" i="1" s="1"/>
  <c r="CN6" i="1"/>
  <c r="CO6" i="1" s="1"/>
  <c r="CQ6" i="1"/>
  <c r="CR6" i="1"/>
  <c r="CT6" i="1"/>
  <c r="CU6" i="1"/>
  <c r="CW6" i="1"/>
  <c r="CX6" i="1"/>
  <c r="CZ6" i="1"/>
  <c r="DA6" i="1" s="1"/>
  <c r="DC6" i="1"/>
  <c r="DD6" i="1" s="1"/>
  <c r="DF6" i="1"/>
  <c r="DG6" i="1" s="1"/>
  <c r="DI6" i="1"/>
  <c r="DJ6" i="1"/>
  <c r="DL6" i="1"/>
  <c r="DM6" i="1"/>
  <c r="E7" i="1"/>
  <c r="F7" i="1"/>
  <c r="H7" i="1"/>
  <c r="I7" i="1" s="1"/>
  <c r="K7" i="1"/>
  <c r="L7" i="1" s="1"/>
  <c r="N7" i="1"/>
  <c r="O7" i="1" s="1"/>
  <c r="Q7" i="1"/>
  <c r="R7" i="1"/>
  <c r="T7" i="1"/>
  <c r="U7" i="1"/>
  <c r="W7" i="1"/>
  <c r="X7" i="1" s="1"/>
  <c r="Z7" i="1"/>
  <c r="AA7" i="1" s="1"/>
  <c r="AC7" i="1"/>
  <c r="AD7" i="1"/>
  <c r="AF7" i="1"/>
  <c r="AG7" i="1" s="1"/>
  <c r="AI7" i="1"/>
  <c r="AJ7" i="1"/>
  <c r="AL7" i="1"/>
  <c r="AM7" i="1" s="1"/>
  <c r="AO7" i="1"/>
  <c r="AP7" i="1"/>
  <c r="AR7" i="1"/>
  <c r="AS7" i="1" s="1"/>
  <c r="AU7" i="1"/>
  <c r="AV7" i="1"/>
  <c r="AX7" i="1"/>
  <c r="AY7" i="1" s="1"/>
  <c r="BA7" i="1"/>
  <c r="BB7" i="1" s="1"/>
  <c r="BD7" i="1"/>
  <c r="BE7" i="1"/>
  <c r="BG7" i="1"/>
  <c r="BH7" i="1"/>
  <c r="BJ7" i="1"/>
  <c r="BK7" i="1" s="1"/>
  <c r="BM7" i="1"/>
  <c r="BN7" i="1" s="1"/>
  <c r="BP7" i="1"/>
  <c r="BQ7" i="1" s="1"/>
  <c r="BS7" i="1"/>
  <c r="BT7" i="1"/>
  <c r="BV7" i="1"/>
  <c r="BW7" i="1"/>
  <c r="BY7" i="1"/>
  <c r="BZ7" i="1"/>
  <c r="CB7" i="1"/>
  <c r="CC7" i="1" s="1"/>
  <c r="CE7" i="1"/>
  <c r="CF7" i="1"/>
  <c r="CH7" i="1"/>
  <c r="CI7" i="1" s="1"/>
  <c r="CK7" i="1"/>
  <c r="CL7" i="1"/>
  <c r="CN7" i="1"/>
  <c r="CO7" i="1" s="1"/>
  <c r="CQ7" i="1"/>
  <c r="CR7" i="1"/>
  <c r="CT7" i="1"/>
  <c r="CU7" i="1" s="1"/>
  <c r="CW7" i="1"/>
  <c r="CX7" i="1"/>
  <c r="CZ7" i="1"/>
  <c r="DA7" i="1"/>
  <c r="DC7" i="1"/>
  <c r="DD7" i="1"/>
  <c r="DF7" i="1"/>
  <c r="DG7" i="1"/>
  <c r="DI7" i="1"/>
  <c r="DJ7" i="1"/>
  <c r="DL7" i="1"/>
  <c r="DM7" i="1" s="1"/>
  <c r="E8" i="1"/>
  <c r="F8" i="1"/>
  <c r="H8" i="1"/>
  <c r="I8" i="1"/>
  <c r="K8" i="1"/>
  <c r="L8" i="1"/>
  <c r="N8" i="1"/>
  <c r="O8" i="1"/>
  <c r="Q8" i="1"/>
  <c r="R8" i="1"/>
  <c r="T8" i="1"/>
  <c r="U8" i="1" s="1"/>
  <c r="W8" i="1"/>
  <c r="X8" i="1" s="1"/>
  <c r="Z8" i="1"/>
  <c r="AA8" i="1"/>
  <c r="AC8" i="1"/>
  <c r="AD8" i="1"/>
  <c r="AF8" i="1"/>
  <c r="AG8" i="1"/>
  <c r="AI8" i="1"/>
  <c r="AJ8" i="1"/>
  <c r="AL8" i="1"/>
  <c r="AM8" i="1" s="1"/>
  <c r="AO8" i="1"/>
  <c r="AP8" i="1"/>
  <c r="AR8" i="1"/>
  <c r="AS8" i="1"/>
  <c r="AU8" i="1"/>
  <c r="AV8" i="1"/>
  <c r="AX8" i="1"/>
  <c r="AY8" i="1" s="1"/>
  <c r="BA8" i="1"/>
  <c r="BB8" i="1" s="1"/>
  <c r="BD8" i="1"/>
  <c r="BE8" i="1" s="1"/>
  <c r="BG8" i="1"/>
  <c r="BH8" i="1" s="1"/>
  <c r="BJ8" i="1"/>
  <c r="BK8" i="1"/>
  <c r="BM8" i="1"/>
  <c r="BN8" i="1"/>
  <c r="BP8" i="1"/>
  <c r="BQ8" i="1"/>
  <c r="BS8" i="1"/>
  <c r="BT8" i="1"/>
  <c r="BV8" i="1"/>
  <c r="BW8" i="1" s="1"/>
  <c r="BY8" i="1"/>
  <c r="BZ8" i="1"/>
  <c r="CB8" i="1"/>
  <c r="CC8" i="1"/>
  <c r="CE8" i="1"/>
  <c r="CF8" i="1"/>
  <c r="CH8" i="1"/>
  <c r="CI8" i="1"/>
  <c r="CK8" i="1"/>
  <c r="CL8" i="1"/>
  <c r="CN8" i="1"/>
  <c r="CO8" i="1" s="1"/>
  <c r="CQ8" i="1"/>
  <c r="CR8" i="1"/>
  <c r="CT8" i="1"/>
  <c r="CU8" i="1"/>
  <c r="CW8" i="1"/>
  <c r="CX8" i="1"/>
  <c r="CZ8" i="1"/>
  <c r="DA8" i="1"/>
  <c r="DC8" i="1"/>
  <c r="DD8" i="1"/>
  <c r="DF8" i="1"/>
  <c r="DG8" i="1" s="1"/>
  <c r="DI8" i="1"/>
  <c r="DJ8" i="1" s="1"/>
  <c r="DL8" i="1"/>
  <c r="DM8" i="1"/>
  <c r="E9" i="1"/>
  <c r="F9" i="1"/>
  <c r="H9" i="1"/>
  <c r="I9" i="1"/>
  <c r="K9" i="1"/>
  <c r="L9" i="1"/>
  <c r="N9" i="1"/>
  <c r="O9" i="1" s="1"/>
  <c r="Q9" i="1"/>
  <c r="R9" i="1" s="1"/>
  <c r="T9" i="1"/>
  <c r="U9" i="1"/>
  <c r="W9" i="1"/>
  <c r="X9" i="1" s="1"/>
  <c r="Z9" i="1"/>
  <c r="AA9" i="1"/>
  <c r="AC9" i="1"/>
  <c r="AD9" i="1"/>
  <c r="AF9" i="1"/>
  <c r="AG9" i="1" s="1"/>
  <c r="AI9" i="1"/>
  <c r="AJ9" i="1"/>
  <c r="AL9" i="1"/>
  <c r="AM9" i="1" s="1"/>
  <c r="AO9" i="1"/>
  <c r="AP9" i="1" s="1"/>
  <c r="AR9" i="1"/>
  <c r="AS9" i="1" s="1"/>
  <c r="AU9" i="1"/>
  <c r="AV9" i="1"/>
  <c r="AX9" i="1"/>
  <c r="AY9" i="1" s="1"/>
  <c r="BA9" i="1"/>
  <c r="BB9" i="1"/>
  <c r="BD9" i="1"/>
  <c r="BE9" i="1" s="1"/>
  <c r="BG9" i="1"/>
  <c r="BH9" i="1"/>
  <c r="BJ9" i="1"/>
  <c r="BK9" i="1"/>
  <c r="BM9" i="1"/>
  <c r="BN9" i="1" s="1"/>
  <c r="BP9" i="1"/>
  <c r="BQ9" i="1" s="1"/>
  <c r="BS9" i="1"/>
  <c r="BT9" i="1"/>
  <c r="BV9" i="1"/>
  <c r="BW9" i="1"/>
  <c r="BY9" i="1"/>
  <c r="BZ9" i="1"/>
  <c r="CB9" i="1"/>
  <c r="CC9" i="1"/>
  <c r="CE9" i="1"/>
  <c r="CF9" i="1"/>
  <c r="CH9" i="1"/>
  <c r="CI9" i="1" s="1"/>
  <c r="CK9" i="1"/>
  <c r="CL9" i="1"/>
  <c r="CN9" i="1"/>
  <c r="CO9" i="1"/>
  <c r="CQ9" i="1"/>
  <c r="CR9" i="1"/>
  <c r="CT9" i="1"/>
  <c r="CU9" i="1"/>
  <c r="CW9" i="1"/>
  <c r="CX9" i="1"/>
  <c r="CZ9" i="1"/>
  <c r="DA9" i="1" s="1"/>
  <c r="DC9" i="1"/>
  <c r="DD9" i="1"/>
  <c r="DF9" i="1"/>
  <c r="DG9" i="1"/>
  <c r="DI9" i="1"/>
  <c r="DJ9" i="1"/>
  <c r="DL9" i="1"/>
  <c r="DM9" i="1"/>
  <c r="E10" i="1"/>
  <c r="F10" i="1"/>
  <c r="H10" i="1"/>
  <c r="I10" i="1" s="1"/>
  <c r="K10" i="1"/>
  <c r="L10" i="1" s="1"/>
  <c r="N10" i="1"/>
  <c r="O10" i="1"/>
  <c r="Q10" i="1"/>
  <c r="R10" i="1"/>
  <c r="T10" i="1"/>
  <c r="U10" i="1"/>
  <c r="W10" i="1"/>
  <c r="X10" i="1" s="1"/>
  <c r="Z10" i="1"/>
  <c r="AA10" i="1" s="1"/>
  <c r="AC10" i="1"/>
  <c r="AD10" i="1" s="1"/>
  <c r="AF10" i="1"/>
  <c r="AG10" i="1"/>
  <c r="AI10" i="1"/>
  <c r="AJ10" i="1"/>
  <c r="AL10" i="1"/>
  <c r="AM10" i="1"/>
  <c r="AO10" i="1"/>
  <c r="AP10" i="1"/>
  <c r="AR10" i="1"/>
  <c r="AS10" i="1" s="1"/>
  <c r="AU10" i="1"/>
  <c r="AV10" i="1"/>
  <c r="AX10" i="1"/>
  <c r="AY10" i="1" s="1"/>
  <c r="BA10" i="1"/>
  <c r="BB10" i="1"/>
  <c r="BD10" i="1"/>
  <c r="BE10" i="1"/>
  <c r="BG10" i="1"/>
  <c r="BH10" i="1"/>
  <c r="BJ10" i="1"/>
  <c r="BK10" i="1" s="1"/>
  <c r="BM10" i="1"/>
  <c r="BN10" i="1" s="1"/>
  <c r="BP10" i="1"/>
  <c r="BQ10" i="1"/>
  <c r="BS10" i="1"/>
  <c r="BT10" i="1"/>
  <c r="BV10" i="1"/>
  <c r="BW10" i="1"/>
  <c r="BY10" i="1"/>
  <c r="BZ10" i="1"/>
  <c r="CB10" i="1"/>
  <c r="CC10" i="1" s="1"/>
  <c r="CE10" i="1"/>
  <c r="CF10" i="1"/>
  <c r="CH10" i="1"/>
  <c r="CI10" i="1"/>
  <c r="CK10" i="1"/>
  <c r="CL10" i="1"/>
  <c r="CN10" i="1"/>
  <c r="CO10" i="1" s="1"/>
  <c r="CQ10" i="1"/>
  <c r="CR10" i="1"/>
  <c r="CT10" i="1"/>
  <c r="CU10" i="1" s="1"/>
  <c r="CW10" i="1"/>
  <c r="CX10" i="1"/>
  <c r="CZ10" i="1"/>
  <c r="DA10" i="1"/>
  <c r="DC10" i="1"/>
  <c r="DD10" i="1"/>
  <c r="DF10" i="1"/>
  <c r="DG10" i="1"/>
  <c r="DI10" i="1"/>
  <c r="DJ10" i="1"/>
  <c r="DL10" i="1"/>
  <c r="DM10" i="1" s="1"/>
  <c r="E11" i="1"/>
  <c r="F11" i="1" s="1"/>
  <c r="H11" i="1"/>
  <c r="I11" i="1"/>
  <c r="K11" i="1"/>
  <c r="L11" i="1"/>
  <c r="N11" i="1"/>
  <c r="O11" i="1"/>
  <c r="Q11" i="1"/>
  <c r="R11" i="1"/>
  <c r="T11" i="1"/>
  <c r="U11" i="1" s="1"/>
  <c r="W11" i="1"/>
  <c r="X11" i="1"/>
  <c r="Z11" i="1"/>
  <c r="AA11" i="1"/>
  <c r="AC11" i="1"/>
  <c r="AD11" i="1"/>
  <c r="AF11" i="1"/>
  <c r="AG11" i="1"/>
  <c r="AI11" i="1"/>
  <c r="AJ11" i="1"/>
  <c r="AL11" i="1"/>
  <c r="AM11" i="1" s="1"/>
  <c r="AO11" i="1"/>
  <c r="AP11" i="1"/>
  <c r="AR11" i="1"/>
  <c r="AS11" i="1" s="1"/>
  <c r="AU11" i="1"/>
  <c r="AV11" i="1"/>
  <c r="AX11" i="1"/>
  <c r="AY11" i="1"/>
  <c r="BA11" i="1"/>
  <c r="BB11" i="1"/>
  <c r="BD11" i="1"/>
  <c r="BE11" i="1" s="1"/>
  <c r="BG11" i="1"/>
  <c r="BH11" i="1"/>
  <c r="BJ11" i="1"/>
  <c r="BK11" i="1"/>
  <c r="BM11" i="1"/>
  <c r="BN11" i="1" s="1"/>
  <c r="BP11" i="1"/>
  <c r="BQ11" i="1"/>
  <c r="BS11" i="1"/>
  <c r="BT11" i="1"/>
  <c r="BV11" i="1"/>
  <c r="BW11" i="1" s="1"/>
  <c r="BY11" i="1"/>
  <c r="BZ11" i="1" s="1"/>
  <c r="CB11" i="1"/>
  <c r="CC11" i="1"/>
  <c r="CE11" i="1"/>
  <c r="CF11" i="1"/>
  <c r="CH11" i="1"/>
  <c r="CI11" i="1"/>
  <c r="CK11" i="1"/>
  <c r="CL11" i="1"/>
  <c r="CN11" i="1"/>
  <c r="CO11" i="1" s="1"/>
  <c r="CQ11" i="1"/>
  <c r="CR11" i="1"/>
  <c r="CT11" i="1"/>
  <c r="CU11" i="1"/>
  <c r="CW11" i="1"/>
  <c r="CX11" i="1"/>
  <c r="CZ11" i="1"/>
  <c r="DA11" i="1"/>
  <c r="DC11" i="1"/>
  <c r="DD11" i="1"/>
  <c r="DF11" i="1"/>
  <c r="DG11" i="1" s="1"/>
  <c r="DI11" i="1"/>
  <c r="DJ11" i="1"/>
  <c r="DL11" i="1"/>
  <c r="DM11" i="1"/>
  <c r="E12" i="1"/>
  <c r="F12" i="1"/>
  <c r="H12" i="1"/>
  <c r="I12" i="1"/>
  <c r="K12" i="1"/>
  <c r="L12" i="1"/>
  <c r="N12" i="1"/>
  <c r="O12" i="1" s="1"/>
  <c r="Q12" i="1"/>
  <c r="R12" i="1"/>
  <c r="T12" i="1"/>
  <c r="U12" i="1"/>
  <c r="W12" i="1"/>
  <c r="X12" i="1" s="1"/>
  <c r="Z12" i="1"/>
  <c r="AA12" i="1"/>
  <c r="AC12" i="1"/>
  <c r="AD12" i="1"/>
  <c r="AF12" i="1"/>
  <c r="AG12" i="1" s="1"/>
  <c r="AI12" i="1"/>
  <c r="AJ12" i="1"/>
  <c r="AL12" i="1"/>
  <c r="AM12" i="1"/>
  <c r="AO12" i="1"/>
  <c r="AP12" i="1"/>
  <c r="AR12" i="1"/>
  <c r="AS12" i="1"/>
  <c r="AU12" i="1"/>
  <c r="AV12" i="1"/>
  <c r="AX12" i="1"/>
  <c r="AY12" i="1" s="1"/>
  <c r="BA12" i="1"/>
  <c r="BB12" i="1"/>
  <c r="BD12" i="1"/>
  <c r="BE12" i="1"/>
  <c r="BG12" i="1"/>
  <c r="BH12" i="1"/>
  <c r="BJ12" i="1"/>
  <c r="BK12" i="1"/>
  <c r="BM12" i="1"/>
  <c r="BN12" i="1"/>
  <c r="BP12" i="1"/>
  <c r="BQ12" i="1" s="1"/>
  <c r="BS12" i="1"/>
  <c r="BT12" i="1"/>
  <c r="BV12" i="1"/>
  <c r="BW12" i="1"/>
  <c r="BY12" i="1"/>
  <c r="BZ12" i="1"/>
  <c r="CB12" i="1"/>
  <c r="CC12" i="1"/>
  <c r="CE12" i="1"/>
  <c r="CF12" i="1"/>
  <c r="CH12" i="1"/>
  <c r="CI12" i="1" s="1"/>
  <c r="CK12" i="1"/>
  <c r="CL12" i="1"/>
  <c r="CN12" i="1"/>
  <c r="CO12" i="1"/>
  <c r="CQ12" i="1"/>
  <c r="CR12" i="1"/>
  <c r="CT12" i="1"/>
  <c r="CU12" i="1"/>
  <c r="CW12" i="1"/>
  <c r="CX12" i="1"/>
  <c r="CZ12" i="1"/>
  <c r="DA12" i="1" s="1"/>
  <c r="DC12" i="1"/>
  <c r="DD12" i="1"/>
  <c r="DF12" i="1"/>
  <c r="DG12" i="1"/>
  <c r="DI12" i="1"/>
  <c r="DJ12" i="1"/>
  <c r="DL12" i="1"/>
  <c r="DM12" i="1"/>
  <c r="E13" i="1"/>
  <c r="F13" i="1"/>
  <c r="H13" i="1"/>
  <c r="I13" i="1" s="1"/>
  <c r="K13" i="1"/>
  <c r="L13" i="1" s="1"/>
  <c r="N13" i="1"/>
  <c r="O13" i="1"/>
  <c r="Q13" i="1"/>
  <c r="R13" i="1"/>
  <c r="T13" i="1"/>
  <c r="U13" i="1"/>
  <c r="W13" i="1"/>
  <c r="X13" i="1"/>
  <c r="Z13" i="1"/>
  <c r="AA13" i="1" s="1"/>
  <c r="AC13" i="1"/>
  <c r="AD13" i="1"/>
  <c r="AF13" i="1"/>
  <c r="AG13" i="1"/>
  <c r="AI13" i="1"/>
  <c r="AJ13" i="1"/>
  <c r="AL13" i="1"/>
  <c r="AM13" i="1"/>
  <c r="AO13" i="1"/>
  <c r="AP13" i="1"/>
  <c r="AR13" i="1"/>
  <c r="AS13" i="1" s="1"/>
  <c r="AU13" i="1"/>
  <c r="AV13" i="1"/>
  <c r="AX13" i="1"/>
  <c r="AY13" i="1"/>
  <c r="BA13" i="1"/>
  <c r="BB13" i="1"/>
  <c r="BD13" i="1"/>
  <c r="BE13" i="1"/>
  <c r="BG13" i="1"/>
  <c r="BH13" i="1"/>
  <c r="BJ13" i="1"/>
  <c r="BK13" i="1" s="1"/>
  <c r="BM13" i="1"/>
  <c r="BN13" i="1" s="1"/>
  <c r="BP13" i="1"/>
  <c r="BQ13" i="1"/>
  <c r="BS13" i="1"/>
  <c r="BT13" i="1"/>
  <c r="BV13" i="1"/>
  <c r="BW13" i="1"/>
  <c r="BY13" i="1"/>
  <c r="BZ13" i="1"/>
  <c r="CB13" i="1"/>
  <c r="CC13" i="1" s="1"/>
  <c r="CE13" i="1"/>
  <c r="CF13" i="1"/>
  <c r="CH13" i="1"/>
  <c r="CI13" i="1"/>
  <c r="CK13" i="1"/>
  <c r="CL13" i="1"/>
  <c r="CN13" i="1"/>
  <c r="CO13" i="1" s="1"/>
  <c r="CQ13" i="1"/>
  <c r="CR13" i="1"/>
  <c r="CT13" i="1"/>
  <c r="CU13" i="1" s="1"/>
  <c r="CW13" i="1"/>
  <c r="CX13" i="1"/>
  <c r="CZ13" i="1"/>
  <c r="DA13" i="1"/>
  <c r="DC13" i="1"/>
  <c r="DD13" i="1"/>
  <c r="DF13" i="1"/>
  <c r="DG13" i="1"/>
  <c r="DI13" i="1"/>
  <c r="DJ13" i="1"/>
  <c r="DL13" i="1"/>
  <c r="DM13" i="1" s="1"/>
  <c r="E14" i="1"/>
  <c r="F14" i="1" s="1"/>
  <c r="H14" i="1"/>
  <c r="I14" i="1"/>
  <c r="K14" i="1"/>
  <c r="L14" i="1"/>
  <c r="N14" i="1"/>
  <c r="O14" i="1"/>
  <c r="Q14" i="1"/>
  <c r="R14" i="1"/>
  <c r="T14" i="1"/>
  <c r="U14" i="1" s="1"/>
  <c r="W14" i="1"/>
  <c r="X14" i="1"/>
  <c r="Z14" i="1"/>
  <c r="AA14" i="1"/>
  <c r="AC14" i="1"/>
  <c r="AD14" i="1"/>
  <c r="AF14" i="1"/>
  <c r="AG14" i="1"/>
  <c r="AI14" i="1"/>
  <c r="AJ14" i="1" s="1"/>
  <c r="AL14" i="1"/>
  <c r="AM14" i="1" s="1"/>
  <c r="AO14" i="1"/>
  <c r="AP14" i="1" s="1"/>
  <c r="AR14" i="1"/>
  <c r="AS14" i="1" s="1"/>
  <c r="AU14" i="1"/>
  <c r="AV14" i="1"/>
  <c r="AX14" i="1"/>
  <c r="AY14" i="1" s="1"/>
  <c r="BA14" i="1"/>
  <c r="BB14" i="1" s="1"/>
  <c r="BD14" i="1"/>
  <c r="BE14" i="1" s="1"/>
  <c r="BG14" i="1"/>
  <c r="BH14" i="1"/>
  <c r="BJ14" i="1"/>
  <c r="BK14" i="1"/>
  <c r="BM14" i="1"/>
  <c r="BN14" i="1"/>
  <c r="BP14" i="1"/>
  <c r="BQ14" i="1"/>
  <c r="BS14" i="1"/>
  <c r="BT14" i="1"/>
  <c r="BV14" i="1"/>
  <c r="BW14" i="1" s="1"/>
  <c r="BY14" i="1"/>
  <c r="BZ14" i="1"/>
  <c r="CB14" i="1"/>
  <c r="CC14" i="1"/>
  <c r="CE14" i="1"/>
  <c r="CF14" i="1"/>
  <c r="CH14" i="1"/>
  <c r="CI14" i="1"/>
  <c r="CK14" i="1"/>
  <c r="CL14" i="1"/>
  <c r="CN14" i="1"/>
  <c r="CO14" i="1" s="1"/>
  <c r="CQ14" i="1"/>
  <c r="CR14" i="1"/>
  <c r="CT14" i="1"/>
  <c r="CU14" i="1"/>
  <c r="CW14" i="1"/>
  <c r="CX14" i="1"/>
  <c r="CZ14" i="1"/>
  <c r="DA14" i="1"/>
  <c r="DC14" i="1"/>
  <c r="DD14" i="1"/>
  <c r="DF14" i="1"/>
  <c r="DG14" i="1" s="1"/>
  <c r="DI14" i="1"/>
  <c r="DJ14" i="1"/>
  <c r="DL14" i="1"/>
  <c r="DM14" i="1"/>
  <c r="E15" i="1"/>
  <c r="F15" i="1"/>
  <c r="H15" i="1"/>
  <c r="I15" i="1"/>
  <c r="K15" i="1"/>
  <c r="L15" i="1"/>
  <c r="N15" i="1"/>
  <c r="O15" i="1" s="1"/>
  <c r="Q15" i="1"/>
  <c r="R15" i="1"/>
  <c r="T15" i="1"/>
  <c r="U15" i="1"/>
  <c r="W15" i="1"/>
  <c r="X15" i="1"/>
  <c r="Z15" i="1"/>
  <c r="AA15" i="1"/>
  <c r="AC15" i="1"/>
  <c r="AD15" i="1"/>
  <c r="AF15" i="1"/>
  <c r="AG15" i="1" s="1"/>
  <c r="AI15" i="1"/>
  <c r="AJ15" i="1"/>
  <c r="AL15" i="1"/>
  <c r="AM15" i="1"/>
  <c r="AO15" i="1"/>
  <c r="AP15" i="1"/>
  <c r="AR15" i="1"/>
  <c r="AS15" i="1"/>
  <c r="AU15" i="1"/>
  <c r="AV15" i="1"/>
  <c r="AX15" i="1"/>
  <c r="AY15" i="1" s="1"/>
  <c r="BA15" i="1"/>
  <c r="BB15" i="1" s="1"/>
  <c r="BD15" i="1"/>
  <c r="BE15" i="1"/>
  <c r="BG15" i="1"/>
  <c r="BH15" i="1"/>
  <c r="BJ15" i="1"/>
  <c r="BK15" i="1"/>
  <c r="BM15" i="1"/>
  <c r="BN15" i="1"/>
  <c r="BP15" i="1"/>
  <c r="BQ15" i="1" s="1"/>
  <c r="BS15" i="1"/>
  <c r="BT15" i="1" s="1"/>
  <c r="BV15" i="1"/>
  <c r="BW15" i="1"/>
  <c r="BY15" i="1"/>
  <c r="BZ15" i="1"/>
  <c r="CB15" i="1"/>
  <c r="CC15" i="1"/>
  <c r="CE15" i="1"/>
  <c r="CF15" i="1"/>
  <c r="CH15" i="1"/>
  <c r="CI15" i="1" s="1"/>
  <c r="CK15" i="1"/>
  <c r="CL15" i="1"/>
  <c r="CN15" i="1"/>
  <c r="CO15" i="1"/>
  <c r="CQ15" i="1"/>
  <c r="CR15" i="1"/>
  <c r="CT15" i="1"/>
  <c r="CU15" i="1"/>
  <c r="CW15" i="1"/>
  <c r="CX15" i="1"/>
  <c r="CZ15" i="1"/>
  <c r="DA15" i="1" s="1"/>
  <c r="DC15" i="1"/>
  <c r="DD15" i="1"/>
  <c r="DF15" i="1"/>
  <c r="DG15" i="1"/>
  <c r="DI15" i="1"/>
  <c r="DJ15" i="1"/>
  <c r="DL15" i="1"/>
  <c r="DM15" i="1"/>
  <c r="E16" i="1"/>
  <c r="F16" i="1"/>
  <c r="H16" i="1"/>
  <c r="I16" i="1" s="1"/>
  <c r="K16" i="1"/>
  <c r="L16" i="1" s="1"/>
  <c r="N16" i="1"/>
  <c r="O16" i="1"/>
  <c r="Q16" i="1"/>
  <c r="R16" i="1"/>
  <c r="T16" i="1"/>
  <c r="U16" i="1"/>
  <c r="W16" i="1"/>
  <c r="X16" i="1" s="1"/>
  <c r="Z16" i="1"/>
  <c r="AA16" i="1" s="1"/>
  <c r="AC16" i="1"/>
  <c r="AD16" i="1"/>
  <c r="AF16" i="1"/>
  <c r="AG16" i="1"/>
  <c r="AI16" i="1"/>
  <c r="AJ16" i="1"/>
  <c r="AL16" i="1"/>
  <c r="AM16" i="1"/>
  <c r="AO16" i="1"/>
  <c r="AP16" i="1"/>
  <c r="AR16" i="1"/>
  <c r="AS16" i="1" s="1"/>
  <c r="AU16" i="1"/>
  <c r="AV16" i="1" s="1"/>
  <c r="AX16" i="1"/>
  <c r="AY16" i="1"/>
  <c r="BA16" i="1"/>
  <c r="BB16" i="1"/>
  <c r="BD16" i="1"/>
  <c r="BE16" i="1" s="1"/>
  <c r="BG16" i="1"/>
  <c r="BH16" i="1" s="1"/>
  <c r="BJ16" i="1"/>
  <c r="BK16" i="1" s="1"/>
  <c r="BM16" i="1"/>
  <c r="BN16" i="1"/>
  <c r="BP16" i="1"/>
  <c r="BQ16" i="1"/>
  <c r="BS16" i="1"/>
  <c r="BT16" i="1"/>
  <c r="BV16" i="1"/>
  <c r="BW16" i="1"/>
  <c r="BY16" i="1"/>
  <c r="BZ16" i="1"/>
  <c r="CB16" i="1"/>
  <c r="CC16" i="1" s="1"/>
  <c r="CE16" i="1"/>
  <c r="CF16" i="1" s="1"/>
  <c r="CH16" i="1"/>
  <c r="CI16" i="1"/>
  <c r="CK16" i="1"/>
  <c r="CL16" i="1"/>
  <c r="CN16" i="1"/>
  <c r="CO16" i="1"/>
  <c r="CQ16" i="1"/>
  <c r="CR16" i="1"/>
  <c r="CT16" i="1"/>
  <c r="CU16" i="1" s="1"/>
  <c r="CW16" i="1"/>
  <c r="CX16" i="1"/>
  <c r="CZ16" i="1"/>
  <c r="DA16" i="1"/>
  <c r="DC16" i="1"/>
  <c r="DD16" i="1"/>
  <c r="DF16" i="1"/>
  <c r="DG16" i="1"/>
  <c r="DI16" i="1"/>
  <c r="DJ16" i="1"/>
  <c r="DL16" i="1"/>
  <c r="DM16" i="1" s="1"/>
  <c r="E17" i="1"/>
  <c r="F17" i="1" s="1"/>
  <c r="H17" i="1"/>
  <c r="I17" i="1"/>
  <c r="K17" i="1"/>
  <c r="L17" i="1"/>
  <c r="N17" i="1"/>
  <c r="O17" i="1"/>
  <c r="Q17" i="1"/>
  <c r="R17" i="1"/>
  <c r="T17" i="1"/>
  <c r="U17" i="1" s="1"/>
  <c r="W17" i="1"/>
  <c r="X17" i="1" s="1"/>
  <c r="Z17" i="1"/>
  <c r="AA17" i="1"/>
  <c r="AC17" i="1"/>
  <c r="AD17" i="1"/>
  <c r="AF17" i="1"/>
  <c r="AG17" i="1"/>
  <c r="AI17" i="1"/>
  <c r="AJ17" i="1"/>
  <c r="AL17" i="1"/>
  <c r="AM17" i="1" s="1"/>
  <c r="AO17" i="1"/>
  <c r="AP17" i="1"/>
  <c r="AR17" i="1"/>
  <c r="AS17" i="1"/>
  <c r="AU17" i="1"/>
  <c r="AV17" i="1"/>
  <c r="AX17" i="1"/>
  <c r="AY17" i="1"/>
  <c r="BA17" i="1"/>
  <c r="BB17" i="1"/>
  <c r="BD17" i="1"/>
  <c r="BE17" i="1" s="1"/>
  <c r="BG17" i="1"/>
  <c r="BH17" i="1"/>
  <c r="BJ17" i="1"/>
  <c r="BK17" i="1"/>
  <c r="BM17" i="1"/>
  <c r="BN17" i="1"/>
  <c r="BP17" i="1"/>
  <c r="BQ17" i="1"/>
  <c r="BS17" i="1"/>
  <c r="BT17" i="1"/>
  <c r="BV17" i="1"/>
  <c r="BW17" i="1" s="1"/>
  <c r="BY17" i="1"/>
  <c r="BZ17" i="1" s="1"/>
  <c r="CB17" i="1"/>
  <c r="CC17" i="1"/>
  <c r="CE17" i="1"/>
  <c r="CF17" i="1"/>
  <c r="CH17" i="1"/>
  <c r="CI17" i="1"/>
  <c r="CK17" i="1"/>
  <c r="CL17" i="1"/>
  <c r="CN17" i="1"/>
  <c r="CO17" i="1" s="1"/>
  <c r="CQ17" i="1"/>
  <c r="CR17" i="1"/>
  <c r="CT17" i="1"/>
  <c r="CU17" i="1"/>
  <c r="CW17" i="1"/>
  <c r="CX17" i="1"/>
  <c r="CZ17" i="1"/>
  <c r="DA17" i="1"/>
  <c r="DC17" i="1"/>
  <c r="DD17" i="1"/>
  <c r="DF17" i="1"/>
  <c r="DG17" i="1" s="1"/>
  <c r="DI17" i="1"/>
  <c r="DJ17" i="1" s="1"/>
  <c r="DL17" i="1"/>
  <c r="DM17" i="1"/>
  <c r="AY89" i="1" l="1"/>
  <c r="DG89" i="1"/>
  <c r="DC140" i="1"/>
  <c r="AO140" i="1"/>
  <c r="CR89" i="1"/>
  <c r="DV83" i="1"/>
  <c r="CX140" i="1"/>
  <c r="BT89" i="1"/>
  <c r="AJ111" i="1"/>
  <c r="CR111" i="1"/>
  <c r="BB89" i="1"/>
  <c r="DD89" i="1"/>
  <c r="AD89" i="1"/>
  <c r="U111" i="1"/>
  <c r="CI89" i="1"/>
  <c r="AJ89" i="1"/>
  <c r="BK89" i="1"/>
  <c r="CL89" i="1"/>
  <c r="DV84" i="1"/>
  <c r="BW89" i="1"/>
  <c r="DI140" i="1"/>
  <c r="DV80" i="1"/>
  <c r="DP89" i="1"/>
  <c r="DV79" i="1"/>
  <c r="CF111" i="1"/>
  <c r="BK111" i="1"/>
  <c r="DV114" i="1"/>
  <c r="O89" i="1"/>
  <c r="AM89" i="1"/>
  <c r="DV87" i="1"/>
  <c r="DV97" i="1"/>
  <c r="DV99" i="1"/>
  <c r="CU111" i="1"/>
  <c r="DU98" i="1"/>
  <c r="F98" i="1"/>
  <c r="DV98" i="1" s="1"/>
  <c r="T111" i="1"/>
  <c r="DU126" i="1"/>
  <c r="F126" i="1"/>
  <c r="DV126" i="1" s="1"/>
  <c r="T89" i="1"/>
  <c r="BD89" i="1"/>
  <c r="BD140" i="1" s="1"/>
  <c r="CN89" i="1"/>
  <c r="F77" i="1"/>
  <c r="DV77" i="1" s="1"/>
  <c r="X77" i="1"/>
  <c r="X89" i="1" s="1"/>
  <c r="X140" i="1" s="1"/>
  <c r="F82" i="1"/>
  <c r="DV82" i="1" s="1"/>
  <c r="U84" i="1"/>
  <c r="AC89" i="1"/>
  <c r="CW89" i="1"/>
  <c r="CW140" i="1" s="1"/>
  <c r="DP90" i="1"/>
  <c r="DP111" i="1" s="1"/>
  <c r="F92" i="1"/>
  <c r="DV92" i="1" s="1"/>
  <c r="DU96" i="1"/>
  <c r="O96" i="1"/>
  <c r="DV106" i="1"/>
  <c r="CF128" i="1"/>
  <c r="DU114" i="1"/>
  <c r="DU79" i="1"/>
  <c r="BV89" i="1"/>
  <c r="CX111" i="1"/>
  <c r="DU78" i="1"/>
  <c r="DU80" i="1"/>
  <c r="BN88" i="1"/>
  <c r="DV88" i="1" s="1"/>
  <c r="Q89" i="1"/>
  <c r="AU89" i="1"/>
  <c r="CK89" i="1"/>
  <c r="DO89" i="1"/>
  <c r="DO140" i="1" s="1"/>
  <c r="AU111" i="1"/>
  <c r="DU90" i="1"/>
  <c r="DU94" i="1"/>
  <c r="O128" i="1"/>
  <c r="AL128" i="1"/>
  <c r="AM112" i="1"/>
  <c r="AM128" i="1" s="1"/>
  <c r="BK112" i="1"/>
  <c r="BK128" i="1" s="1"/>
  <c r="CN128" i="1"/>
  <c r="CO115" i="1"/>
  <c r="CO128" i="1" s="1"/>
  <c r="DV121" i="1"/>
  <c r="CO89" i="1"/>
  <c r="CO140" i="1" s="1"/>
  <c r="F76" i="1"/>
  <c r="AP76" i="1"/>
  <c r="AP89" i="1" s="1"/>
  <c r="BZ76" i="1"/>
  <c r="BZ89" i="1" s="1"/>
  <c r="DJ76" i="1"/>
  <c r="DJ89" i="1" s="1"/>
  <c r="F78" i="1"/>
  <c r="DV78" i="1" s="1"/>
  <c r="F85" i="1"/>
  <c r="DV85" i="1" s="1"/>
  <c r="BJ89" i="1"/>
  <c r="BJ140" i="1" s="1"/>
  <c r="L90" i="1"/>
  <c r="AD90" i="1"/>
  <c r="AD111" i="1" s="1"/>
  <c r="AV90" i="1"/>
  <c r="AV111" i="1" s="1"/>
  <c r="BN90" i="1"/>
  <c r="BN111" i="1" s="1"/>
  <c r="DA90" i="1"/>
  <c r="DA111" i="1" s="1"/>
  <c r="F94" i="1"/>
  <c r="DV94" i="1" s="1"/>
  <c r="DU106" i="1"/>
  <c r="DU109" i="1"/>
  <c r="I109" i="1"/>
  <c r="DV109" i="1" s="1"/>
  <c r="CH111" i="1"/>
  <c r="CH140" i="1" s="1"/>
  <c r="DI111" i="1"/>
  <c r="Q128" i="1"/>
  <c r="R112" i="1"/>
  <c r="R128" i="1" s="1"/>
  <c r="DV108" i="1"/>
  <c r="H89" i="1"/>
  <c r="AR89" i="1"/>
  <c r="AR140" i="1" s="1"/>
  <c r="CB89" i="1"/>
  <c r="DL89" i="1"/>
  <c r="DD77" i="1"/>
  <c r="E89" i="1"/>
  <c r="AI89" i="1"/>
  <c r="AW140" i="1"/>
  <c r="DQ140" i="1"/>
  <c r="N111" i="1"/>
  <c r="N140" i="1" s="1"/>
  <c r="AX111" i="1"/>
  <c r="BP111" i="1"/>
  <c r="DC111" i="1"/>
  <c r="DU104" i="1"/>
  <c r="BQ128" i="1"/>
  <c r="BE89" i="1"/>
  <c r="CE111" i="1"/>
  <c r="I76" i="1"/>
  <c r="I89" i="1" s="1"/>
  <c r="AA76" i="1"/>
  <c r="AA89" i="1" s="1"/>
  <c r="AS76" i="1"/>
  <c r="AS89" i="1" s="1"/>
  <c r="CC76" i="1"/>
  <c r="CC89" i="1" s="1"/>
  <c r="CU76" i="1"/>
  <c r="CU89" i="1" s="1"/>
  <c r="DM76" i="1"/>
  <c r="DM89" i="1" s="1"/>
  <c r="F81" i="1"/>
  <c r="DV81" i="1" s="1"/>
  <c r="AX89" i="1"/>
  <c r="AX140" i="1" s="1"/>
  <c r="O90" i="1"/>
  <c r="AG90" i="1"/>
  <c r="AG111" i="1" s="1"/>
  <c r="AY90" i="1"/>
  <c r="AY111" i="1" s="1"/>
  <c r="BQ90" i="1"/>
  <c r="BQ111" i="1" s="1"/>
  <c r="CK111" i="1"/>
  <c r="DD90" i="1"/>
  <c r="DD111" i="1" s="1"/>
  <c r="F91" i="1"/>
  <c r="DV91" i="1" s="1"/>
  <c r="DV110" i="1"/>
  <c r="BJ111" i="1"/>
  <c r="U89" i="1"/>
  <c r="BA111" i="1"/>
  <c r="BA140" i="1" s="1"/>
  <c r="L76" i="1"/>
  <c r="L89" i="1" s="1"/>
  <c r="BN76" i="1"/>
  <c r="BN89" i="1" s="1"/>
  <c r="CF76" i="1"/>
  <c r="CF89" i="1" s="1"/>
  <c r="CR81" i="1"/>
  <c r="DT89" i="1"/>
  <c r="DT140" i="1" s="1"/>
  <c r="R90" i="1"/>
  <c r="BB90" i="1"/>
  <c r="BB111" i="1" s="1"/>
  <c r="BT90" i="1"/>
  <c r="BT111" i="1" s="1"/>
  <c r="CN111" i="1"/>
  <c r="DG90" i="1"/>
  <c r="DG111" i="1" s="1"/>
  <c r="CR91" i="1"/>
  <c r="DU95" i="1"/>
  <c r="DV103" i="1"/>
  <c r="CU128" i="1"/>
  <c r="DU116" i="1"/>
  <c r="K128" i="1"/>
  <c r="L116" i="1"/>
  <c r="DV116" i="1" s="1"/>
  <c r="BP139" i="1"/>
  <c r="BQ129" i="1"/>
  <c r="BQ139" i="1" s="1"/>
  <c r="DU131" i="1"/>
  <c r="CL111" i="1"/>
  <c r="DU103" i="1"/>
  <c r="AF89" i="1"/>
  <c r="BP89" i="1"/>
  <c r="CZ89" i="1"/>
  <c r="CZ140" i="1" s="1"/>
  <c r="AL111" i="1"/>
  <c r="AL140" i="1" s="1"/>
  <c r="BD111" i="1"/>
  <c r="BV111" i="1"/>
  <c r="CO111" i="1"/>
  <c r="DJ111" i="1"/>
  <c r="I95" i="1"/>
  <c r="DV95" i="1" s="1"/>
  <c r="DV96" i="1"/>
  <c r="DV100" i="1"/>
  <c r="CW128" i="1"/>
  <c r="CX112" i="1"/>
  <c r="CX128" i="1" s="1"/>
  <c r="CT139" i="1"/>
  <c r="CU131" i="1"/>
  <c r="CU139" i="1" s="1"/>
  <c r="AG76" i="1"/>
  <c r="AG89" i="1" s="1"/>
  <c r="BQ76" i="1"/>
  <c r="BQ89" i="1" s="1"/>
  <c r="DA76" i="1"/>
  <c r="DA89" i="1" s="1"/>
  <c r="DU86" i="1"/>
  <c r="AM90" i="1"/>
  <c r="AM111" i="1" s="1"/>
  <c r="BE90" i="1"/>
  <c r="BE111" i="1" s="1"/>
  <c r="BW90" i="1"/>
  <c r="BW111" i="1" s="1"/>
  <c r="DL111" i="1"/>
  <c r="DU105" i="1"/>
  <c r="BB128" i="1"/>
  <c r="BZ128" i="1"/>
  <c r="F115" i="1"/>
  <c r="DV115" i="1" s="1"/>
  <c r="DU115" i="1"/>
  <c r="DV119" i="1"/>
  <c r="Q139" i="1"/>
  <c r="R129" i="1"/>
  <c r="R139" i="1" s="1"/>
  <c r="AI111" i="1"/>
  <c r="F86" i="1"/>
  <c r="DV86" i="1" s="1"/>
  <c r="CG140" i="1"/>
  <c r="CT111" i="1"/>
  <c r="CT140" i="1" s="1"/>
  <c r="DU93" i="1"/>
  <c r="F93" i="1"/>
  <c r="DV93" i="1" s="1"/>
  <c r="DV104" i="1"/>
  <c r="F105" i="1"/>
  <c r="DV105" i="1" s="1"/>
  <c r="AF128" i="1"/>
  <c r="J140" i="1"/>
  <c r="AT140" i="1"/>
  <c r="BR140" i="1"/>
  <c r="CD140" i="1"/>
  <c r="AA111" i="1"/>
  <c r="AS111" i="1"/>
  <c r="CC111" i="1"/>
  <c r="DM111" i="1"/>
  <c r="DV107" i="1"/>
  <c r="BJ139" i="1"/>
  <c r="BK129" i="1"/>
  <c r="BK139" i="1" s="1"/>
  <c r="DL139" i="1"/>
  <c r="DM129" i="1"/>
  <c r="DM139" i="1" s="1"/>
  <c r="DU99" i="1"/>
  <c r="BV128" i="1"/>
  <c r="BW112" i="1"/>
  <c r="BW128" i="1" s="1"/>
  <c r="DO128" i="1"/>
  <c r="BM139" i="1"/>
  <c r="BN129" i="1"/>
  <c r="BN139" i="1" s="1"/>
  <c r="CN139" i="1"/>
  <c r="H128" i="1"/>
  <c r="I112" i="1"/>
  <c r="I128" i="1" s="1"/>
  <c r="BE112" i="1"/>
  <c r="BE128" i="1" s="1"/>
  <c r="BD128" i="1"/>
  <c r="CB128" i="1"/>
  <c r="DU112" i="1"/>
  <c r="DV122" i="1"/>
  <c r="AR139" i="1"/>
  <c r="AS129" i="1"/>
  <c r="AS139" i="1" s="1"/>
  <c r="R106" i="1"/>
  <c r="L128" i="1"/>
  <c r="CC112" i="1"/>
  <c r="CC128" i="1" s="1"/>
  <c r="CZ128" i="1"/>
  <c r="AU128" i="1"/>
  <c r="AI128" i="1"/>
  <c r="CE128" i="1"/>
  <c r="CE140" i="1" s="1"/>
  <c r="DA128" i="1"/>
  <c r="AY129" i="1"/>
  <c r="AY139" i="1" s="1"/>
  <c r="AX139" i="1"/>
  <c r="S140" i="1"/>
  <c r="AE140" i="1"/>
  <c r="E111" i="1"/>
  <c r="W111" i="1"/>
  <c r="AO111" i="1"/>
  <c r="BY111" i="1"/>
  <c r="DU102" i="1"/>
  <c r="DV118" i="1"/>
  <c r="F125" i="1"/>
  <c r="DV125" i="1" s="1"/>
  <c r="DU125" i="1"/>
  <c r="DU133" i="1"/>
  <c r="F133" i="1"/>
  <c r="X111" i="1"/>
  <c r="AP111" i="1"/>
  <c r="BZ90" i="1"/>
  <c r="BZ111" i="1" s="1"/>
  <c r="DU101" i="1"/>
  <c r="F102" i="1"/>
  <c r="DV102" i="1" s="1"/>
  <c r="DU120" i="1"/>
  <c r="CI129" i="1"/>
  <c r="CI139" i="1" s="1"/>
  <c r="CH139" i="1"/>
  <c r="H111" i="1"/>
  <c r="Z111" i="1"/>
  <c r="Z140" i="1" s="1"/>
  <c r="AR111" i="1"/>
  <c r="CB111" i="1"/>
  <c r="DU97" i="1"/>
  <c r="F101" i="1"/>
  <c r="DV101" i="1" s="1"/>
  <c r="DU107" i="1"/>
  <c r="DU119" i="1"/>
  <c r="DU127" i="1"/>
  <c r="F127" i="1"/>
  <c r="DV127" i="1" s="1"/>
  <c r="DU108" i="1"/>
  <c r="AA128" i="1"/>
  <c r="CR128" i="1"/>
  <c r="DM128" i="1"/>
  <c r="BH139" i="1"/>
  <c r="BH140" i="1" s="1"/>
  <c r="L139" i="1"/>
  <c r="AM131" i="1"/>
  <c r="AL139" i="1"/>
  <c r="DU135" i="1"/>
  <c r="CE139" i="1"/>
  <c r="AO139" i="1"/>
  <c r="CK139" i="1"/>
  <c r="DI139" i="1"/>
  <c r="F138" i="1"/>
  <c r="DV138" i="1" s="1"/>
  <c r="DU138" i="1"/>
  <c r="U139" i="1"/>
  <c r="CO139" i="1"/>
  <c r="W139" i="1"/>
  <c r="W140" i="1" s="1"/>
  <c r="BT129" i="1"/>
  <c r="BT139" i="1" s="1"/>
  <c r="CR139" i="1"/>
  <c r="AU139" i="1"/>
  <c r="CQ139" i="1"/>
  <c r="U112" i="1"/>
  <c r="U128" i="1" s="1"/>
  <c r="T128" i="1"/>
  <c r="AP128" i="1"/>
  <c r="BM128" i="1"/>
  <c r="BM140" i="1" s="1"/>
  <c r="CH128" i="1"/>
  <c r="CI112" i="1"/>
  <c r="CI128" i="1" s="1"/>
  <c r="DU117" i="1"/>
  <c r="AA139" i="1"/>
  <c r="BV139" i="1"/>
  <c r="W128" i="1"/>
  <c r="AR128" i="1"/>
  <c r="BN112" i="1"/>
  <c r="BN128" i="1" s="1"/>
  <c r="F117" i="1"/>
  <c r="DV117" i="1" s="1"/>
  <c r="BH131" i="1"/>
  <c r="BG139" i="1"/>
  <c r="BG140" i="1" s="1"/>
  <c r="DP133" i="1"/>
  <c r="DP139" i="1" s="1"/>
  <c r="DO139" i="1"/>
  <c r="Z139" i="1"/>
  <c r="DU110" i="1"/>
  <c r="X128" i="1"/>
  <c r="AS112" i="1"/>
  <c r="AS128" i="1" s="1"/>
  <c r="DJ128" i="1"/>
  <c r="DC139" i="1"/>
  <c r="DG131" i="1"/>
  <c r="DG139" i="1" s="1"/>
  <c r="DF139" i="1"/>
  <c r="Z128" i="1"/>
  <c r="AV128" i="1"/>
  <c r="AV140" i="1" s="1"/>
  <c r="CQ128" i="1"/>
  <c r="CQ140" i="1" s="1"/>
  <c r="DL128" i="1"/>
  <c r="AG113" i="1"/>
  <c r="CC139" i="1"/>
  <c r="DD129" i="1"/>
  <c r="DD139" i="1" s="1"/>
  <c r="K139" i="1"/>
  <c r="K140" i="1" s="1"/>
  <c r="AJ131" i="1"/>
  <c r="AJ139" i="1" s="1"/>
  <c r="N128" i="1"/>
  <c r="BA128" i="1"/>
  <c r="BT128" i="1"/>
  <c r="DV123" i="1"/>
  <c r="BP128" i="1"/>
  <c r="H139" i="1"/>
  <c r="I129" i="1"/>
  <c r="I139" i="1" s="1"/>
  <c r="CZ139" i="1"/>
  <c r="DA129" i="1"/>
  <c r="DA139" i="1" s="1"/>
  <c r="DV136" i="1"/>
  <c r="AC128" i="1"/>
  <c r="BA139" i="1"/>
  <c r="DU132" i="1"/>
  <c r="DV135" i="1"/>
  <c r="AD112" i="1"/>
  <c r="AD128" i="1" s="1"/>
  <c r="AX128" i="1"/>
  <c r="CK128" i="1"/>
  <c r="DD112" i="1"/>
  <c r="DD128" i="1" s="1"/>
  <c r="DU122" i="1"/>
  <c r="E139" i="1"/>
  <c r="DU129" i="1"/>
  <c r="AC139" i="1"/>
  <c r="AD129" i="1"/>
  <c r="AD139" i="1" s="1"/>
  <c r="BB129" i="1"/>
  <c r="BB139" i="1" s="1"/>
  <c r="DU130" i="1"/>
  <c r="F132" i="1"/>
  <c r="AY112" i="1"/>
  <c r="AY128" i="1" s="1"/>
  <c r="CL112" i="1"/>
  <c r="CL128" i="1" s="1"/>
  <c r="DF128" i="1"/>
  <c r="DF140" i="1" s="1"/>
  <c r="DG112" i="1"/>
  <c r="DG128" i="1" s="1"/>
  <c r="DU123" i="1"/>
  <c r="AF139" i="1"/>
  <c r="AG129" i="1"/>
  <c r="AG139" i="1" s="1"/>
  <c r="DV130" i="1"/>
  <c r="DU136" i="1"/>
  <c r="DU137" i="1"/>
  <c r="DV124" i="1"/>
  <c r="DU124" i="1"/>
  <c r="O139" i="1"/>
  <c r="CB139" i="1"/>
  <c r="CW139" i="1"/>
  <c r="CX129" i="1"/>
  <c r="CX139" i="1" s="1"/>
  <c r="BD139" i="1"/>
  <c r="BY139" i="1"/>
  <c r="BY140" i="1" s="1"/>
  <c r="AM139" i="1"/>
  <c r="DV134" i="1"/>
  <c r="DU134" i="1"/>
  <c r="E128" i="1"/>
  <c r="AO128" i="1"/>
  <c r="BY128" i="1"/>
  <c r="DI128" i="1"/>
  <c r="BE139" i="1"/>
  <c r="BZ129" i="1"/>
  <c r="BZ139" i="1" s="1"/>
  <c r="N139" i="1"/>
  <c r="T139" i="1"/>
  <c r="G18" i="1"/>
  <c r="G40" i="1"/>
  <c r="G57" i="1"/>
  <c r="G68" i="1"/>
  <c r="J18" i="1"/>
  <c r="J40" i="1"/>
  <c r="J57" i="1"/>
  <c r="J68" i="1"/>
  <c r="M18" i="1"/>
  <c r="M40" i="1"/>
  <c r="M57" i="1"/>
  <c r="M68" i="1"/>
  <c r="P18" i="1"/>
  <c r="P69" i="1" s="1"/>
  <c r="P40" i="1"/>
  <c r="P57" i="1"/>
  <c r="P68" i="1"/>
  <c r="S18" i="1"/>
  <c r="S40" i="1"/>
  <c r="S57" i="1"/>
  <c r="S68" i="1"/>
  <c r="V18" i="1"/>
  <c r="V40" i="1"/>
  <c r="V57" i="1"/>
  <c r="V68" i="1"/>
  <c r="Y18" i="1"/>
  <c r="Y69" i="1" s="1"/>
  <c r="Y40" i="1"/>
  <c r="Y57" i="1"/>
  <c r="Y68" i="1"/>
  <c r="AB18" i="1"/>
  <c r="AB40" i="1"/>
  <c r="AB57" i="1"/>
  <c r="AB68" i="1"/>
  <c r="AE18" i="1"/>
  <c r="AE40" i="1"/>
  <c r="AE57" i="1"/>
  <c r="AE68" i="1"/>
  <c r="AH18" i="1"/>
  <c r="AH40" i="1"/>
  <c r="AH57" i="1"/>
  <c r="AH68" i="1"/>
  <c r="AK18" i="1"/>
  <c r="AK40" i="1"/>
  <c r="AK57" i="1"/>
  <c r="AK68" i="1"/>
  <c r="AN18" i="1"/>
  <c r="AN40" i="1"/>
  <c r="AN57" i="1"/>
  <c r="AN68" i="1"/>
  <c r="AQ18" i="1"/>
  <c r="AQ40" i="1"/>
  <c r="AQ57" i="1"/>
  <c r="AQ68" i="1"/>
  <c r="AQ69" i="1"/>
  <c r="AT18" i="1"/>
  <c r="AT40" i="1"/>
  <c r="AT57" i="1"/>
  <c r="AT68" i="1"/>
  <c r="AW18" i="1"/>
  <c r="AW40" i="1"/>
  <c r="AW57" i="1"/>
  <c r="AW68" i="1"/>
  <c r="AZ18" i="1"/>
  <c r="AZ40" i="1"/>
  <c r="AZ57" i="1"/>
  <c r="AZ68" i="1"/>
  <c r="BC18" i="1"/>
  <c r="BC40" i="1"/>
  <c r="BC57" i="1"/>
  <c r="BC68" i="1"/>
  <c r="BF18" i="1"/>
  <c r="BF40" i="1"/>
  <c r="BF57" i="1"/>
  <c r="BF68" i="1"/>
  <c r="BI18" i="1"/>
  <c r="BI69" i="1" s="1"/>
  <c r="BI40" i="1"/>
  <c r="BI57" i="1"/>
  <c r="BI68" i="1"/>
  <c r="BL18" i="1"/>
  <c r="BL40" i="1"/>
  <c r="BL57" i="1"/>
  <c r="BL68" i="1"/>
  <c r="BO18" i="1"/>
  <c r="BO40" i="1"/>
  <c r="BO57" i="1"/>
  <c r="BO68" i="1"/>
  <c r="BR18" i="1"/>
  <c r="BR69" i="1" s="1"/>
  <c r="BR40" i="1"/>
  <c r="BR57" i="1"/>
  <c r="BR68" i="1"/>
  <c r="BU18" i="1"/>
  <c r="BU40" i="1"/>
  <c r="BU57" i="1"/>
  <c r="BU68" i="1"/>
  <c r="BU69" i="1"/>
  <c r="BX18" i="1"/>
  <c r="BX69" i="1" s="1"/>
  <c r="BX40" i="1"/>
  <c r="BX57" i="1"/>
  <c r="BX68" i="1"/>
  <c r="CA18" i="1"/>
  <c r="CA69" i="1" s="1"/>
  <c r="CA40" i="1"/>
  <c r="CA57" i="1"/>
  <c r="CA68" i="1"/>
  <c r="CD18" i="1"/>
  <c r="CD40" i="1"/>
  <c r="CD57" i="1"/>
  <c r="CD68" i="1"/>
  <c r="CG18" i="1"/>
  <c r="CG69" i="1" s="1"/>
  <c r="CG40" i="1"/>
  <c r="CG57" i="1"/>
  <c r="CG68" i="1"/>
  <c r="CJ18" i="1"/>
  <c r="CJ40" i="1"/>
  <c r="CJ57" i="1"/>
  <c r="CJ68" i="1"/>
  <c r="CJ69" i="1"/>
  <c r="CM18" i="1"/>
  <c r="CM40" i="1"/>
  <c r="CM57" i="1"/>
  <c r="CM68" i="1"/>
  <c r="CP18" i="1"/>
  <c r="CP40" i="1"/>
  <c r="CP57" i="1"/>
  <c r="CP68" i="1"/>
  <c r="CP69" i="1"/>
  <c r="CS18" i="1"/>
  <c r="CS40" i="1"/>
  <c r="CS57" i="1"/>
  <c r="CS68" i="1"/>
  <c r="CS69" i="1"/>
  <c r="CV18" i="1"/>
  <c r="CV40" i="1"/>
  <c r="CV57" i="1"/>
  <c r="CV68" i="1"/>
  <c r="CY18" i="1"/>
  <c r="CY40" i="1"/>
  <c r="CY57" i="1"/>
  <c r="CY68" i="1"/>
  <c r="CY69" i="1"/>
  <c r="DB18" i="1"/>
  <c r="DB69" i="1" s="1"/>
  <c r="DB40" i="1"/>
  <c r="DB57" i="1"/>
  <c r="DB68" i="1"/>
  <c r="DE18" i="1"/>
  <c r="DE40" i="1"/>
  <c r="DE69" i="1" s="1"/>
  <c r="DE57" i="1"/>
  <c r="DE68" i="1"/>
  <c r="DH18" i="1"/>
  <c r="DH69" i="1" s="1"/>
  <c r="DH40" i="1"/>
  <c r="DH57" i="1"/>
  <c r="DH68" i="1"/>
  <c r="DK18" i="1"/>
  <c r="DK40" i="1"/>
  <c r="DK57" i="1"/>
  <c r="DK68" i="1"/>
  <c r="DN18" i="1"/>
  <c r="DN40" i="1"/>
  <c r="DN57" i="1"/>
  <c r="DN68" i="1"/>
  <c r="DS68" i="1"/>
  <c r="DS69" i="1" s="1"/>
  <c r="DR68" i="1"/>
  <c r="DR69" i="1" s="1"/>
  <c r="DQ68" i="1"/>
  <c r="DQ69" i="1" s="1"/>
  <c r="DS40" i="1"/>
  <c r="DR40" i="1"/>
  <c r="DQ40" i="1"/>
  <c r="DS57" i="1"/>
  <c r="DR57" i="1"/>
  <c r="DQ57" i="1"/>
  <c r="DS18" i="1"/>
  <c r="DR18" i="1"/>
  <c r="DQ18" i="1"/>
  <c r="D68" i="1"/>
  <c r="DT67" i="1"/>
  <c r="DO67" i="1"/>
  <c r="DP67" i="1" s="1"/>
  <c r="DL67" i="1"/>
  <c r="DM67" i="1" s="1"/>
  <c r="DI67" i="1"/>
  <c r="DJ67" i="1" s="1"/>
  <c r="DF67" i="1"/>
  <c r="DG67" i="1" s="1"/>
  <c r="DC67" i="1"/>
  <c r="DD67" i="1" s="1"/>
  <c r="CZ67" i="1"/>
  <c r="DA67" i="1" s="1"/>
  <c r="CW67" i="1"/>
  <c r="CX67" i="1" s="1"/>
  <c r="CT67" i="1"/>
  <c r="CU67" i="1" s="1"/>
  <c r="CQ67" i="1"/>
  <c r="CR67" i="1" s="1"/>
  <c r="CN67" i="1"/>
  <c r="CO67" i="1" s="1"/>
  <c r="CK67" i="1"/>
  <c r="CL67" i="1" s="1"/>
  <c r="CH67" i="1"/>
  <c r="CI67" i="1" s="1"/>
  <c r="CE67" i="1"/>
  <c r="CF67" i="1" s="1"/>
  <c r="CB67" i="1"/>
  <c r="CC67" i="1" s="1"/>
  <c r="BY67" i="1"/>
  <c r="BZ67" i="1" s="1"/>
  <c r="BV67" i="1"/>
  <c r="BW67" i="1" s="1"/>
  <c r="BS67" i="1"/>
  <c r="BT67" i="1" s="1"/>
  <c r="BP67" i="1"/>
  <c r="BQ67" i="1" s="1"/>
  <c r="BN67" i="1"/>
  <c r="BM67" i="1"/>
  <c r="BJ67" i="1"/>
  <c r="BK67" i="1" s="1"/>
  <c r="BG67" i="1"/>
  <c r="BH67" i="1" s="1"/>
  <c r="BD67" i="1"/>
  <c r="BE67" i="1" s="1"/>
  <c r="BA67" i="1"/>
  <c r="BB67" i="1" s="1"/>
  <c r="AX67" i="1"/>
  <c r="AY67" i="1" s="1"/>
  <c r="AU67" i="1"/>
  <c r="AV67" i="1" s="1"/>
  <c r="AR67" i="1"/>
  <c r="AS67" i="1" s="1"/>
  <c r="AO67" i="1"/>
  <c r="AP67" i="1" s="1"/>
  <c r="AL67" i="1"/>
  <c r="AM67" i="1" s="1"/>
  <c r="AI67" i="1"/>
  <c r="AJ67" i="1" s="1"/>
  <c r="AF67" i="1"/>
  <c r="AG67" i="1" s="1"/>
  <c r="AC67" i="1"/>
  <c r="AD67" i="1" s="1"/>
  <c r="Z67" i="1"/>
  <c r="AA67" i="1" s="1"/>
  <c r="W67" i="1"/>
  <c r="X67" i="1" s="1"/>
  <c r="T67" i="1"/>
  <c r="U67" i="1" s="1"/>
  <c r="Q67" i="1"/>
  <c r="R67" i="1" s="1"/>
  <c r="N67" i="1"/>
  <c r="O67" i="1" s="1"/>
  <c r="K67" i="1"/>
  <c r="L67" i="1" s="1"/>
  <c r="H67" i="1"/>
  <c r="I67" i="1" s="1"/>
  <c r="E67" i="1"/>
  <c r="DT66" i="1"/>
  <c r="DO66" i="1"/>
  <c r="DP66" i="1" s="1"/>
  <c r="DL66" i="1"/>
  <c r="DM66" i="1" s="1"/>
  <c r="DI66" i="1"/>
  <c r="DJ66" i="1" s="1"/>
  <c r="DF66" i="1"/>
  <c r="DG66" i="1" s="1"/>
  <c r="DC66" i="1"/>
  <c r="DD66" i="1" s="1"/>
  <c r="CZ66" i="1"/>
  <c r="DA66" i="1" s="1"/>
  <c r="CW66" i="1"/>
  <c r="CX66" i="1" s="1"/>
  <c r="CT66" i="1"/>
  <c r="CU66" i="1" s="1"/>
  <c r="CQ66" i="1"/>
  <c r="CR66" i="1" s="1"/>
  <c r="CN66" i="1"/>
  <c r="CO66" i="1" s="1"/>
  <c r="CK66" i="1"/>
  <c r="CL66" i="1" s="1"/>
  <c r="CH66" i="1"/>
  <c r="CI66" i="1" s="1"/>
  <c r="CE66" i="1"/>
  <c r="CF66" i="1" s="1"/>
  <c r="CB66" i="1"/>
  <c r="CC66" i="1" s="1"/>
  <c r="BY66" i="1"/>
  <c r="BZ66" i="1" s="1"/>
  <c r="BV66" i="1"/>
  <c r="BW66" i="1" s="1"/>
  <c r="BS66" i="1"/>
  <c r="BT66" i="1" s="1"/>
  <c r="BP66" i="1"/>
  <c r="BQ66" i="1" s="1"/>
  <c r="BM66" i="1"/>
  <c r="BJ66" i="1"/>
  <c r="BK66" i="1" s="1"/>
  <c r="BG66" i="1"/>
  <c r="BH66" i="1" s="1"/>
  <c r="BD66" i="1"/>
  <c r="BE66" i="1" s="1"/>
  <c r="BA66" i="1"/>
  <c r="BB66" i="1" s="1"/>
  <c r="AX66" i="1"/>
  <c r="AY66" i="1" s="1"/>
  <c r="AU66" i="1"/>
  <c r="AV66" i="1" s="1"/>
  <c r="AR66" i="1"/>
  <c r="AS66" i="1" s="1"/>
  <c r="AO66" i="1"/>
  <c r="AP66" i="1" s="1"/>
  <c r="AL66" i="1"/>
  <c r="AM66" i="1" s="1"/>
  <c r="AI66" i="1"/>
  <c r="AJ66" i="1" s="1"/>
  <c r="AF66" i="1"/>
  <c r="AG66" i="1" s="1"/>
  <c r="AC66" i="1"/>
  <c r="AD66" i="1" s="1"/>
  <c r="Z66" i="1"/>
  <c r="AA66" i="1" s="1"/>
  <c r="W66" i="1"/>
  <c r="X66" i="1" s="1"/>
  <c r="T66" i="1"/>
  <c r="U66" i="1" s="1"/>
  <c r="Q66" i="1"/>
  <c r="R66" i="1" s="1"/>
  <c r="N66" i="1"/>
  <c r="O66" i="1" s="1"/>
  <c r="K66" i="1"/>
  <c r="L66" i="1" s="1"/>
  <c r="H66" i="1"/>
  <c r="I66" i="1" s="1"/>
  <c r="E66" i="1"/>
  <c r="DT65" i="1"/>
  <c r="DO65" i="1"/>
  <c r="DP65" i="1" s="1"/>
  <c r="DL65" i="1"/>
  <c r="DM65" i="1" s="1"/>
  <c r="DI65" i="1"/>
  <c r="DJ65" i="1" s="1"/>
  <c r="DF65" i="1"/>
  <c r="DG65" i="1" s="1"/>
  <c r="DC65" i="1"/>
  <c r="DD65" i="1" s="1"/>
  <c r="CZ65" i="1"/>
  <c r="DA65" i="1" s="1"/>
  <c r="CW65" i="1"/>
  <c r="CX65" i="1" s="1"/>
  <c r="CT65" i="1"/>
  <c r="CU65" i="1" s="1"/>
  <c r="CQ65" i="1"/>
  <c r="CR65" i="1" s="1"/>
  <c r="CN65" i="1"/>
  <c r="CO65" i="1" s="1"/>
  <c r="CK65" i="1"/>
  <c r="CL65" i="1" s="1"/>
  <c r="CH65" i="1"/>
  <c r="CI65" i="1" s="1"/>
  <c r="CE65" i="1"/>
  <c r="CF65" i="1" s="1"/>
  <c r="CC65" i="1"/>
  <c r="CB65" i="1"/>
  <c r="BY65" i="1"/>
  <c r="BZ65" i="1" s="1"/>
  <c r="BV65" i="1"/>
  <c r="BW65" i="1" s="1"/>
  <c r="BS65" i="1"/>
  <c r="BT65" i="1" s="1"/>
  <c r="BP65" i="1"/>
  <c r="BQ65" i="1" s="1"/>
  <c r="BM65" i="1"/>
  <c r="BN65" i="1" s="1"/>
  <c r="BJ65" i="1"/>
  <c r="BK65" i="1" s="1"/>
  <c r="BG65" i="1"/>
  <c r="BH65" i="1" s="1"/>
  <c r="BD65" i="1"/>
  <c r="BE65" i="1" s="1"/>
  <c r="BA65" i="1"/>
  <c r="BB65" i="1" s="1"/>
  <c r="AX65" i="1"/>
  <c r="AY65" i="1" s="1"/>
  <c r="AU65" i="1"/>
  <c r="AV65" i="1" s="1"/>
  <c r="AR65" i="1"/>
  <c r="AS65" i="1" s="1"/>
  <c r="AO65" i="1"/>
  <c r="AP65" i="1" s="1"/>
  <c r="AL65" i="1"/>
  <c r="AM65" i="1" s="1"/>
  <c r="AI65" i="1"/>
  <c r="AJ65" i="1" s="1"/>
  <c r="AF65" i="1"/>
  <c r="AG65" i="1" s="1"/>
  <c r="AC65" i="1"/>
  <c r="AD65" i="1" s="1"/>
  <c r="Z65" i="1"/>
  <c r="AA65" i="1" s="1"/>
  <c r="W65" i="1"/>
  <c r="X65" i="1" s="1"/>
  <c r="T65" i="1"/>
  <c r="U65" i="1" s="1"/>
  <c r="Q65" i="1"/>
  <c r="R65" i="1" s="1"/>
  <c r="N65" i="1"/>
  <c r="O65" i="1" s="1"/>
  <c r="K65" i="1"/>
  <c r="L65" i="1" s="1"/>
  <c r="H65" i="1"/>
  <c r="I65" i="1" s="1"/>
  <c r="E65" i="1"/>
  <c r="DT64" i="1"/>
  <c r="DO64" i="1"/>
  <c r="DP64" i="1" s="1"/>
  <c r="DL64" i="1"/>
  <c r="DM64" i="1" s="1"/>
  <c r="DI64" i="1"/>
  <c r="DJ64" i="1" s="1"/>
  <c r="DF64" i="1"/>
  <c r="DG64" i="1" s="1"/>
  <c r="DC64" i="1"/>
  <c r="DD64" i="1" s="1"/>
  <c r="CZ64" i="1"/>
  <c r="DA64" i="1" s="1"/>
  <c r="CW64" i="1"/>
  <c r="CX64" i="1" s="1"/>
  <c r="CT64" i="1"/>
  <c r="CU64" i="1" s="1"/>
  <c r="CQ64" i="1"/>
  <c r="CR64" i="1" s="1"/>
  <c r="CN64" i="1"/>
  <c r="CO64" i="1" s="1"/>
  <c r="CK64" i="1"/>
  <c r="CL64" i="1" s="1"/>
  <c r="CH64" i="1"/>
  <c r="CI64" i="1" s="1"/>
  <c r="CE64" i="1"/>
  <c r="CF64" i="1" s="1"/>
  <c r="CB64" i="1"/>
  <c r="CC64" i="1" s="1"/>
  <c r="BY64" i="1"/>
  <c r="BZ64" i="1" s="1"/>
  <c r="BV64" i="1"/>
  <c r="BW64" i="1" s="1"/>
  <c r="BS64" i="1"/>
  <c r="BT64" i="1" s="1"/>
  <c r="BP64" i="1"/>
  <c r="BQ64" i="1" s="1"/>
  <c r="BM64" i="1"/>
  <c r="BN64" i="1" s="1"/>
  <c r="BJ64" i="1"/>
  <c r="BK64" i="1" s="1"/>
  <c r="BG64" i="1"/>
  <c r="BH64" i="1" s="1"/>
  <c r="BD64" i="1"/>
  <c r="BE64" i="1" s="1"/>
  <c r="BA64" i="1"/>
  <c r="BB64" i="1" s="1"/>
  <c r="AX64" i="1"/>
  <c r="AY64" i="1" s="1"/>
  <c r="AU64" i="1"/>
  <c r="AV64" i="1" s="1"/>
  <c r="AR64" i="1"/>
  <c r="AS64" i="1" s="1"/>
  <c r="AO64" i="1"/>
  <c r="AP64" i="1" s="1"/>
  <c r="AL64" i="1"/>
  <c r="AM64" i="1" s="1"/>
  <c r="AI64" i="1"/>
  <c r="AJ64" i="1" s="1"/>
  <c r="AF64" i="1"/>
  <c r="AG64" i="1" s="1"/>
  <c r="AD64" i="1"/>
  <c r="AC64" i="1"/>
  <c r="Z64" i="1"/>
  <c r="AA64" i="1" s="1"/>
  <c r="W64" i="1"/>
  <c r="X64" i="1" s="1"/>
  <c r="T64" i="1"/>
  <c r="U64" i="1" s="1"/>
  <c r="Q64" i="1"/>
  <c r="R64" i="1" s="1"/>
  <c r="N64" i="1"/>
  <c r="O64" i="1" s="1"/>
  <c r="K64" i="1"/>
  <c r="L64" i="1" s="1"/>
  <c r="H64" i="1"/>
  <c r="I64" i="1" s="1"/>
  <c r="E64" i="1"/>
  <c r="DT63" i="1"/>
  <c r="DO63" i="1"/>
  <c r="DP63" i="1" s="1"/>
  <c r="DL63" i="1"/>
  <c r="DM63" i="1" s="1"/>
  <c r="DI63" i="1"/>
  <c r="DJ63" i="1" s="1"/>
  <c r="DF63" i="1"/>
  <c r="DG63" i="1" s="1"/>
  <c r="DC63" i="1"/>
  <c r="DD63" i="1" s="1"/>
  <c r="CZ63" i="1"/>
  <c r="DA63" i="1" s="1"/>
  <c r="CW63" i="1"/>
  <c r="CX63" i="1" s="1"/>
  <c r="CT63" i="1"/>
  <c r="CU63" i="1" s="1"/>
  <c r="CQ63" i="1"/>
  <c r="CR63" i="1" s="1"/>
  <c r="CN63" i="1"/>
  <c r="CO63" i="1" s="1"/>
  <c r="CK63" i="1"/>
  <c r="CL63" i="1" s="1"/>
  <c r="CH63" i="1"/>
  <c r="CI63" i="1" s="1"/>
  <c r="CE63" i="1"/>
  <c r="CF63" i="1" s="1"/>
  <c r="CB63" i="1"/>
  <c r="CC63" i="1" s="1"/>
  <c r="BY63" i="1"/>
  <c r="BZ63" i="1" s="1"/>
  <c r="BV63" i="1"/>
  <c r="BW63" i="1" s="1"/>
  <c r="BS63" i="1"/>
  <c r="BT63" i="1" s="1"/>
  <c r="BP63" i="1"/>
  <c r="BQ63" i="1" s="1"/>
  <c r="BM63" i="1"/>
  <c r="BN63" i="1" s="1"/>
  <c r="BJ63" i="1"/>
  <c r="BK63" i="1" s="1"/>
  <c r="BG63" i="1"/>
  <c r="BH63" i="1" s="1"/>
  <c r="BD63" i="1"/>
  <c r="BE63" i="1" s="1"/>
  <c r="BA63" i="1"/>
  <c r="BB63" i="1" s="1"/>
  <c r="AX63" i="1"/>
  <c r="AY63" i="1" s="1"/>
  <c r="AU63" i="1"/>
  <c r="AV63" i="1" s="1"/>
  <c r="AR63" i="1"/>
  <c r="AS63" i="1" s="1"/>
  <c r="AO63" i="1"/>
  <c r="AP63" i="1" s="1"/>
  <c r="AL63" i="1"/>
  <c r="AM63" i="1" s="1"/>
  <c r="AI63" i="1"/>
  <c r="AJ63" i="1" s="1"/>
  <c r="AF63" i="1"/>
  <c r="AG63" i="1" s="1"/>
  <c r="AC63" i="1"/>
  <c r="AD63" i="1" s="1"/>
  <c r="Z63" i="1"/>
  <c r="AA63" i="1" s="1"/>
  <c r="W63" i="1"/>
  <c r="X63" i="1" s="1"/>
  <c r="T63" i="1"/>
  <c r="U63" i="1" s="1"/>
  <c r="Q63" i="1"/>
  <c r="R63" i="1" s="1"/>
  <c r="N63" i="1"/>
  <c r="O63" i="1" s="1"/>
  <c r="K63" i="1"/>
  <c r="L63" i="1" s="1"/>
  <c r="H63" i="1"/>
  <c r="I63" i="1" s="1"/>
  <c r="E63" i="1"/>
  <c r="DT62" i="1"/>
  <c r="DO62" i="1"/>
  <c r="DP62" i="1" s="1"/>
  <c r="DL62" i="1"/>
  <c r="DM62" i="1" s="1"/>
  <c r="DI62" i="1"/>
  <c r="DJ62" i="1" s="1"/>
  <c r="DF62" i="1"/>
  <c r="DG62" i="1" s="1"/>
  <c r="DC62" i="1"/>
  <c r="DD62" i="1" s="1"/>
  <c r="CZ62" i="1"/>
  <c r="DA62" i="1" s="1"/>
  <c r="CW62" i="1"/>
  <c r="CX62" i="1" s="1"/>
  <c r="CT62" i="1"/>
  <c r="CU62" i="1" s="1"/>
  <c r="CQ62" i="1"/>
  <c r="CR62" i="1" s="1"/>
  <c r="CN62" i="1"/>
  <c r="CO62" i="1" s="1"/>
  <c r="CK62" i="1"/>
  <c r="CL62" i="1" s="1"/>
  <c r="CH62" i="1"/>
  <c r="CI62" i="1" s="1"/>
  <c r="CE62" i="1"/>
  <c r="CF62" i="1" s="1"/>
  <c r="CB62" i="1"/>
  <c r="CC62" i="1" s="1"/>
  <c r="BY62" i="1"/>
  <c r="BZ62" i="1" s="1"/>
  <c r="BV62" i="1"/>
  <c r="BW62" i="1" s="1"/>
  <c r="BS62" i="1"/>
  <c r="BT62" i="1" s="1"/>
  <c r="BP62" i="1"/>
  <c r="BQ62" i="1" s="1"/>
  <c r="BM62" i="1"/>
  <c r="BN62" i="1" s="1"/>
  <c r="BJ62" i="1"/>
  <c r="BK62" i="1" s="1"/>
  <c r="BG62" i="1"/>
  <c r="BH62" i="1" s="1"/>
  <c r="BD62" i="1"/>
  <c r="BE62" i="1" s="1"/>
  <c r="BA62" i="1"/>
  <c r="BB62" i="1" s="1"/>
  <c r="AX62" i="1"/>
  <c r="AY62" i="1" s="1"/>
  <c r="AU62" i="1"/>
  <c r="AV62" i="1" s="1"/>
  <c r="AR62" i="1"/>
  <c r="AS62" i="1" s="1"/>
  <c r="AO62" i="1"/>
  <c r="AP62" i="1" s="1"/>
  <c r="AL62" i="1"/>
  <c r="AM62" i="1" s="1"/>
  <c r="AI62" i="1"/>
  <c r="AJ62" i="1" s="1"/>
  <c r="AF62" i="1"/>
  <c r="AG62" i="1" s="1"/>
  <c r="AC62" i="1"/>
  <c r="AD62" i="1" s="1"/>
  <c r="Z62" i="1"/>
  <c r="AA62" i="1" s="1"/>
  <c r="W62" i="1"/>
  <c r="X62" i="1" s="1"/>
  <c r="T62" i="1"/>
  <c r="U62" i="1" s="1"/>
  <c r="Q62" i="1"/>
  <c r="R62" i="1" s="1"/>
  <c r="N62" i="1"/>
  <c r="O62" i="1" s="1"/>
  <c r="K62" i="1"/>
  <c r="L62" i="1" s="1"/>
  <c r="H62" i="1"/>
  <c r="I62" i="1" s="1"/>
  <c r="E62" i="1"/>
  <c r="DT61" i="1"/>
  <c r="DO61" i="1"/>
  <c r="DP61" i="1" s="1"/>
  <c r="DL61" i="1"/>
  <c r="DM61" i="1" s="1"/>
  <c r="DI61" i="1"/>
  <c r="DJ61" i="1" s="1"/>
  <c r="DF61" i="1"/>
  <c r="DG61" i="1" s="1"/>
  <c r="DC61" i="1"/>
  <c r="DD61" i="1" s="1"/>
  <c r="CZ61" i="1"/>
  <c r="DA61" i="1" s="1"/>
  <c r="CW61" i="1"/>
  <c r="CX61" i="1" s="1"/>
  <c r="CT61" i="1"/>
  <c r="CU61" i="1" s="1"/>
  <c r="CQ61" i="1"/>
  <c r="CR61" i="1" s="1"/>
  <c r="CN61" i="1"/>
  <c r="CO61" i="1" s="1"/>
  <c r="CK61" i="1"/>
  <c r="CL61" i="1" s="1"/>
  <c r="CH61" i="1"/>
  <c r="CI61" i="1" s="1"/>
  <c r="CE61" i="1"/>
  <c r="CF61" i="1" s="1"/>
  <c r="CB61" i="1"/>
  <c r="CC61" i="1" s="1"/>
  <c r="BY61" i="1"/>
  <c r="BZ61" i="1" s="1"/>
  <c r="BV61" i="1"/>
  <c r="BW61" i="1" s="1"/>
  <c r="BS61" i="1"/>
  <c r="BT61" i="1" s="1"/>
  <c r="BP61" i="1"/>
  <c r="BQ61" i="1" s="1"/>
  <c r="BM61" i="1"/>
  <c r="BN61" i="1" s="1"/>
  <c r="BJ61" i="1"/>
  <c r="BK61" i="1" s="1"/>
  <c r="BG61" i="1"/>
  <c r="BH61" i="1" s="1"/>
  <c r="BD61" i="1"/>
  <c r="BE61" i="1" s="1"/>
  <c r="BA61" i="1"/>
  <c r="BB61" i="1" s="1"/>
  <c r="AX61" i="1"/>
  <c r="AY61" i="1" s="1"/>
  <c r="AU61" i="1"/>
  <c r="AV61" i="1" s="1"/>
  <c r="AR61" i="1"/>
  <c r="AS61" i="1" s="1"/>
  <c r="AO61" i="1"/>
  <c r="AP61" i="1" s="1"/>
  <c r="AL61" i="1"/>
  <c r="AM61" i="1" s="1"/>
  <c r="AI61" i="1"/>
  <c r="AJ61" i="1" s="1"/>
  <c r="AF61" i="1"/>
  <c r="AG61" i="1" s="1"/>
  <c r="AC61" i="1"/>
  <c r="AD61" i="1" s="1"/>
  <c r="Z61" i="1"/>
  <c r="AA61" i="1" s="1"/>
  <c r="W61" i="1"/>
  <c r="X61" i="1" s="1"/>
  <c r="T61" i="1"/>
  <c r="U61" i="1" s="1"/>
  <c r="Q61" i="1"/>
  <c r="R61" i="1" s="1"/>
  <c r="N61" i="1"/>
  <c r="O61" i="1" s="1"/>
  <c r="K61" i="1"/>
  <c r="L61" i="1" s="1"/>
  <c r="H61" i="1"/>
  <c r="I61" i="1" s="1"/>
  <c r="E61" i="1"/>
  <c r="DT60" i="1"/>
  <c r="DO60" i="1"/>
  <c r="DP60" i="1" s="1"/>
  <c r="DL60" i="1"/>
  <c r="DM60" i="1" s="1"/>
  <c r="DI60" i="1"/>
  <c r="DJ60" i="1" s="1"/>
  <c r="DF60" i="1"/>
  <c r="DG60" i="1" s="1"/>
  <c r="DC60" i="1"/>
  <c r="DD60" i="1" s="1"/>
  <c r="CZ60" i="1"/>
  <c r="DA60" i="1" s="1"/>
  <c r="CW60" i="1"/>
  <c r="CX60" i="1" s="1"/>
  <c r="CT60" i="1"/>
  <c r="CU60" i="1" s="1"/>
  <c r="CQ60" i="1"/>
  <c r="CR60" i="1" s="1"/>
  <c r="CN60" i="1"/>
  <c r="CO60" i="1" s="1"/>
  <c r="CK60" i="1"/>
  <c r="CL60" i="1" s="1"/>
  <c r="CH60" i="1"/>
  <c r="CI60" i="1" s="1"/>
  <c r="CE60" i="1"/>
  <c r="CF60" i="1" s="1"/>
  <c r="CB60" i="1"/>
  <c r="CC60" i="1" s="1"/>
  <c r="BY60" i="1"/>
  <c r="BZ60" i="1" s="1"/>
  <c r="BV60" i="1"/>
  <c r="BW60" i="1" s="1"/>
  <c r="BS60" i="1"/>
  <c r="BT60" i="1" s="1"/>
  <c r="BP60" i="1"/>
  <c r="BQ60" i="1" s="1"/>
  <c r="BM60" i="1"/>
  <c r="BN60" i="1" s="1"/>
  <c r="BJ60" i="1"/>
  <c r="BK60" i="1" s="1"/>
  <c r="BG60" i="1"/>
  <c r="BH60" i="1" s="1"/>
  <c r="BD60" i="1"/>
  <c r="BE60" i="1" s="1"/>
  <c r="BA60" i="1"/>
  <c r="BB60" i="1" s="1"/>
  <c r="AX60" i="1"/>
  <c r="AY60" i="1" s="1"/>
  <c r="AU60" i="1"/>
  <c r="AV60" i="1" s="1"/>
  <c r="AR60" i="1"/>
  <c r="AS60" i="1" s="1"/>
  <c r="AO60" i="1"/>
  <c r="AP60" i="1" s="1"/>
  <c r="AL60" i="1"/>
  <c r="AM60" i="1" s="1"/>
  <c r="AI60" i="1"/>
  <c r="AJ60" i="1" s="1"/>
  <c r="AF60" i="1"/>
  <c r="AG60" i="1" s="1"/>
  <c r="AC60" i="1"/>
  <c r="AD60" i="1" s="1"/>
  <c r="Z60" i="1"/>
  <c r="AA60" i="1" s="1"/>
  <c r="W60" i="1"/>
  <c r="X60" i="1" s="1"/>
  <c r="T60" i="1"/>
  <c r="U60" i="1" s="1"/>
  <c r="Q60" i="1"/>
  <c r="R60" i="1" s="1"/>
  <c r="N60" i="1"/>
  <c r="O60" i="1" s="1"/>
  <c r="K60" i="1"/>
  <c r="L60" i="1" s="1"/>
  <c r="H60" i="1"/>
  <c r="I60" i="1" s="1"/>
  <c r="E60" i="1"/>
  <c r="DT59" i="1"/>
  <c r="DO59" i="1"/>
  <c r="DP59" i="1" s="1"/>
  <c r="DL59" i="1"/>
  <c r="DM59" i="1" s="1"/>
  <c r="DI59" i="1"/>
  <c r="DJ59" i="1" s="1"/>
  <c r="DF59" i="1"/>
  <c r="DG59" i="1" s="1"/>
  <c r="DC59" i="1"/>
  <c r="DD59" i="1" s="1"/>
  <c r="CZ59" i="1"/>
  <c r="DA59" i="1" s="1"/>
  <c r="CW59" i="1"/>
  <c r="CX59" i="1" s="1"/>
  <c r="CT59" i="1"/>
  <c r="CU59" i="1" s="1"/>
  <c r="CQ59" i="1"/>
  <c r="CR59" i="1" s="1"/>
  <c r="CN59" i="1"/>
  <c r="CO59" i="1" s="1"/>
  <c r="CK59" i="1"/>
  <c r="CL59" i="1" s="1"/>
  <c r="CH59" i="1"/>
  <c r="CI59" i="1" s="1"/>
  <c r="CE59" i="1"/>
  <c r="CF59" i="1" s="1"/>
  <c r="CB59" i="1"/>
  <c r="CC59" i="1" s="1"/>
  <c r="BY59" i="1"/>
  <c r="BZ59" i="1" s="1"/>
  <c r="BV59" i="1"/>
  <c r="BW59" i="1" s="1"/>
  <c r="BS59" i="1"/>
  <c r="BT59" i="1" s="1"/>
  <c r="BP59" i="1"/>
  <c r="BQ59" i="1" s="1"/>
  <c r="BM59" i="1"/>
  <c r="BN59" i="1" s="1"/>
  <c r="BJ59" i="1"/>
  <c r="BK59" i="1" s="1"/>
  <c r="BG59" i="1"/>
  <c r="BH59" i="1" s="1"/>
  <c r="BD59" i="1"/>
  <c r="BE59" i="1" s="1"/>
  <c r="BA59" i="1"/>
  <c r="BB59" i="1" s="1"/>
  <c r="AX59" i="1"/>
  <c r="AY59" i="1" s="1"/>
  <c r="AU59" i="1"/>
  <c r="AV59" i="1" s="1"/>
  <c r="AR59" i="1"/>
  <c r="AS59" i="1" s="1"/>
  <c r="AO59" i="1"/>
  <c r="AP59" i="1" s="1"/>
  <c r="AL59" i="1"/>
  <c r="AM59" i="1" s="1"/>
  <c r="AI59" i="1"/>
  <c r="AJ59" i="1" s="1"/>
  <c r="AF59" i="1"/>
  <c r="AG59" i="1" s="1"/>
  <c r="AC59" i="1"/>
  <c r="AD59" i="1" s="1"/>
  <c r="Z59" i="1"/>
  <c r="AA59" i="1" s="1"/>
  <c r="W59" i="1"/>
  <c r="X59" i="1" s="1"/>
  <c r="T59" i="1"/>
  <c r="U59" i="1" s="1"/>
  <c r="Q59" i="1"/>
  <c r="R59" i="1" s="1"/>
  <c r="N59" i="1"/>
  <c r="O59" i="1" s="1"/>
  <c r="K59" i="1"/>
  <c r="L59" i="1" s="1"/>
  <c r="H59" i="1"/>
  <c r="I59" i="1" s="1"/>
  <c r="E59" i="1"/>
  <c r="DT58" i="1"/>
  <c r="DO58" i="1"/>
  <c r="DP58" i="1" s="1"/>
  <c r="DL58" i="1"/>
  <c r="DM58" i="1" s="1"/>
  <c r="DI58" i="1"/>
  <c r="DJ58" i="1" s="1"/>
  <c r="DF58" i="1"/>
  <c r="DC58" i="1"/>
  <c r="DD58" i="1" s="1"/>
  <c r="CZ58" i="1"/>
  <c r="DA58" i="1" s="1"/>
  <c r="CW58" i="1"/>
  <c r="CX58" i="1" s="1"/>
  <c r="CT58" i="1"/>
  <c r="CQ58" i="1"/>
  <c r="CR58" i="1" s="1"/>
  <c r="CN58" i="1"/>
  <c r="CO58" i="1" s="1"/>
  <c r="CK58" i="1"/>
  <c r="CL58" i="1" s="1"/>
  <c r="CH58" i="1"/>
  <c r="CI58" i="1" s="1"/>
  <c r="CE58" i="1"/>
  <c r="CF58" i="1" s="1"/>
  <c r="CB58" i="1"/>
  <c r="CC58" i="1" s="1"/>
  <c r="BY58" i="1"/>
  <c r="BZ58" i="1" s="1"/>
  <c r="BV58" i="1"/>
  <c r="BW58" i="1" s="1"/>
  <c r="BS58" i="1"/>
  <c r="BT58" i="1" s="1"/>
  <c r="BP58" i="1"/>
  <c r="BQ58" i="1" s="1"/>
  <c r="BM58" i="1"/>
  <c r="BN58" i="1" s="1"/>
  <c r="BJ58" i="1"/>
  <c r="BK58" i="1" s="1"/>
  <c r="BG58" i="1"/>
  <c r="BH58" i="1" s="1"/>
  <c r="BD58" i="1"/>
  <c r="BE58" i="1" s="1"/>
  <c r="BA58" i="1"/>
  <c r="BB58" i="1" s="1"/>
  <c r="AX58" i="1"/>
  <c r="AY58" i="1" s="1"/>
  <c r="AU58" i="1"/>
  <c r="AV58" i="1" s="1"/>
  <c r="AR58" i="1"/>
  <c r="AO58" i="1"/>
  <c r="AP58" i="1" s="1"/>
  <c r="AL58" i="1"/>
  <c r="AM58" i="1" s="1"/>
  <c r="AI58" i="1"/>
  <c r="AJ58" i="1" s="1"/>
  <c r="AF58" i="1"/>
  <c r="AG58" i="1" s="1"/>
  <c r="AC58" i="1"/>
  <c r="Z58" i="1"/>
  <c r="AA58" i="1" s="1"/>
  <c r="W58" i="1"/>
  <c r="X58" i="1" s="1"/>
  <c r="T58" i="1"/>
  <c r="U58" i="1" s="1"/>
  <c r="Q58" i="1"/>
  <c r="R58" i="1" s="1"/>
  <c r="R68" i="1" s="1"/>
  <c r="N58" i="1"/>
  <c r="O58" i="1" s="1"/>
  <c r="K58" i="1"/>
  <c r="H58" i="1"/>
  <c r="I58" i="1" s="1"/>
  <c r="E58" i="1"/>
  <c r="DT56" i="1"/>
  <c r="DO56" i="1"/>
  <c r="DP56" i="1" s="1"/>
  <c r="DL56" i="1"/>
  <c r="DM56" i="1" s="1"/>
  <c r="DI56" i="1"/>
  <c r="DJ56" i="1" s="1"/>
  <c r="DF56" i="1"/>
  <c r="DG56" i="1" s="1"/>
  <c r="DC56" i="1"/>
  <c r="DD56" i="1" s="1"/>
  <c r="CZ56" i="1"/>
  <c r="DA56" i="1" s="1"/>
  <c r="CW56" i="1"/>
  <c r="CX56" i="1" s="1"/>
  <c r="CT56" i="1"/>
  <c r="CU56" i="1" s="1"/>
  <c r="CQ56" i="1"/>
  <c r="CR56" i="1" s="1"/>
  <c r="CN56" i="1"/>
  <c r="CO56" i="1" s="1"/>
  <c r="CK56" i="1"/>
  <c r="CL56" i="1" s="1"/>
  <c r="CH56" i="1"/>
  <c r="CI56" i="1" s="1"/>
  <c r="CE56" i="1"/>
  <c r="CF56" i="1" s="1"/>
  <c r="CB56" i="1"/>
  <c r="CC56" i="1" s="1"/>
  <c r="BY56" i="1"/>
  <c r="BZ56" i="1" s="1"/>
  <c r="BV56" i="1"/>
  <c r="BW56" i="1" s="1"/>
  <c r="BS56" i="1"/>
  <c r="BT56" i="1" s="1"/>
  <c r="BP56" i="1"/>
  <c r="BQ56" i="1" s="1"/>
  <c r="BM56" i="1"/>
  <c r="BN56" i="1" s="1"/>
  <c r="BJ56" i="1"/>
  <c r="BK56" i="1" s="1"/>
  <c r="BG56" i="1"/>
  <c r="BH56" i="1" s="1"/>
  <c r="BD56" i="1"/>
  <c r="BE56" i="1" s="1"/>
  <c r="BA56" i="1"/>
  <c r="BB56" i="1" s="1"/>
  <c r="AX56" i="1"/>
  <c r="AY56" i="1" s="1"/>
  <c r="AU56" i="1"/>
  <c r="AV56" i="1" s="1"/>
  <c r="AR56" i="1"/>
  <c r="AS56" i="1" s="1"/>
  <c r="AO56" i="1"/>
  <c r="AP56" i="1" s="1"/>
  <c r="AL56" i="1"/>
  <c r="AM56" i="1" s="1"/>
  <c r="AI56" i="1"/>
  <c r="AJ56" i="1" s="1"/>
  <c r="AF56" i="1"/>
  <c r="AG56" i="1" s="1"/>
  <c r="AC56" i="1"/>
  <c r="AD56" i="1" s="1"/>
  <c r="Z56" i="1"/>
  <c r="AA56" i="1" s="1"/>
  <c r="W56" i="1"/>
  <c r="X56" i="1" s="1"/>
  <c r="T56" i="1"/>
  <c r="U56" i="1" s="1"/>
  <c r="Q56" i="1"/>
  <c r="R56" i="1" s="1"/>
  <c r="N56" i="1"/>
  <c r="O56" i="1" s="1"/>
  <c r="K56" i="1"/>
  <c r="L56" i="1" s="1"/>
  <c r="H56" i="1"/>
  <c r="I56" i="1" s="1"/>
  <c r="E56" i="1"/>
  <c r="DT55" i="1"/>
  <c r="DO55" i="1"/>
  <c r="DP55" i="1" s="1"/>
  <c r="DL55" i="1"/>
  <c r="DM55" i="1" s="1"/>
  <c r="DI55" i="1"/>
  <c r="DJ55" i="1" s="1"/>
  <c r="DF55" i="1"/>
  <c r="DG55" i="1" s="1"/>
  <c r="DC55" i="1"/>
  <c r="DD55" i="1" s="1"/>
  <c r="CZ55" i="1"/>
  <c r="DA55" i="1" s="1"/>
  <c r="CW55" i="1"/>
  <c r="CX55" i="1" s="1"/>
  <c r="CT55" i="1"/>
  <c r="CU55" i="1" s="1"/>
  <c r="CQ55" i="1"/>
  <c r="CR55" i="1" s="1"/>
  <c r="CN55" i="1"/>
  <c r="CO55" i="1" s="1"/>
  <c r="CK55" i="1"/>
  <c r="CL55" i="1" s="1"/>
  <c r="CH55" i="1"/>
  <c r="CI55" i="1" s="1"/>
  <c r="CE55" i="1"/>
  <c r="CF55" i="1" s="1"/>
  <c r="CB55" i="1"/>
  <c r="CC55" i="1" s="1"/>
  <c r="BY55" i="1"/>
  <c r="BZ55" i="1" s="1"/>
  <c r="BV55" i="1"/>
  <c r="BW55" i="1" s="1"/>
  <c r="BS55" i="1"/>
  <c r="BT55" i="1" s="1"/>
  <c r="BP55" i="1"/>
  <c r="BQ55" i="1" s="1"/>
  <c r="BM55" i="1"/>
  <c r="BN55" i="1" s="1"/>
  <c r="BJ55" i="1"/>
  <c r="BK55" i="1" s="1"/>
  <c r="BG55" i="1"/>
  <c r="BH55" i="1" s="1"/>
  <c r="BD55" i="1"/>
  <c r="BE55" i="1" s="1"/>
  <c r="BA55" i="1"/>
  <c r="BB55" i="1" s="1"/>
  <c r="AX55" i="1"/>
  <c r="AY55" i="1" s="1"/>
  <c r="AU55" i="1"/>
  <c r="AV55" i="1" s="1"/>
  <c r="AR55" i="1"/>
  <c r="AS55" i="1" s="1"/>
  <c r="AO55" i="1"/>
  <c r="AP55" i="1" s="1"/>
  <c r="AL55" i="1"/>
  <c r="AM55" i="1" s="1"/>
  <c r="AI55" i="1"/>
  <c r="AJ55" i="1" s="1"/>
  <c r="AF55" i="1"/>
  <c r="AG55" i="1" s="1"/>
  <c r="AC55" i="1"/>
  <c r="AD55" i="1" s="1"/>
  <c r="Z55" i="1"/>
  <c r="AA55" i="1" s="1"/>
  <c r="W55" i="1"/>
  <c r="X55" i="1" s="1"/>
  <c r="T55" i="1"/>
  <c r="U55" i="1" s="1"/>
  <c r="Q55" i="1"/>
  <c r="R55" i="1" s="1"/>
  <c r="N55" i="1"/>
  <c r="O55" i="1" s="1"/>
  <c r="K55" i="1"/>
  <c r="L55" i="1" s="1"/>
  <c r="H55" i="1"/>
  <c r="I55" i="1" s="1"/>
  <c r="E55" i="1"/>
  <c r="F55" i="1" s="1"/>
  <c r="DT54" i="1"/>
  <c r="DO54" i="1"/>
  <c r="DP54" i="1" s="1"/>
  <c r="DL54" i="1"/>
  <c r="DM54" i="1" s="1"/>
  <c r="DI54" i="1"/>
  <c r="DJ54" i="1" s="1"/>
  <c r="DF54" i="1"/>
  <c r="DG54" i="1" s="1"/>
  <c r="DC54" i="1"/>
  <c r="DD54" i="1" s="1"/>
  <c r="CZ54" i="1"/>
  <c r="DA54" i="1" s="1"/>
  <c r="CW54" i="1"/>
  <c r="CX54" i="1" s="1"/>
  <c r="CT54" i="1"/>
  <c r="CU54" i="1" s="1"/>
  <c r="CQ54" i="1"/>
  <c r="CR54" i="1" s="1"/>
  <c r="CN54" i="1"/>
  <c r="CO54" i="1" s="1"/>
  <c r="CK54" i="1"/>
  <c r="CL54" i="1" s="1"/>
  <c r="CH54" i="1"/>
  <c r="CI54" i="1" s="1"/>
  <c r="CE54" i="1"/>
  <c r="CF54" i="1" s="1"/>
  <c r="CB54" i="1"/>
  <c r="CC54" i="1" s="1"/>
  <c r="BY54" i="1"/>
  <c r="BZ54" i="1" s="1"/>
  <c r="BV54" i="1"/>
  <c r="BW54" i="1" s="1"/>
  <c r="BS54" i="1"/>
  <c r="BT54" i="1" s="1"/>
  <c r="BP54" i="1"/>
  <c r="BQ54" i="1" s="1"/>
  <c r="BM54" i="1"/>
  <c r="BN54" i="1" s="1"/>
  <c r="BJ54" i="1"/>
  <c r="BK54" i="1" s="1"/>
  <c r="BG54" i="1"/>
  <c r="BH54" i="1" s="1"/>
  <c r="BD54" i="1"/>
  <c r="BE54" i="1" s="1"/>
  <c r="BA54" i="1"/>
  <c r="BB54" i="1" s="1"/>
  <c r="AX54" i="1"/>
  <c r="AY54" i="1" s="1"/>
  <c r="AU54" i="1"/>
  <c r="AV54" i="1" s="1"/>
  <c r="AR54" i="1"/>
  <c r="AS54" i="1" s="1"/>
  <c r="AO54" i="1"/>
  <c r="AP54" i="1" s="1"/>
  <c r="AL54" i="1"/>
  <c r="AM54" i="1" s="1"/>
  <c r="AI54" i="1"/>
  <c r="AJ54" i="1" s="1"/>
  <c r="AF54" i="1"/>
  <c r="AG54" i="1" s="1"/>
  <c r="AC54" i="1"/>
  <c r="AD54" i="1" s="1"/>
  <c r="Z54" i="1"/>
  <c r="AA54" i="1" s="1"/>
  <c r="W54" i="1"/>
  <c r="X54" i="1" s="1"/>
  <c r="T54" i="1"/>
  <c r="U54" i="1" s="1"/>
  <c r="Q54" i="1"/>
  <c r="R54" i="1" s="1"/>
  <c r="N54" i="1"/>
  <c r="O54" i="1" s="1"/>
  <c r="K54" i="1"/>
  <c r="L54" i="1" s="1"/>
  <c r="H54" i="1"/>
  <c r="I54" i="1" s="1"/>
  <c r="E54" i="1"/>
  <c r="DT53" i="1"/>
  <c r="DO53" i="1"/>
  <c r="DP53" i="1" s="1"/>
  <c r="DL53" i="1"/>
  <c r="DM53" i="1" s="1"/>
  <c r="DI53" i="1"/>
  <c r="DJ53" i="1" s="1"/>
  <c r="DF53" i="1"/>
  <c r="DG53" i="1" s="1"/>
  <c r="DC53" i="1"/>
  <c r="DD53" i="1" s="1"/>
  <c r="CZ53" i="1"/>
  <c r="DA53" i="1" s="1"/>
  <c r="CW53" i="1"/>
  <c r="CX53" i="1" s="1"/>
  <c r="CT53" i="1"/>
  <c r="CU53" i="1" s="1"/>
  <c r="CQ53" i="1"/>
  <c r="CR53" i="1" s="1"/>
  <c r="CN53" i="1"/>
  <c r="CO53" i="1" s="1"/>
  <c r="CK53" i="1"/>
  <c r="CL53" i="1" s="1"/>
  <c r="CH53" i="1"/>
  <c r="CI53" i="1" s="1"/>
  <c r="CE53" i="1"/>
  <c r="CF53" i="1" s="1"/>
  <c r="CB53" i="1"/>
  <c r="CC53" i="1" s="1"/>
  <c r="BY53" i="1"/>
  <c r="BZ53" i="1" s="1"/>
  <c r="BV53" i="1"/>
  <c r="BW53" i="1" s="1"/>
  <c r="BS53" i="1"/>
  <c r="BT53" i="1" s="1"/>
  <c r="BP53" i="1"/>
  <c r="BQ53" i="1" s="1"/>
  <c r="BM53" i="1"/>
  <c r="BN53" i="1" s="1"/>
  <c r="BJ53" i="1"/>
  <c r="BK53" i="1" s="1"/>
  <c r="BG53" i="1"/>
  <c r="BH53" i="1" s="1"/>
  <c r="BD53" i="1"/>
  <c r="BE53" i="1" s="1"/>
  <c r="BA53" i="1"/>
  <c r="BB53" i="1" s="1"/>
  <c r="AX53" i="1"/>
  <c r="AY53" i="1" s="1"/>
  <c r="AU53" i="1"/>
  <c r="AV53" i="1" s="1"/>
  <c r="AR53" i="1"/>
  <c r="AS53" i="1" s="1"/>
  <c r="AO53" i="1"/>
  <c r="AP53" i="1" s="1"/>
  <c r="AL53" i="1"/>
  <c r="AM53" i="1" s="1"/>
  <c r="AI53" i="1"/>
  <c r="AJ53" i="1" s="1"/>
  <c r="AF53" i="1"/>
  <c r="AG53" i="1" s="1"/>
  <c r="AC53" i="1"/>
  <c r="AD53" i="1" s="1"/>
  <c r="Z53" i="1"/>
  <c r="AA53" i="1" s="1"/>
  <c r="W53" i="1"/>
  <c r="X53" i="1" s="1"/>
  <c r="T53" i="1"/>
  <c r="U53" i="1" s="1"/>
  <c r="Q53" i="1"/>
  <c r="R53" i="1" s="1"/>
  <c r="N53" i="1"/>
  <c r="O53" i="1" s="1"/>
  <c r="K53" i="1"/>
  <c r="L53" i="1" s="1"/>
  <c r="H53" i="1"/>
  <c r="I53" i="1" s="1"/>
  <c r="E53" i="1"/>
  <c r="F53" i="1" s="1"/>
  <c r="DT52" i="1"/>
  <c r="DO52" i="1"/>
  <c r="DP52" i="1" s="1"/>
  <c r="DL52" i="1"/>
  <c r="DM52" i="1" s="1"/>
  <c r="DI52" i="1"/>
  <c r="DJ52" i="1" s="1"/>
  <c r="DF52" i="1"/>
  <c r="DG52" i="1" s="1"/>
  <c r="DC52" i="1"/>
  <c r="DD52" i="1" s="1"/>
  <c r="CZ52" i="1"/>
  <c r="DA52" i="1" s="1"/>
  <c r="CW52" i="1"/>
  <c r="CX52" i="1" s="1"/>
  <c r="CT52" i="1"/>
  <c r="CU52" i="1" s="1"/>
  <c r="CQ52" i="1"/>
  <c r="CR52" i="1" s="1"/>
  <c r="CN52" i="1"/>
  <c r="CO52" i="1" s="1"/>
  <c r="CK52" i="1"/>
  <c r="CL52" i="1" s="1"/>
  <c r="CH52" i="1"/>
  <c r="CI52" i="1" s="1"/>
  <c r="CE52" i="1"/>
  <c r="CF52" i="1" s="1"/>
  <c r="CB52" i="1"/>
  <c r="CC52" i="1" s="1"/>
  <c r="BY52" i="1"/>
  <c r="BZ52" i="1" s="1"/>
  <c r="BV52" i="1"/>
  <c r="BW52" i="1" s="1"/>
  <c r="BS52" i="1"/>
  <c r="BT52" i="1" s="1"/>
  <c r="BP52" i="1"/>
  <c r="BQ52" i="1" s="1"/>
  <c r="BM52" i="1"/>
  <c r="BN52" i="1" s="1"/>
  <c r="BJ52" i="1"/>
  <c r="BK52" i="1" s="1"/>
  <c r="BG52" i="1"/>
  <c r="BH52" i="1" s="1"/>
  <c r="BD52" i="1"/>
  <c r="BE52" i="1" s="1"/>
  <c r="BA52" i="1"/>
  <c r="BB52" i="1" s="1"/>
  <c r="AX52" i="1"/>
  <c r="AY52" i="1" s="1"/>
  <c r="AU52" i="1"/>
  <c r="AV52" i="1" s="1"/>
  <c r="AR52" i="1"/>
  <c r="AS52" i="1" s="1"/>
  <c r="AO52" i="1"/>
  <c r="AP52" i="1" s="1"/>
  <c r="AL52" i="1"/>
  <c r="AM52" i="1" s="1"/>
  <c r="AI52" i="1"/>
  <c r="AJ52" i="1" s="1"/>
  <c r="AF52" i="1"/>
  <c r="AG52" i="1" s="1"/>
  <c r="AC52" i="1"/>
  <c r="AD52" i="1" s="1"/>
  <c r="Z52" i="1"/>
  <c r="AA52" i="1" s="1"/>
  <c r="W52" i="1"/>
  <c r="X52" i="1" s="1"/>
  <c r="T52" i="1"/>
  <c r="U52" i="1" s="1"/>
  <c r="Q52" i="1"/>
  <c r="R52" i="1" s="1"/>
  <c r="N52" i="1"/>
  <c r="O52" i="1" s="1"/>
  <c r="K52" i="1"/>
  <c r="L52" i="1" s="1"/>
  <c r="H52" i="1"/>
  <c r="I52" i="1" s="1"/>
  <c r="E52" i="1"/>
  <c r="DT51" i="1"/>
  <c r="DO51" i="1"/>
  <c r="DP51" i="1" s="1"/>
  <c r="DL51" i="1"/>
  <c r="DM51" i="1" s="1"/>
  <c r="DI51" i="1"/>
  <c r="DJ51" i="1" s="1"/>
  <c r="DF51" i="1"/>
  <c r="DG51" i="1" s="1"/>
  <c r="DC51" i="1"/>
  <c r="DD51" i="1" s="1"/>
  <c r="CZ51" i="1"/>
  <c r="DA51" i="1" s="1"/>
  <c r="CW51" i="1"/>
  <c r="CX51" i="1" s="1"/>
  <c r="CT51" i="1"/>
  <c r="CU51" i="1" s="1"/>
  <c r="CQ51" i="1"/>
  <c r="CR51" i="1" s="1"/>
  <c r="CN51" i="1"/>
  <c r="CO51" i="1" s="1"/>
  <c r="CK51" i="1"/>
  <c r="CL51" i="1" s="1"/>
  <c r="CH51" i="1"/>
  <c r="CI51" i="1" s="1"/>
  <c r="CE51" i="1"/>
  <c r="CF51" i="1" s="1"/>
  <c r="CB51" i="1"/>
  <c r="CC51" i="1" s="1"/>
  <c r="BY51" i="1"/>
  <c r="BZ51" i="1" s="1"/>
  <c r="BV51" i="1"/>
  <c r="BW51" i="1" s="1"/>
  <c r="BS51" i="1"/>
  <c r="BT51" i="1" s="1"/>
  <c r="BP51" i="1"/>
  <c r="BQ51" i="1" s="1"/>
  <c r="BM51" i="1"/>
  <c r="BN51" i="1" s="1"/>
  <c r="BJ51" i="1"/>
  <c r="BK51" i="1" s="1"/>
  <c r="BG51" i="1"/>
  <c r="BH51" i="1" s="1"/>
  <c r="BD51" i="1"/>
  <c r="BE51" i="1" s="1"/>
  <c r="BA51" i="1"/>
  <c r="BB51" i="1" s="1"/>
  <c r="AX51" i="1"/>
  <c r="AY51" i="1" s="1"/>
  <c r="AU51" i="1"/>
  <c r="AV51" i="1" s="1"/>
  <c r="AR51" i="1"/>
  <c r="AS51" i="1" s="1"/>
  <c r="AO51" i="1"/>
  <c r="AP51" i="1" s="1"/>
  <c r="AL51" i="1"/>
  <c r="AM51" i="1" s="1"/>
  <c r="AI51" i="1"/>
  <c r="AJ51" i="1" s="1"/>
  <c r="AF51" i="1"/>
  <c r="AG51" i="1" s="1"/>
  <c r="AC51" i="1"/>
  <c r="AD51" i="1" s="1"/>
  <c r="Z51" i="1"/>
  <c r="AA51" i="1" s="1"/>
  <c r="W51" i="1"/>
  <c r="X51" i="1" s="1"/>
  <c r="T51" i="1"/>
  <c r="U51" i="1" s="1"/>
  <c r="Q51" i="1"/>
  <c r="R51" i="1" s="1"/>
  <c r="N51" i="1"/>
  <c r="O51" i="1" s="1"/>
  <c r="K51" i="1"/>
  <c r="L51" i="1" s="1"/>
  <c r="H51" i="1"/>
  <c r="I51" i="1" s="1"/>
  <c r="E51" i="1"/>
  <c r="F51" i="1" s="1"/>
  <c r="DT50" i="1"/>
  <c r="DO50" i="1"/>
  <c r="DP50" i="1" s="1"/>
  <c r="DL50" i="1"/>
  <c r="DM50" i="1" s="1"/>
  <c r="DI50" i="1"/>
  <c r="DJ50" i="1" s="1"/>
  <c r="DF50" i="1"/>
  <c r="DG50" i="1" s="1"/>
  <c r="DC50" i="1"/>
  <c r="DD50" i="1" s="1"/>
  <c r="CZ50" i="1"/>
  <c r="DA50" i="1" s="1"/>
  <c r="CW50" i="1"/>
  <c r="CX50" i="1" s="1"/>
  <c r="CT50" i="1"/>
  <c r="CU50" i="1" s="1"/>
  <c r="CQ50" i="1"/>
  <c r="CR50" i="1" s="1"/>
  <c r="CN50" i="1"/>
  <c r="CO50" i="1" s="1"/>
  <c r="CK50" i="1"/>
  <c r="CL50" i="1" s="1"/>
  <c r="CH50" i="1"/>
  <c r="CI50" i="1" s="1"/>
  <c r="CE50" i="1"/>
  <c r="CF50" i="1" s="1"/>
  <c r="CB50" i="1"/>
  <c r="CC50" i="1" s="1"/>
  <c r="BY50" i="1"/>
  <c r="BZ50" i="1" s="1"/>
  <c r="BV50" i="1"/>
  <c r="BW50" i="1" s="1"/>
  <c r="BS50" i="1"/>
  <c r="BT50" i="1" s="1"/>
  <c r="BP50" i="1"/>
  <c r="BQ50" i="1" s="1"/>
  <c r="BM50" i="1"/>
  <c r="BN50" i="1" s="1"/>
  <c r="BJ50" i="1"/>
  <c r="BK50" i="1" s="1"/>
  <c r="BG50" i="1"/>
  <c r="BH50" i="1" s="1"/>
  <c r="BD50" i="1"/>
  <c r="BE50" i="1" s="1"/>
  <c r="BA50" i="1"/>
  <c r="BB50" i="1" s="1"/>
  <c r="AX50" i="1"/>
  <c r="AY50" i="1" s="1"/>
  <c r="AU50" i="1"/>
  <c r="AV50" i="1" s="1"/>
  <c r="AR50" i="1"/>
  <c r="AS50" i="1" s="1"/>
  <c r="AO50" i="1"/>
  <c r="AP50" i="1" s="1"/>
  <c r="AL50" i="1"/>
  <c r="AM50" i="1" s="1"/>
  <c r="AI50" i="1"/>
  <c r="AJ50" i="1" s="1"/>
  <c r="AF50" i="1"/>
  <c r="AG50" i="1" s="1"/>
  <c r="AC50" i="1"/>
  <c r="AD50" i="1" s="1"/>
  <c r="Z50" i="1"/>
  <c r="AA50" i="1" s="1"/>
  <c r="W50" i="1"/>
  <c r="X50" i="1" s="1"/>
  <c r="T50" i="1"/>
  <c r="U50" i="1" s="1"/>
  <c r="Q50" i="1"/>
  <c r="R50" i="1" s="1"/>
  <c r="N50" i="1"/>
  <c r="O50" i="1" s="1"/>
  <c r="K50" i="1"/>
  <c r="L50" i="1" s="1"/>
  <c r="H50" i="1"/>
  <c r="I50" i="1" s="1"/>
  <c r="E50" i="1"/>
  <c r="DT49" i="1"/>
  <c r="DO49" i="1"/>
  <c r="DP49" i="1" s="1"/>
  <c r="DL49" i="1"/>
  <c r="DM49" i="1" s="1"/>
  <c r="DI49" i="1"/>
  <c r="DJ49" i="1" s="1"/>
  <c r="DF49" i="1"/>
  <c r="DG49" i="1" s="1"/>
  <c r="DC49" i="1"/>
  <c r="DD49" i="1" s="1"/>
  <c r="CZ49" i="1"/>
  <c r="DA49" i="1" s="1"/>
  <c r="CW49" i="1"/>
  <c r="CX49" i="1" s="1"/>
  <c r="CT49" i="1"/>
  <c r="CU49" i="1" s="1"/>
  <c r="CQ49" i="1"/>
  <c r="CR49" i="1" s="1"/>
  <c r="CN49" i="1"/>
  <c r="CO49" i="1" s="1"/>
  <c r="CK49" i="1"/>
  <c r="CL49" i="1" s="1"/>
  <c r="CH49" i="1"/>
  <c r="CI49" i="1" s="1"/>
  <c r="CE49" i="1"/>
  <c r="CF49" i="1" s="1"/>
  <c r="CB49" i="1"/>
  <c r="CC49" i="1" s="1"/>
  <c r="BY49" i="1"/>
  <c r="BZ49" i="1" s="1"/>
  <c r="BV49" i="1"/>
  <c r="BW49" i="1" s="1"/>
  <c r="BS49" i="1"/>
  <c r="BT49" i="1" s="1"/>
  <c r="BP49" i="1"/>
  <c r="BQ49" i="1" s="1"/>
  <c r="BM49" i="1"/>
  <c r="BN49" i="1" s="1"/>
  <c r="BJ49" i="1"/>
  <c r="BK49" i="1" s="1"/>
  <c r="BG49" i="1"/>
  <c r="BH49" i="1" s="1"/>
  <c r="BD49" i="1"/>
  <c r="BE49" i="1" s="1"/>
  <c r="BA49" i="1"/>
  <c r="BB49" i="1" s="1"/>
  <c r="AX49" i="1"/>
  <c r="AY49" i="1" s="1"/>
  <c r="AU49" i="1"/>
  <c r="AV49" i="1" s="1"/>
  <c r="AR49" i="1"/>
  <c r="AS49" i="1" s="1"/>
  <c r="AO49" i="1"/>
  <c r="AP49" i="1" s="1"/>
  <c r="AL49" i="1"/>
  <c r="AM49" i="1" s="1"/>
  <c r="AI49" i="1"/>
  <c r="AJ49" i="1" s="1"/>
  <c r="AF49" i="1"/>
  <c r="AG49" i="1" s="1"/>
  <c r="AC49" i="1"/>
  <c r="AD49" i="1" s="1"/>
  <c r="Z49" i="1"/>
  <c r="W49" i="1"/>
  <c r="X49" i="1" s="1"/>
  <c r="T49" i="1"/>
  <c r="U49" i="1" s="1"/>
  <c r="Q49" i="1"/>
  <c r="R49" i="1" s="1"/>
  <c r="N49" i="1"/>
  <c r="O49" i="1" s="1"/>
  <c r="K49" i="1"/>
  <c r="L49" i="1" s="1"/>
  <c r="H49" i="1"/>
  <c r="I49" i="1" s="1"/>
  <c r="E49" i="1"/>
  <c r="DT48" i="1"/>
  <c r="DO48" i="1"/>
  <c r="DP48" i="1" s="1"/>
  <c r="DL48" i="1"/>
  <c r="DM48" i="1" s="1"/>
  <c r="DI48" i="1"/>
  <c r="DJ48" i="1" s="1"/>
  <c r="DF48" i="1"/>
  <c r="DG48" i="1" s="1"/>
  <c r="DC48" i="1"/>
  <c r="DD48" i="1" s="1"/>
  <c r="CZ48" i="1"/>
  <c r="DA48" i="1" s="1"/>
  <c r="CW48" i="1"/>
  <c r="CX48" i="1" s="1"/>
  <c r="CT48" i="1"/>
  <c r="CU48" i="1" s="1"/>
  <c r="CQ48" i="1"/>
  <c r="CR48" i="1" s="1"/>
  <c r="CN48" i="1"/>
  <c r="CO48" i="1" s="1"/>
  <c r="CK48" i="1"/>
  <c r="CL48" i="1" s="1"/>
  <c r="CH48" i="1"/>
  <c r="CI48" i="1" s="1"/>
  <c r="CE48" i="1"/>
  <c r="CF48" i="1" s="1"/>
  <c r="CB48" i="1"/>
  <c r="CC48" i="1" s="1"/>
  <c r="BY48" i="1"/>
  <c r="BZ48" i="1" s="1"/>
  <c r="BV48" i="1"/>
  <c r="BW48" i="1" s="1"/>
  <c r="BS48" i="1"/>
  <c r="BT48" i="1" s="1"/>
  <c r="BP48" i="1"/>
  <c r="BQ48" i="1" s="1"/>
  <c r="BM48" i="1"/>
  <c r="BN48" i="1" s="1"/>
  <c r="BJ48" i="1"/>
  <c r="BK48" i="1" s="1"/>
  <c r="BG48" i="1"/>
  <c r="BH48" i="1" s="1"/>
  <c r="BD48" i="1"/>
  <c r="BE48" i="1" s="1"/>
  <c r="BA48" i="1"/>
  <c r="BB48" i="1" s="1"/>
  <c r="AX48" i="1"/>
  <c r="AY48" i="1" s="1"/>
  <c r="AU48" i="1"/>
  <c r="AV48" i="1" s="1"/>
  <c r="AR48" i="1"/>
  <c r="AS48" i="1" s="1"/>
  <c r="AO48" i="1"/>
  <c r="AP48" i="1" s="1"/>
  <c r="AL48" i="1"/>
  <c r="AM48" i="1" s="1"/>
  <c r="AI48" i="1"/>
  <c r="AJ48" i="1" s="1"/>
  <c r="AF48" i="1"/>
  <c r="AG48" i="1" s="1"/>
  <c r="AC48" i="1"/>
  <c r="AD48" i="1" s="1"/>
  <c r="Z48" i="1"/>
  <c r="AA48" i="1" s="1"/>
  <c r="W48" i="1"/>
  <c r="X48" i="1" s="1"/>
  <c r="T48" i="1"/>
  <c r="U48" i="1" s="1"/>
  <c r="Q48" i="1"/>
  <c r="R48" i="1" s="1"/>
  <c r="N48" i="1"/>
  <c r="O48" i="1" s="1"/>
  <c r="K48" i="1"/>
  <c r="L48" i="1" s="1"/>
  <c r="H48" i="1"/>
  <c r="I48" i="1" s="1"/>
  <c r="E48" i="1"/>
  <c r="DT47" i="1"/>
  <c r="DO47" i="1"/>
  <c r="DP47" i="1" s="1"/>
  <c r="DL47" i="1"/>
  <c r="DM47" i="1" s="1"/>
  <c r="DI47" i="1"/>
  <c r="DJ47" i="1" s="1"/>
  <c r="DF47" i="1"/>
  <c r="DG47" i="1" s="1"/>
  <c r="DC47" i="1"/>
  <c r="DD47" i="1" s="1"/>
  <c r="CZ47" i="1"/>
  <c r="DA47" i="1" s="1"/>
  <c r="CW47" i="1"/>
  <c r="CX47" i="1" s="1"/>
  <c r="CT47" i="1"/>
  <c r="CU47" i="1" s="1"/>
  <c r="CQ47" i="1"/>
  <c r="CR47" i="1" s="1"/>
  <c r="CN47" i="1"/>
  <c r="CO47" i="1" s="1"/>
  <c r="CK47" i="1"/>
  <c r="CL47" i="1" s="1"/>
  <c r="CH47" i="1"/>
  <c r="CI47" i="1" s="1"/>
  <c r="CE47" i="1"/>
  <c r="CF47" i="1" s="1"/>
  <c r="CB47" i="1"/>
  <c r="CC47" i="1" s="1"/>
  <c r="BY47" i="1"/>
  <c r="BZ47" i="1" s="1"/>
  <c r="BV47" i="1"/>
  <c r="BW47" i="1" s="1"/>
  <c r="BS47" i="1"/>
  <c r="BT47" i="1" s="1"/>
  <c r="BP47" i="1"/>
  <c r="BQ47" i="1" s="1"/>
  <c r="BM47" i="1"/>
  <c r="BN47" i="1" s="1"/>
  <c r="BJ47" i="1"/>
  <c r="BK47" i="1" s="1"/>
  <c r="BG47" i="1"/>
  <c r="BH47" i="1" s="1"/>
  <c r="BD47" i="1"/>
  <c r="BE47" i="1" s="1"/>
  <c r="BA47" i="1"/>
  <c r="BB47" i="1" s="1"/>
  <c r="AX47" i="1"/>
  <c r="AY47" i="1" s="1"/>
  <c r="AU47" i="1"/>
  <c r="AV47" i="1" s="1"/>
  <c r="AR47" i="1"/>
  <c r="AS47" i="1" s="1"/>
  <c r="AO47" i="1"/>
  <c r="AP47" i="1" s="1"/>
  <c r="AL47" i="1"/>
  <c r="AM47" i="1" s="1"/>
  <c r="AI47" i="1"/>
  <c r="AJ47" i="1" s="1"/>
  <c r="AF47" i="1"/>
  <c r="AG47" i="1" s="1"/>
  <c r="AC47" i="1"/>
  <c r="AD47" i="1" s="1"/>
  <c r="Z47" i="1"/>
  <c r="AA47" i="1" s="1"/>
  <c r="W47" i="1"/>
  <c r="X47" i="1" s="1"/>
  <c r="T47" i="1"/>
  <c r="U47" i="1" s="1"/>
  <c r="Q47" i="1"/>
  <c r="R47" i="1" s="1"/>
  <c r="N47" i="1"/>
  <c r="O47" i="1" s="1"/>
  <c r="K47" i="1"/>
  <c r="L47" i="1" s="1"/>
  <c r="H47" i="1"/>
  <c r="I47" i="1" s="1"/>
  <c r="E47" i="1"/>
  <c r="F47" i="1" s="1"/>
  <c r="DT46" i="1"/>
  <c r="DO46" i="1"/>
  <c r="DP46" i="1" s="1"/>
  <c r="DL46" i="1"/>
  <c r="DM46" i="1" s="1"/>
  <c r="DI46" i="1"/>
  <c r="DJ46" i="1" s="1"/>
  <c r="DF46" i="1"/>
  <c r="DG46" i="1" s="1"/>
  <c r="DC46" i="1"/>
  <c r="DD46" i="1" s="1"/>
  <c r="CZ46" i="1"/>
  <c r="DA46" i="1" s="1"/>
  <c r="CW46" i="1"/>
  <c r="CX46" i="1" s="1"/>
  <c r="CT46" i="1"/>
  <c r="CU46" i="1" s="1"/>
  <c r="CQ46" i="1"/>
  <c r="CR46" i="1" s="1"/>
  <c r="CN46" i="1"/>
  <c r="CO46" i="1" s="1"/>
  <c r="CK46" i="1"/>
  <c r="CL46" i="1" s="1"/>
  <c r="CH46" i="1"/>
  <c r="CI46" i="1" s="1"/>
  <c r="CE46" i="1"/>
  <c r="CF46" i="1" s="1"/>
  <c r="CB46" i="1"/>
  <c r="CC46" i="1" s="1"/>
  <c r="BY46" i="1"/>
  <c r="BZ46" i="1" s="1"/>
  <c r="BV46" i="1"/>
  <c r="BW46" i="1" s="1"/>
  <c r="BS46" i="1"/>
  <c r="BT46" i="1" s="1"/>
  <c r="BP46" i="1"/>
  <c r="BQ46" i="1" s="1"/>
  <c r="BM46" i="1"/>
  <c r="BN46" i="1" s="1"/>
  <c r="BJ46" i="1"/>
  <c r="BK46" i="1" s="1"/>
  <c r="BG46" i="1"/>
  <c r="BH46" i="1" s="1"/>
  <c r="BD46" i="1"/>
  <c r="BE46" i="1" s="1"/>
  <c r="BA46" i="1"/>
  <c r="BB46" i="1" s="1"/>
  <c r="AX46" i="1"/>
  <c r="AY46" i="1" s="1"/>
  <c r="AU46" i="1"/>
  <c r="AV46" i="1" s="1"/>
  <c r="AR46" i="1"/>
  <c r="AS46" i="1" s="1"/>
  <c r="AO46" i="1"/>
  <c r="AP46" i="1" s="1"/>
  <c r="AL46" i="1"/>
  <c r="AM46" i="1" s="1"/>
  <c r="AI46" i="1"/>
  <c r="AJ46" i="1" s="1"/>
  <c r="AF46" i="1"/>
  <c r="AG46" i="1" s="1"/>
  <c r="AC46" i="1"/>
  <c r="AD46" i="1" s="1"/>
  <c r="Z46" i="1"/>
  <c r="AA46" i="1" s="1"/>
  <c r="W46" i="1"/>
  <c r="X46" i="1" s="1"/>
  <c r="T46" i="1"/>
  <c r="U46" i="1" s="1"/>
  <c r="Q46" i="1"/>
  <c r="R46" i="1" s="1"/>
  <c r="N46" i="1"/>
  <c r="O46" i="1" s="1"/>
  <c r="K46" i="1"/>
  <c r="L46" i="1" s="1"/>
  <c r="H46" i="1"/>
  <c r="I46" i="1" s="1"/>
  <c r="E46" i="1"/>
  <c r="DT45" i="1"/>
  <c r="DO45" i="1"/>
  <c r="DP45" i="1" s="1"/>
  <c r="DL45" i="1"/>
  <c r="DM45" i="1" s="1"/>
  <c r="DI45" i="1"/>
  <c r="DJ45" i="1" s="1"/>
  <c r="DF45" i="1"/>
  <c r="DG45" i="1" s="1"/>
  <c r="DC45" i="1"/>
  <c r="DD45" i="1" s="1"/>
  <c r="CZ45" i="1"/>
  <c r="DA45" i="1" s="1"/>
  <c r="CW45" i="1"/>
  <c r="CX45" i="1" s="1"/>
  <c r="CT45" i="1"/>
  <c r="CU45" i="1" s="1"/>
  <c r="CQ45" i="1"/>
  <c r="CR45" i="1" s="1"/>
  <c r="CN45" i="1"/>
  <c r="CO45" i="1" s="1"/>
  <c r="CK45" i="1"/>
  <c r="CL45" i="1" s="1"/>
  <c r="CH45" i="1"/>
  <c r="CI45" i="1" s="1"/>
  <c r="CE45" i="1"/>
  <c r="CF45" i="1" s="1"/>
  <c r="CB45" i="1"/>
  <c r="CC45" i="1" s="1"/>
  <c r="BY45" i="1"/>
  <c r="BZ45" i="1" s="1"/>
  <c r="BV45" i="1"/>
  <c r="BW45" i="1" s="1"/>
  <c r="BS45" i="1"/>
  <c r="BT45" i="1" s="1"/>
  <c r="BP45" i="1"/>
  <c r="BQ45" i="1" s="1"/>
  <c r="BM45" i="1"/>
  <c r="BN45" i="1" s="1"/>
  <c r="BJ45" i="1"/>
  <c r="BK45" i="1" s="1"/>
  <c r="BG45" i="1"/>
  <c r="BH45" i="1" s="1"/>
  <c r="BD45" i="1"/>
  <c r="BE45" i="1" s="1"/>
  <c r="BA45" i="1"/>
  <c r="BB45" i="1" s="1"/>
  <c r="AX45" i="1"/>
  <c r="AY45" i="1" s="1"/>
  <c r="AU45" i="1"/>
  <c r="AV45" i="1" s="1"/>
  <c r="AR45" i="1"/>
  <c r="AS45" i="1" s="1"/>
  <c r="AO45" i="1"/>
  <c r="AP45" i="1" s="1"/>
  <c r="AL45" i="1"/>
  <c r="AM45" i="1" s="1"/>
  <c r="AI45" i="1"/>
  <c r="AJ45" i="1" s="1"/>
  <c r="AF45" i="1"/>
  <c r="AG45" i="1" s="1"/>
  <c r="AC45" i="1"/>
  <c r="AD45" i="1" s="1"/>
  <c r="Z45" i="1"/>
  <c r="AA45" i="1" s="1"/>
  <c r="W45" i="1"/>
  <c r="X45" i="1" s="1"/>
  <c r="T45" i="1"/>
  <c r="U45" i="1" s="1"/>
  <c r="Q45" i="1"/>
  <c r="R45" i="1" s="1"/>
  <c r="N45" i="1"/>
  <c r="O45" i="1" s="1"/>
  <c r="K45" i="1"/>
  <c r="L45" i="1" s="1"/>
  <c r="H45" i="1"/>
  <c r="I45" i="1" s="1"/>
  <c r="E45" i="1"/>
  <c r="DT44" i="1"/>
  <c r="DO44" i="1"/>
  <c r="DP44" i="1" s="1"/>
  <c r="DL44" i="1"/>
  <c r="DM44" i="1" s="1"/>
  <c r="DI44" i="1"/>
  <c r="DJ44" i="1" s="1"/>
  <c r="DF44" i="1"/>
  <c r="DG44" i="1" s="1"/>
  <c r="DC44" i="1"/>
  <c r="DD44" i="1" s="1"/>
  <c r="CZ44" i="1"/>
  <c r="DA44" i="1" s="1"/>
  <c r="CW44" i="1"/>
  <c r="CX44" i="1" s="1"/>
  <c r="CT44" i="1"/>
  <c r="CU44" i="1" s="1"/>
  <c r="CQ44" i="1"/>
  <c r="CR44" i="1" s="1"/>
  <c r="CN44" i="1"/>
  <c r="CO44" i="1" s="1"/>
  <c r="CK44" i="1"/>
  <c r="CL44" i="1" s="1"/>
  <c r="CH44" i="1"/>
  <c r="CI44" i="1" s="1"/>
  <c r="CE44" i="1"/>
  <c r="CF44" i="1" s="1"/>
  <c r="CB44" i="1"/>
  <c r="CC44" i="1" s="1"/>
  <c r="BY44" i="1"/>
  <c r="BZ44" i="1" s="1"/>
  <c r="BV44" i="1"/>
  <c r="BW44" i="1" s="1"/>
  <c r="BS44" i="1"/>
  <c r="BT44" i="1" s="1"/>
  <c r="BP44" i="1"/>
  <c r="BQ44" i="1" s="1"/>
  <c r="BM44" i="1"/>
  <c r="BN44" i="1" s="1"/>
  <c r="BJ44" i="1"/>
  <c r="BK44" i="1" s="1"/>
  <c r="BG44" i="1"/>
  <c r="BH44" i="1" s="1"/>
  <c r="BD44" i="1"/>
  <c r="BE44" i="1" s="1"/>
  <c r="BA44" i="1"/>
  <c r="BB44" i="1" s="1"/>
  <c r="AX44" i="1"/>
  <c r="AY44" i="1" s="1"/>
  <c r="AU44" i="1"/>
  <c r="AV44" i="1" s="1"/>
  <c r="AR44" i="1"/>
  <c r="AS44" i="1" s="1"/>
  <c r="AO44" i="1"/>
  <c r="AP44" i="1" s="1"/>
  <c r="AL44" i="1"/>
  <c r="AM44" i="1" s="1"/>
  <c r="AI44" i="1"/>
  <c r="AJ44" i="1" s="1"/>
  <c r="AF44" i="1"/>
  <c r="AG44" i="1" s="1"/>
  <c r="AC44" i="1"/>
  <c r="AD44" i="1" s="1"/>
  <c r="Z44" i="1"/>
  <c r="AA44" i="1" s="1"/>
  <c r="W44" i="1"/>
  <c r="X44" i="1" s="1"/>
  <c r="T44" i="1"/>
  <c r="U44" i="1" s="1"/>
  <c r="Q44" i="1"/>
  <c r="R44" i="1" s="1"/>
  <c r="N44" i="1"/>
  <c r="O44" i="1" s="1"/>
  <c r="K44" i="1"/>
  <c r="L44" i="1" s="1"/>
  <c r="H44" i="1"/>
  <c r="I44" i="1" s="1"/>
  <c r="E44" i="1"/>
  <c r="F44" i="1" s="1"/>
  <c r="DT43" i="1"/>
  <c r="DO43" i="1"/>
  <c r="DP43" i="1" s="1"/>
  <c r="DL43" i="1"/>
  <c r="DM43" i="1" s="1"/>
  <c r="DI43" i="1"/>
  <c r="DJ43" i="1" s="1"/>
  <c r="DF43" i="1"/>
  <c r="DG43" i="1" s="1"/>
  <c r="DC43" i="1"/>
  <c r="DD43" i="1" s="1"/>
  <c r="CZ43" i="1"/>
  <c r="DA43" i="1" s="1"/>
  <c r="CW43" i="1"/>
  <c r="CX43" i="1" s="1"/>
  <c r="CT43" i="1"/>
  <c r="CU43" i="1" s="1"/>
  <c r="CQ43" i="1"/>
  <c r="CR43" i="1" s="1"/>
  <c r="CN43" i="1"/>
  <c r="CO43" i="1" s="1"/>
  <c r="CK43" i="1"/>
  <c r="CL43" i="1" s="1"/>
  <c r="CH43" i="1"/>
  <c r="CI43" i="1" s="1"/>
  <c r="CE43" i="1"/>
  <c r="CF43" i="1" s="1"/>
  <c r="CB43" i="1"/>
  <c r="CC43" i="1" s="1"/>
  <c r="BY43" i="1"/>
  <c r="BZ43" i="1" s="1"/>
  <c r="BV43" i="1"/>
  <c r="BW43" i="1" s="1"/>
  <c r="BS43" i="1"/>
  <c r="BT43" i="1" s="1"/>
  <c r="BP43" i="1"/>
  <c r="BQ43" i="1" s="1"/>
  <c r="BM43" i="1"/>
  <c r="BN43" i="1" s="1"/>
  <c r="BJ43" i="1"/>
  <c r="BG43" i="1"/>
  <c r="BH43" i="1" s="1"/>
  <c r="BD43" i="1"/>
  <c r="BE43" i="1" s="1"/>
  <c r="BA43" i="1"/>
  <c r="BB43" i="1" s="1"/>
  <c r="AX43" i="1"/>
  <c r="AY43" i="1" s="1"/>
  <c r="AU43" i="1"/>
  <c r="AV43" i="1" s="1"/>
  <c r="AR43" i="1"/>
  <c r="AS43" i="1" s="1"/>
  <c r="AO43" i="1"/>
  <c r="AP43" i="1" s="1"/>
  <c r="AL43" i="1"/>
  <c r="AM43" i="1" s="1"/>
  <c r="AI43" i="1"/>
  <c r="AJ43" i="1" s="1"/>
  <c r="AF43" i="1"/>
  <c r="AG43" i="1" s="1"/>
  <c r="AC43" i="1"/>
  <c r="AD43" i="1" s="1"/>
  <c r="AA43" i="1"/>
  <c r="Z43" i="1"/>
  <c r="W43" i="1"/>
  <c r="X43" i="1" s="1"/>
  <c r="T43" i="1"/>
  <c r="Q43" i="1"/>
  <c r="R43" i="1" s="1"/>
  <c r="N43" i="1"/>
  <c r="O43" i="1" s="1"/>
  <c r="K43" i="1"/>
  <c r="L43" i="1" s="1"/>
  <c r="H43" i="1"/>
  <c r="I43" i="1" s="1"/>
  <c r="E43" i="1"/>
  <c r="DT42" i="1"/>
  <c r="DO42" i="1"/>
  <c r="DP42" i="1" s="1"/>
  <c r="DL42" i="1"/>
  <c r="DM42" i="1" s="1"/>
  <c r="DI42" i="1"/>
  <c r="DJ42" i="1" s="1"/>
  <c r="DF42" i="1"/>
  <c r="DG42" i="1" s="1"/>
  <c r="DC42" i="1"/>
  <c r="DD42" i="1" s="1"/>
  <c r="CZ42" i="1"/>
  <c r="DA42" i="1" s="1"/>
  <c r="CW42" i="1"/>
  <c r="CX42" i="1" s="1"/>
  <c r="CT42" i="1"/>
  <c r="CU42" i="1" s="1"/>
  <c r="CQ42" i="1"/>
  <c r="CR42" i="1" s="1"/>
  <c r="CN42" i="1"/>
  <c r="CO42" i="1" s="1"/>
  <c r="CK42" i="1"/>
  <c r="CL42" i="1" s="1"/>
  <c r="CH42" i="1"/>
  <c r="CI42" i="1" s="1"/>
  <c r="CE42" i="1"/>
  <c r="CF42" i="1" s="1"/>
  <c r="CB42" i="1"/>
  <c r="CC42" i="1" s="1"/>
  <c r="BY42" i="1"/>
  <c r="BZ42" i="1" s="1"/>
  <c r="BV42" i="1"/>
  <c r="BW42" i="1" s="1"/>
  <c r="BS42" i="1"/>
  <c r="BT42" i="1" s="1"/>
  <c r="BP42" i="1"/>
  <c r="BQ42" i="1" s="1"/>
  <c r="BM42" i="1"/>
  <c r="BN42" i="1" s="1"/>
  <c r="BJ42" i="1"/>
  <c r="BK42" i="1" s="1"/>
  <c r="BG42" i="1"/>
  <c r="BH42" i="1" s="1"/>
  <c r="BD42" i="1"/>
  <c r="BE42" i="1" s="1"/>
  <c r="BA42" i="1"/>
  <c r="BB42" i="1" s="1"/>
  <c r="AX42" i="1"/>
  <c r="AY42" i="1" s="1"/>
  <c r="AU42" i="1"/>
  <c r="AV42" i="1" s="1"/>
  <c r="AR42" i="1"/>
  <c r="AS42" i="1" s="1"/>
  <c r="AO42" i="1"/>
  <c r="AP42" i="1" s="1"/>
  <c r="AL42" i="1"/>
  <c r="AM42" i="1" s="1"/>
  <c r="AI42" i="1"/>
  <c r="AJ42" i="1" s="1"/>
  <c r="AF42" i="1"/>
  <c r="AG42" i="1" s="1"/>
  <c r="AC42" i="1"/>
  <c r="AD42" i="1" s="1"/>
  <c r="Z42" i="1"/>
  <c r="AA42" i="1" s="1"/>
  <c r="W42" i="1"/>
  <c r="T42" i="1"/>
  <c r="U42" i="1" s="1"/>
  <c r="Q42" i="1"/>
  <c r="R42" i="1" s="1"/>
  <c r="N42" i="1"/>
  <c r="O42" i="1" s="1"/>
  <c r="K42" i="1"/>
  <c r="L42" i="1" s="1"/>
  <c r="H42" i="1"/>
  <c r="E42" i="1"/>
  <c r="DT41" i="1"/>
  <c r="DO41" i="1"/>
  <c r="DL41" i="1"/>
  <c r="DI41" i="1"/>
  <c r="DJ41" i="1" s="1"/>
  <c r="DF41" i="1"/>
  <c r="DG41" i="1" s="1"/>
  <c r="DC41" i="1"/>
  <c r="DD41" i="1" s="1"/>
  <c r="CZ41" i="1"/>
  <c r="DA41" i="1" s="1"/>
  <c r="CW41" i="1"/>
  <c r="CX41" i="1" s="1"/>
  <c r="CT41" i="1"/>
  <c r="CQ41" i="1"/>
  <c r="CR41" i="1" s="1"/>
  <c r="CN41" i="1"/>
  <c r="CO41" i="1" s="1"/>
  <c r="CK41" i="1"/>
  <c r="CL41" i="1" s="1"/>
  <c r="CH41" i="1"/>
  <c r="CI41" i="1" s="1"/>
  <c r="CE41" i="1"/>
  <c r="CB41" i="1"/>
  <c r="BY41" i="1"/>
  <c r="BZ41" i="1" s="1"/>
  <c r="BV41" i="1"/>
  <c r="BW41" i="1" s="1"/>
  <c r="BS41" i="1"/>
  <c r="BT41" i="1" s="1"/>
  <c r="BP41" i="1"/>
  <c r="BQ41" i="1" s="1"/>
  <c r="BM41" i="1"/>
  <c r="BJ41" i="1"/>
  <c r="BK41" i="1" s="1"/>
  <c r="BG41" i="1"/>
  <c r="BH41" i="1" s="1"/>
  <c r="BD41" i="1"/>
  <c r="BE41" i="1" s="1"/>
  <c r="BA41" i="1"/>
  <c r="BB41" i="1" s="1"/>
  <c r="AX41" i="1"/>
  <c r="AY41" i="1" s="1"/>
  <c r="AU41" i="1"/>
  <c r="AV41" i="1" s="1"/>
  <c r="AR41" i="1"/>
  <c r="AS41" i="1" s="1"/>
  <c r="AO41" i="1"/>
  <c r="AP41" i="1" s="1"/>
  <c r="AL41" i="1"/>
  <c r="AM41" i="1" s="1"/>
  <c r="AI41" i="1"/>
  <c r="AJ41" i="1" s="1"/>
  <c r="AF41" i="1"/>
  <c r="AG41" i="1" s="1"/>
  <c r="AD41" i="1"/>
  <c r="AC41" i="1"/>
  <c r="Z41" i="1"/>
  <c r="AA41" i="1" s="1"/>
  <c r="W41" i="1"/>
  <c r="X41" i="1" s="1"/>
  <c r="T41" i="1"/>
  <c r="U41" i="1" s="1"/>
  <c r="Q41" i="1"/>
  <c r="R41" i="1" s="1"/>
  <c r="N41" i="1"/>
  <c r="O41" i="1" s="1"/>
  <c r="K41" i="1"/>
  <c r="K57" i="1" s="1"/>
  <c r="H41" i="1"/>
  <c r="E41" i="1"/>
  <c r="DT39" i="1"/>
  <c r="DO39" i="1"/>
  <c r="DP39" i="1" s="1"/>
  <c r="DL39" i="1"/>
  <c r="DM39" i="1" s="1"/>
  <c r="DI39" i="1"/>
  <c r="DJ39" i="1" s="1"/>
  <c r="DF39" i="1"/>
  <c r="DG39" i="1" s="1"/>
  <c r="DC39" i="1"/>
  <c r="DD39" i="1" s="1"/>
  <c r="CZ39" i="1"/>
  <c r="DA39" i="1" s="1"/>
  <c r="CW39" i="1"/>
  <c r="CX39" i="1" s="1"/>
  <c r="CT39" i="1"/>
  <c r="CU39" i="1" s="1"/>
  <c r="CQ39" i="1"/>
  <c r="CR39" i="1" s="1"/>
  <c r="CN39" i="1"/>
  <c r="CO39" i="1" s="1"/>
  <c r="CK39" i="1"/>
  <c r="CL39" i="1" s="1"/>
  <c r="CH39" i="1"/>
  <c r="CI39" i="1" s="1"/>
  <c r="CF39" i="1"/>
  <c r="CE39" i="1"/>
  <c r="CB39" i="1"/>
  <c r="CC39" i="1" s="1"/>
  <c r="BY39" i="1"/>
  <c r="BZ39" i="1" s="1"/>
  <c r="BV39" i="1"/>
  <c r="BW39" i="1" s="1"/>
  <c r="BS39" i="1"/>
  <c r="BT39" i="1" s="1"/>
  <c r="BP39" i="1"/>
  <c r="BQ39" i="1" s="1"/>
  <c r="BM39" i="1"/>
  <c r="BN39" i="1" s="1"/>
  <c r="BJ39" i="1"/>
  <c r="BK39" i="1" s="1"/>
  <c r="BG39" i="1"/>
  <c r="BH39" i="1" s="1"/>
  <c r="BD39" i="1"/>
  <c r="BE39" i="1" s="1"/>
  <c r="BA39" i="1"/>
  <c r="BB39" i="1" s="1"/>
  <c r="AX39" i="1"/>
  <c r="AY39" i="1" s="1"/>
  <c r="AU39" i="1"/>
  <c r="AV39" i="1" s="1"/>
  <c r="AR39" i="1"/>
  <c r="AS39" i="1" s="1"/>
  <c r="AO39" i="1"/>
  <c r="AP39" i="1" s="1"/>
  <c r="AL39" i="1"/>
  <c r="AM39" i="1" s="1"/>
  <c r="AI39" i="1"/>
  <c r="AJ39" i="1" s="1"/>
  <c r="AF39" i="1"/>
  <c r="AG39" i="1" s="1"/>
  <c r="AC39" i="1"/>
  <c r="AD39" i="1" s="1"/>
  <c r="AA39" i="1"/>
  <c r="Z39" i="1"/>
  <c r="W39" i="1"/>
  <c r="X39" i="1" s="1"/>
  <c r="T39" i="1"/>
  <c r="U39" i="1" s="1"/>
  <c r="Q39" i="1"/>
  <c r="R39" i="1" s="1"/>
  <c r="N39" i="1"/>
  <c r="O39" i="1" s="1"/>
  <c r="K39" i="1"/>
  <c r="L39" i="1" s="1"/>
  <c r="H39" i="1"/>
  <c r="I39" i="1" s="1"/>
  <c r="E39" i="1"/>
  <c r="DT38" i="1"/>
  <c r="DO38" i="1"/>
  <c r="DP38" i="1" s="1"/>
  <c r="DL38" i="1"/>
  <c r="DM38" i="1" s="1"/>
  <c r="DI38" i="1"/>
  <c r="DJ38" i="1" s="1"/>
  <c r="DF38" i="1"/>
  <c r="DG38" i="1" s="1"/>
  <c r="DC38" i="1"/>
  <c r="DD38" i="1" s="1"/>
  <c r="CZ38" i="1"/>
  <c r="DA38" i="1" s="1"/>
  <c r="CW38" i="1"/>
  <c r="CX38" i="1" s="1"/>
  <c r="CT38" i="1"/>
  <c r="CU38" i="1" s="1"/>
  <c r="CQ38" i="1"/>
  <c r="CR38" i="1" s="1"/>
  <c r="CN38" i="1"/>
  <c r="CO38" i="1" s="1"/>
  <c r="CK38" i="1"/>
  <c r="CL38" i="1" s="1"/>
  <c r="CH38" i="1"/>
  <c r="CI38" i="1" s="1"/>
  <c r="CE38" i="1"/>
  <c r="CF38" i="1" s="1"/>
  <c r="CB38" i="1"/>
  <c r="CC38" i="1" s="1"/>
  <c r="BY38" i="1"/>
  <c r="BZ38" i="1" s="1"/>
  <c r="BV38" i="1"/>
  <c r="BW38" i="1" s="1"/>
  <c r="BS38" i="1"/>
  <c r="BT38" i="1" s="1"/>
  <c r="BP38" i="1"/>
  <c r="BQ38" i="1" s="1"/>
  <c r="BM38" i="1"/>
  <c r="BN38" i="1" s="1"/>
  <c r="BJ38" i="1"/>
  <c r="BK38" i="1" s="1"/>
  <c r="BG38" i="1"/>
  <c r="BH38" i="1" s="1"/>
  <c r="BD38" i="1"/>
  <c r="BE38" i="1" s="1"/>
  <c r="BA38" i="1"/>
  <c r="BB38" i="1" s="1"/>
  <c r="AX38" i="1"/>
  <c r="AY38" i="1" s="1"/>
  <c r="AU38" i="1"/>
  <c r="AV38" i="1" s="1"/>
  <c r="AR38" i="1"/>
  <c r="AS38" i="1" s="1"/>
  <c r="AO38" i="1"/>
  <c r="AP38" i="1" s="1"/>
  <c r="AL38" i="1"/>
  <c r="AM38" i="1" s="1"/>
  <c r="AI38" i="1"/>
  <c r="AJ38" i="1" s="1"/>
  <c r="AF38" i="1"/>
  <c r="AG38" i="1" s="1"/>
  <c r="AC38" i="1"/>
  <c r="AD38" i="1" s="1"/>
  <c r="Z38" i="1"/>
  <c r="AA38" i="1" s="1"/>
  <c r="W38" i="1"/>
  <c r="X38" i="1" s="1"/>
  <c r="T38" i="1"/>
  <c r="U38" i="1" s="1"/>
  <c r="Q38" i="1"/>
  <c r="R38" i="1" s="1"/>
  <c r="N38" i="1"/>
  <c r="O38" i="1" s="1"/>
  <c r="K38" i="1"/>
  <c r="L38" i="1" s="1"/>
  <c r="H38" i="1"/>
  <c r="I38" i="1" s="1"/>
  <c r="E38" i="1"/>
  <c r="DT37" i="1"/>
  <c r="DO37" i="1"/>
  <c r="DP37" i="1" s="1"/>
  <c r="DL37" i="1"/>
  <c r="DM37" i="1" s="1"/>
  <c r="DI37" i="1"/>
  <c r="DJ37" i="1" s="1"/>
  <c r="DF37" i="1"/>
  <c r="DG37" i="1" s="1"/>
  <c r="DC37" i="1"/>
  <c r="DD37" i="1" s="1"/>
  <c r="CZ37" i="1"/>
  <c r="DA37" i="1" s="1"/>
  <c r="CW37" i="1"/>
  <c r="CX37" i="1" s="1"/>
  <c r="CT37" i="1"/>
  <c r="CU37" i="1" s="1"/>
  <c r="CQ37" i="1"/>
  <c r="CR37" i="1" s="1"/>
  <c r="CN37" i="1"/>
  <c r="CO37" i="1" s="1"/>
  <c r="CK37" i="1"/>
  <c r="CL37" i="1" s="1"/>
  <c r="CH37" i="1"/>
  <c r="CI37" i="1" s="1"/>
  <c r="CE37" i="1"/>
  <c r="CF37" i="1" s="1"/>
  <c r="CB37" i="1"/>
  <c r="CC37" i="1" s="1"/>
  <c r="BY37" i="1"/>
  <c r="BZ37" i="1" s="1"/>
  <c r="BV37" i="1"/>
  <c r="BW37" i="1" s="1"/>
  <c r="BS37" i="1"/>
  <c r="BT37" i="1" s="1"/>
  <c r="BP37" i="1"/>
  <c r="BQ37" i="1" s="1"/>
  <c r="BM37" i="1"/>
  <c r="BN37" i="1" s="1"/>
  <c r="BJ37" i="1"/>
  <c r="BK37" i="1" s="1"/>
  <c r="BG37" i="1"/>
  <c r="BH37" i="1" s="1"/>
  <c r="BD37" i="1"/>
  <c r="BE37" i="1" s="1"/>
  <c r="BA37" i="1"/>
  <c r="BB37" i="1" s="1"/>
  <c r="AX37" i="1"/>
  <c r="AY37" i="1" s="1"/>
  <c r="AU37" i="1"/>
  <c r="AV37" i="1" s="1"/>
  <c r="AR37" i="1"/>
  <c r="AS37" i="1" s="1"/>
  <c r="AO37" i="1"/>
  <c r="AP37" i="1" s="1"/>
  <c r="AL37" i="1"/>
  <c r="AM37" i="1" s="1"/>
  <c r="AI37" i="1"/>
  <c r="AJ37" i="1" s="1"/>
  <c r="AF37" i="1"/>
  <c r="AG37" i="1" s="1"/>
  <c r="AC37" i="1"/>
  <c r="AD37" i="1" s="1"/>
  <c r="Z37" i="1"/>
  <c r="AA37" i="1" s="1"/>
  <c r="W37" i="1"/>
  <c r="X37" i="1" s="1"/>
  <c r="T37" i="1"/>
  <c r="U37" i="1" s="1"/>
  <c r="Q37" i="1"/>
  <c r="R37" i="1" s="1"/>
  <c r="N37" i="1"/>
  <c r="O37" i="1" s="1"/>
  <c r="K37" i="1"/>
  <c r="L37" i="1" s="1"/>
  <c r="H37" i="1"/>
  <c r="I37" i="1" s="1"/>
  <c r="E37" i="1"/>
  <c r="DT36" i="1"/>
  <c r="DO36" i="1"/>
  <c r="DP36" i="1" s="1"/>
  <c r="DL36" i="1"/>
  <c r="DM36" i="1" s="1"/>
  <c r="DI36" i="1"/>
  <c r="DJ36" i="1" s="1"/>
  <c r="DF36" i="1"/>
  <c r="DG36" i="1" s="1"/>
  <c r="DC36" i="1"/>
  <c r="DD36" i="1" s="1"/>
  <c r="CZ36" i="1"/>
  <c r="DA36" i="1" s="1"/>
  <c r="CW36" i="1"/>
  <c r="CX36" i="1" s="1"/>
  <c r="CT36" i="1"/>
  <c r="CU36" i="1" s="1"/>
  <c r="CQ36" i="1"/>
  <c r="CR36" i="1" s="1"/>
  <c r="CN36" i="1"/>
  <c r="CO36" i="1" s="1"/>
  <c r="CK36" i="1"/>
  <c r="CL36" i="1" s="1"/>
  <c r="CH36" i="1"/>
  <c r="CI36" i="1" s="1"/>
  <c r="CE36" i="1"/>
  <c r="CF36" i="1" s="1"/>
  <c r="CB36" i="1"/>
  <c r="CC36" i="1" s="1"/>
  <c r="BY36" i="1"/>
  <c r="BZ36" i="1" s="1"/>
  <c r="BV36" i="1"/>
  <c r="BW36" i="1" s="1"/>
  <c r="BS36" i="1"/>
  <c r="BT36" i="1" s="1"/>
  <c r="BP36" i="1"/>
  <c r="BQ36" i="1" s="1"/>
  <c r="BM36" i="1"/>
  <c r="BN36" i="1" s="1"/>
  <c r="BJ36" i="1"/>
  <c r="BK36" i="1" s="1"/>
  <c r="BG36" i="1"/>
  <c r="BH36" i="1" s="1"/>
  <c r="BD36" i="1"/>
  <c r="BE36" i="1" s="1"/>
  <c r="BA36" i="1"/>
  <c r="BB36" i="1" s="1"/>
  <c r="AX36" i="1"/>
  <c r="AY36" i="1" s="1"/>
  <c r="AU36" i="1"/>
  <c r="AV36" i="1" s="1"/>
  <c r="AR36" i="1"/>
  <c r="AS36" i="1" s="1"/>
  <c r="AO36" i="1"/>
  <c r="AP36" i="1" s="1"/>
  <c r="AL36" i="1"/>
  <c r="AM36" i="1" s="1"/>
  <c r="AI36" i="1"/>
  <c r="AJ36" i="1" s="1"/>
  <c r="AF36" i="1"/>
  <c r="AG36" i="1" s="1"/>
  <c r="AC36" i="1"/>
  <c r="AD36" i="1" s="1"/>
  <c r="Z36" i="1"/>
  <c r="AA36" i="1" s="1"/>
  <c r="W36" i="1"/>
  <c r="X36" i="1" s="1"/>
  <c r="T36" i="1"/>
  <c r="U36" i="1" s="1"/>
  <c r="Q36" i="1"/>
  <c r="R36" i="1" s="1"/>
  <c r="N36" i="1"/>
  <c r="O36" i="1" s="1"/>
  <c r="K36" i="1"/>
  <c r="L36" i="1" s="1"/>
  <c r="H36" i="1"/>
  <c r="I36" i="1" s="1"/>
  <c r="E36" i="1"/>
  <c r="DT35" i="1"/>
  <c r="DO35" i="1"/>
  <c r="DP35" i="1" s="1"/>
  <c r="DL35" i="1"/>
  <c r="DM35" i="1" s="1"/>
  <c r="DI35" i="1"/>
  <c r="DJ35" i="1" s="1"/>
  <c r="DF35" i="1"/>
  <c r="DG35" i="1" s="1"/>
  <c r="DC35" i="1"/>
  <c r="DD35" i="1" s="1"/>
  <c r="CZ35" i="1"/>
  <c r="DA35" i="1" s="1"/>
  <c r="CW35" i="1"/>
  <c r="CX35" i="1" s="1"/>
  <c r="CT35" i="1"/>
  <c r="CU35" i="1" s="1"/>
  <c r="CQ35" i="1"/>
  <c r="CR35" i="1" s="1"/>
  <c r="CN35" i="1"/>
  <c r="CO35" i="1" s="1"/>
  <c r="CK35" i="1"/>
  <c r="CL35" i="1" s="1"/>
  <c r="CH35" i="1"/>
  <c r="CI35" i="1" s="1"/>
  <c r="CE35" i="1"/>
  <c r="CF35" i="1" s="1"/>
  <c r="CB35" i="1"/>
  <c r="CC35" i="1" s="1"/>
  <c r="BY35" i="1"/>
  <c r="BZ35" i="1" s="1"/>
  <c r="BV35" i="1"/>
  <c r="BW35" i="1" s="1"/>
  <c r="BS35" i="1"/>
  <c r="BT35" i="1" s="1"/>
  <c r="BP35" i="1"/>
  <c r="BQ35" i="1" s="1"/>
  <c r="BM35" i="1"/>
  <c r="BN35" i="1" s="1"/>
  <c r="BJ35" i="1"/>
  <c r="BK35" i="1" s="1"/>
  <c r="BG35" i="1"/>
  <c r="BH35" i="1" s="1"/>
  <c r="BD35" i="1"/>
  <c r="BE35" i="1" s="1"/>
  <c r="BA35" i="1"/>
  <c r="BB35" i="1" s="1"/>
  <c r="AX35" i="1"/>
  <c r="AY35" i="1" s="1"/>
  <c r="AU35" i="1"/>
  <c r="AV35" i="1" s="1"/>
  <c r="AR35" i="1"/>
  <c r="AS35" i="1" s="1"/>
  <c r="AO35" i="1"/>
  <c r="AP35" i="1" s="1"/>
  <c r="AL35" i="1"/>
  <c r="AM35" i="1" s="1"/>
  <c r="AI35" i="1"/>
  <c r="AJ35" i="1" s="1"/>
  <c r="AF35" i="1"/>
  <c r="AG35" i="1" s="1"/>
  <c r="AC35" i="1"/>
  <c r="AD35" i="1" s="1"/>
  <c r="Z35" i="1"/>
  <c r="AA35" i="1" s="1"/>
  <c r="W35" i="1"/>
  <c r="X35" i="1" s="1"/>
  <c r="T35" i="1"/>
  <c r="U35" i="1" s="1"/>
  <c r="Q35" i="1"/>
  <c r="R35" i="1" s="1"/>
  <c r="N35" i="1"/>
  <c r="O35" i="1" s="1"/>
  <c r="K35" i="1"/>
  <c r="L35" i="1" s="1"/>
  <c r="H35" i="1"/>
  <c r="I35" i="1" s="1"/>
  <c r="E35" i="1"/>
  <c r="DT34" i="1"/>
  <c r="DO34" i="1"/>
  <c r="DP34" i="1" s="1"/>
  <c r="DL34" i="1"/>
  <c r="DM34" i="1" s="1"/>
  <c r="DI34" i="1"/>
  <c r="DJ34" i="1" s="1"/>
  <c r="DF34" i="1"/>
  <c r="DG34" i="1" s="1"/>
  <c r="DC34" i="1"/>
  <c r="DD34" i="1" s="1"/>
  <c r="CZ34" i="1"/>
  <c r="DA34" i="1" s="1"/>
  <c r="CW34" i="1"/>
  <c r="CX34" i="1" s="1"/>
  <c r="CT34" i="1"/>
  <c r="CU34" i="1" s="1"/>
  <c r="CQ34" i="1"/>
  <c r="CR34" i="1" s="1"/>
  <c r="CN34" i="1"/>
  <c r="CO34" i="1" s="1"/>
  <c r="CK34" i="1"/>
  <c r="CL34" i="1" s="1"/>
  <c r="CH34" i="1"/>
  <c r="CI34" i="1" s="1"/>
  <c r="CE34" i="1"/>
  <c r="CF34" i="1" s="1"/>
  <c r="CB34" i="1"/>
  <c r="CC34" i="1" s="1"/>
  <c r="BY34" i="1"/>
  <c r="BZ34" i="1" s="1"/>
  <c r="BV34" i="1"/>
  <c r="BW34" i="1" s="1"/>
  <c r="BS34" i="1"/>
  <c r="BT34" i="1" s="1"/>
  <c r="BP34" i="1"/>
  <c r="BQ34" i="1" s="1"/>
  <c r="BM34" i="1"/>
  <c r="BN34" i="1" s="1"/>
  <c r="BJ34" i="1"/>
  <c r="BK34" i="1" s="1"/>
  <c r="BG34" i="1"/>
  <c r="BH34" i="1" s="1"/>
  <c r="BD34" i="1"/>
  <c r="BE34" i="1" s="1"/>
  <c r="BA34" i="1"/>
  <c r="BB34" i="1" s="1"/>
  <c r="AX34" i="1"/>
  <c r="AY34" i="1" s="1"/>
  <c r="AU34" i="1"/>
  <c r="AV34" i="1" s="1"/>
  <c r="AR34" i="1"/>
  <c r="AS34" i="1" s="1"/>
  <c r="AO34" i="1"/>
  <c r="AP34" i="1" s="1"/>
  <c r="AL34" i="1"/>
  <c r="AM34" i="1" s="1"/>
  <c r="AI34" i="1"/>
  <c r="AJ34" i="1" s="1"/>
  <c r="AF34" i="1"/>
  <c r="AG34" i="1" s="1"/>
  <c r="AC34" i="1"/>
  <c r="AD34" i="1" s="1"/>
  <c r="AA34" i="1"/>
  <c r="Z34" i="1"/>
  <c r="W34" i="1"/>
  <c r="X34" i="1" s="1"/>
  <c r="T34" i="1"/>
  <c r="U34" i="1" s="1"/>
  <c r="Q34" i="1"/>
  <c r="R34" i="1" s="1"/>
  <c r="N34" i="1"/>
  <c r="O34" i="1" s="1"/>
  <c r="K34" i="1"/>
  <c r="L34" i="1" s="1"/>
  <c r="H34" i="1"/>
  <c r="I34" i="1" s="1"/>
  <c r="E34" i="1"/>
  <c r="DT33" i="1"/>
  <c r="DO33" i="1"/>
  <c r="DP33" i="1" s="1"/>
  <c r="DL33" i="1"/>
  <c r="DM33" i="1" s="1"/>
  <c r="DI33" i="1"/>
  <c r="DJ33" i="1" s="1"/>
  <c r="DF33" i="1"/>
  <c r="DG33" i="1" s="1"/>
  <c r="DC33" i="1"/>
  <c r="DD33" i="1" s="1"/>
  <c r="CZ33" i="1"/>
  <c r="DA33" i="1" s="1"/>
  <c r="CW33" i="1"/>
  <c r="CX33" i="1" s="1"/>
  <c r="CT33" i="1"/>
  <c r="CU33" i="1" s="1"/>
  <c r="CQ33" i="1"/>
  <c r="CR33" i="1" s="1"/>
  <c r="CN33" i="1"/>
  <c r="CO33" i="1" s="1"/>
  <c r="CK33" i="1"/>
  <c r="CL33" i="1" s="1"/>
  <c r="CH33" i="1"/>
  <c r="CI33" i="1" s="1"/>
  <c r="CE33" i="1"/>
  <c r="CF33" i="1" s="1"/>
  <c r="CB33" i="1"/>
  <c r="CC33" i="1" s="1"/>
  <c r="BY33" i="1"/>
  <c r="BZ33" i="1" s="1"/>
  <c r="BV33" i="1"/>
  <c r="BW33" i="1" s="1"/>
  <c r="BS33" i="1"/>
  <c r="BT33" i="1" s="1"/>
  <c r="BP33" i="1"/>
  <c r="BQ33" i="1" s="1"/>
  <c r="BM33" i="1"/>
  <c r="BN33" i="1" s="1"/>
  <c r="BJ33" i="1"/>
  <c r="BK33" i="1" s="1"/>
  <c r="BG33" i="1"/>
  <c r="BH33" i="1" s="1"/>
  <c r="BD33" i="1"/>
  <c r="BE33" i="1" s="1"/>
  <c r="BA33" i="1"/>
  <c r="BB33" i="1" s="1"/>
  <c r="AX33" i="1"/>
  <c r="AY33" i="1" s="1"/>
  <c r="AU33" i="1"/>
  <c r="AV33" i="1" s="1"/>
  <c r="AR33" i="1"/>
  <c r="AS33" i="1" s="1"/>
  <c r="AO33" i="1"/>
  <c r="AP33" i="1" s="1"/>
  <c r="AL33" i="1"/>
  <c r="AM33" i="1" s="1"/>
  <c r="AI33" i="1"/>
  <c r="AJ33" i="1" s="1"/>
  <c r="AF33" i="1"/>
  <c r="AG33" i="1" s="1"/>
  <c r="AC33" i="1"/>
  <c r="AD33" i="1" s="1"/>
  <c r="Z33" i="1"/>
  <c r="AA33" i="1" s="1"/>
  <c r="W33" i="1"/>
  <c r="X33" i="1" s="1"/>
  <c r="T33" i="1"/>
  <c r="U33" i="1" s="1"/>
  <c r="Q33" i="1"/>
  <c r="R33" i="1" s="1"/>
  <c r="N33" i="1"/>
  <c r="O33" i="1" s="1"/>
  <c r="K33" i="1"/>
  <c r="L33" i="1" s="1"/>
  <c r="H33" i="1"/>
  <c r="I33" i="1" s="1"/>
  <c r="E33" i="1"/>
  <c r="DT32" i="1"/>
  <c r="DO32" i="1"/>
  <c r="DP32" i="1" s="1"/>
  <c r="DL32" i="1"/>
  <c r="DM32" i="1" s="1"/>
  <c r="DI32" i="1"/>
  <c r="DJ32" i="1" s="1"/>
  <c r="DF32" i="1"/>
  <c r="DG32" i="1" s="1"/>
  <c r="DC32" i="1"/>
  <c r="DD32" i="1" s="1"/>
  <c r="CZ32" i="1"/>
  <c r="DA32" i="1" s="1"/>
  <c r="CW32" i="1"/>
  <c r="CX32" i="1" s="1"/>
  <c r="CT32" i="1"/>
  <c r="CU32" i="1" s="1"/>
  <c r="CQ32" i="1"/>
  <c r="CR32" i="1" s="1"/>
  <c r="CN32" i="1"/>
  <c r="CO32" i="1" s="1"/>
  <c r="CK32" i="1"/>
  <c r="CL32" i="1" s="1"/>
  <c r="CH32" i="1"/>
  <c r="CI32" i="1" s="1"/>
  <c r="CE32" i="1"/>
  <c r="CF32" i="1" s="1"/>
  <c r="CB32" i="1"/>
  <c r="CC32" i="1" s="1"/>
  <c r="BY32" i="1"/>
  <c r="BZ32" i="1" s="1"/>
  <c r="BV32" i="1"/>
  <c r="BW32" i="1" s="1"/>
  <c r="BS32" i="1"/>
  <c r="BT32" i="1" s="1"/>
  <c r="BP32" i="1"/>
  <c r="BQ32" i="1" s="1"/>
  <c r="BM32" i="1"/>
  <c r="BN32" i="1" s="1"/>
  <c r="BJ32" i="1"/>
  <c r="BK32" i="1" s="1"/>
  <c r="BG32" i="1"/>
  <c r="BH32" i="1" s="1"/>
  <c r="BD32" i="1"/>
  <c r="BE32" i="1" s="1"/>
  <c r="BA32" i="1"/>
  <c r="BB32" i="1" s="1"/>
  <c r="AX32" i="1"/>
  <c r="AY32" i="1" s="1"/>
  <c r="AU32" i="1"/>
  <c r="AV32" i="1" s="1"/>
  <c r="AR32" i="1"/>
  <c r="AS32" i="1" s="1"/>
  <c r="AO32" i="1"/>
  <c r="AP32" i="1" s="1"/>
  <c r="AL32" i="1"/>
  <c r="AM32" i="1" s="1"/>
  <c r="AI32" i="1"/>
  <c r="AJ32" i="1" s="1"/>
  <c r="AF32" i="1"/>
  <c r="AG32" i="1" s="1"/>
  <c r="AC32" i="1"/>
  <c r="AD32" i="1" s="1"/>
  <c r="Z32" i="1"/>
  <c r="AA32" i="1" s="1"/>
  <c r="W32" i="1"/>
  <c r="X32" i="1" s="1"/>
  <c r="T32" i="1"/>
  <c r="U32" i="1" s="1"/>
  <c r="Q32" i="1"/>
  <c r="R32" i="1" s="1"/>
  <c r="N32" i="1"/>
  <c r="O32" i="1" s="1"/>
  <c r="K32" i="1"/>
  <c r="L32" i="1" s="1"/>
  <c r="H32" i="1"/>
  <c r="I32" i="1" s="1"/>
  <c r="E32" i="1"/>
  <c r="DT31" i="1"/>
  <c r="DO31" i="1"/>
  <c r="DP31" i="1" s="1"/>
  <c r="DL31" i="1"/>
  <c r="DM31" i="1" s="1"/>
  <c r="DI31" i="1"/>
  <c r="DJ31" i="1" s="1"/>
  <c r="DF31" i="1"/>
  <c r="DG31" i="1" s="1"/>
  <c r="DC31" i="1"/>
  <c r="DD31" i="1" s="1"/>
  <c r="CZ31" i="1"/>
  <c r="DA31" i="1" s="1"/>
  <c r="CW31" i="1"/>
  <c r="CX31" i="1" s="1"/>
  <c r="CT31" i="1"/>
  <c r="CU31" i="1" s="1"/>
  <c r="CQ31" i="1"/>
  <c r="CR31" i="1" s="1"/>
  <c r="CN31" i="1"/>
  <c r="CO31" i="1" s="1"/>
  <c r="CK31" i="1"/>
  <c r="CL31" i="1" s="1"/>
  <c r="CH31" i="1"/>
  <c r="CI31" i="1" s="1"/>
  <c r="CE31" i="1"/>
  <c r="CF31" i="1" s="1"/>
  <c r="CB31" i="1"/>
  <c r="CC31" i="1" s="1"/>
  <c r="BY31" i="1"/>
  <c r="BZ31" i="1" s="1"/>
  <c r="BV31" i="1"/>
  <c r="BW31" i="1" s="1"/>
  <c r="BS31" i="1"/>
  <c r="BT31" i="1" s="1"/>
  <c r="BP31" i="1"/>
  <c r="BQ31" i="1" s="1"/>
  <c r="BM31" i="1"/>
  <c r="BN31" i="1" s="1"/>
  <c r="BJ31" i="1"/>
  <c r="BK31" i="1" s="1"/>
  <c r="BG31" i="1"/>
  <c r="BH31" i="1" s="1"/>
  <c r="BD31" i="1"/>
  <c r="BE31" i="1" s="1"/>
  <c r="BA31" i="1"/>
  <c r="BB31" i="1" s="1"/>
  <c r="AX31" i="1"/>
  <c r="AY31" i="1" s="1"/>
  <c r="AU31" i="1"/>
  <c r="AV31" i="1" s="1"/>
  <c r="AR31" i="1"/>
  <c r="AS31" i="1" s="1"/>
  <c r="AO31" i="1"/>
  <c r="AP31" i="1" s="1"/>
  <c r="AL31" i="1"/>
  <c r="AM31" i="1" s="1"/>
  <c r="AI31" i="1"/>
  <c r="AJ31" i="1" s="1"/>
  <c r="AF31" i="1"/>
  <c r="AG31" i="1" s="1"/>
  <c r="AC31" i="1"/>
  <c r="AD31" i="1" s="1"/>
  <c r="Z31" i="1"/>
  <c r="AA31" i="1" s="1"/>
  <c r="W31" i="1"/>
  <c r="X31" i="1" s="1"/>
  <c r="T31" i="1"/>
  <c r="U31" i="1" s="1"/>
  <c r="Q31" i="1"/>
  <c r="R31" i="1" s="1"/>
  <c r="N31" i="1"/>
  <c r="O31" i="1" s="1"/>
  <c r="K31" i="1"/>
  <c r="L31" i="1" s="1"/>
  <c r="H31" i="1"/>
  <c r="I31" i="1" s="1"/>
  <c r="E31" i="1"/>
  <c r="DT30" i="1"/>
  <c r="DO30" i="1"/>
  <c r="DP30" i="1" s="1"/>
  <c r="DL30" i="1"/>
  <c r="DM30" i="1" s="1"/>
  <c r="DI30" i="1"/>
  <c r="DJ30" i="1" s="1"/>
  <c r="DF30" i="1"/>
  <c r="DG30" i="1" s="1"/>
  <c r="DC30" i="1"/>
  <c r="DD30" i="1" s="1"/>
  <c r="CZ30" i="1"/>
  <c r="DA30" i="1" s="1"/>
  <c r="CW30" i="1"/>
  <c r="CX30" i="1" s="1"/>
  <c r="CT30" i="1"/>
  <c r="CU30" i="1" s="1"/>
  <c r="CQ30" i="1"/>
  <c r="CR30" i="1" s="1"/>
  <c r="CN30" i="1"/>
  <c r="CO30" i="1" s="1"/>
  <c r="CK30" i="1"/>
  <c r="CL30" i="1" s="1"/>
  <c r="CH30" i="1"/>
  <c r="CI30" i="1" s="1"/>
  <c r="CE30" i="1"/>
  <c r="CF30" i="1" s="1"/>
  <c r="CB30" i="1"/>
  <c r="CC30" i="1" s="1"/>
  <c r="BY30" i="1"/>
  <c r="BZ30" i="1" s="1"/>
  <c r="BV30" i="1"/>
  <c r="BW30" i="1" s="1"/>
  <c r="BS30" i="1"/>
  <c r="BT30" i="1" s="1"/>
  <c r="BP30" i="1"/>
  <c r="BQ30" i="1" s="1"/>
  <c r="BM30" i="1"/>
  <c r="BN30" i="1" s="1"/>
  <c r="BJ30" i="1"/>
  <c r="BK30" i="1" s="1"/>
  <c r="BG30" i="1"/>
  <c r="BH30" i="1" s="1"/>
  <c r="BD30" i="1"/>
  <c r="BE30" i="1" s="1"/>
  <c r="BA30" i="1"/>
  <c r="BB30" i="1" s="1"/>
  <c r="AX30" i="1"/>
  <c r="AY30" i="1" s="1"/>
  <c r="AU30" i="1"/>
  <c r="AV30" i="1" s="1"/>
  <c r="AR30" i="1"/>
  <c r="AS30" i="1" s="1"/>
  <c r="AO30" i="1"/>
  <c r="AP30" i="1" s="1"/>
  <c r="AL30" i="1"/>
  <c r="AM30" i="1" s="1"/>
  <c r="AI30" i="1"/>
  <c r="AJ30" i="1" s="1"/>
  <c r="AF30" i="1"/>
  <c r="AG30" i="1" s="1"/>
  <c r="AC30" i="1"/>
  <c r="AD30" i="1" s="1"/>
  <c r="Z30" i="1"/>
  <c r="AA30" i="1" s="1"/>
  <c r="W30" i="1"/>
  <c r="X30" i="1" s="1"/>
  <c r="T30" i="1"/>
  <c r="U30" i="1" s="1"/>
  <c r="Q30" i="1"/>
  <c r="R30" i="1" s="1"/>
  <c r="N30" i="1"/>
  <c r="O30" i="1" s="1"/>
  <c r="K30" i="1"/>
  <c r="L30" i="1" s="1"/>
  <c r="H30" i="1"/>
  <c r="I30" i="1" s="1"/>
  <c r="E30" i="1"/>
  <c r="DT29" i="1"/>
  <c r="DO29" i="1"/>
  <c r="DP29" i="1" s="1"/>
  <c r="DL29" i="1"/>
  <c r="DM29" i="1" s="1"/>
  <c r="DI29" i="1"/>
  <c r="DJ29" i="1" s="1"/>
  <c r="DF29" i="1"/>
  <c r="DG29" i="1" s="1"/>
  <c r="DC29" i="1"/>
  <c r="DD29" i="1" s="1"/>
  <c r="CZ29" i="1"/>
  <c r="DA29" i="1" s="1"/>
  <c r="CW29" i="1"/>
  <c r="CX29" i="1" s="1"/>
  <c r="CT29" i="1"/>
  <c r="CU29" i="1" s="1"/>
  <c r="CQ29" i="1"/>
  <c r="CR29" i="1" s="1"/>
  <c r="CN29" i="1"/>
  <c r="CO29" i="1" s="1"/>
  <c r="CK29" i="1"/>
  <c r="CL29" i="1" s="1"/>
  <c r="CH29" i="1"/>
  <c r="CI29" i="1" s="1"/>
  <c r="CE29" i="1"/>
  <c r="CF29" i="1" s="1"/>
  <c r="CB29" i="1"/>
  <c r="CC29" i="1" s="1"/>
  <c r="BY29" i="1"/>
  <c r="BZ29" i="1" s="1"/>
  <c r="BV29" i="1"/>
  <c r="BW29" i="1" s="1"/>
  <c r="BS29" i="1"/>
  <c r="BT29" i="1" s="1"/>
  <c r="BP29" i="1"/>
  <c r="BQ29" i="1" s="1"/>
  <c r="BM29" i="1"/>
  <c r="BN29" i="1" s="1"/>
  <c r="BJ29" i="1"/>
  <c r="BK29" i="1" s="1"/>
  <c r="BG29" i="1"/>
  <c r="BH29" i="1" s="1"/>
  <c r="BD29" i="1"/>
  <c r="BE29" i="1" s="1"/>
  <c r="BA29" i="1"/>
  <c r="BB29" i="1" s="1"/>
  <c r="AX29" i="1"/>
  <c r="AY29" i="1" s="1"/>
  <c r="AU29" i="1"/>
  <c r="AV29" i="1" s="1"/>
  <c r="AR29" i="1"/>
  <c r="AS29" i="1" s="1"/>
  <c r="AO29" i="1"/>
  <c r="AP29" i="1" s="1"/>
  <c r="AL29" i="1"/>
  <c r="AM29" i="1" s="1"/>
  <c r="AI29" i="1"/>
  <c r="AJ29" i="1" s="1"/>
  <c r="AF29" i="1"/>
  <c r="AG29" i="1" s="1"/>
  <c r="AC29" i="1"/>
  <c r="AD29" i="1" s="1"/>
  <c r="Z29" i="1"/>
  <c r="AA29" i="1" s="1"/>
  <c r="W29" i="1"/>
  <c r="X29" i="1" s="1"/>
  <c r="T29" i="1"/>
  <c r="U29" i="1" s="1"/>
  <c r="Q29" i="1"/>
  <c r="R29" i="1" s="1"/>
  <c r="N29" i="1"/>
  <c r="O29" i="1" s="1"/>
  <c r="K29" i="1"/>
  <c r="L29" i="1" s="1"/>
  <c r="H29" i="1"/>
  <c r="I29" i="1" s="1"/>
  <c r="E29" i="1"/>
  <c r="DT28" i="1"/>
  <c r="DO28" i="1"/>
  <c r="DP28" i="1" s="1"/>
  <c r="DL28" i="1"/>
  <c r="DM28" i="1" s="1"/>
  <c r="DI28" i="1"/>
  <c r="DJ28" i="1" s="1"/>
  <c r="DF28" i="1"/>
  <c r="DG28" i="1" s="1"/>
  <c r="DC28" i="1"/>
  <c r="DD28" i="1" s="1"/>
  <c r="CZ28" i="1"/>
  <c r="DA28" i="1" s="1"/>
  <c r="CW28" i="1"/>
  <c r="CX28" i="1" s="1"/>
  <c r="CT28" i="1"/>
  <c r="CU28" i="1" s="1"/>
  <c r="CQ28" i="1"/>
  <c r="CR28" i="1" s="1"/>
  <c r="CN28" i="1"/>
  <c r="CO28" i="1" s="1"/>
  <c r="CK28" i="1"/>
  <c r="CL28" i="1" s="1"/>
  <c r="CH28" i="1"/>
  <c r="CI28" i="1" s="1"/>
  <c r="CE28" i="1"/>
  <c r="CF28" i="1" s="1"/>
  <c r="CB28" i="1"/>
  <c r="CC28" i="1" s="1"/>
  <c r="BY28" i="1"/>
  <c r="BZ28" i="1" s="1"/>
  <c r="BV28" i="1"/>
  <c r="BW28" i="1" s="1"/>
  <c r="BS28" i="1"/>
  <c r="BT28" i="1" s="1"/>
  <c r="BP28" i="1"/>
  <c r="BQ28" i="1" s="1"/>
  <c r="BM28" i="1"/>
  <c r="BN28" i="1" s="1"/>
  <c r="BJ28" i="1"/>
  <c r="BK28" i="1" s="1"/>
  <c r="BG28" i="1"/>
  <c r="BH28" i="1" s="1"/>
  <c r="BD28" i="1"/>
  <c r="BE28" i="1" s="1"/>
  <c r="BA28" i="1"/>
  <c r="BB28" i="1" s="1"/>
  <c r="AX28" i="1"/>
  <c r="AY28" i="1" s="1"/>
  <c r="AU28" i="1"/>
  <c r="AV28" i="1" s="1"/>
  <c r="AR28" i="1"/>
  <c r="AS28" i="1" s="1"/>
  <c r="AO28" i="1"/>
  <c r="AP28" i="1" s="1"/>
  <c r="AL28" i="1"/>
  <c r="AM28" i="1" s="1"/>
  <c r="AI28" i="1"/>
  <c r="AJ28" i="1" s="1"/>
  <c r="AF28" i="1"/>
  <c r="AG28" i="1" s="1"/>
  <c r="AC28" i="1"/>
  <c r="AD28" i="1" s="1"/>
  <c r="Z28" i="1"/>
  <c r="AA28" i="1" s="1"/>
  <c r="W28" i="1"/>
  <c r="X28" i="1" s="1"/>
  <c r="T28" i="1"/>
  <c r="U28" i="1" s="1"/>
  <c r="Q28" i="1"/>
  <c r="R28" i="1" s="1"/>
  <c r="N28" i="1"/>
  <c r="O28" i="1" s="1"/>
  <c r="K28" i="1"/>
  <c r="L28" i="1" s="1"/>
  <c r="H28" i="1"/>
  <c r="I28" i="1" s="1"/>
  <c r="E28" i="1"/>
  <c r="DT27" i="1"/>
  <c r="DO27" i="1"/>
  <c r="DP27" i="1" s="1"/>
  <c r="DL27" i="1"/>
  <c r="DM27" i="1" s="1"/>
  <c r="DI27" i="1"/>
  <c r="DJ27" i="1" s="1"/>
  <c r="DF27" i="1"/>
  <c r="DG27" i="1" s="1"/>
  <c r="DC27" i="1"/>
  <c r="DD27" i="1" s="1"/>
  <c r="CZ27" i="1"/>
  <c r="DA27" i="1" s="1"/>
  <c r="CW27" i="1"/>
  <c r="CX27" i="1" s="1"/>
  <c r="CT27" i="1"/>
  <c r="CU27" i="1" s="1"/>
  <c r="CQ27" i="1"/>
  <c r="CR27" i="1" s="1"/>
  <c r="CN27" i="1"/>
  <c r="CO27" i="1" s="1"/>
  <c r="CK27" i="1"/>
  <c r="CL27" i="1" s="1"/>
  <c r="CH27" i="1"/>
  <c r="CI27" i="1" s="1"/>
  <c r="CE27" i="1"/>
  <c r="CF27" i="1" s="1"/>
  <c r="CB27" i="1"/>
  <c r="CC27" i="1" s="1"/>
  <c r="BY27" i="1"/>
  <c r="BZ27" i="1" s="1"/>
  <c r="BV27" i="1"/>
  <c r="BW27" i="1" s="1"/>
  <c r="BS27" i="1"/>
  <c r="BT27" i="1" s="1"/>
  <c r="BP27" i="1"/>
  <c r="BQ27" i="1" s="1"/>
  <c r="BM27" i="1"/>
  <c r="BN27" i="1" s="1"/>
  <c r="BJ27" i="1"/>
  <c r="BK27" i="1" s="1"/>
  <c r="BG27" i="1"/>
  <c r="BH27" i="1" s="1"/>
  <c r="BD27" i="1"/>
  <c r="BE27" i="1" s="1"/>
  <c r="BA27" i="1"/>
  <c r="BB27" i="1" s="1"/>
  <c r="AX27" i="1"/>
  <c r="AY27" i="1" s="1"/>
  <c r="AU27" i="1"/>
  <c r="AV27" i="1" s="1"/>
  <c r="AR27" i="1"/>
  <c r="AS27" i="1" s="1"/>
  <c r="AO27" i="1"/>
  <c r="AP27" i="1" s="1"/>
  <c r="AL27" i="1"/>
  <c r="AM27" i="1" s="1"/>
  <c r="AI27" i="1"/>
  <c r="AJ27" i="1" s="1"/>
  <c r="AF27" i="1"/>
  <c r="AG27" i="1" s="1"/>
  <c r="AC27" i="1"/>
  <c r="AD27" i="1" s="1"/>
  <c r="Z27" i="1"/>
  <c r="AA27" i="1" s="1"/>
  <c r="W27" i="1"/>
  <c r="X27" i="1" s="1"/>
  <c r="T27" i="1"/>
  <c r="U27" i="1" s="1"/>
  <c r="Q27" i="1"/>
  <c r="R27" i="1" s="1"/>
  <c r="N27" i="1"/>
  <c r="O27" i="1" s="1"/>
  <c r="K27" i="1"/>
  <c r="L27" i="1" s="1"/>
  <c r="H27" i="1"/>
  <c r="I27" i="1" s="1"/>
  <c r="E27" i="1"/>
  <c r="DT26" i="1"/>
  <c r="DO26" i="1"/>
  <c r="DP26" i="1" s="1"/>
  <c r="DL26" i="1"/>
  <c r="DM26" i="1" s="1"/>
  <c r="DI26" i="1"/>
  <c r="DJ26" i="1" s="1"/>
  <c r="DF26" i="1"/>
  <c r="DG26" i="1" s="1"/>
  <c r="DC26" i="1"/>
  <c r="DD26" i="1" s="1"/>
  <c r="CZ26" i="1"/>
  <c r="DA26" i="1" s="1"/>
  <c r="CW26" i="1"/>
  <c r="CX26" i="1" s="1"/>
  <c r="CT26" i="1"/>
  <c r="CU26" i="1" s="1"/>
  <c r="CQ26" i="1"/>
  <c r="CR26" i="1" s="1"/>
  <c r="CN26" i="1"/>
  <c r="CO26" i="1" s="1"/>
  <c r="CK26" i="1"/>
  <c r="CL26" i="1" s="1"/>
  <c r="CH26" i="1"/>
  <c r="CI26" i="1" s="1"/>
  <c r="CE26" i="1"/>
  <c r="CF26" i="1" s="1"/>
  <c r="CB26" i="1"/>
  <c r="CC26" i="1" s="1"/>
  <c r="BY26" i="1"/>
  <c r="BZ26" i="1" s="1"/>
  <c r="BV26" i="1"/>
  <c r="BW26" i="1" s="1"/>
  <c r="BS26" i="1"/>
  <c r="BT26" i="1" s="1"/>
  <c r="BP26" i="1"/>
  <c r="BQ26" i="1" s="1"/>
  <c r="BM26" i="1"/>
  <c r="BN26" i="1" s="1"/>
  <c r="BJ26" i="1"/>
  <c r="BK26" i="1" s="1"/>
  <c r="BG26" i="1"/>
  <c r="BH26" i="1" s="1"/>
  <c r="BD26" i="1"/>
  <c r="BE26" i="1" s="1"/>
  <c r="BA26" i="1"/>
  <c r="BB26" i="1" s="1"/>
  <c r="AX26" i="1"/>
  <c r="AY26" i="1" s="1"/>
  <c r="AU26" i="1"/>
  <c r="AV26" i="1" s="1"/>
  <c r="AR26" i="1"/>
  <c r="AS26" i="1" s="1"/>
  <c r="AO26" i="1"/>
  <c r="AP26" i="1" s="1"/>
  <c r="AL26" i="1"/>
  <c r="AM26" i="1" s="1"/>
  <c r="AI26" i="1"/>
  <c r="AJ26" i="1" s="1"/>
  <c r="AF26" i="1"/>
  <c r="AG26" i="1" s="1"/>
  <c r="AC26" i="1"/>
  <c r="AD26" i="1" s="1"/>
  <c r="Z26" i="1"/>
  <c r="AA26" i="1" s="1"/>
  <c r="W26" i="1"/>
  <c r="X26" i="1" s="1"/>
  <c r="T26" i="1"/>
  <c r="U26" i="1" s="1"/>
  <c r="Q26" i="1"/>
  <c r="R26" i="1" s="1"/>
  <c r="N26" i="1"/>
  <c r="O26" i="1" s="1"/>
  <c r="K26" i="1"/>
  <c r="L26" i="1" s="1"/>
  <c r="H26" i="1"/>
  <c r="I26" i="1" s="1"/>
  <c r="E26" i="1"/>
  <c r="DT25" i="1"/>
  <c r="DO25" i="1"/>
  <c r="DP25" i="1" s="1"/>
  <c r="DL25" i="1"/>
  <c r="DM25" i="1" s="1"/>
  <c r="DI25" i="1"/>
  <c r="DJ25" i="1" s="1"/>
  <c r="DF25" i="1"/>
  <c r="DG25" i="1" s="1"/>
  <c r="DC25" i="1"/>
  <c r="DD25" i="1" s="1"/>
  <c r="CZ25" i="1"/>
  <c r="DA25" i="1" s="1"/>
  <c r="CW25" i="1"/>
  <c r="CX25" i="1" s="1"/>
  <c r="CT25" i="1"/>
  <c r="CU25" i="1" s="1"/>
  <c r="CQ25" i="1"/>
  <c r="CR25" i="1" s="1"/>
  <c r="CN25" i="1"/>
  <c r="CO25" i="1" s="1"/>
  <c r="CK25" i="1"/>
  <c r="CL25" i="1" s="1"/>
  <c r="CH25" i="1"/>
  <c r="CI25" i="1" s="1"/>
  <c r="CE25" i="1"/>
  <c r="CF25" i="1" s="1"/>
  <c r="CB25" i="1"/>
  <c r="CC25" i="1" s="1"/>
  <c r="BY25" i="1"/>
  <c r="BZ25" i="1" s="1"/>
  <c r="BV25" i="1"/>
  <c r="BW25" i="1" s="1"/>
  <c r="BS25" i="1"/>
  <c r="BT25" i="1" s="1"/>
  <c r="BP25" i="1"/>
  <c r="BQ25" i="1" s="1"/>
  <c r="BM25" i="1"/>
  <c r="BN25" i="1" s="1"/>
  <c r="BJ25" i="1"/>
  <c r="BK25" i="1" s="1"/>
  <c r="BG25" i="1"/>
  <c r="BH25" i="1" s="1"/>
  <c r="BD25" i="1"/>
  <c r="BE25" i="1" s="1"/>
  <c r="BA25" i="1"/>
  <c r="BB25" i="1" s="1"/>
  <c r="AX25" i="1"/>
  <c r="AY25" i="1" s="1"/>
  <c r="AU25" i="1"/>
  <c r="AV25" i="1" s="1"/>
  <c r="AR25" i="1"/>
  <c r="AS25" i="1" s="1"/>
  <c r="AO25" i="1"/>
  <c r="AP25" i="1" s="1"/>
  <c r="AL25" i="1"/>
  <c r="AM25" i="1" s="1"/>
  <c r="AI25" i="1"/>
  <c r="AJ25" i="1" s="1"/>
  <c r="AF25" i="1"/>
  <c r="AG25" i="1" s="1"/>
  <c r="AC25" i="1"/>
  <c r="AD25" i="1" s="1"/>
  <c r="Z25" i="1"/>
  <c r="AA25" i="1" s="1"/>
  <c r="W25" i="1"/>
  <c r="X25" i="1" s="1"/>
  <c r="T25" i="1"/>
  <c r="U25" i="1" s="1"/>
  <c r="Q25" i="1"/>
  <c r="R25" i="1" s="1"/>
  <c r="N25" i="1"/>
  <c r="O25" i="1" s="1"/>
  <c r="K25" i="1"/>
  <c r="L25" i="1" s="1"/>
  <c r="H25" i="1"/>
  <c r="I25" i="1" s="1"/>
  <c r="E25" i="1"/>
  <c r="F25" i="1" s="1"/>
  <c r="DT24" i="1"/>
  <c r="DO24" i="1"/>
  <c r="DP24" i="1" s="1"/>
  <c r="DL24" i="1"/>
  <c r="DM24" i="1" s="1"/>
  <c r="DI24" i="1"/>
  <c r="DJ24" i="1" s="1"/>
  <c r="DF24" i="1"/>
  <c r="DG24" i="1" s="1"/>
  <c r="DC24" i="1"/>
  <c r="DD24" i="1" s="1"/>
  <c r="CZ24" i="1"/>
  <c r="DA24" i="1" s="1"/>
  <c r="CW24" i="1"/>
  <c r="CX24" i="1" s="1"/>
  <c r="CT24" i="1"/>
  <c r="CU24" i="1" s="1"/>
  <c r="CQ24" i="1"/>
  <c r="CR24" i="1" s="1"/>
  <c r="CN24" i="1"/>
  <c r="CO24" i="1" s="1"/>
  <c r="CK24" i="1"/>
  <c r="CL24" i="1" s="1"/>
  <c r="CH24" i="1"/>
  <c r="CI24" i="1" s="1"/>
  <c r="CE24" i="1"/>
  <c r="CF24" i="1" s="1"/>
  <c r="CB24" i="1"/>
  <c r="CC24" i="1" s="1"/>
  <c r="BY24" i="1"/>
  <c r="BZ24" i="1" s="1"/>
  <c r="BV24" i="1"/>
  <c r="BW24" i="1" s="1"/>
  <c r="BS24" i="1"/>
  <c r="BT24" i="1" s="1"/>
  <c r="BP24" i="1"/>
  <c r="BQ24" i="1" s="1"/>
  <c r="BM24" i="1"/>
  <c r="BN24" i="1" s="1"/>
  <c r="BJ24" i="1"/>
  <c r="BK24" i="1" s="1"/>
  <c r="BG24" i="1"/>
  <c r="BH24" i="1" s="1"/>
  <c r="BD24" i="1"/>
  <c r="BE24" i="1" s="1"/>
  <c r="BA24" i="1"/>
  <c r="BB24" i="1" s="1"/>
  <c r="AX24" i="1"/>
  <c r="AY24" i="1" s="1"/>
  <c r="AU24" i="1"/>
  <c r="AV24" i="1" s="1"/>
  <c r="AR24" i="1"/>
  <c r="AS24" i="1" s="1"/>
  <c r="AO24" i="1"/>
  <c r="AP24" i="1" s="1"/>
  <c r="AL24" i="1"/>
  <c r="AM24" i="1" s="1"/>
  <c r="AI24" i="1"/>
  <c r="AJ24" i="1" s="1"/>
  <c r="AF24" i="1"/>
  <c r="AG24" i="1" s="1"/>
  <c r="AC24" i="1"/>
  <c r="AD24" i="1" s="1"/>
  <c r="Z24" i="1"/>
  <c r="AA24" i="1" s="1"/>
  <c r="W24" i="1"/>
  <c r="X24" i="1" s="1"/>
  <c r="T24" i="1"/>
  <c r="U24" i="1" s="1"/>
  <c r="Q24" i="1"/>
  <c r="R24" i="1" s="1"/>
  <c r="N24" i="1"/>
  <c r="O24" i="1" s="1"/>
  <c r="K24" i="1"/>
  <c r="L24" i="1" s="1"/>
  <c r="H24" i="1"/>
  <c r="I24" i="1" s="1"/>
  <c r="E24" i="1"/>
  <c r="DT23" i="1"/>
  <c r="DO23" i="1"/>
  <c r="DP23" i="1" s="1"/>
  <c r="DL23" i="1"/>
  <c r="DM23" i="1" s="1"/>
  <c r="DI23" i="1"/>
  <c r="DJ23" i="1" s="1"/>
  <c r="DF23" i="1"/>
  <c r="DG23" i="1" s="1"/>
  <c r="DC23" i="1"/>
  <c r="DD23" i="1" s="1"/>
  <c r="CZ23" i="1"/>
  <c r="DA23" i="1" s="1"/>
  <c r="CW23" i="1"/>
  <c r="CX23" i="1" s="1"/>
  <c r="CT23" i="1"/>
  <c r="CU23" i="1" s="1"/>
  <c r="CQ23" i="1"/>
  <c r="CR23" i="1" s="1"/>
  <c r="CN23" i="1"/>
  <c r="CO23" i="1" s="1"/>
  <c r="CK23" i="1"/>
  <c r="CL23" i="1" s="1"/>
  <c r="CH23" i="1"/>
  <c r="CI23" i="1" s="1"/>
  <c r="CE23" i="1"/>
  <c r="CF23" i="1" s="1"/>
  <c r="CB23" i="1"/>
  <c r="CC23" i="1" s="1"/>
  <c r="BY23" i="1"/>
  <c r="BZ23" i="1" s="1"/>
  <c r="BV23" i="1"/>
  <c r="BW23" i="1" s="1"/>
  <c r="BS23" i="1"/>
  <c r="BT23" i="1" s="1"/>
  <c r="BP23" i="1"/>
  <c r="BQ23" i="1" s="1"/>
  <c r="BM23" i="1"/>
  <c r="BN23" i="1" s="1"/>
  <c r="BJ23" i="1"/>
  <c r="BK23" i="1" s="1"/>
  <c r="BG23" i="1"/>
  <c r="BH23" i="1" s="1"/>
  <c r="BD23" i="1"/>
  <c r="BE23" i="1" s="1"/>
  <c r="BA23" i="1"/>
  <c r="BB23" i="1" s="1"/>
  <c r="AX23" i="1"/>
  <c r="AY23" i="1" s="1"/>
  <c r="AU23" i="1"/>
  <c r="AV23" i="1" s="1"/>
  <c r="AR23" i="1"/>
  <c r="AS23" i="1" s="1"/>
  <c r="AO23" i="1"/>
  <c r="AP23" i="1" s="1"/>
  <c r="AL23" i="1"/>
  <c r="AM23" i="1" s="1"/>
  <c r="AI23" i="1"/>
  <c r="AJ23" i="1" s="1"/>
  <c r="AF23" i="1"/>
  <c r="AG23" i="1" s="1"/>
  <c r="AC23" i="1"/>
  <c r="AD23" i="1" s="1"/>
  <c r="Z23" i="1"/>
  <c r="W23" i="1"/>
  <c r="X23" i="1" s="1"/>
  <c r="T23" i="1"/>
  <c r="U23" i="1" s="1"/>
  <c r="Q23" i="1"/>
  <c r="R23" i="1" s="1"/>
  <c r="N23" i="1"/>
  <c r="O23" i="1" s="1"/>
  <c r="K23" i="1"/>
  <c r="L23" i="1" s="1"/>
  <c r="H23" i="1"/>
  <c r="I23" i="1" s="1"/>
  <c r="E23" i="1"/>
  <c r="F23" i="1" s="1"/>
  <c r="DT22" i="1"/>
  <c r="DO22" i="1"/>
  <c r="DP22" i="1" s="1"/>
  <c r="DL22" i="1"/>
  <c r="DM22" i="1" s="1"/>
  <c r="DI22" i="1"/>
  <c r="DJ22" i="1" s="1"/>
  <c r="DF22" i="1"/>
  <c r="DG22" i="1" s="1"/>
  <c r="DC22" i="1"/>
  <c r="DD22" i="1" s="1"/>
  <c r="CZ22" i="1"/>
  <c r="DA22" i="1" s="1"/>
  <c r="CW22" i="1"/>
  <c r="CX22" i="1" s="1"/>
  <c r="CT22" i="1"/>
  <c r="CU22" i="1" s="1"/>
  <c r="CQ22" i="1"/>
  <c r="CR22" i="1" s="1"/>
  <c r="CN22" i="1"/>
  <c r="CO22" i="1" s="1"/>
  <c r="CK22" i="1"/>
  <c r="CL22" i="1" s="1"/>
  <c r="CH22" i="1"/>
  <c r="CI22" i="1" s="1"/>
  <c r="CE22" i="1"/>
  <c r="CF22" i="1" s="1"/>
  <c r="CB22" i="1"/>
  <c r="CC22" i="1" s="1"/>
  <c r="BY22" i="1"/>
  <c r="BZ22" i="1" s="1"/>
  <c r="BV22" i="1"/>
  <c r="BW22" i="1" s="1"/>
  <c r="BS22" i="1"/>
  <c r="BT22" i="1" s="1"/>
  <c r="BP22" i="1"/>
  <c r="BQ22" i="1" s="1"/>
  <c r="BM22" i="1"/>
  <c r="BN22" i="1" s="1"/>
  <c r="BJ22" i="1"/>
  <c r="BK22" i="1" s="1"/>
  <c r="BG22" i="1"/>
  <c r="BH22" i="1" s="1"/>
  <c r="BD22" i="1"/>
  <c r="BE22" i="1" s="1"/>
  <c r="BA22" i="1"/>
  <c r="BB22" i="1" s="1"/>
  <c r="AX22" i="1"/>
  <c r="AY22" i="1" s="1"/>
  <c r="AU22" i="1"/>
  <c r="AV22" i="1" s="1"/>
  <c r="AR22" i="1"/>
  <c r="AS22" i="1" s="1"/>
  <c r="AO22" i="1"/>
  <c r="AP22" i="1" s="1"/>
  <c r="AL22" i="1"/>
  <c r="AM22" i="1" s="1"/>
  <c r="AI22" i="1"/>
  <c r="AJ22" i="1" s="1"/>
  <c r="AF22" i="1"/>
  <c r="AG22" i="1" s="1"/>
  <c r="AC22" i="1"/>
  <c r="AD22" i="1" s="1"/>
  <c r="Z22" i="1"/>
  <c r="AA22" i="1" s="1"/>
  <c r="W22" i="1"/>
  <c r="X22" i="1" s="1"/>
  <c r="T22" i="1"/>
  <c r="U22" i="1" s="1"/>
  <c r="Q22" i="1"/>
  <c r="R22" i="1" s="1"/>
  <c r="N22" i="1"/>
  <c r="O22" i="1" s="1"/>
  <c r="K22" i="1"/>
  <c r="L22" i="1" s="1"/>
  <c r="H22" i="1"/>
  <c r="I22" i="1" s="1"/>
  <c r="E22" i="1"/>
  <c r="DT21" i="1"/>
  <c r="DO21" i="1"/>
  <c r="DP21" i="1" s="1"/>
  <c r="DL21" i="1"/>
  <c r="DM21" i="1" s="1"/>
  <c r="DI21" i="1"/>
  <c r="DJ21" i="1" s="1"/>
  <c r="DF21" i="1"/>
  <c r="DG21" i="1" s="1"/>
  <c r="DC21" i="1"/>
  <c r="DD21" i="1" s="1"/>
  <c r="CZ21" i="1"/>
  <c r="DA21" i="1" s="1"/>
  <c r="CW21" i="1"/>
  <c r="CX21" i="1" s="1"/>
  <c r="CT21" i="1"/>
  <c r="CU21" i="1" s="1"/>
  <c r="CQ21" i="1"/>
  <c r="CR21" i="1" s="1"/>
  <c r="CN21" i="1"/>
  <c r="CO21" i="1" s="1"/>
  <c r="CK21" i="1"/>
  <c r="CL21" i="1" s="1"/>
  <c r="CH21" i="1"/>
  <c r="CI21" i="1" s="1"/>
  <c r="CE21" i="1"/>
  <c r="CF21" i="1" s="1"/>
  <c r="CB21" i="1"/>
  <c r="CC21" i="1" s="1"/>
  <c r="BY21" i="1"/>
  <c r="BZ21" i="1" s="1"/>
  <c r="BV21" i="1"/>
  <c r="BW21" i="1" s="1"/>
  <c r="BS21" i="1"/>
  <c r="BT21" i="1" s="1"/>
  <c r="BP21" i="1"/>
  <c r="BQ21" i="1" s="1"/>
  <c r="BM21" i="1"/>
  <c r="BN21" i="1" s="1"/>
  <c r="BJ21" i="1"/>
  <c r="BG21" i="1"/>
  <c r="BH21" i="1" s="1"/>
  <c r="BD21" i="1"/>
  <c r="BE21" i="1" s="1"/>
  <c r="BA21" i="1"/>
  <c r="BB21" i="1" s="1"/>
  <c r="AX21" i="1"/>
  <c r="AY21" i="1" s="1"/>
  <c r="AU21" i="1"/>
  <c r="AV21" i="1" s="1"/>
  <c r="AR21" i="1"/>
  <c r="AS21" i="1" s="1"/>
  <c r="AO21" i="1"/>
  <c r="AP21" i="1" s="1"/>
  <c r="AL21" i="1"/>
  <c r="AM21" i="1" s="1"/>
  <c r="AI21" i="1"/>
  <c r="AJ21" i="1" s="1"/>
  <c r="AF21" i="1"/>
  <c r="AG21" i="1" s="1"/>
  <c r="AC21" i="1"/>
  <c r="AD21" i="1" s="1"/>
  <c r="Z21" i="1"/>
  <c r="AA21" i="1" s="1"/>
  <c r="W21" i="1"/>
  <c r="X21" i="1" s="1"/>
  <c r="T21" i="1"/>
  <c r="U21" i="1" s="1"/>
  <c r="Q21" i="1"/>
  <c r="R21" i="1" s="1"/>
  <c r="N21" i="1"/>
  <c r="O21" i="1" s="1"/>
  <c r="K21" i="1"/>
  <c r="L21" i="1" s="1"/>
  <c r="H21" i="1"/>
  <c r="I21" i="1" s="1"/>
  <c r="E21" i="1"/>
  <c r="F21" i="1" s="1"/>
  <c r="DT20" i="1"/>
  <c r="DO20" i="1"/>
  <c r="DP20" i="1" s="1"/>
  <c r="DL20" i="1"/>
  <c r="DM20" i="1" s="1"/>
  <c r="DI20" i="1"/>
  <c r="DJ20" i="1" s="1"/>
  <c r="DF20" i="1"/>
  <c r="DG20" i="1" s="1"/>
  <c r="DC20" i="1"/>
  <c r="DD20" i="1" s="1"/>
  <c r="CZ20" i="1"/>
  <c r="DA20" i="1" s="1"/>
  <c r="CW20" i="1"/>
  <c r="CX20" i="1" s="1"/>
  <c r="CT20" i="1"/>
  <c r="CU20" i="1" s="1"/>
  <c r="CQ20" i="1"/>
  <c r="CR20" i="1" s="1"/>
  <c r="CN20" i="1"/>
  <c r="CO20" i="1" s="1"/>
  <c r="CK20" i="1"/>
  <c r="CL20" i="1" s="1"/>
  <c r="CH20" i="1"/>
  <c r="CI20" i="1" s="1"/>
  <c r="CE20" i="1"/>
  <c r="CF20" i="1" s="1"/>
  <c r="CB20" i="1"/>
  <c r="CC20" i="1" s="1"/>
  <c r="BY20" i="1"/>
  <c r="BZ20" i="1" s="1"/>
  <c r="BV20" i="1"/>
  <c r="BW20" i="1" s="1"/>
  <c r="BS20" i="1"/>
  <c r="BT20" i="1" s="1"/>
  <c r="BP20" i="1"/>
  <c r="BQ20" i="1" s="1"/>
  <c r="BM20" i="1"/>
  <c r="BN20" i="1" s="1"/>
  <c r="BJ20" i="1"/>
  <c r="BK20" i="1" s="1"/>
  <c r="BG20" i="1"/>
  <c r="BD20" i="1"/>
  <c r="BE20" i="1" s="1"/>
  <c r="BA20" i="1"/>
  <c r="BB20" i="1" s="1"/>
  <c r="AX20" i="1"/>
  <c r="AY20" i="1" s="1"/>
  <c r="AU20" i="1"/>
  <c r="AR20" i="1"/>
  <c r="AS20" i="1" s="1"/>
  <c r="AO20" i="1"/>
  <c r="AP20" i="1" s="1"/>
  <c r="AL20" i="1"/>
  <c r="AI20" i="1"/>
  <c r="AJ20" i="1" s="1"/>
  <c r="AF20" i="1"/>
  <c r="AG20" i="1" s="1"/>
  <c r="AD20" i="1"/>
  <c r="AC20" i="1"/>
  <c r="Z20" i="1"/>
  <c r="AA20" i="1" s="1"/>
  <c r="W20" i="1"/>
  <c r="X20" i="1" s="1"/>
  <c r="T20" i="1"/>
  <c r="U20" i="1" s="1"/>
  <c r="Q20" i="1"/>
  <c r="R20" i="1" s="1"/>
  <c r="N20" i="1"/>
  <c r="O20" i="1" s="1"/>
  <c r="K20" i="1"/>
  <c r="L20" i="1" s="1"/>
  <c r="H20" i="1"/>
  <c r="I20" i="1" s="1"/>
  <c r="E20" i="1"/>
  <c r="F20" i="1" s="1"/>
  <c r="DT19" i="1"/>
  <c r="DO19" i="1"/>
  <c r="DL19" i="1"/>
  <c r="DM19" i="1" s="1"/>
  <c r="DI19" i="1"/>
  <c r="DJ19" i="1" s="1"/>
  <c r="DF19" i="1"/>
  <c r="DG19" i="1" s="1"/>
  <c r="DC19" i="1"/>
  <c r="DD19" i="1" s="1"/>
  <c r="CZ19" i="1"/>
  <c r="DA19" i="1" s="1"/>
  <c r="CW19" i="1"/>
  <c r="CX19" i="1" s="1"/>
  <c r="CT19" i="1"/>
  <c r="CU19" i="1" s="1"/>
  <c r="CQ19" i="1"/>
  <c r="CR19" i="1" s="1"/>
  <c r="CN19" i="1"/>
  <c r="CK19" i="1"/>
  <c r="CL19" i="1" s="1"/>
  <c r="CH19" i="1"/>
  <c r="CI19" i="1" s="1"/>
  <c r="CE19" i="1"/>
  <c r="CF19" i="1" s="1"/>
  <c r="CB19" i="1"/>
  <c r="CC19" i="1" s="1"/>
  <c r="BY19" i="1"/>
  <c r="BZ19" i="1" s="1"/>
  <c r="BV19" i="1"/>
  <c r="BS19" i="1"/>
  <c r="BT19" i="1" s="1"/>
  <c r="BP19" i="1"/>
  <c r="BQ19" i="1" s="1"/>
  <c r="BM19" i="1"/>
  <c r="BN19" i="1" s="1"/>
  <c r="BJ19" i="1"/>
  <c r="BK19" i="1" s="1"/>
  <c r="BG19" i="1"/>
  <c r="BH19" i="1" s="1"/>
  <c r="BD19" i="1"/>
  <c r="BE19" i="1" s="1"/>
  <c r="BA19" i="1"/>
  <c r="BB19" i="1" s="1"/>
  <c r="AX19" i="1"/>
  <c r="AY19" i="1" s="1"/>
  <c r="AU19" i="1"/>
  <c r="AV19" i="1" s="1"/>
  <c r="AR19" i="1"/>
  <c r="AS19" i="1" s="1"/>
  <c r="AO19" i="1"/>
  <c r="AP19" i="1" s="1"/>
  <c r="AL19" i="1"/>
  <c r="AM19" i="1" s="1"/>
  <c r="AI19" i="1"/>
  <c r="AJ19" i="1" s="1"/>
  <c r="AF19" i="1"/>
  <c r="AG19" i="1" s="1"/>
  <c r="AC19" i="1"/>
  <c r="AD19" i="1" s="1"/>
  <c r="Z19" i="1"/>
  <c r="AA19" i="1" s="1"/>
  <c r="W19" i="1"/>
  <c r="X19" i="1" s="1"/>
  <c r="T19" i="1"/>
  <c r="Q19" i="1"/>
  <c r="R19" i="1" s="1"/>
  <c r="N19" i="1"/>
  <c r="O19" i="1" s="1"/>
  <c r="K19" i="1"/>
  <c r="H19" i="1"/>
  <c r="I19" i="1" s="1"/>
  <c r="E19" i="1"/>
  <c r="DT5" i="1"/>
  <c r="DT6" i="1"/>
  <c r="DT7" i="1"/>
  <c r="DT8" i="1"/>
  <c r="DT9" i="1"/>
  <c r="DT10" i="1"/>
  <c r="DT11" i="1"/>
  <c r="DT12" i="1"/>
  <c r="DT13" i="1"/>
  <c r="DT14" i="1"/>
  <c r="DT15" i="1"/>
  <c r="DT16" i="1"/>
  <c r="DT17" i="1"/>
  <c r="DO6" i="1"/>
  <c r="DP6" i="1" s="1"/>
  <c r="DO7" i="1"/>
  <c r="DP7" i="1" s="1"/>
  <c r="DO8" i="1"/>
  <c r="DP8" i="1" s="1"/>
  <c r="DO9" i="1"/>
  <c r="DP9" i="1" s="1"/>
  <c r="DO10" i="1"/>
  <c r="DP10" i="1" s="1"/>
  <c r="DO11" i="1"/>
  <c r="DP11" i="1" s="1"/>
  <c r="DO12" i="1"/>
  <c r="DP12" i="1" s="1"/>
  <c r="DO13" i="1"/>
  <c r="DP13" i="1" s="1"/>
  <c r="DO14" i="1"/>
  <c r="DP14" i="1" s="1"/>
  <c r="DO15" i="1"/>
  <c r="DP15" i="1" s="1"/>
  <c r="DO16" i="1"/>
  <c r="DP16" i="1" s="1"/>
  <c r="DO17" i="1"/>
  <c r="DP17" i="1" s="1"/>
  <c r="DO5" i="1"/>
  <c r="DP5" i="1" s="1"/>
  <c r="DV112" i="1" l="1"/>
  <c r="BQ140" i="1"/>
  <c r="CF140" i="1"/>
  <c r="DL140" i="1"/>
  <c r="AP140" i="1"/>
  <c r="DU111" i="1"/>
  <c r="F128" i="1"/>
  <c r="AG140" i="1"/>
  <c r="BN140" i="1"/>
  <c r="O111" i="1"/>
  <c r="CB140" i="1"/>
  <c r="DV76" i="1"/>
  <c r="F89" i="1"/>
  <c r="BT140" i="1"/>
  <c r="BP140" i="1"/>
  <c r="DV129" i="1"/>
  <c r="DU139" i="1"/>
  <c r="F111" i="1"/>
  <c r="AF140" i="1"/>
  <c r="U140" i="1"/>
  <c r="DM140" i="1"/>
  <c r="AU140" i="1"/>
  <c r="T140" i="1"/>
  <c r="O140" i="1"/>
  <c r="DD140" i="1"/>
  <c r="AD140" i="1"/>
  <c r="BW140" i="1"/>
  <c r="AG128" i="1"/>
  <c r="DV113" i="1"/>
  <c r="DV133" i="1"/>
  <c r="CU140" i="1"/>
  <c r="Q140" i="1"/>
  <c r="CL140" i="1"/>
  <c r="BB140" i="1"/>
  <c r="CR140" i="1"/>
  <c r="CN140" i="1"/>
  <c r="H140" i="1"/>
  <c r="CK140" i="1"/>
  <c r="AM140" i="1"/>
  <c r="I111" i="1"/>
  <c r="I140" i="1" s="1"/>
  <c r="CC140" i="1"/>
  <c r="L111" i="1"/>
  <c r="L140" i="1" s="1"/>
  <c r="DV90" i="1"/>
  <c r="DV111" i="1" s="1"/>
  <c r="BK140" i="1"/>
  <c r="AA140" i="1"/>
  <c r="DG140" i="1"/>
  <c r="R111" i="1"/>
  <c r="R140" i="1" s="1"/>
  <c r="AI140" i="1"/>
  <c r="AC140" i="1"/>
  <c r="DP140" i="1"/>
  <c r="CI140" i="1"/>
  <c r="DU128" i="1"/>
  <c r="DV132" i="1"/>
  <c r="F139" i="1"/>
  <c r="DV131" i="1"/>
  <c r="E140" i="1"/>
  <c r="DU89" i="1"/>
  <c r="DU140" i="1" s="1"/>
  <c r="DJ140" i="1"/>
  <c r="BV140" i="1"/>
  <c r="AY140" i="1"/>
  <c r="AS140" i="1"/>
  <c r="AJ140" i="1"/>
  <c r="DA140" i="1"/>
  <c r="BE140" i="1"/>
  <c r="BZ140" i="1"/>
  <c r="CD69" i="1"/>
  <c r="AZ69" i="1"/>
  <c r="AB69" i="1"/>
  <c r="DN69" i="1"/>
  <c r="BL69" i="1"/>
  <c r="AT69" i="1"/>
  <c r="AH69" i="1"/>
  <c r="AE69" i="1"/>
  <c r="DK69" i="1"/>
  <c r="CV69" i="1"/>
  <c r="CM69" i="1"/>
  <c r="BO69" i="1"/>
  <c r="BC69" i="1"/>
  <c r="AN69" i="1"/>
  <c r="AK69" i="1"/>
  <c r="V69" i="1"/>
  <c r="S69" i="1"/>
  <c r="BF69" i="1"/>
  <c r="AW69" i="1"/>
  <c r="CB57" i="1"/>
  <c r="BK68" i="1"/>
  <c r="BV40" i="1"/>
  <c r="CI57" i="1"/>
  <c r="DM68" i="1"/>
  <c r="K40" i="1"/>
  <c r="AM68" i="1"/>
  <c r="DF68" i="1"/>
  <c r="BZ68" i="1"/>
  <c r="T57" i="1"/>
  <c r="CX57" i="1"/>
  <c r="BJ57" i="1"/>
  <c r="I68" i="1"/>
  <c r="AR68" i="1"/>
  <c r="T40" i="1"/>
  <c r="DA57" i="1"/>
  <c r="K68" i="1"/>
  <c r="CF68" i="1"/>
  <c r="AG68" i="1"/>
  <c r="BJ68" i="1"/>
  <c r="H57" i="1"/>
  <c r="M69" i="1"/>
  <c r="G69" i="1"/>
  <c r="J69" i="1"/>
  <c r="I40" i="1"/>
  <c r="I41" i="1"/>
  <c r="L41" i="1"/>
  <c r="L57" i="1" s="1"/>
  <c r="L58" i="1"/>
  <c r="L68" i="1" s="1"/>
  <c r="O68" i="1"/>
  <c r="R40" i="1"/>
  <c r="R57" i="1"/>
  <c r="U68" i="1"/>
  <c r="X40" i="1"/>
  <c r="Z57" i="1"/>
  <c r="AC68" i="1"/>
  <c r="AD40" i="1"/>
  <c r="AD58" i="1"/>
  <c r="AD68" i="1" s="1"/>
  <c r="AC57" i="1"/>
  <c r="AG57" i="1"/>
  <c r="AJ40" i="1"/>
  <c r="AM57" i="1"/>
  <c r="AL40" i="1"/>
  <c r="AP40" i="1"/>
  <c r="AP68" i="1"/>
  <c r="AS58" i="1"/>
  <c r="AS68" i="1" s="1"/>
  <c r="AS57" i="1"/>
  <c r="AU40" i="1"/>
  <c r="AU57" i="1"/>
  <c r="BH68" i="1"/>
  <c r="BK18" i="1"/>
  <c r="BJ40" i="1"/>
  <c r="BQ68" i="1"/>
  <c r="BQ57" i="1"/>
  <c r="BW57" i="1"/>
  <c r="BW68" i="1"/>
  <c r="BZ40" i="1"/>
  <c r="BZ57" i="1"/>
  <c r="CE57" i="1"/>
  <c r="CF41" i="1"/>
  <c r="CF57" i="1" s="1"/>
  <c r="CI40" i="1"/>
  <c r="CI68" i="1"/>
  <c r="CL57" i="1"/>
  <c r="CO18" i="1"/>
  <c r="CN40" i="1"/>
  <c r="CO19" i="1"/>
  <c r="CR68" i="1"/>
  <c r="CR40" i="1"/>
  <c r="CT57" i="1"/>
  <c r="CT68" i="1"/>
  <c r="CU58" i="1"/>
  <c r="CU68" i="1" s="1"/>
  <c r="DA68" i="1"/>
  <c r="DD40" i="1"/>
  <c r="DD68" i="1"/>
  <c r="DD57" i="1"/>
  <c r="DG40" i="1"/>
  <c r="DJ57" i="1"/>
  <c r="DI68" i="1"/>
  <c r="DJ68" i="1"/>
  <c r="DL57" i="1"/>
  <c r="DM41" i="1"/>
  <c r="DM57" i="1" s="1"/>
  <c r="DO57" i="1"/>
  <c r="DP41" i="1"/>
  <c r="DP57" i="1" s="1"/>
  <c r="DO40" i="1"/>
  <c r="DO68" i="1"/>
  <c r="DP68" i="1"/>
  <c r="DP19" i="1"/>
  <c r="DP40" i="1" s="1"/>
  <c r="DM40" i="1"/>
  <c r="DL40" i="1"/>
  <c r="DL68" i="1"/>
  <c r="DJ40" i="1"/>
  <c r="DI57" i="1"/>
  <c r="DI40" i="1"/>
  <c r="DG57" i="1"/>
  <c r="DG58" i="1"/>
  <c r="DG68" i="1" s="1"/>
  <c r="DF57" i="1"/>
  <c r="DF40" i="1"/>
  <c r="DC40" i="1"/>
  <c r="DC57" i="1"/>
  <c r="DC68" i="1"/>
  <c r="DA40" i="1"/>
  <c r="CZ57" i="1"/>
  <c r="CZ68" i="1"/>
  <c r="CZ40" i="1"/>
  <c r="CX68" i="1"/>
  <c r="CX40" i="1"/>
  <c r="CW40" i="1"/>
  <c r="CW57" i="1"/>
  <c r="CW68" i="1"/>
  <c r="CU40" i="1"/>
  <c r="CU41" i="1"/>
  <c r="CU57" i="1" s="1"/>
  <c r="CT40" i="1"/>
  <c r="CR57" i="1"/>
  <c r="CQ40" i="1"/>
  <c r="CQ57" i="1"/>
  <c r="CQ68" i="1"/>
  <c r="CO57" i="1"/>
  <c r="CO68" i="1"/>
  <c r="CO40" i="1"/>
  <c r="CN68" i="1"/>
  <c r="CN57" i="1"/>
  <c r="CL68" i="1"/>
  <c r="CL40" i="1"/>
  <c r="CK57" i="1"/>
  <c r="CK68" i="1"/>
  <c r="CK40" i="1"/>
  <c r="CH57" i="1"/>
  <c r="CH68" i="1"/>
  <c r="CH40" i="1"/>
  <c r="CF40" i="1"/>
  <c r="CE40" i="1"/>
  <c r="CE68" i="1"/>
  <c r="CC40" i="1"/>
  <c r="CC68" i="1"/>
  <c r="CC41" i="1"/>
  <c r="CC57" i="1" s="1"/>
  <c r="CB40" i="1"/>
  <c r="CB68" i="1"/>
  <c r="BZ18" i="1"/>
  <c r="BY57" i="1"/>
  <c r="BY40" i="1"/>
  <c r="BY68" i="1"/>
  <c r="BV57" i="1"/>
  <c r="BW19" i="1"/>
  <c r="BW40" i="1" s="1"/>
  <c r="BV68" i="1"/>
  <c r="BT40" i="1"/>
  <c r="BT57" i="1"/>
  <c r="BT68" i="1"/>
  <c r="BS40" i="1"/>
  <c r="BS68" i="1"/>
  <c r="BS57" i="1"/>
  <c r="BQ40" i="1"/>
  <c r="BP68" i="1"/>
  <c r="BP57" i="1"/>
  <c r="BP40" i="1"/>
  <c r="BM68" i="1"/>
  <c r="BM57" i="1"/>
  <c r="BK21" i="1"/>
  <c r="BK40" i="1" s="1"/>
  <c r="BK43" i="1"/>
  <c r="BK57" i="1" s="1"/>
  <c r="BH57" i="1"/>
  <c r="BE57" i="1"/>
  <c r="BE40" i="1"/>
  <c r="BD68" i="1"/>
  <c r="BB68" i="1"/>
  <c r="BB40" i="1"/>
  <c r="AY40" i="1"/>
  <c r="AY57" i="1"/>
  <c r="AY68" i="1"/>
  <c r="AV57" i="1"/>
  <c r="AV68" i="1"/>
  <c r="AV20" i="1"/>
  <c r="AV40" i="1" s="1"/>
  <c r="AU68" i="1"/>
  <c r="AS40" i="1"/>
  <c r="AR57" i="1"/>
  <c r="AR40" i="1"/>
  <c r="AP57" i="1"/>
  <c r="AO57" i="1"/>
  <c r="AO40" i="1"/>
  <c r="AO68" i="1"/>
  <c r="AM20" i="1"/>
  <c r="AM40" i="1" s="1"/>
  <c r="AL57" i="1"/>
  <c r="AL68" i="1"/>
  <c r="AG40" i="1"/>
  <c r="AF68" i="1"/>
  <c r="AF57" i="1"/>
  <c r="AF40" i="1"/>
  <c r="AD57" i="1"/>
  <c r="AC40" i="1"/>
  <c r="AA68" i="1"/>
  <c r="AA49" i="1"/>
  <c r="AA57" i="1" s="1"/>
  <c r="Z40" i="1"/>
  <c r="Z68" i="1"/>
  <c r="W57" i="1"/>
  <c r="X68" i="1"/>
  <c r="W40" i="1"/>
  <c r="U19" i="1"/>
  <c r="U40" i="1" s="1"/>
  <c r="U43" i="1"/>
  <c r="U57" i="1" s="1"/>
  <c r="T68" i="1"/>
  <c r="Q57" i="1"/>
  <c r="Q68" i="1"/>
  <c r="Q40" i="1"/>
  <c r="O40" i="1"/>
  <c r="N40" i="1"/>
  <c r="L19" i="1"/>
  <c r="L40" i="1" s="1"/>
  <c r="H40" i="1"/>
  <c r="H68" i="1"/>
  <c r="DU61" i="1"/>
  <c r="AJ68" i="1"/>
  <c r="AI68" i="1"/>
  <c r="W68" i="1"/>
  <c r="N68" i="1"/>
  <c r="DU63" i="1"/>
  <c r="BN66" i="1"/>
  <c r="BN68" i="1" s="1"/>
  <c r="DU60" i="1"/>
  <c r="BG68" i="1"/>
  <c r="BE68" i="1"/>
  <c r="DT68" i="1"/>
  <c r="BA68" i="1"/>
  <c r="AX68" i="1"/>
  <c r="AI40" i="1"/>
  <c r="AX40" i="1"/>
  <c r="BA40" i="1"/>
  <c r="BD40" i="1"/>
  <c r="BG40" i="1"/>
  <c r="DT40" i="1"/>
  <c r="BN40" i="1"/>
  <c r="BM40" i="1"/>
  <c r="O57" i="1"/>
  <c r="N57" i="1"/>
  <c r="X42" i="1"/>
  <c r="X57" i="1" s="1"/>
  <c r="AJ57" i="1"/>
  <c r="AI57" i="1"/>
  <c r="AX57" i="1"/>
  <c r="BB57" i="1"/>
  <c r="BA57" i="1"/>
  <c r="BD57" i="1"/>
  <c r="BG57" i="1"/>
  <c r="DT57" i="1"/>
  <c r="BN41" i="1"/>
  <c r="BN57" i="1" s="1"/>
  <c r="U18" i="1"/>
  <c r="AJ18" i="1"/>
  <c r="AM18" i="1"/>
  <c r="AG18" i="1"/>
  <c r="AX18" i="1"/>
  <c r="AY18" i="1"/>
  <c r="CZ18" i="1"/>
  <c r="DA18" i="1"/>
  <c r="H18" i="1"/>
  <c r="H69" i="1" s="1"/>
  <c r="AC18" i="1"/>
  <c r="AC69" i="1" s="1"/>
  <c r="DU16" i="1"/>
  <c r="DU10" i="1"/>
  <c r="I18" i="1"/>
  <c r="O18" i="1"/>
  <c r="N18" i="1"/>
  <c r="AD18" i="1"/>
  <c r="AS18" i="1"/>
  <c r="BQ18" i="1"/>
  <c r="CR18" i="1"/>
  <c r="CR69" i="1" s="1"/>
  <c r="CU18" i="1"/>
  <c r="AP18" i="1"/>
  <c r="T18" i="1"/>
  <c r="AL18" i="1"/>
  <c r="BT18" i="1"/>
  <c r="E18" i="1"/>
  <c r="Z18" i="1"/>
  <c r="BD18" i="1"/>
  <c r="BE18" i="1"/>
  <c r="CW18" i="1"/>
  <c r="CX18" i="1"/>
  <c r="DU22" i="1"/>
  <c r="R18" i="1"/>
  <c r="X18" i="1"/>
  <c r="L18" i="1"/>
  <c r="K18" i="1"/>
  <c r="K69" i="1" s="1"/>
  <c r="DU14" i="1"/>
  <c r="AA18" i="1"/>
  <c r="AI18" i="1"/>
  <c r="AV18" i="1"/>
  <c r="DV13" i="1"/>
  <c r="Q18" i="1"/>
  <c r="W18" i="1"/>
  <c r="AF18" i="1"/>
  <c r="AO18" i="1"/>
  <c r="BN18" i="1"/>
  <c r="CH18" i="1"/>
  <c r="CI18" i="1"/>
  <c r="DM18" i="1"/>
  <c r="BG18" i="1"/>
  <c r="BV18" i="1"/>
  <c r="CB18" i="1"/>
  <c r="DC18" i="1"/>
  <c r="DO18" i="1"/>
  <c r="DU29" i="1"/>
  <c r="BA18" i="1"/>
  <c r="BH18" i="1"/>
  <c r="BW18" i="1"/>
  <c r="CC18" i="1"/>
  <c r="CE18" i="1"/>
  <c r="CK18" i="1"/>
  <c r="DD18" i="1"/>
  <c r="DF18" i="1"/>
  <c r="DP18" i="1"/>
  <c r="DT18" i="1"/>
  <c r="DU43" i="1"/>
  <c r="AR18" i="1"/>
  <c r="AU18" i="1"/>
  <c r="BB18" i="1"/>
  <c r="BM18" i="1"/>
  <c r="BS18" i="1"/>
  <c r="CF18" i="1"/>
  <c r="CF69" i="1" s="1"/>
  <c r="CL18" i="1"/>
  <c r="CN18" i="1"/>
  <c r="CT18" i="1"/>
  <c r="DG18" i="1"/>
  <c r="DI18" i="1"/>
  <c r="DU19" i="1"/>
  <c r="DU45" i="1"/>
  <c r="F45" i="1"/>
  <c r="DV45" i="1" s="1"/>
  <c r="DJ18" i="1"/>
  <c r="DU24" i="1"/>
  <c r="BJ18" i="1"/>
  <c r="BP18" i="1"/>
  <c r="BY18" i="1"/>
  <c r="CQ18" i="1"/>
  <c r="DL18" i="1"/>
  <c r="DU20" i="1"/>
  <c r="DU27" i="1"/>
  <c r="DU51" i="1"/>
  <c r="DU66" i="1"/>
  <c r="DU31" i="1"/>
  <c r="DU39" i="1"/>
  <c r="DU41" i="1"/>
  <c r="DU65" i="1"/>
  <c r="F31" i="1"/>
  <c r="DV31" i="1" s="1"/>
  <c r="DU37" i="1"/>
  <c r="DU49" i="1"/>
  <c r="DV53" i="1"/>
  <c r="DU58" i="1"/>
  <c r="DU59" i="1"/>
  <c r="F49" i="1"/>
  <c r="DU62" i="1"/>
  <c r="DU64" i="1"/>
  <c r="DV55" i="1"/>
  <c r="DU67" i="1"/>
  <c r="E68" i="1"/>
  <c r="E57" i="1"/>
  <c r="F42" i="1"/>
  <c r="DU42" i="1"/>
  <c r="E40" i="1"/>
  <c r="F29" i="1"/>
  <c r="DV29" i="1" s="1"/>
  <c r="F26" i="1"/>
  <c r="DV26" i="1" s="1"/>
  <c r="F22" i="1"/>
  <c r="DV22" i="1" s="1"/>
  <c r="F24" i="1"/>
  <c r="DV24" i="1" s="1"/>
  <c r="DU23" i="1"/>
  <c r="DV14" i="1"/>
  <c r="DV15" i="1"/>
  <c r="DV12" i="1"/>
  <c r="DU12" i="1"/>
  <c r="DV11" i="1"/>
  <c r="DV8" i="1"/>
  <c r="DV17" i="1"/>
  <c r="DV7" i="1"/>
  <c r="DU7" i="1"/>
  <c r="DU6" i="1"/>
  <c r="DU8" i="1"/>
  <c r="DU5" i="1"/>
  <c r="DU9" i="1"/>
  <c r="DV6" i="1"/>
  <c r="DU13" i="1"/>
  <c r="DV16" i="1"/>
  <c r="DV10" i="1"/>
  <c r="DU17" i="1"/>
  <c r="DU11" i="1"/>
  <c r="DV9" i="1"/>
  <c r="DU15" i="1"/>
  <c r="F58" i="1"/>
  <c r="F60" i="1"/>
  <c r="DV60" i="1" s="1"/>
  <c r="F62" i="1"/>
  <c r="DV62" i="1" s="1"/>
  <c r="F64" i="1"/>
  <c r="DV64" i="1" s="1"/>
  <c r="F66" i="1"/>
  <c r="DV66" i="1" s="1"/>
  <c r="F59" i="1"/>
  <c r="DV59" i="1" s="1"/>
  <c r="F61" i="1"/>
  <c r="DV61" i="1" s="1"/>
  <c r="F63" i="1"/>
  <c r="DV63" i="1" s="1"/>
  <c r="F65" i="1"/>
  <c r="DV65" i="1" s="1"/>
  <c r="F67" i="1"/>
  <c r="DV67" i="1" s="1"/>
  <c r="DV47" i="1"/>
  <c r="DV51" i="1"/>
  <c r="DU55" i="1"/>
  <c r="DU47" i="1"/>
  <c r="DU52" i="1"/>
  <c r="F52" i="1"/>
  <c r="DV52" i="1" s="1"/>
  <c r="F41" i="1"/>
  <c r="F43" i="1"/>
  <c r="DV43" i="1" s="1"/>
  <c r="DU48" i="1"/>
  <c r="F48" i="1"/>
  <c r="DV48" i="1" s="1"/>
  <c r="DU53" i="1"/>
  <c r="DU44" i="1"/>
  <c r="I42" i="1"/>
  <c r="I57" i="1" s="1"/>
  <c r="DU46" i="1"/>
  <c r="F46" i="1"/>
  <c r="DV46" i="1" s="1"/>
  <c r="DU54" i="1"/>
  <c r="F54" i="1"/>
  <c r="DV54" i="1" s="1"/>
  <c r="DU56" i="1"/>
  <c r="F56" i="1"/>
  <c r="DV56" i="1" s="1"/>
  <c r="DV44" i="1"/>
  <c r="DU50" i="1"/>
  <c r="F50" i="1"/>
  <c r="DV50" i="1" s="1"/>
  <c r="DV21" i="1"/>
  <c r="DV25" i="1"/>
  <c r="BH20" i="1"/>
  <c r="AA23" i="1"/>
  <c r="DV23" i="1" s="1"/>
  <c r="DU28" i="1"/>
  <c r="F28" i="1"/>
  <c r="DV28" i="1" s="1"/>
  <c r="DU21" i="1"/>
  <c r="DU25" i="1"/>
  <c r="F19" i="1"/>
  <c r="DU26" i="1"/>
  <c r="DU38" i="1"/>
  <c r="F38" i="1"/>
  <c r="DV38" i="1" s="1"/>
  <c r="F27" i="1"/>
  <c r="DV27" i="1" s="1"/>
  <c r="DU30" i="1"/>
  <c r="F30" i="1"/>
  <c r="DV30" i="1" s="1"/>
  <c r="DU35" i="1"/>
  <c r="F35" i="1"/>
  <c r="DV35" i="1" s="1"/>
  <c r="DU36" i="1"/>
  <c r="F36" i="1"/>
  <c r="DV36" i="1" s="1"/>
  <c r="DU32" i="1"/>
  <c r="F32" i="1"/>
  <c r="DV32" i="1" s="1"/>
  <c r="DU33" i="1"/>
  <c r="F33" i="1"/>
  <c r="DV33" i="1" s="1"/>
  <c r="DU34" i="1"/>
  <c r="F34" i="1"/>
  <c r="DV34" i="1" s="1"/>
  <c r="F37" i="1"/>
  <c r="DV37" i="1" s="1"/>
  <c r="F39" i="1"/>
  <c r="DV39" i="1" s="1"/>
  <c r="DV139" i="1" l="1"/>
  <c r="F140" i="1"/>
  <c r="DV89" i="1"/>
  <c r="DV140" i="1" s="1"/>
  <c r="DV128" i="1"/>
  <c r="AP69" i="1"/>
  <c r="X69" i="1"/>
  <c r="I69" i="1"/>
  <c r="CI69" i="1"/>
  <c r="AR69" i="1"/>
  <c r="DV49" i="1"/>
  <c r="BW69" i="1"/>
  <c r="DO69" i="1"/>
  <c r="AD69" i="1"/>
  <c r="AG69" i="1"/>
  <c r="AO69" i="1"/>
  <c r="DM69" i="1"/>
  <c r="BJ69" i="1"/>
  <c r="BZ69" i="1"/>
  <c r="CT69" i="1"/>
  <c r="DA69" i="1"/>
  <c r="DD69" i="1"/>
  <c r="BE69" i="1"/>
  <c r="O69" i="1"/>
  <c r="L69" i="1"/>
  <c r="R69" i="1"/>
  <c r="AF69" i="1"/>
  <c r="AL69" i="1"/>
  <c r="AS69" i="1"/>
  <c r="AV69" i="1"/>
  <c r="BA69" i="1"/>
  <c r="BP69" i="1"/>
  <c r="BQ69" i="1"/>
  <c r="BV69" i="1"/>
  <c r="CB69" i="1"/>
  <c r="DF69" i="1"/>
  <c r="DJ69" i="1"/>
  <c r="DI69" i="1"/>
  <c r="DP69" i="1"/>
  <c r="DL69" i="1"/>
  <c r="DG69" i="1"/>
  <c r="DC69" i="1"/>
  <c r="CZ69" i="1"/>
  <c r="CW69" i="1"/>
  <c r="CX69" i="1"/>
  <c r="CU69" i="1"/>
  <c r="CQ69" i="1"/>
  <c r="CN69" i="1"/>
  <c r="CO69" i="1"/>
  <c r="CK69" i="1"/>
  <c r="CL69" i="1"/>
  <c r="CH69" i="1"/>
  <c r="CE69" i="1"/>
  <c r="CC69" i="1"/>
  <c r="BY69" i="1"/>
  <c r="DV19" i="1"/>
  <c r="BS69" i="1"/>
  <c r="BT69" i="1"/>
  <c r="BN69" i="1"/>
  <c r="BM69" i="1"/>
  <c r="BK69" i="1"/>
  <c r="BG69" i="1"/>
  <c r="BD69" i="1"/>
  <c r="BB69" i="1"/>
  <c r="AX69" i="1"/>
  <c r="AY69" i="1"/>
  <c r="AU69" i="1"/>
  <c r="DV20" i="1"/>
  <c r="AM69" i="1"/>
  <c r="Z69" i="1"/>
  <c r="AA40" i="1"/>
  <c r="AA69" i="1" s="1"/>
  <c r="W69" i="1"/>
  <c r="U69" i="1"/>
  <c r="T69" i="1"/>
  <c r="Q69" i="1"/>
  <c r="N69" i="1"/>
  <c r="AI69" i="1"/>
  <c r="AJ69" i="1"/>
  <c r="DT69" i="1"/>
  <c r="DU68" i="1"/>
  <c r="BH40" i="1"/>
  <c r="BH69" i="1" s="1"/>
  <c r="DU40" i="1"/>
  <c r="DV42" i="1"/>
  <c r="DU57" i="1"/>
  <c r="DV41" i="1"/>
  <c r="DU18" i="1"/>
  <c r="DV5" i="1"/>
  <c r="DV18" i="1" s="1"/>
  <c r="F18" i="1"/>
  <c r="DV58" i="1"/>
  <c r="DV68" i="1" s="1"/>
  <c r="F68" i="1"/>
  <c r="F57" i="1"/>
  <c r="F40" i="1"/>
  <c r="DV40" i="1" l="1"/>
  <c r="DV57" i="1"/>
  <c r="DU69" i="1"/>
  <c r="D57" i="1"/>
  <c r="D40" i="1"/>
  <c r="D18" i="1"/>
  <c r="DV69" i="1" l="1"/>
  <c r="D69" i="1"/>
  <c r="E69" i="1"/>
  <c r="F69" i="1" l="1"/>
</calcChain>
</file>

<file path=xl/sharedStrings.xml><?xml version="1.0" encoding="utf-8"?>
<sst xmlns="http://schemas.openxmlformats.org/spreadsheetml/2006/main" count="472" uniqueCount="85">
  <si>
    <t>Region</t>
  </si>
  <si>
    <t>Township</t>
  </si>
  <si>
    <t>Date</t>
  </si>
  <si>
    <t>CJ-5
(1*14)</t>
  </si>
  <si>
    <t>CJ-5
(1*24)</t>
  </si>
  <si>
    <t xml:space="preserve">Moe Nae </t>
  </si>
  <si>
    <t>Pineapple
(1*14)</t>
  </si>
  <si>
    <t>Lime 
(1*14)</t>
  </si>
  <si>
    <t>Rum
(1*14)</t>
  </si>
  <si>
    <t>DL
(1x14)</t>
  </si>
  <si>
    <t>Vodka
(1×12)</t>
  </si>
  <si>
    <t>Tamarind
(1*14)</t>
  </si>
  <si>
    <t>Formula Rum 
700ml</t>
  </si>
  <si>
    <t>Formula Rum 
350ml</t>
  </si>
  <si>
    <t>Tamarind 
 1000ml</t>
  </si>
  <si>
    <t>Tamarind 
 600ml</t>
  </si>
  <si>
    <t>Tamarind
350ml</t>
  </si>
  <si>
    <t>Rum/red
(40%) 
1000 ml</t>
  </si>
  <si>
    <t>Rum/red
(40%) 
600 ml</t>
  </si>
  <si>
    <t>Rum/red
(40%) 
350 ml</t>
  </si>
  <si>
    <t>Rum
30%
1000 ml</t>
  </si>
  <si>
    <t>Rum
30%
600 ml</t>
  </si>
  <si>
    <t>KK
40%
1000 ml</t>
  </si>
  <si>
    <t>KK
40%
600 ml</t>
  </si>
  <si>
    <t>KK
40%
350 ml</t>
  </si>
  <si>
    <t>KK
25%
1000 ml</t>
  </si>
  <si>
    <t>KK
25%
600 ml</t>
  </si>
  <si>
    <t>KK
25%
350 ml</t>
  </si>
  <si>
    <t>Burma
Gin
(1*20)</t>
  </si>
  <si>
    <t>CJ Super Vodka 
(1*14)</t>
  </si>
  <si>
    <t>Zay Super Vodka
(1*14)</t>
  </si>
  <si>
    <t>Super
Vodka 
1000ml</t>
  </si>
  <si>
    <t>Super
Vodka 
ဆတိုး
640ml</t>
  </si>
  <si>
    <t>East  Region</t>
  </si>
  <si>
    <t xml:space="preserve">South Dagon </t>
  </si>
  <si>
    <t>Van 2</t>
  </si>
  <si>
    <t>Thakata</t>
  </si>
  <si>
    <t>Modern Trade</t>
  </si>
  <si>
    <t>North Okkalapa</t>
  </si>
  <si>
    <t>Van 1</t>
  </si>
  <si>
    <t>North Dagon</t>
  </si>
  <si>
    <t xml:space="preserve">WS </t>
  </si>
  <si>
    <t xml:space="preserve"> Semi </t>
  </si>
  <si>
    <t xml:space="preserve">West Region </t>
  </si>
  <si>
    <t>South Okkalapa</t>
  </si>
  <si>
    <t>Van 3</t>
  </si>
  <si>
    <t>Thingangyun</t>
  </si>
  <si>
    <t>Yankin</t>
  </si>
  <si>
    <t>Mayankone</t>
  </si>
  <si>
    <t>Van 4</t>
  </si>
  <si>
    <t>Bahan/Palazar</t>
  </si>
  <si>
    <t>Down Town</t>
  </si>
  <si>
    <t>Insein</t>
  </si>
  <si>
    <t xml:space="preserve">South Region </t>
  </si>
  <si>
    <t>Thanlyin</t>
  </si>
  <si>
    <t>Van-5</t>
  </si>
  <si>
    <t>Hlaing Tharyar</t>
  </si>
  <si>
    <t>Van-6</t>
  </si>
  <si>
    <t>Sat Gyi</t>
  </si>
  <si>
    <t>Van-9</t>
  </si>
  <si>
    <t>Kawmu</t>
  </si>
  <si>
    <t>Dala/Twantay</t>
  </si>
  <si>
    <t>Hlegu /Phaung Gyi
Mimgalar Don</t>
  </si>
  <si>
    <t>Van-7</t>
  </si>
  <si>
    <t>Shwe Pyi Thar</t>
  </si>
  <si>
    <t>Van 8</t>
  </si>
  <si>
    <t>Mimgalar Don</t>
  </si>
  <si>
    <t>Hmawbi/ Taik Kyi</t>
  </si>
  <si>
    <t>Zay Vodka
(1×14)</t>
  </si>
  <si>
    <t>Zay  Vodka
(1×24)</t>
  </si>
  <si>
    <t>Zay Vodka
(1x12)</t>
  </si>
  <si>
    <t>Zay Vodka
 1000 ml</t>
  </si>
  <si>
    <t>Zay Vodka
 600ml</t>
  </si>
  <si>
    <t>Zay Vodka
 350ml</t>
  </si>
  <si>
    <t>ရွေမန်း
Rum
1000ml</t>
  </si>
  <si>
    <t>Hlegu /Phaung Gyi
Mingalar Don</t>
  </si>
  <si>
    <t>အလုံးရေ
(Pcs)</t>
  </si>
  <si>
    <t>Van-9 (Blank)</t>
  </si>
  <si>
    <t>ရွေမန်း
Rum
.680ml</t>
  </si>
  <si>
    <t xml:space="preserve">Rum/red
43% 
680ml
</t>
  </si>
  <si>
    <t>Liter</t>
  </si>
  <si>
    <t>Bottle</t>
  </si>
  <si>
    <t>PK</t>
  </si>
  <si>
    <t xml:space="preserve"> Jan YGN Van Wise Summary (2026)</t>
  </si>
  <si>
    <t xml:space="preserve"> Feb YGN Van Wise Summary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</si>
</sst>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Pyidaungsu"/>
      <family val="2"/>
    </font>
    <font>
      <sz val="11"/>
      <color theme="1"/>
      <name val="Pyidaungsu"/>
      <family val="2"/>
    </font>
    <font>
      <sz val="11"/>
      <color rgb="FF9C0006"/>
      <name val="Pyidaungsu"/>
      <family val="2"/>
    </font>
    <font>
      <sz val="11"/>
      <name val="Pyidaungsu"/>
      <family val="2"/>
    </font>
    <font>
      <sz val="10"/>
      <color theme="1"/>
      <name val="Pyidaungsu"/>
      <family val="2"/>
    </font>
    <font>
      <b/>
      <sz val="10"/>
      <color theme="1"/>
      <name val="Pyidaungsu"/>
      <family val="2"/>
    </font>
    <font>
      <sz val="10"/>
      <color rgb="FFFF0000"/>
      <name val="Pyidaungsu"/>
      <family val="2"/>
    </font>
    <font>
      <b/>
      <sz val="10"/>
      <color rgb="FFFF0000"/>
      <name val="Pyidaungsu"/>
      <family val="2"/>
    </font>
    <font>
      <b/>
      <sz val="13"/>
      <color theme="1"/>
      <name val="Pyidaungsu"/>
      <family val="2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8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 wrapText="1"/>
    </xf>
    <xf numFmtId="0" fontId="4" fillId="0" borderId="0" xfId="0" applyFont="1"/>
    <xf numFmtId="0" fontId="7" fillId="4" borderId="3" xfId="0" applyFont="1" applyFill="1" applyBorder="1" applyAlignment="1">
      <alignment horizontal="left" vertical="center"/>
    </xf>
    <xf numFmtId="0" fontId="4" fillId="4" borderId="0" xfId="0" applyFont="1" applyFill="1"/>
    <xf numFmtId="0" fontId="7" fillId="4" borderId="7" xfId="0" applyFont="1" applyFill="1" applyBorder="1" applyAlignment="1">
      <alignment horizontal="left" vertical="center"/>
    </xf>
    <xf numFmtId="0" fontId="9" fillId="4" borderId="7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14" fontId="7" fillId="4" borderId="1" xfId="0" applyNumberFormat="1" applyFont="1" applyFill="1" applyBorder="1" applyAlignment="1">
      <alignment horizontal="center" vertical="center"/>
    </xf>
    <xf numFmtId="14" fontId="7" fillId="4" borderId="12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center" vertical="center"/>
    </xf>
    <xf numFmtId="0" fontId="4" fillId="4" borderId="15" xfId="0" applyFont="1" applyFill="1" applyBorder="1"/>
    <xf numFmtId="0" fontId="7" fillId="4" borderId="6" xfId="0" applyFont="1" applyFill="1" applyBorder="1" applyAlignment="1">
      <alignment horizontal="left" vertical="center" wrapText="1"/>
    </xf>
    <xf numFmtId="0" fontId="4" fillId="0" borderId="6" xfId="0" applyFont="1" applyBorder="1"/>
    <xf numFmtId="0" fontId="7" fillId="0" borderId="6" xfId="0" applyFont="1" applyBorder="1"/>
    <xf numFmtId="14" fontId="7" fillId="0" borderId="6" xfId="0" applyNumberFormat="1" applyFont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4" fillId="7" borderId="0" xfId="0" applyFont="1" applyFill="1"/>
    <xf numFmtId="0" fontId="4" fillId="7" borderId="1" xfId="0" applyFont="1" applyFill="1" applyBorder="1"/>
    <xf numFmtId="164" fontId="3" fillId="4" borderId="17" xfId="1" applyNumberFormat="1" applyFont="1" applyFill="1" applyBorder="1" applyAlignment="1">
      <alignment horizontal="center" vertical="center" wrapText="1"/>
    </xf>
    <xf numFmtId="14" fontId="7" fillId="4" borderId="6" xfId="0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left" vertical="center"/>
    </xf>
    <xf numFmtId="14" fontId="10" fillId="4" borderId="9" xfId="0" applyNumberFormat="1" applyFont="1" applyFill="1" applyBorder="1" applyAlignment="1">
      <alignment horizontal="center" vertical="center"/>
    </xf>
    <xf numFmtId="0" fontId="10" fillId="4" borderId="8" xfId="0" applyFont="1" applyFill="1" applyBorder="1"/>
    <xf numFmtId="0" fontId="6" fillId="5" borderId="1" xfId="2" applyFont="1" applyFill="1" applyBorder="1" applyAlignment="1">
      <alignment horizontal="center" vertical="center" wrapText="1"/>
    </xf>
    <xf numFmtId="0" fontId="5" fillId="5" borderId="1" xfId="2" applyFont="1" applyFill="1" applyBorder="1" applyAlignment="1">
      <alignment horizontal="center" vertical="center" wrapText="1"/>
    </xf>
    <xf numFmtId="0" fontId="4" fillId="5" borderId="1" xfId="3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" fontId="4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3" fillId="6" borderId="17" xfId="1" applyNumberFormat="1" applyFont="1" applyFill="1" applyBorder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3" fillId="7" borderId="17" xfId="1" applyNumberFormat="1" applyFont="1" applyFill="1" applyBorder="1" applyAlignment="1">
      <alignment vertical="center"/>
    </xf>
    <xf numFmtId="164" fontId="8" fillId="4" borderId="1" xfId="1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/>
    </xf>
    <xf numFmtId="164" fontId="7" fillId="5" borderId="1" xfId="1" applyNumberFormat="1" applyFont="1" applyFill="1" applyBorder="1" applyAlignment="1">
      <alignment horizontal="center" vertical="center"/>
    </xf>
    <xf numFmtId="164" fontId="7" fillId="4" borderId="5" xfId="1" applyNumberFormat="1" applyFont="1" applyFill="1" applyBorder="1" applyAlignment="1">
      <alignment horizontal="center" vertical="center"/>
    </xf>
    <xf numFmtId="164" fontId="10" fillId="4" borderId="9" xfId="1" applyNumberFormat="1" applyFont="1" applyFill="1" applyBorder="1" applyAlignment="1">
      <alignment horizontal="center" vertical="center"/>
    </xf>
    <xf numFmtId="164" fontId="10" fillId="5" borderId="9" xfId="1" applyNumberFormat="1" applyFont="1" applyFill="1" applyBorder="1" applyAlignment="1">
      <alignment horizontal="center" vertical="center"/>
    </xf>
    <xf numFmtId="164" fontId="8" fillId="0" borderId="6" xfId="1" applyNumberFormat="1" applyFont="1" applyBorder="1" applyAlignment="1">
      <alignment horizontal="center" vertical="center"/>
    </xf>
    <xf numFmtId="164" fontId="8" fillId="5" borderId="6" xfId="1" applyNumberFormat="1" applyFont="1" applyFill="1" applyBorder="1" applyAlignment="1">
      <alignment horizontal="center" vertical="center"/>
    </xf>
    <xf numFmtId="0" fontId="3" fillId="0" borderId="0" xfId="0" applyFont="1"/>
    <xf numFmtId="0" fontId="3" fillId="6" borderId="1" xfId="0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/>
    <xf numFmtId="17" fontId="11" fillId="0" borderId="16" xfId="0" applyNumberFormat="1" applyFont="1" applyBorder="1" applyAlignment="1">
      <alignment horizontal="left"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14" fontId="7" fillId="4" borderId="5" xfId="0" applyNumberFormat="1" applyFont="1" applyFill="1" applyBorder="1" applyAlignment="1">
      <alignment horizontal="center" vertical="center"/>
    </xf>
    <xf numFmtId="14" fontId="7" fillId="4" borderId="12" xfId="0" applyNumberFormat="1" applyFont="1" applyFill="1" applyBorder="1" applyAlignment="1">
      <alignment horizontal="center" vertical="center"/>
    </xf>
    <xf numFmtId="14" fontId="7" fillId="4" borderId="6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164" fontId="7" fillId="5" borderId="5" xfId="1" applyNumberFormat="1" applyFont="1" applyFill="1" applyBorder="1" applyAlignment="1">
      <alignment horizontal="center" vertical="center"/>
    </xf>
    <xf numFmtId="164" fontId="8" fillId="4" borderId="5" xfId="1" applyNumberFormat="1" applyFont="1" applyFill="1" applyBorder="1" applyAlignment="1">
      <alignment vertical="center"/>
    </xf>
    <xf numFmtId="164" fontId="10" fillId="4" borderId="18" xfId="1" applyNumberFormat="1" applyFont="1" applyFill="1" applyBorder="1" applyAlignment="1">
      <alignment horizontal="center" vertical="center"/>
    </xf>
    <xf numFmtId="164" fontId="10" fillId="4" borderId="8" xfId="1" applyNumberFormat="1" applyFont="1" applyFill="1" applyBorder="1" applyAlignment="1">
      <alignment horizontal="center" vertical="center"/>
    </xf>
    <xf numFmtId="164" fontId="10" fillId="5" borderId="19" xfId="1" applyNumberFormat="1" applyFont="1" applyFill="1" applyBorder="1" applyAlignment="1">
      <alignment horizontal="center" vertical="center"/>
    </xf>
    <xf numFmtId="164" fontId="10" fillId="4" borderId="20" xfId="1" applyNumberFormat="1" applyFont="1" applyFill="1" applyBorder="1" applyAlignment="1">
      <alignment horizontal="center" vertical="center"/>
    </xf>
    <xf numFmtId="164" fontId="10" fillId="5" borderId="18" xfId="1" applyNumberFormat="1" applyFont="1" applyFill="1" applyBorder="1" applyAlignment="1">
      <alignment horizontal="center" vertical="center"/>
    </xf>
    <xf numFmtId="164" fontId="8" fillId="4" borderId="8" xfId="1" applyNumberFormat="1" applyFont="1" applyFill="1" applyBorder="1" applyAlignment="1">
      <alignment vertical="center"/>
    </xf>
    <xf numFmtId="164" fontId="8" fillId="4" borderId="9" xfId="1" applyNumberFormat="1" applyFont="1" applyFill="1" applyBorder="1" applyAlignment="1">
      <alignment vertical="center"/>
    </xf>
    <xf numFmtId="164" fontId="8" fillId="4" borderId="19" xfId="1" applyNumberFormat="1" applyFont="1" applyFill="1" applyBorder="1" applyAlignment="1">
      <alignment vertical="center"/>
    </xf>
    <xf numFmtId="164" fontId="7" fillId="4" borderId="6" xfId="1" applyNumberFormat="1" applyFont="1" applyFill="1" applyBorder="1" applyAlignment="1">
      <alignment horizontal="center" vertical="center"/>
    </xf>
    <xf numFmtId="164" fontId="7" fillId="5" borderId="6" xfId="1" applyNumberFormat="1" applyFont="1" applyFill="1" applyBorder="1" applyAlignment="1">
      <alignment horizontal="center" vertical="center"/>
    </xf>
    <xf numFmtId="164" fontId="8" fillId="4" borderId="6" xfId="1" applyNumberFormat="1" applyFont="1" applyFill="1" applyBorder="1" applyAlignment="1">
      <alignment vertical="center"/>
    </xf>
    <xf numFmtId="0" fontId="4" fillId="0" borderId="21" xfId="0" applyFont="1" applyBorder="1"/>
    <xf numFmtId="0" fontId="11" fillId="0" borderId="0" xfId="0" applyFont="1"/>
  </cellXfs>
  <cellStyles count="4">
    <cellStyle name="40% - Accent4" xfId="3" builtinId="43"/>
    <cellStyle name="Bad" xfId="2" builtinId="27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5F89-DC63-47DB-A857-3DFB8EC97179}">
  <dimension ref="A1:DV140"/>
  <sheetViews>
    <sheetView tabSelected="1" zoomScale="110" zoomScaleNormal="110" workbookViewId="0">
      <selection activeCell="S154" sqref="S154"/>
    </sheetView>
  </sheetViews>
  <sheetFormatPr defaultRowHeight="21" x14ac:dyDescent="0.6"/>
  <cols>
    <col min="1" max="1" width="7.28515625" style="6" bestFit="1" customWidth="1"/>
    <col min="2" max="2" width="16.42578125" style="6" bestFit="1" customWidth="1"/>
    <col min="3" max="3" width="12.5703125" style="6" bestFit="1" customWidth="1"/>
    <col min="4" max="4" width="7.28515625" style="6" bestFit="1" customWidth="1"/>
    <col min="5" max="5" width="6.42578125" style="6" hidden="1" customWidth="1"/>
    <col min="6" max="6" width="5" style="6" hidden="1" customWidth="1"/>
    <col min="7" max="7" width="6.5703125" style="6" bestFit="1" customWidth="1"/>
    <col min="8" max="8" width="6.42578125" style="6" hidden="1" customWidth="1"/>
    <col min="9" max="9" width="5" style="6" hidden="1" customWidth="1"/>
    <col min="10" max="10" width="6.5703125" style="6" bestFit="1" customWidth="1"/>
    <col min="11" max="11" width="6.42578125" style="6" hidden="1" customWidth="1"/>
    <col min="12" max="12" width="5" style="6" hidden="1" customWidth="1"/>
    <col min="13" max="13" width="6.28515625" style="6" bestFit="1" customWidth="1"/>
    <col min="14" max="14" width="6.42578125" style="6" hidden="1" customWidth="1"/>
    <col min="15" max="15" width="5" style="6" hidden="1" customWidth="1"/>
    <col min="16" max="16" width="6.28515625" style="6" bestFit="1" customWidth="1"/>
    <col min="17" max="17" width="6.42578125" style="6" hidden="1" customWidth="1"/>
    <col min="18" max="18" width="5" style="6" hidden="1" customWidth="1"/>
    <col min="19" max="19" width="5.28515625" style="6" bestFit="1" customWidth="1"/>
    <col min="20" max="20" width="6.42578125" style="6" hidden="1" customWidth="1"/>
    <col min="21" max="21" width="5" style="6" hidden="1" customWidth="1"/>
    <col min="22" max="22" width="7.28515625" style="6" customWidth="1"/>
    <col min="23" max="23" width="6.42578125" style="6" hidden="1" customWidth="1"/>
    <col min="24" max="24" width="5" style="6" hidden="1" customWidth="1"/>
    <col min="25" max="25" width="6.28515625" style="6" bestFit="1" customWidth="1"/>
    <col min="26" max="26" width="6.42578125" style="6" hidden="1" customWidth="1"/>
    <col min="27" max="27" width="5" style="6" hidden="1" customWidth="1"/>
    <col min="28" max="28" width="6.28515625" style="6" bestFit="1" customWidth="1"/>
    <col min="29" max="29" width="6.42578125" style="6" hidden="1" customWidth="1"/>
    <col min="30" max="30" width="5" style="6" hidden="1" customWidth="1"/>
    <col min="31" max="31" width="6.42578125" style="6" bestFit="1" customWidth="1"/>
    <col min="32" max="32" width="6.42578125" style="6" hidden="1" customWidth="1"/>
    <col min="33" max="33" width="5" style="6" hidden="1" customWidth="1"/>
    <col min="34" max="34" width="6.5703125" style="6" bestFit="1" customWidth="1"/>
    <col min="35" max="35" width="6.42578125" style="6" hidden="1" customWidth="1"/>
    <col min="36" max="36" width="5" style="6" hidden="1" customWidth="1"/>
    <col min="37" max="37" width="7" style="6" bestFit="1" customWidth="1"/>
    <col min="38" max="38" width="6.42578125" style="6" hidden="1" customWidth="1"/>
    <col min="39" max="39" width="5" style="6" hidden="1" customWidth="1"/>
    <col min="40" max="40" width="7.28515625" style="6" customWidth="1"/>
    <col min="41" max="41" width="6.42578125" style="6" hidden="1" customWidth="1"/>
    <col min="42" max="42" width="5" style="6" hidden="1" customWidth="1"/>
    <col min="43" max="43" width="7.28515625" style="6" customWidth="1"/>
    <col min="44" max="44" width="6.42578125" style="6" hidden="1" customWidth="1"/>
    <col min="45" max="45" width="5" style="6" hidden="1" customWidth="1"/>
    <col min="46" max="46" width="8.85546875" style="6" bestFit="1" customWidth="1"/>
    <col min="47" max="47" width="6.42578125" style="6" hidden="1" customWidth="1"/>
    <col min="48" max="48" width="5" style="6" hidden="1" customWidth="1"/>
    <col min="49" max="49" width="8.28515625" style="6" bestFit="1" customWidth="1"/>
    <col min="50" max="50" width="6.42578125" style="6" hidden="1" customWidth="1"/>
    <col min="51" max="51" width="5" style="6" hidden="1" customWidth="1"/>
    <col min="52" max="52" width="6.85546875" style="6" bestFit="1" customWidth="1"/>
    <col min="53" max="53" width="6.42578125" style="6" hidden="1" customWidth="1"/>
    <col min="54" max="54" width="5" style="6" hidden="1" customWidth="1"/>
    <col min="55" max="55" width="6.85546875" style="6" bestFit="1" customWidth="1"/>
    <col min="56" max="56" width="6.42578125" style="6" hidden="1" customWidth="1"/>
    <col min="57" max="57" width="5" style="6" hidden="1" customWidth="1"/>
    <col min="58" max="58" width="7.28515625" style="6" customWidth="1"/>
    <col min="59" max="59" width="6.42578125" style="6" hidden="1" customWidth="1"/>
    <col min="60" max="60" width="5" style="6" hidden="1" customWidth="1"/>
    <col min="61" max="61" width="7" style="6" bestFit="1" customWidth="1"/>
    <col min="62" max="62" width="6.42578125" style="6" hidden="1" customWidth="1"/>
    <col min="63" max="63" width="5" style="6" hidden="1" customWidth="1"/>
    <col min="64" max="64" width="7" style="6" bestFit="1" customWidth="1"/>
    <col min="65" max="65" width="6.42578125" style="6" hidden="1" customWidth="1"/>
    <col min="66" max="66" width="5" style="6" hidden="1" customWidth="1"/>
    <col min="67" max="67" width="7.85546875" style="6" bestFit="1" customWidth="1"/>
    <col min="68" max="68" width="6.42578125" style="6" hidden="1" customWidth="1"/>
    <col min="69" max="69" width="5" style="6" hidden="1" customWidth="1"/>
    <col min="70" max="70" width="7" style="6" bestFit="1" customWidth="1"/>
    <col min="71" max="71" width="6.42578125" style="6" hidden="1" customWidth="1"/>
    <col min="72" max="72" width="5" style="6" hidden="1" customWidth="1"/>
    <col min="73" max="73" width="7" style="6" bestFit="1" customWidth="1"/>
    <col min="74" max="74" width="6.42578125" style="6" hidden="1" customWidth="1"/>
    <col min="75" max="75" width="5" style="6" hidden="1" customWidth="1"/>
    <col min="76" max="76" width="5.5703125" style="6" bestFit="1" customWidth="1"/>
    <col min="77" max="77" width="6.42578125" style="6" hidden="1" customWidth="1"/>
    <col min="78" max="78" width="5" style="6" hidden="1" customWidth="1"/>
    <col min="79" max="79" width="6.85546875" style="6" bestFit="1" customWidth="1"/>
    <col min="80" max="80" width="6.42578125" style="6" hidden="1" customWidth="1"/>
    <col min="81" max="81" width="5" style="6" hidden="1" customWidth="1"/>
    <col min="82" max="82" width="5.5703125" style="6" bestFit="1" customWidth="1"/>
    <col min="83" max="83" width="6.42578125" style="6" hidden="1" customWidth="1"/>
    <col min="84" max="84" width="5" style="6" hidden="1" customWidth="1"/>
    <col min="85" max="85" width="6.85546875" style="6" bestFit="1" customWidth="1"/>
    <col min="86" max="86" width="6.42578125" style="6" hidden="1" customWidth="1"/>
    <col min="87" max="87" width="5" style="6" hidden="1" customWidth="1"/>
    <col min="88" max="88" width="6.85546875" style="6" bestFit="1" customWidth="1"/>
    <col min="89" max="89" width="6.42578125" style="6" hidden="1" customWidth="1"/>
    <col min="90" max="90" width="5" style="6" hidden="1" customWidth="1"/>
    <col min="91" max="91" width="5.5703125" style="6" bestFit="1" customWidth="1"/>
    <col min="92" max="92" width="6.42578125" style="6" hidden="1" customWidth="1"/>
    <col min="93" max="93" width="5" style="6" hidden="1" customWidth="1"/>
    <col min="94" max="94" width="6.85546875" style="6" bestFit="1" customWidth="1"/>
    <col min="95" max="95" width="6.42578125" style="6" hidden="1" customWidth="1"/>
    <col min="96" max="96" width="5" style="6" hidden="1" customWidth="1"/>
    <col min="97" max="97" width="6.85546875" style="6" bestFit="1" customWidth="1"/>
    <col min="98" max="98" width="6.42578125" style="6" hidden="1" customWidth="1"/>
    <col min="99" max="99" width="5" style="6" hidden="1" customWidth="1"/>
    <col min="100" max="100" width="7" style="6" bestFit="1" customWidth="1"/>
    <col min="101" max="101" width="6.42578125" style="6" hidden="1" customWidth="1"/>
    <col min="102" max="102" width="5" style="6" hidden="1" customWidth="1"/>
    <col min="103" max="103" width="7.140625" style="6" bestFit="1" customWidth="1"/>
    <col min="104" max="104" width="6.42578125" style="6" hidden="1" customWidth="1"/>
    <col min="105" max="105" width="5" style="6" hidden="1" customWidth="1"/>
    <col min="106" max="106" width="6.85546875" style="6" bestFit="1" customWidth="1"/>
    <col min="107" max="107" width="6.42578125" style="6" hidden="1" customWidth="1"/>
    <col min="108" max="108" width="5" style="6" hidden="1" customWidth="1"/>
    <col min="109" max="109" width="7.28515625" style="6" customWidth="1"/>
    <col min="110" max="110" width="6.42578125" style="6" hidden="1" customWidth="1"/>
    <col min="111" max="111" width="5" style="6" hidden="1" customWidth="1"/>
    <col min="112" max="112" width="7.140625" style="6" bestFit="1" customWidth="1"/>
    <col min="113" max="113" width="6.42578125" style="6" hidden="1" customWidth="1"/>
    <col min="114" max="114" width="5" style="6" hidden="1" customWidth="1"/>
    <col min="115" max="115" width="6.85546875" style="6" bestFit="1" customWidth="1"/>
    <col min="116" max="116" width="6.42578125" style="6" hidden="1" customWidth="1"/>
    <col min="117" max="117" width="5" style="6" hidden="1" customWidth="1"/>
    <col min="118" max="118" width="7.28515625" style="6" customWidth="1"/>
    <col min="119" max="119" width="6.42578125" style="6" hidden="1" customWidth="1"/>
    <col min="120" max="120" width="5" style="6" hidden="1" customWidth="1"/>
    <col min="121" max="123" width="4.85546875" style="6" hidden="1" customWidth="1"/>
    <col min="124" max="124" width="8.140625" style="6" bestFit="1" customWidth="1"/>
    <col min="125" max="126" width="9.5703125" style="6" bestFit="1" customWidth="1"/>
    <col min="127" max="16384" width="9.140625" style="6"/>
  </cols>
  <sheetData>
    <row r="1" spans="1:126" ht="24.75" x14ac:dyDescent="0.6">
      <c r="B1" s="61" t="s">
        <v>83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1"/>
      <c r="DB1" s="61"/>
      <c r="DC1" s="61"/>
      <c r="DD1" s="61"/>
      <c r="DE1" s="61"/>
      <c r="DF1" s="61"/>
      <c r="DG1" s="61"/>
      <c r="DH1" s="61"/>
      <c r="DI1" s="61"/>
      <c r="DJ1" s="61"/>
      <c r="DK1" s="61"/>
      <c r="DL1" s="61"/>
      <c r="DM1" s="61"/>
      <c r="DN1" s="61"/>
      <c r="DO1" s="61"/>
      <c r="DP1" s="61"/>
      <c r="DQ1" s="61"/>
      <c r="DR1" s="61"/>
      <c r="DS1" s="61"/>
      <c r="DT1" s="61"/>
      <c r="DU1" s="61"/>
    </row>
    <row r="2" spans="1:126" ht="84" x14ac:dyDescent="0.6">
      <c r="A2" s="38" t="s">
        <v>0</v>
      </c>
      <c r="B2" s="1" t="s">
        <v>1</v>
      </c>
      <c r="C2" s="1" t="s">
        <v>2</v>
      </c>
      <c r="D2" s="2" t="s">
        <v>68</v>
      </c>
      <c r="E2" s="2" t="s">
        <v>81</v>
      </c>
      <c r="F2" s="36" t="s">
        <v>80</v>
      </c>
      <c r="G2" s="2" t="s">
        <v>69</v>
      </c>
      <c r="H2" s="2" t="s">
        <v>81</v>
      </c>
      <c r="I2" s="36" t="s">
        <v>80</v>
      </c>
      <c r="J2" s="2" t="s">
        <v>70</v>
      </c>
      <c r="K2" s="2" t="s">
        <v>81</v>
      </c>
      <c r="L2" s="36" t="s">
        <v>80</v>
      </c>
      <c r="M2" s="2" t="s">
        <v>3</v>
      </c>
      <c r="N2" s="2" t="s">
        <v>81</v>
      </c>
      <c r="O2" s="36" t="s">
        <v>80</v>
      </c>
      <c r="P2" s="2" t="s">
        <v>4</v>
      </c>
      <c r="Q2" s="2" t="s">
        <v>81</v>
      </c>
      <c r="R2" s="36" t="s">
        <v>80</v>
      </c>
      <c r="S2" s="2" t="s">
        <v>5</v>
      </c>
      <c r="T2" s="2" t="s">
        <v>81</v>
      </c>
      <c r="U2" s="36" t="s">
        <v>80</v>
      </c>
      <c r="V2" s="2" t="s">
        <v>6</v>
      </c>
      <c r="W2" s="2" t="s">
        <v>81</v>
      </c>
      <c r="X2" s="36" t="s">
        <v>80</v>
      </c>
      <c r="Y2" s="2" t="s">
        <v>7</v>
      </c>
      <c r="Z2" s="2" t="s">
        <v>81</v>
      </c>
      <c r="AA2" s="36" t="s">
        <v>80</v>
      </c>
      <c r="AB2" s="2" t="s">
        <v>8</v>
      </c>
      <c r="AC2" s="2" t="s">
        <v>81</v>
      </c>
      <c r="AD2" s="36" t="s">
        <v>80</v>
      </c>
      <c r="AE2" s="2" t="s">
        <v>9</v>
      </c>
      <c r="AF2" s="2" t="s">
        <v>81</v>
      </c>
      <c r="AG2" s="36" t="s">
        <v>80</v>
      </c>
      <c r="AH2" s="2" t="s">
        <v>10</v>
      </c>
      <c r="AI2" s="2" t="s">
        <v>81</v>
      </c>
      <c r="AJ2" s="36" t="s">
        <v>80</v>
      </c>
      <c r="AK2" s="2" t="s">
        <v>11</v>
      </c>
      <c r="AL2" s="2" t="s">
        <v>81</v>
      </c>
      <c r="AM2" s="36" t="s">
        <v>80</v>
      </c>
      <c r="AN2" s="2" t="s">
        <v>12</v>
      </c>
      <c r="AO2" s="2" t="s">
        <v>81</v>
      </c>
      <c r="AP2" s="36" t="s">
        <v>80</v>
      </c>
      <c r="AQ2" s="2" t="s">
        <v>13</v>
      </c>
      <c r="AR2" s="2" t="s">
        <v>81</v>
      </c>
      <c r="AS2" s="36" t="s">
        <v>80</v>
      </c>
      <c r="AT2" s="2" t="s">
        <v>79</v>
      </c>
      <c r="AU2" s="2" t="s">
        <v>81</v>
      </c>
      <c r="AV2" s="36" t="s">
        <v>80</v>
      </c>
      <c r="AW2" s="2" t="s">
        <v>71</v>
      </c>
      <c r="AX2" s="2" t="s">
        <v>81</v>
      </c>
      <c r="AY2" s="36" t="s">
        <v>80</v>
      </c>
      <c r="AZ2" s="2" t="s">
        <v>72</v>
      </c>
      <c r="BA2" s="2" t="s">
        <v>81</v>
      </c>
      <c r="BB2" s="36" t="s">
        <v>80</v>
      </c>
      <c r="BC2" s="2" t="s">
        <v>73</v>
      </c>
      <c r="BD2" s="2" t="s">
        <v>81</v>
      </c>
      <c r="BE2" s="36" t="s">
        <v>80</v>
      </c>
      <c r="BF2" s="2" t="s">
        <v>14</v>
      </c>
      <c r="BG2" s="2" t="s">
        <v>81</v>
      </c>
      <c r="BH2" s="36" t="s">
        <v>80</v>
      </c>
      <c r="BI2" s="2" t="s">
        <v>15</v>
      </c>
      <c r="BJ2" s="2" t="s">
        <v>81</v>
      </c>
      <c r="BK2" s="36" t="s">
        <v>80</v>
      </c>
      <c r="BL2" s="2" t="s">
        <v>16</v>
      </c>
      <c r="BM2" s="2" t="s">
        <v>81</v>
      </c>
      <c r="BN2" s="36" t="s">
        <v>80</v>
      </c>
      <c r="BO2" s="2" t="s">
        <v>17</v>
      </c>
      <c r="BP2" s="2" t="s">
        <v>81</v>
      </c>
      <c r="BQ2" s="36" t="s">
        <v>80</v>
      </c>
      <c r="BR2" s="2" t="s">
        <v>18</v>
      </c>
      <c r="BS2" s="2" t="s">
        <v>81</v>
      </c>
      <c r="BT2" s="36" t="s">
        <v>80</v>
      </c>
      <c r="BU2" s="2" t="s">
        <v>19</v>
      </c>
      <c r="BV2" s="2" t="s">
        <v>81</v>
      </c>
      <c r="BW2" s="36" t="s">
        <v>80</v>
      </c>
      <c r="BX2" s="22" t="s">
        <v>20</v>
      </c>
      <c r="BY2" s="2" t="s">
        <v>81</v>
      </c>
      <c r="BZ2" s="35" t="s">
        <v>80</v>
      </c>
      <c r="CA2" s="22" t="s">
        <v>21</v>
      </c>
      <c r="CB2" s="2" t="s">
        <v>81</v>
      </c>
      <c r="CC2" s="35" t="s">
        <v>80</v>
      </c>
      <c r="CD2" s="22" t="s">
        <v>22</v>
      </c>
      <c r="CE2" s="2" t="s">
        <v>81</v>
      </c>
      <c r="CF2" s="35" t="s">
        <v>80</v>
      </c>
      <c r="CG2" s="3" t="s">
        <v>23</v>
      </c>
      <c r="CH2" s="2" t="s">
        <v>81</v>
      </c>
      <c r="CI2" s="4" t="s">
        <v>80</v>
      </c>
      <c r="CJ2" s="3" t="s">
        <v>24</v>
      </c>
      <c r="CK2" s="2" t="s">
        <v>81</v>
      </c>
      <c r="CL2" s="4" t="s">
        <v>80</v>
      </c>
      <c r="CM2" s="47" t="s">
        <v>25</v>
      </c>
      <c r="CN2" s="2" t="s">
        <v>81</v>
      </c>
      <c r="CO2" s="4" t="s">
        <v>80</v>
      </c>
      <c r="CP2" s="47" t="s">
        <v>26</v>
      </c>
      <c r="CQ2" s="2" t="s">
        <v>81</v>
      </c>
      <c r="CR2" s="4" t="s">
        <v>80</v>
      </c>
      <c r="CS2" s="47" t="s">
        <v>27</v>
      </c>
      <c r="CT2" s="2" t="s">
        <v>81</v>
      </c>
      <c r="CU2" s="4" t="s">
        <v>80</v>
      </c>
      <c r="CV2" s="48" t="s">
        <v>28</v>
      </c>
      <c r="CW2" s="2" t="s">
        <v>81</v>
      </c>
      <c r="CX2" s="34" t="s">
        <v>80</v>
      </c>
      <c r="CY2" s="48" t="s">
        <v>29</v>
      </c>
      <c r="CZ2" s="2" t="s">
        <v>81</v>
      </c>
      <c r="DA2" s="34" t="s">
        <v>80</v>
      </c>
      <c r="DB2" s="48" t="s">
        <v>30</v>
      </c>
      <c r="DC2" s="2" t="s">
        <v>81</v>
      </c>
      <c r="DD2" s="34" t="s">
        <v>80</v>
      </c>
      <c r="DE2" s="5" t="s">
        <v>31</v>
      </c>
      <c r="DF2" s="2" t="s">
        <v>81</v>
      </c>
      <c r="DG2" s="33" t="s">
        <v>80</v>
      </c>
      <c r="DH2" s="3" t="s">
        <v>32</v>
      </c>
      <c r="DI2" s="2" t="s">
        <v>81</v>
      </c>
      <c r="DJ2" s="4" t="s">
        <v>80</v>
      </c>
      <c r="DK2" s="3" t="s">
        <v>78</v>
      </c>
      <c r="DL2" s="2" t="s">
        <v>81</v>
      </c>
      <c r="DM2" s="4" t="s">
        <v>80</v>
      </c>
      <c r="DN2" s="3" t="s">
        <v>74</v>
      </c>
      <c r="DO2" s="2" t="s">
        <v>81</v>
      </c>
      <c r="DP2" s="4" t="s">
        <v>80</v>
      </c>
      <c r="DQ2" s="3"/>
      <c r="DR2" s="3"/>
      <c r="DS2" s="3"/>
      <c r="DT2" s="2" t="s">
        <v>82</v>
      </c>
      <c r="DU2" s="26" t="s">
        <v>76</v>
      </c>
      <c r="DV2" s="38" t="s">
        <v>80</v>
      </c>
    </row>
    <row r="3" spans="1:126" s="56" customFormat="1" ht="21.95" hidden="1" customHeight="1" x14ac:dyDescent="0.6">
      <c r="B3" s="57"/>
      <c r="C3" s="58"/>
      <c r="D3" s="57"/>
      <c r="E3" s="57">
        <v>14</v>
      </c>
      <c r="F3" s="59">
        <v>0.64</v>
      </c>
      <c r="G3" s="57"/>
      <c r="H3" s="57">
        <v>24</v>
      </c>
      <c r="I3" s="59">
        <v>0.64</v>
      </c>
      <c r="J3" s="57"/>
      <c r="K3" s="57">
        <v>12</v>
      </c>
      <c r="L3" s="59">
        <v>0.64</v>
      </c>
      <c r="M3" s="57"/>
      <c r="N3" s="57">
        <v>14</v>
      </c>
      <c r="O3" s="59">
        <v>0.64</v>
      </c>
      <c r="P3" s="57"/>
      <c r="Q3" s="57">
        <v>24</v>
      </c>
      <c r="R3" s="59">
        <v>0.64</v>
      </c>
      <c r="S3" s="57"/>
      <c r="T3" s="57">
        <v>14</v>
      </c>
      <c r="U3" s="59">
        <v>0.64</v>
      </c>
      <c r="V3" s="57"/>
      <c r="W3" s="57">
        <v>14</v>
      </c>
      <c r="X3" s="59">
        <v>0.64</v>
      </c>
      <c r="Y3" s="57"/>
      <c r="Z3" s="57">
        <v>14</v>
      </c>
      <c r="AA3" s="59">
        <v>0.64</v>
      </c>
      <c r="AB3" s="57"/>
      <c r="AC3" s="57">
        <v>14</v>
      </c>
      <c r="AD3" s="59">
        <v>0.64</v>
      </c>
      <c r="AE3" s="57"/>
      <c r="AF3" s="57">
        <v>14</v>
      </c>
      <c r="AG3" s="59">
        <v>0.64</v>
      </c>
      <c r="AH3" s="57"/>
      <c r="AI3" s="57">
        <v>12</v>
      </c>
      <c r="AJ3" s="59">
        <v>0.7</v>
      </c>
      <c r="AK3" s="57"/>
      <c r="AL3" s="57">
        <v>14</v>
      </c>
      <c r="AM3" s="59">
        <v>0.64</v>
      </c>
      <c r="AN3" s="57"/>
      <c r="AO3" s="57">
        <v>12</v>
      </c>
      <c r="AP3" s="59">
        <v>0.7</v>
      </c>
      <c r="AQ3" s="57"/>
      <c r="AR3" s="57">
        <v>24</v>
      </c>
      <c r="AS3" s="59">
        <v>0.35</v>
      </c>
      <c r="AT3" s="57"/>
      <c r="AU3" s="57">
        <v>12</v>
      </c>
      <c r="AV3" s="59">
        <v>0.68</v>
      </c>
      <c r="AW3" s="57"/>
      <c r="AX3" s="57">
        <v>12</v>
      </c>
      <c r="AY3" s="59">
        <v>1</v>
      </c>
      <c r="AZ3" s="57"/>
      <c r="BA3" s="57">
        <v>12</v>
      </c>
      <c r="BB3" s="59">
        <v>0.6</v>
      </c>
      <c r="BC3" s="57"/>
      <c r="BD3" s="57">
        <v>40</v>
      </c>
      <c r="BE3" s="59">
        <v>0.35</v>
      </c>
      <c r="BF3" s="57"/>
      <c r="BG3" s="57">
        <v>12</v>
      </c>
      <c r="BH3" s="59">
        <v>1</v>
      </c>
      <c r="BI3" s="57"/>
      <c r="BJ3" s="57">
        <v>12</v>
      </c>
      <c r="BK3" s="59">
        <v>0.6</v>
      </c>
      <c r="BL3" s="57"/>
      <c r="BM3" s="57">
        <v>40</v>
      </c>
      <c r="BN3" s="59">
        <v>0.35</v>
      </c>
      <c r="BO3" s="57"/>
      <c r="BP3" s="57">
        <v>12</v>
      </c>
      <c r="BQ3" s="59">
        <v>1</v>
      </c>
      <c r="BR3" s="57"/>
      <c r="BS3" s="57">
        <v>12</v>
      </c>
      <c r="BT3" s="59">
        <v>0.6</v>
      </c>
      <c r="BU3" s="57"/>
      <c r="BV3" s="57">
        <v>40</v>
      </c>
      <c r="BW3" s="59">
        <v>0.35</v>
      </c>
      <c r="BX3" s="57">
        <v>12</v>
      </c>
      <c r="BY3" s="57">
        <v>12</v>
      </c>
      <c r="BZ3" s="59">
        <v>1</v>
      </c>
      <c r="CA3" s="57"/>
      <c r="CB3" s="57">
        <v>12</v>
      </c>
      <c r="CC3" s="59">
        <v>0.6</v>
      </c>
      <c r="CD3" s="57"/>
      <c r="CE3" s="57">
        <v>12</v>
      </c>
      <c r="CF3" s="59">
        <v>1</v>
      </c>
      <c r="CG3" s="57"/>
      <c r="CH3" s="57">
        <v>12</v>
      </c>
      <c r="CI3" s="59">
        <v>0.6</v>
      </c>
      <c r="CJ3" s="57"/>
      <c r="CK3" s="57">
        <v>40</v>
      </c>
      <c r="CL3" s="59">
        <v>0.35</v>
      </c>
      <c r="CM3" s="57"/>
      <c r="CN3" s="57">
        <v>12</v>
      </c>
      <c r="CO3" s="59">
        <v>1</v>
      </c>
      <c r="CP3" s="57"/>
      <c r="CQ3" s="57">
        <v>12</v>
      </c>
      <c r="CR3" s="59">
        <v>0.6</v>
      </c>
      <c r="CS3" s="57"/>
      <c r="CT3" s="57">
        <v>40</v>
      </c>
      <c r="CU3" s="59">
        <v>0.35</v>
      </c>
      <c r="CV3" s="57"/>
      <c r="CW3" s="57">
        <v>20</v>
      </c>
      <c r="CX3" s="59">
        <v>1</v>
      </c>
      <c r="CY3" s="57"/>
      <c r="CZ3" s="57">
        <v>14</v>
      </c>
      <c r="DA3" s="59">
        <v>0.64</v>
      </c>
      <c r="DB3" s="57"/>
      <c r="DC3" s="57">
        <v>14</v>
      </c>
      <c r="DD3" s="59">
        <v>0.64</v>
      </c>
      <c r="DE3" s="57"/>
      <c r="DF3" s="57">
        <v>12</v>
      </c>
      <c r="DG3" s="59">
        <v>1</v>
      </c>
      <c r="DH3" s="57"/>
      <c r="DI3" s="57">
        <v>14</v>
      </c>
      <c r="DJ3" s="59">
        <v>0.64</v>
      </c>
      <c r="DK3" s="57"/>
      <c r="DL3" s="57">
        <v>12</v>
      </c>
      <c r="DM3" s="59">
        <v>0.68</v>
      </c>
      <c r="DN3" s="57"/>
      <c r="DO3" s="57">
        <v>12</v>
      </c>
      <c r="DP3" s="59">
        <v>1</v>
      </c>
      <c r="DQ3" s="57"/>
      <c r="DR3" s="57"/>
      <c r="DS3" s="57"/>
      <c r="DT3" s="57"/>
      <c r="DU3" s="41"/>
      <c r="DV3" s="60"/>
    </row>
    <row r="4" spans="1:126" s="24" customFormat="1" ht="21.95" hidden="1" customHeight="1" x14ac:dyDescent="0.6">
      <c r="B4" s="42"/>
      <c r="C4" s="43"/>
      <c r="D4" s="44"/>
      <c r="E4" s="44"/>
      <c r="F4" s="40"/>
      <c r="G4" s="44"/>
      <c r="H4" s="44"/>
      <c r="I4" s="40"/>
      <c r="J4" s="44"/>
      <c r="K4" s="44"/>
      <c r="L4" s="40"/>
      <c r="M4" s="44"/>
      <c r="N4" s="44"/>
      <c r="O4" s="40"/>
      <c r="P4" s="44"/>
      <c r="Q4" s="44"/>
      <c r="R4" s="40"/>
      <c r="S4" s="44"/>
      <c r="T4" s="44"/>
      <c r="U4" s="40"/>
      <c r="V4" s="44"/>
      <c r="W4" s="44"/>
      <c r="X4" s="40"/>
      <c r="Y4" s="44"/>
      <c r="Z4" s="44"/>
      <c r="AA4" s="40"/>
      <c r="AB4" s="44"/>
      <c r="AC4" s="44"/>
      <c r="AD4" s="40"/>
      <c r="AE4" s="44"/>
      <c r="AF4" s="44"/>
      <c r="AG4" s="40"/>
      <c r="AH4" s="44"/>
      <c r="AI4" s="44"/>
      <c r="AJ4" s="40"/>
      <c r="AK4" s="44"/>
      <c r="AL4" s="44"/>
      <c r="AM4" s="40"/>
      <c r="AN4" s="44"/>
      <c r="AO4" s="44"/>
      <c r="AP4" s="40"/>
      <c r="AQ4" s="44"/>
      <c r="AR4" s="44"/>
      <c r="AS4" s="40"/>
      <c r="AT4" s="44"/>
      <c r="AU4" s="44"/>
      <c r="AV4" s="40"/>
      <c r="AW4" s="44"/>
      <c r="AX4" s="44"/>
      <c r="AY4" s="40"/>
      <c r="AZ4" s="44"/>
      <c r="BA4" s="44"/>
      <c r="BB4" s="40"/>
      <c r="BC4" s="44"/>
      <c r="BD4" s="44"/>
      <c r="BE4" s="40"/>
      <c r="BF4" s="44"/>
      <c r="BG4" s="44"/>
      <c r="BH4" s="40"/>
      <c r="BI4" s="44"/>
      <c r="BJ4" s="44"/>
      <c r="BK4" s="40"/>
      <c r="BL4" s="44"/>
      <c r="BM4" s="44"/>
      <c r="BN4" s="40"/>
      <c r="BO4" s="44"/>
      <c r="BP4" s="44"/>
      <c r="BQ4" s="40"/>
      <c r="BR4" s="44"/>
      <c r="BS4" s="44"/>
      <c r="BT4" s="40"/>
      <c r="BU4" s="44"/>
      <c r="BV4" s="44"/>
      <c r="BW4" s="40"/>
      <c r="BX4" s="44">
        <v>1</v>
      </c>
      <c r="BY4" s="44"/>
      <c r="BZ4" s="40"/>
      <c r="CA4" s="44"/>
      <c r="CB4" s="44"/>
      <c r="CC4" s="40"/>
      <c r="CD4" s="44"/>
      <c r="CE4" s="44"/>
      <c r="CF4" s="40"/>
      <c r="CG4" s="44"/>
      <c r="CH4" s="44"/>
      <c r="CI4" s="40"/>
      <c r="CJ4" s="44"/>
      <c r="CK4" s="44"/>
      <c r="CL4" s="40"/>
      <c r="CM4" s="44"/>
      <c r="CN4" s="44"/>
      <c r="CO4" s="40"/>
      <c r="CP4" s="44"/>
      <c r="CQ4" s="44"/>
      <c r="CR4" s="40"/>
      <c r="CS4" s="44"/>
      <c r="CT4" s="44"/>
      <c r="CU4" s="40"/>
      <c r="CV4" s="44"/>
      <c r="CW4" s="44"/>
      <c r="CX4" s="40"/>
      <c r="CY4" s="44"/>
      <c r="CZ4" s="44"/>
      <c r="DA4" s="40"/>
      <c r="DB4" s="44"/>
      <c r="DC4" s="44"/>
      <c r="DD4" s="40"/>
      <c r="DE4" s="44"/>
      <c r="DF4" s="44"/>
      <c r="DG4" s="40"/>
      <c r="DH4" s="44"/>
      <c r="DI4" s="44"/>
      <c r="DJ4" s="40"/>
      <c r="DK4" s="44"/>
      <c r="DL4" s="44"/>
      <c r="DM4" s="40"/>
      <c r="DN4" s="44"/>
      <c r="DO4" s="44"/>
      <c r="DP4" s="40"/>
      <c r="DQ4" s="44"/>
      <c r="DR4" s="44"/>
      <c r="DS4" s="44"/>
      <c r="DT4" s="44"/>
      <c r="DU4" s="45"/>
      <c r="DV4" s="25"/>
    </row>
    <row r="5" spans="1:126" s="8" customFormat="1" ht="21.95" customHeight="1" x14ac:dyDescent="0.6">
      <c r="A5" s="71" t="s">
        <v>33</v>
      </c>
      <c r="B5" s="7" t="s">
        <v>34</v>
      </c>
      <c r="C5" s="72" t="s">
        <v>35</v>
      </c>
      <c r="D5" s="49">
        <v>284</v>
      </c>
      <c r="E5" s="49">
        <f>+D5*$E$3</f>
        <v>3976</v>
      </c>
      <c r="F5" s="50">
        <f>+E5*$F$3</f>
        <v>2544.64</v>
      </c>
      <c r="G5" s="49"/>
      <c r="H5" s="49">
        <f>+G5*$H$3</f>
        <v>0</v>
      </c>
      <c r="I5" s="50">
        <f>+H5*$I$3</f>
        <v>0</v>
      </c>
      <c r="J5" s="49"/>
      <c r="K5" s="49">
        <f>+J5*$K$3</f>
        <v>0</v>
      </c>
      <c r="L5" s="50">
        <f>+K5*$L$3</f>
        <v>0</v>
      </c>
      <c r="M5" s="49"/>
      <c r="N5" s="49">
        <f>+M5*$N$3</f>
        <v>0</v>
      </c>
      <c r="O5" s="50">
        <f>+N5*$O$3</f>
        <v>0</v>
      </c>
      <c r="P5" s="49"/>
      <c r="Q5" s="49">
        <f>+P5*$Q$3</f>
        <v>0</v>
      </c>
      <c r="R5" s="50">
        <f>+Q5*$R$3</f>
        <v>0</v>
      </c>
      <c r="S5" s="49"/>
      <c r="T5" s="49">
        <f>+S5*$T$3</f>
        <v>0</v>
      </c>
      <c r="U5" s="50">
        <f>+T5*$U$3</f>
        <v>0</v>
      </c>
      <c r="V5" s="49">
        <v>33</v>
      </c>
      <c r="W5" s="49">
        <f>+V5*$W$3</f>
        <v>462</v>
      </c>
      <c r="X5" s="50">
        <f>+W5*$X$3</f>
        <v>295.68</v>
      </c>
      <c r="Y5" s="49"/>
      <c r="Z5" s="49">
        <f>+Y5*$Z$3</f>
        <v>0</v>
      </c>
      <c r="AA5" s="50">
        <f>+Z5*$AA$3</f>
        <v>0</v>
      </c>
      <c r="AB5" s="49"/>
      <c r="AC5" s="49">
        <f>+AB5*$AC$3</f>
        <v>0</v>
      </c>
      <c r="AD5" s="50">
        <f>+AC5*$AD$3</f>
        <v>0</v>
      </c>
      <c r="AE5" s="49"/>
      <c r="AF5" s="49">
        <f>+AE5*$AF$3</f>
        <v>0</v>
      </c>
      <c r="AG5" s="50">
        <f>+AF5*$AG$3</f>
        <v>0</v>
      </c>
      <c r="AH5" s="49"/>
      <c r="AI5" s="49">
        <f>+AH5*$AI$3</f>
        <v>0</v>
      </c>
      <c r="AJ5" s="50">
        <f>+AI5*$AJ$3</f>
        <v>0</v>
      </c>
      <c r="AK5" s="49"/>
      <c r="AL5" s="49">
        <f>+AK5*$AL$3</f>
        <v>0</v>
      </c>
      <c r="AM5" s="50">
        <f>+AL5*$AM$3</f>
        <v>0</v>
      </c>
      <c r="AN5" s="49"/>
      <c r="AO5" s="49">
        <f>+AN5*$AO$3</f>
        <v>0</v>
      </c>
      <c r="AP5" s="50">
        <f>+AO5*$AP$3</f>
        <v>0</v>
      </c>
      <c r="AQ5" s="49"/>
      <c r="AR5" s="49">
        <f>+AQ5*$AR$3</f>
        <v>0</v>
      </c>
      <c r="AS5" s="50">
        <f>+AR5*$AS$3</f>
        <v>0</v>
      </c>
      <c r="AT5" s="49"/>
      <c r="AU5" s="49">
        <f>+AT5*$AU$3</f>
        <v>0</v>
      </c>
      <c r="AV5" s="50">
        <f>+AU5*$AV$3</f>
        <v>0</v>
      </c>
      <c r="AW5" s="49">
        <v>542</v>
      </c>
      <c r="AX5" s="49">
        <f>+AW5*$AX$3</f>
        <v>6504</v>
      </c>
      <c r="AY5" s="50">
        <f>+AX5*$AY$3</f>
        <v>6504</v>
      </c>
      <c r="AZ5" s="49">
        <v>127</v>
      </c>
      <c r="BA5" s="49">
        <f>+AZ5*$BA$3</f>
        <v>1524</v>
      </c>
      <c r="BB5" s="50">
        <f>+BA5*$BB$3</f>
        <v>914.4</v>
      </c>
      <c r="BC5" s="49">
        <v>115</v>
      </c>
      <c r="BD5" s="49">
        <f>+BC5*$BD$3</f>
        <v>4600</v>
      </c>
      <c r="BE5" s="50">
        <f>+BD5*$BE$3</f>
        <v>1610</v>
      </c>
      <c r="BF5" s="49">
        <v>30</v>
      </c>
      <c r="BG5" s="49">
        <f>+BF5*$BG$3</f>
        <v>360</v>
      </c>
      <c r="BH5" s="50">
        <f>+BG5*$BH$3</f>
        <v>360</v>
      </c>
      <c r="BI5" s="49"/>
      <c r="BJ5" s="49">
        <f>+BI5*$BJ$3</f>
        <v>0</v>
      </c>
      <c r="BK5" s="50">
        <f>+BJ5*$BK$3</f>
        <v>0</v>
      </c>
      <c r="BL5" s="49">
        <v>23</v>
      </c>
      <c r="BM5" s="49">
        <f>+BL5*$BM$3</f>
        <v>920</v>
      </c>
      <c r="BN5" s="50">
        <f>+BM5*$BN$3</f>
        <v>322</v>
      </c>
      <c r="BO5" s="49"/>
      <c r="BP5" s="49">
        <f>+BO5*$BP$3</f>
        <v>0</v>
      </c>
      <c r="BQ5" s="50">
        <f>+BP5*$BQ$3</f>
        <v>0</v>
      </c>
      <c r="BR5" s="49"/>
      <c r="BS5" s="49">
        <f>+BR5*$BS$3</f>
        <v>0</v>
      </c>
      <c r="BT5" s="50">
        <f>+BS5*$BT$3</f>
        <v>0</v>
      </c>
      <c r="BU5" s="49"/>
      <c r="BV5" s="49">
        <f>+BU5*$BV$3</f>
        <v>0</v>
      </c>
      <c r="BW5" s="50">
        <f>+BV5*$BW$3</f>
        <v>0</v>
      </c>
      <c r="BX5" s="49"/>
      <c r="BY5" s="49">
        <f>+BX5*$BY$3</f>
        <v>0</v>
      </c>
      <c r="BZ5" s="50">
        <f>+BY5*$BZ$3</f>
        <v>0</v>
      </c>
      <c r="CA5" s="49"/>
      <c r="CB5" s="49">
        <f>+CA5*$CB$3</f>
        <v>0</v>
      </c>
      <c r="CC5" s="50">
        <f>+CB5*$CC$3</f>
        <v>0</v>
      </c>
      <c r="CD5" s="49"/>
      <c r="CE5" s="49">
        <f>+CD5*$CE$3</f>
        <v>0</v>
      </c>
      <c r="CF5" s="50">
        <f>+CE5*$CF$3</f>
        <v>0</v>
      </c>
      <c r="CG5" s="49"/>
      <c r="CH5" s="49">
        <f>+CG5*$CH$3</f>
        <v>0</v>
      </c>
      <c r="CI5" s="50">
        <f>+CH5*$CI$3</f>
        <v>0</v>
      </c>
      <c r="CJ5" s="49"/>
      <c r="CK5" s="49">
        <f>+CJ5*$CK$3</f>
        <v>0</v>
      </c>
      <c r="CL5" s="50">
        <f>+CK5*$CL$3</f>
        <v>0</v>
      </c>
      <c r="CM5" s="49">
        <v>2</v>
      </c>
      <c r="CN5" s="49">
        <f>+CM5*$CN$3</f>
        <v>24</v>
      </c>
      <c r="CO5" s="50">
        <f>+CN5*$CO$3</f>
        <v>24</v>
      </c>
      <c r="CP5" s="49"/>
      <c r="CQ5" s="49">
        <f>+CP5*$CQ$3</f>
        <v>0</v>
      </c>
      <c r="CR5" s="50">
        <f>+CQ5*$CR$3</f>
        <v>0</v>
      </c>
      <c r="CS5" s="49"/>
      <c r="CT5" s="49">
        <f>+CS5*$CT$3</f>
        <v>0</v>
      </c>
      <c r="CU5" s="50">
        <f>+CT5*$CU$3</f>
        <v>0</v>
      </c>
      <c r="CV5" s="49"/>
      <c r="CW5" s="49">
        <f>+CV5*$CW$3</f>
        <v>0</v>
      </c>
      <c r="CX5" s="50">
        <f>+CW5*$CX$3</f>
        <v>0</v>
      </c>
      <c r="CY5" s="49"/>
      <c r="CZ5" s="49">
        <f>+CY5*$CZ$3</f>
        <v>0</v>
      </c>
      <c r="DA5" s="50">
        <f>+CZ5*$DA$3</f>
        <v>0</v>
      </c>
      <c r="DB5" s="49"/>
      <c r="DC5" s="49">
        <f>+DB5*$DC$3</f>
        <v>0</v>
      </c>
      <c r="DD5" s="50">
        <f>+DC5*$DD$3</f>
        <v>0</v>
      </c>
      <c r="DE5" s="49"/>
      <c r="DF5" s="49">
        <f>+DE5*$DF$3</f>
        <v>0</v>
      </c>
      <c r="DG5" s="50">
        <f>+DF5*$DG$3</f>
        <v>0</v>
      </c>
      <c r="DH5" s="49"/>
      <c r="DI5" s="49">
        <f>+DH5*$DI$3</f>
        <v>0</v>
      </c>
      <c r="DJ5" s="50">
        <f>+DI5*$DJ$3</f>
        <v>0</v>
      </c>
      <c r="DK5" s="49">
        <v>7</v>
      </c>
      <c r="DL5" s="49">
        <f>+DK5*$DL$3</f>
        <v>84</v>
      </c>
      <c r="DM5" s="50">
        <f>+DL5*$DM$3</f>
        <v>57.120000000000005</v>
      </c>
      <c r="DN5" s="49">
        <v>5</v>
      </c>
      <c r="DO5" s="49">
        <f>+DN5*$DO$3</f>
        <v>60</v>
      </c>
      <c r="DP5" s="50">
        <f>+DO5*$DP$3</f>
        <v>60</v>
      </c>
      <c r="DQ5" s="49"/>
      <c r="DR5" s="49"/>
      <c r="DS5" s="49"/>
      <c r="DT5" s="46">
        <f>D5+G5+J5+M5+P5+S5+V5+Y5+AB5+AE5+AH5+AK5+AN5+AQ5+AT5+AW5+AZ5+BC5+BF5+BI5+BL5+BO5+BR5+BU5+BX5+CA5+CD5+CG5+CJ5+CM5+CP5+CS5+CV5+CY5+DB5+DE5+DH5+DK5+DN5</f>
        <v>1168</v>
      </c>
      <c r="DU5" s="46">
        <f>E5+H5+K5+N5+Q5+T5+W5+Z5+AC5+AF5+AI5+AL5+AO5+AR5+AU5+AX5+BA5+BD5+BG5+BJ5+BM5+BP5+BS5+BV5+BY5+CB5+CE5+CH5+CK5+CN5+CQ5+CT5+CW5+CZ5+DC5+DF5+DI5+DL5+DO5</f>
        <v>18514</v>
      </c>
      <c r="DV5" s="46">
        <f>F5+I5+L5+O5+R5+U5+X5+AA5+AD5+AG5+AJ5+AM5+AP5+AS5+AV5+AY5+BB5+BE5+BH5+BK5+BN5+BQ5+BT5+BW5+BZ5+CC5+CF5+CI5+CL5+CO5+CR5+CU5+CX5+DA5+DD5+DG5+DJ5+DM5+DP5</f>
        <v>12691.84</v>
      </c>
    </row>
    <row r="6" spans="1:126" s="8" customFormat="1" ht="21.95" customHeight="1" x14ac:dyDescent="0.6">
      <c r="A6" s="67"/>
      <c r="B6" s="7" t="s">
        <v>36</v>
      </c>
      <c r="C6" s="72"/>
      <c r="D6" s="49">
        <v>47</v>
      </c>
      <c r="E6" s="49">
        <f t="shared" ref="E6:E67" si="0">+D6*$E$3</f>
        <v>658</v>
      </c>
      <c r="F6" s="50">
        <f t="shared" ref="F6:F67" si="1">+E6*$F$3</f>
        <v>421.12</v>
      </c>
      <c r="G6" s="49"/>
      <c r="H6" s="49">
        <f t="shared" ref="H6:H67" si="2">+G6*$H$3</f>
        <v>0</v>
      </c>
      <c r="I6" s="50">
        <f t="shared" ref="I6:I67" si="3">+H6*$I$3</f>
        <v>0</v>
      </c>
      <c r="J6" s="49"/>
      <c r="K6" s="49">
        <f t="shared" ref="K6:K67" si="4">+J6*$K$3</f>
        <v>0</v>
      </c>
      <c r="L6" s="50">
        <f t="shared" ref="L6:L67" si="5">+K6*$L$3</f>
        <v>0</v>
      </c>
      <c r="M6" s="49">
        <v>17</v>
      </c>
      <c r="N6" s="49">
        <f t="shared" ref="N6:N67" si="6">+M6*$N$3</f>
        <v>238</v>
      </c>
      <c r="O6" s="50">
        <f t="shared" ref="O6:O67" si="7">+N6*$O$3</f>
        <v>152.32</v>
      </c>
      <c r="P6" s="49"/>
      <c r="Q6" s="49">
        <f t="shared" ref="Q6:Q67" si="8">+P6*$Q$3</f>
        <v>0</v>
      </c>
      <c r="R6" s="50">
        <f t="shared" ref="R6:R67" si="9">+Q6*$R$3</f>
        <v>0</v>
      </c>
      <c r="S6" s="49">
        <v>9</v>
      </c>
      <c r="T6" s="49">
        <f t="shared" ref="T6:T67" si="10">+S6*$T$3</f>
        <v>126</v>
      </c>
      <c r="U6" s="50">
        <f t="shared" ref="U6:U67" si="11">+T6*$U$3</f>
        <v>80.64</v>
      </c>
      <c r="V6" s="49">
        <v>29</v>
      </c>
      <c r="W6" s="49">
        <f t="shared" ref="W6:W67" si="12">+V6*$W$3</f>
        <v>406</v>
      </c>
      <c r="X6" s="50">
        <f t="shared" ref="X6:X67" si="13">+W6*$X$3</f>
        <v>259.84000000000003</v>
      </c>
      <c r="Y6" s="49"/>
      <c r="Z6" s="49">
        <f t="shared" ref="Z6:Z67" si="14">+Y6*$Z$3</f>
        <v>0</v>
      </c>
      <c r="AA6" s="50">
        <f t="shared" ref="AA6:AA67" si="15">+Z6*$AA$3</f>
        <v>0</v>
      </c>
      <c r="AB6" s="49"/>
      <c r="AC6" s="49">
        <f t="shared" ref="AC6:AC67" si="16">+AB6*$AC$3</f>
        <v>0</v>
      </c>
      <c r="AD6" s="50">
        <f t="shared" ref="AD6:AD67" si="17">+AC6*$AD$3</f>
        <v>0</v>
      </c>
      <c r="AE6" s="49"/>
      <c r="AF6" s="49">
        <f t="shared" ref="AF6:AF67" si="18">+AE6*$AF$3</f>
        <v>0</v>
      </c>
      <c r="AG6" s="50">
        <f t="shared" ref="AG6:AG67" si="19">+AF6*$AG$3</f>
        <v>0</v>
      </c>
      <c r="AH6" s="49">
        <v>2</v>
      </c>
      <c r="AI6" s="49">
        <f t="shared" ref="AI6:AI67" si="20">+AH6*$AI$3</f>
        <v>24</v>
      </c>
      <c r="AJ6" s="50">
        <f t="shared" ref="AJ6:AJ67" si="21">+AI6*$AJ$3</f>
        <v>16.799999999999997</v>
      </c>
      <c r="AK6" s="49">
        <v>40</v>
      </c>
      <c r="AL6" s="49">
        <f t="shared" ref="AL6:AL67" si="22">+AK6*$AL$3</f>
        <v>560</v>
      </c>
      <c r="AM6" s="50">
        <f t="shared" ref="AM6:AM67" si="23">+AL6*$AM$3</f>
        <v>358.40000000000003</v>
      </c>
      <c r="AN6" s="49"/>
      <c r="AO6" s="49">
        <f t="shared" ref="AO6:AO67" si="24">+AN6*$AO$3</f>
        <v>0</v>
      </c>
      <c r="AP6" s="50">
        <f t="shared" ref="AP6:AP67" si="25">+AO6*$AP$3</f>
        <v>0</v>
      </c>
      <c r="AQ6" s="49"/>
      <c r="AR6" s="49">
        <f t="shared" ref="AR6:AR67" si="26">+AQ6*$AR$3</f>
        <v>0</v>
      </c>
      <c r="AS6" s="50">
        <f t="shared" ref="AS6:AS67" si="27">+AR6*$AS$3</f>
        <v>0</v>
      </c>
      <c r="AT6" s="49"/>
      <c r="AU6" s="49">
        <f t="shared" ref="AU6:AU67" si="28">+AT6*$AU$3</f>
        <v>0</v>
      </c>
      <c r="AV6" s="50">
        <f t="shared" ref="AV6:AV67" si="29">+AU6*$AV$3</f>
        <v>0</v>
      </c>
      <c r="AW6" s="49">
        <v>238</v>
      </c>
      <c r="AX6" s="49">
        <f t="shared" ref="AX6:AX67" si="30">+AW6*$AX$3</f>
        <v>2856</v>
      </c>
      <c r="AY6" s="50">
        <f t="shared" ref="AY6:AY67" si="31">+AX6*$AY$3</f>
        <v>2856</v>
      </c>
      <c r="AZ6" s="49">
        <v>45</v>
      </c>
      <c r="BA6" s="49">
        <f t="shared" ref="BA6:BA67" si="32">+AZ6*$BA$3</f>
        <v>540</v>
      </c>
      <c r="BB6" s="50">
        <f t="shared" ref="BB6:BB67" si="33">+BA6*$BB$3</f>
        <v>324</v>
      </c>
      <c r="BC6" s="49">
        <v>60</v>
      </c>
      <c r="BD6" s="49">
        <f t="shared" ref="BD6:BD67" si="34">+BC6*$BD$3</f>
        <v>2400</v>
      </c>
      <c r="BE6" s="50">
        <f t="shared" ref="BE6:BE67" si="35">+BD6*$BE$3</f>
        <v>840</v>
      </c>
      <c r="BF6" s="49">
        <v>206</v>
      </c>
      <c r="BG6" s="49">
        <f t="shared" ref="BG6:BG67" si="36">+BF6*$BG$3</f>
        <v>2472</v>
      </c>
      <c r="BH6" s="50">
        <f t="shared" ref="BH6:BH67" si="37">+BG6*$BH$3</f>
        <v>2472</v>
      </c>
      <c r="BI6" s="49"/>
      <c r="BJ6" s="49">
        <f t="shared" ref="BJ6:BJ67" si="38">+BI6*$BJ$3</f>
        <v>0</v>
      </c>
      <c r="BK6" s="50">
        <f t="shared" ref="BK6:BK67" si="39">+BJ6*$BK$3</f>
        <v>0</v>
      </c>
      <c r="BL6" s="49">
        <v>78</v>
      </c>
      <c r="BM6" s="49">
        <f t="shared" ref="BM6:BM67" si="40">+BL6*$BM$3</f>
        <v>3120</v>
      </c>
      <c r="BN6" s="50">
        <f t="shared" ref="BN6:BN67" si="41">+BM6*$BN$3</f>
        <v>1092</v>
      </c>
      <c r="BO6" s="49"/>
      <c r="BP6" s="49">
        <f t="shared" ref="BP6:BP67" si="42">+BO6*$BP$3</f>
        <v>0</v>
      </c>
      <c r="BQ6" s="50">
        <f t="shared" ref="BQ6:BQ67" si="43">+BP6*$BQ$3</f>
        <v>0</v>
      </c>
      <c r="BR6" s="49"/>
      <c r="BS6" s="49">
        <f t="shared" ref="BS6:BS67" si="44">+BR6*$BS$3</f>
        <v>0</v>
      </c>
      <c r="BT6" s="50">
        <f t="shared" ref="BT6:BT67" si="45">+BS6*$BT$3</f>
        <v>0</v>
      </c>
      <c r="BU6" s="49"/>
      <c r="BV6" s="49">
        <f t="shared" ref="BV6:BV67" si="46">+BU6*$BV$3</f>
        <v>0</v>
      </c>
      <c r="BW6" s="50">
        <f t="shared" ref="BW6:BW67" si="47">+BV6*$BW$3</f>
        <v>0</v>
      </c>
      <c r="BX6" s="49"/>
      <c r="BY6" s="49">
        <f t="shared" ref="BY6:BY67" si="48">+BX6*$BY$3</f>
        <v>0</v>
      </c>
      <c r="BZ6" s="50">
        <f t="shared" ref="BZ6:BZ67" si="49">+BY6*$BZ$3</f>
        <v>0</v>
      </c>
      <c r="CA6" s="49"/>
      <c r="CB6" s="49">
        <f t="shared" ref="CB6:CB67" si="50">+CA6*$CB$3</f>
        <v>0</v>
      </c>
      <c r="CC6" s="50">
        <f t="shared" ref="CC6:CC67" si="51">+CB6*$CC$3</f>
        <v>0</v>
      </c>
      <c r="CD6" s="49"/>
      <c r="CE6" s="49">
        <f t="shared" ref="CE6:CE67" si="52">+CD6*$CE$3</f>
        <v>0</v>
      </c>
      <c r="CF6" s="50">
        <f t="shared" ref="CF6:CF67" si="53">+CE6*$CF$3</f>
        <v>0</v>
      </c>
      <c r="CG6" s="49"/>
      <c r="CH6" s="49">
        <f t="shared" ref="CH6:CH67" si="54">+CG6*$CH$3</f>
        <v>0</v>
      </c>
      <c r="CI6" s="50">
        <f t="shared" ref="CI6:CI67" si="55">+CH6*$CI$3</f>
        <v>0</v>
      </c>
      <c r="CJ6" s="49"/>
      <c r="CK6" s="49">
        <f t="shared" ref="CK6:CK67" si="56">+CJ6*$CK$3</f>
        <v>0</v>
      </c>
      <c r="CL6" s="50">
        <f t="shared" ref="CL6:CL67" si="57">+CK6*$CL$3</f>
        <v>0</v>
      </c>
      <c r="CM6" s="49"/>
      <c r="CN6" s="49">
        <f t="shared" ref="CN6:CN67" si="58">+CM6*$CN$3</f>
        <v>0</v>
      </c>
      <c r="CO6" s="50">
        <f t="shared" ref="CO6:CO67" si="59">+CN6*$CO$3</f>
        <v>0</v>
      </c>
      <c r="CP6" s="49"/>
      <c r="CQ6" s="49">
        <f t="shared" ref="CQ6:CQ67" si="60">+CP6*$CQ$3</f>
        <v>0</v>
      </c>
      <c r="CR6" s="50">
        <f t="shared" ref="CR6:CR67" si="61">+CQ6*$CR$3</f>
        <v>0</v>
      </c>
      <c r="CS6" s="49"/>
      <c r="CT6" s="49">
        <f t="shared" ref="CT6:CT67" si="62">+CS6*$CT$3</f>
        <v>0</v>
      </c>
      <c r="CU6" s="50">
        <f t="shared" ref="CU6:CU67" si="63">+CT6*$CU$3</f>
        <v>0</v>
      </c>
      <c r="CV6" s="49"/>
      <c r="CW6" s="49">
        <f t="shared" ref="CW6:CW67" si="64">+CV6*$CW$3</f>
        <v>0</v>
      </c>
      <c r="CX6" s="50">
        <f t="shared" ref="CX6:CX67" si="65">+CW6*$CX$3</f>
        <v>0</v>
      </c>
      <c r="CY6" s="49"/>
      <c r="CZ6" s="49">
        <f t="shared" ref="CZ6:CZ67" si="66">+CY6*$CZ$3</f>
        <v>0</v>
      </c>
      <c r="DA6" s="50">
        <f t="shared" ref="DA6:DA67" si="67">+CZ6*$DA$3</f>
        <v>0</v>
      </c>
      <c r="DB6" s="49"/>
      <c r="DC6" s="49">
        <f t="shared" ref="DC6:DC67" si="68">+DB6*$DC$3</f>
        <v>0</v>
      </c>
      <c r="DD6" s="50">
        <f t="shared" ref="DD6:DD67" si="69">+DC6*$DD$3</f>
        <v>0</v>
      </c>
      <c r="DE6" s="49"/>
      <c r="DF6" s="49">
        <f t="shared" ref="DF6:DF67" si="70">+DE6*$DF$3</f>
        <v>0</v>
      </c>
      <c r="DG6" s="50">
        <f t="shared" ref="DG6:DG67" si="71">+DF6*$DG$3</f>
        <v>0</v>
      </c>
      <c r="DH6" s="49"/>
      <c r="DI6" s="49">
        <f t="shared" ref="DI6:DI67" si="72">+DH6*$DI$3</f>
        <v>0</v>
      </c>
      <c r="DJ6" s="50">
        <f t="shared" ref="DJ6:DJ67" si="73">+DI6*$DJ$3</f>
        <v>0</v>
      </c>
      <c r="DK6" s="49"/>
      <c r="DL6" s="49">
        <f t="shared" ref="DL6:DL67" si="74">+DK6*$DL$3</f>
        <v>0</v>
      </c>
      <c r="DM6" s="50">
        <f t="shared" ref="DM6:DM67" si="75">+DL6*$DM$3</f>
        <v>0</v>
      </c>
      <c r="DN6" s="49"/>
      <c r="DO6" s="49">
        <f t="shared" ref="DO6:DO67" si="76">+DN6*$DO$3</f>
        <v>0</v>
      </c>
      <c r="DP6" s="50">
        <f t="shared" ref="DP6:DP67" si="77">+DO6*$DP$3</f>
        <v>0</v>
      </c>
      <c r="DQ6" s="49"/>
      <c r="DR6" s="49"/>
      <c r="DS6" s="49"/>
      <c r="DT6" s="46">
        <f t="shared" ref="DT6:DV17" si="78">D6+G6+J6+M6+P6+S6+V6+Y6+AB6+AE6+AH6+AK6+AN6+AQ6+AT6+AW6+AZ6+BC6+BF6+BI6+BL6+BO6+BR6+BU6+BX6+CA6+CD6+CG6+CJ6+CM6+CP6+CS6+CV6+CY6+DB6+DE6+DH6+DK6+DN6</f>
        <v>771</v>
      </c>
      <c r="DU6" s="46">
        <f t="shared" si="78"/>
        <v>13400</v>
      </c>
      <c r="DV6" s="46">
        <f t="shared" si="78"/>
        <v>8873.119999999999</v>
      </c>
    </row>
    <row r="7" spans="1:126" s="8" customFormat="1" ht="21.95" customHeight="1" x14ac:dyDescent="0.6">
      <c r="A7" s="67"/>
      <c r="B7" s="7" t="s">
        <v>36</v>
      </c>
      <c r="C7" s="39" t="s">
        <v>37</v>
      </c>
      <c r="D7" s="49"/>
      <c r="E7" s="49">
        <f t="shared" si="0"/>
        <v>0</v>
      </c>
      <c r="F7" s="50">
        <f t="shared" si="1"/>
        <v>0</v>
      </c>
      <c r="G7" s="49"/>
      <c r="H7" s="49">
        <f t="shared" si="2"/>
        <v>0</v>
      </c>
      <c r="I7" s="50">
        <f t="shared" si="3"/>
        <v>0</v>
      </c>
      <c r="J7" s="49"/>
      <c r="K7" s="49">
        <f t="shared" si="4"/>
        <v>0</v>
      </c>
      <c r="L7" s="50">
        <f t="shared" si="5"/>
        <v>0</v>
      </c>
      <c r="M7" s="49"/>
      <c r="N7" s="49">
        <f t="shared" si="6"/>
        <v>0</v>
      </c>
      <c r="O7" s="50">
        <f t="shared" si="7"/>
        <v>0</v>
      </c>
      <c r="P7" s="49"/>
      <c r="Q7" s="49">
        <f t="shared" si="8"/>
        <v>0</v>
      </c>
      <c r="R7" s="50">
        <f t="shared" si="9"/>
        <v>0</v>
      </c>
      <c r="S7" s="49"/>
      <c r="T7" s="49">
        <f t="shared" si="10"/>
        <v>0</v>
      </c>
      <c r="U7" s="50">
        <f t="shared" si="11"/>
        <v>0</v>
      </c>
      <c r="V7" s="49"/>
      <c r="W7" s="49">
        <f t="shared" si="12"/>
        <v>0</v>
      </c>
      <c r="X7" s="50">
        <f t="shared" si="13"/>
        <v>0</v>
      </c>
      <c r="Y7" s="49"/>
      <c r="Z7" s="49">
        <f t="shared" si="14"/>
        <v>0</v>
      </c>
      <c r="AA7" s="50">
        <f t="shared" si="15"/>
        <v>0</v>
      </c>
      <c r="AB7" s="49"/>
      <c r="AC7" s="49">
        <f t="shared" si="16"/>
        <v>0</v>
      </c>
      <c r="AD7" s="50">
        <f t="shared" si="17"/>
        <v>0</v>
      </c>
      <c r="AE7" s="49"/>
      <c r="AF7" s="49">
        <f t="shared" si="18"/>
        <v>0</v>
      </c>
      <c r="AG7" s="50">
        <f t="shared" si="19"/>
        <v>0</v>
      </c>
      <c r="AH7" s="49"/>
      <c r="AI7" s="49">
        <f t="shared" si="20"/>
        <v>0</v>
      </c>
      <c r="AJ7" s="50">
        <f t="shared" si="21"/>
        <v>0</v>
      </c>
      <c r="AK7" s="49"/>
      <c r="AL7" s="49">
        <f t="shared" si="22"/>
        <v>0</v>
      </c>
      <c r="AM7" s="50">
        <f t="shared" si="23"/>
        <v>0</v>
      </c>
      <c r="AN7" s="49"/>
      <c r="AO7" s="49">
        <f t="shared" si="24"/>
        <v>0</v>
      </c>
      <c r="AP7" s="50">
        <f t="shared" si="25"/>
        <v>0</v>
      </c>
      <c r="AQ7" s="49"/>
      <c r="AR7" s="49">
        <f t="shared" si="26"/>
        <v>0</v>
      </c>
      <c r="AS7" s="50">
        <f t="shared" si="27"/>
        <v>0</v>
      </c>
      <c r="AT7" s="49"/>
      <c r="AU7" s="49">
        <f t="shared" si="28"/>
        <v>0</v>
      </c>
      <c r="AV7" s="50">
        <f t="shared" si="29"/>
        <v>0</v>
      </c>
      <c r="AW7" s="49"/>
      <c r="AX7" s="49">
        <f t="shared" si="30"/>
        <v>0</v>
      </c>
      <c r="AY7" s="50">
        <f t="shared" si="31"/>
        <v>0</v>
      </c>
      <c r="AZ7" s="49"/>
      <c r="BA7" s="49">
        <f t="shared" si="32"/>
        <v>0</v>
      </c>
      <c r="BB7" s="50">
        <f t="shared" si="33"/>
        <v>0</v>
      </c>
      <c r="BC7" s="49"/>
      <c r="BD7" s="49">
        <f t="shared" si="34"/>
        <v>0</v>
      </c>
      <c r="BE7" s="50">
        <f t="shared" si="35"/>
        <v>0</v>
      </c>
      <c r="BF7" s="49"/>
      <c r="BG7" s="49">
        <f t="shared" si="36"/>
        <v>0</v>
      </c>
      <c r="BH7" s="50">
        <f t="shared" si="37"/>
        <v>0</v>
      </c>
      <c r="BI7" s="49"/>
      <c r="BJ7" s="49">
        <f t="shared" si="38"/>
        <v>0</v>
      </c>
      <c r="BK7" s="50">
        <f t="shared" si="39"/>
        <v>0</v>
      </c>
      <c r="BL7" s="49"/>
      <c r="BM7" s="49">
        <f t="shared" si="40"/>
        <v>0</v>
      </c>
      <c r="BN7" s="50">
        <f t="shared" si="41"/>
        <v>0</v>
      </c>
      <c r="BO7" s="49"/>
      <c r="BP7" s="49">
        <f t="shared" si="42"/>
        <v>0</v>
      </c>
      <c r="BQ7" s="50">
        <f t="shared" si="43"/>
        <v>0</v>
      </c>
      <c r="BR7" s="49"/>
      <c r="BS7" s="49">
        <f t="shared" si="44"/>
        <v>0</v>
      </c>
      <c r="BT7" s="50">
        <f t="shared" si="45"/>
        <v>0</v>
      </c>
      <c r="BU7" s="49"/>
      <c r="BV7" s="49">
        <f t="shared" si="46"/>
        <v>0</v>
      </c>
      <c r="BW7" s="50">
        <f t="shared" si="47"/>
        <v>0</v>
      </c>
      <c r="BX7" s="49"/>
      <c r="BY7" s="49">
        <f t="shared" si="48"/>
        <v>0</v>
      </c>
      <c r="BZ7" s="50">
        <f t="shared" si="49"/>
        <v>0</v>
      </c>
      <c r="CA7" s="49"/>
      <c r="CB7" s="49">
        <f t="shared" si="50"/>
        <v>0</v>
      </c>
      <c r="CC7" s="50">
        <f t="shared" si="51"/>
        <v>0</v>
      </c>
      <c r="CD7" s="49"/>
      <c r="CE7" s="49">
        <f t="shared" si="52"/>
        <v>0</v>
      </c>
      <c r="CF7" s="50">
        <f t="shared" si="53"/>
        <v>0</v>
      </c>
      <c r="CG7" s="49"/>
      <c r="CH7" s="49">
        <f t="shared" si="54"/>
        <v>0</v>
      </c>
      <c r="CI7" s="50">
        <f t="shared" si="55"/>
        <v>0</v>
      </c>
      <c r="CJ7" s="49"/>
      <c r="CK7" s="49">
        <f t="shared" si="56"/>
        <v>0</v>
      </c>
      <c r="CL7" s="50">
        <f t="shared" si="57"/>
        <v>0</v>
      </c>
      <c r="CM7" s="49"/>
      <c r="CN7" s="49">
        <f t="shared" si="58"/>
        <v>0</v>
      </c>
      <c r="CO7" s="50">
        <f t="shared" si="59"/>
        <v>0</v>
      </c>
      <c r="CP7" s="49"/>
      <c r="CQ7" s="49">
        <f t="shared" si="60"/>
        <v>0</v>
      </c>
      <c r="CR7" s="50">
        <f t="shared" si="61"/>
        <v>0</v>
      </c>
      <c r="CS7" s="49"/>
      <c r="CT7" s="49">
        <f t="shared" si="62"/>
        <v>0</v>
      </c>
      <c r="CU7" s="50">
        <f t="shared" si="63"/>
        <v>0</v>
      </c>
      <c r="CV7" s="49"/>
      <c r="CW7" s="49">
        <f t="shared" si="64"/>
        <v>0</v>
      </c>
      <c r="CX7" s="50">
        <f t="shared" si="65"/>
        <v>0</v>
      </c>
      <c r="CY7" s="49"/>
      <c r="CZ7" s="49">
        <f t="shared" si="66"/>
        <v>0</v>
      </c>
      <c r="DA7" s="50">
        <f t="shared" si="67"/>
        <v>0</v>
      </c>
      <c r="DB7" s="49"/>
      <c r="DC7" s="49">
        <f t="shared" si="68"/>
        <v>0</v>
      </c>
      <c r="DD7" s="50">
        <f t="shared" si="69"/>
        <v>0</v>
      </c>
      <c r="DE7" s="49"/>
      <c r="DF7" s="49">
        <f t="shared" si="70"/>
        <v>0</v>
      </c>
      <c r="DG7" s="50">
        <f t="shared" si="71"/>
        <v>0</v>
      </c>
      <c r="DH7" s="49"/>
      <c r="DI7" s="49">
        <f t="shared" si="72"/>
        <v>0</v>
      </c>
      <c r="DJ7" s="50">
        <f t="shared" si="73"/>
        <v>0</v>
      </c>
      <c r="DK7" s="49"/>
      <c r="DL7" s="49">
        <f t="shared" si="74"/>
        <v>0</v>
      </c>
      <c r="DM7" s="50">
        <f t="shared" si="75"/>
        <v>0</v>
      </c>
      <c r="DN7" s="49"/>
      <c r="DO7" s="49">
        <f t="shared" si="76"/>
        <v>0</v>
      </c>
      <c r="DP7" s="50">
        <f t="shared" si="77"/>
        <v>0</v>
      </c>
      <c r="DQ7" s="49"/>
      <c r="DR7" s="49"/>
      <c r="DS7" s="49"/>
      <c r="DT7" s="46">
        <f t="shared" si="78"/>
        <v>0</v>
      </c>
      <c r="DU7" s="46">
        <f t="shared" si="78"/>
        <v>0</v>
      </c>
      <c r="DV7" s="46">
        <f t="shared" si="78"/>
        <v>0</v>
      </c>
    </row>
    <row r="8" spans="1:126" s="8" customFormat="1" ht="21.95" customHeight="1" x14ac:dyDescent="0.6">
      <c r="A8" s="67"/>
      <c r="B8" s="7" t="s">
        <v>38</v>
      </c>
      <c r="C8" s="68" t="s">
        <v>39</v>
      </c>
      <c r="D8" s="49">
        <v>59</v>
      </c>
      <c r="E8" s="49">
        <f t="shared" si="0"/>
        <v>826</v>
      </c>
      <c r="F8" s="50">
        <f t="shared" si="1"/>
        <v>528.64</v>
      </c>
      <c r="G8" s="49"/>
      <c r="H8" s="49">
        <f t="shared" si="2"/>
        <v>0</v>
      </c>
      <c r="I8" s="50">
        <f t="shared" si="3"/>
        <v>0</v>
      </c>
      <c r="J8" s="49"/>
      <c r="K8" s="49">
        <f t="shared" si="4"/>
        <v>0</v>
      </c>
      <c r="L8" s="50">
        <f t="shared" si="5"/>
        <v>0</v>
      </c>
      <c r="M8" s="49">
        <v>10</v>
      </c>
      <c r="N8" s="49">
        <f t="shared" si="6"/>
        <v>140</v>
      </c>
      <c r="O8" s="50">
        <f t="shared" si="7"/>
        <v>89.600000000000009</v>
      </c>
      <c r="P8" s="49"/>
      <c r="Q8" s="49">
        <f t="shared" si="8"/>
        <v>0</v>
      </c>
      <c r="R8" s="50">
        <f t="shared" si="9"/>
        <v>0</v>
      </c>
      <c r="S8" s="49">
        <v>10</v>
      </c>
      <c r="T8" s="49">
        <f t="shared" si="10"/>
        <v>140</v>
      </c>
      <c r="U8" s="50">
        <f t="shared" si="11"/>
        <v>89.600000000000009</v>
      </c>
      <c r="V8" s="49">
        <v>20</v>
      </c>
      <c r="W8" s="49">
        <f t="shared" si="12"/>
        <v>280</v>
      </c>
      <c r="X8" s="50">
        <f t="shared" si="13"/>
        <v>179.20000000000002</v>
      </c>
      <c r="Y8" s="49"/>
      <c r="Z8" s="49">
        <f t="shared" si="14"/>
        <v>0</v>
      </c>
      <c r="AA8" s="50">
        <f t="shared" si="15"/>
        <v>0</v>
      </c>
      <c r="AB8" s="49"/>
      <c r="AC8" s="49">
        <f t="shared" si="16"/>
        <v>0</v>
      </c>
      <c r="AD8" s="50">
        <f t="shared" si="17"/>
        <v>0</v>
      </c>
      <c r="AE8" s="49"/>
      <c r="AF8" s="49">
        <f t="shared" si="18"/>
        <v>0</v>
      </c>
      <c r="AG8" s="50">
        <f t="shared" si="19"/>
        <v>0</v>
      </c>
      <c r="AH8" s="49">
        <v>1</v>
      </c>
      <c r="AI8" s="49">
        <f t="shared" si="20"/>
        <v>12</v>
      </c>
      <c r="AJ8" s="50">
        <f t="shared" si="21"/>
        <v>8.3999999999999986</v>
      </c>
      <c r="AK8" s="49"/>
      <c r="AL8" s="49">
        <f t="shared" si="22"/>
        <v>0</v>
      </c>
      <c r="AM8" s="50">
        <f t="shared" si="23"/>
        <v>0</v>
      </c>
      <c r="AN8" s="49">
        <v>5.5000000000000009</v>
      </c>
      <c r="AO8" s="49">
        <f t="shared" si="24"/>
        <v>66.000000000000014</v>
      </c>
      <c r="AP8" s="50">
        <f t="shared" si="25"/>
        <v>46.20000000000001</v>
      </c>
      <c r="AQ8" s="49">
        <v>21.458333333333332</v>
      </c>
      <c r="AR8" s="49">
        <f t="shared" si="26"/>
        <v>515</v>
      </c>
      <c r="AS8" s="50">
        <f t="shared" si="27"/>
        <v>180.25</v>
      </c>
      <c r="AT8" s="49"/>
      <c r="AU8" s="49">
        <f t="shared" si="28"/>
        <v>0</v>
      </c>
      <c r="AV8" s="50">
        <f t="shared" si="29"/>
        <v>0</v>
      </c>
      <c r="AW8" s="49">
        <v>192</v>
      </c>
      <c r="AX8" s="49">
        <f t="shared" si="30"/>
        <v>2304</v>
      </c>
      <c r="AY8" s="50">
        <f t="shared" si="31"/>
        <v>2304</v>
      </c>
      <c r="AZ8" s="49">
        <v>17</v>
      </c>
      <c r="BA8" s="49">
        <f t="shared" si="32"/>
        <v>204</v>
      </c>
      <c r="BB8" s="50">
        <f t="shared" si="33"/>
        <v>122.39999999999999</v>
      </c>
      <c r="BC8" s="49">
        <v>42</v>
      </c>
      <c r="BD8" s="49">
        <f t="shared" si="34"/>
        <v>1680</v>
      </c>
      <c r="BE8" s="50">
        <f t="shared" si="35"/>
        <v>588</v>
      </c>
      <c r="BF8" s="49">
        <v>734</v>
      </c>
      <c r="BG8" s="49">
        <f t="shared" si="36"/>
        <v>8808</v>
      </c>
      <c r="BH8" s="50">
        <f t="shared" si="37"/>
        <v>8808</v>
      </c>
      <c r="BI8" s="49"/>
      <c r="BJ8" s="49">
        <f t="shared" si="38"/>
        <v>0</v>
      </c>
      <c r="BK8" s="50">
        <f t="shared" si="39"/>
        <v>0</v>
      </c>
      <c r="BL8" s="49">
        <v>42</v>
      </c>
      <c r="BM8" s="49">
        <f t="shared" si="40"/>
        <v>1680</v>
      </c>
      <c r="BN8" s="50">
        <f t="shared" si="41"/>
        <v>588</v>
      </c>
      <c r="BO8" s="49"/>
      <c r="BP8" s="49">
        <f t="shared" si="42"/>
        <v>0</v>
      </c>
      <c r="BQ8" s="50">
        <f t="shared" si="43"/>
        <v>0</v>
      </c>
      <c r="BR8" s="49"/>
      <c r="BS8" s="49">
        <f t="shared" si="44"/>
        <v>0</v>
      </c>
      <c r="BT8" s="50">
        <f t="shared" si="45"/>
        <v>0</v>
      </c>
      <c r="BU8" s="49"/>
      <c r="BV8" s="49">
        <f t="shared" si="46"/>
        <v>0</v>
      </c>
      <c r="BW8" s="50">
        <f t="shared" si="47"/>
        <v>0</v>
      </c>
      <c r="BX8" s="49"/>
      <c r="BY8" s="49">
        <f t="shared" si="48"/>
        <v>0</v>
      </c>
      <c r="BZ8" s="50">
        <f t="shared" si="49"/>
        <v>0</v>
      </c>
      <c r="CA8" s="49"/>
      <c r="CB8" s="49">
        <f t="shared" si="50"/>
        <v>0</v>
      </c>
      <c r="CC8" s="50">
        <f t="shared" si="51"/>
        <v>0</v>
      </c>
      <c r="CD8" s="49"/>
      <c r="CE8" s="49">
        <f t="shared" si="52"/>
        <v>0</v>
      </c>
      <c r="CF8" s="50">
        <f t="shared" si="53"/>
        <v>0</v>
      </c>
      <c r="CG8" s="49"/>
      <c r="CH8" s="49">
        <f t="shared" si="54"/>
        <v>0</v>
      </c>
      <c r="CI8" s="50">
        <f t="shared" si="55"/>
        <v>0</v>
      </c>
      <c r="CJ8" s="49"/>
      <c r="CK8" s="49">
        <f t="shared" si="56"/>
        <v>0</v>
      </c>
      <c r="CL8" s="50">
        <f t="shared" si="57"/>
        <v>0</v>
      </c>
      <c r="CM8" s="49">
        <v>6.9166666666666661</v>
      </c>
      <c r="CN8" s="49">
        <f t="shared" si="58"/>
        <v>83</v>
      </c>
      <c r="CO8" s="50">
        <f t="shared" si="59"/>
        <v>83</v>
      </c>
      <c r="CP8" s="49"/>
      <c r="CQ8" s="49">
        <f t="shared" si="60"/>
        <v>0</v>
      </c>
      <c r="CR8" s="50">
        <f t="shared" si="61"/>
        <v>0</v>
      </c>
      <c r="CS8" s="49"/>
      <c r="CT8" s="49">
        <f t="shared" si="62"/>
        <v>0</v>
      </c>
      <c r="CU8" s="50">
        <f t="shared" si="63"/>
        <v>0</v>
      </c>
      <c r="CV8" s="49"/>
      <c r="CW8" s="49">
        <f t="shared" si="64"/>
        <v>0</v>
      </c>
      <c r="CX8" s="50">
        <f t="shared" si="65"/>
        <v>0</v>
      </c>
      <c r="CY8" s="49"/>
      <c r="CZ8" s="49">
        <f t="shared" si="66"/>
        <v>0</v>
      </c>
      <c r="DA8" s="50">
        <f t="shared" si="67"/>
        <v>0</v>
      </c>
      <c r="DB8" s="49"/>
      <c r="DC8" s="49">
        <f t="shared" si="68"/>
        <v>0</v>
      </c>
      <c r="DD8" s="50">
        <f t="shared" si="69"/>
        <v>0</v>
      </c>
      <c r="DE8" s="49"/>
      <c r="DF8" s="49">
        <f t="shared" si="70"/>
        <v>0</v>
      </c>
      <c r="DG8" s="50">
        <f t="shared" si="71"/>
        <v>0</v>
      </c>
      <c r="DH8" s="49"/>
      <c r="DI8" s="49">
        <f t="shared" si="72"/>
        <v>0</v>
      </c>
      <c r="DJ8" s="50">
        <f t="shared" si="73"/>
        <v>0</v>
      </c>
      <c r="DK8" s="49">
        <v>10.3333333333333</v>
      </c>
      <c r="DL8" s="49">
        <f t="shared" si="74"/>
        <v>123.9999999999996</v>
      </c>
      <c r="DM8" s="50">
        <f t="shared" si="75"/>
        <v>84.319999999999737</v>
      </c>
      <c r="DN8" s="49">
        <v>19.75</v>
      </c>
      <c r="DO8" s="49">
        <f t="shared" si="76"/>
        <v>237</v>
      </c>
      <c r="DP8" s="50">
        <f t="shared" si="77"/>
        <v>237</v>
      </c>
      <c r="DQ8" s="49"/>
      <c r="DR8" s="49"/>
      <c r="DS8" s="49"/>
      <c r="DT8" s="46">
        <f t="shared" si="78"/>
        <v>1190.9583333333333</v>
      </c>
      <c r="DU8" s="46">
        <f t="shared" si="78"/>
        <v>17099</v>
      </c>
      <c r="DV8" s="46">
        <f t="shared" si="78"/>
        <v>13936.61</v>
      </c>
    </row>
    <row r="9" spans="1:126" s="8" customFormat="1" ht="21.95" customHeight="1" x14ac:dyDescent="0.6">
      <c r="A9" s="67"/>
      <c r="B9" s="7" t="s">
        <v>40</v>
      </c>
      <c r="C9" s="70"/>
      <c r="D9" s="49">
        <v>5</v>
      </c>
      <c r="E9" s="49">
        <f t="shared" si="0"/>
        <v>70</v>
      </c>
      <c r="F9" s="50">
        <f t="shared" si="1"/>
        <v>44.800000000000004</v>
      </c>
      <c r="G9" s="49"/>
      <c r="H9" s="49">
        <f t="shared" si="2"/>
        <v>0</v>
      </c>
      <c r="I9" s="50">
        <f t="shared" si="3"/>
        <v>0</v>
      </c>
      <c r="J9" s="49"/>
      <c r="K9" s="49">
        <f t="shared" si="4"/>
        <v>0</v>
      </c>
      <c r="L9" s="50">
        <f t="shared" si="5"/>
        <v>0</v>
      </c>
      <c r="M9" s="49"/>
      <c r="N9" s="49">
        <f t="shared" si="6"/>
        <v>0</v>
      </c>
      <c r="O9" s="50">
        <f t="shared" si="7"/>
        <v>0</v>
      </c>
      <c r="P9" s="49"/>
      <c r="Q9" s="49">
        <f t="shared" si="8"/>
        <v>0</v>
      </c>
      <c r="R9" s="50">
        <f t="shared" si="9"/>
        <v>0</v>
      </c>
      <c r="S9" s="49">
        <v>11</v>
      </c>
      <c r="T9" s="49">
        <f t="shared" si="10"/>
        <v>154</v>
      </c>
      <c r="U9" s="50">
        <f t="shared" si="11"/>
        <v>98.56</v>
      </c>
      <c r="V9" s="49">
        <v>7</v>
      </c>
      <c r="W9" s="49">
        <f t="shared" si="12"/>
        <v>98</v>
      </c>
      <c r="X9" s="50">
        <f t="shared" si="13"/>
        <v>62.72</v>
      </c>
      <c r="Y9" s="49"/>
      <c r="Z9" s="49">
        <f t="shared" si="14"/>
        <v>0</v>
      </c>
      <c r="AA9" s="50">
        <f t="shared" si="15"/>
        <v>0</v>
      </c>
      <c r="AB9" s="49"/>
      <c r="AC9" s="49">
        <f t="shared" si="16"/>
        <v>0</v>
      </c>
      <c r="AD9" s="50">
        <f t="shared" si="17"/>
        <v>0</v>
      </c>
      <c r="AE9" s="49"/>
      <c r="AF9" s="49">
        <f t="shared" si="18"/>
        <v>0</v>
      </c>
      <c r="AG9" s="50">
        <f t="shared" si="19"/>
        <v>0</v>
      </c>
      <c r="AH9" s="49">
        <v>2</v>
      </c>
      <c r="AI9" s="49">
        <f t="shared" si="20"/>
        <v>24</v>
      </c>
      <c r="AJ9" s="50">
        <f t="shared" si="21"/>
        <v>16.799999999999997</v>
      </c>
      <c r="AK9" s="49"/>
      <c r="AL9" s="49">
        <f t="shared" si="22"/>
        <v>0</v>
      </c>
      <c r="AM9" s="50">
        <f t="shared" si="23"/>
        <v>0</v>
      </c>
      <c r="AN9" s="49"/>
      <c r="AO9" s="49">
        <f t="shared" si="24"/>
        <v>0</v>
      </c>
      <c r="AP9" s="50">
        <f t="shared" si="25"/>
        <v>0</v>
      </c>
      <c r="AQ9" s="49"/>
      <c r="AR9" s="49">
        <f t="shared" si="26"/>
        <v>0</v>
      </c>
      <c r="AS9" s="50">
        <f t="shared" si="27"/>
        <v>0</v>
      </c>
      <c r="AT9" s="49"/>
      <c r="AU9" s="49">
        <f t="shared" si="28"/>
        <v>0</v>
      </c>
      <c r="AV9" s="50">
        <f t="shared" si="29"/>
        <v>0</v>
      </c>
      <c r="AW9" s="49">
        <v>210</v>
      </c>
      <c r="AX9" s="49">
        <f t="shared" si="30"/>
        <v>2520</v>
      </c>
      <c r="AY9" s="50">
        <f t="shared" si="31"/>
        <v>2520</v>
      </c>
      <c r="AZ9" s="49">
        <v>23</v>
      </c>
      <c r="BA9" s="49">
        <f t="shared" si="32"/>
        <v>276</v>
      </c>
      <c r="BB9" s="50">
        <f t="shared" si="33"/>
        <v>165.6</v>
      </c>
      <c r="BC9" s="49">
        <v>52</v>
      </c>
      <c r="BD9" s="49">
        <f t="shared" si="34"/>
        <v>2080</v>
      </c>
      <c r="BE9" s="50">
        <f t="shared" si="35"/>
        <v>728</v>
      </c>
      <c r="BF9" s="49">
        <v>21</v>
      </c>
      <c r="BG9" s="49">
        <f t="shared" si="36"/>
        <v>252</v>
      </c>
      <c r="BH9" s="50">
        <f t="shared" si="37"/>
        <v>252</v>
      </c>
      <c r="BI9" s="49"/>
      <c r="BJ9" s="49">
        <f t="shared" si="38"/>
        <v>0</v>
      </c>
      <c r="BK9" s="50">
        <f t="shared" si="39"/>
        <v>0</v>
      </c>
      <c r="BL9" s="49">
        <v>39</v>
      </c>
      <c r="BM9" s="49">
        <f t="shared" si="40"/>
        <v>1560</v>
      </c>
      <c r="BN9" s="50">
        <f t="shared" si="41"/>
        <v>546</v>
      </c>
      <c r="BO9" s="49"/>
      <c r="BP9" s="49">
        <f t="shared" si="42"/>
        <v>0</v>
      </c>
      <c r="BQ9" s="50">
        <f t="shared" si="43"/>
        <v>0</v>
      </c>
      <c r="BR9" s="49"/>
      <c r="BS9" s="49">
        <f t="shared" si="44"/>
        <v>0</v>
      </c>
      <c r="BT9" s="50">
        <f t="shared" si="45"/>
        <v>0</v>
      </c>
      <c r="BU9" s="49"/>
      <c r="BV9" s="49">
        <f t="shared" si="46"/>
        <v>0</v>
      </c>
      <c r="BW9" s="50">
        <f t="shared" si="47"/>
        <v>0</v>
      </c>
      <c r="BX9" s="49"/>
      <c r="BY9" s="49">
        <f t="shared" si="48"/>
        <v>0</v>
      </c>
      <c r="BZ9" s="50">
        <f t="shared" si="49"/>
        <v>0</v>
      </c>
      <c r="CA9" s="49"/>
      <c r="CB9" s="49">
        <f t="shared" si="50"/>
        <v>0</v>
      </c>
      <c r="CC9" s="50">
        <f t="shared" si="51"/>
        <v>0</v>
      </c>
      <c r="CD9" s="49"/>
      <c r="CE9" s="49">
        <f t="shared" si="52"/>
        <v>0</v>
      </c>
      <c r="CF9" s="50">
        <f t="shared" si="53"/>
        <v>0</v>
      </c>
      <c r="CG9" s="49"/>
      <c r="CH9" s="49">
        <f t="shared" si="54"/>
        <v>0</v>
      </c>
      <c r="CI9" s="50">
        <f t="shared" si="55"/>
        <v>0</v>
      </c>
      <c r="CJ9" s="49"/>
      <c r="CK9" s="49">
        <f t="shared" si="56"/>
        <v>0</v>
      </c>
      <c r="CL9" s="50">
        <f t="shared" si="57"/>
        <v>0</v>
      </c>
      <c r="CM9" s="49">
        <v>1</v>
      </c>
      <c r="CN9" s="49">
        <f t="shared" si="58"/>
        <v>12</v>
      </c>
      <c r="CO9" s="50">
        <f t="shared" si="59"/>
        <v>12</v>
      </c>
      <c r="CP9" s="49"/>
      <c r="CQ9" s="49">
        <f t="shared" si="60"/>
        <v>0</v>
      </c>
      <c r="CR9" s="50">
        <f t="shared" si="61"/>
        <v>0</v>
      </c>
      <c r="CS9" s="49"/>
      <c r="CT9" s="49">
        <f t="shared" si="62"/>
        <v>0</v>
      </c>
      <c r="CU9" s="50">
        <f t="shared" si="63"/>
        <v>0</v>
      </c>
      <c r="CV9" s="49"/>
      <c r="CW9" s="49">
        <f t="shared" si="64"/>
        <v>0</v>
      </c>
      <c r="CX9" s="50">
        <f t="shared" si="65"/>
        <v>0</v>
      </c>
      <c r="CY9" s="49"/>
      <c r="CZ9" s="49">
        <f t="shared" si="66"/>
        <v>0</v>
      </c>
      <c r="DA9" s="50">
        <f t="shared" si="67"/>
        <v>0</v>
      </c>
      <c r="DB9" s="49"/>
      <c r="DC9" s="49">
        <f t="shared" si="68"/>
        <v>0</v>
      </c>
      <c r="DD9" s="50">
        <f t="shared" si="69"/>
        <v>0</v>
      </c>
      <c r="DE9" s="49"/>
      <c r="DF9" s="49">
        <f t="shared" si="70"/>
        <v>0</v>
      </c>
      <c r="DG9" s="50">
        <f t="shared" si="71"/>
        <v>0</v>
      </c>
      <c r="DH9" s="49"/>
      <c r="DI9" s="49">
        <f t="shared" si="72"/>
        <v>0</v>
      </c>
      <c r="DJ9" s="50">
        <f t="shared" si="73"/>
        <v>0</v>
      </c>
      <c r="DK9" s="49">
        <v>2</v>
      </c>
      <c r="DL9" s="49">
        <f t="shared" si="74"/>
        <v>24</v>
      </c>
      <c r="DM9" s="50">
        <f t="shared" si="75"/>
        <v>16.32</v>
      </c>
      <c r="DN9" s="49">
        <v>1</v>
      </c>
      <c r="DO9" s="49">
        <f t="shared" si="76"/>
        <v>12</v>
      </c>
      <c r="DP9" s="50">
        <f t="shared" si="77"/>
        <v>12</v>
      </c>
      <c r="DQ9" s="49"/>
      <c r="DR9" s="49"/>
      <c r="DS9" s="49"/>
      <c r="DT9" s="46">
        <f t="shared" si="78"/>
        <v>374</v>
      </c>
      <c r="DU9" s="46">
        <f t="shared" si="78"/>
        <v>7082</v>
      </c>
      <c r="DV9" s="46">
        <f t="shared" si="78"/>
        <v>4474.7999999999993</v>
      </c>
    </row>
    <row r="10" spans="1:126" s="8" customFormat="1" ht="21.95" customHeight="1" x14ac:dyDescent="0.6">
      <c r="A10" s="67"/>
      <c r="B10" s="9" t="s">
        <v>34</v>
      </c>
      <c r="C10" s="10" t="s">
        <v>41</v>
      </c>
      <c r="D10" s="51">
        <v>2380</v>
      </c>
      <c r="E10" s="49">
        <f t="shared" si="0"/>
        <v>33320</v>
      </c>
      <c r="F10" s="50">
        <f t="shared" si="1"/>
        <v>21324.799999999999</v>
      </c>
      <c r="G10" s="51"/>
      <c r="H10" s="49">
        <f t="shared" si="2"/>
        <v>0</v>
      </c>
      <c r="I10" s="50">
        <f t="shared" si="3"/>
        <v>0</v>
      </c>
      <c r="J10" s="51"/>
      <c r="K10" s="49">
        <f t="shared" si="4"/>
        <v>0</v>
      </c>
      <c r="L10" s="50">
        <f t="shared" si="5"/>
        <v>0</v>
      </c>
      <c r="M10" s="51">
        <v>180</v>
      </c>
      <c r="N10" s="49">
        <f t="shared" si="6"/>
        <v>2520</v>
      </c>
      <c r="O10" s="50">
        <f t="shared" si="7"/>
        <v>1612.8</v>
      </c>
      <c r="P10" s="51"/>
      <c r="Q10" s="49">
        <f t="shared" si="8"/>
        <v>0</v>
      </c>
      <c r="R10" s="50">
        <f t="shared" si="9"/>
        <v>0</v>
      </c>
      <c r="S10" s="51"/>
      <c r="T10" s="49">
        <f t="shared" si="10"/>
        <v>0</v>
      </c>
      <c r="U10" s="50">
        <f t="shared" si="11"/>
        <v>0</v>
      </c>
      <c r="V10" s="51">
        <v>709</v>
      </c>
      <c r="W10" s="49">
        <f t="shared" si="12"/>
        <v>9926</v>
      </c>
      <c r="X10" s="50">
        <f t="shared" si="13"/>
        <v>6352.64</v>
      </c>
      <c r="Y10" s="51"/>
      <c r="Z10" s="49">
        <f t="shared" si="14"/>
        <v>0</v>
      </c>
      <c r="AA10" s="50">
        <f t="shared" si="15"/>
        <v>0</v>
      </c>
      <c r="AB10" s="51"/>
      <c r="AC10" s="49">
        <f t="shared" si="16"/>
        <v>0</v>
      </c>
      <c r="AD10" s="50">
        <f t="shared" si="17"/>
        <v>0</v>
      </c>
      <c r="AE10" s="51"/>
      <c r="AF10" s="49">
        <f t="shared" si="18"/>
        <v>0</v>
      </c>
      <c r="AG10" s="50">
        <f t="shared" si="19"/>
        <v>0</v>
      </c>
      <c r="AH10" s="51">
        <v>30</v>
      </c>
      <c r="AI10" s="49">
        <f t="shared" si="20"/>
        <v>360</v>
      </c>
      <c r="AJ10" s="50">
        <f t="shared" si="21"/>
        <v>251.99999999999997</v>
      </c>
      <c r="AK10" s="51"/>
      <c r="AL10" s="49">
        <f t="shared" si="22"/>
        <v>0</v>
      </c>
      <c r="AM10" s="50">
        <f t="shared" si="23"/>
        <v>0</v>
      </c>
      <c r="AN10" s="51"/>
      <c r="AO10" s="49">
        <f t="shared" si="24"/>
        <v>0</v>
      </c>
      <c r="AP10" s="50">
        <f t="shared" si="25"/>
        <v>0</v>
      </c>
      <c r="AQ10" s="51"/>
      <c r="AR10" s="49">
        <f t="shared" si="26"/>
        <v>0</v>
      </c>
      <c r="AS10" s="50">
        <f t="shared" si="27"/>
        <v>0</v>
      </c>
      <c r="AT10" s="51"/>
      <c r="AU10" s="49">
        <f t="shared" si="28"/>
        <v>0</v>
      </c>
      <c r="AV10" s="50">
        <f t="shared" si="29"/>
        <v>0</v>
      </c>
      <c r="AW10" s="51">
        <v>4970</v>
      </c>
      <c r="AX10" s="49">
        <f t="shared" si="30"/>
        <v>59640</v>
      </c>
      <c r="AY10" s="50">
        <f t="shared" si="31"/>
        <v>59640</v>
      </c>
      <c r="AZ10" s="51">
        <v>1170</v>
      </c>
      <c r="BA10" s="49">
        <f t="shared" si="32"/>
        <v>14040</v>
      </c>
      <c r="BB10" s="50">
        <f t="shared" si="33"/>
        <v>8424</v>
      </c>
      <c r="BC10" s="51">
        <v>995</v>
      </c>
      <c r="BD10" s="49">
        <f t="shared" si="34"/>
        <v>39800</v>
      </c>
      <c r="BE10" s="50">
        <f t="shared" si="35"/>
        <v>13930</v>
      </c>
      <c r="BF10" s="51">
        <v>1320</v>
      </c>
      <c r="BG10" s="49">
        <f t="shared" si="36"/>
        <v>15840</v>
      </c>
      <c r="BH10" s="50">
        <f t="shared" si="37"/>
        <v>15840</v>
      </c>
      <c r="BI10" s="51"/>
      <c r="BJ10" s="49">
        <f t="shared" si="38"/>
        <v>0</v>
      </c>
      <c r="BK10" s="50">
        <f t="shared" si="39"/>
        <v>0</v>
      </c>
      <c r="BL10" s="51">
        <v>240</v>
      </c>
      <c r="BM10" s="49">
        <f t="shared" si="40"/>
        <v>9600</v>
      </c>
      <c r="BN10" s="50">
        <f t="shared" si="41"/>
        <v>3360</v>
      </c>
      <c r="BO10" s="51"/>
      <c r="BP10" s="49">
        <f t="shared" si="42"/>
        <v>0</v>
      </c>
      <c r="BQ10" s="50">
        <f t="shared" si="43"/>
        <v>0</v>
      </c>
      <c r="BR10" s="51"/>
      <c r="BS10" s="49">
        <f t="shared" si="44"/>
        <v>0</v>
      </c>
      <c r="BT10" s="50">
        <f t="shared" si="45"/>
        <v>0</v>
      </c>
      <c r="BU10" s="51"/>
      <c r="BV10" s="49">
        <f t="shared" si="46"/>
        <v>0</v>
      </c>
      <c r="BW10" s="50">
        <f t="shared" si="47"/>
        <v>0</v>
      </c>
      <c r="BX10" s="51"/>
      <c r="BY10" s="49">
        <f t="shared" si="48"/>
        <v>0</v>
      </c>
      <c r="BZ10" s="50">
        <f t="shared" si="49"/>
        <v>0</v>
      </c>
      <c r="CA10" s="51"/>
      <c r="CB10" s="49">
        <f t="shared" si="50"/>
        <v>0</v>
      </c>
      <c r="CC10" s="50">
        <f t="shared" si="51"/>
        <v>0</v>
      </c>
      <c r="CD10" s="51"/>
      <c r="CE10" s="49">
        <f t="shared" si="52"/>
        <v>0</v>
      </c>
      <c r="CF10" s="50">
        <f t="shared" si="53"/>
        <v>0</v>
      </c>
      <c r="CG10" s="51"/>
      <c r="CH10" s="49">
        <f t="shared" si="54"/>
        <v>0</v>
      </c>
      <c r="CI10" s="50">
        <f t="shared" si="55"/>
        <v>0</v>
      </c>
      <c r="CJ10" s="51"/>
      <c r="CK10" s="49">
        <f t="shared" si="56"/>
        <v>0</v>
      </c>
      <c r="CL10" s="50">
        <f t="shared" si="57"/>
        <v>0</v>
      </c>
      <c r="CM10" s="51"/>
      <c r="CN10" s="49">
        <f t="shared" si="58"/>
        <v>0</v>
      </c>
      <c r="CO10" s="50">
        <f t="shared" si="59"/>
        <v>0</v>
      </c>
      <c r="CP10" s="51"/>
      <c r="CQ10" s="49">
        <f t="shared" si="60"/>
        <v>0</v>
      </c>
      <c r="CR10" s="50">
        <f t="shared" si="61"/>
        <v>0</v>
      </c>
      <c r="CS10" s="51"/>
      <c r="CT10" s="49">
        <f t="shared" si="62"/>
        <v>0</v>
      </c>
      <c r="CU10" s="50">
        <f t="shared" si="63"/>
        <v>0</v>
      </c>
      <c r="CV10" s="51"/>
      <c r="CW10" s="49">
        <f t="shared" si="64"/>
        <v>0</v>
      </c>
      <c r="CX10" s="50">
        <f t="shared" si="65"/>
        <v>0</v>
      </c>
      <c r="CY10" s="51"/>
      <c r="CZ10" s="49">
        <f t="shared" si="66"/>
        <v>0</v>
      </c>
      <c r="DA10" s="50">
        <f t="shared" si="67"/>
        <v>0</v>
      </c>
      <c r="DB10" s="51"/>
      <c r="DC10" s="49">
        <f t="shared" si="68"/>
        <v>0</v>
      </c>
      <c r="DD10" s="50">
        <f t="shared" si="69"/>
        <v>0</v>
      </c>
      <c r="DE10" s="51"/>
      <c r="DF10" s="49">
        <f t="shared" si="70"/>
        <v>0</v>
      </c>
      <c r="DG10" s="50">
        <f t="shared" si="71"/>
        <v>0</v>
      </c>
      <c r="DH10" s="51"/>
      <c r="DI10" s="49">
        <f t="shared" si="72"/>
        <v>0</v>
      </c>
      <c r="DJ10" s="50">
        <f t="shared" si="73"/>
        <v>0</v>
      </c>
      <c r="DK10" s="51"/>
      <c r="DL10" s="49">
        <f t="shared" si="74"/>
        <v>0</v>
      </c>
      <c r="DM10" s="50">
        <f t="shared" si="75"/>
        <v>0</v>
      </c>
      <c r="DN10" s="51"/>
      <c r="DO10" s="49">
        <f t="shared" si="76"/>
        <v>0</v>
      </c>
      <c r="DP10" s="50">
        <f t="shared" si="77"/>
        <v>0</v>
      </c>
      <c r="DQ10" s="51"/>
      <c r="DR10" s="51"/>
      <c r="DS10" s="51"/>
      <c r="DT10" s="46">
        <f t="shared" si="78"/>
        <v>11994</v>
      </c>
      <c r="DU10" s="46">
        <f t="shared" si="78"/>
        <v>185046</v>
      </c>
      <c r="DV10" s="46">
        <f t="shared" si="78"/>
        <v>130736.23999999999</v>
      </c>
    </row>
    <row r="11" spans="1:126" s="8" customFormat="1" ht="21.95" customHeight="1" x14ac:dyDescent="0.6">
      <c r="A11" s="67"/>
      <c r="B11" s="9" t="s">
        <v>36</v>
      </c>
      <c r="C11" s="10" t="s">
        <v>41</v>
      </c>
      <c r="D11" s="51">
        <v>390</v>
      </c>
      <c r="E11" s="49">
        <f t="shared" si="0"/>
        <v>5460</v>
      </c>
      <c r="F11" s="50">
        <f t="shared" si="1"/>
        <v>3494.4</v>
      </c>
      <c r="G11" s="51"/>
      <c r="H11" s="49">
        <f t="shared" si="2"/>
        <v>0</v>
      </c>
      <c r="I11" s="50">
        <f t="shared" si="3"/>
        <v>0</v>
      </c>
      <c r="J11" s="51"/>
      <c r="K11" s="49">
        <f t="shared" si="4"/>
        <v>0</v>
      </c>
      <c r="L11" s="50">
        <f t="shared" si="5"/>
        <v>0</v>
      </c>
      <c r="M11" s="51"/>
      <c r="N11" s="49">
        <f t="shared" si="6"/>
        <v>0</v>
      </c>
      <c r="O11" s="50">
        <f t="shared" si="7"/>
        <v>0</v>
      </c>
      <c r="P11" s="51"/>
      <c r="Q11" s="49">
        <f t="shared" si="8"/>
        <v>0</v>
      </c>
      <c r="R11" s="50">
        <f t="shared" si="9"/>
        <v>0</v>
      </c>
      <c r="S11" s="51"/>
      <c r="T11" s="49">
        <f t="shared" si="10"/>
        <v>0</v>
      </c>
      <c r="U11" s="50">
        <f t="shared" si="11"/>
        <v>0</v>
      </c>
      <c r="V11" s="51">
        <v>95</v>
      </c>
      <c r="W11" s="49">
        <f t="shared" si="12"/>
        <v>1330</v>
      </c>
      <c r="X11" s="50">
        <f t="shared" si="13"/>
        <v>851.2</v>
      </c>
      <c r="Y11" s="51"/>
      <c r="Z11" s="49">
        <f t="shared" si="14"/>
        <v>0</v>
      </c>
      <c r="AA11" s="50">
        <f t="shared" si="15"/>
        <v>0</v>
      </c>
      <c r="AB11" s="51"/>
      <c r="AC11" s="49">
        <f t="shared" si="16"/>
        <v>0</v>
      </c>
      <c r="AD11" s="50">
        <f t="shared" si="17"/>
        <v>0</v>
      </c>
      <c r="AE11" s="51"/>
      <c r="AF11" s="49">
        <f t="shared" si="18"/>
        <v>0</v>
      </c>
      <c r="AG11" s="50">
        <f t="shared" si="19"/>
        <v>0</v>
      </c>
      <c r="AH11" s="51"/>
      <c r="AI11" s="49">
        <f t="shared" si="20"/>
        <v>0</v>
      </c>
      <c r="AJ11" s="50">
        <f t="shared" si="21"/>
        <v>0</v>
      </c>
      <c r="AK11" s="51"/>
      <c r="AL11" s="49">
        <f t="shared" si="22"/>
        <v>0</v>
      </c>
      <c r="AM11" s="50">
        <f t="shared" si="23"/>
        <v>0</v>
      </c>
      <c r="AN11" s="51"/>
      <c r="AO11" s="49">
        <f t="shared" si="24"/>
        <v>0</v>
      </c>
      <c r="AP11" s="50">
        <f t="shared" si="25"/>
        <v>0</v>
      </c>
      <c r="AQ11" s="51"/>
      <c r="AR11" s="49">
        <f t="shared" si="26"/>
        <v>0</v>
      </c>
      <c r="AS11" s="50">
        <f t="shared" si="27"/>
        <v>0</v>
      </c>
      <c r="AT11" s="51"/>
      <c r="AU11" s="49">
        <f t="shared" si="28"/>
        <v>0</v>
      </c>
      <c r="AV11" s="50">
        <f t="shared" si="29"/>
        <v>0</v>
      </c>
      <c r="AW11" s="51">
        <v>835</v>
      </c>
      <c r="AX11" s="49">
        <f t="shared" si="30"/>
        <v>10020</v>
      </c>
      <c r="AY11" s="50">
        <f t="shared" si="31"/>
        <v>10020</v>
      </c>
      <c r="AZ11" s="51">
        <v>55</v>
      </c>
      <c r="BA11" s="49">
        <f t="shared" si="32"/>
        <v>660</v>
      </c>
      <c r="BB11" s="50">
        <f t="shared" si="33"/>
        <v>396</v>
      </c>
      <c r="BC11" s="51">
        <v>165</v>
      </c>
      <c r="BD11" s="49">
        <f t="shared" si="34"/>
        <v>6600</v>
      </c>
      <c r="BE11" s="50">
        <f t="shared" si="35"/>
        <v>2310</v>
      </c>
      <c r="BF11" s="51">
        <v>585</v>
      </c>
      <c r="BG11" s="49">
        <f t="shared" si="36"/>
        <v>7020</v>
      </c>
      <c r="BH11" s="50">
        <f t="shared" si="37"/>
        <v>7020</v>
      </c>
      <c r="BI11" s="51"/>
      <c r="BJ11" s="49">
        <f t="shared" si="38"/>
        <v>0</v>
      </c>
      <c r="BK11" s="50">
        <f t="shared" si="39"/>
        <v>0</v>
      </c>
      <c r="BL11" s="51">
        <v>120</v>
      </c>
      <c r="BM11" s="49">
        <f t="shared" si="40"/>
        <v>4800</v>
      </c>
      <c r="BN11" s="50">
        <f t="shared" si="41"/>
        <v>1680</v>
      </c>
      <c r="BO11" s="51"/>
      <c r="BP11" s="49">
        <f t="shared" si="42"/>
        <v>0</v>
      </c>
      <c r="BQ11" s="50">
        <f t="shared" si="43"/>
        <v>0</v>
      </c>
      <c r="BR11" s="51"/>
      <c r="BS11" s="49">
        <f t="shared" si="44"/>
        <v>0</v>
      </c>
      <c r="BT11" s="50">
        <f t="shared" si="45"/>
        <v>0</v>
      </c>
      <c r="BU11" s="51"/>
      <c r="BV11" s="49">
        <f t="shared" si="46"/>
        <v>0</v>
      </c>
      <c r="BW11" s="50">
        <f t="shared" si="47"/>
        <v>0</v>
      </c>
      <c r="BX11" s="51"/>
      <c r="BY11" s="49">
        <f t="shared" si="48"/>
        <v>0</v>
      </c>
      <c r="BZ11" s="50">
        <f t="shared" si="49"/>
        <v>0</v>
      </c>
      <c r="CA11" s="51"/>
      <c r="CB11" s="49">
        <f t="shared" si="50"/>
        <v>0</v>
      </c>
      <c r="CC11" s="50">
        <f t="shared" si="51"/>
        <v>0</v>
      </c>
      <c r="CD11" s="51"/>
      <c r="CE11" s="49">
        <f t="shared" si="52"/>
        <v>0</v>
      </c>
      <c r="CF11" s="50">
        <f t="shared" si="53"/>
        <v>0</v>
      </c>
      <c r="CG11" s="51"/>
      <c r="CH11" s="49">
        <f t="shared" si="54"/>
        <v>0</v>
      </c>
      <c r="CI11" s="50">
        <f t="shared" si="55"/>
        <v>0</v>
      </c>
      <c r="CJ11" s="51"/>
      <c r="CK11" s="49">
        <f t="shared" si="56"/>
        <v>0</v>
      </c>
      <c r="CL11" s="50">
        <f t="shared" si="57"/>
        <v>0</v>
      </c>
      <c r="CM11" s="51"/>
      <c r="CN11" s="49">
        <f t="shared" si="58"/>
        <v>0</v>
      </c>
      <c r="CO11" s="50">
        <f t="shared" si="59"/>
        <v>0</v>
      </c>
      <c r="CP11" s="51"/>
      <c r="CQ11" s="49">
        <f t="shared" si="60"/>
        <v>0</v>
      </c>
      <c r="CR11" s="50">
        <f t="shared" si="61"/>
        <v>0</v>
      </c>
      <c r="CS11" s="51"/>
      <c r="CT11" s="49">
        <f t="shared" si="62"/>
        <v>0</v>
      </c>
      <c r="CU11" s="50">
        <f t="shared" si="63"/>
        <v>0</v>
      </c>
      <c r="CV11" s="51"/>
      <c r="CW11" s="49">
        <f t="shared" si="64"/>
        <v>0</v>
      </c>
      <c r="CX11" s="50">
        <f t="shared" si="65"/>
        <v>0</v>
      </c>
      <c r="CY11" s="51"/>
      <c r="CZ11" s="49">
        <f t="shared" si="66"/>
        <v>0</v>
      </c>
      <c r="DA11" s="50">
        <f t="shared" si="67"/>
        <v>0</v>
      </c>
      <c r="DB11" s="51"/>
      <c r="DC11" s="49">
        <f t="shared" si="68"/>
        <v>0</v>
      </c>
      <c r="DD11" s="50">
        <f t="shared" si="69"/>
        <v>0</v>
      </c>
      <c r="DE11" s="51"/>
      <c r="DF11" s="49">
        <f t="shared" si="70"/>
        <v>0</v>
      </c>
      <c r="DG11" s="50">
        <f t="shared" si="71"/>
        <v>0</v>
      </c>
      <c r="DH11" s="51"/>
      <c r="DI11" s="49">
        <f t="shared" si="72"/>
        <v>0</v>
      </c>
      <c r="DJ11" s="50">
        <f t="shared" si="73"/>
        <v>0</v>
      </c>
      <c r="DK11" s="51"/>
      <c r="DL11" s="49">
        <f t="shared" si="74"/>
        <v>0</v>
      </c>
      <c r="DM11" s="50">
        <f t="shared" si="75"/>
        <v>0</v>
      </c>
      <c r="DN11" s="51"/>
      <c r="DO11" s="49">
        <f t="shared" si="76"/>
        <v>0</v>
      </c>
      <c r="DP11" s="50">
        <f t="shared" si="77"/>
        <v>0</v>
      </c>
      <c r="DQ11" s="51"/>
      <c r="DR11" s="51"/>
      <c r="DS11" s="51"/>
      <c r="DT11" s="46">
        <f t="shared" si="78"/>
        <v>2245</v>
      </c>
      <c r="DU11" s="46">
        <f t="shared" si="78"/>
        <v>35890</v>
      </c>
      <c r="DV11" s="46">
        <f t="shared" si="78"/>
        <v>25771.599999999999</v>
      </c>
    </row>
    <row r="12" spans="1:126" s="8" customFormat="1" ht="21.95" customHeight="1" x14ac:dyDescent="0.6">
      <c r="A12" s="67"/>
      <c r="B12" s="9" t="s">
        <v>38</v>
      </c>
      <c r="C12" s="10" t="s">
        <v>41</v>
      </c>
      <c r="D12" s="51">
        <v>1115</v>
      </c>
      <c r="E12" s="49">
        <f t="shared" si="0"/>
        <v>15610</v>
      </c>
      <c r="F12" s="50">
        <f t="shared" si="1"/>
        <v>9990.4</v>
      </c>
      <c r="G12" s="51"/>
      <c r="H12" s="49">
        <f t="shared" si="2"/>
        <v>0</v>
      </c>
      <c r="I12" s="50">
        <f t="shared" si="3"/>
        <v>0</v>
      </c>
      <c r="J12" s="51"/>
      <c r="K12" s="49">
        <f t="shared" si="4"/>
        <v>0</v>
      </c>
      <c r="L12" s="50">
        <f t="shared" si="5"/>
        <v>0</v>
      </c>
      <c r="M12" s="51"/>
      <c r="N12" s="49">
        <f t="shared" si="6"/>
        <v>0</v>
      </c>
      <c r="O12" s="50">
        <f t="shared" si="7"/>
        <v>0</v>
      </c>
      <c r="P12" s="51"/>
      <c r="Q12" s="49">
        <f t="shared" si="8"/>
        <v>0</v>
      </c>
      <c r="R12" s="50">
        <f t="shared" si="9"/>
        <v>0</v>
      </c>
      <c r="S12" s="51"/>
      <c r="T12" s="49">
        <f t="shared" si="10"/>
        <v>0</v>
      </c>
      <c r="U12" s="50">
        <f t="shared" si="11"/>
        <v>0</v>
      </c>
      <c r="V12" s="51">
        <v>18</v>
      </c>
      <c r="W12" s="49">
        <f t="shared" si="12"/>
        <v>252</v>
      </c>
      <c r="X12" s="50">
        <f t="shared" si="13"/>
        <v>161.28</v>
      </c>
      <c r="Y12" s="51"/>
      <c r="Z12" s="49">
        <f t="shared" si="14"/>
        <v>0</v>
      </c>
      <c r="AA12" s="50">
        <f t="shared" si="15"/>
        <v>0</v>
      </c>
      <c r="AB12" s="51"/>
      <c r="AC12" s="49">
        <f t="shared" si="16"/>
        <v>0</v>
      </c>
      <c r="AD12" s="50">
        <f t="shared" si="17"/>
        <v>0</v>
      </c>
      <c r="AE12" s="51"/>
      <c r="AF12" s="49">
        <f t="shared" si="18"/>
        <v>0</v>
      </c>
      <c r="AG12" s="50">
        <f t="shared" si="19"/>
        <v>0</v>
      </c>
      <c r="AH12" s="51">
        <v>73</v>
      </c>
      <c r="AI12" s="49">
        <f t="shared" si="20"/>
        <v>876</v>
      </c>
      <c r="AJ12" s="50">
        <f t="shared" si="21"/>
        <v>613.19999999999993</v>
      </c>
      <c r="AK12" s="51"/>
      <c r="AL12" s="49">
        <f t="shared" si="22"/>
        <v>0</v>
      </c>
      <c r="AM12" s="50">
        <f t="shared" si="23"/>
        <v>0</v>
      </c>
      <c r="AN12" s="51"/>
      <c r="AO12" s="49">
        <f t="shared" si="24"/>
        <v>0</v>
      </c>
      <c r="AP12" s="50">
        <f t="shared" si="25"/>
        <v>0</v>
      </c>
      <c r="AQ12" s="51"/>
      <c r="AR12" s="49">
        <f t="shared" si="26"/>
        <v>0</v>
      </c>
      <c r="AS12" s="50">
        <f t="shared" si="27"/>
        <v>0</v>
      </c>
      <c r="AT12" s="51"/>
      <c r="AU12" s="49">
        <f t="shared" si="28"/>
        <v>0</v>
      </c>
      <c r="AV12" s="50">
        <f t="shared" si="29"/>
        <v>0</v>
      </c>
      <c r="AW12" s="51">
        <v>2025</v>
      </c>
      <c r="AX12" s="49">
        <f t="shared" si="30"/>
        <v>24300</v>
      </c>
      <c r="AY12" s="50">
        <f t="shared" si="31"/>
        <v>24300</v>
      </c>
      <c r="AZ12" s="51">
        <v>176</v>
      </c>
      <c r="BA12" s="49">
        <f t="shared" si="32"/>
        <v>2112</v>
      </c>
      <c r="BB12" s="50">
        <f t="shared" si="33"/>
        <v>1267.2</v>
      </c>
      <c r="BC12" s="51">
        <v>351</v>
      </c>
      <c r="BD12" s="49">
        <f t="shared" si="34"/>
        <v>14040</v>
      </c>
      <c r="BE12" s="50">
        <f t="shared" si="35"/>
        <v>4914</v>
      </c>
      <c r="BF12" s="51">
        <v>2430</v>
      </c>
      <c r="BG12" s="49">
        <f t="shared" si="36"/>
        <v>29160</v>
      </c>
      <c r="BH12" s="50">
        <f t="shared" si="37"/>
        <v>29160</v>
      </c>
      <c r="BI12" s="51"/>
      <c r="BJ12" s="49">
        <f t="shared" si="38"/>
        <v>0</v>
      </c>
      <c r="BK12" s="50">
        <f t="shared" si="39"/>
        <v>0</v>
      </c>
      <c r="BL12" s="51">
        <v>255</v>
      </c>
      <c r="BM12" s="49">
        <f t="shared" si="40"/>
        <v>10200</v>
      </c>
      <c r="BN12" s="50">
        <f t="shared" si="41"/>
        <v>3570</v>
      </c>
      <c r="BO12" s="51"/>
      <c r="BP12" s="49">
        <f t="shared" si="42"/>
        <v>0</v>
      </c>
      <c r="BQ12" s="50">
        <f t="shared" si="43"/>
        <v>0</v>
      </c>
      <c r="BR12" s="51"/>
      <c r="BS12" s="49">
        <f t="shared" si="44"/>
        <v>0</v>
      </c>
      <c r="BT12" s="50">
        <f t="shared" si="45"/>
        <v>0</v>
      </c>
      <c r="BU12" s="51"/>
      <c r="BV12" s="49">
        <f t="shared" si="46"/>
        <v>0</v>
      </c>
      <c r="BW12" s="50">
        <f t="shared" si="47"/>
        <v>0</v>
      </c>
      <c r="BX12" s="51"/>
      <c r="BY12" s="49">
        <f t="shared" si="48"/>
        <v>0</v>
      </c>
      <c r="BZ12" s="50">
        <f t="shared" si="49"/>
        <v>0</v>
      </c>
      <c r="CA12" s="51"/>
      <c r="CB12" s="49">
        <f t="shared" si="50"/>
        <v>0</v>
      </c>
      <c r="CC12" s="50">
        <f t="shared" si="51"/>
        <v>0</v>
      </c>
      <c r="CD12" s="51"/>
      <c r="CE12" s="49">
        <f t="shared" si="52"/>
        <v>0</v>
      </c>
      <c r="CF12" s="50">
        <f t="shared" si="53"/>
        <v>0</v>
      </c>
      <c r="CG12" s="51"/>
      <c r="CH12" s="49">
        <f t="shared" si="54"/>
        <v>0</v>
      </c>
      <c r="CI12" s="50">
        <f t="shared" si="55"/>
        <v>0</v>
      </c>
      <c r="CJ12" s="51"/>
      <c r="CK12" s="49">
        <f t="shared" si="56"/>
        <v>0</v>
      </c>
      <c r="CL12" s="50">
        <f t="shared" si="57"/>
        <v>0</v>
      </c>
      <c r="CM12" s="51"/>
      <c r="CN12" s="49">
        <f t="shared" si="58"/>
        <v>0</v>
      </c>
      <c r="CO12" s="50">
        <f t="shared" si="59"/>
        <v>0</v>
      </c>
      <c r="CP12" s="51"/>
      <c r="CQ12" s="49">
        <f t="shared" si="60"/>
        <v>0</v>
      </c>
      <c r="CR12" s="50">
        <f t="shared" si="61"/>
        <v>0</v>
      </c>
      <c r="CS12" s="51"/>
      <c r="CT12" s="49">
        <f t="shared" si="62"/>
        <v>0</v>
      </c>
      <c r="CU12" s="50">
        <f t="shared" si="63"/>
        <v>0</v>
      </c>
      <c r="CV12" s="51"/>
      <c r="CW12" s="49">
        <f t="shared" si="64"/>
        <v>0</v>
      </c>
      <c r="CX12" s="50">
        <f t="shared" si="65"/>
        <v>0</v>
      </c>
      <c r="CY12" s="51"/>
      <c r="CZ12" s="49">
        <f t="shared" si="66"/>
        <v>0</v>
      </c>
      <c r="DA12" s="50">
        <f t="shared" si="67"/>
        <v>0</v>
      </c>
      <c r="DB12" s="51"/>
      <c r="DC12" s="49">
        <f t="shared" si="68"/>
        <v>0</v>
      </c>
      <c r="DD12" s="50">
        <f t="shared" si="69"/>
        <v>0</v>
      </c>
      <c r="DE12" s="51"/>
      <c r="DF12" s="49">
        <f t="shared" si="70"/>
        <v>0</v>
      </c>
      <c r="DG12" s="50">
        <f t="shared" si="71"/>
        <v>0</v>
      </c>
      <c r="DH12" s="51"/>
      <c r="DI12" s="49">
        <f t="shared" si="72"/>
        <v>0</v>
      </c>
      <c r="DJ12" s="50">
        <f t="shared" si="73"/>
        <v>0</v>
      </c>
      <c r="DK12" s="51"/>
      <c r="DL12" s="49">
        <f t="shared" si="74"/>
        <v>0</v>
      </c>
      <c r="DM12" s="50">
        <f t="shared" si="75"/>
        <v>0</v>
      </c>
      <c r="DN12" s="51"/>
      <c r="DO12" s="49">
        <f t="shared" si="76"/>
        <v>0</v>
      </c>
      <c r="DP12" s="50">
        <f t="shared" si="77"/>
        <v>0</v>
      </c>
      <c r="DQ12" s="51"/>
      <c r="DR12" s="51"/>
      <c r="DS12" s="51"/>
      <c r="DT12" s="46">
        <f t="shared" si="78"/>
        <v>6443</v>
      </c>
      <c r="DU12" s="46">
        <f t="shared" si="78"/>
        <v>96550</v>
      </c>
      <c r="DV12" s="46">
        <f t="shared" si="78"/>
        <v>73976.08</v>
      </c>
    </row>
    <row r="13" spans="1:126" s="8" customFormat="1" ht="21.95" customHeight="1" x14ac:dyDescent="0.6">
      <c r="A13" s="67"/>
      <c r="B13" s="9" t="s">
        <v>40</v>
      </c>
      <c r="C13" s="10" t="s">
        <v>41</v>
      </c>
      <c r="D13" s="51">
        <v>1520</v>
      </c>
      <c r="E13" s="49">
        <f t="shared" si="0"/>
        <v>21280</v>
      </c>
      <c r="F13" s="50">
        <f t="shared" si="1"/>
        <v>13619.2</v>
      </c>
      <c r="G13" s="51"/>
      <c r="H13" s="49">
        <f t="shared" si="2"/>
        <v>0</v>
      </c>
      <c r="I13" s="50">
        <f t="shared" si="3"/>
        <v>0</v>
      </c>
      <c r="J13" s="51"/>
      <c r="K13" s="49">
        <f t="shared" si="4"/>
        <v>0</v>
      </c>
      <c r="L13" s="50">
        <f t="shared" si="5"/>
        <v>0</v>
      </c>
      <c r="M13" s="51"/>
      <c r="N13" s="49">
        <f t="shared" si="6"/>
        <v>0</v>
      </c>
      <c r="O13" s="50">
        <f t="shared" si="7"/>
        <v>0</v>
      </c>
      <c r="P13" s="51"/>
      <c r="Q13" s="49">
        <f t="shared" si="8"/>
        <v>0</v>
      </c>
      <c r="R13" s="50">
        <f t="shared" si="9"/>
        <v>0</v>
      </c>
      <c r="S13" s="51"/>
      <c r="T13" s="49">
        <f t="shared" si="10"/>
        <v>0</v>
      </c>
      <c r="U13" s="50">
        <f t="shared" si="11"/>
        <v>0</v>
      </c>
      <c r="V13" s="51">
        <v>160</v>
      </c>
      <c r="W13" s="49">
        <f t="shared" si="12"/>
        <v>2240</v>
      </c>
      <c r="X13" s="50">
        <f t="shared" si="13"/>
        <v>1433.6000000000001</v>
      </c>
      <c r="Y13" s="51"/>
      <c r="Z13" s="49">
        <f t="shared" si="14"/>
        <v>0</v>
      </c>
      <c r="AA13" s="50">
        <f t="shared" si="15"/>
        <v>0</v>
      </c>
      <c r="AB13" s="51"/>
      <c r="AC13" s="49">
        <f t="shared" si="16"/>
        <v>0</v>
      </c>
      <c r="AD13" s="50">
        <f t="shared" si="17"/>
        <v>0</v>
      </c>
      <c r="AE13" s="51"/>
      <c r="AF13" s="49">
        <f t="shared" si="18"/>
        <v>0</v>
      </c>
      <c r="AG13" s="50">
        <f t="shared" si="19"/>
        <v>0</v>
      </c>
      <c r="AH13" s="51">
        <v>80</v>
      </c>
      <c r="AI13" s="49">
        <f t="shared" si="20"/>
        <v>960</v>
      </c>
      <c r="AJ13" s="50">
        <f t="shared" si="21"/>
        <v>672</v>
      </c>
      <c r="AK13" s="51"/>
      <c r="AL13" s="49">
        <f t="shared" si="22"/>
        <v>0</v>
      </c>
      <c r="AM13" s="50">
        <f t="shared" si="23"/>
        <v>0</v>
      </c>
      <c r="AN13" s="51"/>
      <c r="AO13" s="49">
        <f t="shared" si="24"/>
        <v>0</v>
      </c>
      <c r="AP13" s="50">
        <f t="shared" si="25"/>
        <v>0</v>
      </c>
      <c r="AQ13" s="51"/>
      <c r="AR13" s="49">
        <f t="shared" si="26"/>
        <v>0</v>
      </c>
      <c r="AS13" s="50">
        <f t="shared" si="27"/>
        <v>0</v>
      </c>
      <c r="AT13" s="51"/>
      <c r="AU13" s="49">
        <f t="shared" si="28"/>
        <v>0</v>
      </c>
      <c r="AV13" s="50">
        <f t="shared" si="29"/>
        <v>0</v>
      </c>
      <c r="AW13" s="51">
        <v>2340</v>
      </c>
      <c r="AX13" s="49">
        <f t="shared" si="30"/>
        <v>28080</v>
      </c>
      <c r="AY13" s="50">
        <f t="shared" si="31"/>
        <v>28080</v>
      </c>
      <c r="AZ13" s="51">
        <v>435</v>
      </c>
      <c r="BA13" s="49">
        <f t="shared" si="32"/>
        <v>5220</v>
      </c>
      <c r="BB13" s="50">
        <f t="shared" si="33"/>
        <v>3132</v>
      </c>
      <c r="BC13" s="51">
        <v>370</v>
      </c>
      <c r="BD13" s="49">
        <f t="shared" si="34"/>
        <v>14800</v>
      </c>
      <c r="BE13" s="50">
        <f t="shared" si="35"/>
        <v>5180</v>
      </c>
      <c r="BF13" s="51">
        <v>1320</v>
      </c>
      <c r="BG13" s="49">
        <f t="shared" si="36"/>
        <v>15840</v>
      </c>
      <c r="BH13" s="50">
        <f t="shared" si="37"/>
        <v>15840</v>
      </c>
      <c r="BI13" s="51"/>
      <c r="BJ13" s="49">
        <f t="shared" si="38"/>
        <v>0</v>
      </c>
      <c r="BK13" s="50">
        <f t="shared" si="39"/>
        <v>0</v>
      </c>
      <c r="BL13" s="51">
        <v>195</v>
      </c>
      <c r="BM13" s="49">
        <f t="shared" si="40"/>
        <v>7800</v>
      </c>
      <c r="BN13" s="50">
        <f t="shared" si="41"/>
        <v>2730</v>
      </c>
      <c r="BO13" s="51"/>
      <c r="BP13" s="49">
        <f t="shared" si="42"/>
        <v>0</v>
      </c>
      <c r="BQ13" s="50">
        <f t="shared" si="43"/>
        <v>0</v>
      </c>
      <c r="BR13" s="51"/>
      <c r="BS13" s="49">
        <f t="shared" si="44"/>
        <v>0</v>
      </c>
      <c r="BT13" s="50">
        <f t="shared" si="45"/>
        <v>0</v>
      </c>
      <c r="BU13" s="51"/>
      <c r="BV13" s="49">
        <f t="shared" si="46"/>
        <v>0</v>
      </c>
      <c r="BW13" s="50">
        <f t="shared" si="47"/>
        <v>0</v>
      </c>
      <c r="BX13" s="51"/>
      <c r="BY13" s="49">
        <f t="shared" si="48"/>
        <v>0</v>
      </c>
      <c r="BZ13" s="50">
        <f t="shared" si="49"/>
        <v>0</v>
      </c>
      <c r="CA13" s="51"/>
      <c r="CB13" s="49">
        <f t="shared" si="50"/>
        <v>0</v>
      </c>
      <c r="CC13" s="50">
        <f t="shared" si="51"/>
        <v>0</v>
      </c>
      <c r="CD13" s="51"/>
      <c r="CE13" s="49">
        <f t="shared" si="52"/>
        <v>0</v>
      </c>
      <c r="CF13" s="50">
        <f t="shared" si="53"/>
        <v>0</v>
      </c>
      <c r="CG13" s="51"/>
      <c r="CH13" s="49">
        <f t="shared" si="54"/>
        <v>0</v>
      </c>
      <c r="CI13" s="50">
        <f t="shared" si="55"/>
        <v>0</v>
      </c>
      <c r="CJ13" s="51"/>
      <c r="CK13" s="49">
        <f t="shared" si="56"/>
        <v>0</v>
      </c>
      <c r="CL13" s="50">
        <f t="shared" si="57"/>
        <v>0</v>
      </c>
      <c r="CM13" s="51"/>
      <c r="CN13" s="49">
        <f t="shared" si="58"/>
        <v>0</v>
      </c>
      <c r="CO13" s="50">
        <f t="shared" si="59"/>
        <v>0</v>
      </c>
      <c r="CP13" s="51"/>
      <c r="CQ13" s="49">
        <f t="shared" si="60"/>
        <v>0</v>
      </c>
      <c r="CR13" s="50">
        <f t="shared" si="61"/>
        <v>0</v>
      </c>
      <c r="CS13" s="51"/>
      <c r="CT13" s="49">
        <f t="shared" si="62"/>
        <v>0</v>
      </c>
      <c r="CU13" s="50">
        <f t="shared" si="63"/>
        <v>0</v>
      </c>
      <c r="CV13" s="51"/>
      <c r="CW13" s="49">
        <f t="shared" si="64"/>
        <v>0</v>
      </c>
      <c r="CX13" s="50">
        <f t="shared" si="65"/>
        <v>0</v>
      </c>
      <c r="CY13" s="51"/>
      <c r="CZ13" s="49">
        <f t="shared" si="66"/>
        <v>0</v>
      </c>
      <c r="DA13" s="50">
        <f t="shared" si="67"/>
        <v>0</v>
      </c>
      <c r="DB13" s="51"/>
      <c r="DC13" s="49">
        <f t="shared" si="68"/>
        <v>0</v>
      </c>
      <c r="DD13" s="50">
        <f t="shared" si="69"/>
        <v>0</v>
      </c>
      <c r="DE13" s="51"/>
      <c r="DF13" s="49">
        <f t="shared" si="70"/>
        <v>0</v>
      </c>
      <c r="DG13" s="50">
        <f t="shared" si="71"/>
        <v>0</v>
      </c>
      <c r="DH13" s="51"/>
      <c r="DI13" s="49">
        <f t="shared" si="72"/>
        <v>0</v>
      </c>
      <c r="DJ13" s="50">
        <f t="shared" si="73"/>
        <v>0</v>
      </c>
      <c r="DK13" s="51"/>
      <c r="DL13" s="49">
        <f t="shared" si="74"/>
        <v>0</v>
      </c>
      <c r="DM13" s="50">
        <f t="shared" si="75"/>
        <v>0</v>
      </c>
      <c r="DN13" s="51"/>
      <c r="DO13" s="49">
        <f t="shared" si="76"/>
        <v>0</v>
      </c>
      <c r="DP13" s="50">
        <f t="shared" si="77"/>
        <v>0</v>
      </c>
      <c r="DQ13" s="51"/>
      <c r="DR13" s="51"/>
      <c r="DS13" s="51"/>
      <c r="DT13" s="46">
        <f t="shared" si="78"/>
        <v>6420</v>
      </c>
      <c r="DU13" s="46">
        <f t="shared" si="78"/>
        <v>96220</v>
      </c>
      <c r="DV13" s="46">
        <f t="shared" si="78"/>
        <v>70686.8</v>
      </c>
    </row>
    <row r="14" spans="1:126" s="8" customFormat="1" ht="21.95" customHeight="1" x14ac:dyDescent="0.6">
      <c r="A14" s="67"/>
      <c r="B14" s="9" t="s">
        <v>34</v>
      </c>
      <c r="C14" s="10" t="s">
        <v>42</v>
      </c>
      <c r="D14" s="51">
        <v>670</v>
      </c>
      <c r="E14" s="49">
        <f t="shared" si="0"/>
        <v>9380</v>
      </c>
      <c r="F14" s="50">
        <f t="shared" si="1"/>
        <v>6003.2</v>
      </c>
      <c r="G14" s="51"/>
      <c r="H14" s="49">
        <f t="shared" si="2"/>
        <v>0</v>
      </c>
      <c r="I14" s="50">
        <f t="shared" si="3"/>
        <v>0</v>
      </c>
      <c r="J14" s="51"/>
      <c r="K14" s="49">
        <f t="shared" si="4"/>
        <v>0</v>
      </c>
      <c r="L14" s="50">
        <f t="shared" si="5"/>
        <v>0</v>
      </c>
      <c r="M14" s="51">
        <v>65</v>
      </c>
      <c r="N14" s="49">
        <f t="shared" si="6"/>
        <v>910</v>
      </c>
      <c r="O14" s="50">
        <f t="shared" si="7"/>
        <v>582.4</v>
      </c>
      <c r="P14" s="51"/>
      <c r="Q14" s="49">
        <f t="shared" si="8"/>
        <v>0</v>
      </c>
      <c r="R14" s="50">
        <f t="shared" si="9"/>
        <v>0</v>
      </c>
      <c r="S14" s="51"/>
      <c r="T14" s="49">
        <f t="shared" si="10"/>
        <v>0</v>
      </c>
      <c r="U14" s="50">
        <f t="shared" si="11"/>
        <v>0</v>
      </c>
      <c r="V14" s="51">
        <v>75</v>
      </c>
      <c r="W14" s="49">
        <f t="shared" si="12"/>
        <v>1050</v>
      </c>
      <c r="X14" s="50">
        <f t="shared" si="13"/>
        <v>672</v>
      </c>
      <c r="Y14" s="51"/>
      <c r="Z14" s="49">
        <f t="shared" si="14"/>
        <v>0</v>
      </c>
      <c r="AA14" s="50">
        <f t="shared" si="15"/>
        <v>0</v>
      </c>
      <c r="AB14" s="51"/>
      <c r="AC14" s="49">
        <f t="shared" si="16"/>
        <v>0</v>
      </c>
      <c r="AD14" s="50">
        <f t="shared" si="17"/>
        <v>0</v>
      </c>
      <c r="AE14" s="51"/>
      <c r="AF14" s="49">
        <f t="shared" si="18"/>
        <v>0</v>
      </c>
      <c r="AG14" s="50">
        <f t="shared" si="19"/>
        <v>0</v>
      </c>
      <c r="AH14" s="51">
        <v>10</v>
      </c>
      <c r="AI14" s="49">
        <f t="shared" si="20"/>
        <v>120</v>
      </c>
      <c r="AJ14" s="50">
        <f t="shared" si="21"/>
        <v>84</v>
      </c>
      <c r="AK14" s="51"/>
      <c r="AL14" s="49">
        <f t="shared" si="22"/>
        <v>0</v>
      </c>
      <c r="AM14" s="50">
        <f t="shared" si="23"/>
        <v>0</v>
      </c>
      <c r="AN14" s="51"/>
      <c r="AO14" s="49">
        <f t="shared" si="24"/>
        <v>0</v>
      </c>
      <c r="AP14" s="50">
        <f t="shared" si="25"/>
        <v>0</v>
      </c>
      <c r="AQ14" s="51"/>
      <c r="AR14" s="49">
        <f t="shared" si="26"/>
        <v>0</v>
      </c>
      <c r="AS14" s="50">
        <f t="shared" si="27"/>
        <v>0</v>
      </c>
      <c r="AT14" s="51"/>
      <c r="AU14" s="49">
        <f t="shared" si="28"/>
        <v>0</v>
      </c>
      <c r="AV14" s="50">
        <f t="shared" si="29"/>
        <v>0</v>
      </c>
      <c r="AW14" s="51">
        <v>600</v>
      </c>
      <c r="AX14" s="49">
        <f t="shared" si="30"/>
        <v>7200</v>
      </c>
      <c r="AY14" s="50">
        <f t="shared" si="31"/>
        <v>7200</v>
      </c>
      <c r="AZ14" s="51">
        <v>150</v>
      </c>
      <c r="BA14" s="49">
        <f t="shared" si="32"/>
        <v>1800</v>
      </c>
      <c r="BB14" s="50">
        <f t="shared" si="33"/>
        <v>1080</v>
      </c>
      <c r="BC14" s="51">
        <v>160</v>
      </c>
      <c r="BD14" s="49">
        <f t="shared" si="34"/>
        <v>6400</v>
      </c>
      <c r="BE14" s="50">
        <f t="shared" si="35"/>
        <v>2240</v>
      </c>
      <c r="BF14" s="51">
        <v>75</v>
      </c>
      <c r="BG14" s="49">
        <f t="shared" si="36"/>
        <v>900</v>
      </c>
      <c r="BH14" s="50">
        <f t="shared" si="37"/>
        <v>900</v>
      </c>
      <c r="BI14" s="51"/>
      <c r="BJ14" s="49">
        <f t="shared" si="38"/>
        <v>0</v>
      </c>
      <c r="BK14" s="50">
        <f t="shared" si="39"/>
        <v>0</v>
      </c>
      <c r="BL14" s="51">
        <v>3</v>
      </c>
      <c r="BM14" s="49">
        <f t="shared" si="40"/>
        <v>120</v>
      </c>
      <c r="BN14" s="50">
        <f t="shared" si="41"/>
        <v>42</v>
      </c>
      <c r="BO14" s="51"/>
      <c r="BP14" s="49">
        <f t="shared" si="42"/>
        <v>0</v>
      </c>
      <c r="BQ14" s="50">
        <f t="shared" si="43"/>
        <v>0</v>
      </c>
      <c r="BR14" s="51"/>
      <c r="BS14" s="49">
        <f t="shared" si="44"/>
        <v>0</v>
      </c>
      <c r="BT14" s="50">
        <f t="shared" si="45"/>
        <v>0</v>
      </c>
      <c r="BU14" s="51"/>
      <c r="BV14" s="49">
        <f t="shared" si="46"/>
        <v>0</v>
      </c>
      <c r="BW14" s="50">
        <f t="shared" si="47"/>
        <v>0</v>
      </c>
      <c r="BX14" s="51"/>
      <c r="BY14" s="49">
        <f t="shared" si="48"/>
        <v>0</v>
      </c>
      <c r="BZ14" s="50">
        <f t="shared" si="49"/>
        <v>0</v>
      </c>
      <c r="CA14" s="51"/>
      <c r="CB14" s="49">
        <f t="shared" si="50"/>
        <v>0</v>
      </c>
      <c r="CC14" s="50">
        <f t="shared" si="51"/>
        <v>0</v>
      </c>
      <c r="CD14" s="51"/>
      <c r="CE14" s="49">
        <f t="shared" si="52"/>
        <v>0</v>
      </c>
      <c r="CF14" s="50">
        <f t="shared" si="53"/>
        <v>0</v>
      </c>
      <c r="CG14" s="51"/>
      <c r="CH14" s="49">
        <f t="shared" si="54"/>
        <v>0</v>
      </c>
      <c r="CI14" s="50">
        <f t="shared" si="55"/>
        <v>0</v>
      </c>
      <c r="CJ14" s="51"/>
      <c r="CK14" s="49">
        <f t="shared" si="56"/>
        <v>0</v>
      </c>
      <c r="CL14" s="50">
        <f t="shared" si="57"/>
        <v>0</v>
      </c>
      <c r="CM14" s="51"/>
      <c r="CN14" s="49">
        <f t="shared" si="58"/>
        <v>0</v>
      </c>
      <c r="CO14" s="50">
        <f t="shared" si="59"/>
        <v>0</v>
      </c>
      <c r="CP14" s="51"/>
      <c r="CQ14" s="49">
        <f t="shared" si="60"/>
        <v>0</v>
      </c>
      <c r="CR14" s="50">
        <f t="shared" si="61"/>
        <v>0</v>
      </c>
      <c r="CS14" s="51"/>
      <c r="CT14" s="49">
        <f t="shared" si="62"/>
        <v>0</v>
      </c>
      <c r="CU14" s="50">
        <f t="shared" si="63"/>
        <v>0</v>
      </c>
      <c r="CV14" s="51"/>
      <c r="CW14" s="49">
        <f t="shared" si="64"/>
        <v>0</v>
      </c>
      <c r="CX14" s="50">
        <f t="shared" si="65"/>
        <v>0</v>
      </c>
      <c r="CY14" s="51"/>
      <c r="CZ14" s="49">
        <f t="shared" si="66"/>
        <v>0</v>
      </c>
      <c r="DA14" s="50">
        <f t="shared" si="67"/>
        <v>0</v>
      </c>
      <c r="DB14" s="51"/>
      <c r="DC14" s="49">
        <f t="shared" si="68"/>
        <v>0</v>
      </c>
      <c r="DD14" s="50">
        <f t="shared" si="69"/>
        <v>0</v>
      </c>
      <c r="DE14" s="51"/>
      <c r="DF14" s="49">
        <f t="shared" si="70"/>
        <v>0</v>
      </c>
      <c r="DG14" s="50">
        <f t="shared" si="71"/>
        <v>0</v>
      </c>
      <c r="DH14" s="51"/>
      <c r="DI14" s="49">
        <f t="shared" si="72"/>
        <v>0</v>
      </c>
      <c r="DJ14" s="50">
        <f t="shared" si="73"/>
        <v>0</v>
      </c>
      <c r="DK14" s="51"/>
      <c r="DL14" s="49">
        <f t="shared" si="74"/>
        <v>0</v>
      </c>
      <c r="DM14" s="50">
        <f t="shared" si="75"/>
        <v>0</v>
      </c>
      <c r="DN14" s="51"/>
      <c r="DO14" s="49">
        <f t="shared" si="76"/>
        <v>0</v>
      </c>
      <c r="DP14" s="50">
        <f t="shared" si="77"/>
        <v>0</v>
      </c>
      <c r="DQ14" s="51"/>
      <c r="DR14" s="51"/>
      <c r="DS14" s="51"/>
      <c r="DT14" s="46">
        <f t="shared" si="78"/>
        <v>1808</v>
      </c>
      <c r="DU14" s="46">
        <f t="shared" si="78"/>
        <v>27880</v>
      </c>
      <c r="DV14" s="46">
        <f t="shared" si="78"/>
        <v>18803.599999999999</v>
      </c>
    </row>
    <row r="15" spans="1:126" s="8" customFormat="1" ht="21.95" customHeight="1" x14ac:dyDescent="0.6">
      <c r="A15" s="67"/>
      <c r="B15" s="9" t="s">
        <v>36</v>
      </c>
      <c r="C15" s="10" t="s">
        <v>42</v>
      </c>
      <c r="D15" s="51">
        <v>335</v>
      </c>
      <c r="E15" s="49">
        <f t="shared" si="0"/>
        <v>4690</v>
      </c>
      <c r="F15" s="50">
        <f t="shared" si="1"/>
        <v>3001.6</v>
      </c>
      <c r="G15" s="51"/>
      <c r="H15" s="49">
        <f t="shared" si="2"/>
        <v>0</v>
      </c>
      <c r="I15" s="50">
        <f t="shared" si="3"/>
        <v>0</v>
      </c>
      <c r="J15" s="51">
        <v>109</v>
      </c>
      <c r="K15" s="49">
        <f t="shared" si="4"/>
        <v>1308</v>
      </c>
      <c r="L15" s="50">
        <f t="shared" si="5"/>
        <v>837.12</v>
      </c>
      <c r="M15" s="51"/>
      <c r="N15" s="49">
        <f t="shared" si="6"/>
        <v>0</v>
      </c>
      <c r="O15" s="50">
        <f t="shared" si="7"/>
        <v>0</v>
      </c>
      <c r="P15" s="51"/>
      <c r="Q15" s="49">
        <f t="shared" si="8"/>
        <v>0</v>
      </c>
      <c r="R15" s="50">
        <f t="shared" si="9"/>
        <v>0</v>
      </c>
      <c r="S15" s="51"/>
      <c r="T15" s="49">
        <f t="shared" si="10"/>
        <v>0</v>
      </c>
      <c r="U15" s="50">
        <f t="shared" si="11"/>
        <v>0</v>
      </c>
      <c r="V15" s="51">
        <v>130</v>
      </c>
      <c r="W15" s="49">
        <f t="shared" si="12"/>
        <v>1820</v>
      </c>
      <c r="X15" s="50">
        <f t="shared" si="13"/>
        <v>1164.8</v>
      </c>
      <c r="Y15" s="51"/>
      <c r="Z15" s="49">
        <f t="shared" si="14"/>
        <v>0</v>
      </c>
      <c r="AA15" s="50">
        <f t="shared" si="15"/>
        <v>0</v>
      </c>
      <c r="AB15" s="51"/>
      <c r="AC15" s="49">
        <f t="shared" si="16"/>
        <v>0</v>
      </c>
      <c r="AD15" s="50">
        <f t="shared" si="17"/>
        <v>0</v>
      </c>
      <c r="AE15" s="51"/>
      <c r="AF15" s="49">
        <f t="shared" si="18"/>
        <v>0</v>
      </c>
      <c r="AG15" s="50">
        <f t="shared" si="19"/>
        <v>0</v>
      </c>
      <c r="AH15" s="51"/>
      <c r="AI15" s="49">
        <f t="shared" si="20"/>
        <v>0</v>
      </c>
      <c r="AJ15" s="50">
        <f t="shared" si="21"/>
        <v>0</v>
      </c>
      <c r="AK15" s="51"/>
      <c r="AL15" s="49">
        <f t="shared" si="22"/>
        <v>0</v>
      </c>
      <c r="AM15" s="50">
        <f t="shared" si="23"/>
        <v>0</v>
      </c>
      <c r="AN15" s="51"/>
      <c r="AO15" s="49">
        <f t="shared" si="24"/>
        <v>0</v>
      </c>
      <c r="AP15" s="50">
        <f t="shared" si="25"/>
        <v>0</v>
      </c>
      <c r="AQ15" s="51"/>
      <c r="AR15" s="49">
        <f t="shared" si="26"/>
        <v>0</v>
      </c>
      <c r="AS15" s="50">
        <f t="shared" si="27"/>
        <v>0</v>
      </c>
      <c r="AT15" s="51"/>
      <c r="AU15" s="49">
        <f t="shared" si="28"/>
        <v>0</v>
      </c>
      <c r="AV15" s="50">
        <f t="shared" si="29"/>
        <v>0</v>
      </c>
      <c r="AW15" s="51">
        <v>530</v>
      </c>
      <c r="AX15" s="49">
        <f t="shared" si="30"/>
        <v>6360</v>
      </c>
      <c r="AY15" s="50">
        <f t="shared" si="31"/>
        <v>6360</v>
      </c>
      <c r="AZ15" s="51">
        <v>20</v>
      </c>
      <c r="BA15" s="49">
        <f t="shared" si="32"/>
        <v>240</v>
      </c>
      <c r="BB15" s="50">
        <f t="shared" si="33"/>
        <v>144</v>
      </c>
      <c r="BC15" s="51">
        <v>152</v>
      </c>
      <c r="BD15" s="49">
        <f t="shared" si="34"/>
        <v>6080</v>
      </c>
      <c r="BE15" s="50">
        <f t="shared" si="35"/>
        <v>2128</v>
      </c>
      <c r="BF15" s="51">
        <v>750</v>
      </c>
      <c r="BG15" s="49">
        <f t="shared" si="36"/>
        <v>9000</v>
      </c>
      <c r="BH15" s="50">
        <f t="shared" si="37"/>
        <v>9000</v>
      </c>
      <c r="BI15" s="51"/>
      <c r="BJ15" s="49">
        <f t="shared" si="38"/>
        <v>0</v>
      </c>
      <c r="BK15" s="50">
        <f t="shared" si="39"/>
        <v>0</v>
      </c>
      <c r="BL15" s="51">
        <v>33</v>
      </c>
      <c r="BM15" s="49">
        <f t="shared" si="40"/>
        <v>1320</v>
      </c>
      <c r="BN15" s="50">
        <f t="shared" si="41"/>
        <v>461.99999999999994</v>
      </c>
      <c r="BO15" s="51"/>
      <c r="BP15" s="49">
        <f t="shared" si="42"/>
        <v>0</v>
      </c>
      <c r="BQ15" s="50">
        <f t="shared" si="43"/>
        <v>0</v>
      </c>
      <c r="BR15" s="51"/>
      <c r="BS15" s="49">
        <f t="shared" si="44"/>
        <v>0</v>
      </c>
      <c r="BT15" s="50">
        <f t="shared" si="45"/>
        <v>0</v>
      </c>
      <c r="BU15" s="51"/>
      <c r="BV15" s="49">
        <f t="shared" si="46"/>
        <v>0</v>
      </c>
      <c r="BW15" s="50">
        <f t="shared" si="47"/>
        <v>0</v>
      </c>
      <c r="BX15" s="51"/>
      <c r="BY15" s="49">
        <f t="shared" si="48"/>
        <v>0</v>
      </c>
      <c r="BZ15" s="50">
        <f t="shared" si="49"/>
        <v>0</v>
      </c>
      <c r="CA15" s="51"/>
      <c r="CB15" s="49">
        <f t="shared" si="50"/>
        <v>0</v>
      </c>
      <c r="CC15" s="50">
        <f t="shared" si="51"/>
        <v>0</v>
      </c>
      <c r="CD15" s="51"/>
      <c r="CE15" s="49">
        <f t="shared" si="52"/>
        <v>0</v>
      </c>
      <c r="CF15" s="50">
        <f t="shared" si="53"/>
        <v>0</v>
      </c>
      <c r="CG15" s="51"/>
      <c r="CH15" s="49">
        <f t="shared" si="54"/>
        <v>0</v>
      </c>
      <c r="CI15" s="50">
        <f t="shared" si="55"/>
        <v>0</v>
      </c>
      <c r="CJ15" s="51"/>
      <c r="CK15" s="49">
        <f t="shared" si="56"/>
        <v>0</v>
      </c>
      <c r="CL15" s="50">
        <f t="shared" si="57"/>
        <v>0</v>
      </c>
      <c r="CM15" s="51"/>
      <c r="CN15" s="49">
        <f t="shared" si="58"/>
        <v>0</v>
      </c>
      <c r="CO15" s="50">
        <f t="shared" si="59"/>
        <v>0</v>
      </c>
      <c r="CP15" s="51"/>
      <c r="CQ15" s="49">
        <f t="shared" si="60"/>
        <v>0</v>
      </c>
      <c r="CR15" s="50">
        <f t="shared" si="61"/>
        <v>0</v>
      </c>
      <c r="CS15" s="51"/>
      <c r="CT15" s="49">
        <f t="shared" si="62"/>
        <v>0</v>
      </c>
      <c r="CU15" s="50">
        <f t="shared" si="63"/>
        <v>0</v>
      </c>
      <c r="CV15" s="51"/>
      <c r="CW15" s="49">
        <f t="shared" si="64"/>
        <v>0</v>
      </c>
      <c r="CX15" s="50">
        <f t="shared" si="65"/>
        <v>0</v>
      </c>
      <c r="CY15" s="51"/>
      <c r="CZ15" s="49">
        <f t="shared" si="66"/>
        <v>0</v>
      </c>
      <c r="DA15" s="50">
        <f t="shared" si="67"/>
        <v>0</v>
      </c>
      <c r="DB15" s="51"/>
      <c r="DC15" s="49">
        <f t="shared" si="68"/>
        <v>0</v>
      </c>
      <c r="DD15" s="50">
        <f t="shared" si="69"/>
        <v>0</v>
      </c>
      <c r="DE15" s="51"/>
      <c r="DF15" s="49">
        <f t="shared" si="70"/>
        <v>0</v>
      </c>
      <c r="DG15" s="50">
        <f t="shared" si="71"/>
        <v>0</v>
      </c>
      <c r="DH15" s="51"/>
      <c r="DI15" s="49">
        <f t="shared" si="72"/>
        <v>0</v>
      </c>
      <c r="DJ15" s="50">
        <f t="shared" si="73"/>
        <v>0</v>
      </c>
      <c r="DK15" s="51"/>
      <c r="DL15" s="49">
        <f t="shared" si="74"/>
        <v>0</v>
      </c>
      <c r="DM15" s="50">
        <f t="shared" si="75"/>
        <v>0</v>
      </c>
      <c r="DN15" s="51"/>
      <c r="DO15" s="49">
        <f t="shared" si="76"/>
        <v>0</v>
      </c>
      <c r="DP15" s="50">
        <f t="shared" si="77"/>
        <v>0</v>
      </c>
      <c r="DQ15" s="51"/>
      <c r="DR15" s="51"/>
      <c r="DS15" s="51"/>
      <c r="DT15" s="46">
        <f t="shared" si="78"/>
        <v>2059</v>
      </c>
      <c r="DU15" s="46">
        <f t="shared" si="78"/>
        <v>30818</v>
      </c>
      <c r="DV15" s="46">
        <f t="shared" si="78"/>
        <v>23097.52</v>
      </c>
    </row>
    <row r="16" spans="1:126" s="8" customFormat="1" ht="21.95" customHeight="1" x14ac:dyDescent="0.6">
      <c r="A16" s="67"/>
      <c r="B16" s="9" t="s">
        <v>38</v>
      </c>
      <c r="C16" s="10" t="s">
        <v>42</v>
      </c>
      <c r="D16" s="51">
        <v>350</v>
      </c>
      <c r="E16" s="49">
        <f t="shared" si="0"/>
        <v>4900</v>
      </c>
      <c r="F16" s="50">
        <f t="shared" si="1"/>
        <v>3136</v>
      </c>
      <c r="G16" s="51"/>
      <c r="H16" s="49">
        <f t="shared" si="2"/>
        <v>0</v>
      </c>
      <c r="I16" s="50">
        <f t="shared" si="3"/>
        <v>0</v>
      </c>
      <c r="J16" s="51"/>
      <c r="K16" s="49">
        <f t="shared" si="4"/>
        <v>0</v>
      </c>
      <c r="L16" s="50">
        <f t="shared" si="5"/>
        <v>0</v>
      </c>
      <c r="M16" s="51"/>
      <c r="N16" s="49">
        <f t="shared" si="6"/>
        <v>0</v>
      </c>
      <c r="O16" s="50">
        <f t="shared" si="7"/>
        <v>0</v>
      </c>
      <c r="P16" s="51"/>
      <c r="Q16" s="49">
        <f t="shared" si="8"/>
        <v>0</v>
      </c>
      <c r="R16" s="50">
        <f t="shared" si="9"/>
        <v>0</v>
      </c>
      <c r="S16" s="51"/>
      <c r="T16" s="49">
        <f t="shared" si="10"/>
        <v>0</v>
      </c>
      <c r="U16" s="50">
        <f t="shared" si="11"/>
        <v>0</v>
      </c>
      <c r="V16" s="51"/>
      <c r="W16" s="49">
        <f t="shared" si="12"/>
        <v>0</v>
      </c>
      <c r="X16" s="50">
        <f t="shared" si="13"/>
        <v>0</v>
      </c>
      <c r="Y16" s="51"/>
      <c r="Z16" s="49">
        <f t="shared" si="14"/>
        <v>0</v>
      </c>
      <c r="AA16" s="50">
        <f t="shared" si="15"/>
        <v>0</v>
      </c>
      <c r="AB16" s="51"/>
      <c r="AC16" s="49">
        <f t="shared" si="16"/>
        <v>0</v>
      </c>
      <c r="AD16" s="50">
        <f t="shared" si="17"/>
        <v>0</v>
      </c>
      <c r="AE16" s="51"/>
      <c r="AF16" s="49">
        <f t="shared" si="18"/>
        <v>0</v>
      </c>
      <c r="AG16" s="50">
        <f t="shared" si="19"/>
        <v>0</v>
      </c>
      <c r="AH16" s="51"/>
      <c r="AI16" s="49">
        <f t="shared" si="20"/>
        <v>0</v>
      </c>
      <c r="AJ16" s="50">
        <f t="shared" si="21"/>
        <v>0</v>
      </c>
      <c r="AK16" s="51"/>
      <c r="AL16" s="49">
        <f t="shared" si="22"/>
        <v>0</v>
      </c>
      <c r="AM16" s="50">
        <f t="shared" si="23"/>
        <v>0</v>
      </c>
      <c r="AN16" s="51"/>
      <c r="AO16" s="49">
        <f t="shared" si="24"/>
        <v>0</v>
      </c>
      <c r="AP16" s="50">
        <f t="shared" si="25"/>
        <v>0</v>
      </c>
      <c r="AQ16" s="51"/>
      <c r="AR16" s="49">
        <f t="shared" si="26"/>
        <v>0</v>
      </c>
      <c r="AS16" s="50">
        <f t="shared" si="27"/>
        <v>0</v>
      </c>
      <c r="AT16" s="51"/>
      <c r="AU16" s="49">
        <f t="shared" si="28"/>
        <v>0</v>
      </c>
      <c r="AV16" s="50">
        <f t="shared" si="29"/>
        <v>0</v>
      </c>
      <c r="AW16" s="51">
        <v>370</v>
      </c>
      <c r="AX16" s="49">
        <f t="shared" si="30"/>
        <v>4440</v>
      </c>
      <c r="AY16" s="50">
        <f t="shared" si="31"/>
        <v>4440</v>
      </c>
      <c r="AZ16" s="51">
        <v>25</v>
      </c>
      <c r="BA16" s="49">
        <f t="shared" si="32"/>
        <v>300</v>
      </c>
      <c r="BB16" s="50">
        <f t="shared" si="33"/>
        <v>180</v>
      </c>
      <c r="BC16" s="51">
        <v>45</v>
      </c>
      <c r="BD16" s="49">
        <f t="shared" si="34"/>
        <v>1800</v>
      </c>
      <c r="BE16" s="50">
        <f t="shared" si="35"/>
        <v>630</v>
      </c>
      <c r="BF16" s="51">
        <v>345</v>
      </c>
      <c r="BG16" s="49">
        <f t="shared" si="36"/>
        <v>4140</v>
      </c>
      <c r="BH16" s="50">
        <f t="shared" si="37"/>
        <v>4140</v>
      </c>
      <c r="BI16" s="51"/>
      <c r="BJ16" s="49">
        <f t="shared" si="38"/>
        <v>0</v>
      </c>
      <c r="BK16" s="50">
        <f t="shared" si="39"/>
        <v>0</v>
      </c>
      <c r="BL16" s="51">
        <v>75</v>
      </c>
      <c r="BM16" s="49">
        <f t="shared" si="40"/>
        <v>3000</v>
      </c>
      <c r="BN16" s="50">
        <f t="shared" si="41"/>
        <v>1050</v>
      </c>
      <c r="BO16" s="51"/>
      <c r="BP16" s="49">
        <f t="shared" si="42"/>
        <v>0</v>
      </c>
      <c r="BQ16" s="50">
        <f t="shared" si="43"/>
        <v>0</v>
      </c>
      <c r="BR16" s="51"/>
      <c r="BS16" s="49">
        <f t="shared" si="44"/>
        <v>0</v>
      </c>
      <c r="BT16" s="50">
        <f t="shared" si="45"/>
        <v>0</v>
      </c>
      <c r="BU16" s="51"/>
      <c r="BV16" s="49">
        <f t="shared" si="46"/>
        <v>0</v>
      </c>
      <c r="BW16" s="50">
        <f t="shared" si="47"/>
        <v>0</v>
      </c>
      <c r="BX16" s="51"/>
      <c r="BY16" s="49">
        <f t="shared" si="48"/>
        <v>0</v>
      </c>
      <c r="BZ16" s="50">
        <f t="shared" si="49"/>
        <v>0</v>
      </c>
      <c r="CA16" s="51"/>
      <c r="CB16" s="49">
        <f t="shared" si="50"/>
        <v>0</v>
      </c>
      <c r="CC16" s="50">
        <f t="shared" si="51"/>
        <v>0</v>
      </c>
      <c r="CD16" s="51"/>
      <c r="CE16" s="49">
        <f t="shared" si="52"/>
        <v>0</v>
      </c>
      <c r="CF16" s="50">
        <f t="shared" si="53"/>
        <v>0</v>
      </c>
      <c r="CG16" s="51"/>
      <c r="CH16" s="49">
        <f t="shared" si="54"/>
        <v>0</v>
      </c>
      <c r="CI16" s="50">
        <f t="shared" si="55"/>
        <v>0</v>
      </c>
      <c r="CJ16" s="51"/>
      <c r="CK16" s="49">
        <f t="shared" si="56"/>
        <v>0</v>
      </c>
      <c r="CL16" s="50">
        <f t="shared" si="57"/>
        <v>0</v>
      </c>
      <c r="CM16" s="51"/>
      <c r="CN16" s="49">
        <f t="shared" si="58"/>
        <v>0</v>
      </c>
      <c r="CO16" s="50">
        <f t="shared" si="59"/>
        <v>0</v>
      </c>
      <c r="CP16" s="51"/>
      <c r="CQ16" s="49">
        <f t="shared" si="60"/>
        <v>0</v>
      </c>
      <c r="CR16" s="50">
        <f t="shared" si="61"/>
        <v>0</v>
      </c>
      <c r="CS16" s="51"/>
      <c r="CT16" s="49">
        <f t="shared" si="62"/>
        <v>0</v>
      </c>
      <c r="CU16" s="50">
        <f t="shared" si="63"/>
        <v>0</v>
      </c>
      <c r="CV16" s="51"/>
      <c r="CW16" s="49">
        <f t="shared" si="64"/>
        <v>0</v>
      </c>
      <c r="CX16" s="50">
        <f t="shared" si="65"/>
        <v>0</v>
      </c>
      <c r="CY16" s="51"/>
      <c r="CZ16" s="49">
        <f t="shared" si="66"/>
        <v>0</v>
      </c>
      <c r="DA16" s="50">
        <f t="shared" si="67"/>
        <v>0</v>
      </c>
      <c r="DB16" s="51"/>
      <c r="DC16" s="49">
        <f t="shared" si="68"/>
        <v>0</v>
      </c>
      <c r="DD16" s="50">
        <f t="shared" si="69"/>
        <v>0</v>
      </c>
      <c r="DE16" s="51"/>
      <c r="DF16" s="49">
        <f t="shared" si="70"/>
        <v>0</v>
      </c>
      <c r="DG16" s="50">
        <f t="shared" si="71"/>
        <v>0</v>
      </c>
      <c r="DH16" s="51"/>
      <c r="DI16" s="49">
        <f t="shared" si="72"/>
        <v>0</v>
      </c>
      <c r="DJ16" s="50">
        <f t="shared" si="73"/>
        <v>0</v>
      </c>
      <c r="DK16" s="51"/>
      <c r="DL16" s="49">
        <f t="shared" si="74"/>
        <v>0</v>
      </c>
      <c r="DM16" s="50">
        <f t="shared" si="75"/>
        <v>0</v>
      </c>
      <c r="DN16" s="51"/>
      <c r="DO16" s="49">
        <f t="shared" si="76"/>
        <v>0</v>
      </c>
      <c r="DP16" s="50">
        <f t="shared" si="77"/>
        <v>0</v>
      </c>
      <c r="DQ16" s="51"/>
      <c r="DR16" s="51"/>
      <c r="DS16" s="51"/>
      <c r="DT16" s="46">
        <f t="shared" si="78"/>
        <v>1210</v>
      </c>
      <c r="DU16" s="46">
        <f t="shared" si="78"/>
        <v>18580</v>
      </c>
      <c r="DV16" s="46">
        <f t="shared" si="78"/>
        <v>13576</v>
      </c>
    </row>
    <row r="17" spans="1:126" s="8" customFormat="1" ht="21.95" customHeight="1" thickBot="1" x14ac:dyDescent="0.65">
      <c r="A17" s="67"/>
      <c r="B17" s="9" t="s">
        <v>40</v>
      </c>
      <c r="C17" s="10" t="s">
        <v>42</v>
      </c>
      <c r="D17" s="51">
        <v>0</v>
      </c>
      <c r="E17" s="49">
        <f t="shared" si="0"/>
        <v>0</v>
      </c>
      <c r="F17" s="50">
        <f t="shared" si="1"/>
        <v>0</v>
      </c>
      <c r="G17" s="51"/>
      <c r="H17" s="49">
        <f t="shared" si="2"/>
        <v>0</v>
      </c>
      <c r="I17" s="50">
        <f t="shared" si="3"/>
        <v>0</v>
      </c>
      <c r="J17" s="51">
        <v>0</v>
      </c>
      <c r="K17" s="49">
        <f t="shared" si="4"/>
        <v>0</v>
      </c>
      <c r="L17" s="50">
        <f t="shared" si="5"/>
        <v>0</v>
      </c>
      <c r="M17" s="51">
        <v>0</v>
      </c>
      <c r="N17" s="49">
        <f t="shared" si="6"/>
        <v>0</v>
      </c>
      <c r="O17" s="50">
        <f t="shared" si="7"/>
        <v>0</v>
      </c>
      <c r="P17" s="51"/>
      <c r="Q17" s="49">
        <f t="shared" si="8"/>
        <v>0</v>
      </c>
      <c r="R17" s="50">
        <f t="shared" si="9"/>
        <v>0</v>
      </c>
      <c r="S17" s="51"/>
      <c r="T17" s="49">
        <f t="shared" si="10"/>
        <v>0</v>
      </c>
      <c r="U17" s="50">
        <f t="shared" si="11"/>
        <v>0</v>
      </c>
      <c r="V17" s="51"/>
      <c r="W17" s="49">
        <f t="shared" si="12"/>
        <v>0</v>
      </c>
      <c r="X17" s="50">
        <f t="shared" si="13"/>
        <v>0</v>
      </c>
      <c r="Y17" s="51"/>
      <c r="Z17" s="49">
        <f t="shared" si="14"/>
        <v>0</v>
      </c>
      <c r="AA17" s="50">
        <f t="shared" si="15"/>
        <v>0</v>
      </c>
      <c r="AB17" s="51"/>
      <c r="AC17" s="49">
        <f t="shared" si="16"/>
        <v>0</v>
      </c>
      <c r="AD17" s="50">
        <f t="shared" si="17"/>
        <v>0</v>
      </c>
      <c r="AE17" s="51"/>
      <c r="AF17" s="49">
        <f t="shared" si="18"/>
        <v>0</v>
      </c>
      <c r="AG17" s="50">
        <f t="shared" si="19"/>
        <v>0</v>
      </c>
      <c r="AH17" s="51"/>
      <c r="AI17" s="49">
        <f t="shared" si="20"/>
        <v>0</v>
      </c>
      <c r="AJ17" s="50">
        <f t="shared" si="21"/>
        <v>0</v>
      </c>
      <c r="AK17" s="51"/>
      <c r="AL17" s="49">
        <f t="shared" si="22"/>
        <v>0</v>
      </c>
      <c r="AM17" s="50">
        <f t="shared" si="23"/>
        <v>0</v>
      </c>
      <c r="AN17" s="51"/>
      <c r="AO17" s="49">
        <f t="shared" si="24"/>
        <v>0</v>
      </c>
      <c r="AP17" s="50">
        <f t="shared" si="25"/>
        <v>0</v>
      </c>
      <c r="AQ17" s="51"/>
      <c r="AR17" s="49">
        <f t="shared" si="26"/>
        <v>0</v>
      </c>
      <c r="AS17" s="50">
        <f t="shared" si="27"/>
        <v>0</v>
      </c>
      <c r="AT17" s="51"/>
      <c r="AU17" s="49">
        <f t="shared" si="28"/>
        <v>0</v>
      </c>
      <c r="AV17" s="50">
        <f t="shared" si="29"/>
        <v>0</v>
      </c>
      <c r="AW17" s="51"/>
      <c r="AX17" s="49">
        <f t="shared" si="30"/>
        <v>0</v>
      </c>
      <c r="AY17" s="50">
        <f t="shared" si="31"/>
        <v>0</v>
      </c>
      <c r="AZ17" s="51"/>
      <c r="BA17" s="49">
        <f t="shared" si="32"/>
        <v>0</v>
      </c>
      <c r="BB17" s="50">
        <f t="shared" si="33"/>
        <v>0</v>
      </c>
      <c r="BC17" s="51"/>
      <c r="BD17" s="49">
        <f t="shared" si="34"/>
        <v>0</v>
      </c>
      <c r="BE17" s="50">
        <f t="shared" si="35"/>
        <v>0</v>
      </c>
      <c r="BF17" s="51"/>
      <c r="BG17" s="49">
        <f t="shared" si="36"/>
        <v>0</v>
      </c>
      <c r="BH17" s="50">
        <f t="shared" si="37"/>
        <v>0</v>
      </c>
      <c r="BI17" s="51"/>
      <c r="BJ17" s="49">
        <f t="shared" si="38"/>
        <v>0</v>
      </c>
      <c r="BK17" s="50">
        <f t="shared" si="39"/>
        <v>0</v>
      </c>
      <c r="BL17" s="51"/>
      <c r="BM17" s="49">
        <f t="shared" si="40"/>
        <v>0</v>
      </c>
      <c r="BN17" s="50">
        <f t="shared" si="41"/>
        <v>0</v>
      </c>
      <c r="BO17" s="51"/>
      <c r="BP17" s="49">
        <f t="shared" si="42"/>
        <v>0</v>
      </c>
      <c r="BQ17" s="50">
        <f t="shared" si="43"/>
        <v>0</v>
      </c>
      <c r="BR17" s="51"/>
      <c r="BS17" s="49">
        <f t="shared" si="44"/>
        <v>0</v>
      </c>
      <c r="BT17" s="50">
        <f t="shared" si="45"/>
        <v>0</v>
      </c>
      <c r="BU17" s="51"/>
      <c r="BV17" s="49">
        <f t="shared" si="46"/>
        <v>0</v>
      </c>
      <c r="BW17" s="50">
        <f t="shared" si="47"/>
        <v>0</v>
      </c>
      <c r="BX17" s="51"/>
      <c r="BY17" s="49">
        <f t="shared" si="48"/>
        <v>0</v>
      </c>
      <c r="BZ17" s="50">
        <f t="shared" si="49"/>
        <v>0</v>
      </c>
      <c r="CA17" s="51"/>
      <c r="CB17" s="49">
        <f t="shared" si="50"/>
        <v>0</v>
      </c>
      <c r="CC17" s="50">
        <f t="shared" si="51"/>
        <v>0</v>
      </c>
      <c r="CD17" s="51"/>
      <c r="CE17" s="49">
        <f t="shared" si="52"/>
        <v>0</v>
      </c>
      <c r="CF17" s="50">
        <f t="shared" si="53"/>
        <v>0</v>
      </c>
      <c r="CG17" s="51"/>
      <c r="CH17" s="49">
        <f t="shared" si="54"/>
        <v>0</v>
      </c>
      <c r="CI17" s="50">
        <f t="shared" si="55"/>
        <v>0</v>
      </c>
      <c r="CJ17" s="51"/>
      <c r="CK17" s="49">
        <f t="shared" si="56"/>
        <v>0</v>
      </c>
      <c r="CL17" s="50">
        <f t="shared" si="57"/>
        <v>0</v>
      </c>
      <c r="CM17" s="51"/>
      <c r="CN17" s="49">
        <f t="shared" si="58"/>
        <v>0</v>
      </c>
      <c r="CO17" s="50">
        <f t="shared" si="59"/>
        <v>0</v>
      </c>
      <c r="CP17" s="51"/>
      <c r="CQ17" s="49">
        <f t="shared" si="60"/>
        <v>0</v>
      </c>
      <c r="CR17" s="50">
        <f t="shared" si="61"/>
        <v>0</v>
      </c>
      <c r="CS17" s="51"/>
      <c r="CT17" s="49">
        <f t="shared" si="62"/>
        <v>0</v>
      </c>
      <c r="CU17" s="50">
        <f t="shared" si="63"/>
        <v>0</v>
      </c>
      <c r="CV17" s="51"/>
      <c r="CW17" s="49">
        <f t="shared" si="64"/>
        <v>0</v>
      </c>
      <c r="CX17" s="50">
        <f t="shared" si="65"/>
        <v>0</v>
      </c>
      <c r="CY17" s="51"/>
      <c r="CZ17" s="49">
        <f t="shared" si="66"/>
        <v>0</v>
      </c>
      <c r="DA17" s="50">
        <f t="shared" si="67"/>
        <v>0</v>
      </c>
      <c r="DB17" s="51"/>
      <c r="DC17" s="49">
        <f t="shared" si="68"/>
        <v>0</v>
      </c>
      <c r="DD17" s="50">
        <f t="shared" si="69"/>
        <v>0</v>
      </c>
      <c r="DE17" s="51"/>
      <c r="DF17" s="49">
        <f t="shared" si="70"/>
        <v>0</v>
      </c>
      <c r="DG17" s="50">
        <f t="shared" si="71"/>
        <v>0</v>
      </c>
      <c r="DH17" s="51"/>
      <c r="DI17" s="49">
        <f t="shared" si="72"/>
        <v>0</v>
      </c>
      <c r="DJ17" s="50">
        <f t="shared" si="73"/>
        <v>0</v>
      </c>
      <c r="DK17" s="51"/>
      <c r="DL17" s="49">
        <f t="shared" si="74"/>
        <v>0</v>
      </c>
      <c r="DM17" s="50">
        <f t="shared" si="75"/>
        <v>0</v>
      </c>
      <c r="DN17" s="51"/>
      <c r="DO17" s="49">
        <f t="shared" si="76"/>
        <v>0</v>
      </c>
      <c r="DP17" s="50">
        <f t="shared" si="77"/>
        <v>0</v>
      </c>
      <c r="DQ17" s="51"/>
      <c r="DR17" s="51"/>
      <c r="DS17" s="51"/>
      <c r="DT17" s="46">
        <f t="shared" si="78"/>
        <v>0</v>
      </c>
      <c r="DU17" s="46">
        <f t="shared" si="78"/>
        <v>0</v>
      </c>
      <c r="DV17" s="46">
        <f t="shared" si="78"/>
        <v>0</v>
      </c>
    </row>
    <row r="18" spans="1:126" s="8" customFormat="1" ht="21.95" customHeight="1" thickBot="1" x14ac:dyDescent="0.65">
      <c r="A18" s="28"/>
      <c r="B18" s="30"/>
      <c r="C18" s="31"/>
      <c r="D18" s="52">
        <f t="shared" ref="D18:AI18" si="79">SUM(D5:D17)</f>
        <v>7155</v>
      </c>
      <c r="E18" s="52">
        <f t="shared" si="79"/>
        <v>100170</v>
      </c>
      <c r="F18" s="53">
        <f t="shared" si="79"/>
        <v>64108.799999999996</v>
      </c>
      <c r="G18" s="52">
        <f t="shared" si="79"/>
        <v>0</v>
      </c>
      <c r="H18" s="52">
        <f t="shared" si="79"/>
        <v>0</v>
      </c>
      <c r="I18" s="53">
        <f t="shared" si="79"/>
        <v>0</v>
      </c>
      <c r="J18" s="52">
        <f t="shared" si="79"/>
        <v>109</v>
      </c>
      <c r="K18" s="52">
        <f t="shared" si="79"/>
        <v>1308</v>
      </c>
      <c r="L18" s="53">
        <f t="shared" si="79"/>
        <v>837.12</v>
      </c>
      <c r="M18" s="52">
        <f t="shared" si="79"/>
        <v>272</v>
      </c>
      <c r="N18" s="52">
        <f t="shared" si="79"/>
        <v>3808</v>
      </c>
      <c r="O18" s="53">
        <f t="shared" si="79"/>
        <v>2437.12</v>
      </c>
      <c r="P18" s="52">
        <f t="shared" si="79"/>
        <v>0</v>
      </c>
      <c r="Q18" s="52">
        <f t="shared" si="79"/>
        <v>0</v>
      </c>
      <c r="R18" s="53">
        <f t="shared" si="79"/>
        <v>0</v>
      </c>
      <c r="S18" s="52">
        <f t="shared" si="79"/>
        <v>30</v>
      </c>
      <c r="T18" s="52">
        <f t="shared" si="79"/>
        <v>420</v>
      </c>
      <c r="U18" s="53">
        <f t="shared" si="79"/>
        <v>268.8</v>
      </c>
      <c r="V18" s="52">
        <f t="shared" si="79"/>
        <v>1276</v>
      </c>
      <c r="W18" s="52">
        <f t="shared" si="79"/>
        <v>17864</v>
      </c>
      <c r="X18" s="53">
        <f t="shared" si="79"/>
        <v>11432.96</v>
      </c>
      <c r="Y18" s="52">
        <f t="shared" si="79"/>
        <v>0</v>
      </c>
      <c r="Z18" s="52">
        <f t="shared" si="79"/>
        <v>0</v>
      </c>
      <c r="AA18" s="53">
        <f t="shared" si="79"/>
        <v>0</v>
      </c>
      <c r="AB18" s="52">
        <f t="shared" si="79"/>
        <v>0</v>
      </c>
      <c r="AC18" s="52">
        <f t="shared" si="79"/>
        <v>0</v>
      </c>
      <c r="AD18" s="53">
        <f t="shared" si="79"/>
        <v>0</v>
      </c>
      <c r="AE18" s="52">
        <f t="shared" si="79"/>
        <v>0</v>
      </c>
      <c r="AF18" s="52">
        <f t="shared" si="79"/>
        <v>0</v>
      </c>
      <c r="AG18" s="53">
        <f t="shared" si="79"/>
        <v>0</v>
      </c>
      <c r="AH18" s="52">
        <f t="shared" si="79"/>
        <v>198</v>
      </c>
      <c r="AI18" s="52">
        <f t="shared" si="79"/>
        <v>2376</v>
      </c>
      <c r="AJ18" s="53">
        <f t="shared" ref="AJ18:BO18" si="80">SUM(AJ5:AJ17)</f>
        <v>1663.1999999999998</v>
      </c>
      <c r="AK18" s="52">
        <f t="shared" si="80"/>
        <v>40</v>
      </c>
      <c r="AL18" s="52">
        <f t="shared" si="80"/>
        <v>560</v>
      </c>
      <c r="AM18" s="53">
        <f t="shared" si="80"/>
        <v>358.40000000000003</v>
      </c>
      <c r="AN18" s="52">
        <f t="shared" si="80"/>
        <v>5.5000000000000009</v>
      </c>
      <c r="AO18" s="52">
        <f t="shared" si="80"/>
        <v>66.000000000000014</v>
      </c>
      <c r="AP18" s="53">
        <f t="shared" si="80"/>
        <v>46.20000000000001</v>
      </c>
      <c r="AQ18" s="52">
        <f t="shared" si="80"/>
        <v>21.458333333333332</v>
      </c>
      <c r="AR18" s="52">
        <f t="shared" si="80"/>
        <v>515</v>
      </c>
      <c r="AS18" s="53">
        <f t="shared" si="80"/>
        <v>180.25</v>
      </c>
      <c r="AT18" s="52">
        <f t="shared" si="80"/>
        <v>0</v>
      </c>
      <c r="AU18" s="52">
        <f t="shared" si="80"/>
        <v>0</v>
      </c>
      <c r="AV18" s="53">
        <f t="shared" si="80"/>
        <v>0</v>
      </c>
      <c r="AW18" s="52">
        <f t="shared" si="80"/>
        <v>12852</v>
      </c>
      <c r="AX18" s="52">
        <f t="shared" si="80"/>
        <v>154224</v>
      </c>
      <c r="AY18" s="53">
        <f t="shared" si="80"/>
        <v>154224</v>
      </c>
      <c r="AZ18" s="52">
        <f t="shared" si="80"/>
        <v>2243</v>
      </c>
      <c r="BA18" s="52">
        <f t="shared" si="80"/>
        <v>26916</v>
      </c>
      <c r="BB18" s="53">
        <f t="shared" si="80"/>
        <v>16149.6</v>
      </c>
      <c r="BC18" s="52">
        <f t="shared" si="80"/>
        <v>2507</v>
      </c>
      <c r="BD18" s="52">
        <f t="shared" si="80"/>
        <v>100280</v>
      </c>
      <c r="BE18" s="53">
        <f t="shared" si="80"/>
        <v>35098</v>
      </c>
      <c r="BF18" s="52">
        <f t="shared" si="80"/>
        <v>7816</v>
      </c>
      <c r="BG18" s="52">
        <f t="shared" si="80"/>
        <v>93792</v>
      </c>
      <c r="BH18" s="53">
        <f t="shared" si="80"/>
        <v>93792</v>
      </c>
      <c r="BI18" s="52">
        <f t="shared" si="80"/>
        <v>0</v>
      </c>
      <c r="BJ18" s="52">
        <f t="shared" si="80"/>
        <v>0</v>
      </c>
      <c r="BK18" s="53">
        <f t="shared" si="80"/>
        <v>0</v>
      </c>
      <c r="BL18" s="52">
        <f t="shared" si="80"/>
        <v>1103</v>
      </c>
      <c r="BM18" s="52">
        <f t="shared" si="80"/>
        <v>44120</v>
      </c>
      <c r="BN18" s="53">
        <f t="shared" si="80"/>
        <v>15442</v>
      </c>
      <c r="BO18" s="52">
        <f t="shared" si="80"/>
        <v>0</v>
      </c>
      <c r="BP18" s="52">
        <f t="shared" ref="BP18:CU18" si="81">SUM(BP5:BP17)</f>
        <v>0</v>
      </c>
      <c r="BQ18" s="53">
        <f t="shared" si="81"/>
        <v>0</v>
      </c>
      <c r="BR18" s="52">
        <f t="shared" si="81"/>
        <v>0</v>
      </c>
      <c r="BS18" s="52">
        <f t="shared" si="81"/>
        <v>0</v>
      </c>
      <c r="BT18" s="53">
        <f t="shared" si="81"/>
        <v>0</v>
      </c>
      <c r="BU18" s="52">
        <f t="shared" si="81"/>
        <v>0</v>
      </c>
      <c r="BV18" s="52">
        <f t="shared" si="81"/>
        <v>0</v>
      </c>
      <c r="BW18" s="53">
        <f t="shared" si="81"/>
        <v>0</v>
      </c>
      <c r="BX18" s="52">
        <f t="shared" si="81"/>
        <v>0</v>
      </c>
      <c r="BY18" s="52">
        <f t="shared" si="81"/>
        <v>0</v>
      </c>
      <c r="BZ18" s="53">
        <f t="shared" si="81"/>
        <v>0</v>
      </c>
      <c r="CA18" s="52">
        <f t="shared" si="81"/>
        <v>0</v>
      </c>
      <c r="CB18" s="52">
        <f t="shared" si="81"/>
        <v>0</v>
      </c>
      <c r="CC18" s="53">
        <f t="shared" si="81"/>
        <v>0</v>
      </c>
      <c r="CD18" s="52">
        <f t="shared" si="81"/>
        <v>0</v>
      </c>
      <c r="CE18" s="52">
        <f t="shared" si="81"/>
        <v>0</v>
      </c>
      <c r="CF18" s="53">
        <f t="shared" si="81"/>
        <v>0</v>
      </c>
      <c r="CG18" s="52">
        <f t="shared" si="81"/>
        <v>0</v>
      </c>
      <c r="CH18" s="52">
        <f t="shared" si="81"/>
        <v>0</v>
      </c>
      <c r="CI18" s="53">
        <f t="shared" si="81"/>
        <v>0</v>
      </c>
      <c r="CJ18" s="52">
        <f t="shared" si="81"/>
        <v>0</v>
      </c>
      <c r="CK18" s="52">
        <f t="shared" si="81"/>
        <v>0</v>
      </c>
      <c r="CL18" s="53">
        <f t="shared" si="81"/>
        <v>0</v>
      </c>
      <c r="CM18" s="52">
        <f t="shared" si="81"/>
        <v>9.9166666666666661</v>
      </c>
      <c r="CN18" s="52">
        <f t="shared" si="81"/>
        <v>119</v>
      </c>
      <c r="CO18" s="53">
        <f t="shared" si="81"/>
        <v>119</v>
      </c>
      <c r="CP18" s="52">
        <f t="shared" si="81"/>
        <v>0</v>
      </c>
      <c r="CQ18" s="52">
        <f t="shared" si="81"/>
        <v>0</v>
      </c>
      <c r="CR18" s="53">
        <f t="shared" si="81"/>
        <v>0</v>
      </c>
      <c r="CS18" s="52">
        <f t="shared" si="81"/>
        <v>0</v>
      </c>
      <c r="CT18" s="52">
        <f t="shared" si="81"/>
        <v>0</v>
      </c>
      <c r="CU18" s="53">
        <f t="shared" si="81"/>
        <v>0</v>
      </c>
      <c r="CV18" s="52">
        <f t="shared" ref="CV18:DV18" si="82">SUM(CV5:CV17)</f>
        <v>0</v>
      </c>
      <c r="CW18" s="52">
        <f t="shared" si="82"/>
        <v>0</v>
      </c>
      <c r="CX18" s="53">
        <f t="shared" si="82"/>
        <v>0</v>
      </c>
      <c r="CY18" s="52">
        <f t="shared" si="82"/>
        <v>0</v>
      </c>
      <c r="CZ18" s="52">
        <f t="shared" si="82"/>
        <v>0</v>
      </c>
      <c r="DA18" s="53">
        <f t="shared" si="82"/>
        <v>0</v>
      </c>
      <c r="DB18" s="52">
        <f t="shared" si="82"/>
        <v>0</v>
      </c>
      <c r="DC18" s="52">
        <f t="shared" si="82"/>
        <v>0</v>
      </c>
      <c r="DD18" s="53">
        <f t="shared" si="82"/>
        <v>0</v>
      </c>
      <c r="DE18" s="52">
        <f t="shared" si="82"/>
        <v>0</v>
      </c>
      <c r="DF18" s="52">
        <f t="shared" si="82"/>
        <v>0</v>
      </c>
      <c r="DG18" s="53">
        <f t="shared" si="82"/>
        <v>0</v>
      </c>
      <c r="DH18" s="52">
        <f t="shared" si="82"/>
        <v>0</v>
      </c>
      <c r="DI18" s="52">
        <f t="shared" si="82"/>
        <v>0</v>
      </c>
      <c r="DJ18" s="53">
        <f t="shared" si="82"/>
        <v>0</v>
      </c>
      <c r="DK18" s="52">
        <f t="shared" si="82"/>
        <v>19.3333333333333</v>
      </c>
      <c r="DL18" s="52">
        <f t="shared" si="82"/>
        <v>231.9999999999996</v>
      </c>
      <c r="DM18" s="53">
        <f t="shared" si="82"/>
        <v>157.75999999999974</v>
      </c>
      <c r="DN18" s="52">
        <f t="shared" si="82"/>
        <v>25.75</v>
      </c>
      <c r="DO18" s="52">
        <f t="shared" si="82"/>
        <v>309</v>
      </c>
      <c r="DP18" s="53">
        <f t="shared" si="82"/>
        <v>309</v>
      </c>
      <c r="DQ18" s="52">
        <f t="shared" si="82"/>
        <v>0</v>
      </c>
      <c r="DR18" s="52">
        <f t="shared" si="82"/>
        <v>0</v>
      </c>
      <c r="DS18" s="53">
        <f t="shared" si="82"/>
        <v>0</v>
      </c>
      <c r="DT18" s="52">
        <f t="shared" si="82"/>
        <v>35682.958333333328</v>
      </c>
      <c r="DU18" s="52">
        <f t="shared" si="82"/>
        <v>547079</v>
      </c>
      <c r="DV18" s="53">
        <f t="shared" si="82"/>
        <v>396624.20999999996</v>
      </c>
    </row>
    <row r="19" spans="1:126" s="8" customFormat="1" ht="21.95" customHeight="1" x14ac:dyDescent="0.6">
      <c r="A19" s="73" t="s">
        <v>43</v>
      </c>
      <c r="B19" s="11" t="s">
        <v>44</v>
      </c>
      <c r="C19" s="69" t="s">
        <v>45</v>
      </c>
      <c r="D19" s="51">
        <v>52</v>
      </c>
      <c r="E19" s="49">
        <f t="shared" si="0"/>
        <v>728</v>
      </c>
      <c r="F19" s="50">
        <f t="shared" si="1"/>
        <v>465.92</v>
      </c>
      <c r="G19" s="51"/>
      <c r="H19" s="49">
        <f t="shared" si="2"/>
        <v>0</v>
      </c>
      <c r="I19" s="50">
        <f t="shared" si="3"/>
        <v>0</v>
      </c>
      <c r="J19" s="51"/>
      <c r="K19" s="49">
        <f t="shared" si="4"/>
        <v>0</v>
      </c>
      <c r="L19" s="50">
        <f t="shared" si="5"/>
        <v>0</v>
      </c>
      <c r="M19" s="51"/>
      <c r="N19" s="49">
        <f t="shared" si="6"/>
        <v>0</v>
      </c>
      <c r="O19" s="50">
        <f t="shared" si="7"/>
        <v>0</v>
      </c>
      <c r="P19" s="51"/>
      <c r="Q19" s="49">
        <f t="shared" si="8"/>
        <v>0</v>
      </c>
      <c r="R19" s="50">
        <f t="shared" si="9"/>
        <v>0</v>
      </c>
      <c r="S19" s="51">
        <v>2</v>
      </c>
      <c r="T19" s="49">
        <f t="shared" si="10"/>
        <v>28</v>
      </c>
      <c r="U19" s="50">
        <f t="shared" si="11"/>
        <v>17.920000000000002</v>
      </c>
      <c r="V19" s="51">
        <v>20</v>
      </c>
      <c r="W19" s="49">
        <f t="shared" si="12"/>
        <v>280</v>
      </c>
      <c r="X19" s="50">
        <f t="shared" si="13"/>
        <v>179.20000000000002</v>
      </c>
      <c r="Y19" s="51"/>
      <c r="Z19" s="49">
        <f t="shared" si="14"/>
        <v>0</v>
      </c>
      <c r="AA19" s="50">
        <f t="shared" si="15"/>
        <v>0</v>
      </c>
      <c r="AB19" s="51"/>
      <c r="AC19" s="49">
        <f t="shared" si="16"/>
        <v>0</v>
      </c>
      <c r="AD19" s="50">
        <f t="shared" si="17"/>
        <v>0</v>
      </c>
      <c r="AE19" s="51"/>
      <c r="AF19" s="49">
        <f t="shared" si="18"/>
        <v>0</v>
      </c>
      <c r="AG19" s="50">
        <f t="shared" si="19"/>
        <v>0</v>
      </c>
      <c r="AH19" s="51">
        <v>3</v>
      </c>
      <c r="AI19" s="49">
        <f t="shared" si="20"/>
        <v>36</v>
      </c>
      <c r="AJ19" s="50">
        <f t="shared" si="21"/>
        <v>25.2</v>
      </c>
      <c r="AK19" s="51"/>
      <c r="AL19" s="49">
        <f t="shared" si="22"/>
        <v>0</v>
      </c>
      <c r="AM19" s="50">
        <f t="shared" si="23"/>
        <v>0</v>
      </c>
      <c r="AN19" s="51"/>
      <c r="AO19" s="49">
        <f t="shared" si="24"/>
        <v>0</v>
      </c>
      <c r="AP19" s="50">
        <f t="shared" si="25"/>
        <v>0</v>
      </c>
      <c r="AQ19" s="51"/>
      <c r="AR19" s="49">
        <f t="shared" si="26"/>
        <v>0</v>
      </c>
      <c r="AS19" s="50">
        <f t="shared" si="27"/>
        <v>0</v>
      </c>
      <c r="AT19" s="51"/>
      <c r="AU19" s="49">
        <f t="shared" si="28"/>
        <v>0</v>
      </c>
      <c r="AV19" s="50">
        <f t="shared" si="29"/>
        <v>0</v>
      </c>
      <c r="AW19" s="51">
        <v>174</v>
      </c>
      <c r="AX19" s="49">
        <f t="shared" si="30"/>
        <v>2088</v>
      </c>
      <c r="AY19" s="50">
        <f t="shared" si="31"/>
        <v>2088</v>
      </c>
      <c r="AZ19" s="51">
        <v>5</v>
      </c>
      <c r="BA19" s="49">
        <f t="shared" si="32"/>
        <v>60</v>
      </c>
      <c r="BB19" s="50">
        <f t="shared" si="33"/>
        <v>36</v>
      </c>
      <c r="BC19" s="51">
        <v>42</v>
      </c>
      <c r="BD19" s="49">
        <f t="shared" si="34"/>
        <v>1680</v>
      </c>
      <c r="BE19" s="50">
        <f t="shared" si="35"/>
        <v>588</v>
      </c>
      <c r="BF19" s="51">
        <v>138</v>
      </c>
      <c r="BG19" s="49">
        <f t="shared" si="36"/>
        <v>1656</v>
      </c>
      <c r="BH19" s="50">
        <f t="shared" si="37"/>
        <v>1656</v>
      </c>
      <c r="BI19" s="51"/>
      <c r="BJ19" s="49">
        <f t="shared" si="38"/>
        <v>0</v>
      </c>
      <c r="BK19" s="50">
        <f t="shared" si="39"/>
        <v>0</v>
      </c>
      <c r="BL19" s="51">
        <v>31</v>
      </c>
      <c r="BM19" s="49">
        <f t="shared" si="40"/>
        <v>1240</v>
      </c>
      <c r="BN19" s="50">
        <f t="shared" si="41"/>
        <v>434</v>
      </c>
      <c r="BO19" s="51"/>
      <c r="BP19" s="49">
        <f t="shared" si="42"/>
        <v>0</v>
      </c>
      <c r="BQ19" s="50">
        <f t="shared" si="43"/>
        <v>0</v>
      </c>
      <c r="BR19" s="51"/>
      <c r="BS19" s="49">
        <f t="shared" si="44"/>
        <v>0</v>
      </c>
      <c r="BT19" s="50">
        <f t="shared" si="45"/>
        <v>0</v>
      </c>
      <c r="BU19" s="51"/>
      <c r="BV19" s="49">
        <f t="shared" si="46"/>
        <v>0</v>
      </c>
      <c r="BW19" s="50">
        <f t="shared" si="47"/>
        <v>0</v>
      </c>
      <c r="BX19" s="51"/>
      <c r="BY19" s="49">
        <f t="shared" si="48"/>
        <v>0</v>
      </c>
      <c r="BZ19" s="50">
        <f t="shared" si="49"/>
        <v>0</v>
      </c>
      <c r="CA19" s="51"/>
      <c r="CB19" s="49">
        <f t="shared" si="50"/>
        <v>0</v>
      </c>
      <c r="CC19" s="50">
        <f t="shared" si="51"/>
        <v>0</v>
      </c>
      <c r="CD19" s="51"/>
      <c r="CE19" s="49">
        <f t="shared" si="52"/>
        <v>0</v>
      </c>
      <c r="CF19" s="50">
        <f t="shared" si="53"/>
        <v>0</v>
      </c>
      <c r="CG19" s="51"/>
      <c r="CH19" s="49">
        <f t="shared" si="54"/>
        <v>0</v>
      </c>
      <c r="CI19" s="50">
        <f t="shared" si="55"/>
        <v>0</v>
      </c>
      <c r="CJ19" s="51"/>
      <c r="CK19" s="49">
        <f t="shared" si="56"/>
        <v>0</v>
      </c>
      <c r="CL19" s="50">
        <f t="shared" si="57"/>
        <v>0</v>
      </c>
      <c r="CM19" s="51"/>
      <c r="CN19" s="49">
        <f t="shared" si="58"/>
        <v>0</v>
      </c>
      <c r="CO19" s="50">
        <f t="shared" si="59"/>
        <v>0</v>
      </c>
      <c r="CP19" s="51"/>
      <c r="CQ19" s="49">
        <f t="shared" si="60"/>
        <v>0</v>
      </c>
      <c r="CR19" s="50">
        <f t="shared" si="61"/>
        <v>0</v>
      </c>
      <c r="CS19" s="51"/>
      <c r="CT19" s="49">
        <f t="shared" si="62"/>
        <v>0</v>
      </c>
      <c r="CU19" s="50">
        <f t="shared" si="63"/>
        <v>0</v>
      </c>
      <c r="CV19" s="51"/>
      <c r="CW19" s="49">
        <f t="shared" si="64"/>
        <v>0</v>
      </c>
      <c r="CX19" s="50">
        <f t="shared" si="65"/>
        <v>0</v>
      </c>
      <c r="CY19" s="51"/>
      <c r="CZ19" s="49">
        <f t="shared" si="66"/>
        <v>0</v>
      </c>
      <c r="DA19" s="50">
        <f t="shared" si="67"/>
        <v>0</v>
      </c>
      <c r="DB19" s="51"/>
      <c r="DC19" s="49">
        <f t="shared" si="68"/>
        <v>0</v>
      </c>
      <c r="DD19" s="50">
        <f t="shared" si="69"/>
        <v>0</v>
      </c>
      <c r="DE19" s="51">
        <v>5</v>
      </c>
      <c r="DF19" s="49">
        <f t="shared" si="70"/>
        <v>60</v>
      </c>
      <c r="DG19" s="50">
        <f t="shared" si="71"/>
        <v>60</v>
      </c>
      <c r="DH19" s="51"/>
      <c r="DI19" s="49">
        <f t="shared" si="72"/>
        <v>0</v>
      </c>
      <c r="DJ19" s="50">
        <f t="shared" si="73"/>
        <v>0</v>
      </c>
      <c r="DK19" s="51"/>
      <c r="DL19" s="49">
        <f t="shared" si="74"/>
        <v>0</v>
      </c>
      <c r="DM19" s="50">
        <f t="shared" si="75"/>
        <v>0</v>
      </c>
      <c r="DN19" s="51"/>
      <c r="DO19" s="49">
        <f t="shared" si="76"/>
        <v>0</v>
      </c>
      <c r="DP19" s="50">
        <f t="shared" si="77"/>
        <v>0</v>
      </c>
      <c r="DQ19" s="51"/>
      <c r="DR19" s="51"/>
      <c r="DS19" s="51"/>
      <c r="DT19" s="46">
        <f t="shared" ref="DT19:DT39" si="83">D19+G19+J19+M19+P19+S19+V19+Y19+AB19+AE19+AH19+AK19+AN19+AQ19+AT19+AW19+AZ19+BC19+BF19+BI19+BL19+BO19+BR19+BU19+BX19+CA19+CD19+CG19+CJ19+CM19+CP19+CS19+CV19+CY19+DB19+DE19+DH19+DK19+DN19</f>
        <v>472</v>
      </c>
      <c r="DU19" s="46">
        <f t="shared" ref="DU19:DU39" si="84">E19+H19+K19+N19+Q19+T19+W19+Z19+AC19+AF19+AI19+AL19+AO19+AR19+AU19+AX19+BA19+BD19+BG19+BJ19+BM19+BP19+BS19+BV19+BY19+CB19+CE19+CH19+CK19+CN19+CQ19+CT19+CW19+CZ19+DC19+DF19+DI19+DL19+DO19</f>
        <v>7856</v>
      </c>
      <c r="DV19" s="46">
        <f t="shared" ref="DV19:DV39" si="85">F19+I19+L19+O19+R19+U19+X19+AA19+AD19+AG19+AJ19+AM19+AP19+AS19+AV19+AY19+BB19+BE19+BH19+BK19+BN19+BQ19+BT19+BW19+BZ19+CC19+CF19+CI19+CL19+CO19+CR19+CU19+CX19+DA19+DD19+DG19+DJ19+DM19+DP19</f>
        <v>5550.24</v>
      </c>
    </row>
    <row r="20" spans="1:126" s="8" customFormat="1" ht="21.95" customHeight="1" x14ac:dyDescent="0.6">
      <c r="A20" s="67"/>
      <c r="B20" s="11" t="s">
        <v>46</v>
      </c>
      <c r="C20" s="69"/>
      <c r="D20" s="51">
        <v>2</v>
      </c>
      <c r="E20" s="49">
        <f t="shared" si="0"/>
        <v>28</v>
      </c>
      <c r="F20" s="50">
        <f t="shared" si="1"/>
        <v>17.920000000000002</v>
      </c>
      <c r="G20" s="51"/>
      <c r="H20" s="49">
        <f t="shared" si="2"/>
        <v>0</v>
      </c>
      <c r="I20" s="50">
        <f t="shared" si="3"/>
        <v>0</v>
      </c>
      <c r="J20" s="51"/>
      <c r="K20" s="49">
        <f t="shared" si="4"/>
        <v>0</v>
      </c>
      <c r="L20" s="50">
        <f t="shared" si="5"/>
        <v>0</v>
      </c>
      <c r="M20" s="51"/>
      <c r="N20" s="49">
        <f t="shared" si="6"/>
        <v>0</v>
      </c>
      <c r="O20" s="50">
        <f t="shared" si="7"/>
        <v>0</v>
      </c>
      <c r="P20" s="51"/>
      <c r="Q20" s="49">
        <f t="shared" si="8"/>
        <v>0</v>
      </c>
      <c r="R20" s="50">
        <f t="shared" si="9"/>
        <v>0</v>
      </c>
      <c r="S20" s="51">
        <v>1</v>
      </c>
      <c r="T20" s="49">
        <f t="shared" si="10"/>
        <v>14</v>
      </c>
      <c r="U20" s="50">
        <f t="shared" si="11"/>
        <v>8.9600000000000009</v>
      </c>
      <c r="V20" s="51"/>
      <c r="W20" s="49">
        <f t="shared" si="12"/>
        <v>0</v>
      </c>
      <c r="X20" s="50">
        <f t="shared" si="13"/>
        <v>0</v>
      </c>
      <c r="Y20" s="51"/>
      <c r="Z20" s="49">
        <f t="shared" si="14"/>
        <v>0</v>
      </c>
      <c r="AA20" s="50">
        <f t="shared" si="15"/>
        <v>0</v>
      </c>
      <c r="AB20" s="51"/>
      <c r="AC20" s="49">
        <f t="shared" si="16"/>
        <v>0</v>
      </c>
      <c r="AD20" s="50">
        <f t="shared" si="17"/>
        <v>0</v>
      </c>
      <c r="AE20" s="51"/>
      <c r="AF20" s="49">
        <f t="shared" si="18"/>
        <v>0</v>
      </c>
      <c r="AG20" s="50">
        <f t="shared" si="19"/>
        <v>0</v>
      </c>
      <c r="AH20" s="51">
        <v>2</v>
      </c>
      <c r="AI20" s="49">
        <f t="shared" si="20"/>
        <v>24</v>
      </c>
      <c r="AJ20" s="50">
        <f t="shared" si="21"/>
        <v>16.799999999999997</v>
      </c>
      <c r="AK20" s="51"/>
      <c r="AL20" s="49">
        <f t="shared" si="22"/>
        <v>0</v>
      </c>
      <c r="AM20" s="50">
        <f t="shared" si="23"/>
        <v>0</v>
      </c>
      <c r="AN20" s="51"/>
      <c r="AO20" s="49">
        <f t="shared" si="24"/>
        <v>0</v>
      </c>
      <c r="AP20" s="50">
        <f t="shared" si="25"/>
        <v>0</v>
      </c>
      <c r="AQ20" s="51"/>
      <c r="AR20" s="49">
        <f t="shared" si="26"/>
        <v>0</v>
      </c>
      <c r="AS20" s="50">
        <f t="shared" si="27"/>
        <v>0</v>
      </c>
      <c r="AT20" s="51"/>
      <c r="AU20" s="49">
        <f t="shared" si="28"/>
        <v>0</v>
      </c>
      <c r="AV20" s="50">
        <f t="shared" si="29"/>
        <v>0</v>
      </c>
      <c r="AW20" s="51">
        <v>161</v>
      </c>
      <c r="AX20" s="49">
        <f t="shared" si="30"/>
        <v>1932</v>
      </c>
      <c r="AY20" s="50">
        <f t="shared" si="31"/>
        <v>1932</v>
      </c>
      <c r="AZ20" s="51">
        <v>20</v>
      </c>
      <c r="BA20" s="49">
        <f t="shared" si="32"/>
        <v>240</v>
      </c>
      <c r="BB20" s="50">
        <f t="shared" si="33"/>
        <v>144</v>
      </c>
      <c r="BC20" s="51">
        <v>36</v>
      </c>
      <c r="BD20" s="49">
        <f t="shared" si="34"/>
        <v>1440</v>
      </c>
      <c r="BE20" s="50">
        <f t="shared" si="35"/>
        <v>503.99999999999994</v>
      </c>
      <c r="BF20" s="51">
        <v>106</v>
      </c>
      <c r="BG20" s="49">
        <f t="shared" si="36"/>
        <v>1272</v>
      </c>
      <c r="BH20" s="50">
        <f t="shared" si="37"/>
        <v>1272</v>
      </c>
      <c r="BI20" s="51"/>
      <c r="BJ20" s="49">
        <f t="shared" si="38"/>
        <v>0</v>
      </c>
      <c r="BK20" s="50">
        <f t="shared" si="39"/>
        <v>0</v>
      </c>
      <c r="BL20" s="51">
        <v>35</v>
      </c>
      <c r="BM20" s="49">
        <f t="shared" si="40"/>
        <v>1400</v>
      </c>
      <c r="BN20" s="50">
        <f t="shared" si="41"/>
        <v>489.99999999999994</v>
      </c>
      <c r="BO20" s="51"/>
      <c r="BP20" s="49">
        <f t="shared" si="42"/>
        <v>0</v>
      </c>
      <c r="BQ20" s="50">
        <f t="shared" si="43"/>
        <v>0</v>
      </c>
      <c r="BR20" s="51"/>
      <c r="BS20" s="49">
        <f t="shared" si="44"/>
        <v>0</v>
      </c>
      <c r="BT20" s="50">
        <f t="shared" si="45"/>
        <v>0</v>
      </c>
      <c r="BU20" s="51"/>
      <c r="BV20" s="49">
        <f t="shared" si="46"/>
        <v>0</v>
      </c>
      <c r="BW20" s="50">
        <f t="shared" si="47"/>
        <v>0</v>
      </c>
      <c r="BX20" s="51"/>
      <c r="BY20" s="49">
        <f t="shared" si="48"/>
        <v>0</v>
      </c>
      <c r="BZ20" s="50">
        <f t="shared" si="49"/>
        <v>0</v>
      </c>
      <c r="CA20" s="51"/>
      <c r="CB20" s="49">
        <f t="shared" si="50"/>
        <v>0</v>
      </c>
      <c r="CC20" s="50">
        <f t="shared" si="51"/>
        <v>0</v>
      </c>
      <c r="CD20" s="51"/>
      <c r="CE20" s="49">
        <f t="shared" si="52"/>
        <v>0</v>
      </c>
      <c r="CF20" s="50">
        <f t="shared" si="53"/>
        <v>0</v>
      </c>
      <c r="CG20" s="51"/>
      <c r="CH20" s="49">
        <f t="shared" si="54"/>
        <v>0</v>
      </c>
      <c r="CI20" s="50">
        <f t="shared" si="55"/>
        <v>0</v>
      </c>
      <c r="CJ20" s="51"/>
      <c r="CK20" s="49">
        <f t="shared" si="56"/>
        <v>0</v>
      </c>
      <c r="CL20" s="50">
        <f t="shared" si="57"/>
        <v>0</v>
      </c>
      <c r="CM20" s="51"/>
      <c r="CN20" s="49">
        <f t="shared" si="58"/>
        <v>0</v>
      </c>
      <c r="CO20" s="50">
        <f t="shared" si="59"/>
        <v>0</v>
      </c>
      <c r="CP20" s="51"/>
      <c r="CQ20" s="49">
        <f t="shared" si="60"/>
        <v>0</v>
      </c>
      <c r="CR20" s="50">
        <f t="shared" si="61"/>
        <v>0</v>
      </c>
      <c r="CS20" s="51"/>
      <c r="CT20" s="49">
        <f t="shared" si="62"/>
        <v>0</v>
      </c>
      <c r="CU20" s="50">
        <f t="shared" si="63"/>
        <v>0</v>
      </c>
      <c r="CV20" s="51"/>
      <c r="CW20" s="49">
        <f t="shared" si="64"/>
        <v>0</v>
      </c>
      <c r="CX20" s="50">
        <f t="shared" si="65"/>
        <v>0</v>
      </c>
      <c r="CY20" s="51"/>
      <c r="CZ20" s="49">
        <f t="shared" si="66"/>
        <v>0</v>
      </c>
      <c r="DA20" s="50">
        <f t="shared" si="67"/>
        <v>0</v>
      </c>
      <c r="DB20" s="51"/>
      <c r="DC20" s="49">
        <f t="shared" si="68"/>
        <v>0</v>
      </c>
      <c r="DD20" s="50">
        <f t="shared" si="69"/>
        <v>0</v>
      </c>
      <c r="DE20" s="51">
        <v>5</v>
      </c>
      <c r="DF20" s="49">
        <f t="shared" si="70"/>
        <v>60</v>
      </c>
      <c r="DG20" s="50">
        <f t="shared" si="71"/>
        <v>60</v>
      </c>
      <c r="DH20" s="51"/>
      <c r="DI20" s="49">
        <f t="shared" si="72"/>
        <v>0</v>
      </c>
      <c r="DJ20" s="50">
        <f t="shared" si="73"/>
        <v>0</v>
      </c>
      <c r="DK20" s="51">
        <v>1</v>
      </c>
      <c r="DL20" s="49">
        <f t="shared" si="74"/>
        <v>12</v>
      </c>
      <c r="DM20" s="50">
        <f t="shared" si="75"/>
        <v>8.16</v>
      </c>
      <c r="DN20" s="51"/>
      <c r="DO20" s="49">
        <f t="shared" si="76"/>
        <v>0</v>
      </c>
      <c r="DP20" s="50">
        <f t="shared" si="77"/>
        <v>0</v>
      </c>
      <c r="DQ20" s="51"/>
      <c r="DR20" s="51"/>
      <c r="DS20" s="51"/>
      <c r="DT20" s="46">
        <f t="shared" si="83"/>
        <v>369</v>
      </c>
      <c r="DU20" s="46">
        <f t="shared" si="84"/>
        <v>6422</v>
      </c>
      <c r="DV20" s="46">
        <f t="shared" si="85"/>
        <v>4453.84</v>
      </c>
    </row>
    <row r="21" spans="1:126" s="8" customFormat="1" ht="21.95" customHeight="1" x14ac:dyDescent="0.6">
      <c r="A21" s="67"/>
      <c r="B21" s="7" t="s">
        <v>47</v>
      </c>
      <c r="C21" s="69"/>
      <c r="D21" s="51">
        <v>27</v>
      </c>
      <c r="E21" s="49">
        <f t="shared" si="0"/>
        <v>378</v>
      </c>
      <c r="F21" s="50">
        <f t="shared" si="1"/>
        <v>241.92000000000002</v>
      </c>
      <c r="G21" s="51"/>
      <c r="H21" s="49">
        <f t="shared" si="2"/>
        <v>0</v>
      </c>
      <c r="I21" s="50">
        <f t="shared" si="3"/>
        <v>0</v>
      </c>
      <c r="J21" s="51"/>
      <c r="K21" s="49">
        <f t="shared" si="4"/>
        <v>0</v>
      </c>
      <c r="L21" s="50">
        <f t="shared" si="5"/>
        <v>0</v>
      </c>
      <c r="M21" s="51"/>
      <c r="N21" s="49">
        <f t="shared" si="6"/>
        <v>0</v>
      </c>
      <c r="O21" s="50">
        <f t="shared" si="7"/>
        <v>0</v>
      </c>
      <c r="P21" s="51"/>
      <c r="Q21" s="49">
        <f t="shared" si="8"/>
        <v>0</v>
      </c>
      <c r="R21" s="50">
        <f t="shared" si="9"/>
        <v>0</v>
      </c>
      <c r="S21" s="51">
        <v>3</v>
      </c>
      <c r="T21" s="49">
        <f t="shared" si="10"/>
        <v>42</v>
      </c>
      <c r="U21" s="50">
        <f t="shared" si="11"/>
        <v>26.88</v>
      </c>
      <c r="V21" s="51"/>
      <c r="W21" s="49">
        <f t="shared" si="12"/>
        <v>0</v>
      </c>
      <c r="X21" s="50">
        <f t="shared" si="13"/>
        <v>0</v>
      </c>
      <c r="Y21" s="51"/>
      <c r="Z21" s="49">
        <f t="shared" si="14"/>
        <v>0</v>
      </c>
      <c r="AA21" s="50">
        <f t="shared" si="15"/>
        <v>0</v>
      </c>
      <c r="AB21" s="51"/>
      <c r="AC21" s="49">
        <f t="shared" si="16"/>
        <v>0</v>
      </c>
      <c r="AD21" s="50">
        <f t="shared" si="17"/>
        <v>0</v>
      </c>
      <c r="AE21" s="51"/>
      <c r="AF21" s="49">
        <f t="shared" si="18"/>
        <v>0</v>
      </c>
      <c r="AG21" s="50">
        <f t="shared" si="19"/>
        <v>0</v>
      </c>
      <c r="AH21" s="51">
        <v>16</v>
      </c>
      <c r="AI21" s="49">
        <f t="shared" si="20"/>
        <v>192</v>
      </c>
      <c r="AJ21" s="50">
        <f t="shared" si="21"/>
        <v>134.39999999999998</v>
      </c>
      <c r="AK21" s="51"/>
      <c r="AL21" s="49">
        <f t="shared" si="22"/>
        <v>0</v>
      </c>
      <c r="AM21" s="50">
        <f t="shared" si="23"/>
        <v>0</v>
      </c>
      <c r="AN21" s="51"/>
      <c r="AO21" s="49">
        <f t="shared" si="24"/>
        <v>0</v>
      </c>
      <c r="AP21" s="50">
        <f t="shared" si="25"/>
        <v>0</v>
      </c>
      <c r="AQ21" s="51">
        <v>2</v>
      </c>
      <c r="AR21" s="49">
        <f t="shared" si="26"/>
        <v>48</v>
      </c>
      <c r="AS21" s="50">
        <f t="shared" si="27"/>
        <v>16.799999999999997</v>
      </c>
      <c r="AT21" s="51"/>
      <c r="AU21" s="49">
        <f t="shared" si="28"/>
        <v>0</v>
      </c>
      <c r="AV21" s="50">
        <f t="shared" si="29"/>
        <v>0</v>
      </c>
      <c r="AW21" s="51">
        <v>393</v>
      </c>
      <c r="AX21" s="49">
        <f t="shared" si="30"/>
        <v>4716</v>
      </c>
      <c r="AY21" s="50">
        <f t="shared" si="31"/>
        <v>4716</v>
      </c>
      <c r="AZ21" s="51">
        <v>13</v>
      </c>
      <c r="BA21" s="49">
        <f t="shared" si="32"/>
        <v>156</v>
      </c>
      <c r="BB21" s="50">
        <f t="shared" si="33"/>
        <v>93.6</v>
      </c>
      <c r="BC21" s="51">
        <v>67</v>
      </c>
      <c r="BD21" s="49">
        <f t="shared" si="34"/>
        <v>2680</v>
      </c>
      <c r="BE21" s="50">
        <f t="shared" si="35"/>
        <v>937.99999999999989</v>
      </c>
      <c r="BF21" s="51">
        <v>473</v>
      </c>
      <c r="BG21" s="49">
        <f t="shared" si="36"/>
        <v>5676</v>
      </c>
      <c r="BH21" s="50">
        <f t="shared" si="37"/>
        <v>5676</v>
      </c>
      <c r="BI21" s="51"/>
      <c r="BJ21" s="49">
        <f t="shared" si="38"/>
        <v>0</v>
      </c>
      <c r="BK21" s="50">
        <f t="shared" si="39"/>
        <v>0</v>
      </c>
      <c r="BL21" s="51">
        <v>81</v>
      </c>
      <c r="BM21" s="49">
        <f t="shared" si="40"/>
        <v>3240</v>
      </c>
      <c r="BN21" s="50">
        <f t="shared" si="41"/>
        <v>1134</v>
      </c>
      <c r="BO21" s="51">
        <v>27</v>
      </c>
      <c r="BP21" s="49">
        <f t="shared" si="42"/>
        <v>324</v>
      </c>
      <c r="BQ21" s="50">
        <f t="shared" si="43"/>
        <v>324</v>
      </c>
      <c r="BR21" s="51"/>
      <c r="BS21" s="49">
        <f t="shared" si="44"/>
        <v>0</v>
      </c>
      <c r="BT21" s="50">
        <f t="shared" si="45"/>
        <v>0</v>
      </c>
      <c r="BU21" s="51"/>
      <c r="BV21" s="49">
        <f t="shared" si="46"/>
        <v>0</v>
      </c>
      <c r="BW21" s="50">
        <f t="shared" si="47"/>
        <v>0</v>
      </c>
      <c r="BX21" s="51"/>
      <c r="BY21" s="49">
        <f t="shared" si="48"/>
        <v>0</v>
      </c>
      <c r="BZ21" s="50">
        <f t="shared" si="49"/>
        <v>0</v>
      </c>
      <c r="CA21" s="51"/>
      <c r="CB21" s="49">
        <f t="shared" si="50"/>
        <v>0</v>
      </c>
      <c r="CC21" s="50">
        <f t="shared" si="51"/>
        <v>0</v>
      </c>
      <c r="CD21" s="51"/>
      <c r="CE21" s="49">
        <f t="shared" si="52"/>
        <v>0</v>
      </c>
      <c r="CF21" s="50">
        <f t="shared" si="53"/>
        <v>0</v>
      </c>
      <c r="CG21" s="51"/>
      <c r="CH21" s="49">
        <f t="shared" si="54"/>
        <v>0</v>
      </c>
      <c r="CI21" s="50">
        <f t="shared" si="55"/>
        <v>0</v>
      </c>
      <c r="CJ21" s="51"/>
      <c r="CK21" s="49">
        <f t="shared" si="56"/>
        <v>0</v>
      </c>
      <c r="CL21" s="50">
        <f t="shared" si="57"/>
        <v>0</v>
      </c>
      <c r="CM21" s="51">
        <v>20</v>
      </c>
      <c r="CN21" s="49">
        <f t="shared" si="58"/>
        <v>240</v>
      </c>
      <c r="CO21" s="50">
        <f t="shared" si="59"/>
        <v>240</v>
      </c>
      <c r="CP21" s="51"/>
      <c r="CQ21" s="49">
        <f t="shared" si="60"/>
        <v>0</v>
      </c>
      <c r="CR21" s="50">
        <f t="shared" si="61"/>
        <v>0</v>
      </c>
      <c r="CS21" s="51"/>
      <c r="CT21" s="49">
        <f t="shared" si="62"/>
        <v>0</v>
      </c>
      <c r="CU21" s="50">
        <f t="shared" si="63"/>
        <v>0</v>
      </c>
      <c r="CV21" s="51"/>
      <c r="CW21" s="49">
        <f t="shared" si="64"/>
        <v>0</v>
      </c>
      <c r="CX21" s="50">
        <f t="shared" si="65"/>
        <v>0</v>
      </c>
      <c r="CY21" s="51"/>
      <c r="CZ21" s="49">
        <f t="shared" si="66"/>
        <v>0</v>
      </c>
      <c r="DA21" s="50">
        <f t="shared" si="67"/>
        <v>0</v>
      </c>
      <c r="DB21" s="51"/>
      <c r="DC21" s="49">
        <f t="shared" si="68"/>
        <v>0</v>
      </c>
      <c r="DD21" s="50">
        <f t="shared" si="69"/>
        <v>0</v>
      </c>
      <c r="DE21" s="51">
        <v>40</v>
      </c>
      <c r="DF21" s="49">
        <f t="shared" si="70"/>
        <v>480</v>
      </c>
      <c r="DG21" s="50">
        <f t="shared" si="71"/>
        <v>480</v>
      </c>
      <c r="DH21" s="51"/>
      <c r="DI21" s="49">
        <f t="shared" si="72"/>
        <v>0</v>
      </c>
      <c r="DJ21" s="50">
        <f t="shared" si="73"/>
        <v>0</v>
      </c>
      <c r="DK21" s="51">
        <v>8</v>
      </c>
      <c r="DL21" s="49">
        <f t="shared" si="74"/>
        <v>96</v>
      </c>
      <c r="DM21" s="50">
        <f t="shared" si="75"/>
        <v>65.28</v>
      </c>
      <c r="DN21" s="51">
        <v>7</v>
      </c>
      <c r="DO21" s="49">
        <f t="shared" si="76"/>
        <v>84</v>
      </c>
      <c r="DP21" s="50">
        <f t="shared" si="77"/>
        <v>84</v>
      </c>
      <c r="DQ21" s="51"/>
      <c r="DR21" s="51"/>
      <c r="DS21" s="51"/>
      <c r="DT21" s="46">
        <f t="shared" si="83"/>
        <v>1177</v>
      </c>
      <c r="DU21" s="46">
        <f t="shared" si="84"/>
        <v>18352</v>
      </c>
      <c r="DV21" s="46">
        <f t="shared" si="85"/>
        <v>14170.880000000001</v>
      </c>
    </row>
    <row r="22" spans="1:126" s="8" customFormat="1" ht="21.95" customHeight="1" x14ac:dyDescent="0.6">
      <c r="A22" s="67"/>
      <c r="B22" s="7" t="s">
        <v>48</v>
      </c>
      <c r="C22" s="72" t="s">
        <v>49</v>
      </c>
      <c r="D22" s="51">
        <v>5</v>
      </c>
      <c r="E22" s="49">
        <f t="shared" si="0"/>
        <v>70</v>
      </c>
      <c r="F22" s="50">
        <f t="shared" si="1"/>
        <v>44.800000000000004</v>
      </c>
      <c r="G22" s="51"/>
      <c r="H22" s="49">
        <f t="shared" si="2"/>
        <v>0</v>
      </c>
      <c r="I22" s="50">
        <f t="shared" si="3"/>
        <v>0</v>
      </c>
      <c r="J22" s="51"/>
      <c r="K22" s="49">
        <f t="shared" si="4"/>
        <v>0</v>
      </c>
      <c r="L22" s="50">
        <f t="shared" si="5"/>
        <v>0</v>
      </c>
      <c r="M22" s="51"/>
      <c r="N22" s="49">
        <f t="shared" si="6"/>
        <v>0</v>
      </c>
      <c r="O22" s="50">
        <f t="shared" si="7"/>
        <v>0</v>
      </c>
      <c r="P22" s="51"/>
      <c r="Q22" s="49">
        <f t="shared" si="8"/>
        <v>0</v>
      </c>
      <c r="R22" s="50">
        <f t="shared" si="9"/>
        <v>0</v>
      </c>
      <c r="S22" s="51"/>
      <c r="T22" s="49">
        <f t="shared" si="10"/>
        <v>0</v>
      </c>
      <c r="U22" s="50">
        <f t="shared" si="11"/>
        <v>0</v>
      </c>
      <c r="V22" s="51"/>
      <c r="W22" s="49">
        <f t="shared" si="12"/>
        <v>0</v>
      </c>
      <c r="X22" s="50">
        <f t="shared" si="13"/>
        <v>0</v>
      </c>
      <c r="Y22" s="51"/>
      <c r="Z22" s="49">
        <f t="shared" si="14"/>
        <v>0</v>
      </c>
      <c r="AA22" s="50">
        <f t="shared" si="15"/>
        <v>0</v>
      </c>
      <c r="AB22" s="51"/>
      <c r="AC22" s="49">
        <f t="shared" si="16"/>
        <v>0</v>
      </c>
      <c r="AD22" s="50">
        <f t="shared" si="17"/>
        <v>0</v>
      </c>
      <c r="AE22" s="51"/>
      <c r="AF22" s="49">
        <f t="shared" si="18"/>
        <v>0</v>
      </c>
      <c r="AG22" s="50">
        <f t="shared" si="19"/>
        <v>0</v>
      </c>
      <c r="AH22" s="51">
        <v>6</v>
      </c>
      <c r="AI22" s="49">
        <f t="shared" si="20"/>
        <v>72</v>
      </c>
      <c r="AJ22" s="50">
        <f t="shared" si="21"/>
        <v>50.4</v>
      </c>
      <c r="AK22" s="51"/>
      <c r="AL22" s="49">
        <f t="shared" si="22"/>
        <v>0</v>
      </c>
      <c r="AM22" s="50">
        <f t="shared" si="23"/>
        <v>0</v>
      </c>
      <c r="AN22" s="51">
        <v>1</v>
      </c>
      <c r="AO22" s="49">
        <f t="shared" si="24"/>
        <v>12</v>
      </c>
      <c r="AP22" s="50">
        <f t="shared" si="25"/>
        <v>8.3999999999999986</v>
      </c>
      <c r="AQ22" s="51">
        <v>3</v>
      </c>
      <c r="AR22" s="49">
        <f t="shared" si="26"/>
        <v>72</v>
      </c>
      <c r="AS22" s="50">
        <f t="shared" si="27"/>
        <v>25.2</v>
      </c>
      <c r="AT22" s="51"/>
      <c r="AU22" s="49">
        <f t="shared" si="28"/>
        <v>0</v>
      </c>
      <c r="AV22" s="50">
        <f t="shared" si="29"/>
        <v>0</v>
      </c>
      <c r="AW22" s="51">
        <v>374</v>
      </c>
      <c r="AX22" s="49">
        <f t="shared" si="30"/>
        <v>4488</v>
      </c>
      <c r="AY22" s="50">
        <f t="shared" si="31"/>
        <v>4488</v>
      </c>
      <c r="AZ22" s="51">
        <v>43</v>
      </c>
      <c r="BA22" s="49">
        <f t="shared" si="32"/>
        <v>516</v>
      </c>
      <c r="BB22" s="50">
        <f t="shared" si="33"/>
        <v>309.59999999999997</v>
      </c>
      <c r="BC22" s="51">
        <v>57</v>
      </c>
      <c r="BD22" s="49">
        <f t="shared" si="34"/>
        <v>2280</v>
      </c>
      <c r="BE22" s="50">
        <f t="shared" si="35"/>
        <v>798</v>
      </c>
      <c r="BF22" s="51">
        <v>271</v>
      </c>
      <c r="BG22" s="49">
        <f t="shared" si="36"/>
        <v>3252</v>
      </c>
      <c r="BH22" s="50">
        <f t="shared" si="37"/>
        <v>3252</v>
      </c>
      <c r="BI22" s="51"/>
      <c r="BJ22" s="49">
        <f t="shared" si="38"/>
        <v>0</v>
      </c>
      <c r="BK22" s="50">
        <f t="shared" si="39"/>
        <v>0</v>
      </c>
      <c r="BL22" s="51">
        <v>19</v>
      </c>
      <c r="BM22" s="49">
        <f t="shared" si="40"/>
        <v>760</v>
      </c>
      <c r="BN22" s="50">
        <f t="shared" si="41"/>
        <v>266</v>
      </c>
      <c r="BO22" s="51"/>
      <c r="BP22" s="49">
        <f t="shared" si="42"/>
        <v>0</v>
      </c>
      <c r="BQ22" s="50">
        <f t="shared" si="43"/>
        <v>0</v>
      </c>
      <c r="BR22" s="51"/>
      <c r="BS22" s="49">
        <f t="shared" si="44"/>
        <v>0</v>
      </c>
      <c r="BT22" s="50">
        <f t="shared" si="45"/>
        <v>0</v>
      </c>
      <c r="BU22" s="51"/>
      <c r="BV22" s="49">
        <f t="shared" si="46"/>
        <v>0</v>
      </c>
      <c r="BW22" s="50">
        <f t="shared" si="47"/>
        <v>0</v>
      </c>
      <c r="BX22" s="51"/>
      <c r="BY22" s="49">
        <f t="shared" si="48"/>
        <v>0</v>
      </c>
      <c r="BZ22" s="50">
        <f t="shared" si="49"/>
        <v>0</v>
      </c>
      <c r="CA22" s="51"/>
      <c r="CB22" s="49">
        <f t="shared" si="50"/>
        <v>0</v>
      </c>
      <c r="CC22" s="50">
        <f t="shared" si="51"/>
        <v>0</v>
      </c>
      <c r="CD22" s="51"/>
      <c r="CE22" s="49">
        <f t="shared" si="52"/>
        <v>0</v>
      </c>
      <c r="CF22" s="50">
        <f t="shared" si="53"/>
        <v>0</v>
      </c>
      <c r="CG22" s="51"/>
      <c r="CH22" s="49">
        <f t="shared" si="54"/>
        <v>0</v>
      </c>
      <c r="CI22" s="50">
        <f t="shared" si="55"/>
        <v>0</v>
      </c>
      <c r="CJ22" s="51"/>
      <c r="CK22" s="49">
        <f t="shared" si="56"/>
        <v>0</v>
      </c>
      <c r="CL22" s="50">
        <f t="shared" si="57"/>
        <v>0</v>
      </c>
      <c r="CM22" s="51">
        <v>2</v>
      </c>
      <c r="CN22" s="49">
        <f t="shared" si="58"/>
        <v>24</v>
      </c>
      <c r="CO22" s="50">
        <f t="shared" si="59"/>
        <v>24</v>
      </c>
      <c r="CP22" s="51"/>
      <c r="CQ22" s="49">
        <f t="shared" si="60"/>
        <v>0</v>
      </c>
      <c r="CR22" s="50">
        <f t="shared" si="61"/>
        <v>0</v>
      </c>
      <c r="CS22" s="51"/>
      <c r="CT22" s="49">
        <f t="shared" si="62"/>
        <v>0</v>
      </c>
      <c r="CU22" s="50">
        <f t="shared" si="63"/>
        <v>0</v>
      </c>
      <c r="CV22" s="51"/>
      <c r="CW22" s="49">
        <f t="shared" si="64"/>
        <v>0</v>
      </c>
      <c r="CX22" s="50">
        <f t="shared" si="65"/>
        <v>0</v>
      </c>
      <c r="CY22" s="51"/>
      <c r="CZ22" s="49">
        <f t="shared" si="66"/>
        <v>0</v>
      </c>
      <c r="DA22" s="50">
        <f t="shared" si="67"/>
        <v>0</v>
      </c>
      <c r="DB22" s="51"/>
      <c r="DC22" s="49">
        <f t="shared" si="68"/>
        <v>0</v>
      </c>
      <c r="DD22" s="50">
        <f t="shared" si="69"/>
        <v>0</v>
      </c>
      <c r="DE22" s="51"/>
      <c r="DF22" s="49">
        <f t="shared" si="70"/>
        <v>0</v>
      </c>
      <c r="DG22" s="50">
        <f t="shared" si="71"/>
        <v>0</v>
      </c>
      <c r="DH22" s="51"/>
      <c r="DI22" s="49">
        <f t="shared" si="72"/>
        <v>0</v>
      </c>
      <c r="DJ22" s="50">
        <f t="shared" si="73"/>
        <v>0</v>
      </c>
      <c r="DK22" s="51">
        <v>1</v>
      </c>
      <c r="DL22" s="49">
        <f t="shared" si="74"/>
        <v>12</v>
      </c>
      <c r="DM22" s="50">
        <f t="shared" si="75"/>
        <v>8.16</v>
      </c>
      <c r="DN22" s="51"/>
      <c r="DO22" s="49">
        <f t="shared" si="76"/>
        <v>0</v>
      </c>
      <c r="DP22" s="50">
        <f t="shared" si="77"/>
        <v>0</v>
      </c>
      <c r="DQ22" s="51"/>
      <c r="DR22" s="51"/>
      <c r="DS22" s="51"/>
      <c r="DT22" s="46">
        <f t="shared" si="83"/>
        <v>782</v>
      </c>
      <c r="DU22" s="46">
        <f t="shared" si="84"/>
        <v>11558</v>
      </c>
      <c r="DV22" s="46">
        <f t="shared" si="85"/>
        <v>9274.5600000000013</v>
      </c>
    </row>
    <row r="23" spans="1:126" s="8" customFormat="1" ht="21.95" customHeight="1" x14ac:dyDescent="0.6">
      <c r="A23" s="67"/>
      <c r="B23" s="12" t="s">
        <v>50</v>
      </c>
      <c r="C23" s="72"/>
      <c r="D23" s="51">
        <v>38</v>
      </c>
      <c r="E23" s="49">
        <f t="shared" si="0"/>
        <v>532</v>
      </c>
      <c r="F23" s="50">
        <f t="shared" si="1"/>
        <v>340.48</v>
      </c>
      <c r="G23" s="51"/>
      <c r="H23" s="49">
        <f t="shared" si="2"/>
        <v>0</v>
      </c>
      <c r="I23" s="50">
        <f t="shared" si="3"/>
        <v>0</v>
      </c>
      <c r="J23" s="51"/>
      <c r="K23" s="49">
        <f t="shared" si="4"/>
        <v>0</v>
      </c>
      <c r="L23" s="50">
        <f t="shared" si="5"/>
        <v>0</v>
      </c>
      <c r="M23" s="51"/>
      <c r="N23" s="49">
        <f t="shared" si="6"/>
        <v>0</v>
      </c>
      <c r="O23" s="50">
        <f t="shared" si="7"/>
        <v>0</v>
      </c>
      <c r="P23" s="51"/>
      <c r="Q23" s="49">
        <f t="shared" si="8"/>
        <v>0</v>
      </c>
      <c r="R23" s="50">
        <f t="shared" si="9"/>
        <v>0</v>
      </c>
      <c r="S23" s="51"/>
      <c r="T23" s="49">
        <f t="shared" si="10"/>
        <v>0</v>
      </c>
      <c r="U23" s="50">
        <f t="shared" si="11"/>
        <v>0</v>
      </c>
      <c r="V23" s="51"/>
      <c r="W23" s="49">
        <f t="shared" si="12"/>
        <v>0</v>
      </c>
      <c r="X23" s="50">
        <f t="shared" si="13"/>
        <v>0</v>
      </c>
      <c r="Y23" s="51"/>
      <c r="Z23" s="49">
        <f t="shared" si="14"/>
        <v>0</v>
      </c>
      <c r="AA23" s="50">
        <f t="shared" si="15"/>
        <v>0</v>
      </c>
      <c r="AB23" s="51"/>
      <c r="AC23" s="49">
        <f t="shared" si="16"/>
        <v>0</v>
      </c>
      <c r="AD23" s="50">
        <f t="shared" si="17"/>
        <v>0</v>
      </c>
      <c r="AE23" s="51"/>
      <c r="AF23" s="49">
        <f t="shared" si="18"/>
        <v>0</v>
      </c>
      <c r="AG23" s="50">
        <f t="shared" si="19"/>
        <v>0</v>
      </c>
      <c r="AH23" s="51"/>
      <c r="AI23" s="49">
        <f t="shared" si="20"/>
        <v>0</v>
      </c>
      <c r="AJ23" s="50">
        <f t="shared" si="21"/>
        <v>0</v>
      </c>
      <c r="AK23" s="51"/>
      <c r="AL23" s="49">
        <f t="shared" si="22"/>
        <v>0</v>
      </c>
      <c r="AM23" s="50">
        <f t="shared" si="23"/>
        <v>0</v>
      </c>
      <c r="AN23" s="51"/>
      <c r="AO23" s="49">
        <f t="shared" si="24"/>
        <v>0</v>
      </c>
      <c r="AP23" s="50">
        <f t="shared" si="25"/>
        <v>0</v>
      </c>
      <c r="AQ23" s="51"/>
      <c r="AR23" s="49">
        <f t="shared" si="26"/>
        <v>0</v>
      </c>
      <c r="AS23" s="50">
        <f t="shared" si="27"/>
        <v>0</v>
      </c>
      <c r="AT23" s="51"/>
      <c r="AU23" s="49">
        <f t="shared" si="28"/>
        <v>0</v>
      </c>
      <c r="AV23" s="50">
        <f t="shared" si="29"/>
        <v>0</v>
      </c>
      <c r="AW23" s="51">
        <v>230</v>
      </c>
      <c r="AX23" s="49">
        <f t="shared" si="30"/>
        <v>2760</v>
      </c>
      <c r="AY23" s="50">
        <f t="shared" si="31"/>
        <v>2760</v>
      </c>
      <c r="AZ23" s="51">
        <v>2</v>
      </c>
      <c r="BA23" s="49">
        <f t="shared" si="32"/>
        <v>24</v>
      </c>
      <c r="BB23" s="50">
        <f t="shared" si="33"/>
        <v>14.399999999999999</v>
      </c>
      <c r="BC23" s="51">
        <v>4</v>
      </c>
      <c r="BD23" s="49">
        <f t="shared" si="34"/>
        <v>160</v>
      </c>
      <c r="BE23" s="50">
        <f t="shared" si="35"/>
        <v>56</v>
      </c>
      <c r="BF23" s="51">
        <v>45</v>
      </c>
      <c r="BG23" s="49">
        <f t="shared" si="36"/>
        <v>540</v>
      </c>
      <c r="BH23" s="50">
        <f t="shared" si="37"/>
        <v>540</v>
      </c>
      <c r="BI23" s="51"/>
      <c r="BJ23" s="49">
        <f t="shared" si="38"/>
        <v>0</v>
      </c>
      <c r="BK23" s="50">
        <f t="shared" si="39"/>
        <v>0</v>
      </c>
      <c r="BL23" s="51">
        <v>8</v>
      </c>
      <c r="BM23" s="49">
        <f t="shared" si="40"/>
        <v>320</v>
      </c>
      <c r="BN23" s="50">
        <f t="shared" si="41"/>
        <v>112</v>
      </c>
      <c r="BO23" s="51">
        <v>3</v>
      </c>
      <c r="BP23" s="49">
        <f t="shared" si="42"/>
        <v>36</v>
      </c>
      <c r="BQ23" s="50">
        <f t="shared" si="43"/>
        <v>36</v>
      </c>
      <c r="BR23" s="51"/>
      <c r="BS23" s="49">
        <f t="shared" si="44"/>
        <v>0</v>
      </c>
      <c r="BT23" s="50">
        <f t="shared" si="45"/>
        <v>0</v>
      </c>
      <c r="BU23" s="51"/>
      <c r="BV23" s="49">
        <f t="shared" si="46"/>
        <v>0</v>
      </c>
      <c r="BW23" s="50">
        <f t="shared" si="47"/>
        <v>0</v>
      </c>
      <c r="BX23" s="51">
        <v>3</v>
      </c>
      <c r="BY23" s="49">
        <f t="shared" si="48"/>
        <v>36</v>
      </c>
      <c r="BZ23" s="50">
        <f t="shared" si="49"/>
        <v>36</v>
      </c>
      <c r="CA23" s="51"/>
      <c r="CB23" s="49">
        <f t="shared" si="50"/>
        <v>0</v>
      </c>
      <c r="CC23" s="50">
        <f t="shared" si="51"/>
        <v>0</v>
      </c>
      <c r="CD23" s="51"/>
      <c r="CE23" s="49">
        <f t="shared" si="52"/>
        <v>0</v>
      </c>
      <c r="CF23" s="50">
        <f t="shared" si="53"/>
        <v>0</v>
      </c>
      <c r="CG23" s="51"/>
      <c r="CH23" s="49">
        <f t="shared" si="54"/>
        <v>0</v>
      </c>
      <c r="CI23" s="50">
        <f t="shared" si="55"/>
        <v>0</v>
      </c>
      <c r="CJ23" s="51"/>
      <c r="CK23" s="49">
        <f t="shared" si="56"/>
        <v>0</v>
      </c>
      <c r="CL23" s="50">
        <f t="shared" si="57"/>
        <v>0</v>
      </c>
      <c r="CM23" s="51"/>
      <c r="CN23" s="49">
        <f t="shared" si="58"/>
        <v>0</v>
      </c>
      <c r="CO23" s="50">
        <f t="shared" si="59"/>
        <v>0</v>
      </c>
      <c r="CP23" s="51"/>
      <c r="CQ23" s="49">
        <f t="shared" si="60"/>
        <v>0</v>
      </c>
      <c r="CR23" s="50">
        <f t="shared" si="61"/>
        <v>0</v>
      </c>
      <c r="CS23" s="51"/>
      <c r="CT23" s="49">
        <f t="shared" si="62"/>
        <v>0</v>
      </c>
      <c r="CU23" s="50">
        <f t="shared" si="63"/>
        <v>0</v>
      </c>
      <c r="CV23" s="51"/>
      <c r="CW23" s="49">
        <f t="shared" si="64"/>
        <v>0</v>
      </c>
      <c r="CX23" s="50">
        <f t="shared" si="65"/>
        <v>0</v>
      </c>
      <c r="CY23" s="51"/>
      <c r="CZ23" s="49">
        <f t="shared" si="66"/>
        <v>0</v>
      </c>
      <c r="DA23" s="50">
        <f t="shared" si="67"/>
        <v>0</v>
      </c>
      <c r="DB23" s="51"/>
      <c r="DC23" s="49">
        <f t="shared" si="68"/>
        <v>0</v>
      </c>
      <c r="DD23" s="50">
        <f t="shared" si="69"/>
        <v>0</v>
      </c>
      <c r="DE23" s="51"/>
      <c r="DF23" s="49">
        <f t="shared" si="70"/>
        <v>0</v>
      </c>
      <c r="DG23" s="50">
        <f t="shared" si="71"/>
        <v>0</v>
      </c>
      <c r="DH23" s="51"/>
      <c r="DI23" s="49">
        <f t="shared" si="72"/>
        <v>0</v>
      </c>
      <c r="DJ23" s="50">
        <f t="shared" si="73"/>
        <v>0</v>
      </c>
      <c r="DK23" s="51">
        <v>1</v>
      </c>
      <c r="DL23" s="49">
        <f t="shared" si="74"/>
        <v>12</v>
      </c>
      <c r="DM23" s="50">
        <f t="shared" si="75"/>
        <v>8.16</v>
      </c>
      <c r="DN23" s="51"/>
      <c r="DO23" s="49">
        <f t="shared" si="76"/>
        <v>0</v>
      </c>
      <c r="DP23" s="50">
        <f t="shared" si="77"/>
        <v>0</v>
      </c>
      <c r="DQ23" s="51"/>
      <c r="DR23" s="51"/>
      <c r="DS23" s="51"/>
      <c r="DT23" s="46">
        <f t="shared" si="83"/>
        <v>334</v>
      </c>
      <c r="DU23" s="46">
        <f t="shared" si="84"/>
        <v>4420</v>
      </c>
      <c r="DV23" s="46">
        <f t="shared" si="85"/>
        <v>3903.04</v>
      </c>
    </row>
    <row r="24" spans="1:126" s="8" customFormat="1" ht="21.95" customHeight="1" x14ac:dyDescent="0.6">
      <c r="A24" s="67"/>
      <c r="B24" s="7" t="s">
        <v>51</v>
      </c>
      <c r="C24" s="72"/>
      <c r="D24" s="51">
        <v>70</v>
      </c>
      <c r="E24" s="49">
        <f t="shared" si="0"/>
        <v>980</v>
      </c>
      <c r="F24" s="50">
        <f t="shared" si="1"/>
        <v>627.20000000000005</v>
      </c>
      <c r="G24" s="51"/>
      <c r="H24" s="49">
        <f t="shared" si="2"/>
        <v>0</v>
      </c>
      <c r="I24" s="50">
        <f t="shared" si="3"/>
        <v>0</v>
      </c>
      <c r="J24" s="51"/>
      <c r="K24" s="49">
        <f t="shared" si="4"/>
        <v>0</v>
      </c>
      <c r="L24" s="50">
        <f t="shared" si="5"/>
        <v>0</v>
      </c>
      <c r="M24" s="51">
        <v>5</v>
      </c>
      <c r="N24" s="49">
        <f t="shared" si="6"/>
        <v>70</v>
      </c>
      <c r="O24" s="50">
        <f t="shared" si="7"/>
        <v>44.800000000000004</v>
      </c>
      <c r="P24" s="51"/>
      <c r="Q24" s="49">
        <f t="shared" si="8"/>
        <v>0</v>
      </c>
      <c r="R24" s="50">
        <f t="shared" si="9"/>
        <v>0</v>
      </c>
      <c r="S24" s="51"/>
      <c r="T24" s="49">
        <f t="shared" si="10"/>
        <v>0</v>
      </c>
      <c r="U24" s="50">
        <f t="shared" si="11"/>
        <v>0</v>
      </c>
      <c r="V24" s="51">
        <v>8</v>
      </c>
      <c r="W24" s="49">
        <f t="shared" si="12"/>
        <v>112</v>
      </c>
      <c r="X24" s="50">
        <f t="shared" si="13"/>
        <v>71.680000000000007</v>
      </c>
      <c r="Y24" s="51"/>
      <c r="Z24" s="49">
        <f t="shared" si="14"/>
        <v>0</v>
      </c>
      <c r="AA24" s="50">
        <f t="shared" si="15"/>
        <v>0</v>
      </c>
      <c r="AB24" s="51"/>
      <c r="AC24" s="49">
        <f t="shared" si="16"/>
        <v>0</v>
      </c>
      <c r="AD24" s="50">
        <f t="shared" si="17"/>
        <v>0</v>
      </c>
      <c r="AE24" s="51"/>
      <c r="AF24" s="49">
        <f t="shared" si="18"/>
        <v>0</v>
      </c>
      <c r="AG24" s="50">
        <f t="shared" si="19"/>
        <v>0</v>
      </c>
      <c r="AH24" s="51"/>
      <c r="AI24" s="49">
        <f t="shared" si="20"/>
        <v>0</v>
      </c>
      <c r="AJ24" s="50">
        <f t="shared" si="21"/>
        <v>0</v>
      </c>
      <c r="AK24" s="51">
        <v>75</v>
      </c>
      <c r="AL24" s="49">
        <f t="shared" si="22"/>
        <v>1050</v>
      </c>
      <c r="AM24" s="50">
        <f t="shared" si="23"/>
        <v>672</v>
      </c>
      <c r="AN24" s="51"/>
      <c r="AO24" s="49">
        <f t="shared" si="24"/>
        <v>0</v>
      </c>
      <c r="AP24" s="50">
        <f t="shared" si="25"/>
        <v>0</v>
      </c>
      <c r="AQ24" s="51"/>
      <c r="AR24" s="49">
        <f t="shared" si="26"/>
        <v>0</v>
      </c>
      <c r="AS24" s="50">
        <f t="shared" si="27"/>
        <v>0</v>
      </c>
      <c r="AT24" s="51"/>
      <c r="AU24" s="49">
        <f t="shared" si="28"/>
        <v>0</v>
      </c>
      <c r="AV24" s="50">
        <f t="shared" si="29"/>
        <v>0</v>
      </c>
      <c r="AW24" s="51">
        <v>200</v>
      </c>
      <c r="AX24" s="49">
        <f t="shared" si="30"/>
        <v>2400</v>
      </c>
      <c r="AY24" s="50">
        <f t="shared" si="31"/>
        <v>2400</v>
      </c>
      <c r="AZ24" s="51">
        <v>15</v>
      </c>
      <c r="BA24" s="49">
        <f t="shared" si="32"/>
        <v>180</v>
      </c>
      <c r="BB24" s="50">
        <f t="shared" si="33"/>
        <v>108</v>
      </c>
      <c r="BC24" s="51">
        <v>15</v>
      </c>
      <c r="BD24" s="49">
        <f t="shared" si="34"/>
        <v>600</v>
      </c>
      <c r="BE24" s="50">
        <f t="shared" si="35"/>
        <v>210</v>
      </c>
      <c r="BF24" s="51">
        <v>228</v>
      </c>
      <c r="BG24" s="49">
        <f t="shared" si="36"/>
        <v>2736</v>
      </c>
      <c r="BH24" s="50">
        <f t="shared" si="37"/>
        <v>2736</v>
      </c>
      <c r="BI24" s="51"/>
      <c r="BJ24" s="49">
        <f t="shared" si="38"/>
        <v>0</v>
      </c>
      <c r="BK24" s="50">
        <f t="shared" si="39"/>
        <v>0</v>
      </c>
      <c r="BL24" s="51">
        <v>24</v>
      </c>
      <c r="BM24" s="49">
        <f t="shared" si="40"/>
        <v>960</v>
      </c>
      <c r="BN24" s="50">
        <f t="shared" si="41"/>
        <v>336</v>
      </c>
      <c r="BO24" s="51"/>
      <c r="BP24" s="49">
        <f t="shared" si="42"/>
        <v>0</v>
      </c>
      <c r="BQ24" s="50">
        <f t="shared" si="43"/>
        <v>0</v>
      </c>
      <c r="BR24" s="51"/>
      <c r="BS24" s="49">
        <f t="shared" si="44"/>
        <v>0</v>
      </c>
      <c r="BT24" s="50">
        <f t="shared" si="45"/>
        <v>0</v>
      </c>
      <c r="BU24" s="51"/>
      <c r="BV24" s="49">
        <f t="shared" si="46"/>
        <v>0</v>
      </c>
      <c r="BW24" s="50">
        <f t="shared" si="47"/>
        <v>0</v>
      </c>
      <c r="BX24" s="51"/>
      <c r="BY24" s="49">
        <f t="shared" si="48"/>
        <v>0</v>
      </c>
      <c r="BZ24" s="50">
        <f t="shared" si="49"/>
        <v>0</v>
      </c>
      <c r="CA24" s="51"/>
      <c r="CB24" s="49">
        <f t="shared" si="50"/>
        <v>0</v>
      </c>
      <c r="CC24" s="50">
        <f t="shared" si="51"/>
        <v>0</v>
      </c>
      <c r="CD24" s="51"/>
      <c r="CE24" s="49">
        <f t="shared" si="52"/>
        <v>0</v>
      </c>
      <c r="CF24" s="50">
        <f t="shared" si="53"/>
        <v>0</v>
      </c>
      <c r="CG24" s="51"/>
      <c r="CH24" s="49">
        <f t="shared" si="54"/>
        <v>0</v>
      </c>
      <c r="CI24" s="50">
        <f t="shared" si="55"/>
        <v>0</v>
      </c>
      <c r="CJ24" s="51"/>
      <c r="CK24" s="49">
        <f t="shared" si="56"/>
        <v>0</v>
      </c>
      <c r="CL24" s="50">
        <f t="shared" si="57"/>
        <v>0</v>
      </c>
      <c r="CM24" s="51"/>
      <c r="CN24" s="49">
        <f t="shared" si="58"/>
        <v>0</v>
      </c>
      <c r="CO24" s="50">
        <f t="shared" si="59"/>
        <v>0</v>
      </c>
      <c r="CP24" s="51"/>
      <c r="CQ24" s="49">
        <f t="shared" si="60"/>
        <v>0</v>
      </c>
      <c r="CR24" s="50">
        <f t="shared" si="61"/>
        <v>0</v>
      </c>
      <c r="CS24" s="51"/>
      <c r="CT24" s="49">
        <f t="shared" si="62"/>
        <v>0</v>
      </c>
      <c r="CU24" s="50">
        <f t="shared" si="63"/>
        <v>0</v>
      </c>
      <c r="CV24" s="51"/>
      <c r="CW24" s="49">
        <f t="shared" si="64"/>
        <v>0</v>
      </c>
      <c r="CX24" s="50">
        <f t="shared" si="65"/>
        <v>0</v>
      </c>
      <c r="CY24" s="51"/>
      <c r="CZ24" s="49">
        <f t="shared" si="66"/>
        <v>0</v>
      </c>
      <c r="DA24" s="50">
        <f t="shared" si="67"/>
        <v>0</v>
      </c>
      <c r="DB24" s="51"/>
      <c r="DC24" s="49">
        <f t="shared" si="68"/>
        <v>0</v>
      </c>
      <c r="DD24" s="50">
        <f t="shared" si="69"/>
        <v>0</v>
      </c>
      <c r="DE24" s="51"/>
      <c r="DF24" s="49">
        <f t="shared" si="70"/>
        <v>0</v>
      </c>
      <c r="DG24" s="50">
        <f t="shared" si="71"/>
        <v>0</v>
      </c>
      <c r="DH24" s="51"/>
      <c r="DI24" s="49">
        <f t="shared" si="72"/>
        <v>0</v>
      </c>
      <c r="DJ24" s="50">
        <f t="shared" si="73"/>
        <v>0</v>
      </c>
      <c r="DK24" s="51">
        <v>1</v>
      </c>
      <c r="DL24" s="49">
        <f t="shared" si="74"/>
        <v>12</v>
      </c>
      <c r="DM24" s="50">
        <f t="shared" si="75"/>
        <v>8.16</v>
      </c>
      <c r="DN24" s="51"/>
      <c r="DO24" s="49">
        <f t="shared" si="76"/>
        <v>0</v>
      </c>
      <c r="DP24" s="50">
        <f t="shared" si="77"/>
        <v>0</v>
      </c>
      <c r="DQ24" s="51"/>
      <c r="DR24" s="51"/>
      <c r="DS24" s="51"/>
      <c r="DT24" s="46">
        <f t="shared" si="83"/>
        <v>641</v>
      </c>
      <c r="DU24" s="46">
        <f t="shared" si="84"/>
        <v>9100</v>
      </c>
      <c r="DV24" s="46">
        <f t="shared" si="85"/>
        <v>7213.84</v>
      </c>
    </row>
    <row r="25" spans="1:126" s="8" customFormat="1" ht="21.95" customHeight="1" x14ac:dyDescent="0.6">
      <c r="A25" s="67"/>
      <c r="B25" s="7" t="s">
        <v>52</v>
      </c>
      <c r="C25" s="72"/>
      <c r="D25" s="51">
        <v>13</v>
      </c>
      <c r="E25" s="49">
        <f t="shared" si="0"/>
        <v>182</v>
      </c>
      <c r="F25" s="50">
        <f t="shared" si="1"/>
        <v>116.48</v>
      </c>
      <c r="G25" s="51"/>
      <c r="H25" s="49">
        <f t="shared" si="2"/>
        <v>0</v>
      </c>
      <c r="I25" s="50">
        <f t="shared" si="3"/>
        <v>0</v>
      </c>
      <c r="J25" s="51"/>
      <c r="K25" s="49">
        <f t="shared" si="4"/>
        <v>0</v>
      </c>
      <c r="L25" s="50">
        <f t="shared" si="5"/>
        <v>0</v>
      </c>
      <c r="M25" s="51"/>
      <c r="N25" s="49">
        <f t="shared" si="6"/>
        <v>0</v>
      </c>
      <c r="O25" s="50">
        <f t="shared" si="7"/>
        <v>0</v>
      </c>
      <c r="P25" s="51"/>
      <c r="Q25" s="49">
        <f t="shared" si="8"/>
        <v>0</v>
      </c>
      <c r="R25" s="50">
        <f t="shared" si="9"/>
        <v>0</v>
      </c>
      <c r="S25" s="51"/>
      <c r="T25" s="49">
        <f t="shared" si="10"/>
        <v>0</v>
      </c>
      <c r="U25" s="50">
        <f t="shared" si="11"/>
        <v>0</v>
      </c>
      <c r="V25" s="51"/>
      <c r="W25" s="49">
        <f t="shared" si="12"/>
        <v>0</v>
      </c>
      <c r="X25" s="50">
        <f t="shared" si="13"/>
        <v>0</v>
      </c>
      <c r="Y25" s="51"/>
      <c r="Z25" s="49">
        <f t="shared" si="14"/>
        <v>0</v>
      </c>
      <c r="AA25" s="50">
        <f t="shared" si="15"/>
        <v>0</v>
      </c>
      <c r="AB25" s="51"/>
      <c r="AC25" s="49">
        <f t="shared" si="16"/>
        <v>0</v>
      </c>
      <c r="AD25" s="50">
        <f t="shared" si="17"/>
        <v>0</v>
      </c>
      <c r="AE25" s="51"/>
      <c r="AF25" s="49">
        <f t="shared" si="18"/>
        <v>0</v>
      </c>
      <c r="AG25" s="50">
        <f t="shared" si="19"/>
        <v>0</v>
      </c>
      <c r="AH25" s="51">
        <v>3</v>
      </c>
      <c r="AI25" s="49">
        <f t="shared" si="20"/>
        <v>36</v>
      </c>
      <c r="AJ25" s="50">
        <f t="shared" si="21"/>
        <v>25.2</v>
      </c>
      <c r="AK25" s="51"/>
      <c r="AL25" s="49">
        <f t="shared" si="22"/>
        <v>0</v>
      </c>
      <c r="AM25" s="50">
        <f t="shared" si="23"/>
        <v>0</v>
      </c>
      <c r="AN25" s="51"/>
      <c r="AO25" s="49">
        <f t="shared" si="24"/>
        <v>0</v>
      </c>
      <c r="AP25" s="50">
        <f t="shared" si="25"/>
        <v>0</v>
      </c>
      <c r="AQ25" s="51"/>
      <c r="AR25" s="49">
        <f t="shared" si="26"/>
        <v>0</v>
      </c>
      <c r="AS25" s="50">
        <f t="shared" si="27"/>
        <v>0</v>
      </c>
      <c r="AT25" s="51"/>
      <c r="AU25" s="49">
        <f t="shared" si="28"/>
        <v>0</v>
      </c>
      <c r="AV25" s="50">
        <f t="shared" si="29"/>
        <v>0</v>
      </c>
      <c r="AW25" s="51">
        <v>278</v>
      </c>
      <c r="AX25" s="49">
        <f t="shared" si="30"/>
        <v>3336</v>
      </c>
      <c r="AY25" s="50">
        <f t="shared" si="31"/>
        <v>3336</v>
      </c>
      <c r="AZ25" s="51">
        <v>47</v>
      </c>
      <c r="BA25" s="49">
        <f t="shared" si="32"/>
        <v>564</v>
      </c>
      <c r="BB25" s="50">
        <f t="shared" si="33"/>
        <v>338.4</v>
      </c>
      <c r="BC25" s="51">
        <v>59</v>
      </c>
      <c r="BD25" s="49">
        <f t="shared" si="34"/>
        <v>2360</v>
      </c>
      <c r="BE25" s="50">
        <f t="shared" si="35"/>
        <v>826</v>
      </c>
      <c r="BF25" s="51">
        <v>208.75</v>
      </c>
      <c r="BG25" s="49">
        <f t="shared" si="36"/>
        <v>2505</v>
      </c>
      <c r="BH25" s="50">
        <f t="shared" si="37"/>
        <v>2505</v>
      </c>
      <c r="BI25" s="51"/>
      <c r="BJ25" s="49">
        <f t="shared" si="38"/>
        <v>0</v>
      </c>
      <c r="BK25" s="50">
        <f t="shared" si="39"/>
        <v>0</v>
      </c>
      <c r="BL25" s="51">
        <v>29.5</v>
      </c>
      <c r="BM25" s="49">
        <f t="shared" si="40"/>
        <v>1180</v>
      </c>
      <c r="BN25" s="50">
        <f t="shared" si="41"/>
        <v>413</v>
      </c>
      <c r="BO25" s="51"/>
      <c r="BP25" s="49">
        <f t="shared" si="42"/>
        <v>0</v>
      </c>
      <c r="BQ25" s="50">
        <f t="shared" si="43"/>
        <v>0</v>
      </c>
      <c r="BR25" s="51"/>
      <c r="BS25" s="49">
        <f t="shared" si="44"/>
        <v>0</v>
      </c>
      <c r="BT25" s="50">
        <f t="shared" si="45"/>
        <v>0</v>
      </c>
      <c r="BU25" s="51"/>
      <c r="BV25" s="49">
        <f t="shared" si="46"/>
        <v>0</v>
      </c>
      <c r="BW25" s="50">
        <f t="shared" si="47"/>
        <v>0</v>
      </c>
      <c r="BX25" s="51"/>
      <c r="BY25" s="49">
        <f t="shared" si="48"/>
        <v>0</v>
      </c>
      <c r="BZ25" s="50">
        <f t="shared" si="49"/>
        <v>0</v>
      </c>
      <c r="CA25" s="51"/>
      <c r="CB25" s="49">
        <f t="shared" si="50"/>
        <v>0</v>
      </c>
      <c r="CC25" s="50">
        <f t="shared" si="51"/>
        <v>0</v>
      </c>
      <c r="CD25" s="51"/>
      <c r="CE25" s="49">
        <f t="shared" si="52"/>
        <v>0</v>
      </c>
      <c r="CF25" s="50">
        <f t="shared" si="53"/>
        <v>0</v>
      </c>
      <c r="CG25" s="51"/>
      <c r="CH25" s="49">
        <f t="shared" si="54"/>
        <v>0</v>
      </c>
      <c r="CI25" s="50">
        <f t="shared" si="55"/>
        <v>0</v>
      </c>
      <c r="CJ25" s="51"/>
      <c r="CK25" s="49">
        <f t="shared" si="56"/>
        <v>0</v>
      </c>
      <c r="CL25" s="50">
        <f t="shared" si="57"/>
        <v>0</v>
      </c>
      <c r="CM25" s="51"/>
      <c r="CN25" s="49">
        <f t="shared" si="58"/>
        <v>0</v>
      </c>
      <c r="CO25" s="50">
        <f t="shared" si="59"/>
        <v>0</v>
      </c>
      <c r="CP25" s="51"/>
      <c r="CQ25" s="49">
        <f t="shared" si="60"/>
        <v>0</v>
      </c>
      <c r="CR25" s="50">
        <f t="shared" si="61"/>
        <v>0</v>
      </c>
      <c r="CS25" s="51"/>
      <c r="CT25" s="49">
        <f t="shared" si="62"/>
        <v>0</v>
      </c>
      <c r="CU25" s="50">
        <f t="shared" si="63"/>
        <v>0</v>
      </c>
      <c r="CV25" s="51"/>
      <c r="CW25" s="49">
        <f t="shared" si="64"/>
        <v>0</v>
      </c>
      <c r="CX25" s="50">
        <f t="shared" si="65"/>
        <v>0</v>
      </c>
      <c r="CY25" s="51"/>
      <c r="CZ25" s="49">
        <f t="shared" si="66"/>
        <v>0</v>
      </c>
      <c r="DA25" s="50">
        <f t="shared" si="67"/>
        <v>0</v>
      </c>
      <c r="DB25" s="51"/>
      <c r="DC25" s="49">
        <f t="shared" si="68"/>
        <v>0</v>
      </c>
      <c r="DD25" s="50">
        <f t="shared" si="69"/>
        <v>0</v>
      </c>
      <c r="DE25" s="51"/>
      <c r="DF25" s="49">
        <f t="shared" si="70"/>
        <v>0</v>
      </c>
      <c r="DG25" s="50">
        <f t="shared" si="71"/>
        <v>0</v>
      </c>
      <c r="DH25" s="51"/>
      <c r="DI25" s="49">
        <f t="shared" si="72"/>
        <v>0</v>
      </c>
      <c r="DJ25" s="50">
        <f t="shared" si="73"/>
        <v>0</v>
      </c>
      <c r="DK25" s="51"/>
      <c r="DL25" s="49">
        <f t="shared" si="74"/>
        <v>0</v>
      </c>
      <c r="DM25" s="50">
        <f t="shared" si="75"/>
        <v>0</v>
      </c>
      <c r="DN25" s="51"/>
      <c r="DO25" s="49">
        <f t="shared" si="76"/>
        <v>0</v>
      </c>
      <c r="DP25" s="50">
        <f t="shared" si="77"/>
        <v>0</v>
      </c>
      <c r="DQ25" s="51"/>
      <c r="DR25" s="51"/>
      <c r="DS25" s="51"/>
      <c r="DT25" s="46">
        <f t="shared" si="83"/>
        <v>638.25</v>
      </c>
      <c r="DU25" s="46">
        <f t="shared" si="84"/>
        <v>10163</v>
      </c>
      <c r="DV25" s="46">
        <f t="shared" si="85"/>
        <v>7560.08</v>
      </c>
    </row>
    <row r="26" spans="1:126" s="8" customFormat="1" ht="21.95" customHeight="1" x14ac:dyDescent="0.6">
      <c r="A26" s="67"/>
      <c r="B26" s="9" t="s">
        <v>44</v>
      </c>
      <c r="C26" s="10" t="s">
        <v>41</v>
      </c>
      <c r="D26" s="51">
        <v>100</v>
      </c>
      <c r="E26" s="49">
        <f t="shared" si="0"/>
        <v>1400</v>
      </c>
      <c r="F26" s="50">
        <f t="shared" si="1"/>
        <v>896</v>
      </c>
      <c r="G26" s="51"/>
      <c r="H26" s="49">
        <f t="shared" si="2"/>
        <v>0</v>
      </c>
      <c r="I26" s="50">
        <f t="shared" si="3"/>
        <v>0</v>
      </c>
      <c r="J26" s="51"/>
      <c r="K26" s="49">
        <f t="shared" si="4"/>
        <v>0</v>
      </c>
      <c r="L26" s="50">
        <f t="shared" si="5"/>
        <v>0</v>
      </c>
      <c r="M26" s="51"/>
      <c r="N26" s="49">
        <f t="shared" si="6"/>
        <v>0</v>
      </c>
      <c r="O26" s="50">
        <f t="shared" si="7"/>
        <v>0</v>
      </c>
      <c r="P26" s="51"/>
      <c r="Q26" s="49">
        <f t="shared" si="8"/>
        <v>0</v>
      </c>
      <c r="R26" s="50">
        <f t="shared" si="9"/>
        <v>0</v>
      </c>
      <c r="S26" s="51"/>
      <c r="T26" s="49">
        <f t="shared" si="10"/>
        <v>0</v>
      </c>
      <c r="U26" s="50">
        <f t="shared" si="11"/>
        <v>0</v>
      </c>
      <c r="V26" s="51"/>
      <c r="W26" s="49">
        <f t="shared" si="12"/>
        <v>0</v>
      </c>
      <c r="X26" s="50">
        <f t="shared" si="13"/>
        <v>0</v>
      </c>
      <c r="Y26" s="51"/>
      <c r="Z26" s="49">
        <f t="shared" si="14"/>
        <v>0</v>
      </c>
      <c r="AA26" s="50">
        <f t="shared" si="15"/>
        <v>0</v>
      </c>
      <c r="AB26" s="51"/>
      <c r="AC26" s="49">
        <f t="shared" si="16"/>
        <v>0</v>
      </c>
      <c r="AD26" s="50">
        <f t="shared" si="17"/>
        <v>0</v>
      </c>
      <c r="AE26" s="51"/>
      <c r="AF26" s="49">
        <f t="shared" si="18"/>
        <v>0</v>
      </c>
      <c r="AG26" s="50">
        <f t="shared" si="19"/>
        <v>0</v>
      </c>
      <c r="AH26" s="51"/>
      <c r="AI26" s="49">
        <f t="shared" si="20"/>
        <v>0</v>
      </c>
      <c r="AJ26" s="50">
        <f t="shared" si="21"/>
        <v>0</v>
      </c>
      <c r="AK26" s="51"/>
      <c r="AL26" s="49">
        <f t="shared" si="22"/>
        <v>0</v>
      </c>
      <c r="AM26" s="50">
        <f t="shared" si="23"/>
        <v>0</v>
      </c>
      <c r="AN26" s="51"/>
      <c r="AO26" s="49">
        <f t="shared" si="24"/>
        <v>0</v>
      </c>
      <c r="AP26" s="50">
        <f t="shared" si="25"/>
        <v>0</v>
      </c>
      <c r="AQ26" s="51"/>
      <c r="AR26" s="49">
        <f t="shared" si="26"/>
        <v>0</v>
      </c>
      <c r="AS26" s="50">
        <f t="shared" si="27"/>
        <v>0</v>
      </c>
      <c r="AT26" s="51"/>
      <c r="AU26" s="49">
        <f t="shared" si="28"/>
        <v>0</v>
      </c>
      <c r="AV26" s="50">
        <f t="shared" si="29"/>
        <v>0</v>
      </c>
      <c r="AW26" s="51">
        <v>230</v>
      </c>
      <c r="AX26" s="49">
        <f t="shared" si="30"/>
        <v>2760</v>
      </c>
      <c r="AY26" s="50">
        <f t="shared" si="31"/>
        <v>2760</v>
      </c>
      <c r="AZ26" s="51">
        <v>30</v>
      </c>
      <c r="BA26" s="49">
        <f t="shared" si="32"/>
        <v>360</v>
      </c>
      <c r="BB26" s="50">
        <f t="shared" si="33"/>
        <v>216</v>
      </c>
      <c r="BC26" s="51">
        <v>40</v>
      </c>
      <c r="BD26" s="49">
        <f t="shared" si="34"/>
        <v>1600</v>
      </c>
      <c r="BE26" s="50">
        <f t="shared" si="35"/>
        <v>560</v>
      </c>
      <c r="BF26" s="51">
        <v>345</v>
      </c>
      <c r="BG26" s="49">
        <f t="shared" si="36"/>
        <v>4140</v>
      </c>
      <c r="BH26" s="50">
        <f t="shared" si="37"/>
        <v>4140</v>
      </c>
      <c r="BI26" s="51"/>
      <c r="BJ26" s="49">
        <f t="shared" si="38"/>
        <v>0</v>
      </c>
      <c r="BK26" s="50">
        <f t="shared" si="39"/>
        <v>0</v>
      </c>
      <c r="BL26" s="51">
        <v>60</v>
      </c>
      <c r="BM26" s="49">
        <f t="shared" si="40"/>
        <v>2400</v>
      </c>
      <c r="BN26" s="50">
        <f t="shared" si="41"/>
        <v>840</v>
      </c>
      <c r="BO26" s="51"/>
      <c r="BP26" s="49">
        <f t="shared" si="42"/>
        <v>0</v>
      </c>
      <c r="BQ26" s="50">
        <f t="shared" si="43"/>
        <v>0</v>
      </c>
      <c r="BR26" s="51"/>
      <c r="BS26" s="49">
        <f t="shared" si="44"/>
        <v>0</v>
      </c>
      <c r="BT26" s="50">
        <f t="shared" si="45"/>
        <v>0</v>
      </c>
      <c r="BU26" s="51"/>
      <c r="BV26" s="49">
        <f t="shared" si="46"/>
        <v>0</v>
      </c>
      <c r="BW26" s="50">
        <f t="shared" si="47"/>
        <v>0</v>
      </c>
      <c r="BX26" s="51"/>
      <c r="BY26" s="49">
        <f t="shared" si="48"/>
        <v>0</v>
      </c>
      <c r="BZ26" s="50">
        <f t="shared" si="49"/>
        <v>0</v>
      </c>
      <c r="CA26" s="51"/>
      <c r="CB26" s="49">
        <f t="shared" si="50"/>
        <v>0</v>
      </c>
      <c r="CC26" s="50">
        <f t="shared" si="51"/>
        <v>0</v>
      </c>
      <c r="CD26" s="51"/>
      <c r="CE26" s="49">
        <f t="shared" si="52"/>
        <v>0</v>
      </c>
      <c r="CF26" s="50">
        <f t="shared" si="53"/>
        <v>0</v>
      </c>
      <c r="CG26" s="51"/>
      <c r="CH26" s="49">
        <f t="shared" si="54"/>
        <v>0</v>
      </c>
      <c r="CI26" s="50">
        <f t="shared" si="55"/>
        <v>0</v>
      </c>
      <c r="CJ26" s="51"/>
      <c r="CK26" s="49">
        <f t="shared" si="56"/>
        <v>0</v>
      </c>
      <c r="CL26" s="50">
        <f t="shared" si="57"/>
        <v>0</v>
      </c>
      <c r="CM26" s="51"/>
      <c r="CN26" s="49">
        <f t="shared" si="58"/>
        <v>0</v>
      </c>
      <c r="CO26" s="50">
        <f t="shared" si="59"/>
        <v>0</v>
      </c>
      <c r="CP26" s="51"/>
      <c r="CQ26" s="49">
        <f t="shared" si="60"/>
        <v>0</v>
      </c>
      <c r="CR26" s="50">
        <f t="shared" si="61"/>
        <v>0</v>
      </c>
      <c r="CS26" s="51"/>
      <c r="CT26" s="49">
        <f t="shared" si="62"/>
        <v>0</v>
      </c>
      <c r="CU26" s="50">
        <f t="shared" si="63"/>
        <v>0</v>
      </c>
      <c r="CV26" s="51"/>
      <c r="CW26" s="49">
        <f t="shared" si="64"/>
        <v>0</v>
      </c>
      <c r="CX26" s="50">
        <f t="shared" si="65"/>
        <v>0</v>
      </c>
      <c r="CY26" s="51"/>
      <c r="CZ26" s="49">
        <f t="shared" si="66"/>
        <v>0</v>
      </c>
      <c r="DA26" s="50">
        <f t="shared" si="67"/>
        <v>0</v>
      </c>
      <c r="DB26" s="51"/>
      <c r="DC26" s="49">
        <f t="shared" si="68"/>
        <v>0</v>
      </c>
      <c r="DD26" s="50">
        <f t="shared" si="69"/>
        <v>0</v>
      </c>
      <c r="DE26" s="51"/>
      <c r="DF26" s="49">
        <f t="shared" si="70"/>
        <v>0</v>
      </c>
      <c r="DG26" s="50">
        <f t="shared" si="71"/>
        <v>0</v>
      </c>
      <c r="DH26" s="51"/>
      <c r="DI26" s="49">
        <f t="shared" si="72"/>
        <v>0</v>
      </c>
      <c r="DJ26" s="50">
        <f t="shared" si="73"/>
        <v>0</v>
      </c>
      <c r="DK26" s="51"/>
      <c r="DL26" s="49">
        <f t="shared" si="74"/>
        <v>0</v>
      </c>
      <c r="DM26" s="50">
        <f t="shared" si="75"/>
        <v>0</v>
      </c>
      <c r="DN26" s="51"/>
      <c r="DO26" s="49">
        <f t="shared" si="76"/>
        <v>0</v>
      </c>
      <c r="DP26" s="50">
        <f t="shared" si="77"/>
        <v>0</v>
      </c>
      <c r="DQ26" s="51"/>
      <c r="DR26" s="51"/>
      <c r="DS26" s="51"/>
      <c r="DT26" s="46">
        <f t="shared" si="83"/>
        <v>805</v>
      </c>
      <c r="DU26" s="46">
        <f t="shared" si="84"/>
        <v>12660</v>
      </c>
      <c r="DV26" s="46">
        <f t="shared" si="85"/>
        <v>9412</v>
      </c>
    </row>
    <row r="27" spans="1:126" s="8" customFormat="1" ht="21.95" customHeight="1" x14ac:dyDescent="0.6">
      <c r="A27" s="67"/>
      <c r="B27" s="9" t="s">
        <v>46</v>
      </c>
      <c r="C27" s="10" t="s">
        <v>41</v>
      </c>
      <c r="D27" s="51">
        <v>795</v>
      </c>
      <c r="E27" s="49">
        <f t="shared" si="0"/>
        <v>11130</v>
      </c>
      <c r="F27" s="50">
        <f t="shared" si="1"/>
        <v>7123.2</v>
      </c>
      <c r="G27" s="51"/>
      <c r="H27" s="49">
        <f t="shared" si="2"/>
        <v>0</v>
      </c>
      <c r="I27" s="50">
        <f t="shared" si="3"/>
        <v>0</v>
      </c>
      <c r="J27" s="51"/>
      <c r="K27" s="49">
        <f t="shared" si="4"/>
        <v>0</v>
      </c>
      <c r="L27" s="50">
        <f t="shared" si="5"/>
        <v>0</v>
      </c>
      <c r="M27" s="51"/>
      <c r="N27" s="49">
        <f t="shared" si="6"/>
        <v>0</v>
      </c>
      <c r="O27" s="50">
        <f t="shared" si="7"/>
        <v>0</v>
      </c>
      <c r="P27" s="51"/>
      <c r="Q27" s="49">
        <f t="shared" si="8"/>
        <v>0</v>
      </c>
      <c r="R27" s="50">
        <f t="shared" si="9"/>
        <v>0</v>
      </c>
      <c r="S27" s="51">
        <v>5</v>
      </c>
      <c r="T27" s="49">
        <f t="shared" si="10"/>
        <v>70</v>
      </c>
      <c r="U27" s="50">
        <f t="shared" si="11"/>
        <v>44.800000000000004</v>
      </c>
      <c r="V27" s="51">
        <v>30</v>
      </c>
      <c r="W27" s="49">
        <f t="shared" si="12"/>
        <v>420</v>
      </c>
      <c r="X27" s="50">
        <f t="shared" si="13"/>
        <v>268.8</v>
      </c>
      <c r="Y27" s="51"/>
      <c r="Z27" s="49">
        <f t="shared" si="14"/>
        <v>0</v>
      </c>
      <c r="AA27" s="50">
        <f t="shared" si="15"/>
        <v>0</v>
      </c>
      <c r="AB27" s="51"/>
      <c r="AC27" s="49">
        <f t="shared" si="16"/>
        <v>0</v>
      </c>
      <c r="AD27" s="50">
        <f t="shared" si="17"/>
        <v>0</v>
      </c>
      <c r="AE27" s="51"/>
      <c r="AF27" s="49">
        <f t="shared" si="18"/>
        <v>0</v>
      </c>
      <c r="AG27" s="50">
        <f t="shared" si="19"/>
        <v>0</v>
      </c>
      <c r="AH27" s="51">
        <v>5</v>
      </c>
      <c r="AI27" s="49">
        <f t="shared" si="20"/>
        <v>60</v>
      </c>
      <c r="AJ27" s="50">
        <f t="shared" si="21"/>
        <v>42</v>
      </c>
      <c r="AK27" s="51"/>
      <c r="AL27" s="49">
        <f t="shared" si="22"/>
        <v>0</v>
      </c>
      <c r="AM27" s="50">
        <f t="shared" si="23"/>
        <v>0</v>
      </c>
      <c r="AN27" s="51"/>
      <c r="AO27" s="49">
        <f t="shared" si="24"/>
        <v>0</v>
      </c>
      <c r="AP27" s="50">
        <f t="shared" si="25"/>
        <v>0</v>
      </c>
      <c r="AQ27" s="51"/>
      <c r="AR27" s="49">
        <f t="shared" si="26"/>
        <v>0</v>
      </c>
      <c r="AS27" s="50">
        <f t="shared" si="27"/>
        <v>0</v>
      </c>
      <c r="AT27" s="51"/>
      <c r="AU27" s="49">
        <f t="shared" si="28"/>
        <v>0</v>
      </c>
      <c r="AV27" s="50">
        <f t="shared" si="29"/>
        <v>0</v>
      </c>
      <c r="AW27" s="51">
        <v>1140</v>
      </c>
      <c r="AX27" s="49">
        <f t="shared" si="30"/>
        <v>13680</v>
      </c>
      <c r="AY27" s="50">
        <f t="shared" si="31"/>
        <v>13680</v>
      </c>
      <c r="AZ27" s="51">
        <v>50</v>
      </c>
      <c r="BA27" s="49">
        <f t="shared" si="32"/>
        <v>600</v>
      </c>
      <c r="BB27" s="50">
        <f t="shared" si="33"/>
        <v>360</v>
      </c>
      <c r="BC27" s="51">
        <v>130</v>
      </c>
      <c r="BD27" s="49">
        <f t="shared" si="34"/>
        <v>5200</v>
      </c>
      <c r="BE27" s="50">
        <f t="shared" si="35"/>
        <v>1819.9999999999998</v>
      </c>
      <c r="BF27" s="51">
        <v>495</v>
      </c>
      <c r="BG27" s="49">
        <f t="shared" si="36"/>
        <v>5940</v>
      </c>
      <c r="BH27" s="50">
        <f t="shared" si="37"/>
        <v>5940</v>
      </c>
      <c r="BI27" s="51"/>
      <c r="BJ27" s="49">
        <f t="shared" si="38"/>
        <v>0</v>
      </c>
      <c r="BK27" s="50">
        <f t="shared" si="39"/>
        <v>0</v>
      </c>
      <c r="BL27" s="51">
        <v>45</v>
      </c>
      <c r="BM27" s="49">
        <f t="shared" si="40"/>
        <v>1800</v>
      </c>
      <c r="BN27" s="50">
        <f t="shared" si="41"/>
        <v>630</v>
      </c>
      <c r="BO27" s="51"/>
      <c r="BP27" s="49">
        <f t="shared" si="42"/>
        <v>0</v>
      </c>
      <c r="BQ27" s="50">
        <f t="shared" si="43"/>
        <v>0</v>
      </c>
      <c r="BR27" s="51"/>
      <c r="BS27" s="49">
        <f t="shared" si="44"/>
        <v>0</v>
      </c>
      <c r="BT27" s="50">
        <f t="shared" si="45"/>
        <v>0</v>
      </c>
      <c r="BU27" s="51"/>
      <c r="BV27" s="49">
        <f t="shared" si="46"/>
        <v>0</v>
      </c>
      <c r="BW27" s="50">
        <f t="shared" si="47"/>
        <v>0</v>
      </c>
      <c r="BX27" s="51"/>
      <c r="BY27" s="49">
        <f t="shared" si="48"/>
        <v>0</v>
      </c>
      <c r="BZ27" s="50">
        <f t="shared" si="49"/>
        <v>0</v>
      </c>
      <c r="CA27" s="51"/>
      <c r="CB27" s="49">
        <f t="shared" si="50"/>
        <v>0</v>
      </c>
      <c r="CC27" s="50">
        <f t="shared" si="51"/>
        <v>0</v>
      </c>
      <c r="CD27" s="51"/>
      <c r="CE27" s="49">
        <f t="shared" si="52"/>
        <v>0</v>
      </c>
      <c r="CF27" s="50">
        <f t="shared" si="53"/>
        <v>0</v>
      </c>
      <c r="CG27" s="51"/>
      <c r="CH27" s="49">
        <f t="shared" si="54"/>
        <v>0</v>
      </c>
      <c r="CI27" s="50">
        <f t="shared" si="55"/>
        <v>0</v>
      </c>
      <c r="CJ27" s="51"/>
      <c r="CK27" s="49">
        <f t="shared" si="56"/>
        <v>0</v>
      </c>
      <c r="CL27" s="50">
        <f t="shared" si="57"/>
        <v>0</v>
      </c>
      <c r="CM27" s="51"/>
      <c r="CN27" s="49">
        <f t="shared" si="58"/>
        <v>0</v>
      </c>
      <c r="CO27" s="50">
        <f t="shared" si="59"/>
        <v>0</v>
      </c>
      <c r="CP27" s="51"/>
      <c r="CQ27" s="49">
        <f t="shared" si="60"/>
        <v>0</v>
      </c>
      <c r="CR27" s="50">
        <f t="shared" si="61"/>
        <v>0</v>
      </c>
      <c r="CS27" s="51"/>
      <c r="CT27" s="49">
        <f t="shared" si="62"/>
        <v>0</v>
      </c>
      <c r="CU27" s="50">
        <f t="shared" si="63"/>
        <v>0</v>
      </c>
      <c r="CV27" s="51">
        <v>30</v>
      </c>
      <c r="CW27" s="49">
        <f t="shared" si="64"/>
        <v>600</v>
      </c>
      <c r="CX27" s="50">
        <f t="shared" si="65"/>
        <v>600</v>
      </c>
      <c r="CY27" s="51"/>
      <c r="CZ27" s="49">
        <f t="shared" si="66"/>
        <v>0</v>
      </c>
      <c r="DA27" s="50">
        <f t="shared" si="67"/>
        <v>0</v>
      </c>
      <c r="DB27" s="51"/>
      <c r="DC27" s="49">
        <f t="shared" si="68"/>
        <v>0</v>
      </c>
      <c r="DD27" s="50">
        <f t="shared" si="69"/>
        <v>0</v>
      </c>
      <c r="DE27" s="51"/>
      <c r="DF27" s="49">
        <f t="shared" si="70"/>
        <v>0</v>
      </c>
      <c r="DG27" s="50">
        <f t="shared" si="71"/>
        <v>0</v>
      </c>
      <c r="DH27" s="51"/>
      <c r="DI27" s="49">
        <f t="shared" si="72"/>
        <v>0</v>
      </c>
      <c r="DJ27" s="50">
        <f t="shared" si="73"/>
        <v>0</v>
      </c>
      <c r="DK27" s="51"/>
      <c r="DL27" s="49">
        <f t="shared" si="74"/>
        <v>0</v>
      </c>
      <c r="DM27" s="50">
        <f t="shared" si="75"/>
        <v>0</v>
      </c>
      <c r="DN27" s="51"/>
      <c r="DO27" s="49">
        <f t="shared" si="76"/>
        <v>0</v>
      </c>
      <c r="DP27" s="50">
        <f t="shared" si="77"/>
        <v>0</v>
      </c>
      <c r="DQ27" s="51"/>
      <c r="DR27" s="51"/>
      <c r="DS27" s="51"/>
      <c r="DT27" s="46">
        <f t="shared" si="83"/>
        <v>2725</v>
      </c>
      <c r="DU27" s="46">
        <f t="shared" si="84"/>
        <v>39500</v>
      </c>
      <c r="DV27" s="46">
        <f t="shared" si="85"/>
        <v>30508.799999999999</v>
      </c>
    </row>
    <row r="28" spans="1:126" s="8" customFormat="1" ht="21.95" customHeight="1" x14ac:dyDescent="0.6">
      <c r="A28" s="67"/>
      <c r="B28" s="9" t="s">
        <v>47</v>
      </c>
      <c r="C28" s="10" t="s">
        <v>41</v>
      </c>
      <c r="D28" s="51">
        <v>0</v>
      </c>
      <c r="E28" s="49">
        <f t="shared" si="0"/>
        <v>0</v>
      </c>
      <c r="F28" s="50">
        <f t="shared" si="1"/>
        <v>0</v>
      </c>
      <c r="G28" s="51">
        <v>0</v>
      </c>
      <c r="H28" s="49">
        <f t="shared" si="2"/>
        <v>0</v>
      </c>
      <c r="I28" s="50">
        <f t="shared" si="3"/>
        <v>0</v>
      </c>
      <c r="J28" s="51"/>
      <c r="K28" s="49">
        <f t="shared" si="4"/>
        <v>0</v>
      </c>
      <c r="L28" s="50">
        <f t="shared" si="5"/>
        <v>0</v>
      </c>
      <c r="M28" s="51">
        <v>0</v>
      </c>
      <c r="N28" s="49">
        <f t="shared" si="6"/>
        <v>0</v>
      </c>
      <c r="O28" s="50">
        <f t="shared" si="7"/>
        <v>0</v>
      </c>
      <c r="P28" s="51"/>
      <c r="Q28" s="49">
        <f t="shared" si="8"/>
        <v>0</v>
      </c>
      <c r="R28" s="50">
        <f t="shared" si="9"/>
        <v>0</v>
      </c>
      <c r="S28" s="51"/>
      <c r="T28" s="49">
        <f t="shared" si="10"/>
        <v>0</v>
      </c>
      <c r="U28" s="50">
        <f t="shared" si="11"/>
        <v>0</v>
      </c>
      <c r="V28" s="51"/>
      <c r="W28" s="49">
        <f t="shared" si="12"/>
        <v>0</v>
      </c>
      <c r="X28" s="50">
        <f t="shared" si="13"/>
        <v>0</v>
      </c>
      <c r="Y28" s="51"/>
      <c r="Z28" s="49">
        <f t="shared" si="14"/>
        <v>0</v>
      </c>
      <c r="AA28" s="50">
        <f t="shared" si="15"/>
        <v>0</v>
      </c>
      <c r="AB28" s="51"/>
      <c r="AC28" s="49">
        <f t="shared" si="16"/>
        <v>0</v>
      </c>
      <c r="AD28" s="50">
        <f t="shared" si="17"/>
        <v>0</v>
      </c>
      <c r="AE28" s="51"/>
      <c r="AF28" s="49">
        <f t="shared" si="18"/>
        <v>0</v>
      </c>
      <c r="AG28" s="50">
        <f t="shared" si="19"/>
        <v>0</v>
      </c>
      <c r="AH28" s="51"/>
      <c r="AI28" s="49">
        <f t="shared" si="20"/>
        <v>0</v>
      </c>
      <c r="AJ28" s="50">
        <f t="shared" si="21"/>
        <v>0</v>
      </c>
      <c r="AK28" s="51"/>
      <c r="AL28" s="49">
        <f t="shared" si="22"/>
        <v>0</v>
      </c>
      <c r="AM28" s="50">
        <f t="shared" si="23"/>
        <v>0</v>
      </c>
      <c r="AN28" s="51"/>
      <c r="AO28" s="49">
        <f t="shared" si="24"/>
        <v>0</v>
      </c>
      <c r="AP28" s="50">
        <f t="shared" si="25"/>
        <v>0</v>
      </c>
      <c r="AQ28" s="51"/>
      <c r="AR28" s="49">
        <f t="shared" si="26"/>
        <v>0</v>
      </c>
      <c r="AS28" s="50">
        <f t="shared" si="27"/>
        <v>0</v>
      </c>
      <c r="AT28" s="51"/>
      <c r="AU28" s="49">
        <f t="shared" si="28"/>
        <v>0</v>
      </c>
      <c r="AV28" s="50">
        <f t="shared" si="29"/>
        <v>0</v>
      </c>
      <c r="AW28" s="51"/>
      <c r="AX28" s="49">
        <f t="shared" si="30"/>
        <v>0</v>
      </c>
      <c r="AY28" s="50">
        <f t="shared" si="31"/>
        <v>0</v>
      </c>
      <c r="AZ28" s="51"/>
      <c r="BA28" s="49">
        <f t="shared" si="32"/>
        <v>0</v>
      </c>
      <c r="BB28" s="50">
        <f t="shared" si="33"/>
        <v>0</v>
      </c>
      <c r="BC28" s="51"/>
      <c r="BD28" s="49">
        <f t="shared" si="34"/>
        <v>0</v>
      </c>
      <c r="BE28" s="50">
        <f t="shared" si="35"/>
        <v>0</v>
      </c>
      <c r="BF28" s="51"/>
      <c r="BG28" s="49">
        <f t="shared" si="36"/>
        <v>0</v>
      </c>
      <c r="BH28" s="50">
        <f t="shared" si="37"/>
        <v>0</v>
      </c>
      <c r="BI28" s="51"/>
      <c r="BJ28" s="49">
        <f t="shared" si="38"/>
        <v>0</v>
      </c>
      <c r="BK28" s="50">
        <f t="shared" si="39"/>
        <v>0</v>
      </c>
      <c r="BL28" s="51"/>
      <c r="BM28" s="49">
        <f t="shared" si="40"/>
        <v>0</v>
      </c>
      <c r="BN28" s="50">
        <f t="shared" si="41"/>
        <v>0</v>
      </c>
      <c r="BO28" s="51"/>
      <c r="BP28" s="49">
        <f t="shared" si="42"/>
        <v>0</v>
      </c>
      <c r="BQ28" s="50">
        <f t="shared" si="43"/>
        <v>0</v>
      </c>
      <c r="BR28" s="51"/>
      <c r="BS28" s="49">
        <f t="shared" si="44"/>
        <v>0</v>
      </c>
      <c r="BT28" s="50">
        <f t="shared" si="45"/>
        <v>0</v>
      </c>
      <c r="BU28" s="51"/>
      <c r="BV28" s="49">
        <f t="shared" si="46"/>
        <v>0</v>
      </c>
      <c r="BW28" s="50">
        <f t="shared" si="47"/>
        <v>0</v>
      </c>
      <c r="BX28" s="51"/>
      <c r="BY28" s="49">
        <f t="shared" si="48"/>
        <v>0</v>
      </c>
      <c r="BZ28" s="50">
        <f t="shared" si="49"/>
        <v>0</v>
      </c>
      <c r="CA28" s="51"/>
      <c r="CB28" s="49">
        <f t="shared" si="50"/>
        <v>0</v>
      </c>
      <c r="CC28" s="50">
        <f t="shared" si="51"/>
        <v>0</v>
      </c>
      <c r="CD28" s="51"/>
      <c r="CE28" s="49">
        <f t="shared" si="52"/>
        <v>0</v>
      </c>
      <c r="CF28" s="50">
        <f t="shared" si="53"/>
        <v>0</v>
      </c>
      <c r="CG28" s="51"/>
      <c r="CH28" s="49">
        <f t="shared" si="54"/>
        <v>0</v>
      </c>
      <c r="CI28" s="50">
        <f t="shared" si="55"/>
        <v>0</v>
      </c>
      <c r="CJ28" s="51"/>
      <c r="CK28" s="49">
        <f t="shared" si="56"/>
        <v>0</v>
      </c>
      <c r="CL28" s="50">
        <f t="shared" si="57"/>
        <v>0</v>
      </c>
      <c r="CM28" s="51"/>
      <c r="CN28" s="49">
        <f t="shared" si="58"/>
        <v>0</v>
      </c>
      <c r="CO28" s="50">
        <f t="shared" si="59"/>
        <v>0</v>
      </c>
      <c r="CP28" s="51"/>
      <c r="CQ28" s="49">
        <f t="shared" si="60"/>
        <v>0</v>
      </c>
      <c r="CR28" s="50">
        <f t="shared" si="61"/>
        <v>0</v>
      </c>
      <c r="CS28" s="51"/>
      <c r="CT28" s="49">
        <f t="shared" si="62"/>
        <v>0</v>
      </c>
      <c r="CU28" s="50">
        <f t="shared" si="63"/>
        <v>0</v>
      </c>
      <c r="CV28" s="51"/>
      <c r="CW28" s="49">
        <f t="shared" si="64"/>
        <v>0</v>
      </c>
      <c r="CX28" s="50">
        <f t="shared" si="65"/>
        <v>0</v>
      </c>
      <c r="CY28" s="51"/>
      <c r="CZ28" s="49">
        <f t="shared" si="66"/>
        <v>0</v>
      </c>
      <c r="DA28" s="50">
        <f t="shared" si="67"/>
        <v>0</v>
      </c>
      <c r="DB28" s="51"/>
      <c r="DC28" s="49">
        <f t="shared" si="68"/>
        <v>0</v>
      </c>
      <c r="DD28" s="50">
        <f t="shared" si="69"/>
        <v>0</v>
      </c>
      <c r="DE28" s="51"/>
      <c r="DF28" s="49">
        <f t="shared" si="70"/>
        <v>0</v>
      </c>
      <c r="DG28" s="50">
        <f t="shared" si="71"/>
        <v>0</v>
      </c>
      <c r="DH28" s="51"/>
      <c r="DI28" s="49">
        <f t="shared" si="72"/>
        <v>0</v>
      </c>
      <c r="DJ28" s="50">
        <f t="shared" si="73"/>
        <v>0</v>
      </c>
      <c r="DK28" s="51"/>
      <c r="DL28" s="49">
        <f t="shared" si="74"/>
        <v>0</v>
      </c>
      <c r="DM28" s="50">
        <f t="shared" si="75"/>
        <v>0</v>
      </c>
      <c r="DN28" s="51"/>
      <c r="DO28" s="49">
        <f t="shared" si="76"/>
        <v>0</v>
      </c>
      <c r="DP28" s="50">
        <f t="shared" si="77"/>
        <v>0</v>
      </c>
      <c r="DQ28" s="51"/>
      <c r="DR28" s="51"/>
      <c r="DS28" s="51"/>
      <c r="DT28" s="46">
        <f t="shared" si="83"/>
        <v>0</v>
      </c>
      <c r="DU28" s="46">
        <f t="shared" si="84"/>
        <v>0</v>
      </c>
      <c r="DV28" s="46">
        <f t="shared" si="85"/>
        <v>0</v>
      </c>
    </row>
    <row r="29" spans="1:126" s="8" customFormat="1" ht="21.95" customHeight="1" x14ac:dyDescent="0.6">
      <c r="A29" s="67"/>
      <c r="B29" s="9" t="s">
        <v>48</v>
      </c>
      <c r="C29" s="10" t="s">
        <v>41</v>
      </c>
      <c r="D29" s="51">
        <v>130</v>
      </c>
      <c r="E29" s="49">
        <f t="shared" si="0"/>
        <v>1820</v>
      </c>
      <c r="F29" s="50">
        <f t="shared" si="1"/>
        <v>1164.8</v>
      </c>
      <c r="G29" s="51"/>
      <c r="H29" s="49">
        <f t="shared" si="2"/>
        <v>0</v>
      </c>
      <c r="I29" s="50">
        <f t="shared" si="3"/>
        <v>0</v>
      </c>
      <c r="J29" s="51"/>
      <c r="K29" s="49">
        <f t="shared" si="4"/>
        <v>0</v>
      </c>
      <c r="L29" s="50">
        <f t="shared" si="5"/>
        <v>0</v>
      </c>
      <c r="M29" s="51"/>
      <c r="N29" s="49">
        <f t="shared" si="6"/>
        <v>0</v>
      </c>
      <c r="O29" s="50">
        <f t="shared" si="7"/>
        <v>0</v>
      </c>
      <c r="P29" s="51"/>
      <c r="Q29" s="49">
        <f t="shared" si="8"/>
        <v>0</v>
      </c>
      <c r="R29" s="50">
        <f t="shared" si="9"/>
        <v>0</v>
      </c>
      <c r="S29" s="51"/>
      <c r="T29" s="49">
        <f t="shared" si="10"/>
        <v>0</v>
      </c>
      <c r="U29" s="50">
        <f t="shared" si="11"/>
        <v>0</v>
      </c>
      <c r="V29" s="51"/>
      <c r="W29" s="49">
        <f t="shared" si="12"/>
        <v>0</v>
      </c>
      <c r="X29" s="50">
        <f t="shared" si="13"/>
        <v>0</v>
      </c>
      <c r="Y29" s="51"/>
      <c r="Z29" s="49">
        <f t="shared" si="14"/>
        <v>0</v>
      </c>
      <c r="AA29" s="50">
        <f t="shared" si="15"/>
        <v>0</v>
      </c>
      <c r="AB29" s="51"/>
      <c r="AC29" s="49">
        <f t="shared" si="16"/>
        <v>0</v>
      </c>
      <c r="AD29" s="50">
        <f t="shared" si="17"/>
        <v>0</v>
      </c>
      <c r="AE29" s="51"/>
      <c r="AF29" s="49">
        <f t="shared" si="18"/>
        <v>0</v>
      </c>
      <c r="AG29" s="50">
        <f t="shared" si="19"/>
        <v>0</v>
      </c>
      <c r="AH29" s="51">
        <v>8</v>
      </c>
      <c r="AI29" s="49">
        <f t="shared" si="20"/>
        <v>96</v>
      </c>
      <c r="AJ29" s="50">
        <f t="shared" si="21"/>
        <v>67.199999999999989</v>
      </c>
      <c r="AK29" s="51"/>
      <c r="AL29" s="49">
        <f t="shared" si="22"/>
        <v>0</v>
      </c>
      <c r="AM29" s="50">
        <f t="shared" si="23"/>
        <v>0</v>
      </c>
      <c r="AN29" s="51"/>
      <c r="AO29" s="49">
        <f t="shared" si="24"/>
        <v>0</v>
      </c>
      <c r="AP29" s="50">
        <f t="shared" si="25"/>
        <v>0</v>
      </c>
      <c r="AQ29" s="51"/>
      <c r="AR29" s="49">
        <f t="shared" si="26"/>
        <v>0</v>
      </c>
      <c r="AS29" s="50">
        <f t="shared" si="27"/>
        <v>0</v>
      </c>
      <c r="AT29" s="51"/>
      <c r="AU29" s="49">
        <f t="shared" si="28"/>
        <v>0</v>
      </c>
      <c r="AV29" s="50">
        <f t="shared" si="29"/>
        <v>0</v>
      </c>
      <c r="AW29" s="51">
        <v>360</v>
      </c>
      <c r="AX29" s="49">
        <f t="shared" si="30"/>
        <v>4320</v>
      </c>
      <c r="AY29" s="50">
        <f t="shared" si="31"/>
        <v>4320</v>
      </c>
      <c r="AZ29" s="51">
        <v>35</v>
      </c>
      <c r="BA29" s="49">
        <f t="shared" si="32"/>
        <v>420</v>
      </c>
      <c r="BB29" s="50">
        <f t="shared" si="33"/>
        <v>252</v>
      </c>
      <c r="BC29" s="51">
        <v>30</v>
      </c>
      <c r="BD29" s="49">
        <f t="shared" si="34"/>
        <v>1200</v>
      </c>
      <c r="BE29" s="50">
        <f t="shared" si="35"/>
        <v>420</v>
      </c>
      <c r="BF29" s="51">
        <v>105</v>
      </c>
      <c r="BG29" s="49">
        <f t="shared" si="36"/>
        <v>1260</v>
      </c>
      <c r="BH29" s="50">
        <f t="shared" si="37"/>
        <v>1260</v>
      </c>
      <c r="BI29" s="51"/>
      <c r="BJ29" s="49">
        <f t="shared" si="38"/>
        <v>0</v>
      </c>
      <c r="BK29" s="50">
        <f t="shared" si="39"/>
        <v>0</v>
      </c>
      <c r="BL29" s="51"/>
      <c r="BM29" s="49">
        <f t="shared" si="40"/>
        <v>0</v>
      </c>
      <c r="BN29" s="50">
        <f t="shared" si="41"/>
        <v>0</v>
      </c>
      <c r="BO29" s="51"/>
      <c r="BP29" s="49">
        <f t="shared" si="42"/>
        <v>0</v>
      </c>
      <c r="BQ29" s="50">
        <f t="shared" si="43"/>
        <v>0</v>
      </c>
      <c r="BR29" s="51"/>
      <c r="BS29" s="49">
        <f t="shared" si="44"/>
        <v>0</v>
      </c>
      <c r="BT29" s="50">
        <f t="shared" si="45"/>
        <v>0</v>
      </c>
      <c r="BU29" s="51"/>
      <c r="BV29" s="49">
        <f t="shared" si="46"/>
        <v>0</v>
      </c>
      <c r="BW29" s="50">
        <f t="shared" si="47"/>
        <v>0</v>
      </c>
      <c r="BX29" s="51"/>
      <c r="BY29" s="49">
        <f t="shared" si="48"/>
        <v>0</v>
      </c>
      <c r="BZ29" s="50">
        <f t="shared" si="49"/>
        <v>0</v>
      </c>
      <c r="CA29" s="51"/>
      <c r="CB29" s="49">
        <f t="shared" si="50"/>
        <v>0</v>
      </c>
      <c r="CC29" s="50">
        <f t="shared" si="51"/>
        <v>0</v>
      </c>
      <c r="CD29" s="51"/>
      <c r="CE29" s="49">
        <f t="shared" si="52"/>
        <v>0</v>
      </c>
      <c r="CF29" s="50">
        <f t="shared" si="53"/>
        <v>0</v>
      </c>
      <c r="CG29" s="51"/>
      <c r="CH29" s="49">
        <f t="shared" si="54"/>
        <v>0</v>
      </c>
      <c r="CI29" s="50">
        <f t="shared" si="55"/>
        <v>0</v>
      </c>
      <c r="CJ29" s="51"/>
      <c r="CK29" s="49">
        <f t="shared" si="56"/>
        <v>0</v>
      </c>
      <c r="CL29" s="50">
        <f t="shared" si="57"/>
        <v>0</v>
      </c>
      <c r="CM29" s="51"/>
      <c r="CN29" s="49">
        <f t="shared" si="58"/>
        <v>0</v>
      </c>
      <c r="CO29" s="50">
        <f t="shared" si="59"/>
        <v>0</v>
      </c>
      <c r="CP29" s="51"/>
      <c r="CQ29" s="49">
        <f t="shared" si="60"/>
        <v>0</v>
      </c>
      <c r="CR29" s="50">
        <f t="shared" si="61"/>
        <v>0</v>
      </c>
      <c r="CS29" s="51"/>
      <c r="CT29" s="49">
        <f t="shared" si="62"/>
        <v>0</v>
      </c>
      <c r="CU29" s="50">
        <f t="shared" si="63"/>
        <v>0</v>
      </c>
      <c r="CV29" s="51"/>
      <c r="CW29" s="49">
        <f t="shared" si="64"/>
        <v>0</v>
      </c>
      <c r="CX29" s="50">
        <f t="shared" si="65"/>
        <v>0</v>
      </c>
      <c r="CY29" s="51"/>
      <c r="CZ29" s="49">
        <f t="shared" si="66"/>
        <v>0</v>
      </c>
      <c r="DA29" s="50">
        <f t="shared" si="67"/>
        <v>0</v>
      </c>
      <c r="DB29" s="51"/>
      <c r="DC29" s="49">
        <f t="shared" si="68"/>
        <v>0</v>
      </c>
      <c r="DD29" s="50">
        <f t="shared" si="69"/>
        <v>0</v>
      </c>
      <c r="DE29" s="51"/>
      <c r="DF29" s="49">
        <f t="shared" si="70"/>
        <v>0</v>
      </c>
      <c r="DG29" s="50">
        <f t="shared" si="71"/>
        <v>0</v>
      </c>
      <c r="DH29" s="51"/>
      <c r="DI29" s="49">
        <f t="shared" si="72"/>
        <v>0</v>
      </c>
      <c r="DJ29" s="50">
        <f t="shared" si="73"/>
        <v>0</v>
      </c>
      <c r="DK29" s="51"/>
      <c r="DL29" s="49">
        <f t="shared" si="74"/>
        <v>0</v>
      </c>
      <c r="DM29" s="50">
        <f t="shared" si="75"/>
        <v>0</v>
      </c>
      <c r="DN29" s="51"/>
      <c r="DO29" s="49">
        <f t="shared" si="76"/>
        <v>0</v>
      </c>
      <c r="DP29" s="50">
        <f t="shared" si="77"/>
        <v>0</v>
      </c>
      <c r="DQ29" s="51"/>
      <c r="DR29" s="51"/>
      <c r="DS29" s="51"/>
      <c r="DT29" s="46">
        <f t="shared" si="83"/>
        <v>668</v>
      </c>
      <c r="DU29" s="46">
        <f t="shared" si="84"/>
        <v>9116</v>
      </c>
      <c r="DV29" s="46">
        <f t="shared" si="85"/>
        <v>7484</v>
      </c>
    </row>
    <row r="30" spans="1:126" s="8" customFormat="1" ht="21.95" customHeight="1" x14ac:dyDescent="0.6">
      <c r="A30" s="67"/>
      <c r="B30" s="9" t="s">
        <v>50</v>
      </c>
      <c r="C30" s="10" t="s">
        <v>41</v>
      </c>
      <c r="D30" s="51">
        <v>570</v>
      </c>
      <c r="E30" s="49">
        <f t="shared" si="0"/>
        <v>7980</v>
      </c>
      <c r="F30" s="50">
        <f t="shared" si="1"/>
        <v>5107.2</v>
      </c>
      <c r="G30" s="51"/>
      <c r="H30" s="49">
        <f t="shared" si="2"/>
        <v>0</v>
      </c>
      <c r="I30" s="50">
        <f t="shared" si="3"/>
        <v>0</v>
      </c>
      <c r="J30" s="51"/>
      <c r="K30" s="49">
        <f t="shared" si="4"/>
        <v>0</v>
      </c>
      <c r="L30" s="50">
        <f t="shared" si="5"/>
        <v>0</v>
      </c>
      <c r="M30" s="51"/>
      <c r="N30" s="49">
        <f t="shared" si="6"/>
        <v>0</v>
      </c>
      <c r="O30" s="50">
        <f t="shared" si="7"/>
        <v>0</v>
      </c>
      <c r="P30" s="51"/>
      <c r="Q30" s="49">
        <f t="shared" si="8"/>
        <v>0</v>
      </c>
      <c r="R30" s="50">
        <f t="shared" si="9"/>
        <v>0</v>
      </c>
      <c r="S30" s="51"/>
      <c r="T30" s="49">
        <f t="shared" si="10"/>
        <v>0</v>
      </c>
      <c r="U30" s="50">
        <f t="shared" si="11"/>
        <v>0</v>
      </c>
      <c r="V30" s="51"/>
      <c r="W30" s="49">
        <f t="shared" si="12"/>
        <v>0</v>
      </c>
      <c r="X30" s="50">
        <f t="shared" si="13"/>
        <v>0</v>
      </c>
      <c r="Y30" s="51"/>
      <c r="Z30" s="49">
        <f t="shared" si="14"/>
        <v>0</v>
      </c>
      <c r="AA30" s="50">
        <f t="shared" si="15"/>
        <v>0</v>
      </c>
      <c r="AB30" s="51"/>
      <c r="AC30" s="49">
        <f t="shared" si="16"/>
        <v>0</v>
      </c>
      <c r="AD30" s="50">
        <f t="shared" si="17"/>
        <v>0</v>
      </c>
      <c r="AE30" s="51"/>
      <c r="AF30" s="49">
        <f t="shared" si="18"/>
        <v>0</v>
      </c>
      <c r="AG30" s="50">
        <f t="shared" si="19"/>
        <v>0</v>
      </c>
      <c r="AH30" s="51">
        <v>60</v>
      </c>
      <c r="AI30" s="49">
        <f t="shared" si="20"/>
        <v>720</v>
      </c>
      <c r="AJ30" s="50">
        <f t="shared" si="21"/>
        <v>503.99999999999994</v>
      </c>
      <c r="AK30" s="51"/>
      <c r="AL30" s="49">
        <f t="shared" si="22"/>
        <v>0</v>
      </c>
      <c r="AM30" s="50">
        <f t="shared" si="23"/>
        <v>0</v>
      </c>
      <c r="AN30" s="51"/>
      <c r="AO30" s="49">
        <f t="shared" si="24"/>
        <v>0</v>
      </c>
      <c r="AP30" s="50">
        <f t="shared" si="25"/>
        <v>0</v>
      </c>
      <c r="AQ30" s="51"/>
      <c r="AR30" s="49">
        <f t="shared" si="26"/>
        <v>0</v>
      </c>
      <c r="AS30" s="50">
        <f t="shared" si="27"/>
        <v>0</v>
      </c>
      <c r="AT30" s="51"/>
      <c r="AU30" s="49">
        <f t="shared" si="28"/>
        <v>0</v>
      </c>
      <c r="AV30" s="50">
        <f t="shared" si="29"/>
        <v>0</v>
      </c>
      <c r="AW30" s="51">
        <v>1670</v>
      </c>
      <c r="AX30" s="49">
        <f t="shared" si="30"/>
        <v>20040</v>
      </c>
      <c r="AY30" s="50">
        <f t="shared" si="31"/>
        <v>20040</v>
      </c>
      <c r="AZ30" s="51"/>
      <c r="BA30" s="49">
        <f t="shared" si="32"/>
        <v>0</v>
      </c>
      <c r="BB30" s="50">
        <f t="shared" si="33"/>
        <v>0</v>
      </c>
      <c r="BC30" s="51">
        <v>280</v>
      </c>
      <c r="BD30" s="49">
        <f t="shared" si="34"/>
        <v>11200</v>
      </c>
      <c r="BE30" s="50">
        <f t="shared" si="35"/>
        <v>3919.9999999999995</v>
      </c>
      <c r="BF30" s="51">
        <v>180</v>
      </c>
      <c r="BG30" s="49">
        <f t="shared" si="36"/>
        <v>2160</v>
      </c>
      <c r="BH30" s="50">
        <f t="shared" si="37"/>
        <v>2160</v>
      </c>
      <c r="BI30" s="51"/>
      <c r="BJ30" s="49">
        <f t="shared" si="38"/>
        <v>0</v>
      </c>
      <c r="BK30" s="50">
        <f t="shared" si="39"/>
        <v>0</v>
      </c>
      <c r="BL30" s="51"/>
      <c r="BM30" s="49">
        <f t="shared" si="40"/>
        <v>0</v>
      </c>
      <c r="BN30" s="50">
        <f t="shared" si="41"/>
        <v>0</v>
      </c>
      <c r="BO30" s="51"/>
      <c r="BP30" s="49">
        <f t="shared" si="42"/>
        <v>0</v>
      </c>
      <c r="BQ30" s="50">
        <f t="shared" si="43"/>
        <v>0</v>
      </c>
      <c r="BR30" s="51"/>
      <c r="BS30" s="49">
        <f t="shared" si="44"/>
        <v>0</v>
      </c>
      <c r="BT30" s="50">
        <f t="shared" si="45"/>
        <v>0</v>
      </c>
      <c r="BU30" s="51"/>
      <c r="BV30" s="49">
        <f t="shared" si="46"/>
        <v>0</v>
      </c>
      <c r="BW30" s="50">
        <f t="shared" si="47"/>
        <v>0</v>
      </c>
      <c r="BX30" s="51"/>
      <c r="BY30" s="49">
        <f t="shared" si="48"/>
        <v>0</v>
      </c>
      <c r="BZ30" s="50">
        <f t="shared" si="49"/>
        <v>0</v>
      </c>
      <c r="CA30" s="51"/>
      <c r="CB30" s="49">
        <f t="shared" si="50"/>
        <v>0</v>
      </c>
      <c r="CC30" s="50">
        <f t="shared" si="51"/>
        <v>0</v>
      </c>
      <c r="CD30" s="51"/>
      <c r="CE30" s="49">
        <f t="shared" si="52"/>
        <v>0</v>
      </c>
      <c r="CF30" s="50">
        <f t="shared" si="53"/>
        <v>0</v>
      </c>
      <c r="CG30" s="51"/>
      <c r="CH30" s="49">
        <f t="shared" si="54"/>
        <v>0</v>
      </c>
      <c r="CI30" s="50">
        <f t="shared" si="55"/>
        <v>0</v>
      </c>
      <c r="CJ30" s="51"/>
      <c r="CK30" s="49">
        <f t="shared" si="56"/>
        <v>0</v>
      </c>
      <c r="CL30" s="50">
        <f t="shared" si="57"/>
        <v>0</v>
      </c>
      <c r="CM30" s="51"/>
      <c r="CN30" s="49">
        <f t="shared" si="58"/>
        <v>0</v>
      </c>
      <c r="CO30" s="50">
        <f t="shared" si="59"/>
        <v>0</v>
      </c>
      <c r="CP30" s="51"/>
      <c r="CQ30" s="49">
        <f t="shared" si="60"/>
        <v>0</v>
      </c>
      <c r="CR30" s="50">
        <f t="shared" si="61"/>
        <v>0</v>
      </c>
      <c r="CS30" s="51"/>
      <c r="CT30" s="49">
        <f t="shared" si="62"/>
        <v>0</v>
      </c>
      <c r="CU30" s="50">
        <f t="shared" si="63"/>
        <v>0</v>
      </c>
      <c r="CV30" s="51"/>
      <c r="CW30" s="49">
        <f t="shared" si="64"/>
        <v>0</v>
      </c>
      <c r="CX30" s="50">
        <f t="shared" si="65"/>
        <v>0</v>
      </c>
      <c r="CY30" s="51"/>
      <c r="CZ30" s="49">
        <f t="shared" si="66"/>
        <v>0</v>
      </c>
      <c r="DA30" s="50">
        <f t="shared" si="67"/>
        <v>0</v>
      </c>
      <c r="DB30" s="51"/>
      <c r="DC30" s="49">
        <f t="shared" si="68"/>
        <v>0</v>
      </c>
      <c r="DD30" s="50">
        <f t="shared" si="69"/>
        <v>0</v>
      </c>
      <c r="DE30" s="51"/>
      <c r="DF30" s="49">
        <f t="shared" si="70"/>
        <v>0</v>
      </c>
      <c r="DG30" s="50">
        <f t="shared" si="71"/>
        <v>0</v>
      </c>
      <c r="DH30" s="51"/>
      <c r="DI30" s="49">
        <f t="shared" si="72"/>
        <v>0</v>
      </c>
      <c r="DJ30" s="50">
        <f t="shared" si="73"/>
        <v>0</v>
      </c>
      <c r="DK30" s="51"/>
      <c r="DL30" s="49">
        <f t="shared" si="74"/>
        <v>0</v>
      </c>
      <c r="DM30" s="50">
        <f t="shared" si="75"/>
        <v>0</v>
      </c>
      <c r="DN30" s="51"/>
      <c r="DO30" s="49">
        <f t="shared" si="76"/>
        <v>0</v>
      </c>
      <c r="DP30" s="50">
        <f t="shared" si="77"/>
        <v>0</v>
      </c>
      <c r="DQ30" s="51"/>
      <c r="DR30" s="51"/>
      <c r="DS30" s="51"/>
      <c r="DT30" s="46">
        <f t="shared" si="83"/>
        <v>2760</v>
      </c>
      <c r="DU30" s="46">
        <f t="shared" si="84"/>
        <v>42100</v>
      </c>
      <c r="DV30" s="46">
        <f t="shared" si="85"/>
        <v>31731.200000000001</v>
      </c>
    </row>
    <row r="31" spans="1:126" s="8" customFormat="1" ht="21.95" customHeight="1" x14ac:dyDescent="0.6">
      <c r="A31" s="67"/>
      <c r="B31" s="9" t="s">
        <v>51</v>
      </c>
      <c r="C31" s="10" t="s">
        <v>41</v>
      </c>
      <c r="D31" s="51">
        <v>1160</v>
      </c>
      <c r="E31" s="49">
        <f t="shared" si="0"/>
        <v>16240</v>
      </c>
      <c r="F31" s="50">
        <f t="shared" si="1"/>
        <v>10393.6</v>
      </c>
      <c r="G31" s="51">
        <v>315</v>
      </c>
      <c r="H31" s="49">
        <f t="shared" si="2"/>
        <v>7560</v>
      </c>
      <c r="I31" s="50">
        <f t="shared" si="3"/>
        <v>4838.4000000000005</v>
      </c>
      <c r="J31" s="51"/>
      <c r="K31" s="49">
        <f t="shared" si="4"/>
        <v>0</v>
      </c>
      <c r="L31" s="50">
        <f t="shared" si="5"/>
        <v>0</v>
      </c>
      <c r="M31" s="51">
        <v>45</v>
      </c>
      <c r="N31" s="49">
        <f t="shared" si="6"/>
        <v>630</v>
      </c>
      <c r="O31" s="50">
        <f t="shared" si="7"/>
        <v>403.2</v>
      </c>
      <c r="P31" s="51"/>
      <c r="Q31" s="49">
        <f t="shared" si="8"/>
        <v>0</v>
      </c>
      <c r="R31" s="50">
        <f t="shared" si="9"/>
        <v>0</v>
      </c>
      <c r="S31" s="51"/>
      <c r="T31" s="49">
        <f t="shared" si="10"/>
        <v>0</v>
      </c>
      <c r="U31" s="50">
        <f t="shared" si="11"/>
        <v>0</v>
      </c>
      <c r="V31" s="51"/>
      <c r="W31" s="49">
        <f t="shared" si="12"/>
        <v>0</v>
      </c>
      <c r="X31" s="50">
        <f t="shared" si="13"/>
        <v>0</v>
      </c>
      <c r="Y31" s="51"/>
      <c r="Z31" s="49">
        <f t="shared" si="14"/>
        <v>0</v>
      </c>
      <c r="AA31" s="50">
        <f t="shared" si="15"/>
        <v>0</v>
      </c>
      <c r="AB31" s="51"/>
      <c r="AC31" s="49">
        <f t="shared" si="16"/>
        <v>0</v>
      </c>
      <c r="AD31" s="50">
        <f t="shared" si="17"/>
        <v>0</v>
      </c>
      <c r="AE31" s="51"/>
      <c r="AF31" s="49">
        <f t="shared" si="18"/>
        <v>0</v>
      </c>
      <c r="AG31" s="50">
        <f t="shared" si="19"/>
        <v>0</v>
      </c>
      <c r="AH31" s="51">
        <v>160</v>
      </c>
      <c r="AI31" s="49">
        <f t="shared" si="20"/>
        <v>1920</v>
      </c>
      <c r="AJ31" s="50">
        <f t="shared" si="21"/>
        <v>1344</v>
      </c>
      <c r="AK31" s="51"/>
      <c r="AL31" s="49">
        <f t="shared" si="22"/>
        <v>0</v>
      </c>
      <c r="AM31" s="50">
        <f t="shared" si="23"/>
        <v>0</v>
      </c>
      <c r="AN31" s="51"/>
      <c r="AO31" s="49">
        <f t="shared" si="24"/>
        <v>0</v>
      </c>
      <c r="AP31" s="50">
        <f t="shared" si="25"/>
        <v>0</v>
      </c>
      <c r="AQ31" s="51"/>
      <c r="AR31" s="49">
        <f t="shared" si="26"/>
        <v>0</v>
      </c>
      <c r="AS31" s="50">
        <f t="shared" si="27"/>
        <v>0</v>
      </c>
      <c r="AT31" s="51"/>
      <c r="AU31" s="49">
        <f t="shared" si="28"/>
        <v>0</v>
      </c>
      <c r="AV31" s="50">
        <f t="shared" si="29"/>
        <v>0</v>
      </c>
      <c r="AW31" s="51">
        <v>3818</v>
      </c>
      <c r="AX31" s="49">
        <f t="shared" si="30"/>
        <v>45816</v>
      </c>
      <c r="AY31" s="50">
        <f t="shared" si="31"/>
        <v>45816</v>
      </c>
      <c r="AZ31" s="51">
        <v>170</v>
      </c>
      <c r="BA31" s="49">
        <f t="shared" si="32"/>
        <v>2040</v>
      </c>
      <c r="BB31" s="50">
        <f t="shared" si="33"/>
        <v>1224</v>
      </c>
      <c r="BC31" s="51">
        <v>390</v>
      </c>
      <c r="BD31" s="49">
        <f t="shared" si="34"/>
        <v>15600</v>
      </c>
      <c r="BE31" s="50">
        <f t="shared" si="35"/>
        <v>5460</v>
      </c>
      <c r="BF31" s="51">
        <v>210</v>
      </c>
      <c r="BG31" s="49">
        <f t="shared" si="36"/>
        <v>2520</v>
      </c>
      <c r="BH31" s="50">
        <f t="shared" si="37"/>
        <v>2520</v>
      </c>
      <c r="BI31" s="51"/>
      <c r="BJ31" s="49">
        <f t="shared" si="38"/>
        <v>0</v>
      </c>
      <c r="BK31" s="50">
        <f t="shared" si="39"/>
        <v>0</v>
      </c>
      <c r="BL31" s="51"/>
      <c r="BM31" s="49">
        <f t="shared" si="40"/>
        <v>0</v>
      </c>
      <c r="BN31" s="50">
        <f t="shared" si="41"/>
        <v>0</v>
      </c>
      <c r="BO31" s="51"/>
      <c r="BP31" s="49">
        <f t="shared" si="42"/>
        <v>0</v>
      </c>
      <c r="BQ31" s="50">
        <f t="shared" si="43"/>
        <v>0</v>
      </c>
      <c r="BR31" s="51"/>
      <c r="BS31" s="49">
        <f t="shared" si="44"/>
        <v>0</v>
      </c>
      <c r="BT31" s="50">
        <f t="shared" si="45"/>
        <v>0</v>
      </c>
      <c r="BU31" s="51"/>
      <c r="BV31" s="49">
        <f t="shared" si="46"/>
        <v>0</v>
      </c>
      <c r="BW31" s="50">
        <f t="shared" si="47"/>
        <v>0</v>
      </c>
      <c r="BX31" s="51"/>
      <c r="BY31" s="49">
        <f t="shared" si="48"/>
        <v>0</v>
      </c>
      <c r="BZ31" s="50">
        <f t="shared" si="49"/>
        <v>0</v>
      </c>
      <c r="CA31" s="51"/>
      <c r="CB31" s="49">
        <f t="shared" si="50"/>
        <v>0</v>
      </c>
      <c r="CC31" s="50">
        <f t="shared" si="51"/>
        <v>0</v>
      </c>
      <c r="CD31" s="51"/>
      <c r="CE31" s="49">
        <f t="shared" si="52"/>
        <v>0</v>
      </c>
      <c r="CF31" s="50">
        <f t="shared" si="53"/>
        <v>0</v>
      </c>
      <c r="CG31" s="51"/>
      <c r="CH31" s="49">
        <f t="shared" si="54"/>
        <v>0</v>
      </c>
      <c r="CI31" s="50">
        <f t="shared" si="55"/>
        <v>0</v>
      </c>
      <c r="CJ31" s="51"/>
      <c r="CK31" s="49">
        <f t="shared" si="56"/>
        <v>0</v>
      </c>
      <c r="CL31" s="50">
        <f t="shared" si="57"/>
        <v>0</v>
      </c>
      <c r="CM31" s="51"/>
      <c r="CN31" s="49">
        <f t="shared" si="58"/>
        <v>0</v>
      </c>
      <c r="CO31" s="50">
        <f t="shared" si="59"/>
        <v>0</v>
      </c>
      <c r="CP31" s="51"/>
      <c r="CQ31" s="49">
        <f t="shared" si="60"/>
        <v>0</v>
      </c>
      <c r="CR31" s="50">
        <f t="shared" si="61"/>
        <v>0</v>
      </c>
      <c r="CS31" s="51"/>
      <c r="CT31" s="49">
        <f t="shared" si="62"/>
        <v>0</v>
      </c>
      <c r="CU31" s="50">
        <f t="shared" si="63"/>
        <v>0</v>
      </c>
      <c r="CV31" s="51"/>
      <c r="CW31" s="49">
        <f t="shared" si="64"/>
        <v>0</v>
      </c>
      <c r="CX31" s="50">
        <f t="shared" si="65"/>
        <v>0</v>
      </c>
      <c r="CY31" s="51"/>
      <c r="CZ31" s="49">
        <f t="shared" si="66"/>
        <v>0</v>
      </c>
      <c r="DA31" s="50">
        <f t="shared" si="67"/>
        <v>0</v>
      </c>
      <c r="DB31" s="51"/>
      <c r="DC31" s="49">
        <f t="shared" si="68"/>
        <v>0</v>
      </c>
      <c r="DD31" s="50">
        <f t="shared" si="69"/>
        <v>0</v>
      </c>
      <c r="DE31" s="51"/>
      <c r="DF31" s="49">
        <f t="shared" si="70"/>
        <v>0</v>
      </c>
      <c r="DG31" s="50">
        <f t="shared" si="71"/>
        <v>0</v>
      </c>
      <c r="DH31" s="51"/>
      <c r="DI31" s="49">
        <f t="shared" si="72"/>
        <v>0</v>
      </c>
      <c r="DJ31" s="50">
        <f t="shared" si="73"/>
        <v>0</v>
      </c>
      <c r="DK31" s="51"/>
      <c r="DL31" s="49">
        <f t="shared" si="74"/>
        <v>0</v>
      </c>
      <c r="DM31" s="50">
        <f t="shared" si="75"/>
        <v>0</v>
      </c>
      <c r="DN31" s="51"/>
      <c r="DO31" s="49">
        <f t="shared" si="76"/>
        <v>0</v>
      </c>
      <c r="DP31" s="50">
        <f t="shared" si="77"/>
        <v>0</v>
      </c>
      <c r="DQ31" s="51"/>
      <c r="DR31" s="51"/>
      <c r="DS31" s="51"/>
      <c r="DT31" s="46">
        <f t="shared" si="83"/>
        <v>6268</v>
      </c>
      <c r="DU31" s="46">
        <f t="shared" si="84"/>
        <v>92326</v>
      </c>
      <c r="DV31" s="46">
        <f t="shared" si="85"/>
        <v>71999.199999999997</v>
      </c>
    </row>
    <row r="32" spans="1:126" s="8" customFormat="1" ht="21.95" customHeight="1" x14ac:dyDescent="0.6">
      <c r="A32" s="67"/>
      <c r="B32" s="9" t="s">
        <v>52</v>
      </c>
      <c r="C32" s="10" t="s">
        <v>41</v>
      </c>
      <c r="D32" s="51">
        <v>185</v>
      </c>
      <c r="E32" s="49">
        <f t="shared" si="0"/>
        <v>2590</v>
      </c>
      <c r="F32" s="50">
        <f t="shared" si="1"/>
        <v>1657.6000000000001</v>
      </c>
      <c r="G32" s="51"/>
      <c r="H32" s="49">
        <f t="shared" si="2"/>
        <v>0</v>
      </c>
      <c r="I32" s="50">
        <f t="shared" si="3"/>
        <v>0</v>
      </c>
      <c r="J32" s="51"/>
      <c r="K32" s="49">
        <f t="shared" si="4"/>
        <v>0</v>
      </c>
      <c r="L32" s="50">
        <f t="shared" si="5"/>
        <v>0</v>
      </c>
      <c r="M32" s="51"/>
      <c r="N32" s="49">
        <f t="shared" si="6"/>
        <v>0</v>
      </c>
      <c r="O32" s="50">
        <f t="shared" si="7"/>
        <v>0</v>
      </c>
      <c r="P32" s="51"/>
      <c r="Q32" s="49">
        <f t="shared" si="8"/>
        <v>0</v>
      </c>
      <c r="R32" s="50">
        <f t="shared" si="9"/>
        <v>0</v>
      </c>
      <c r="S32" s="51"/>
      <c r="T32" s="49">
        <f t="shared" si="10"/>
        <v>0</v>
      </c>
      <c r="U32" s="50">
        <f t="shared" si="11"/>
        <v>0</v>
      </c>
      <c r="V32" s="51"/>
      <c r="W32" s="49">
        <f t="shared" si="12"/>
        <v>0</v>
      </c>
      <c r="X32" s="50">
        <f t="shared" si="13"/>
        <v>0</v>
      </c>
      <c r="Y32" s="51"/>
      <c r="Z32" s="49">
        <f t="shared" si="14"/>
        <v>0</v>
      </c>
      <c r="AA32" s="50">
        <f t="shared" si="15"/>
        <v>0</v>
      </c>
      <c r="AB32" s="51"/>
      <c r="AC32" s="49">
        <f t="shared" si="16"/>
        <v>0</v>
      </c>
      <c r="AD32" s="50">
        <f t="shared" si="17"/>
        <v>0</v>
      </c>
      <c r="AE32" s="51"/>
      <c r="AF32" s="49">
        <f t="shared" si="18"/>
        <v>0</v>
      </c>
      <c r="AG32" s="50">
        <f t="shared" si="19"/>
        <v>0</v>
      </c>
      <c r="AH32" s="51"/>
      <c r="AI32" s="49">
        <f t="shared" si="20"/>
        <v>0</v>
      </c>
      <c r="AJ32" s="50">
        <f t="shared" si="21"/>
        <v>0</v>
      </c>
      <c r="AK32" s="51"/>
      <c r="AL32" s="49">
        <f t="shared" si="22"/>
        <v>0</v>
      </c>
      <c r="AM32" s="50">
        <f t="shared" si="23"/>
        <v>0</v>
      </c>
      <c r="AN32" s="51"/>
      <c r="AO32" s="49">
        <f t="shared" si="24"/>
        <v>0</v>
      </c>
      <c r="AP32" s="50">
        <f t="shared" si="25"/>
        <v>0</v>
      </c>
      <c r="AQ32" s="51"/>
      <c r="AR32" s="49">
        <f t="shared" si="26"/>
        <v>0</v>
      </c>
      <c r="AS32" s="50">
        <f t="shared" si="27"/>
        <v>0</v>
      </c>
      <c r="AT32" s="51"/>
      <c r="AU32" s="49">
        <f t="shared" si="28"/>
        <v>0</v>
      </c>
      <c r="AV32" s="50">
        <f t="shared" si="29"/>
        <v>0</v>
      </c>
      <c r="AW32" s="51">
        <v>620</v>
      </c>
      <c r="AX32" s="49">
        <f t="shared" si="30"/>
        <v>7440</v>
      </c>
      <c r="AY32" s="50">
        <f t="shared" si="31"/>
        <v>7440</v>
      </c>
      <c r="AZ32" s="51">
        <v>85</v>
      </c>
      <c r="BA32" s="49">
        <f t="shared" si="32"/>
        <v>1020</v>
      </c>
      <c r="BB32" s="50">
        <f t="shared" si="33"/>
        <v>612</v>
      </c>
      <c r="BC32" s="51">
        <v>100</v>
      </c>
      <c r="BD32" s="49">
        <f t="shared" si="34"/>
        <v>4000</v>
      </c>
      <c r="BE32" s="50">
        <f t="shared" si="35"/>
        <v>1400</v>
      </c>
      <c r="BF32" s="51">
        <v>315</v>
      </c>
      <c r="BG32" s="49">
        <f t="shared" si="36"/>
        <v>3780</v>
      </c>
      <c r="BH32" s="50">
        <f t="shared" si="37"/>
        <v>3780</v>
      </c>
      <c r="BI32" s="51"/>
      <c r="BJ32" s="49">
        <f t="shared" si="38"/>
        <v>0</v>
      </c>
      <c r="BK32" s="50">
        <f t="shared" si="39"/>
        <v>0</v>
      </c>
      <c r="BL32" s="51">
        <v>15</v>
      </c>
      <c r="BM32" s="49">
        <f t="shared" si="40"/>
        <v>600</v>
      </c>
      <c r="BN32" s="50">
        <f t="shared" si="41"/>
        <v>210</v>
      </c>
      <c r="BO32" s="51"/>
      <c r="BP32" s="49">
        <f t="shared" si="42"/>
        <v>0</v>
      </c>
      <c r="BQ32" s="50">
        <f t="shared" si="43"/>
        <v>0</v>
      </c>
      <c r="BR32" s="51"/>
      <c r="BS32" s="49">
        <f t="shared" si="44"/>
        <v>0</v>
      </c>
      <c r="BT32" s="50">
        <f t="shared" si="45"/>
        <v>0</v>
      </c>
      <c r="BU32" s="51"/>
      <c r="BV32" s="49">
        <f t="shared" si="46"/>
        <v>0</v>
      </c>
      <c r="BW32" s="50">
        <f t="shared" si="47"/>
        <v>0</v>
      </c>
      <c r="BX32" s="51"/>
      <c r="BY32" s="49">
        <f t="shared" si="48"/>
        <v>0</v>
      </c>
      <c r="BZ32" s="50">
        <f t="shared" si="49"/>
        <v>0</v>
      </c>
      <c r="CA32" s="51"/>
      <c r="CB32" s="49">
        <f t="shared" si="50"/>
        <v>0</v>
      </c>
      <c r="CC32" s="50">
        <f t="shared" si="51"/>
        <v>0</v>
      </c>
      <c r="CD32" s="51"/>
      <c r="CE32" s="49">
        <f t="shared" si="52"/>
        <v>0</v>
      </c>
      <c r="CF32" s="50">
        <f t="shared" si="53"/>
        <v>0</v>
      </c>
      <c r="CG32" s="51"/>
      <c r="CH32" s="49">
        <f t="shared" si="54"/>
        <v>0</v>
      </c>
      <c r="CI32" s="50">
        <f t="shared" si="55"/>
        <v>0</v>
      </c>
      <c r="CJ32" s="51"/>
      <c r="CK32" s="49">
        <f t="shared" si="56"/>
        <v>0</v>
      </c>
      <c r="CL32" s="50">
        <f t="shared" si="57"/>
        <v>0</v>
      </c>
      <c r="CM32" s="51"/>
      <c r="CN32" s="49">
        <f t="shared" si="58"/>
        <v>0</v>
      </c>
      <c r="CO32" s="50">
        <f t="shared" si="59"/>
        <v>0</v>
      </c>
      <c r="CP32" s="51"/>
      <c r="CQ32" s="49">
        <f t="shared" si="60"/>
        <v>0</v>
      </c>
      <c r="CR32" s="50">
        <f t="shared" si="61"/>
        <v>0</v>
      </c>
      <c r="CS32" s="51"/>
      <c r="CT32" s="49">
        <f t="shared" si="62"/>
        <v>0</v>
      </c>
      <c r="CU32" s="50">
        <f t="shared" si="63"/>
        <v>0</v>
      </c>
      <c r="CV32" s="51"/>
      <c r="CW32" s="49">
        <f t="shared" si="64"/>
        <v>0</v>
      </c>
      <c r="CX32" s="50">
        <f t="shared" si="65"/>
        <v>0</v>
      </c>
      <c r="CY32" s="51"/>
      <c r="CZ32" s="49">
        <f t="shared" si="66"/>
        <v>0</v>
      </c>
      <c r="DA32" s="50">
        <f t="shared" si="67"/>
        <v>0</v>
      </c>
      <c r="DB32" s="51"/>
      <c r="DC32" s="49">
        <f t="shared" si="68"/>
        <v>0</v>
      </c>
      <c r="DD32" s="50">
        <f t="shared" si="69"/>
        <v>0</v>
      </c>
      <c r="DE32" s="51"/>
      <c r="DF32" s="49">
        <f t="shared" si="70"/>
        <v>0</v>
      </c>
      <c r="DG32" s="50">
        <f t="shared" si="71"/>
        <v>0</v>
      </c>
      <c r="DH32" s="51"/>
      <c r="DI32" s="49">
        <f t="shared" si="72"/>
        <v>0</v>
      </c>
      <c r="DJ32" s="50">
        <f t="shared" si="73"/>
        <v>0</v>
      </c>
      <c r="DK32" s="51"/>
      <c r="DL32" s="49">
        <f t="shared" si="74"/>
        <v>0</v>
      </c>
      <c r="DM32" s="50">
        <f t="shared" si="75"/>
        <v>0</v>
      </c>
      <c r="DN32" s="51"/>
      <c r="DO32" s="49">
        <f t="shared" si="76"/>
        <v>0</v>
      </c>
      <c r="DP32" s="50">
        <f t="shared" si="77"/>
        <v>0</v>
      </c>
      <c r="DQ32" s="51"/>
      <c r="DR32" s="51"/>
      <c r="DS32" s="51"/>
      <c r="DT32" s="46">
        <f t="shared" si="83"/>
        <v>1320</v>
      </c>
      <c r="DU32" s="46">
        <f t="shared" si="84"/>
        <v>19430</v>
      </c>
      <c r="DV32" s="46">
        <f t="shared" si="85"/>
        <v>15099.6</v>
      </c>
    </row>
    <row r="33" spans="1:126" s="8" customFormat="1" ht="21.95" customHeight="1" x14ac:dyDescent="0.6">
      <c r="A33" s="67"/>
      <c r="B33" s="9" t="s">
        <v>44</v>
      </c>
      <c r="C33" s="10" t="s">
        <v>42</v>
      </c>
      <c r="D33" s="51">
        <v>221</v>
      </c>
      <c r="E33" s="49">
        <f t="shared" si="0"/>
        <v>3094</v>
      </c>
      <c r="F33" s="50">
        <f t="shared" si="1"/>
        <v>1980.16</v>
      </c>
      <c r="G33" s="51"/>
      <c r="H33" s="49">
        <f t="shared" si="2"/>
        <v>0</v>
      </c>
      <c r="I33" s="50">
        <f t="shared" si="3"/>
        <v>0</v>
      </c>
      <c r="J33" s="51"/>
      <c r="K33" s="49">
        <f t="shared" si="4"/>
        <v>0</v>
      </c>
      <c r="L33" s="50">
        <f t="shared" si="5"/>
        <v>0</v>
      </c>
      <c r="M33" s="51">
        <v>90</v>
      </c>
      <c r="N33" s="49">
        <f t="shared" si="6"/>
        <v>1260</v>
      </c>
      <c r="O33" s="50">
        <f t="shared" si="7"/>
        <v>806.4</v>
      </c>
      <c r="P33" s="51"/>
      <c r="Q33" s="49">
        <f t="shared" si="8"/>
        <v>0</v>
      </c>
      <c r="R33" s="50">
        <f t="shared" si="9"/>
        <v>0</v>
      </c>
      <c r="S33" s="51">
        <v>10</v>
      </c>
      <c r="T33" s="49">
        <f t="shared" si="10"/>
        <v>140</v>
      </c>
      <c r="U33" s="50">
        <f t="shared" si="11"/>
        <v>89.600000000000009</v>
      </c>
      <c r="V33" s="51">
        <v>70</v>
      </c>
      <c r="W33" s="49">
        <f t="shared" si="12"/>
        <v>980</v>
      </c>
      <c r="X33" s="50">
        <f t="shared" si="13"/>
        <v>627.20000000000005</v>
      </c>
      <c r="Y33" s="51"/>
      <c r="Z33" s="49">
        <f t="shared" si="14"/>
        <v>0</v>
      </c>
      <c r="AA33" s="50">
        <f t="shared" si="15"/>
        <v>0</v>
      </c>
      <c r="AB33" s="51"/>
      <c r="AC33" s="49">
        <f t="shared" si="16"/>
        <v>0</v>
      </c>
      <c r="AD33" s="50">
        <f t="shared" si="17"/>
        <v>0</v>
      </c>
      <c r="AE33" s="51"/>
      <c r="AF33" s="49">
        <f t="shared" si="18"/>
        <v>0</v>
      </c>
      <c r="AG33" s="50">
        <f t="shared" si="19"/>
        <v>0</v>
      </c>
      <c r="AH33" s="51">
        <v>25</v>
      </c>
      <c r="AI33" s="49">
        <f t="shared" si="20"/>
        <v>300</v>
      </c>
      <c r="AJ33" s="50">
        <f t="shared" si="21"/>
        <v>210</v>
      </c>
      <c r="AK33" s="51"/>
      <c r="AL33" s="49">
        <f t="shared" si="22"/>
        <v>0</v>
      </c>
      <c r="AM33" s="50">
        <f t="shared" si="23"/>
        <v>0</v>
      </c>
      <c r="AN33" s="51"/>
      <c r="AO33" s="49">
        <f t="shared" si="24"/>
        <v>0</v>
      </c>
      <c r="AP33" s="50">
        <f t="shared" si="25"/>
        <v>0</v>
      </c>
      <c r="AQ33" s="51"/>
      <c r="AR33" s="49">
        <f t="shared" si="26"/>
        <v>0</v>
      </c>
      <c r="AS33" s="50">
        <f t="shared" si="27"/>
        <v>0</v>
      </c>
      <c r="AT33" s="51"/>
      <c r="AU33" s="49">
        <f t="shared" si="28"/>
        <v>0</v>
      </c>
      <c r="AV33" s="50">
        <f t="shared" si="29"/>
        <v>0</v>
      </c>
      <c r="AW33" s="51">
        <v>510</v>
      </c>
      <c r="AX33" s="49">
        <f t="shared" si="30"/>
        <v>6120</v>
      </c>
      <c r="AY33" s="50">
        <f t="shared" si="31"/>
        <v>6120</v>
      </c>
      <c r="AZ33" s="51">
        <v>93</v>
      </c>
      <c r="BA33" s="49">
        <f t="shared" si="32"/>
        <v>1116</v>
      </c>
      <c r="BB33" s="50">
        <f t="shared" si="33"/>
        <v>669.6</v>
      </c>
      <c r="BC33" s="51">
        <v>72</v>
      </c>
      <c r="BD33" s="49">
        <f t="shared" si="34"/>
        <v>2880</v>
      </c>
      <c r="BE33" s="50">
        <f t="shared" si="35"/>
        <v>1007.9999999999999</v>
      </c>
      <c r="BF33" s="51">
        <v>495</v>
      </c>
      <c r="BG33" s="49">
        <f t="shared" si="36"/>
        <v>5940</v>
      </c>
      <c r="BH33" s="50">
        <f t="shared" si="37"/>
        <v>5940</v>
      </c>
      <c r="BI33" s="51"/>
      <c r="BJ33" s="49">
        <f t="shared" si="38"/>
        <v>0</v>
      </c>
      <c r="BK33" s="50">
        <f t="shared" si="39"/>
        <v>0</v>
      </c>
      <c r="BL33" s="51">
        <v>70</v>
      </c>
      <c r="BM33" s="49">
        <f t="shared" si="40"/>
        <v>2800</v>
      </c>
      <c r="BN33" s="50">
        <f t="shared" si="41"/>
        <v>979.99999999999989</v>
      </c>
      <c r="BO33" s="51"/>
      <c r="BP33" s="49">
        <f t="shared" si="42"/>
        <v>0</v>
      </c>
      <c r="BQ33" s="50">
        <f t="shared" si="43"/>
        <v>0</v>
      </c>
      <c r="BR33" s="51"/>
      <c r="BS33" s="49">
        <f t="shared" si="44"/>
        <v>0</v>
      </c>
      <c r="BT33" s="50">
        <f t="shared" si="45"/>
        <v>0</v>
      </c>
      <c r="BU33" s="51"/>
      <c r="BV33" s="49">
        <f t="shared" si="46"/>
        <v>0</v>
      </c>
      <c r="BW33" s="50">
        <f t="shared" si="47"/>
        <v>0</v>
      </c>
      <c r="BX33" s="51"/>
      <c r="BY33" s="49">
        <f t="shared" si="48"/>
        <v>0</v>
      </c>
      <c r="BZ33" s="50">
        <f t="shared" si="49"/>
        <v>0</v>
      </c>
      <c r="CA33" s="51"/>
      <c r="CB33" s="49">
        <f t="shared" si="50"/>
        <v>0</v>
      </c>
      <c r="CC33" s="50">
        <f t="shared" si="51"/>
        <v>0</v>
      </c>
      <c r="CD33" s="51"/>
      <c r="CE33" s="49">
        <f t="shared" si="52"/>
        <v>0</v>
      </c>
      <c r="CF33" s="50">
        <f t="shared" si="53"/>
        <v>0</v>
      </c>
      <c r="CG33" s="51"/>
      <c r="CH33" s="49">
        <f t="shared" si="54"/>
        <v>0</v>
      </c>
      <c r="CI33" s="50">
        <f t="shared" si="55"/>
        <v>0</v>
      </c>
      <c r="CJ33" s="51"/>
      <c r="CK33" s="49">
        <f t="shared" si="56"/>
        <v>0</v>
      </c>
      <c r="CL33" s="50">
        <f t="shared" si="57"/>
        <v>0</v>
      </c>
      <c r="CM33" s="51">
        <v>28</v>
      </c>
      <c r="CN33" s="49">
        <f t="shared" si="58"/>
        <v>336</v>
      </c>
      <c r="CO33" s="50">
        <f t="shared" si="59"/>
        <v>336</v>
      </c>
      <c r="CP33" s="51"/>
      <c r="CQ33" s="49">
        <f t="shared" si="60"/>
        <v>0</v>
      </c>
      <c r="CR33" s="50">
        <f t="shared" si="61"/>
        <v>0</v>
      </c>
      <c r="CS33" s="51"/>
      <c r="CT33" s="49">
        <f t="shared" si="62"/>
        <v>0</v>
      </c>
      <c r="CU33" s="50">
        <f t="shared" si="63"/>
        <v>0</v>
      </c>
      <c r="CV33" s="51"/>
      <c r="CW33" s="49">
        <f t="shared" si="64"/>
        <v>0</v>
      </c>
      <c r="CX33" s="50">
        <f t="shared" si="65"/>
        <v>0</v>
      </c>
      <c r="CY33" s="51"/>
      <c r="CZ33" s="49">
        <f t="shared" si="66"/>
        <v>0</v>
      </c>
      <c r="DA33" s="50">
        <f t="shared" si="67"/>
        <v>0</v>
      </c>
      <c r="DB33" s="51"/>
      <c r="DC33" s="49">
        <f t="shared" si="68"/>
        <v>0</v>
      </c>
      <c r="DD33" s="50">
        <f t="shared" si="69"/>
        <v>0</v>
      </c>
      <c r="DE33" s="51"/>
      <c r="DF33" s="49">
        <f t="shared" si="70"/>
        <v>0</v>
      </c>
      <c r="DG33" s="50">
        <f t="shared" si="71"/>
        <v>0</v>
      </c>
      <c r="DH33" s="51"/>
      <c r="DI33" s="49">
        <f t="shared" si="72"/>
        <v>0</v>
      </c>
      <c r="DJ33" s="50">
        <f t="shared" si="73"/>
        <v>0</v>
      </c>
      <c r="DK33" s="51"/>
      <c r="DL33" s="49">
        <f t="shared" si="74"/>
        <v>0</v>
      </c>
      <c r="DM33" s="50">
        <f t="shared" si="75"/>
        <v>0</v>
      </c>
      <c r="DN33" s="51"/>
      <c r="DO33" s="49">
        <f t="shared" si="76"/>
        <v>0</v>
      </c>
      <c r="DP33" s="50">
        <f t="shared" si="77"/>
        <v>0</v>
      </c>
      <c r="DQ33" s="51"/>
      <c r="DR33" s="51"/>
      <c r="DS33" s="51"/>
      <c r="DT33" s="46">
        <f t="shared" si="83"/>
        <v>1684</v>
      </c>
      <c r="DU33" s="46">
        <f t="shared" si="84"/>
        <v>24966</v>
      </c>
      <c r="DV33" s="46">
        <f t="shared" si="85"/>
        <v>18766.96</v>
      </c>
    </row>
    <row r="34" spans="1:126" s="8" customFormat="1" ht="21.95" customHeight="1" x14ac:dyDescent="0.6">
      <c r="A34" s="67"/>
      <c r="B34" s="9" t="s">
        <v>46</v>
      </c>
      <c r="C34" s="10" t="s">
        <v>42</v>
      </c>
      <c r="D34" s="51">
        <v>40</v>
      </c>
      <c r="E34" s="49">
        <f t="shared" si="0"/>
        <v>560</v>
      </c>
      <c r="F34" s="50">
        <f t="shared" si="1"/>
        <v>358.40000000000003</v>
      </c>
      <c r="G34" s="51"/>
      <c r="H34" s="49">
        <f t="shared" si="2"/>
        <v>0</v>
      </c>
      <c r="I34" s="50">
        <f t="shared" si="3"/>
        <v>0</v>
      </c>
      <c r="J34" s="51"/>
      <c r="K34" s="49">
        <f t="shared" si="4"/>
        <v>0</v>
      </c>
      <c r="L34" s="50">
        <f t="shared" si="5"/>
        <v>0</v>
      </c>
      <c r="M34" s="51"/>
      <c r="N34" s="49">
        <f t="shared" si="6"/>
        <v>0</v>
      </c>
      <c r="O34" s="50">
        <f t="shared" si="7"/>
        <v>0</v>
      </c>
      <c r="P34" s="51"/>
      <c r="Q34" s="49">
        <f t="shared" si="8"/>
        <v>0</v>
      </c>
      <c r="R34" s="50">
        <f t="shared" si="9"/>
        <v>0</v>
      </c>
      <c r="S34" s="51"/>
      <c r="T34" s="49">
        <f t="shared" si="10"/>
        <v>0</v>
      </c>
      <c r="U34" s="50">
        <f t="shared" si="11"/>
        <v>0</v>
      </c>
      <c r="V34" s="51"/>
      <c r="W34" s="49">
        <f t="shared" si="12"/>
        <v>0</v>
      </c>
      <c r="X34" s="50">
        <f t="shared" si="13"/>
        <v>0</v>
      </c>
      <c r="Y34" s="51"/>
      <c r="Z34" s="49">
        <f t="shared" si="14"/>
        <v>0</v>
      </c>
      <c r="AA34" s="50">
        <f t="shared" si="15"/>
        <v>0</v>
      </c>
      <c r="AB34" s="51"/>
      <c r="AC34" s="49">
        <f t="shared" si="16"/>
        <v>0</v>
      </c>
      <c r="AD34" s="50">
        <f t="shared" si="17"/>
        <v>0</v>
      </c>
      <c r="AE34" s="51"/>
      <c r="AF34" s="49">
        <f t="shared" si="18"/>
        <v>0</v>
      </c>
      <c r="AG34" s="50">
        <f t="shared" si="19"/>
        <v>0</v>
      </c>
      <c r="AH34" s="51">
        <v>3</v>
      </c>
      <c r="AI34" s="49">
        <f t="shared" si="20"/>
        <v>36</v>
      </c>
      <c r="AJ34" s="50">
        <f t="shared" si="21"/>
        <v>25.2</v>
      </c>
      <c r="AK34" s="51"/>
      <c r="AL34" s="49">
        <f t="shared" si="22"/>
        <v>0</v>
      </c>
      <c r="AM34" s="50">
        <f t="shared" si="23"/>
        <v>0</v>
      </c>
      <c r="AN34" s="51"/>
      <c r="AO34" s="49">
        <f t="shared" si="24"/>
        <v>0</v>
      </c>
      <c r="AP34" s="50">
        <f t="shared" si="25"/>
        <v>0</v>
      </c>
      <c r="AQ34" s="51"/>
      <c r="AR34" s="49">
        <f t="shared" si="26"/>
        <v>0</v>
      </c>
      <c r="AS34" s="50">
        <f t="shared" si="27"/>
        <v>0</v>
      </c>
      <c r="AT34" s="51"/>
      <c r="AU34" s="49">
        <f t="shared" si="28"/>
        <v>0</v>
      </c>
      <c r="AV34" s="50">
        <f t="shared" si="29"/>
        <v>0</v>
      </c>
      <c r="AW34" s="51">
        <v>160</v>
      </c>
      <c r="AX34" s="49">
        <f t="shared" si="30"/>
        <v>1920</v>
      </c>
      <c r="AY34" s="50">
        <f t="shared" si="31"/>
        <v>1920</v>
      </c>
      <c r="AZ34" s="51">
        <v>10</v>
      </c>
      <c r="BA34" s="49">
        <f t="shared" si="32"/>
        <v>120</v>
      </c>
      <c r="BB34" s="50">
        <f t="shared" si="33"/>
        <v>72</v>
      </c>
      <c r="BC34" s="51">
        <v>70</v>
      </c>
      <c r="BD34" s="49">
        <f t="shared" si="34"/>
        <v>2800</v>
      </c>
      <c r="BE34" s="50">
        <f t="shared" si="35"/>
        <v>979.99999999999989</v>
      </c>
      <c r="BF34" s="51">
        <v>30</v>
      </c>
      <c r="BG34" s="49">
        <f t="shared" si="36"/>
        <v>360</v>
      </c>
      <c r="BH34" s="50">
        <f t="shared" si="37"/>
        <v>360</v>
      </c>
      <c r="BI34" s="51"/>
      <c r="BJ34" s="49">
        <f t="shared" si="38"/>
        <v>0</v>
      </c>
      <c r="BK34" s="50">
        <f t="shared" si="39"/>
        <v>0</v>
      </c>
      <c r="BL34" s="51"/>
      <c r="BM34" s="49">
        <f t="shared" si="40"/>
        <v>0</v>
      </c>
      <c r="BN34" s="50">
        <f t="shared" si="41"/>
        <v>0</v>
      </c>
      <c r="BO34" s="51"/>
      <c r="BP34" s="49">
        <f t="shared" si="42"/>
        <v>0</v>
      </c>
      <c r="BQ34" s="50">
        <f t="shared" si="43"/>
        <v>0</v>
      </c>
      <c r="BR34" s="51"/>
      <c r="BS34" s="49">
        <f t="shared" si="44"/>
        <v>0</v>
      </c>
      <c r="BT34" s="50">
        <f t="shared" si="45"/>
        <v>0</v>
      </c>
      <c r="BU34" s="51"/>
      <c r="BV34" s="49">
        <f t="shared" si="46"/>
        <v>0</v>
      </c>
      <c r="BW34" s="50">
        <f t="shared" si="47"/>
        <v>0</v>
      </c>
      <c r="BX34" s="51"/>
      <c r="BY34" s="49">
        <f t="shared" si="48"/>
        <v>0</v>
      </c>
      <c r="BZ34" s="50">
        <f t="shared" si="49"/>
        <v>0</v>
      </c>
      <c r="CA34" s="51"/>
      <c r="CB34" s="49">
        <f t="shared" si="50"/>
        <v>0</v>
      </c>
      <c r="CC34" s="50">
        <f t="shared" si="51"/>
        <v>0</v>
      </c>
      <c r="CD34" s="51"/>
      <c r="CE34" s="49">
        <f t="shared" si="52"/>
        <v>0</v>
      </c>
      <c r="CF34" s="50">
        <f t="shared" si="53"/>
        <v>0</v>
      </c>
      <c r="CG34" s="51"/>
      <c r="CH34" s="49">
        <f t="shared" si="54"/>
        <v>0</v>
      </c>
      <c r="CI34" s="50">
        <f t="shared" si="55"/>
        <v>0</v>
      </c>
      <c r="CJ34" s="51"/>
      <c r="CK34" s="49">
        <f t="shared" si="56"/>
        <v>0</v>
      </c>
      <c r="CL34" s="50">
        <f t="shared" si="57"/>
        <v>0</v>
      </c>
      <c r="CM34" s="51"/>
      <c r="CN34" s="49">
        <f t="shared" si="58"/>
        <v>0</v>
      </c>
      <c r="CO34" s="50">
        <f t="shared" si="59"/>
        <v>0</v>
      </c>
      <c r="CP34" s="51"/>
      <c r="CQ34" s="49">
        <f t="shared" si="60"/>
        <v>0</v>
      </c>
      <c r="CR34" s="50">
        <f t="shared" si="61"/>
        <v>0</v>
      </c>
      <c r="CS34" s="51"/>
      <c r="CT34" s="49">
        <f t="shared" si="62"/>
        <v>0</v>
      </c>
      <c r="CU34" s="50">
        <f t="shared" si="63"/>
        <v>0</v>
      </c>
      <c r="CV34" s="51"/>
      <c r="CW34" s="49">
        <f t="shared" si="64"/>
        <v>0</v>
      </c>
      <c r="CX34" s="50">
        <f t="shared" si="65"/>
        <v>0</v>
      </c>
      <c r="CY34" s="51"/>
      <c r="CZ34" s="49">
        <f t="shared" si="66"/>
        <v>0</v>
      </c>
      <c r="DA34" s="50">
        <f t="shared" si="67"/>
        <v>0</v>
      </c>
      <c r="DB34" s="51"/>
      <c r="DC34" s="49">
        <f t="shared" si="68"/>
        <v>0</v>
      </c>
      <c r="DD34" s="50">
        <f t="shared" si="69"/>
        <v>0</v>
      </c>
      <c r="DE34" s="51"/>
      <c r="DF34" s="49">
        <f t="shared" si="70"/>
        <v>0</v>
      </c>
      <c r="DG34" s="50">
        <f t="shared" si="71"/>
        <v>0</v>
      </c>
      <c r="DH34" s="51"/>
      <c r="DI34" s="49">
        <f t="shared" si="72"/>
        <v>0</v>
      </c>
      <c r="DJ34" s="50">
        <f t="shared" si="73"/>
        <v>0</v>
      </c>
      <c r="DK34" s="51"/>
      <c r="DL34" s="49">
        <f t="shared" si="74"/>
        <v>0</v>
      </c>
      <c r="DM34" s="50">
        <f t="shared" si="75"/>
        <v>0</v>
      </c>
      <c r="DN34" s="51"/>
      <c r="DO34" s="49">
        <f t="shared" si="76"/>
        <v>0</v>
      </c>
      <c r="DP34" s="50">
        <f t="shared" si="77"/>
        <v>0</v>
      </c>
      <c r="DQ34" s="51"/>
      <c r="DR34" s="51"/>
      <c r="DS34" s="51"/>
      <c r="DT34" s="46">
        <f t="shared" si="83"/>
        <v>313</v>
      </c>
      <c r="DU34" s="46">
        <f t="shared" si="84"/>
        <v>5796</v>
      </c>
      <c r="DV34" s="46">
        <f t="shared" si="85"/>
        <v>3715.6</v>
      </c>
    </row>
    <row r="35" spans="1:126" s="8" customFormat="1" ht="21.95" customHeight="1" x14ac:dyDescent="0.6">
      <c r="A35" s="67"/>
      <c r="B35" s="9" t="s">
        <v>47</v>
      </c>
      <c r="C35" s="10" t="s">
        <v>42</v>
      </c>
      <c r="D35" s="51">
        <v>65</v>
      </c>
      <c r="E35" s="49">
        <f t="shared" si="0"/>
        <v>910</v>
      </c>
      <c r="F35" s="50">
        <f t="shared" si="1"/>
        <v>582.4</v>
      </c>
      <c r="G35" s="51"/>
      <c r="H35" s="49">
        <f t="shared" si="2"/>
        <v>0</v>
      </c>
      <c r="I35" s="50">
        <f t="shared" si="3"/>
        <v>0</v>
      </c>
      <c r="J35" s="51"/>
      <c r="K35" s="49">
        <f t="shared" si="4"/>
        <v>0</v>
      </c>
      <c r="L35" s="50">
        <f t="shared" si="5"/>
        <v>0</v>
      </c>
      <c r="M35" s="51"/>
      <c r="N35" s="49">
        <f t="shared" si="6"/>
        <v>0</v>
      </c>
      <c r="O35" s="50">
        <f t="shared" si="7"/>
        <v>0</v>
      </c>
      <c r="P35" s="51"/>
      <c r="Q35" s="49">
        <f t="shared" si="8"/>
        <v>0</v>
      </c>
      <c r="R35" s="50">
        <f t="shared" si="9"/>
        <v>0</v>
      </c>
      <c r="S35" s="51"/>
      <c r="T35" s="49">
        <f t="shared" si="10"/>
        <v>0</v>
      </c>
      <c r="U35" s="50">
        <f t="shared" si="11"/>
        <v>0</v>
      </c>
      <c r="V35" s="51">
        <v>10</v>
      </c>
      <c r="W35" s="49">
        <f t="shared" si="12"/>
        <v>140</v>
      </c>
      <c r="X35" s="50">
        <f t="shared" si="13"/>
        <v>89.600000000000009</v>
      </c>
      <c r="Y35" s="51"/>
      <c r="Z35" s="49">
        <f t="shared" si="14"/>
        <v>0</v>
      </c>
      <c r="AA35" s="50">
        <f t="shared" si="15"/>
        <v>0</v>
      </c>
      <c r="AB35" s="51"/>
      <c r="AC35" s="49">
        <f t="shared" si="16"/>
        <v>0</v>
      </c>
      <c r="AD35" s="50">
        <f t="shared" si="17"/>
        <v>0</v>
      </c>
      <c r="AE35" s="51"/>
      <c r="AF35" s="49">
        <f t="shared" si="18"/>
        <v>0</v>
      </c>
      <c r="AG35" s="50">
        <f t="shared" si="19"/>
        <v>0</v>
      </c>
      <c r="AH35" s="51"/>
      <c r="AI35" s="49">
        <f t="shared" si="20"/>
        <v>0</v>
      </c>
      <c r="AJ35" s="50">
        <f t="shared" si="21"/>
        <v>0</v>
      </c>
      <c r="AK35" s="51"/>
      <c r="AL35" s="49">
        <f t="shared" si="22"/>
        <v>0</v>
      </c>
      <c r="AM35" s="50">
        <f t="shared" si="23"/>
        <v>0</v>
      </c>
      <c r="AN35" s="51"/>
      <c r="AO35" s="49">
        <f t="shared" si="24"/>
        <v>0</v>
      </c>
      <c r="AP35" s="50">
        <f t="shared" si="25"/>
        <v>0</v>
      </c>
      <c r="AQ35" s="51"/>
      <c r="AR35" s="49">
        <f t="shared" si="26"/>
        <v>0</v>
      </c>
      <c r="AS35" s="50">
        <f t="shared" si="27"/>
        <v>0</v>
      </c>
      <c r="AT35" s="51"/>
      <c r="AU35" s="49">
        <f t="shared" si="28"/>
        <v>0</v>
      </c>
      <c r="AV35" s="50">
        <f t="shared" si="29"/>
        <v>0</v>
      </c>
      <c r="AW35" s="51">
        <v>23</v>
      </c>
      <c r="AX35" s="49">
        <f t="shared" si="30"/>
        <v>276</v>
      </c>
      <c r="AY35" s="50">
        <f t="shared" si="31"/>
        <v>276</v>
      </c>
      <c r="AZ35" s="51"/>
      <c r="BA35" s="49">
        <f t="shared" si="32"/>
        <v>0</v>
      </c>
      <c r="BB35" s="50">
        <f t="shared" si="33"/>
        <v>0</v>
      </c>
      <c r="BC35" s="51"/>
      <c r="BD35" s="49">
        <f t="shared" si="34"/>
        <v>0</v>
      </c>
      <c r="BE35" s="50">
        <f t="shared" si="35"/>
        <v>0</v>
      </c>
      <c r="BF35" s="51">
        <v>45</v>
      </c>
      <c r="BG35" s="49">
        <f t="shared" si="36"/>
        <v>540</v>
      </c>
      <c r="BH35" s="50">
        <f t="shared" si="37"/>
        <v>540</v>
      </c>
      <c r="BI35" s="51"/>
      <c r="BJ35" s="49">
        <f t="shared" si="38"/>
        <v>0</v>
      </c>
      <c r="BK35" s="50">
        <f t="shared" si="39"/>
        <v>0</v>
      </c>
      <c r="BL35" s="51"/>
      <c r="BM35" s="49">
        <f t="shared" si="40"/>
        <v>0</v>
      </c>
      <c r="BN35" s="50">
        <f t="shared" si="41"/>
        <v>0</v>
      </c>
      <c r="BO35" s="51"/>
      <c r="BP35" s="49">
        <f t="shared" si="42"/>
        <v>0</v>
      </c>
      <c r="BQ35" s="50">
        <f t="shared" si="43"/>
        <v>0</v>
      </c>
      <c r="BR35" s="51"/>
      <c r="BS35" s="49">
        <f t="shared" si="44"/>
        <v>0</v>
      </c>
      <c r="BT35" s="50">
        <f t="shared" si="45"/>
        <v>0</v>
      </c>
      <c r="BU35" s="51"/>
      <c r="BV35" s="49">
        <f t="shared" si="46"/>
        <v>0</v>
      </c>
      <c r="BW35" s="50">
        <f t="shared" si="47"/>
        <v>0</v>
      </c>
      <c r="BX35" s="51"/>
      <c r="BY35" s="49">
        <f t="shared" si="48"/>
        <v>0</v>
      </c>
      <c r="BZ35" s="50">
        <f t="shared" si="49"/>
        <v>0</v>
      </c>
      <c r="CA35" s="51"/>
      <c r="CB35" s="49">
        <f t="shared" si="50"/>
        <v>0</v>
      </c>
      <c r="CC35" s="50">
        <f t="shared" si="51"/>
        <v>0</v>
      </c>
      <c r="CD35" s="51"/>
      <c r="CE35" s="49">
        <f t="shared" si="52"/>
        <v>0</v>
      </c>
      <c r="CF35" s="50">
        <f t="shared" si="53"/>
        <v>0</v>
      </c>
      <c r="CG35" s="51"/>
      <c r="CH35" s="49">
        <f t="shared" si="54"/>
        <v>0</v>
      </c>
      <c r="CI35" s="50">
        <f t="shared" si="55"/>
        <v>0</v>
      </c>
      <c r="CJ35" s="51"/>
      <c r="CK35" s="49">
        <f t="shared" si="56"/>
        <v>0</v>
      </c>
      <c r="CL35" s="50">
        <f t="shared" si="57"/>
        <v>0</v>
      </c>
      <c r="CM35" s="51"/>
      <c r="CN35" s="49">
        <f t="shared" si="58"/>
        <v>0</v>
      </c>
      <c r="CO35" s="50">
        <f t="shared" si="59"/>
        <v>0</v>
      </c>
      <c r="CP35" s="51"/>
      <c r="CQ35" s="49">
        <f t="shared" si="60"/>
        <v>0</v>
      </c>
      <c r="CR35" s="50">
        <f t="shared" si="61"/>
        <v>0</v>
      </c>
      <c r="CS35" s="51"/>
      <c r="CT35" s="49">
        <f t="shared" si="62"/>
        <v>0</v>
      </c>
      <c r="CU35" s="50">
        <f t="shared" si="63"/>
        <v>0</v>
      </c>
      <c r="CV35" s="51"/>
      <c r="CW35" s="49">
        <f t="shared" si="64"/>
        <v>0</v>
      </c>
      <c r="CX35" s="50">
        <f t="shared" si="65"/>
        <v>0</v>
      </c>
      <c r="CY35" s="51"/>
      <c r="CZ35" s="49">
        <f t="shared" si="66"/>
        <v>0</v>
      </c>
      <c r="DA35" s="50">
        <f t="shared" si="67"/>
        <v>0</v>
      </c>
      <c r="DB35" s="51"/>
      <c r="DC35" s="49">
        <f t="shared" si="68"/>
        <v>0</v>
      </c>
      <c r="DD35" s="50">
        <f t="shared" si="69"/>
        <v>0</v>
      </c>
      <c r="DE35" s="51"/>
      <c r="DF35" s="49">
        <f t="shared" si="70"/>
        <v>0</v>
      </c>
      <c r="DG35" s="50">
        <f t="shared" si="71"/>
        <v>0</v>
      </c>
      <c r="DH35" s="51"/>
      <c r="DI35" s="49">
        <f t="shared" si="72"/>
        <v>0</v>
      </c>
      <c r="DJ35" s="50">
        <f t="shared" si="73"/>
        <v>0</v>
      </c>
      <c r="DK35" s="51"/>
      <c r="DL35" s="49">
        <f t="shared" si="74"/>
        <v>0</v>
      </c>
      <c r="DM35" s="50">
        <f t="shared" si="75"/>
        <v>0</v>
      </c>
      <c r="DN35" s="51"/>
      <c r="DO35" s="49">
        <f t="shared" si="76"/>
        <v>0</v>
      </c>
      <c r="DP35" s="50">
        <f t="shared" si="77"/>
        <v>0</v>
      </c>
      <c r="DQ35" s="51"/>
      <c r="DR35" s="51"/>
      <c r="DS35" s="51"/>
      <c r="DT35" s="46">
        <f t="shared" si="83"/>
        <v>143</v>
      </c>
      <c r="DU35" s="46">
        <f t="shared" si="84"/>
        <v>1866</v>
      </c>
      <c r="DV35" s="46">
        <f t="shared" si="85"/>
        <v>1488</v>
      </c>
    </row>
    <row r="36" spans="1:126" s="8" customFormat="1" ht="21.95" customHeight="1" x14ac:dyDescent="0.6">
      <c r="A36" s="67"/>
      <c r="B36" s="9" t="s">
        <v>48</v>
      </c>
      <c r="C36" s="10" t="s">
        <v>42</v>
      </c>
      <c r="D36" s="51">
        <v>100</v>
      </c>
      <c r="E36" s="49">
        <f t="shared" si="0"/>
        <v>1400</v>
      </c>
      <c r="F36" s="50">
        <f t="shared" si="1"/>
        <v>896</v>
      </c>
      <c r="G36" s="51"/>
      <c r="H36" s="49">
        <f t="shared" si="2"/>
        <v>0</v>
      </c>
      <c r="I36" s="50">
        <f t="shared" si="3"/>
        <v>0</v>
      </c>
      <c r="J36" s="51"/>
      <c r="K36" s="49">
        <f t="shared" si="4"/>
        <v>0</v>
      </c>
      <c r="L36" s="50">
        <f t="shared" si="5"/>
        <v>0</v>
      </c>
      <c r="M36" s="51"/>
      <c r="N36" s="49">
        <f t="shared" si="6"/>
        <v>0</v>
      </c>
      <c r="O36" s="50">
        <f t="shared" si="7"/>
        <v>0</v>
      </c>
      <c r="P36" s="51"/>
      <c r="Q36" s="49">
        <f t="shared" si="8"/>
        <v>0</v>
      </c>
      <c r="R36" s="50">
        <f t="shared" si="9"/>
        <v>0</v>
      </c>
      <c r="S36" s="51"/>
      <c r="T36" s="49">
        <f t="shared" si="10"/>
        <v>0</v>
      </c>
      <c r="U36" s="50">
        <f t="shared" si="11"/>
        <v>0</v>
      </c>
      <c r="V36" s="51"/>
      <c r="W36" s="49">
        <f t="shared" si="12"/>
        <v>0</v>
      </c>
      <c r="X36" s="50">
        <f t="shared" si="13"/>
        <v>0</v>
      </c>
      <c r="Y36" s="51"/>
      <c r="Z36" s="49">
        <f t="shared" si="14"/>
        <v>0</v>
      </c>
      <c r="AA36" s="50">
        <f t="shared" si="15"/>
        <v>0</v>
      </c>
      <c r="AB36" s="51"/>
      <c r="AC36" s="49">
        <f t="shared" si="16"/>
        <v>0</v>
      </c>
      <c r="AD36" s="50">
        <f t="shared" si="17"/>
        <v>0</v>
      </c>
      <c r="AE36" s="51"/>
      <c r="AF36" s="49">
        <f t="shared" si="18"/>
        <v>0</v>
      </c>
      <c r="AG36" s="50">
        <f t="shared" si="19"/>
        <v>0</v>
      </c>
      <c r="AH36" s="51">
        <v>13</v>
      </c>
      <c r="AI36" s="49">
        <f t="shared" si="20"/>
        <v>156</v>
      </c>
      <c r="AJ36" s="50">
        <f t="shared" si="21"/>
        <v>109.19999999999999</v>
      </c>
      <c r="AK36" s="51"/>
      <c r="AL36" s="49">
        <f t="shared" si="22"/>
        <v>0</v>
      </c>
      <c r="AM36" s="50">
        <f t="shared" si="23"/>
        <v>0</v>
      </c>
      <c r="AN36" s="51"/>
      <c r="AO36" s="49">
        <f t="shared" si="24"/>
        <v>0</v>
      </c>
      <c r="AP36" s="50">
        <f t="shared" si="25"/>
        <v>0</v>
      </c>
      <c r="AQ36" s="51"/>
      <c r="AR36" s="49">
        <f t="shared" si="26"/>
        <v>0</v>
      </c>
      <c r="AS36" s="50">
        <f t="shared" si="27"/>
        <v>0</v>
      </c>
      <c r="AT36" s="51"/>
      <c r="AU36" s="49">
        <f t="shared" si="28"/>
        <v>0</v>
      </c>
      <c r="AV36" s="50">
        <f t="shared" si="29"/>
        <v>0</v>
      </c>
      <c r="AW36" s="51">
        <v>125</v>
      </c>
      <c r="AX36" s="49">
        <f t="shared" si="30"/>
        <v>1500</v>
      </c>
      <c r="AY36" s="50">
        <f t="shared" si="31"/>
        <v>1500</v>
      </c>
      <c r="AZ36" s="51">
        <v>16</v>
      </c>
      <c r="BA36" s="49">
        <f t="shared" si="32"/>
        <v>192</v>
      </c>
      <c r="BB36" s="50">
        <f t="shared" si="33"/>
        <v>115.19999999999999</v>
      </c>
      <c r="BC36" s="51">
        <v>8</v>
      </c>
      <c r="BD36" s="49">
        <f t="shared" si="34"/>
        <v>320</v>
      </c>
      <c r="BE36" s="50">
        <f t="shared" si="35"/>
        <v>112</v>
      </c>
      <c r="BF36" s="51">
        <v>75</v>
      </c>
      <c r="BG36" s="49">
        <f t="shared" si="36"/>
        <v>900</v>
      </c>
      <c r="BH36" s="50">
        <f t="shared" si="37"/>
        <v>900</v>
      </c>
      <c r="BI36" s="51"/>
      <c r="BJ36" s="49">
        <f t="shared" si="38"/>
        <v>0</v>
      </c>
      <c r="BK36" s="50">
        <f t="shared" si="39"/>
        <v>0</v>
      </c>
      <c r="BL36" s="51">
        <v>2</v>
      </c>
      <c r="BM36" s="49">
        <f t="shared" si="40"/>
        <v>80</v>
      </c>
      <c r="BN36" s="50">
        <f t="shared" si="41"/>
        <v>28</v>
      </c>
      <c r="BO36" s="51"/>
      <c r="BP36" s="49">
        <f t="shared" si="42"/>
        <v>0</v>
      </c>
      <c r="BQ36" s="50">
        <f t="shared" si="43"/>
        <v>0</v>
      </c>
      <c r="BR36" s="51"/>
      <c r="BS36" s="49">
        <f t="shared" si="44"/>
        <v>0</v>
      </c>
      <c r="BT36" s="50">
        <f t="shared" si="45"/>
        <v>0</v>
      </c>
      <c r="BU36" s="51"/>
      <c r="BV36" s="49">
        <f t="shared" si="46"/>
        <v>0</v>
      </c>
      <c r="BW36" s="50">
        <f t="shared" si="47"/>
        <v>0</v>
      </c>
      <c r="BX36" s="51"/>
      <c r="BY36" s="49">
        <f t="shared" si="48"/>
        <v>0</v>
      </c>
      <c r="BZ36" s="50">
        <f t="shared" si="49"/>
        <v>0</v>
      </c>
      <c r="CA36" s="51"/>
      <c r="CB36" s="49">
        <f t="shared" si="50"/>
        <v>0</v>
      </c>
      <c r="CC36" s="50">
        <f t="shared" si="51"/>
        <v>0</v>
      </c>
      <c r="CD36" s="51"/>
      <c r="CE36" s="49">
        <f t="shared" si="52"/>
        <v>0</v>
      </c>
      <c r="CF36" s="50">
        <f t="shared" si="53"/>
        <v>0</v>
      </c>
      <c r="CG36" s="51"/>
      <c r="CH36" s="49">
        <f t="shared" si="54"/>
        <v>0</v>
      </c>
      <c r="CI36" s="50">
        <f t="shared" si="55"/>
        <v>0</v>
      </c>
      <c r="CJ36" s="51"/>
      <c r="CK36" s="49">
        <f t="shared" si="56"/>
        <v>0</v>
      </c>
      <c r="CL36" s="50">
        <f t="shared" si="57"/>
        <v>0</v>
      </c>
      <c r="CM36" s="51">
        <v>7</v>
      </c>
      <c r="CN36" s="49">
        <f t="shared" si="58"/>
        <v>84</v>
      </c>
      <c r="CO36" s="50">
        <f t="shared" si="59"/>
        <v>84</v>
      </c>
      <c r="CP36" s="51"/>
      <c r="CQ36" s="49">
        <f t="shared" si="60"/>
        <v>0</v>
      </c>
      <c r="CR36" s="50">
        <f t="shared" si="61"/>
        <v>0</v>
      </c>
      <c r="CS36" s="51"/>
      <c r="CT36" s="49">
        <f t="shared" si="62"/>
        <v>0</v>
      </c>
      <c r="CU36" s="50">
        <f t="shared" si="63"/>
        <v>0</v>
      </c>
      <c r="CV36" s="51"/>
      <c r="CW36" s="49">
        <f t="shared" si="64"/>
        <v>0</v>
      </c>
      <c r="CX36" s="50">
        <f t="shared" si="65"/>
        <v>0</v>
      </c>
      <c r="CY36" s="51"/>
      <c r="CZ36" s="49">
        <f t="shared" si="66"/>
        <v>0</v>
      </c>
      <c r="DA36" s="50">
        <f t="shared" si="67"/>
        <v>0</v>
      </c>
      <c r="DB36" s="51"/>
      <c r="DC36" s="49">
        <f t="shared" si="68"/>
        <v>0</v>
      </c>
      <c r="DD36" s="50">
        <f t="shared" si="69"/>
        <v>0</v>
      </c>
      <c r="DE36" s="51"/>
      <c r="DF36" s="49">
        <f t="shared" si="70"/>
        <v>0</v>
      </c>
      <c r="DG36" s="50">
        <f t="shared" si="71"/>
        <v>0</v>
      </c>
      <c r="DH36" s="51"/>
      <c r="DI36" s="49">
        <f t="shared" si="72"/>
        <v>0</v>
      </c>
      <c r="DJ36" s="50">
        <f t="shared" si="73"/>
        <v>0</v>
      </c>
      <c r="DK36" s="51"/>
      <c r="DL36" s="49">
        <f t="shared" si="74"/>
        <v>0</v>
      </c>
      <c r="DM36" s="50">
        <f t="shared" si="75"/>
        <v>0</v>
      </c>
      <c r="DN36" s="51"/>
      <c r="DO36" s="49">
        <f t="shared" si="76"/>
        <v>0</v>
      </c>
      <c r="DP36" s="50">
        <f t="shared" si="77"/>
        <v>0</v>
      </c>
      <c r="DQ36" s="51"/>
      <c r="DR36" s="51"/>
      <c r="DS36" s="51"/>
      <c r="DT36" s="46">
        <f t="shared" si="83"/>
        <v>346</v>
      </c>
      <c r="DU36" s="46">
        <f t="shared" si="84"/>
        <v>4632</v>
      </c>
      <c r="DV36" s="46">
        <f t="shared" si="85"/>
        <v>3744.3999999999996</v>
      </c>
    </row>
    <row r="37" spans="1:126" s="8" customFormat="1" ht="21.95" customHeight="1" x14ac:dyDescent="0.6">
      <c r="A37" s="67"/>
      <c r="B37" s="9" t="s">
        <v>50</v>
      </c>
      <c r="C37" s="10" t="s">
        <v>42</v>
      </c>
      <c r="D37" s="51">
        <v>40</v>
      </c>
      <c r="E37" s="49">
        <f t="shared" si="0"/>
        <v>560</v>
      </c>
      <c r="F37" s="50">
        <f t="shared" si="1"/>
        <v>358.40000000000003</v>
      </c>
      <c r="G37" s="51"/>
      <c r="H37" s="49">
        <f t="shared" si="2"/>
        <v>0</v>
      </c>
      <c r="I37" s="50">
        <f t="shared" si="3"/>
        <v>0</v>
      </c>
      <c r="J37" s="51"/>
      <c r="K37" s="49">
        <f t="shared" si="4"/>
        <v>0</v>
      </c>
      <c r="L37" s="50">
        <f t="shared" si="5"/>
        <v>0</v>
      </c>
      <c r="M37" s="51"/>
      <c r="N37" s="49">
        <f t="shared" si="6"/>
        <v>0</v>
      </c>
      <c r="O37" s="50">
        <f t="shared" si="7"/>
        <v>0</v>
      </c>
      <c r="P37" s="51"/>
      <c r="Q37" s="49">
        <f t="shared" si="8"/>
        <v>0</v>
      </c>
      <c r="R37" s="50">
        <f t="shared" si="9"/>
        <v>0</v>
      </c>
      <c r="S37" s="51"/>
      <c r="T37" s="49">
        <f t="shared" si="10"/>
        <v>0</v>
      </c>
      <c r="U37" s="50">
        <f t="shared" si="11"/>
        <v>0</v>
      </c>
      <c r="V37" s="51"/>
      <c r="W37" s="49">
        <f t="shared" si="12"/>
        <v>0</v>
      </c>
      <c r="X37" s="50">
        <f t="shared" si="13"/>
        <v>0</v>
      </c>
      <c r="Y37" s="51"/>
      <c r="Z37" s="49">
        <f t="shared" si="14"/>
        <v>0</v>
      </c>
      <c r="AA37" s="50">
        <f t="shared" si="15"/>
        <v>0</v>
      </c>
      <c r="AB37" s="51"/>
      <c r="AC37" s="49">
        <f t="shared" si="16"/>
        <v>0</v>
      </c>
      <c r="AD37" s="50">
        <f t="shared" si="17"/>
        <v>0</v>
      </c>
      <c r="AE37" s="51"/>
      <c r="AF37" s="49">
        <f t="shared" si="18"/>
        <v>0</v>
      </c>
      <c r="AG37" s="50">
        <f t="shared" si="19"/>
        <v>0</v>
      </c>
      <c r="AH37" s="51"/>
      <c r="AI37" s="49">
        <f t="shared" si="20"/>
        <v>0</v>
      </c>
      <c r="AJ37" s="50">
        <f t="shared" si="21"/>
        <v>0</v>
      </c>
      <c r="AK37" s="51"/>
      <c r="AL37" s="49">
        <f t="shared" si="22"/>
        <v>0</v>
      </c>
      <c r="AM37" s="50">
        <f t="shared" si="23"/>
        <v>0</v>
      </c>
      <c r="AN37" s="51"/>
      <c r="AO37" s="49">
        <f t="shared" si="24"/>
        <v>0</v>
      </c>
      <c r="AP37" s="50">
        <f t="shared" si="25"/>
        <v>0</v>
      </c>
      <c r="AQ37" s="51"/>
      <c r="AR37" s="49">
        <f t="shared" si="26"/>
        <v>0</v>
      </c>
      <c r="AS37" s="50">
        <f t="shared" si="27"/>
        <v>0</v>
      </c>
      <c r="AT37" s="51"/>
      <c r="AU37" s="49">
        <f t="shared" si="28"/>
        <v>0</v>
      </c>
      <c r="AV37" s="50">
        <f t="shared" si="29"/>
        <v>0</v>
      </c>
      <c r="AW37" s="51">
        <v>390</v>
      </c>
      <c r="AX37" s="49">
        <f t="shared" si="30"/>
        <v>4680</v>
      </c>
      <c r="AY37" s="50">
        <f t="shared" si="31"/>
        <v>4680</v>
      </c>
      <c r="AZ37" s="51"/>
      <c r="BA37" s="49">
        <f t="shared" si="32"/>
        <v>0</v>
      </c>
      <c r="BB37" s="50">
        <f t="shared" si="33"/>
        <v>0</v>
      </c>
      <c r="BC37" s="51">
        <v>120</v>
      </c>
      <c r="BD37" s="49">
        <f t="shared" si="34"/>
        <v>4800</v>
      </c>
      <c r="BE37" s="50">
        <f t="shared" si="35"/>
        <v>1680</v>
      </c>
      <c r="BF37" s="51">
        <v>15</v>
      </c>
      <c r="BG37" s="49">
        <f t="shared" si="36"/>
        <v>180</v>
      </c>
      <c r="BH37" s="50">
        <f t="shared" si="37"/>
        <v>180</v>
      </c>
      <c r="BI37" s="51"/>
      <c r="BJ37" s="49">
        <f t="shared" si="38"/>
        <v>0</v>
      </c>
      <c r="BK37" s="50">
        <f t="shared" si="39"/>
        <v>0</v>
      </c>
      <c r="BL37" s="51">
        <v>30</v>
      </c>
      <c r="BM37" s="49">
        <f t="shared" si="40"/>
        <v>1200</v>
      </c>
      <c r="BN37" s="50">
        <f t="shared" si="41"/>
        <v>420</v>
      </c>
      <c r="BO37" s="51"/>
      <c r="BP37" s="49">
        <f t="shared" si="42"/>
        <v>0</v>
      </c>
      <c r="BQ37" s="50">
        <f t="shared" si="43"/>
        <v>0</v>
      </c>
      <c r="BR37" s="51"/>
      <c r="BS37" s="49">
        <f t="shared" si="44"/>
        <v>0</v>
      </c>
      <c r="BT37" s="50">
        <f t="shared" si="45"/>
        <v>0</v>
      </c>
      <c r="BU37" s="51"/>
      <c r="BV37" s="49">
        <f t="shared" si="46"/>
        <v>0</v>
      </c>
      <c r="BW37" s="50">
        <f t="shared" si="47"/>
        <v>0</v>
      </c>
      <c r="BX37" s="51"/>
      <c r="BY37" s="49">
        <f t="shared" si="48"/>
        <v>0</v>
      </c>
      <c r="BZ37" s="50">
        <f t="shared" si="49"/>
        <v>0</v>
      </c>
      <c r="CA37" s="51"/>
      <c r="CB37" s="49">
        <f t="shared" si="50"/>
        <v>0</v>
      </c>
      <c r="CC37" s="50">
        <f t="shared" si="51"/>
        <v>0</v>
      </c>
      <c r="CD37" s="51"/>
      <c r="CE37" s="49">
        <f t="shared" si="52"/>
        <v>0</v>
      </c>
      <c r="CF37" s="50">
        <f t="shared" si="53"/>
        <v>0</v>
      </c>
      <c r="CG37" s="51"/>
      <c r="CH37" s="49">
        <f t="shared" si="54"/>
        <v>0</v>
      </c>
      <c r="CI37" s="50">
        <f t="shared" si="55"/>
        <v>0</v>
      </c>
      <c r="CJ37" s="51"/>
      <c r="CK37" s="49">
        <f t="shared" si="56"/>
        <v>0</v>
      </c>
      <c r="CL37" s="50">
        <f t="shared" si="57"/>
        <v>0</v>
      </c>
      <c r="CM37" s="51"/>
      <c r="CN37" s="49">
        <f t="shared" si="58"/>
        <v>0</v>
      </c>
      <c r="CO37" s="50">
        <f t="shared" si="59"/>
        <v>0</v>
      </c>
      <c r="CP37" s="51"/>
      <c r="CQ37" s="49">
        <f t="shared" si="60"/>
        <v>0</v>
      </c>
      <c r="CR37" s="50">
        <f t="shared" si="61"/>
        <v>0</v>
      </c>
      <c r="CS37" s="51"/>
      <c r="CT37" s="49">
        <f t="shared" si="62"/>
        <v>0</v>
      </c>
      <c r="CU37" s="50">
        <f t="shared" si="63"/>
        <v>0</v>
      </c>
      <c r="CV37" s="51"/>
      <c r="CW37" s="49">
        <f t="shared" si="64"/>
        <v>0</v>
      </c>
      <c r="CX37" s="50">
        <f t="shared" si="65"/>
        <v>0</v>
      </c>
      <c r="CY37" s="51"/>
      <c r="CZ37" s="49">
        <f t="shared" si="66"/>
        <v>0</v>
      </c>
      <c r="DA37" s="50">
        <f t="shared" si="67"/>
        <v>0</v>
      </c>
      <c r="DB37" s="51"/>
      <c r="DC37" s="49">
        <f t="shared" si="68"/>
        <v>0</v>
      </c>
      <c r="DD37" s="50">
        <f t="shared" si="69"/>
        <v>0</v>
      </c>
      <c r="DE37" s="51"/>
      <c r="DF37" s="49">
        <f t="shared" si="70"/>
        <v>0</v>
      </c>
      <c r="DG37" s="50">
        <f t="shared" si="71"/>
        <v>0</v>
      </c>
      <c r="DH37" s="51"/>
      <c r="DI37" s="49">
        <f t="shared" si="72"/>
        <v>0</v>
      </c>
      <c r="DJ37" s="50">
        <f t="shared" si="73"/>
        <v>0</v>
      </c>
      <c r="DK37" s="51"/>
      <c r="DL37" s="49">
        <f t="shared" si="74"/>
        <v>0</v>
      </c>
      <c r="DM37" s="50">
        <f t="shared" si="75"/>
        <v>0</v>
      </c>
      <c r="DN37" s="51"/>
      <c r="DO37" s="49">
        <f t="shared" si="76"/>
        <v>0</v>
      </c>
      <c r="DP37" s="50">
        <f t="shared" si="77"/>
        <v>0</v>
      </c>
      <c r="DQ37" s="51"/>
      <c r="DR37" s="51"/>
      <c r="DS37" s="51"/>
      <c r="DT37" s="46">
        <f t="shared" si="83"/>
        <v>595</v>
      </c>
      <c r="DU37" s="46">
        <f t="shared" si="84"/>
        <v>11420</v>
      </c>
      <c r="DV37" s="46">
        <f t="shared" si="85"/>
        <v>7318.4</v>
      </c>
    </row>
    <row r="38" spans="1:126" s="8" customFormat="1" ht="21.95" customHeight="1" x14ac:dyDescent="0.6">
      <c r="A38" s="67"/>
      <c r="B38" s="9" t="s">
        <v>51</v>
      </c>
      <c r="C38" s="10" t="s">
        <v>42</v>
      </c>
      <c r="D38" s="51">
        <v>97</v>
      </c>
      <c r="E38" s="49">
        <f t="shared" si="0"/>
        <v>1358</v>
      </c>
      <c r="F38" s="50">
        <f t="shared" si="1"/>
        <v>869.12</v>
      </c>
      <c r="G38" s="51"/>
      <c r="H38" s="49">
        <f t="shared" si="2"/>
        <v>0</v>
      </c>
      <c r="I38" s="50">
        <f t="shared" si="3"/>
        <v>0</v>
      </c>
      <c r="J38" s="51"/>
      <c r="K38" s="49">
        <f t="shared" si="4"/>
        <v>0</v>
      </c>
      <c r="L38" s="50">
        <f t="shared" si="5"/>
        <v>0</v>
      </c>
      <c r="M38" s="51"/>
      <c r="N38" s="49">
        <f t="shared" si="6"/>
        <v>0</v>
      </c>
      <c r="O38" s="50">
        <f t="shared" si="7"/>
        <v>0</v>
      </c>
      <c r="P38" s="51"/>
      <c r="Q38" s="49">
        <f t="shared" si="8"/>
        <v>0</v>
      </c>
      <c r="R38" s="50">
        <f t="shared" si="9"/>
        <v>0</v>
      </c>
      <c r="S38" s="51"/>
      <c r="T38" s="49">
        <f t="shared" si="10"/>
        <v>0</v>
      </c>
      <c r="U38" s="50">
        <f t="shared" si="11"/>
        <v>0</v>
      </c>
      <c r="V38" s="51"/>
      <c r="W38" s="49">
        <f t="shared" si="12"/>
        <v>0</v>
      </c>
      <c r="X38" s="50">
        <f t="shared" si="13"/>
        <v>0</v>
      </c>
      <c r="Y38" s="51"/>
      <c r="Z38" s="49">
        <f t="shared" si="14"/>
        <v>0</v>
      </c>
      <c r="AA38" s="50">
        <f t="shared" si="15"/>
        <v>0</v>
      </c>
      <c r="AB38" s="51"/>
      <c r="AC38" s="49">
        <f t="shared" si="16"/>
        <v>0</v>
      </c>
      <c r="AD38" s="50">
        <f t="shared" si="17"/>
        <v>0</v>
      </c>
      <c r="AE38" s="51"/>
      <c r="AF38" s="49">
        <f t="shared" si="18"/>
        <v>0</v>
      </c>
      <c r="AG38" s="50">
        <f t="shared" si="19"/>
        <v>0</v>
      </c>
      <c r="AH38" s="51">
        <v>15</v>
      </c>
      <c r="AI38" s="49">
        <f t="shared" si="20"/>
        <v>180</v>
      </c>
      <c r="AJ38" s="50">
        <f t="shared" si="21"/>
        <v>125.99999999999999</v>
      </c>
      <c r="AK38" s="51"/>
      <c r="AL38" s="49">
        <f t="shared" si="22"/>
        <v>0</v>
      </c>
      <c r="AM38" s="50">
        <f t="shared" si="23"/>
        <v>0</v>
      </c>
      <c r="AN38" s="51"/>
      <c r="AO38" s="49">
        <f t="shared" si="24"/>
        <v>0</v>
      </c>
      <c r="AP38" s="50">
        <f t="shared" si="25"/>
        <v>0</v>
      </c>
      <c r="AQ38" s="51"/>
      <c r="AR38" s="49">
        <f t="shared" si="26"/>
        <v>0</v>
      </c>
      <c r="AS38" s="50">
        <f t="shared" si="27"/>
        <v>0</v>
      </c>
      <c r="AT38" s="51"/>
      <c r="AU38" s="49">
        <f t="shared" si="28"/>
        <v>0</v>
      </c>
      <c r="AV38" s="50">
        <f t="shared" si="29"/>
        <v>0</v>
      </c>
      <c r="AW38" s="51">
        <v>538</v>
      </c>
      <c r="AX38" s="49">
        <f t="shared" si="30"/>
        <v>6456</v>
      </c>
      <c r="AY38" s="50">
        <f t="shared" si="31"/>
        <v>6456</v>
      </c>
      <c r="AZ38" s="51">
        <v>68</v>
      </c>
      <c r="BA38" s="49">
        <f t="shared" si="32"/>
        <v>816</v>
      </c>
      <c r="BB38" s="50">
        <f t="shared" si="33"/>
        <v>489.59999999999997</v>
      </c>
      <c r="BC38" s="51">
        <v>134</v>
      </c>
      <c r="BD38" s="49">
        <f t="shared" si="34"/>
        <v>5360</v>
      </c>
      <c r="BE38" s="50">
        <f t="shared" si="35"/>
        <v>1875.9999999999998</v>
      </c>
      <c r="BF38" s="51">
        <v>285</v>
      </c>
      <c r="BG38" s="49">
        <f t="shared" si="36"/>
        <v>3420</v>
      </c>
      <c r="BH38" s="50">
        <f t="shared" si="37"/>
        <v>3420</v>
      </c>
      <c r="BI38" s="51"/>
      <c r="BJ38" s="49">
        <f t="shared" si="38"/>
        <v>0</v>
      </c>
      <c r="BK38" s="50">
        <f t="shared" si="39"/>
        <v>0</v>
      </c>
      <c r="BL38" s="51">
        <v>45</v>
      </c>
      <c r="BM38" s="49">
        <f t="shared" si="40"/>
        <v>1800</v>
      </c>
      <c r="BN38" s="50">
        <f t="shared" si="41"/>
        <v>630</v>
      </c>
      <c r="BO38" s="51"/>
      <c r="BP38" s="49">
        <f t="shared" si="42"/>
        <v>0</v>
      </c>
      <c r="BQ38" s="50">
        <f t="shared" si="43"/>
        <v>0</v>
      </c>
      <c r="BR38" s="51"/>
      <c r="BS38" s="49">
        <f t="shared" si="44"/>
        <v>0</v>
      </c>
      <c r="BT38" s="50">
        <f t="shared" si="45"/>
        <v>0</v>
      </c>
      <c r="BU38" s="51"/>
      <c r="BV38" s="49">
        <f t="shared" si="46"/>
        <v>0</v>
      </c>
      <c r="BW38" s="50">
        <f t="shared" si="47"/>
        <v>0</v>
      </c>
      <c r="BX38" s="51"/>
      <c r="BY38" s="49">
        <f t="shared" si="48"/>
        <v>0</v>
      </c>
      <c r="BZ38" s="50">
        <f t="shared" si="49"/>
        <v>0</v>
      </c>
      <c r="CA38" s="51"/>
      <c r="CB38" s="49">
        <f t="shared" si="50"/>
        <v>0</v>
      </c>
      <c r="CC38" s="50">
        <f t="shared" si="51"/>
        <v>0</v>
      </c>
      <c r="CD38" s="51"/>
      <c r="CE38" s="49">
        <f t="shared" si="52"/>
        <v>0</v>
      </c>
      <c r="CF38" s="50">
        <f t="shared" si="53"/>
        <v>0</v>
      </c>
      <c r="CG38" s="51"/>
      <c r="CH38" s="49">
        <f t="shared" si="54"/>
        <v>0</v>
      </c>
      <c r="CI38" s="50">
        <f t="shared" si="55"/>
        <v>0</v>
      </c>
      <c r="CJ38" s="51"/>
      <c r="CK38" s="49">
        <f t="shared" si="56"/>
        <v>0</v>
      </c>
      <c r="CL38" s="50">
        <f t="shared" si="57"/>
        <v>0</v>
      </c>
      <c r="CM38" s="51"/>
      <c r="CN38" s="49">
        <f t="shared" si="58"/>
        <v>0</v>
      </c>
      <c r="CO38" s="50">
        <f t="shared" si="59"/>
        <v>0</v>
      </c>
      <c r="CP38" s="51"/>
      <c r="CQ38" s="49">
        <f t="shared" si="60"/>
        <v>0</v>
      </c>
      <c r="CR38" s="50">
        <f t="shared" si="61"/>
        <v>0</v>
      </c>
      <c r="CS38" s="51"/>
      <c r="CT38" s="49">
        <f t="shared" si="62"/>
        <v>0</v>
      </c>
      <c r="CU38" s="50">
        <f t="shared" si="63"/>
        <v>0</v>
      </c>
      <c r="CV38" s="51"/>
      <c r="CW38" s="49">
        <f t="shared" si="64"/>
        <v>0</v>
      </c>
      <c r="CX38" s="50">
        <f t="shared" si="65"/>
        <v>0</v>
      </c>
      <c r="CY38" s="51"/>
      <c r="CZ38" s="49">
        <f t="shared" si="66"/>
        <v>0</v>
      </c>
      <c r="DA38" s="50">
        <f t="shared" si="67"/>
        <v>0</v>
      </c>
      <c r="DB38" s="51"/>
      <c r="DC38" s="49">
        <f t="shared" si="68"/>
        <v>0</v>
      </c>
      <c r="DD38" s="50">
        <f t="shared" si="69"/>
        <v>0</v>
      </c>
      <c r="DE38" s="51"/>
      <c r="DF38" s="49">
        <f t="shared" si="70"/>
        <v>0</v>
      </c>
      <c r="DG38" s="50">
        <f t="shared" si="71"/>
        <v>0</v>
      </c>
      <c r="DH38" s="51"/>
      <c r="DI38" s="49">
        <f t="shared" si="72"/>
        <v>0</v>
      </c>
      <c r="DJ38" s="50">
        <f t="shared" si="73"/>
        <v>0</v>
      </c>
      <c r="DK38" s="51"/>
      <c r="DL38" s="49">
        <f t="shared" si="74"/>
        <v>0</v>
      </c>
      <c r="DM38" s="50">
        <f t="shared" si="75"/>
        <v>0</v>
      </c>
      <c r="DN38" s="51"/>
      <c r="DO38" s="49">
        <f t="shared" si="76"/>
        <v>0</v>
      </c>
      <c r="DP38" s="50">
        <f t="shared" si="77"/>
        <v>0</v>
      </c>
      <c r="DQ38" s="51"/>
      <c r="DR38" s="51"/>
      <c r="DS38" s="51"/>
      <c r="DT38" s="46">
        <f t="shared" si="83"/>
        <v>1182</v>
      </c>
      <c r="DU38" s="46">
        <f t="shared" si="84"/>
        <v>19390</v>
      </c>
      <c r="DV38" s="46">
        <f t="shared" si="85"/>
        <v>13866.72</v>
      </c>
    </row>
    <row r="39" spans="1:126" s="8" customFormat="1" ht="21.95" customHeight="1" thickBot="1" x14ac:dyDescent="0.65">
      <c r="A39" s="67"/>
      <c r="B39" s="9" t="s">
        <v>52</v>
      </c>
      <c r="C39" s="10" t="s">
        <v>42</v>
      </c>
      <c r="D39" s="51">
        <v>270</v>
      </c>
      <c r="E39" s="49">
        <f t="shared" si="0"/>
        <v>3780</v>
      </c>
      <c r="F39" s="50">
        <f t="shared" si="1"/>
        <v>2419.2000000000003</v>
      </c>
      <c r="G39" s="51"/>
      <c r="H39" s="49">
        <f t="shared" si="2"/>
        <v>0</v>
      </c>
      <c r="I39" s="50">
        <f t="shared" si="3"/>
        <v>0</v>
      </c>
      <c r="J39" s="51"/>
      <c r="K39" s="49">
        <f t="shared" si="4"/>
        <v>0</v>
      </c>
      <c r="L39" s="50">
        <f t="shared" si="5"/>
        <v>0</v>
      </c>
      <c r="M39" s="51"/>
      <c r="N39" s="49">
        <f t="shared" si="6"/>
        <v>0</v>
      </c>
      <c r="O39" s="50">
        <f t="shared" si="7"/>
        <v>0</v>
      </c>
      <c r="P39" s="51"/>
      <c r="Q39" s="49">
        <f t="shared" si="8"/>
        <v>0</v>
      </c>
      <c r="R39" s="50">
        <f t="shared" si="9"/>
        <v>0</v>
      </c>
      <c r="S39" s="51"/>
      <c r="T39" s="49">
        <f t="shared" si="10"/>
        <v>0</v>
      </c>
      <c r="U39" s="50">
        <f t="shared" si="11"/>
        <v>0</v>
      </c>
      <c r="V39" s="51"/>
      <c r="W39" s="49">
        <f t="shared" si="12"/>
        <v>0</v>
      </c>
      <c r="X39" s="50">
        <f t="shared" si="13"/>
        <v>0</v>
      </c>
      <c r="Y39" s="51"/>
      <c r="Z39" s="49">
        <f t="shared" si="14"/>
        <v>0</v>
      </c>
      <c r="AA39" s="50">
        <f t="shared" si="15"/>
        <v>0</v>
      </c>
      <c r="AB39" s="51"/>
      <c r="AC39" s="49">
        <f t="shared" si="16"/>
        <v>0</v>
      </c>
      <c r="AD39" s="50">
        <f t="shared" si="17"/>
        <v>0</v>
      </c>
      <c r="AE39" s="51"/>
      <c r="AF39" s="49">
        <f t="shared" si="18"/>
        <v>0</v>
      </c>
      <c r="AG39" s="50">
        <f t="shared" si="19"/>
        <v>0</v>
      </c>
      <c r="AH39" s="51"/>
      <c r="AI39" s="49">
        <f t="shared" si="20"/>
        <v>0</v>
      </c>
      <c r="AJ39" s="50">
        <f t="shared" si="21"/>
        <v>0</v>
      </c>
      <c r="AK39" s="51"/>
      <c r="AL39" s="49">
        <f t="shared" si="22"/>
        <v>0</v>
      </c>
      <c r="AM39" s="50">
        <f t="shared" si="23"/>
        <v>0</v>
      </c>
      <c r="AN39" s="51"/>
      <c r="AO39" s="49">
        <f t="shared" si="24"/>
        <v>0</v>
      </c>
      <c r="AP39" s="50">
        <f t="shared" si="25"/>
        <v>0</v>
      </c>
      <c r="AQ39" s="51"/>
      <c r="AR39" s="49">
        <f t="shared" si="26"/>
        <v>0</v>
      </c>
      <c r="AS39" s="50">
        <f t="shared" si="27"/>
        <v>0</v>
      </c>
      <c r="AT39" s="51"/>
      <c r="AU39" s="49">
        <f t="shared" si="28"/>
        <v>0</v>
      </c>
      <c r="AV39" s="50">
        <f t="shared" si="29"/>
        <v>0</v>
      </c>
      <c r="AW39" s="51">
        <v>712</v>
      </c>
      <c r="AX39" s="49">
        <f t="shared" si="30"/>
        <v>8544</v>
      </c>
      <c r="AY39" s="50">
        <f t="shared" si="31"/>
        <v>8544</v>
      </c>
      <c r="AZ39" s="51">
        <v>14</v>
      </c>
      <c r="BA39" s="49">
        <f t="shared" si="32"/>
        <v>168</v>
      </c>
      <c r="BB39" s="50">
        <f t="shared" si="33"/>
        <v>100.8</v>
      </c>
      <c r="BC39" s="51">
        <v>67</v>
      </c>
      <c r="BD39" s="49">
        <f t="shared" si="34"/>
        <v>2680</v>
      </c>
      <c r="BE39" s="50">
        <f t="shared" si="35"/>
        <v>937.99999999999989</v>
      </c>
      <c r="BF39" s="51">
        <v>945</v>
      </c>
      <c r="BG39" s="49">
        <f t="shared" si="36"/>
        <v>11340</v>
      </c>
      <c r="BH39" s="50">
        <f t="shared" si="37"/>
        <v>11340</v>
      </c>
      <c r="BI39" s="51"/>
      <c r="BJ39" s="49">
        <f t="shared" si="38"/>
        <v>0</v>
      </c>
      <c r="BK39" s="50">
        <f t="shared" si="39"/>
        <v>0</v>
      </c>
      <c r="BL39" s="51">
        <v>47</v>
      </c>
      <c r="BM39" s="49">
        <f t="shared" si="40"/>
        <v>1880</v>
      </c>
      <c r="BN39" s="50">
        <f t="shared" si="41"/>
        <v>658</v>
      </c>
      <c r="BO39" s="51"/>
      <c r="BP39" s="49">
        <f t="shared" si="42"/>
        <v>0</v>
      </c>
      <c r="BQ39" s="50">
        <f t="shared" si="43"/>
        <v>0</v>
      </c>
      <c r="BR39" s="51"/>
      <c r="BS39" s="49">
        <f t="shared" si="44"/>
        <v>0</v>
      </c>
      <c r="BT39" s="50">
        <f t="shared" si="45"/>
        <v>0</v>
      </c>
      <c r="BU39" s="51"/>
      <c r="BV39" s="49">
        <f t="shared" si="46"/>
        <v>0</v>
      </c>
      <c r="BW39" s="50">
        <f t="shared" si="47"/>
        <v>0</v>
      </c>
      <c r="BX39" s="51"/>
      <c r="BY39" s="49">
        <f t="shared" si="48"/>
        <v>0</v>
      </c>
      <c r="BZ39" s="50">
        <f t="shared" si="49"/>
        <v>0</v>
      </c>
      <c r="CA39" s="51"/>
      <c r="CB39" s="49">
        <f t="shared" si="50"/>
        <v>0</v>
      </c>
      <c r="CC39" s="50">
        <f t="shared" si="51"/>
        <v>0</v>
      </c>
      <c r="CD39" s="51"/>
      <c r="CE39" s="49">
        <f t="shared" si="52"/>
        <v>0</v>
      </c>
      <c r="CF39" s="50">
        <f t="shared" si="53"/>
        <v>0</v>
      </c>
      <c r="CG39" s="51"/>
      <c r="CH39" s="49">
        <f t="shared" si="54"/>
        <v>0</v>
      </c>
      <c r="CI39" s="50">
        <f t="shared" si="55"/>
        <v>0</v>
      </c>
      <c r="CJ39" s="51"/>
      <c r="CK39" s="49">
        <f t="shared" si="56"/>
        <v>0</v>
      </c>
      <c r="CL39" s="50">
        <f t="shared" si="57"/>
        <v>0</v>
      </c>
      <c r="CM39" s="51"/>
      <c r="CN39" s="49">
        <f t="shared" si="58"/>
        <v>0</v>
      </c>
      <c r="CO39" s="50">
        <f t="shared" si="59"/>
        <v>0</v>
      </c>
      <c r="CP39" s="51"/>
      <c r="CQ39" s="49">
        <f t="shared" si="60"/>
        <v>0</v>
      </c>
      <c r="CR39" s="50">
        <f t="shared" si="61"/>
        <v>0</v>
      </c>
      <c r="CS39" s="51"/>
      <c r="CT39" s="49">
        <f t="shared" si="62"/>
        <v>0</v>
      </c>
      <c r="CU39" s="50">
        <f t="shared" si="63"/>
        <v>0</v>
      </c>
      <c r="CV39" s="51"/>
      <c r="CW39" s="49">
        <f t="shared" si="64"/>
        <v>0</v>
      </c>
      <c r="CX39" s="50">
        <f t="shared" si="65"/>
        <v>0</v>
      </c>
      <c r="CY39" s="51"/>
      <c r="CZ39" s="49">
        <f t="shared" si="66"/>
        <v>0</v>
      </c>
      <c r="DA39" s="50">
        <f t="shared" si="67"/>
        <v>0</v>
      </c>
      <c r="DB39" s="51"/>
      <c r="DC39" s="49">
        <f t="shared" si="68"/>
        <v>0</v>
      </c>
      <c r="DD39" s="50">
        <f t="shared" si="69"/>
        <v>0</v>
      </c>
      <c r="DE39" s="51"/>
      <c r="DF39" s="49">
        <f t="shared" si="70"/>
        <v>0</v>
      </c>
      <c r="DG39" s="50">
        <f t="shared" si="71"/>
        <v>0</v>
      </c>
      <c r="DH39" s="51"/>
      <c r="DI39" s="49">
        <f t="shared" si="72"/>
        <v>0</v>
      </c>
      <c r="DJ39" s="50">
        <f t="shared" si="73"/>
        <v>0</v>
      </c>
      <c r="DK39" s="51"/>
      <c r="DL39" s="49">
        <f t="shared" si="74"/>
        <v>0</v>
      </c>
      <c r="DM39" s="50">
        <f t="shared" si="75"/>
        <v>0</v>
      </c>
      <c r="DN39" s="51"/>
      <c r="DO39" s="49">
        <f t="shared" si="76"/>
        <v>0</v>
      </c>
      <c r="DP39" s="50">
        <f t="shared" si="77"/>
        <v>0</v>
      </c>
      <c r="DQ39" s="51"/>
      <c r="DR39" s="51"/>
      <c r="DS39" s="51"/>
      <c r="DT39" s="46">
        <f t="shared" si="83"/>
        <v>2055</v>
      </c>
      <c r="DU39" s="46">
        <f t="shared" si="84"/>
        <v>28392</v>
      </c>
      <c r="DV39" s="46">
        <f t="shared" si="85"/>
        <v>24000</v>
      </c>
    </row>
    <row r="40" spans="1:126" s="8" customFormat="1" ht="21.95" customHeight="1" thickBot="1" x14ac:dyDescent="0.65">
      <c r="A40" s="17"/>
      <c r="B40" s="32"/>
      <c r="C40" s="31"/>
      <c r="D40" s="52">
        <f>SUM(D19:D39)</f>
        <v>3980</v>
      </c>
      <c r="E40" s="52">
        <f>SUM(E19:E39)</f>
        <v>55720</v>
      </c>
      <c r="F40" s="53">
        <f>SUM(F19:F39)</f>
        <v>35660.799999999996</v>
      </c>
      <c r="G40" s="52">
        <f t="shared" ref="G40:BR40" si="86">SUM(G19:G39)</f>
        <v>315</v>
      </c>
      <c r="H40" s="52">
        <f t="shared" si="86"/>
        <v>7560</v>
      </c>
      <c r="I40" s="53">
        <f t="shared" si="86"/>
        <v>4838.4000000000005</v>
      </c>
      <c r="J40" s="52">
        <f t="shared" si="86"/>
        <v>0</v>
      </c>
      <c r="K40" s="52">
        <f t="shared" si="86"/>
        <v>0</v>
      </c>
      <c r="L40" s="53">
        <f t="shared" si="86"/>
        <v>0</v>
      </c>
      <c r="M40" s="52">
        <f t="shared" si="86"/>
        <v>140</v>
      </c>
      <c r="N40" s="52">
        <f t="shared" si="86"/>
        <v>1960</v>
      </c>
      <c r="O40" s="53">
        <f t="shared" si="86"/>
        <v>1254.4000000000001</v>
      </c>
      <c r="P40" s="52">
        <f t="shared" si="86"/>
        <v>0</v>
      </c>
      <c r="Q40" s="52">
        <f t="shared" si="86"/>
        <v>0</v>
      </c>
      <c r="R40" s="53">
        <f t="shared" si="86"/>
        <v>0</v>
      </c>
      <c r="S40" s="52">
        <f t="shared" si="86"/>
        <v>21</v>
      </c>
      <c r="T40" s="52">
        <f t="shared" si="86"/>
        <v>294</v>
      </c>
      <c r="U40" s="53">
        <f t="shared" si="86"/>
        <v>188.16000000000003</v>
      </c>
      <c r="V40" s="52">
        <f t="shared" si="86"/>
        <v>138</v>
      </c>
      <c r="W40" s="52">
        <f t="shared" si="86"/>
        <v>1932</v>
      </c>
      <c r="X40" s="53">
        <f t="shared" si="86"/>
        <v>1236.48</v>
      </c>
      <c r="Y40" s="52">
        <f t="shared" si="86"/>
        <v>0</v>
      </c>
      <c r="Z40" s="52">
        <f t="shared" si="86"/>
        <v>0</v>
      </c>
      <c r="AA40" s="53">
        <f t="shared" si="86"/>
        <v>0</v>
      </c>
      <c r="AB40" s="52">
        <f t="shared" si="86"/>
        <v>0</v>
      </c>
      <c r="AC40" s="52">
        <f t="shared" si="86"/>
        <v>0</v>
      </c>
      <c r="AD40" s="53">
        <f t="shared" si="86"/>
        <v>0</v>
      </c>
      <c r="AE40" s="52">
        <f t="shared" si="86"/>
        <v>0</v>
      </c>
      <c r="AF40" s="52">
        <f t="shared" si="86"/>
        <v>0</v>
      </c>
      <c r="AG40" s="53">
        <f t="shared" si="86"/>
        <v>0</v>
      </c>
      <c r="AH40" s="52">
        <f t="shared" si="86"/>
        <v>319</v>
      </c>
      <c r="AI40" s="52">
        <f t="shared" si="86"/>
        <v>3828</v>
      </c>
      <c r="AJ40" s="53">
        <f t="shared" si="86"/>
        <v>2679.5999999999995</v>
      </c>
      <c r="AK40" s="52">
        <f t="shared" si="86"/>
        <v>75</v>
      </c>
      <c r="AL40" s="52">
        <f t="shared" si="86"/>
        <v>1050</v>
      </c>
      <c r="AM40" s="53">
        <f t="shared" si="86"/>
        <v>672</v>
      </c>
      <c r="AN40" s="52">
        <f t="shared" si="86"/>
        <v>1</v>
      </c>
      <c r="AO40" s="52">
        <f t="shared" si="86"/>
        <v>12</v>
      </c>
      <c r="AP40" s="53">
        <f t="shared" si="86"/>
        <v>8.3999999999999986</v>
      </c>
      <c r="AQ40" s="52">
        <f t="shared" si="86"/>
        <v>5</v>
      </c>
      <c r="AR40" s="52">
        <f t="shared" si="86"/>
        <v>120</v>
      </c>
      <c r="AS40" s="53">
        <f t="shared" si="86"/>
        <v>42</v>
      </c>
      <c r="AT40" s="52">
        <f t="shared" si="86"/>
        <v>0</v>
      </c>
      <c r="AU40" s="52">
        <f t="shared" si="86"/>
        <v>0</v>
      </c>
      <c r="AV40" s="53">
        <f t="shared" si="86"/>
        <v>0</v>
      </c>
      <c r="AW40" s="52">
        <f t="shared" si="86"/>
        <v>12106</v>
      </c>
      <c r="AX40" s="52">
        <f t="shared" si="86"/>
        <v>145272</v>
      </c>
      <c r="AY40" s="53">
        <f t="shared" si="86"/>
        <v>145272</v>
      </c>
      <c r="AZ40" s="52">
        <f t="shared" si="86"/>
        <v>716</v>
      </c>
      <c r="BA40" s="52">
        <f t="shared" si="86"/>
        <v>8592</v>
      </c>
      <c r="BB40" s="53">
        <f t="shared" si="86"/>
        <v>5155.2000000000007</v>
      </c>
      <c r="BC40" s="52">
        <f t="shared" si="86"/>
        <v>1721</v>
      </c>
      <c r="BD40" s="52">
        <f t="shared" si="86"/>
        <v>68840</v>
      </c>
      <c r="BE40" s="53">
        <f t="shared" si="86"/>
        <v>24094</v>
      </c>
      <c r="BF40" s="52">
        <f t="shared" si="86"/>
        <v>5009.75</v>
      </c>
      <c r="BG40" s="52">
        <f t="shared" si="86"/>
        <v>60117</v>
      </c>
      <c r="BH40" s="53">
        <f t="shared" si="86"/>
        <v>60117</v>
      </c>
      <c r="BI40" s="52">
        <f t="shared" si="86"/>
        <v>0</v>
      </c>
      <c r="BJ40" s="52">
        <f t="shared" si="86"/>
        <v>0</v>
      </c>
      <c r="BK40" s="53">
        <f t="shared" si="86"/>
        <v>0</v>
      </c>
      <c r="BL40" s="52">
        <f t="shared" si="86"/>
        <v>541.5</v>
      </c>
      <c r="BM40" s="52">
        <f t="shared" si="86"/>
        <v>21660</v>
      </c>
      <c r="BN40" s="53">
        <f t="shared" si="86"/>
        <v>7581</v>
      </c>
      <c r="BO40" s="52">
        <f t="shared" si="86"/>
        <v>30</v>
      </c>
      <c r="BP40" s="52">
        <f t="shared" si="86"/>
        <v>360</v>
      </c>
      <c r="BQ40" s="53">
        <f t="shared" si="86"/>
        <v>360</v>
      </c>
      <c r="BR40" s="52">
        <f t="shared" si="86"/>
        <v>0</v>
      </c>
      <c r="BS40" s="52">
        <f t="shared" ref="BS40:DV40" si="87">SUM(BS19:BS39)</f>
        <v>0</v>
      </c>
      <c r="BT40" s="53">
        <f t="shared" si="87"/>
        <v>0</v>
      </c>
      <c r="BU40" s="52">
        <f t="shared" si="87"/>
        <v>0</v>
      </c>
      <c r="BV40" s="52">
        <f t="shared" si="87"/>
        <v>0</v>
      </c>
      <c r="BW40" s="53">
        <f t="shared" si="87"/>
        <v>0</v>
      </c>
      <c r="BX40" s="52">
        <f t="shared" si="87"/>
        <v>3</v>
      </c>
      <c r="BY40" s="52">
        <f t="shared" si="87"/>
        <v>36</v>
      </c>
      <c r="BZ40" s="53">
        <f t="shared" si="87"/>
        <v>36</v>
      </c>
      <c r="CA40" s="52">
        <f t="shared" si="87"/>
        <v>0</v>
      </c>
      <c r="CB40" s="52">
        <f t="shared" si="87"/>
        <v>0</v>
      </c>
      <c r="CC40" s="53">
        <f t="shared" si="87"/>
        <v>0</v>
      </c>
      <c r="CD40" s="52">
        <f t="shared" si="87"/>
        <v>0</v>
      </c>
      <c r="CE40" s="52">
        <f t="shared" si="87"/>
        <v>0</v>
      </c>
      <c r="CF40" s="53">
        <f t="shared" si="87"/>
        <v>0</v>
      </c>
      <c r="CG40" s="52">
        <f t="shared" si="87"/>
        <v>0</v>
      </c>
      <c r="CH40" s="52">
        <f t="shared" si="87"/>
        <v>0</v>
      </c>
      <c r="CI40" s="53">
        <f t="shared" si="87"/>
        <v>0</v>
      </c>
      <c r="CJ40" s="52">
        <f t="shared" si="87"/>
        <v>0</v>
      </c>
      <c r="CK40" s="52">
        <f t="shared" si="87"/>
        <v>0</v>
      </c>
      <c r="CL40" s="53">
        <f t="shared" si="87"/>
        <v>0</v>
      </c>
      <c r="CM40" s="52">
        <f t="shared" si="87"/>
        <v>57</v>
      </c>
      <c r="CN40" s="52">
        <f t="shared" si="87"/>
        <v>684</v>
      </c>
      <c r="CO40" s="53">
        <f t="shared" si="87"/>
        <v>684</v>
      </c>
      <c r="CP40" s="52">
        <f t="shared" si="87"/>
        <v>0</v>
      </c>
      <c r="CQ40" s="52">
        <f t="shared" si="87"/>
        <v>0</v>
      </c>
      <c r="CR40" s="53">
        <f t="shared" si="87"/>
        <v>0</v>
      </c>
      <c r="CS40" s="52">
        <f t="shared" si="87"/>
        <v>0</v>
      </c>
      <c r="CT40" s="52">
        <f t="shared" si="87"/>
        <v>0</v>
      </c>
      <c r="CU40" s="53">
        <f t="shared" si="87"/>
        <v>0</v>
      </c>
      <c r="CV40" s="52">
        <f t="shared" si="87"/>
        <v>30</v>
      </c>
      <c r="CW40" s="52">
        <f t="shared" si="87"/>
        <v>600</v>
      </c>
      <c r="CX40" s="53">
        <f t="shared" si="87"/>
        <v>600</v>
      </c>
      <c r="CY40" s="52">
        <f t="shared" si="87"/>
        <v>0</v>
      </c>
      <c r="CZ40" s="52">
        <f t="shared" si="87"/>
        <v>0</v>
      </c>
      <c r="DA40" s="53">
        <f t="shared" si="87"/>
        <v>0</v>
      </c>
      <c r="DB40" s="52">
        <f t="shared" si="87"/>
        <v>0</v>
      </c>
      <c r="DC40" s="52">
        <f t="shared" si="87"/>
        <v>0</v>
      </c>
      <c r="DD40" s="53">
        <f t="shared" si="87"/>
        <v>0</v>
      </c>
      <c r="DE40" s="52">
        <f t="shared" si="87"/>
        <v>50</v>
      </c>
      <c r="DF40" s="52">
        <f t="shared" si="87"/>
        <v>600</v>
      </c>
      <c r="DG40" s="53">
        <f t="shared" si="87"/>
        <v>600</v>
      </c>
      <c r="DH40" s="52">
        <f t="shared" si="87"/>
        <v>0</v>
      </c>
      <c r="DI40" s="52">
        <f t="shared" si="87"/>
        <v>0</v>
      </c>
      <c r="DJ40" s="53">
        <f t="shared" si="87"/>
        <v>0</v>
      </c>
      <c r="DK40" s="52">
        <f t="shared" si="87"/>
        <v>12</v>
      </c>
      <c r="DL40" s="52">
        <f t="shared" si="87"/>
        <v>144</v>
      </c>
      <c r="DM40" s="53">
        <f t="shared" si="87"/>
        <v>97.919999999999987</v>
      </c>
      <c r="DN40" s="52">
        <f t="shared" si="87"/>
        <v>7</v>
      </c>
      <c r="DO40" s="52">
        <f t="shared" si="87"/>
        <v>84</v>
      </c>
      <c r="DP40" s="53">
        <f t="shared" si="87"/>
        <v>84</v>
      </c>
      <c r="DQ40" s="52">
        <f t="shared" si="87"/>
        <v>0</v>
      </c>
      <c r="DR40" s="52">
        <f t="shared" si="87"/>
        <v>0</v>
      </c>
      <c r="DS40" s="53">
        <f t="shared" si="87"/>
        <v>0</v>
      </c>
      <c r="DT40" s="52">
        <f t="shared" si="87"/>
        <v>25277.25</v>
      </c>
      <c r="DU40" s="52">
        <f t="shared" si="87"/>
        <v>379465</v>
      </c>
      <c r="DV40" s="53">
        <f t="shared" si="87"/>
        <v>291261.36</v>
      </c>
    </row>
    <row r="41" spans="1:126" s="8" customFormat="1" ht="21.95" customHeight="1" x14ac:dyDescent="0.6">
      <c r="A41" s="62" t="s">
        <v>53</v>
      </c>
      <c r="B41" s="29" t="s">
        <v>54</v>
      </c>
      <c r="C41" s="27" t="s">
        <v>55</v>
      </c>
      <c r="D41" s="51">
        <v>21</v>
      </c>
      <c r="E41" s="49">
        <f t="shared" si="0"/>
        <v>294</v>
      </c>
      <c r="F41" s="50">
        <f t="shared" si="1"/>
        <v>188.16</v>
      </c>
      <c r="G41" s="51"/>
      <c r="H41" s="49">
        <f t="shared" si="2"/>
        <v>0</v>
      </c>
      <c r="I41" s="50">
        <f t="shared" si="3"/>
        <v>0</v>
      </c>
      <c r="J41" s="51"/>
      <c r="K41" s="49">
        <f t="shared" si="4"/>
        <v>0</v>
      </c>
      <c r="L41" s="50">
        <f t="shared" si="5"/>
        <v>0</v>
      </c>
      <c r="M41" s="51"/>
      <c r="N41" s="49">
        <f t="shared" si="6"/>
        <v>0</v>
      </c>
      <c r="O41" s="50">
        <f t="shared" si="7"/>
        <v>0</v>
      </c>
      <c r="P41" s="51"/>
      <c r="Q41" s="49">
        <f t="shared" si="8"/>
        <v>0</v>
      </c>
      <c r="R41" s="50">
        <f t="shared" si="9"/>
        <v>0</v>
      </c>
      <c r="S41" s="51">
        <v>5</v>
      </c>
      <c r="T41" s="49">
        <f t="shared" si="10"/>
        <v>70</v>
      </c>
      <c r="U41" s="50">
        <f t="shared" si="11"/>
        <v>44.800000000000004</v>
      </c>
      <c r="V41" s="51"/>
      <c r="W41" s="49">
        <f t="shared" si="12"/>
        <v>0</v>
      </c>
      <c r="X41" s="50">
        <f t="shared" si="13"/>
        <v>0</v>
      </c>
      <c r="Y41" s="51"/>
      <c r="Z41" s="49">
        <f t="shared" si="14"/>
        <v>0</v>
      </c>
      <c r="AA41" s="50">
        <f t="shared" si="15"/>
        <v>0</v>
      </c>
      <c r="AB41" s="51"/>
      <c r="AC41" s="49">
        <f t="shared" si="16"/>
        <v>0</v>
      </c>
      <c r="AD41" s="50">
        <f t="shared" si="17"/>
        <v>0</v>
      </c>
      <c r="AE41" s="51"/>
      <c r="AF41" s="49">
        <f t="shared" si="18"/>
        <v>0</v>
      </c>
      <c r="AG41" s="50">
        <f t="shared" si="19"/>
        <v>0</v>
      </c>
      <c r="AH41" s="51">
        <v>5</v>
      </c>
      <c r="AI41" s="49">
        <f t="shared" si="20"/>
        <v>60</v>
      </c>
      <c r="AJ41" s="50">
        <f t="shared" si="21"/>
        <v>42</v>
      </c>
      <c r="AK41" s="51"/>
      <c r="AL41" s="49">
        <f t="shared" si="22"/>
        <v>0</v>
      </c>
      <c r="AM41" s="50">
        <f t="shared" si="23"/>
        <v>0</v>
      </c>
      <c r="AN41" s="51"/>
      <c r="AO41" s="49">
        <f t="shared" si="24"/>
        <v>0</v>
      </c>
      <c r="AP41" s="50">
        <f t="shared" si="25"/>
        <v>0</v>
      </c>
      <c r="AQ41" s="51"/>
      <c r="AR41" s="49">
        <f t="shared" si="26"/>
        <v>0</v>
      </c>
      <c r="AS41" s="50">
        <f t="shared" si="27"/>
        <v>0</v>
      </c>
      <c r="AT41" s="51"/>
      <c r="AU41" s="49">
        <f t="shared" si="28"/>
        <v>0</v>
      </c>
      <c r="AV41" s="50">
        <f t="shared" si="29"/>
        <v>0</v>
      </c>
      <c r="AW41" s="51">
        <v>716</v>
      </c>
      <c r="AX41" s="49">
        <f t="shared" si="30"/>
        <v>8592</v>
      </c>
      <c r="AY41" s="50">
        <f t="shared" si="31"/>
        <v>8592</v>
      </c>
      <c r="AZ41" s="51">
        <v>19</v>
      </c>
      <c r="BA41" s="49">
        <f t="shared" si="32"/>
        <v>228</v>
      </c>
      <c r="BB41" s="50">
        <f t="shared" si="33"/>
        <v>136.79999999999998</v>
      </c>
      <c r="BC41" s="51">
        <v>59</v>
      </c>
      <c r="BD41" s="49">
        <f t="shared" si="34"/>
        <v>2360</v>
      </c>
      <c r="BE41" s="50">
        <f t="shared" si="35"/>
        <v>826</v>
      </c>
      <c r="BF41" s="51">
        <v>319</v>
      </c>
      <c r="BG41" s="49">
        <f t="shared" si="36"/>
        <v>3828</v>
      </c>
      <c r="BH41" s="50">
        <f t="shared" si="37"/>
        <v>3828</v>
      </c>
      <c r="BI41" s="51"/>
      <c r="BJ41" s="49">
        <f t="shared" si="38"/>
        <v>0</v>
      </c>
      <c r="BK41" s="50">
        <f t="shared" si="39"/>
        <v>0</v>
      </c>
      <c r="BL41" s="51">
        <v>14</v>
      </c>
      <c r="BM41" s="49">
        <f t="shared" si="40"/>
        <v>560</v>
      </c>
      <c r="BN41" s="50">
        <f t="shared" si="41"/>
        <v>196</v>
      </c>
      <c r="BO41" s="51"/>
      <c r="BP41" s="49">
        <f t="shared" si="42"/>
        <v>0</v>
      </c>
      <c r="BQ41" s="50">
        <f t="shared" si="43"/>
        <v>0</v>
      </c>
      <c r="BR41" s="51"/>
      <c r="BS41" s="49">
        <f t="shared" si="44"/>
        <v>0</v>
      </c>
      <c r="BT41" s="50">
        <f t="shared" si="45"/>
        <v>0</v>
      </c>
      <c r="BU41" s="51"/>
      <c r="BV41" s="49">
        <f t="shared" si="46"/>
        <v>0</v>
      </c>
      <c r="BW41" s="50">
        <f t="shared" si="47"/>
        <v>0</v>
      </c>
      <c r="BX41" s="51"/>
      <c r="BY41" s="49">
        <f t="shared" si="48"/>
        <v>0</v>
      </c>
      <c r="BZ41" s="50">
        <f t="shared" si="49"/>
        <v>0</v>
      </c>
      <c r="CA41" s="51"/>
      <c r="CB41" s="49">
        <f t="shared" si="50"/>
        <v>0</v>
      </c>
      <c r="CC41" s="50">
        <f t="shared" si="51"/>
        <v>0</v>
      </c>
      <c r="CD41" s="51"/>
      <c r="CE41" s="49">
        <f t="shared" si="52"/>
        <v>0</v>
      </c>
      <c r="CF41" s="50">
        <f t="shared" si="53"/>
        <v>0</v>
      </c>
      <c r="CG41" s="51"/>
      <c r="CH41" s="49">
        <f t="shared" si="54"/>
        <v>0</v>
      </c>
      <c r="CI41" s="50">
        <f t="shared" si="55"/>
        <v>0</v>
      </c>
      <c r="CJ41" s="51"/>
      <c r="CK41" s="49">
        <f t="shared" si="56"/>
        <v>0</v>
      </c>
      <c r="CL41" s="50">
        <f t="shared" si="57"/>
        <v>0</v>
      </c>
      <c r="CM41" s="51"/>
      <c r="CN41" s="49">
        <f t="shared" si="58"/>
        <v>0</v>
      </c>
      <c r="CO41" s="50">
        <f t="shared" si="59"/>
        <v>0</v>
      </c>
      <c r="CP41" s="51"/>
      <c r="CQ41" s="49">
        <f t="shared" si="60"/>
        <v>0</v>
      </c>
      <c r="CR41" s="50">
        <f t="shared" si="61"/>
        <v>0</v>
      </c>
      <c r="CS41" s="51"/>
      <c r="CT41" s="49">
        <f t="shared" si="62"/>
        <v>0</v>
      </c>
      <c r="CU41" s="50">
        <f t="shared" si="63"/>
        <v>0</v>
      </c>
      <c r="CV41" s="51">
        <v>34</v>
      </c>
      <c r="CW41" s="49">
        <f t="shared" si="64"/>
        <v>680</v>
      </c>
      <c r="CX41" s="50">
        <f t="shared" si="65"/>
        <v>680</v>
      </c>
      <c r="CY41" s="51"/>
      <c r="CZ41" s="49">
        <f t="shared" si="66"/>
        <v>0</v>
      </c>
      <c r="DA41" s="50">
        <f t="shared" si="67"/>
        <v>0</v>
      </c>
      <c r="DB41" s="51"/>
      <c r="DC41" s="49">
        <f t="shared" si="68"/>
        <v>0</v>
      </c>
      <c r="DD41" s="50">
        <f t="shared" si="69"/>
        <v>0</v>
      </c>
      <c r="DE41" s="51">
        <v>22</v>
      </c>
      <c r="DF41" s="49">
        <f t="shared" si="70"/>
        <v>264</v>
      </c>
      <c r="DG41" s="50">
        <f t="shared" si="71"/>
        <v>264</v>
      </c>
      <c r="DH41" s="51"/>
      <c r="DI41" s="49">
        <f t="shared" si="72"/>
        <v>0</v>
      </c>
      <c r="DJ41" s="50">
        <f t="shared" si="73"/>
        <v>0</v>
      </c>
      <c r="DK41" s="51">
        <v>0.5</v>
      </c>
      <c r="DL41" s="49">
        <f t="shared" si="74"/>
        <v>6</v>
      </c>
      <c r="DM41" s="50">
        <f t="shared" si="75"/>
        <v>4.08</v>
      </c>
      <c r="DN41" s="51"/>
      <c r="DO41" s="49">
        <f t="shared" si="76"/>
        <v>0</v>
      </c>
      <c r="DP41" s="50">
        <f t="shared" si="77"/>
        <v>0</v>
      </c>
      <c r="DQ41" s="51"/>
      <c r="DR41" s="51"/>
      <c r="DS41" s="51"/>
      <c r="DT41" s="46">
        <f t="shared" ref="DT41:DT56" si="88">D41+G41+J41+M41+P41+S41+V41+Y41+AB41+AE41+AH41+AK41+AN41+AQ41+AT41+AW41+AZ41+BC41+BF41+BI41+BL41+BO41+BR41+BU41+BX41+CA41+CD41+CG41+CJ41+CM41+CP41+CS41+CV41+CY41+DB41+DE41+DH41+DK41+DN41</f>
        <v>1214.5</v>
      </c>
      <c r="DU41" s="46">
        <f t="shared" ref="DU41:DU56" si="89">E41+H41+K41+N41+Q41+T41+W41+Z41+AC41+AF41+AI41+AL41+AO41+AR41+AU41+AX41+BA41+BD41+BG41+BJ41+BM41+BP41+BS41+BV41+BY41+CB41+CE41+CH41+CK41+CN41+CQ41+CT41+CW41+CZ41+DC41+DF41+DI41+DL41+DO41</f>
        <v>16942</v>
      </c>
      <c r="DV41" s="46">
        <f t="shared" ref="DV41:DV56" si="90">F41+I41+L41+O41+R41+U41+X41+AA41+AD41+AG41+AJ41+AM41+AP41+AS41+AV41+AY41+BB41+BE41+BH41+BK41+BN41+BQ41+BT41+BW41+BZ41+CC41+CF41+CI41+CL41+CO41+CR41+CU41+CX41+DA41+DD41+DG41+DJ41+DM41+DP41</f>
        <v>14801.839999999998</v>
      </c>
    </row>
    <row r="42" spans="1:126" s="8" customFormat="1" ht="21.95" customHeight="1" x14ac:dyDescent="0.6">
      <c r="A42" s="63"/>
      <c r="B42" s="12" t="s">
        <v>56</v>
      </c>
      <c r="C42" s="13" t="s">
        <v>57</v>
      </c>
      <c r="D42" s="51">
        <v>212</v>
      </c>
      <c r="E42" s="49">
        <f t="shared" si="0"/>
        <v>2968</v>
      </c>
      <c r="F42" s="50">
        <f t="shared" si="1"/>
        <v>1899.52</v>
      </c>
      <c r="G42" s="51"/>
      <c r="H42" s="49">
        <f t="shared" si="2"/>
        <v>0</v>
      </c>
      <c r="I42" s="50">
        <f t="shared" si="3"/>
        <v>0</v>
      </c>
      <c r="J42" s="51"/>
      <c r="K42" s="49">
        <f t="shared" si="4"/>
        <v>0</v>
      </c>
      <c r="L42" s="50">
        <f t="shared" si="5"/>
        <v>0</v>
      </c>
      <c r="M42" s="51"/>
      <c r="N42" s="49">
        <f t="shared" si="6"/>
        <v>0</v>
      </c>
      <c r="O42" s="50">
        <f t="shared" si="7"/>
        <v>0</v>
      </c>
      <c r="P42" s="51"/>
      <c r="Q42" s="49">
        <f t="shared" si="8"/>
        <v>0</v>
      </c>
      <c r="R42" s="50">
        <f t="shared" si="9"/>
        <v>0</v>
      </c>
      <c r="S42" s="51">
        <v>12</v>
      </c>
      <c r="T42" s="49">
        <f t="shared" si="10"/>
        <v>168</v>
      </c>
      <c r="U42" s="50">
        <f t="shared" si="11"/>
        <v>107.52</v>
      </c>
      <c r="V42" s="51"/>
      <c r="W42" s="49">
        <f t="shared" si="12"/>
        <v>0</v>
      </c>
      <c r="X42" s="50">
        <f t="shared" si="13"/>
        <v>0</v>
      </c>
      <c r="Y42" s="51"/>
      <c r="Z42" s="49">
        <f t="shared" si="14"/>
        <v>0</v>
      </c>
      <c r="AA42" s="50">
        <f t="shared" si="15"/>
        <v>0</v>
      </c>
      <c r="AB42" s="51"/>
      <c r="AC42" s="49">
        <f t="shared" si="16"/>
        <v>0</v>
      </c>
      <c r="AD42" s="50">
        <f t="shared" si="17"/>
        <v>0</v>
      </c>
      <c r="AE42" s="51"/>
      <c r="AF42" s="49">
        <f t="shared" si="18"/>
        <v>0</v>
      </c>
      <c r="AG42" s="50">
        <f t="shared" si="19"/>
        <v>0</v>
      </c>
      <c r="AH42" s="51"/>
      <c r="AI42" s="49">
        <f t="shared" si="20"/>
        <v>0</v>
      </c>
      <c r="AJ42" s="50">
        <f t="shared" si="21"/>
        <v>0</v>
      </c>
      <c r="AK42" s="51"/>
      <c r="AL42" s="49">
        <f t="shared" si="22"/>
        <v>0</v>
      </c>
      <c r="AM42" s="50">
        <f t="shared" si="23"/>
        <v>0</v>
      </c>
      <c r="AN42" s="51">
        <v>4</v>
      </c>
      <c r="AO42" s="49">
        <f t="shared" si="24"/>
        <v>48</v>
      </c>
      <c r="AP42" s="50">
        <f t="shared" si="25"/>
        <v>33.599999999999994</v>
      </c>
      <c r="AQ42" s="51">
        <v>11.708333333333334</v>
      </c>
      <c r="AR42" s="49">
        <f t="shared" si="26"/>
        <v>281</v>
      </c>
      <c r="AS42" s="50">
        <f t="shared" si="27"/>
        <v>98.35</v>
      </c>
      <c r="AT42" s="51"/>
      <c r="AU42" s="49">
        <f t="shared" si="28"/>
        <v>0</v>
      </c>
      <c r="AV42" s="50">
        <f t="shared" si="29"/>
        <v>0</v>
      </c>
      <c r="AW42" s="51">
        <v>761</v>
      </c>
      <c r="AX42" s="49">
        <f t="shared" si="30"/>
        <v>9132</v>
      </c>
      <c r="AY42" s="50">
        <f t="shared" si="31"/>
        <v>9132</v>
      </c>
      <c r="AZ42" s="51">
        <v>64</v>
      </c>
      <c r="BA42" s="49">
        <f t="shared" si="32"/>
        <v>768</v>
      </c>
      <c r="BB42" s="50">
        <f t="shared" si="33"/>
        <v>460.79999999999995</v>
      </c>
      <c r="BC42" s="51">
        <v>81</v>
      </c>
      <c r="BD42" s="49">
        <f t="shared" si="34"/>
        <v>3240</v>
      </c>
      <c r="BE42" s="50">
        <f t="shared" si="35"/>
        <v>1134</v>
      </c>
      <c r="BF42" s="51">
        <v>103</v>
      </c>
      <c r="BG42" s="49">
        <f t="shared" si="36"/>
        <v>1236</v>
      </c>
      <c r="BH42" s="50">
        <f t="shared" si="37"/>
        <v>1236</v>
      </c>
      <c r="BI42" s="51"/>
      <c r="BJ42" s="49">
        <f t="shared" si="38"/>
        <v>0</v>
      </c>
      <c r="BK42" s="50">
        <f t="shared" si="39"/>
        <v>0</v>
      </c>
      <c r="BL42" s="51">
        <v>88.5</v>
      </c>
      <c r="BM42" s="49">
        <f t="shared" si="40"/>
        <v>3540</v>
      </c>
      <c r="BN42" s="50">
        <f t="shared" si="41"/>
        <v>1239</v>
      </c>
      <c r="BO42" s="51"/>
      <c r="BP42" s="49">
        <f t="shared" si="42"/>
        <v>0</v>
      </c>
      <c r="BQ42" s="50">
        <f t="shared" si="43"/>
        <v>0</v>
      </c>
      <c r="BR42" s="51"/>
      <c r="BS42" s="49">
        <f t="shared" si="44"/>
        <v>0</v>
      </c>
      <c r="BT42" s="50">
        <f t="shared" si="45"/>
        <v>0</v>
      </c>
      <c r="BU42" s="51"/>
      <c r="BV42" s="49">
        <f t="shared" si="46"/>
        <v>0</v>
      </c>
      <c r="BW42" s="50">
        <f t="shared" si="47"/>
        <v>0</v>
      </c>
      <c r="BX42" s="51"/>
      <c r="BY42" s="49">
        <f t="shared" si="48"/>
        <v>0</v>
      </c>
      <c r="BZ42" s="50">
        <f t="shared" si="49"/>
        <v>0</v>
      </c>
      <c r="CA42" s="51"/>
      <c r="CB42" s="49">
        <f t="shared" si="50"/>
        <v>0</v>
      </c>
      <c r="CC42" s="50">
        <f t="shared" si="51"/>
        <v>0</v>
      </c>
      <c r="CD42" s="51"/>
      <c r="CE42" s="49">
        <f t="shared" si="52"/>
        <v>0</v>
      </c>
      <c r="CF42" s="50">
        <f t="shared" si="53"/>
        <v>0</v>
      </c>
      <c r="CG42" s="51"/>
      <c r="CH42" s="49">
        <f t="shared" si="54"/>
        <v>0</v>
      </c>
      <c r="CI42" s="50">
        <f t="shared" si="55"/>
        <v>0</v>
      </c>
      <c r="CJ42" s="51"/>
      <c r="CK42" s="49">
        <f t="shared" si="56"/>
        <v>0</v>
      </c>
      <c r="CL42" s="50">
        <f t="shared" si="57"/>
        <v>0</v>
      </c>
      <c r="CM42" s="51">
        <v>15.75</v>
      </c>
      <c r="CN42" s="49">
        <f t="shared" si="58"/>
        <v>189</v>
      </c>
      <c r="CO42" s="50">
        <f t="shared" si="59"/>
        <v>189</v>
      </c>
      <c r="CP42" s="51"/>
      <c r="CQ42" s="49">
        <f t="shared" si="60"/>
        <v>0</v>
      </c>
      <c r="CR42" s="50">
        <f t="shared" si="61"/>
        <v>0</v>
      </c>
      <c r="CS42" s="51"/>
      <c r="CT42" s="49">
        <f t="shared" si="62"/>
        <v>0</v>
      </c>
      <c r="CU42" s="50">
        <f t="shared" si="63"/>
        <v>0</v>
      </c>
      <c r="CV42" s="51"/>
      <c r="CW42" s="49">
        <f t="shared" si="64"/>
        <v>0</v>
      </c>
      <c r="CX42" s="50">
        <f t="shared" si="65"/>
        <v>0</v>
      </c>
      <c r="CY42" s="51"/>
      <c r="CZ42" s="49">
        <f t="shared" si="66"/>
        <v>0</v>
      </c>
      <c r="DA42" s="50">
        <f t="shared" si="67"/>
        <v>0</v>
      </c>
      <c r="DB42" s="51"/>
      <c r="DC42" s="49">
        <f t="shared" si="68"/>
        <v>0</v>
      </c>
      <c r="DD42" s="50">
        <f t="shared" si="69"/>
        <v>0</v>
      </c>
      <c r="DE42" s="51"/>
      <c r="DF42" s="49">
        <f t="shared" si="70"/>
        <v>0</v>
      </c>
      <c r="DG42" s="50">
        <f t="shared" si="71"/>
        <v>0</v>
      </c>
      <c r="DH42" s="51"/>
      <c r="DI42" s="49">
        <f t="shared" si="72"/>
        <v>0</v>
      </c>
      <c r="DJ42" s="50">
        <f t="shared" si="73"/>
        <v>0</v>
      </c>
      <c r="DK42" s="51">
        <v>6.083333333333333</v>
      </c>
      <c r="DL42" s="49">
        <f t="shared" si="74"/>
        <v>73</v>
      </c>
      <c r="DM42" s="50">
        <f t="shared" si="75"/>
        <v>49.64</v>
      </c>
      <c r="DN42" s="51">
        <v>18.166666666666668</v>
      </c>
      <c r="DO42" s="49">
        <f t="shared" si="76"/>
        <v>218</v>
      </c>
      <c r="DP42" s="50">
        <f t="shared" si="77"/>
        <v>218</v>
      </c>
      <c r="DQ42" s="51"/>
      <c r="DR42" s="51"/>
      <c r="DS42" s="51"/>
      <c r="DT42" s="46">
        <f t="shared" si="88"/>
        <v>1377.2083333333335</v>
      </c>
      <c r="DU42" s="46">
        <f t="shared" si="89"/>
        <v>21861</v>
      </c>
      <c r="DV42" s="46">
        <f t="shared" si="90"/>
        <v>15797.429999999998</v>
      </c>
    </row>
    <row r="43" spans="1:126" s="8" customFormat="1" ht="21.95" customHeight="1" x14ac:dyDescent="0.6">
      <c r="A43" s="63"/>
      <c r="B43" s="12" t="s">
        <v>58</v>
      </c>
      <c r="C43" s="64" t="s">
        <v>59</v>
      </c>
      <c r="D43" s="51">
        <v>5</v>
      </c>
      <c r="E43" s="49">
        <f t="shared" si="0"/>
        <v>70</v>
      </c>
      <c r="F43" s="50">
        <f t="shared" si="1"/>
        <v>44.800000000000004</v>
      </c>
      <c r="G43" s="51"/>
      <c r="H43" s="49">
        <f t="shared" si="2"/>
        <v>0</v>
      </c>
      <c r="I43" s="50">
        <f t="shared" si="3"/>
        <v>0</v>
      </c>
      <c r="J43" s="51"/>
      <c r="K43" s="49">
        <f t="shared" si="4"/>
        <v>0</v>
      </c>
      <c r="L43" s="50">
        <f t="shared" si="5"/>
        <v>0</v>
      </c>
      <c r="M43" s="51"/>
      <c r="N43" s="49">
        <f t="shared" si="6"/>
        <v>0</v>
      </c>
      <c r="O43" s="50">
        <f t="shared" si="7"/>
        <v>0</v>
      </c>
      <c r="P43" s="51"/>
      <c r="Q43" s="49">
        <f t="shared" si="8"/>
        <v>0</v>
      </c>
      <c r="R43" s="50">
        <f t="shared" si="9"/>
        <v>0</v>
      </c>
      <c r="S43" s="51"/>
      <c r="T43" s="49">
        <f t="shared" si="10"/>
        <v>0</v>
      </c>
      <c r="U43" s="50">
        <f t="shared" si="11"/>
        <v>0</v>
      </c>
      <c r="V43" s="51"/>
      <c r="W43" s="49">
        <f t="shared" si="12"/>
        <v>0</v>
      </c>
      <c r="X43" s="50">
        <f t="shared" si="13"/>
        <v>0</v>
      </c>
      <c r="Y43" s="51"/>
      <c r="Z43" s="49">
        <f t="shared" si="14"/>
        <v>0</v>
      </c>
      <c r="AA43" s="50">
        <f t="shared" si="15"/>
        <v>0</v>
      </c>
      <c r="AB43" s="51"/>
      <c r="AC43" s="49">
        <f t="shared" si="16"/>
        <v>0</v>
      </c>
      <c r="AD43" s="50">
        <f t="shared" si="17"/>
        <v>0</v>
      </c>
      <c r="AE43" s="51"/>
      <c r="AF43" s="49">
        <f t="shared" si="18"/>
        <v>0</v>
      </c>
      <c r="AG43" s="50">
        <f t="shared" si="19"/>
        <v>0</v>
      </c>
      <c r="AH43" s="51"/>
      <c r="AI43" s="49">
        <f t="shared" si="20"/>
        <v>0</v>
      </c>
      <c r="AJ43" s="50">
        <f t="shared" si="21"/>
        <v>0</v>
      </c>
      <c r="AK43" s="51"/>
      <c r="AL43" s="49">
        <f t="shared" si="22"/>
        <v>0</v>
      </c>
      <c r="AM43" s="50">
        <f t="shared" si="23"/>
        <v>0</v>
      </c>
      <c r="AN43" s="51">
        <v>2</v>
      </c>
      <c r="AO43" s="49">
        <f t="shared" si="24"/>
        <v>24</v>
      </c>
      <c r="AP43" s="50">
        <f t="shared" si="25"/>
        <v>16.799999999999997</v>
      </c>
      <c r="AQ43" s="51"/>
      <c r="AR43" s="49">
        <f t="shared" si="26"/>
        <v>0</v>
      </c>
      <c r="AS43" s="50">
        <f t="shared" si="27"/>
        <v>0</v>
      </c>
      <c r="AT43" s="51">
        <v>5</v>
      </c>
      <c r="AU43" s="49">
        <f t="shared" si="28"/>
        <v>60</v>
      </c>
      <c r="AV43" s="50">
        <f t="shared" si="29"/>
        <v>40.800000000000004</v>
      </c>
      <c r="AW43" s="51">
        <v>90</v>
      </c>
      <c r="AX43" s="49">
        <f t="shared" si="30"/>
        <v>1080</v>
      </c>
      <c r="AY43" s="50">
        <f t="shared" si="31"/>
        <v>1080</v>
      </c>
      <c r="AZ43" s="51">
        <v>5</v>
      </c>
      <c r="BA43" s="49">
        <f t="shared" si="32"/>
        <v>60</v>
      </c>
      <c r="BB43" s="50">
        <f t="shared" si="33"/>
        <v>36</v>
      </c>
      <c r="BC43" s="51"/>
      <c r="BD43" s="49">
        <f t="shared" si="34"/>
        <v>0</v>
      </c>
      <c r="BE43" s="50">
        <f t="shared" si="35"/>
        <v>0</v>
      </c>
      <c r="BF43" s="51">
        <v>195</v>
      </c>
      <c r="BG43" s="49">
        <f t="shared" si="36"/>
        <v>2340</v>
      </c>
      <c r="BH43" s="50">
        <f t="shared" si="37"/>
        <v>2340</v>
      </c>
      <c r="BI43" s="51"/>
      <c r="BJ43" s="49">
        <f t="shared" si="38"/>
        <v>0</v>
      </c>
      <c r="BK43" s="50">
        <f t="shared" si="39"/>
        <v>0</v>
      </c>
      <c r="BL43" s="51">
        <v>15</v>
      </c>
      <c r="BM43" s="49">
        <f t="shared" si="40"/>
        <v>600</v>
      </c>
      <c r="BN43" s="50">
        <f t="shared" si="41"/>
        <v>210</v>
      </c>
      <c r="BO43" s="51"/>
      <c r="BP43" s="49">
        <f t="shared" si="42"/>
        <v>0</v>
      </c>
      <c r="BQ43" s="50">
        <f t="shared" si="43"/>
        <v>0</v>
      </c>
      <c r="BR43" s="51"/>
      <c r="BS43" s="49">
        <f t="shared" si="44"/>
        <v>0</v>
      </c>
      <c r="BT43" s="50">
        <f t="shared" si="45"/>
        <v>0</v>
      </c>
      <c r="BU43" s="51"/>
      <c r="BV43" s="49">
        <f t="shared" si="46"/>
        <v>0</v>
      </c>
      <c r="BW43" s="50">
        <f t="shared" si="47"/>
        <v>0</v>
      </c>
      <c r="BX43" s="51"/>
      <c r="BY43" s="49">
        <f t="shared" si="48"/>
        <v>0</v>
      </c>
      <c r="BZ43" s="50">
        <f t="shared" si="49"/>
        <v>0</v>
      </c>
      <c r="CA43" s="51"/>
      <c r="CB43" s="49">
        <f t="shared" si="50"/>
        <v>0</v>
      </c>
      <c r="CC43" s="50">
        <f t="shared" si="51"/>
        <v>0</v>
      </c>
      <c r="CD43" s="51"/>
      <c r="CE43" s="49">
        <f t="shared" si="52"/>
        <v>0</v>
      </c>
      <c r="CF43" s="50">
        <f t="shared" si="53"/>
        <v>0</v>
      </c>
      <c r="CG43" s="51"/>
      <c r="CH43" s="49">
        <f t="shared" si="54"/>
        <v>0</v>
      </c>
      <c r="CI43" s="50">
        <f t="shared" si="55"/>
        <v>0</v>
      </c>
      <c r="CJ43" s="51"/>
      <c r="CK43" s="49">
        <f t="shared" si="56"/>
        <v>0</v>
      </c>
      <c r="CL43" s="50">
        <f t="shared" si="57"/>
        <v>0</v>
      </c>
      <c r="CM43" s="51"/>
      <c r="CN43" s="49">
        <f t="shared" si="58"/>
        <v>0</v>
      </c>
      <c r="CO43" s="50">
        <f t="shared" si="59"/>
        <v>0</v>
      </c>
      <c r="CP43" s="51"/>
      <c r="CQ43" s="49">
        <f t="shared" si="60"/>
        <v>0</v>
      </c>
      <c r="CR43" s="50">
        <f t="shared" si="61"/>
        <v>0</v>
      </c>
      <c r="CS43" s="51"/>
      <c r="CT43" s="49">
        <f t="shared" si="62"/>
        <v>0</v>
      </c>
      <c r="CU43" s="50">
        <f t="shared" si="63"/>
        <v>0</v>
      </c>
      <c r="CV43" s="51"/>
      <c r="CW43" s="49">
        <f t="shared" si="64"/>
        <v>0</v>
      </c>
      <c r="CX43" s="50">
        <f t="shared" si="65"/>
        <v>0</v>
      </c>
      <c r="CY43" s="51"/>
      <c r="CZ43" s="49">
        <f t="shared" si="66"/>
        <v>0</v>
      </c>
      <c r="DA43" s="50">
        <f t="shared" si="67"/>
        <v>0</v>
      </c>
      <c r="DB43" s="51"/>
      <c r="DC43" s="49">
        <f t="shared" si="68"/>
        <v>0</v>
      </c>
      <c r="DD43" s="50">
        <f t="shared" si="69"/>
        <v>0</v>
      </c>
      <c r="DE43" s="51"/>
      <c r="DF43" s="49">
        <f t="shared" si="70"/>
        <v>0</v>
      </c>
      <c r="DG43" s="50">
        <f t="shared" si="71"/>
        <v>0</v>
      </c>
      <c r="DH43" s="51"/>
      <c r="DI43" s="49">
        <f t="shared" si="72"/>
        <v>0</v>
      </c>
      <c r="DJ43" s="50">
        <f t="shared" si="73"/>
        <v>0</v>
      </c>
      <c r="DK43" s="51">
        <v>4</v>
      </c>
      <c r="DL43" s="49">
        <f t="shared" si="74"/>
        <v>48</v>
      </c>
      <c r="DM43" s="50">
        <f t="shared" si="75"/>
        <v>32.64</v>
      </c>
      <c r="DN43" s="51"/>
      <c r="DO43" s="49">
        <f t="shared" si="76"/>
        <v>0</v>
      </c>
      <c r="DP43" s="50">
        <f t="shared" si="77"/>
        <v>0</v>
      </c>
      <c r="DQ43" s="51"/>
      <c r="DR43" s="51"/>
      <c r="DS43" s="51"/>
      <c r="DT43" s="46">
        <f t="shared" si="88"/>
        <v>321</v>
      </c>
      <c r="DU43" s="46">
        <f t="shared" si="89"/>
        <v>4282</v>
      </c>
      <c r="DV43" s="46">
        <f t="shared" si="90"/>
        <v>3801.04</v>
      </c>
    </row>
    <row r="44" spans="1:126" s="8" customFormat="1" ht="21.95" customHeight="1" x14ac:dyDescent="0.6">
      <c r="A44" s="63"/>
      <c r="B44" s="12" t="s">
        <v>60</v>
      </c>
      <c r="C44" s="65"/>
      <c r="D44" s="51">
        <v>185</v>
      </c>
      <c r="E44" s="49">
        <f t="shared" si="0"/>
        <v>2590</v>
      </c>
      <c r="F44" s="50">
        <f t="shared" si="1"/>
        <v>1657.6000000000001</v>
      </c>
      <c r="G44" s="51"/>
      <c r="H44" s="49">
        <f t="shared" si="2"/>
        <v>0</v>
      </c>
      <c r="I44" s="50">
        <f t="shared" si="3"/>
        <v>0</v>
      </c>
      <c r="J44" s="51"/>
      <c r="K44" s="49">
        <f t="shared" si="4"/>
        <v>0</v>
      </c>
      <c r="L44" s="50">
        <f t="shared" si="5"/>
        <v>0</v>
      </c>
      <c r="M44" s="51">
        <v>52</v>
      </c>
      <c r="N44" s="49">
        <f t="shared" si="6"/>
        <v>728</v>
      </c>
      <c r="O44" s="50">
        <f t="shared" si="7"/>
        <v>465.92</v>
      </c>
      <c r="P44" s="51"/>
      <c r="Q44" s="49">
        <f t="shared" si="8"/>
        <v>0</v>
      </c>
      <c r="R44" s="50">
        <f t="shared" si="9"/>
        <v>0</v>
      </c>
      <c r="S44" s="51"/>
      <c r="T44" s="49">
        <f t="shared" si="10"/>
        <v>0</v>
      </c>
      <c r="U44" s="50">
        <f t="shared" si="11"/>
        <v>0</v>
      </c>
      <c r="V44" s="51"/>
      <c r="W44" s="49">
        <f t="shared" si="12"/>
        <v>0</v>
      </c>
      <c r="X44" s="50">
        <f t="shared" si="13"/>
        <v>0</v>
      </c>
      <c r="Y44" s="51"/>
      <c r="Z44" s="49">
        <f t="shared" si="14"/>
        <v>0</v>
      </c>
      <c r="AA44" s="50">
        <f t="shared" si="15"/>
        <v>0</v>
      </c>
      <c r="AB44" s="51"/>
      <c r="AC44" s="49">
        <f t="shared" si="16"/>
        <v>0</v>
      </c>
      <c r="AD44" s="50">
        <f t="shared" si="17"/>
        <v>0</v>
      </c>
      <c r="AE44" s="51"/>
      <c r="AF44" s="49">
        <f t="shared" si="18"/>
        <v>0</v>
      </c>
      <c r="AG44" s="50">
        <f t="shared" si="19"/>
        <v>0</v>
      </c>
      <c r="AH44" s="51">
        <v>55</v>
      </c>
      <c r="AI44" s="49">
        <f t="shared" si="20"/>
        <v>660</v>
      </c>
      <c r="AJ44" s="50">
        <f t="shared" si="21"/>
        <v>461.99999999999994</v>
      </c>
      <c r="AK44" s="51"/>
      <c r="AL44" s="49">
        <f t="shared" si="22"/>
        <v>0</v>
      </c>
      <c r="AM44" s="50">
        <f t="shared" si="23"/>
        <v>0</v>
      </c>
      <c r="AN44" s="51"/>
      <c r="AO44" s="49">
        <f t="shared" si="24"/>
        <v>0</v>
      </c>
      <c r="AP44" s="50">
        <f t="shared" si="25"/>
        <v>0</v>
      </c>
      <c r="AQ44" s="51"/>
      <c r="AR44" s="49">
        <f t="shared" si="26"/>
        <v>0</v>
      </c>
      <c r="AS44" s="50">
        <f t="shared" si="27"/>
        <v>0</v>
      </c>
      <c r="AT44" s="51">
        <v>25</v>
      </c>
      <c r="AU44" s="49">
        <f t="shared" si="28"/>
        <v>300</v>
      </c>
      <c r="AV44" s="50">
        <f t="shared" si="29"/>
        <v>204.00000000000003</v>
      </c>
      <c r="AW44" s="51">
        <v>174</v>
      </c>
      <c r="AX44" s="49">
        <f t="shared" si="30"/>
        <v>2088</v>
      </c>
      <c r="AY44" s="50">
        <f t="shared" si="31"/>
        <v>2088</v>
      </c>
      <c r="AZ44" s="51"/>
      <c r="BA44" s="49">
        <f t="shared" si="32"/>
        <v>0</v>
      </c>
      <c r="BB44" s="50">
        <f t="shared" si="33"/>
        <v>0</v>
      </c>
      <c r="BC44" s="51">
        <v>4</v>
      </c>
      <c r="BD44" s="49">
        <f t="shared" si="34"/>
        <v>160</v>
      </c>
      <c r="BE44" s="50">
        <f t="shared" si="35"/>
        <v>56</v>
      </c>
      <c r="BF44" s="51">
        <v>19</v>
      </c>
      <c r="BG44" s="49">
        <f t="shared" si="36"/>
        <v>228</v>
      </c>
      <c r="BH44" s="50">
        <f t="shared" si="37"/>
        <v>228</v>
      </c>
      <c r="BI44" s="51"/>
      <c r="BJ44" s="49">
        <f t="shared" si="38"/>
        <v>0</v>
      </c>
      <c r="BK44" s="50">
        <f t="shared" si="39"/>
        <v>0</v>
      </c>
      <c r="BL44" s="51">
        <v>2</v>
      </c>
      <c r="BM44" s="49">
        <f t="shared" si="40"/>
        <v>80</v>
      </c>
      <c r="BN44" s="50">
        <f t="shared" si="41"/>
        <v>28</v>
      </c>
      <c r="BO44" s="51"/>
      <c r="BP44" s="49">
        <f t="shared" si="42"/>
        <v>0</v>
      </c>
      <c r="BQ44" s="50">
        <f t="shared" si="43"/>
        <v>0</v>
      </c>
      <c r="BR44" s="51"/>
      <c r="BS44" s="49">
        <f t="shared" si="44"/>
        <v>0</v>
      </c>
      <c r="BT44" s="50">
        <f t="shared" si="45"/>
        <v>0</v>
      </c>
      <c r="BU44" s="51"/>
      <c r="BV44" s="49">
        <f t="shared" si="46"/>
        <v>0</v>
      </c>
      <c r="BW44" s="50">
        <f t="shared" si="47"/>
        <v>0</v>
      </c>
      <c r="BX44" s="51"/>
      <c r="BY44" s="49">
        <f t="shared" si="48"/>
        <v>0</v>
      </c>
      <c r="BZ44" s="50">
        <f t="shared" si="49"/>
        <v>0</v>
      </c>
      <c r="CA44" s="51"/>
      <c r="CB44" s="49">
        <f t="shared" si="50"/>
        <v>0</v>
      </c>
      <c r="CC44" s="50">
        <f t="shared" si="51"/>
        <v>0</v>
      </c>
      <c r="CD44" s="51"/>
      <c r="CE44" s="49">
        <f t="shared" si="52"/>
        <v>0</v>
      </c>
      <c r="CF44" s="50">
        <f t="shared" si="53"/>
        <v>0</v>
      </c>
      <c r="CG44" s="51"/>
      <c r="CH44" s="49">
        <f t="shared" si="54"/>
        <v>0</v>
      </c>
      <c r="CI44" s="50">
        <f t="shared" si="55"/>
        <v>0</v>
      </c>
      <c r="CJ44" s="51"/>
      <c r="CK44" s="49">
        <f t="shared" si="56"/>
        <v>0</v>
      </c>
      <c r="CL44" s="50">
        <f t="shared" si="57"/>
        <v>0</v>
      </c>
      <c r="CM44" s="51">
        <v>9</v>
      </c>
      <c r="CN44" s="49">
        <f t="shared" si="58"/>
        <v>108</v>
      </c>
      <c r="CO44" s="50">
        <f t="shared" si="59"/>
        <v>108</v>
      </c>
      <c r="CP44" s="51"/>
      <c r="CQ44" s="49">
        <f t="shared" si="60"/>
        <v>0</v>
      </c>
      <c r="CR44" s="50">
        <f t="shared" si="61"/>
        <v>0</v>
      </c>
      <c r="CS44" s="51"/>
      <c r="CT44" s="49">
        <f t="shared" si="62"/>
        <v>0</v>
      </c>
      <c r="CU44" s="50">
        <f t="shared" si="63"/>
        <v>0</v>
      </c>
      <c r="CV44" s="51"/>
      <c r="CW44" s="49">
        <f t="shared" si="64"/>
        <v>0</v>
      </c>
      <c r="CX44" s="50">
        <f t="shared" si="65"/>
        <v>0</v>
      </c>
      <c r="CY44" s="51"/>
      <c r="CZ44" s="49">
        <f t="shared" si="66"/>
        <v>0</v>
      </c>
      <c r="DA44" s="50">
        <f t="shared" si="67"/>
        <v>0</v>
      </c>
      <c r="DB44" s="51"/>
      <c r="DC44" s="49">
        <f t="shared" si="68"/>
        <v>0</v>
      </c>
      <c r="DD44" s="50">
        <f t="shared" si="69"/>
        <v>0</v>
      </c>
      <c r="DE44" s="51"/>
      <c r="DF44" s="49">
        <f t="shared" si="70"/>
        <v>0</v>
      </c>
      <c r="DG44" s="50">
        <f t="shared" si="71"/>
        <v>0</v>
      </c>
      <c r="DH44" s="51"/>
      <c r="DI44" s="49">
        <f t="shared" si="72"/>
        <v>0</v>
      </c>
      <c r="DJ44" s="50">
        <f t="shared" si="73"/>
        <v>0</v>
      </c>
      <c r="DK44" s="51"/>
      <c r="DL44" s="49">
        <f t="shared" si="74"/>
        <v>0</v>
      </c>
      <c r="DM44" s="50">
        <f t="shared" si="75"/>
        <v>0</v>
      </c>
      <c r="DN44" s="51"/>
      <c r="DO44" s="49">
        <f t="shared" si="76"/>
        <v>0</v>
      </c>
      <c r="DP44" s="50">
        <f t="shared" si="77"/>
        <v>0</v>
      </c>
      <c r="DQ44" s="51"/>
      <c r="DR44" s="51"/>
      <c r="DS44" s="51"/>
      <c r="DT44" s="46">
        <f t="shared" si="88"/>
        <v>525</v>
      </c>
      <c r="DU44" s="46">
        <f t="shared" si="89"/>
        <v>6942</v>
      </c>
      <c r="DV44" s="46">
        <f t="shared" si="90"/>
        <v>5297.52</v>
      </c>
    </row>
    <row r="45" spans="1:126" s="8" customFormat="1" ht="21.95" customHeight="1" x14ac:dyDescent="0.6">
      <c r="A45" s="63"/>
      <c r="B45" s="12" t="s">
        <v>61</v>
      </c>
      <c r="C45" s="66"/>
      <c r="D45" s="51">
        <v>214</v>
      </c>
      <c r="E45" s="49">
        <f t="shared" si="0"/>
        <v>2996</v>
      </c>
      <c r="F45" s="50">
        <f t="shared" si="1"/>
        <v>1917.44</v>
      </c>
      <c r="G45" s="51"/>
      <c r="H45" s="49">
        <f t="shared" si="2"/>
        <v>0</v>
      </c>
      <c r="I45" s="50">
        <f t="shared" si="3"/>
        <v>0</v>
      </c>
      <c r="J45" s="51"/>
      <c r="K45" s="49">
        <f t="shared" si="4"/>
        <v>0</v>
      </c>
      <c r="L45" s="50">
        <f t="shared" si="5"/>
        <v>0</v>
      </c>
      <c r="M45" s="51">
        <v>63</v>
      </c>
      <c r="N45" s="49">
        <f t="shared" si="6"/>
        <v>882</v>
      </c>
      <c r="O45" s="50">
        <f t="shared" si="7"/>
        <v>564.48</v>
      </c>
      <c r="P45" s="51"/>
      <c r="Q45" s="49">
        <f t="shared" si="8"/>
        <v>0</v>
      </c>
      <c r="R45" s="50">
        <f t="shared" si="9"/>
        <v>0</v>
      </c>
      <c r="S45" s="51"/>
      <c r="T45" s="49">
        <f t="shared" si="10"/>
        <v>0</v>
      </c>
      <c r="U45" s="50">
        <f t="shared" si="11"/>
        <v>0</v>
      </c>
      <c r="V45" s="51"/>
      <c r="W45" s="49">
        <f t="shared" si="12"/>
        <v>0</v>
      </c>
      <c r="X45" s="50">
        <f t="shared" si="13"/>
        <v>0</v>
      </c>
      <c r="Y45" s="51"/>
      <c r="Z45" s="49">
        <f t="shared" si="14"/>
        <v>0</v>
      </c>
      <c r="AA45" s="50">
        <f t="shared" si="15"/>
        <v>0</v>
      </c>
      <c r="AB45" s="51"/>
      <c r="AC45" s="49">
        <f t="shared" si="16"/>
        <v>0</v>
      </c>
      <c r="AD45" s="50">
        <f t="shared" si="17"/>
        <v>0</v>
      </c>
      <c r="AE45" s="51"/>
      <c r="AF45" s="49">
        <f t="shared" si="18"/>
        <v>0</v>
      </c>
      <c r="AG45" s="50">
        <f t="shared" si="19"/>
        <v>0</v>
      </c>
      <c r="AH45" s="51">
        <v>22</v>
      </c>
      <c r="AI45" s="49">
        <f t="shared" si="20"/>
        <v>264</v>
      </c>
      <c r="AJ45" s="50">
        <f t="shared" si="21"/>
        <v>184.79999999999998</v>
      </c>
      <c r="AK45" s="51"/>
      <c r="AL45" s="49">
        <f t="shared" si="22"/>
        <v>0</v>
      </c>
      <c r="AM45" s="50">
        <f t="shared" si="23"/>
        <v>0</v>
      </c>
      <c r="AN45" s="51"/>
      <c r="AO45" s="49">
        <f t="shared" si="24"/>
        <v>0</v>
      </c>
      <c r="AP45" s="50">
        <f t="shared" si="25"/>
        <v>0</v>
      </c>
      <c r="AQ45" s="51"/>
      <c r="AR45" s="49">
        <f t="shared" si="26"/>
        <v>0</v>
      </c>
      <c r="AS45" s="50">
        <f t="shared" si="27"/>
        <v>0</v>
      </c>
      <c r="AT45" s="51"/>
      <c r="AU45" s="49">
        <f t="shared" si="28"/>
        <v>0</v>
      </c>
      <c r="AV45" s="50">
        <f t="shared" si="29"/>
        <v>0</v>
      </c>
      <c r="AW45" s="51">
        <v>334</v>
      </c>
      <c r="AX45" s="49">
        <f t="shared" si="30"/>
        <v>4008</v>
      </c>
      <c r="AY45" s="50">
        <f t="shared" si="31"/>
        <v>4008</v>
      </c>
      <c r="AZ45" s="51"/>
      <c r="BA45" s="49">
        <f t="shared" si="32"/>
        <v>0</v>
      </c>
      <c r="BB45" s="50">
        <f t="shared" si="33"/>
        <v>0</v>
      </c>
      <c r="BC45" s="51">
        <v>13</v>
      </c>
      <c r="BD45" s="49">
        <f t="shared" si="34"/>
        <v>520</v>
      </c>
      <c r="BE45" s="50">
        <f t="shared" si="35"/>
        <v>182</v>
      </c>
      <c r="BF45" s="51">
        <v>18</v>
      </c>
      <c r="BG45" s="49">
        <f t="shared" si="36"/>
        <v>216</v>
      </c>
      <c r="BH45" s="50">
        <f t="shared" si="37"/>
        <v>216</v>
      </c>
      <c r="BI45" s="51"/>
      <c r="BJ45" s="49">
        <f t="shared" si="38"/>
        <v>0</v>
      </c>
      <c r="BK45" s="50">
        <f t="shared" si="39"/>
        <v>0</v>
      </c>
      <c r="BL45" s="51">
        <v>41</v>
      </c>
      <c r="BM45" s="49">
        <f t="shared" si="40"/>
        <v>1640</v>
      </c>
      <c r="BN45" s="50">
        <f t="shared" si="41"/>
        <v>574</v>
      </c>
      <c r="BO45" s="51"/>
      <c r="BP45" s="49">
        <f t="shared" si="42"/>
        <v>0</v>
      </c>
      <c r="BQ45" s="50">
        <f t="shared" si="43"/>
        <v>0</v>
      </c>
      <c r="BR45" s="51"/>
      <c r="BS45" s="49">
        <f t="shared" si="44"/>
        <v>0</v>
      </c>
      <c r="BT45" s="50">
        <f t="shared" si="45"/>
        <v>0</v>
      </c>
      <c r="BU45" s="51"/>
      <c r="BV45" s="49">
        <f t="shared" si="46"/>
        <v>0</v>
      </c>
      <c r="BW45" s="50">
        <f t="shared" si="47"/>
        <v>0</v>
      </c>
      <c r="BX45" s="51"/>
      <c r="BY45" s="49">
        <f t="shared" si="48"/>
        <v>0</v>
      </c>
      <c r="BZ45" s="50">
        <f t="shared" si="49"/>
        <v>0</v>
      </c>
      <c r="CA45" s="51"/>
      <c r="CB45" s="49">
        <f t="shared" si="50"/>
        <v>0</v>
      </c>
      <c r="CC45" s="50">
        <f t="shared" si="51"/>
        <v>0</v>
      </c>
      <c r="CD45" s="51"/>
      <c r="CE45" s="49">
        <f t="shared" si="52"/>
        <v>0</v>
      </c>
      <c r="CF45" s="50">
        <f t="shared" si="53"/>
        <v>0</v>
      </c>
      <c r="CG45" s="51"/>
      <c r="CH45" s="49">
        <f t="shared" si="54"/>
        <v>0</v>
      </c>
      <c r="CI45" s="50">
        <f t="shared" si="55"/>
        <v>0</v>
      </c>
      <c r="CJ45" s="51"/>
      <c r="CK45" s="49">
        <f t="shared" si="56"/>
        <v>0</v>
      </c>
      <c r="CL45" s="50">
        <f t="shared" si="57"/>
        <v>0</v>
      </c>
      <c r="CM45" s="51">
        <v>5</v>
      </c>
      <c r="CN45" s="49">
        <f t="shared" si="58"/>
        <v>60</v>
      </c>
      <c r="CO45" s="50">
        <f t="shared" si="59"/>
        <v>60</v>
      </c>
      <c r="CP45" s="51"/>
      <c r="CQ45" s="49">
        <f t="shared" si="60"/>
        <v>0</v>
      </c>
      <c r="CR45" s="50">
        <f t="shared" si="61"/>
        <v>0</v>
      </c>
      <c r="CS45" s="51"/>
      <c r="CT45" s="49">
        <f t="shared" si="62"/>
        <v>0</v>
      </c>
      <c r="CU45" s="50">
        <f t="shared" si="63"/>
        <v>0</v>
      </c>
      <c r="CV45" s="51">
        <v>2</v>
      </c>
      <c r="CW45" s="49">
        <f t="shared" si="64"/>
        <v>40</v>
      </c>
      <c r="CX45" s="50">
        <f t="shared" si="65"/>
        <v>40</v>
      </c>
      <c r="CY45" s="51"/>
      <c r="CZ45" s="49">
        <f t="shared" si="66"/>
        <v>0</v>
      </c>
      <c r="DA45" s="50">
        <f t="shared" si="67"/>
        <v>0</v>
      </c>
      <c r="DB45" s="51"/>
      <c r="DC45" s="49">
        <f t="shared" si="68"/>
        <v>0</v>
      </c>
      <c r="DD45" s="50">
        <f t="shared" si="69"/>
        <v>0</v>
      </c>
      <c r="DE45" s="51">
        <v>6</v>
      </c>
      <c r="DF45" s="49">
        <f t="shared" si="70"/>
        <v>72</v>
      </c>
      <c r="DG45" s="50">
        <f t="shared" si="71"/>
        <v>72</v>
      </c>
      <c r="DH45" s="51"/>
      <c r="DI45" s="49">
        <f t="shared" si="72"/>
        <v>0</v>
      </c>
      <c r="DJ45" s="50">
        <f t="shared" si="73"/>
        <v>0</v>
      </c>
      <c r="DK45" s="51">
        <v>5</v>
      </c>
      <c r="DL45" s="49">
        <f t="shared" si="74"/>
        <v>60</v>
      </c>
      <c r="DM45" s="50">
        <f t="shared" si="75"/>
        <v>40.800000000000004</v>
      </c>
      <c r="DN45" s="51"/>
      <c r="DO45" s="49">
        <f t="shared" si="76"/>
        <v>0</v>
      </c>
      <c r="DP45" s="50">
        <f t="shared" si="77"/>
        <v>0</v>
      </c>
      <c r="DQ45" s="51"/>
      <c r="DR45" s="51"/>
      <c r="DS45" s="51"/>
      <c r="DT45" s="46">
        <f t="shared" si="88"/>
        <v>723</v>
      </c>
      <c r="DU45" s="46">
        <f t="shared" si="89"/>
        <v>10758</v>
      </c>
      <c r="DV45" s="46">
        <f t="shared" si="90"/>
        <v>7859.52</v>
      </c>
    </row>
    <row r="46" spans="1:126" s="8" customFormat="1" ht="21.95" customHeight="1" x14ac:dyDescent="0.6">
      <c r="A46" s="63"/>
      <c r="B46" s="12" t="s">
        <v>61</v>
      </c>
      <c r="C46" s="14" t="s">
        <v>77</v>
      </c>
      <c r="D46" s="51"/>
      <c r="E46" s="49">
        <f t="shared" si="0"/>
        <v>0</v>
      </c>
      <c r="F46" s="50">
        <f t="shared" si="1"/>
        <v>0</v>
      </c>
      <c r="G46" s="51"/>
      <c r="H46" s="49">
        <f t="shared" si="2"/>
        <v>0</v>
      </c>
      <c r="I46" s="50">
        <f t="shared" si="3"/>
        <v>0</v>
      </c>
      <c r="J46" s="51"/>
      <c r="K46" s="49">
        <f t="shared" si="4"/>
        <v>0</v>
      </c>
      <c r="L46" s="50">
        <f t="shared" si="5"/>
        <v>0</v>
      </c>
      <c r="M46" s="51"/>
      <c r="N46" s="49">
        <f t="shared" si="6"/>
        <v>0</v>
      </c>
      <c r="O46" s="50">
        <f t="shared" si="7"/>
        <v>0</v>
      </c>
      <c r="P46" s="51"/>
      <c r="Q46" s="49">
        <f t="shared" si="8"/>
        <v>0</v>
      </c>
      <c r="R46" s="50">
        <f t="shared" si="9"/>
        <v>0</v>
      </c>
      <c r="S46" s="51"/>
      <c r="T46" s="49">
        <f t="shared" si="10"/>
        <v>0</v>
      </c>
      <c r="U46" s="50">
        <f t="shared" si="11"/>
        <v>0</v>
      </c>
      <c r="V46" s="51"/>
      <c r="W46" s="49">
        <f t="shared" si="12"/>
        <v>0</v>
      </c>
      <c r="X46" s="50">
        <f t="shared" si="13"/>
        <v>0</v>
      </c>
      <c r="Y46" s="51"/>
      <c r="Z46" s="49">
        <f t="shared" si="14"/>
        <v>0</v>
      </c>
      <c r="AA46" s="50">
        <f t="shared" si="15"/>
        <v>0</v>
      </c>
      <c r="AB46" s="51"/>
      <c r="AC46" s="49">
        <f t="shared" si="16"/>
        <v>0</v>
      </c>
      <c r="AD46" s="50">
        <f t="shared" si="17"/>
        <v>0</v>
      </c>
      <c r="AE46" s="51"/>
      <c r="AF46" s="49">
        <f t="shared" si="18"/>
        <v>0</v>
      </c>
      <c r="AG46" s="50">
        <f t="shared" si="19"/>
        <v>0</v>
      </c>
      <c r="AH46" s="51"/>
      <c r="AI46" s="49">
        <f t="shared" si="20"/>
        <v>0</v>
      </c>
      <c r="AJ46" s="50">
        <f t="shared" si="21"/>
        <v>0</v>
      </c>
      <c r="AK46" s="51"/>
      <c r="AL46" s="49">
        <f t="shared" si="22"/>
        <v>0</v>
      </c>
      <c r="AM46" s="50">
        <f t="shared" si="23"/>
        <v>0</v>
      </c>
      <c r="AN46" s="51"/>
      <c r="AO46" s="49">
        <f t="shared" si="24"/>
        <v>0</v>
      </c>
      <c r="AP46" s="50">
        <f t="shared" si="25"/>
        <v>0</v>
      </c>
      <c r="AQ46" s="51"/>
      <c r="AR46" s="49">
        <f t="shared" si="26"/>
        <v>0</v>
      </c>
      <c r="AS46" s="50">
        <f t="shared" si="27"/>
        <v>0</v>
      </c>
      <c r="AT46" s="51"/>
      <c r="AU46" s="49">
        <f t="shared" si="28"/>
        <v>0</v>
      </c>
      <c r="AV46" s="50">
        <f t="shared" si="29"/>
        <v>0</v>
      </c>
      <c r="AW46" s="51"/>
      <c r="AX46" s="49">
        <f t="shared" si="30"/>
        <v>0</v>
      </c>
      <c r="AY46" s="50">
        <f t="shared" si="31"/>
        <v>0</v>
      </c>
      <c r="AZ46" s="51">
        <v>6</v>
      </c>
      <c r="BA46" s="49">
        <f t="shared" si="32"/>
        <v>72</v>
      </c>
      <c r="BB46" s="50">
        <f t="shared" si="33"/>
        <v>43.199999999999996</v>
      </c>
      <c r="BC46" s="51"/>
      <c r="BD46" s="49">
        <f t="shared" si="34"/>
        <v>0</v>
      </c>
      <c r="BE46" s="50">
        <f t="shared" si="35"/>
        <v>0</v>
      </c>
      <c r="BF46" s="51"/>
      <c r="BG46" s="49">
        <f t="shared" si="36"/>
        <v>0</v>
      </c>
      <c r="BH46" s="50">
        <f t="shared" si="37"/>
        <v>0</v>
      </c>
      <c r="BI46" s="51"/>
      <c r="BJ46" s="49">
        <f t="shared" si="38"/>
        <v>0</v>
      </c>
      <c r="BK46" s="50">
        <f t="shared" si="39"/>
        <v>0</v>
      </c>
      <c r="BL46" s="51"/>
      <c r="BM46" s="49">
        <f t="shared" si="40"/>
        <v>0</v>
      </c>
      <c r="BN46" s="50">
        <f t="shared" si="41"/>
        <v>0</v>
      </c>
      <c r="BO46" s="51"/>
      <c r="BP46" s="49">
        <f t="shared" si="42"/>
        <v>0</v>
      </c>
      <c r="BQ46" s="50">
        <f t="shared" si="43"/>
        <v>0</v>
      </c>
      <c r="BR46" s="51"/>
      <c r="BS46" s="49">
        <f t="shared" si="44"/>
        <v>0</v>
      </c>
      <c r="BT46" s="50">
        <f t="shared" si="45"/>
        <v>0</v>
      </c>
      <c r="BU46" s="51"/>
      <c r="BV46" s="49">
        <f t="shared" si="46"/>
        <v>0</v>
      </c>
      <c r="BW46" s="50">
        <f t="shared" si="47"/>
        <v>0</v>
      </c>
      <c r="BX46" s="51"/>
      <c r="BY46" s="49">
        <f t="shared" si="48"/>
        <v>0</v>
      </c>
      <c r="BZ46" s="50">
        <f t="shared" si="49"/>
        <v>0</v>
      </c>
      <c r="CA46" s="51"/>
      <c r="CB46" s="49">
        <f t="shared" si="50"/>
        <v>0</v>
      </c>
      <c r="CC46" s="50">
        <f t="shared" si="51"/>
        <v>0</v>
      </c>
      <c r="CD46" s="51"/>
      <c r="CE46" s="49">
        <f t="shared" si="52"/>
        <v>0</v>
      </c>
      <c r="CF46" s="50">
        <f t="shared" si="53"/>
        <v>0</v>
      </c>
      <c r="CG46" s="51">
        <v>1</v>
      </c>
      <c r="CH46" s="49">
        <f t="shared" si="54"/>
        <v>12</v>
      </c>
      <c r="CI46" s="50">
        <f t="shared" si="55"/>
        <v>7.1999999999999993</v>
      </c>
      <c r="CJ46" s="51">
        <v>1</v>
      </c>
      <c r="CK46" s="49">
        <f t="shared" si="56"/>
        <v>40</v>
      </c>
      <c r="CL46" s="50">
        <f t="shared" si="57"/>
        <v>14</v>
      </c>
      <c r="CM46" s="51">
        <v>3</v>
      </c>
      <c r="CN46" s="49">
        <f t="shared" si="58"/>
        <v>36</v>
      </c>
      <c r="CO46" s="50">
        <f t="shared" si="59"/>
        <v>36</v>
      </c>
      <c r="CP46" s="51"/>
      <c r="CQ46" s="49">
        <f t="shared" si="60"/>
        <v>0</v>
      </c>
      <c r="CR46" s="50">
        <f t="shared" si="61"/>
        <v>0</v>
      </c>
      <c r="CS46" s="51"/>
      <c r="CT46" s="49">
        <f t="shared" si="62"/>
        <v>0</v>
      </c>
      <c r="CU46" s="50">
        <f t="shared" si="63"/>
        <v>0</v>
      </c>
      <c r="CV46" s="51"/>
      <c r="CW46" s="49">
        <f t="shared" si="64"/>
        <v>0</v>
      </c>
      <c r="CX46" s="50">
        <f t="shared" si="65"/>
        <v>0</v>
      </c>
      <c r="CY46" s="51"/>
      <c r="CZ46" s="49">
        <f t="shared" si="66"/>
        <v>0</v>
      </c>
      <c r="DA46" s="50">
        <f t="shared" si="67"/>
        <v>0</v>
      </c>
      <c r="DB46" s="51"/>
      <c r="DC46" s="49">
        <f t="shared" si="68"/>
        <v>0</v>
      </c>
      <c r="DD46" s="50">
        <f t="shared" si="69"/>
        <v>0</v>
      </c>
      <c r="DE46" s="51"/>
      <c r="DF46" s="49">
        <f t="shared" si="70"/>
        <v>0</v>
      </c>
      <c r="DG46" s="50">
        <f t="shared" si="71"/>
        <v>0</v>
      </c>
      <c r="DH46" s="51"/>
      <c r="DI46" s="49">
        <f t="shared" si="72"/>
        <v>0</v>
      </c>
      <c r="DJ46" s="50">
        <f t="shared" si="73"/>
        <v>0</v>
      </c>
      <c r="DK46" s="51"/>
      <c r="DL46" s="49">
        <f t="shared" si="74"/>
        <v>0</v>
      </c>
      <c r="DM46" s="50">
        <f t="shared" si="75"/>
        <v>0</v>
      </c>
      <c r="DN46" s="51"/>
      <c r="DO46" s="49">
        <f t="shared" si="76"/>
        <v>0</v>
      </c>
      <c r="DP46" s="50">
        <f t="shared" si="77"/>
        <v>0</v>
      </c>
      <c r="DQ46" s="51"/>
      <c r="DR46" s="51"/>
      <c r="DS46" s="51"/>
      <c r="DT46" s="46">
        <f t="shared" si="88"/>
        <v>11</v>
      </c>
      <c r="DU46" s="46">
        <f t="shared" si="89"/>
        <v>160</v>
      </c>
      <c r="DV46" s="46">
        <f t="shared" si="90"/>
        <v>100.39999999999999</v>
      </c>
    </row>
    <row r="47" spans="1:126" s="8" customFormat="1" ht="21.95" customHeight="1" x14ac:dyDescent="0.6">
      <c r="A47" s="63"/>
      <c r="B47" s="15" t="s">
        <v>54</v>
      </c>
      <c r="C47" s="16" t="s">
        <v>41</v>
      </c>
      <c r="D47" s="51">
        <v>1140</v>
      </c>
      <c r="E47" s="49">
        <f t="shared" si="0"/>
        <v>15960</v>
      </c>
      <c r="F47" s="50">
        <f t="shared" si="1"/>
        <v>10214.4</v>
      </c>
      <c r="G47" s="51"/>
      <c r="H47" s="49">
        <f t="shared" si="2"/>
        <v>0</v>
      </c>
      <c r="I47" s="50">
        <f t="shared" si="3"/>
        <v>0</v>
      </c>
      <c r="J47" s="51"/>
      <c r="K47" s="49">
        <f t="shared" si="4"/>
        <v>0</v>
      </c>
      <c r="L47" s="50">
        <f t="shared" si="5"/>
        <v>0</v>
      </c>
      <c r="M47" s="51"/>
      <c r="N47" s="49">
        <f t="shared" si="6"/>
        <v>0</v>
      </c>
      <c r="O47" s="50">
        <f t="shared" si="7"/>
        <v>0</v>
      </c>
      <c r="P47" s="51"/>
      <c r="Q47" s="49">
        <f t="shared" si="8"/>
        <v>0</v>
      </c>
      <c r="R47" s="50">
        <f t="shared" si="9"/>
        <v>0</v>
      </c>
      <c r="S47" s="51">
        <v>30</v>
      </c>
      <c r="T47" s="49">
        <f t="shared" si="10"/>
        <v>420</v>
      </c>
      <c r="U47" s="50">
        <f t="shared" si="11"/>
        <v>268.8</v>
      </c>
      <c r="V47" s="51"/>
      <c r="W47" s="49">
        <f t="shared" si="12"/>
        <v>0</v>
      </c>
      <c r="X47" s="50">
        <f t="shared" si="13"/>
        <v>0</v>
      </c>
      <c r="Y47" s="51"/>
      <c r="Z47" s="49">
        <f t="shared" si="14"/>
        <v>0</v>
      </c>
      <c r="AA47" s="50">
        <f t="shared" si="15"/>
        <v>0</v>
      </c>
      <c r="AB47" s="51"/>
      <c r="AC47" s="49">
        <f t="shared" si="16"/>
        <v>0</v>
      </c>
      <c r="AD47" s="50">
        <f t="shared" si="17"/>
        <v>0</v>
      </c>
      <c r="AE47" s="51"/>
      <c r="AF47" s="49">
        <f t="shared" si="18"/>
        <v>0</v>
      </c>
      <c r="AG47" s="50">
        <f t="shared" si="19"/>
        <v>0</v>
      </c>
      <c r="AH47" s="51">
        <v>90</v>
      </c>
      <c r="AI47" s="49">
        <f t="shared" si="20"/>
        <v>1080</v>
      </c>
      <c r="AJ47" s="50">
        <f t="shared" si="21"/>
        <v>756</v>
      </c>
      <c r="AK47" s="51"/>
      <c r="AL47" s="49">
        <f t="shared" si="22"/>
        <v>0</v>
      </c>
      <c r="AM47" s="50">
        <f t="shared" si="23"/>
        <v>0</v>
      </c>
      <c r="AN47" s="51"/>
      <c r="AO47" s="49">
        <f t="shared" si="24"/>
        <v>0</v>
      </c>
      <c r="AP47" s="50">
        <f t="shared" si="25"/>
        <v>0</v>
      </c>
      <c r="AQ47" s="51"/>
      <c r="AR47" s="49">
        <f t="shared" si="26"/>
        <v>0</v>
      </c>
      <c r="AS47" s="50">
        <f t="shared" si="27"/>
        <v>0</v>
      </c>
      <c r="AT47" s="51"/>
      <c r="AU47" s="49">
        <f t="shared" si="28"/>
        <v>0</v>
      </c>
      <c r="AV47" s="50">
        <f t="shared" si="29"/>
        <v>0</v>
      </c>
      <c r="AW47" s="51">
        <v>3879</v>
      </c>
      <c r="AX47" s="49">
        <f t="shared" si="30"/>
        <v>46548</v>
      </c>
      <c r="AY47" s="50">
        <f t="shared" si="31"/>
        <v>46548</v>
      </c>
      <c r="AZ47" s="51">
        <v>60</v>
      </c>
      <c r="BA47" s="49">
        <f t="shared" si="32"/>
        <v>720</v>
      </c>
      <c r="BB47" s="50">
        <f t="shared" si="33"/>
        <v>432</v>
      </c>
      <c r="BC47" s="51">
        <v>530</v>
      </c>
      <c r="BD47" s="49">
        <f t="shared" si="34"/>
        <v>21200</v>
      </c>
      <c r="BE47" s="50">
        <f t="shared" si="35"/>
        <v>7419.9999999999991</v>
      </c>
      <c r="BF47" s="51">
        <v>1755</v>
      </c>
      <c r="BG47" s="49">
        <f t="shared" si="36"/>
        <v>21060</v>
      </c>
      <c r="BH47" s="50">
        <f t="shared" si="37"/>
        <v>21060</v>
      </c>
      <c r="BI47" s="51"/>
      <c r="BJ47" s="49">
        <f t="shared" si="38"/>
        <v>0</v>
      </c>
      <c r="BK47" s="50">
        <f t="shared" si="39"/>
        <v>0</v>
      </c>
      <c r="BL47" s="51">
        <v>360</v>
      </c>
      <c r="BM47" s="49">
        <f t="shared" si="40"/>
        <v>14400</v>
      </c>
      <c r="BN47" s="50">
        <f t="shared" si="41"/>
        <v>5040</v>
      </c>
      <c r="BO47" s="51"/>
      <c r="BP47" s="49">
        <f t="shared" si="42"/>
        <v>0</v>
      </c>
      <c r="BQ47" s="50">
        <f t="shared" si="43"/>
        <v>0</v>
      </c>
      <c r="BR47" s="51"/>
      <c r="BS47" s="49">
        <f t="shared" si="44"/>
        <v>0</v>
      </c>
      <c r="BT47" s="50">
        <f t="shared" si="45"/>
        <v>0</v>
      </c>
      <c r="BU47" s="51"/>
      <c r="BV47" s="49">
        <f t="shared" si="46"/>
        <v>0</v>
      </c>
      <c r="BW47" s="50">
        <f t="shared" si="47"/>
        <v>0</v>
      </c>
      <c r="BX47" s="51"/>
      <c r="BY47" s="49">
        <f t="shared" si="48"/>
        <v>0</v>
      </c>
      <c r="BZ47" s="50">
        <f t="shared" si="49"/>
        <v>0</v>
      </c>
      <c r="CA47" s="51"/>
      <c r="CB47" s="49">
        <f t="shared" si="50"/>
        <v>0</v>
      </c>
      <c r="CC47" s="50">
        <f t="shared" si="51"/>
        <v>0</v>
      </c>
      <c r="CD47" s="51"/>
      <c r="CE47" s="49">
        <f t="shared" si="52"/>
        <v>0</v>
      </c>
      <c r="CF47" s="50">
        <f t="shared" si="53"/>
        <v>0</v>
      </c>
      <c r="CG47" s="51"/>
      <c r="CH47" s="49">
        <f t="shared" si="54"/>
        <v>0</v>
      </c>
      <c r="CI47" s="50">
        <f t="shared" si="55"/>
        <v>0</v>
      </c>
      <c r="CJ47" s="51"/>
      <c r="CK47" s="49">
        <f t="shared" si="56"/>
        <v>0</v>
      </c>
      <c r="CL47" s="50">
        <f t="shared" si="57"/>
        <v>0</v>
      </c>
      <c r="CM47" s="51"/>
      <c r="CN47" s="49">
        <f t="shared" si="58"/>
        <v>0</v>
      </c>
      <c r="CO47" s="50">
        <f t="shared" si="59"/>
        <v>0</v>
      </c>
      <c r="CP47" s="51"/>
      <c r="CQ47" s="49">
        <f t="shared" si="60"/>
        <v>0</v>
      </c>
      <c r="CR47" s="50">
        <f t="shared" si="61"/>
        <v>0</v>
      </c>
      <c r="CS47" s="51"/>
      <c r="CT47" s="49">
        <f t="shared" si="62"/>
        <v>0</v>
      </c>
      <c r="CU47" s="50">
        <f t="shared" si="63"/>
        <v>0</v>
      </c>
      <c r="CV47" s="51">
        <v>60</v>
      </c>
      <c r="CW47" s="49">
        <f t="shared" si="64"/>
        <v>1200</v>
      </c>
      <c r="CX47" s="50">
        <f t="shared" si="65"/>
        <v>1200</v>
      </c>
      <c r="CY47" s="51"/>
      <c r="CZ47" s="49">
        <f t="shared" si="66"/>
        <v>0</v>
      </c>
      <c r="DA47" s="50">
        <f t="shared" si="67"/>
        <v>0</v>
      </c>
      <c r="DB47" s="51"/>
      <c r="DC47" s="49">
        <f t="shared" si="68"/>
        <v>0</v>
      </c>
      <c r="DD47" s="50">
        <f t="shared" si="69"/>
        <v>0</v>
      </c>
      <c r="DE47" s="51">
        <v>30</v>
      </c>
      <c r="DF47" s="49">
        <f t="shared" si="70"/>
        <v>360</v>
      </c>
      <c r="DG47" s="50">
        <f t="shared" si="71"/>
        <v>360</v>
      </c>
      <c r="DH47" s="51"/>
      <c r="DI47" s="49">
        <f t="shared" si="72"/>
        <v>0</v>
      </c>
      <c r="DJ47" s="50">
        <f t="shared" si="73"/>
        <v>0</v>
      </c>
      <c r="DK47" s="51"/>
      <c r="DL47" s="49">
        <f t="shared" si="74"/>
        <v>0</v>
      </c>
      <c r="DM47" s="50">
        <f t="shared" si="75"/>
        <v>0</v>
      </c>
      <c r="DN47" s="51"/>
      <c r="DO47" s="49">
        <f t="shared" si="76"/>
        <v>0</v>
      </c>
      <c r="DP47" s="50">
        <f t="shared" si="77"/>
        <v>0</v>
      </c>
      <c r="DQ47" s="51"/>
      <c r="DR47" s="51"/>
      <c r="DS47" s="51"/>
      <c r="DT47" s="46">
        <f t="shared" si="88"/>
        <v>7934</v>
      </c>
      <c r="DU47" s="46">
        <f t="shared" si="89"/>
        <v>122948</v>
      </c>
      <c r="DV47" s="46">
        <f t="shared" si="90"/>
        <v>93299.199999999997</v>
      </c>
    </row>
    <row r="48" spans="1:126" s="8" customFormat="1" ht="21.95" customHeight="1" x14ac:dyDescent="0.6">
      <c r="A48" s="63"/>
      <c r="B48" s="15" t="s">
        <v>56</v>
      </c>
      <c r="C48" s="16" t="s">
        <v>41</v>
      </c>
      <c r="D48" s="51">
        <v>7850</v>
      </c>
      <c r="E48" s="49">
        <f t="shared" si="0"/>
        <v>109900</v>
      </c>
      <c r="F48" s="50">
        <f t="shared" si="1"/>
        <v>70336</v>
      </c>
      <c r="G48" s="51">
        <v>660</v>
      </c>
      <c r="H48" s="49">
        <f t="shared" si="2"/>
        <v>15840</v>
      </c>
      <c r="I48" s="50">
        <f t="shared" si="3"/>
        <v>10137.6</v>
      </c>
      <c r="J48" s="51"/>
      <c r="K48" s="49">
        <f t="shared" si="4"/>
        <v>0</v>
      </c>
      <c r="L48" s="50">
        <f t="shared" si="5"/>
        <v>0</v>
      </c>
      <c r="M48" s="51"/>
      <c r="N48" s="49">
        <f t="shared" si="6"/>
        <v>0</v>
      </c>
      <c r="O48" s="50">
        <f t="shared" si="7"/>
        <v>0</v>
      </c>
      <c r="P48" s="51"/>
      <c r="Q48" s="49">
        <f t="shared" si="8"/>
        <v>0</v>
      </c>
      <c r="R48" s="50">
        <f t="shared" si="9"/>
        <v>0</v>
      </c>
      <c r="S48" s="51"/>
      <c r="T48" s="49">
        <f t="shared" si="10"/>
        <v>0</v>
      </c>
      <c r="U48" s="50">
        <f t="shared" si="11"/>
        <v>0</v>
      </c>
      <c r="V48" s="51"/>
      <c r="W48" s="49">
        <f t="shared" si="12"/>
        <v>0</v>
      </c>
      <c r="X48" s="50">
        <f t="shared" si="13"/>
        <v>0</v>
      </c>
      <c r="Y48" s="51"/>
      <c r="Z48" s="49">
        <f t="shared" si="14"/>
        <v>0</v>
      </c>
      <c r="AA48" s="50">
        <f t="shared" si="15"/>
        <v>0</v>
      </c>
      <c r="AB48" s="51"/>
      <c r="AC48" s="49">
        <f t="shared" si="16"/>
        <v>0</v>
      </c>
      <c r="AD48" s="50">
        <f t="shared" si="17"/>
        <v>0</v>
      </c>
      <c r="AE48" s="51"/>
      <c r="AF48" s="49">
        <f t="shared" si="18"/>
        <v>0</v>
      </c>
      <c r="AG48" s="50">
        <f t="shared" si="19"/>
        <v>0</v>
      </c>
      <c r="AH48" s="51">
        <v>150</v>
      </c>
      <c r="AI48" s="49">
        <f t="shared" si="20"/>
        <v>1800</v>
      </c>
      <c r="AJ48" s="50">
        <f t="shared" si="21"/>
        <v>1260</v>
      </c>
      <c r="AK48" s="51"/>
      <c r="AL48" s="49">
        <f t="shared" si="22"/>
        <v>0</v>
      </c>
      <c r="AM48" s="50">
        <f t="shared" si="23"/>
        <v>0</v>
      </c>
      <c r="AN48" s="51"/>
      <c r="AO48" s="49">
        <f t="shared" si="24"/>
        <v>0</v>
      </c>
      <c r="AP48" s="50">
        <f t="shared" si="25"/>
        <v>0</v>
      </c>
      <c r="AQ48" s="51"/>
      <c r="AR48" s="49">
        <f t="shared" si="26"/>
        <v>0</v>
      </c>
      <c r="AS48" s="50">
        <f t="shared" si="27"/>
        <v>0</v>
      </c>
      <c r="AT48" s="51"/>
      <c r="AU48" s="49">
        <f t="shared" si="28"/>
        <v>0</v>
      </c>
      <c r="AV48" s="50">
        <f t="shared" si="29"/>
        <v>0</v>
      </c>
      <c r="AW48" s="51">
        <v>13289</v>
      </c>
      <c r="AX48" s="49">
        <f t="shared" si="30"/>
        <v>159468</v>
      </c>
      <c r="AY48" s="50">
        <f t="shared" si="31"/>
        <v>159468</v>
      </c>
      <c r="AZ48" s="51">
        <v>360</v>
      </c>
      <c r="BA48" s="49">
        <f t="shared" si="32"/>
        <v>4320</v>
      </c>
      <c r="BB48" s="50">
        <f t="shared" si="33"/>
        <v>2592</v>
      </c>
      <c r="BC48" s="51">
        <v>560</v>
      </c>
      <c r="BD48" s="49">
        <f t="shared" si="34"/>
        <v>22400</v>
      </c>
      <c r="BE48" s="50">
        <f t="shared" si="35"/>
        <v>7839.9999999999991</v>
      </c>
      <c r="BF48" s="51"/>
      <c r="BG48" s="49">
        <f t="shared" si="36"/>
        <v>0</v>
      </c>
      <c r="BH48" s="50">
        <f t="shared" si="37"/>
        <v>0</v>
      </c>
      <c r="BI48" s="51"/>
      <c r="BJ48" s="49">
        <f t="shared" si="38"/>
        <v>0</v>
      </c>
      <c r="BK48" s="50">
        <f t="shared" si="39"/>
        <v>0</v>
      </c>
      <c r="BL48" s="51"/>
      <c r="BM48" s="49">
        <f t="shared" si="40"/>
        <v>0</v>
      </c>
      <c r="BN48" s="50">
        <f t="shared" si="41"/>
        <v>0</v>
      </c>
      <c r="BO48" s="51">
        <v>50</v>
      </c>
      <c r="BP48" s="49">
        <f t="shared" si="42"/>
        <v>600</v>
      </c>
      <c r="BQ48" s="50">
        <f t="shared" si="43"/>
        <v>600</v>
      </c>
      <c r="BR48" s="51"/>
      <c r="BS48" s="49">
        <f t="shared" si="44"/>
        <v>0</v>
      </c>
      <c r="BT48" s="50">
        <f t="shared" si="45"/>
        <v>0</v>
      </c>
      <c r="BU48" s="51"/>
      <c r="BV48" s="49">
        <f t="shared" si="46"/>
        <v>0</v>
      </c>
      <c r="BW48" s="50">
        <f t="shared" si="47"/>
        <v>0</v>
      </c>
      <c r="BX48" s="51"/>
      <c r="BY48" s="49">
        <f t="shared" si="48"/>
        <v>0</v>
      </c>
      <c r="BZ48" s="50">
        <f t="shared" si="49"/>
        <v>0</v>
      </c>
      <c r="CA48" s="51"/>
      <c r="CB48" s="49">
        <f t="shared" si="50"/>
        <v>0</v>
      </c>
      <c r="CC48" s="50">
        <f t="shared" si="51"/>
        <v>0</v>
      </c>
      <c r="CD48" s="51"/>
      <c r="CE48" s="49">
        <f t="shared" si="52"/>
        <v>0</v>
      </c>
      <c r="CF48" s="50">
        <f t="shared" si="53"/>
        <v>0</v>
      </c>
      <c r="CG48" s="51"/>
      <c r="CH48" s="49">
        <f t="shared" si="54"/>
        <v>0</v>
      </c>
      <c r="CI48" s="50">
        <f t="shared" si="55"/>
        <v>0</v>
      </c>
      <c r="CJ48" s="51"/>
      <c r="CK48" s="49">
        <f t="shared" si="56"/>
        <v>0</v>
      </c>
      <c r="CL48" s="50">
        <f t="shared" si="57"/>
        <v>0</v>
      </c>
      <c r="CM48" s="51"/>
      <c r="CN48" s="49">
        <f t="shared" si="58"/>
        <v>0</v>
      </c>
      <c r="CO48" s="50">
        <f t="shared" si="59"/>
        <v>0</v>
      </c>
      <c r="CP48" s="51"/>
      <c r="CQ48" s="49">
        <f t="shared" si="60"/>
        <v>0</v>
      </c>
      <c r="CR48" s="50">
        <f t="shared" si="61"/>
        <v>0</v>
      </c>
      <c r="CS48" s="51"/>
      <c r="CT48" s="49">
        <f t="shared" si="62"/>
        <v>0</v>
      </c>
      <c r="CU48" s="50">
        <f t="shared" si="63"/>
        <v>0</v>
      </c>
      <c r="CV48" s="51"/>
      <c r="CW48" s="49">
        <f t="shared" si="64"/>
        <v>0</v>
      </c>
      <c r="CX48" s="50">
        <f t="shared" si="65"/>
        <v>0</v>
      </c>
      <c r="CY48" s="51"/>
      <c r="CZ48" s="49">
        <f t="shared" si="66"/>
        <v>0</v>
      </c>
      <c r="DA48" s="50">
        <f t="shared" si="67"/>
        <v>0</v>
      </c>
      <c r="DB48" s="51"/>
      <c r="DC48" s="49">
        <f t="shared" si="68"/>
        <v>0</v>
      </c>
      <c r="DD48" s="50">
        <f t="shared" si="69"/>
        <v>0</v>
      </c>
      <c r="DE48" s="51"/>
      <c r="DF48" s="49">
        <f t="shared" si="70"/>
        <v>0</v>
      </c>
      <c r="DG48" s="50">
        <f t="shared" si="71"/>
        <v>0</v>
      </c>
      <c r="DH48" s="51"/>
      <c r="DI48" s="49">
        <f t="shared" si="72"/>
        <v>0</v>
      </c>
      <c r="DJ48" s="50">
        <f t="shared" si="73"/>
        <v>0</v>
      </c>
      <c r="DK48" s="51"/>
      <c r="DL48" s="49">
        <f t="shared" si="74"/>
        <v>0</v>
      </c>
      <c r="DM48" s="50">
        <f t="shared" si="75"/>
        <v>0</v>
      </c>
      <c r="DN48" s="51"/>
      <c r="DO48" s="49">
        <f t="shared" si="76"/>
        <v>0</v>
      </c>
      <c r="DP48" s="50">
        <f t="shared" si="77"/>
        <v>0</v>
      </c>
      <c r="DQ48" s="51"/>
      <c r="DR48" s="51"/>
      <c r="DS48" s="51"/>
      <c r="DT48" s="46">
        <f t="shared" si="88"/>
        <v>22919</v>
      </c>
      <c r="DU48" s="46">
        <f t="shared" si="89"/>
        <v>314328</v>
      </c>
      <c r="DV48" s="46">
        <f t="shared" si="90"/>
        <v>252233.60000000001</v>
      </c>
    </row>
    <row r="49" spans="1:126" s="8" customFormat="1" ht="21.95" customHeight="1" x14ac:dyDescent="0.6">
      <c r="A49" s="63"/>
      <c r="B49" s="15" t="s">
        <v>58</v>
      </c>
      <c r="C49" s="16" t="s">
        <v>41</v>
      </c>
      <c r="D49" s="51">
        <v>0</v>
      </c>
      <c r="E49" s="49">
        <f t="shared" si="0"/>
        <v>0</v>
      </c>
      <c r="F49" s="50">
        <f t="shared" si="1"/>
        <v>0</v>
      </c>
      <c r="G49" s="51">
        <v>0</v>
      </c>
      <c r="H49" s="49">
        <f t="shared" si="2"/>
        <v>0</v>
      </c>
      <c r="I49" s="50">
        <f t="shared" si="3"/>
        <v>0</v>
      </c>
      <c r="J49" s="51"/>
      <c r="K49" s="49">
        <f t="shared" si="4"/>
        <v>0</v>
      </c>
      <c r="L49" s="50">
        <f t="shared" si="5"/>
        <v>0</v>
      </c>
      <c r="M49" s="51">
        <v>0</v>
      </c>
      <c r="N49" s="49">
        <f t="shared" si="6"/>
        <v>0</v>
      </c>
      <c r="O49" s="50">
        <f t="shared" si="7"/>
        <v>0</v>
      </c>
      <c r="P49" s="51"/>
      <c r="Q49" s="49">
        <f t="shared" si="8"/>
        <v>0</v>
      </c>
      <c r="R49" s="50">
        <f t="shared" si="9"/>
        <v>0</v>
      </c>
      <c r="S49" s="51"/>
      <c r="T49" s="49">
        <f t="shared" si="10"/>
        <v>0</v>
      </c>
      <c r="U49" s="50">
        <f t="shared" si="11"/>
        <v>0</v>
      </c>
      <c r="V49" s="51"/>
      <c r="W49" s="49">
        <f t="shared" si="12"/>
        <v>0</v>
      </c>
      <c r="X49" s="50">
        <f t="shared" si="13"/>
        <v>0</v>
      </c>
      <c r="Y49" s="51"/>
      <c r="Z49" s="49">
        <f t="shared" si="14"/>
        <v>0</v>
      </c>
      <c r="AA49" s="50">
        <f t="shared" si="15"/>
        <v>0</v>
      </c>
      <c r="AB49" s="51"/>
      <c r="AC49" s="49">
        <f t="shared" si="16"/>
        <v>0</v>
      </c>
      <c r="AD49" s="50">
        <f t="shared" si="17"/>
        <v>0</v>
      </c>
      <c r="AE49" s="51"/>
      <c r="AF49" s="49">
        <f t="shared" si="18"/>
        <v>0</v>
      </c>
      <c r="AG49" s="50">
        <f t="shared" si="19"/>
        <v>0</v>
      </c>
      <c r="AH49" s="51"/>
      <c r="AI49" s="49">
        <f t="shared" si="20"/>
        <v>0</v>
      </c>
      <c r="AJ49" s="50">
        <f t="shared" si="21"/>
        <v>0</v>
      </c>
      <c r="AK49" s="51"/>
      <c r="AL49" s="49">
        <f t="shared" si="22"/>
        <v>0</v>
      </c>
      <c r="AM49" s="50">
        <f t="shared" si="23"/>
        <v>0</v>
      </c>
      <c r="AN49" s="51"/>
      <c r="AO49" s="49">
        <f t="shared" si="24"/>
        <v>0</v>
      </c>
      <c r="AP49" s="50">
        <f t="shared" si="25"/>
        <v>0</v>
      </c>
      <c r="AQ49" s="51"/>
      <c r="AR49" s="49">
        <f t="shared" si="26"/>
        <v>0</v>
      </c>
      <c r="AS49" s="50">
        <f t="shared" si="27"/>
        <v>0</v>
      </c>
      <c r="AT49" s="51"/>
      <c r="AU49" s="49">
        <f t="shared" si="28"/>
        <v>0</v>
      </c>
      <c r="AV49" s="50">
        <f t="shared" si="29"/>
        <v>0</v>
      </c>
      <c r="AW49" s="51"/>
      <c r="AX49" s="49">
        <f t="shared" si="30"/>
        <v>0</v>
      </c>
      <c r="AY49" s="50">
        <f t="shared" si="31"/>
        <v>0</v>
      </c>
      <c r="AZ49" s="51"/>
      <c r="BA49" s="49">
        <f t="shared" si="32"/>
        <v>0</v>
      </c>
      <c r="BB49" s="50">
        <f t="shared" si="33"/>
        <v>0</v>
      </c>
      <c r="BC49" s="51"/>
      <c r="BD49" s="49">
        <f t="shared" si="34"/>
        <v>0</v>
      </c>
      <c r="BE49" s="50">
        <f t="shared" si="35"/>
        <v>0</v>
      </c>
      <c r="BF49" s="51"/>
      <c r="BG49" s="49">
        <f t="shared" si="36"/>
        <v>0</v>
      </c>
      <c r="BH49" s="50">
        <f t="shared" si="37"/>
        <v>0</v>
      </c>
      <c r="BI49" s="51"/>
      <c r="BJ49" s="49">
        <f t="shared" si="38"/>
        <v>0</v>
      </c>
      <c r="BK49" s="50">
        <f t="shared" si="39"/>
        <v>0</v>
      </c>
      <c r="BL49" s="51"/>
      <c r="BM49" s="49">
        <f t="shared" si="40"/>
        <v>0</v>
      </c>
      <c r="BN49" s="50">
        <f t="shared" si="41"/>
        <v>0</v>
      </c>
      <c r="BO49" s="51"/>
      <c r="BP49" s="49">
        <f t="shared" si="42"/>
        <v>0</v>
      </c>
      <c r="BQ49" s="50">
        <f t="shared" si="43"/>
        <v>0</v>
      </c>
      <c r="BR49" s="51"/>
      <c r="BS49" s="49">
        <f t="shared" si="44"/>
        <v>0</v>
      </c>
      <c r="BT49" s="50">
        <f t="shared" si="45"/>
        <v>0</v>
      </c>
      <c r="BU49" s="51"/>
      <c r="BV49" s="49">
        <f t="shared" si="46"/>
        <v>0</v>
      </c>
      <c r="BW49" s="50">
        <f t="shared" si="47"/>
        <v>0</v>
      </c>
      <c r="BX49" s="51"/>
      <c r="BY49" s="49">
        <f t="shared" si="48"/>
        <v>0</v>
      </c>
      <c r="BZ49" s="50">
        <f t="shared" si="49"/>
        <v>0</v>
      </c>
      <c r="CA49" s="51"/>
      <c r="CB49" s="49">
        <f t="shared" si="50"/>
        <v>0</v>
      </c>
      <c r="CC49" s="50">
        <f t="shared" si="51"/>
        <v>0</v>
      </c>
      <c r="CD49" s="51"/>
      <c r="CE49" s="49">
        <f t="shared" si="52"/>
        <v>0</v>
      </c>
      <c r="CF49" s="50">
        <f t="shared" si="53"/>
        <v>0</v>
      </c>
      <c r="CG49" s="51"/>
      <c r="CH49" s="49">
        <f t="shared" si="54"/>
        <v>0</v>
      </c>
      <c r="CI49" s="50">
        <f t="shared" si="55"/>
        <v>0</v>
      </c>
      <c r="CJ49" s="51"/>
      <c r="CK49" s="49">
        <f t="shared" si="56"/>
        <v>0</v>
      </c>
      <c r="CL49" s="50">
        <f t="shared" si="57"/>
        <v>0</v>
      </c>
      <c r="CM49" s="51"/>
      <c r="CN49" s="49">
        <f t="shared" si="58"/>
        <v>0</v>
      </c>
      <c r="CO49" s="50">
        <f t="shared" si="59"/>
        <v>0</v>
      </c>
      <c r="CP49" s="51"/>
      <c r="CQ49" s="49">
        <f t="shared" si="60"/>
        <v>0</v>
      </c>
      <c r="CR49" s="50">
        <f t="shared" si="61"/>
        <v>0</v>
      </c>
      <c r="CS49" s="51"/>
      <c r="CT49" s="49">
        <f t="shared" si="62"/>
        <v>0</v>
      </c>
      <c r="CU49" s="50">
        <f t="shared" si="63"/>
        <v>0</v>
      </c>
      <c r="CV49" s="51"/>
      <c r="CW49" s="49">
        <f t="shared" si="64"/>
        <v>0</v>
      </c>
      <c r="CX49" s="50">
        <f t="shared" si="65"/>
        <v>0</v>
      </c>
      <c r="CY49" s="51"/>
      <c r="CZ49" s="49">
        <f t="shared" si="66"/>
        <v>0</v>
      </c>
      <c r="DA49" s="50">
        <f t="shared" si="67"/>
        <v>0</v>
      </c>
      <c r="DB49" s="51"/>
      <c r="DC49" s="49">
        <f t="shared" si="68"/>
        <v>0</v>
      </c>
      <c r="DD49" s="50">
        <f t="shared" si="69"/>
        <v>0</v>
      </c>
      <c r="DE49" s="51"/>
      <c r="DF49" s="49">
        <f t="shared" si="70"/>
        <v>0</v>
      </c>
      <c r="DG49" s="50">
        <f t="shared" si="71"/>
        <v>0</v>
      </c>
      <c r="DH49" s="51"/>
      <c r="DI49" s="49">
        <f t="shared" si="72"/>
        <v>0</v>
      </c>
      <c r="DJ49" s="50">
        <f t="shared" si="73"/>
        <v>0</v>
      </c>
      <c r="DK49" s="51"/>
      <c r="DL49" s="49">
        <f t="shared" si="74"/>
        <v>0</v>
      </c>
      <c r="DM49" s="50">
        <f t="shared" si="75"/>
        <v>0</v>
      </c>
      <c r="DN49" s="51"/>
      <c r="DO49" s="49">
        <f t="shared" si="76"/>
        <v>0</v>
      </c>
      <c r="DP49" s="50">
        <f t="shared" si="77"/>
        <v>0</v>
      </c>
      <c r="DQ49" s="51"/>
      <c r="DR49" s="51"/>
      <c r="DS49" s="51"/>
      <c r="DT49" s="46">
        <f t="shared" si="88"/>
        <v>0</v>
      </c>
      <c r="DU49" s="46">
        <f t="shared" si="89"/>
        <v>0</v>
      </c>
      <c r="DV49" s="46">
        <f t="shared" si="90"/>
        <v>0</v>
      </c>
    </row>
    <row r="50" spans="1:126" s="8" customFormat="1" ht="21.95" customHeight="1" x14ac:dyDescent="0.6">
      <c r="A50" s="63"/>
      <c r="B50" s="15" t="s">
        <v>60</v>
      </c>
      <c r="C50" s="16" t="s">
        <v>41</v>
      </c>
      <c r="D50" s="51">
        <v>1440</v>
      </c>
      <c r="E50" s="49">
        <f t="shared" si="0"/>
        <v>20160</v>
      </c>
      <c r="F50" s="50">
        <f t="shared" si="1"/>
        <v>12902.4</v>
      </c>
      <c r="G50" s="51">
        <v>65</v>
      </c>
      <c r="H50" s="49">
        <f t="shared" si="2"/>
        <v>1560</v>
      </c>
      <c r="I50" s="50">
        <f t="shared" si="3"/>
        <v>998.4</v>
      </c>
      <c r="J50" s="51"/>
      <c r="K50" s="49">
        <f t="shared" si="4"/>
        <v>0</v>
      </c>
      <c r="L50" s="50">
        <f t="shared" si="5"/>
        <v>0</v>
      </c>
      <c r="M50" s="51">
        <v>960</v>
      </c>
      <c r="N50" s="49">
        <f t="shared" si="6"/>
        <v>13440</v>
      </c>
      <c r="O50" s="50">
        <f t="shared" si="7"/>
        <v>8601.6</v>
      </c>
      <c r="P50" s="51"/>
      <c r="Q50" s="49">
        <f t="shared" si="8"/>
        <v>0</v>
      </c>
      <c r="R50" s="50">
        <f t="shared" si="9"/>
        <v>0</v>
      </c>
      <c r="S50" s="51"/>
      <c r="T50" s="49">
        <f t="shared" si="10"/>
        <v>0</v>
      </c>
      <c r="U50" s="50">
        <f t="shared" si="11"/>
        <v>0</v>
      </c>
      <c r="V50" s="51">
        <v>50</v>
      </c>
      <c r="W50" s="49">
        <f t="shared" si="12"/>
        <v>700</v>
      </c>
      <c r="X50" s="50">
        <f t="shared" si="13"/>
        <v>448</v>
      </c>
      <c r="Y50" s="51"/>
      <c r="Z50" s="49">
        <f t="shared" si="14"/>
        <v>0</v>
      </c>
      <c r="AA50" s="50">
        <f t="shared" si="15"/>
        <v>0</v>
      </c>
      <c r="AB50" s="51"/>
      <c r="AC50" s="49">
        <f t="shared" si="16"/>
        <v>0</v>
      </c>
      <c r="AD50" s="50">
        <f t="shared" si="17"/>
        <v>0</v>
      </c>
      <c r="AE50" s="51">
        <v>30</v>
      </c>
      <c r="AF50" s="49">
        <f t="shared" si="18"/>
        <v>420</v>
      </c>
      <c r="AG50" s="50">
        <f t="shared" si="19"/>
        <v>268.8</v>
      </c>
      <c r="AH50" s="51">
        <v>240</v>
      </c>
      <c r="AI50" s="49">
        <f t="shared" si="20"/>
        <v>2880</v>
      </c>
      <c r="AJ50" s="50">
        <f t="shared" si="21"/>
        <v>2015.9999999999998</v>
      </c>
      <c r="AK50" s="51"/>
      <c r="AL50" s="49">
        <f t="shared" si="22"/>
        <v>0</v>
      </c>
      <c r="AM50" s="50">
        <f t="shared" si="23"/>
        <v>0</v>
      </c>
      <c r="AN50" s="51"/>
      <c r="AO50" s="49">
        <f t="shared" si="24"/>
        <v>0</v>
      </c>
      <c r="AP50" s="50">
        <f t="shared" si="25"/>
        <v>0</v>
      </c>
      <c r="AQ50" s="51"/>
      <c r="AR50" s="49">
        <f t="shared" si="26"/>
        <v>0</v>
      </c>
      <c r="AS50" s="50">
        <f t="shared" si="27"/>
        <v>0</v>
      </c>
      <c r="AT50" s="51"/>
      <c r="AU50" s="49">
        <f t="shared" si="28"/>
        <v>0</v>
      </c>
      <c r="AV50" s="50">
        <f t="shared" si="29"/>
        <v>0</v>
      </c>
      <c r="AW50" s="51">
        <v>535</v>
      </c>
      <c r="AX50" s="49">
        <f t="shared" si="30"/>
        <v>6420</v>
      </c>
      <c r="AY50" s="50">
        <f t="shared" si="31"/>
        <v>6420</v>
      </c>
      <c r="AZ50" s="51">
        <v>10</v>
      </c>
      <c r="BA50" s="49">
        <f t="shared" si="32"/>
        <v>120</v>
      </c>
      <c r="BB50" s="50">
        <f t="shared" si="33"/>
        <v>72</v>
      </c>
      <c r="BC50" s="51">
        <v>5</v>
      </c>
      <c r="BD50" s="49">
        <f t="shared" si="34"/>
        <v>200</v>
      </c>
      <c r="BE50" s="50">
        <f t="shared" si="35"/>
        <v>70</v>
      </c>
      <c r="BF50" s="51">
        <v>15</v>
      </c>
      <c r="BG50" s="49">
        <f t="shared" si="36"/>
        <v>180</v>
      </c>
      <c r="BH50" s="50">
        <f t="shared" si="37"/>
        <v>180</v>
      </c>
      <c r="BI50" s="51"/>
      <c r="BJ50" s="49">
        <f t="shared" si="38"/>
        <v>0</v>
      </c>
      <c r="BK50" s="50">
        <f t="shared" si="39"/>
        <v>0</v>
      </c>
      <c r="BL50" s="51"/>
      <c r="BM50" s="49">
        <f t="shared" si="40"/>
        <v>0</v>
      </c>
      <c r="BN50" s="50">
        <f t="shared" si="41"/>
        <v>0</v>
      </c>
      <c r="BO50" s="51"/>
      <c r="BP50" s="49">
        <f t="shared" si="42"/>
        <v>0</v>
      </c>
      <c r="BQ50" s="50">
        <f t="shared" si="43"/>
        <v>0</v>
      </c>
      <c r="BR50" s="51"/>
      <c r="BS50" s="49">
        <f t="shared" si="44"/>
        <v>0</v>
      </c>
      <c r="BT50" s="50">
        <f t="shared" si="45"/>
        <v>0</v>
      </c>
      <c r="BU50" s="51"/>
      <c r="BV50" s="49">
        <f t="shared" si="46"/>
        <v>0</v>
      </c>
      <c r="BW50" s="50">
        <f t="shared" si="47"/>
        <v>0</v>
      </c>
      <c r="BX50" s="51"/>
      <c r="BY50" s="49">
        <f t="shared" si="48"/>
        <v>0</v>
      </c>
      <c r="BZ50" s="50">
        <f t="shared" si="49"/>
        <v>0</v>
      </c>
      <c r="CA50" s="51"/>
      <c r="CB50" s="49">
        <f t="shared" si="50"/>
        <v>0</v>
      </c>
      <c r="CC50" s="50">
        <f t="shared" si="51"/>
        <v>0</v>
      </c>
      <c r="CD50" s="51"/>
      <c r="CE50" s="49">
        <f t="shared" si="52"/>
        <v>0</v>
      </c>
      <c r="CF50" s="50">
        <f t="shared" si="53"/>
        <v>0</v>
      </c>
      <c r="CG50" s="51"/>
      <c r="CH50" s="49">
        <f t="shared" si="54"/>
        <v>0</v>
      </c>
      <c r="CI50" s="50">
        <f t="shared" si="55"/>
        <v>0</v>
      </c>
      <c r="CJ50" s="51"/>
      <c r="CK50" s="49">
        <f t="shared" si="56"/>
        <v>0</v>
      </c>
      <c r="CL50" s="50">
        <f t="shared" si="57"/>
        <v>0</v>
      </c>
      <c r="CM50" s="51"/>
      <c r="CN50" s="49">
        <f t="shared" si="58"/>
        <v>0</v>
      </c>
      <c r="CO50" s="50">
        <f t="shared" si="59"/>
        <v>0</v>
      </c>
      <c r="CP50" s="51"/>
      <c r="CQ50" s="49">
        <f t="shared" si="60"/>
        <v>0</v>
      </c>
      <c r="CR50" s="50">
        <f t="shared" si="61"/>
        <v>0</v>
      </c>
      <c r="CS50" s="51"/>
      <c r="CT50" s="49">
        <f t="shared" si="62"/>
        <v>0</v>
      </c>
      <c r="CU50" s="50">
        <f t="shared" si="63"/>
        <v>0</v>
      </c>
      <c r="CV50" s="51"/>
      <c r="CW50" s="49">
        <f t="shared" si="64"/>
        <v>0</v>
      </c>
      <c r="CX50" s="50">
        <f t="shared" si="65"/>
        <v>0</v>
      </c>
      <c r="CY50" s="51"/>
      <c r="CZ50" s="49">
        <f t="shared" si="66"/>
        <v>0</v>
      </c>
      <c r="DA50" s="50">
        <f t="shared" si="67"/>
        <v>0</v>
      </c>
      <c r="DB50" s="51"/>
      <c r="DC50" s="49">
        <f t="shared" si="68"/>
        <v>0</v>
      </c>
      <c r="DD50" s="50">
        <f t="shared" si="69"/>
        <v>0</v>
      </c>
      <c r="DE50" s="51"/>
      <c r="DF50" s="49">
        <f t="shared" si="70"/>
        <v>0</v>
      </c>
      <c r="DG50" s="50">
        <f t="shared" si="71"/>
        <v>0</v>
      </c>
      <c r="DH50" s="51"/>
      <c r="DI50" s="49">
        <f t="shared" si="72"/>
        <v>0</v>
      </c>
      <c r="DJ50" s="50">
        <f t="shared" si="73"/>
        <v>0</v>
      </c>
      <c r="DK50" s="51"/>
      <c r="DL50" s="49">
        <f t="shared" si="74"/>
        <v>0</v>
      </c>
      <c r="DM50" s="50">
        <f t="shared" si="75"/>
        <v>0</v>
      </c>
      <c r="DN50" s="51"/>
      <c r="DO50" s="49">
        <f t="shared" si="76"/>
        <v>0</v>
      </c>
      <c r="DP50" s="50">
        <f t="shared" si="77"/>
        <v>0</v>
      </c>
      <c r="DQ50" s="51"/>
      <c r="DR50" s="51"/>
      <c r="DS50" s="51"/>
      <c r="DT50" s="46">
        <f t="shared" si="88"/>
        <v>3350</v>
      </c>
      <c r="DU50" s="46">
        <f t="shared" si="89"/>
        <v>46080</v>
      </c>
      <c r="DV50" s="46">
        <f t="shared" si="90"/>
        <v>31977.200000000001</v>
      </c>
    </row>
    <row r="51" spans="1:126" s="8" customFormat="1" ht="21.95" customHeight="1" x14ac:dyDescent="0.6">
      <c r="A51" s="63"/>
      <c r="B51" s="15" t="s">
        <v>61</v>
      </c>
      <c r="C51" s="16" t="s">
        <v>41</v>
      </c>
      <c r="D51" s="51">
        <v>5130</v>
      </c>
      <c r="E51" s="49">
        <f t="shared" si="0"/>
        <v>71820</v>
      </c>
      <c r="F51" s="50">
        <f t="shared" si="1"/>
        <v>45964.800000000003</v>
      </c>
      <c r="G51" s="51"/>
      <c r="H51" s="49">
        <f t="shared" si="2"/>
        <v>0</v>
      </c>
      <c r="I51" s="50">
        <f t="shared" si="3"/>
        <v>0</v>
      </c>
      <c r="J51" s="51"/>
      <c r="K51" s="49">
        <f t="shared" si="4"/>
        <v>0</v>
      </c>
      <c r="L51" s="50">
        <f t="shared" si="5"/>
        <v>0</v>
      </c>
      <c r="M51" s="51">
        <v>4111</v>
      </c>
      <c r="N51" s="49">
        <f t="shared" si="6"/>
        <v>57554</v>
      </c>
      <c r="O51" s="50">
        <f t="shared" si="7"/>
        <v>36834.559999999998</v>
      </c>
      <c r="P51" s="51"/>
      <c r="Q51" s="49">
        <f t="shared" si="8"/>
        <v>0</v>
      </c>
      <c r="R51" s="50">
        <f t="shared" si="9"/>
        <v>0</v>
      </c>
      <c r="S51" s="51"/>
      <c r="T51" s="49">
        <f t="shared" si="10"/>
        <v>0</v>
      </c>
      <c r="U51" s="50">
        <f t="shared" si="11"/>
        <v>0</v>
      </c>
      <c r="V51" s="51"/>
      <c r="W51" s="49">
        <f t="shared" si="12"/>
        <v>0</v>
      </c>
      <c r="X51" s="50">
        <f t="shared" si="13"/>
        <v>0</v>
      </c>
      <c r="Y51" s="51"/>
      <c r="Z51" s="49">
        <f t="shared" si="14"/>
        <v>0</v>
      </c>
      <c r="AA51" s="50">
        <f t="shared" si="15"/>
        <v>0</v>
      </c>
      <c r="AB51" s="51"/>
      <c r="AC51" s="49">
        <f t="shared" si="16"/>
        <v>0</v>
      </c>
      <c r="AD51" s="50">
        <f t="shared" si="17"/>
        <v>0</v>
      </c>
      <c r="AE51" s="51"/>
      <c r="AF51" s="49">
        <f t="shared" si="18"/>
        <v>0</v>
      </c>
      <c r="AG51" s="50">
        <f t="shared" si="19"/>
        <v>0</v>
      </c>
      <c r="AH51" s="51">
        <v>100</v>
      </c>
      <c r="AI51" s="49">
        <f t="shared" si="20"/>
        <v>1200</v>
      </c>
      <c r="AJ51" s="50">
        <f t="shared" si="21"/>
        <v>840</v>
      </c>
      <c r="AK51" s="51"/>
      <c r="AL51" s="49">
        <f t="shared" si="22"/>
        <v>0</v>
      </c>
      <c r="AM51" s="50">
        <f t="shared" si="23"/>
        <v>0</v>
      </c>
      <c r="AN51" s="51"/>
      <c r="AO51" s="49">
        <f t="shared" si="24"/>
        <v>0</v>
      </c>
      <c r="AP51" s="50">
        <f t="shared" si="25"/>
        <v>0</v>
      </c>
      <c r="AQ51" s="51"/>
      <c r="AR51" s="49">
        <f t="shared" si="26"/>
        <v>0</v>
      </c>
      <c r="AS51" s="50">
        <f t="shared" si="27"/>
        <v>0</v>
      </c>
      <c r="AT51" s="51"/>
      <c r="AU51" s="49">
        <f t="shared" si="28"/>
        <v>0</v>
      </c>
      <c r="AV51" s="50">
        <f t="shared" si="29"/>
        <v>0</v>
      </c>
      <c r="AW51" s="51">
        <v>5970</v>
      </c>
      <c r="AX51" s="49">
        <f t="shared" si="30"/>
        <v>71640</v>
      </c>
      <c r="AY51" s="50">
        <f t="shared" si="31"/>
        <v>71640</v>
      </c>
      <c r="AZ51" s="51">
        <v>40</v>
      </c>
      <c r="BA51" s="49">
        <f t="shared" si="32"/>
        <v>480</v>
      </c>
      <c r="BB51" s="50">
        <f t="shared" si="33"/>
        <v>288</v>
      </c>
      <c r="BC51" s="51">
        <v>240</v>
      </c>
      <c r="BD51" s="49">
        <f t="shared" si="34"/>
        <v>9600</v>
      </c>
      <c r="BE51" s="50">
        <f t="shared" si="35"/>
        <v>3360</v>
      </c>
      <c r="BF51" s="51">
        <v>270</v>
      </c>
      <c r="BG51" s="49">
        <f t="shared" si="36"/>
        <v>3240</v>
      </c>
      <c r="BH51" s="50">
        <f t="shared" si="37"/>
        <v>3240</v>
      </c>
      <c r="BI51" s="51"/>
      <c r="BJ51" s="49">
        <f t="shared" si="38"/>
        <v>0</v>
      </c>
      <c r="BK51" s="50">
        <f t="shared" si="39"/>
        <v>0</v>
      </c>
      <c r="BL51" s="51">
        <v>30</v>
      </c>
      <c r="BM51" s="49">
        <f t="shared" si="40"/>
        <v>1200</v>
      </c>
      <c r="BN51" s="50">
        <f t="shared" si="41"/>
        <v>420</v>
      </c>
      <c r="BO51" s="51"/>
      <c r="BP51" s="49">
        <f t="shared" si="42"/>
        <v>0</v>
      </c>
      <c r="BQ51" s="50">
        <f t="shared" si="43"/>
        <v>0</v>
      </c>
      <c r="BR51" s="51"/>
      <c r="BS51" s="49">
        <f t="shared" si="44"/>
        <v>0</v>
      </c>
      <c r="BT51" s="50">
        <f t="shared" si="45"/>
        <v>0</v>
      </c>
      <c r="BU51" s="51"/>
      <c r="BV51" s="49">
        <f t="shared" si="46"/>
        <v>0</v>
      </c>
      <c r="BW51" s="50">
        <f t="shared" si="47"/>
        <v>0</v>
      </c>
      <c r="BX51" s="51"/>
      <c r="BY51" s="49">
        <f t="shared" si="48"/>
        <v>0</v>
      </c>
      <c r="BZ51" s="50">
        <f t="shared" si="49"/>
        <v>0</v>
      </c>
      <c r="CA51" s="51"/>
      <c r="CB51" s="49">
        <f t="shared" si="50"/>
        <v>0</v>
      </c>
      <c r="CC51" s="50">
        <f t="shared" si="51"/>
        <v>0</v>
      </c>
      <c r="CD51" s="51"/>
      <c r="CE51" s="49">
        <f t="shared" si="52"/>
        <v>0</v>
      </c>
      <c r="CF51" s="50">
        <f t="shared" si="53"/>
        <v>0</v>
      </c>
      <c r="CG51" s="51"/>
      <c r="CH51" s="49">
        <f t="shared" si="54"/>
        <v>0</v>
      </c>
      <c r="CI51" s="50">
        <f t="shared" si="55"/>
        <v>0</v>
      </c>
      <c r="CJ51" s="51"/>
      <c r="CK51" s="49">
        <f t="shared" si="56"/>
        <v>0</v>
      </c>
      <c r="CL51" s="50">
        <f t="shared" si="57"/>
        <v>0</v>
      </c>
      <c r="CM51" s="51"/>
      <c r="CN51" s="49">
        <f t="shared" si="58"/>
        <v>0</v>
      </c>
      <c r="CO51" s="50">
        <f t="shared" si="59"/>
        <v>0</v>
      </c>
      <c r="CP51" s="51"/>
      <c r="CQ51" s="49">
        <f t="shared" si="60"/>
        <v>0</v>
      </c>
      <c r="CR51" s="50">
        <f t="shared" si="61"/>
        <v>0</v>
      </c>
      <c r="CS51" s="51"/>
      <c r="CT51" s="49">
        <f t="shared" si="62"/>
        <v>0</v>
      </c>
      <c r="CU51" s="50">
        <f t="shared" si="63"/>
        <v>0</v>
      </c>
      <c r="CV51" s="51"/>
      <c r="CW51" s="49">
        <f t="shared" si="64"/>
        <v>0</v>
      </c>
      <c r="CX51" s="50">
        <f t="shared" si="65"/>
        <v>0</v>
      </c>
      <c r="CY51" s="51"/>
      <c r="CZ51" s="49">
        <f t="shared" si="66"/>
        <v>0</v>
      </c>
      <c r="DA51" s="50">
        <f t="shared" si="67"/>
        <v>0</v>
      </c>
      <c r="DB51" s="51"/>
      <c r="DC51" s="49">
        <f t="shared" si="68"/>
        <v>0</v>
      </c>
      <c r="DD51" s="50">
        <f t="shared" si="69"/>
        <v>0</v>
      </c>
      <c r="DE51" s="51">
        <v>10</v>
      </c>
      <c r="DF51" s="49">
        <f t="shared" si="70"/>
        <v>120</v>
      </c>
      <c r="DG51" s="50">
        <f t="shared" si="71"/>
        <v>120</v>
      </c>
      <c r="DH51" s="51"/>
      <c r="DI51" s="49">
        <f t="shared" si="72"/>
        <v>0</v>
      </c>
      <c r="DJ51" s="50">
        <f t="shared" si="73"/>
        <v>0</v>
      </c>
      <c r="DK51" s="51"/>
      <c r="DL51" s="49">
        <f t="shared" si="74"/>
        <v>0</v>
      </c>
      <c r="DM51" s="50">
        <f t="shared" si="75"/>
        <v>0</v>
      </c>
      <c r="DN51" s="51"/>
      <c r="DO51" s="49">
        <f t="shared" si="76"/>
        <v>0</v>
      </c>
      <c r="DP51" s="50">
        <f t="shared" si="77"/>
        <v>0</v>
      </c>
      <c r="DQ51" s="51"/>
      <c r="DR51" s="51"/>
      <c r="DS51" s="51"/>
      <c r="DT51" s="46">
        <f t="shared" si="88"/>
        <v>15901</v>
      </c>
      <c r="DU51" s="46">
        <f t="shared" si="89"/>
        <v>216854</v>
      </c>
      <c r="DV51" s="46">
        <f t="shared" si="90"/>
        <v>162707.35999999999</v>
      </c>
    </row>
    <row r="52" spans="1:126" s="8" customFormat="1" ht="21.95" customHeight="1" x14ac:dyDescent="0.6">
      <c r="A52" s="63"/>
      <c r="B52" s="15" t="s">
        <v>54</v>
      </c>
      <c r="C52" s="16" t="s">
        <v>42</v>
      </c>
      <c r="D52" s="51">
        <v>87</v>
      </c>
      <c r="E52" s="49">
        <f t="shared" si="0"/>
        <v>1218</v>
      </c>
      <c r="F52" s="50">
        <f t="shared" si="1"/>
        <v>779.52</v>
      </c>
      <c r="G52" s="51"/>
      <c r="H52" s="49">
        <f t="shared" si="2"/>
        <v>0</v>
      </c>
      <c r="I52" s="50">
        <f t="shared" si="3"/>
        <v>0</v>
      </c>
      <c r="J52" s="51"/>
      <c r="K52" s="49">
        <f t="shared" si="4"/>
        <v>0</v>
      </c>
      <c r="L52" s="50">
        <f t="shared" si="5"/>
        <v>0</v>
      </c>
      <c r="M52" s="51"/>
      <c r="N52" s="49">
        <f t="shared" si="6"/>
        <v>0</v>
      </c>
      <c r="O52" s="50">
        <f t="shared" si="7"/>
        <v>0</v>
      </c>
      <c r="P52" s="51"/>
      <c r="Q52" s="49">
        <f t="shared" si="8"/>
        <v>0</v>
      </c>
      <c r="R52" s="50">
        <f t="shared" si="9"/>
        <v>0</v>
      </c>
      <c r="S52" s="51"/>
      <c r="T52" s="49">
        <f t="shared" si="10"/>
        <v>0</v>
      </c>
      <c r="U52" s="50">
        <f t="shared" si="11"/>
        <v>0</v>
      </c>
      <c r="V52" s="51"/>
      <c r="W52" s="49">
        <f t="shared" si="12"/>
        <v>0</v>
      </c>
      <c r="X52" s="50">
        <f t="shared" si="13"/>
        <v>0</v>
      </c>
      <c r="Y52" s="51"/>
      <c r="Z52" s="49">
        <f t="shared" si="14"/>
        <v>0</v>
      </c>
      <c r="AA52" s="50">
        <f t="shared" si="15"/>
        <v>0</v>
      </c>
      <c r="AB52" s="51"/>
      <c r="AC52" s="49">
        <f t="shared" si="16"/>
        <v>0</v>
      </c>
      <c r="AD52" s="50">
        <f t="shared" si="17"/>
        <v>0</v>
      </c>
      <c r="AE52" s="51"/>
      <c r="AF52" s="49">
        <f t="shared" si="18"/>
        <v>0</v>
      </c>
      <c r="AG52" s="50">
        <f t="shared" si="19"/>
        <v>0</v>
      </c>
      <c r="AH52" s="51"/>
      <c r="AI52" s="49">
        <f t="shared" si="20"/>
        <v>0</v>
      </c>
      <c r="AJ52" s="50">
        <f t="shared" si="21"/>
        <v>0</v>
      </c>
      <c r="AK52" s="51"/>
      <c r="AL52" s="49">
        <f t="shared" si="22"/>
        <v>0</v>
      </c>
      <c r="AM52" s="50">
        <f t="shared" si="23"/>
        <v>0</v>
      </c>
      <c r="AN52" s="51"/>
      <c r="AO52" s="49">
        <f t="shared" si="24"/>
        <v>0</v>
      </c>
      <c r="AP52" s="50">
        <f t="shared" si="25"/>
        <v>0</v>
      </c>
      <c r="AQ52" s="51"/>
      <c r="AR52" s="49">
        <f t="shared" si="26"/>
        <v>0</v>
      </c>
      <c r="AS52" s="50">
        <f t="shared" si="27"/>
        <v>0</v>
      </c>
      <c r="AT52" s="51"/>
      <c r="AU52" s="49">
        <f t="shared" si="28"/>
        <v>0</v>
      </c>
      <c r="AV52" s="50">
        <f t="shared" si="29"/>
        <v>0</v>
      </c>
      <c r="AW52" s="51">
        <v>390</v>
      </c>
      <c r="AX52" s="49">
        <f t="shared" si="30"/>
        <v>4680</v>
      </c>
      <c r="AY52" s="50">
        <f t="shared" si="31"/>
        <v>4680</v>
      </c>
      <c r="AZ52" s="51"/>
      <c r="BA52" s="49">
        <f t="shared" si="32"/>
        <v>0</v>
      </c>
      <c r="BB52" s="50">
        <f t="shared" si="33"/>
        <v>0</v>
      </c>
      <c r="BC52" s="51">
        <v>3</v>
      </c>
      <c r="BD52" s="49">
        <f t="shared" si="34"/>
        <v>120</v>
      </c>
      <c r="BE52" s="50">
        <f t="shared" si="35"/>
        <v>42</v>
      </c>
      <c r="BF52" s="51"/>
      <c r="BG52" s="49">
        <f t="shared" si="36"/>
        <v>0</v>
      </c>
      <c r="BH52" s="50">
        <f t="shared" si="37"/>
        <v>0</v>
      </c>
      <c r="BI52" s="51"/>
      <c r="BJ52" s="49">
        <f t="shared" si="38"/>
        <v>0</v>
      </c>
      <c r="BK52" s="50">
        <f t="shared" si="39"/>
        <v>0</v>
      </c>
      <c r="BL52" s="51">
        <v>2</v>
      </c>
      <c r="BM52" s="49">
        <f t="shared" si="40"/>
        <v>80</v>
      </c>
      <c r="BN52" s="50">
        <f t="shared" si="41"/>
        <v>28</v>
      </c>
      <c r="BO52" s="51"/>
      <c r="BP52" s="49">
        <f t="shared" si="42"/>
        <v>0</v>
      </c>
      <c r="BQ52" s="50">
        <f t="shared" si="43"/>
        <v>0</v>
      </c>
      <c r="BR52" s="51"/>
      <c r="BS52" s="49">
        <f t="shared" si="44"/>
        <v>0</v>
      </c>
      <c r="BT52" s="50">
        <f t="shared" si="45"/>
        <v>0</v>
      </c>
      <c r="BU52" s="51"/>
      <c r="BV52" s="49">
        <f t="shared" si="46"/>
        <v>0</v>
      </c>
      <c r="BW52" s="50">
        <f t="shared" si="47"/>
        <v>0</v>
      </c>
      <c r="BX52" s="51"/>
      <c r="BY52" s="49">
        <f t="shared" si="48"/>
        <v>0</v>
      </c>
      <c r="BZ52" s="50">
        <f t="shared" si="49"/>
        <v>0</v>
      </c>
      <c r="CA52" s="51"/>
      <c r="CB52" s="49">
        <f t="shared" si="50"/>
        <v>0</v>
      </c>
      <c r="CC52" s="50">
        <f t="shared" si="51"/>
        <v>0</v>
      </c>
      <c r="CD52" s="51"/>
      <c r="CE52" s="49">
        <f t="shared" si="52"/>
        <v>0</v>
      </c>
      <c r="CF52" s="50">
        <f t="shared" si="53"/>
        <v>0</v>
      </c>
      <c r="CG52" s="51"/>
      <c r="CH52" s="49">
        <f t="shared" si="54"/>
        <v>0</v>
      </c>
      <c r="CI52" s="50">
        <f t="shared" si="55"/>
        <v>0</v>
      </c>
      <c r="CJ52" s="51"/>
      <c r="CK52" s="49">
        <f t="shared" si="56"/>
        <v>0</v>
      </c>
      <c r="CL52" s="50">
        <f t="shared" si="57"/>
        <v>0</v>
      </c>
      <c r="CM52" s="51"/>
      <c r="CN52" s="49">
        <f t="shared" si="58"/>
        <v>0</v>
      </c>
      <c r="CO52" s="50">
        <f t="shared" si="59"/>
        <v>0</v>
      </c>
      <c r="CP52" s="51"/>
      <c r="CQ52" s="49">
        <f t="shared" si="60"/>
        <v>0</v>
      </c>
      <c r="CR52" s="50">
        <f t="shared" si="61"/>
        <v>0</v>
      </c>
      <c r="CS52" s="51"/>
      <c r="CT52" s="49">
        <f t="shared" si="62"/>
        <v>0</v>
      </c>
      <c r="CU52" s="50">
        <f t="shared" si="63"/>
        <v>0</v>
      </c>
      <c r="CV52" s="51"/>
      <c r="CW52" s="49">
        <f t="shared" si="64"/>
        <v>0</v>
      </c>
      <c r="CX52" s="50">
        <f t="shared" si="65"/>
        <v>0</v>
      </c>
      <c r="CY52" s="51"/>
      <c r="CZ52" s="49">
        <f t="shared" si="66"/>
        <v>0</v>
      </c>
      <c r="DA52" s="50">
        <f t="shared" si="67"/>
        <v>0</v>
      </c>
      <c r="DB52" s="51"/>
      <c r="DC52" s="49">
        <f t="shared" si="68"/>
        <v>0</v>
      </c>
      <c r="DD52" s="50">
        <f t="shared" si="69"/>
        <v>0</v>
      </c>
      <c r="DE52" s="51"/>
      <c r="DF52" s="49">
        <f t="shared" si="70"/>
        <v>0</v>
      </c>
      <c r="DG52" s="50">
        <f t="shared" si="71"/>
        <v>0</v>
      </c>
      <c r="DH52" s="51"/>
      <c r="DI52" s="49">
        <f t="shared" si="72"/>
        <v>0</v>
      </c>
      <c r="DJ52" s="50">
        <f t="shared" si="73"/>
        <v>0</v>
      </c>
      <c r="DK52" s="51"/>
      <c r="DL52" s="49">
        <f t="shared" si="74"/>
        <v>0</v>
      </c>
      <c r="DM52" s="50">
        <f t="shared" si="75"/>
        <v>0</v>
      </c>
      <c r="DN52" s="51"/>
      <c r="DO52" s="49">
        <f t="shared" si="76"/>
        <v>0</v>
      </c>
      <c r="DP52" s="50">
        <f t="shared" si="77"/>
        <v>0</v>
      </c>
      <c r="DQ52" s="51"/>
      <c r="DR52" s="51"/>
      <c r="DS52" s="51"/>
      <c r="DT52" s="46">
        <f t="shared" si="88"/>
        <v>482</v>
      </c>
      <c r="DU52" s="46">
        <f t="shared" si="89"/>
        <v>6098</v>
      </c>
      <c r="DV52" s="46">
        <f t="shared" si="90"/>
        <v>5529.52</v>
      </c>
    </row>
    <row r="53" spans="1:126" s="8" customFormat="1" ht="21.95" customHeight="1" x14ac:dyDescent="0.6">
      <c r="A53" s="63"/>
      <c r="B53" s="15" t="s">
        <v>56</v>
      </c>
      <c r="C53" s="16" t="s">
        <v>42</v>
      </c>
      <c r="D53" s="51">
        <v>195</v>
      </c>
      <c r="E53" s="49">
        <f t="shared" si="0"/>
        <v>2730</v>
      </c>
      <c r="F53" s="50">
        <f t="shared" si="1"/>
        <v>1747.2</v>
      </c>
      <c r="G53" s="51"/>
      <c r="H53" s="49">
        <f t="shared" si="2"/>
        <v>0</v>
      </c>
      <c r="I53" s="50">
        <f t="shared" si="3"/>
        <v>0</v>
      </c>
      <c r="J53" s="51"/>
      <c r="K53" s="49">
        <f t="shared" si="4"/>
        <v>0</v>
      </c>
      <c r="L53" s="50">
        <f t="shared" si="5"/>
        <v>0</v>
      </c>
      <c r="M53" s="51"/>
      <c r="N53" s="49">
        <f t="shared" si="6"/>
        <v>0</v>
      </c>
      <c r="O53" s="50">
        <f t="shared" si="7"/>
        <v>0</v>
      </c>
      <c r="P53" s="51"/>
      <c r="Q53" s="49">
        <f t="shared" si="8"/>
        <v>0</v>
      </c>
      <c r="R53" s="50">
        <f t="shared" si="9"/>
        <v>0</v>
      </c>
      <c r="S53" s="51"/>
      <c r="T53" s="49">
        <f t="shared" si="10"/>
        <v>0</v>
      </c>
      <c r="U53" s="50">
        <f t="shared" si="11"/>
        <v>0</v>
      </c>
      <c r="V53" s="51"/>
      <c r="W53" s="49">
        <f t="shared" si="12"/>
        <v>0</v>
      </c>
      <c r="X53" s="50">
        <f t="shared" si="13"/>
        <v>0</v>
      </c>
      <c r="Y53" s="51"/>
      <c r="Z53" s="49">
        <f t="shared" si="14"/>
        <v>0</v>
      </c>
      <c r="AA53" s="50">
        <f t="shared" si="15"/>
        <v>0</v>
      </c>
      <c r="AB53" s="51"/>
      <c r="AC53" s="49">
        <f t="shared" si="16"/>
        <v>0</v>
      </c>
      <c r="AD53" s="50">
        <f t="shared" si="17"/>
        <v>0</v>
      </c>
      <c r="AE53" s="51"/>
      <c r="AF53" s="49">
        <f t="shared" si="18"/>
        <v>0</v>
      </c>
      <c r="AG53" s="50">
        <f t="shared" si="19"/>
        <v>0</v>
      </c>
      <c r="AH53" s="51"/>
      <c r="AI53" s="49">
        <f t="shared" si="20"/>
        <v>0</v>
      </c>
      <c r="AJ53" s="50">
        <f t="shared" si="21"/>
        <v>0</v>
      </c>
      <c r="AK53" s="51"/>
      <c r="AL53" s="49">
        <f t="shared" si="22"/>
        <v>0</v>
      </c>
      <c r="AM53" s="50">
        <f t="shared" si="23"/>
        <v>0</v>
      </c>
      <c r="AN53" s="51"/>
      <c r="AO53" s="49">
        <f t="shared" si="24"/>
        <v>0</v>
      </c>
      <c r="AP53" s="50">
        <f t="shared" si="25"/>
        <v>0</v>
      </c>
      <c r="AQ53" s="51"/>
      <c r="AR53" s="49">
        <f t="shared" si="26"/>
        <v>0</v>
      </c>
      <c r="AS53" s="50">
        <f t="shared" si="27"/>
        <v>0</v>
      </c>
      <c r="AT53" s="51"/>
      <c r="AU53" s="49">
        <f t="shared" si="28"/>
        <v>0</v>
      </c>
      <c r="AV53" s="50">
        <f t="shared" si="29"/>
        <v>0</v>
      </c>
      <c r="AW53" s="51">
        <v>375</v>
      </c>
      <c r="AX53" s="49">
        <f t="shared" si="30"/>
        <v>4500</v>
      </c>
      <c r="AY53" s="50">
        <f t="shared" si="31"/>
        <v>4500</v>
      </c>
      <c r="AZ53" s="51">
        <v>20</v>
      </c>
      <c r="BA53" s="49">
        <f t="shared" si="32"/>
        <v>240</v>
      </c>
      <c r="BB53" s="50">
        <f t="shared" si="33"/>
        <v>144</v>
      </c>
      <c r="BC53" s="51">
        <v>10</v>
      </c>
      <c r="BD53" s="49">
        <f t="shared" si="34"/>
        <v>400</v>
      </c>
      <c r="BE53" s="50">
        <f t="shared" si="35"/>
        <v>140</v>
      </c>
      <c r="BF53" s="51"/>
      <c r="BG53" s="49">
        <f t="shared" si="36"/>
        <v>0</v>
      </c>
      <c r="BH53" s="50">
        <f t="shared" si="37"/>
        <v>0</v>
      </c>
      <c r="BI53" s="51"/>
      <c r="BJ53" s="49">
        <f t="shared" si="38"/>
        <v>0</v>
      </c>
      <c r="BK53" s="50">
        <f t="shared" si="39"/>
        <v>0</v>
      </c>
      <c r="BL53" s="51"/>
      <c r="BM53" s="49">
        <f t="shared" si="40"/>
        <v>0</v>
      </c>
      <c r="BN53" s="50">
        <f t="shared" si="41"/>
        <v>0</v>
      </c>
      <c r="BO53" s="51"/>
      <c r="BP53" s="49">
        <f t="shared" si="42"/>
        <v>0</v>
      </c>
      <c r="BQ53" s="50">
        <f t="shared" si="43"/>
        <v>0</v>
      </c>
      <c r="BR53" s="51"/>
      <c r="BS53" s="49">
        <f t="shared" si="44"/>
        <v>0</v>
      </c>
      <c r="BT53" s="50">
        <f t="shared" si="45"/>
        <v>0</v>
      </c>
      <c r="BU53" s="51"/>
      <c r="BV53" s="49">
        <f t="shared" si="46"/>
        <v>0</v>
      </c>
      <c r="BW53" s="50">
        <f t="shared" si="47"/>
        <v>0</v>
      </c>
      <c r="BX53" s="51"/>
      <c r="BY53" s="49">
        <f t="shared" si="48"/>
        <v>0</v>
      </c>
      <c r="BZ53" s="50">
        <f t="shared" si="49"/>
        <v>0</v>
      </c>
      <c r="CA53" s="51"/>
      <c r="CB53" s="49">
        <f t="shared" si="50"/>
        <v>0</v>
      </c>
      <c r="CC53" s="50">
        <f t="shared" si="51"/>
        <v>0</v>
      </c>
      <c r="CD53" s="51"/>
      <c r="CE53" s="49">
        <f t="shared" si="52"/>
        <v>0</v>
      </c>
      <c r="CF53" s="50">
        <f t="shared" si="53"/>
        <v>0</v>
      </c>
      <c r="CG53" s="51"/>
      <c r="CH53" s="49">
        <f t="shared" si="54"/>
        <v>0</v>
      </c>
      <c r="CI53" s="50">
        <f t="shared" si="55"/>
        <v>0</v>
      </c>
      <c r="CJ53" s="51"/>
      <c r="CK53" s="49">
        <f t="shared" si="56"/>
        <v>0</v>
      </c>
      <c r="CL53" s="50">
        <f t="shared" si="57"/>
        <v>0</v>
      </c>
      <c r="CM53" s="51"/>
      <c r="CN53" s="49">
        <f t="shared" si="58"/>
        <v>0</v>
      </c>
      <c r="CO53" s="50">
        <f t="shared" si="59"/>
        <v>0</v>
      </c>
      <c r="CP53" s="51"/>
      <c r="CQ53" s="49">
        <f t="shared" si="60"/>
        <v>0</v>
      </c>
      <c r="CR53" s="50">
        <f t="shared" si="61"/>
        <v>0</v>
      </c>
      <c r="CS53" s="51"/>
      <c r="CT53" s="49">
        <f t="shared" si="62"/>
        <v>0</v>
      </c>
      <c r="CU53" s="50">
        <f t="shared" si="63"/>
        <v>0</v>
      </c>
      <c r="CV53" s="51"/>
      <c r="CW53" s="49">
        <f t="shared" si="64"/>
        <v>0</v>
      </c>
      <c r="CX53" s="50">
        <f t="shared" si="65"/>
        <v>0</v>
      </c>
      <c r="CY53" s="51"/>
      <c r="CZ53" s="49">
        <f t="shared" si="66"/>
        <v>0</v>
      </c>
      <c r="DA53" s="50">
        <f t="shared" si="67"/>
        <v>0</v>
      </c>
      <c r="DB53" s="51"/>
      <c r="DC53" s="49">
        <f t="shared" si="68"/>
        <v>0</v>
      </c>
      <c r="DD53" s="50">
        <f t="shared" si="69"/>
        <v>0</v>
      </c>
      <c r="DE53" s="51"/>
      <c r="DF53" s="49">
        <f t="shared" si="70"/>
        <v>0</v>
      </c>
      <c r="DG53" s="50">
        <f t="shared" si="71"/>
        <v>0</v>
      </c>
      <c r="DH53" s="51"/>
      <c r="DI53" s="49">
        <f t="shared" si="72"/>
        <v>0</v>
      </c>
      <c r="DJ53" s="50">
        <f t="shared" si="73"/>
        <v>0</v>
      </c>
      <c r="DK53" s="51"/>
      <c r="DL53" s="49">
        <f t="shared" si="74"/>
        <v>0</v>
      </c>
      <c r="DM53" s="50">
        <f t="shared" si="75"/>
        <v>0</v>
      </c>
      <c r="DN53" s="51"/>
      <c r="DO53" s="49">
        <f t="shared" si="76"/>
        <v>0</v>
      </c>
      <c r="DP53" s="50">
        <f t="shared" si="77"/>
        <v>0</v>
      </c>
      <c r="DQ53" s="51"/>
      <c r="DR53" s="51"/>
      <c r="DS53" s="51"/>
      <c r="DT53" s="46">
        <f t="shared" si="88"/>
        <v>600</v>
      </c>
      <c r="DU53" s="46">
        <f t="shared" si="89"/>
        <v>7870</v>
      </c>
      <c r="DV53" s="46">
        <f t="shared" si="90"/>
        <v>6531.2</v>
      </c>
    </row>
    <row r="54" spans="1:126" s="8" customFormat="1" ht="21.95" customHeight="1" x14ac:dyDescent="0.6">
      <c r="A54" s="63"/>
      <c r="B54" s="15" t="s">
        <v>58</v>
      </c>
      <c r="C54" s="16" t="s">
        <v>42</v>
      </c>
      <c r="D54" s="51">
        <v>100</v>
      </c>
      <c r="E54" s="49">
        <f t="shared" si="0"/>
        <v>1400</v>
      </c>
      <c r="F54" s="50">
        <f t="shared" si="1"/>
        <v>896</v>
      </c>
      <c r="G54" s="51"/>
      <c r="H54" s="49">
        <f t="shared" si="2"/>
        <v>0</v>
      </c>
      <c r="I54" s="50">
        <f t="shared" si="3"/>
        <v>0</v>
      </c>
      <c r="J54" s="51"/>
      <c r="K54" s="49">
        <f t="shared" si="4"/>
        <v>0</v>
      </c>
      <c r="L54" s="50">
        <f t="shared" si="5"/>
        <v>0</v>
      </c>
      <c r="M54" s="51"/>
      <c r="N54" s="49">
        <f t="shared" si="6"/>
        <v>0</v>
      </c>
      <c r="O54" s="50">
        <f t="shared" si="7"/>
        <v>0</v>
      </c>
      <c r="P54" s="51"/>
      <c r="Q54" s="49">
        <f t="shared" si="8"/>
        <v>0</v>
      </c>
      <c r="R54" s="50">
        <f t="shared" si="9"/>
        <v>0</v>
      </c>
      <c r="S54" s="51"/>
      <c r="T54" s="49">
        <f t="shared" si="10"/>
        <v>0</v>
      </c>
      <c r="U54" s="50">
        <f t="shared" si="11"/>
        <v>0</v>
      </c>
      <c r="V54" s="51"/>
      <c r="W54" s="49">
        <f t="shared" si="12"/>
        <v>0</v>
      </c>
      <c r="X54" s="50">
        <f t="shared" si="13"/>
        <v>0</v>
      </c>
      <c r="Y54" s="51"/>
      <c r="Z54" s="49">
        <f t="shared" si="14"/>
        <v>0</v>
      </c>
      <c r="AA54" s="50">
        <f t="shared" si="15"/>
        <v>0</v>
      </c>
      <c r="AB54" s="51"/>
      <c r="AC54" s="49">
        <f t="shared" si="16"/>
        <v>0</v>
      </c>
      <c r="AD54" s="50">
        <f t="shared" si="17"/>
        <v>0</v>
      </c>
      <c r="AE54" s="51"/>
      <c r="AF54" s="49">
        <f t="shared" si="18"/>
        <v>0</v>
      </c>
      <c r="AG54" s="50">
        <f t="shared" si="19"/>
        <v>0</v>
      </c>
      <c r="AH54" s="51"/>
      <c r="AI54" s="49">
        <f t="shared" si="20"/>
        <v>0</v>
      </c>
      <c r="AJ54" s="50">
        <f t="shared" si="21"/>
        <v>0</v>
      </c>
      <c r="AK54" s="51"/>
      <c r="AL54" s="49">
        <f t="shared" si="22"/>
        <v>0</v>
      </c>
      <c r="AM54" s="50">
        <f t="shared" si="23"/>
        <v>0</v>
      </c>
      <c r="AN54" s="51"/>
      <c r="AO54" s="49">
        <f t="shared" si="24"/>
        <v>0</v>
      </c>
      <c r="AP54" s="50">
        <f t="shared" si="25"/>
        <v>0</v>
      </c>
      <c r="AQ54" s="51"/>
      <c r="AR54" s="49">
        <f t="shared" si="26"/>
        <v>0</v>
      </c>
      <c r="AS54" s="50">
        <f t="shared" si="27"/>
        <v>0</v>
      </c>
      <c r="AT54" s="51"/>
      <c r="AU54" s="49">
        <f t="shared" si="28"/>
        <v>0</v>
      </c>
      <c r="AV54" s="50">
        <f t="shared" si="29"/>
        <v>0</v>
      </c>
      <c r="AW54" s="51">
        <v>130</v>
      </c>
      <c r="AX54" s="49">
        <f t="shared" si="30"/>
        <v>1560</v>
      </c>
      <c r="AY54" s="50">
        <f t="shared" si="31"/>
        <v>1560</v>
      </c>
      <c r="AZ54" s="51"/>
      <c r="BA54" s="49">
        <f t="shared" si="32"/>
        <v>0</v>
      </c>
      <c r="BB54" s="50">
        <f t="shared" si="33"/>
        <v>0</v>
      </c>
      <c r="BC54" s="51">
        <v>5</v>
      </c>
      <c r="BD54" s="49">
        <f t="shared" si="34"/>
        <v>200</v>
      </c>
      <c r="BE54" s="50">
        <f t="shared" si="35"/>
        <v>70</v>
      </c>
      <c r="BF54" s="51">
        <v>60</v>
      </c>
      <c r="BG54" s="49">
        <f t="shared" si="36"/>
        <v>720</v>
      </c>
      <c r="BH54" s="50">
        <f t="shared" si="37"/>
        <v>720</v>
      </c>
      <c r="BI54" s="51"/>
      <c r="BJ54" s="49">
        <f t="shared" si="38"/>
        <v>0</v>
      </c>
      <c r="BK54" s="50">
        <f t="shared" si="39"/>
        <v>0</v>
      </c>
      <c r="BL54" s="51"/>
      <c r="BM54" s="49">
        <f t="shared" si="40"/>
        <v>0</v>
      </c>
      <c r="BN54" s="50">
        <f t="shared" si="41"/>
        <v>0</v>
      </c>
      <c r="BO54" s="51"/>
      <c r="BP54" s="49">
        <f t="shared" si="42"/>
        <v>0</v>
      </c>
      <c r="BQ54" s="50">
        <f t="shared" si="43"/>
        <v>0</v>
      </c>
      <c r="BR54" s="51"/>
      <c r="BS54" s="49">
        <f t="shared" si="44"/>
        <v>0</v>
      </c>
      <c r="BT54" s="50">
        <f t="shared" si="45"/>
        <v>0</v>
      </c>
      <c r="BU54" s="51"/>
      <c r="BV54" s="49">
        <f t="shared" si="46"/>
        <v>0</v>
      </c>
      <c r="BW54" s="50">
        <f t="shared" si="47"/>
        <v>0</v>
      </c>
      <c r="BX54" s="51"/>
      <c r="BY54" s="49">
        <f t="shared" si="48"/>
        <v>0</v>
      </c>
      <c r="BZ54" s="50">
        <f t="shared" si="49"/>
        <v>0</v>
      </c>
      <c r="CA54" s="51"/>
      <c r="CB54" s="49">
        <f t="shared" si="50"/>
        <v>0</v>
      </c>
      <c r="CC54" s="50">
        <f t="shared" si="51"/>
        <v>0</v>
      </c>
      <c r="CD54" s="51"/>
      <c r="CE54" s="49">
        <f t="shared" si="52"/>
        <v>0</v>
      </c>
      <c r="CF54" s="50">
        <f t="shared" si="53"/>
        <v>0</v>
      </c>
      <c r="CG54" s="51"/>
      <c r="CH54" s="49">
        <f t="shared" si="54"/>
        <v>0</v>
      </c>
      <c r="CI54" s="50">
        <f t="shared" si="55"/>
        <v>0</v>
      </c>
      <c r="CJ54" s="51"/>
      <c r="CK54" s="49">
        <f t="shared" si="56"/>
        <v>0</v>
      </c>
      <c r="CL54" s="50">
        <f t="shared" si="57"/>
        <v>0</v>
      </c>
      <c r="CM54" s="51"/>
      <c r="CN54" s="49">
        <f t="shared" si="58"/>
        <v>0</v>
      </c>
      <c r="CO54" s="50">
        <f t="shared" si="59"/>
        <v>0</v>
      </c>
      <c r="CP54" s="51"/>
      <c r="CQ54" s="49">
        <f t="shared" si="60"/>
        <v>0</v>
      </c>
      <c r="CR54" s="50">
        <f t="shared" si="61"/>
        <v>0</v>
      </c>
      <c r="CS54" s="51"/>
      <c r="CT54" s="49">
        <f t="shared" si="62"/>
        <v>0</v>
      </c>
      <c r="CU54" s="50">
        <f t="shared" si="63"/>
        <v>0</v>
      </c>
      <c r="CV54" s="51"/>
      <c r="CW54" s="49">
        <f t="shared" si="64"/>
        <v>0</v>
      </c>
      <c r="CX54" s="50">
        <f t="shared" si="65"/>
        <v>0</v>
      </c>
      <c r="CY54" s="51"/>
      <c r="CZ54" s="49">
        <f t="shared" si="66"/>
        <v>0</v>
      </c>
      <c r="DA54" s="50">
        <f t="shared" si="67"/>
        <v>0</v>
      </c>
      <c r="DB54" s="51"/>
      <c r="DC54" s="49">
        <f t="shared" si="68"/>
        <v>0</v>
      </c>
      <c r="DD54" s="50">
        <f t="shared" si="69"/>
        <v>0</v>
      </c>
      <c r="DE54" s="51"/>
      <c r="DF54" s="49">
        <f t="shared" si="70"/>
        <v>0</v>
      </c>
      <c r="DG54" s="50">
        <f t="shared" si="71"/>
        <v>0</v>
      </c>
      <c r="DH54" s="51"/>
      <c r="DI54" s="49">
        <f t="shared" si="72"/>
        <v>0</v>
      </c>
      <c r="DJ54" s="50">
        <f t="shared" si="73"/>
        <v>0</v>
      </c>
      <c r="DK54" s="51"/>
      <c r="DL54" s="49">
        <f t="shared" si="74"/>
        <v>0</v>
      </c>
      <c r="DM54" s="50">
        <f t="shared" si="75"/>
        <v>0</v>
      </c>
      <c r="DN54" s="51"/>
      <c r="DO54" s="49">
        <f t="shared" si="76"/>
        <v>0</v>
      </c>
      <c r="DP54" s="50">
        <f t="shared" si="77"/>
        <v>0</v>
      </c>
      <c r="DQ54" s="51"/>
      <c r="DR54" s="51"/>
      <c r="DS54" s="51"/>
      <c r="DT54" s="46">
        <f t="shared" si="88"/>
        <v>295</v>
      </c>
      <c r="DU54" s="46">
        <f t="shared" si="89"/>
        <v>3880</v>
      </c>
      <c r="DV54" s="46">
        <f t="shared" si="90"/>
        <v>3246</v>
      </c>
    </row>
    <row r="55" spans="1:126" s="8" customFormat="1" ht="21.95" customHeight="1" x14ac:dyDescent="0.6">
      <c r="A55" s="63"/>
      <c r="B55" s="15" t="s">
        <v>60</v>
      </c>
      <c r="C55" s="16" t="s">
        <v>42</v>
      </c>
      <c r="D55" s="51">
        <v>550</v>
      </c>
      <c r="E55" s="49">
        <f t="shared" si="0"/>
        <v>7700</v>
      </c>
      <c r="F55" s="50">
        <f t="shared" si="1"/>
        <v>4928</v>
      </c>
      <c r="G55" s="51"/>
      <c r="H55" s="49">
        <f t="shared" si="2"/>
        <v>0</v>
      </c>
      <c r="I55" s="50">
        <f t="shared" si="3"/>
        <v>0</v>
      </c>
      <c r="J55" s="51"/>
      <c r="K55" s="49">
        <f t="shared" si="4"/>
        <v>0</v>
      </c>
      <c r="L55" s="50">
        <f t="shared" si="5"/>
        <v>0</v>
      </c>
      <c r="M55" s="51">
        <v>30</v>
      </c>
      <c r="N55" s="49">
        <f t="shared" si="6"/>
        <v>420</v>
      </c>
      <c r="O55" s="50">
        <f t="shared" si="7"/>
        <v>268.8</v>
      </c>
      <c r="P55" s="51"/>
      <c r="Q55" s="49">
        <f t="shared" si="8"/>
        <v>0</v>
      </c>
      <c r="R55" s="50">
        <f t="shared" si="9"/>
        <v>0</v>
      </c>
      <c r="S55" s="51"/>
      <c r="T55" s="49">
        <f t="shared" si="10"/>
        <v>0</v>
      </c>
      <c r="U55" s="50">
        <f t="shared" si="11"/>
        <v>0</v>
      </c>
      <c r="V55" s="51"/>
      <c r="W55" s="49">
        <f t="shared" si="12"/>
        <v>0</v>
      </c>
      <c r="X55" s="50">
        <f t="shared" si="13"/>
        <v>0</v>
      </c>
      <c r="Y55" s="51"/>
      <c r="Z55" s="49">
        <f t="shared" si="14"/>
        <v>0</v>
      </c>
      <c r="AA55" s="50">
        <f t="shared" si="15"/>
        <v>0</v>
      </c>
      <c r="AB55" s="51"/>
      <c r="AC55" s="49">
        <f t="shared" si="16"/>
        <v>0</v>
      </c>
      <c r="AD55" s="50">
        <f t="shared" si="17"/>
        <v>0</v>
      </c>
      <c r="AE55" s="51"/>
      <c r="AF55" s="49">
        <f t="shared" si="18"/>
        <v>0</v>
      </c>
      <c r="AG55" s="50">
        <f t="shared" si="19"/>
        <v>0</v>
      </c>
      <c r="AH55" s="51">
        <v>103</v>
      </c>
      <c r="AI55" s="49">
        <f t="shared" si="20"/>
        <v>1236</v>
      </c>
      <c r="AJ55" s="50">
        <f t="shared" si="21"/>
        <v>865.19999999999993</v>
      </c>
      <c r="AK55" s="51"/>
      <c r="AL55" s="49">
        <f t="shared" si="22"/>
        <v>0</v>
      </c>
      <c r="AM55" s="50">
        <f t="shared" si="23"/>
        <v>0</v>
      </c>
      <c r="AN55" s="51"/>
      <c r="AO55" s="49">
        <f t="shared" si="24"/>
        <v>0</v>
      </c>
      <c r="AP55" s="50">
        <f t="shared" si="25"/>
        <v>0</v>
      </c>
      <c r="AQ55" s="51"/>
      <c r="AR55" s="49">
        <f t="shared" si="26"/>
        <v>0</v>
      </c>
      <c r="AS55" s="50">
        <f t="shared" si="27"/>
        <v>0</v>
      </c>
      <c r="AT55" s="51"/>
      <c r="AU55" s="49">
        <f t="shared" si="28"/>
        <v>0</v>
      </c>
      <c r="AV55" s="50">
        <f t="shared" si="29"/>
        <v>0</v>
      </c>
      <c r="AW55" s="51">
        <v>600</v>
      </c>
      <c r="AX55" s="49">
        <f t="shared" si="30"/>
        <v>7200</v>
      </c>
      <c r="AY55" s="50">
        <f t="shared" si="31"/>
        <v>7200</v>
      </c>
      <c r="AZ55" s="51"/>
      <c r="BA55" s="49">
        <f t="shared" si="32"/>
        <v>0</v>
      </c>
      <c r="BB55" s="50">
        <f t="shared" si="33"/>
        <v>0</v>
      </c>
      <c r="BC55" s="51"/>
      <c r="BD55" s="49">
        <f t="shared" si="34"/>
        <v>0</v>
      </c>
      <c r="BE55" s="50">
        <f t="shared" si="35"/>
        <v>0</v>
      </c>
      <c r="BF55" s="51"/>
      <c r="BG55" s="49">
        <f t="shared" si="36"/>
        <v>0</v>
      </c>
      <c r="BH55" s="50">
        <f t="shared" si="37"/>
        <v>0</v>
      </c>
      <c r="BI55" s="51"/>
      <c r="BJ55" s="49">
        <f t="shared" si="38"/>
        <v>0</v>
      </c>
      <c r="BK55" s="50">
        <f t="shared" si="39"/>
        <v>0</v>
      </c>
      <c r="BL55" s="51"/>
      <c r="BM55" s="49">
        <f t="shared" si="40"/>
        <v>0</v>
      </c>
      <c r="BN55" s="50">
        <f t="shared" si="41"/>
        <v>0</v>
      </c>
      <c r="BO55" s="51"/>
      <c r="BP55" s="49">
        <f t="shared" si="42"/>
        <v>0</v>
      </c>
      <c r="BQ55" s="50">
        <f t="shared" si="43"/>
        <v>0</v>
      </c>
      <c r="BR55" s="51"/>
      <c r="BS55" s="49">
        <f t="shared" si="44"/>
        <v>0</v>
      </c>
      <c r="BT55" s="50">
        <f t="shared" si="45"/>
        <v>0</v>
      </c>
      <c r="BU55" s="51"/>
      <c r="BV55" s="49">
        <f t="shared" si="46"/>
        <v>0</v>
      </c>
      <c r="BW55" s="50">
        <f t="shared" si="47"/>
        <v>0</v>
      </c>
      <c r="BX55" s="51"/>
      <c r="BY55" s="49">
        <f t="shared" si="48"/>
        <v>0</v>
      </c>
      <c r="BZ55" s="50">
        <f t="shared" si="49"/>
        <v>0</v>
      </c>
      <c r="CA55" s="51"/>
      <c r="CB55" s="49">
        <f t="shared" si="50"/>
        <v>0</v>
      </c>
      <c r="CC55" s="50">
        <f t="shared" si="51"/>
        <v>0</v>
      </c>
      <c r="CD55" s="51"/>
      <c r="CE55" s="49">
        <f t="shared" si="52"/>
        <v>0</v>
      </c>
      <c r="CF55" s="50">
        <f t="shared" si="53"/>
        <v>0</v>
      </c>
      <c r="CG55" s="51"/>
      <c r="CH55" s="49">
        <f t="shared" si="54"/>
        <v>0</v>
      </c>
      <c r="CI55" s="50">
        <f t="shared" si="55"/>
        <v>0</v>
      </c>
      <c r="CJ55" s="51"/>
      <c r="CK55" s="49">
        <f t="shared" si="56"/>
        <v>0</v>
      </c>
      <c r="CL55" s="50">
        <f t="shared" si="57"/>
        <v>0</v>
      </c>
      <c r="CM55" s="51">
        <v>5</v>
      </c>
      <c r="CN55" s="49">
        <f t="shared" si="58"/>
        <v>60</v>
      </c>
      <c r="CO55" s="50">
        <f t="shared" si="59"/>
        <v>60</v>
      </c>
      <c r="CP55" s="51"/>
      <c r="CQ55" s="49">
        <f t="shared" si="60"/>
        <v>0</v>
      </c>
      <c r="CR55" s="50">
        <f t="shared" si="61"/>
        <v>0</v>
      </c>
      <c r="CS55" s="51"/>
      <c r="CT55" s="49">
        <f t="shared" si="62"/>
        <v>0</v>
      </c>
      <c r="CU55" s="50">
        <f t="shared" si="63"/>
        <v>0</v>
      </c>
      <c r="CV55" s="51"/>
      <c r="CW55" s="49">
        <f t="shared" si="64"/>
        <v>0</v>
      </c>
      <c r="CX55" s="50">
        <f t="shared" si="65"/>
        <v>0</v>
      </c>
      <c r="CY55" s="51"/>
      <c r="CZ55" s="49">
        <f t="shared" si="66"/>
        <v>0</v>
      </c>
      <c r="DA55" s="50">
        <f t="shared" si="67"/>
        <v>0</v>
      </c>
      <c r="DB55" s="51"/>
      <c r="DC55" s="49">
        <f t="shared" si="68"/>
        <v>0</v>
      </c>
      <c r="DD55" s="50">
        <f t="shared" si="69"/>
        <v>0</v>
      </c>
      <c r="DE55" s="51"/>
      <c r="DF55" s="49">
        <f t="shared" si="70"/>
        <v>0</v>
      </c>
      <c r="DG55" s="50">
        <f t="shared" si="71"/>
        <v>0</v>
      </c>
      <c r="DH55" s="51"/>
      <c r="DI55" s="49">
        <f t="shared" si="72"/>
        <v>0</v>
      </c>
      <c r="DJ55" s="50">
        <f t="shared" si="73"/>
        <v>0</v>
      </c>
      <c r="DK55" s="51"/>
      <c r="DL55" s="49">
        <f t="shared" si="74"/>
        <v>0</v>
      </c>
      <c r="DM55" s="50">
        <f t="shared" si="75"/>
        <v>0</v>
      </c>
      <c r="DN55" s="51"/>
      <c r="DO55" s="49">
        <f t="shared" si="76"/>
        <v>0</v>
      </c>
      <c r="DP55" s="50">
        <f t="shared" si="77"/>
        <v>0</v>
      </c>
      <c r="DQ55" s="51"/>
      <c r="DR55" s="51"/>
      <c r="DS55" s="51"/>
      <c r="DT55" s="46">
        <f t="shared" si="88"/>
        <v>1288</v>
      </c>
      <c r="DU55" s="46">
        <f t="shared" si="89"/>
        <v>16616</v>
      </c>
      <c r="DV55" s="46">
        <f t="shared" si="90"/>
        <v>13322</v>
      </c>
    </row>
    <row r="56" spans="1:126" s="8" customFormat="1" ht="21.95" customHeight="1" thickBot="1" x14ac:dyDescent="0.65">
      <c r="A56" s="63"/>
      <c r="B56" s="15" t="s">
        <v>61</v>
      </c>
      <c r="C56" s="16" t="s">
        <v>42</v>
      </c>
      <c r="D56" s="51">
        <v>364</v>
      </c>
      <c r="E56" s="49">
        <f t="shared" si="0"/>
        <v>5096</v>
      </c>
      <c r="F56" s="50">
        <f t="shared" si="1"/>
        <v>3261.44</v>
      </c>
      <c r="G56" s="51"/>
      <c r="H56" s="49">
        <f t="shared" si="2"/>
        <v>0</v>
      </c>
      <c r="I56" s="50">
        <f t="shared" si="3"/>
        <v>0</v>
      </c>
      <c r="J56" s="51"/>
      <c r="K56" s="49">
        <f t="shared" si="4"/>
        <v>0</v>
      </c>
      <c r="L56" s="50">
        <f t="shared" si="5"/>
        <v>0</v>
      </c>
      <c r="M56" s="51">
        <v>250</v>
      </c>
      <c r="N56" s="49">
        <f t="shared" si="6"/>
        <v>3500</v>
      </c>
      <c r="O56" s="50">
        <f t="shared" si="7"/>
        <v>2240</v>
      </c>
      <c r="P56" s="51"/>
      <c r="Q56" s="49">
        <f t="shared" si="8"/>
        <v>0</v>
      </c>
      <c r="R56" s="50">
        <f t="shared" si="9"/>
        <v>0</v>
      </c>
      <c r="S56" s="51"/>
      <c r="T56" s="49">
        <f t="shared" si="10"/>
        <v>0</v>
      </c>
      <c r="U56" s="50">
        <f t="shared" si="11"/>
        <v>0</v>
      </c>
      <c r="V56" s="51"/>
      <c r="W56" s="49">
        <f t="shared" si="12"/>
        <v>0</v>
      </c>
      <c r="X56" s="50">
        <f t="shared" si="13"/>
        <v>0</v>
      </c>
      <c r="Y56" s="51"/>
      <c r="Z56" s="49">
        <f t="shared" si="14"/>
        <v>0</v>
      </c>
      <c r="AA56" s="50">
        <f t="shared" si="15"/>
        <v>0</v>
      </c>
      <c r="AB56" s="51"/>
      <c r="AC56" s="49">
        <f t="shared" si="16"/>
        <v>0</v>
      </c>
      <c r="AD56" s="50">
        <f t="shared" si="17"/>
        <v>0</v>
      </c>
      <c r="AE56" s="51"/>
      <c r="AF56" s="49">
        <f t="shared" si="18"/>
        <v>0</v>
      </c>
      <c r="AG56" s="50">
        <f t="shared" si="19"/>
        <v>0</v>
      </c>
      <c r="AH56" s="51">
        <v>5</v>
      </c>
      <c r="AI56" s="49">
        <f t="shared" si="20"/>
        <v>60</v>
      </c>
      <c r="AJ56" s="50">
        <f t="shared" si="21"/>
        <v>42</v>
      </c>
      <c r="AK56" s="51"/>
      <c r="AL56" s="49">
        <f t="shared" si="22"/>
        <v>0</v>
      </c>
      <c r="AM56" s="50">
        <f t="shared" si="23"/>
        <v>0</v>
      </c>
      <c r="AN56" s="51"/>
      <c r="AO56" s="49">
        <f t="shared" si="24"/>
        <v>0</v>
      </c>
      <c r="AP56" s="50">
        <f t="shared" si="25"/>
        <v>0</v>
      </c>
      <c r="AQ56" s="51"/>
      <c r="AR56" s="49">
        <f t="shared" si="26"/>
        <v>0</v>
      </c>
      <c r="AS56" s="50">
        <f t="shared" si="27"/>
        <v>0</v>
      </c>
      <c r="AT56" s="51"/>
      <c r="AU56" s="49">
        <f t="shared" si="28"/>
        <v>0</v>
      </c>
      <c r="AV56" s="50">
        <f t="shared" si="29"/>
        <v>0</v>
      </c>
      <c r="AW56" s="51">
        <v>1750</v>
      </c>
      <c r="AX56" s="49">
        <f t="shared" si="30"/>
        <v>21000</v>
      </c>
      <c r="AY56" s="50">
        <f t="shared" si="31"/>
        <v>21000</v>
      </c>
      <c r="AZ56" s="51"/>
      <c r="BA56" s="49">
        <f t="shared" si="32"/>
        <v>0</v>
      </c>
      <c r="BB56" s="50">
        <f t="shared" si="33"/>
        <v>0</v>
      </c>
      <c r="BC56" s="51">
        <v>10</v>
      </c>
      <c r="BD56" s="49">
        <f t="shared" si="34"/>
        <v>400</v>
      </c>
      <c r="BE56" s="50">
        <f t="shared" si="35"/>
        <v>140</v>
      </c>
      <c r="BF56" s="51">
        <v>3</v>
      </c>
      <c r="BG56" s="49">
        <f t="shared" si="36"/>
        <v>36</v>
      </c>
      <c r="BH56" s="50">
        <f t="shared" si="37"/>
        <v>36</v>
      </c>
      <c r="BI56" s="51"/>
      <c r="BJ56" s="49">
        <f t="shared" si="38"/>
        <v>0</v>
      </c>
      <c r="BK56" s="50">
        <f t="shared" si="39"/>
        <v>0</v>
      </c>
      <c r="BL56" s="51"/>
      <c r="BM56" s="49">
        <f t="shared" si="40"/>
        <v>0</v>
      </c>
      <c r="BN56" s="50">
        <f t="shared" si="41"/>
        <v>0</v>
      </c>
      <c r="BO56" s="51"/>
      <c r="BP56" s="49">
        <f t="shared" si="42"/>
        <v>0</v>
      </c>
      <c r="BQ56" s="50">
        <f t="shared" si="43"/>
        <v>0</v>
      </c>
      <c r="BR56" s="51"/>
      <c r="BS56" s="49">
        <f t="shared" si="44"/>
        <v>0</v>
      </c>
      <c r="BT56" s="50">
        <f t="shared" si="45"/>
        <v>0</v>
      </c>
      <c r="BU56" s="51"/>
      <c r="BV56" s="49">
        <f t="shared" si="46"/>
        <v>0</v>
      </c>
      <c r="BW56" s="50">
        <f t="shared" si="47"/>
        <v>0</v>
      </c>
      <c r="BX56" s="51"/>
      <c r="BY56" s="49">
        <f t="shared" si="48"/>
        <v>0</v>
      </c>
      <c r="BZ56" s="50">
        <f t="shared" si="49"/>
        <v>0</v>
      </c>
      <c r="CA56" s="51"/>
      <c r="CB56" s="49">
        <f t="shared" si="50"/>
        <v>0</v>
      </c>
      <c r="CC56" s="50">
        <f t="shared" si="51"/>
        <v>0</v>
      </c>
      <c r="CD56" s="51"/>
      <c r="CE56" s="49">
        <f t="shared" si="52"/>
        <v>0</v>
      </c>
      <c r="CF56" s="50">
        <f t="shared" si="53"/>
        <v>0</v>
      </c>
      <c r="CG56" s="51"/>
      <c r="CH56" s="49">
        <f t="shared" si="54"/>
        <v>0</v>
      </c>
      <c r="CI56" s="50">
        <f t="shared" si="55"/>
        <v>0</v>
      </c>
      <c r="CJ56" s="51"/>
      <c r="CK56" s="49">
        <f t="shared" si="56"/>
        <v>0</v>
      </c>
      <c r="CL56" s="50">
        <f t="shared" si="57"/>
        <v>0</v>
      </c>
      <c r="CM56" s="51">
        <v>8</v>
      </c>
      <c r="CN56" s="49">
        <f t="shared" si="58"/>
        <v>96</v>
      </c>
      <c r="CO56" s="50">
        <f t="shared" si="59"/>
        <v>96</v>
      </c>
      <c r="CP56" s="51"/>
      <c r="CQ56" s="49">
        <f t="shared" si="60"/>
        <v>0</v>
      </c>
      <c r="CR56" s="50">
        <f t="shared" si="61"/>
        <v>0</v>
      </c>
      <c r="CS56" s="51"/>
      <c r="CT56" s="49">
        <f t="shared" si="62"/>
        <v>0</v>
      </c>
      <c r="CU56" s="50">
        <f t="shared" si="63"/>
        <v>0</v>
      </c>
      <c r="CV56" s="51">
        <v>1</v>
      </c>
      <c r="CW56" s="49">
        <f t="shared" si="64"/>
        <v>20</v>
      </c>
      <c r="CX56" s="50">
        <f t="shared" si="65"/>
        <v>20</v>
      </c>
      <c r="CY56" s="51"/>
      <c r="CZ56" s="49">
        <f t="shared" si="66"/>
        <v>0</v>
      </c>
      <c r="DA56" s="50">
        <f t="shared" si="67"/>
        <v>0</v>
      </c>
      <c r="DB56" s="51"/>
      <c r="DC56" s="49">
        <f t="shared" si="68"/>
        <v>0</v>
      </c>
      <c r="DD56" s="50">
        <f t="shared" si="69"/>
        <v>0</v>
      </c>
      <c r="DE56" s="51">
        <v>110</v>
      </c>
      <c r="DF56" s="49">
        <f t="shared" si="70"/>
        <v>1320</v>
      </c>
      <c r="DG56" s="50">
        <f t="shared" si="71"/>
        <v>1320</v>
      </c>
      <c r="DH56" s="51"/>
      <c r="DI56" s="49">
        <f t="shared" si="72"/>
        <v>0</v>
      </c>
      <c r="DJ56" s="50">
        <f t="shared" si="73"/>
        <v>0</v>
      </c>
      <c r="DK56" s="51"/>
      <c r="DL56" s="49">
        <f t="shared" si="74"/>
        <v>0</v>
      </c>
      <c r="DM56" s="50">
        <f t="shared" si="75"/>
        <v>0</v>
      </c>
      <c r="DN56" s="51"/>
      <c r="DO56" s="49">
        <f t="shared" si="76"/>
        <v>0</v>
      </c>
      <c r="DP56" s="50">
        <f t="shared" si="77"/>
        <v>0</v>
      </c>
      <c r="DQ56" s="51"/>
      <c r="DR56" s="51"/>
      <c r="DS56" s="51"/>
      <c r="DT56" s="46">
        <f t="shared" si="88"/>
        <v>2501</v>
      </c>
      <c r="DU56" s="46">
        <f t="shared" si="89"/>
        <v>31528</v>
      </c>
      <c r="DV56" s="46">
        <f t="shared" si="90"/>
        <v>28155.440000000002</v>
      </c>
    </row>
    <row r="57" spans="1:126" s="8" customFormat="1" ht="21.95" customHeight="1" thickBot="1" x14ac:dyDescent="0.65">
      <c r="A57" s="17"/>
      <c r="B57" s="32"/>
      <c r="C57" s="31"/>
      <c r="D57" s="52">
        <f>SUM(D41:D56)</f>
        <v>17493</v>
      </c>
      <c r="E57" s="52">
        <f>SUM(E41:E56)</f>
        <v>244902</v>
      </c>
      <c r="F57" s="53">
        <f>SUM(F41:F56)</f>
        <v>156737.28</v>
      </c>
      <c r="G57" s="52">
        <f t="shared" ref="G57:BR57" si="91">SUM(G41:G56)</f>
        <v>725</v>
      </c>
      <c r="H57" s="52">
        <f t="shared" si="91"/>
        <v>17400</v>
      </c>
      <c r="I57" s="53">
        <f t="shared" si="91"/>
        <v>11136</v>
      </c>
      <c r="J57" s="52">
        <f t="shared" si="91"/>
        <v>0</v>
      </c>
      <c r="K57" s="52">
        <f t="shared" si="91"/>
        <v>0</v>
      </c>
      <c r="L57" s="53">
        <f t="shared" si="91"/>
        <v>0</v>
      </c>
      <c r="M57" s="52">
        <f t="shared" si="91"/>
        <v>5466</v>
      </c>
      <c r="N57" s="52">
        <f t="shared" si="91"/>
        <v>76524</v>
      </c>
      <c r="O57" s="53">
        <f t="shared" si="91"/>
        <v>48975.360000000001</v>
      </c>
      <c r="P57" s="52">
        <f t="shared" si="91"/>
        <v>0</v>
      </c>
      <c r="Q57" s="52">
        <f t="shared" si="91"/>
        <v>0</v>
      </c>
      <c r="R57" s="53">
        <f t="shared" si="91"/>
        <v>0</v>
      </c>
      <c r="S57" s="52">
        <f t="shared" si="91"/>
        <v>47</v>
      </c>
      <c r="T57" s="52">
        <f t="shared" si="91"/>
        <v>658</v>
      </c>
      <c r="U57" s="53">
        <f t="shared" si="91"/>
        <v>421.12</v>
      </c>
      <c r="V57" s="52">
        <f t="shared" si="91"/>
        <v>50</v>
      </c>
      <c r="W57" s="52">
        <f t="shared" si="91"/>
        <v>700</v>
      </c>
      <c r="X57" s="53">
        <f t="shared" si="91"/>
        <v>448</v>
      </c>
      <c r="Y57" s="52">
        <f t="shared" si="91"/>
        <v>0</v>
      </c>
      <c r="Z57" s="52">
        <f t="shared" si="91"/>
        <v>0</v>
      </c>
      <c r="AA57" s="53">
        <f t="shared" si="91"/>
        <v>0</v>
      </c>
      <c r="AB57" s="52">
        <f t="shared" si="91"/>
        <v>0</v>
      </c>
      <c r="AC57" s="52">
        <f t="shared" si="91"/>
        <v>0</v>
      </c>
      <c r="AD57" s="53">
        <f t="shared" si="91"/>
        <v>0</v>
      </c>
      <c r="AE57" s="52">
        <f t="shared" si="91"/>
        <v>30</v>
      </c>
      <c r="AF57" s="52">
        <f t="shared" si="91"/>
        <v>420</v>
      </c>
      <c r="AG57" s="53">
        <f t="shared" si="91"/>
        <v>268.8</v>
      </c>
      <c r="AH57" s="52">
        <f t="shared" si="91"/>
        <v>770</v>
      </c>
      <c r="AI57" s="52">
        <f t="shared" si="91"/>
        <v>9240</v>
      </c>
      <c r="AJ57" s="53">
        <f t="shared" si="91"/>
        <v>6468</v>
      </c>
      <c r="AK57" s="52">
        <f t="shared" si="91"/>
        <v>0</v>
      </c>
      <c r="AL57" s="52">
        <f t="shared" si="91"/>
        <v>0</v>
      </c>
      <c r="AM57" s="53">
        <f t="shared" si="91"/>
        <v>0</v>
      </c>
      <c r="AN57" s="52">
        <f t="shared" si="91"/>
        <v>6</v>
      </c>
      <c r="AO57" s="52">
        <f t="shared" si="91"/>
        <v>72</v>
      </c>
      <c r="AP57" s="53">
        <f t="shared" si="91"/>
        <v>50.399999999999991</v>
      </c>
      <c r="AQ57" s="52">
        <f t="shared" si="91"/>
        <v>11.708333333333334</v>
      </c>
      <c r="AR57" s="52">
        <f t="shared" si="91"/>
        <v>281</v>
      </c>
      <c r="AS57" s="53">
        <f t="shared" si="91"/>
        <v>98.35</v>
      </c>
      <c r="AT57" s="52">
        <f t="shared" si="91"/>
        <v>30</v>
      </c>
      <c r="AU57" s="52">
        <f t="shared" si="91"/>
        <v>360</v>
      </c>
      <c r="AV57" s="53">
        <f t="shared" si="91"/>
        <v>244.80000000000004</v>
      </c>
      <c r="AW57" s="52">
        <f t="shared" si="91"/>
        <v>28993</v>
      </c>
      <c r="AX57" s="52">
        <f t="shared" si="91"/>
        <v>347916</v>
      </c>
      <c r="AY57" s="53">
        <f t="shared" si="91"/>
        <v>347916</v>
      </c>
      <c r="AZ57" s="52">
        <f t="shared" si="91"/>
        <v>584</v>
      </c>
      <c r="BA57" s="52">
        <f t="shared" si="91"/>
        <v>7008</v>
      </c>
      <c r="BB57" s="53">
        <f t="shared" si="91"/>
        <v>4204.8</v>
      </c>
      <c r="BC57" s="52">
        <f t="shared" si="91"/>
        <v>1520</v>
      </c>
      <c r="BD57" s="52">
        <f t="shared" si="91"/>
        <v>60800</v>
      </c>
      <c r="BE57" s="53">
        <f t="shared" si="91"/>
        <v>21280</v>
      </c>
      <c r="BF57" s="52">
        <f t="shared" si="91"/>
        <v>2757</v>
      </c>
      <c r="BG57" s="52">
        <f t="shared" si="91"/>
        <v>33084</v>
      </c>
      <c r="BH57" s="53">
        <f t="shared" si="91"/>
        <v>33084</v>
      </c>
      <c r="BI57" s="52">
        <f t="shared" si="91"/>
        <v>0</v>
      </c>
      <c r="BJ57" s="52">
        <f t="shared" si="91"/>
        <v>0</v>
      </c>
      <c r="BK57" s="53">
        <f t="shared" si="91"/>
        <v>0</v>
      </c>
      <c r="BL57" s="52">
        <f t="shared" si="91"/>
        <v>552.5</v>
      </c>
      <c r="BM57" s="52">
        <f t="shared" si="91"/>
        <v>22100</v>
      </c>
      <c r="BN57" s="53">
        <f t="shared" si="91"/>
        <v>7735</v>
      </c>
      <c r="BO57" s="52">
        <f t="shared" si="91"/>
        <v>50</v>
      </c>
      <c r="BP57" s="52">
        <f t="shared" si="91"/>
        <v>600</v>
      </c>
      <c r="BQ57" s="53">
        <f t="shared" si="91"/>
        <v>600</v>
      </c>
      <c r="BR57" s="52">
        <f t="shared" si="91"/>
        <v>0</v>
      </c>
      <c r="BS57" s="52">
        <f t="shared" ref="BS57:DV57" si="92">SUM(BS41:BS56)</f>
        <v>0</v>
      </c>
      <c r="BT57" s="53">
        <f t="shared" si="92"/>
        <v>0</v>
      </c>
      <c r="BU57" s="52">
        <f t="shared" si="92"/>
        <v>0</v>
      </c>
      <c r="BV57" s="52">
        <f t="shared" si="92"/>
        <v>0</v>
      </c>
      <c r="BW57" s="53">
        <f t="shared" si="92"/>
        <v>0</v>
      </c>
      <c r="BX57" s="52">
        <f t="shared" si="92"/>
        <v>0</v>
      </c>
      <c r="BY57" s="52">
        <f t="shared" si="92"/>
        <v>0</v>
      </c>
      <c r="BZ57" s="53">
        <f t="shared" si="92"/>
        <v>0</v>
      </c>
      <c r="CA57" s="52">
        <f t="shared" si="92"/>
        <v>0</v>
      </c>
      <c r="CB57" s="52">
        <f t="shared" si="92"/>
        <v>0</v>
      </c>
      <c r="CC57" s="53">
        <f t="shared" si="92"/>
        <v>0</v>
      </c>
      <c r="CD57" s="52">
        <f t="shared" si="92"/>
        <v>0</v>
      </c>
      <c r="CE57" s="52">
        <f t="shared" si="92"/>
        <v>0</v>
      </c>
      <c r="CF57" s="53">
        <f t="shared" si="92"/>
        <v>0</v>
      </c>
      <c r="CG57" s="52">
        <f t="shared" si="92"/>
        <v>1</v>
      </c>
      <c r="CH57" s="52">
        <f t="shared" si="92"/>
        <v>12</v>
      </c>
      <c r="CI57" s="53">
        <f t="shared" si="92"/>
        <v>7.1999999999999993</v>
      </c>
      <c r="CJ57" s="52">
        <f t="shared" si="92"/>
        <v>1</v>
      </c>
      <c r="CK57" s="52">
        <f t="shared" si="92"/>
        <v>40</v>
      </c>
      <c r="CL57" s="53">
        <f t="shared" si="92"/>
        <v>14</v>
      </c>
      <c r="CM57" s="52">
        <f t="shared" si="92"/>
        <v>45.75</v>
      </c>
      <c r="CN57" s="52">
        <f t="shared" si="92"/>
        <v>549</v>
      </c>
      <c r="CO57" s="53">
        <f t="shared" si="92"/>
        <v>549</v>
      </c>
      <c r="CP57" s="52">
        <f t="shared" si="92"/>
        <v>0</v>
      </c>
      <c r="CQ57" s="52">
        <f t="shared" si="92"/>
        <v>0</v>
      </c>
      <c r="CR57" s="53">
        <f t="shared" si="92"/>
        <v>0</v>
      </c>
      <c r="CS57" s="52">
        <f t="shared" si="92"/>
        <v>0</v>
      </c>
      <c r="CT57" s="52">
        <f t="shared" si="92"/>
        <v>0</v>
      </c>
      <c r="CU57" s="53">
        <f t="shared" si="92"/>
        <v>0</v>
      </c>
      <c r="CV57" s="52">
        <f t="shared" si="92"/>
        <v>97</v>
      </c>
      <c r="CW57" s="52">
        <f t="shared" si="92"/>
        <v>1940</v>
      </c>
      <c r="CX57" s="53">
        <f t="shared" si="92"/>
        <v>1940</v>
      </c>
      <c r="CY57" s="52">
        <f t="shared" si="92"/>
        <v>0</v>
      </c>
      <c r="CZ57" s="52">
        <f t="shared" si="92"/>
        <v>0</v>
      </c>
      <c r="DA57" s="53">
        <f t="shared" si="92"/>
        <v>0</v>
      </c>
      <c r="DB57" s="52">
        <f t="shared" si="92"/>
        <v>0</v>
      </c>
      <c r="DC57" s="52">
        <f t="shared" si="92"/>
        <v>0</v>
      </c>
      <c r="DD57" s="53">
        <f t="shared" si="92"/>
        <v>0</v>
      </c>
      <c r="DE57" s="52">
        <f t="shared" si="92"/>
        <v>178</v>
      </c>
      <c r="DF57" s="52">
        <f t="shared" si="92"/>
        <v>2136</v>
      </c>
      <c r="DG57" s="53">
        <f t="shared" si="92"/>
        <v>2136</v>
      </c>
      <c r="DH57" s="52">
        <f t="shared" si="92"/>
        <v>0</v>
      </c>
      <c r="DI57" s="52">
        <f t="shared" si="92"/>
        <v>0</v>
      </c>
      <c r="DJ57" s="53">
        <f t="shared" si="92"/>
        <v>0</v>
      </c>
      <c r="DK57" s="52">
        <f t="shared" si="92"/>
        <v>15.583333333333332</v>
      </c>
      <c r="DL57" s="52">
        <f t="shared" si="92"/>
        <v>187</v>
      </c>
      <c r="DM57" s="53">
        <f t="shared" si="92"/>
        <v>127.16</v>
      </c>
      <c r="DN57" s="52">
        <f t="shared" si="92"/>
        <v>18.166666666666668</v>
      </c>
      <c r="DO57" s="52">
        <f t="shared" si="92"/>
        <v>218</v>
      </c>
      <c r="DP57" s="53">
        <f t="shared" si="92"/>
        <v>218</v>
      </c>
      <c r="DQ57" s="52">
        <f t="shared" si="92"/>
        <v>0</v>
      </c>
      <c r="DR57" s="52">
        <f t="shared" si="92"/>
        <v>0</v>
      </c>
      <c r="DS57" s="53">
        <f t="shared" si="92"/>
        <v>0</v>
      </c>
      <c r="DT57" s="52">
        <f t="shared" si="92"/>
        <v>59441.708333333336</v>
      </c>
      <c r="DU57" s="52">
        <f t="shared" si="92"/>
        <v>827147</v>
      </c>
      <c r="DV57" s="53">
        <f t="shared" si="92"/>
        <v>644659.27</v>
      </c>
    </row>
    <row r="58" spans="1:126" s="8" customFormat="1" ht="21.95" customHeight="1" x14ac:dyDescent="0.6">
      <c r="A58" s="67"/>
      <c r="B58" s="18" t="s">
        <v>75</v>
      </c>
      <c r="C58" s="14" t="s">
        <v>63</v>
      </c>
      <c r="D58" s="51">
        <v>297</v>
      </c>
      <c r="E58" s="49">
        <f t="shared" si="0"/>
        <v>4158</v>
      </c>
      <c r="F58" s="50">
        <f t="shared" si="1"/>
        <v>2661.12</v>
      </c>
      <c r="G58" s="51"/>
      <c r="H58" s="49">
        <f t="shared" si="2"/>
        <v>0</v>
      </c>
      <c r="I58" s="50">
        <f t="shared" si="3"/>
        <v>0</v>
      </c>
      <c r="J58" s="51"/>
      <c r="K58" s="49">
        <f t="shared" si="4"/>
        <v>0</v>
      </c>
      <c r="L58" s="50">
        <f t="shared" si="5"/>
        <v>0</v>
      </c>
      <c r="M58" s="51"/>
      <c r="N58" s="49">
        <f t="shared" si="6"/>
        <v>0</v>
      </c>
      <c r="O58" s="50">
        <f t="shared" si="7"/>
        <v>0</v>
      </c>
      <c r="P58" s="51"/>
      <c r="Q58" s="49">
        <f t="shared" si="8"/>
        <v>0</v>
      </c>
      <c r="R58" s="50">
        <f t="shared" si="9"/>
        <v>0</v>
      </c>
      <c r="S58" s="51">
        <v>44</v>
      </c>
      <c r="T58" s="49">
        <f t="shared" si="10"/>
        <v>616</v>
      </c>
      <c r="U58" s="50">
        <f t="shared" si="11"/>
        <v>394.24</v>
      </c>
      <c r="V58" s="51">
        <v>2</v>
      </c>
      <c r="W58" s="49">
        <f t="shared" si="12"/>
        <v>28</v>
      </c>
      <c r="X58" s="50">
        <f t="shared" si="13"/>
        <v>17.920000000000002</v>
      </c>
      <c r="Y58" s="51"/>
      <c r="Z58" s="49">
        <f t="shared" si="14"/>
        <v>0</v>
      </c>
      <c r="AA58" s="50">
        <f t="shared" si="15"/>
        <v>0</v>
      </c>
      <c r="AB58" s="51">
        <v>1</v>
      </c>
      <c r="AC58" s="49">
        <f t="shared" si="16"/>
        <v>14</v>
      </c>
      <c r="AD58" s="50">
        <f t="shared" si="17"/>
        <v>8.9600000000000009</v>
      </c>
      <c r="AE58" s="51"/>
      <c r="AF58" s="49">
        <f t="shared" si="18"/>
        <v>0</v>
      </c>
      <c r="AG58" s="50">
        <f t="shared" si="19"/>
        <v>0</v>
      </c>
      <c r="AH58" s="51">
        <v>40</v>
      </c>
      <c r="AI58" s="49">
        <f t="shared" si="20"/>
        <v>480</v>
      </c>
      <c r="AJ58" s="50">
        <f t="shared" si="21"/>
        <v>336</v>
      </c>
      <c r="AK58" s="51"/>
      <c r="AL58" s="49">
        <f t="shared" si="22"/>
        <v>0</v>
      </c>
      <c r="AM58" s="50">
        <f t="shared" si="23"/>
        <v>0</v>
      </c>
      <c r="AN58" s="51"/>
      <c r="AO58" s="49">
        <f t="shared" si="24"/>
        <v>0</v>
      </c>
      <c r="AP58" s="50">
        <f t="shared" si="25"/>
        <v>0</v>
      </c>
      <c r="AQ58" s="51"/>
      <c r="AR58" s="49">
        <f t="shared" si="26"/>
        <v>0</v>
      </c>
      <c r="AS58" s="50">
        <f t="shared" si="27"/>
        <v>0</v>
      </c>
      <c r="AT58" s="51"/>
      <c r="AU58" s="49">
        <f t="shared" si="28"/>
        <v>0</v>
      </c>
      <c r="AV58" s="50">
        <f t="shared" si="29"/>
        <v>0</v>
      </c>
      <c r="AW58" s="51">
        <v>1247.8333333333335</v>
      </c>
      <c r="AX58" s="49">
        <f t="shared" si="30"/>
        <v>14974.000000000002</v>
      </c>
      <c r="AY58" s="50">
        <f t="shared" si="31"/>
        <v>14974.000000000002</v>
      </c>
      <c r="AZ58" s="51">
        <v>138</v>
      </c>
      <c r="BA58" s="49">
        <f t="shared" si="32"/>
        <v>1656</v>
      </c>
      <c r="BB58" s="50">
        <f t="shared" si="33"/>
        <v>993.59999999999991</v>
      </c>
      <c r="BC58" s="51">
        <v>152</v>
      </c>
      <c r="BD58" s="49">
        <f t="shared" si="34"/>
        <v>6080</v>
      </c>
      <c r="BE58" s="50">
        <f t="shared" si="35"/>
        <v>2128</v>
      </c>
      <c r="BF58" s="51">
        <v>165</v>
      </c>
      <c r="BG58" s="49">
        <f t="shared" si="36"/>
        <v>1980</v>
      </c>
      <c r="BH58" s="50">
        <f t="shared" si="37"/>
        <v>1980</v>
      </c>
      <c r="BI58" s="51"/>
      <c r="BJ58" s="49">
        <f t="shared" si="38"/>
        <v>0</v>
      </c>
      <c r="BK58" s="50">
        <f t="shared" si="39"/>
        <v>0</v>
      </c>
      <c r="BL58" s="51">
        <v>19</v>
      </c>
      <c r="BM58" s="49">
        <f t="shared" si="40"/>
        <v>760</v>
      </c>
      <c r="BN58" s="50">
        <f t="shared" si="41"/>
        <v>266</v>
      </c>
      <c r="BO58" s="51"/>
      <c r="BP58" s="49">
        <f t="shared" si="42"/>
        <v>0</v>
      </c>
      <c r="BQ58" s="50">
        <f t="shared" si="43"/>
        <v>0</v>
      </c>
      <c r="BR58" s="51"/>
      <c r="BS58" s="49">
        <f t="shared" si="44"/>
        <v>0</v>
      </c>
      <c r="BT58" s="50">
        <f t="shared" si="45"/>
        <v>0</v>
      </c>
      <c r="BU58" s="51"/>
      <c r="BV58" s="49">
        <f t="shared" si="46"/>
        <v>0</v>
      </c>
      <c r="BW58" s="50">
        <f t="shared" si="47"/>
        <v>0</v>
      </c>
      <c r="BX58" s="51"/>
      <c r="BY58" s="49">
        <f t="shared" si="48"/>
        <v>0</v>
      </c>
      <c r="BZ58" s="50">
        <f t="shared" si="49"/>
        <v>0</v>
      </c>
      <c r="CA58" s="51"/>
      <c r="CB58" s="49">
        <f t="shared" si="50"/>
        <v>0</v>
      </c>
      <c r="CC58" s="50">
        <f t="shared" si="51"/>
        <v>0</v>
      </c>
      <c r="CD58" s="51"/>
      <c r="CE58" s="49">
        <f t="shared" si="52"/>
        <v>0</v>
      </c>
      <c r="CF58" s="50">
        <f t="shared" si="53"/>
        <v>0</v>
      </c>
      <c r="CG58" s="51"/>
      <c r="CH58" s="49">
        <f t="shared" si="54"/>
        <v>0</v>
      </c>
      <c r="CI58" s="50">
        <f t="shared" si="55"/>
        <v>0</v>
      </c>
      <c r="CJ58" s="51"/>
      <c r="CK58" s="49">
        <f t="shared" si="56"/>
        <v>0</v>
      </c>
      <c r="CL58" s="50">
        <f t="shared" si="57"/>
        <v>0</v>
      </c>
      <c r="CM58" s="51">
        <v>32</v>
      </c>
      <c r="CN58" s="49">
        <f t="shared" si="58"/>
        <v>384</v>
      </c>
      <c r="CO58" s="50">
        <f t="shared" si="59"/>
        <v>384</v>
      </c>
      <c r="CP58" s="51"/>
      <c r="CQ58" s="49">
        <f t="shared" si="60"/>
        <v>0</v>
      </c>
      <c r="CR58" s="50">
        <f t="shared" si="61"/>
        <v>0</v>
      </c>
      <c r="CS58" s="51"/>
      <c r="CT58" s="49">
        <f t="shared" si="62"/>
        <v>0</v>
      </c>
      <c r="CU58" s="50">
        <f t="shared" si="63"/>
        <v>0</v>
      </c>
      <c r="CV58" s="51">
        <v>73</v>
      </c>
      <c r="CW58" s="49">
        <f t="shared" si="64"/>
        <v>1460</v>
      </c>
      <c r="CX58" s="50">
        <f t="shared" si="65"/>
        <v>1460</v>
      </c>
      <c r="CY58" s="51"/>
      <c r="CZ58" s="49">
        <f t="shared" si="66"/>
        <v>0</v>
      </c>
      <c r="DA58" s="50">
        <f t="shared" si="67"/>
        <v>0</v>
      </c>
      <c r="DB58" s="51"/>
      <c r="DC58" s="49">
        <f t="shared" si="68"/>
        <v>0</v>
      </c>
      <c r="DD58" s="50">
        <f t="shared" si="69"/>
        <v>0</v>
      </c>
      <c r="DE58" s="51"/>
      <c r="DF58" s="49">
        <f t="shared" si="70"/>
        <v>0</v>
      </c>
      <c r="DG58" s="50">
        <f t="shared" si="71"/>
        <v>0</v>
      </c>
      <c r="DH58" s="51"/>
      <c r="DI58" s="49">
        <f t="shared" si="72"/>
        <v>0</v>
      </c>
      <c r="DJ58" s="50">
        <f t="shared" si="73"/>
        <v>0</v>
      </c>
      <c r="DK58" s="51">
        <v>11</v>
      </c>
      <c r="DL58" s="49">
        <f t="shared" si="74"/>
        <v>132</v>
      </c>
      <c r="DM58" s="50">
        <f t="shared" si="75"/>
        <v>89.76</v>
      </c>
      <c r="DN58" s="51">
        <v>5</v>
      </c>
      <c r="DO58" s="49">
        <f t="shared" si="76"/>
        <v>60</v>
      </c>
      <c r="DP58" s="50">
        <f t="shared" si="77"/>
        <v>60</v>
      </c>
      <c r="DQ58" s="51"/>
      <c r="DR58" s="51"/>
      <c r="DS58" s="51"/>
      <c r="DT58" s="46">
        <f t="shared" ref="DT58:DT67" si="93">D58+G58+J58+M58+P58+S58+V58+Y58+AB58+AE58+AH58+AK58+AN58+AQ58+AT58+AW58+AZ58+BC58+BF58+BI58+BL58+BO58+BR58+BU58+BX58+CA58+CD58+CG58+CJ58+CM58+CP58+CS58+CV58+CY58+DB58+DE58+DH58+DK58+DN58</f>
        <v>2226.8333333333335</v>
      </c>
      <c r="DU58" s="46">
        <f t="shared" ref="DU58:DU67" si="94">E58+H58+K58+N58+Q58+T58+W58+Z58+AC58+AF58+AI58+AL58+AO58+AR58+AU58+AX58+BA58+BD58+BG58+BJ58+BM58+BP58+BS58+BV58+BY58+CB58+CE58+CH58+CK58+CN58+CQ58+CT58+CW58+CZ58+DC58+DF58+DI58+DL58+DO58</f>
        <v>32782</v>
      </c>
      <c r="DV58" s="46">
        <f t="shared" ref="DV58:DV67" si="95">F58+I58+L58+O58+R58+U58+X58+AA58+AD58+AG58+AJ58+AM58+AP58+AS58+AV58+AY58+BB58+BE58+BH58+BK58+BN58+BQ58+BT58+BW58+BZ58+CC58+CF58+CI58+CL58+CO58+CR58+CU58+CX58+DA58+DD58+DG58+DJ58+DM58+DP58</f>
        <v>25753.599999999999</v>
      </c>
    </row>
    <row r="59" spans="1:126" s="8" customFormat="1" ht="21.95" customHeight="1" x14ac:dyDescent="0.6">
      <c r="A59" s="67"/>
      <c r="B59" s="12" t="s">
        <v>64</v>
      </c>
      <c r="C59" s="68" t="s">
        <v>65</v>
      </c>
      <c r="D59" s="51">
        <v>42</v>
      </c>
      <c r="E59" s="49">
        <f t="shared" si="0"/>
        <v>588</v>
      </c>
      <c r="F59" s="50">
        <f t="shared" si="1"/>
        <v>376.32</v>
      </c>
      <c r="G59" s="51"/>
      <c r="H59" s="49">
        <f t="shared" si="2"/>
        <v>0</v>
      </c>
      <c r="I59" s="50">
        <f t="shared" si="3"/>
        <v>0</v>
      </c>
      <c r="J59" s="51"/>
      <c r="K59" s="49">
        <f t="shared" si="4"/>
        <v>0</v>
      </c>
      <c r="L59" s="50">
        <f t="shared" si="5"/>
        <v>0</v>
      </c>
      <c r="M59" s="51"/>
      <c r="N59" s="49">
        <f t="shared" si="6"/>
        <v>0</v>
      </c>
      <c r="O59" s="50">
        <f t="shared" si="7"/>
        <v>0</v>
      </c>
      <c r="P59" s="51"/>
      <c r="Q59" s="49">
        <f t="shared" si="8"/>
        <v>0</v>
      </c>
      <c r="R59" s="50">
        <f t="shared" si="9"/>
        <v>0</v>
      </c>
      <c r="S59" s="51">
        <v>3</v>
      </c>
      <c r="T59" s="49">
        <f t="shared" si="10"/>
        <v>42</v>
      </c>
      <c r="U59" s="50">
        <f t="shared" si="11"/>
        <v>26.88</v>
      </c>
      <c r="V59" s="51">
        <v>2</v>
      </c>
      <c r="W59" s="49">
        <f t="shared" si="12"/>
        <v>28</v>
      </c>
      <c r="X59" s="50">
        <f t="shared" si="13"/>
        <v>17.920000000000002</v>
      </c>
      <c r="Y59" s="51"/>
      <c r="Z59" s="49">
        <f t="shared" si="14"/>
        <v>0</v>
      </c>
      <c r="AA59" s="50">
        <f t="shared" si="15"/>
        <v>0</v>
      </c>
      <c r="AB59" s="51"/>
      <c r="AC59" s="49">
        <f t="shared" si="16"/>
        <v>0</v>
      </c>
      <c r="AD59" s="50">
        <f t="shared" si="17"/>
        <v>0</v>
      </c>
      <c r="AE59" s="51"/>
      <c r="AF59" s="49">
        <f t="shared" si="18"/>
        <v>0</v>
      </c>
      <c r="AG59" s="50">
        <f t="shared" si="19"/>
        <v>0</v>
      </c>
      <c r="AH59" s="51"/>
      <c r="AI59" s="49">
        <f t="shared" si="20"/>
        <v>0</v>
      </c>
      <c r="AJ59" s="50">
        <f t="shared" si="21"/>
        <v>0</v>
      </c>
      <c r="AK59" s="51"/>
      <c r="AL59" s="49">
        <f t="shared" si="22"/>
        <v>0</v>
      </c>
      <c r="AM59" s="50">
        <f t="shared" si="23"/>
        <v>0</v>
      </c>
      <c r="AN59" s="51"/>
      <c r="AO59" s="49">
        <f t="shared" si="24"/>
        <v>0</v>
      </c>
      <c r="AP59" s="50">
        <f t="shared" si="25"/>
        <v>0</v>
      </c>
      <c r="AQ59" s="51"/>
      <c r="AR59" s="49">
        <f t="shared" si="26"/>
        <v>0</v>
      </c>
      <c r="AS59" s="50">
        <f t="shared" si="27"/>
        <v>0</v>
      </c>
      <c r="AT59" s="51"/>
      <c r="AU59" s="49">
        <f t="shared" si="28"/>
        <v>0</v>
      </c>
      <c r="AV59" s="50">
        <f t="shared" si="29"/>
        <v>0</v>
      </c>
      <c r="AW59" s="51">
        <v>35</v>
      </c>
      <c r="AX59" s="49">
        <f t="shared" si="30"/>
        <v>420</v>
      </c>
      <c r="AY59" s="50">
        <f t="shared" si="31"/>
        <v>420</v>
      </c>
      <c r="AZ59" s="51">
        <v>7</v>
      </c>
      <c r="BA59" s="49">
        <f t="shared" si="32"/>
        <v>84</v>
      </c>
      <c r="BB59" s="50">
        <f t="shared" si="33"/>
        <v>50.4</v>
      </c>
      <c r="BC59" s="51">
        <v>8</v>
      </c>
      <c r="BD59" s="49">
        <f t="shared" si="34"/>
        <v>320</v>
      </c>
      <c r="BE59" s="50">
        <f t="shared" si="35"/>
        <v>112</v>
      </c>
      <c r="BF59" s="51">
        <v>82</v>
      </c>
      <c r="BG59" s="49">
        <f t="shared" si="36"/>
        <v>984</v>
      </c>
      <c r="BH59" s="50">
        <f t="shared" si="37"/>
        <v>984</v>
      </c>
      <c r="BI59" s="51"/>
      <c r="BJ59" s="49">
        <f t="shared" si="38"/>
        <v>0</v>
      </c>
      <c r="BK59" s="50">
        <f t="shared" si="39"/>
        <v>0</v>
      </c>
      <c r="BL59" s="51">
        <v>18</v>
      </c>
      <c r="BM59" s="49">
        <f t="shared" si="40"/>
        <v>720</v>
      </c>
      <c r="BN59" s="50">
        <f t="shared" si="41"/>
        <v>251.99999999999997</v>
      </c>
      <c r="BO59" s="51"/>
      <c r="BP59" s="49">
        <f t="shared" si="42"/>
        <v>0</v>
      </c>
      <c r="BQ59" s="50">
        <f t="shared" si="43"/>
        <v>0</v>
      </c>
      <c r="BR59" s="51"/>
      <c r="BS59" s="49">
        <f t="shared" si="44"/>
        <v>0</v>
      </c>
      <c r="BT59" s="50">
        <f t="shared" si="45"/>
        <v>0</v>
      </c>
      <c r="BU59" s="51"/>
      <c r="BV59" s="49">
        <f t="shared" si="46"/>
        <v>0</v>
      </c>
      <c r="BW59" s="50">
        <f t="shared" si="47"/>
        <v>0</v>
      </c>
      <c r="BX59" s="51"/>
      <c r="BY59" s="49">
        <f t="shared" si="48"/>
        <v>0</v>
      </c>
      <c r="BZ59" s="50">
        <f t="shared" si="49"/>
        <v>0</v>
      </c>
      <c r="CA59" s="51"/>
      <c r="CB59" s="49">
        <f t="shared" si="50"/>
        <v>0</v>
      </c>
      <c r="CC59" s="50">
        <f t="shared" si="51"/>
        <v>0</v>
      </c>
      <c r="CD59" s="51"/>
      <c r="CE59" s="49">
        <f t="shared" si="52"/>
        <v>0</v>
      </c>
      <c r="CF59" s="50">
        <f t="shared" si="53"/>
        <v>0</v>
      </c>
      <c r="CG59" s="51"/>
      <c r="CH59" s="49">
        <f t="shared" si="54"/>
        <v>0</v>
      </c>
      <c r="CI59" s="50">
        <f t="shared" si="55"/>
        <v>0</v>
      </c>
      <c r="CJ59" s="51"/>
      <c r="CK59" s="49">
        <f t="shared" si="56"/>
        <v>0</v>
      </c>
      <c r="CL59" s="50">
        <f t="shared" si="57"/>
        <v>0</v>
      </c>
      <c r="CM59" s="51"/>
      <c r="CN59" s="49">
        <f t="shared" si="58"/>
        <v>0</v>
      </c>
      <c r="CO59" s="50">
        <f t="shared" si="59"/>
        <v>0</v>
      </c>
      <c r="CP59" s="51"/>
      <c r="CQ59" s="49">
        <f t="shared" si="60"/>
        <v>0</v>
      </c>
      <c r="CR59" s="50">
        <f t="shared" si="61"/>
        <v>0</v>
      </c>
      <c r="CS59" s="51"/>
      <c r="CT59" s="49">
        <f t="shared" si="62"/>
        <v>0</v>
      </c>
      <c r="CU59" s="50">
        <f t="shared" si="63"/>
        <v>0</v>
      </c>
      <c r="CV59" s="51">
        <v>5</v>
      </c>
      <c r="CW59" s="49">
        <f t="shared" si="64"/>
        <v>100</v>
      </c>
      <c r="CX59" s="50">
        <f t="shared" si="65"/>
        <v>100</v>
      </c>
      <c r="CY59" s="51"/>
      <c r="CZ59" s="49">
        <f t="shared" si="66"/>
        <v>0</v>
      </c>
      <c r="DA59" s="50">
        <f t="shared" si="67"/>
        <v>0</v>
      </c>
      <c r="DB59" s="51"/>
      <c r="DC59" s="49">
        <f t="shared" si="68"/>
        <v>0</v>
      </c>
      <c r="DD59" s="50">
        <f t="shared" si="69"/>
        <v>0</v>
      </c>
      <c r="DE59" s="51"/>
      <c r="DF59" s="49">
        <f t="shared" si="70"/>
        <v>0</v>
      </c>
      <c r="DG59" s="50">
        <f t="shared" si="71"/>
        <v>0</v>
      </c>
      <c r="DH59" s="51"/>
      <c r="DI59" s="49">
        <f t="shared" si="72"/>
        <v>0</v>
      </c>
      <c r="DJ59" s="50">
        <f t="shared" si="73"/>
        <v>0</v>
      </c>
      <c r="DK59" s="51"/>
      <c r="DL59" s="49">
        <f t="shared" si="74"/>
        <v>0</v>
      </c>
      <c r="DM59" s="50">
        <f t="shared" si="75"/>
        <v>0</v>
      </c>
      <c r="DN59" s="51">
        <v>1</v>
      </c>
      <c r="DO59" s="49">
        <f t="shared" si="76"/>
        <v>12</v>
      </c>
      <c r="DP59" s="50">
        <f t="shared" si="77"/>
        <v>12</v>
      </c>
      <c r="DQ59" s="51"/>
      <c r="DR59" s="51"/>
      <c r="DS59" s="51"/>
      <c r="DT59" s="46">
        <f t="shared" si="93"/>
        <v>203</v>
      </c>
      <c r="DU59" s="46">
        <f t="shared" si="94"/>
        <v>3298</v>
      </c>
      <c r="DV59" s="46">
        <f t="shared" si="95"/>
        <v>2351.52</v>
      </c>
    </row>
    <row r="60" spans="1:126" s="8" customFormat="1" ht="21.95" customHeight="1" x14ac:dyDescent="0.6">
      <c r="A60" s="67"/>
      <c r="B60" s="12" t="s">
        <v>66</v>
      </c>
      <c r="C60" s="69"/>
      <c r="D60" s="51">
        <v>36</v>
      </c>
      <c r="E60" s="49">
        <f t="shared" si="0"/>
        <v>504</v>
      </c>
      <c r="F60" s="50">
        <f t="shared" si="1"/>
        <v>322.56</v>
      </c>
      <c r="G60" s="51"/>
      <c r="H60" s="49">
        <f t="shared" si="2"/>
        <v>0</v>
      </c>
      <c r="I60" s="50">
        <f t="shared" si="3"/>
        <v>0</v>
      </c>
      <c r="J60" s="51"/>
      <c r="K60" s="49">
        <f t="shared" si="4"/>
        <v>0</v>
      </c>
      <c r="L60" s="50">
        <f t="shared" si="5"/>
        <v>0</v>
      </c>
      <c r="M60" s="51"/>
      <c r="N60" s="49">
        <f t="shared" si="6"/>
        <v>0</v>
      </c>
      <c r="O60" s="50">
        <f t="shared" si="7"/>
        <v>0</v>
      </c>
      <c r="P60" s="51"/>
      <c r="Q60" s="49">
        <f t="shared" si="8"/>
        <v>0</v>
      </c>
      <c r="R60" s="50">
        <f t="shared" si="9"/>
        <v>0</v>
      </c>
      <c r="S60" s="51">
        <v>2</v>
      </c>
      <c r="T60" s="49">
        <f t="shared" si="10"/>
        <v>28</v>
      </c>
      <c r="U60" s="50">
        <f t="shared" si="11"/>
        <v>17.920000000000002</v>
      </c>
      <c r="V60" s="51"/>
      <c r="W60" s="49">
        <f t="shared" si="12"/>
        <v>0</v>
      </c>
      <c r="X60" s="50">
        <f t="shared" si="13"/>
        <v>0</v>
      </c>
      <c r="Y60" s="51"/>
      <c r="Z60" s="49">
        <f t="shared" si="14"/>
        <v>0</v>
      </c>
      <c r="AA60" s="50">
        <f t="shared" si="15"/>
        <v>0</v>
      </c>
      <c r="AB60" s="51"/>
      <c r="AC60" s="49">
        <f t="shared" si="16"/>
        <v>0</v>
      </c>
      <c r="AD60" s="50">
        <f t="shared" si="17"/>
        <v>0</v>
      </c>
      <c r="AE60" s="51"/>
      <c r="AF60" s="49">
        <f t="shared" si="18"/>
        <v>0</v>
      </c>
      <c r="AG60" s="50">
        <f t="shared" si="19"/>
        <v>0</v>
      </c>
      <c r="AH60" s="51">
        <v>6</v>
      </c>
      <c r="AI60" s="49">
        <f t="shared" si="20"/>
        <v>72</v>
      </c>
      <c r="AJ60" s="50">
        <f t="shared" si="21"/>
        <v>50.4</v>
      </c>
      <c r="AK60" s="51"/>
      <c r="AL60" s="49">
        <f t="shared" si="22"/>
        <v>0</v>
      </c>
      <c r="AM60" s="50">
        <f t="shared" si="23"/>
        <v>0</v>
      </c>
      <c r="AN60" s="51"/>
      <c r="AO60" s="49">
        <f t="shared" si="24"/>
        <v>0</v>
      </c>
      <c r="AP60" s="50">
        <f t="shared" si="25"/>
        <v>0</v>
      </c>
      <c r="AQ60" s="51"/>
      <c r="AR60" s="49">
        <f t="shared" si="26"/>
        <v>0</v>
      </c>
      <c r="AS60" s="50">
        <f t="shared" si="27"/>
        <v>0</v>
      </c>
      <c r="AT60" s="51"/>
      <c r="AU60" s="49">
        <f t="shared" si="28"/>
        <v>0</v>
      </c>
      <c r="AV60" s="50">
        <f t="shared" si="29"/>
        <v>0</v>
      </c>
      <c r="AW60" s="51">
        <v>204</v>
      </c>
      <c r="AX60" s="49">
        <f t="shared" si="30"/>
        <v>2448</v>
      </c>
      <c r="AY60" s="50">
        <f t="shared" si="31"/>
        <v>2448</v>
      </c>
      <c r="AZ60" s="51">
        <v>6</v>
      </c>
      <c r="BA60" s="49">
        <f t="shared" si="32"/>
        <v>72</v>
      </c>
      <c r="BB60" s="50">
        <f t="shared" si="33"/>
        <v>43.199999999999996</v>
      </c>
      <c r="BC60" s="51">
        <v>16</v>
      </c>
      <c r="BD60" s="49">
        <f t="shared" si="34"/>
        <v>640</v>
      </c>
      <c r="BE60" s="50">
        <f t="shared" si="35"/>
        <v>224</v>
      </c>
      <c r="BF60" s="51">
        <v>12</v>
      </c>
      <c r="BG60" s="49">
        <f t="shared" si="36"/>
        <v>144</v>
      </c>
      <c r="BH60" s="50">
        <f t="shared" si="37"/>
        <v>144</v>
      </c>
      <c r="BI60" s="51"/>
      <c r="BJ60" s="49">
        <f t="shared" si="38"/>
        <v>0</v>
      </c>
      <c r="BK60" s="50">
        <f t="shared" si="39"/>
        <v>0</v>
      </c>
      <c r="BL60" s="51">
        <v>3</v>
      </c>
      <c r="BM60" s="49">
        <f t="shared" si="40"/>
        <v>120</v>
      </c>
      <c r="BN60" s="50">
        <f t="shared" si="41"/>
        <v>42</v>
      </c>
      <c r="BO60" s="51"/>
      <c r="BP60" s="49">
        <f t="shared" si="42"/>
        <v>0</v>
      </c>
      <c r="BQ60" s="50">
        <f t="shared" si="43"/>
        <v>0</v>
      </c>
      <c r="BR60" s="51"/>
      <c r="BS60" s="49">
        <f t="shared" si="44"/>
        <v>0</v>
      </c>
      <c r="BT60" s="50">
        <f t="shared" si="45"/>
        <v>0</v>
      </c>
      <c r="BU60" s="51"/>
      <c r="BV60" s="49">
        <f t="shared" si="46"/>
        <v>0</v>
      </c>
      <c r="BW60" s="50">
        <f t="shared" si="47"/>
        <v>0</v>
      </c>
      <c r="BX60" s="51"/>
      <c r="BY60" s="49">
        <f t="shared" si="48"/>
        <v>0</v>
      </c>
      <c r="BZ60" s="50">
        <f t="shared" si="49"/>
        <v>0</v>
      </c>
      <c r="CA60" s="51"/>
      <c r="CB60" s="49">
        <f t="shared" si="50"/>
        <v>0</v>
      </c>
      <c r="CC60" s="50">
        <f t="shared" si="51"/>
        <v>0</v>
      </c>
      <c r="CD60" s="51"/>
      <c r="CE60" s="49">
        <f t="shared" si="52"/>
        <v>0</v>
      </c>
      <c r="CF60" s="50">
        <f t="shared" si="53"/>
        <v>0</v>
      </c>
      <c r="CG60" s="51"/>
      <c r="CH60" s="49">
        <f t="shared" si="54"/>
        <v>0</v>
      </c>
      <c r="CI60" s="50">
        <f t="shared" si="55"/>
        <v>0</v>
      </c>
      <c r="CJ60" s="51"/>
      <c r="CK60" s="49">
        <f t="shared" si="56"/>
        <v>0</v>
      </c>
      <c r="CL60" s="50">
        <f t="shared" si="57"/>
        <v>0</v>
      </c>
      <c r="CM60" s="51"/>
      <c r="CN60" s="49">
        <f t="shared" si="58"/>
        <v>0</v>
      </c>
      <c r="CO60" s="50">
        <f t="shared" si="59"/>
        <v>0</v>
      </c>
      <c r="CP60" s="51"/>
      <c r="CQ60" s="49">
        <f t="shared" si="60"/>
        <v>0</v>
      </c>
      <c r="CR60" s="50">
        <f t="shared" si="61"/>
        <v>0</v>
      </c>
      <c r="CS60" s="51"/>
      <c r="CT60" s="49">
        <f t="shared" si="62"/>
        <v>0</v>
      </c>
      <c r="CU60" s="50">
        <f t="shared" si="63"/>
        <v>0</v>
      </c>
      <c r="CV60" s="51"/>
      <c r="CW60" s="49">
        <f t="shared" si="64"/>
        <v>0</v>
      </c>
      <c r="CX60" s="50">
        <f t="shared" si="65"/>
        <v>0</v>
      </c>
      <c r="CY60" s="51"/>
      <c r="CZ60" s="49">
        <f t="shared" si="66"/>
        <v>0</v>
      </c>
      <c r="DA60" s="50">
        <f t="shared" si="67"/>
        <v>0</v>
      </c>
      <c r="DB60" s="51"/>
      <c r="DC60" s="49">
        <f t="shared" si="68"/>
        <v>0</v>
      </c>
      <c r="DD60" s="50">
        <f t="shared" si="69"/>
        <v>0</v>
      </c>
      <c r="DE60" s="51"/>
      <c r="DF60" s="49">
        <f t="shared" si="70"/>
        <v>0</v>
      </c>
      <c r="DG60" s="50">
        <f t="shared" si="71"/>
        <v>0</v>
      </c>
      <c r="DH60" s="51"/>
      <c r="DI60" s="49">
        <f t="shared" si="72"/>
        <v>0</v>
      </c>
      <c r="DJ60" s="50">
        <f t="shared" si="73"/>
        <v>0</v>
      </c>
      <c r="DK60" s="51"/>
      <c r="DL60" s="49">
        <f t="shared" si="74"/>
        <v>0</v>
      </c>
      <c r="DM60" s="50">
        <f t="shared" si="75"/>
        <v>0</v>
      </c>
      <c r="DN60" s="51"/>
      <c r="DO60" s="49">
        <f t="shared" si="76"/>
        <v>0</v>
      </c>
      <c r="DP60" s="50">
        <f t="shared" si="77"/>
        <v>0</v>
      </c>
      <c r="DQ60" s="51"/>
      <c r="DR60" s="51"/>
      <c r="DS60" s="51"/>
      <c r="DT60" s="46">
        <f t="shared" si="93"/>
        <v>285</v>
      </c>
      <c r="DU60" s="46">
        <f t="shared" si="94"/>
        <v>4028</v>
      </c>
      <c r="DV60" s="46">
        <f t="shared" si="95"/>
        <v>3292.08</v>
      </c>
    </row>
    <row r="61" spans="1:126" s="8" customFormat="1" ht="21.95" customHeight="1" x14ac:dyDescent="0.6">
      <c r="A61" s="67"/>
      <c r="B61" s="12" t="s">
        <v>67</v>
      </c>
      <c r="C61" s="70"/>
      <c r="D61" s="51">
        <v>454</v>
      </c>
      <c r="E61" s="49">
        <f t="shared" si="0"/>
        <v>6356</v>
      </c>
      <c r="F61" s="50">
        <f t="shared" si="1"/>
        <v>4067.84</v>
      </c>
      <c r="G61" s="51"/>
      <c r="H61" s="49">
        <f t="shared" si="2"/>
        <v>0</v>
      </c>
      <c r="I61" s="50">
        <f t="shared" si="3"/>
        <v>0</v>
      </c>
      <c r="J61" s="51"/>
      <c r="K61" s="49">
        <f t="shared" si="4"/>
        <v>0</v>
      </c>
      <c r="L61" s="50">
        <f t="shared" si="5"/>
        <v>0</v>
      </c>
      <c r="M61" s="51"/>
      <c r="N61" s="49">
        <f t="shared" si="6"/>
        <v>0</v>
      </c>
      <c r="O61" s="50">
        <f t="shared" si="7"/>
        <v>0</v>
      </c>
      <c r="P61" s="51"/>
      <c r="Q61" s="49">
        <f t="shared" si="8"/>
        <v>0</v>
      </c>
      <c r="R61" s="50">
        <f t="shared" si="9"/>
        <v>0</v>
      </c>
      <c r="S61" s="51">
        <v>5</v>
      </c>
      <c r="T61" s="49">
        <f t="shared" si="10"/>
        <v>70</v>
      </c>
      <c r="U61" s="50">
        <f t="shared" si="11"/>
        <v>44.800000000000004</v>
      </c>
      <c r="V61" s="51"/>
      <c r="W61" s="49">
        <f t="shared" si="12"/>
        <v>0</v>
      </c>
      <c r="X61" s="50">
        <f t="shared" si="13"/>
        <v>0</v>
      </c>
      <c r="Y61" s="51"/>
      <c r="Z61" s="49">
        <f t="shared" si="14"/>
        <v>0</v>
      </c>
      <c r="AA61" s="50">
        <f t="shared" si="15"/>
        <v>0</v>
      </c>
      <c r="AB61" s="51"/>
      <c r="AC61" s="49">
        <f t="shared" si="16"/>
        <v>0</v>
      </c>
      <c r="AD61" s="50">
        <f t="shared" si="17"/>
        <v>0</v>
      </c>
      <c r="AE61" s="51"/>
      <c r="AF61" s="49">
        <f t="shared" si="18"/>
        <v>0</v>
      </c>
      <c r="AG61" s="50">
        <f t="shared" si="19"/>
        <v>0</v>
      </c>
      <c r="AH61" s="51">
        <v>6</v>
      </c>
      <c r="AI61" s="49">
        <f t="shared" si="20"/>
        <v>72</v>
      </c>
      <c r="AJ61" s="50">
        <f t="shared" si="21"/>
        <v>50.4</v>
      </c>
      <c r="AK61" s="51"/>
      <c r="AL61" s="49">
        <f t="shared" si="22"/>
        <v>0</v>
      </c>
      <c r="AM61" s="50">
        <f t="shared" si="23"/>
        <v>0</v>
      </c>
      <c r="AN61" s="51">
        <v>3.1666666666666665</v>
      </c>
      <c r="AO61" s="49">
        <f t="shared" si="24"/>
        <v>38</v>
      </c>
      <c r="AP61" s="50">
        <f t="shared" si="25"/>
        <v>26.599999999999998</v>
      </c>
      <c r="AQ61" s="51">
        <v>5.666666666666667</v>
      </c>
      <c r="AR61" s="49">
        <f t="shared" si="26"/>
        <v>136</v>
      </c>
      <c r="AS61" s="50">
        <f t="shared" si="27"/>
        <v>47.599999999999994</v>
      </c>
      <c r="AT61" s="51"/>
      <c r="AU61" s="49">
        <f t="shared" si="28"/>
        <v>0</v>
      </c>
      <c r="AV61" s="50">
        <f t="shared" si="29"/>
        <v>0</v>
      </c>
      <c r="AW61" s="51">
        <v>813</v>
      </c>
      <c r="AX61" s="49">
        <f t="shared" si="30"/>
        <v>9756</v>
      </c>
      <c r="AY61" s="50">
        <f t="shared" si="31"/>
        <v>9756</v>
      </c>
      <c r="AZ61" s="51">
        <v>6</v>
      </c>
      <c r="BA61" s="49">
        <f t="shared" si="32"/>
        <v>72</v>
      </c>
      <c r="BB61" s="50">
        <f t="shared" si="33"/>
        <v>43.199999999999996</v>
      </c>
      <c r="BC61" s="51">
        <v>116</v>
      </c>
      <c r="BD61" s="49">
        <f t="shared" si="34"/>
        <v>4640</v>
      </c>
      <c r="BE61" s="50">
        <f t="shared" si="35"/>
        <v>1624</v>
      </c>
      <c r="BF61" s="51">
        <v>144.83333333333331</v>
      </c>
      <c r="BG61" s="49">
        <f t="shared" si="36"/>
        <v>1737.9999999999998</v>
      </c>
      <c r="BH61" s="50">
        <f t="shared" si="37"/>
        <v>1737.9999999999998</v>
      </c>
      <c r="BI61" s="51"/>
      <c r="BJ61" s="49">
        <f t="shared" si="38"/>
        <v>0</v>
      </c>
      <c r="BK61" s="50">
        <f t="shared" si="39"/>
        <v>0</v>
      </c>
      <c r="BL61" s="51">
        <v>12</v>
      </c>
      <c r="BM61" s="49">
        <f t="shared" si="40"/>
        <v>480</v>
      </c>
      <c r="BN61" s="50">
        <f t="shared" si="41"/>
        <v>168</v>
      </c>
      <c r="BO61" s="51"/>
      <c r="BP61" s="49">
        <f t="shared" si="42"/>
        <v>0</v>
      </c>
      <c r="BQ61" s="50">
        <f t="shared" si="43"/>
        <v>0</v>
      </c>
      <c r="BR61" s="51"/>
      <c r="BS61" s="49">
        <f t="shared" si="44"/>
        <v>0</v>
      </c>
      <c r="BT61" s="50">
        <f t="shared" si="45"/>
        <v>0</v>
      </c>
      <c r="BU61" s="51"/>
      <c r="BV61" s="49">
        <f t="shared" si="46"/>
        <v>0</v>
      </c>
      <c r="BW61" s="50">
        <f t="shared" si="47"/>
        <v>0</v>
      </c>
      <c r="BX61" s="51"/>
      <c r="BY61" s="49">
        <f t="shared" si="48"/>
        <v>0</v>
      </c>
      <c r="BZ61" s="50">
        <f t="shared" si="49"/>
        <v>0</v>
      </c>
      <c r="CA61" s="51"/>
      <c r="CB61" s="49">
        <f t="shared" si="50"/>
        <v>0</v>
      </c>
      <c r="CC61" s="50">
        <f t="shared" si="51"/>
        <v>0</v>
      </c>
      <c r="CD61" s="51">
        <v>19</v>
      </c>
      <c r="CE61" s="49">
        <f t="shared" si="52"/>
        <v>228</v>
      </c>
      <c r="CF61" s="50">
        <f t="shared" si="53"/>
        <v>228</v>
      </c>
      <c r="CG61" s="51"/>
      <c r="CH61" s="49">
        <f t="shared" si="54"/>
        <v>0</v>
      </c>
      <c r="CI61" s="50">
        <f t="shared" si="55"/>
        <v>0</v>
      </c>
      <c r="CJ61" s="51"/>
      <c r="CK61" s="49">
        <f t="shared" si="56"/>
        <v>0</v>
      </c>
      <c r="CL61" s="50">
        <f t="shared" si="57"/>
        <v>0</v>
      </c>
      <c r="CM61" s="51"/>
      <c r="CN61" s="49">
        <f t="shared" si="58"/>
        <v>0</v>
      </c>
      <c r="CO61" s="50">
        <f t="shared" si="59"/>
        <v>0</v>
      </c>
      <c r="CP61" s="51"/>
      <c r="CQ61" s="49">
        <f t="shared" si="60"/>
        <v>0</v>
      </c>
      <c r="CR61" s="50">
        <f t="shared" si="61"/>
        <v>0</v>
      </c>
      <c r="CS61" s="51"/>
      <c r="CT61" s="49">
        <f t="shared" si="62"/>
        <v>0</v>
      </c>
      <c r="CU61" s="50">
        <f t="shared" si="63"/>
        <v>0</v>
      </c>
      <c r="CV61" s="51">
        <v>31</v>
      </c>
      <c r="CW61" s="49">
        <f t="shared" si="64"/>
        <v>620</v>
      </c>
      <c r="CX61" s="50">
        <f t="shared" si="65"/>
        <v>620</v>
      </c>
      <c r="CY61" s="51"/>
      <c r="CZ61" s="49">
        <f t="shared" si="66"/>
        <v>0</v>
      </c>
      <c r="DA61" s="50">
        <f t="shared" si="67"/>
        <v>0</v>
      </c>
      <c r="DB61" s="51"/>
      <c r="DC61" s="49">
        <f t="shared" si="68"/>
        <v>0</v>
      </c>
      <c r="DD61" s="50">
        <f t="shared" si="69"/>
        <v>0</v>
      </c>
      <c r="DE61" s="51"/>
      <c r="DF61" s="49">
        <f t="shared" si="70"/>
        <v>0</v>
      </c>
      <c r="DG61" s="50">
        <f t="shared" si="71"/>
        <v>0</v>
      </c>
      <c r="DH61" s="51"/>
      <c r="DI61" s="49">
        <f t="shared" si="72"/>
        <v>0</v>
      </c>
      <c r="DJ61" s="50">
        <f t="shared" si="73"/>
        <v>0</v>
      </c>
      <c r="DK61" s="51">
        <v>8</v>
      </c>
      <c r="DL61" s="49">
        <f t="shared" si="74"/>
        <v>96</v>
      </c>
      <c r="DM61" s="50">
        <f t="shared" si="75"/>
        <v>65.28</v>
      </c>
      <c r="DN61" s="51">
        <v>20.916666666666668</v>
      </c>
      <c r="DO61" s="49">
        <f t="shared" si="76"/>
        <v>251</v>
      </c>
      <c r="DP61" s="50">
        <f t="shared" si="77"/>
        <v>251</v>
      </c>
      <c r="DQ61" s="51"/>
      <c r="DR61" s="51"/>
      <c r="DS61" s="51"/>
      <c r="DT61" s="46">
        <f t="shared" si="93"/>
        <v>1644.5833333333335</v>
      </c>
      <c r="DU61" s="46">
        <f t="shared" si="94"/>
        <v>24553</v>
      </c>
      <c r="DV61" s="46">
        <f t="shared" si="95"/>
        <v>18730.72</v>
      </c>
    </row>
    <row r="62" spans="1:126" s="8" customFormat="1" ht="21.95" customHeight="1" x14ac:dyDescent="0.6">
      <c r="A62" s="67"/>
      <c r="B62" s="23" t="s">
        <v>62</v>
      </c>
      <c r="C62" s="16" t="s">
        <v>41</v>
      </c>
      <c r="D62" s="51">
        <v>340</v>
      </c>
      <c r="E62" s="49">
        <f t="shared" si="0"/>
        <v>4760</v>
      </c>
      <c r="F62" s="50">
        <f t="shared" si="1"/>
        <v>3046.4</v>
      </c>
      <c r="G62" s="51"/>
      <c r="H62" s="49">
        <f t="shared" si="2"/>
        <v>0</v>
      </c>
      <c r="I62" s="50">
        <f t="shared" si="3"/>
        <v>0</v>
      </c>
      <c r="J62" s="51"/>
      <c r="K62" s="49">
        <f t="shared" si="4"/>
        <v>0</v>
      </c>
      <c r="L62" s="50">
        <f t="shared" si="5"/>
        <v>0</v>
      </c>
      <c r="M62" s="51"/>
      <c r="N62" s="49">
        <f t="shared" si="6"/>
        <v>0</v>
      </c>
      <c r="O62" s="50">
        <f t="shared" si="7"/>
        <v>0</v>
      </c>
      <c r="P62" s="51"/>
      <c r="Q62" s="49">
        <f t="shared" si="8"/>
        <v>0</v>
      </c>
      <c r="R62" s="50">
        <f t="shared" si="9"/>
        <v>0</v>
      </c>
      <c r="S62" s="51"/>
      <c r="T62" s="49">
        <f t="shared" si="10"/>
        <v>0</v>
      </c>
      <c r="U62" s="50">
        <f t="shared" si="11"/>
        <v>0</v>
      </c>
      <c r="V62" s="51"/>
      <c r="W62" s="49">
        <f t="shared" si="12"/>
        <v>0</v>
      </c>
      <c r="X62" s="50">
        <f t="shared" si="13"/>
        <v>0</v>
      </c>
      <c r="Y62" s="51"/>
      <c r="Z62" s="49">
        <f t="shared" si="14"/>
        <v>0</v>
      </c>
      <c r="AA62" s="50">
        <f t="shared" si="15"/>
        <v>0</v>
      </c>
      <c r="AB62" s="51"/>
      <c r="AC62" s="49">
        <f t="shared" si="16"/>
        <v>0</v>
      </c>
      <c r="AD62" s="50">
        <f t="shared" si="17"/>
        <v>0</v>
      </c>
      <c r="AE62" s="51"/>
      <c r="AF62" s="49">
        <f t="shared" si="18"/>
        <v>0</v>
      </c>
      <c r="AG62" s="50">
        <f t="shared" si="19"/>
        <v>0</v>
      </c>
      <c r="AH62" s="51">
        <v>5</v>
      </c>
      <c r="AI62" s="49">
        <f t="shared" si="20"/>
        <v>60</v>
      </c>
      <c r="AJ62" s="50">
        <f t="shared" si="21"/>
        <v>42</v>
      </c>
      <c r="AK62" s="51"/>
      <c r="AL62" s="49">
        <f t="shared" si="22"/>
        <v>0</v>
      </c>
      <c r="AM62" s="50">
        <f t="shared" si="23"/>
        <v>0</v>
      </c>
      <c r="AN62" s="51"/>
      <c r="AO62" s="49">
        <f t="shared" si="24"/>
        <v>0</v>
      </c>
      <c r="AP62" s="50">
        <f t="shared" si="25"/>
        <v>0</v>
      </c>
      <c r="AQ62" s="51"/>
      <c r="AR62" s="49">
        <f t="shared" si="26"/>
        <v>0</v>
      </c>
      <c r="AS62" s="50">
        <f t="shared" si="27"/>
        <v>0</v>
      </c>
      <c r="AT62" s="51"/>
      <c r="AU62" s="49">
        <f t="shared" si="28"/>
        <v>0</v>
      </c>
      <c r="AV62" s="50">
        <f t="shared" si="29"/>
        <v>0</v>
      </c>
      <c r="AW62" s="51">
        <v>400</v>
      </c>
      <c r="AX62" s="49">
        <f t="shared" si="30"/>
        <v>4800</v>
      </c>
      <c r="AY62" s="50">
        <f t="shared" si="31"/>
        <v>4800</v>
      </c>
      <c r="AZ62" s="51">
        <v>60</v>
      </c>
      <c r="BA62" s="49">
        <f t="shared" si="32"/>
        <v>720</v>
      </c>
      <c r="BB62" s="50">
        <f t="shared" si="33"/>
        <v>432</v>
      </c>
      <c r="BC62" s="51">
        <v>80</v>
      </c>
      <c r="BD62" s="49">
        <f t="shared" si="34"/>
        <v>3200</v>
      </c>
      <c r="BE62" s="50">
        <f t="shared" si="35"/>
        <v>1120</v>
      </c>
      <c r="BF62" s="51">
        <v>39</v>
      </c>
      <c r="BG62" s="49">
        <f t="shared" si="36"/>
        <v>468</v>
      </c>
      <c r="BH62" s="50">
        <f t="shared" si="37"/>
        <v>468</v>
      </c>
      <c r="BI62" s="51"/>
      <c r="BJ62" s="49">
        <f t="shared" si="38"/>
        <v>0</v>
      </c>
      <c r="BK62" s="50">
        <f t="shared" si="39"/>
        <v>0</v>
      </c>
      <c r="BL62" s="51"/>
      <c r="BM62" s="49">
        <f t="shared" si="40"/>
        <v>0</v>
      </c>
      <c r="BN62" s="50">
        <f t="shared" si="41"/>
        <v>0</v>
      </c>
      <c r="BO62" s="51"/>
      <c r="BP62" s="49">
        <f t="shared" si="42"/>
        <v>0</v>
      </c>
      <c r="BQ62" s="50">
        <f t="shared" si="43"/>
        <v>0</v>
      </c>
      <c r="BR62" s="51"/>
      <c r="BS62" s="49">
        <f t="shared" si="44"/>
        <v>0</v>
      </c>
      <c r="BT62" s="50">
        <f t="shared" si="45"/>
        <v>0</v>
      </c>
      <c r="BU62" s="51"/>
      <c r="BV62" s="49">
        <f t="shared" si="46"/>
        <v>0</v>
      </c>
      <c r="BW62" s="50">
        <f t="shared" si="47"/>
        <v>0</v>
      </c>
      <c r="BX62" s="51"/>
      <c r="BY62" s="49">
        <f t="shared" si="48"/>
        <v>0</v>
      </c>
      <c r="BZ62" s="50">
        <f t="shared" si="49"/>
        <v>0</v>
      </c>
      <c r="CA62" s="51"/>
      <c r="CB62" s="49">
        <f t="shared" si="50"/>
        <v>0</v>
      </c>
      <c r="CC62" s="50">
        <f t="shared" si="51"/>
        <v>0</v>
      </c>
      <c r="CD62" s="51"/>
      <c r="CE62" s="49">
        <f t="shared" si="52"/>
        <v>0</v>
      </c>
      <c r="CF62" s="50">
        <f t="shared" si="53"/>
        <v>0</v>
      </c>
      <c r="CG62" s="51"/>
      <c r="CH62" s="49">
        <f t="shared" si="54"/>
        <v>0</v>
      </c>
      <c r="CI62" s="50">
        <f t="shared" si="55"/>
        <v>0</v>
      </c>
      <c r="CJ62" s="51"/>
      <c r="CK62" s="49">
        <f t="shared" si="56"/>
        <v>0</v>
      </c>
      <c r="CL62" s="50">
        <f t="shared" si="57"/>
        <v>0</v>
      </c>
      <c r="CM62" s="51"/>
      <c r="CN62" s="49">
        <f t="shared" si="58"/>
        <v>0</v>
      </c>
      <c r="CO62" s="50">
        <f t="shared" si="59"/>
        <v>0</v>
      </c>
      <c r="CP62" s="51"/>
      <c r="CQ62" s="49">
        <f t="shared" si="60"/>
        <v>0</v>
      </c>
      <c r="CR62" s="50">
        <f t="shared" si="61"/>
        <v>0</v>
      </c>
      <c r="CS62" s="51"/>
      <c r="CT62" s="49">
        <f t="shared" si="62"/>
        <v>0</v>
      </c>
      <c r="CU62" s="50">
        <f t="shared" si="63"/>
        <v>0</v>
      </c>
      <c r="CV62" s="51"/>
      <c r="CW62" s="49">
        <f t="shared" si="64"/>
        <v>0</v>
      </c>
      <c r="CX62" s="50">
        <f t="shared" si="65"/>
        <v>0</v>
      </c>
      <c r="CY62" s="51"/>
      <c r="CZ62" s="49">
        <f t="shared" si="66"/>
        <v>0</v>
      </c>
      <c r="DA62" s="50">
        <f t="shared" si="67"/>
        <v>0</v>
      </c>
      <c r="DB62" s="51"/>
      <c r="DC62" s="49">
        <f t="shared" si="68"/>
        <v>0</v>
      </c>
      <c r="DD62" s="50">
        <f t="shared" si="69"/>
        <v>0</v>
      </c>
      <c r="DE62" s="51"/>
      <c r="DF62" s="49">
        <f t="shared" si="70"/>
        <v>0</v>
      </c>
      <c r="DG62" s="50">
        <f t="shared" si="71"/>
        <v>0</v>
      </c>
      <c r="DH62" s="51"/>
      <c r="DI62" s="49">
        <f t="shared" si="72"/>
        <v>0</v>
      </c>
      <c r="DJ62" s="50">
        <f t="shared" si="73"/>
        <v>0</v>
      </c>
      <c r="DK62" s="51"/>
      <c r="DL62" s="49">
        <f t="shared" si="74"/>
        <v>0</v>
      </c>
      <c r="DM62" s="50">
        <f t="shared" si="75"/>
        <v>0</v>
      </c>
      <c r="DN62" s="51"/>
      <c r="DO62" s="49">
        <f t="shared" si="76"/>
        <v>0</v>
      </c>
      <c r="DP62" s="50">
        <f t="shared" si="77"/>
        <v>0</v>
      </c>
      <c r="DQ62" s="51"/>
      <c r="DR62" s="51"/>
      <c r="DS62" s="51"/>
      <c r="DT62" s="46">
        <f t="shared" si="93"/>
        <v>924</v>
      </c>
      <c r="DU62" s="46">
        <f t="shared" si="94"/>
        <v>14008</v>
      </c>
      <c r="DV62" s="46">
        <f t="shared" si="95"/>
        <v>9908.4</v>
      </c>
    </row>
    <row r="63" spans="1:126" s="8" customFormat="1" ht="21.95" customHeight="1" x14ac:dyDescent="0.6">
      <c r="A63" s="67"/>
      <c r="B63" s="15" t="s">
        <v>64</v>
      </c>
      <c r="C63" s="16" t="s">
        <v>41</v>
      </c>
      <c r="D63" s="51">
        <v>1800</v>
      </c>
      <c r="E63" s="49">
        <f t="shared" si="0"/>
        <v>25200</v>
      </c>
      <c r="F63" s="50">
        <f t="shared" si="1"/>
        <v>16128</v>
      </c>
      <c r="G63" s="51"/>
      <c r="H63" s="49">
        <f t="shared" si="2"/>
        <v>0</v>
      </c>
      <c r="I63" s="50">
        <f t="shared" si="3"/>
        <v>0</v>
      </c>
      <c r="J63" s="51"/>
      <c r="K63" s="49">
        <f t="shared" si="4"/>
        <v>0</v>
      </c>
      <c r="L63" s="50">
        <f t="shared" si="5"/>
        <v>0</v>
      </c>
      <c r="M63" s="51">
        <v>70</v>
      </c>
      <c r="N63" s="49">
        <f t="shared" si="6"/>
        <v>980</v>
      </c>
      <c r="O63" s="50">
        <f t="shared" si="7"/>
        <v>627.20000000000005</v>
      </c>
      <c r="P63" s="51"/>
      <c r="Q63" s="49">
        <f t="shared" si="8"/>
        <v>0</v>
      </c>
      <c r="R63" s="50">
        <f t="shared" si="9"/>
        <v>0</v>
      </c>
      <c r="S63" s="51">
        <v>30</v>
      </c>
      <c r="T63" s="49">
        <f t="shared" si="10"/>
        <v>420</v>
      </c>
      <c r="U63" s="50">
        <f t="shared" si="11"/>
        <v>268.8</v>
      </c>
      <c r="V63" s="51">
        <v>85</v>
      </c>
      <c r="W63" s="49">
        <f t="shared" si="12"/>
        <v>1190</v>
      </c>
      <c r="X63" s="50">
        <f t="shared" si="13"/>
        <v>761.6</v>
      </c>
      <c r="Y63" s="51"/>
      <c r="Z63" s="49">
        <f t="shared" si="14"/>
        <v>0</v>
      </c>
      <c r="AA63" s="50">
        <f t="shared" si="15"/>
        <v>0</v>
      </c>
      <c r="AB63" s="51"/>
      <c r="AC63" s="49">
        <f t="shared" si="16"/>
        <v>0</v>
      </c>
      <c r="AD63" s="50">
        <f t="shared" si="17"/>
        <v>0</v>
      </c>
      <c r="AE63" s="51"/>
      <c r="AF63" s="49">
        <f t="shared" si="18"/>
        <v>0</v>
      </c>
      <c r="AG63" s="50">
        <f t="shared" si="19"/>
        <v>0</v>
      </c>
      <c r="AH63" s="51"/>
      <c r="AI63" s="49">
        <f t="shared" si="20"/>
        <v>0</v>
      </c>
      <c r="AJ63" s="50">
        <f t="shared" si="21"/>
        <v>0</v>
      </c>
      <c r="AK63" s="51"/>
      <c r="AL63" s="49">
        <f t="shared" si="22"/>
        <v>0</v>
      </c>
      <c r="AM63" s="50">
        <f t="shared" si="23"/>
        <v>0</v>
      </c>
      <c r="AN63" s="51"/>
      <c r="AO63" s="49">
        <f t="shared" si="24"/>
        <v>0</v>
      </c>
      <c r="AP63" s="50">
        <f t="shared" si="25"/>
        <v>0</v>
      </c>
      <c r="AQ63" s="51"/>
      <c r="AR63" s="49">
        <f t="shared" si="26"/>
        <v>0</v>
      </c>
      <c r="AS63" s="50">
        <f t="shared" si="27"/>
        <v>0</v>
      </c>
      <c r="AT63" s="51"/>
      <c r="AU63" s="49">
        <f t="shared" si="28"/>
        <v>0</v>
      </c>
      <c r="AV63" s="50">
        <f t="shared" si="29"/>
        <v>0</v>
      </c>
      <c r="AW63" s="51">
        <v>3148</v>
      </c>
      <c r="AX63" s="49">
        <f t="shared" si="30"/>
        <v>37776</v>
      </c>
      <c r="AY63" s="50">
        <f t="shared" si="31"/>
        <v>37776</v>
      </c>
      <c r="AZ63" s="51">
        <v>430</v>
      </c>
      <c r="BA63" s="49">
        <f t="shared" si="32"/>
        <v>5160</v>
      </c>
      <c r="BB63" s="50">
        <f t="shared" si="33"/>
        <v>3096</v>
      </c>
      <c r="BC63" s="51">
        <v>550</v>
      </c>
      <c r="BD63" s="49">
        <f t="shared" si="34"/>
        <v>22000</v>
      </c>
      <c r="BE63" s="50">
        <f t="shared" si="35"/>
        <v>7699.9999999999991</v>
      </c>
      <c r="BF63" s="51">
        <v>60</v>
      </c>
      <c r="BG63" s="49">
        <f t="shared" si="36"/>
        <v>720</v>
      </c>
      <c r="BH63" s="50">
        <f t="shared" si="37"/>
        <v>720</v>
      </c>
      <c r="BI63" s="51"/>
      <c r="BJ63" s="49">
        <f t="shared" si="38"/>
        <v>0</v>
      </c>
      <c r="BK63" s="50">
        <f t="shared" si="39"/>
        <v>0</v>
      </c>
      <c r="BL63" s="51"/>
      <c r="BM63" s="49">
        <f t="shared" si="40"/>
        <v>0</v>
      </c>
      <c r="BN63" s="50">
        <f t="shared" si="41"/>
        <v>0</v>
      </c>
      <c r="BO63" s="51"/>
      <c r="BP63" s="49">
        <f t="shared" si="42"/>
        <v>0</v>
      </c>
      <c r="BQ63" s="50">
        <f t="shared" si="43"/>
        <v>0</v>
      </c>
      <c r="BR63" s="51"/>
      <c r="BS63" s="49">
        <f t="shared" si="44"/>
        <v>0</v>
      </c>
      <c r="BT63" s="50">
        <f t="shared" si="45"/>
        <v>0</v>
      </c>
      <c r="BU63" s="51"/>
      <c r="BV63" s="49">
        <f t="shared" si="46"/>
        <v>0</v>
      </c>
      <c r="BW63" s="50">
        <f t="shared" si="47"/>
        <v>0</v>
      </c>
      <c r="BX63" s="51"/>
      <c r="BY63" s="49">
        <f t="shared" si="48"/>
        <v>0</v>
      </c>
      <c r="BZ63" s="50">
        <f t="shared" si="49"/>
        <v>0</v>
      </c>
      <c r="CA63" s="51"/>
      <c r="CB63" s="49">
        <f t="shared" si="50"/>
        <v>0</v>
      </c>
      <c r="CC63" s="50">
        <f t="shared" si="51"/>
        <v>0</v>
      </c>
      <c r="CD63" s="51"/>
      <c r="CE63" s="49">
        <f t="shared" si="52"/>
        <v>0</v>
      </c>
      <c r="CF63" s="50">
        <f t="shared" si="53"/>
        <v>0</v>
      </c>
      <c r="CG63" s="51"/>
      <c r="CH63" s="49">
        <f t="shared" si="54"/>
        <v>0</v>
      </c>
      <c r="CI63" s="50">
        <f t="shared" si="55"/>
        <v>0</v>
      </c>
      <c r="CJ63" s="51"/>
      <c r="CK63" s="49">
        <f t="shared" si="56"/>
        <v>0</v>
      </c>
      <c r="CL63" s="50">
        <f t="shared" si="57"/>
        <v>0</v>
      </c>
      <c r="CM63" s="51"/>
      <c r="CN63" s="49">
        <f t="shared" si="58"/>
        <v>0</v>
      </c>
      <c r="CO63" s="50">
        <f t="shared" si="59"/>
        <v>0</v>
      </c>
      <c r="CP63" s="51"/>
      <c r="CQ63" s="49">
        <f t="shared" si="60"/>
        <v>0</v>
      </c>
      <c r="CR63" s="50">
        <f t="shared" si="61"/>
        <v>0</v>
      </c>
      <c r="CS63" s="51"/>
      <c r="CT63" s="49">
        <f t="shared" si="62"/>
        <v>0</v>
      </c>
      <c r="CU63" s="50">
        <f t="shared" si="63"/>
        <v>0</v>
      </c>
      <c r="CV63" s="51"/>
      <c r="CW63" s="49">
        <f t="shared" si="64"/>
        <v>0</v>
      </c>
      <c r="CX63" s="50">
        <f t="shared" si="65"/>
        <v>0</v>
      </c>
      <c r="CY63" s="51"/>
      <c r="CZ63" s="49">
        <f t="shared" si="66"/>
        <v>0</v>
      </c>
      <c r="DA63" s="50">
        <f t="shared" si="67"/>
        <v>0</v>
      </c>
      <c r="DB63" s="51"/>
      <c r="DC63" s="49">
        <f t="shared" si="68"/>
        <v>0</v>
      </c>
      <c r="DD63" s="50">
        <f t="shared" si="69"/>
        <v>0</v>
      </c>
      <c r="DE63" s="51"/>
      <c r="DF63" s="49">
        <f t="shared" si="70"/>
        <v>0</v>
      </c>
      <c r="DG63" s="50">
        <f t="shared" si="71"/>
        <v>0</v>
      </c>
      <c r="DH63" s="51"/>
      <c r="DI63" s="49">
        <f t="shared" si="72"/>
        <v>0</v>
      </c>
      <c r="DJ63" s="50">
        <f t="shared" si="73"/>
        <v>0</v>
      </c>
      <c r="DK63" s="51"/>
      <c r="DL63" s="49">
        <f t="shared" si="74"/>
        <v>0</v>
      </c>
      <c r="DM63" s="50">
        <f t="shared" si="75"/>
        <v>0</v>
      </c>
      <c r="DN63" s="51"/>
      <c r="DO63" s="49">
        <f t="shared" si="76"/>
        <v>0</v>
      </c>
      <c r="DP63" s="50">
        <f t="shared" si="77"/>
        <v>0</v>
      </c>
      <c r="DQ63" s="51"/>
      <c r="DR63" s="51"/>
      <c r="DS63" s="51"/>
      <c r="DT63" s="46">
        <f t="shared" si="93"/>
        <v>6173</v>
      </c>
      <c r="DU63" s="46">
        <f t="shared" si="94"/>
        <v>93446</v>
      </c>
      <c r="DV63" s="46">
        <f t="shared" si="95"/>
        <v>67077.599999999991</v>
      </c>
    </row>
    <row r="64" spans="1:126" s="8" customFormat="1" ht="21.95" customHeight="1" x14ac:dyDescent="0.6">
      <c r="A64" s="67"/>
      <c r="B64" s="15" t="s">
        <v>67</v>
      </c>
      <c r="C64" s="16" t="s">
        <v>41</v>
      </c>
      <c r="D64" s="51">
        <v>6115</v>
      </c>
      <c r="E64" s="49">
        <f t="shared" si="0"/>
        <v>85610</v>
      </c>
      <c r="F64" s="50">
        <f t="shared" si="1"/>
        <v>54790.400000000001</v>
      </c>
      <c r="G64" s="51"/>
      <c r="H64" s="49">
        <f t="shared" si="2"/>
        <v>0</v>
      </c>
      <c r="I64" s="50">
        <f t="shared" si="3"/>
        <v>0</v>
      </c>
      <c r="J64" s="51"/>
      <c r="K64" s="49">
        <f t="shared" si="4"/>
        <v>0</v>
      </c>
      <c r="L64" s="50">
        <f t="shared" si="5"/>
        <v>0</v>
      </c>
      <c r="M64" s="51"/>
      <c r="N64" s="49">
        <f t="shared" si="6"/>
        <v>0</v>
      </c>
      <c r="O64" s="50">
        <f t="shared" si="7"/>
        <v>0</v>
      </c>
      <c r="P64" s="51"/>
      <c r="Q64" s="49">
        <f t="shared" si="8"/>
        <v>0</v>
      </c>
      <c r="R64" s="50">
        <f t="shared" si="9"/>
        <v>0</v>
      </c>
      <c r="S64" s="51">
        <v>20</v>
      </c>
      <c r="T64" s="49">
        <f t="shared" si="10"/>
        <v>280</v>
      </c>
      <c r="U64" s="50">
        <f t="shared" si="11"/>
        <v>179.20000000000002</v>
      </c>
      <c r="V64" s="51">
        <v>30</v>
      </c>
      <c r="W64" s="49">
        <f t="shared" si="12"/>
        <v>420</v>
      </c>
      <c r="X64" s="50">
        <f t="shared" si="13"/>
        <v>268.8</v>
      </c>
      <c r="Y64" s="51"/>
      <c r="Z64" s="49">
        <f t="shared" si="14"/>
        <v>0</v>
      </c>
      <c r="AA64" s="50">
        <f t="shared" si="15"/>
        <v>0</v>
      </c>
      <c r="AB64" s="51"/>
      <c r="AC64" s="49">
        <f t="shared" si="16"/>
        <v>0</v>
      </c>
      <c r="AD64" s="50">
        <f t="shared" si="17"/>
        <v>0</v>
      </c>
      <c r="AE64" s="51"/>
      <c r="AF64" s="49">
        <f t="shared" si="18"/>
        <v>0</v>
      </c>
      <c r="AG64" s="50">
        <f t="shared" si="19"/>
        <v>0</v>
      </c>
      <c r="AH64" s="51">
        <v>45</v>
      </c>
      <c r="AI64" s="49">
        <f t="shared" si="20"/>
        <v>540</v>
      </c>
      <c r="AJ64" s="50">
        <f t="shared" si="21"/>
        <v>378</v>
      </c>
      <c r="AK64" s="51"/>
      <c r="AL64" s="49">
        <f t="shared" si="22"/>
        <v>0</v>
      </c>
      <c r="AM64" s="50">
        <f t="shared" si="23"/>
        <v>0</v>
      </c>
      <c r="AN64" s="51"/>
      <c r="AO64" s="49">
        <f t="shared" si="24"/>
        <v>0</v>
      </c>
      <c r="AP64" s="50">
        <f t="shared" si="25"/>
        <v>0</v>
      </c>
      <c r="AQ64" s="51"/>
      <c r="AR64" s="49">
        <f t="shared" si="26"/>
        <v>0</v>
      </c>
      <c r="AS64" s="50">
        <f t="shared" si="27"/>
        <v>0</v>
      </c>
      <c r="AT64" s="51"/>
      <c r="AU64" s="49">
        <f t="shared" si="28"/>
        <v>0</v>
      </c>
      <c r="AV64" s="50">
        <f t="shared" si="29"/>
        <v>0</v>
      </c>
      <c r="AW64" s="51">
        <v>4915</v>
      </c>
      <c r="AX64" s="49">
        <f t="shared" si="30"/>
        <v>58980</v>
      </c>
      <c r="AY64" s="50">
        <f t="shared" si="31"/>
        <v>58980</v>
      </c>
      <c r="AZ64" s="51">
        <v>225</v>
      </c>
      <c r="BA64" s="49">
        <f t="shared" si="32"/>
        <v>2700</v>
      </c>
      <c r="BB64" s="50">
        <f t="shared" si="33"/>
        <v>1620</v>
      </c>
      <c r="BC64" s="51">
        <v>515</v>
      </c>
      <c r="BD64" s="49">
        <f t="shared" si="34"/>
        <v>20600</v>
      </c>
      <c r="BE64" s="50">
        <f t="shared" si="35"/>
        <v>7209.9999999999991</v>
      </c>
      <c r="BF64" s="51">
        <v>180</v>
      </c>
      <c r="BG64" s="49">
        <f t="shared" si="36"/>
        <v>2160</v>
      </c>
      <c r="BH64" s="50">
        <f t="shared" si="37"/>
        <v>2160</v>
      </c>
      <c r="BI64" s="51"/>
      <c r="BJ64" s="49">
        <f t="shared" si="38"/>
        <v>0</v>
      </c>
      <c r="BK64" s="50">
        <f t="shared" si="39"/>
        <v>0</v>
      </c>
      <c r="BL64" s="51"/>
      <c r="BM64" s="49">
        <f t="shared" si="40"/>
        <v>0</v>
      </c>
      <c r="BN64" s="50">
        <f t="shared" si="41"/>
        <v>0</v>
      </c>
      <c r="BO64" s="51"/>
      <c r="BP64" s="49">
        <f t="shared" si="42"/>
        <v>0</v>
      </c>
      <c r="BQ64" s="50">
        <f t="shared" si="43"/>
        <v>0</v>
      </c>
      <c r="BR64" s="51"/>
      <c r="BS64" s="49">
        <f t="shared" si="44"/>
        <v>0</v>
      </c>
      <c r="BT64" s="50">
        <f t="shared" si="45"/>
        <v>0</v>
      </c>
      <c r="BU64" s="51"/>
      <c r="BV64" s="49">
        <f t="shared" si="46"/>
        <v>0</v>
      </c>
      <c r="BW64" s="50">
        <f t="shared" si="47"/>
        <v>0</v>
      </c>
      <c r="BX64" s="51"/>
      <c r="BY64" s="49">
        <f t="shared" si="48"/>
        <v>0</v>
      </c>
      <c r="BZ64" s="50">
        <f t="shared" si="49"/>
        <v>0</v>
      </c>
      <c r="CA64" s="51"/>
      <c r="CB64" s="49">
        <f t="shared" si="50"/>
        <v>0</v>
      </c>
      <c r="CC64" s="50">
        <f t="shared" si="51"/>
        <v>0</v>
      </c>
      <c r="CD64" s="51"/>
      <c r="CE64" s="49">
        <f t="shared" si="52"/>
        <v>0</v>
      </c>
      <c r="CF64" s="50">
        <f t="shared" si="53"/>
        <v>0</v>
      </c>
      <c r="CG64" s="51"/>
      <c r="CH64" s="49">
        <f t="shared" si="54"/>
        <v>0</v>
      </c>
      <c r="CI64" s="50">
        <f t="shared" si="55"/>
        <v>0</v>
      </c>
      <c r="CJ64" s="51"/>
      <c r="CK64" s="49">
        <f t="shared" si="56"/>
        <v>0</v>
      </c>
      <c r="CL64" s="50">
        <f t="shared" si="57"/>
        <v>0</v>
      </c>
      <c r="CM64" s="51"/>
      <c r="CN64" s="49">
        <f t="shared" si="58"/>
        <v>0</v>
      </c>
      <c r="CO64" s="50">
        <f t="shared" si="59"/>
        <v>0</v>
      </c>
      <c r="CP64" s="51"/>
      <c r="CQ64" s="49">
        <f t="shared" si="60"/>
        <v>0</v>
      </c>
      <c r="CR64" s="50">
        <f t="shared" si="61"/>
        <v>0</v>
      </c>
      <c r="CS64" s="51"/>
      <c r="CT64" s="49">
        <f t="shared" si="62"/>
        <v>0</v>
      </c>
      <c r="CU64" s="50">
        <f t="shared" si="63"/>
        <v>0</v>
      </c>
      <c r="CV64" s="51"/>
      <c r="CW64" s="49">
        <f t="shared" si="64"/>
        <v>0</v>
      </c>
      <c r="CX64" s="50">
        <f t="shared" si="65"/>
        <v>0</v>
      </c>
      <c r="CY64" s="51"/>
      <c r="CZ64" s="49">
        <f t="shared" si="66"/>
        <v>0</v>
      </c>
      <c r="DA64" s="50">
        <f t="shared" si="67"/>
        <v>0</v>
      </c>
      <c r="DB64" s="51"/>
      <c r="DC64" s="49">
        <f t="shared" si="68"/>
        <v>0</v>
      </c>
      <c r="DD64" s="50">
        <f t="shared" si="69"/>
        <v>0</v>
      </c>
      <c r="DE64" s="51"/>
      <c r="DF64" s="49">
        <f t="shared" si="70"/>
        <v>0</v>
      </c>
      <c r="DG64" s="50">
        <f t="shared" si="71"/>
        <v>0</v>
      </c>
      <c r="DH64" s="51"/>
      <c r="DI64" s="49">
        <f t="shared" si="72"/>
        <v>0</v>
      </c>
      <c r="DJ64" s="50">
        <f t="shared" si="73"/>
        <v>0</v>
      </c>
      <c r="DK64" s="51"/>
      <c r="DL64" s="49">
        <f t="shared" si="74"/>
        <v>0</v>
      </c>
      <c r="DM64" s="50">
        <f t="shared" si="75"/>
        <v>0</v>
      </c>
      <c r="DN64" s="51"/>
      <c r="DO64" s="49">
        <f t="shared" si="76"/>
        <v>0</v>
      </c>
      <c r="DP64" s="50">
        <f t="shared" si="77"/>
        <v>0</v>
      </c>
      <c r="DQ64" s="51"/>
      <c r="DR64" s="51"/>
      <c r="DS64" s="51"/>
      <c r="DT64" s="46">
        <f t="shared" si="93"/>
        <v>12045</v>
      </c>
      <c r="DU64" s="46">
        <f t="shared" si="94"/>
        <v>171290</v>
      </c>
      <c r="DV64" s="46">
        <f t="shared" si="95"/>
        <v>125586.4</v>
      </c>
    </row>
    <row r="65" spans="1:126" s="8" customFormat="1" ht="21.95" customHeight="1" x14ac:dyDescent="0.6">
      <c r="A65" s="67"/>
      <c r="B65" s="23" t="s">
        <v>62</v>
      </c>
      <c r="C65" s="16" t="s">
        <v>42</v>
      </c>
      <c r="D65" s="51">
        <v>825</v>
      </c>
      <c r="E65" s="49">
        <f t="shared" si="0"/>
        <v>11550</v>
      </c>
      <c r="F65" s="50">
        <f t="shared" si="1"/>
        <v>7392</v>
      </c>
      <c r="G65" s="51"/>
      <c r="H65" s="49">
        <f t="shared" si="2"/>
        <v>0</v>
      </c>
      <c r="I65" s="50">
        <f t="shared" si="3"/>
        <v>0</v>
      </c>
      <c r="J65" s="51"/>
      <c r="K65" s="49">
        <f t="shared" si="4"/>
        <v>0</v>
      </c>
      <c r="L65" s="50">
        <f t="shared" si="5"/>
        <v>0</v>
      </c>
      <c r="M65" s="51"/>
      <c r="N65" s="49">
        <f t="shared" si="6"/>
        <v>0</v>
      </c>
      <c r="O65" s="50">
        <f t="shared" si="7"/>
        <v>0</v>
      </c>
      <c r="P65" s="51"/>
      <c r="Q65" s="49">
        <f t="shared" si="8"/>
        <v>0</v>
      </c>
      <c r="R65" s="50">
        <f t="shared" si="9"/>
        <v>0</v>
      </c>
      <c r="S65" s="51">
        <v>5</v>
      </c>
      <c r="T65" s="49">
        <f t="shared" si="10"/>
        <v>70</v>
      </c>
      <c r="U65" s="50">
        <f t="shared" si="11"/>
        <v>44.800000000000004</v>
      </c>
      <c r="V65" s="51"/>
      <c r="W65" s="49">
        <f t="shared" si="12"/>
        <v>0</v>
      </c>
      <c r="X65" s="50">
        <f t="shared" si="13"/>
        <v>0</v>
      </c>
      <c r="Y65" s="51"/>
      <c r="Z65" s="49">
        <f t="shared" si="14"/>
        <v>0</v>
      </c>
      <c r="AA65" s="50">
        <f t="shared" si="15"/>
        <v>0</v>
      </c>
      <c r="AB65" s="51">
        <v>5</v>
      </c>
      <c r="AC65" s="49">
        <f t="shared" si="16"/>
        <v>70</v>
      </c>
      <c r="AD65" s="50">
        <f t="shared" si="17"/>
        <v>44.800000000000004</v>
      </c>
      <c r="AE65" s="51"/>
      <c r="AF65" s="49">
        <f t="shared" si="18"/>
        <v>0</v>
      </c>
      <c r="AG65" s="50">
        <f t="shared" si="19"/>
        <v>0</v>
      </c>
      <c r="AH65" s="51">
        <v>13</v>
      </c>
      <c r="AI65" s="49">
        <f t="shared" si="20"/>
        <v>156</v>
      </c>
      <c r="AJ65" s="50">
        <f t="shared" si="21"/>
        <v>109.19999999999999</v>
      </c>
      <c r="AK65" s="51"/>
      <c r="AL65" s="49">
        <f t="shared" si="22"/>
        <v>0</v>
      </c>
      <c r="AM65" s="50">
        <f t="shared" si="23"/>
        <v>0</v>
      </c>
      <c r="AN65" s="51"/>
      <c r="AO65" s="49">
        <f t="shared" si="24"/>
        <v>0</v>
      </c>
      <c r="AP65" s="50">
        <f t="shared" si="25"/>
        <v>0</v>
      </c>
      <c r="AQ65" s="51"/>
      <c r="AR65" s="49">
        <f t="shared" si="26"/>
        <v>0</v>
      </c>
      <c r="AS65" s="50">
        <f t="shared" si="27"/>
        <v>0</v>
      </c>
      <c r="AT65" s="51"/>
      <c r="AU65" s="49">
        <f t="shared" si="28"/>
        <v>0</v>
      </c>
      <c r="AV65" s="50">
        <f t="shared" si="29"/>
        <v>0</v>
      </c>
      <c r="AW65" s="51">
        <v>1065</v>
      </c>
      <c r="AX65" s="49">
        <f t="shared" si="30"/>
        <v>12780</v>
      </c>
      <c r="AY65" s="50">
        <f t="shared" si="31"/>
        <v>12780</v>
      </c>
      <c r="AZ65" s="51">
        <v>27</v>
      </c>
      <c r="BA65" s="49">
        <f t="shared" si="32"/>
        <v>324</v>
      </c>
      <c r="BB65" s="50">
        <f t="shared" si="33"/>
        <v>194.4</v>
      </c>
      <c r="BC65" s="51">
        <v>100</v>
      </c>
      <c r="BD65" s="49">
        <f t="shared" si="34"/>
        <v>4000</v>
      </c>
      <c r="BE65" s="50">
        <f t="shared" si="35"/>
        <v>1400</v>
      </c>
      <c r="BF65" s="51">
        <v>150</v>
      </c>
      <c r="BG65" s="49">
        <f t="shared" si="36"/>
        <v>1800</v>
      </c>
      <c r="BH65" s="50">
        <f t="shared" si="37"/>
        <v>1800</v>
      </c>
      <c r="BI65" s="51"/>
      <c r="BJ65" s="49">
        <f t="shared" si="38"/>
        <v>0</v>
      </c>
      <c r="BK65" s="50">
        <f t="shared" si="39"/>
        <v>0</v>
      </c>
      <c r="BL65" s="51">
        <v>3</v>
      </c>
      <c r="BM65" s="49">
        <f t="shared" si="40"/>
        <v>120</v>
      </c>
      <c r="BN65" s="50">
        <f t="shared" si="41"/>
        <v>42</v>
      </c>
      <c r="BO65" s="51"/>
      <c r="BP65" s="49">
        <f t="shared" si="42"/>
        <v>0</v>
      </c>
      <c r="BQ65" s="50">
        <f t="shared" si="43"/>
        <v>0</v>
      </c>
      <c r="BR65" s="51"/>
      <c r="BS65" s="49">
        <f t="shared" si="44"/>
        <v>0</v>
      </c>
      <c r="BT65" s="50">
        <f t="shared" si="45"/>
        <v>0</v>
      </c>
      <c r="BU65" s="51"/>
      <c r="BV65" s="49">
        <f t="shared" si="46"/>
        <v>0</v>
      </c>
      <c r="BW65" s="50">
        <f t="shared" si="47"/>
        <v>0</v>
      </c>
      <c r="BX65" s="51"/>
      <c r="BY65" s="49">
        <f t="shared" si="48"/>
        <v>0</v>
      </c>
      <c r="BZ65" s="50">
        <f t="shared" si="49"/>
        <v>0</v>
      </c>
      <c r="CA65" s="51"/>
      <c r="CB65" s="49">
        <f t="shared" si="50"/>
        <v>0</v>
      </c>
      <c r="CC65" s="50">
        <f t="shared" si="51"/>
        <v>0</v>
      </c>
      <c r="CD65" s="51"/>
      <c r="CE65" s="49">
        <f t="shared" si="52"/>
        <v>0</v>
      </c>
      <c r="CF65" s="50">
        <f t="shared" si="53"/>
        <v>0</v>
      </c>
      <c r="CG65" s="51"/>
      <c r="CH65" s="49">
        <f t="shared" si="54"/>
        <v>0</v>
      </c>
      <c r="CI65" s="50">
        <f t="shared" si="55"/>
        <v>0</v>
      </c>
      <c r="CJ65" s="51"/>
      <c r="CK65" s="49">
        <f t="shared" si="56"/>
        <v>0</v>
      </c>
      <c r="CL65" s="50">
        <f t="shared" si="57"/>
        <v>0</v>
      </c>
      <c r="CM65" s="51"/>
      <c r="CN65" s="49">
        <f t="shared" si="58"/>
        <v>0</v>
      </c>
      <c r="CO65" s="50">
        <f t="shared" si="59"/>
        <v>0</v>
      </c>
      <c r="CP65" s="51"/>
      <c r="CQ65" s="49">
        <f t="shared" si="60"/>
        <v>0</v>
      </c>
      <c r="CR65" s="50">
        <f t="shared" si="61"/>
        <v>0</v>
      </c>
      <c r="CS65" s="51"/>
      <c r="CT65" s="49">
        <f t="shared" si="62"/>
        <v>0</v>
      </c>
      <c r="CU65" s="50">
        <f t="shared" si="63"/>
        <v>0</v>
      </c>
      <c r="CV65" s="51"/>
      <c r="CW65" s="49">
        <f t="shared" si="64"/>
        <v>0</v>
      </c>
      <c r="CX65" s="50">
        <f t="shared" si="65"/>
        <v>0</v>
      </c>
      <c r="CY65" s="51"/>
      <c r="CZ65" s="49">
        <f t="shared" si="66"/>
        <v>0</v>
      </c>
      <c r="DA65" s="50">
        <f t="shared" si="67"/>
        <v>0</v>
      </c>
      <c r="DB65" s="51"/>
      <c r="DC65" s="49">
        <f t="shared" si="68"/>
        <v>0</v>
      </c>
      <c r="DD65" s="50">
        <f t="shared" si="69"/>
        <v>0</v>
      </c>
      <c r="DE65" s="51"/>
      <c r="DF65" s="49">
        <f t="shared" si="70"/>
        <v>0</v>
      </c>
      <c r="DG65" s="50">
        <f t="shared" si="71"/>
        <v>0</v>
      </c>
      <c r="DH65" s="51"/>
      <c r="DI65" s="49">
        <f t="shared" si="72"/>
        <v>0</v>
      </c>
      <c r="DJ65" s="50">
        <f t="shared" si="73"/>
        <v>0</v>
      </c>
      <c r="DK65" s="51"/>
      <c r="DL65" s="49">
        <f t="shared" si="74"/>
        <v>0</v>
      </c>
      <c r="DM65" s="50">
        <f t="shared" si="75"/>
        <v>0</v>
      </c>
      <c r="DN65" s="51"/>
      <c r="DO65" s="49">
        <f t="shared" si="76"/>
        <v>0</v>
      </c>
      <c r="DP65" s="50">
        <f t="shared" si="77"/>
        <v>0</v>
      </c>
      <c r="DQ65" s="51"/>
      <c r="DR65" s="51"/>
      <c r="DS65" s="51"/>
      <c r="DT65" s="46">
        <f t="shared" si="93"/>
        <v>2193</v>
      </c>
      <c r="DU65" s="46">
        <f t="shared" si="94"/>
        <v>30870</v>
      </c>
      <c r="DV65" s="46">
        <f t="shared" si="95"/>
        <v>23807.200000000001</v>
      </c>
    </row>
    <row r="66" spans="1:126" s="8" customFormat="1" ht="21.95" customHeight="1" x14ac:dyDescent="0.6">
      <c r="A66" s="67"/>
      <c r="B66" s="15" t="s">
        <v>64</v>
      </c>
      <c r="C66" s="16" t="s">
        <v>42</v>
      </c>
      <c r="D66" s="51">
        <v>815</v>
      </c>
      <c r="E66" s="49">
        <f t="shared" si="0"/>
        <v>11410</v>
      </c>
      <c r="F66" s="50">
        <f t="shared" si="1"/>
        <v>7302.4000000000005</v>
      </c>
      <c r="G66" s="51"/>
      <c r="H66" s="49">
        <f t="shared" si="2"/>
        <v>0</v>
      </c>
      <c r="I66" s="50">
        <f t="shared" si="3"/>
        <v>0</v>
      </c>
      <c r="J66" s="51"/>
      <c r="K66" s="49">
        <f t="shared" si="4"/>
        <v>0</v>
      </c>
      <c r="L66" s="50">
        <f t="shared" si="5"/>
        <v>0</v>
      </c>
      <c r="M66" s="51"/>
      <c r="N66" s="49">
        <f t="shared" si="6"/>
        <v>0</v>
      </c>
      <c r="O66" s="50">
        <f t="shared" si="7"/>
        <v>0</v>
      </c>
      <c r="P66" s="51"/>
      <c r="Q66" s="49">
        <f t="shared" si="8"/>
        <v>0</v>
      </c>
      <c r="R66" s="50">
        <f t="shared" si="9"/>
        <v>0</v>
      </c>
      <c r="S66" s="51"/>
      <c r="T66" s="49">
        <f t="shared" si="10"/>
        <v>0</v>
      </c>
      <c r="U66" s="50">
        <f t="shared" si="11"/>
        <v>0</v>
      </c>
      <c r="V66" s="51">
        <v>10</v>
      </c>
      <c r="W66" s="49">
        <f t="shared" si="12"/>
        <v>140</v>
      </c>
      <c r="X66" s="50">
        <f t="shared" si="13"/>
        <v>89.600000000000009</v>
      </c>
      <c r="Y66" s="51"/>
      <c r="Z66" s="49">
        <f t="shared" si="14"/>
        <v>0</v>
      </c>
      <c r="AA66" s="50">
        <f t="shared" si="15"/>
        <v>0</v>
      </c>
      <c r="AB66" s="51"/>
      <c r="AC66" s="49">
        <f t="shared" si="16"/>
        <v>0</v>
      </c>
      <c r="AD66" s="50">
        <f t="shared" si="17"/>
        <v>0</v>
      </c>
      <c r="AE66" s="51"/>
      <c r="AF66" s="49">
        <f t="shared" si="18"/>
        <v>0</v>
      </c>
      <c r="AG66" s="50">
        <f t="shared" si="19"/>
        <v>0</v>
      </c>
      <c r="AH66" s="51"/>
      <c r="AI66" s="49">
        <f t="shared" si="20"/>
        <v>0</v>
      </c>
      <c r="AJ66" s="50">
        <f t="shared" si="21"/>
        <v>0</v>
      </c>
      <c r="AK66" s="51"/>
      <c r="AL66" s="49">
        <f t="shared" si="22"/>
        <v>0</v>
      </c>
      <c r="AM66" s="50">
        <f t="shared" si="23"/>
        <v>0</v>
      </c>
      <c r="AN66" s="51"/>
      <c r="AO66" s="49">
        <f t="shared" si="24"/>
        <v>0</v>
      </c>
      <c r="AP66" s="50">
        <f t="shared" si="25"/>
        <v>0</v>
      </c>
      <c r="AQ66" s="51"/>
      <c r="AR66" s="49">
        <f t="shared" si="26"/>
        <v>0</v>
      </c>
      <c r="AS66" s="50">
        <f t="shared" si="27"/>
        <v>0</v>
      </c>
      <c r="AT66" s="51"/>
      <c r="AU66" s="49">
        <f t="shared" si="28"/>
        <v>0</v>
      </c>
      <c r="AV66" s="50">
        <f t="shared" si="29"/>
        <v>0</v>
      </c>
      <c r="AW66" s="51">
        <v>330</v>
      </c>
      <c r="AX66" s="49">
        <f t="shared" si="30"/>
        <v>3960</v>
      </c>
      <c r="AY66" s="50">
        <f t="shared" si="31"/>
        <v>3960</v>
      </c>
      <c r="AZ66" s="51">
        <v>15</v>
      </c>
      <c r="BA66" s="49">
        <f t="shared" si="32"/>
        <v>180</v>
      </c>
      <c r="BB66" s="50">
        <f t="shared" si="33"/>
        <v>108</v>
      </c>
      <c r="BC66" s="51">
        <v>68</v>
      </c>
      <c r="BD66" s="49">
        <f t="shared" si="34"/>
        <v>2720</v>
      </c>
      <c r="BE66" s="50">
        <f t="shared" si="35"/>
        <v>951.99999999999989</v>
      </c>
      <c r="BF66" s="51">
        <v>30</v>
      </c>
      <c r="BG66" s="49">
        <f t="shared" si="36"/>
        <v>360</v>
      </c>
      <c r="BH66" s="50">
        <f t="shared" si="37"/>
        <v>360</v>
      </c>
      <c r="BI66" s="51"/>
      <c r="BJ66" s="49">
        <f t="shared" si="38"/>
        <v>0</v>
      </c>
      <c r="BK66" s="50">
        <f t="shared" si="39"/>
        <v>0</v>
      </c>
      <c r="BL66" s="51">
        <v>4</v>
      </c>
      <c r="BM66" s="49">
        <f t="shared" si="40"/>
        <v>160</v>
      </c>
      <c r="BN66" s="50">
        <f t="shared" si="41"/>
        <v>56</v>
      </c>
      <c r="BO66" s="51"/>
      <c r="BP66" s="49">
        <f t="shared" si="42"/>
        <v>0</v>
      </c>
      <c r="BQ66" s="50">
        <f t="shared" si="43"/>
        <v>0</v>
      </c>
      <c r="BR66" s="51"/>
      <c r="BS66" s="49">
        <f t="shared" si="44"/>
        <v>0</v>
      </c>
      <c r="BT66" s="50">
        <f t="shared" si="45"/>
        <v>0</v>
      </c>
      <c r="BU66" s="51"/>
      <c r="BV66" s="49">
        <f t="shared" si="46"/>
        <v>0</v>
      </c>
      <c r="BW66" s="50">
        <f t="shared" si="47"/>
        <v>0</v>
      </c>
      <c r="BX66" s="51"/>
      <c r="BY66" s="49">
        <f t="shared" si="48"/>
        <v>0</v>
      </c>
      <c r="BZ66" s="50">
        <f t="shared" si="49"/>
        <v>0</v>
      </c>
      <c r="CA66" s="51"/>
      <c r="CB66" s="49">
        <f t="shared" si="50"/>
        <v>0</v>
      </c>
      <c r="CC66" s="50">
        <f t="shared" si="51"/>
        <v>0</v>
      </c>
      <c r="CD66" s="51"/>
      <c r="CE66" s="49">
        <f t="shared" si="52"/>
        <v>0</v>
      </c>
      <c r="CF66" s="50">
        <f t="shared" si="53"/>
        <v>0</v>
      </c>
      <c r="CG66" s="51"/>
      <c r="CH66" s="49">
        <f t="shared" si="54"/>
        <v>0</v>
      </c>
      <c r="CI66" s="50">
        <f t="shared" si="55"/>
        <v>0</v>
      </c>
      <c r="CJ66" s="51"/>
      <c r="CK66" s="49">
        <f t="shared" si="56"/>
        <v>0</v>
      </c>
      <c r="CL66" s="50">
        <f t="shared" si="57"/>
        <v>0</v>
      </c>
      <c r="CM66" s="51"/>
      <c r="CN66" s="49">
        <f t="shared" si="58"/>
        <v>0</v>
      </c>
      <c r="CO66" s="50">
        <f t="shared" si="59"/>
        <v>0</v>
      </c>
      <c r="CP66" s="51"/>
      <c r="CQ66" s="49">
        <f t="shared" si="60"/>
        <v>0</v>
      </c>
      <c r="CR66" s="50">
        <f t="shared" si="61"/>
        <v>0</v>
      </c>
      <c r="CS66" s="51"/>
      <c r="CT66" s="49">
        <f t="shared" si="62"/>
        <v>0</v>
      </c>
      <c r="CU66" s="50">
        <f t="shared" si="63"/>
        <v>0</v>
      </c>
      <c r="CV66" s="51"/>
      <c r="CW66" s="49">
        <f t="shared" si="64"/>
        <v>0</v>
      </c>
      <c r="CX66" s="50">
        <f t="shared" si="65"/>
        <v>0</v>
      </c>
      <c r="CY66" s="51"/>
      <c r="CZ66" s="49">
        <f t="shared" si="66"/>
        <v>0</v>
      </c>
      <c r="DA66" s="50">
        <f t="shared" si="67"/>
        <v>0</v>
      </c>
      <c r="DB66" s="51"/>
      <c r="DC66" s="49">
        <f t="shared" si="68"/>
        <v>0</v>
      </c>
      <c r="DD66" s="50">
        <f t="shared" si="69"/>
        <v>0</v>
      </c>
      <c r="DE66" s="51"/>
      <c r="DF66" s="49">
        <f t="shared" si="70"/>
        <v>0</v>
      </c>
      <c r="DG66" s="50">
        <f t="shared" si="71"/>
        <v>0</v>
      </c>
      <c r="DH66" s="51"/>
      <c r="DI66" s="49">
        <f t="shared" si="72"/>
        <v>0</v>
      </c>
      <c r="DJ66" s="50">
        <f t="shared" si="73"/>
        <v>0</v>
      </c>
      <c r="DK66" s="51">
        <v>6</v>
      </c>
      <c r="DL66" s="49">
        <f t="shared" si="74"/>
        <v>72</v>
      </c>
      <c r="DM66" s="50">
        <f t="shared" si="75"/>
        <v>48.96</v>
      </c>
      <c r="DN66" s="51"/>
      <c r="DO66" s="49">
        <f t="shared" si="76"/>
        <v>0</v>
      </c>
      <c r="DP66" s="50">
        <f t="shared" si="77"/>
        <v>0</v>
      </c>
      <c r="DQ66" s="51"/>
      <c r="DR66" s="51"/>
      <c r="DS66" s="51"/>
      <c r="DT66" s="46">
        <f t="shared" si="93"/>
        <v>1278</v>
      </c>
      <c r="DU66" s="46">
        <f t="shared" si="94"/>
        <v>19002</v>
      </c>
      <c r="DV66" s="46">
        <f t="shared" si="95"/>
        <v>12876.96</v>
      </c>
    </row>
    <row r="67" spans="1:126" s="8" customFormat="1" ht="21.95" customHeight="1" thickBot="1" x14ac:dyDescent="0.65">
      <c r="A67" s="67"/>
      <c r="B67" s="15" t="s">
        <v>67</v>
      </c>
      <c r="C67" s="16" t="s">
        <v>42</v>
      </c>
      <c r="D67" s="51">
        <v>450</v>
      </c>
      <c r="E67" s="49">
        <f t="shared" si="0"/>
        <v>6300</v>
      </c>
      <c r="F67" s="50">
        <f t="shared" si="1"/>
        <v>4032</v>
      </c>
      <c r="G67" s="51"/>
      <c r="H67" s="49">
        <f t="shared" si="2"/>
        <v>0</v>
      </c>
      <c r="I67" s="50">
        <f t="shared" si="3"/>
        <v>0</v>
      </c>
      <c r="J67" s="51"/>
      <c r="K67" s="49">
        <f t="shared" si="4"/>
        <v>0</v>
      </c>
      <c r="L67" s="50">
        <f t="shared" si="5"/>
        <v>0</v>
      </c>
      <c r="M67" s="51"/>
      <c r="N67" s="49">
        <f t="shared" si="6"/>
        <v>0</v>
      </c>
      <c r="O67" s="50">
        <f t="shared" si="7"/>
        <v>0</v>
      </c>
      <c r="P67" s="51"/>
      <c r="Q67" s="49">
        <f t="shared" si="8"/>
        <v>0</v>
      </c>
      <c r="R67" s="50">
        <f t="shared" si="9"/>
        <v>0</v>
      </c>
      <c r="S67" s="51"/>
      <c r="T67" s="49">
        <f t="shared" si="10"/>
        <v>0</v>
      </c>
      <c r="U67" s="50">
        <f t="shared" si="11"/>
        <v>0</v>
      </c>
      <c r="V67" s="51"/>
      <c r="W67" s="49">
        <f t="shared" si="12"/>
        <v>0</v>
      </c>
      <c r="X67" s="50">
        <f t="shared" si="13"/>
        <v>0</v>
      </c>
      <c r="Y67" s="51"/>
      <c r="Z67" s="49">
        <f t="shared" si="14"/>
        <v>0</v>
      </c>
      <c r="AA67" s="50">
        <f t="shared" si="15"/>
        <v>0</v>
      </c>
      <c r="AB67" s="51"/>
      <c r="AC67" s="49">
        <f t="shared" si="16"/>
        <v>0</v>
      </c>
      <c r="AD67" s="50">
        <f t="shared" si="17"/>
        <v>0</v>
      </c>
      <c r="AE67" s="51"/>
      <c r="AF67" s="49">
        <f t="shared" si="18"/>
        <v>0</v>
      </c>
      <c r="AG67" s="50">
        <f t="shared" si="19"/>
        <v>0</v>
      </c>
      <c r="AH67" s="51"/>
      <c r="AI67" s="49">
        <f t="shared" si="20"/>
        <v>0</v>
      </c>
      <c r="AJ67" s="50">
        <f t="shared" si="21"/>
        <v>0</v>
      </c>
      <c r="AK67" s="51"/>
      <c r="AL67" s="49">
        <f t="shared" si="22"/>
        <v>0</v>
      </c>
      <c r="AM67" s="50">
        <f t="shared" si="23"/>
        <v>0</v>
      </c>
      <c r="AN67" s="51"/>
      <c r="AO67" s="49">
        <f t="shared" si="24"/>
        <v>0</v>
      </c>
      <c r="AP67" s="50">
        <f t="shared" si="25"/>
        <v>0</v>
      </c>
      <c r="AQ67" s="51"/>
      <c r="AR67" s="49">
        <f t="shared" si="26"/>
        <v>0</v>
      </c>
      <c r="AS67" s="50">
        <f t="shared" si="27"/>
        <v>0</v>
      </c>
      <c r="AT67" s="51"/>
      <c r="AU67" s="49">
        <f t="shared" si="28"/>
        <v>0</v>
      </c>
      <c r="AV67" s="50">
        <f t="shared" si="29"/>
        <v>0</v>
      </c>
      <c r="AW67" s="51">
        <v>1290</v>
      </c>
      <c r="AX67" s="49">
        <f t="shared" si="30"/>
        <v>15480</v>
      </c>
      <c r="AY67" s="50">
        <f t="shared" si="31"/>
        <v>15480</v>
      </c>
      <c r="AZ67" s="51"/>
      <c r="BA67" s="49">
        <f t="shared" si="32"/>
        <v>0</v>
      </c>
      <c r="BB67" s="50">
        <f t="shared" si="33"/>
        <v>0</v>
      </c>
      <c r="BC67" s="51">
        <v>40</v>
      </c>
      <c r="BD67" s="49">
        <f t="shared" si="34"/>
        <v>1600</v>
      </c>
      <c r="BE67" s="50">
        <f t="shared" si="35"/>
        <v>560</v>
      </c>
      <c r="BF67" s="51"/>
      <c r="BG67" s="49">
        <f t="shared" si="36"/>
        <v>0</v>
      </c>
      <c r="BH67" s="50">
        <f t="shared" si="37"/>
        <v>0</v>
      </c>
      <c r="BI67" s="51"/>
      <c r="BJ67" s="49">
        <f t="shared" si="38"/>
        <v>0</v>
      </c>
      <c r="BK67" s="50">
        <f t="shared" si="39"/>
        <v>0</v>
      </c>
      <c r="BL67" s="51"/>
      <c r="BM67" s="49">
        <f t="shared" si="40"/>
        <v>0</v>
      </c>
      <c r="BN67" s="50">
        <f t="shared" si="41"/>
        <v>0</v>
      </c>
      <c r="BO67" s="51"/>
      <c r="BP67" s="49">
        <f t="shared" si="42"/>
        <v>0</v>
      </c>
      <c r="BQ67" s="50">
        <f t="shared" si="43"/>
        <v>0</v>
      </c>
      <c r="BR67" s="51"/>
      <c r="BS67" s="49">
        <f t="shared" si="44"/>
        <v>0</v>
      </c>
      <c r="BT67" s="50">
        <f t="shared" si="45"/>
        <v>0</v>
      </c>
      <c r="BU67" s="51"/>
      <c r="BV67" s="49">
        <f t="shared" si="46"/>
        <v>0</v>
      </c>
      <c r="BW67" s="50">
        <f t="shared" si="47"/>
        <v>0</v>
      </c>
      <c r="BX67" s="51"/>
      <c r="BY67" s="49">
        <f t="shared" si="48"/>
        <v>0</v>
      </c>
      <c r="BZ67" s="50">
        <f t="shared" si="49"/>
        <v>0</v>
      </c>
      <c r="CA67" s="51"/>
      <c r="CB67" s="49">
        <f t="shared" si="50"/>
        <v>0</v>
      </c>
      <c r="CC67" s="50">
        <f t="shared" si="51"/>
        <v>0</v>
      </c>
      <c r="CD67" s="51"/>
      <c r="CE67" s="49">
        <f t="shared" si="52"/>
        <v>0</v>
      </c>
      <c r="CF67" s="50">
        <f t="shared" si="53"/>
        <v>0</v>
      </c>
      <c r="CG67" s="51"/>
      <c r="CH67" s="49">
        <f t="shared" si="54"/>
        <v>0</v>
      </c>
      <c r="CI67" s="50">
        <f t="shared" si="55"/>
        <v>0</v>
      </c>
      <c r="CJ67" s="51"/>
      <c r="CK67" s="49">
        <f t="shared" si="56"/>
        <v>0</v>
      </c>
      <c r="CL67" s="50">
        <f t="shared" si="57"/>
        <v>0</v>
      </c>
      <c r="CM67" s="51"/>
      <c r="CN67" s="49">
        <f t="shared" si="58"/>
        <v>0</v>
      </c>
      <c r="CO67" s="50">
        <f t="shared" si="59"/>
        <v>0</v>
      </c>
      <c r="CP67" s="51"/>
      <c r="CQ67" s="49">
        <f t="shared" si="60"/>
        <v>0</v>
      </c>
      <c r="CR67" s="50">
        <f t="shared" si="61"/>
        <v>0</v>
      </c>
      <c r="CS67" s="51"/>
      <c r="CT67" s="49">
        <f t="shared" si="62"/>
        <v>0</v>
      </c>
      <c r="CU67" s="50">
        <f t="shared" si="63"/>
        <v>0</v>
      </c>
      <c r="CV67" s="51"/>
      <c r="CW67" s="49">
        <f t="shared" si="64"/>
        <v>0</v>
      </c>
      <c r="CX67" s="50">
        <f t="shared" si="65"/>
        <v>0</v>
      </c>
      <c r="CY67" s="51"/>
      <c r="CZ67" s="49">
        <f t="shared" si="66"/>
        <v>0</v>
      </c>
      <c r="DA67" s="50">
        <f t="shared" si="67"/>
        <v>0</v>
      </c>
      <c r="DB67" s="51"/>
      <c r="DC67" s="49">
        <f t="shared" si="68"/>
        <v>0</v>
      </c>
      <c r="DD67" s="50">
        <f t="shared" si="69"/>
        <v>0</v>
      </c>
      <c r="DE67" s="51"/>
      <c r="DF67" s="49">
        <f t="shared" si="70"/>
        <v>0</v>
      </c>
      <c r="DG67" s="50">
        <f t="shared" si="71"/>
        <v>0</v>
      </c>
      <c r="DH67" s="51"/>
      <c r="DI67" s="49">
        <f t="shared" si="72"/>
        <v>0</v>
      </c>
      <c r="DJ67" s="50">
        <f t="shared" si="73"/>
        <v>0</v>
      </c>
      <c r="DK67" s="51"/>
      <c r="DL67" s="49">
        <f t="shared" si="74"/>
        <v>0</v>
      </c>
      <c r="DM67" s="50">
        <f t="shared" si="75"/>
        <v>0</v>
      </c>
      <c r="DN67" s="51"/>
      <c r="DO67" s="49">
        <f t="shared" si="76"/>
        <v>0</v>
      </c>
      <c r="DP67" s="50">
        <f t="shared" si="77"/>
        <v>0</v>
      </c>
      <c r="DQ67" s="51"/>
      <c r="DR67" s="51"/>
      <c r="DS67" s="51"/>
      <c r="DT67" s="46">
        <f t="shared" si="93"/>
        <v>1780</v>
      </c>
      <c r="DU67" s="46">
        <f t="shared" si="94"/>
        <v>23380</v>
      </c>
      <c r="DV67" s="46">
        <f t="shared" si="95"/>
        <v>20072</v>
      </c>
    </row>
    <row r="68" spans="1:126" s="8" customFormat="1" ht="21.95" customHeight="1" thickBot="1" x14ac:dyDescent="0.65">
      <c r="A68" s="17"/>
      <c r="B68" s="32"/>
      <c r="C68" s="31"/>
      <c r="D68" s="52">
        <f>SUM(D58:D67)</f>
        <v>11174</v>
      </c>
      <c r="E68" s="52">
        <f>SUM(E58:E67)</f>
        <v>156436</v>
      </c>
      <c r="F68" s="53">
        <f>SUM(F58:F67)</f>
        <v>100119.03999999999</v>
      </c>
      <c r="G68" s="52">
        <f t="shared" ref="G68:BR68" si="96">SUM(G58:G67)</f>
        <v>0</v>
      </c>
      <c r="H68" s="52">
        <f t="shared" si="96"/>
        <v>0</v>
      </c>
      <c r="I68" s="53">
        <f t="shared" si="96"/>
        <v>0</v>
      </c>
      <c r="J68" s="52">
        <f t="shared" si="96"/>
        <v>0</v>
      </c>
      <c r="K68" s="52">
        <f t="shared" si="96"/>
        <v>0</v>
      </c>
      <c r="L68" s="53">
        <f t="shared" si="96"/>
        <v>0</v>
      </c>
      <c r="M68" s="52">
        <f t="shared" si="96"/>
        <v>70</v>
      </c>
      <c r="N68" s="52">
        <f t="shared" si="96"/>
        <v>980</v>
      </c>
      <c r="O68" s="53">
        <f t="shared" si="96"/>
        <v>627.20000000000005</v>
      </c>
      <c r="P68" s="52">
        <f t="shared" si="96"/>
        <v>0</v>
      </c>
      <c r="Q68" s="52">
        <f t="shared" si="96"/>
        <v>0</v>
      </c>
      <c r="R68" s="53">
        <f t="shared" si="96"/>
        <v>0</v>
      </c>
      <c r="S68" s="52">
        <f t="shared" si="96"/>
        <v>109</v>
      </c>
      <c r="T68" s="52">
        <f t="shared" si="96"/>
        <v>1526</v>
      </c>
      <c r="U68" s="53">
        <f t="shared" si="96"/>
        <v>976.6400000000001</v>
      </c>
      <c r="V68" s="52">
        <f t="shared" si="96"/>
        <v>129</v>
      </c>
      <c r="W68" s="52">
        <f t="shared" si="96"/>
        <v>1806</v>
      </c>
      <c r="X68" s="53">
        <f t="shared" si="96"/>
        <v>1155.8399999999999</v>
      </c>
      <c r="Y68" s="52">
        <f t="shared" si="96"/>
        <v>0</v>
      </c>
      <c r="Z68" s="52">
        <f t="shared" si="96"/>
        <v>0</v>
      </c>
      <c r="AA68" s="53">
        <f t="shared" si="96"/>
        <v>0</v>
      </c>
      <c r="AB68" s="52">
        <f t="shared" si="96"/>
        <v>6</v>
      </c>
      <c r="AC68" s="52">
        <f t="shared" si="96"/>
        <v>84</v>
      </c>
      <c r="AD68" s="53">
        <f t="shared" si="96"/>
        <v>53.760000000000005</v>
      </c>
      <c r="AE68" s="52">
        <f t="shared" si="96"/>
        <v>0</v>
      </c>
      <c r="AF68" s="52">
        <f t="shared" si="96"/>
        <v>0</v>
      </c>
      <c r="AG68" s="53">
        <f t="shared" si="96"/>
        <v>0</v>
      </c>
      <c r="AH68" s="52">
        <f t="shared" si="96"/>
        <v>115</v>
      </c>
      <c r="AI68" s="52">
        <f t="shared" si="96"/>
        <v>1380</v>
      </c>
      <c r="AJ68" s="53">
        <f t="shared" si="96"/>
        <v>966</v>
      </c>
      <c r="AK68" s="52">
        <f t="shared" si="96"/>
        <v>0</v>
      </c>
      <c r="AL68" s="52">
        <f t="shared" si="96"/>
        <v>0</v>
      </c>
      <c r="AM68" s="53">
        <f t="shared" si="96"/>
        <v>0</v>
      </c>
      <c r="AN68" s="52">
        <f t="shared" si="96"/>
        <v>3.1666666666666665</v>
      </c>
      <c r="AO68" s="52">
        <f t="shared" si="96"/>
        <v>38</v>
      </c>
      <c r="AP68" s="53">
        <f t="shared" si="96"/>
        <v>26.599999999999998</v>
      </c>
      <c r="AQ68" s="52">
        <f t="shared" si="96"/>
        <v>5.666666666666667</v>
      </c>
      <c r="AR68" s="52">
        <f t="shared" si="96"/>
        <v>136</v>
      </c>
      <c r="AS68" s="53">
        <f t="shared" si="96"/>
        <v>47.599999999999994</v>
      </c>
      <c r="AT68" s="52">
        <f t="shared" si="96"/>
        <v>0</v>
      </c>
      <c r="AU68" s="52">
        <f t="shared" si="96"/>
        <v>0</v>
      </c>
      <c r="AV68" s="53">
        <f t="shared" si="96"/>
        <v>0</v>
      </c>
      <c r="AW68" s="52">
        <f t="shared" si="96"/>
        <v>13447.833333333334</v>
      </c>
      <c r="AX68" s="52">
        <f t="shared" si="96"/>
        <v>161374</v>
      </c>
      <c r="AY68" s="53">
        <f t="shared" si="96"/>
        <v>161374</v>
      </c>
      <c r="AZ68" s="52">
        <f t="shared" si="96"/>
        <v>914</v>
      </c>
      <c r="BA68" s="52">
        <f t="shared" si="96"/>
        <v>10968</v>
      </c>
      <c r="BB68" s="53">
        <f t="shared" si="96"/>
        <v>6580.7999999999993</v>
      </c>
      <c r="BC68" s="52">
        <f t="shared" si="96"/>
        <v>1645</v>
      </c>
      <c r="BD68" s="52">
        <f t="shared" si="96"/>
        <v>65800</v>
      </c>
      <c r="BE68" s="53">
        <f t="shared" si="96"/>
        <v>23030</v>
      </c>
      <c r="BF68" s="52">
        <f t="shared" si="96"/>
        <v>862.83333333333326</v>
      </c>
      <c r="BG68" s="52">
        <f t="shared" si="96"/>
        <v>10354</v>
      </c>
      <c r="BH68" s="53">
        <f t="shared" si="96"/>
        <v>10354</v>
      </c>
      <c r="BI68" s="52">
        <f t="shared" si="96"/>
        <v>0</v>
      </c>
      <c r="BJ68" s="52">
        <f t="shared" si="96"/>
        <v>0</v>
      </c>
      <c r="BK68" s="53">
        <f t="shared" si="96"/>
        <v>0</v>
      </c>
      <c r="BL68" s="52">
        <f t="shared" si="96"/>
        <v>59</v>
      </c>
      <c r="BM68" s="52">
        <f t="shared" si="96"/>
        <v>2360</v>
      </c>
      <c r="BN68" s="53">
        <f t="shared" si="96"/>
        <v>826</v>
      </c>
      <c r="BO68" s="52">
        <f t="shared" si="96"/>
        <v>0</v>
      </c>
      <c r="BP68" s="52">
        <f t="shared" si="96"/>
        <v>0</v>
      </c>
      <c r="BQ68" s="53">
        <f t="shared" si="96"/>
        <v>0</v>
      </c>
      <c r="BR68" s="52">
        <f t="shared" si="96"/>
        <v>0</v>
      </c>
      <c r="BS68" s="52">
        <f t="shared" ref="BS68:DV68" si="97">SUM(BS58:BS67)</f>
        <v>0</v>
      </c>
      <c r="BT68" s="53">
        <f t="shared" si="97"/>
        <v>0</v>
      </c>
      <c r="BU68" s="52">
        <f t="shared" si="97"/>
        <v>0</v>
      </c>
      <c r="BV68" s="52">
        <f t="shared" si="97"/>
        <v>0</v>
      </c>
      <c r="BW68" s="53">
        <f t="shared" si="97"/>
        <v>0</v>
      </c>
      <c r="BX68" s="52">
        <f t="shared" si="97"/>
        <v>0</v>
      </c>
      <c r="BY68" s="52">
        <f t="shared" si="97"/>
        <v>0</v>
      </c>
      <c r="BZ68" s="53">
        <f t="shared" si="97"/>
        <v>0</v>
      </c>
      <c r="CA68" s="52">
        <f t="shared" si="97"/>
        <v>0</v>
      </c>
      <c r="CB68" s="52">
        <f t="shared" si="97"/>
        <v>0</v>
      </c>
      <c r="CC68" s="53">
        <f t="shared" si="97"/>
        <v>0</v>
      </c>
      <c r="CD68" s="52">
        <f t="shared" si="97"/>
        <v>19</v>
      </c>
      <c r="CE68" s="52">
        <f t="shared" si="97"/>
        <v>228</v>
      </c>
      <c r="CF68" s="53">
        <f t="shared" si="97"/>
        <v>228</v>
      </c>
      <c r="CG68" s="52">
        <f t="shared" si="97"/>
        <v>0</v>
      </c>
      <c r="CH68" s="52">
        <f t="shared" si="97"/>
        <v>0</v>
      </c>
      <c r="CI68" s="53">
        <f t="shared" si="97"/>
        <v>0</v>
      </c>
      <c r="CJ68" s="52">
        <f t="shared" si="97"/>
        <v>0</v>
      </c>
      <c r="CK68" s="52">
        <f t="shared" si="97"/>
        <v>0</v>
      </c>
      <c r="CL68" s="53">
        <f t="shared" si="97"/>
        <v>0</v>
      </c>
      <c r="CM68" s="52">
        <f t="shared" si="97"/>
        <v>32</v>
      </c>
      <c r="CN68" s="52">
        <f t="shared" si="97"/>
        <v>384</v>
      </c>
      <c r="CO68" s="53">
        <f t="shared" si="97"/>
        <v>384</v>
      </c>
      <c r="CP68" s="52">
        <f t="shared" si="97"/>
        <v>0</v>
      </c>
      <c r="CQ68" s="52">
        <f t="shared" si="97"/>
        <v>0</v>
      </c>
      <c r="CR68" s="53">
        <f t="shared" si="97"/>
        <v>0</v>
      </c>
      <c r="CS68" s="52">
        <f t="shared" si="97"/>
        <v>0</v>
      </c>
      <c r="CT68" s="52">
        <f t="shared" si="97"/>
        <v>0</v>
      </c>
      <c r="CU68" s="53">
        <f t="shared" si="97"/>
        <v>0</v>
      </c>
      <c r="CV68" s="52">
        <f t="shared" si="97"/>
        <v>109</v>
      </c>
      <c r="CW68" s="52">
        <f t="shared" si="97"/>
        <v>2180</v>
      </c>
      <c r="CX68" s="53">
        <f t="shared" si="97"/>
        <v>2180</v>
      </c>
      <c r="CY68" s="52">
        <f t="shared" si="97"/>
        <v>0</v>
      </c>
      <c r="CZ68" s="52">
        <f t="shared" si="97"/>
        <v>0</v>
      </c>
      <c r="DA68" s="53">
        <f t="shared" si="97"/>
        <v>0</v>
      </c>
      <c r="DB68" s="52">
        <f t="shared" si="97"/>
        <v>0</v>
      </c>
      <c r="DC68" s="52">
        <f t="shared" si="97"/>
        <v>0</v>
      </c>
      <c r="DD68" s="53">
        <f t="shared" si="97"/>
        <v>0</v>
      </c>
      <c r="DE68" s="52">
        <f t="shared" si="97"/>
        <v>0</v>
      </c>
      <c r="DF68" s="52">
        <f t="shared" si="97"/>
        <v>0</v>
      </c>
      <c r="DG68" s="53">
        <f t="shared" si="97"/>
        <v>0</v>
      </c>
      <c r="DH68" s="52">
        <f t="shared" si="97"/>
        <v>0</v>
      </c>
      <c r="DI68" s="52">
        <f t="shared" si="97"/>
        <v>0</v>
      </c>
      <c r="DJ68" s="53">
        <f t="shared" si="97"/>
        <v>0</v>
      </c>
      <c r="DK68" s="52">
        <f t="shared" si="97"/>
        <v>25</v>
      </c>
      <c r="DL68" s="52">
        <f t="shared" si="97"/>
        <v>300</v>
      </c>
      <c r="DM68" s="53">
        <f t="shared" si="97"/>
        <v>204.00000000000003</v>
      </c>
      <c r="DN68" s="52">
        <f t="shared" si="97"/>
        <v>26.916666666666668</v>
      </c>
      <c r="DO68" s="52">
        <f t="shared" si="97"/>
        <v>323</v>
      </c>
      <c r="DP68" s="53">
        <f t="shared" si="97"/>
        <v>323</v>
      </c>
      <c r="DQ68" s="52">
        <f t="shared" si="97"/>
        <v>0</v>
      </c>
      <c r="DR68" s="52">
        <f t="shared" si="97"/>
        <v>0</v>
      </c>
      <c r="DS68" s="53">
        <f t="shared" si="97"/>
        <v>0</v>
      </c>
      <c r="DT68" s="52">
        <f t="shared" si="97"/>
        <v>28752.416666666668</v>
      </c>
      <c r="DU68" s="52">
        <f t="shared" si="97"/>
        <v>416657</v>
      </c>
      <c r="DV68" s="53">
        <f t="shared" si="97"/>
        <v>309456.48</v>
      </c>
    </row>
    <row r="69" spans="1:126" ht="21.95" customHeight="1" x14ac:dyDescent="0.6">
      <c r="A69" s="19"/>
      <c r="B69" s="20"/>
      <c r="C69" s="21"/>
      <c r="D69" s="54">
        <f>(D18+D40+D57+D68)</f>
        <v>39802</v>
      </c>
      <c r="E69" s="54">
        <f t="shared" ref="E69:G69" si="98">(E18+E40+E57+E68)</f>
        <v>557228</v>
      </c>
      <c r="F69" s="55">
        <f t="shared" si="98"/>
        <v>356625.91999999998</v>
      </c>
      <c r="G69" s="54">
        <f t="shared" si="98"/>
        <v>1040</v>
      </c>
      <c r="H69" s="54">
        <f t="shared" ref="H69:BS69" si="99">(H18+H40+H57+H68)</f>
        <v>24960</v>
      </c>
      <c r="I69" s="55">
        <f t="shared" si="99"/>
        <v>15974.400000000001</v>
      </c>
      <c r="J69" s="54">
        <f t="shared" si="99"/>
        <v>109</v>
      </c>
      <c r="K69" s="54">
        <f t="shared" si="99"/>
        <v>1308</v>
      </c>
      <c r="L69" s="55">
        <f t="shared" si="99"/>
        <v>837.12</v>
      </c>
      <c r="M69" s="54">
        <f t="shared" si="99"/>
        <v>5948</v>
      </c>
      <c r="N69" s="54">
        <f t="shared" si="99"/>
        <v>83272</v>
      </c>
      <c r="O69" s="55">
        <f t="shared" si="99"/>
        <v>53294.079999999994</v>
      </c>
      <c r="P69" s="54">
        <f t="shared" si="99"/>
        <v>0</v>
      </c>
      <c r="Q69" s="54">
        <f t="shared" si="99"/>
        <v>0</v>
      </c>
      <c r="R69" s="55">
        <f t="shared" si="99"/>
        <v>0</v>
      </c>
      <c r="S69" s="54">
        <f t="shared" si="99"/>
        <v>207</v>
      </c>
      <c r="T69" s="54">
        <f t="shared" si="99"/>
        <v>2898</v>
      </c>
      <c r="U69" s="55">
        <f t="shared" si="99"/>
        <v>1854.7200000000003</v>
      </c>
      <c r="V69" s="54">
        <f t="shared" si="99"/>
        <v>1593</v>
      </c>
      <c r="W69" s="54">
        <f t="shared" si="99"/>
        <v>22302</v>
      </c>
      <c r="X69" s="55">
        <f t="shared" si="99"/>
        <v>14273.279999999999</v>
      </c>
      <c r="Y69" s="54">
        <f t="shared" si="99"/>
        <v>0</v>
      </c>
      <c r="Z69" s="54">
        <f t="shared" si="99"/>
        <v>0</v>
      </c>
      <c r="AA69" s="55">
        <f t="shared" si="99"/>
        <v>0</v>
      </c>
      <c r="AB69" s="54">
        <f t="shared" si="99"/>
        <v>6</v>
      </c>
      <c r="AC69" s="54">
        <f t="shared" si="99"/>
        <v>84</v>
      </c>
      <c r="AD69" s="55">
        <f t="shared" si="99"/>
        <v>53.760000000000005</v>
      </c>
      <c r="AE69" s="54">
        <f t="shared" si="99"/>
        <v>30</v>
      </c>
      <c r="AF69" s="54">
        <f t="shared" si="99"/>
        <v>420</v>
      </c>
      <c r="AG69" s="55">
        <f t="shared" si="99"/>
        <v>268.8</v>
      </c>
      <c r="AH69" s="54">
        <f t="shared" si="99"/>
        <v>1402</v>
      </c>
      <c r="AI69" s="54">
        <f t="shared" si="99"/>
        <v>16824</v>
      </c>
      <c r="AJ69" s="55">
        <f t="shared" si="99"/>
        <v>11776.8</v>
      </c>
      <c r="AK69" s="54">
        <f t="shared" si="99"/>
        <v>115</v>
      </c>
      <c r="AL69" s="54">
        <f t="shared" si="99"/>
        <v>1610</v>
      </c>
      <c r="AM69" s="55">
        <f t="shared" si="99"/>
        <v>1030.4000000000001</v>
      </c>
      <c r="AN69" s="54">
        <f t="shared" si="99"/>
        <v>15.666666666666666</v>
      </c>
      <c r="AO69" s="54">
        <f t="shared" si="99"/>
        <v>188</v>
      </c>
      <c r="AP69" s="55">
        <f t="shared" si="99"/>
        <v>131.6</v>
      </c>
      <c r="AQ69" s="54">
        <f t="shared" si="99"/>
        <v>43.833333333333329</v>
      </c>
      <c r="AR69" s="54">
        <f t="shared" si="99"/>
        <v>1052</v>
      </c>
      <c r="AS69" s="55">
        <f t="shared" si="99"/>
        <v>368.20000000000005</v>
      </c>
      <c r="AT69" s="54">
        <f t="shared" si="99"/>
        <v>30</v>
      </c>
      <c r="AU69" s="54">
        <f t="shared" si="99"/>
        <v>360</v>
      </c>
      <c r="AV69" s="55">
        <f t="shared" si="99"/>
        <v>244.80000000000004</v>
      </c>
      <c r="AW69" s="54">
        <f t="shared" si="99"/>
        <v>67398.833333333328</v>
      </c>
      <c r="AX69" s="54">
        <f t="shared" si="99"/>
        <v>808786</v>
      </c>
      <c r="AY69" s="55">
        <f t="shared" si="99"/>
        <v>808786</v>
      </c>
      <c r="AZ69" s="54">
        <f t="shared" si="99"/>
        <v>4457</v>
      </c>
      <c r="BA69" s="54">
        <f t="shared" si="99"/>
        <v>53484</v>
      </c>
      <c r="BB69" s="55">
        <f t="shared" si="99"/>
        <v>32090.400000000001</v>
      </c>
      <c r="BC69" s="54">
        <f t="shared" si="99"/>
        <v>7393</v>
      </c>
      <c r="BD69" s="54">
        <f t="shared" si="99"/>
        <v>295720</v>
      </c>
      <c r="BE69" s="55">
        <f t="shared" si="99"/>
        <v>103502</v>
      </c>
      <c r="BF69" s="54">
        <f t="shared" si="99"/>
        <v>16445.583333333332</v>
      </c>
      <c r="BG69" s="54">
        <f t="shared" si="99"/>
        <v>197347</v>
      </c>
      <c r="BH69" s="55">
        <f t="shared" si="99"/>
        <v>197347</v>
      </c>
      <c r="BI69" s="54">
        <f t="shared" si="99"/>
        <v>0</v>
      </c>
      <c r="BJ69" s="54">
        <f t="shared" si="99"/>
        <v>0</v>
      </c>
      <c r="BK69" s="55">
        <f t="shared" si="99"/>
        <v>0</v>
      </c>
      <c r="BL69" s="54">
        <f t="shared" si="99"/>
        <v>2256</v>
      </c>
      <c r="BM69" s="54">
        <f t="shared" si="99"/>
        <v>90240</v>
      </c>
      <c r="BN69" s="55">
        <f t="shared" si="99"/>
        <v>31584</v>
      </c>
      <c r="BO69" s="54">
        <f t="shared" si="99"/>
        <v>80</v>
      </c>
      <c r="BP69" s="54">
        <f t="shared" si="99"/>
        <v>960</v>
      </c>
      <c r="BQ69" s="55">
        <f t="shared" si="99"/>
        <v>960</v>
      </c>
      <c r="BR69" s="54">
        <f t="shared" si="99"/>
        <v>0</v>
      </c>
      <c r="BS69" s="54">
        <f t="shared" si="99"/>
        <v>0</v>
      </c>
      <c r="BT69" s="55">
        <f t="shared" ref="BT69:DV69" si="100">(BT18+BT40+BT57+BT68)</f>
        <v>0</v>
      </c>
      <c r="BU69" s="54">
        <f t="shared" si="100"/>
        <v>0</v>
      </c>
      <c r="BV69" s="54">
        <f t="shared" si="100"/>
        <v>0</v>
      </c>
      <c r="BW69" s="55">
        <f t="shared" si="100"/>
        <v>0</v>
      </c>
      <c r="BX69" s="54">
        <f t="shared" si="100"/>
        <v>3</v>
      </c>
      <c r="BY69" s="54">
        <f t="shared" si="100"/>
        <v>36</v>
      </c>
      <c r="BZ69" s="55">
        <f t="shared" si="100"/>
        <v>36</v>
      </c>
      <c r="CA69" s="54">
        <f t="shared" si="100"/>
        <v>0</v>
      </c>
      <c r="CB69" s="54">
        <f t="shared" si="100"/>
        <v>0</v>
      </c>
      <c r="CC69" s="55">
        <f t="shared" si="100"/>
        <v>0</v>
      </c>
      <c r="CD69" s="54">
        <f t="shared" si="100"/>
        <v>19</v>
      </c>
      <c r="CE69" s="54">
        <f t="shared" si="100"/>
        <v>228</v>
      </c>
      <c r="CF69" s="55">
        <f t="shared" si="100"/>
        <v>228</v>
      </c>
      <c r="CG69" s="54">
        <f t="shared" si="100"/>
        <v>1</v>
      </c>
      <c r="CH69" s="54">
        <f t="shared" si="100"/>
        <v>12</v>
      </c>
      <c r="CI69" s="55">
        <f t="shared" si="100"/>
        <v>7.1999999999999993</v>
      </c>
      <c r="CJ69" s="54">
        <f t="shared" si="100"/>
        <v>1</v>
      </c>
      <c r="CK69" s="54">
        <f t="shared" si="100"/>
        <v>40</v>
      </c>
      <c r="CL69" s="55">
        <f t="shared" si="100"/>
        <v>14</v>
      </c>
      <c r="CM69" s="54">
        <f t="shared" si="100"/>
        <v>144.66666666666669</v>
      </c>
      <c r="CN69" s="54">
        <f t="shared" si="100"/>
        <v>1736</v>
      </c>
      <c r="CO69" s="55">
        <f t="shared" si="100"/>
        <v>1736</v>
      </c>
      <c r="CP69" s="54">
        <f t="shared" si="100"/>
        <v>0</v>
      </c>
      <c r="CQ69" s="54">
        <f t="shared" si="100"/>
        <v>0</v>
      </c>
      <c r="CR69" s="55">
        <f t="shared" si="100"/>
        <v>0</v>
      </c>
      <c r="CS69" s="54">
        <f t="shared" si="100"/>
        <v>0</v>
      </c>
      <c r="CT69" s="54">
        <f t="shared" si="100"/>
        <v>0</v>
      </c>
      <c r="CU69" s="55">
        <f t="shared" si="100"/>
        <v>0</v>
      </c>
      <c r="CV69" s="54">
        <f t="shared" si="100"/>
        <v>236</v>
      </c>
      <c r="CW69" s="54">
        <f t="shared" si="100"/>
        <v>4720</v>
      </c>
      <c r="CX69" s="55">
        <f t="shared" si="100"/>
        <v>4720</v>
      </c>
      <c r="CY69" s="54">
        <f t="shared" si="100"/>
        <v>0</v>
      </c>
      <c r="CZ69" s="54">
        <f t="shared" si="100"/>
        <v>0</v>
      </c>
      <c r="DA69" s="55">
        <f t="shared" si="100"/>
        <v>0</v>
      </c>
      <c r="DB69" s="54">
        <f t="shared" si="100"/>
        <v>0</v>
      </c>
      <c r="DC69" s="54">
        <f t="shared" si="100"/>
        <v>0</v>
      </c>
      <c r="DD69" s="55">
        <f t="shared" si="100"/>
        <v>0</v>
      </c>
      <c r="DE69" s="54">
        <f t="shared" si="100"/>
        <v>228</v>
      </c>
      <c r="DF69" s="54">
        <f t="shared" si="100"/>
        <v>2736</v>
      </c>
      <c r="DG69" s="55">
        <f t="shared" si="100"/>
        <v>2736</v>
      </c>
      <c r="DH69" s="54">
        <f t="shared" si="100"/>
        <v>0</v>
      </c>
      <c r="DI69" s="54">
        <f t="shared" si="100"/>
        <v>0</v>
      </c>
      <c r="DJ69" s="55">
        <f t="shared" si="100"/>
        <v>0</v>
      </c>
      <c r="DK69" s="54">
        <f t="shared" si="100"/>
        <v>71.916666666666629</v>
      </c>
      <c r="DL69" s="54">
        <f t="shared" si="100"/>
        <v>862.99999999999955</v>
      </c>
      <c r="DM69" s="55">
        <f t="shared" si="100"/>
        <v>586.83999999999969</v>
      </c>
      <c r="DN69" s="54">
        <f t="shared" si="100"/>
        <v>77.833333333333343</v>
      </c>
      <c r="DO69" s="54">
        <f t="shared" si="100"/>
        <v>934</v>
      </c>
      <c r="DP69" s="55">
        <f t="shared" si="100"/>
        <v>934</v>
      </c>
      <c r="DQ69" s="54">
        <f t="shared" si="100"/>
        <v>0</v>
      </c>
      <c r="DR69" s="54">
        <f t="shared" si="100"/>
        <v>0</v>
      </c>
      <c r="DS69" s="55">
        <f t="shared" si="100"/>
        <v>0</v>
      </c>
      <c r="DT69" s="54">
        <f t="shared" si="100"/>
        <v>149154.33333333331</v>
      </c>
      <c r="DU69" s="54">
        <f t="shared" si="100"/>
        <v>2170348</v>
      </c>
      <c r="DV69" s="55">
        <f t="shared" si="100"/>
        <v>1642001.3199999998</v>
      </c>
    </row>
    <row r="70" spans="1:126" x14ac:dyDescent="0.6"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  <c r="DI70" s="37"/>
      <c r="DJ70" s="37"/>
      <c r="DK70" s="37"/>
      <c r="DL70" s="37"/>
      <c r="DM70" s="37"/>
      <c r="DN70" s="37"/>
      <c r="DO70" s="37"/>
      <c r="DP70" s="37"/>
      <c r="DQ70" s="37"/>
      <c r="DR70" s="37"/>
      <c r="DS70" s="37"/>
      <c r="DT70" s="37"/>
      <c r="DU70" s="37"/>
    </row>
    <row r="71" spans="1:126" x14ac:dyDescent="0.6"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7"/>
      <c r="DI71" s="37"/>
      <c r="DJ71" s="37"/>
      <c r="DK71" s="37"/>
      <c r="DL71" s="37"/>
      <c r="DM71" s="37"/>
      <c r="DN71" s="37"/>
      <c r="DO71" s="37"/>
      <c r="DP71" s="37"/>
      <c r="DQ71" s="37"/>
      <c r="DR71" s="37"/>
      <c r="DS71" s="37"/>
      <c r="DT71" s="37"/>
      <c r="DU71" s="37"/>
    </row>
    <row r="72" spans="1:126" ht="24.75" x14ac:dyDescent="0.7">
      <c r="B72" s="88" t="s">
        <v>84</v>
      </c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6"/>
      <c r="CA72" s="56"/>
      <c r="CB72" s="56"/>
      <c r="CC72" s="56"/>
      <c r="CD72" s="56"/>
      <c r="CE72" s="56"/>
      <c r="CF72" s="56"/>
      <c r="CG72" s="56"/>
      <c r="CH72" s="56"/>
      <c r="CI72" s="56"/>
      <c r="CJ72" s="56"/>
      <c r="CK72" s="56"/>
      <c r="CL72" s="56"/>
      <c r="CM72" s="56"/>
      <c r="CN72" s="56"/>
      <c r="CO72" s="56"/>
      <c r="CP72" s="56"/>
      <c r="CQ72" s="56"/>
      <c r="CR72" s="56"/>
      <c r="CS72" s="56"/>
      <c r="CT72" s="56"/>
      <c r="CU72" s="56"/>
      <c r="CV72" s="56"/>
      <c r="CW72" s="56"/>
      <c r="CX72" s="56"/>
      <c r="CY72" s="56"/>
      <c r="CZ72" s="56"/>
      <c r="DA72" s="56"/>
      <c r="DB72" s="56"/>
      <c r="DC72" s="56"/>
      <c r="DD72" s="56"/>
      <c r="DE72" s="56"/>
      <c r="DF72" s="56"/>
      <c r="DG72" s="56"/>
      <c r="DH72" s="56"/>
      <c r="DI72" s="56"/>
      <c r="DJ72" s="56"/>
      <c r="DK72" s="56"/>
      <c r="DL72" s="56"/>
      <c r="DM72" s="56"/>
      <c r="DN72" s="56"/>
      <c r="DO72" s="56"/>
      <c r="DP72" s="56"/>
      <c r="DQ72" s="56"/>
      <c r="DR72" s="56"/>
      <c r="DS72" s="56"/>
      <c r="DT72" s="56"/>
      <c r="DU72" s="56"/>
    </row>
    <row r="73" spans="1:126" ht="84" x14ac:dyDescent="0.6">
      <c r="A73" s="38" t="s">
        <v>0</v>
      </c>
      <c r="B73" s="1" t="s">
        <v>1</v>
      </c>
      <c r="C73" s="1" t="s">
        <v>2</v>
      </c>
      <c r="D73" s="2" t="s">
        <v>68</v>
      </c>
      <c r="E73" s="2" t="s">
        <v>81</v>
      </c>
      <c r="F73" s="36" t="s">
        <v>80</v>
      </c>
      <c r="G73" s="2" t="s">
        <v>69</v>
      </c>
      <c r="H73" s="2" t="s">
        <v>81</v>
      </c>
      <c r="I73" s="36" t="s">
        <v>80</v>
      </c>
      <c r="J73" s="2" t="s">
        <v>70</v>
      </c>
      <c r="K73" s="2" t="s">
        <v>81</v>
      </c>
      <c r="L73" s="36" t="s">
        <v>80</v>
      </c>
      <c r="M73" s="2" t="s">
        <v>3</v>
      </c>
      <c r="N73" s="2" t="s">
        <v>81</v>
      </c>
      <c r="O73" s="36" t="s">
        <v>80</v>
      </c>
      <c r="P73" s="2" t="s">
        <v>4</v>
      </c>
      <c r="Q73" s="2" t="s">
        <v>81</v>
      </c>
      <c r="R73" s="36" t="s">
        <v>80</v>
      </c>
      <c r="S73" s="2" t="s">
        <v>5</v>
      </c>
      <c r="T73" s="2" t="s">
        <v>81</v>
      </c>
      <c r="U73" s="36" t="s">
        <v>80</v>
      </c>
      <c r="V73" s="2" t="s">
        <v>6</v>
      </c>
      <c r="W73" s="2" t="s">
        <v>81</v>
      </c>
      <c r="X73" s="36" t="s">
        <v>80</v>
      </c>
      <c r="Y73" s="2" t="s">
        <v>7</v>
      </c>
      <c r="Z73" s="2" t="s">
        <v>81</v>
      </c>
      <c r="AA73" s="36" t="s">
        <v>80</v>
      </c>
      <c r="AB73" s="2" t="s">
        <v>8</v>
      </c>
      <c r="AC73" s="2" t="s">
        <v>81</v>
      </c>
      <c r="AD73" s="36" t="s">
        <v>80</v>
      </c>
      <c r="AE73" s="2" t="s">
        <v>9</v>
      </c>
      <c r="AF73" s="2" t="s">
        <v>81</v>
      </c>
      <c r="AG73" s="36" t="s">
        <v>80</v>
      </c>
      <c r="AH73" s="2" t="s">
        <v>10</v>
      </c>
      <c r="AI73" s="2" t="s">
        <v>81</v>
      </c>
      <c r="AJ73" s="36" t="s">
        <v>80</v>
      </c>
      <c r="AK73" s="2" t="s">
        <v>11</v>
      </c>
      <c r="AL73" s="2" t="s">
        <v>81</v>
      </c>
      <c r="AM73" s="36" t="s">
        <v>80</v>
      </c>
      <c r="AN73" s="2" t="s">
        <v>12</v>
      </c>
      <c r="AO73" s="2" t="s">
        <v>81</v>
      </c>
      <c r="AP73" s="36" t="s">
        <v>80</v>
      </c>
      <c r="AQ73" s="2" t="s">
        <v>13</v>
      </c>
      <c r="AR73" s="2" t="s">
        <v>81</v>
      </c>
      <c r="AS73" s="36" t="s">
        <v>80</v>
      </c>
      <c r="AT73" s="2" t="s">
        <v>79</v>
      </c>
      <c r="AU73" s="2" t="s">
        <v>81</v>
      </c>
      <c r="AV73" s="36" t="s">
        <v>80</v>
      </c>
      <c r="AW73" s="2" t="s">
        <v>71</v>
      </c>
      <c r="AX73" s="2" t="s">
        <v>81</v>
      </c>
      <c r="AY73" s="36" t="s">
        <v>80</v>
      </c>
      <c r="AZ73" s="2" t="s">
        <v>72</v>
      </c>
      <c r="BA73" s="2" t="s">
        <v>81</v>
      </c>
      <c r="BB73" s="36" t="s">
        <v>80</v>
      </c>
      <c r="BC73" s="2" t="s">
        <v>73</v>
      </c>
      <c r="BD73" s="2" t="s">
        <v>81</v>
      </c>
      <c r="BE73" s="36" t="s">
        <v>80</v>
      </c>
      <c r="BF73" s="2" t="s">
        <v>14</v>
      </c>
      <c r="BG73" s="2" t="s">
        <v>81</v>
      </c>
      <c r="BH73" s="36" t="s">
        <v>80</v>
      </c>
      <c r="BI73" s="2" t="s">
        <v>15</v>
      </c>
      <c r="BJ73" s="2" t="s">
        <v>81</v>
      </c>
      <c r="BK73" s="36" t="s">
        <v>80</v>
      </c>
      <c r="BL73" s="2" t="s">
        <v>16</v>
      </c>
      <c r="BM73" s="2" t="s">
        <v>81</v>
      </c>
      <c r="BN73" s="36" t="s">
        <v>80</v>
      </c>
      <c r="BO73" s="2" t="s">
        <v>17</v>
      </c>
      <c r="BP73" s="2" t="s">
        <v>81</v>
      </c>
      <c r="BQ73" s="36" t="s">
        <v>80</v>
      </c>
      <c r="BR73" s="2" t="s">
        <v>18</v>
      </c>
      <c r="BS73" s="2" t="s">
        <v>81</v>
      </c>
      <c r="BT73" s="36" t="s">
        <v>80</v>
      </c>
      <c r="BU73" s="2" t="s">
        <v>19</v>
      </c>
      <c r="BV73" s="2" t="s">
        <v>81</v>
      </c>
      <c r="BW73" s="36" t="s">
        <v>80</v>
      </c>
      <c r="BX73" s="22" t="s">
        <v>20</v>
      </c>
      <c r="BY73" s="2" t="s">
        <v>81</v>
      </c>
      <c r="BZ73" s="35" t="s">
        <v>80</v>
      </c>
      <c r="CA73" s="22" t="s">
        <v>21</v>
      </c>
      <c r="CB73" s="2" t="s">
        <v>81</v>
      </c>
      <c r="CC73" s="35" t="s">
        <v>80</v>
      </c>
      <c r="CD73" s="22" t="s">
        <v>22</v>
      </c>
      <c r="CE73" s="2" t="s">
        <v>81</v>
      </c>
      <c r="CF73" s="35" t="s">
        <v>80</v>
      </c>
      <c r="CG73" s="3" t="s">
        <v>23</v>
      </c>
      <c r="CH73" s="2" t="s">
        <v>81</v>
      </c>
      <c r="CI73" s="4" t="s">
        <v>80</v>
      </c>
      <c r="CJ73" s="3" t="s">
        <v>24</v>
      </c>
      <c r="CK73" s="2" t="s">
        <v>81</v>
      </c>
      <c r="CL73" s="4" t="s">
        <v>80</v>
      </c>
      <c r="CM73" s="47" t="s">
        <v>25</v>
      </c>
      <c r="CN73" s="2" t="s">
        <v>81</v>
      </c>
      <c r="CO73" s="4" t="s">
        <v>80</v>
      </c>
      <c r="CP73" s="47" t="s">
        <v>26</v>
      </c>
      <c r="CQ73" s="2" t="s">
        <v>81</v>
      </c>
      <c r="CR73" s="4" t="s">
        <v>80</v>
      </c>
      <c r="CS73" s="47" t="s">
        <v>27</v>
      </c>
      <c r="CT73" s="2" t="s">
        <v>81</v>
      </c>
      <c r="CU73" s="4" t="s">
        <v>80</v>
      </c>
      <c r="CV73" s="48" t="s">
        <v>28</v>
      </c>
      <c r="CW73" s="2" t="s">
        <v>81</v>
      </c>
      <c r="CX73" s="34" t="s">
        <v>80</v>
      </c>
      <c r="CY73" s="48" t="s">
        <v>29</v>
      </c>
      <c r="CZ73" s="2" t="s">
        <v>81</v>
      </c>
      <c r="DA73" s="34" t="s">
        <v>80</v>
      </c>
      <c r="DB73" s="48" t="s">
        <v>30</v>
      </c>
      <c r="DC73" s="2" t="s">
        <v>81</v>
      </c>
      <c r="DD73" s="34" t="s">
        <v>80</v>
      </c>
      <c r="DE73" s="5" t="s">
        <v>31</v>
      </c>
      <c r="DF73" s="2" t="s">
        <v>81</v>
      </c>
      <c r="DG73" s="33" t="s">
        <v>80</v>
      </c>
      <c r="DH73" s="3" t="s">
        <v>32</v>
      </c>
      <c r="DI73" s="2" t="s">
        <v>81</v>
      </c>
      <c r="DJ73" s="4" t="s">
        <v>80</v>
      </c>
      <c r="DK73" s="3" t="s">
        <v>78</v>
      </c>
      <c r="DL73" s="2" t="s">
        <v>81</v>
      </c>
      <c r="DM73" s="4" t="s">
        <v>80</v>
      </c>
      <c r="DN73" s="3" t="s">
        <v>74</v>
      </c>
      <c r="DO73" s="2" t="s">
        <v>81</v>
      </c>
      <c r="DP73" s="4" t="s">
        <v>80</v>
      </c>
      <c r="DQ73" s="3"/>
      <c r="DR73" s="3"/>
      <c r="DS73" s="3"/>
      <c r="DT73" s="2" t="s">
        <v>82</v>
      </c>
      <c r="DU73" s="26" t="s">
        <v>76</v>
      </c>
      <c r="DV73" s="38" t="s">
        <v>80</v>
      </c>
    </row>
    <row r="74" spans="1:126" x14ac:dyDescent="0.6">
      <c r="A74" s="56"/>
      <c r="B74" s="57"/>
      <c r="C74" s="58"/>
      <c r="D74" s="57"/>
      <c r="E74" s="57">
        <v>14</v>
      </c>
      <c r="F74" s="59">
        <v>0.64</v>
      </c>
      <c r="G74" s="57"/>
      <c r="H74" s="57">
        <v>24</v>
      </c>
      <c r="I74" s="59">
        <v>0.64</v>
      </c>
      <c r="J74" s="57"/>
      <c r="K74" s="57">
        <v>12</v>
      </c>
      <c r="L74" s="59">
        <v>0.64</v>
      </c>
      <c r="M74" s="57"/>
      <c r="N74" s="57">
        <v>14</v>
      </c>
      <c r="O74" s="59">
        <v>0.64</v>
      </c>
      <c r="P74" s="57"/>
      <c r="Q74" s="57">
        <v>24</v>
      </c>
      <c r="R74" s="59">
        <v>0.64</v>
      </c>
      <c r="S74" s="57"/>
      <c r="T74" s="57">
        <v>14</v>
      </c>
      <c r="U74" s="59">
        <v>0.64</v>
      </c>
      <c r="V74" s="57"/>
      <c r="W74" s="57">
        <v>14</v>
      </c>
      <c r="X74" s="59">
        <v>0.64</v>
      </c>
      <c r="Y74" s="57"/>
      <c r="Z74" s="57">
        <v>14</v>
      </c>
      <c r="AA74" s="59">
        <v>0.64</v>
      </c>
      <c r="AB74" s="57"/>
      <c r="AC74" s="57">
        <v>14</v>
      </c>
      <c r="AD74" s="59">
        <v>0.64</v>
      </c>
      <c r="AE74" s="57"/>
      <c r="AF74" s="57">
        <v>14</v>
      </c>
      <c r="AG74" s="59">
        <v>0.64</v>
      </c>
      <c r="AH74" s="57"/>
      <c r="AI74" s="57">
        <v>12</v>
      </c>
      <c r="AJ74" s="59">
        <v>0.7</v>
      </c>
      <c r="AK74" s="57"/>
      <c r="AL74" s="57">
        <v>14</v>
      </c>
      <c r="AM74" s="59">
        <v>0.64</v>
      </c>
      <c r="AN74" s="57"/>
      <c r="AO74" s="57">
        <v>12</v>
      </c>
      <c r="AP74" s="59">
        <v>0.7</v>
      </c>
      <c r="AQ74" s="57"/>
      <c r="AR74" s="57">
        <v>24</v>
      </c>
      <c r="AS74" s="59">
        <v>0.35</v>
      </c>
      <c r="AT74" s="57"/>
      <c r="AU74" s="57">
        <v>12</v>
      </c>
      <c r="AV74" s="59">
        <v>0.68</v>
      </c>
      <c r="AW74" s="57"/>
      <c r="AX74" s="57">
        <v>12</v>
      </c>
      <c r="AY74" s="59">
        <v>1</v>
      </c>
      <c r="AZ74" s="57"/>
      <c r="BA74" s="57">
        <v>12</v>
      </c>
      <c r="BB74" s="59">
        <v>0.6</v>
      </c>
      <c r="BC74" s="57"/>
      <c r="BD74" s="57">
        <v>40</v>
      </c>
      <c r="BE74" s="59">
        <v>0.35</v>
      </c>
      <c r="BF74" s="57"/>
      <c r="BG74" s="57">
        <v>12</v>
      </c>
      <c r="BH74" s="59">
        <v>1</v>
      </c>
      <c r="BI74" s="57"/>
      <c r="BJ74" s="57">
        <v>12</v>
      </c>
      <c r="BK74" s="59">
        <v>0.6</v>
      </c>
      <c r="BL74" s="57"/>
      <c r="BM74" s="57">
        <v>40</v>
      </c>
      <c r="BN74" s="59">
        <v>0.35</v>
      </c>
      <c r="BO74" s="57"/>
      <c r="BP74" s="57">
        <v>12</v>
      </c>
      <c r="BQ74" s="59">
        <v>1</v>
      </c>
      <c r="BR74" s="57"/>
      <c r="BS74" s="57">
        <v>12</v>
      </c>
      <c r="BT74" s="59">
        <v>0.6</v>
      </c>
      <c r="BU74" s="57"/>
      <c r="BV74" s="57">
        <v>40</v>
      </c>
      <c r="BW74" s="59">
        <v>0.35</v>
      </c>
      <c r="BX74" s="57">
        <v>12</v>
      </c>
      <c r="BY74" s="57">
        <v>12</v>
      </c>
      <c r="BZ74" s="59">
        <v>1</v>
      </c>
      <c r="CA74" s="57"/>
      <c r="CB74" s="57">
        <v>12</v>
      </c>
      <c r="CC74" s="59">
        <v>0.6</v>
      </c>
      <c r="CD74" s="57"/>
      <c r="CE74" s="57">
        <v>12</v>
      </c>
      <c r="CF74" s="59">
        <v>1</v>
      </c>
      <c r="CG74" s="57"/>
      <c r="CH74" s="57">
        <v>12</v>
      </c>
      <c r="CI74" s="59">
        <v>0.6</v>
      </c>
      <c r="CJ74" s="57"/>
      <c r="CK74" s="57">
        <v>40</v>
      </c>
      <c r="CL74" s="59">
        <v>0.35</v>
      </c>
      <c r="CM74" s="57"/>
      <c r="CN74" s="57">
        <v>12</v>
      </c>
      <c r="CO74" s="59">
        <v>1</v>
      </c>
      <c r="CP74" s="57"/>
      <c r="CQ74" s="57">
        <v>12</v>
      </c>
      <c r="CR74" s="59">
        <v>0.6</v>
      </c>
      <c r="CS74" s="57"/>
      <c r="CT74" s="57">
        <v>40</v>
      </c>
      <c r="CU74" s="59">
        <v>0.35</v>
      </c>
      <c r="CV74" s="57"/>
      <c r="CW74" s="57">
        <v>20</v>
      </c>
      <c r="CX74" s="59">
        <v>1</v>
      </c>
      <c r="CY74" s="57"/>
      <c r="CZ74" s="57">
        <v>14</v>
      </c>
      <c r="DA74" s="59">
        <v>0.64</v>
      </c>
      <c r="DB74" s="57"/>
      <c r="DC74" s="57">
        <v>14</v>
      </c>
      <c r="DD74" s="59">
        <v>0.64</v>
      </c>
      <c r="DE74" s="57"/>
      <c r="DF74" s="57">
        <v>12</v>
      </c>
      <c r="DG74" s="59">
        <v>1</v>
      </c>
      <c r="DH74" s="57"/>
      <c r="DI74" s="57">
        <v>14</v>
      </c>
      <c r="DJ74" s="59">
        <v>0.64</v>
      </c>
      <c r="DK74" s="57"/>
      <c r="DL74" s="57">
        <v>12</v>
      </c>
      <c r="DM74" s="59">
        <v>0.68</v>
      </c>
      <c r="DN74" s="57"/>
      <c r="DO74" s="57">
        <v>12</v>
      </c>
      <c r="DP74" s="59">
        <v>1</v>
      </c>
      <c r="DQ74" s="57"/>
      <c r="DR74" s="57"/>
      <c r="DS74" s="57"/>
      <c r="DT74" s="57"/>
      <c r="DU74" s="41"/>
      <c r="DV74" s="60"/>
    </row>
    <row r="75" spans="1:126" x14ac:dyDescent="0.6">
      <c r="A75" s="24"/>
      <c r="B75" s="42"/>
      <c r="C75" s="43"/>
      <c r="D75" s="44"/>
      <c r="E75" s="44"/>
      <c r="F75" s="40"/>
      <c r="G75" s="44"/>
      <c r="H75" s="44"/>
      <c r="I75" s="40"/>
      <c r="J75" s="44"/>
      <c r="K75" s="44"/>
      <c r="L75" s="40"/>
      <c r="M75" s="44"/>
      <c r="N75" s="44"/>
      <c r="O75" s="40"/>
      <c r="P75" s="44"/>
      <c r="Q75" s="44"/>
      <c r="R75" s="40"/>
      <c r="S75" s="44"/>
      <c r="T75" s="44"/>
      <c r="U75" s="40"/>
      <c r="V75" s="44"/>
      <c r="W75" s="44"/>
      <c r="X75" s="40"/>
      <c r="Y75" s="44"/>
      <c r="Z75" s="44"/>
      <c r="AA75" s="40"/>
      <c r="AB75" s="44"/>
      <c r="AC75" s="44"/>
      <c r="AD75" s="40"/>
      <c r="AE75" s="44"/>
      <c r="AF75" s="44"/>
      <c r="AG75" s="40"/>
      <c r="AH75" s="44"/>
      <c r="AI75" s="44"/>
      <c r="AJ75" s="40"/>
      <c r="AK75" s="44"/>
      <c r="AL75" s="44"/>
      <c r="AM75" s="40"/>
      <c r="AN75" s="44"/>
      <c r="AO75" s="44"/>
      <c r="AP75" s="40"/>
      <c r="AQ75" s="44"/>
      <c r="AR75" s="44"/>
      <c r="AS75" s="40"/>
      <c r="AT75" s="44"/>
      <c r="AU75" s="44"/>
      <c r="AV75" s="40"/>
      <c r="AW75" s="44"/>
      <c r="AX75" s="44"/>
      <c r="AY75" s="40"/>
      <c r="AZ75" s="44"/>
      <c r="BA75" s="44"/>
      <c r="BB75" s="40"/>
      <c r="BC75" s="44"/>
      <c r="BD75" s="44"/>
      <c r="BE75" s="40"/>
      <c r="BF75" s="44"/>
      <c r="BG75" s="44"/>
      <c r="BH75" s="40"/>
      <c r="BI75" s="44"/>
      <c r="BJ75" s="44"/>
      <c r="BK75" s="40"/>
      <c r="BL75" s="44"/>
      <c r="BM75" s="44"/>
      <c r="BN75" s="40"/>
      <c r="BO75" s="44"/>
      <c r="BP75" s="44"/>
      <c r="BQ75" s="40"/>
      <c r="BR75" s="44"/>
      <c r="BS75" s="44"/>
      <c r="BT75" s="40"/>
      <c r="BU75" s="44"/>
      <c r="BV75" s="44"/>
      <c r="BW75" s="40"/>
      <c r="BX75" s="44">
        <v>1</v>
      </c>
      <c r="BY75" s="44"/>
      <c r="BZ75" s="40"/>
      <c r="CA75" s="44"/>
      <c r="CB75" s="44"/>
      <c r="CC75" s="40"/>
      <c r="CD75" s="44"/>
      <c r="CE75" s="44"/>
      <c r="CF75" s="40"/>
      <c r="CG75" s="44"/>
      <c r="CH75" s="44"/>
      <c r="CI75" s="40"/>
      <c r="CJ75" s="44"/>
      <c r="CK75" s="44"/>
      <c r="CL75" s="40"/>
      <c r="CM75" s="44"/>
      <c r="CN75" s="44"/>
      <c r="CO75" s="40"/>
      <c r="CP75" s="44"/>
      <c r="CQ75" s="44"/>
      <c r="CR75" s="40"/>
      <c r="CS75" s="44"/>
      <c r="CT75" s="44"/>
      <c r="CU75" s="40"/>
      <c r="CV75" s="44"/>
      <c r="CW75" s="44"/>
      <c r="CX75" s="40"/>
      <c r="CY75" s="44"/>
      <c r="CZ75" s="44"/>
      <c r="DA75" s="40"/>
      <c r="DB75" s="44"/>
      <c r="DC75" s="44"/>
      <c r="DD75" s="40"/>
      <c r="DE75" s="44"/>
      <c r="DF75" s="44"/>
      <c r="DG75" s="40"/>
      <c r="DH75" s="44"/>
      <c r="DI75" s="44"/>
      <c r="DJ75" s="40"/>
      <c r="DK75" s="44"/>
      <c r="DL75" s="44"/>
      <c r="DM75" s="40"/>
      <c r="DN75" s="44"/>
      <c r="DO75" s="44"/>
      <c r="DP75" s="40"/>
      <c r="DQ75" s="44"/>
      <c r="DR75" s="44"/>
      <c r="DS75" s="44"/>
      <c r="DT75" s="44"/>
      <c r="DU75" s="45"/>
      <c r="DV75" s="25"/>
    </row>
    <row r="76" spans="1:126" ht="21" customHeight="1" x14ac:dyDescent="0.6">
      <c r="A76" s="71" t="s">
        <v>33</v>
      </c>
      <c r="B76" s="7" t="s">
        <v>34</v>
      </c>
      <c r="C76" s="72" t="s">
        <v>35</v>
      </c>
      <c r="D76" s="49">
        <v>128</v>
      </c>
      <c r="E76" s="49">
        <f>+D76*$E$3</f>
        <v>1792</v>
      </c>
      <c r="F76" s="50">
        <f>+E76*$F$3</f>
        <v>1146.8800000000001</v>
      </c>
      <c r="G76" s="49"/>
      <c r="H76" s="49">
        <f>+G76*$H$3</f>
        <v>0</v>
      </c>
      <c r="I76" s="50">
        <f>+H76*$I$3</f>
        <v>0</v>
      </c>
      <c r="J76" s="49"/>
      <c r="K76" s="49">
        <f>+J76*$K$3</f>
        <v>0</v>
      </c>
      <c r="L76" s="50">
        <f>+K76*$L$3</f>
        <v>0</v>
      </c>
      <c r="M76" s="49"/>
      <c r="N76" s="49">
        <f>+M76*$N$3</f>
        <v>0</v>
      </c>
      <c r="O76" s="50">
        <f>+N76*$O$3</f>
        <v>0</v>
      </c>
      <c r="P76" s="49"/>
      <c r="Q76" s="49">
        <f>+P76*$Q$3</f>
        <v>0</v>
      </c>
      <c r="R76" s="50">
        <f>+Q76*$R$3</f>
        <v>0</v>
      </c>
      <c r="S76" s="49"/>
      <c r="T76" s="49">
        <f>+S76*$T$3</f>
        <v>0</v>
      </c>
      <c r="U76" s="50">
        <f>+T76*$U$3</f>
        <v>0</v>
      </c>
      <c r="V76" s="49">
        <v>27</v>
      </c>
      <c r="W76" s="49">
        <f>+V76*$W$3</f>
        <v>378</v>
      </c>
      <c r="X76" s="50">
        <f>+W76*$X$3</f>
        <v>241.92000000000002</v>
      </c>
      <c r="Y76" s="49"/>
      <c r="Z76" s="49">
        <f>+Y76*$Z$3</f>
        <v>0</v>
      </c>
      <c r="AA76" s="50">
        <f>+Z76*$AA$3</f>
        <v>0</v>
      </c>
      <c r="AB76" s="49"/>
      <c r="AC76" s="49">
        <f>+AB76*$AC$3</f>
        <v>0</v>
      </c>
      <c r="AD76" s="50">
        <f>+AC76*$AD$3</f>
        <v>0</v>
      </c>
      <c r="AE76" s="49"/>
      <c r="AF76" s="49">
        <f>+AE76*$AF$3</f>
        <v>0</v>
      </c>
      <c r="AG76" s="50">
        <f>+AF76*$AG$3</f>
        <v>0</v>
      </c>
      <c r="AH76" s="49"/>
      <c r="AI76" s="49">
        <f>+AH76*$AI$3</f>
        <v>0</v>
      </c>
      <c r="AJ76" s="50">
        <f>+AI76*$AJ$3</f>
        <v>0</v>
      </c>
      <c r="AK76" s="49"/>
      <c r="AL76" s="49">
        <f>+AK76*$AL$3</f>
        <v>0</v>
      </c>
      <c r="AM76" s="50">
        <f>+AL76*$AM$3</f>
        <v>0</v>
      </c>
      <c r="AN76" s="49"/>
      <c r="AO76" s="49">
        <f>+AN76*$AO$3</f>
        <v>0</v>
      </c>
      <c r="AP76" s="50">
        <f>+AO76*$AP$3</f>
        <v>0</v>
      </c>
      <c r="AQ76" s="49"/>
      <c r="AR76" s="49">
        <f>+AQ76*$AR$3</f>
        <v>0</v>
      </c>
      <c r="AS76" s="50">
        <f>+AR76*$AS$3</f>
        <v>0</v>
      </c>
      <c r="AT76" s="49"/>
      <c r="AU76" s="49">
        <f>+AT76*$AU$3</f>
        <v>0</v>
      </c>
      <c r="AV76" s="50">
        <f>+AU76*$AV$3</f>
        <v>0</v>
      </c>
      <c r="AW76" s="49">
        <v>438</v>
      </c>
      <c r="AX76" s="49">
        <f>+AW76*$AX$3</f>
        <v>5256</v>
      </c>
      <c r="AY76" s="50">
        <f>+AX76*$AY$3</f>
        <v>5256</v>
      </c>
      <c r="AZ76" s="49">
        <v>122</v>
      </c>
      <c r="BA76" s="49">
        <f>+AZ76*$BA$3</f>
        <v>1464</v>
      </c>
      <c r="BB76" s="50">
        <f>+BA76*$BB$3</f>
        <v>878.4</v>
      </c>
      <c r="BC76" s="49">
        <v>108</v>
      </c>
      <c r="BD76" s="49">
        <f>+BC76*$BD$3</f>
        <v>4320</v>
      </c>
      <c r="BE76" s="50">
        <f>+BD76*$BE$3</f>
        <v>1512</v>
      </c>
      <c r="BF76" s="49">
        <v>7</v>
      </c>
      <c r="BG76" s="49">
        <f>+BF76*$BG$3</f>
        <v>84</v>
      </c>
      <c r="BH76" s="50">
        <f>+BG76*$BH$3</f>
        <v>84</v>
      </c>
      <c r="BI76" s="49"/>
      <c r="BJ76" s="49">
        <f>+BI76*$BJ$3</f>
        <v>0</v>
      </c>
      <c r="BK76" s="50">
        <f>+BJ76*$BK$3</f>
        <v>0</v>
      </c>
      <c r="BL76" s="49">
        <v>25</v>
      </c>
      <c r="BM76" s="49">
        <f>+BL76*$BM$3</f>
        <v>1000</v>
      </c>
      <c r="BN76" s="50">
        <f>+BM76*$BN$3</f>
        <v>350</v>
      </c>
      <c r="BO76" s="49"/>
      <c r="BP76" s="49">
        <f>+BO76*$BP$3</f>
        <v>0</v>
      </c>
      <c r="BQ76" s="50">
        <f>+BP76*$BQ$3</f>
        <v>0</v>
      </c>
      <c r="BR76" s="49"/>
      <c r="BS76" s="49">
        <f>+BR76*$BS$3</f>
        <v>0</v>
      </c>
      <c r="BT76" s="50">
        <f>+BS76*$BT$3</f>
        <v>0</v>
      </c>
      <c r="BU76" s="49"/>
      <c r="BV76" s="49">
        <f>+BU76*$BV$3</f>
        <v>0</v>
      </c>
      <c r="BW76" s="50">
        <f>+BV76*$BW$3</f>
        <v>0</v>
      </c>
      <c r="BX76" s="49"/>
      <c r="BY76" s="49">
        <f>+BX76*$BY$3</f>
        <v>0</v>
      </c>
      <c r="BZ76" s="50">
        <f>+BY76*$BZ$3</f>
        <v>0</v>
      </c>
      <c r="CA76" s="49"/>
      <c r="CB76" s="49">
        <f>+CA76*$CB$3</f>
        <v>0</v>
      </c>
      <c r="CC76" s="50">
        <f>+CB76*$CC$3</f>
        <v>0</v>
      </c>
      <c r="CD76" s="49"/>
      <c r="CE76" s="49">
        <f>+CD76*$CE$3</f>
        <v>0</v>
      </c>
      <c r="CF76" s="50">
        <f>+CE76*$CF$3</f>
        <v>0</v>
      </c>
      <c r="CG76" s="49"/>
      <c r="CH76" s="49">
        <f>+CG76*$CH$3</f>
        <v>0</v>
      </c>
      <c r="CI76" s="50">
        <f>+CH76*$CI$3</f>
        <v>0</v>
      </c>
      <c r="CJ76" s="49"/>
      <c r="CK76" s="49">
        <f>+CJ76*$CK$3</f>
        <v>0</v>
      </c>
      <c r="CL76" s="50">
        <f>+CK76*$CL$3</f>
        <v>0</v>
      </c>
      <c r="CM76" s="49"/>
      <c r="CN76" s="49">
        <f>+CM76*$CN$3</f>
        <v>0</v>
      </c>
      <c r="CO76" s="50">
        <f>+CN76*$CO$3</f>
        <v>0</v>
      </c>
      <c r="CP76" s="49"/>
      <c r="CQ76" s="49">
        <f>+CP76*$CQ$3</f>
        <v>0</v>
      </c>
      <c r="CR76" s="50">
        <f>+CQ76*$CR$3</f>
        <v>0</v>
      </c>
      <c r="CS76" s="49"/>
      <c r="CT76" s="49">
        <f>+CS76*$CT$3</f>
        <v>0</v>
      </c>
      <c r="CU76" s="50">
        <f>+CT76*$CU$3</f>
        <v>0</v>
      </c>
      <c r="CV76" s="49"/>
      <c r="CW76" s="49">
        <f>+CV76*$CW$3</f>
        <v>0</v>
      </c>
      <c r="CX76" s="50">
        <f>+CW76*$CX$3</f>
        <v>0</v>
      </c>
      <c r="CY76" s="49"/>
      <c r="CZ76" s="49">
        <f>+CY76*$CZ$3</f>
        <v>0</v>
      </c>
      <c r="DA76" s="50">
        <f>+CZ76*$DA$3</f>
        <v>0</v>
      </c>
      <c r="DB76" s="49"/>
      <c r="DC76" s="49">
        <f>+DB76*$DC$3</f>
        <v>0</v>
      </c>
      <c r="DD76" s="50">
        <f>+DC76*$DD$3</f>
        <v>0</v>
      </c>
      <c r="DE76" s="49"/>
      <c r="DF76" s="49">
        <f>+DE76*$DF$3</f>
        <v>0</v>
      </c>
      <c r="DG76" s="50">
        <f>+DF76*$DG$3</f>
        <v>0</v>
      </c>
      <c r="DH76" s="49"/>
      <c r="DI76" s="49">
        <f>+DH76*$DI$3</f>
        <v>0</v>
      </c>
      <c r="DJ76" s="50">
        <f>+DI76*$DJ$3</f>
        <v>0</v>
      </c>
      <c r="DK76" s="49">
        <v>1</v>
      </c>
      <c r="DL76" s="49">
        <f>+DK76*$DL$3</f>
        <v>12</v>
      </c>
      <c r="DM76" s="50">
        <f>+DL76*$DM$3</f>
        <v>8.16</v>
      </c>
      <c r="DN76" s="49">
        <v>2</v>
      </c>
      <c r="DO76" s="49">
        <f>+DN76*$DO$3</f>
        <v>24</v>
      </c>
      <c r="DP76" s="50">
        <f>+DO76*$DP$3</f>
        <v>24</v>
      </c>
      <c r="DQ76" s="49"/>
      <c r="DR76" s="49"/>
      <c r="DS76" s="49"/>
      <c r="DT76" s="46">
        <f>D76+G76+J76+M76+P76+S76+V76+Y76+AB76+AE76+AH76+AK76+AN76+AQ76+AT76+AW76+AZ76+BC76+BF76+BI76+BL76+BO76+BR76+BU76+BX76+CA76+CD76+CG76+CJ76+CM76+CP76+CS76+CV76+CY76+DB76+DE76+DH76+DK76+DN76</f>
        <v>858</v>
      </c>
      <c r="DU76" s="46">
        <f>E76+H76+K76+N76+Q76+T76+W76+Z76+AC76+AF76+AI76+AL76+AO76+AR76+AU76+AX76+BA76+BD76+BG76+BJ76+BM76+BP76+BS76+BV76+BY76+CB76+CE76+CH76+CK76+CN76+CQ76+CT76+CW76+CZ76+DC76+DF76+DI76+DL76+DO76</f>
        <v>14330</v>
      </c>
      <c r="DV76" s="46">
        <f>F76+I76+L76+O76+R76+U76+X76+AA76+AD76+AG76+AJ76+AM76+AP76+AS76+AV76+AY76+BB76+BE76+BH76+BK76+BN76+BQ76+BT76+BW76+BZ76+CC76+CF76+CI76+CL76+CO76+CR76+CU76+CX76+DA76+DD76+DG76+DJ76+DM76+DP76</f>
        <v>9501.36</v>
      </c>
    </row>
    <row r="77" spans="1:126" x14ac:dyDescent="0.6">
      <c r="A77" s="67"/>
      <c r="B77" s="7" t="s">
        <v>36</v>
      </c>
      <c r="C77" s="72"/>
      <c r="D77" s="49">
        <v>64</v>
      </c>
      <c r="E77" s="49">
        <f t="shared" ref="E77:E138" si="101">+D77*$E$3</f>
        <v>896</v>
      </c>
      <c r="F77" s="50">
        <f t="shared" ref="F77:F138" si="102">+E77*$F$3</f>
        <v>573.44000000000005</v>
      </c>
      <c r="G77" s="49"/>
      <c r="H77" s="49">
        <f t="shared" ref="H77:H138" si="103">+G77*$H$3</f>
        <v>0</v>
      </c>
      <c r="I77" s="50">
        <f t="shared" ref="I77:I138" si="104">+H77*$I$3</f>
        <v>0</v>
      </c>
      <c r="J77" s="49"/>
      <c r="K77" s="49">
        <f t="shared" ref="K77:K138" si="105">+J77*$K$3</f>
        <v>0</v>
      </c>
      <c r="L77" s="50">
        <f t="shared" ref="L77:L138" si="106">+K77*$L$3</f>
        <v>0</v>
      </c>
      <c r="M77" s="49">
        <v>21</v>
      </c>
      <c r="N77" s="49">
        <f t="shared" ref="N77:N138" si="107">+M77*$N$3</f>
        <v>294</v>
      </c>
      <c r="O77" s="50">
        <f t="shared" ref="O77:O138" si="108">+N77*$O$3</f>
        <v>188.16</v>
      </c>
      <c r="P77" s="49"/>
      <c r="Q77" s="49">
        <f t="shared" ref="Q77:Q138" si="109">+P77*$Q$3</f>
        <v>0</v>
      </c>
      <c r="R77" s="50">
        <f t="shared" ref="R77:R138" si="110">+Q77*$R$3</f>
        <v>0</v>
      </c>
      <c r="S77" s="49">
        <v>11</v>
      </c>
      <c r="T77" s="49">
        <f t="shared" ref="T77:T138" si="111">+S77*$T$3</f>
        <v>154</v>
      </c>
      <c r="U77" s="50">
        <f t="shared" ref="U77:U138" si="112">+T77*$U$3</f>
        <v>98.56</v>
      </c>
      <c r="V77" s="49">
        <v>24</v>
      </c>
      <c r="W77" s="49">
        <f t="shared" ref="W77:W138" si="113">+V77*$W$3</f>
        <v>336</v>
      </c>
      <c r="X77" s="50">
        <f t="shared" ref="X77:X138" si="114">+W77*$X$3</f>
        <v>215.04</v>
      </c>
      <c r="Y77" s="49"/>
      <c r="Z77" s="49">
        <f t="shared" ref="Z77:Z138" si="115">+Y77*$Z$3</f>
        <v>0</v>
      </c>
      <c r="AA77" s="50">
        <f t="shared" ref="AA77:AA138" si="116">+Z77*$AA$3</f>
        <v>0</v>
      </c>
      <c r="AB77" s="49"/>
      <c r="AC77" s="49">
        <f t="shared" ref="AC77:AC138" si="117">+AB77*$AC$3</f>
        <v>0</v>
      </c>
      <c r="AD77" s="50">
        <f t="shared" ref="AD77:AD138" si="118">+AC77*$AD$3</f>
        <v>0</v>
      </c>
      <c r="AE77" s="49"/>
      <c r="AF77" s="49">
        <f t="shared" ref="AF77:AF138" si="119">+AE77*$AF$3</f>
        <v>0</v>
      </c>
      <c r="AG77" s="50">
        <f t="shared" ref="AG77:AG138" si="120">+AF77*$AG$3</f>
        <v>0</v>
      </c>
      <c r="AH77" s="49">
        <v>8</v>
      </c>
      <c r="AI77" s="49">
        <f t="shared" ref="AI77:AI138" si="121">+AH77*$AI$3</f>
        <v>96</v>
      </c>
      <c r="AJ77" s="50">
        <f t="shared" ref="AJ77:AJ138" si="122">+AI77*$AJ$3</f>
        <v>67.199999999999989</v>
      </c>
      <c r="AK77" s="49">
        <v>25</v>
      </c>
      <c r="AL77" s="49">
        <f t="shared" ref="AL77:AL138" si="123">+AK77*$AL$3</f>
        <v>350</v>
      </c>
      <c r="AM77" s="50">
        <f t="shared" ref="AM77:AM138" si="124">+AL77*$AM$3</f>
        <v>224</v>
      </c>
      <c r="AN77" s="49">
        <v>3</v>
      </c>
      <c r="AO77" s="49">
        <f t="shared" ref="AO77:AO138" si="125">+AN77*$AO$3</f>
        <v>36</v>
      </c>
      <c r="AP77" s="50">
        <f t="shared" ref="AP77:AP138" si="126">+AO77*$AP$3</f>
        <v>25.2</v>
      </c>
      <c r="AQ77" s="49"/>
      <c r="AR77" s="49">
        <f t="shared" ref="AR77:AR138" si="127">+AQ77*$AR$3</f>
        <v>0</v>
      </c>
      <c r="AS77" s="50">
        <f t="shared" ref="AS77:AS138" si="128">+AR77*$AS$3</f>
        <v>0</v>
      </c>
      <c r="AT77" s="49"/>
      <c r="AU77" s="49">
        <f t="shared" ref="AU77:AU138" si="129">+AT77*$AU$3</f>
        <v>0</v>
      </c>
      <c r="AV77" s="50">
        <f t="shared" ref="AV77:AV138" si="130">+AU77*$AV$3</f>
        <v>0</v>
      </c>
      <c r="AW77" s="49">
        <v>221</v>
      </c>
      <c r="AX77" s="49">
        <f t="shared" ref="AX77:AX138" si="131">+AW77*$AX$3</f>
        <v>2652</v>
      </c>
      <c r="AY77" s="50">
        <f t="shared" ref="AY77:AY138" si="132">+AX77*$AY$3</f>
        <v>2652</v>
      </c>
      <c r="AZ77" s="49">
        <v>23</v>
      </c>
      <c r="BA77" s="49">
        <f t="shared" ref="BA77:BA138" si="133">+AZ77*$BA$3</f>
        <v>276</v>
      </c>
      <c r="BB77" s="50">
        <f t="shared" ref="BB77:BB138" si="134">+BA77*$BB$3</f>
        <v>165.6</v>
      </c>
      <c r="BC77" s="49">
        <v>70</v>
      </c>
      <c r="BD77" s="49">
        <f t="shared" ref="BD77:BD138" si="135">+BC77*$BD$3</f>
        <v>2800</v>
      </c>
      <c r="BE77" s="50">
        <f t="shared" ref="BE77:BE138" si="136">+BD77*$BE$3</f>
        <v>979.99999999999989</v>
      </c>
      <c r="BF77" s="49">
        <v>326</v>
      </c>
      <c r="BG77" s="49">
        <f t="shared" ref="BG77:BG138" si="137">+BF77*$BG$3</f>
        <v>3912</v>
      </c>
      <c r="BH77" s="50">
        <f t="shared" ref="BH77:BH138" si="138">+BG77*$BH$3</f>
        <v>3912</v>
      </c>
      <c r="BI77" s="49"/>
      <c r="BJ77" s="49">
        <f t="shared" ref="BJ77:BJ138" si="139">+BI77*$BJ$3</f>
        <v>0</v>
      </c>
      <c r="BK77" s="50">
        <f t="shared" ref="BK77:BK138" si="140">+BJ77*$BK$3</f>
        <v>0</v>
      </c>
      <c r="BL77" s="49">
        <v>83</v>
      </c>
      <c r="BM77" s="49">
        <f t="shared" ref="BM77:BM138" si="141">+BL77*$BM$3</f>
        <v>3320</v>
      </c>
      <c r="BN77" s="50">
        <f t="shared" ref="BN77:BN138" si="142">+BM77*$BN$3</f>
        <v>1162</v>
      </c>
      <c r="BO77" s="49"/>
      <c r="BP77" s="49">
        <f t="shared" ref="BP77:BP138" si="143">+BO77*$BP$3</f>
        <v>0</v>
      </c>
      <c r="BQ77" s="50">
        <f t="shared" ref="BQ77:BQ138" si="144">+BP77*$BQ$3</f>
        <v>0</v>
      </c>
      <c r="BR77" s="49"/>
      <c r="BS77" s="49">
        <f t="shared" ref="BS77:BS138" si="145">+BR77*$BS$3</f>
        <v>0</v>
      </c>
      <c r="BT77" s="50">
        <f t="shared" ref="BT77:BT138" si="146">+BS77*$BT$3</f>
        <v>0</v>
      </c>
      <c r="BU77" s="49"/>
      <c r="BV77" s="49">
        <f t="shared" ref="BV77:BV138" si="147">+BU77*$BV$3</f>
        <v>0</v>
      </c>
      <c r="BW77" s="50">
        <f t="shared" ref="BW77:BW138" si="148">+BV77*$BW$3</f>
        <v>0</v>
      </c>
      <c r="BX77" s="49"/>
      <c r="BY77" s="49">
        <f t="shared" ref="BY77:BY138" si="149">+BX77*$BY$3</f>
        <v>0</v>
      </c>
      <c r="BZ77" s="50">
        <f t="shared" ref="BZ77:BZ138" si="150">+BY77*$BZ$3</f>
        <v>0</v>
      </c>
      <c r="CA77" s="49"/>
      <c r="CB77" s="49">
        <f t="shared" ref="CB77:CB138" si="151">+CA77*$CB$3</f>
        <v>0</v>
      </c>
      <c r="CC77" s="50">
        <f t="shared" ref="CC77:CC138" si="152">+CB77*$CC$3</f>
        <v>0</v>
      </c>
      <c r="CD77" s="49"/>
      <c r="CE77" s="49">
        <f t="shared" ref="CE77:CE138" si="153">+CD77*$CE$3</f>
        <v>0</v>
      </c>
      <c r="CF77" s="50">
        <f t="shared" ref="CF77:CF138" si="154">+CE77*$CF$3</f>
        <v>0</v>
      </c>
      <c r="CG77" s="49"/>
      <c r="CH77" s="49">
        <f t="shared" ref="CH77:CH138" si="155">+CG77*$CH$3</f>
        <v>0</v>
      </c>
      <c r="CI77" s="50">
        <f t="shared" ref="CI77:CI138" si="156">+CH77*$CI$3</f>
        <v>0</v>
      </c>
      <c r="CJ77" s="49"/>
      <c r="CK77" s="49">
        <f t="shared" ref="CK77:CK138" si="157">+CJ77*$CK$3</f>
        <v>0</v>
      </c>
      <c r="CL77" s="50">
        <f t="shared" ref="CL77:CL138" si="158">+CK77*$CL$3</f>
        <v>0</v>
      </c>
      <c r="CM77" s="49">
        <v>0.83333333333333337</v>
      </c>
      <c r="CN77" s="49">
        <f t="shared" ref="CN77:CN138" si="159">+CM77*$CN$3</f>
        <v>10</v>
      </c>
      <c r="CO77" s="50">
        <f t="shared" ref="CO77:CO138" si="160">+CN77*$CO$3</f>
        <v>10</v>
      </c>
      <c r="CP77" s="49"/>
      <c r="CQ77" s="49">
        <f t="shared" ref="CQ77:CQ138" si="161">+CP77*$CQ$3</f>
        <v>0</v>
      </c>
      <c r="CR77" s="50">
        <f t="shared" ref="CR77:CR138" si="162">+CQ77*$CR$3</f>
        <v>0</v>
      </c>
      <c r="CS77" s="49"/>
      <c r="CT77" s="49">
        <f t="shared" ref="CT77:CT138" si="163">+CS77*$CT$3</f>
        <v>0</v>
      </c>
      <c r="CU77" s="50">
        <f t="shared" ref="CU77:CU138" si="164">+CT77*$CU$3</f>
        <v>0</v>
      </c>
      <c r="CV77" s="49"/>
      <c r="CW77" s="49">
        <f t="shared" ref="CW77:CW138" si="165">+CV77*$CW$3</f>
        <v>0</v>
      </c>
      <c r="CX77" s="50">
        <f t="shared" ref="CX77:CX138" si="166">+CW77*$CX$3</f>
        <v>0</v>
      </c>
      <c r="CY77" s="49"/>
      <c r="CZ77" s="49">
        <f t="shared" ref="CZ77:CZ138" si="167">+CY77*$CZ$3</f>
        <v>0</v>
      </c>
      <c r="DA77" s="50">
        <f t="shared" ref="DA77:DA138" si="168">+CZ77*$DA$3</f>
        <v>0</v>
      </c>
      <c r="DB77" s="49"/>
      <c r="DC77" s="49">
        <f t="shared" ref="DC77:DC138" si="169">+DB77*$DC$3</f>
        <v>0</v>
      </c>
      <c r="DD77" s="50">
        <f t="shared" ref="DD77:DD138" si="170">+DC77*$DD$3</f>
        <v>0</v>
      </c>
      <c r="DE77" s="49"/>
      <c r="DF77" s="49">
        <f t="shared" ref="DF77:DF138" si="171">+DE77*$DF$3</f>
        <v>0</v>
      </c>
      <c r="DG77" s="50">
        <f t="shared" ref="DG77:DG138" si="172">+DF77*$DG$3</f>
        <v>0</v>
      </c>
      <c r="DH77" s="49"/>
      <c r="DI77" s="49">
        <f t="shared" ref="DI77:DI138" si="173">+DH77*$DI$3</f>
        <v>0</v>
      </c>
      <c r="DJ77" s="50">
        <f t="shared" ref="DJ77:DJ138" si="174">+DI77*$DJ$3</f>
        <v>0</v>
      </c>
      <c r="DK77" s="49"/>
      <c r="DL77" s="49">
        <f t="shared" ref="DL77:DL138" si="175">+DK77*$DL$3</f>
        <v>0</v>
      </c>
      <c r="DM77" s="50">
        <f t="shared" ref="DM77:DM138" si="176">+DL77*$DM$3</f>
        <v>0</v>
      </c>
      <c r="DN77" s="49"/>
      <c r="DO77" s="49">
        <f t="shared" ref="DO77:DO138" si="177">+DN77*$DO$3</f>
        <v>0</v>
      </c>
      <c r="DP77" s="50">
        <f t="shared" ref="DP77:DP138" si="178">+DO77*$DP$3</f>
        <v>0</v>
      </c>
      <c r="DQ77" s="49"/>
      <c r="DR77" s="49"/>
      <c r="DS77" s="49"/>
      <c r="DT77" s="46">
        <f t="shared" ref="DT77:DV92" si="179">D77+G77+J77+M77+P77+S77+V77+Y77+AB77+AE77+AH77+AK77+AN77+AQ77+AT77+AW77+AZ77+BC77+BF77+BI77+BL77+BO77+BR77+BU77+BX77+CA77+CD77+CG77+CJ77+CM77+CP77+CS77+CV77+CY77+DB77+DE77+DH77+DK77+DN77</f>
        <v>879.83333333333337</v>
      </c>
      <c r="DU77" s="46">
        <f t="shared" si="179"/>
        <v>15132</v>
      </c>
      <c r="DV77" s="46">
        <f t="shared" si="179"/>
        <v>10273.200000000001</v>
      </c>
    </row>
    <row r="78" spans="1:126" x14ac:dyDescent="0.6">
      <c r="A78" s="67"/>
      <c r="B78" s="7" t="s">
        <v>36</v>
      </c>
      <c r="C78" s="39" t="s">
        <v>37</v>
      </c>
      <c r="D78" s="49"/>
      <c r="E78" s="49">
        <f t="shared" si="101"/>
        <v>0</v>
      </c>
      <c r="F78" s="50">
        <f t="shared" si="102"/>
        <v>0</v>
      </c>
      <c r="G78" s="49"/>
      <c r="H78" s="49">
        <f t="shared" si="103"/>
        <v>0</v>
      </c>
      <c r="I78" s="50">
        <f t="shared" si="104"/>
        <v>0</v>
      </c>
      <c r="J78" s="49"/>
      <c r="K78" s="49">
        <f t="shared" si="105"/>
        <v>0</v>
      </c>
      <c r="L78" s="50">
        <f t="shared" si="106"/>
        <v>0</v>
      </c>
      <c r="M78" s="49"/>
      <c r="N78" s="49">
        <f t="shared" si="107"/>
        <v>0</v>
      </c>
      <c r="O78" s="50">
        <f t="shared" si="108"/>
        <v>0</v>
      </c>
      <c r="P78" s="49"/>
      <c r="Q78" s="49">
        <f t="shared" si="109"/>
        <v>0</v>
      </c>
      <c r="R78" s="50">
        <f t="shared" si="110"/>
        <v>0</v>
      </c>
      <c r="S78" s="49"/>
      <c r="T78" s="49">
        <f t="shared" si="111"/>
        <v>0</v>
      </c>
      <c r="U78" s="50">
        <f t="shared" si="112"/>
        <v>0</v>
      </c>
      <c r="V78" s="49"/>
      <c r="W78" s="49">
        <f t="shared" si="113"/>
        <v>0</v>
      </c>
      <c r="X78" s="50">
        <f t="shared" si="114"/>
        <v>0</v>
      </c>
      <c r="Y78" s="49"/>
      <c r="Z78" s="49">
        <f t="shared" si="115"/>
        <v>0</v>
      </c>
      <c r="AA78" s="50">
        <f t="shared" si="116"/>
        <v>0</v>
      </c>
      <c r="AB78" s="49"/>
      <c r="AC78" s="49">
        <f t="shared" si="117"/>
        <v>0</v>
      </c>
      <c r="AD78" s="50">
        <f t="shared" si="118"/>
        <v>0</v>
      </c>
      <c r="AE78" s="49"/>
      <c r="AF78" s="49">
        <f t="shared" si="119"/>
        <v>0</v>
      </c>
      <c r="AG78" s="50">
        <f t="shared" si="120"/>
        <v>0</v>
      </c>
      <c r="AH78" s="49"/>
      <c r="AI78" s="49">
        <f t="shared" si="121"/>
        <v>0</v>
      </c>
      <c r="AJ78" s="50">
        <f t="shared" si="122"/>
        <v>0</v>
      </c>
      <c r="AK78" s="49"/>
      <c r="AL78" s="49">
        <f t="shared" si="123"/>
        <v>0</v>
      </c>
      <c r="AM78" s="50">
        <f t="shared" si="124"/>
        <v>0</v>
      </c>
      <c r="AN78" s="49"/>
      <c r="AO78" s="49">
        <f t="shared" si="125"/>
        <v>0</v>
      </c>
      <c r="AP78" s="50">
        <f t="shared" si="126"/>
        <v>0</v>
      </c>
      <c r="AQ78" s="49"/>
      <c r="AR78" s="49">
        <f t="shared" si="127"/>
        <v>0</v>
      </c>
      <c r="AS78" s="50">
        <f t="shared" si="128"/>
        <v>0</v>
      </c>
      <c r="AT78" s="49"/>
      <c r="AU78" s="49">
        <f t="shared" si="129"/>
        <v>0</v>
      </c>
      <c r="AV78" s="50">
        <f t="shared" si="130"/>
        <v>0</v>
      </c>
      <c r="AW78" s="49"/>
      <c r="AX78" s="49">
        <f t="shared" si="131"/>
        <v>0</v>
      </c>
      <c r="AY78" s="50">
        <f t="shared" si="132"/>
        <v>0</v>
      </c>
      <c r="AZ78" s="49"/>
      <c r="BA78" s="49">
        <f t="shared" si="133"/>
        <v>0</v>
      </c>
      <c r="BB78" s="50">
        <f t="shared" si="134"/>
        <v>0</v>
      </c>
      <c r="BC78" s="49"/>
      <c r="BD78" s="49">
        <f t="shared" si="135"/>
        <v>0</v>
      </c>
      <c r="BE78" s="50">
        <f t="shared" si="136"/>
        <v>0</v>
      </c>
      <c r="BF78" s="49"/>
      <c r="BG78" s="49">
        <f t="shared" si="137"/>
        <v>0</v>
      </c>
      <c r="BH78" s="50">
        <f t="shared" si="138"/>
        <v>0</v>
      </c>
      <c r="BI78" s="49"/>
      <c r="BJ78" s="49">
        <f t="shared" si="139"/>
        <v>0</v>
      </c>
      <c r="BK78" s="50">
        <f t="shared" si="140"/>
        <v>0</v>
      </c>
      <c r="BL78" s="49"/>
      <c r="BM78" s="49">
        <f t="shared" si="141"/>
        <v>0</v>
      </c>
      <c r="BN78" s="50">
        <f t="shared" si="142"/>
        <v>0</v>
      </c>
      <c r="BO78" s="49"/>
      <c r="BP78" s="49">
        <f t="shared" si="143"/>
        <v>0</v>
      </c>
      <c r="BQ78" s="50">
        <f t="shared" si="144"/>
        <v>0</v>
      </c>
      <c r="BR78" s="49"/>
      <c r="BS78" s="49">
        <f t="shared" si="145"/>
        <v>0</v>
      </c>
      <c r="BT78" s="50">
        <f t="shared" si="146"/>
        <v>0</v>
      </c>
      <c r="BU78" s="49"/>
      <c r="BV78" s="49">
        <f t="shared" si="147"/>
        <v>0</v>
      </c>
      <c r="BW78" s="50">
        <f t="shared" si="148"/>
        <v>0</v>
      </c>
      <c r="BX78" s="49"/>
      <c r="BY78" s="49">
        <f t="shared" si="149"/>
        <v>0</v>
      </c>
      <c r="BZ78" s="50">
        <f t="shared" si="150"/>
        <v>0</v>
      </c>
      <c r="CA78" s="49"/>
      <c r="CB78" s="49">
        <f t="shared" si="151"/>
        <v>0</v>
      </c>
      <c r="CC78" s="50">
        <f t="shared" si="152"/>
        <v>0</v>
      </c>
      <c r="CD78" s="49"/>
      <c r="CE78" s="49">
        <f t="shared" si="153"/>
        <v>0</v>
      </c>
      <c r="CF78" s="50">
        <f t="shared" si="154"/>
        <v>0</v>
      </c>
      <c r="CG78" s="49"/>
      <c r="CH78" s="49">
        <f t="shared" si="155"/>
        <v>0</v>
      </c>
      <c r="CI78" s="50">
        <f t="shared" si="156"/>
        <v>0</v>
      </c>
      <c r="CJ78" s="49"/>
      <c r="CK78" s="49">
        <f t="shared" si="157"/>
        <v>0</v>
      </c>
      <c r="CL78" s="50">
        <f t="shared" si="158"/>
        <v>0</v>
      </c>
      <c r="CM78" s="49"/>
      <c r="CN78" s="49">
        <f t="shared" si="159"/>
        <v>0</v>
      </c>
      <c r="CO78" s="50">
        <f t="shared" si="160"/>
        <v>0</v>
      </c>
      <c r="CP78" s="49"/>
      <c r="CQ78" s="49">
        <f t="shared" si="161"/>
        <v>0</v>
      </c>
      <c r="CR78" s="50">
        <f t="shared" si="162"/>
        <v>0</v>
      </c>
      <c r="CS78" s="49"/>
      <c r="CT78" s="49">
        <f t="shared" si="163"/>
        <v>0</v>
      </c>
      <c r="CU78" s="50">
        <f t="shared" si="164"/>
        <v>0</v>
      </c>
      <c r="CV78" s="49"/>
      <c r="CW78" s="49">
        <f t="shared" si="165"/>
        <v>0</v>
      </c>
      <c r="CX78" s="50">
        <f t="shared" si="166"/>
        <v>0</v>
      </c>
      <c r="CY78" s="49"/>
      <c r="CZ78" s="49">
        <f t="shared" si="167"/>
        <v>0</v>
      </c>
      <c r="DA78" s="50">
        <f t="shared" si="168"/>
        <v>0</v>
      </c>
      <c r="DB78" s="49"/>
      <c r="DC78" s="49">
        <f t="shared" si="169"/>
        <v>0</v>
      </c>
      <c r="DD78" s="50">
        <f t="shared" si="170"/>
        <v>0</v>
      </c>
      <c r="DE78" s="49"/>
      <c r="DF78" s="49">
        <f t="shared" si="171"/>
        <v>0</v>
      </c>
      <c r="DG78" s="50">
        <f t="shared" si="172"/>
        <v>0</v>
      </c>
      <c r="DH78" s="49"/>
      <c r="DI78" s="49">
        <f t="shared" si="173"/>
        <v>0</v>
      </c>
      <c r="DJ78" s="50">
        <f t="shared" si="174"/>
        <v>0</v>
      </c>
      <c r="DK78" s="49"/>
      <c r="DL78" s="49">
        <f t="shared" si="175"/>
        <v>0</v>
      </c>
      <c r="DM78" s="50">
        <f t="shared" si="176"/>
        <v>0</v>
      </c>
      <c r="DN78" s="49"/>
      <c r="DO78" s="49">
        <f t="shared" si="177"/>
        <v>0</v>
      </c>
      <c r="DP78" s="50">
        <f t="shared" si="178"/>
        <v>0</v>
      </c>
      <c r="DQ78" s="49"/>
      <c r="DR78" s="49"/>
      <c r="DS78" s="49"/>
      <c r="DT78" s="46">
        <f t="shared" si="179"/>
        <v>0</v>
      </c>
      <c r="DU78" s="46">
        <f t="shared" si="179"/>
        <v>0</v>
      </c>
      <c r="DV78" s="46">
        <f t="shared" si="179"/>
        <v>0</v>
      </c>
    </row>
    <row r="79" spans="1:126" x14ac:dyDescent="0.6">
      <c r="A79" s="67"/>
      <c r="B79" s="7" t="s">
        <v>38</v>
      </c>
      <c r="C79" s="68" t="s">
        <v>39</v>
      </c>
      <c r="D79" s="49">
        <v>8</v>
      </c>
      <c r="E79" s="49">
        <f t="shared" si="101"/>
        <v>112</v>
      </c>
      <c r="F79" s="50">
        <f t="shared" si="102"/>
        <v>71.680000000000007</v>
      </c>
      <c r="G79" s="49"/>
      <c r="H79" s="49">
        <f t="shared" si="103"/>
        <v>0</v>
      </c>
      <c r="I79" s="50">
        <f t="shared" si="104"/>
        <v>0</v>
      </c>
      <c r="J79" s="49"/>
      <c r="K79" s="49">
        <f t="shared" si="105"/>
        <v>0</v>
      </c>
      <c r="L79" s="50">
        <f t="shared" si="106"/>
        <v>0</v>
      </c>
      <c r="M79" s="49">
        <v>8</v>
      </c>
      <c r="N79" s="49">
        <f t="shared" si="107"/>
        <v>112</v>
      </c>
      <c r="O79" s="50">
        <f t="shared" si="108"/>
        <v>71.680000000000007</v>
      </c>
      <c r="P79" s="49"/>
      <c r="Q79" s="49">
        <f t="shared" si="109"/>
        <v>0</v>
      </c>
      <c r="R79" s="50">
        <f t="shared" si="110"/>
        <v>0</v>
      </c>
      <c r="S79" s="49">
        <v>12</v>
      </c>
      <c r="T79" s="49">
        <f t="shared" si="111"/>
        <v>168</v>
      </c>
      <c r="U79" s="50">
        <f t="shared" si="112"/>
        <v>107.52</v>
      </c>
      <c r="V79" s="49">
        <v>2</v>
      </c>
      <c r="W79" s="49">
        <f t="shared" si="113"/>
        <v>28</v>
      </c>
      <c r="X79" s="50">
        <f t="shared" si="114"/>
        <v>17.920000000000002</v>
      </c>
      <c r="Y79" s="49"/>
      <c r="Z79" s="49">
        <f t="shared" si="115"/>
        <v>0</v>
      </c>
      <c r="AA79" s="50">
        <f t="shared" si="116"/>
        <v>0</v>
      </c>
      <c r="AB79" s="49"/>
      <c r="AC79" s="49">
        <f t="shared" si="117"/>
        <v>0</v>
      </c>
      <c r="AD79" s="50">
        <f t="shared" si="118"/>
        <v>0</v>
      </c>
      <c r="AE79" s="49"/>
      <c r="AF79" s="49">
        <f t="shared" si="119"/>
        <v>0</v>
      </c>
      <c r="AG79" s="50">
        <f t="shared" si="120"/>
        <v>0</v>
      </c>
      <c r="AH79" s="49">
        <v>4</v>
      </c>
      <c r="AI79" s="49">
        <f t="shared" si="121"/>
        <v>48</v>
      </c>
      <c r="AJ79" s="50">
        <f t="shared" si="122"/>
        <v>33.599999999999994</v>
      </c>
      <c r="AK79" s="49"/>
      <c r="AL79" s="49">
        <f t="shared" si="123"/>
        <v>0</v>
      </c>
      <c r="AM79" s="50">
        <f t="shared" si="124"/>
        <v>0</v>
      </c>
      <c r="AN79" s="49">
        <v>0.5</v>
      </c>
      <c r="AO79" s="49">
        <f t="shared" si="125"/>
        <v>6</v>
      </c>
      <c r="AP79" s="50">
        <f t="shared" si="126"/>
        <v>4.1999999999999993</v>
      </c>
      <c r="AQ79" s="49">
        <v>1</v>
      </c>
      <c r="AR79" s="49">
        <f t="shared" si="127"/>
        <v>24</v>
      </c>
      <c r="AS79" s="50">
        <f t="shared" si="128"/>
        <v>8.3999999999999986</v>
      </c>
      <c r="AT79" s="49"/>
      <c r="AU79" s="49">
        <f t="shared" si="129"/>
        <v>0</v>
      </c>
      <c r="AV79" s="50">
        <f t="shared" si="130"/>
        <v>0</v>
      </c>
      <c r="AW79" s="49">
        <v>150</v>
      </c>
      <c r="AX79" s="49">
        <f t="shared" si="131"/>
        <v>1800</v>
      </c>
      <c r="AY79" s="50">
        <f t="shared" si="132"/>
        <v>1800</v>
      </c>
      <c r="AZ79" s="49">
        <v>13</v>
      </c>
      <c r="BA79" s="49">
        <f t="shared" si="133"/>
        <v>156</v>
      </c>
      <c r="BB79" s="50">
        <f t="shared" si="134"/>
        <v>93.6</v>
      </c>
      <c r="BC79" s="49">
        <v>26</v>
      </c>
      <c r="BD79" s="49">
        <f t="shared" si="135"/>
        <v>1040</v>
      </c>
      <c r="BE79" s="50">
        <f t="shared" si="136"/>
        <v>364</v>
      </c>
      <c r="BF79" s="49">
        <v>785</v>
      </c>
      <c r="BG79" s="49">
        <f t="shared" si="137"/>
        <v>9420</v>
      </c>
      <c r="BH79" s="50">
        <f t="shared" si="138"/>
        <v>9420</v>
      </c>
      <c r="BI79" s="49"/>
      <c r="BJ79" s="49">
        <f t="shared" si="139"/>
        <v>0</v>
      </c>
      <c r="BK79" s="50">
        <f t="shared" si="140"/>
        <v>0</v>
      </c>
      <c r="BL79" s="49">
        <v>43</v>
      </c>
      <c r="BM79" s="49">
        <f t="shared" si="141"/>
        <v>1720</v>
      </c>
      <c r="BN79" s="50">
        <f t="shared" si="142"/>
        <v>602</v>
      </c>
      <c r="BO79" s="49"/>
      <c r="BP79" s="49">
        <f t="shared" si="143"/>
        <v>0</v>
      </c>
      <c r="BQ79" s="50">
        <f t="shared" si="144"/>
        <v>0</v>
      </c>
      <c r="BR79" s="49"/>
      <c r="BS79" s="49">
        <f t="shared" si="145"/>
        <v>0</v>
      </c>
      <c r="BT79" s="50">
        <f t="shared" si="146"/>
        <v>0</v>
      </c>
      <c r="BU79" s="49"/>
      <c r="BV79" s="49">
        <f t="shared" si="147"/>
        <v>0</v>
      </c>
      <c r="BW79" s="50">
        <f t="shared" si="148"/>
        <v>0</v>
      </c>
      <c r="BX79" s="49"/>
      <c r="BY79" s="49">
        <f t="shared" si="149"/>
        <v>0</v>
      </c>
      <c r="BZ79" s="50">
        <f t="shared" si="150"/>
        <v>0</v>
      </c>
      <c r="CA79" s="49"/>
      <c r="CB79" s="49">
        <f t="shared" si="151"/>
        <v>0</v>
      </c>
      <c r="CC79" s="50">
        <f t="shared" si="152"/>
        <v>0</v>
      </c>
      <c r="CD79" s="49"/>
      <c r="CE79" s="49">
        <f t="shared" si="153"/>
        <v>0</v>
      </c>
      <c r="CF79" s="50">
        <f t="shared" si="154"/>
        <v>0</v>
      </c>
      <c r="CG79" s="49"/>
      <c r="CH79" s="49">
        <f t="shared" si="155"/>
        <v>0</v>
      </c>
      <c r="CI79" s="50">
        <f t="shared" si="156"/>
        <v>0</v>
      </c>
      <c r="CJ79" s="49"/>
      <c r="CK79" s="49">
        <f t="shared" si="157"/>
        <v>0</v>
      </c>
      <c r="CL79" s="50">
        <f t="shared" si="158"/>
        <v>0</v>
      </c>
      <c r="CM79" s="49">
        <v>5</v>
      </c>
      <c r="CN79" s="49">
        <f t="shared" si="159"/>
        <v>60</v>
      </c>
      <c r="CO79" s="50">
        <f t="shared" si="160"/>
        <v>60</v>
      </c>
      <c r="CP79" s="49"/>
      <c r="CQ79" s="49">
        <f t="shared" si="161"/>
        <v>0</v>
      </c>
      <c r="CR79" s="50">
        <f t="shared" si="162"/>
        <v>0</v>
      </c>
      <c r="CS79" s="49"/>
      <c r="CT79" s="49">
        <f t="shared" si="163"/>
        <v>0</v>
      </c>
      <c r="CU79" s="50">
        <f t="shared" si="164"/>
        <v>0</v>
      </c>
      <c r="CV79" s="49"/>
      <c r="CW79" s="49">
        <f t="shared" si="165"/>
        <v>0</v>
      </c>
      <c r="CX79" s="50">
        <f t="shared" si="166"/>
        <v>0</v>
      </c>
      <c r="CY79" s="49"/>
      <c r="CZ79" s="49">
        <f t="shared" si="167"/>
        <v>0</v>
      </c>
      <c r="DA79" s="50">
        <f t="shared" si="168"/>
        <v>0</v>
      </c>
      <c r="DB79" s="49"/>
      <c r="DC79" s="49">
        <f t="shared" si="169"/>
        <v>0</v>
      </c>
      <c r="DD79" s="50">
        <f t="shared" si="170"/>
        <v>0</v>
      </c>
      <c r="DE79" s="49"/>
      <c r="DF79" s="49">
        <f t="shared" si="171"/>
        <v>0</v>
      </c>
      <c r="DG79" s="50">
        <f t="shared" si="172"/>
        <v>0</v>
      </c>
      <c r="DH79" s="49"/>
      <c r="DI79" s="49">
        <f t="shared" si="173"/>
        <v>0</v>
      </c>
      <c r="DJ79" s="50">
        <f t="shared" si="174"/>
        <v>0</v>
      </c>
      <c r="DK79" s="49">
        <v>2</v>
      </c>
      <c r="DL79" s="49">
        <f t="shared" si="175"/>
        <v>24</v>
      </c>
      <c r="DM79" s="50">
        <f t="shared" si="176"/>
        <v>16.32</v>
      </c>
      <c r="DN79" s="49">
        <v>1</v>
      </c>
      <c r="DO79" s="49">
        <f t="shared" si="177"/>
        <v>12</v>
      </c>
      <c r="DP79" s="50">
        <f t="shared" si="178"/>
        <v>12</v>
      </c>
      <c r="DQ79" s="49"/>
      <c r="DR79" s="49"/>
      <c r="DS79" s="49"/>
      <c r="DT79" s="46">
        <f t="shared" si="179"/>
        <v>1060.5</v>
      </c>
      <c r="DU79" s="46">
        <f t="shared" si="179"/>
        <v>14730</v>
      </c>
      <c r="DV79" s="46">
        <f t="shared" si="179"/>
        <v>12682.92</v>
      </c>
    </row>
    <row r="80" spans="1:126" x14ac:dyDescent="0.6">
      <c r="A80" s="67"/>
      <c r="B80" s="7" t="s">
        <v>40</v>
      </c>
      <c r="C80" s="70"/>
      <c r="D80" s="49">
        <v>14</v>
      </c>
      <c r="E80" s="49">
        <f t="shared" si="101"/>
        <v>196</v>
      </c>
      <c r="F80" s="50">
        <f t="shared" si="102"/>
        <v>125.44</v>
      </c>
      <c r="G80" s="49"/>
      <c r="H80" s="49">
        <f t="shared" si="103"/>
        <v>0</v>
      </c>
      <c r="I80" s="50">
        <f t="shared" si="104"/>
        <v>0</v>
      </c>
      <c r="J80" s="49"/>
      <c r="K80" s="49">
        <f t="shared" si="105"/>
        <v>0</v>
      </c>
      <c r="L80" s="50">
        <f t="shared" si="106"/>
        <v>0</v>
      </c>
      <c r="M80" s="49"/>
      <c r="N80" s="49">
        <f t="shared" si="107"/>
        <v>0</v>
      </c>
      <c r="O80" s="50">
        <f t="shared" si="108"/>
        <v>0</v>
      </c>
      <c r="P80" s="49"/>
      <c r="Q80" s="49">
        <f t="shared" si="109"/>
        <v>0</v>
      </c>
      <c r="R80" s="50">
        <f t="shared" si="110"/>
        <v>0</v>
      </c>
      <c r="S80" s="49">
        <v>7</v>
      </c>
      <c r="T80" s="49">
        <f t="shared" si="111"/>
        <v>98</v>
      </c>
      <c r="U80" s="50">
        <f t="shared" si="112"/>
        <v>62.72</v>
      </c>
      <c r="V80" s="49"/>
      <c r="W80" s="49">
        <f t="shared" si="113"/>
        <v>0</v>
      </c>
      <c r="X80" s="50">
        <f t="shared" si="114"/>
        <v>0</v>
      </c>
      <c r="Y80" s="49"/>
      <c r="Z80" s="49">
        <f t="shared" si="115"/>
        <v>0</v>
      </c>
      <c r="AA80" s="50">
        <f t="shared" si="116"/>
        <v>0</v>
      </c>
      <c r="AB80" s="49"/>
      <c r="AC80" s="49">
        <f t="shared" si="117"/>
        <v>0</v>
      </c>
      <c r="AD80" s="50">
        <f t="shared" si="118"/>
        <v>0</v>
      </c>
      <c r="AE80" s="49"/>
      <c r="AF80" s="49">
        <f t="shared" si="119"/>
        <v>0</v>
      </c>
      <c r="AG80" s="50">
        <f t="shared" si="120"/>
        <v>0</v>
      </c>
      <c r="AH80" s="49"/>
      <c r="AI80" s="49">
        <f t="shared" si="121"/>
        <v>0</v>
      </c>
      <c r="AJ80" s="50">
        <f t="shared" si="122"/>
        <v>0</v>
      </c>
      <c r="AK80" s="49"/>
      <c r="AL80" s="49">
        <f t="shared" si="123"/>
        <v>0</v>
      </c>
      <c r="AM80" s="50">
        <f t="shared" si="124"/>
        <v>0</v>
      </c>
      <c r="AN80" s="49">
        <v>0.25</v>
      </c>
      <c r="AO80" s="49">
        <f t="shared" si="125"/>
        <v>3</v>
      </c>
      <c r="AP80" s="50">
        <f t="shared" si="126"/>
        <v>2.0999999999999996</v>
      </c>
      <c r="AQ80" s="49"/>
      <c r="AR80" s="49">
        <f t="shared" si="127"/>
        <v>0</v>
      </c>
      <c r="AS80" s="50">
        <f t="shared" si="128"/>
        <v>0</v>
      </c>
      <c r="AT80" s="49"/>
      <c r="AU80" s="49">
        <f t="shared" si="129"/>
        <v>0</v>
      </c>
      <c r="AV80" s="50">
        <f t="shared" si="130"/>
        <v>0</v>
      </c>
      <c r="AW80" s="49">
        <v>119</v>
      </c>
      <c r="AX80" s="49">
        <f t="shared" si="131"/>
        <v>1428</v>
      </c>
      <c r="AY80" s="50">
        <f t="shared" si="132"/>
        <v>1428</v>
      </c>
      <c r="AZ80" s="49">
        <v>12</v>
      </c>
      <c r="BA80" s="49">
        <f t="shared" si="133"/>
        <v>144</v>
      </c>
      <c r="BB80" s="50">
        <f t="shared" si="134"/>
        <v>86.399999999999991</v>
      </c>
      <c r="BC80" s="49">
        <v>46</v>
      </c>
      <c r="BD80" s="49">
        <f t="shared" si="135"/>
        <v>1840</v>
      </c>
      <c r="BE80" s="50">
        <f t="shared" si="136"/>
        <v>644</v>
      </c>
      <c r="BF80" s="49">
        <v>37</v>
      </c>
      <c r="BG80" s="49">
        <f t="shared" si="137"/>
        <v>444</v>
      </c>
      <c r="BH80" s="50">
        <f t="shared" si="138"/>
        <v>444</v>
      </c>
      <c r="BI80" s="49"/>
      <c r="BJ80" s="49">
        <f t="shared" si="139"/>
        <v>0</v>
      </c>
      <c r="BK80" s="50">
        <f t="shared" si="140"/>
        <v>0</v>
      </c>
      <c r="BL80" s="49">
        <v>28</v>
      </c>
      <c r="BM80" s="49">
        <f t="shared" si="141"/>
        <v>1120</v>
      </c>
      <c r="BN80" s="50">
        <f t="shared" si="142"/>
        <v>392</v>
      </c>
      <c r="BO80" s="49"/>
      <c r="BP80" s="49">
        <f t="shared" si="143"/>
        <v>0</v>
      </c>
      <c r="BQ80" s="50">
        <f t="shared" si="144"/>
        <v>0</v>
      </c>
      <c r="BR80" s="49"/>
      <c r="BS80" s="49">
        <f t="shared" si="145"/>
        <v>0</v>
      </c>
      <c r="BT80" s="50">
        <f t="shared" si="146"/>
        <v>0</v>
      </c>
      <c r="BU80" s="49"/>
      <c r="BV80" s="49">
        <f t="shared" si="147"/>
        <v>0</v>
      </c>
      <c r="BW80" s="50">
        <f t="shared" si="148"/>
        <v>0</v>
      </c>
      <c r="BX80" s="49"/>
      <c r="BY80" s="49">
        <f t="shared" si="149"/>
        <v>0</v>
      </c>
      <c r="BZ80" s="50">
        <f t="shared" si="150"/>
        <v>0</v>
      </c>
      <c r="CA80" s="49"/>
      <c r="CB80" s="49">
        <f t="shared" si="151"/>
        <v>0</v>
      </c>
      <c r="CC80" s="50">
        <f t="shared" si="152"/>
        <v>0</v>
      </c>
      <c r="CD80" s="49"/>
      <c r="CE80" s="49">
        <f t="shared" si="153"/>
        <v>0</v>
      </c>
      <c r="CF80" s="50">
        <f t="shared" si="154"/>
        <v>0</v>
      </c>
      <c r="CG80" s="49"/>
      <c r="CH80" s="49">
        <f t="shared" si="155"/>
        <v>0</v>
      </c>
      <c r="CI80" s="50">
        <f t="shared" si="156"/>
        <v>0</v>
      </c>
      <c r="CJ80" s="49"/>
      <c r="CK80" s="49">
        <f t="shared" si="157"/>
        <v>0</v>
      </c>
      <c r="CL80" s="50">
        <f t="shared" si="158"/>
        <v>0</v>
      </c>
      <c r="CM80" s="49">
        <v>9</v>
      </c>
      <c r="CN80" s="49">
        <f t="shared" si="159"/>
        <v>108</v>
      </c>
      <c r="CO80" s="50">
        <f t="shared" si="160"/>
        <v>108</v>
      </c>
      <c r="CP80" s="49"/>
      <c r="CQ80" s="49">
        <f t="shared" si="161"/>
        <v>0</v>
      </c>
      <c r="CR80" s="50">
        <f t="shared" si="162"/>
        <v>0</v>
      </c>
      <c r="CS80" s="49"/>
      <c r="CT80" s="49">
        <f t="shared" si="163"/>
        <v>0</v>
      </c>
      <c r="CU80" s="50">
        <f t="shared" si="164"/>
        <v>0</v>
      </c>
      <c r="CV80" s="49"/>
      <c r="CW80" s="49">
        <f t="shared" si="165"/>
        <v>0</v>
      </c>
      <c r="CX80" s="50">
        <f t="shared" si="166"/>
        <v>0</v>
      </c>
      <c r="CY80" s="49"/>
      <c r="CZ80" s="49">
        <f t="shared" si="167"/>
        <v>0</v>
      </c>
      <c r="DA80" s="50">
        <f t="shared" si="168"/>
        <v>0</v>
      </c>
      <c r="DB80" s="49"/>
      <c r="DC80" s="49">
        <f t="shared" si="169"/>
        <v>0</v>
      </c>
      <c r="DD80" s="50">
        <f t="shared" si="170"/>
        <v>0</v>
      </c>
      <c r="DE80" s="49"/>
      <c r="DF80" s="49">
        <f t="shared" si="171"/>
        <v>0</v>
      </c>
      <c r="DG80" s="50">
        <f t="shared" si="172"/>
        <v>0</v>
      </c>
      <c r="DH80" s="49"/>
      <c r="DI80" s="49">
        <f t="shared" si="173"/>
        <v>0</v>
      </c>
      <c r="DJ80" s="50">
        <f t="shared" si="174"/>
        <v>0</v>
      </c>
      <c r="DK80" s="49">
        <v>2.6666666666666665</v>
      </c>
      <c r="DL80" s="49">
        <f t="shared" si="175"/>
        <v>32</v>
      </c>
      <c r="DM80" s="50">
        <f t="shared" si="176"/>
        <v>21.76</v>
      </c>
      <c r="DN80" s="49">
        <v>6</v>
      </c>
      <c r="DO80" s="49">
        <f t="shared" si="177"/>
        <v>72</v>
      </c>
      <c r="DP80" s="50">
        <f t="shared" si="178"/>
        <v>72</v>
      </c>
      <c r="DQ80" s="49"/>
      <c r="DR80" s="49"/>
      <c r="DS80" s="49"/>
      <c r="DT80" s="46">
        <f t="shared" si="179"/>
        <v>280.91666666666669</v>
      </c>
      <c r="DU80" s="46">
        <f t="shared" si="179"/>
        <v>5485</v>
      </c>
      <c r="DV80" s="46">
        <f t="shared" si="179"/>
        <v>3386.42</v>
      </c>
    </row>
    <row r="81" spans="1:126" x14ac:dyDescent="0.6">
      <c r="A81" s="67"/>
      <c r="B81" s="9" t="s">
        <v>34</v>
      </c>
      <c r="C81" s="10" t="s">
        <v>41</v>
      </c>
      <c r="D81" s="51">
        <v>2350</v>
      </c>
      <c r="E81" s="49">
        <f t="shared" si="101"/>
        <v>32900</v>
      </c>
      <c r="F81" s="50">
        <f t="shared" si="102"/>
        <v>21056</v>
      </c>
      <c r="G81" s="51"/>
      <c r="H81" s="49">
        <f t="shared" si="103"/>
        <v>0</v>
      </c>
      <c r="I81" s="50">
        <f t="shared" si="104"/>
        <v>0</v>
      </c>
      <c r="J81" s="51"/>
      <c r="K81" s="49">
        <f t="shared" si="105"/>
        <v>0</v>
      </c>
      <c r="L81" s="50">
        <f t="shared" si="106"/>
        <v>0</v>
      </c>
      <c r="M81" s="51">
        <v>100</v>
      </c>
      <c r="N81" s="49">
        <f t="shared" si="107"/>
        <v>1400</v>
      </c>
      <c r="O81" s="50">
        <f t="shared" si="108"/>
        <v>896</v>
      </c>
      <c r="P81" s="51"/>
      <c r="Q81" s="49">
        <f t="shared" si="109"/>
        <v>0</v>
      </c>
      <c r="R81" s="50">
        <f t="shared" si="110"/>
        <v>0</v>
      </c>
      <c r="S81" s="51"/>
      <c r="T81" s="49">
        <f t="shared" si="111"/>
        <v>0</v>
      </c>
      <c r="U81" s="50">
        <f t="shared" si="112"/>
        <v>0</v>
      </c>
      <c r="V81" s="51">
        <v>500</v>
      </c>
      <c r="W81" s="49">
        <f t="shared" si="113"/>
        <v>7000</v>
      </c>
      <c r="X81" s="50">
        <f t="shared" si="114"/>
        <v>4480</v>
      </c>
      <c r="Y81" s="51"/>
      <c r="Z81" s="49">
        <f t="shared" si="115"/>
        <v>0</v>
      </c>
      <c r="AA81" s="50">
        <f t="shared" si="116"/>
        <v>0</v>
      </c>
      <c r="AB81" s="51"/>
      <c r="AC81" s="49">
        <f t="shared" si="117"/>
        <v>0</v>
      </c>
      <c r="AD81" s="50">
        <f t="shared" si="118"/>
        <v>0</v>
      </c>
      <c r="AE81" s="51"/>
      <c r="AF81" s="49">
        <f t="shared" si="119"/>
        <v>0</v>
      </c>
      <c r="AG81" s="50">
        <f t="shared" si="120"/>
        <v>0</v>
      </c>
      <c r="AH81" s="51">
        <v>32</v>
      </c>
      <c r="AI81" s="49">
        <f t="shared" si="121"/>
        <v>384</v>
      </c>
      <c r="AJ81" s="50">
        <f t="shared" si="122"/>
        <v>268.79999999999995</v>
      </c>
      <c r="AK81" s="51"/>
      <c r="AL81" s="49">
        <f t="shared" si="123"/>
        <v>0</v>
      </c>
      <c r="AM81" s="50">
        <f t="shared" si="124"/>
        <v>0</v>
      </c>
      <c r="AN81" s="51"/>
      <c r="AO81" s="49">
        <f t="shared" si="125"/>
        <v>0</v>
      </c>
      <c r="AP81" s="50">
        <f t="shared" si="126"/>
        <v>0</v>
      </c>
      <c r="AQ81" s="51"/>
      <c r="AR81" s="49">
        <f t="shared" si="127"/>
        <v>0</v>
      </c>
      <c r="AS81" s="50">
        <f t="shared" si="128"/>
        <v>0</v>
      </c>
      <c r="AT81" s="51"/>
      <c r="AU81" s="49">
        <f t="shared" si="129"/>
        <v>0</v>
      </c>
      <c r="AV81" s="50">
        <f t="shared" si="130"/>
        <v>0</v>
      </c>
      <c r="AW81" s="51">
        <v>5540</v>
      </c>
      <c r="AX81" s="49">
        <f t="shared" si="131"/>
        <v>66480</v>
      </c>
      <c r="AY81" s="50">
        <f t="shared" si="132"/>
        <v>66480</v>
      </c>
      <c r="AZ81" s="51">
        <v>1135</v>
      </c>
      <c r="BA81" s="49">
        <f t="shared" si="133"/>
        <v>13620</v>
      </c>
      <c r="BB81" s="50">
        <f t="shared" si="134"/>
        <v>8172</v>
      </c>
      <c r="BC81" s="51">
        <v>865</v>
      </c>
      <c r="BD81" s="49">
        <f t="shared" si="135"/>
        <v>34600</v>
      </c>
      <c r="BE81" s="50">
        <f t="shared" si="136"/>
        <v>12110</v>
      </c>
      <c r="BF81" s="51">
        <v>1110</v>
      </c>
      <c r="BG81" s="49">
        <f t="shared" si="137"/>
        <v>13320</v>
      </c>
      <c r="BH81" s="50">
        <f t="shared" si="138"/>
        <v>13320</v>
      </c>
      <c r="BI81" s="51"/>
      <c r="BJ81" s="49">
        <f t="shared" si="139"/>
        <v>0</v>
      </c>
      <c r="BK81" s="50">
        <f t="shared" si="140"/>
        <v>0</v>
      </c>
      <c r="BL81" s="51">
        <v>225</v>
      </c>
      <c r="BM81" s="49">
        <f t="shared" si="141"/>
        <v>9000</v>
      </c>
      <c r="BN81" s="50">
        <f t="shared" si="142"/>
        <v>3150</v>
      </c>
      <c r="BO81" s="51"/>
      <c r="BP81" s="49">
        <f t="shared" si="143"/>
        <v>0</v>
      </c>
      <c r="BQ81" s="50">
        <f t="shared" si="144"/>
        <v>0</v>
      </c>
      <c r="BR81" s="51"/>
      <c r="BS81" s="49">
        <f t="shared" si="145"/>
        <v>0</v>
      </c>
      <c r="BT81" s="50">
        <f t="shared" si="146"/>
        <v>0</v>
      </c>
      <c r="BU81" s="51"/>
      <c r="BV81" s="49">
        <f t="shared" si="147"/>
        <v>0</v>
      </c>
      <c r="BW81" s="50">
        <f t="shared" si="148"/>
        <v>0</v>
      </c>
      <c r="BX81" s="51"/>
      <c r="BY81" s="49">
        <f t="shared" si="149"/>
        <v>0</v>
      </c>
      <c r="BZ81" s="50">
        <f t="shared" si="150"/>
        <v>0</v>
      </c>
      <c r="CA81" s="51"/>
      <c r="CB81" s="49">
        <f t="shared" si="151"/>
        <v>0</v>
      </c>
      <c r="CC81" s="50">
        <f t="shared" si="152"/>
        <v>0</v>
      </c>
      <c r="CD81" s="51"/>
      <c r="CE81" s="49">
        <f t="shared" si="153"/>
        <v>0</v>
      </c>
      <c r="CF81" s="50">
        <f t="shared" si="154"/>
        <v>0</v>
      </c>
      <c r="CG81" s="51"/>
      <c r="CH81" s="49">
        <f t="shared" si="155"/>
        <v>0</v>
      </c>
      <c r="CI81" s="50">
        <f t="shared" si="156"/>
        <v>0</v>
      </c>
      <c r="CJ81" s="51"/>
      <c r="CK81" s="49">
        <f t="shared" si="157"/>
        <v>0</v>
      </c>
      <c r="CL81" s="50">
        <f t="shared" si="158"/>
        <v>0</v>
      </c>
      <c r="CM81" s="51"/>
      <c r="CN81" s="49">
        <f t="shared" si="159"/>
        <v>0</v>
      </c>
      <c r="CO81" s="50">
        <f t="shared" si="160"/>
        <v>0</v>
      </c>
      <c r="CP81" s="51"/>
      <c r="CQ81" s="49">
        <f t="shared" si="161"/>
        <v>0</v>
      </c>
      <c r="CR81" s="50">
        <f t="shared" si="162"/>
        <v>0</v>
      </c>
      <c r="CS81" s="51"/>
      <c r="CT81" s="49">
        <f t="shared" si="163"/>
        <v>0</v>
      </c>
      <c r="CU81" s="50">
        <f t="shared" si="164"/>
        <v>0</v>
      </c>
      <c r="CV81" s="51"/>
      <c r="CW81" s="49">
        <f t="shared" si="165"/>
        <v>0</v>
      </c>
      <c r="CX81" s="50">
        <f t="shared" si="166"/>
        <v>0</v>
      </c>
      <c r="CY81" s="51"/>
      <c r="CZ81" s="49">
        <f t="shared" si="167"/>
        <v>0</v>
      </c>
      <c r="DA81" s="50">
        <f t="shared" si="168"/>
        <v>0</v>
      </c>
      <c r="DB81" s="51"/>
      <c r="DC81" s="49">
        <f t="shared" si="169"/>
        <v>0</v>
      </c>
      <c r="DD81" s="50">
        <f t="shared" si="170"/>
        <v>0</v>
      </c>
      <c r="DE81" s="51"/>
      <c r="DF81" s="49">
        <f t="shared" si="171"/>
        <v>0</v>
      </c>
      <c r="DG81" s="50">
        <f t="shared" si="172"/>
        <v>0</v>
      </c>
      <c r="DH81" s="51"/>
      <c r="DI81" s="49">
        <f t="shared" si="173"/>
        <v>0</v>
      </c>
      <c r="DJ81" s="50">
        <f t="shared" si="174"/>
        <v>0</v>
      </c>
      <c r="DK81" s="51"/>
      <c r="DL81" s="49">
        <f t="shared" si="175"/>
        <v>0</v>
      </c>
      <c r="DM81" s="50">
        <f t="shared" si="176"/>
        <v>0</v>
      </c>
      <c r="DN81" s="51"/>
      <c r="DO81" s="49">
        <f t="shared" si="177"/>
        <v>0</v>
      </c>
      <c r="DP81" s="50">
        <f t="shared" si="178"/>
        <v>0</v>
      </c>
      <c r="DQ81" s="51"/>
      <c r="DR81" s="51"/>
      <c r="DS81" s="51"/>
      <c r="DT81" s="46">
        <f t="shared" si="179"/>
        <v>11857</v>
      </c>
      <c r="DU81" s="46">
        <f t="shared" si="179"/>
        <v>178704</v>
      </c>
      <c r="DV81" s="46">
        <f t="shared" si="179"/>
        <v>129932.8</v>
      </c>
    </row>
    <row r="82" spans="1:126" x14ac:dyDescent="0.6">
      <c r="A82" s="67"/>
      <c r="B82" s="9" t="s">
        <v>36</v>
      </c>
      <c r="C82" s="10" t="s">
        <v>41</v>
      </c>
      <c r="D82" s="51">
        <v>405</v>
      </c>
      <c r="E82" s="49">
        <f t="shared" si="101"/>
        <v>5670</v>
      </c>
      <c r="F82" s="50">
        <f t="shared" si="102"/>
        <v>3628.8</v>
      </c>
      <c r="G82" s="51"/>
      <c r="H82" s="49">
        <f t="shared" si="103"/>
        <v>0</v>
      </c>
      <c r="I82" s="50">
        <f t="shared" si="104"/>
        <v>0</v>
      </c>
      <c r="J82" s="51"/>
      <c r="K82" s="49">
        <f t="shared" si="105"/>
        <v>0</v>
      </c>
      <c r="L82" s="50">
        <f t="shared" si="106"/>
        <v>0</v>
      </c>
      <c r="M82" s="51"/>
      <c r="N82" s="49">
        <f t="shared" si="107"/>
        <v>0</v>
      </c>
      <c r="O82" s="50">
        <f t="shared" si="108"/>
        <v>0</v>
      </c>
      <c r="P82" s="51"/>
      <c r="Q82" s="49">
        <f t="shared" si="109"/>
        <v>0</v>
      </c>
      <c r="R82" s="50">
        <f t="shared" si="110"/>
        <v>0</v>
      </c>
      <c r="S82" s="51"/>
      <c r="T82" s="49">
        <f t="shared" si="111"/>
        <v>0</v>
      </c>
      <c r="U82" s="50">
        <f t="shared" si="112"/>
        <v>0</v>
      </c>
      <c r="V82" s="51">
        <v>70</v>
      </c>
      <c r="W82" s="49">
        <f t="shared" si="113"/>
        <v>980</v>
      </c>
      <c r="X82" s="50">
        <f t="shared" si="114"/>
        <v>627.20000000000005</v>
      </c>
      <c r="Y82" s="51"/>
      <c r="Z82" s="49">
        <f t="shared" si="115"/>
        <v>0</v>
      </c>
      <c r="AA82" s="50">
        <f t="shared" si="116"/>
        <v>0</v>
      </c>
      <c r="AB82" s="51"/>
      <c r="AC82" s="49">
        <f t="shared" si="117"/>
        <v>0</v>
      </c>
      <c r="AD82" s="50">
        <f t="shared" si="118"/>
        <v>0</v>
      </c>
      <c r="AE82" s="51"/>
      <c r="AF82" s="49">
        <f t="shared" si="119"/>
        <v>0</v>
      </c>
      <c r="AG82" s="50">
        <f t="shared" si="120"/>
        <v>0</v>
      </c>
      <c r="AH82" s="51"/>
      <c r="AI82" s="49">
        <f t="shared" si="121"/>
        <v>0</v>
      </c>
      <c r="AJ82" s="50">
        <f t="shared" si="122"/>
        <v>0</v>
      </c>
      <c r="AK82" s="51"/>
      <c r="AL82" s="49">
        <f t="shared" si="123"/>
        <v>0</v>
      </c>
      <c r="AM82" s="50">
        <f t="shared" si="124"/>
        <v>0</v>
      </c>
      <c r="AN82" s="51"/>
      <c r="AO82" s="49">
        <f t="shared" si="125"/>
        <v>0</v>
      </c>
      <c r="AP82" s="50">
        <f t="shared" si="126"/>
        <v>0</v>
      </c>
      <c r="AQ82" s="51"/>
      <c r="AR82" s="49">
        <f t="shared" si="127"/>
        <v>0</v>
      </c>
      <c r="AS82" s="50">
        <f t="shared" si="128"/>
        <v>0</v>
      </c>
      <c r="AT82" s="51"/>
      <c r="AU82" s="49">
        <f t="shared" si="129"/>
        <v>0</v>
      </c>
      <c r="AV82" s="50">
        <f t="shared" si="130"/>
        <v>0</v>
      </c>
      <c r="AW82" s="51">
        <v>760</v>
      </c>
      <c r="AX82" s="49">
        <f t="shared" si="131"/>
        <v>9120</v>
      </c>
      <c r="AY82" s="50">
        <f t="shared" si="132"/>
        <v>9120</v>
      </c>
      <c r="AZ82" s="51">
        <v>35</v>
      </c>
      <c r="BA82" s="49">
        <f t="shared" si="133"/>
        <v>420</v>
      </c>
      <c r="BB82" s="50">
        <f t="shared" si="134"/>
        <v>252</v>
      </c>
      <c r="BC82" s="51">
        <v>115</v>
      </c>
      <c r="BD82" s="49">
        <f t="shared" si="135"/>
        <v>4600</v>
      </c>
      <c r="BE82" s="50">
        <f t="shared" si="136"/>
        <v>1610</v>
      </c>
      <c r="BF82" s="51">
        <v>690</v>
      </c>
      <c r="BG82" s="49">
        <f t="shared" si="137"/>
        <v>8280</v>
      </c>
      <c r="BH82" s="50">
        <f t="shared" si="138"/>
        <v>8280</v>
      </c>
      <c r="BI82" s="51"/>
      <c r="BJ82" s="49">
        <f t="shared" si="139"/>
        <v>0</v>
      </c>
      <c r="BK82" s="50">
        <f t="shared" si="140"/>
        <v>0</v>
      </c>
      <c r="BL82" s="51">
        <v>45</v>
      </c>
      <c r="BM82" s="49">
        <f t="shared" si="141"/>
        <v>1800</v>
      </c>
      <c r="BN82" s="50">
        <f t="shared" si="142"/>
        <v>630</v>
      </c>
      <c r="BO82" s="51"/>
      <c r="BP82" s="49">
        <f t="shared" si="143"/>
        <v>0</v>
      </c>
      <c r="BQ82" s="50">
        <f t="shared" si="144"/>
        <v>0</v>
      </c>
      <c r="BR82" s="51"/>
      <c r="BS82" s="49">
        <f t="shared" si="145"/>
        <v>0</v>
      </c>
      <c r="BT82" s="50">
        <f t="shared" si="146"/>
        <v>0</v>
      </c>
      <c r="BU82" s="51"/>
      <c r="BV82" s="49">
        <f t="shared" si="147"/>
        <v>0</v>
      </c>
      <c r="BW82" s="50">
        <f t="shared" si="148"/>
        <v>0</v>
      </c>
      <c r="BX82" s="51"/>
      <c r="BY82" s="49">
        <f t="shared" si="149"/>
        <v>0</v>
      </c>
      <c r="BZ82" s="50">
        <f t="shared" si="150"/>
        <v>0</v>
      </c>
      <c r="CA82" s="51"/>
      <c r="CB82" s="49">
        <f t="shared" si="151"/>
        <v>0</v>
      </c>
      <c r="CC82" s="50">
        <f t="shared" si="152"/>
        <v>0</v>
      </c>
      <c r="CD82" s="51"/>
      <c r="CE82" s="49">
        <f t="shared" si="153"/>
        <v>0</v>
      </c>
      <c r="CF82" s="50">
        <f t="shared" si="154"/>
        <v>0</v>
      </c>
      <c r="CG82" s="51"/>
      <c r="CH82" s="49">
        <f t="shared" si="155"/>
        <v>0</v>
      </c>
      <c r="CI82" s="50">
        <f t="shared" si="156"/>
        <v>0</v>
      </c>
      <c r="CJ82" s="51"/>
      <c r="CK82" s="49">
        <f t="shared" si="157"/>
        <v>0</v>
      </c>
      <c r="CL82" s="50">
        <f t="shared" si="158"/>
        <v>0</v>
      </c>
      <c r="CM82" s="51"/>
      <c r="CN82" s="49">
        <f t="shared" si="159"/>
        <v>0</v>
      </c>
      <c r="CO82" s="50">
        <f t="shared" si="160"/>
        <v>0</v>
      </c>
      <c r="CP82" s="51"/>
      <c r="CQ82" s="49">
        <f t="shared" si="161"/>
        <v>0</v>
      </c>
      <c r="CR82" s="50">
        <f t="shared" si="162"/>
        <v>0</v>
      </c>
      <c r="CS82" s="51"/>
      <c r="CT82" s="49">
        <f t="shared" si="163"/>
        <v>0</v>
      </c>
      <c r="CU82" s="50">
        <f t="shared" si="164"/>
        <v>0</v>
      </c>
      <c r="CV82" s="51"/>
      <c r="CW82" s="49">
        <f t="shared" si="165"/>
        <v>0</v>
      </c>
      <c r="CX82" s="50">
        <f t="shared" si="166"/>
        <v>0</v>
      </c>
      <c r="CY82" s="51"/>
      <c r="CZ82" s="49">
        <f t="shared" si="167"/>
        <v>0</v>
      </c>
      <c r="DA82" s="50">
        <f t="shared" si="168"/>
        <v>0</v>
      </c>
      <c r="DB82" s="51"/>
      <c r="DC82" s="49">
        <f t="shared" si="169"/>
        <v>0</v>
      </c>
      <c r="DD82" s="50">
        <f t="shared" si="170"/>
        <v>0</v>
      </c>
      <c r="DE82" s="51"/>
      <c r="DF82" s="49">
        <f t="shared" si="171"/>
        <v>0</v>
      </c>
      <c r="DG82" s="50">
        <f t="shared" si="172"/>
        <v>0</v>
      </c>
      <c r="DH82" s="51"/>
      <c r="DI82" s="49">
        <f t="shared" si="173"/>
        <v>0</v>
      </c>
      <c r="DJ82" s="50">
        <f t="shared" si="174"/>
        <v>0</v>
      </c>
      <c r="DK82" s="51"/>
      <c r="DL82" s="49">
        <f t="shared" si="175"/>
        <v>0</v>
      </c>
      <c r="DM82" s="50">
        <f t="shared" si="176"/>
        <v>0</v>
      </c>
      <c r="DN82" s="51"/>
      <c r="DO82" s="49">
        <f t="shared" si="177"/>
        <v>0</v>
      </c>
      <c r="DP82" s="50">
        <f t="shared" si="178"/>
        <v>0</v>
      </c>
      <c r="DQ82" s="51"/>
      <c r="DR82" s="51"/>
      <c r="DS82" s="51"/>
      <c r="DT82" s="46">
        <f t="shared" si="179"/>
        <v>2120</v>
      </c>
      <c r="DU82" s="46">
        <f t="shared" si="179"/>
        <v>30870</v>
      </c>
      <c r="DV82" s="46">
        <f t="shared" si="179"/>
        <v>24148</v>
      </c>
    </row>
    <row r="83" spans="1:126" x14ac:dyDescent="0.6">
      <c r="A83" s="67"/>
      <c r="B83" s="9" t="s">
        <v>38</v>
      </c>
      <c r="C83" s="10" t="s">
        <v>41</v>
      </c>
      <c r="D83" s="51">
        <v>991</v>
      </c>
      <c r="E83" s="49">
        <f t="shared" si="101"/>
        <v>13874</v>
      </c>
      <c r="F83" s="50">
        <f t="shared" si="102"/>
        <v>8879.36</v>
      </c>
      <c r="G83" s="51"/>
      <c r="H83" s="49">
        <f t="shared" si="103"/>
        <v>0</v>
      </c>
      <c r="I83" s="50">
        <f t="shared" si="104"/>
        <v>0</v>
      </c>
      <c r="J83" s="51"/>
      <c r="K83" s="49">
        <f t="shared" si="105"/>
        <v>0</v>
      </c>
      <c r="L83" s="50">
        <f t="shared" si="106"/>
        <v>0</v>
      </c>
      <c r="M83" s="51"/>
      <c r="N83" s="49">
        <f t="shared" si="107"/>
        <v>0</v>
      </c>
      <c r="O83" s="50">
        <f t="shared" si="108"/>
        <v>0</v>
      </c>
      <c r="P83" s="51"/>
      <c r="Q83" s="49">
        <f t="shared" si="109"/>
        <v>0</v>
      </c>
      <c r="R83" s="50">
        <f t="shared" si="110"/>
        <v>0</v>
      </c>
      <c r="S83" s="51"/>
      <c r="T83" s="49">
        <f t="shared" si="111"/>
        <v>0</v>
      </c>
      <c r="U83" s="50">
        <f t="shared" si="112"/>
        <v>0</v>
      </c>
      <c r="V83" s="51">
        <v>26</v>
      </c>
      <c r="W83" s="49">
        <f t="shared" si="113"/>
        <v>364</v>
      </c>
      <c r="X83" s="50">
        <f t="shared" si="114"/>
        <v>232.96</v>
      </c>
      <c r="Y83" s="51"/>
      <c r="Z83" s="49">
        <f t="shared" si="115"/>
        <v>0</v>
      </c>
      <c r="AA83" s="50">
        <f t="shared" si="116"/>
        <v>0</v>
      </c>
      <c r="AB83" s="51"/>
      <c r="AC83" s="49">
        <f t="shared" si="117"/>
        <v>0</v>
      </c>
      <c r="AD83" s="50">
        <f t="shared" si="118"/>
        <v>0</v>
      </c>
      <c r="AE83" s="51"/>
      <c r="AF83" s="49">
        <f t="shared" si="119"/>
        <v>0</v>
      </c>
      <c r="AG83" s="50">
        <f t="shared" si="120"/>
        <v>0</v>
      </c>
      <c r="AH83" s="51">
        <v>52</v>
      </c>
      <c r="AI83" s="49">
        <f t="shared" si="121"/>
        <v>624</v>
      </c>
      <c r="AJ83" s="50">
        <f t="shared" si="122"/>
        <v>436.79999999999995</v>
      </c>
      <c r="AK83" s="51"/>
      <c r="AL83" s="49">
        <f t="shared" si="123"/>
        <v>0</v>
      </c>
      <c r="AM83" s="50">
        <f t="shared" si="124"/>
        <v>0</v>
      </c>
      <c r="AN83" s="51"/>
      <c r="AO83" s="49">
        <f t="shared" si="125"/>
        <v>0</v>
      </c>
      <c r="AP83" s="50">
        <f t="shared" si="126"/>
        <v>0</v>
      </c>
      <c r="AQ83" s="51"/>
      <c r="AR83" s="49">
        <f t="shared" si="127"/>
        <v>0</v>
      </c>
      <c r="AS83" s="50">
        <f t="shared" si="128"/>
        <v>0</v>
      </c>
      <c r="AT83" s="51"/>
      <c r="AU83" s="49">
        <f t="shared" si="129"/>
        <v>0</v>
      </c>
      <c r="AV83" s="50">
        <f t="shared" si="130"/>
        <v>0</v>
      </c>
      <c r="AW83" s="51">
        <v>1825</v>
      </c>
      <c r="AX83" s="49">
        <f t="shared" si="131"/>
        <v>21900</v>
      </c>
      <c r="AY83" s="50">
        <f t="shared" si="132"/>
        <v>21900</v>
      </c>
      <c r="AZ83" s="51">
        <v>126</v>
      </c>
      <c r="BA83" s="49">
        <f t="shared" si="133"/>
        <v>1512</v>
      </c>
      <c r="BB83" s="50">
        <f t="shared" si="134"/>
        <v>907.19999999999993</v>
      </c>
      <c r="BC83" s="51">
        <v>292</v>
      </c>
      <c r="BD83" s="49">
        <f t="shared" si="135"/>
        <v>11680</v>
      </c>
      <c r="BE83" s="50">
        <f t="shared" si="136"/>
        <v>4087.9999999999995</v>
      </c>
      <c r="BF83" s="51">
        <v>2055</v>
      </c>
      <c r="BG83" s="49">
        <f t="shared" si="137"/>
        <v>24660</v>
      </c>
      <c r="BH83" s="50">
        <f t="shared" si="138"/>
        <v>24660</v>
      </c>
      <c r="BI83" s="51"/>
      <c r="BJ83" s="49">
        <f t="shared" si="139"/>
        <v>0</v>
      </c>
      <c r="BK83" s="50">
        <f t="shared" si="140"/>
        <v>0</v>
      </c>
      <c r="BL83" s="51">
        <v>255</v>
      </c>
      <c r="BM83" s="49">
        <f t="shared" si="141"/>
        <v>10200</v>
      </c>
      <c r="BN83" s="50">
        <f t="shared" si="142"/>
        <v>3570</v>
      </c>
      <c r="BO83" s="51"/>
      <c r="BP83" s="49">
        <f t="shared" si="143"/>
        <v>0</v>
      </c>
      <c r="BQ83" s="50">
        <f t="shared" si="144"/>
        <v>0</v>
      </c>
      <c r="BR83" s="51"/>
      <c r="BS83" s="49">
        <f t="shared" si="145"/>
        <v>0</v>
      </c>
      <c r="BT83" s="50">
        <f t="shared" si="146"/>
        <v>0</v>
      </c>
      <c r="BU83" s="51"/>
      <c r="BV83" s="49">
        <f t="shared" si="147"/>
        <v>0</v>
      </c>
      <c r="BW83" s="50">
        <f t="shared" si="148"/>
        <v>0</v>
      </c>
      <c r="BX83" s="51"/>
      <c r="BY83" s="49">
        <f t="shared" si="149"/>
        <v>0</v>
      </c>
      <c r="BZ83" s="50">
        <f t="shared" si="150"/>
        <v>0</v>
      </c>
      <c r="CA83" s="51"/>
      <c r="CB83" s="49">
        <f t="shared" si="151"/>
        <v>0</v>
      </c>
      <c r="CC83" s="50">
        <f t="shared" si="152"/>
        <v>0</v>
      </c>
      <c r="CD83" s="51"/>
      <c r="CE83" s="49">
        <f t="shared" si="153"/>
        <v>0</v>
      </c>
      <c r="CF83" s="50">
        <f t="shared" si="154"/>
        <v>0</v>
      </c>
      <c r="CG83" s="51"/>
      <c r="CH83" s="49">
        <f t="shared" si="155"/>
        <v>0</v>
      </c>
      <c r="CI83" s="50">
        <f t="shared" si="156"/>
        <v>0</v>
      </c>
      <c r="CJ83" s="51"/>
      <c r="CK83" s="49">
        <f t="shared" si="157"/>
        <v>0</v>
      </c>
      <c r="CL83" s="50">
        <f t="shared" si="158"/>
        <v>0</v>
      </c>
      <c r="CM83" s="51"/>
      <c r="CN83" s="49">
        <f t="shared" si="159"/>
        <v>0</v>
      </c>
      <c r="CO83" s="50">
        <f t="shared" si="160"/>
        <v>0</v>
      </c>
      <c r="CP83" s="51"/>
      <c r="CQ83" s="49">
        <f t="shared" si="161"/>
        <v>0</v>
      </c>
      <c r="CR83" s="50">
        <f t="shared" si="162"/>
        <v>0</v>
      </c>
      <c r="CS83" s="51"/>
      <c r="CT83" s="49">
        <f t="shared" si="163"/>
        <v>0</v>
      </c>
      <c r="CU83" s="50">
        <f t="shared" si="164"/>
        <v>0</v>
      </c>
      <c r="CV83" s="51"/>
      <c r="CW83" s="49">
        <f t="shared" si="165"/>
        <v>0</v>
      </c>
      <c r="CX83" s="50">
        <f t="shared" si="166"/>
        <v>0</v>
      </c>
      <c r="CY83" s="51"/>
      <c r="CZ83" s="49">
        <f t="shared" si="167"/>
        <v>0</v>
      </c>
      <c r="DA83" s="50">
        <f t="shared" si="168"/>
        <v>0</v>
      </c>
      <c r="DB83" s="51"/>
      <c r="DC83" s="49">
        <f t="shared" si="169"/>
        <v>0</v>
      </c>
      <c r="DD83" s="50">
        <f t="shared" si="170"/>
        <v>0</v>
      </c>
      <c r="DE83" s="51"/>
      <c r="DF83" s="49">
        <f t="shared" si="171"/>
        <v>0</v>
      </c>
      <c r="DG83" s="50">
        <f t="shared" si="172"/>
        <v>0</v>
      </c>
      <c r="DH83" s="51"/>
      <c r="DI83" s="49">
        <f t="shared" si="173"/>
        <v>0</v>
      </c>
      <c r="DJ83" s="50">
        <f t="shared" si="174"/>
        <v>0</v>
      </c>
      <c r="DK83" s="51"/>
      <c r="DL83" s="49">
        <f t="shared" si="175"/>
        <v>0</v>
      </c>
      <c r="DM83" s="50">
        <f t="shared" si="176"/>
        <v>0</v>
      </c>
      <c r="DN83" s="51"/>
      <c r="DO83" s="49">
        <f t="shared" si="177"/>
        <v>0</v>
      </c>
      <c r="DP83" s="50">
        <f t="shared" si="178"/>
        <v>0</v>
      </c>
      <c r="DQ83" s="51"/>
      <c r="DR83" s="51"/>
      <c r="DS83" s="51"/>
      <c r="DT83" s="46">
        <f t="shared" si="179"/>
        <v>5622</v>
      </c>
      <c r="DU83" s="46">
        <f t="shared" si="179"/>
        <v>84814</v>
      </c>
      <c r="DV83" s="46">
        <f t="shared" si="179"/>
        <v>64674.32</v>
      </c>
    </row>
    <row r="84" spans="1:126" x14ac:dyDescent="0.6">
      <c r="A84" s="67"/>
      <c r="B84" s="9" t="s">
        <v>40</v>
      </c>
      <c r="C84" s="10" t="s">
        <v>41</v>
      </c>
      <c r="D84" s="51">
        <v>1420</v>
      </c>
      <c r="E84" s="49">
        <f t="shared" si="101"/>
        <v>19880</v>
      </c>
      <c r="F84" s="50">
        <f t="shared" si="102"/>
        <v>12723.2</v>
      </c>
      <c r="G84" s="51"/>
      <c r="H84" s="49">
        <f t="shared" si="103"/>
        <v>0</v>
      </c>
      <c r="I84" s="50">
        <f t="shared" si="104"/>
        <v>0</v>
      </c>
      <c r="J84" s="51"/>
      <c r="K84" s="49">
        <f t="shared" si="105"/>
        <v>0</v>
      </c>
      <c r="L84" s="50">
        <f t="shared" si="106"/>
        <v>0</v>
      </c>
      <c r="M84" s="51"/>
      <c r="N84" s="49">
        <f t="shared" si="107"/>
        <v>0</v>
      </c>
      <c r="O84" s="50">
        <f t="shared" si="108"/>
        <v>0</v>
      </c>
      <c r="P84" s="51"/>
      <c r="Q84" s="49">
        <f t="shared" si="109"/>
        <v>0</v>
      </c>
      <c r="R84" s="50">
        <f t="shared" si="110"/>
        <v>0</v>
      </c>
      <c r="S84" s="51"/>
      <c r="T84" s="49">
        <f t="shared" si="111"/>
        <v>0</v>
      </c>
      <c r="U84" s="50">
        <f t="shared" si="112"/>
        <v>0</v>
      </c>
      <c r="V84" s="51">
        <v>155</v>
      </c>
      <c r="W84" s="49">
        <f t="shared" si="113"/>
        <v>2170</v>
      </c>
      <c r="X84" s="50">
        <f t="shared" si="114"/>
        <v>1388.8</v>
      </c>
      <c r="Y84" s="51"/>
      <c r="Z84" s="49">
        <f t="shared" si="115"/>
        <v>0</v>
      </c>
      <c r="AA84" s="50">
        <f t="shared" si="116"/>
        <v>0</v>
      </c>
      <c r="AB84" s="51"/>
      <c r="AC84" s="49">
        <f t="shared" si="117"/>
        <v>0</v>
      </c>
      <c r="AD84" s="50">
        <f t="shared" si="118"/>
        <v>0</v>
      </c>
      <c r="AE84" s="51"/>
      <c r="AF84" s="49">
        <f t="shared" si="119"/>
        <v>0</v>
      </c>
      <c r="AG84" s="50">
        <f t="shared" si="120"/>
        <v>0</v>
      </c>
      <c r="AH84" s="51">
        <v>135</v>
      </c>
      <c r="AI84" s="49">
        <f t="shared" si="121"/>
        <v>1620</v>
      </c>
      <c r="AJ84" s="50">
        <f t="shared" si="122"/>
        <v>1134</v>
      </c>
      <c r="AK84" s="51"/>
      <c r="AL84" s="49">
        <f t="shared" si="123"/>
        <v>0</v>
      </c>
      <c r="AM84" s="50">
        <f t="shared" si="124"/>
        <v>0</v>
      </c>
      <c r="AN84" s="51"/>
      <c r="AO84" s="49">
        <f t="shared" si="125"/>
        <v>0</v>
      </c>
      <c r="AP84" s="50">
        <f t="shared" si="126"/>
        <v>0</v>
      </c>
      <c r="AQ84" s="51"/>
      <c r="AR84" s="49">
        <f t="shared" si="127"/>
        <v>0</v>
      </c>
      <c r="AS84" s="50">
        <f t="shared" si="128"/>
        <v>0</v>
      </c>
      <c r="AT84" s="51"/>
      <c r="AU84" s="49">
        <f t="shared" si="129"/>
        <v>0</v>
      </c>
      <c r="AV84" s="50">
        <f t="shared" si="130"/>
        <v>0</v>
      </c>
      <c r="AW84" s="51">
        <v>2500</v>
      </c>
      <c r="AX84" s="49">
        <f t="shared" si="131"/>
        <v>30000</v>
      </c>
      <c r="AY84" s="50">
        <f t="shared" si="132"/>
        <v>30000</v>
      </c>
      <c r="AZ84" s="51">
        <v>345</v>
      </c>
      <c r="BA84" s="49">
        <f t="shared" si="133"/>
        <v>4140</v>
      </c>
      <c r="BB84" s="50">
        <f t="shared" si="134"/>
        <v>2484</v>
      </c>
      <c r="BC84" s="51">
        <v>425</v>
      </c>
      <c r="BD84" s="49">
        <f t="shared" si="135"/>
        <v>17000</v>
      </c>
      <c r="BE84" s="50">
        <f t="shared" si="136"/>
        <v>5950</v>
      </c>
      <c r="BF84" s="51">
        <v>1320</v>
      </c>
      <c r="BG84" s="49">
        <f t="shared" si="137"/>
        <v>15840</v>
      </c>
      <c r="BH84" s="50">
        <f t="shared" si="138"/>
        <v>15840</v>
      </c>
      <c r="BI84" s="51"/>
      <c r="BJ84" s="49">
        <f t="shared" si="139"/>
        <v>0</v>
      </c>
      <c r="BK84" s="50">
        <f t="shared" si="140"/>
        <v>0</v>
      </c>
      <c r="BL84" s="51">
        <v>120</v>
      </c>
      <c r="BM84" s="49">
        <f t="shared" si="141"/>
        <v>4800</v>
      </c>
      <c r="BN84" s="50">
        <f t="shared" si="142"/>
        <v>1680</v>
      </c>
      <c r="BO84" s="51"/>
      <c r="BP84" s="49">
        <f t="shared" si="143"/>
        <v>0</v>
      </c>
      <c r="BQ84" s="50">
        <f t="shared" si="144"/>
        <v>0</v>
      </c>
      <c r="BR84" s="51"/>
      <c r="BS84" s="49">
        <f t="shared" si="145"/>
        <v>0</v>
      </c>
      <c r="BT84" s="50">
        <f t="shared" si="146"/>
        <v>0</v>
      </c>
      <c r="BU84" s="51"/>
      <c r="BV84" s="49">
        <f t="shared" si="147"/>
        <v>0</v>
      </c>
      <c r="BW84" s="50">
        <f t="shared" si="148"/>
        <v>0</v>
      </c>
      <c r="BX84" s="51"/>
      <c r="BY84" s="49">
        <f t="shared" si="149"/>
        <v>0</v>
      </c>
      <c r="BZ84" s="50">
        <f t="shared" si="150"/>
        <v>0</v>
      </c>
      <c r="CA84" s="51"/>
      <c r="CB84" s="49">
        <f t="shared" si="151"/>
        <v>0</v>
      </c>
      <c r="CC84" s="50">
        <f t="shared" si="152"/>
        <v>0</v>
      </c>
      <c r="CD84" s="51"/>
      <c r="CE84" s="49">
        <f t="shared" si="153"/>
        <v>0</v>
      </c>
      <c r="CF84" s="50">
        <f t="shared" si="154"/>
        <v>0</v>
      </c>
      <c r="CG84" s="51"/>
      <c r="CH84" s="49">
        <f t="shared" si="155"/>
        <v>0</v>
      </c>
      <c r="CI84" s="50">
        <f t="shared" si="156"/>
        <v>0</v>
      </c>
      <c r="CJ84" s="51"/>
      <c r="CK84" s="49">
        <f t="shared" si="157"/>
        <v>0</v>
      </c>
      <c r="CL84" s="50">
        <f t="shared" si="158"/>
        <v>0</v>
      </c>
      <c r="CM84" s="51"/>
      <c r="CN84" s="49">
        <f t="shared" si="159"/>
        <v>0</v>
      </c>
      <c r="CO84" s="50">
        <f t="shared" si="160"/>
        <v>0</v>
      </c>
      <c r="CP84" s="51"/>
      <c r="CQ84" s="49">
        <f t="shared" si="161"/>
        <v>0</v>
      </c>
      <c r="CR84" s="50">
        <f t="shared" si="162"/>
        <v>0</v>
      </c>
      <c r="CS84" s="51"/>
      <c r="CT84" s="49">
        <f t="shared" si="163"/>
        <v>0</v>
      </c>
      <c r="CU84" s="50">
        <f t="shared" si="164"/>
        <v>0</v>
      </c>
      <c r="CV84" s="51"/>
      <c r="CW84" s="49">
        <f t="shared" si="165"/>
        <v>0</v>
      </c>
      <c r="CX84" s="50">
        <f t="shared" si="166"/>
        <v>0</v>
      </c>
      <c r="CY84" s="51"/>
      <c r="CZ84" s="49">
        <f t="shared" si="167"/>
        <v>0</v>
      </c>
      <c r="DA84" s="50">
        <f t="shared" si="168"/>
        <v>0</v>
      </c>
      <c r="DB84" s="51"/>
      <c r="DC84" s="49">
        <f t="shared" si="169"/>
        <v>0</v>
      </c>
      <c r="DD84" s="50">
        <f t="shared" si="170"/>
        <v>0</v>
      </c>
      <c r="DE84" s="51"/>
      <c r="DF84" s="49">
        <f t="shared" si="171"/>
        <v>0</v>
      </c>
      <c r="DG84" s="50">
        <f t="shared" si="172"/>
        <v>0</v>
      </c>
      <c r="DH84" s="51"/>
      <c r="DI84" s="49">
        <f t="shared" si="173"/>
        <v>0</v>
      </c>
      <c r="DJ84" s="50">
        <f t="shared" si="174"/>
        <v>0</v>
      </c>
      <c r="DK84" s="51"/>
      <c r="DL84" s="49">
        <f t="shared" si="175"/>
        <v>0</v>
      </c>
      <c r="DM84" s="50">
        <f t="shared" si="176"/>
        <v>0</v>
      </c>
      <c r="DN84" s="51"/>
      <c r="DO84" s="49">
        <f t="shared" si="177"/>
        <v>0</v>
      </c>
      <c r="DP84" s="50">
        <f t="shared" si="178"/>
        <v>0</v>
      </c>
      <c r="DQ84" s="51"/>
      <c r="DR84" s="51"/>
      <c r="DS84" s="51"/>
      <c r="DT84" s="46">
        <f t="shared" si="179"/>
        <v>6420</v>
      </c>
      <c r="DU84" s="46">
        <f t="shared" si="179"/>
        <v>95450</v>
      </c>
      <c r="DV84" s="46">
        <f t="shared" si="179"/>
        <v>71200</v>
      </c>
    </row>
    <row r="85" spans="1:126" x14ac:dyDescent="0.6">
      <c r="A85" s="67"/>
      <c r="B85" s="9" t="s">
        <v>34</v>
      </c>
      <c r="C85" s="10" t="s">
        <v>42</v>
      </c>
      <c r="D85" s="51">
        <v>265</v>
      </c>
      <c r="E85" s="49">
        <f t="shared" si="101"/>
        <v>3710</v>
      </c>
      <c r="F85" s="50">
        <f t="shared" si="102"/>
        <v>2374.4</v>
      </c>
      <c r="G85" s="51"/>
      <c r="H85" s="49">
        <f t="shared" si="103"/>
        <v>0</v>
      </c>
      <c r="I85" s="50">
        <f t="shared" si="104"/>
        <v>0</v>
      </c>
      <c r="J85" s="51"/>
      <c r="K85" s="49">
        <f t="shared" si="105"/>
        <v>0</v>
      </c>
      <c r="L85" s="50">
        <f t="shared" si="106"/>
        <v>0</v>
      </c>
      <c r="M85" s="51">
        <v>30</v>
      </c>
      <c r="N85" s="49">
        <f t="shared" si="107"/>
        <v>420</v>
      </c>
      <c r="O85" s="50">
        <f t="shared" si="108"/>
        <v>268.8</v>
      </c>
      <c r="P85" s="51"/>
      <c r="Q85" s="49">
        <f t="shared" si="109"/>
        <v>0</v>
      </c>
      <c r="R85" s="50">
        <f t="shared" si="110"/>
        <v>0</v>
      </c>
      <c r="S85" s="51"/>
      <c r="T85" s="49">
        <f t="shared" si="111"/>
        <v>0</v>
      </c>
      <c r="U85" s="50">
        <f t="shared" si="112"/>
        <v>0</v>
      </c>
      <c r="V85" s="51">
        <v>70</v>
      </c>
      <c r="W85" s="49">
        <f t="shared" si="113"/>
        <v>980</v>
      </c>
      <c r="X85" s="50">
        <f t="shared" si="114"/>
        <v>627.20000000000005</v>
      </c>
      <c r="Y85" s="51"/>
      <c r="Z85" s="49">
        <f t="shared" si="115"/>
        <v>0</v>
      </c>
      <c r="AA85" s="50">
        <f t="shared" si="116"/>
        <v>0</v>
      </c>
      <c r="AB85" s="51"/>
      <c r="AC85" s="49">
        <f t="shared" si="117"/>
        <v>0</v>
      </c>
      <c r="AD85" s="50">
        <f t="shared" si="118"/>
        <v>0</v>
      </c>
      <c r="AE85" s="51"/>
      <c r="AF85" s="49">
        <f t="shared" si="119"/>
        <v>0</v>
      </c>
      <c r="AG85" s="50">
        <f t="shared" si="120"/>
        <v>0</v>
      </c>
      <c r="AH85" s="51">
        <v>5</v>
      </c>
      <c r="AI85" s="49">
        <f t="shared" si="121"/>
        <v>60</v>
      </c>
      <c r="AJ85" s="50">
        <f t="shared" si="122"/>
        <v>42</v>
      </c>
      <c r="AK85" s="51"/>
      <c r="AL85" s="49">
        <f t="shared" si="123"/>
        <v>0</v>
      </c>
      <c r="AM85" s="50">
        <f t="shared" si="124"/>
        <v>0</v>
      </c>
      <c r="AN85" s="51"/>
      <c r="AO85" s="49">
        <f t="shared" si="125"/>
        <v>0</v>
      </c>
      <c r="AP85" s="50">
        <f t="shared" si="126"/>
        <v>0</v>
      </c>
      <c r="AQ85" s="51"/>
      <c r="AR85" s="49">
        <f t="shared" si="127"/>
        <v>0</v>
      </c>
      <c r="AS85" s="50">
        <f t="shared" si="128"/>
        <v>0</v>
      </c>
      <c r="AT85" s="51"/>
      <c r="AU85" s="49">
        <f t="shared" si="129"/>
        <v>0</v>
      </c>
      <c r="AV85" s="50">
        <f t="shared" si="130"/>
        <v>0</v>
      </c>
      <c r="AW85" s="51">
        <v>290</v>
      </c>
      <c r="AX85" s="49">
        <f t="shared" si="131"/>
        <v>3480</v>
      </c>
      <c r="AY85" s="50">
        <f t="shared" si="132"/>
        <v>3480</v>
      </c>
      <c r="AZ85" s="51">
        <v>80</v>
      </c>
      <c r="BA85" s="49">
        <f t="shared" si="133"/>
        <v>960</v>
      </c>
      <c r="BB85" s="50">
        <f t="shared" si="134"/>
        <v>576</v>
      </c>
      <c r="BC85" s="51">
        <v>75</v>
      </c>
      <c r="BD85" s="49">
        <f t="shared" si="135"/>
        <v>3000</v>
      </c>
      <c r="BE85" s="50">
        <f t="shared" si="136"/>
        <v>1050</v>
      </c>
      <c r="BF85" s="51">
        <v>120</v>
      </c>
      <c r="BG85" s="49">
        <f t="shared" si="137"/>
        <v>1440</v>
      </c>
      <c r="BH85" s="50">
        <f t="shared" si="138"/>
        <v>1440</v>
      </c>
      <c r="BI85" s="51"/>
      <c r="BJ85" s="49">
        <f t="shared" si="139"/>
        <v>0</v>
      </c>
      <c r="BK85" s="50">
        <f t="shared" si="140"/>
        <v>0</v>
      </c>
      <c r="BL85" s="51">
        <v>2</v>
      </c>
      <c r="BM85" s="49">
        <f t="shared" si="141"/>
        <v>80</v>
      </c>
      <c r="BN85" s="50">
        <f t="shared" si="142"/>
        <v>28</v>
      </c>
      <c r="BO85" s="51"/>
      <c r="BP85" s="49">
        <f t="shared" si="143"/>
        <v>0</v>
      </c>
      <c r="BQ85" s="50">
        <f t="shared" si="144"/>
        <v>0</v>
      </c>
      <c r="BR85" s="51"/>
      <c r="BS85" s="49">
        <f t="shared" si="145"/>
        <v>0</v>
      </c>
      <c r="BT85" s="50">
        <f t="shared" si="146"/>
        <v>0</v>
      </c>
      <c r="BU85" s="51"/>
      <c r="BV85" s="49">
        <f t="shared" si="147"/>
        <v>0</v>
      </c>
      <c r="BW85" s="50">
        <f t="shared" si="148"/>
        <v>0</v>
      </c>
      <c r="BX85" s="51"/>
      <c r="BY85" s="49">
        <f t="shared" si="149"/>
        <v>0</v>
      </c>
      <c r="BZ85" s="50">
        <f t="shared" si="150"/>
        <v>0</v>
      </c>
      <c r="CA85" s="51"/>
      <c r="CB85" s="49">
        <f t="shared" si="151"/>
        <v>0</v>
      </c>
      <c r="CC85" s="50">
        <f t="shared" si="152"/>
        <v>0</v>
      </c>
      <c r="CD85" s="51"/>
      <c r="CE85" s="49">
        <f t="shared" si="153"/>
        <v>0</v>
      </c>
      <c r="CF85" s="50">
        <f t="shared" si="154"/>
        <v>0</v>
      </c>
      <c r="CG85" s="51"/>
      <c r="CH85" s="49">
        <f t="shared" si="155"/>
        <v>0</v>
      </c>
      <c r="CI85" s="50">
        <f t="shared" si="156"/>
        <v>0</v>
      </c>
      <c r="CJ85" s="51"/>
      <c r="CK85" s="49">
        <f t="shared" si="157"/>
        <v>0</v>
      </c>
      <c r="CL85" s="50">
        <f t="shared" si="158"/>
        <v>0</v>
      </c>
      <c r="CM85" s="51"/>
      <c r="CN85" s="49">
        <f t="shared" si="159"/>
        <v>0</v>
      </c>
      <c r="CO85" s="50">
        <f t="shared" si="160"/>
        <v>0</v>
      </c>
      <c r="CP85" s="51"/>
      <c r="CQ85" s="49">
        <f t="shared" si="161"/>
        <v>0</v>
      </c>
      <c r="CR85" s="50">
        <f t="shared" si="162"/>
        <v>0</v>
      </c>
      <c r="CS85" s="51"/>
      <c r="CT85" s="49">
        <f t="shared" si="163"/>
        <v>0</v>
      </c>
      <c r="CU85" s="50">
        <f t="shared" si="164"/>
        <v>0</v>
      </c>
      <c r="CV85" s="51"/>
      <c r="CW85" s="49">
        <f t="shared" si="165"/>
        <v>0</v>
      </c>
      <c r="CX85" s="50">
        <f t="shared" si="166"/>
        <v>0</v>
      </c>
      <c r="CY85" s="51"/>
      <c r="CZ85" s="49">
        <f t="shared" si="167"/>
        <v>0</v>
      </c>
      <c r="DA85" s="50">
        <f t="shared" si="168"/>
        <v>0</v>
      </c>
      <c r="DB85" s="51"/>
      <c r="DC85" s="49">
        <f t="shared" si="169"/>
        <v>0</v>
      </c>
      <c r="DD85" s="50">
        <f t="shared" si="170"/>
        <v>0</v>
      </c>
      <c r="DE85" s="51"/>
      <c r="DF85" s="49">
        <f t="shared" si="171"/>
        <v>0</v>
      </c>
      <c r="DG85" s="50">
        <f t="shared" si="172"/>
        <v>0</v>
      </c>
      <c r="DH85" s="51"/>
      <c r="DI85" s="49">
        <f t="shared" si="173"/>
        <v>0</v>
      </c>
      <c r="DJ85" s="50">
        <f t="shared" si="174"/>
        <v>0</v>
      </c>
      <c r="DK85" s="51"/>
      <c r="DL85" s="49">
        <f t="shared" si="175"/>
        <v>0</v>
      </c>
      <c r="DM85" s="50">
        <f t="shared" si="176"/>
        <v>0</v>
      </c>
      <c r="DN85" s="51"/>
      <c r="DO85" s="49">
        <f t="shared" si="177"/>
        <v>0</v>
      </c>
      <c r="DP85" s="50">
        <f t="shared" si="178"/>
        <v>0</v>
      </c>
      <c r="DQ85" s="51"/>
      <c r="DR85" s="51"/>
      <c r="DS85" s="51"/>
      <c r="DT85" s="46">
        <f t="shared" si="179"/>
        <v>937</v>
      </c>
      <c r="DU85" s="46">
        <f t="shared" si="179"/>
        <v>14130</v>
      </c>
      <c r="DV85" s="46">
        <f t="shared" si="179"/>
        <v>9886.4000000000015</v>
      </c>
    </row>
    <row r="86" spans="1:126" x14ac:dyDescent="0.6">
      <c r="A86" s="67"/>
      <c r="B86" s="9" t="s">
        <v>36</v>
      </c>
      <c r="C86" s="10" t="s">
        <v>42</v>
      </c>
      <c r="D86" s="51">
        <v>325</v>
      </c>
      <c r="E86" s="49">
        <f t="shared" si="101"/>
        <v>4550</v>
      </c>
      <c r="F86" s="50">
        <f t="shared" si="102"/>
        <v>2912</v>
      </c>
      <c r="G86" s="51"/>
      <c r="H86" s="49">
        <f t="shared" si="103"/>
        <v>0</v>
      </c>
      <c r="I86" s="50">
        <f t="shared" si="104"/>
        <v>0</v>
      </c>
      <c r="J86" s="51">
        <v>114</v>
      </c>
      <c r="K86" s="49">
        <f t="shared" si="105"/>
        <v>1368</v>
      </c>
      <c r="L86" s="50">
        <f t="shared" si="106"/>
        <v>875.52</v>
      </c>
      <c r="M86" s="51"/>
      <c r="N86" s="49">
        <f t="shared" si="107"/>
        <v>0</v>
      </c>
      <c r="O86" s="50">
        <f t="shared" si="108"/>
        <v>0</v>
      </c>
      <c r="P86" s="51"/>
      <c r="Q86" s="49">
        <f t="shared" si="109"/>
        <v>0</v>
      </c>
      <c r="R86" s="50">
        <f t="shared" si="110"/>
        <v>0</v>
      </c>
      <c r="S86" s="51"/>
      <c r="T86" s="49">
        <f t="shared" si="111"/>
        <v>0</v>
      </c>
      <c r="U86" s="50">
        <f t="shared" si="112"/>
        <v>0</v>
      </c>
      <c r="V86" s="51">
        <v>120</v>
      </c>
      <c r="W86" s="49">
        <f t="shared" si="113"/>
        <v>1680</v>
      </c>
      <c r="X86" s="50">
        <f t="shared" si="114"/>
        <v>1075.2</v>
      </c>
      <c r="Y86" s="51"/>
      <c r="Z86" s="49">
        <f t="shared" si="115"/>
        <v>0</v>
      </c>
      <c r="AA86" s="50">
        <f t="shared" si="116"/>
        <v>0</v>
      </c>
      <c r="AB86" s="51"/>
      <c r="AC86" s="49">
        <f t="shared" si="117"/>
        <v>0</v>
      </c>
      <c r="AD86" s="50">
        <f t="shared" si="118"/>
        <v>0</v>
      </c>
      <c r="AE86" s="51"/>
      <c r="AF86" s="49">
        <f t="shared" si="119"/>
        <v>0</v>
      </c>
      <c r="AG86" s="50">
        <f t="shared" si="120"/>
        <v>0</v>
      </c>
      <c r="AH86" s="51"/>
      <c r="AI86" s="49">
        <f t="shared" si="121"/>
        <v>0</v>
      </c>
      <c r="AJ86" s="50">
        <f t="shared" si="122"/>
        <v>0</v>
      </c>
      <c r="AK86" s="51"/>
      <c r="AL86" s="49">
        <f t="shared" si="123"/>
        <v>0</v>
      </c>
      <c r="AM86" s="50">
        <f t="shared" si="124"/>
        <v>0</v>
      </c>
      <c r="AN86" s="51"/>
      <c r="AO86" s="49">
        <f t="shared" si="125"/>
        <v>0</v>
      </c>
      <c r="AP86" s="50">
        <f t="shared" si="126"/>
        <v>0</v>
      </c>
      <c r="AQ86" s="51"/>
      <c r="AR86" s="49">
        <f t="shared" si="127"/>
        <v>0</v>
      </c>
      <c r="AS86" s="50">
        <f t="shared" si="128"/>
        <v>0</v>
      </c>
      <c r="AT86" s="51"/>
      <c r="AU86" s="49">
        <f t="shared" si="129"/>
        <v>0</v>
      </c>
      <c r="AV86" s="50">
        <f t="shared" si="130"/>
        <v>0</v>
      </c>
      <c r="AW86" s="51">
        <v>775</v>
      </c>
      <c r="AX86" s="49">
        <f t="shared" si="131"/>
        <v>9300</v>
      </c>
      <c r="AY86" s="50">
        <f t="shared" si="132"/>
        <v>9300</v>
      </c>
      <c r="AZ86" s="51"/>
      <c r="BA86" s="49">
        <f t="shared" si="133"/>
        <v>0</v>
      </c>
      <c r="BB86" s="50">
        <f t="shared" si="134"/>
        <v>0</v>
      </c>
      <c r="BC86" s="51">
        <v>145</v>
      </c>
      <c r="BD86" s="49">
        <f t="shared" si="135"/>
        <v>5800</v>
      </c>
      <c r="BE86" s="50">
        <f t="shared" si="136"/>
        <v>2029.9999999999998</v>
      </c>
      <c r="BF86" s="51">
        <v>540</v>
      </c>
      <c r="BG86" s="49">
        <f t="shared" si="137"/>
        <v>6480</v>
      </c>
      <c r="BH86" s="50">
        <f t="shared" si="138"/>
        <v>6480</v>
      </c>
      <c r="BI86" s="51"/>
      <c r="BJ86" s="49">
        <f t="shared" si="139"/>
        <v>0</v>
      </c>
      <c r="BK86" s="50">
        <f t="shared" si="140"/>
        <v>0</v>
      </c>
      <c r="BL86" s="51">
        <v>33</v>
      </c>
      <c r="BM86" s="49">
        <f t="shared" si="141"/>
        <v>1320</v>
      </c>
      <c r="BN86" s="50">
        <f t="shared" si="142"/>
        <v>461.99999999999994</v>
      </c>
      <c r="BO86" s="51"/>
      <c r="BP86" s="49">
        <f t="shared" si="143"/>
        <v>0</v>
      </c>
      <c r="BQ86" s="50">
        <f t="shared" si="144"/>
        <v>0</v>
      </c>
      <c r="BR86" s="51"/>
      <c r="BS86" s="49">
        <f t="shared" si="145"/>
        <v>0</v>
      </c>
      <c r="BT86" s="50">
        <f t="shared" si="146"/>
        <v>0</v>
      </c>
      <c r="BU86" s="51"/>
      <c r="BV86" s="49">
        <f t="shared" si="147"/>
        <v>0</v>
      </c>
      <c r="BW86" s="50">
        <f t="shared" si="148"/>
        <v>0</v>
      </c>
      <c r="BX86" s="51"/>
      <c r="BY86" s="49">
        <f t="shared" si="149"/>
        <v>0</v>
      </c>
      <c r="BZ86" s="50">
        <f t="shared" si="150"/>
        <v>0</v>
      </c>
      <c r="CA86" s="51"/>
      <c r="CB86" s="49">
        <f t="shared" si="151"/>
        <v>0</v>
      </c>
      <c r="CC86" s="50">
        <f t="shared" si="152"/>
        <v>0</v>
      </c>
      <c r="CD86" s="51"/>
      <c r="CE86" s="49">
        <f t="shared" si="153"/>
        <v>0</v>
      </c>
      <c r="CF86" s="50">
        <f t="shared" si="154"/>
        <v>0</v>
      </c>
      <c r="CG86" s="51"/>
      <c r="CH86" s="49">
        <f t="shared" si="155"/>
        <v>0</v>
      </c>
      <c r="CI86" s="50">
        <f t="shared" si="156"/>
        <v>0</v>
      </c>
      <c r="CJ86" s="51"/>
      <c r="CK86" s="49">
        <f t="shared" si="157"/>
        <v>0</v>
      </c>
      <c r="CL86" s="50">
        <f t="shared" si="158"/>
        <v>0</v>
      </c>
      <c r="CM86" s="51"/>
      <c r="CN86" s="49">
        <f t="shared" si="159"/>
        <v>0</v>
      </c>
      <c r="CO86" s="50">
        <f t="shared" si="160"/>
        <v>0</v>
      </c>
      <c r="CP86" s="51"/>
      <c r="CQ86" s="49">
        <f t="shared" si="161"/>
        <v>0</v>
      </c>
      <c r="CR86" s="50">
        <f t="shared" si="162"/>
        <v>0</v>
      </c>
      <c r="CS86" s="51"/>
      <c r="CT86" s="49">
        <f t="shared" si="163"/>
        <v>0</v>
      </c>
      <c r="CU86" s="50">
        <f t="shared" si="164"/>
        <v>0</v>
      </c>
      <c r="CV86" s="51"/>
      <c r="CW86" s="49">
        <f t="shared" si="165"/>
        <v>0</v>
      </c>
      <c r="CX86" s="50">
        <f t="shared" si="166"/>
        <v>0</v>
      </c>
      <c r="CY86" s="51"/>
      <c r="CZ86" s="49">
        <f t="shared" si="167"/>
        <v>0</v>
      </c>
      <c r="DA86" s="50">
        <f t="shared" si="168"/>
        <v>0</v>
      </c>
      <c r="DB86" s="51"/>
      <c r="DC86" s="49">
        <f t="shared" si="169"/>
        <v>0</v>
      </c>
      <c r="DD86" s="50">
        <f t="shared" si="170"/>
        <v>0</v>
      </c>
      <c r="DE86" s="51"/>
      <c r="DF86" s="49">
        <f t="shared" si="171"/>
        <v>0</v>
      </c>
      <c r="DG86" s="50">
        <f t="shared" si="172"/>
        <v>0</v>
      </c>
      <c r="DH86" s="51"/>
      <c r="DI86" s="49">
        <f t="shared" si="173"/>
        <v>0</v>
      </c>
      <c r="DJ86" s="50">
        <f t="shared" si="174"/>
        <v>0</v>
      </c>
      <c r="DK86" s="51"/>
      <c r="DL86" s="49">
        <f t="shared" si="175"/>
        <v>0</v>
      </c>
      <c r="DM86" s="50">
        <f t="shared" si="176"/>
        <v>0</v>
      </c>
      <c r="DN86" s="51"/>
      <c r="DO86" s="49">
        <f t="shared" si="177"/>
        <v>0</v>
      </c>
      <c r="DP86" s="50">
        <f t="shared" si="178"/>
        <v>0</v>
      </c>
      <c r="DQ86" s="51"/>
      <c r="DR86" s="51"/>
      <c r="DS86" s="51"/>
      <c r="DT86" s="46">
        <f t="shared" si="179"/>
        <v>2052</v>
      </c>
      <c r="DU86" s="46">
        <f t="shared" si="179"/>
        <v>30498</v>
      </c>
      <c r="DV86" s="46">
        <f t="shared" si="179"/>
        <v>23134.720000000001</v>
      </c>
    </row>
    <row r="87" spans="1:126" x14ac:dyDescent="0.6">
      <c r="A87" s="67"/>
      <c r="B87" s="9" t="s">
        <v>38</v>
      </c>
      <c r="C87" s="10" t="s">
        <v>42</v>
      </c>
      <c r="D87" s="51">
        <v>330</v>
      </c>
      <c r="E87" s="49">
        <f t="shared" si="101"/>
        <v>4620</v>
      </c>
      <c r="F87" s="50">
        <f t="shared" si="102"/>
        <v>2956.8</v>
      </c>
      <c r="G87" s="51"/>
      <c r="H87" s="49">
        <f t="shared" si="103"/>
        <v>0</v>
      </c>
      <c r="I87" s="50">
        <f t="shared" si="104"/>
        <v>0</v>
      </c>
      <c r="J87" s="51"/>
      <c r="K87" s="49">
        <f t="shared" si="105"/>
        <v>0</v>
      </c>
      <c r="L87" s="50">
        <f t="shared" si="106"/>
        <v>0</v>
      </c>
      <c r="M87" s="51"/>
      <c r="N87" s="49">
        <f t="shared" si="107"/>
        <v>0</v>
      </c>
      <c r="O87" s="50">
        <f t="shared" si="108"/>
        <v>0</v>
      </c>
      <c r="P87" s="51"/>
      <c r="Q87" s="49">
        <f t="shared" si="109"/>
        <v>0</v>
      </c>
      <c r="R87" s="50">
        <f t="shared" si="110"/>
        <v>0</v>
      </c>
      <c r="S87" s="51"/>
      <c r="T87" s="49">
        <f t="shared" si="111"/>
        <v>0</v>
      </c>
      <c r="U87" s="50">
        <f t="shared" si="112"/>
        <v>0</v>
      </c>
      <c r="V87" s="51">
        <v>25</v>
      </c>
      <c r="W87" s="49">
        <f t="shared" si="113"/>
        <v>350</v>
      </c>
      <c r="X87" s="50">
        <f t="shared" si="114"/>
        <v>224</v>
      </c>
      <c r="Y87" s="51"/>
      <c r="Z87" s="49">
        <f t="shared" si="115"/>
        <v>0</v>
      </c>
      <c r="AA87" s="50">
        <f t="shared" si="116"/>
        <v>0</v>
      </c>
      <c r="AB87" s="51"/>
      <c r="AC87" s="49">
        <f t="shared" si="117"/>
        <v>0</v>
      </c>
      <c r="AD87" s="50">
        <f t="shared" si="118"/>
        <v>0</v>
      </c>
      <c r="AE87" s="51"/>
      <c r="AF87" s="49">
        <f t="shared" si="119"/>
        <v>0</v>
      </c>
      <c r="AG87" s="50">
        <f t="shared" si="120"/>
        <v>0</v>
      </c>
      <c r="AH87" s="51"/>
      <c r="AI87" s="49">
        <f t="shared" si="121"/>
        <v>0</v>
      </c>
      <c r="AJ87" s="50">
        <f t="shared" si="122"/>
        <v>0</v>
      </c>
      <c r="AK87" s="51">
        <v>25</v>
      </c>
      <c r="AL87" s="49">
        <f t="shared" si="123"/>
        <v>350</v>
      </c>
      <c r="AM87" s="50">
        <f t="shared" si="124"/>
        <v>224</v>
      </c>
      <c r="AN87" s="51"/>
      <c r="AO87" s="49">
        <f t="shared" si="125"/>
        <v>0</v>
      </c>
      <c r="AP87" s="50">
        <f t="shared" si="126"/>
        <v>0</v>
      </c>
      <c r="AQ87" s="51"/>
      <c r="AR87" s="49">
        <f t="shared" si="127"/>
        <v>0</v>
      </c>
      <c r="AS87" s="50">
        <f t="shared" si="128"/>
        <v>0</v>
      </c>
      <c r="AT87" s="51"/>
      <c r="AU87" s="49">
        <f t="shared" si="129"/>
        <v>0</v>
      </c>
      <c r="AV87" s="50">
        <f t="shared" si="130"/>
        <v>0</v>
      </c>
      <c r="AW87" s="51">
        <v>365</v>
      </c>
      <c r="AX87" s="49">
        <f t="shared" si="131"/>
        <v>4380</v>
      </c>
      <c r="AY87" s="50">
        <f t="shared" si="132"/>
        <v>4380</v>
      </c>
      <c r="AZ87" s="51">
        <v>15</v>
      </c>
      <c r="BA87" s="49">
        <f t="shared" si="133"/>
        <v>180</v>
      </c>
      <c r="BB87" s="50">
        <f t="shared" si="134"/>
        <v>108</v>
      </c>
      <c r="BC87" s="51">
        <v>50</v>
      </c>
      <c r="BD87" s="49">
        <f t="shared" si="135"/>
        <v>2000</v>
      </c>
      <c r="BE87" s="50">
        <f t="shared" si="136"/>
        <v>700</v>
      </c>
      <c r="BF87" s="51">
        <v>345</v>
      </c>
      <c r="BG87" s="49">
        <f t="shared" si="137"/>
        <v>4140</v>
      </c>
      <c r="BH87" s="50">
        <f t="shared" si="138"/>
        <v>4140</v>
      </c>
      <c r="BI87" s="51"/>
      <c r="BJ87" s="49">
        <f t="shared" si="139"/>
        <v>0</v>
      </c>
      <c r="BK87" s="50">
        <f t="shared" si="140"/>
        <v>0</v>
      </c>
      <c r="BL87" s="51">
        <v>30</v>
      </c>
      <c r="BM87" s="49">
        <f t="shared" si="141"/>
        <v>1200</v>
      </c>
      <c r="BN87" s="50">
        <f t="shared" si="142"/>
        <v>420</v>
      </c>
      <c r="BO87" s="51"/>
      <c r="BP87" s="49">
        <f t="shared" si="143"/>
        <v>0</v>
      </c>
      <c r="BQ87" s="50">
        <f t="shared" si="144"/>
        <v>0</v>
      </c>
      <c r="BR87" s="51"/>
      <c r="BS87" s="49">
        <f t="shared" si="145"/>
        <v>0</v>
      </c>
      <c r="BT87" s="50">
        <f t="shared" si="146"/>
        <v>0</v>
      </c>
      <c r="BU87" s="51"/>
      <c r="BV87" s="49">
        <f t="shared" si="147"/>
        <v>0</v>
      </c>
      <c r="BW87" s="50">
        <f t="shared" si="148"/>
        <v>0</v>
      </c>
      <c r="BX87" s="51"/>
      <c r="BY87" s="49">
        <f t="shared" si="149"/>
        <v>0</v>
      </c>
      <c r="BZ87" s="50">
        <f t="shared" si="150"/>
        <v>0</v>
      </c>
      <c r="CA87" s="51"/>
      <c r="CB87" s="49">
        <f t="shared" si="151"/>
        <v>0</v>
      </c>
      <c r="CC87" s="50">
        <f t="shared" si="152"/>
        <v>0</v>
      </c>
      <c r="CD87" s="51"/>
      <c r="CE87" s="49">
        <f t="shared" si="153"/>
        <v>0</v>
      </c>
      <c r="CF87" s="50">
        <f t="shared" si="154"/>
        <v>0</v>
      </c>
      <c r="CG87" s="51"/>
      <c r="CH87" s="49">
        <f t="shared" si="155"/>
        <v>0</v>
      </c>
      <c r="CI87" s="50">
        <f t="shared" si="156"/>
        <v>0</v>
      </c>
      <c r="CJ87" s="51"/>
      <c r="CK87" s="49">
        <f t="shared" si="157"/>
        <v>0</v>
      </c>
      <c r="CL87" s="50">
        <f t="shared" si="158"/>
        <v>0</v>
      </c>
      <c r="CM87" s="51"/>
      <c r="CN87" s="49">
        <f t="shared" si="159"/>
        <v>0</v>
      </c>
      <c r="CO87" s="50">
        <f t="shared" si="160"/>
        <v>0</v>
      </c>
      <c r="CP87" s="51"/>
      <c r="CQ87" s="49">
        <f t="shared" si="161"/>
        <v>0</v>
      </c>
      <c r="CR87" s="50">
        <f t="shared" si="162"/>
        <v>0</v>
      </c>
      <c r="CS87" s="51"/>
      <c r="CT87" s="49">
        <f t="shared" si="163"/>
        <v>0</v>
      </c>
      <c r="CU87" s="50">
        <f t="shared" si="164"/>
        <v>0</v>
      </c>
      <c r="CV87" s="51"/>
      <c r="CW87" s="49">
        <f t="shared" si="165"/>
        <v>0</v>
      </c>
      <c r="CX87" s="50">
        <f t="shared" si="166"/>
        <v>0</v>
      </c>
      <c r="CY87" s="51"/>
      <c r="CZ87" s="49">
        <f t="shared" si="167"/>
        <v>0</v>
      </c>
      <c r="DA87" s="50">
        <f t="shared" si="168"/>
        <v>0</v>
      </c>
      <c r="DB87" s="51"/>
      <c r="DC87" s="49">
        <f t="shared" si="169"/>
        <v>0</v>
      </c>
      <c r="DD87" s="50">
        <f t="shared" si="170"/>
        <v>0</v>
      </c>
      <c r="DE87" s="51"/>
      <c r="DF87" s="49">
        <f t="shared" si="171"/>
        <v>0</v>
      </c>
      <c r="DG87" s="50">
        <f t="shared" si="172"/>
        <v>0</v>
      </c>
      <c r="DH87" s="51"/>
      <c r="DI87" s="49">
        <f t="shared" si="173"/>
        <v>0</v>
      </c>
      <c r="DJ87" s="50">
        <f t="shared" si="174"/>
        <v>0</v>
      </c>
      <c r="DK87" s="51"/>
      <c r="DL87" s="49">
        <f t="shared" si="175"/>
        <v>0</v>
      </c>
      <c r="DM87" s="50">
        <f t="shared" si="176"/>
        <v>0</v>
      </c>
      <c r="DN87" s="51"/>
      <c r="DO87" s="49">
        <f t="shared" si="177"/>
        <v>0</v>
      </c>
      <c r="DP87" s="50">
        <f t="shared" si="178"/>
        <v>0</v>
      </c>
      <c r="DQ87" s="51"/>
      <c r="DR87" s="51"/>
      <c r="DS87" s="51"/>
      <c r="DT87" s="46">
        <f t="shared" si="179"/>
        <v>1185</v>
      </c>
      <c r="DU87" s="46">
        <f>E87+H87+K87+N87+Q87+T87+W87+Z87+AC87+AF87+AI87+AL87+AO87+AR87+AU87+AX87+BA87+BD87+BG87+BJ87+BM87+BP87+BS87+BV87+BY87+CB87+CE87+CH87+CK87+CN87+CQ87+CT87+CW87+CZ87+DC87+DF87+DI87+DL87+DO87</f>
        <v>17220</v>
      </c>
      <c r="DV87" s="46">
        <f t="shared" si="179"/>
        <v>13152.8</v>
      </c>
    </row>
    <row r="88" spans="1:126" ht="21.75" thickBot="1" x14ac:dyDescent="0.65">
      <c r="A88" s="67"/>
      <c r="B88" s="9" t="s">
        <v>40</v>
      </c>
      <c r="C88" s="10" t="s">
        <v>42</v>
      </c>
      <c r="D88" s="51"/>
      <c r="E88" s="49">
        <f t="shared" si="101"/>
        <v>0</v>
      </c>
      <c r="F88" s="50">
        <f t="shared" si="102"/>
        <v>0</v>
      </c>
      <c r="G88" s="51"/>
      <c r="H88" s="49">
        <f t="shared" si="103"/>
        <v>0</v>
      </c>
      <c r="I88" s="50">
        <f t="shared" si="104"/>
        <v>0</v>
      </c>
      <c r="J88" s="51">
        <v>0</v>
      </c>
      <c r="K88" s="49">
        <f t="shared" si="105"/>
        <v>0</v>
      </c>
      <c r="L88" s="50">
        <f t="shared" si="106"/>
        <v>0</v>
      </c>
      <c r="M88" s="51">
        <v>0</v>
      </c>
      <c r="N88" s="49">
        <f t="shared" si="107"/>
        <v>0</v>
      </c>
      <c r="O88" s="50">
        <f t="shared" si="108"/>
        <v>0</v>
      </c>
      <c r="P88" s="51"/>
      <c r="Q88" s="49">
        <f t="shared" si="109"/>
        <v>0</v>
      </c>
      <c r="R88" s="50">
        <f t="shared" si="110"/>
        <v>0</v>
      </c>
      <c r="S88" s="51"/>
      <c r="T88" s="49">
        <f t="shared" si="111"/>
        <v>0</v>
      </c>
      <c r="U88" s="50">
        <f t="shared" si="112"/>
        <v>0</v>
      </c>
      <c r="V88" s="51"/>
      <c r="W88" s="49">
        <f t="shared" si="113"/>
        <v>0</v>
      </c>
      <c r="X88" s="50">
        <f t="shared" si="114"/>
        <v>0</v>
      </c>
      <c r="Y88" s="51"/>
      <c r="Z88" s="49">
        <f t="shared" si="115"/>
        <v>0</v>
      </c>
      <c r="AA88" s="50">
        <f t="shared" si="116"/>
        <v>0</v>
      </c>
      <c r="AB88" s="51"/>
      <c r="AC88" s="49">
        <f t="shared" si="117"/>
        <v>0</v>
      </c>
      <c r="AD88" s="50">
        <f t="shared" si="118"/>
        <v>0</v>
      </c>
      <c r="AE88" s="51"/>
      <c r="AF88" s="49">
        <f t="shared" si="119"/>
        <v>0</v>
      </c>
      <c r="AG88" s="50">
        <f t="shared" si="120"/>
        <v>0</v>
      </c>
      <c r="AH88" s="51"/>
      <c r="AI88" s="49">
        <f t="shared" si="121"/>
        <v>0</v>
      </c>
      <c r="AJ88" s="50">
        <f t="shared" si="122"/>
        <v>0</v>
      </c>
      <c r="AK88" s="51"/>
      <c r="AL88" s="49">
        <f t="shared" si="123"/>
        <v>0</v>
      </c>
      <c r="AM88" s="50">
        <f t="shared" si="124"/>
        <v>0</v>
      </c>
      <c r="AN88" s="51"/>
      <c r="AO88" s="49">
        <f t="shared" si="125"/>
        <v>0</v>
      </c>
      <c r="AP88" s="50">
        <f t="shared" si="126"/>
        <v>0</v>
      </c>
      <c r="AQ88" s="51"/>
      <c r="AR88" s="49">
        <f t="shared" si="127"/>
        <v>0</v>
      </c>
      <c r="AS88" s="50">
        <f t="shared" si="128"/>
        <v>0</v>
      </c>
      <c r="AT88" s="51"/>
      <c r="AU88" s="49">
        <f t="shared" si="129"/>
        <v>0</v>
      </c>
      <c r="AV88" s="50">
        <f t="shared" si="130"/>
        <v>0</v>
      </c>
      <c r="AW88" s="51"/>
      <c r="AX88" s="49">
        <f t="shared" si="131"/>
        <v>0</v>
      </c>
      <c r="AY88" s="50">
        <f t="shared" si="132"/>
        <v>0</v>
      </c>
      <c r="AZ88" s="51"/>
      <c r="BA88" s="49">
        <f t="shared" si="133"/>
        <v>0</v>
      </c>
      <c r="BB88" s="50">
        <f t="shared" si="134"/>
        <v>0</v>
      </c>
      <c r="BC88" s="51"/>
      <c r="BD88" s="49">
        <f t="shared" si="135"/>
        <v>0</v>
      </c>
      <c r="BE88" s="50">
        <f t="shared" si="136"/>
        <v>0</v>
      </c>
      <c r="BF88" s="51"/>
      <c r="BG88" s="51">
        <f t="shared" si="137"/>
        <v>0</v>
      </c>
      <c r="BH88" s="74">
        <f t="shared" si="138"/>
        <v>0</v>
      </c>
      <c r="BI88" s="51"/>
      <c r="BJ88" s="49">
        <f t="shared" si="139"/>
        <v>0</v>
      </c>
      <c r="BK88" s="50">
        <f t="shared" si="140"/>
        <v>0</v>
      </c>
      <c r="BL88" s="51"/>
      <c r="BM88" s="49">
        <f t="shared" si="141"/>
        <v>0</v>
      </c>
      <c r="BN88" s="50">
        <f t="shared" si="142"/>
        <v>0</v>
      </c>
      <c r="BO88" s="51"/>
      <c r="BP88" s="49">
        <f t="shared" si="143"/>
        <v>0</v>
      </c>
      <c r="BQ88" s="50">
        <f t="shared" si="144"/>
        <v>0</v>
      </c>
      <c r="BR88" s="51"/>
      <c r="BS88" s="49">
        <f t="shared" si="145"/>
        <v>0</v>
      </c>
      <c r="BT88" s="50">
        <f t="shared" si="146"/>
        <v>0</v>
      </c>
      <c r="BU88" s="51"/>
      <c r="BV88" s="49">
        <f t="shared" si="147"/>
        <v>0</v>
      </c>
      <c r="BW88" s="50">
        <f t="shared" si="148"/>
        <v>0</v>
      </c>
      <c r="BX88" s="51"/>
      <c r="BY88" s="49">
        <f t="shared" si="149"/>
        <v>0</v>
      </c>
      <c r="BZ88" s="50">
        <f t="shared" si="150"/>
        <v>0</v>
      </c>
      <c r="CA88" s="51"/>
      <c r="CB88" s="49">
        <f t="shared" si="151"/>
        <v>0</v>
      </c>
      <c r="CC88" s="50">
        <f t="shared" si="152"/>
        <v>0</v>
      </c>
      <c r="CD88" s="51"/>
      <c r="CE88" s="49">
        <f t="shared" si="153"/>
        <v>0</v>
      </c>
      <c r="CF88" s="50">
        <f t="shared" si="154"/>
        <v>0</v>
      </c>
      <c r="CG88" s="51"/>
      <c r="CH88" s="49">
        <f t="shared" si="155"/>
        <v>0</v>
      </c>
      <c r="CI88" s="50">
        <f t="shared" si="156"/>
        <v>0</v>
      </c>
      <c r="CJ88" s="51"/>
      <c r="CK88" s="49">
        <f t="shared" si="157"/>
        <v>0</v>
      </c>
      <c r="CL88" s="50">
        <f t="shared" si="158"/>
        <v>0</v>
      </c>
      <c r="CM88" s="51"/>
      <c r="CN88" s="49">
        <f t="shared" si="159"/>
        <v>0</v>
      </c>
      <c r="CO88" s="50">
        <f t="shared" si="160"/>
        <v>0</v>
      </c>
      <c r="CP88" s="51"/>
      <c r="CQ88" s="49">
        <f t="shared" si="161"/>
        <v>0</v>
      </c>
      <c r="CR88" s="50">
        <f t="shared" si="162"/>
        <v>0</v>
      </c>
      <c r="CS88" s="51"/>
      <c r="CT88" s="49">
        <f t="shared" si="163"/>
        <v>0</v>
      </c>
      <c r="CU88" s="50">
        <f t="shared" si="164"/>
        <v>0</v>
      </c>
      <c r="CV88" s="51"/>
      <c r="CW88" s="49">
        <f t="shared" si="165"/>
        <v>0</v>
      </c>
      <c r="CX88" s="50">
        <f t="shared" si="166"/>
        <v>0</v>
      </c>
      <c r="CY88" s="51"/>
      <c r="CZ88" s="49">
        <f t="shared" si="167"/>
        <v>0</v>
      </c>
      <c r="DA88" s="50">
        <f t="shared" si="168"/>
        <v>0</v>
      </c>
      <c r="DB88" s="51"/>
      <c r="DC88" s="49">
        <f t="shared" si="169"/>
        <v>0</v>
      </c>
      <c r="DD88" s="50">
        <f t="shared" si="170"/>
        <v>0</v>
      </c>
      <c r="DE88" s="51"/>
      <c r="DF88" s="49">
        <f t="shared" si="171"/>
        <v>0</v>
      </c>
      <c r="DG88" s="50">
        <f t="shared" si="172"/>
        <v>0</v>
      </c>
      <c r="DH88" s="51"/>
      <c r="DI88" s="49">
        <f t="shared" si="173"/>
        <v>0</v>
      </c>
      <c r="DJ88" s="50">
        <f t="shared" si="174"/>
        <v>0</v>
      </c>
      <c r="DK88" s="51"/>
      <c r="DL88" s="49">
        <f t="shared" si="175"/>
        <v>0</v>
      </c>
      <c r="DM88" s="50">
        <f t="shared" si="176"/>
        <v>0</v>
      </c>
      <c r="DN88" s="51"/>
      <c r="DO88" s="49">
        <f t="shared" si="177"/>
        <v>0</v>
      </c>
      <c r="DP88" s="50">
        <f t="shared" si="178"/>
        <v>0</v>
      </c>
      <c r="DQ88" s="51"/>
      <c r="DR88" s="51"/>
      <c r="DS88" s="51"/>
      <c r="DT88" s="75">
        <f t="shared" si="179"/>
        <v>0</v>
      </c>
      <c r="DU88" s="75">
        <f t="shared" si="179"/>
        <v>0</v>
      </c>
      <c r="DV88" s="75">
        <f t="shared" si="179"/>
        <v>0</v>
      </c>
    </row>
    <row r="89" spans="1:126" ht="21.75" thickBot="1" x14ac:dyDescent="0.65">
      <c r="A89" s="28"/>
      <c r="B89" s="30"/>
      <c r="C89" s="31"/>
      <c r="D89" s="52">
        <f t="shared" ref="D89:BO89" si="180">SUM(D76:D88)</f>
        <v>6300</v>
      </c>
      <c r="E89" s="52">
        <f t="shared" si="180"/>
        <v>88200</v>
      </c>
      <c r="F89" s="53">
        <f t="shared" si="180"/>
        <v>56448.000000000007</v>
      </c>
      <c r="G89" s="52">
        <f t="shared" si="180"/>
        <v>0</v>
      </c>
      <c r="H89" s="52">
        <f t="shared" si="180"/>
        <v>0</v>
      </c>
      <c r="I89" s="53">
        <f t="shared" si="180"/>
        <v>0</v>
      </c>
      <c r="J89" s="52">
        <f t="shared" si="180"/>
        <v>114</v>
      </c>
      <c r="K89" s="52">
        <f t="shared" si="180"/>
        <v>1368</v>
      </c>
      <c r="L89" s="53">
        <f t="shared" si="180"/>
        <v>875.52</v>
      </c>
      <c r="M89" s="52">
        <f t="shared" si="180"/>
        <v>159</v>
      </c>
      <c r="N89" s="52">
        <f t="shared" si="180"/>
        <v>2226</v>
      </c>
      <c r="O89" s="53">
        <f t="shared" si="180"/>
        <v>1424.64</v>
      </c>
      <c r="P89" s="52">
        <f t="shared" si="180"/>
        <v>0</v>
      </c>
      <c r="Q89" s="52">
        <f t="shared" si="180"/>
        <v>0</v>
      </c>
      <c r="R89" s="53">
        <f t="shared" si="180"/>
        <v>0</v>
      </c>
      <c r="S89" s="52">
        <f t="shared" si="180"/>
        <v>30</v>
      </c>
      <c r="T89" s="52">
        <f t="shared" si="180"/>
        <v>420</v>
      </c>
      <c r="U89" s="53">
        <f t="shared" si="180"/>
        <v>268.79999999999995</v>
      </c>
      <c r="V89" s="52">
        <f t="shared" si="180"/>
        <v>1019</v>
      </c>
      <c r="W89" s="52">
        <f t="shared" si="180"/>
        <v>14266</v>
      </c>
      <c r="X89" s="53">
        <f t="shared" si="180"/>
        <v>9130.24</v>
      </c>
      <c r="Y89" s="52">
        <f t="shared" si="180"/>
        <v>0</v>
      </c>
      <c r="Z89" s="52">
        <f t="shared" si="180"/>
        <v>0</v>
      </c>
      <c r="AA89" s="53">
        <f t="shared" si="180"/>
        <v>0</v>
      </c>
      <c r="AB89" s="52">
        <f t="shared" si="180"/>
        <v>0</v>
      </c>
      <c r="AC89" s="52">
        <f t="shared" si="180"/>
        <v>0</v>
      </c>
      <c r="AD89" s="53">
        <f t="shared" si="180"/>
        <v>0</v>
      </c>
      <c r="AE89" s="52">
        <f t="shared" si="180"/>
        <v>0</v>
      </c>
      <c r="AF89" s="52">
        <f t="shared" si="180"/>
        <v>0</v>
      </c>
      <c r="AG89" s="53">
        <f t="shared" si="180"/>
        <v>0</v>
      </c>
      <c r="AH89" s="52">
        <f t="shared" si="180"/>
        <v>236</v>
      </c>
      <c r="AI89" s="52">
        <f t="shared" si="180"/>
        <v>2832</v>
      </c>
      <c r="AJ89" s="53">
        <f t="shared" si="180"/>
        <v>1982.3999999999999</v>
      </c>
      <c r="AK89" s="52">
        <f t="shared" si="180"/>
        <v>50</v>
      </c>
      <c r="AL89" s="52">
        <f t="shared" si="180"/>
        <v>700</v>
      </c>
      <c r="AM89" s="53">
        <f t="shared" si="180"/>
        <v>448</v>
      </c>
      <c r="AN89" s="52">
        <f t="shared" si="180"/>
        <v>3.75</v>
      </c>
      <c r="AO89" s="52">
        <f t="shared" si="180"/>
        <v>45</v>
      </c>
      <c r="AP89" s="53">
        <f t="shared" si="180"/>
        <v>31.5</v>
      </c>
      <c r="AQ89" s="52">
        <f t="shared" si="180"/>
        <v>1</v>
      </c>
      <c r="AR89" s="52">
        <f t="shared" si="180"/>
        <v>24</v>
      </c>
      <c r="AS89" s="53">
        <f t="shared" si="180"/>
        <v>8.3999999999999986</v>
      </c>
      <c r="AT89" s="52">
        <f t="shared" si="180"/>
        <v>0</v>
      </c>
      <c r="AU89" s="52">
        <f t="shared" si="180"/>
        <v>0</v>
      </c>
      <c r="AV89" s="53">
        <f t="shared" si="180"/>
        <v>0</v>
      </c>
      <c r="AW89" s="52">
        <f t="shared" si="180"/>
        <v>12983</v>
      </c>
      <c r="AX89" s="52">
        <f t="shared" si="180"/>
        <v>155796</v>
      </c>
      <c r="AY89" s="53">
        <f t="shared" si="180"/>
        <v>155796</v>
      </c>
      <c r="AZ89" s="52">
        <f t="shared" si="180"/>
        <v>1906</v>
      </c>
      <c r="BA89" s="52">
        <f t="shared" si="180"/>
        <v>22872</v>
      </c>
      <c r="BB89" s="53">
        <f t="shared" si="180"/>
        <v>13723.2</v>
      </c>
      <c r="BC89" s="52">
        <f t="shared" si="180"/>
        <v>2217</v>
      </c>
      <c r="BD89" s="52">
        <f t="shared" si="180"/>
        <v>88680</v>
      </c>
      <c r="BE89" s="53">
        <f t="shared" si="180"/>
        <v>31038</v>
      </c>
      <c r="BF89" s="76">
        <f t="shared" si="180"/>
        <v>7335</v>
      </c>
      <c r="BG89" s="77">
        <f t="shared" si="137"/>
        <v>88020</v>
      </c>
      <c r="BH89" s="78">
        <f t="shared" si="138"/>
        <v>88020</v>
      </c>
      <c r="BI89" s="79">
        <f t="shared" si="180"/>
        <v>0</v>
      </c>
      <c r="BJ89" s="52">
        <f t="shared" si="180"/>
        <v>0</v>
      </c>
      <c r="BK89" s="53">
        <f t="shared" si="180"/>
        <v>0</v>
      </c>
      <c r="BL89" s="52">
        <f t="shared" si="180"/>
        <v>889</v>
      </c>
      <c r="BM89" s="52">
        <f t="shared" si="180"/>
        <v>35560</v>
      </c>
      <c r="BN89" s="53">
        <f t="shared" si="180"/>
        <v>12446</v>
      </c>
      <c r="BO89" s="52">
        <f t="shared" si="180"/>
        <v>0</v>
      </c>
      <c r="BP89" s="52">
        <f t="shared" ref="BP89:DS89" si="181">SUM(BP76:BP88)</f>
        <v>0</v>
      </c>
      <c r="BQ89" s="53">
        <f t="shared" si="181"/>
        <v>0</v>
      </c>
      <c r="BR89" s="52">
        <f t="shared" si="181"/>
        <v>0</v>
      </c>
      <c r="BS89" s="52">
        <f t="shared" si="181"/>
        <v>0</v>
      </c>
      <c r="BT89" s="53">
        <f t="shared" si="181"/>
        <v>0</v>
      </c>
      <c r="BU89" s="52">
        <f t="shared" si="181"/>
        <v>0</v>
      </c>
      <c r="BV89" s="52">
        <f t="shared" si="181"/>
        <v>0</v>
      </c>
      <c r="BW89" s="53">
        <f t="shared" si="181"/>
        <v>0</v>
      </c>
      <c r="BX89" s="52">
        <f t="shared" si="181"/>
        <v>0</v>
      </c>
      <c r="BY89" s="52">
        <f t="shared" si="181"/>
        <v>0</v>
      </c>
      <c r="BZ89" s="53">
        <f t="shared" si="181"/>
        <v>0</v>
      </c>
      <c r="CA89" s="52">
        <f t="shared" si="181"/>
        <v>0</v>
      </c>
      <c r="CB89" s="52">
        <f t="shared" si="181"/>
        <v>0</v>
      </c>
      <c r="CC89" s="53">
        <f t="shared" si="181"/>
        <v>0</v>
      </c>
      <c r="CD89" s="52">
        <f t="shared" si="181"/>
        <v>0</v>
      </c>
      <c r="CE89" s="52">
        <f t="shared" si="181"/>
        <v>0</v>
      </c>
      <c r="CF89" s="53">
        <f t="shared" si="181"/>
        <v>0</v>
      </c>
      <c r="CG89" s="52">
        <f t="shared" si="181"/>
        <v>0</v>
      </c>
      <c r="CH89" s="52">
        <f t="shared" si="181"/>
        <v>0</v>
      </c>
      <c r="CI89" s="53">
        <f t="shared" si="181"/>
        <v>0</v>
      </c>
      <c r="CJ89" s="52">
        <f t="shared" si="181"/>
        <v>0</v>
      </c>
      <c r="CK89" s="52">
        <f t="shared" si="181"/>
        <v>0</v>
      </c>
      <c r="CL89" s="53">
        <f t="shared" si="181"/>
        <v>0</v>
      </c>
      <c r="CM89" s="52">
        <f t="shared" si="181"/>
        <v>14.833333333333332</v>
      </c>
      <c r="CN89" s="52">
        <f t="shared" si="181"/>
        <v>178</v>
      </c>
      <c r="CO89" s="53">
        <f t="shared" si="181"/>
        <v>178</v>
      </c>
      <c r="CP89" s="52">
        <f t="shared" si="181"/>
        <v>0</v>
      </c>
      <c r="CQ89" s="52">
        <f t="shared" si="181"/>
        <v>0</v>
      </c>
      <c r="CR89" s="53">
        <f t="shared" si="181"/>
        <v>0</v>
      </c>
      <c r="CS89" s="52">
        <f t="shared" si="181"/>
        <v>0</v>
      </c>
      <c r="CT89" s="52">
        <f t="shared" si="181"/>
        <v>0</v>
      </c>
      <c r="CU89" s="53">
        <f t="shared" si="181"/>
        <v>0</v>
      </c>
      <c r="CV89" s="52">
        <f t="shared" si="181"/>
        <v>0</v>
      </c>
      <c r="CW89" s="52">
        <f t="shared" si="181"/>
        <v>0</v>
      </c>
      <c r="CX89" s="53">
        <f t="shared" si="181"/>
        <v>0</v>
      </c>
      <c r="CY89" s="52">
        <f t="shared" si="181"/>
        <v>0</v>
      </c>
      <c r="CZ89" s="52">
        <f t="shared" si="181"/>
        <v>0</v>
      </c>
      <c r="DA89" s="53">
        <f t="shared" si="181"/>
        <v>0</v>
      </c>
      <c r="DB89" s="52">
        <f t="shared" si="181"/>
        <v>0</v>
      </c>
      <c r="DC89" s="52">
        <f t="shared" si="181"/>
        <v>0</v>
      </c>
      <c r="DD89" s="53">
        <f t="shared" si="181"/>
        <v>0</v>
      </c>
      <c r="DE89" s="52">
        <f t="shared" si="181"/>
        <v>0</v>
      </c>
      <c r="DF89" s="52">
        <f t="shared" si="181"/>
        <v>0</v>
      </c>
      <c r="DG89" s="53">
        <f t="shared" si="181"/>
        <v>0</v>
      </c>
      <c r="DH89" s="52">
        <f t="shared" si="181"/>
        <v>0</v>
      </c>
      <c r="DI89" s="52">
        <f t="shared" si="181"/>
        <v>0</v>
      </c>
      <c r="DJ89" s="53">
        <f t="shared" si="181"/>
        <v>0</v>
      </c>
      <c r="DK89" s="52">
        <f t="shared" si="181"/>
        <v>5.6666666666666661</v>
      </c>
      <c r="DL89" s="52">
        <f t="shared" si="181"/>
        <v>68</v>
      </c>
      <c r="DM89" s="53">
        <f t="shared" si="181"/>
        <v>46.24</v>
      </c>
      <c r="DN89" s="52">
        <f t="shared" si="181"/>
        <v>9</v>
      </c>
      <c r="DO89" s="52">
        <f t="shared" si="181"/>
        <v>108</v>
      </c>
      <c r="DP89" s="53">
        <f t="shared" si="181"/>
        <v>108</v>
      </c>
      <c r="DQ89" s="52">
        <f t="shared" si="181"/>
        <v>0</v>
      </c>
      <c r="DR89" s="52">
        <f t="shared" si="181"/>
        <v>0</v>
      </c>
      <c r="DS89" s="80">
        <f t="shared" si="181"/>
        <v>0</v>
      </c>
      <c r="DT89" s="81">
        <f t="shared" si="179"/>
        <v>33272.25</v>
      </c>
      <c r="DU89" s="82">
        <f>E89+H89+K89+N89+Q89+T89+W89+Z89+AC89+AF89+AI89+AL89+AO89+AR89+AU89+AX89+BA89+BD89+BG89+BJ89+BM89+BP89+BS89+BV89+BY89+CB89+CE89+CH89+CK89+CN89+CQ89+CT89+CW89+CZ89+DC89+DF89+DI89+DL89+DO89</f>
        <v>501363</v>
      </c>
      <c r="DV89" s="83">
        <f t="shared" si="179"/>
        <v>371972.94</v>
      </c>
    </row>
    <row r="90" spans="1:126" ht="21" customHeight="1" x14ac:dyDescent="0.6">
      <c r="A90" s="73" t="s">
        <v>43</v>
      </c>
      <c r="B90" s="11" t="s">
        <v>44</v>
      </c>
      <c r="C90" s="69" t="s">
        <v>45</v>
      </c>
      <c r="D90" s="51">
        <v>52</v>
      </c>
      <c r="E90" s="49">
        <f t="shared" si="101"/>
        <v>728</v>
      </c>
      <c r="F90" s="50">
        <f t="shared" si="102"/>
        <v>465.92</v>
      </c>
      <c r="G90" s="51"/>
      <c r="H90" s="49">
        <f t="shared" si="103"/>
        <v>0</v>
      </c>
      <c r="I90" s="50">
        <f t="shared" si="104"/>
        <v>0</v>
      </c>
      <c r="J90" s="51"/>
      <c r="K90" s="49">
        <f t="shared" si="105"/>
        <v>0</v>
      </c>
      <c r="L90" s="50">
        <f t="shared" si="106"/>
        <v>0</v>
      </c>
      <c r="M90" s="51"/>
      <c r="N90" s="49">
        <f t="shared" si="107"/>
        <v>0</v>
      </c>
      <c r="O90" s="50">
        <f t="shared" si="108"/>
        <v>0</v>
      </c>
      <c r="P90" s="51"/>
      <c r="Q90" s="49">
        <f t="shared" si="109"/>
        <v>0</v>
      </c>
      <c r="R90" s="50">
        <f t="shared" si="110"/>
        <v>0</v>
      </c>
      <c r="S90" s="51">
        <v>2</v>
      </c>
      <c r="T90" s="49">
        <f t="shared" si="111"/>
        <v>28</v>
      </c>
      <c r="U90" s="50">
        <f t="shared" si="112"/>
        <v>17.920000000000002</v>
      </c>
      <c r="V90" s="51">
        <v>16</v>
      </c>
      <c r="W90" s="49">
        <f t="shared" si="113"/>
        <v>224</v>
      </c>
      <c r="X90" s="50">
        <f t="shared" si="114"/>
        <v>143.36000000000001</v>
      </c>
      <c r="Y90" s="51"/>
      <c r="Z90" s="49">
        <f t="shared" si="115"/>
        <v>0</v>
      </c>
      <c r="AA90" s="50">
        <f t="shared" si="116"/>
        <v>0</v>
      </c>
      <c r="AB90" s="51"/>
      <c r="AC90" s="49">
        <f t="shared" si="117"/>
        <v>0</v>
      </c>
      <c r="AD90" s="50">
        <f t="shared" si="118"/>
        <v>0</v>
      </c>
      <c r="AE90" s="51"/>
      <c r="AF90" s="49">
        <f t="shared" si="119"/>
        <v>0</v>
      </c>
      <c r="AG90" s="50">
        <f t="shared" si="120"/>
        <v>0</v>
      </c>
      <c r="AH90" s="51">
        <v>1</v>
      </c>
      <c r="AI90" s="49">
        <f t="shared" si="121"/>
        <v>12</v>
      </c>
      <c r="AJ90" s="50">
        <f t="shared" si="122"/>
        <v>8.3999999999999986</v>
      </c>
      <c r="AK90" s="51">
        <v>2</v>
      </c>
      <c r="AL90" s="49">
        <f t="shared" si="123"/>
        <v>28</v>
      </c>
      <c r="AM90" s="50">
        <f t="shared" si="124"/>
        <v>17.920000000000002</v>
      </c>
      <c r="AN90" s="51"/>
      <c r="AO90" s="49">
        <f t="shared" si="125"/>
        <v>0</v>
      </c>
      <c r="AP90" s="50">
        <f t="shared" si="126"/>
        <v>0</v>
      </c>
      <c r="AQ90" s="51">
        <v>1</v>
      </c>
      <c r="AR90" s="49">
        <f t="shared" si="127"/>
        <v>24</v>
      </c>
      <c r="AS90" s="50">
        <f t="shared" si="128"/>
        <v>8.3999999999999986</v>
      </c>
      <c r="AT90" s="51"/>
      <c r="AU90" s="49">
        <f t="shared" si="129"/>
        <v>0</v>
      </c>
      <c r="AV90" s="50">
        <f t="shared" si="130"/>
        <v>0</v>
      </c>
      <c r="AW90" s="51">
        <v>148</v>
      </c>
      <c r="AX90" s="49">
        <f t="shared" si="131"/>
        <v>1776</v>
      </c>
      <c r="AY90" s="50">
        <f t="shared" si="132"/>
        <v>1776</v>
      </c>
      <c r="AZ90" s="51">
        <v>12</v>
      </c>
      <c r="BA90" s="49">
        <f t="shared" si="133"/>
        <v>144</v>
      </c>
      <c r="BB90" s="50">
        <f t="shared" si="134"/>
        <v>86.399999999999991</v>
      </c>
      <c r="BC90" s="51">
        <v>22</v>
      </c>
      <c r="BD90" s="49">
        <f t="shared" si="135"/>
        <v>880</v>
      </c>
      <c r="BE90" s="50">
        <f t="shared" si="136"/>
        <v>308</v>
      </c>
      <c r="BF90" s="51">
        <v>87</v>
      </c>
      <c r="BG90" s="84">
        <f t="shared" si="137"/>
        <v>1044</v>
      </c>
      <c r="BH90" s="85">
        <f t="shared" si="138"/>
        <v>1044</v>
      </c>
      <c r="BI90" s="51"/>
      <c r="BJ90" s="49">
        <f t="shared" si="139"/>
        <v>0</v>
      </c>
      <c r="BK90" s="50">
        <f t="shared" si="140"/>
        <v>0</v>
      </c>
      <c r="BL90" s="51">
        <v>20</v>
      </c>
      <c r="BM90" s="49">
        <f t="shared" si="141"/>
        <v>800</v>
      </c>
      <c r="BN90" s="50">
        <f t="shared" si="142"/>
        <v>280</v>
      </c>
      <c r="BO90" s="51"/>
      <c r="BP90" s="49">
        <f t="shared" si="143"/>
        <v>0</v>
      </c>
      <c r="BQ90" s="50">
        <f t="shared" si="144"/>
        <v>0</v>
      </c>
      <c r="BR90" s="51"/>
      <c r="BS90" s="49">
        <f t="shared" si="145"/>
        <v>0</v>
      </c>
      <c r="BT90" s="50">
        <f t="shared" si="146"/>
        <v>0</v>
      </c>
      <c r="BU90" s="51"/>
      <c r="BV90" s="49">
        <f t="shared" si="147"/>
        <v>0</v>
      </c>
      <c r="BW90" s="50">
        <f t="shared" si="148"/>
        <v>0</v>
      </c>
      <c r="BX90" s="51"/>
      <c r="BY90" s="49">
        <f t="shared" si="149"/>
        <v>0</v>
      </c>
      <c r="BZ90" s="50">
        <f t="shared" si="150"/>
        <v>0</v>
      </c>
      <c r="CA90" s="51"/>
      <c r="CB90" s="49">
        <f t="shared" si="151"/>
        <v>0</v>
      </c>
      <c r="CC90" s="50">
        <f t="shared" si="152"/>
        <v>0</v>
      </c>
      <c r="CD90" s="51"/>
      <c r="CE90" s="49">
        <f t="shared" si="153"/>
        <v>0</v>
      </c>
      <c r="CF90" s="50">
        <f t="shared" si="154"/>
        <v>0</v>
      </c>
      <c r="CG90" s="51"/>
      <c r="CH90" s="49">
        <f t="shared" si="155"/>
        <v>0</v>
      </c>
      <c r="CI90" s="50">
        <f t="shared" si="156"/>
        <v>0</v>
      </c>
      <c r="CJ90" s="51"/>
      <c r="CK90" s="49">
        <f t="shared" si="157"/>
        <v>0</v>
      </c>
      <c r="CL90" s="50">
        <f t="shared" si="158"/>
        <v>0</v>
      </c>
      <c r="CM90" s="51">
        <v>2</v>
      </c>
      <c r="CN90" s="49">
        <f t="shared" si="159"/>
        <v>24</v>
      </c>
      <c r="CO90" s="50">
        <f t="shared" si="160"/>
        <v>24</v>
      </c>
      <c r="CP90" s="51"/>
      <c r="CQ90" s="49">
        <f t="shared" si="161"/>
        <v>0</v>
      </c>
      <c r="CR90" s="50">
        <f t="shared" si="162"/>
        <v>0</v>
      </c>
      <c r="CS90" s="51"/>
      <c r="CT90" s="49">
        <f t="shared" si="163"/>
        <v>0</v>
      </c>
      <c r="CU90" s="50">
        <f t="shared" si="164"/>
        <v>0</v>
      </c>
      <c r="CV90" s="51"/>
      <c r="CW90" s="49">
        <f t="shared" si="165"/>
        <v>0</v>
      </c>
      <c r="CX90" s="50">
        <f t="shared" si="166"/>
        <v>0</v>
      </c>
      <c r="CY90" s="51"/>
      <c r="CZ90" s="49">
        <f t="shared" si="167"/>
        <v>0</v>
      </c>
      <c r="DA90" s="50">
        <f t="shared" si="168"/>
        <v>0</v>
      </c>
      <c r="DB90" s="51"/>
      <c r="DC90" s="49">
        <f t="shared" si="169"/>
        <v>0</v>
      </c>
      <c r="DD90" s="50">
        <f t="shared" si="170"/>
        <v>0</v>
      </c>
      <c r="DE90" s="51"/>
      <c r="DF90" s="49">
        <f t="shared" si="171"/>
        <v>0</v>
      </c>
      <c r="DG90" s="50">
        <f t="shared" si="172"/>
        <v>0</v>
      </c>
      <c r="DH90" s="51"/>
      <c r="DI90" s="49">
        <f t="shared" si="173"/>
        <v>0</v>
      </c>
      <c r="DJ90" s="50">
        <f t="shared" si="174"/>
        <v>0</v>
      </c>
      <c r="DK90" s="51"/>
      <c r="DL90" s="49">
        <f t="shared" si="175"/>
        <v>0</v>
      </c>
      <c r="DM90" s="50">
        <f t="shared" si="176"/>
        <v>0</v>
      </c>
      <c r="DN90" s="51"/>
      <c r="DO90" s="49">
        <f t="shared" si="177"/>
        <v>0</v>
      </c>
      <c r="DP90" s="50">
        <f t="shared" si="178"/>
        <v>0</v>
      </c>
      <c r="DQ90" s="51"/>
      <c r="DR90" s="51"/>
      <c r="DS90" s="51"/>
      <c r="DT90" s="86">
        <f>D90+G90+J90+M90+P90+S90+V90+Y90+AB90+AE90+AH90+AK90+AN90+AQ90+AT90+AW90+AZ90+BC90+BF90+BI90+BL90+BO90+BR90+BU90+BX90+CA90+CD90+CG90+CJ90+CM90+CP90+CS90+CV90+CY90+DB90+DE90+DH90+DK90+DN90</f>
        <v>365</v>
      </c>
      <c r="DU90" s="86">
        <f>E90+H90+K90+N90+Q90+T90+W90+Z90+AC90+AF90+AI90+AL90+AO90+AR90+AU90+AX90+BA90+BD90+BG90+BJ90+BM90+BP90+BS90+BV90+BY90+CB90+CE90+CH90+CK90+CN90+CQ90+CT90+CW90+CZ90+DC90+DF90+DI90+DL90+DO90</f>
        <v>5712</v>
      </c>
      <c r="DV90" s="86">
        <f t="shared" si="179"/>
        <v>4180.32</v>
      </c>
    </row>
    <row r="91" spans="1:126" x14ac:dyDescent="0.6">
      <c r="A91" s="67"/>
      <c r="B91" s="11" t="s">
        <v>46</v>
      </c>
      <c r="C91" s="69"/>
      <c r="D91" s="51">
        <v>6</v>
      </c>
      <c r="E91" s="49">
        <f t="shared" si="101"/>
        <v>84</v>
      </c>
      <c r="F91" s="50">
        <f t="shared" si="102"/>
        <v>53.76</v>
      </c>
      <c r="G91" s="51"/>
      <c r="H91" s="49">
        <f t="shared" si="103"/>
        <v>0</v>
      </c>
      <c r="I91" s="50">
        <f t="shared" si="104"/>
        <v>0</v>
      </c>
      <c r="J91" s="51"/>
      <c r="K91" s="49">
        <f t="shared" si="105"/>
        <v>0</v>
      </c>
      <c r="L91" s="50">
        <f t="shared" si="106"/>
        <v>0</v>
      </c>
      <c r="M91" s="51"/>
      <c r="N91" s="49">
        <f t="shared" si="107"/>
        <v>0</v>
      </c>
      <c r="O91" s="50">
        <f t="shared" si="108"/>
        <v>0</v>
      </c>
      <c r="P91" s="51"/>
      <c r="Q91" s="49">
        <f t="shared" si="109"/>
        <v>0</v>
      </c>
      <c r="R91" s="50">
        <f t="shared" si="110"/>
        <v>0</v>
      </c>
      <c r="S91" s="51">
        <v>10</v>
      </c>
      <c r="T91" s="49">
        <f t="shared" si="111"/>
        <v>140</v>
      </c>
      <c r="U91" s="50">
        <f t="shared" si="112"/>
        <v>89.600000000000009</v>
      </c>
      <c r="V91" s="51"/>
      <c r="W91" s="49">
        <f t="shared" si="113"/>
        <v>0</v>
      </c>
      <c r="X91" s="50">
        <f t="shared" si="114"/>
        <v>0</v>
      </c>
      <c r="Y91" s="51"/>
      <c r="Z91" s="49">
        <f t="shared" si="115"/>
        <v>0</v>
      </c>
      <c r="AA91" s="50">
        <f t="shared" si="116"/>
        <v>0</v>
      </c>
      <c r="AB91" s="51"/>
      <c r="AC91" s="49">
        <f t="shared" si="117"/>
        <v>0</v>
      </c>
      <c r="AD91" s="50">
        <f t="shared" si="118"/>
        <v>0</v>
      </c>
      <c r="AE91" s="51"/>
      <c r="AF91" s="49">
        <f t="shared" si="119"/>
        <v>0</v>
      </c>
      <c r="AG91" s="50">
        <f t="shared" si="120"/>
        <v>0</v>
      </c>
      <c r="AH91" s="51">
        <v>12</v>
      </c>
      <c r="AI91" s="49">
        <f t="shared" si="121"/>
        <v>144</v>
      </c>
      <c r="AJ91" s="50">
        <f t="shared" si="122"/>
        <v>100.8</v>
      </c>
      <c r="AK91" s="51"/>
      <c r="AL91" s="49">
        <f t="shared" si="123"/>
        <v>0</v>
      </c>
      <c r="AM91" s="50">
        <f t="shared" si="124"/>
        <v>0</v>
      </c>
      <c r="AN91" s="51"/>
      <c r="AO91" s="49">
        <f t="shared" si="125"/>
        <v>0</v>
      </c>
      <c r="AP91" s="50">
        <f t="shared" si="126"/>
        <v>0</v>
      </c>
      <c r="AQ91" s="51"/>
      <c r="AR91" s="49">
        <f t="shared" si="127"/>
        <v>0</v>
      </c>
      <c r="AS91" s="50">
        <f t="shared" si="128"/>
        <v>0</v>
      </c>
      <c r="AT91" s="51"/>
      <c r="AU91" s="49">
        <f t="shared" si="129"/>
        <v>0</v>
      </c>
      <c r="AV91" s="50">
        <f t="shared" si="130"/>
        <v>0</v>
      </c>
      <c r="AW91" s="51">
        <v>134</v>
      </c>
      <c r="AX91" s="49">
        <f t="shared" si="131"/>
        <v>1608</v>
      </c>
      <c r="AY91" s="50">
        <f t="shared" si="132"/>
        <v>1608</v>
      </c>
      <c r="AZ91" s="51">
        <v>15</v>
      </c>
      <c r="BA91" s="49">
        <f t="shared" si="133"/>
        <v>180</v>
      </c>
      <c r="BB91" s="50">
        <f t="shared" si="134"/>
        <v>108</v>
      </c>
      <c r="BC91" s="51">
        <v>33</v>
      </c>
      <c r="BD91" s="49">
        <f t="shared" si="135"/>
        <v>1320</v>
      </c>
      <c r="BE91" s="50">
        <f t="shared" si="136"/>
        <v>461.99999999999994</v>
      </c>
      <c r="BF91" s="51">
        <v>99.5</v>
      </c>
      <c r="BG91" s="49">
        <f t="shared" si="137"/>
        <v>1194</v>
      </c>
      <c r="BH91" s="50">
        <f t="shared" si="138"/>
        <v>1194</v>
      </c>
      <c r="BI91" s="51"/>
      <c r="BJ91" s="49">
        <f t="shared" si="139"/>
        <v>0</v>
      </c>
      <c r="BK91" s="50">
        <f t="shared" si="140"/>
        <v>0</v>
      </c>
      <c r="BL91" s="51">
        <v>13</v>
      </c>
      <c r="BM91" s="49">
        <f t="shared" si="141"/>
        <v>520</v>
      </c>
      <c r="BN91" s="50">
        <f t="shared" si="142"/>
        <v>182</v>
      </c>
      <c r="BO91" s="51"/>
      <c r="BP91" s="49">
        <f t="shared" si="143"/>
        <v>0</v>
      </c>
      <c r="BQ91" s="50">
        <f t="shared" si="144"/>
        <v>0</v>
      </c>
      <c r="BR91" s="51"/>
      <c r="BS91" s="49">
        <f t="shared" si="145"/>
        <v>0</v>
      </c>
      <c r="BT91" s="50">
        <f t="shared" si="146"/>
        <v>0</v>
      </c>
      <c r="BU91" s="51"/>
      <c r="BV91" s="49">
        <f t="shared" si="147"/>
        <v>0</v>
      </c>
      <c r="BW91" s="50">
        <f t="shared" si="148"/>
        <v>0</v>
      </c>
      <c r="BX91" s="51"/>
      <c r="BY91" s="49">
        <f t="shared" si="149"/>
        <v>0</v>
      </c>
      <c r="BZ91" s="50">
        <f t="shared" si="150"/>
        <v>0</v>
      </c>
      <c r="CA91" s="51"/>
      <c r="CB91" s="49">
        <f t="shared" si="151"/>
        <v>0</v>
      </c>
      <c r="CC91" s="50">
        <f t="shared" si="152"/>
        <v>0</v>
      </c>
      <c r="CD91" s="51"/>
      <c r="CE91" s="49">
        <f t="shared" si="153"/>
        <v>0</v>
      </c>
      <c r="CF91" s="50">
        <f t="shared" si="154"/>
        <v>0</v>
      </c>
      <c r="CG91" s="51"/>
      <c r="CH91" s="49">
        <f t="shared" si="155"/>
        <v>0</v>
      </c>
      <c r="CI91" s="50">
        <f t="shared" si="156"/>
        <v>0</v>
      </c>
      <c r="CJ91" s="51"/>
      <c r="CK91" s="49">
        <f t="shared" si="157"/>
        <v>0</v>
      </c>
      <c r="CL91" s="50">
        <f t="shared" si="158"/>
        <v>0</v>
      </c>
      <c r="CM91" s="51">
        <v>1</v>
      </c>
      <c r="CN91" s="49">
        <f t="shared" si="159"/>
        <v>12</v>
      </c>
      <c r="CO91" s="50">
        <f t="shared" si="160"/>
        <v>12</v>
      </c>
      <c r="CP91" s="51"/>
      <c r="CQ91" s="49">
        <f t="shared" si="161"/>
        <v>0</v>
      </c>
      <c r="CR91" s="50">
        <f t="shared" si="162"/>
        <v>0</v>
      </c>
      <c r="CS91" s="51"/>
      <c r="CT91" s="49">
        <f t="shared" si="163"/>
        <v>0</v>
      </c>
      <c r="CU91" s="50">
        <f t="shared" si="164"/>
        <v>0</v>
      </c>
      <c r="CV91" s="51"/>
      <c r="CW91" s="49">
        <f t="shared" si="165"/>
        <v>0</v>
      </c>
      <c r="CX91" s="50">
        <f t="shared" si="166"/>
        <v>0</v>
      </c>
      <c r="CY91" s="51"/>
      <c r="CZ91" s="49">
        <f t="shared" si="167"/>
        <v>0</v>
      </c>
      <c r="DA91" s="50">
        <f t="shared" si="168"/>
        <v>0</v>
      </c>
      <c r="DB91" s="51"/>
      <c r="DC91" s="49">
        <f t="shared" si="169"/>
        <v>0</v>
      </c>
      <c r="DD91" s="50">
        <f t="shared" si="170"/>
        <v>0</v>
      </c>
      <c r="DE91" s="51"/>
      <c r="DF91" s="49">
        <f t="shared" si="171"/>
        <v>0</v>
      </c>
      <c r="DG91" s="50">
        <f t="shared" si="172"/>
        <v>0</v>
      </c>
      <c r="DH91" s="51"/>
      <c r="DI91" s="49">
        <f t="shared" si="173"/>
        <v>0</v>
      </c>
      <c r="DJ91" s="50">
        <f t="shared" si="174"/>
        <v>0</v>
      </c>
      <c r="DK91" s="51"/>
      <c r="DL91" s="49">
        <f t="shared" si="175"/>
        <v>0</v>
      </c>
      <c r="DM91" s="50">
        <f t="shared" si="176"/>
        <v>0</v>
      </c>
      <c r="DN91" s="51"/>
      <c r="DO91" s="49">
        <f t="shared" si="177"/>
        <v>0</v>
      </c>
      <c r="DP91" s="50">
        <f t="shared" si="178"/>
        <v>0</v>
      </c>
      <c r="DQ91" s="51"/>
      <c r="DR91" s="51"/>
      <c r="DS91" s="51"/>
      <c r="DT91" s="46">
        <f t="shared" ref="DT91:DV110" si="182">D91+G91+J91+M91+P91+S91+V91+Y91+AB91+AE91+AH91+AK91+AN91+AQ91+AT91+AW91+AZ91+BC91+BF91+BI91+BL91+BO91+BR91+BU91+BX91+CA91+CD91+CG91+CJ91+CM91+CP91+CS91+CV91+CY91+DB91+DE91+DH91+DK91+DN91</f>
        <v>323.5</v>
      </c>
      <c r="DU91" s="46">
        <f t="shared" si="179"/>
        <v>5202</v>
      </c>
      <c r="DV91" s="46">
        <f t="shared" si="179"/>
        <v>3810.16</v>
      </c>
    </row>
    <row r="92" spans="1:126" x14ac:dyDescent="0.6">
      <c r="A92" s="67"/>
      <c r="B92" s="7" t="s">
        <v>47</v>
      </c>
      <c r="C92" s="69"/>
      <c r="D92" s="51">
        <v>21</v>
      </c>
      <c r="E92" s="49">
        <f t="shared" si="101"/>
        <v>294</v>
      </c>
      <c r="F92" s="50">
        <f t="shared" si="102"/>
        <v>188.16</v>
      </c>
      <c r="G92" s="51"/>
      <c r="H92" s="49">
        <f t="shared" si="103"/>
        <v>0</v>
      </c>
      <c r="I92" s="50">
        <f t="shared" si="104"/>
        <v>0</v>
      </c>
      <c r="J92" s="51"/>
      <c r="K92" s="49">
        <f t="shared" si="105"/>
        <v>0</v>
      </c>
      <c r="L92" s="50">
        <f t="shared" si="106"/>
        <v>0</v>
      </c>
      <c r="M92" s="51"/>
      <c r="N92" s="49">
        <f t="shared" si="107"/>
        <v>0</v>
      </c>
      <c r="O92" s="50">
        <f t="shared" si="108"/>
        <v>0</v>
      </c>
      <c r="P92" s="51"/>
      <c r="Q92" s="49">
        <f t="shared" si="109"/>
        <v>0</v>
      </c>
      <c r="R92" s="50">
        <f t="shared" si="110"/>
        <v>0</v>
      </c>
      <c r="S92" s="51"/>
      <c r="T92" s="49">
        <f t="shared" si="111"/>
        <v>0</v>
      </c>
      <c r="U92" s="50">
        <f t="shared" si="112"/>
        <v>0</v>
      </c>
      <c r="V92" s="51">
        <v>14</v>
      </c>
      <c r="W92" s="49">
        <f t="shared" si="113"/>
        <v>196</v>
      </c>
      <c r="X92" s="50">
        <f t="shared" si="114"/>
        <v>125.44</v>
      </c>
      <c r="Y92" s="51"/>
      <c r="Z92" s="49">
        <f t="shared" si="115"/>
        <v>0</v>
      </c>
      <c r="AA92" s="50">
        <f t="shared" si="116"/>
        <v>0</v>
      </c>
      <c r="AB92" s="51"/>
      <c r="AC92" s="49">
        <f t="shared" si="117"/>
        <v>0</v>
      </c>
      <c r="AD92" s="50">
        <f t="shared" si="118"/>
        <v>0</v>
      </c>
      <c r="AE92" s="51"/>
      <c r="AF92" s="49">
        <f t="shared" si="119"/>
        <v>0</v>
      </c>
      <c r="AG92" s="50">
        <f t="shared" si="120"/>
        <v>0</v>
      </c>
      <c r="AH92" s="51">
        <v>4</v>
      </c>
      <c r="AI92" s="49">
        <f t="shared" si="121"/>
        <v>48</v>
      </c>
      <c r="AJ92" s="50">
        <f t="shared" si="122"/>
        <v>33.599999999999994</v>
      </c>
      <c r="AK92" s="51">
        <v>1</v>
      </c>
      <c r="AL92" s="49">
        <f t="shared" si="123"/>
        <v>14</v>
      </c>
      <c r="AM92" s="50">
        <f t="shared" si="124"/>
        <v>8.9600000000000009</v>
      </c>
      <c r="AN92" s="51"/>
      <c r="AO92" s="49">
        <f t="shared" si="125"/>
        <v>0</v>
      </c>
      <c r="AP92" s="50">
        <f t="shared" si="126"/>
        <v>0</v>
      </c>
      <c r="AQ92" s="51">
        <v>3</v>
      </c>
      <c r="AR92" s="49">
        <f t="shared" si="127"/>
        <v>72</v>
      </c>
      <c r="AS92" s="50">
        <f t="shared" si="128"/>
        <v>25.2</v>
      </c>
      <c r="AT92" s="51"/>
      <c r="AU92" s="49">
        <f t="shared" si="129"/>
        <v>0</v>
      </c>
      <c r="AV92" s="50">
        <f t="shared" si="130"/>
        <v>0</v>
      </c>
      <c r="AW92" s="51">
        <v>359</v>
      </c>
      <c r="AX92" s="49">
        <f t="shared" si="131"/>
        <v>4308</v>
      </c>
      <c r="AY92" s="50">
        <f t="shared" si="132"/>
        <v>4308</v>
      </c>
      <c r="AZ92" s="51">
        <v>9</v>
      </c>
      <c r="BA92" s="49">
        <f t="shared" si="133"/>
        <v>108</v>
      </c>
      <c r="BB92" s="50">
        <f t="shared" si="134"/>
        <v>64.8</v>
      </c>
      <c r="BC92" s="51">
        <v>68</v>
      </c>
      <c r="BD92" s="49">
        <f t="shared" si="135"/>
        <v>2720</v>
      </c>
      <c r="BE92" s="50">
        <f t="shared" si="136"/>
        <v>951.99999999999989</v>
      </c>
      <c r="BF92" s="51">
        <v>469</v>
      </c>
      <c r="BG92" s="49">
        <f t="shared" si="137"/>
        <v>5628</v>
      </c>
      <c r="BH92" s="50">
        <f t="shared" si="138"/>
        <v>5628</v>
      </c>
      <c r="BI92" s="51"/>
      <c r="BJ92" s="49">
        <f t="shared" si="139"/>
        <v>0</v>
      </c>
      <c r="BK92" s="50">
        <f t="shared" si="140"/>
        <v>0</v>
      </c>
      <c r="BL92" s="51">
        <v>50</v>
      </c>
      <c r="BM92" s="49">
        <f t="shared" si="141"/>
        <v>2000</v>
      </c>
      <c r="BN92" s="50">
        <f t="shared" si="142"/>
        <v>700</v>
      </c>
      <c r="BO92" s="51">
        <v>20</v>
      </c>
      <c r="BP92" s="49">
        <f t="shared" si="143"/>
        <v>240</v>
      </c>
      <c r="BQ92" s="50">
        <f t="shared" si="144"/>
        <v>240</v>
      </c>
      <c r="BR92" s="51"/>
      <c r="BS92" s="49">
        <f t="shared" si="145"/>
        <v>0</v>
      </c>
      <c r="BT92" s="50">
        <f t="shared" si="146"/>
        <v>0</v>
      </c>
      <c r="BU92" s="51"/>
      <c r="BV92" s="49">
        <f t="shared" si="147"/>
        <v>0</v>
      </c>
      <c r="BW92" s="50">
        <f t="shared" si="148"/>
        <v>0</v>
      </c>
      <c r="BX92" s="51"/>
      <c r="BY92" s="49">
        <f t="shared" si="149"/>
        <v>0</v>
      </c>
      <c r="BZ92" s="50">
        <f t="shared" si="150"/>
        <v>0</v>
      </c>
      <c r="CA92" s="51"/>
      <c r="CB92" s="49">
        <f t="shared" si="151"/>
        <v>0</v>
      </c>
      <c r="CC92" s="50">
        <f t="shared" si="152"/>
        <v>0</v>
      </c>
      <c r="CD92" s="51"/>
      <c r="CE92" s="49">
        <f t="shared" si="153"/>
        <v>0</v>
      </c>
      <c r="CF92" s="50">
        <f t="shared" si="154"/>
        <v>0</v>
      </c>
      <c r="CG92" s="51"/>
      <c r="CH92" s="49">
        <f t="shared" si="155"/>
        <v>0</v>
      </c>
      <c r="CI92" s="50">
        <f t="shared" si="156"/>
        <v>0</v>
      </c>
      <c r="CJ92" s="51"/>
      <c r="CK92" s="49">
        <f t="shared" si="157"/>
        <v>0</v>
      </c>
      <c r="CL92" s="50">
        <f t="shared" si="158"/>
        <v>0</v>
      </c>
      <c r="CM92" s="51">
        <v>1.8333333333333335</v>
      </c>
      <c r="CN92" s="49">
        <f t="shared" si="159"/>
        <v>22</v>
      </c>
      <c r="CO92" s="50">
        <f t="shared" si="160"/>
        <v>22</v>
      </c>
      <c r="CP92" s="51"/>
      <c r="CQ92" s="49">
        <f t="shared" si="161"/>
        <v>0</v>
      </c>
      <c r="CR92" s="50">
        <f t="shared" si="162"/>
        <v>0</v>
      </c>
      <c r="CS92" s="51"/>
      <c r="CT92" s="49">
        <f t="shared" si="163"/>
        <v>0</v>
      </c>
      <c r="CU92" s="50">
        <f t="shared" si="164"/>
        <v>0</v>
      </c>
      <c r="CV92" s="51"/>
      <c r="CW92" s="49">
        <f t="shared" si="165"/>
        <v>0</v>
      </c>
      <c r="CX92" s="50">
        <f t="shared" si="166"/>
        <v>0</v>
      </c>
      <c r="CY92" s="51"/>
      <c r="CZ92" s="49">
        <f t="shared" si="167"/>
        <v>0</v>
      </c>
      <c r="DA92" s="50">
        <f t="shared" si="168"/>
        <v>0</v>
      </c>
      <c r="DB92" s="51"/>
      <c r="DC92" s="49">
        <f t="shared" si="169"/>
        <v>0</v>
      </c>
      <c r="DD92" s="50">
        <f t="shared" si="170"/>
        <v>0</v>
      </c>
      <c r="DE92" s="51">
        <v>54</v>
      </c>
      <c r="DF92" s="49">
        <f t="shared" si="171"/>
        <v>648</v>
      </c>
      <c r="DG92" s="50">
        <f t="shared" si="172"/>
        <v>648</v>
      </c>
      <c r="DH92" s="51"/>
      <c r="DI92" s="49">
        <f t="shared" si="173"/>
        <v>0</v>
      </c>
      <c r="DJ92" s="50">
        <f t="shared" si="174"/>
        <v>0</v>
      </c>
      <c r="DK92" s="51">
        <v>5</v>
      </c>
      <c r="DL92" s="49">
        <f t="shared" si="175"/>
        <v>60</v>
      </c>
      <c r="DM92" s="50">
        <f t="shared" si="176"/>
        <v>40.800000000000004</v>
      </c>
      <c r="DN92" s="51">
        <v>6</v>
      </c>
      <c r="DO92" s="49">
        <f t="shared" si="177"/>
        <v>72</v>
      </c>
      <c r="DP92" s="50">
        <f t="shared" si="178"/>
        <v>72</v>
      </c>
      <c r="DQ92" s="51"/>
      <c r="DR92" s="51"/>
      <c r="DS92" s="51"/>
      <c r="DT92" s="46">
        <f t="shared" si="182"/>
        <v>1084.8333333333335</v>
      </c>
      <c r="DU92" s="46">
        <f t="shared" si="179"/>
        <v>16430</v>
      </c>
      <c r="DV92" s="46">
        <f t="shared" si="179"/>
        <v>13056.96</v>
      </c>
    </row>
    <row r="93" spans="1:126" x14ac:dyDescent="0.6">
      <c r="A93" s="67"/>
      <c r="B93" s="7" t="s">
        <v>48</v>
      </c>
      <c r="C93" s="72" t="s">
        <v>49</v>
      </c>
      <c r="D93" s="51">
        <v>4</v>
      </c>
      <c r="E93" s="49">
        <f t="shared" si="101"/>
        <v>56</v>
      </c>
      <c r="F93" s="50">
        <f t="shared" si="102"/>
        <v>35.840000000000003</v>
      </c>
      <c r="G93" s="51"/>
      <c r="H93" s="49">
        <f t="shared" si="103"/>
        <v>0</v>
      </c>
      <c r="I93" s="50">
        <f t="shared" si="104"/>
        <v>0</v>
      </c>
      <c r="J93" s="51"/>
      <c r="K93" s="49">
        <f t="shared" si="105"/>
        <v>0</v>
      </c>
      <c r="L93" s="50">
        <f t="shared" si="106"/>
        <v>0</v>
      </c>
      <c r="M93" s="51"/>
      <c r="N93" s="49">
        <f t="shared" si="107"/>
        <v>0</v>
      </c>
      <c r="O93" s="50">
        <f t="shared" si="108"/>
        <v>0</v>
      </c>
      <c r="P93" s="51"/>
      <c r="Q93" s="49">
        <f t="shared" si="109"/>
        <v>0</v>
      </c>
      <c r="R93" s="50">
        <f t="shared" si="110"/>
        <v>0</v>
      </c>
      <c r="S93" s="51"/>
      <c r="T93" s="49">
        <f t="shared" si="111"/>
        <v>0</v>
      </c>
      <c r="U93" s="50">
        <f t="shared" si="112"/>
        <v>0</v>
      </c>
      <c r="V93" s="51"/>
      <c r="W93" s="49">
        <f t="shared" si="113"/>
        <v>0</v>
      </c>
      <c r="X93" s="50">
        <f t="shared" si="114"/>
        <v>0</v>
      </c>
      <c r="Y93" s="51"/>
      <c r="Z93" s="49">
        <f t="shared" si="115"/>
        <v>0</v>
      </c>
      <c r="AA93" s="50">
        <f t="shared" si="116"/>
        <v>0</v>
      </c>
      <c r="AB93" s="51"/>
      <c r="AC93" s="49">
        <f t="shared" si="117"/>
        <v>0</v>
      </c>
      <c r="AD93" s="50">
        <f t="shared" si="118"/>
        <v>0</v>
      </c>
      <c r="AE93" s="51"/>
      <c r="AF93" s="49">
        <f t="shared" si="119"/>
        <v>0</v>
      </c>
      <c r="AG93" s="50">
        <f t="shared" si="120"/>
        <v>0</v>
      </c>
      <c r="AH93" s="51">
        <v>4</v>
      </c>
      <c r="AI93" s="49">
        <f t="shared" si="121"/>
        <v>48</v>
      </c>
      <c r="AJ93" s="50">
        <f t="shared" si="122"/>
        <v>33.599999999999994</v>
      </c>
      <c r="AK93" s="51"/>
      <c r="AL93" s="49">
        <f t="shared" si="123"/>
        <v>0</v>
      </c>
      <c r="AM93" s="50">
        <f t="shared" si="124"/>
        <v>0</v>
      </c>
      <c r="AN93" s="51">
        <v>2</v>
      </c>
      <c r="AO93" s="49">
        <f t="shared" si="125"/>
        <v>24</v>
      </c>
      <c r="AP93" s="50">
        <f t="shared" si="126"/>
        <v>16.799999999999997</v>
      </c>
      <c r="AQ93" s="51">
        <v>1</v>
      </c>
      <c r="AR93" s="49">
        <f t="shared" si="127"/>
        <v>24</v>
      </c>
      <c r="AS93" s="50">
        <f t="shared" si="128"/>
        <v>8.3999999999999986</v>
      </c>
      <c r="AT93" s="51"/>
      <c r="AU93" s="49">
        <f t="shared" si="129"/>
        <v>0</v>
      </c>
      <c r="AV93" s="50">
        <f t="shared" si="130"/>
        <v>0</v>
      </c>
      <c r="AW93" s="51">
        <v>282</v>
      </c>
      <c r="AX93" s="49">
        <f t="shared" si="131"/>
        <v>3384</v>
      </c>
      <c r="AY93" s="50">
        <f t="shared" si="132"/>
        <v>3384</v>
      </c>
      <c r="AZ93" s="51">
        <v>41</v>
      </c>
      <c r="BA93" s="49">
        <f t="shared" si="133"/>
        <v>492</v>
      </c>
      <c r="BB93" s="50">
        <f t="shared" si="134"/>
        <v>295.2</v>
      </c>
      <c r="BC93" s="51">
        <v>37</v>
      </c>
      <c r="BD93" s="49">
        <f t="shared" si="135"/>
        <v>1480</v>
      </c>
      <c r="BE93" s="50">
        <f t="shared" si="136"/>
        <v>518</v>
      </c>
      <c r="BF93" s="51">
        <v>261</v>
      </c>
      <c r="BG93" s="49">
        <f t="shared" si="137"/>
        <v>3132</v>
      </c>
      <c r="BH93" s="50">
        <f t="shared" si="138"/>
        <v>3132</v>
      </c>
      <c r="BI93" s="51"/>
      <c r="BJ93" s="49">
        <f t="shared" si="139"/>
        <v>0</v>
      </c>
      <c r="BK93" s="50">
        <f t="shared" si="140"/>
        <v>0</v>
      </c>
      <c r="BL93" s="51">
        <v>9</v>
      </c>
      <c r="BM93" s="49">
        <f t="shared" si="141"/>
        <v>360</v>
      </c>
      <c r="BN93" s="50">
        <f t="shared" si="142"/>
        <v>125.99999999999999</v>
      </c>
      <c r="BO93" s="51"/>
      <c r="BP93" s="49">
        <f t="shared" si="143"/>
        <v>0</v>
      </c>
      <c r="BQ93" s="50">
        <f t="shared" si="144"/>
        <v>0</v>
      </c>
      <c r="BR93" s="51"/>
      <c r="BS93" s="49">
        <f t="shared" si="145"/>
        <v>0</v>
      </c>
      <c r="BT93" s="50">
        <f t="shared" si="146"/>
        <v>0</v>
      </c>
      <c r="BU93" s="51"/>
      <c r="BV93" s="49">
        <f t="shared" si="147"/>
        <v>0</v>
      </c>
      <c r="BW93" s="50">
        <f t="shared" si="148"/>
        <v>0</v>
      </c>
      <c r="BX93" s="51"/>
      <c r="BY93" s="49">
        <f t="shared" si="149"/>
        <v>0</v>
      </c>
      <c r="BZ93" s="50">
        <f t="shared" si="150"/>
        <v>0</v>
      </c>
      <c r="CA93" s="51"/>
      <c r="CB93" s="49">
        <f t="shared" si="151"/>
        <v>0</v>
      </c>
      <c r="CC93" s="50">
        <f t="shared" si="152"/>
        <v>0</v>
      </c>
      <c r="CD93" s="51"/>
      <c r="CE93" s="49">
        <f t="shared" si="153"/>
        <v>0</v>
      </c>
      <c r="CF93" s="50">
        <f t="shared" si="154"/>
        <v>0</v>
      </c>
      <c r="CG93" s="51"/>
      <c r="CH93" s="49">
        <f t="shared" si="155"/>
        <v>0</v>
      </c>
      <c r="CI93" s="50">
        <f t="shared" si="156"/>
        <v>0</v>
      </c>
      <c r="CJ93" s="51"/>
      <c r="CK93" s="49">
        <f t="shared" si="157"/>
        <v>0</v>
      </c>
      <c r="CL93" s="50">
        <f t="shared" si="158"/>
        <v>0</v>
      </c>
      <c r="CM93" s="51">
        <v>7.8333333333333339</v>
      </c>
      <c r="CN93" s="49">
        <f t="shared" si="159"/>
        <v>94</v>
      </c>
      <c r="CO93" s="50">
        <f t="shared" si="160"/>
        <v>94</v>
      </c>
      <c r="CP93" s="51"/>
      <c r="CQ93" s="49">
        <f t="shared" si="161"/>
        <v>0</v>
      </c>
      <c r="CR93" s="50">
        <f t="shared" si="162"/>
        <v>0</v>
      </c>
      <c r="CS93" s="51"/>
      <c r="CT93" s="49">
        <f t="shared" si="163"/>
        <v>0</v>
      </c>
      <c r="CU93" s="50">
        <f t="shared" si="164"/>
        <v>0</v>
      </c>
      <c r="CV93" s="51"/>
      <c r="CW93" s="49">
        <f t="shared" si="165"/>
        <v>0</v>
      </c>
      <c r="CX93" s="50">
        <f t="shared" si="166"/>
        <v>0</v>
      </c>
      <c r="CY93" s="51"/>
      <c r="CZ93" s="49">
        <f t="shared" si="167"/>
        <v>0</v>
      </c>
      <c r="DA93" s="50">
        <f t="shared" si="168"/>
        <v>0</v>
      </c>
      <c r="DB93" s="51"/>
      <c r="DC93" s="49">
        <f t="shared" si="169"/>
        <v>0</v>
      </c>
      <c r="DD93" s="50">
        <f t="shared" si="170"/>
        <v>0</v>
      </c>
      <c r="DE93" s="51">
        <v>5</v>
      </c>
      <c r="DF93" s="49">
        <f t="shared" si="171"/>
        <v>60</v>
      </c>
      <c r="DG93" s="50">
        <f t="shared" si="172"/>
        <v>60</v>
      </c>
      <c r="DH93" s="51"/>
      <c r="DI93" s="49">
        <f>+DH93*$DI$3</f>
        <v>0</v>
      </c>
      <c r="DJ93" s="50">
        <f t="shared" si="174"/>
        <v>0</v>
      </c>
      <c r="DK93" s="51"/>
      <c r="DL93" s="49">
        <f t="shared" si="175"/>
        <v>0</v>
      </c>
      <c r="DM93" s="50">
        <f t="shared" si="176"/>
        <v>0</v>
      </c>
      <c r="DN93" s="51"/>
      <c r="DO93" s="49">
        <f t="shared" si="177"/>
        <v>0</v>
      </c>
      <c r="DP93" s="50">
        <f t="shared" si="178"/>
        <v>0</v>
      </c>
      <c r="DQ93" s="51"/>
      <c r="DR93" s="51"/>
      <c r="DS93" s="51"/>
      <c r="DT93" s="46">
        <f>D93+G93+J93+M93+P93+S93+V93+Y93+AB93+AE93+AH93+AK93+AN93+AQ93+AT93+AW93+AZ93+BC93+BF93+BI93+BL93+BO93+BR93+BU93+BX93+CA93+CD93+CG93+CJ93+CM93+CP93+CS93+CV93+CY93+DB93+DE93+DH93+DK93+DN93</f>
        <v>653.83333333333337</v>
      </c>
      <c r="DU93" s="46">
        <f t="shared" ref="DU93:DV108" si="183">E93+H93+K93+N93+Q93+T93+W93+Z93+AC93+AF93+AI93+AL93+AO93+AR93+AU93+AX93+BA93+BD93+BG93+BJ93+BM93+BP93+BS93+BV93+BY93+CB93+CE93+CH93+CK93+CN93+CQ93+CT93+CW93+CZ93+DC93+DF93+DI93+DL93+DO93</f>
        <v>9154</v>
      </c>
      <c r="DV93" s="46">
        <f t="shared" si="183"/>
        <v>7703.84</v>
      </c>
    </row>
    <row r="94" spans="1:126" x14ac:dyDescent="0.6">
      <c r="A94" s="67"/>
      <c r="B94" s="12" t="s">
        <v>50</v>
      </c>
      <c r="C94" s="72"/>
      <c r="D94" s="51">
        <v>25</v>
      </c>
      <c r="E94" s="49">
        <f t="shared" si="101"/>
        <v>350</v>
      </c>
      <c r="F94" s="50">
        <f t="shared" si="102"/>
        <v>224</v>
      </c>
      <c r="G94" s="51"/>
      <c r="H94" s="49">
        <f t="shared" si="103"/>
        <v>0</v>
      </c>
      <c r="I94" s="50">
        <f t="shared" si="104"/>
        <v>0</v>
      </c>
      <c r="J94" s="51"/>
      <c r="K94" s="49">
        <f t="shared" si="105"/>
        <v>0</v>
      </c>
      <c r="L94" s="50">
        <f t="shared" si="106"/>
        <v>0</v>
      </c>
      <c r="M94" s="51"/>
      <c r="N94" s="49">
        <f t="shared" si="107"/>
        <v>0</v>
      </c>
      <c r="O94" s="50">
        <f t="shared" si="108"/>
        <v>0</v>
      </c>
      <c r="P94" s="51"/>
      <c r="Q94" s="49">
        <f t="shared" si="109"/>
        <v>0</v>
      </c>
      <c r="R94" s="50">
        <f t="shared" si="110"/>
        <v>0</v>
      </c>
      <c r="S94" s="51"/>
      <c r="T94" s="49">
        <f t="shared" si="111"/>
        <v>0</v>
      </c>
      <c r="U94" s="50">
        <f t="shared" si="112"/>
        <v>0</v>
      </c>
      <c r="V94" s="51"/>
      <c r="W94" s="49">
        <f t="shared" si="113"/>
        <v>0</v>
      </c>
      <c r="X94" s="50">
        <f t="shared" si="114"/>
        <v>0</v>
      </c>
      <c r="Y94" s="51"/>
      <c r="Z94" s="49">
        <f t="shared" si="115"/>
        <v>0</v>
      </c>
      <c r="AA94" s="50">
        <f t="shared" si="116"/>
        <v>0</v>
      </c>
      <c r="AB94" s="51"/>
      <c r="AC94" s="49">
        <f t="shared" si="117"/>
        <v>0</v>
      </c>
      <c r="AD94" s="50">
        <f t="shared" si="118"/>
        <v>0</v>
      </c>
      <c r="AE94" s="51"/>
      <c r="AF94" s="49">
        <f t="shared" si="119"/>
        <v>0</v>
      </c>
      <c r="AG94" s="50">
        <f t="shared" si="120"/>
        <v>0</v>
      </c>
      <c r="AH94" s="51"/>
      <c r="AI94" s="49">
        <f t="shared" si="121"/>
        <v>0</v>
      </c>
      <c r="AJ94" s="50">
        <f t="shared" si="122"/>
        <v>0</v>
      </c>
      <c r="AK94" s="51"/>
      <c r="AL94" s="49">
        <f t="shared" si="123"/>
        <v>0</v>
      </c>
      <c r="AM94" s="50">
        <f t="shared" si="124"/>
        <v>0</v>
      </c>
      <c r="AN94" s="51"/>
      <c r="AO94" s="49">
        <f t="shared" si="125"/>
        <v>0</v>
      </c>
      <c r="AP94" s="50">
        <f t="shared" si="126"/>
        <v>0</v>
      </c>
      <c r="AQ94" s="51"/>
      <c r="AR94" s="49">
        <f t="shared" si="127"/>
        <v>0</v>
      </c>
      <c r="AS94" s="50">
        <f t="shared" si="128"/>
        <v>0</v>
      </c>
      <c r="AT94" s="51"/>
      <c r="AU94" s="49">
        <f t="shared" si="129"/>
        <v>0</v>
      </c>
      <c r="AV94" s="50">
        <f t="shared" si="130"/>
        <v>0</v>
      </c>
      <c r="AW94" s="51">
        <v>272</v>
      </c>
      <c r="AX94" s="49">
        <f t="shared" si="131"/>
        <v>3264</v>
      </c>
      <c r="AY94" s="50">
        <f t="shared" si="132"/>
        <v>3264</v>
      </c>
      <c r="AZ94" s="51">
        <v>1</v>
      </c>
      <c r="BA94" s="49">
        <f t="shared" si="133"/>
        <v>12</v>
      </c>
      <c r="BB94" s="50">
        <f t="shared" si="134"/>
        <v>7.1999999999999993</v>
      </c>
      <c r="BC94" s="51">
        <v>1</v>
      </c>
      <c r="BD94" s="49">
        <f t="shared" si="135"/>
        <v>40</v>
      </c>
      <c r="BE94" s="50">
        <f t="shared" si="136"/>
        <v>14</v>
      </c>
      <c r="BF94" s="51">
        <v>65</v>
      </c>
      <c r="BG94" s="49">
        <f t="shared" si="137"/>
        <v>780</v>
      </c>
      <c r="BH94" s="50">
        <f t="shared" si="138"/>
        <v>780</v>
      </c>
      <c r="BI94" s="51"/>
      <c r="BJ94" s="49">
        <f t="shared" si="139"/>
        <v>0</v>
      </c>
      <c r="BK94" s="50">
        <f t="shared" si="140"/>
        <v>0</v>
      </c>
      <c r="BL94" s="51">
        <v>4</v>
      </c>
      <c r="BM94" s="49">
        <f t="shared" si="141"/>
        <v>160</v>
      </c>
      <c r="BN94" s="50">
        <f t="shared" si="142"/>
        <v>56</v>
      </c>
      <c r="BO94" s="51">
        <v>5</v>
      </c>
      <c r="BP94" s="49">
        <f t="shared" si="143"/>
        <v>60</v>
      </c>
      <c r="BQ94" s="50">
        <f t="shared" si="144"/>
        <v>60</v>
      </c>
      <c r="BR94" s="51"/>
      <c r="BS94" s="49">
        <f t="shared" si="145"/>
        <v>0</v>
      </c>
      <c r="BT94" s="50">
        <f t="shared" si="146"/>
        <v>0</v>
      </c>
      <c r="BU94" s="51"/>
      <c r="BV94" s="49">
        <f t="shared" si="147"/>
        <v>0</v>
      </c>
      <c r="BW94" s="50">
        <f t="shared" si="148"/>
        <v>0</v>
      </c>
      <c r="BX94" s="51"/>
      <c r="BY94" s="49">
        <f t="shared" si="149"/>
        <v>0</v>
      </c>
      <c r="BZ94" s="50">
        <f t="shared" si="150"/>
        <v>0</v>
      </c>
      <c r="CA94" s="51"/>
      <c r="CB94" s="49">
        <f t="shared" si="151"/>
        <v>0</v>
      </c>
      <c r="CC94" s="50">
        <f t="shared" si="152"/>
        <v>0</v>
      </c>
      <c r="CD94" s="51"/>
      <c r="CE94" s="49">
        <f t="shared" si="153"/>
        <v>0</v>
      </c>
      <c r="CF94" s="50">
        <f t="shared" si="154"/>
        <v>0</v>
      </c>
      <c r="CG94" s="51"/>
      <c r="CH94" s="49">
        <f t="shared" si="155"/>
        <v>0</v>
      </c>
      <c r="CI94" s="50">
        <f t="shared" si="156"/>
        <v>0</v>
      </c>
      <c r="CJ94" s="51"/>
      <c r="CK94" s="49">
        <f t="shared" si="157"/>
        <v>0</v>
      </c>
      <c r="CL94" s="50">
        <f t="shared" si="158"/>
        <v>0</v>
      </c>
      <c r="CM94" s="51"/>
      <c r="CN94" s="49">
        <f t="shared" si="159"/>
        <v>0</v>
      </c>
      <c r="CO94" s="50">
        <f t="shared" si="160"/>
        <v>0</v>
      </c>
      <c r="CP94" s="51"/>
      <c r="CQ94" s="49">
        <f t="shared" si="161"/>
        <v>0</v>
      </c>
      <c r="CR94" s="50">
        <f t="shared" si="162"/>
        <v>0</v>
      </c>
      <c r="CS94" s="51"/>
      <c r="CT94" s="49">
        <f t="shared" si="163"/>
        <v>0</v>
      </c>
      <c r="CU94" s="50">
        <f t="shared" si="164"/>
        <v>0</v>
      </c>
      <c r="CV94" s="51"/>
      <c r="CW94" s="49">
        <f t="shared" si="165"/>
        <v>0</v>
      </c>
      <c r="CX94" s="50">
        <f t="shared" si="166"/>
        <v>0</v>
      </c>
      <c r="CY94" s="51"/>
      <c r="CZ94" s="49">
        <f t="shared" si="167"/>
        <v>0</v>
      </c>
      <c r="DA94" s="50">
        <f t="shared" si="168"/>
        <v>0</v>
      </c>
      <c r="DB94" s="51"/>
      <c r="DC94" s="49">
        <f t="shared" si="169"/>
        <v>0</v>
      </c>
      <c r="DD94" s="50">
        <f t="shared" si="170"/>
        <v>0</v>
      </c>
      <c r="DE94" s="51"/>
      <c r="DF94" s="49">
        <f t="shared" si="171"/>
        <v>0</v>
      </c>
      <c r="DG94" s="50">
        <f t="shared" si="172"/>
        <v>0</v>
      </c>
      <c r="DH94" s="51"/>
      <c r="DI94" s="49">
        <f t="shared" si="173"/>
        <v>0</v>
      </c>
      <c r="DJ94" s="50">
        <f t="shared" si="174"/>
        <v>0</v>
      </c>
      <c r="DK94" s="51"/>
      <c r="DL94" s="49">
        <f t="shared" si="175"/>
        <v>0</v>
      </c>
      <c r="DM94" s="50">
        <f t="shared" si="176"/>
        <v>0</v>
      </c>
      <c r="DN94" s="51"/>
      <c r="DO94" s="49">
        <f t="shared" si="177"/>
        <v>0</v>
      </c>
      <c r="DP94" s="50">
        <f t="shared" si="178"/>
        <v>0</v>
      </c>
      <c r="DQ94" s="51"/>
      <c r="DR94" s="51"/>
      <c r="DS94" s="51"/>
      <c r="DT94" s="46">
        <f t="shared" si="182"/>
        <v>373</v>
      </c>
      <c r="DU94" s="46">
        <f t="shared" si="183"/>
        <v>4666</v>
      </c>
      <c r="DV94" s="46">
        <f t="shared" si="183"/>
        <v>4405.2</v>
      </c>
    </row>
    <row r="95" spans="1:126" x14ac:dyDescent="0.6">
      <c r="A95" s="67"/>
      <c r="B95" s="7" t="s">
        <v>51</v>
      </c>
      <c r="C95" s="72"/>
      <c r="D95" s="51">
        <v>38</v>
      </c>
      <c r="E95" s="49">
        <f t="shared" si="101"/>
        <v>532</v>
      </c>
      <c r="F95" s="50">
        <f t="shared" si="102"/>
        <v>340.48</v>
      </c>
      <c r="G95" s="51"/>
      <c r="H95" s="49">
        <f t="shared" si="103"/>
        <v>0</v>
      </c>
      <c r="I95" s="50">
        <f t="shared" si="104"/>
        <v>0</v>
      </c>
      <c r="J95" s="51"/>
      <c r="K95" s="49">
        <f t="shared" si="105"/>
        <v>0</v>
      </c>
      <c r="L95" s="50">
        <f t="shared" si="106"/>
        <v>0</v>
      </c>
      <c r="M95" s="51"/>
      <c r="N95" s="49">
        <f t="shared" si="107"/>
        <v>0</v>
      </c>
      <c r="O95" s="50">
        <f t="shared" si="108"/>
        <v>0</v>
      </c>
      <c r="P95" s="51"/>
      <c r="Q95" s="49">
        <f t="shared" si="109"/>
        <v>0</v>
      </c>
      <c r="R95" s="50">
        <f t="shared" si="110"/>
        <v>0</v>
      </c>
      <c r="S95" s="51">
        <v>2</v>
      </c>
      <c r="T95" s="49">
        <f t="shared" si="111"/>
        <v>28</v>
      </c>
      <c r="U95" s="50">
        <f t="shared" si="112"/>
        <v>17.920000000000002</v>
      </c>
      <c r="V95" s="51"/>
      <c r="W95" s="49">
        <f t="shared" si="113"/>
        <v>0</v>
      </c>
      <c r="X95" s="50">
        <f t="shared" si="114"/>
        <v>0</v>
      </c>
      <c r="Y95" s="51"/>
      <c r="Z95" s="49">
        <f t="shared" si="115"/>
        <v>0</v>
      </c>
      <c r="AA95" s="50">
        <f t="shared" si="116"/>
        <v>0</v>
      </c>
      <c r="AB95" s="51"/>
      <c r="AC95" s="49">
        <f t="shared" si="117"/>
        <v>0</v>
      </c>
      <c r="AD95" s="50">
        <f t="shared" si="118"/>
        <v>0</v>
      </c>
      <c r="AE95" s="51"/>
      <c r="AF95" s="49">
        <f t="shared" si="119"/>
        <v>0</v>
      </c>
      <c r="AG95" s="50">
        <f t="shared" si="120"/>
        <v>0</v>
      </c>
      <c r="AH95" s="51"/>
      <c r="AI95" s="49">
        <f t="shared" si="121"/>
        <v>0</v>
      </c>
      <c r="AJ95" s="50">
        <f t="shared" si="122"/>
        <v>0</v>
      </c>
      <c r="AK95" s="51">
        <v>42</v>
      </c>
      <c r="AL95" s="49">
        <f t="shared" si="123"/>
        <v>588</v>
      </c>
      <c r="AM95" s="50">
        <f t="shared" si="124"/>
        <v>376.32</v>
      </c>
      <c r="AN95" s="51"/>
      <c r="AO95" s="49">
        <f t="shared" si="125"/>
        <v>0</v>
      </c>
      <c r="AP95" s="50">
        <f t="shared" si="126"/>
        <v>0</v>
      </c>
      <c r="AQ95" s="51"/>
      <c r="AR95" s="49">
        <f t="shared" si="127"/>
        <v>0</v>
      </c>
      <c r="AS95" s="50">
        <f t="shared" si="128"/>
        <v>0</v>
      </c>
      <c r="AT95" s="51"/>
      <c r="AU95" s="49">
        <f t="shared" si="129"/>
        <v>0</v>
      </c>
      <c r="AV95" s="50">
        <f t="shared" si="130"/>
        <v>0</v>
      </c>
      <c r="AW95" s="51">
        <v>178</v>
      </c>
      <c r="AX95" s="49">
        <f t="shared" si="131"/>
        <v>2136</v>
      </c>
      <c r="AY95" s="50">
        <f t="shared" si="132"/>
        <v>2136</v>
      </c>
      <c r="AZ95" s="51">
        <v>6</v>
      </c>
      <c r="BA95" s="49">
        <f t="shared" si="133"/>
        <v>72</v>
      </c>
      <c r="BB95" s="50">
        <f t="shared" si="134"/>
        <v>43.199999999999996</v>
      </c>
      <c r="BC95" s="51">
        <v>4</v>
      </c>
      <c r="BD95" s="49">
        <f t="shared" si="135"/>
        <v>160</v>
      </c>
      <c r="BE95" s="50">
        <f t="shared" si="136"/>
        <v>56</v>
      </c>
      <c r="BF95" s="51">
        <v>186</v>
      </c>
      <c r="BG95" s="49">
        <f t="shared" si="137"/>
        <v>2232</v>
      </c>
      <c r="BH95" s="50">
        <f t="shared" si="138"/>
        <v>2232</v>
      </c>
      <c r="BI95" s="51"/>
      <c r="BJ95" s="49">
        <f t="shared" si="139"/>
        <v>0</v>
      </c>
      <c r="BK95" s="50">
        <f t="shared" si="140"/>
        <v>0</v>
      </c>
      <c r="BL95" s="51">
        <v>16</v>
      </c>
      <c r="BM95" s="49">
        <f t="shared" si="141"/>
        <v>640</v>
      </c>
      <c r="BN95" s="50">
        <f t="shared" si="142"/>
        <v>224</v>
      </c>
      <c r="BO95" s="51"/>
      <c r="BP95" s="49">
        <f t="shared" si="143"/>
        <v>0</v>
      </c>
      <c r="BQ95" s="50">
        <f t="shared" si="144"/>
        <v>0</v>
      </c>
      <c r="BR95" s="51"/>
      <c r="BS95" s="49">
        <f t="shared" si="145"/>
        <v>0</v>
      </c>
      <c r="BT95" s="50">
        <f t="shared" si="146"/>
        <v>0</v>
      </c>
      <c r="BU95" s="51"/>
      <c r="BV95" s="49">
        <f t="shared" si="147"/>
        <v>0</v>
      </c>
      <c r="BW95" s="50">
        <f t="shared" si="148"/>
        <v>0</v>
      </c>
      <c r="BX95" s="51"/>
      <c r="BY95" s="49">
        <f t="shared" si="149"/>
        <v>0</v>
      </c>
      <c r="BZ95" s="50">
        <f t="shared" si="150"/>
        <v>0</v>
      </c>
      <c r="CA95" s="51"/>
      <c r="CB95" s="49">
        <f t="shared" si="151"/>
        <v>0</v>
      </c>
      <c r="CC95" s="50">
        <f t="shared" si="152"/>
        <v>0</v>
      </c>
      <c r="CD95" s="51"/>
      <c r="CE95" s="49">
        <f t="shared" si="153"/>
        <v>0</v>
      </c>
      <c r="CF95" s="50">
        <f t="shared" si="154"/>
        <v>0</v>
      </c>
      <c r="CG95" s="51"/>
      <c r="CH95" s="49">
        <f t="shared" si="155"/>
        <v>0</v>
      </c>
      <c r="CI95" s="50">
        <f t="shared" si="156"/>
        <v>0</v>
      </c>
      <c r="CJ95" s="51"/>
      <c r="CK95" s="49">
        <f t="shared" si="157"/>
        <v>0</v>
      </c>
      <c r="CL95" s="50">
        <f t="shared" si="158"/>
        <v>0</v>
      </c>
      <c r="CM95" s="51">
        <v>2</v>
      </c>
      <c r="CN95" s="49">
        <f t="shared" si="159"/>
        <v>24</v>
      </c>
      <c r="CO95" s="50">
        <f t="shared" si="160"/>
        <v>24</v>
      </c>
      <c r="CP95" s="51"/>
      <c r="CQ95" s="49">
        <f t="shared" si="161"/>
        <v>0</v>
      </c>
      <c r="CR95" s="50">
        <f t="shared" si="162"/>
        <v>0</v>
      </c>
      <c r="CS95" s="51"/>
      <c r="CT95" s="49">
        <f t="shared" si="163"/>
        <v>0</v>
      </c>
      <c r="CU95" s="50">
        <f t="shared" si="164"/>
        <v>0</v>
      </c>
      <c r="CV95" s="51"/>
      <c r="CW95" s="49">
        <f t="shared" si="165"/>
        <v>0</v>
      </c>
      <c r="CX95" s="50">
        <f t="shared" si="166"/>
        <v>0</v>
      </c>
      <c r="CY95" s="51"/>
      <c r="CZ95" s="49">
        <f t="shared" si="167"/>
        <v>0</v>
      </c>
      <c r="DA95" s="50">
        <f t="shared" si="168"/>
        <v>0</v>
      </c>
      <c r="DB95" s="51"/>
      <c r="DC95" s="49">
        <f t="shared" si="169"/>
        <v>0</v>
      </c>
      <c r="DD95" s="50">
        <f t="shared" si="170"/>
        <v>0</v>
      </c>
      <c r="DE95" s="51"/>
      <c r="DF95" s="49">
        <f t="shared" si="171"/>
        <v>0</v>
      </c>
      <c r="DG95" s="50">
        <f t="shared" si="172"/>
        <v>0</v>
      </c>
      <c r="DH95" s="51"/>
      <c r="DI95" s="49">
        <f t="shared" si="173"/>
        <v>0</v>
      </c>
      <c r="DJ95" s="50">
        <f t="shared" si="174"/>
        <v>0</v>
      </c>
      <c r="DK95" s="51"/>
      <c r="DL95" s="49">
        <f t="shared" si="175"/>
        <v>0</v>
      </c>
      <c r="DM95" s="50">
        <f t="shared" si="176"/>
        <v>0</v>
      </c>
      <c r="DN95" s="51"/>
      <c r="DO95" s="49">
        <f t="shared" si="177"/>
        <v>0</v>
      </c>
      <c r="DP95" s="50">
        <f t="shared" si="178"/>
        <v>0</v>
      </c>
      <c r="DQ95" s="51"/>
      <c r="DR95" s="51"/>
      <c r="DS95" s="51"/>
      <c r="DT95" s="46">
        <f t="shared" si="182"/>
        <v>474</v>
      </c>
      <c r="DU95" s="46">
        <f t="shared" si="183"/>
        <v>6412</v>
      </c>
      <c r="DV95" s="46">
        <f t="shared" si="183"/>
        <v>5449.92</v>
      </c>
    </row>
    <row r="96" spans="1:126" x14ac:dyDescent="0.6">
      <c r="A96" s="67"/>
      <c r="B96" s="7" t="s">
        <v>52</v>
      </c>
      <c r="C96" s="72"/>
      <c r="D96" s="51">
        <v>34</v>
      </c>
      <c r="E96" s="49">
        <f t="shared" si="101"/>
        <v>476</v>
      </c>
      <c r="F96" s="50">
        <f t="shared" si="102"/>
        <v>304.64</v>
      </c>
      <c r="G96" s="51"/>
      <c r="H96" s="49">
        <f t="shared" si="103"/>
        <v>0</v>
      </c>
      <c r="I96" s="50">
        <f t="shared" si="104"/>
        <v>0</v>
      </c>
      <c r="J96" s="51"/>
      <c r="K96" s="49">
        <f t="shared" si="105"/>
        <v>0</v>
      </c>
      <c r="L96" s="50">
        <f t="shared" si="106"/>
        <v>0</v>
      </c>
      <c r="M96" s="51"/>
      <c r="N96" s="49">
        <f t="shared" si="107"/>
        <v>0</v>
      </c>
      <c r="O96" s="50">
        <f t="shared" si="108"/>
        <v>0</v>
      </c>
      <c r="P96" s="51"/>
      <c r="Q96" s="49">
        <f t="shared" si="109"/>
        <v>0</v>
      </c>
      <c r="R96" s="50">
        <f t="shared" si="110"/>
        <v>0</v>
      </c>
      <c r="S96" s="51"/>
      <c r="T96" s="49">
        <f t="shared" si="111"/>
        <v>0</v>
      </c>
      <c r="U96" s="50">
        <f t="shared" si="112"/>
        <v>0</v>
      </c>
      <c r="V96" s="51"/>
      <c r="W96" s="49">
        <f t="shared" si="113"/>
        <v>0</v>
      </c>
      <c r="X96" s="50">
        <f t="shared" si="114"/>
        <v>0</v>
      </c>
      <c r="Y96" s="51"/>
      <c r="Z96" s="49">
        <f t="shared" si="115"/>
        <v>0</v>
      </c>
      <c r="AA96" s="50">
        <f t="shared" si="116"/>
        <v>0</v>
      </c>
      <c r="AB96" s="51"/>
      <c r="AC96" s="49">
        <f t="shared" si="117"/>
        <v>0</v>
      </c>
      <c r="AD96" s="50">
        <f t="shared" si="118"/>
        <v>0</v>
      </c>
      <c r="AE96" s="51"/>
      <c r="AF96" s="49">
        <f t="shared" si="119"/>
        <v>0</v>
      </c>
      <c r="AG96" s="50">
        <f t="shared" si="120"/>
        <v>0</v>
      </c>
      <c r="AH96" s="51"/>
      <c r="AI96" s="49">
        <f t="shared" si="121"/>
        <v>0</v>
      </c>
      <c r="AJ96" s="50">
        <f t="shared" si="122"/>
        <v>0</v>
      </c>
      <c r="AK96" s="51"/>
      <c r="AL96" s="49">
        <f t="shared" si="123"/>
        <v>0</v>
      </c>
      <c r="AM96" s="50">
        <f t="shared" si="124"/>
        <v>0</v>
      </c>
      <c r="AN96" s="51"/>
      <c r="AO96" s="49">
        <f t="shared" si="125"/>
        <v>0</v>
      </c>
      <c r="AP96" s="50">
        <f t="shared" si="126"/>
        <v>0</v>
      </c>
      <c r="AQ96" s="51"/>
      <c r="AR96" s="49">
        <f t="shared" si="127"/>
        <v>0</v>
      </c>
      <c r="AS96" s="50">
        <f t="shared" si="128"/>
        <v>0</v>
      </c>
      <c r="AT96" s="51"/>
      <c r="AU96" s="49">
        <f t="shared" si="129"/>
        <v>0</v>
      </c>
      <c r="AV96" s="50">
        <f t="shared" si="130"/>
        <v>0</v>
      </c>
      <c r="AW96" s="51">
        <v>228</v>
      </c>
      <c r="AX96" s="49">
        <f t="shared" si="131"/>
        <v>2736</v>
      </c>
      <c r="AY96" s="50">
        <f t="shared" si="132"/>
        <v>2736</v>
      </c>
      <c r="AZ96" s="51">
        <v>71</v>
      </c>
      <c r="BA96" s="49">
        <f t="shared" si="133"/>
        <v>852</v>
      </c>
      <c r="BB96" s="50">
        <f t="shared" si="134"/>
        <v>511.2</v>
      </c>
      <c r="BC96" s="51">
        <v>55</v>
      </c>
      <c r="BD96" s="49">
        <f t="shared" si="135"/>
        <v>2200</v>
      </c>
      <c r="BE96" s="50">
        <f t="shared" si="136"/>
        <v>770</v>
      </c>
      <c r="BF96" s="51">
        <v>165</v>
      </c>
      <c r="BG96" s="49">
        <f t="shared" si="137"/>
        <v>1980</v>
      </c>
      <c r="BH96" s="50">
        <f t="shared" si="138"/>
        <v>1980</v>
      </c>
      <c r="BI96" s="51"/>
      <c r="BJ96" s="49">
        <f t="shared" si="139"/>
        <v>0</v>
      </c>
      <c r="BK96" s="50">
        <f t="shared" si="140"/>
        <v>0</v>
      </c>
      <c r="BL96" s="51">
        <v>35</v>
      </c>
      <c r="BM96" s="49">
        <f t="shared" si="141"/>
        <v>1400</v>
      </c>
      <c r="BN96" s="50">
        <f t="shared" si="142"/>
        <v>489.99999999999994</v>
      </c>
      <c r="BO96" s="51"/>
      <c r="BP96" s="49">
        <f t="shared" si="143"/>
        <v>0</v>
      </c>
      <c r="BQ96" s="50">
        <f t="shared" si="144"/>
        <v>0</v>
      </c>
      <c r="BR96" s="51"/>
      <c r="BS96" s="49">
        <f t="shared" si="145"/>
        <v>0</v>
      </c>
      <c r="BT96" s="50">
        <f t="shared" si="146"/>
        <v>0</v>
      </c>
      <c r="BU96" s="51"/>
      <c r="BV96" s="49">
        <f t="shared" si="147"/>
        <v>0</v>
      </c>
      <c r="BW96" s="50">
        <f t="shared" si="148"/>
        <v>0</v>
      </c>
      <c r="BX96" s="51"/>
      <c r="BY96" s="49">
        <f t="shared" si="149"/>
        <v>0</v>
      </c>
      <c r="BZ96" s="50">
        <f t="shared" si="150"/>
        <v>0</v>
      </c>
      <c r="CA96" s="51"/>
      <c r="CB96" s="49">
        <f t="shared" si="151"/>
        <v>0</v>
      </c>
      <c r="CC96" s="50">
        <f t="shared" si="152"/>
        <v>0</v>
      </c>
      <c r="CD96" s="51"/>
      <c r="CE96" s="49">
        <f t="shared" si="153"/>
        <v>0</v>
      </c>
      <c r="CF96" s="50">
        <f t="shared" si="154"/>
        <v>0</v>
      </c>
      <c r="CG96" s="51"/>
      <c r="CH96" s="49">
        <f t="shared" si="155"/>
        <v>0</v>
      </c>
      <c r="CI96" s="50">
        <f t="shared" si="156"/>
        <v>0</v>
      </c>
      <c r="CJ96" s="51"/>
      <c r="CK96" s="49">
        <f t="shared" si="157"/>
        <v>0</v>
      </c>
      <c r="CL96" s="50">
        <f t="shared" si="158"/>
        <v>0</v>
      </c>
      <c r="CM96" s="51"/>
      <c r="CN96" s="49">
        <f t="shared" si="159"/>
        <v>0</v>
      </c>
      <c r="CO96" s="50">
        <f t="shared" si="160"/>
        <v>0</v>
      </c>
      <c r="CP96" s="51"/>
      <c r="CQ96" s="49">
        <f t="shared" si="161"/>
        <v>0</v>
      </c>
      <c r="CR96" s="50">
        <f t="shared" si="162"/>
        <v>0</v>
      </c>
      <c r="CS96" s="51"/>
      <c r="CT96" s="49">
        <f t="shared" si="163"/>
        <v>0</v>
      </c>
      <c r="CU96" s="50">
        <f t="shared" si="164"/>
        <v>0</v>
      </c>
      <c r="CV96" s="51"/>
      <c r="CW96" s="49">
        <f t="shared" si="165"/>
        <v>0</v>
      </c>
      <c r="CX96" s="50">
        <f t="shared" si="166"/>
        <v>0</v>
      </c>
      <c r="CY96" s="51"/>
      <c r="CZ96" s="49">
        <f t="shared" si="167"/>
        <v>0</v>
      </c>
      <c r="DA96" s="50">
        <f t="shared" si="168"/>
        <v>0</v>
      </c>
      <c r="DB96" s="51"/>
      <c r="DC96" s="49">
        <f t="shared" si="169"/>
        <v>0</v>
      </c>
      <c r="DD96" s="50">
        <f t="shared" si="170"/>
        <v>0</v>
      </c>
      <c r="DE96" s="51"/>
      <c r="DF96" s="49">
        <f t="shared" si="171"/>
        <v>0</v>
      </c>
      <c r="DG96" s="50">
        <f t="shared" si="172"/>
        <v>0</v>
      </c>
      <c r="DH96" s="51"/>
      <c r="DI96" s="49">
        <f t="shared" si="173"/>
        <v>0</v>
      </c>
      <c r="DJ96" s="50">
        <f t="shared" si="174"/>
        <v>0</v>
      </c>
      <c r="DK96" s="51"/>
      <c r="DL96" s="49">
        <f t="shared" si="175"/>
        <v>0</v>
      </c>
      <c r="DM96" s="50">
        <f t="shared" si="176"/>
        <v>0</v>
      </c>
      <c r="DN96" s="51"/>
      <c r="DO96" s="49">
        <f t="shared" si="177"/>
        <v>0</v>
      </c>
      <c r="DP96" s="50">
        <f t="shared" si="178"/>
        <v>0</v>
      </c>
      <c r="DQ96" s="51"/>
      <c r="DR96" s="51"/>
      <c r="DS96" s="51"/>
      <c r="DT96" s="46">
        <f t="shared" si="182"/>
        <v>588</v>
      </c>
      <c r="DU96" s="46">
        <f t="shared" si="183"/>
        <v>9644</v>
      </c>
      <c r="DV96" s="46">
        <f t="shared" si="183"/>
        <v>6791.84</v>
      </c>
    </row>
    <row r="97" spans="1:126" x14ac:dyDescent="0.6">
      <c r="A97" s="67"/>
      <c r="B97" s="9" t="s">
        <v>44</v>
      </c>
      <c r="C97" s="10" t="s">
        <v>41</v>
      </c>
      <c r="D97" s="51">
        <v>110</v>
      </c>
      <c r="E97" s="49">
        <f t="shared" si="101"/>
        <v>1540</v>
      </c>
      <c r="F97" s="50">
        <f t="shared" si="102"/>
        <v>985.6</v>
      </c>
      <c r="G97" s="51"/>
      <c r="H97" s="49">
        <f t="shared" si="103"/>
        <v>0</v>
      </c>
      <c r="I97" s="50">
        <f t="shared" si="104"/>
        <v>0</v>
      </c>
      <c r="J97" s="51"/>
      <c r="K97" s="49">
        <f t="shared" si="105"/>
        <v>0</v>
      </c>
      <c r="L97" s="50">
        <f t="shared" si="106"/>
        <v>0</v>
      </c>
      <c r="M97" s="51"/>
      <c r="N97" s="49">
        <f t="shared" si="107"/>
        <v>0</v>
      </c>
      <c r="O97" s="50">
        <f t="shared" si="108"/>
        <v>0</v>
      </c>
      <c r="P97" s="51"/>
      <c r="Q97" s="49">
        <f t="shared" si="109"/>
        <v>0</v>
      </c>
      <c r="R97" s="50">
        <f t="shared" si="110"/>
        <v>0</v>
      </c>
      <c r="S97" s="51"/>
      <c r="T97" s="49">
        <f t="shared" si="111"/>
        <v>0</v>
      </c>
      <c r="U97" s="50">
        <f t="shared" si="112"/>
        <v>0</v>
      </c>
      <c r="V97" s="51"/>
      <c r="W97" s="49">
        <f t="shared" si="113"/>
        <v>0</v>
      </c>
      <c r="X97" s="50">
        <f t="shared" si="114"/>
        <v>0</v>
      </c>
      <c r="Y97" s="51"/>
      <c r="Z97" s="49">
        <f t="shared" si="115"/>
        <v>0</v>
      </c>
      <c r="AA97" s="50">
        <f t="shared" si="116"/>
        <v>0</v>
      </c>
      <c r="AB97" s="51"/>
      <c r="AC97" s="49">
        <f t="shared" si="117"/>
        <v>0</v>
      </c>
      <c r="AD97" s="50">
        <f t="shared" si="118"/>
        <v>0</v>
      </c>
      <c r="AE97" s="51"/>
      <c r="AF97" s="49">
        <f t="shared" si="119"/>
        <v>0</v>
      </c>
      <c r="AG97" s="50">
        <f t="shared" si="120"/>
        <v>0</v>
      </c>
      <c r="AH97" s="51"/>
      <c r="AI97" s="49">
        <f t="shared" si="121"/>
        <v>0</v>
      </c>
      <c r="AJ97" s="50">
        <f t="shared" si="122"/>
        <v>0</v>
      </c>
      <c r="AK97" s="51"/>
      <c r="AL97" s="49">
        <f t="shared" si="123"/>
        <v>0</v>
      </c>
      <c r="AM97" s="50">
        <f t="shared" si="124"/>
        <v>0</v>
      </c>
      <c r="AN97" s="51"/>
      <c r="AO97" s="49">
        <f t="shared" si="125"/>
        <v>0</v>
      </c>
      <c r="AP97" s="50">
        <f t="shared" si="126"/>
        <v>0</v>
      </c>
      <c r="AQ97" s="51"/>
      <c r="AR97" s="49">
        <f t="shared" si="127"/>
        <v>0</v>
      </c>
      <c r="AS97" s="50">
        <f t="shared" si="128"/>
        <v>0</v>
      </c>
      <c r="AT97" s="51"/>
      <c r="AU97" s="49">
        <f t="shared" si="129"/>
        <v>0</v>
      </c>
      <c r="AV97" s="50">
        <f t="shared" si="130"/>
        <v>0</v>
      </c>
      <c r="AW97" s="51">
        <v>390</v>
      </c>
      <c r="AX97" s="49">
        <f t="shared" si="131"/>
        <v>4680</v>
      </c>
      <c r="AY97" s="50">
        <f t="shared" si="132"/>
        <v>4680</v>
      </c>
      <c r="AZ97" s="51">
        <v>20</v>
      </c>
      <c r="BA97" s="49">
        <f t="shared" si="133"/>
        <v>240</v>
      </c>
      <c r="BB97" s="50">
        <f t="shared" si="134"/>
        <v>144</v>
      </c>
      <c r="BC97" s="51">
        <v>60</v>
      </c>
      <c r="BD97" s="49">
        <f t="shared" si="135"/>
        <v>2400</v>
      </c>
      <c r="BE97" s="50">
        <f t="shared" si="136"/>
        <v>840</v>
      </c>
      <c r="BF97" s="51">
        <v>405</v>
      </c>
      <c r="BG97" s="49">
        <f t="shared" si="137"/>
        <v>4860</v>
      </c>
      <c r="BH97" s="50">
        <f t="shared" si="138"/>
        <v>4860</v>
      </c>
      <c r="BI97" s="51"/>
      <c r="BJ97" s="49">
        <f t="shared" si="139"/>
        <v>0</v>
      </c>
      <c r="BK97" s="50">
        <f t="shared" si="140"/>
        <v>0</v>
      </c>
      <c r="BL97" s="51">
        <v>15</v>
      </c>
      <c r="BM97" s="49">
        <f t="shared" si="141"/>
        <v>600</v>
      </c>
      <c r="BN97" s="50">
        <f t="shared" si="142"/>
        <v>210</v>
      </c>
      <c r="BO97" s="51"/>
      <c r="BP97" s="49">
        <f t="shared" si="143"/>
        <v>0</v>
      </c>
      <c r="BQ97" s="50">
        <f t="shared" si="144"/>
        <v>0</v>
      </c>
      <c r="BR97" s="51"/>
      <c r="BS97" s="49">
        <f t="shared" si="145"/>
        <v>0</v>
      </c>
      <c r="BT97" s="50">
        <f t="shared" si="146"/>
        <v>0</v>
      </c>
      <c r="BU97" s="51"/>
      <c r="BV97" s="49">
        <f t="shared" si="147"/>
        <v>0</v>
      </c>
      <c r="BW97" s="50">
        <f t="shared" si="148"/>
        <v>0</v>
      </c>
      <c r="BX97" s="51"/>
      <c r="BY97" s="49">
        <f t="shared" si="149"/>
        <v>0</v>
      </c>
      <c r="BZ97" s="50">
        <f t="shared" si="150"/>
        <v>0</v>
      </c>
      <c r="CA97" s="51"/>
      <c r="CB97" s="49">
        <f t="shared" si="151"/>
        <v>0</v>
      </c>
      <c r="CC97" s="50">
        <f t="shared" si="152"/>
        <v>0</v>
      </c>
      <c r="CD97" s="51"/>
      <c r="CE97" s="49">
        <f t="shared" si="153"/>
        <v>0</v>
      </c>
      <c r="CF97" s="50">
        <f t="shared" si="154"/>
        <v>0</v>
      </c>
      <c r="CG97" s="51"/>
      <c r="CH97" s="49">
        <f t="shared" si="155"/>
        <v>0</v>
      </c>
      <c r="CI97" s="50">
        <f t="shared" si="156"/>
        <v>0</v>
      </c>
      <c r="CJ97" s="51"/>
      <c r="CK97" s="49">
        <f t="shared" si="157"/>
        <v>0</v>
      </c>
      <c r="CL97" s="50">
        <f t="shared" si="158"/>
        <v>0</v>
      </c>
      <c r="CM97" s="51"/>
      <c r="CN97" s="49">
        <f t="shared" si="159"/>
        <v>0</v>
      </c>
      <c r="CO97" s="50">
        <f t="shared" si="160"/>
        <v>0</v>
      </c>
      <c r="CP97" s="51"/>
      <c r="CQ97" s="49">
        <f t="shared" si="161"/>
        <v>0</v>
      </c>
      <c r="CR97" s="50">
        <f t="shared" si="162"/>
        <v>0</v>
      </c>
      <c r="CS97" s="51"/>
      <c r="CT97" s="49">
        <f t="shared" si="163"/>
        <v>0</v>
      </c>
      <c r="CU97" s="50">
        <f t="shared" si="164"/>
        <v>0</v>
      </c>
      <c r="CV97" s="51"/>
      <c r="CW97" s="49">
        <f t="shared" si="165"/>
        <v>0</v>
      </c>
      <c r="CX97" s="50">
        <f t="shared" si="166"/>
        <v>0</v>
      </c>
      <c r="CY97" s="51"/>
      <c r="CZ97" s="49">
        <f t="shared" si="167"/>
        <v>0</v>
      </c>
      <c r="DA97" s="50">
        <f t="shared" si="168"/>
        <v>0</v>
      </c>
      <c r="DB97" s="51"/>
      <c r="DC97" s="49">
        <f t="shared" si="169"/>
        <v>0</v>
      </c>
      <c r="DD97" s="50">
        <f t="shared" si="170"/>
        <v>0</v>
      </c>
      <c r="DE97" s="51"/>
      <c r="DF97" s="49">
        <f t="shared" si="171"/>
        <v>0</v>
      </c>
      <c r="DG97" s="50">
        <f t="shared" si="172"/>
        <v>0</v>
      </c>
      <c r="DH97" s="51"/>
      <c r="DI97" s="49">
        <f t="shared" si="173"/>
        <v>0</v>
      </c>
      <c r="DJ97" s="50">
        <f t="shared" si="174"/>
        <v>0</v>
      </c>
      <c r="DK97" s="51"/>
      <c r="DL97" s="49">
        <f t="shared" si="175"/>
        <v>0</v>
      </c>
      <c r="DM97" s="50">
        <f t="shared" si="176"/>
        <v>0</v>
      </c>
      <c r="DN97" s="51"/>
      <c r="DO97" s="49">
        <f t="shared" si="177"/>
        <v>0</v>
      </c>
      <c r="DP97" s="50">
        <f t="shared" si="178"/>
        <v>0</v>
      </c>
      <c r="DQ97" s="51"/>
      <c r="DR97" s="51"/>
      <c r="DS97" s="51"/>
      <c r="DT97" s="46">
        <f t="shared" si="182"/>
        <v>1000</v>
      </c>
      <c r="DU97" s="46">
        <f t="shared" si="183"/>
        <v>14320</v>
      </c>
      <c r="DV97" s="46">
        <f t="shared" si="183"/>
        <v>11719.6</v>
      </c>
    </row>
    <row r="98" spans="1:126" x14ac:dyDescent="0.6">
      <c r="A98" s="67"/>
      <c r="B98" s="9" t="s">
        <v>46</v>
      </c>
      <c r="C98" s="10" t="s">
        <v>41</v>
      </c>
      <c r="D98" s="51">
        <v>640</v>
      </c>
      <c r="E98" s="49">
        <f t="shared" si="101"/>
        <v>8960</v>
      </c>
      <c r="F98" s="50">
        <f t="shared" si="102"/>
        <v>5734.4000000000005</v>
      </c>
      <c r="G98" s="51"/>
      <c r="H98" s="49">
        <f t="shared" si="103"/>
        <v>0</v>
      </c>
      <c r="I98" s="50">
        <f t="shared" si="104"/>
        <v>0</v>
      </c>
      <c r="J98" s="51"/>
      <c r="K98" s="49">
        <f t="shared" si="105"/>
        <v>0</v>
      </c>
      <c r="L98" s="50">
        <f t="shared" si="106"/>
        <v>0</v>
      </c>
      <c r="M98" s="51"/>
      <c r="N98" s="49">
        <f t="shared" si="107"/>
        <v>0</v>
      </c>
      <c r="O98" s="50">
        <f t="shared" si="108"/>
        <v>0</v>
      </c>
      <c r="P98" s="51"/>
      <c r="Q98" s="49">
        <f t="shared" si="109"/>
        <v>0</v>
      </c>
      <c r="R98" s="50">
        <f t="shared" si="110"/>
        <v>0</v>
      </c>
      <c r="S98" s="51">
        <v>10</v>
      </c>
      <c r="T98" s="49">
        <f t="shared" si="111"/>
        <v>140</v>
      </c>
      <c r="U98" s="50">
        <f t="shared" si="112"/>
        <v>89.600000000000009</v>
      </c>
      <c r="V98" s="51">
        <v>50</v>
      </c>
      <c r="W98" s="49">
        <f t="shared" si="113"/>
        <v>700</v>
      </c>
      <c r="X98" s="50">
        <f t="shared" si="114"/>
        <v>448</v>
      </c>
      <c r="Y98" s="51"/>
      <c r="Z98" s="49">
        <f t="shared" si="115"/>
        <v>0</v>
      </c>
      <c r="AA98" s="50">
        <f t="shared" si="116"/>
        <v>0</v>
      </c>
      <c r="AB98" s="51"/>
      <c r="AC98" s="49">
        <f t="shared" si="117"/>
        <v>0</v>
      </c>
      <c r="AD98" s="50">
        <f t="shared" si="118"/>
        <v>0</v>
      </c>
      <c r="AE98" s="51"/>
      <c r="AF98" s="49">
        <f t="shared" si="119"/>
        <v>0</v>
      </c>
      <c r="AG98" s="50">
        <f t="shared" si="120"/>
        <v>0</v>
      </c>
      <c r="AH98" s="51">
        <v>15</v>
      </c>
      <c r="AI98" s="49">
        <f t="shared" si="121"/>
        <v>180</v>
      </c>
      <c r="AJ98" s="50">
        <f t="shared" si="122"/>
        <v>125.99999999999999</v>
      </c>
      <c r="AK98" s="51"/>
      <c r="AL98" s="49">
        <f t="shared" si="123"/>
        <v>0</v>
      </c>
      <c r="AM98" s="50">
        <f t="shared" si="124"/>
        <v>0</v>
      </c>
      <c r="AN98" s="51"/>
      <c r="AO98" s="49">
        <f t="shared" si="125"/>
        <v>0</v>
      </c>
      <c r="AP98" s="50">
        <f t="shared" si="126"/>
        <v>0</v>
      </c>
      <c r="AQ98" s="51"/>
      <c r="AR98" s="49">
        <f t="shared" si="127"/>
        <v>0</v>
      </c>
      <c r="AS98" s="50">
        <f t="shared" si="128"/>
        <v>0</v>
      </c>
      <c r="AT98" s="51"/>
      <c r="AU98" s="49">
        <f t="shared" si="129"/>
        <v>0</v>
      </c>
      <c r="AV98" s="50">
        <f t="shared" si="130"/>
        <v>0</v>
      </c>
      <c r="AW98" s="51">
        <v>885</v>
      </c>
      <c r="AX98" s="49">
        <f t="shared" si="131"/>
        <v>10620</v>
      </c>
      <c r="AY98" s="50">
        <f t="shared" si="132"/>
        <v>10620</v>
      </c>
      <c r="AZ98" s="51">
        <v>35</v>
      </c>
      <c r="BA98" s="49">
        <f t="shared" si="133"/>
        <v>420</v>
      </c>
      <c r="BB98" s="50">
        <f t="shared" si="134"/>
        <v>252</v>
      </c>
      <c r="BC98" s="51">
        <v>150</v>
      </c>
      <c r="BD98" s="49">
        <f t="shared" si="135"/>
        <v>6000</v>
      </c>
      <c r="BE98" s="50">
        <f t="shared" si="136"/>
        <v>2100</v>
      </c>
      <c r="BF98" s="51">
        <v>420</v>
      </c>
      <c r="BG98" s="49">
        <f t="shared" si="137"/>
        <v>5040</v>
      </c>
      <c r="BH98" s="50">
        <f t="shared" si="138"/>
        <v>5040</v>
      </c>
      <c r="BI98" s="51"/>
      <c r="BJ98" s="49">
        <f t="shared" si="139"/>
        <v>0</v>
      </c>
      <c r="BK98" s="50">
        <f t="shared" si="140"/>
        <v>0</v>
      </c>
      <c r="BL98" s="51">
        <v>30</v>
      </c>
      <c r="BM98" s="49">
        <f t="shared" si="141"/>
        <v>1200</v>
      </c>
      <c r="BN98" s="50">
        <f t="shared" si="142"/>
        <v>420</v>
      </c>
      <c r="BO98" s="51"/>
      <c r="BP98" s="49">
        <f t="shared" si="143"/>
        <v>0</v>
      </c>
      <c r="BQ98" s="50">
        <f t="shared" si="144"/>
        <v>0</v>
      </c>
      <c r="BR98" s="51"/>
      <c r="BS98" s="49">
        <f t="shared" si="145"/>
        <v>0</v>
      </c>
      <c r="BT98" s="50">
        <f t="shared" si="146"/>
        <v>0</v>
      </c>
      <c r="BU98" s="51"/>
      <c r="BV98" s="49">
        <f t="shared" si="147"/>
        <v>0</v>
      </c>
      <c r="BW98" s="50">
        <f t="shared" si="148"/>
        <v>0</v>
      </c>
      <c r="BX98" s="51"/>
      <c r="BY98" s="49">
        <f t="shared" si="149"/>
        <v>0</v>
      </c>
      <c r="BZ98" s="50">
        <f t="shared" si="150"/>
        <v>0</v>
      </c>
      <c r="CA98" s="51"/>
      <c r="CB98" s="49">
        <f t="shared" si="151"/>
        <v>0</v>
      </c>
      <c r="CC98" s="50">
        <f t="shared" si="152"/>
        <v>0</v>
      </c>
      <c r="CD98" s="51"/>
      <c r="CE98" s="49">
        <f t="shared" si="153"/>
        <v>0</v>
      </c>
      <c r="CF98" s="50">
        <f t="shared" si="154"/>
        <v>0</v>
      </c>
      <c r="CG98" s="51"/>
      <c r="CH98" s="49">
        <f t="shared" si="155"/>
        <v>0</v>
      </c>
      <c r="CI98" s="50">
        <f t="shared" si="156"/>
        <v>0</v>
      </c>
      <c r="CJ98" s="51"/>
      <c r="CK98" s="49">
        <f t="shared" si="157"/>
        <v>0</v>
      </c>
      <c r="CL98" s="50">
        <f t="shared" si="158"/>
        <v>0</v>
      </c>
      <c r="CM98" s="51"/>
      <c r="CN98" s="49">
        <f t="shared" si="159"/>
        <v>0</v>
      </c>
      <c r="CO98" s="50">
        <f t="shared" si="160"/>
        <v>0</v>
      </c>
      <c r="CP98" s="51"/>
      <c r="CQ98" s="49">
        <f t="shared" si="161"/>
        <v>0</v>
      </c>
      <c r="CR98" s="50">
        <f t="shared" si="162"/>
        <v>0</v>
      </c>
      <c r="CS98" s="51"/>
      <c r="CT98" s="49">
        <f t="shared" si="163"/>
        <v>0</v>
      </c>
      <c r="CU98" s="50">
        <f t="shared" si="164"/>
        <v>0</v>
      </c>
      <c r="CV98" s="51">
        <v>25</v>
      </c>
      <c r="CW98" s="49">
        <f t="shared" si="165"/>
        <v>500</v>
      </c>
      <c r="CX98" s="50">
        <f t="shared" si="166"/>
        <v>500</v>
      </c>
      <c r="CY98" s="51"/>
      <c r="CZ98" s="49">
        <f t="shared" si="167"/>
        <v>0</v>
      </c>
      <c r="DA98" s="50">
        <f t="shared" si="168"/>
        <v>0</v>
      </c>
      <c r="DB98" s="51"/>
      <c r="DC98" s="49">
        <f t="shared" si="169"/>
        <v>0</v>
      </c>
      <c r="DD98" s="50">
        <f t="shared" si="170"/>
        <v>0</v>
      </c>
      <c r="DE98" s="51"/>
      <c r="DF98" s="49">
        <f t="shared" si="171"/>
        <v>0</v>
      </c>
      <c r="DG98" s="50">
        <f t="shared" si="172"/>
        <v>0</v>
      </c>
      <c r="DH98" s="51"/>
      <c r="DI98" s="49">
        <f t="shared" si="173"/>
        <v>0</v>
      </c>
      <c r="DJ98" s="50">
        <f t="shared" si="174"/>
        <v>0</v>
      </c>
      <c r="DK98" s="51"/>
      <c r="DL98" s="49">
        <f t="shared" si="175"/>
        <v>0</v>
      </c>
      <c r="DM98" s="50">
        <f t="shared" si="176"/>
        <v>0</v>
      </c>
      <c r="DN98" s="51"/>
      <c r="DO98" s="49">
        <f t="shared" si="177"/>
        <v>0</v>
      </c>
      <c r="DP98" s="50">
        <f t="shared" si="178"/>
        <v>0</v>
      </c>
      <c r="DQ98" s="51"/>
      <c r="DR98" s="51"/>
      <c r="DS98" s="51"/>
      <c r="DT98" s="46">
        <f t="shared" si="182"/>
        <v>2260</v>
      </c>
      <c r="DU98" s="46">
        <f t="shared" si="183"/>
        <v>33760</v>
      </c>
      <c r="DV98" s="46">
        <f t="shared" si="183"/>
        <v>25330</v>
      </c>
    </row>
    <row r="99" spans="1:126" x14ac:dyDescent="0.6">
      <c r="A99" s="67"/>
      <c r="B99" s="9" t="s">
        <v>47</v>
      </c>
      <c r="C99" s="10" t="s">
        <v>41</v>
      </c>
      <c r="D99" s="51"/>
      <c r="E99" s="49">
        <f t="shared" si="101"/>
        <v>0</v>
      </c>
      <c r="F99" s="50">
        <f t="shared" si="102"/>
        <v>0</v>
      </c>
      <c r="G99" s="51"/>
      <c r="H99" s="49">
        <f t="shared" si="103"/>
        <v>0</v>
      </c>
      <c r="I99" s="50">
        <f t="shared" si="104"/>
        <v>0</v>
      </c>
      <c r="J99" s="51"/>
      <c r="K99" s="49">
        <f t="shared" si="105"/>
        <v>0</v>
      </c>
      <c r="L99" s="50">
        <f t="shared" si="106"/>
        <v>0</v>
      </c>
      <c r="M99" s="51"/>
      <c r="N99" s="49">
        <f t="shared" si="107"/>
        <v>0</v>
      </c>
      <c r="O99" s="50">
        <f t="shared" si="108"/>
        <v>0</v>
      </c>
      <c r="P99" s="51"/>
      <c r="Q99" s="49">
        <f t="shared" si="109"/>
        <v>0</v>
      </c>
      <c r="R99" s="50">
        <f t="shared" si="110"/>
        <v>0</v>
      </c>
      <c r="S99" s="51"/>
      <c r="T99" s="49">
        <f t="shared" si="111"/>
        <v>0</v>
      </c>
      <c r="U99" s="50">
        <f t="shared" si="112"/>
        <v>0</v>
      </c>
      <c r="V99" s="51"/>
      <c r="W99" s="49">
        <f t="shared" si="113"/>
        <v>0</v>
      </c>
      <c r="X99" s="50">
        <f t="shared" si="114"/>
        <v>0</v>
      </c>
      <c r="Y99" s="51"/>
      <c r="Z99" s="49">
        <f t="shared" si="115"/>
        <v>0</v>
      </c>
      <c r="AA99" s="50">
        <f t="shared" si="116"/>
        <v>0</v>
      </c>
      <c r="AB99" s="51"/>
      <c r="AC99" s="49">
        <f t="shared" si="117"/>
        <v>0</v>
      </c>
      <c r="AD99" s="50">
        <f t="shared" si="118"/>
        <v>0</v>
      </c>
      <c r="AE99" s="51"/>
      <c r="AF99" s="49">
        <f t="shared" si="119"/>
        <v>0</v>
      </c>
      <c r="AG99" s="50">
        <f t="shared" si="120"/>
        <v>0</v>
      </c>
      <c r="AH99" s="51"/>
      <c r="AI99" s="49">
        <f t="shared" si="121"/>
        <v>0</v>
      </c>
      <c r="AJ99" s="50">
        <f t="shared" si="122"/>
        <v>0</v>
      </c>
      <c r="AK99" s="51"/>
      <c r="AL99" s="49">
        <f t="shared" si="123"/>
        <v>0</v>
      </c>
      <c r="AM99" s="50">
        <f t="shared" si="124"/>
        <v>0</v>
      </c>
      <c r="AN99" s="51"/>
      <c r="AO99" s="49">
        <f t="shared" si="125"/>
        <v>0</v>
      </c>
      <c r="AP99" s="50">
        <f t="shared" si="126"/>
        <v>0</v>
      </c>
      <c r="AQ99" s="51"/>
      <c r="AR99" s="49">
        <f t="shared" si="127"/>
        <v>0</v>
      </c>
      <c r="AS99" s="50">
        <f t="shared" si="128"/>
        <v>0</v>
      </c>
      <c r="AT99" s="51"/>
      <c r="AU99" s="49">
        <f t="shared" si="129"/>
        <v>0</v>
      </c>
      <c r="AV99" s="50">
        <f t="shared" si="130"/>
        <v>0</v>
      </c>
      <c r="AW99" s="51"/>
      <c r="AX99" s="49">
        <f t="shared" si="131"/>
        <v>0</v>
      </c>
      <c r="AY99" s="50">
        <f t="shared" si="132"/>
        <v>0</v>
      </c>
      <c r="AZ99" s="51"/>
      <c r="BA99" s="49">
        <f t="shared" si="133"/>
        <v>0</v>
      </c>
      <c r="BB99" s="50">
        <f t="shared" si="134"/>
        <v>0</v>
      </c>
      <c r="BC99" s="51"/>
      <c r="BD99" s="49">
        <f t="shared" si="135"/>
        <v>0</v>
      </c>
      <c r="BE99" s="50">
        <f t="shared" si="136"/>
        <v>0</v>
      </c>
      <c r="BF99" s="51"/>
      <c r="BG99" s="49">
        <f t="shared" si="137"/>
        <v>0</v>
      </c>
      <c r="BH99" s="50">
        <f t="shared" si="138"/>
        <v>0</v>
      </c>
      <c r="BI99" s="51"/>
      <c r="BJ99" s="49">
        <f t="shared" si="139"/>
        <v>0</v>
      </c>
      <c r="BK99" s="50">
        <f t="shared" si="140"/>
        <v>0</v>
      </c>
      <c r="BL99" s="51"/>
      <c r="BM99" s="49">
        <f t="shared" si="141"/>
        <v>0</v>
      </c>
      <c r="BN99" s="50">
        <f t="shared" si="142"/>
        <v>0</v>
      </c>
      <c r="BO99" s="51"/>
      <c r="BP99" s="49">
        <f t="shared" si="143"/>
        <v>0</v>
      </c>
      <c r="BQ99" s="50">
        <f t="shared" si="144"/>
        <v>0</v>
      </c>
      <c r="BR99" s="51"/>
      <c r="BS99" s="49">
        <f t="shared" si="145"/>
        <v>0</v>
      </c>
      <c r="BT99" s="50">
        <f t="shared" si="146"/>
        <v>0</v>
      </c>
      <c r="BU99" s="51"/>
      <c r="BV99" s="49">
        <f t="shared" si="147"/>
        <v>0</v>
      </c>
      <c r="BW99" s="50">
        <f t="shared" si="148"/>
        <v>0</v>
      </c>
      <c r="BX99" s="51"/>
      <c r="BY99" s="49">
        <f t="shared" si="149"/>
        <v>0</v>
      </c>
      <c r="BZ99" s="50">
        <f t="shared" si="150"/>
        <v>0</v>
      </c>
      <c r="CA99" s="51"/>
      <c r="CB99" s="49">
        <f t="shared" si="151"/>
        <v>0</v>
      </c>
      <c r="CC99" s="50">
        <f t="shared" si="152"/>
        <v>0</v>
      </c>
      <c r="CD99" s="51"/>
      <c r="CE99" s="49">
        <f t="shared" si="153"/>
        <v>0</v>
      </c>
      <c r="CF99" s="50">
        <f t="shared" si="154"/>
        <v>0</v>
      </c>
      <c r="CG99" s="51"/>
      <c r="CH99" s="49">
        <f t="shared" si="155"/>
        <v>0</v>
      </c>
      <c r="CI99" s="50">
        <f t="shared" si="156"/>
        <v>0</v>
      </c>
      <c r="CJ99" s="51"/>
      <c r="CK99" s="49">
        <f t="shared" si="157"/>
        <v>0</v>
      </c>
      <c r="CL99" s="50">
        <f t="shared" si="158"/>
        <v>0</v>
      </c>
      <c r="CM99" s="51"/>
      <c r="CN99" s="49">
        <f t="shared" si="159"/>
        <v>0</v>
      </c>
      <c r="CO99" s="50">
        <f t="shared" si="160"/>
        <v>0</v>
      </c>
      <c r="CP99" s="51"/>
      <c r="CQ99" s="49">
        <f t="shared" si="161"/>
        <v>0</v>
      </c>
      <c r="CR99" s="50">
        <f t="shared" si="162"/>
        <v>0</v>
      </c>
      <c r="CS99" s="51"/>
      <c r="CT99" s="49">
        <f t="shared" si="163"/>
        <v>0</v>
      </c>
      <c r="CU99" s="50">
        <f t="shared" si="164"/>
        <v>0</v>
      </c>
      <c r="CV99" s="51"/>
      <c r="CW99" s="49">
        <f t="shared" si="165"/>
        <v>0</v>
      </c>
      <c r="CX99" s="50">
        <f t="shared" si="166"/>
        <v>0</v>
      </c>
      <c r="CY99" s="51"/>
      <c r="CZ99" s="49">
        <f t="shared" si="167"/>
        <v>0</v>
      </c>
      <c r="DA99" s="50">
        <f t="shared" si="168"/>
        <v>0</v>
      </c>
      <c r="DB99" s="51"/>
      <c r="DC99" s="49">
        <f t="shared" si="169"/>
        <v>0</v>
      </c>
      <c r="DD99" s="50">
        <f t="shared" si="170"/>
        <v>0</v>
      </c>
      <c r="DE99" s="51"/>
      <c r="DF99" s="49">
        <f t="shared" si="171"/>
        <v>0</v>
      </c>
      <c r="DG99" s="50">
        <f t="shared" si="172"/>
        <v>0</v>
      </c>
      <c r="DH99" s="51"/>
      <c r="DI99" s="49">
        <f t="shared" si="173"/>
        <v>0</v>
      </c>
      <c r="DJ99" s="50">
        <f t="shared" si="174"/>
        <v>0</v>
      </c>
      <c r="DK99" s="51"/>
      <c r="DL99" s="49">
        <f t="shared" si="175"/>
        <v>0</v>
      </c>
      <c r="DM99" s="50">
        <f t="shared" si="176"/>
        <v>0</v>
      </c>
      <c r="DN99" s="51"/>
      <c r="DO99" s="49">
        <f t="shared" si="177"/>
        <v>0</v>
      </c>
      <c r="DP99" s="50">
        <f t="shared" si="178"/>
        <v>0</v>
      </c>
      <c r="DQ99" s="51"/>
      <c r="DR99" s="51"/>
      <c r="DS99" s="51"/>
      <c r="DT99" s="46">
        <f t="shared" si="182"/>
        <v>0</v>
      </c>
      <c r="DU99" s="46">
        <f t="shared" si="183"/>
        <v>0</v>
      </c>
      <c r="DV99" s="46">
        <f t="shared" si="183"/>
        <v>0</v>
      </c>
    </row>
    <row r="100" spans="1:126" x14ac:dyDescent="0.6">
      <c r="A100" s="67"/>
      <c r="B100" s="9" t="s">
        <v>48</v>
      </c>
      <c r="C100" s="10" t="s">
        <v>41</v>
      </c>
      <c r="D100" s="51">
        <v>130</v>
      </c>
      <c r="E100" s="49">
        <f t="shared" si="101"/>
        <v>1820</v>
      </c>
      <c r="F100" s="50">
        <f t="shared" si="102"/>
        <v>1164.8</v>
      </c>
      <c r="G100" s="51"/>
      <c r="H100" s="49">
        <f t="shared" si="103"/>
        <v>0</v>
      </c>
      <c r="I100" s="50">
        <f t="shared" si="104"/>
        <v>0</v>
      </c>
      <c r="J100" s="51"/>
      <c r="K100" s="49">
        <f t="shared" si="105"/>
        <v>0</v>
      </c>
      <c r="L100" s="50">
        <f t="shared" si="106"/>
        <v>0</v>
      </c>
      <c r="M100" s="51"/>
      <c r="N100" s="49">
        <f t="shared" si="107"/>
        <v>0</v>
      </c>
      <c r="O100" s="50">
        <f t="shared" si="108"/>
        <v>0</v>
      </c>
      <c r="P100" s="51"/>
      <c r="Q100" s="49">
        <f t="shared" si="109"/>
        <v>0</v>
      </c>
      <c r="R100" s="50">
        <f t="shared" si="110"/>
        <v>0</v>
      </c>
      <c r="S100" s="51"/>
      <c r="T100" s="49">
        <f t="shared" si="111"/>
        <v>0</v>
      </c>
      <c r="U100" s="50">
        <f t="shared" si="112"/>
        <v>0</v>
      </c>
      <c r="V100" s="51"/>
      <c r="W100" s="49">
        <f t="shared" si="113"/>
        <v>0</v>
      </c>
      <c r="X100" s="50">
        <f t="shared" si="114"/>
        <v>0</v>
      </c>
      <c r="Y100" s="51"/>
      <c r="Z100" s="49">
        <f t="shared" si="115"/>
        <v>0</v>
      </c>
      <c r="AA100" s="50">
        <f t="shared" si="116"/>
        <v>0</v>
      </c>
      <c r="AB100" s="51"/>
      <c r="AC100" s="49">
        <f t="shared" si="117"/>
        <v>0</v>
      </c>
      <c r="AD100" s="50">
        <f t="shared" si="118"/>
        <v>0</v>
      </c>
      <c r="AE100" s="51"/>
      <c r="AF100" s="49">
        <f t="shared" si="119"/>
        <v>0</v>
      </c>
      <c r="AG100" s="50">
        <f t="shared" si="120"/>
        <v>0</v>
      </c>
      <c r="AH100" s="51">
        <v>2</v>
      </c>
      <c r="AI100" s="49">
        <f t="shared" si="121"/>
        <v>24</v>
      </c>
      <c r="AJ100" s="50">
        <f t="shared" si="122"/>
        <v>16.799999999999997</v>
      </c>
      <c r="AK100" s="51"/>
      <c r="AL100" s="49">
        <f t="shared" si="123"/>
        <v>0</v>
      </c>
      <c r="AM100" s="50">
        <f t="shared" si="124"/>
        <v>0</v>
      </c>
      <c r="AN100" s="51"/>
      <c r="AO100" s="49">
        <f t="shared" si="125"/>
        <v>0</v>
      </c>
      <c r="AP100" s="50">
        <f t="shared" si="126"/>
        <v>0</v>
      </c>
      <c r="AQ100" s="51"/>
      <c r="AR100" s="49">
        <f t="shared" si="127"/>
        <v>0</v>
      </c>
      <c r="AS100" s="50">
        <f t="shared" si="128"/>
        <v>0</v>
      </c>
      <c r="AT100" s="51"/>
      <c r="AU100" s="49">
        <f t="shared" si="129"/>
        <v>0</v>
      </c>
      <c r="AV100" s="50">
        <f t="shared" si="130"/>
        <v>0</v>
      </c>
      <c r="AW100" s="51">
        <v>470</v>
      </c>
      <c r="AX100" s="49">
        <f t="shared" si="131"/>
        <v>5640</v>
      </c>
      <c r="AY100" s="50">
        <f t="shared" si="132"/>
        <v>5640</v>
      </c>
      <c r="AZ100" s="51">
        <v>65</v>
      </c>
      <c r="BA100" s="49">
        <f t="shared" si="133"/>
        <v>780</v>
      </c>
      <c r="BB100" s="50">
        <f t="shared" si="134"/>
        <v>468</v>
      </c>
      <c r="BC100" s="51">
        <v>60</v>
      </c>
      <c r="BD100" s="49">
        <f t="shared" si="135"/>
        <v>2400</v>
      </c>
      <c r="BE100" s="50">
        <f t="shared" si="136"/>
        <v>840</v>
      </c>
      <c r="BF100" s="51">
        <v>105</v>
      </c>
      <c r="BG100" s="49">
        <f t="shared" si="137"/>
        <v>1260</v>
      </c>
      <c r="BH100" s="50">
        <f t="shared" si="138"/>
        <v>1260</v>
      </c>
      <c r="BI100" s="51"/>
      <c r="BJ100" s="49">
        <f t="shared" si="139"/>
        <v>0</v>
      </c>
      <c r="BK100" s="50">
        <f t="shared" si="140"/>
        <v>0</v>
      </c>
      <c r="BL100" s="51"/>
      <c r="BM100" s="49">
        <f t="shared" si="141"/>
        <v>0</v>
      </c>
      <c r="BN100" s="50">
        <f t="shared" si="142"/>
        <v>0</v>
      </c>
      <c r="BO100" s="51"/>
      <c r="BP100" s="49">
        <f t="shared" si="143"/>
        <v>0</v>
      </c>
      <c r="BQ100" s="50">
        <f t="shared" si="144"/>
        <v>0</v>
      </c>
      <c r="BR100" s="51"/>
      <c r="BS100" s="49">
        <f t="shared" si="145"/>
        <v>0</v>
      </c>
      <c r="BT100" s="50">
        <f t="shared" si="146"/>
        <v>0</v>
      </c>
      <c r="BU100" s="51"/>
      <c r="BV100" s="49">
        <f t="shared" si="147"/>
        <v>0</v>
      </c>
      <c r="BW100" s="50">
        <f t="shared" si="148"/>
        <v>0</v>
      </c>
      <c r="BX100" s="51"/>
      <c r="BY100" s="49">
        <f t="shared" si="149"/>
        <v>0</v>
      </c>
      <c r="BZ100" s="50">
        <f t="shared" si="150"/>
        <v>0</v>
      </c>
      <c r="CA100" s="51"/>
      <c r="CB100" s="49">
        <f t="shared" si="151"/>
        <v>0</v>
      </c>
      <c r="CC100" s="50">
        <f t="shared" si="152"/>
        <v>0</v>
      </c>
      <c r="CD100" s="51"/>
      <c r="CE100" s="49">
        <f t="shared" si="153"/>
        <v>0</v>
      </c>
      <c r="CF100" s="50">
        <f t="shared" si="154"/>
        <v>0</v>
      </c>
      <c r="CG100" s="51"/>
      <c r="CH100" s="49">
        <f t="shared" si="155"/>
        <v>0</v>
      </c>
      <c r="CI100" s="50">
        <f t="shared" si="156"/>
        <v>0</v>
      </c>
      <c r="CJ100" s="51"/>
      <c r="CK100" s="49">
        <f t="shared" si="157"/>
        <v>0</v>
      </c>
      <c r="CL100" s="50">
        <f t="shared" si="158"/>
        <v>0</v>
      </c>
      <c r="CM100" s="51"/>
      <c r="CN100" s="49">
        <f t="shared" si="159"/>
        <v>0</v>
      </c>
      <c r="CO100" s="50">
        <f t="shared" si="160"/>
        <v>0</v>
      </c>
      <c r="CP100" s="51"/>
      <c r="CQ100" s="49">
        <f t="shared" si="161"/>
        <v>0</v>
      </c>
      <c r="CR100" s="50">
        <f t="shared" si="162"/>
        <v>0</v>
      </c>
      <c r="CS100" s="51"/>
      <c r="CT100" s="49">
        <f t="shared" si="163"/>
        <v>0</v>
      </c>
      <c r="CU100" s="50">
        <f t="shared" si="164"/>
        <v>0</v>
      </c>
      <c r="CV100" s="51"/>
      <c r="CW100" s="49">
        <f t="shared" si="165"/>
        <v>0</v>
      </c>
      <c r="CX100" s="50">
        <f t="shared" si="166"/>
        <v>0</v>
      </c>
      <c r="CY100" s="51"/>
      <c r="CZ100" s="49">
        <f t="shared" si="167"/>
        <v>0</v>
      </c>
      <c r="DA100" s="50">
        <f t="shared" si="168"/>
        <v>0</v>
      </c>
      <c r="DB100" s="51"/>
      <c r="DC100" s="49">
        <f t="shared" si="169"/>
        <v>0</v>
      </c>
      <c r="DD100" s="50">
        <f t="shared" si="170"/>
        <v>0</v>
      </c>
      <c r="DE100" s="51"/>
      <c r="DF100" s="49">
        <f t="shared" si="171"/>
        <v>0</v>
      </c>
      <c r="DG100" s="50">
        <f t="shared" si="172"/>
        <v>0</v>
      </c>
      <c r="DH100" s="51"/>
      <c r="DI100" s="49">
        <f t="shared" si="173"/>
        <v>0</v>
      </c>
      <c r="DJ100" s="50">
        <f t="shared" si="174"/>
        <v>0</v>
      </c>
      <c r="DK100" s="51"/>
      <c r="DL100" s="49">
        <f t="shared" si="175"/>
        <v>0</v>
      </c>
      <c r="DM100" s="50">
        <f t="shared" si="176"/>
        <v>0</v>
      </c>
      <c r="DN100" s="51"/>
      <c r="DO100" s="49">
        <f t="shared" si="177"/>
        <v>0</v>
      </c>
      <c r="DP100" s="50">
        <f t="shared" si="178"/>
        <v>0</v>
      </c>
      <c r="DQ100" s="51"/>
      <c r="DR100" s="51"/>
      <c r="DS100" s="51"/>
      <c r="DT100" s="46">
        <f t="shared" si="182"/>
        <v>832</v>
      </c>
      <c r="DU100" s="46">
        <f t="shared" si="183"/>
        <v>11924</v>
      </c>
      <c r="DV100" s="46">
        <f t="shared" si="183"/>
        <v>9389.6</v>
      </c>
    </row>
    <row r="101" spans="1:126" x14ac:dyDescent="0.6">
      <c r="A101" s="67"/>
      <c r="B101" s="9" t="s">
        <v>50</v>
      </c>
      <c r="C101" s="10" t="s">
        <v>41</v>
      </c>
      <c r="D101" s="51">
        <v>500</v>
      </c>
      <c r="E101" s="49">
        <f t="shared" si="101"/>
        <v>7000</v>
      </c>
      <c r="F101" s="50">
        <f t="shared" si="102"/>
        <v>4480</v>
      </c>
      <c r="G101" s="51"/>
      <c r="H101" s="49">
        <f t="shared" si="103"/>
        <v>0</v>
      </c>
      <c r="I101" s="50">
        <f t="shared" si="104"/>
        <v>0</v>
      </c>
      <c r="J101" s="51"/>
      <c r="K101" s="49">
        <f t="shared" si="105"/>
        <v>0</v>
      </c>
      <c r="L101" s="50">
        <f t="shared" si="106"/>
        <v>0</v>
      </c>
      <c r="M101" s="51"/>
      <c r="N101" s="49">
        <f t="shared" si="107"/>
        <v>0</v>
      </c>
      <c r="O101" s="50">
        <f t="shared" si="108"/>
        <v>0</v>
      </c>
      <c r="P101" s="51"/>
      <c r="Q101" s="49">
        <f t="shared" si="109"/>
        <v>0</v>
      </c>
      <c r="R101" s="50">
        <f t="shared" si="110"/>
        <v>0</v>
      </c>
      <c r="S101" s="51"/>
      <c r="T101" s="49">
        <f t="shared" si="111"/>
        <v>0</v>
      </c>
      <c r="U101" s="50">
        <f t="shared" si="112"/>
        <v>0</v>
      </c>
      <c r="V101" s="51">
        <v>30</v>
      </c>
      <c r="W101" s="49">
        <f t="shared" si="113"/>
        <v>420</v>
      </c>
      <c r="X101" s="50">
        <f t="shared" si="114"/>
        <v>268.8</v>
      </c>
      <c r="Y101" s="51"/>
      <c r="Z101" s="49">
        <f t="shared" si="115"/>
        <v>0</v>
      </c>
      <c r="AA101" s="50">
        <f t="shared" si="116"/>
        <v>0</v>
      </c>
      <c r="AB101" s="51"/>
      <c r="AC101" s="49">
        <f t="shared" si="117"/>
        <v>0</v>
      </c>
      <c r="AD101" s="50">
        <f t="shared" si="118"/>
        <v>0</v>
      </c>
      <c r="AE101" s="51"/>
      <c r="AF101" s="49">
        <f t="shared" si="119"/>
        <v>0</v>
      </c>
      <c r="AG101" s="50">
        <f t="shared" si="120"/>
        <v>0</v>
      </c>
      <c r="AH101" s="51">
        <v>50</v>
      </c>
      <c r="AI101" s="49">
        <f t="shared" si="121"/>
        <v>600</v>
      </c>
      <c r="AJ101" s="50">
        <f t="shared" si="122"/>
        <v>420</v>
      </c>
      <c r="AK101" s="51"/>
      <c r="AL101" s="49">
        <f t="shared" si="123"/>
        <v>0</v>
      </c>
      <c r="AM101" s="50">
        <f t="shared" si="124"/>
        <v>0</v>
      </c>
      <c r="AN101" s="51"/>
      <c r="AO101" s="49">
        <f t="shared" si="125"/>
        <v>0</v>
      </c>
      <c r="AP101" s="50">
        <f t="shared" si="126"/>
        <v>0</v>
      </c>
      <c r="AQ101" s="51"/>
      <c r="AR101" s="49">
        <f t="shared" si="127"/>
        <v>0</v>
      </c>
      <c r="AS101" s="50">
        <f t="shared" si="128"/>
        <v>0</v>
      </c>
      <c r="AT101" s="51"/>
      <c r="AU101" s="49">
        <f t="shared" si="129"/>
        <v>0</v>
      </c>
      <c r="AV101" s="50">
        <f t="shared" si="130"/>
        <v>0</v>
      </c>
      <c r="AW101" s="51">
        <v>1700</v>
      </c>
      <c r="AX101" s="49">
        <f t="shared" si="131"/>
        <v>20400</v>
      </c>
      <c r="AY101" s="50">
        <f t="shared" si="132"/>
        <v>20400</v>
      </c>
      <c r="AZ101" s="51"/>
      <c r="BA101" s="49">
        <f t="shared" si="133"/>
        <v>0</v>
      </c>
      <c r="BB101" s="50">
        <f t="shared" si="134"/>
        <v>0</v>
      </c>
      <c r="BC101" s="51">
        <v>200</v>
      </c>
      <c r="BD101" s="49">
        <f t="shared" si="135"/>
        <v>8000</v>
      </c>
      <c r="BE101" s="50">
        <f t="shared" si="136"/>
        <v>2800</v>
      </c>
      <c r="BF101" s="51">
        <v>240</v>
      </c>
      <c r="BG101" s="49">
        <f t="shared" si="137"/>
        <v>2880</v>
      </c>
      <c r="BH101" s="50">
        <f t="shared" si="138"/>
        <v>2880</v>
      </c>
      <c r="BI101" s="51"/>
      <c r="BJ101" s="49">
        <f t="shared" si="139"/>
        <v>0</v>
      </c>
      <c r="BK101" s="50">
        <f t="shared" si="140"/>
        <v>0</v>
      </c>
      <c r="BL101" s="51"/>
      <c r="BM101" s="49">
        <f t="shared" si="141"/>
        <v>0</v>
      </c>
      <c r="BN101" s="50">
        <f t="shared" si="142"/>
        <v>0</v>
      </c>
      <c r="BO101" s="51"/>
      <c r="BP101" s="49">
        <f t="shared" si="143"/>
        <v>0</v>
      </c>
      <c r="BQ101" s="50">
        <f t="shared" si="144"/>
        <v>0</v>
      </c>
      <c r="BR101" s="51"/>
      <c r="BS101" s="49">
        <f t="shared" si="145"/>
        <v>0</v>
      </c>
      <c r="BT101" s="50">
        <f t="shared" si="146"/>
        <v>0</v>
      </c>
      <c r="BU101" s="51"/>
      <c r="BV101" s="49">
        <f t="shared" si="147"/>
        <v>0</v>
      </c>
      <c r="BW101" s="50">
        <f t="shared" si="148"/>
        <v>0</v>
      </c>
      <c r="BX101" s="51"/>
      <c r="BY101" s="49">
        <f t="shared" si="149"/>
        <v>0</v>
      </c>
      <c r="BZ101" s="50">
        <f t="shared" si="150"/>
        <v>0</v>
      </c>
      <c r="CA101" s="51"/>
      <c r="CB101" s="49">
        <f t="shared" si="151"/>
        <v>0</v>
      </c>
      <c r="CC101" s="50">
        <f t="shared" si="152"/>
        <v>0</v>
      </c>
      <c r="CD101" s="51"/>
      <c r="CE101" s="49">
        <f t="shared" si="153"/>
        <v>0</v>
      </c>
      <c r="CF101" s="50">
        <f t="shared" si="154"/>
        <v>0</v>
      </c>
      <c r="CG101" s="51"/>
      <c r="CH101" s="49">
        <f t="shared" si="155"/>
        <v>0</v>
      </c>
      <c r="CI101" s="50">
        <f t="shared" si="156"/>
        <v>0</v>
      </c>
      <c r="CJ101" s="51"/>
      <c r="CK101" s="49">
        <f t="shared" si="157"/>
        <v>0</v>
      </c>
      <c r="CL101" s="50">
        <f t="shared" si="158"/>
        <v>0</v>
      </c>
      <c r="CM101" s="51"/>
      <c r="CN101" s="49">
        <f t="shared" si="159"/>
        <v>0</v>
      </c>
      <c r="CO101" s="50">
        <f t="shared" si="160"/>
        <v>0</v>
      </c>
      <c r="CP101" s="51"/>
      <c r="CQ101" s="49">
        <f t="shared" si="161"/>
        <v>0</v>
      </c>
      <c r="CR101" s="50">
        <f t="shared" si="162"/>
        <v>0</v>
      </c>
      <c r="CS101" s="51"/>
      <c r="CT101" s="49">
        <f t="shared" si="163"/>
        <v>0</v>
      </c>
      <c r="CU101" s="50">
        <f t="shared" si="164"/>
        <v>0</v>
      </c>
      <c r="CV101" s="51"/>
      <c r="CW101" s="49">
        <f t="shared" si="165"/>
        <v>0</v>
      </c>
      <c r="CX101" s="50">
        <f t="shared" si="166"/>
        <v>0</v>
      </c>
      <c r="CY101" s="51"/>
      <c r="CZ101" s="49">
        <f t="shared" si="167"/>
        <v>0</v>
      </c>
      <c r="DA101" s="50">
        <f t="shared" si="168"/>
        <v>0</v>
      </c>
      <c r="DB101" s="51"/>
      <c r="DC101" s="49">
        <f t="shared" si="169"/>
        <v>0</v>
      </c>
      <c r="DD101" s="50">
        <f t="shared" si="170"/>
        <v>0</v>
      </c>
      <c r="DE101" s="51"/>
      <c r="DF101" s="49">
        <f t="shared" si="171"/>
        <v>0</v>
      </c>
      <c r="DG101" s="50">
        <f t="shared" si="172"/>
        <v>0</v>
      </c>
      <c r="DH101" s="51"/>
      <c r="DI101" s="49">
        <f t="shared" si="173"/>
        <v>0</v>
      </c>
      <c r="DJ101" s="50">
        <f t="shared" si="174"/>
        <v>0</v>
      </c>
      <c r="DK101" s="51"/>
      <c r="DL101" s="49">
        <f t="shared" si="175"/>
        <v>0</v>
      </c>
      <c r="DM101" s="50">
        <f t="shared" si="176"/>
        <v>0</v>
      </c>
      <c r="DN101" s="51"/>
      <c r="DO101" s="49">
        <f t="shared" si="177"/>
        <v>0</v>
      </c>
      <c r="DP101" s="50">
        <f t="shared" si="178"/>
        <v>0</v>
      </c>
      <c r="DQ101" s="51"/>
      <c r="DR101" s="51"/>
      <c r="DS101" s="51"/>
      <c r="DT101" s="46">
        <f t="shared" si="182"/>
        <v>2720</v>
      </c>
      <c r="DU101" s="46">
        <f t="shared" si="183"/>
        <v>39300</v>
      </c>
      <c r="DV101" s="46">
        <f t="shared" si="183"/>
        <v>31248.799999999999</v>
      </c>
    </row>
    <row r="102" spans="1:126" x14ac:dyDescent="0.6">
      <c r="A102" s="67"/>
      <c r="B102" s="9" t="s">
        <v>51</v>
      </c>
      <c r="C102" s="10" t="s">
        <v>41</v>
      </c>
      <c r="D102" s="51">
        <v>870</v>
      </c>
      <c r="E102" s="49">
        <f t="shared" si="101"/>
        <v>12180</v>
      </c>
      <c r="F102" s="50">
        <f t="shared" si="102"/>
        <v>7795.2</v>
      </c>
      <c r="G102" s="51">
        <v>260</v>
      </c>
      <c r="H102" s="49">
        <f t="shared" si="103"/>
        <v>6240</v>
      </c>
      <c r="I102" s="50">
        <f t="shared" si="104"/>
        <v>3993.6</v>
      </c>
      <c r="J102" s="51"/>
      <c r="K102" s="49">
        <f t="shared" si="105"/>
        <v>0</v>
      </c>
      <c r="L102" s="50">
        <f t="shared" si="106"/>
        <v>0</v>
      </c>
      <c r="M102" s="51"/>
      <c r="N102" s="49">
        <f t="shared" si="107"/>
        <v>0</v>
      </c>
      <c r="O102" s="50">
        <f t="shared" si="108"/>
        <v>0</v>
      </c>
      <c r="P102" s="51"/>
      <c r="Q102" s="49">
        <f t="shared" si="109"/>
        <v>0</v>
      </c>
      <c r="R102" s="50">
        <f t="shared" si="110"/>
        <v>0</v>
      </c>
      <c r="S102" s="51"/>
      <c r="T102" s="49">
        <f t="shared" si="111"/>
        <v>0</v>
      </c>
      <c r="U102" s="50">
        <f t="shared" si="112"/>
        <v>0</v>
      </c>
      <c r="V102" s="51"/>
      <c r="W102" s="49">
        <f t="shared" si="113"/>
        <v>0</v>
      </c>
      <c r="X102" s="50">
        <f t="shared" si="114"/>
        <v>0</v>
      </c>
      <c r="Y102" s="51"/>
      <c r="Z102" s="49">
        <f t="shared" si="115"/>
        <v>0</v>
      </c>
      <c r="AA102" s="50">
        <f t="shared" si="116"/>
        <v>0</v>
      </c>
      <c r="AB102" s="51"/>
      <c r="AC102" s="49">
        <f t="shared" si="117"/>
        <v>0</v>
      </c>
      <c r="AD102" s="50">
        <f t="shared" si="118"/>
        <v>0</v>
      </c>
      <c r="AE102" s="51"/>
      <c r="AF102" s="49">
        <f t="shared" si="119"/>
        <v>0</v>
      </c>
      <c r="AG102" s="50">
        <f t="shared" si="120"/>
        <v>0</v>
      </c>
      <c r="AH102" s="51">
        <v>130</v>
      </c>
      <c r="AI102" s="49">
        <f t="shared" si="121"/>
        <v>1560</v>
      </c>
      <c r="AJ102" s="50">
        <f t="shared" si="122"/>
        <v>1092</v>
      </c>
      <c r="AK102" s="51"/>
      <c r="AL102" s="49">
        <f t="shared" si="123"/>
        <v>0</v>
      </c>
      <c r="AM102" s="50">
        <f t="shared" si="124"/>
        <v>0</v>
      </c>
      <c r="AN102" s="51"/>
      <c r="AO102" s="49">
        <f t="shared" si="125"/>
        <v>0</v>
      </c>
      <c r="AP102" s="50">
        <f t="shared" si="126"/>
        <v>0</v>
      </c>
      <c r="AQ102" s="51"/>
      <c r="AR102" s="49">
        <f t="shared" si="127"/>
        <v>0</v>
      </c>
      <c r="AS102" s="50">
        <f t="shared" si="128"/>
        <v>0</v>
      </c>
      <c r="AT102" s="51"/>
      <c r="AU102" s="49">
        <f t="shared" si="129"/>
        <v>0</v>
      </c>
      <c r="AV102" s="50">
        <f t="shared" si="130"/>
        <v>0</v>
      </c>
      <c r="AW102" s="51">
        <v>3977</v>
      </c>
      <c r="AX102" s="49">
        <f t="shared" si="131"/>
        <v>47724</v>
      </c>
      <c r="AY102" s="50">
        <f t="shared" si="132"/>
        <v>47724</v>
      </c>
      <c r="AZ102" s="51">
        <v>100</v>
      </c>
      <c r="BA102" s="49">
        <f t="shared" si="133"/>
        <v>1200</v>
      </c>
      <c r="BB102" s="50">
        <f t="shared" si="134"/>
        <v>720</v>
      </c>
      <c r="BC102" s="51">
        <v>320</v>
      </c>
      <c r="BD102" s="49">
        <f t="shared" si="135"/>
        <v>12800</v>
      </c>
      <c r="BE102" s="50">
        <f t="shared" si="136"/>
        <v>4480</v>
      </c>
      <c r="BF102" s="51">
        <v>195</v>
      </c>
      <c r="BG102" s="49">
        <f t="shared" si="137"/>
        <v>2340</v>
      </c>
      <c r="BH102" s="50">
        <f t="shared" si="138"/>
        <v>2340</v>
      </c>
      <c r="BI102" s="51"/>
      <c r="BJ102" s="49">
        <f t="shared" si="139"/>
        <v>0</v>
      </c>
      <c r="BK102" s="50">
        <f t="shared" si="140"/>
        <v>0</v>
      </c>
      <c r="BL102" s="51"/>
      <c r="BM102" s="49">
        <f t="shared" si="141"/>
        <v>0</v>
      </c>
      <c r="BN102" s="50">
        <f t="shared" si="142"/>
        <v>0</v>
      </c>
      <c r="BO102" s="51"/>
      <c r="BP102" s="49">
        <f t="shared" si="143"/>
        <v>0</v>
      </c>
      <c r="BQ102" s="50">
        <f t="shared" si="144"/>
        <v>0</v>
      </c>
      <c r="BR102" s="51"/>
      <c r="BS102" s="49">
        <f t="shared" si="145"/>
        <v>0</v>
      </c>
      <c r="BT102" s="50">
        <f t="shared" si="146"/>
        <v>0</v>
      </c>
      <c r="BU102" s="51"/>
      <c r="BV102" s="49">
        <f t="shared" si="147"/>
        <v>0</v>
      </c>
      <c r="BW102" s="50">
        <f t="shared" si="148"/>
        <v>0</v>
      </c>
      <c r="BX102" s="51"/>
      <c r="BY102" s="49">
        <f t="shared" si="149"/>
        <v>0</v>
      </c>
      <c r="BZ102" s="50">
        <f t="shared" si="150"/>
        <v>0</v>
      </c>
      <c r="CA102" s="51"/>
      <c r="CB102" s="49">
        <f t="shared" si="151"/>
        <v>0</v>
      </c>
      <c r="CC102" s="50">
        <f t="shared" si="152"/>
        <v>0</v>
      </c>
      <c r="CD102" s="51"/>
      <c r="CE102" s="49">
        <f t="shared" si="153"/>
        <v>0</v>
      </c>
      <c r="CF102" s="50">
        <f t="shared" si="154"/>
        <v>0</v>
      </c>
      <c r="CG102" s="51"/>
      <c r="CH102" s="49">
        <f t="shared" si="155"/>
        <v>0</v>
      </c>
      <c r="CI102" s="50">
        <f t="shared" si="156"/>
        <v>0</v>
      </c>
      <c r="CJ102" s="51"/>
      <c r="CK102" s="49">
        <f t="shared" si="157"/>
        <v>0</v>
      </c>
      <c r="CL102" s="50">
        <f t="shared" si="158"/>
        <v>0</v>
      </c>
      <c r="CM102" s="51"/>
      <c r="CN102" s="49">
        <f t="shared" si="159"/>
        <v>0</v>
      </c>
      <c r="CO102" s="50">
        <f t="shared" si="160"/>
        <v>0</v>
      </c>
      <c r="CP102" s="51"/>
      <c r="CQ102" s="49">
        <f t="shared" si="161"/>
        <v>0</v>
      </c>
      <c r="CR102" s="50">
        <f t="shared" si="162"/>
        <v>0</v>
      </c>
      <c r="CS102" s="51"/>
      <c r="CT102" s="49">
        <f t="shared" si="163"/>
        <v>0</v>
      </c>
      <c r="CU102" s="50">
        <f t="shared" si="164"/>
        <v>0</v>
      </c>
      <c r="CV102" s="51"/>
      <c r="CW102" s="49">
        <f t="shared" si="165"/>
        <v>0</v>
      </c>
      <c r="CX102" s="50">
        <f t="shared" si="166"/>
        <v>0</v>
      </c>
      <c r="CY102" s="51"/>
      <c r="CZ102" s="49">
        <f t="shared" si="167"/>
        <v>0</v>
      </c>
      <c r="DA102" s="50">
        <f t="shared" si="168"/>
        <v>0</v>
      </c>
      <c r="DB102" s="51"/>
      <c r="DC102" s="49">
        <f t="shared" si="169"/>
        <v>0</v>
      </c>
      <c r="DD102" s="50">
        <f t="shared" si="170"/>
        <v>0</v>
      </c>
      <c r="DE102" s="51"/>
      <c r="DF102" s="49">
        <f t="shared" si="171"/>
        <v>0</v>
      </c>
      <c r="DG102" s="50">
        <f t="shared" si="172"/>
        <v>0</v>
      </c>
      <c r="DH102" s="51"/>
      <c r="DI102" s="49">
        <f t="shared" si="173"/>
        <v>0</v>
      </c>
      <c r="DJ102" s="50">
        <f t="shared" si="174"/>
        <v>0</v>
      </c>
      <c r="DK102" s="51"/>
      <c r="DL102" s="49">
        <f t="shared" si="175"/>
        <v>0</v>
      </c>
      <c r="DM102" s="50">
        <f t="shared" si="176"/>
        <v>0</v>
      </c>
      <c r="DN102" s="51"/>
      <c r="DO102" s="49">
        <f t="shared" si="177"/>
        <v>0</v>
      </c>
      <c r="DP102" s="50">
        <f t="shared" si="178"/>
        <v>0</v>
      </c>
      <c r="DQ102" s="51"/>
      <c r="DR102" s="51"/>
      <c r="DS102" s="51"/>
      <c r="DT102" s="46">
        <f t="shared" si="182"/>
        <v>5852</v>
      </c>
      <c r="DU102" s="46">
        <f t="shared" si="183"/>
        <v>84044</v>
      </c>
      <c r="DV102" s="46">
        <f t="shared" si="183"/>
        <v>68144.800000000003</v>
      </c>
    </row>
    <row r="103" spans="1:126" x14ac:dyDescent="0.6">
      <c r="A103" s="67"/>
      <c r="B103" s="9" t="s">
        <v>52</v>
      </c>
      <c r="C103" s="10" t="s">
        <v>41</v>
      </c>
      <c r="D103" s="51">
        <v>110</v>
      </c>
      <c r="E103" s="49">
        <f t="shared" si="101"/>
        <v>1540</v>
      </c>
      <c r="F103" s="50">
        <f t="shared" si="102"/>
        <v>985.6</v>
      </c>
      <c r="G103" s="51"/>
      <c r="H103" s="49">
        <f t="shared" si="103"/>
        <v>0</v>
      </c>
      <c r="I103" s="50">
        <f t="shared" si="104"/>
        <v>0</v>
      </c>
      <c r="J103" s="51"/>
      <c r="K103" s="49">
        <f t="shared" si="105"/>
        <v>0</v>
      </c>
      <c r="L103" s="50">
        <f t="shared" si="106"/>
        <v>0</v>
      </c>
      <c r="M103" s="51"/>
      <c r="N103" s="49">
        <f t="shared" si="107"/>
        <v>0</v>
      </c>
      <c r="O103" s="50">
        <f t="shared" si="108"/>
        <v>0</v>
      </c>
      <c r="P103" s="51"/>
      <c r="Q103" s="49">
        <f t="shared" si="109"/>
        <v>0</v>
      </c>
      <c r="R103" s="50">
        <f t="shared" si="110"/>
        <v>0</v>
      </c>
      <c r="S103" s="51"/>
      <c r="T103" s="49">
        <f t="shared" si="111"/>
        <v>0</v>
      </c>
      <c r="U103" s="50">
        <f t="shared" si="112"/>
        <v>0</v>
      </c>
      <c r="V103" s="51"/>
      <c r="W103" s="49">
        <f t="shared" si="113"/>
        <v>0</v>
      </c>
      <c r="X103" s="50">
        <f t="shared" si="114"/>
        <v>0</v>
      </c>
      <c r="Y103" s="51"/>
      <c r="Z103" s="49">
        <f t="shared" si="115"/>
        <v>0</v>
      </c>
      <c r="AA103" s="50">
        <f t="shared" si="116"/>
        <v>0</v>
      </c>
      <c r="AB103" s="51"/>
      <c r="AC103" s="49">
        <f t="shared" si="117"/>
        <v>0</v>
      </c>
      <c r="AD103" s="50">
        <f t="shared" si="118"/>
        <v>0</v>
      </c>
      <c r="AE103" s="51"/>
      <c r="AF103" s="49">
        <f t="shared" si="119"/>
        <v>0</v>
      </c>
      <c r="AG103" s="50">
        <f t="shared" si="120"/>
        <v>0</v>
      </c>
      <c r="AH103" s="51"/>
      <c r="AI103" s="49">
        <f t="shared" si="121"/>
        <v>0</v>
      </c>
      <c r="AJ103" s="50">
        <f t="shared" si="122"/>
        <v>0</v>
      </c>
      <c r="AK103" s="51"/>
      <c r="AL103" s="49">
        <f t="shared" si="123"/>
        <v>0</v>
      </c>
      <c r="AM103" s="50">
        <f t="shared" si="124"/>
        <v>0</v>
      </c>
      <c r="AN103" s="51"/>
      <c r="AO103" s="49">
        <f t="shared" si="125"/>
        <v>0</v>
      </c>
      <c r="AP103" s="50">
        <f t="shared" si="126"/>
        <v>0</v>
      </c>
      <c r="AQ103" s="51"/>
      <c r="AR103" s="49">
        <f t="shared" si="127"/>
        <v>0</v>
      </c>
      <c r="AS103" s="50">
        <f t="shared" si="128"/>
        <v>0</v>
      </c>
      <c r="AT103" s="51"/>
      <c r="AU103" s="49">
        <f t="shared" si="129"/>
        <v>0</v>
      </c>
      <c r="AV103" s="50">
        <f t="shared" si="130"/>
        <v>0</v>
      </c>
      <c r="AW103" s="51">
        <v>495</v>
      </c>
      <c r="AX103" s="49">
        <f t="shared" si="131"/>
        <v>5940</v>
      </c>
      <c r="AY103" s="50">
        <f t="shared" si="132"/>
        <v>5940</v>
      </c>
      <c r="AZ103" s="51">
        <v>90</v>
      </c>
      <c r="BA103" s="49">
        <f t="shared" si="133"/>
        <v>1080</v>
      </c>
      <c r="BB103" s="50">
        <f t="shared" si="134"/>
        <v>648</v>
      </c>
      <c r="BC103" s="51">
        <v>110</v>
      </c>
      <c r="BD103" s="49">
        <f t="shared" si="135"/>
        <v>4400</v>
      </c>
      <c r="BE103" s="50">
        <f t="shared" si="136"/>
        <v>1540</v>
      </c>
      <c r="BF103" s="51">
        <v>270</v>
      </c>
      <c r="BG103" s="49">
        <f t="shared" si="137"/>
        <v>3240</v>
      </c>
      <c r="BH103" s="50">
        <f t="shared" si="138"/>
        <v>3240</v>
      </c>
      <c r="BI103" s="51"/>
      <c r="BJ103" s="49">
        <f t="shared" si="139"/>
        <v>0</v>
      </c>
      <c r="BK103" s="50">
        <f t="shared" si="140"/>
        <v>0</v>
      </c>
      <c r="BL103" s="51">
        <v>15</v>
      </c>
      <c r="BM103" s="49">
        <f t="shared" si="141"/>
        <v>600</v>
      </c>
      <c r="BN103" s="50">
        <f t="shared" si="142"/>
        <v>210</v>
      </c>
      <c r="BO103" s="51"/>
      <c r="BP103" s="49">
        <f t="shared" si="143"/>
        <v>0</v>
      </c>
      <c r="BQ103" s="50">
        <f t="shared" si="144"/>
        <v>0</v>
      </c>
      <c r="BR103" s="51"/>
      <c r="BS103" s="49">
        <f t="shared" si="145"/>
        <v>0</v>
      </c>
      <c r="BT103" s="50">
        <f t="shared" si="146"/>
        <v>0</v>
      </c>
      <c r="BU103" s="51"/>
      <c r="BV103" s="49">
        <f t="shared" si="147"/>
        <v>0</v>
      </c>
      <c r="BW103" s="50">
        <f t="shared" si="148"/>
        <v>0</v>
      </c>
      <c r="BX103" s="51"/>
      <c r="BY103" s="49">
        <f t="shared" si="149"/>
        <v>0</v>
      </c>
      <c r="BZ103" s="50">
        <f t="shared" si="150"/>
        <v>0</v>
      </c>
      <c r="CA103" s="51"/>
      <c r="CB103" s="49">
        <f t="shared" si="151"/>
        <v>0</v>
      </c>
      <c r="CC103" s="50">
        <f t="shared" si="152"/>
        <v>0</v>
      </c>
      <c r="CD103" s="51"/>
      <c r="CE103" s="49">
        <f t="shared" si="153"/>
        <v>0</v>
      </c>
      <c r="CF103" s="50">
        <f t="shared" si="154"/>
        <v>0</v>
      </c>
      <c r="CG103" s="51"/>
      <c r="CH103" s="49">
        <f t="shared" si="155"/>
        <v>0</v>
      </c>
      <c r="CI103" s="50">
        <f t="shared" si="156"/>
        <v>0</v>
      </c>
      <c r="CJ103" s="51"/>
      <c r="CK103" s="49">
        <f t="shared" si="157"/>
        <v>0</v>
      </c>
      <c r="CL103" s="50">
        <f t="shared" si="158"/>
        <v>0</v>
      </c>
      <c r="CM103" s="51"/>
      <c r="CN103" s="49">
        <f t="shared" si="159"/>
        <v>0</v>
      </c>
      <c r="CO103" s="50">
        <f t="shared" si="160"/>
        <v>0</v>
      </c>
      <c r="CP103" s="51"/>
      <c r="CQ103" s="49">
        <f t="shared" si="161"/>
        <v>0</v>
      </c>
      <c r="CR103" s="50">
        <f t="shared" si="162"/>
        <v>0</v>
      </c>
      <c r="CS103" s="51"/>
      <c r="CT103" s="49">
        <f t="shared" si="163"/>
        <v>0</v>
      </c>
      <c r="CU103" s="50">
        <f t="shared" si="164"/>
        <v>0</v>
      </c>
      <c r="CV103" s="51"/>
      <c r="CW103" s="49">
        <f t="shared" si="165"/>
        <v>0</v>
      </c>
      <c r="CX103" s="50">
        <f t="shared" si="166"/>
        <v>0</v>
      </c>
      <c r="CY103" s="51"/>
      <c r="CZ103" s="49">
        <f t="shared" si="167"/>
        <v>0</v>
      </c>
      <c r="DA103" s="50">
        <f t="shared" si="168"/>
        <v>0</v>
      </c>
      <c r="DB103" s="51"/>
      <c r="DC103" s="49">
        <f t="shared" si="169"/>
        <v>0</v>
      </c>
      <c r="DD103" s="50">
        <f t="shared" si="170"/>
        <v>0</v>
      </c>
      <c r="DE103" s="51"/>
      <c r="DF103" s="49">
        <f t="shared" si="171"/>
        <v>0</v>
      </c>
      <c r="DG103" s="50">
        <f t="shared" si="172"/>
        <v>0</v>
      </c>
      <c r="DH103" s="51"/>
      <c r="DI103" s="49">
        <f t="shared" si="173"/>
        <v>0</v>
      </c>
      <c r="DJ103" s="50">
        <f t="shared" si="174"/>
        <v>0</v>
      </c>
      <c r="DK103" s="51"/>
      <c r="DL103" s="49">
        <f t="shared" si="175"/>
        <v>0</v>
      </c>
      <c r="DM103" s="50">
        <f t="shared" si="176"/>
        <v>0</v>
      </c>
      <c r="DN103" s="51"/>
      <c r="DO103" s="49">
        <f t="shared" si="177"/>
        <v>0</v>
      </c>
      <c r="DP103" s="50">
        <f t="shared" si="178"/>
        <v>0</v>
      </c>
      <c r="DQ103" s="51"/>
      <c r="DR103" s="51"/>
      <c r="DS103" s="51"/>
      <c r="DT103" s="46">
        <f t="shared" si="182"/>
        <v>1090</v>
      </c>
      <c r="DU103" s="46">
        <f t="shared" si="183"/>
        <v>16800</v>
      </c>
      <c r="DV103" s="46">
        <f t="shared" si="183"/>
        <v>12563.6</v>
      </c>
    </row>
    <row r="104" spans="1:126" x14ac:dyDescent="0.6">
      <c r="A104" s="67"/>
      <c r="B104" s="9" t="s">
        <v>44</v>
      </c>
      <c r="C104" s="10" t="s">
        <v>42</v>
      </c>
      <c r="D104" s="51">
        <v>215</v>
      </c>
      <c r="E104" s="49">
        <f t="shared" si="101"/>
        <v>3010</v>
      </c>
      <c r="F104" s="50">
        <f t="shared" si="102"/>
        <v>1926.4</v>
      </c>
      <c r="G104" s="51"/>
      <c r="H104" s="49">
        <f t="shared" si="103"/>
        <v>0</v>
      </c>
      <c r="I104" s="50">
        <f t="shared" si="104"/>
        <v>0</v>
      </c>
      <c r="J104" s="51"/>
      <c r="K104" s="49">
        <f t="shared" si="105"/>
        <v>0</v>
      </c>
      <c r="L104" s="50">
        <f t="shared" si="106"/>
        <v>0</v>
      </c>
      <c r="M104" s="51">
        <v>120</v>
      </c>
      <c r="N104" s="49">
        <f t="shared" si="107"/>
        <v>1680</v>
      </c>
      <c r="O104" s="50">
        <f t="shared" si="108"/>
        <v>1075.2</v>
      </c>
      <c r="P104" s="51"/>
      <c r="Q104" s="49">
        <f t="shared" si="109"/>
        <v>0</v>
      </c>
      <c r="R104" s="50">
        <f t="shared" si="110"/>
        <v>0</v>
      </c>
      <c r="S104" s="51"/>
      <c r="T104" s="49">
        <f t="shared" si="111"/>
        <v>0</v>
      </c>
      <c r="U104" s="50">
        <f t="shared" si="112"/>
        <v>0</v>
      </c>
      <c r="V104" s="51"/>
      <c r="W104" s="49">
        <f t="shared" si="113"/>
        <v>0</v>
      </c>
      <c r="X104" s="50">
        <f t="shared" si="114"/>
        <v>0</v>
      </c>
      <c r="Y104" s="51"/>
      <c r="Z104" s="49">
        <f t="shared" si="115"/>
        <v>0</v>
      </c>
      <c r="AA104" s="50">
        <f t="shared" si="116"/>
        <v>0</v>
      </c>
      <c r="AB104" s="51"/>
      <c r="AC104" s="49">
        <f t="shared" si="117"/>
        <v>0</v>
      </c>
      <c r="AD104" s="50">
        <f t="shared" si="118"/>
        <v>0</v>
      </c>
      <c r="AE104" s="51"/>
      <c r="AF104" s="49">
        <f t="shared" si="119"/>
        <v>0</v>
      </c>
      <c r="AG104" s="50">
        <f t="shared" si="120"/>
        <v>0</v>
      </c>
      <c r="AH104" s="51">
        <v>4</v>
      </c>
      <c r="AI104" s="49">
        <f t="shared" si="121"/>
        <v>48</v>
      </c>
      <c r="AJ104" s="50">
        <f t="shared" si="122"/>
        <v>33.599999999999994</v>
      </c>
      <c r="AK104" s="51"/>
      <c r="AL104" s="49">
        <f t="shared" si="123"/>
        <v>0</v>
      </c>
      <c r="AM104" s="50">
        <f t="shared" si="124"/>
        <v>0</v>
      </c>
      <c r="AN104" s="51"/>
      <c r="AO104" s="49">
        <f t="shared" si="125"/>
        <v>0</v>
      </c>
      <c r="AP104" s="50">
        <f t="shared" si="126"/>
        <v>0</v>
      </c>
      <c r="AQ104" s="51"/>
      <c r="AR104" s="49">
        <f t="shared" si="127"/>
        <v>0</v>
      </c>
      <c r="AS104" s="50">
        <f t="shared" si="128"/>
        <v>0</v>
      </c>
      <c r="AT104" s="51"/>
      <c r="AU104" s="49">
        <f t="shared" si="129"/>
        <v>0</v>
      </c>
      <c r="AV104" s="50">
        <f t="shared" si="130"/>
        <v>0</v>
      </c>
      <c r="AW104" s="51">
        <v>530</v>
      </c>
      <c r="AX104" s="49">
        <f t="shared" si="131"/>
        <v>6360</v>
      </c>
      <c r="AY104" s="50">
        <f t="shared" si="132"/>
        <v>6360</v>
      </c>
      <c r="AZ104" s="51">
        <v>50</v>
      </c>
      <c r="BA104" s="49">
        <f t="shared" si="133"/>
        <v>600</v>
      </c>
      <c r="BB104" s="50">
        <f t="shared" si="134"/>
        <v>360</v>
      </c>
      <c r="BC104" s="51">
        <v>90</v>
      </c>
      <c r="BD104" s="49">
        <f t="shared" si="135"/>
        <v>3600</v>
      </c>
      <c r="BE104" s="50">
        <f t="shared" si="136"/>
        <v>1260</v>
      </c>
      <c r="BF104" s="51">
        <v>225</v>
      </c>
      <c r="BG104" s="49">
        <f t="shared" si="137"/>
        <v>2700</v>
      </c>
      <c r="BH104" s="50">
        <f t="shared" si="138"/>
        <v>2700</v>
      </c>
      <c r="BI104" s="51"/>
      <c r="BJ104" s="49">
        <f t="shared" si="139"/>
        <v>0</v>
      </c>
      <c r="BK104" s="50">
        <f t="shared" si="140"/>
        <v>0</v>
      </c>
      <c r="BL104" s="51">
        <v>5</v>
      </c>
      <c r="BM104" s="49">
        <f t="shared" si="141"/>
        <v>200</v>
      </c>
      <c r="BN104" s="50">
        <f t="shared" si="142"/>
        <v>70</v>
      </c>
      <c r="BO104" s="51"/>
      <c r="BP104" s="49">
        <f t="shared" si="143"/>
        <v>0</v>
      </c>
      <c r="BQ104" s="50">
        <f t="shared" si="144"/>
        <v>0</v>
      </c>
      <c r="BR104" s="51"/>
      <c r="BS104" s="49">
        <f t="shared" si="145"/>
        <v>0</v>
      </c>
      <c r="BT104" s="50">
        <f t="shared" si="146"/>
        <v>0</v>
      </c>
      <c r="BU104" s="51"/>
      <c r="BV104" s="49">
        <f t="shared" si="147"/>
        <v>0</v>
      </c>
      <c r="BW104" s="50">
        <f t="shared" si="148"/>
        <v>0</v>
      </c>
      <c r="BX104" s="51"/>
      <c r="BY104" s="49">
        <f t="shared" si="149"/>
        <v>0</v>
      </c>
      <c r="BZ104" s="50">
        <f t="shared" si="150"/>
        <v>0</v>
      </c>
      <c r="CA104" s="51"/>
      <c r="CB104" s="49">
        <f t="shared" si="151"/>
        <v>0</v>
      </c>
      <c r="CC104" s="50">
        <f t="shared" si="152"/>
        <v>0</v>
      </c>
      <c r="CD104" s="51"/>
      <c r="CE104" s="49">
        <f t="shared" si="153"/>
        <v>0</v>
      </c>
      <c r="CF104" s="50">
        <f t="shared" si="154"/>
        <v>0</v>
      </c>
      <c r="CG104" s="51"/>
      <c r="CH104" s="49">
        <f t="shared" si="155"/>
        <v>0</v>
      </c>
      <c r="CI104" s="50">
        <f t="shared" si="156"/>
        <v>0</v>
      </c>
      <c r="CJ104" s="51"/>
      <c r="CK104" s="49">
        <f t="shared" si="157"/>
        <v>0</v>
      </c>
      <c r="CL104" s="50">
        <f t="shared" si="158"/>
        <v>0</v>
      </c>
      <c r="CM104" s="51"/>
      <c r="CN104" s="49">
        <f t="shared" si="159"/>
        <v>0</v>
      </c>
      <c r="CO104" s="50">
        <f t="shared" si="160"/>
        <v>0</v>
      </c>
      <c r="CP104" s="51"/>
      <c r="CQ104" s="49">
        <f t="shared" si="161"/>
        <v>0</v>
      </c>
      <c r="CR104" s="50">
        <f t="shared" si="162"/>
        <v>0</v>
      </c>
      <c r="CS104" s="51"/>
      <c r="CT104" s="49">
        <f t="shared" si="163"/>
        <v>0</v>
      </c>
      <c r="CU104" s="50">
        <f t="shared" si="164"/>
        <v>0</v>
      </c>
      <c r="CV104" s="51"/>
      <c r="CW104" s="49">
        <f t="shared" si="165"/>
        <v>0</v>
      </c>
      <c r="CX104" s="50">
        <f t="shared" si="166"/>
        <v>0</v>
      </c>
      <c r="CY104" s="51"/>
      <c r="CZ104" s="49">
        <f t="shared" si="167"/>
        <v>0</v>
      </c>
      <c r="DA104" s="50">
        <f t="shared" si="168"/>
        <v>0</v>
      </c>
      <c r="DB104" s="51"/>
      <c r="DC104" s="49">
        <f t="shared" si="169"/>
        <v>0</v>
      </c>
      <c r="DD104" s="50">
        <f t="shared" si="170"/>
        <v>0</v>
      </c>
      <c r="DE104" s="51"/>
      <c r="DF104" s="49">
        <f t="shared" si="171"/>
        <v>0</v>
      </c>
      <c r="DG104" s="50">
        <f t="shared" si="172"/>
        <v>0</v>
      </c>
      <c r="DH104" s="51"/>
      <c r="DI104" s="49">
        <f t="shared" si="173"/>
        <v>0</v>
      </c>
      <c r="DJ104" s="50">
        <f t="shared" si="174"/>
        <v>0</v>
      </c>
      <c r="DK104" s="51"/>
      <c r="DL104" s="49">
        <f t="shared" si="175"/>
        <v>0</v>
      </c>
      <c r="DM104" s="50">
        <f t="shared" si="176"/>
        <v>0</v>
      </c>
      <c r="DN104" s="51"/>
      <c r="DO104" s="49">
        <f t="shared" si="177"/>
        <v>0</v>
      </c>
      <c r="DP104" s="50">
        <f t="shared" si="178"/>
        <v>0</v>
      </c>
      <c r="DQ104" s="51"/>
      <c r="DR104" s="51"/>
      <c r="DS104" s="51"/>
      <c r="DT104" s="46">
        <f t="shared" si="182"/>
        <v>1239</v>
      </c>
      <c r="DU104" s="46">
        <f t="shared" si="183"/>
        <v>18198</v>
      </c>
      <c r="DV104" s="46">
        <f t="shared" si="183"/>
        <v>13785.2</v>
      </c>
    </row>
    <row r="105" spans="1:126" x14ac:dyDescent="0.6">
      <c r="A105" s="67"/>
      <c r="B105" s="9" t="s">
        <v>46</v>
      </c>
      <c r="C105" s="10" t="s">
        <v>42</v>
      </c>
      <c r="D105" s="51">
        <v>20</v>
      </c>
      <c r="E105" s="49">
        <f t="shared" si="101"/>
        <v>280</v>
      </c>
      <c r="F105" s="50">
        <f t="shared" si="102"/>
        <v>179.20000000000002</v>
      </c>
      <c r="G105" s="51"/>
      <c r="H105" s="49">
        <f t="shared" si="103"/>
        <v>0</v>
      </c>
      <c r="I105" s="50">
        <f t="shared" si="104"/>
        <v>0</v>
      </c>
      <c r="J105" s="51"/>
      <c r="K105" s="49">
        <f t="shared" si="105"/>
        <v>0</v>
      </c>
      <c r="L105" s="50">
        <f t="shared" si="106"/>
        <v>0</v>
      </c>
      <c r="M105" s="51"/>
      <c r="N105" s="49">
        <f t="shared" si="107"/>
        <v>0</v>
      </c>
      <c r="O105" s="50">
        <f t="shared" si="108"/>
        <v>0</v>
      </c>
      <c r="P105" s="51"/>
      <c r="Q105" s="49">
        <f t="shared" si="109"/>
        <v>0</v>
      </c>
      <c r="R105" s="50">
        <f t="shared" si="110"/>
        <v>0</v>
      </c>
      <c r="S105" s="51"/>
      <c r="T105" s="49">
        <f t="shared" si="111"/>
        <v>0</v>
      </c>
      <c r="U105" s="50">
        <f t="shared" si="112"/>
        <v>0</v>
      </c>
      <c r="V105" s="51"/>
      <c r="W105" s="49">
        <f t="shared" si="113"/>
        <v>0</v>
      </c>
      <c r="X105" s="50">
        <f t="shared" si="114"/>
        <v>0</v>
      </c>
      <c r="Y105" s="51"/>
      <c r="Z105" s="49">
        <f t="shared" si="115"/>
        <v>0</v>
      </c>
      <c r="AA105" s="50">
        <f t="shared" si="116"/>
        <v>0</v>
      </c>
      <c r="AB105" s="51"/>
      <c r="AC105" s="49">
        <f t="shared" si="117"/>
        <v>0</v>
      </c>
      <c r="AD105" s="50">
        <f t="shared" si="118"/>
        <v>0</v>
      </c>
      <c r="AE105" s="51"/>
      <c r="AF105" s="49">
        <f t="shared" si="119"/>
        <v>0</v>
      </c>
      <c r="AG105" s="50">
        <f t="shared" si="120"/>
        <v>0</v>
      </c>
      <c r="AH105" s="51">
        <v>2</v>
      </c>
      <c r="AI105" s="49">
        <f t="shared" si="121"/>
        <v>24</v>
      </c>
      <c r="AJ105" s="50">
        <f t="shared" si="122"/>
        <v>16.799999999999997</v>
      </c>
      <c r="AK105" s="51"/>
      <c r="AL105" s="49">
        <f t="shared" si="123"/>
        <v>0</v>
      </c>
      <c r="AM105" s="50">
        <f t="shared" si="124"/>
        <v>0</v>
      </c>
      <c r="AN105" s="51"/>
      <c r="AO105" s="49">
        <f t="shared" si="125"/>
        <v>0</v>
      </c>
      <c r="AP105" s="50">
        <f t="shared" si="126"/>
        <v>0</v>
      </c>
      <c r="AQ105" s="51"/>
      <c r="AR105" s="49">
        <f t="shared" si="127"/>
        <v>0</v>
      </c>
      <c r="AS105" s="50">
        <f t="shared" si="128"/>
        <v>0</v>
      </c>
      <c r="AT105" s="51"/>
      <c r="AU105" s="49">
        <f t="shared" si="129"/>
        <v>0</v>
      </c>
      <c r="AV105" s="50">
        <f t="shared" si="130"/>
        <v>0</v>
      </c>
      <c r="AW105" s="51">
        <v>215</v>
      </c>
      <c r="AX105" s="49">
        <f t="shared" si="131"/>
        <v>2580</v>
      </c>
      <c r="AY105" s="50">
        <f t="shared" si="132"/>
        <v>2580</v>
      </c>
      <c r="AZ105" s="51">
        <v>10</v>
      </c>
      <c r="BA105" s="49">
        <f t="shared" si="133"/>
        <v>120</v>
      </c>
      <c r="BB105" s="50">
        <f t="shared" si="134"/>
        <v>72</v>
      </c>
      <c r="BC105" s="51">
        <v>45</v>
      </c>
      <c r="BD105" s="49">
        <f t="shared" si="135"/>
        <v>1800</v>
      </c>
      <c r="BE105" s="50">
        <f t="shared" si="136"/>
        <v>630</v>
      </c>
      <c r="BF105" s="51">
        <v>45</v>
      </c>
      <c r="BG105" s="49">
        <f t="shared" si="137"/>
        <v>540</v>
      </c>
      <c r="BH105" s="50">
        <f t="shared" si="138"/>
        <v>540</v>
      </c>
      <c r="BI105" s="51"/>
      <c r="BJ105" s="49">
        <f t="shared" si="139"/>
        <v>0</v>
      </c>
      <c r="BK105" s="50">
        <f t="shared" si="140"/>
        <v>0</v>
      </c>
      <c r="BL105" s="51">
        <v>30</v>
      </c>
      <c r="BM105" s="49">
        <f t="shared" si="141"/>
        <v>1200</v>
      </c>
      <c r="BN105" s="50">
        <f t="shared" si="142"/>
        <v>420</v>
      </c>
      <c r="BO105" s="51"/>
      <c r="BP105" s="49">
        <f t="shared" si="143"/>
        <v>0</v>
      </c>
      <c r="BQ105" s="50">
        <f t="shared" si="144"/>
        <v>0</v>
      </c>
      <c r="BR105" s="51"/>
      <c r="BS105" s="49">
        <f t="shared" si="145"/>
        <v>0</v>
      </c>
      <c r="BT105" s="50">
        <f t="shared" si="146"/>
        <v>0</v>
      </c>
      <c r="BU105" s="51"/>
      <c r="BV105" s="49">
        <f t="shared" si="147"/>
        <v>0</v>
      </c>
      <c r="BW105" s="50">
        <f t="shared" si="148"/>
        <v>0</v>
      </c>
      <c r="BX105" s="51"/>
      <c r="BY105" s="49">
        <f t="shared" si="149"/>
        <v>0</v>
      </c>
      <c r="BZ105" s="50">
        <f t="shared" si="150"/>
        <v>0</v>
      </c>
      <c r="CA105" s="51"/>
      <c r="CB105" s="49">
        <f t="shared" si="151"/>
        <v>0</v>
      </c>
      <c r="CC105" s="50">
        <f t="shared" si="152"/>
        <v>0</v>
      </c>
      <c r="CD105" s="51"/>
      <c r="CE105" s="49">
        <f t="shared" si="153"/>
        <v>0</v>
      </c>
      <c r="CF105" s="50">
        <f t="shared" si="154"/>
        <v>0</v>
      </c>
      <c r="CG105" s="51"/>
      <c r="CH105" s="49">
        <f t="shared" si="155"/>
        <v>0</v>
      </c>
      <c r="CI105" s="50">
        <f t="shared" si="156"/>
        <v>0</v>
      </c>
      <c r="CJ105" s="51"/>
      <c r="CK105" s="49">
        <f t="shared" si="157"/>
        <v>0</v>
      </c>
      <c r="CL105" s="50">
        <f t="shared" si="158"/>
        <v>0</v>
      </c>
      <c r="CM105" s="51"/>
      <c r="CN105" s="49">
        <f t="shared" si="159"/>
        <v>0</v>
      </c>
      <c r="CO105" s="50">
        <f t="shared" si="160"/>
        <v>0</v>
      </c>
      <c r="CP105" s="51"/>
      <c r="CQ105" s="49">
        <f t="shared" si="161"/>
        <v>0</v>
      </c>
      <c r="CR105" s="50">
        <f t="shared" si="162"/>
        <v>0</v>
      </c>
      <c r="CS105" s="51"/>
      <c r="CT105" s="49">
        <f t="shared" si="163"/>
        <v>0</v>
      </c>
      <c r="CU105" s="50">
        <f t="shared" si="164"/>
        <v>0</v>
      </c>
      <c r="CV105" s="51"/>
      <c r="CW105" s="49">
        <f t="shared" si="165"/>
        <v>0</v>
      </c>
      <c r="CX105" s="50">
        <f t="shared" si="166"/>
        <v>0</v>
      </c>
      <c r="CY105" s="51"/>
      <c r="CZ105" s="49">
        <f t="shared" si="167"/>
        <v>0</v>
      </c>
      <c r="DA105" s="50">
        <f t="shared" si="168"/>
        <v>0</v>
      </c>
      <c r="DB105" s="51"/>
      <c r="DC105" s="49">
        <f t="shared" si="169"/>
        <v>0</v>
      </c>
      <c r="DD105" s="50">
        <f t="shared" si="170"/>
        <v>0</v>
      </c>
      <c r="DE105" s="51"/>
      <c r="DF105" s="49">
        <f t="shared" si="171"/>
        <v>0</v>
      </c>
      <c r="DG105" s="50">
        <f t="shared" si="172"/>
        <v>0</v>
      </c>
      <c r="DH105" s="51"/>
      <c r="DI105" s="49">
        <f t="shared" si="173"/>
        <v>0</v>
      </c>
      <c r="DJ105" s="50">
        <f t="shared" si="174"/>
        <v>0</v>
      </c>
      <c r="DK105" s="51"/>
      <c r="DL105" s="49">
        <f t="shared" si="175"/>
        <v>0</v>
      </c>
      <c r="DM105" s="50">
        <f t="shared" si="176"/>
        <v>0</v>
      </c>
      <c r="DN105" s="51"/>
      <c r="DO105" s="49">
        <f t="shared" si="177"/>
        <v>0</v>
      </c>
      <c r="DP105" s="50">
        <f t="shared" si="178"/>
        <v>0</v>
      </c>
      <c r="DQ105" s="51"/>
      <c r="DR105" s="51"/>
      <c r="DS105" s="51"/>
      <c r="DT105" s="46">
        <f t="shared" si="182"/>
        <v>367</v>
      </c>
      <c r="DU105" s="46">
        <f t="shared" si="183"/>
        <v>6544</v>
      </c>
      <c r="DV105" s="46">
        <f t="shared" si="183"/>
        <v>4438</v>
      </c>
    </row>
    <row r="106" spans="1:126" x14ac:dyDescent="0.6">
      <c r="A106" s="67"/>
      <c r="B106" s="9" t="s">
        <v>47</v>
      </c>
      <c r="C106" s="10" t="s">
        <v>42</v>
      </c>
      <c r="D106" s="51">
        <v>64</v>
      </c>
      <c r="E106" s="49">
        <f t="shared" si="101"/>
        <v>896</v>
      </c>
      <c r="F106" s="50">
        <f t="shared" si="102"/>
        <v>573.44000000000005</v>
      </c>
      <c r="G106" s="51"/>
      <c r="H106" s="49">
        <f t="shared" si="103"/>
        <v>0</v>
      </c>
      <c r="I106" s="50">
        <f t="shared" si="104"/>
        <v>0</v>
      </c>
      <c r="J106" s="51"/>
      <c r="K106" s="49">
        <f t="shared" si="105"/>
        <v>0</v>
      </c>
      <c r="L106" s="50">
        <f t="shared" si="106"/>
        <v>0</v>
      </c>
      <c r="M106" s="51"/>
      <c r="N106" s="49">
        <f t="shared" si="107"/>
        <v>0</v>
      </c>
      <c r="O106" s="50">
        <f t="shared" si="108"/>
        <v>0</v>
      </c>
      <c r="P106" s="51"/>
      <c r="Q106" s="49">
        <f t="shared" si="109"/>
        <v>0</v>
      </c>
      <c r="R106" s="50">
        <f t="shared" si="110"/>
        <v>0</v>
      </c>
      <c r="S106" s="51"/>
      <c r="T106" s="49">
        <f t="shared" si="111"/>
        <v>0</v>
      </c>
      <c r="U106" s="50">
        <f t="shared" si="112"/>
        <v>0</v>
      </c>
      <c r="V106" s="51">
        <v>11</v>
      </c>
      <c r="W106" s="49">
        <f t="shared" si="113"/>
        <v>154</v>
      </c>
      <c r="X106" s="50">
        <f t="shared" si="114"/>
        <v>98.56</v>
      </c>
      <c r="Y106" s="51"/>
      <c r="Z106" s="49">
        <f t="shared" si="115"/>
        <v>0</v>
      </c>
      <c r="AA106" s="50">
        <f t="shared" si="116"/>
        <v>0</v>
      </c>
      <c r="AB106" s="51"/>
      <c r="AC106" s="49">
        <f t="shared" si="117"/>
        <v>0</v>
      </c>
      <c r="AD106" s="50">
        <f t="shared" si="118"/>
        <v>0</v>
      </c>
      <c r="AE106" s="51"/>
      <c r="AF106" s="49">
        <f t="shared" si="119"/>
        <v>0</v>
      </c>
      <c r="AG106" s="50">
        <f t="shared" si="120"/>
        <v>0</v>
      </c>
      <c r="AH106" s="51"/>
      <c r="AI106" s="49">
        <f t="shared" si="121"/>
        <v>0</v>
      </c>
      <c r="AJ106" s="50">
        <f t="shared" si="122"/>
        <v>0</v>
      </c>
      <c r="AK106" s="51"/>
      <c r="AL106" s="49">
        <f t="shared" si="123"/>
        <v>0</v>
      </c>
      <c r="AM106" s="50">
        <f t="shared" si="124"/>
        <v>0</v>
      </c>
      <c r="AN106" s="51"/>
      <c r="AO106" s="49">
        <f t="shared" si="125"/>
        <v>0</v>
      </c>
      <c r="AP106" s="50">
        <f t="shared" si="126"/>
        <v>0</v>
      </c>
      <c r="AQ106" s="51"/>
      <c r="AR106" s="49">
        <f t="shared" si="127"/>
        <v>0</v>
      </c>
      <c r="AS106" s="50">
        <f t="shared" si="128"/>
        <v>0</v>
      </c>
      <c r="AT106" s="51"/>
      <c r="AU106" s="49">
        <f t="shared" si="129"/>
        <v>0</v>
      </c>
      <c r="AV106" s="50">
        <f t="shared" si="130"/>
        <v>0</v>
      </c>
      <c r="AW106" s="51">
        <v>20</v>
      </c>
      <c r="AX106" s="49">
        <f t="shared" si="131"/>
        <v>240</v>
      </c>
      <c r="AY106" s="50">
        <f t="shared" si="132"/>
        <v>240</v>
      </c>
      <c r="AZ106" s="51"/>
      <c r="BA106" s="49">
        <f t="shared" si="133"/>
        <v>0</v>
      </c>
      <c r="BB106" s="50">
        <f t="shared" si="134"/>
        <v>0</v>
      </c>
      <c r="BC106" s="51">
        <v>5</v>
      </c>
      <c r="BD106" s="49">
        <f t="shared" si="135"/>
        <v>200</v>
      </c>
      <c r="BE106" s="50">
        <f t="shared" si="136"/>
        <v>70</v>
      </c>
      <c r="BF106" s="51">
        <v>15</v>
      </c>
      <c r="BG106" s="49">
        <f t="shared" si="137"/>
        <v>180</v>
      </c>
      <c r="BH106" s="50">
        <f t="shared" si="138"/>
        <v>180</v>
      </c>
      <c r="BI106" s="51"/>
      <c r="BJ106" s="49">
        <f t="shared" si="139"/>
        <v>0</v>
      </c>
      <c r="BK106" s="50">
        <f t="shared" si="140"/>
        <v>0</v>
      </c>
      <c r="BL106" s="51"/>
      <c r="BM106" s="49">
        <f t="shared" si="141"/>
        <v>0</v>
      </c>
      <c r="BN106" s="50">
        <f t="shared" si="142"/>
        <v>0</v>
      </c>
      <c r="BO106" s="51"/>
      <c r="BP106" s="49">
        <f t="shared" si="143"/>
        <v>0</v>
      </c>
      <c r="BQ106" s="50">
        <f t="shared" si="144"/>
        <v>0</v>
      </c>
      <c r="BR106" s="51"/>
      <c r="BS106" s="49">
        <f t="shared" si="145"/>
        <v>0</v>
      </c>
      <c r="BT106" s="50">
        <f t="shared" si="146"/>
        <v>0</v>
      </c>
      <c r="BU106" s="51"/>
      <c r="BV106" s="49">
        <f t="shared" si="147"/>
        <v>0</v>
      </c>
      <c r="BW106" s="50">
        <f t="shared" si="148"/>
        <v>0</v>
      </c>
      <c r="BX106" s="51"/>
      <c r="BY106" s="49">
        <f t="shared" si="149"/>
        <v>0</v>
      </c>
      <c r="BZ106" s="50">
        <f t="shared" si="150"/>
        <v>0</v>
      </c>
      <c r="CA106" s="51"/>
      <c r="CB106" s="49">
        <f t="shared" si="151"/>
        <v>0</v>
      </c>
      <c r="CC106" s="50">
        <f t="shared" si="152"/>
        <v>0</v>
      </c>
      <c r="CD106" s="51"/>
      <c r="CE106" s="49">
        <f t="shared" si="153"/>
        <v>0</v>
      </c>
      <c r="CF106" s="50">
        <f t="shared" si="154"/>
        <v>0</v>
      </c>
      <c r="CG106" s="51"/>
      <c r="CH106" s="49">
        <f t="shared" si="155"/>
        <v>0</v>
      </c>
      <c r="CI106" s="50">
        <f t="shared" si="156"/>
        <v>0</v>
      </c>
      <c r="CJ106" s="51"/>
      <c r="CK106" s="49">
        <f t="shared" si="157"/>
        <v>0</v>
      </c>
      <c r="CL106" s="50">
        <f t="shared" si="158"/>
        <v>0</v>
      </c>
      <c r="CM106" s="51"/>
      <c r="CN106" s="49">
        <f t="shared" si="159"/>
        <v>0</v>
      </c>
      <c r="CO106" s="50">
        <f t="shared" si="160"/>
        <v>0</v>
      </c>
      <c r="CP106" s="51"/>
      <c r="CQ106" s="49">
        <f t="shared" si="161"/>
        <v>0</v>
      </c>
      <c r="CR106" s="50">
        <f t="shared" si="162"/>
        <v>0</v>
      </c>
      <c r="CS106" s="51"/>
      <c r="CT106" s="49">
        <f t="shared" si="163"/>
        <v>0</v>
      </c>
      <c r="CU106" s="50">
        <f t="shared" si="164"/>
        <v>0</v>
      </c>
      <c r="CV106" s="51"/>
      <c r="CW106" s="49">
        <f t="shared" si="165"/>
        <v>0</v>
      </c>
      <c r="CX106" s="50">
        <f t="shared" si="166"/>
        <v>0</v>
      </c>
      <c r="CY106" s="51"/>
      <c r="CZ106" s="49">
        <f t="shared" si="167"/>
        <v>0</v>
      </c>
      <c r="DA106" s="50">
        <f t="shared" si="168"/>
        <v>0</v>
      </c>
      <c r="DB106" s="51"/>
      <c r="DC106" s="49">
        <f t="shared" si="169"/>
        <v>0</v>
      </c>
      <c r="DD106" s="50">
        <f t="shared" si="170"/>
        <v>0</v>
      </c>
      <c r="DE106" s="51"/>
      <c r="DF106" s="49">
        <f t="shared" si="171"/>
        <v>0</v>
      </c>
      <c r="DG106" s="50">
        <f t="shared" si="172"/>
        <v>0</v>
      </c>
      <c r="DH106" s="51"/>
      <c r="DI106" s="49">
        <f t="shared" si="173"/>
        <v>0</v>
      </c>
      <c r="DJ106" s="50">
        <f t="shared" si="174"/>
        <v>0</v>
      </c>
      <c r="DK106" s="51"/>
      <c r="DL106" s="49">
        <f t="shared" si="175"/>
        <v>0</v>
      </c>
      <c r="DM106" s="50">
        <f t="shared" si="176"/>
        <v>0</v>
      </c>
      <c r="DN106" s="51"/>
      <c r="DO106" s="49">
        <f t="shared" si="177"/>
        <v>0</v>
      </c>
      <c r="DP106" s="50">
        <f t="shared" si="178"/>
        <v>0</v>
      </c>
      <c r="DQ106" s="51"/>
      <c r="DR106" s="51"/>
      <c r="DS106" s="51"/>
      <c r="DT106" s="46">
        <f t="shared" si="182"/>
        <v>115</v>
      </c>
      <c r="DU106" s="46">
        <f t="shared" si="183"/>
        <v>1670</v>
      </c>
      <c r="DV106" s="46">
        <f t="shared" si="183"/>
        <v>1162</v>
      </c>
    </row>
    <row r="107" spans="1:126" x14ac:dyDescent="0.6">
      <c r="A107" s="67"/>
      <c r="B107" s="9" t="s">
        <v>48</v>
      </c>
      <c r="C107" s="10" t="s">
        <v>42</v>
      </c>
      <c r="D107" s="51">
        <v>75</v>
      </c>
      <c r="E107" s="49">
        <f t="shared" si="101"/>
        <v>1050</v>
      </c>
      <c r="F107" s="50">
        <f t="shared" si="102"/>
        <v>672</v>
      </c>
      <c r="G107" s="51"/>
      <c r="H107" s="49">
        <f t="shared" si="103"/>
        <v>0</v>
      </c>
      <c r="I107" s="50">
        <f t="shared" si="104"/>
        <v>0</v>
      </c>
      <c r="J107" s="51"/>
      <c r="K107" s="49">
        <f t="shared" si="105"/>
        <v>0</v>
      </c>
      <c r="L107" s="50">
        <f t="shared" si="106"/>
        <v>0</v>
      </c>
      <c r="M107" s="51"/>
      <c r="N107" s="49">
        <f t="shared" si="107"/>
        <v>0</v>
      </c>
      <c r="O107" s="50">
        <f t="shared" si="108"/>
        <v>0</v>
      </c>
      <c r="P107" s="51"/>
      <c r="Q107" s="49">
        <f t="shared" si="109"/>
        <v>0</v>
      </c>
      <c r="R107" s="50">
        <f t="shared" si="110"/>
        <v>0</v>
      </c>
      <c r="S107" s="51"/>
      <c r="T107" s="49">
        <f t="shared" si="111"/>
        <v>0</v>
      </c>
      <c r="U107" s="50">
        <f t="shared" si="112"/>
        <v>0</v>
      </c>
      <c r="V107" s="51"/>
      <c r="W107" s="49">
        <f t="shared" si="113"/>
        <v>0</v>
      </c>
      <c r="X107" s="50">
        <f t="shared" si="114"/>
        <v>0</v>
      </c>
      <c r="Y107" s="51"/>
      <c r="Z107" s="49">
        <f t="shared" si="115"/>
        <v>0</v>
      </c>
      <c r="AA107" s="50">
        <f t="shared" si="116"/>
        <v>0</v>
      </c>
      <c r="AB107" s="51"/>
      <c r="AC107" s="49">
        <f t="shared" si="117"/>
        <v>0</v>
      </c>
      <c r="AD107" s="50">
        <f t="shared" si="118"/>
        <v>0</v>
      </c>
      <c r="AE107" s="51"/>
      <c r="AF107" s="49">
        <f t="shared" si="119"/>
        <v>0</v>
      </c>
      <c r="AG107" s="50">
        <f t="shared" si="120"/>
        <v>0</v>
      </c>
      <c r="AH107" s="51"/>
      <c r="AI107" s="49">
        <f t="shared" si="121"/>
        <v>0</v>
      </c>
      <c r="AJ107" s="50">
        <f t="shared" si="122"/>
        <v>0</v>
      </c>
      <c r="AK107" s="51"/>
      <c r="AL107" s="49">
        <f t="shared" si="123"/>
        <v>0</v>
      </c>
      <c r="AM107" s="50">
        <f t="shared" si="124"/>
        <v>0</v>
      </c>
      <c r="AN107" s="51"/>
      <c r="AO107" s="49">
        <f t="shared" si="125"/>
        <v>0</v>
      </c>
      <c r="AP107" s="50">
        <f t="shared" si="126"/>
        <v>0</v>
      </c>
      <c r="AQ107" s="51"/>
      <c r="AR107" s="49">
        <f t="shared" si="127"/>
        <v>0</v>
      </c>
      <c r="AS107" s="50">
        <f t="shared" si="128"/>
        <v>0</v>
      </c>
      <c r="AT107" s="51"/>
      <c r="AU107" s="49">
        <f t="shared" si="129"/>
        <v>0</v>
      </c>
      <c r="AV107" s="50">
        <f t="shared" si="130"/>
        <v>0</v>
      </c>
      <c r="AW107" s="51">
        <v>180</v>
      </c>
      <c r="AX107" s="49">
        <f t="shared" si="131"/>
        <v>2160</v>
      </c>
      <c r="AY107" s="50">
        <f t="shared" si="132"/>
        <v>2160</v>
      </c>
      <c r="AZ107" s="51">
        <v>12</v>
      </c>
      <c r="BA107" s="49">
        <f t="shared" si="133"/>
        <v>144</v>
      </c>
      <c r="BB107" s="50">
        <f t="shared" si="134"/>
        <v>86.399999999999991</v>
      </c>
      <c r="BC107" s="51">
        <v>1</v>
      </c>
      <c r="BD107" s="49">
        <f t="shared" si="135"/>
        <v>40</v>
      </c>
      <c r="BE107" s="50">
        <f t="shared" si="136"/>
        <v>14</v>
      </c>
      <c r="BF107" s="51">
        <v>45</v>
      </c>
      <c r="BG107" s="49">
        <f t="shared" si="137"/>
        <v>540</v>
      </c>
      <c r="BH107" s="50">
        <f t="shared" si="138"/>
        <v>540</v>
      </c>
      <c r="BI107" s="51"/>
      <c r="BJ107" s="49">
        <f t="shared" si="139"/>
        <v>0</v>
      </c>
      <c r="BK107" s="50">
        <f t="shared" si="140"/>
        <v>0</v>
      </c>
      <c r="BL107" s="51">
        <v>1</v>
      </c>
      <c r="BM107" s="49">
        <f t="shared" si="141"/>
        <v>40</v>
      </c>
      <c r="BN107" s="50">
        <f t="shared" si="142"/>
        <v>14</v>
      </c>
      <c r="BO107" s="51"/>
      <c r="BP107" s="49">
        <f t="shared" si="143"/>
        <v>0</v>
      </c>
      <c r="BQ107" s="50">
        <f t="shared" si="144"/>
        <v>0</v>
      </c>
      <c r="BR107" s="51"/>
      <c r="BS107" s="49">
        <f t="shared" si="145"/>
        <v>0</v>
      </c>
      <c r="BT107" s="50">
        <f t="shared" si="146"/>
        <v>0</v>
      </c>
      <c r="BU107" s="51"/>
      <c r="BV107" s="49">
        <f t="shared" si="147"/>
        <v>0</v>
      </c>
      <c r="BW107" s="50">
        <f t="shared" si="148"/>
        <v>0</v>
      </c>
      <c r="BX107" s="51"/>
      <c r="BY107" s="49">
        <f t="shared" si="149"/>
        <v>0</v>
      </c>
      <c r="BZ107" s="50">
        <f t="shared" si="150"/>
        <v>0</v>
      </c>
      <c r="CA107" s="51"/>
      <c r="CB107" s="49">
        <f t="shared" si="151"/>
        <v>0</v>
      </c>
      <c r="CC107" s="50">
        <f t="shared" si="152"/>
        <v>0</v>
      </c>
      <c r="CD107" s="51"/>
      <c r="CE107" s="49">
        <f t="shared" si="153"/>
        <v>0</v>
      </c>
      <c r="CF107" s="50">
        <f t="shared" si="154"/>
        <v>0</v>
      </c>
      <c r="CG107" s="51"/>
      <c r="CH107" s="49">
        <f t="shared" si="155"/>
        <v>0</v>
      </c>
      <c r="CI107" s="50">
        <f t="shared" si="156"/>
        <v>0</v>
      </c>
      <c r="CJ107" s="51"/>
      <c r="CK107" s="49">
        <f t="shared" si="157"/>
        <v>0</v>
      </c>
      <c r="CL107" s="50">
        <f t="shared" si="158"/>
        <v>0</v>
      </c>
      <c r="CM107" s="51">
        <v>2</v>
      </c>
      <c r="CN107" s="49">
        <f t="shared" si="159"/>
        <v>24</v>
      </c>
      <c r="CO107" s="50">
        <f t="shared" si="160"/>
        <v>24</v>
      </c>
      <c r="CP107" s="51"/>
      <c r="CQ107" s="49">
        <f t="shared" si="161"/>
        <v>0</v>
      </c>
      <c r="CR107" s="50">
        <f t="shared" si="162"/>
        <v>0</v>
      </c>
      <c r="CS107" s="51"/>
      <c r="CT107" s="49">
        <f t="shared" si="163"/>
        <v>0</v>
      </c>
      <c r="CU107" s="50">
        <f t="shared" si="164"/>
        <v>0</v>
      </c>
      <c r="CV107" s="51"/>
      <c r="CW107" s="49">
        <f t="shared" si="165"/>
        <v>0</v>
      </c>
      <c r="CX107" s="50">
        <f t="shared" si="166"/>
        <v>0</v>
      </c>
      <c r="CY107" s="51"/>
      <c r="CZ107" s="49">
        <f t="shared" si="167"/>
        <v>0</v>
      </c>
      <c r="DA107" s="50">
        <f t="shared" si="168"/>
        <v>0</v>
      </c>
      <c r="DB107" s="51"/>
      <c r="DC107" s="49">
        <f t="shared" si="169"/>
        <v>0</v>
      </c>
      <c r="DD107" s="50">
        <f t="shared" si="170"/>
        <v>0</v>
      </c>
      <c r="DE107" s="51"/>
      <c r="DF107" s="49">
        <f t="shared" si="171"/>
        <v>0</v>
      </c>
      <c r="DG107" s="50">
        <f t="shared" si="172"/>
        <v>0</v>
      </c>
      <c r="DH107" s="51"/>
      <c r="DI107" s="49">
        <f t="shared" si="173"/>
        <v>0</v>
      </c>
      <c r="DJ107" s="50">
        <f t="shared" si="174"/>
        <v>0</v>
      </c>
      <c r="DK107" s="51"/>
      <c r="DL107" s="49">
        <f t="shared" si="175"/>
        <v>0</v>
      </c>
      <c r="DM107" s="50">
        <f t="shared" si="176"/>
        <v>0</v>
      </c>
      <c r="DN107" s="51"/>
      <c r="DO107" s="49">
        <f t="shared" si="177"/>
        <v>0</v>
      </c>
      <c r="DP107" s="50">
        <f t="shared" si="178"/>
        <v>0</v>
      </c>
      <c r="DQ107" s="51"/>
      <c r="DR107" s="51"/>
      <c r="DS107" s="51"/>
      <c r="DT107" s="46">
        <f t="shared" si="182"/>
        <v>316</v>
      </c>
      <c r="DU107" s="46">
        <f t="shared" si="183"/>
        <v>3998</v>
      </c>
      <c r="DV107" s="46">
        <f t="shared" si="183"/>
        <v>3510.4</v>
      </c>
    </row>
    <row r="108" spans="1:126" x14ac:dyDescent="0.6">
      <c r="A108" s="67"/>
      <c r="B108" s="9" t="s">
        <v>50</v>
      </c>
      <c r="C108" s="10" t="s">
        <v>42</v>
      </c>
      <c r="D108" s="51">
        <v>49</v>
      </c>
      <c r="E108" s="49">
        <f t="shared" si="101"/>
        <v>686</v>
      </c>
      <c r="F108" s="50">
        <f t="shared" si="102"/>
        <v>439.04</v>
      </c>
      <c r="G108" s="51"/>
      <c r="H108" s="49">
        <f t="shared" si="103"/>
        <v>0</v>
      </c>
      <c r="I108" s="50">
        <f t="shared" si="104"/>
        <v>0</v>
      </c>
      <c r="J108" s="51"/>
      <c r="K108" s="49">
        <f t="shared" si="105"/>
        <v>0</v>
      </c>
      <c r="L108" s="50">
        <f t="shared" si="106"/>
        <v>0</v>
      </c>
      <c r="M108" s="51"/>
      <c r="N108" s="49">
        <f t="shared" si="107"/>
        <v>0</v>
      </c>
      <c r="O108" s="50">
        <f t="shared" si="108"/>
        <v>0</v>
      </c>
      <c r="P108" s="51"/>
      <c r="Q108" s="49">
        <f t="shared" si="109"/>
        <v>0</v>
      </c>
      <c r="R108" s="50">
        <f t="shared" si="110"/>
        <v>0</v>
      </c>
      <c r="S108" s="51"/>
      <c r="T108" s="49">
        <f t="shared" si="111"/>
        <v>0</v>
      </c>
      <c r="U108" s="50">
        <f t="shared" si="112"/>
        <v>0</v>
      </c>
      <c r="V108" s="51"/>
      <c r="W108" s="49">
        <f t="shared" si="113"/>
        <v>0</v>
      </c>
      <c r="X108" s="50">
        <f t="shared" si="114"/>
        <v>0</v>
      </c>
      <c r="Y108" s="51"/>
      <c r="Z108" s="49">
        <f t="shared" si="115"/>
        <v>0</v>
      </c>
      <c r="AA108" s="50">
        <f t="shared" si="116"/>
        <v>0</v>
      </c>
      <c r="AB108" s="51"/>
      <c r="AC108" s="49">
        <f t="shared" si="117"/>
        <v>0</v>
      </c>
      <c r="AD108" s="50">
        <f t="shared" si="118"/>
        <v>0</v>
      </c>
      <c r="AE108" s="51"/>
      <c r="AF108" s="49">
        <f t="shared" si="119"/>
        <v>0</v>
      </c>
      <c r="AG108" s="50">
        <f t="shared" si="120"/>
        <v>0</v>
      </c>
      <c r="AH108" s="51"/>
      <c r="AI108" s="49">
        <f t="shared" si="121"/>
        <v>0</v>
      </c>
      <c r="AJ108" s="50">
        <f t="shared" si="122"/>
        <v>0</v>
      </c>
      <c r="AK108" s="51"/>
      <c r="AL108" s="49">
        <f t="shared" si="123"/>
        <v>0</v>
      </c>
      <c r="AM108" s="50">
        <f t="shared" si="124"/>
        <v>0</v>
      </c>
      <c r="AN108" s="51"/>
      <c r="AO108" s="49">
        <f t="shared" si="125"/>
        <v>0</v>
      </c>
      <c r="AP108" s="50">
        <f t="shared" si="126"/>
        <v>0</v>
      </c>
      <c r="AQ108" s="51"/>
      <c r="AR108" s="49">
        <f t="shared" si="127"/>
        <v>0</v>
      </c>
      <c r="AS108" s="50">
        <f t="shared" si="128"/>
        <v>0</v>
      </c>
      <c r="AT108" s="51"/>
      <c r="AU108" s="49">
        <f t="shared" si="129"/>
        <v>0</v>
      </c>
      <c r="AV108" s="50">
        <f t="shared" si="130"/>
        <v>0</v>
      </c>
      <c r="AW108" s="51">
        <v>185</v>
      </c>
      <c r="AX108" s="49">
        <f t="shared" si="131"/>
        <v>2220</v>
      </c>
      <c r="AY108" s="50">
        <f t="shared" si="132"/>
        <v>2220</v>
      </c>
      <c r="AZ108" s="51">
        <v>20</v>
      </c>
      <c r="BA108" s="49">
        <f t="shared" si="133"/>
        <v>240</v>
      </c>
      <c r="BB108" s="50">
        <f t="shared" si="134"/>
        <v>144</v>
      </c>
      <c r="BC108" s="51">
        <v>51</v>
      </c>
      <c r="BD108" s="49">
        <f t="shared" si="135"/>
        <v>2040</v>
      </c>
      <c r="BE108" s="50">
        <f t="shared" si="136"/>
        <v>714</v>
      </c>
      <c r="BF108" s="51">
        <v>15</v>
      </c>
      <c r="BG108" s="49">
        <f t="shared" si="137"/>
        <v>180</v>
      </c>
      <c r="BH108" s="50">
        <f t="shared" si="138"/>
        <v>180</v>
      </c>
      <c r="BI108" s="51"/>
      <c r="BJ108" s="49">
        <f t="shared" si="139"/>
        <v>0</v>
      </c>
      <c r="BK108" s="50">
        <f t="shared" si="140"/>
        <v>0</v>
      </c>
      <c r="BL108" s="51">
        <v>3</v>
      </c>
      <c r="BM108" s="49">
        <f t="shared" si="141"/>
        <v>120</v>
      </c>
      <c r="BN108" s="50">
        <f t="shared" si="142"/>
        <v>42</v>
      </c>
      <c r="BO108" s="51"/>
      <c r="BP108" s="49">
        <f t="shared" si="143"/>
        <v>0</v>
      </c>
      <c r="BQ108" s="50">
        <f t="shared" si="144"/>
        <v>0</v>
      </c>
      <c r="BR108" s="51"/>
      <c r="BS108" s="49">
        <f t="shared" si="145"/>
        <v>0</v>
      </c>
      <c r="BT108" s="50">
        <f t="shared" si="146"/>
        <v>0</v>
      </c>
      <c r="BU108" s="51"/>
      <c r="BV108" s="49">
        <f t="shared" si="147"/>
        <v>0</v>
      </c>
      <c r="BW108" s="50">
        <f t="shared" si="148"/>
        <v>0</v>
      </c>
      <c r="BX108" s="51"/>
      <c r="BY108" s="49">
        <f t="shared" si="149"/>
        <v>0</v>
      </c>
      <c r="BZ108" s="50">
        <f t="shared" si="150"/>
        <v>0</v>
      </c>
      <c r="CA108" s="51"/>
      <c r="CB108" s="49">
        <f t="shared" si="151"/>
        <v>0</v>
      </c>
      <c r="CC108" s="50">
        <f t="shared" si="152"/>
        <v>0</v>
      </c>
      <c r="CD108" s="51"/>
      <c r="CE108" s="49">
        <f t="shared" si="153"/>
        <v>0</v>
      </c>
      <c r="CF108" s="50">
        <f t="shared" si="154"/>
        <v>0</v>
      </c>
      <c r="CG108" s="51"/>
      <c r="CH108" s="49">
        <f t="shared" si="155"/>
        <v>0</v>
      </c>
      <c r="CI108" s="50">
        <f t="shared" si="156"/>
        <v>0</v>
      </c>
      <c r="CJ108" s="51"/>
      <c r="CK108" s="49">
        <f t="shared" si="157"/>
        <v>0</v>
      </c>
      <c r="CL108" s="50">
        <f t="shared" si="158"/>
        <v>0</v>
      </c>
      <c r="CM108" s="51"/>
      <c r="CN108" s="49">
        <f t="shared" si="159"/>
        <v>0</v>
      </c>
      <c r="CO108" s="50">
        <f t="shared" si="160"/>
        <v>0</v>
      </c>
      <c r="CP108" s="51"/>
      <c r="CQ108" s="49">
        <f t="shared" si="161"/>
        <v>0</v>
      </c>
      <c r="CR108" s="50">
        <f t="shared" si="162"/>
        <v>0</v>
      </c>
      <c r="CS108" s="51"/>
      <c r="CT108" s="49">
        <f t="shared" si="163"/>
        <v>0</v>
      </c>
      <c r="CU108" s="50">
        <f t="shared" si="164"/>
        <v>0</v>
      </c>
      <c r="CV108" s="51"/>
      <c r="CW108" s="49">
        <f t="shared" si="165"/>
        <v>0</v>
      </c>
      <c r="CX108" s="50">
        <f t="shared" si="166"/>
        <v>0</v>
      </c>
      <c r="CY108" s="51"/>
      <c r="CZ108" s="49">
        <f t="shared" si="167"/>
        <v>0</v>
      </c>
      <c r="DA108" s="50">
        <f t="shared" si="168"/>
        <v>0</v>
      </c>
      <c r="DB108" s="51"/>
      <c r="DC108" s="49">
        <f t="shared" si="169"/>
        <v>0</v>
      </c>
      <c r="DD108" s="50">
        <f t="shared" si="170"/>
        <v>0</v>
      </c>
      <c r="DE108" s="51"/>
      <c r="DF108" s="49">
        <f t="shared" si="171"/>
        <v>0</v>
      </c>
      <c r="DG108" s="50">
        <f t="shared" si="172"/>
        <v>0</v>
      </c>
      <c r="DH108" s="51"/>
      <c r="DI108" s="49">
        <f t="shared" si="173"/>
        <v>0</v>
      </c>
      <c r="DJ108" s="50">
        <f t="shared" si="174"/>
        <v>0</v>
      </c>
      <c r="DK108" s="51"/>
      <c r="DL108" s="49">
        <f t="shared" si="175"/>
        <v>0</v>
      </c>
      <c r="DM108" s="50">
        <f t="shared" si="176"/>
        <v>0</v>
      </c>
      <c r="DN108" s="51"/>
      <c r="DO108" s="49">
        <f t="shared" si="177"/>
        <v>0</v>
      </c>
      <c r="DP108" s="50">
        <f t="shared" si="178"/>
        <v>0</v>
      </c>
      <c r="DQ108" s="51"/>
      <c r="DR108" s="51"/>
      <c r="DS108" s="51"/>
      <c r="DT108" s="46">
        <f t="shared" si="182"/>
        <v>323</v>
      </c>
      <c r="DU108" s="46">
        <f t="shared" si="183"/>
        <v>5486</v>
      </c>
      <c r="DV108" s="46">
        <f t="shared" si="183"/>
        <v>3739.04</v>
      </c>
    </row>
    <row r="109" spans="1:126" x14ac:dyDescent="0.6">
      <c r="A109" s="67"/>
      <c r="B109" s="9" t="s">
        <v>51</v>
      </c>
      <c r="C109" s="10" t="s">
        <v>42</v>
      </c>
      <c r="D109" s="51">
        <v>60</v>
      </c>
      <c r="E109" s="49">
        <f t="shared" si="101"/>
        <v>840</v>
      </c>
      <c r="F109" s="50">
        <f t="shared" si="102"/>
        <v>537.6</v>
      </c>
      <c r="G109" s="51"/>
      <c r="H109" s="49">
        <f t="shared" si="103"/>
        <v>0</v>
      </c>
      <c r="I109" s="50">
        <f t="shared" si="104"/>
        <v>0</v>
      </c>
      <c r="J109" s="51"/>
      <c r="K109" s="49">
        <f t="shared" si="105"/>
        <v>0</v>
      </c>
      <c r="L109" s="50">
        <f t="shared" si="106"/>
        <v>0</v>
      </c>
      <c r="M109" s="51"/>
      <c r="N109" s="49">
        <f t="shared" si="107"/>
        <v>0</v>
      </c>
      <c r="O109" s="50">
        <f t="shared" si="108"/>
        <v>0</v>
      </c>
      <c r="P109" s="51"/>
      <c r="Q109" s="49">
        <f t="shared" si="109"/>
        <v>0</v>
      </c>
      <c r="R109" s="50">
        <f t="shared" si="110"/>
        <v>0</v>
      </c>
      <c r="S109" s="51"/>
      <c r="T109" s="49">
        <f t="shared" si="111"/>
        <v>0</v>
      </c>
      <c r="U109" s="50">
        <f t="shared" si="112"/>
        <v>0</v>
      </c>
      <c r="V109" s="51"/>
      <c r="W109" s="49">
        <f t="shared" si="113"/>
        <v>0</v>
      </c>
      <c r="X109" s="50">
        <f t="shared" si="114"/>
        <v>0</v>
      </c>
      <c r="Y109" s="51"/>
      <c r="Z109" s="49">
        <f t="shared" si="115"/>
        <v>0</v>
      </c>
      <c r="AA109" s="50">
        <f t="shared" si="116"/>
        <v>0</v>
      </c>
      <c r="AB109" s="51"/>
      <c r="AC109" s="49">
        <f t="shared" si="117"/>
        <v>0</v>
      </c>
      <c r="AD109" s="50">
        <f t="shared" si="118"/>
        <v>0</v>
      </c>
      <c r="AE109" s="51"/>
      <c r="AF109" s="49">
        <f t="shared" si="119"/>
        <v>0</v>
      </c>
      <c r="AG109" s="50">
        <f t="shared" si="120"/>
        <v>0</v>
      </c>
      <c r="AH109" s="51">
        <v>10</v>
      </c>
      <c r="AI109" s="49">
        <f t="shared" si="121"/>
        <v>120</v>
      </c>
      <c r="AJ109" s="50">
        <f t="shared" si="122"/>
        <v>84</v>
      </c>
      <c r="AK109" s="51"/>
      <c r="AL109" s="49">
        <f t="shared" si="123"/>
        <v>0</v>
      </c>
      <c r="AM109" s="50">
        <f t="shared" si="124"/>
        <v>0</v>
      </c>
      <c r="AN109" s="51"/>
      <c r="AO109" s="49">
        <f t="shared" si="125"/>
        <v>0</v>
      </c>
      <c r="AP109" s="50">
        <f t="shared" si="126"/>
        <v>0</v>
      </c>
      <c r="AQ109" s="51"/>
      <c r="AR109" s="49">
        <f t="shared" si="127"/>
        <v>0</v>
      </c>
      <c r="AS109" s="50">
        <f t="shared" si="128"/>
        <v>0</v>
      </c>
      <c r="AT109" s="51"/>
      <c r="AU109" s="49">
        <f t="shared" si="129"/>
        <v>0</v>
      </c>
      <c r="AV109" s="50">
        <f t="shared" si="130"/>
        <v>0</v>
      </c>
      <c r="AW109" s="51">
        <v>425</v>
      </c>
      <c r="AX109" s="49">
        <f t="shared" si="131"/>
        <v>5100</v>
      </c>
      <c r="AY109" s="50">
        <f t="shared" si="132"/>
        <v>5100</v>
      </c>
      <c r="AZ109" s="51">
        <v>36</v>
      </c>
      <c r="BA109" s="49">
        <f t="shared" si="133"/>
        <v>432</v>
      </c>
      <c r="BB109" s="50">
        <f t="shared" si="134"/>
        <v>259.2</v>
      </c>
      <c r="BC109" s="51">
        <v>84</v>
      </c>
      <c r="BD109" s="49">
        <f t="shared" si="135"/>
        <v>3360</v>
      </c>
      <c r="BE109" s="50">
        <f t="shared" si="136"/>
        <v>1176</v>
      </c>
      <c r="BF109" s="51">
        <v>240</v>
      </c>
      <c r="BG109" s="49">
        <f t="shared" si="137"/>
        <v>2880</v>
      </c>
      <c r="BH109" s="50">
        <f t="shared" si="138"/>
        <v>2880</v>
      </c>
      <c r="BI109" s="51"/>
      <c r="BJ109" s="49">
        <f t="shared" si="139"/>
        <v>0</v>
      </c>
      <c r="BK109" s="50">
        <f t="shared" si="140"/>
        <v>0</v>
      </c>
      <c r="BL109" s="51">
        <v>15</v>
      </c>
      <c r="BM109" s="49">
        <f t="shared" si="141"/>
        <v>600</v>
      </c>
      <c r="BN109" s="50">
        <f t="shared" si="142"/>
        <v>210</v>
      </c>
      <c r="BO109" s="51"/>
      <c r="BP109" s="49">
        <f t="shared" si="143"/>
        <v>0</v>
      </c>
      <c r="BQ109" s="50">
        <f t="shared" si="144"/>
        <v>0</v>
      </c>
      <c r="BR109" s="51"/>
      <c r="BS109" s="49">
        <f t="shared" si="145"/>
        <v>0</v>
      </c>
      <c r="BT109" s="50">
        <f t="shared" si="146"/>
        <v>0</v>
      </c>
      <c r="BU109" s="51"/>
      <c r="BV109" s="49">
        <f t="shared" si="147"/>
        <v>0</v>
      </c>
      <c r="BW109" s="50">
        <f t="shared" si="148"/>
        <v>0</v>
      </c>
      <c r="BX109" s="51"/>
      <c r="BY109" s="49">
        <f t="shared" si="149"/>
        <v>0</v>
      </c>
      <c r="BZ109" s="50">
        <f t="shared" si="150"/>
        <v>0</v>
      </c>
      <c r="CA109" s="51"/>
      <c r="CB109" s="49">
        <f t="shared" si="151"/>
        <v>0</v>
      </c>
      <c r="CC109" s="50">
        <f t="shared" si="152"/>
        <v>0</v>
      </c>
      <c r="CD109" s="51"/>
      <c r="CE109" s="49">
        <f t="shared" si="153"/>
        <v>0</v>
      </c>
      <c r="CF109" s="50">
        <f t="shared" si="154"/>
        <v>0</v>
      </c>
      <c r="CG109" s="51"/>
      <c r="CH109" s="49">
        <f t="shared" si="155"/>
        <v>0</v>
      </c>
      <c r="CI109" s="50">
        <f t="shared" si="156"/>
        <v>0</v>
      </c>
      <c r="CJ109" s="51"/>
      <c r="CK109" s="49">
        <f t="shared" si="157"/>
        <v>0</v>
      </c>
      <c r="CL109" s="50">
        <f t="shared" si="158"/>
        <v>0</v>
      </c>
      <c r="CM109" s="51"/>
      <c r="CN109" s="49">
        <f t="shared" si="159"/>
        <v>0</v>
      </c>
      <c r="CO109" s="50">
        <f t="shared" si="160"/>
        <v>0</v>
      </c>
      <c r="CP109" s="51"/>
      <c r="CQ109" s="49">
        <f t="shared" si="161"/>
        <v>0</v>
      </c>
      <c r="CR109" s="50">
        <f t="shared" si="162"/>
        <v>0</v>
      </c>
      <c r="CS109" s="51"/>
      <c r="CT109" s="49">
        <f t="shared" si="163"/>
        <v>0</v>
      </c>
      <c r="CU109" s="50">
        <f t="shared" si="164"/>
        <v>0</v>
      </c>
      <c r="CV109" s="51"/>
      <c r="CW109" s="49">
        <f t="shared" si="165"/>
        <v>0</v>
      </c>
      <c r="CX109" s="50">
        <f t="shared" si="166"/>
        <v>0</v>
      </c>
      <c r="CY109" s="51"/>
      <c r="CZ109" s="49">
        <f t="shared" si="167"/>
        <v>0</v>
      </c>
      <c r="DA109" s="50">
        <f t="shared" si="168"/>
        <v>0</v>
      </c>
      <c r="DB109" s="51"/>
      <c r="DC109" s="49">
        <f t="shared" si="169"/>
        <v>0</v>
      </c>
      <c r="DD109" s="50">
        <f t="shared" si="170"/>
        <v>0</v>
      </c>
      <c r="DE109" s="51"/>
      <c r="DF109" s="49">
        <f t="shared" si="171"/>
        <v>0</v>
      </c>
      <c r="DG109" s="50">
        <f t="shared" si="172"/>
        <v>0</v>
      </c>
      <c r="DH109" s="51"/>
      <c r="DI109" s="49">
        <f t="shared" si="173"/>
        <v>0</v>
      </c>
      <c r="DJ109" s="50">
        <f t="shared" si="174"/>
        <v>0</v>
      </c>
      <c r="DK109" s="51"/>
      <c r="DL109" s="49">
        <f t="shared" si="175"/>
        <v>0</v>
      </c>
      <c r="DM109" s="50">
        <f t="shared" si="176"/>
        <v>0</v>
      </c>
      <c r="DN109" s="51"/>
      <c r="DO109" s="49">
        <f t="shared" si="177"/>
        <v>0</v>
      </c>
      <c r="DP109" s="50">
        <f t="shared" si="178"/>
        <v>0</v>
      </c>
      <c r="DQ109" s="51"/>
      <c r="DR109" s="51"/>
      <c r="DS109" s="51"/>
      <c r="DT109" s="46">
        <f t="shared" si="182"/>
        <v>870</v>
      </c>
      <c r="DU109" s="46">
        <f t="shared" si="182"/>
        <v>13332</v>
      </c>
      <c r="DV109" s="46">
        <f t="shared" si="182"/>
        <v>10246.799999999999</v>
      </c>
    </row>
    <row r="110" spans="1:126" ht="21.75" thickBot="1" x14ac:dyDescent="0.65">
      <c r="A110" s="67"/>
      <c r="B110" s="9" t="s">
        <v>52</v>
      </c>
      <c r="C110" s="10" t="s">
        <v>42</v>
      </c>
      <c r="D110" s="51">
        <v>278</v>
      </c>
      <c r="E110" s="49">
        <f t="shared" si="101"/>
        <v>3892</v>
      </c>
      <c r="F110" s="50">
        <f t="shared" si="102"/>
        <v>2490.88</v>
      </c>
      <c r="G110" s="51"/>
      <c r="H110" s="49">
        <f t="shared" si="103"/>
        <v>0</v>
      </c>
      <c r="I110" s="50">
        <f t="shared" si="104"/>
        <v>0</v>
      </c>
      <c r="J110" s="51"/>
      <c r="K110" s="49">
        <f t="shared" si="105"/>
        <v>0</v>
      </c>
      <c r="L110" s="50">
        <f t="shared" si="106"/>
        <v>0</v>
      </c>
      <c r="M110" s="51"/>
      <c r="N110" s="49">
        <f t="shared" si="107"/>
        <v>0</v>
      </c>
      <c r="O110" s="50">
        <f t="shared" si="108"/>
        <v>0</v>
      </c>
      <c r="P110" s="51"/>
      <c r="Q110" s="49">
        <f t="shared" si="109"/>
        <v>0</v>
      </c>
      <c r="R110" s="50">
        <f t="shared" si="110"/>
        <v>0</v>
      </c>
      <c r="S110" s="51"/>
      <c r="T110" s="49">
        <f t="shared" si="111"/>
        <v>0</v>
      </c>
      <c r="U110" s="50">
        <f t="shared" si="112"/>
        <v>0</v>
      </c>
      <c r="V110" s="51"/>
      <c r="W110" s="49">
        <f t="shared" si="113"/>
        <v>0</v>
      </c>
      <c r="X110" s="50">
        <f t="shared" si="114"/>
        <v>0</v>
      </c>
      <c r="Y110" s="51"/>
      <c r="Z110" s="49">
        <f t="shared" si="115"/>
        <v>0</v>
      </c>
      <c r="AA110" s="50">
        <f t="shared" si="116"/>
        <v>0</v>
      </c>
      <c r="AB110" s="51"/>
      <c r="AC110" s="49">
        <f t="shared" si="117"/>
        <v>0</v>
      </c>
      <c r="AD110" s="50">
        <f t="shared" si="118"/>
        <v>0</v>
      </c>
      <c r="AE110" s="51"/>
      <c r="AF110" s="49">
        <f t="shared" si="119"/>
        <v>0</v>
      </c>
      <c r="AG110" s="50">
        <f t="shared" si="120"/>
        <v>0</v>
      </c>
      <c r="AH110" s="51"/>
      <c r="AI110" s="49">
        <f t="shared" si="121"/>
        <v>0</v>
      </c>
      <c r="AJ110" s="50">
        <f t="shared" si="122"/>
        <v>0</v>
      </c>
      <c r="AK110" s="51"/>
      <c r="AL110" s="49">
        <f t="shared" si="123"/>
        <v>0</v>
      </c>
      <c r="AM110" s="50">
        <f t="shared" si="124"/>
        <v>0</v>
      </c>
      <c r="AN110" s="51"/>
      <c r="AO110" s="49">
        <f t="shared" si="125"/>
        <v>0</v>
      </c>
      <c r="AP110" s="50">
        <f t="shared" si="126"/>
        <v>0</v>
      </c>
      <c r="AQ110" s="51"/>
      <c r="AR110" s="49">
        <f t="shared" si="127"/>
        <v>0</v>
      </c>
      <c r="AS110" s="50">
        <f t="shared" si="128"/>
        <v>0</v>
      </c>
      <c r="AT110" s="51"/>
      <c r="AU110" s="49">
        <f t="shared" si="129"/>
        <v>0</v>
      </c>
      <c r="AV110" s="50">
        <f t="shared" si="130"/>
        <v>0</v>
      </c>
      <c r="AW110" s="51">
        <v>649</v>
      </c>
      <c r="AX110" s="49">
        <f t="shared" si="131"/>
        <v>7788</v>
      </c>
      <c r="AY110" s="50">
        <f t="shared" si="132"/>
        <v>7788</v>
      </c>
      <c r="AZ110" s="51">
        <v>22</v>
      </c>
      <c r="BA110" s="49">
        <f t="shared" si="133"/>
        <v>264</v>
      </c>
      <c r="BB110" s="50">
        <f t="shared" si="134"/>
        <v>158.4</v>
      </c>
      <c r="BC110" s="51">
        <v>75</v>
      </c>
      <c r="BD110" s="49">
        <f t="shared" si="135"/>
        <v>3000</v>
      </c>
      <c r="BE110" s="50">
        <f t="shared" si="136"/>
        <v>1050</v>
      </c>
      <c r="BF110" s="51">
        <v>920</v>
      </c>
      <c r="BG110" s="49">
        <f t="shared" si="137"/>
        <v>11040</v>
      </c>
      <c r="BH110" s="50">
        <f t="shared" si="138"/>
        <v>11040</v>
      </c>
      <c r="BI110" s="51"/>
      <c r="BJ110" s="49">
        <f t="shared" si="139"/>
        <v>0</v>
      </c>
      <c r="BK110" s="50">
        <f t="shared" si="140"/>
        <v>0</v>
      </c>
      <c r="BL110" s="51">
        <v>63</v>
      </c>
      <c r="BM110" s="49">
        <f t="shared" si="141"/>
        <v>2520</v>
      </c>
      <c r="BN110" s="50">
        <f t="shared" si="142"/>
        <v>882</v>
      </c>
      <c r="BO110" s="51"/>
      <c r="BP110" s="49">
        <f t="shared" si="143"/>
        <v>0</v>
      </c>
      <c r="BQ110" s="50">
        <f t="shared" si="144"/>
        <v>0</v>
      </c>
      <c r="BR110" s="51"/>
      <c r="BS110" s="49">
        <f t="shared" si="145"/>
        <v>0</v>
      </c>
      <c r="BT110" s="50">
        <f t="shared" si="146"/>
        <v>0</v>
      </c>
      <c r="BU110" s="51"/>
      <c r="BV110" s="49">
        <f t="shared" si="147"/>
        <v>0</v>
      </c>
      <c r="BW110" s="50">
        <f t="shared" si="148"/>
        <v>0</v>
      </c>
      <c r="BX110" s="51"/>
      <c r="BY110" s="49">
        <f t="shared" si="149"/>
        <v>0</v>
      </c>
      <c r="BZ110" s="50">
        <f t="shared" si="150"/>
        <v>0</v>
      </c>
      <c r="CA110" s="51"/>
      <c r="CB110" s="49">
        <f t="shared" si="151"/>
        <v>0</v>
      </c>
      <c r="CC110" s="50">
        <f t="shared" si="152"/>
        <v>0</v>
      </c>
      <c r="CD110" s="51"/>
      <c r="CE110" s="49">
        <f t="shared" si="153"/>
        <v>0</v>
      </c>
      <c r="CF110" s="50">
        <f t="shared" si="154"/>
        <v>0</v>
      </c>
      <c r="CG110" s="51"/>
      <c r="CH110" s="49">
        <f t="shared" si="155"/>
        <v>0</v>
      </c>
      <c r="CI110" s="50">
        <f t="shared" si="156"/>
        <v>0</v>
      </c>
      <c r="CJ110" s="51"/>
      <c r="CK110" s="49">
        <f t="shared" si="157"/>
        <v>0</v>
      </c>
      <c r="CL110" s="50">
        <f t="shared" si="158"/>
        <v>0</v>
      </c>
      <c r="CM110" s="51"/>
      <c r="CN110" s="49">
        <f t="shared" si="159"/>
        <v>0</v>
      </c>
      <c r="CO110" s="50">
        <f t="shared" si="160"/>
        <v>0</v>
      </c>
      <c r="CP110" s="51"/>
      <c r="CQ110" s="49">
        <f t="shared" si="161"/>
        <v>0</v>
      </c>
      <c r="CR110" s="50">
        <f t="shared" si="162"/>
        <v>0</v>
      </c>
      <c r="CS110" s="51"/>
      <c r="CT110" s="49">
        <f t="shared" si="163"/>
        <v>0</v>
      </c>
      <c r="CU110" s="50">
        <f t="shared" si="164"/>
        <v>0</v>
      </c>
      <c r="CV110" s="51"/>
      <c r="CW110" s="49">
        <f t="shared" si="165"/>
        <v>0</v>
      </c>
      <c r="CX110" s="50">
        <f t="shared" si="166"/>
        <v>0</v>
      </c>
      <c r="CY110" s="51"/>
      <c r="CZ110" s="49">
        <f t="shared" si="167"/>
        <v>0</v>
      </c>
      <c r="DA110" s="50">
        <f t="shared" si="168"/>
        <v>0</v>
      </c>
      <c r="DB110" s="51"/>
      <c r="DC110" s="49">
        <f t="shared" si="169"/>
        <v>0</v>
      </c>
      <c r="DD110" s="50">
        <f t="shared" si="170"/>
        <v>0</v>
      </c>
      <c r="DE110" s="51"/>
      <c r="DF110" s="49">
        <f t="shared" si="171"/>
        <v>0</v>
      </c>
      <c r="DG110" s="50">
        <f t="shared" si="172"/>
        <v>0</v>
      </c>
      <c r="DH110" s="51"/>
      <c r="DI110" s="49">
        <f t="shared" si="173"/>
        <v>0</v>
      </c>
      <c r="DJ110" s="50">
        <f t="shared" si="174"/>
        <v>0</v>
      </c>
      <c r="DK110" s="51"/>
      <c r="DL110" s="49">
        <f t="shared" si="175"/>
        <v>0</v>
      </c>
      <c r="DM110" s="50">
        <f t="shared" si="176"/>
        <v>0</v>
      </c>
      <c r="DN110" s="51"/>
      <c r="DO110" s="49">
        <f t="shared" si="177"/>
        <v>0</v>
      </c>
      <c r="DP110" s="50">
        <f t="shared" si="178"/>
        <v>0</v>
      </c>
      <c r="DQ110" s="51"/>
      <c r="DR110" s="51"/>
      <c r="DS110" s="51"/>
      <c r="DT110" s="46">
        <f t="shared" si="182"/>
        <v>2007</v>
      </c>
      <c r="DU110" s="46">
        <f t="shared" si="182"/>
        <v>28504</v>
      </c>
      <c r="DV110" s="46">
        <f t="shared" si="182"/>
        <v>23409.279999999999</v>
      </c>
    </row>
    <row r="111" spans="1:126" ht="21.75" thickBot="1" x14ac:dyDescent="0.65">
      <c r="A111" s="17"/>
      <c r="B111" s="32"/>
      <c r="C111" s="31"/>
      <c r="D111" s="52">
        <f>SUM(D90:D110)</f>
        <v>3301</v>
      </c>
      <c r="E111" s="52">
        <f>SUM(E90:E110)</f>
        <v>46214</v>
      </c>
      <c r="F111" s="53">
        <f>SUM(F90:F110)</f>
        <v>29576.959999999999</v>
      </c>
      <c r="G111" s="52">
        <f>SUM(G90:G110)</f>
        <v>260</v>
      </c>
      <c r="H111" s="52">
        <f>SUM(H90:H110)</f>
        <v>6240</v>
      </c>
      <c r="I111" s="53">
        <f>SUM(I90:I110)</f>
        <v>3993.6</v>
      </c>
      <c r="J111" s="52">
        <f>SUM(J90:J110)</f>
        <v>0</v>
      </c>
      <c r="K111" s="52">
        <f>SUM(K90:K110)</f>
        <v>0</v>
      </c>
      <c r="L111" s="53">
        <f>SUM(L90:L110)</f>
        <v>0</v>
      </c>
      <c r="M111" s="52">
        <f>SUM(M90:M110)</f>
        <v>120</v>
      </c>
      <c r="N111" s="52">
        <f>SUM(N90:N110)</f>
        <v>1680</v>
      </c>
      <c r="O111" s="53">
        <f>SUM(O90:O110)</f>
        <v>1075.2</v>
      </c>
      <c r="P111" s="52">
        <f>SUM(P90:P110)</f>
        <v>0</v>
      </c>
      <c r="Q111" s="52">
        <f>SUM(Q90:Q110)</f>
        <v>0</v>
      </c>
      <c r="R111" s="53">
        <f>SUM(R90:R110)</f>
        <v>0</v>
      </c>
      <c r="S111" s="52">
        <f>SUM(S90:S110)</f>
        <v>24</v>
      </c>
      <c r="T111" s="52">
        <f>SUM(T90:T110)</f>
        <v>336</v>
      </c>
      <c r="U111" s="53">
        <f>SUM(U90:U110)</f>
        <v>215.04000000000002</v>
      </c>
      <c r="V111" s="52">
        <f>SUM(V90:V110)</f>
        <v>121</v>
      </c>
      <c r="W111" s="52">
        <f>SUM(W90:W110)</f>
        <v>1694</v>
      </c>
      <c r="X111" s="53">
        <f>SUM(X90:X110)</f>
        <v>1084.1599999999999</v>
      </c>
      <c r="Y111" s="52">
        <f>SUM(Y90:Y110)</f>
        <v>0</v>
      </c>
      <c r="Z111" s="52">
        <f>SUM(Z90:Z110)</f>
        <v>0</v>
      </c>
      <c r="AA111" s="53">
        <f>SUM(AA90:AA110)</f>
        <v>0</v>
      </c>
      <c r="AB111" s="52">
        <f>SUM(AB90:AB110)</f>
        <v>0</v>
      </c>
      <c r="AC111" s="52">
        <f>SUM(AC90:AC110)</f>
        <v>0</v>
      </c>
      <c r="AD111" s="53">
        <f>SUM(AD90:AD110)</f>
        <v>0</v>
      </c>
      <c r="AE111" s="52">
        <f>SUM(AE90:AE110)</f>
        <v>0</v>
      </c>
      <c r="AF111" s="52">
        <f>SUM(AF90:AF110)</f>
        <v>0</v>
      </c>
      <c r="AG111" s="53">
        <f>SUM(AG90:AG110)</f>
        <v>0</v>
      </c>
      <c r="AH111" s="52">
        <f>SUM(AH90:AH110)</f>
        <v>234</v>
      </c>
      <c r="AI111" s="52">
        <f>SUM(AI90:AI110)</f>
        <v>2808</v>
      </c>
      <c r="AJ111" s="53">
        <f>SUM(AJ90:AJ110)</f>
        <v>1965.6</v>
      </c>
      <c r="AK111" s="52">
        <f>SUM(AK90:AK110)</f>
        <v>45</v>
      </c>
      <c r="AL111" s="52">
        <f>SUM(AL90:AL110)</f>
        <v>630</v>
      </c>
      <c r="AM111" s="53">
        <f>SUM(AM90:AM110)</f>
        <v>403.2</v>
      </c>
      <c r="AN111" s="52">
        <f>SUM(AN90:AN110)</f>
        <v>2</v>
      </c>
      <c r="AO111" s="52">
        <f>SUM(AO90:AO110)</f>
        <v>24</v>
      </c>
      <c r="AP111" s="53">
        <f>SUM(AP90:AP110)</f>
        <v>16.799999999999997</v>
      </c>
      <c r="AQ111" s="52">
        <f>SUM(AQ90:AQ110)</f>
        <v>5</v>
      </c>
      <c r="AR111" s="52">
        <f>SUM(AR90:AR110)</f>
        <v>120</v>
      </c>
      <c r="AS111" s="53">
        <f>SUM(AS90:AS110)</f>
        <v>41.999999999999993</v>
      </c>
      <c r="AT111" s="52">
        <f>SUM(AT90:AT110)</f>
        <v>0</v>
      </c>
      <c r="AU111" s="52">
        <f>SUM(AU90:AU110)</f>
        <v>0</v>
      </c>
      <c r="AV111" s="53">
        <f>SUM(AV90:AV110)</f>
        <v>0</v>
      </c>
      <c r="AW111" s="52">
        <f>SUM(AW90:AW110)</f>
        <v>11722</v>
      </c>
      <c r="AX111" s="52">
        <f>SUM(AX90:AX110)</f>
        <v>140664</v>
      </c>
      <c r="AY111" s="53">
        <f>SUM(AY90:AY110)</f>
        <v>140664</v>
      </c>
      <c r="AZ111" s="52">
        <f>SUM(AZ90:AZ110)</f>
        <v>615</v>
      </c>
      <c r="BA111" s="52">
        <f>SUM(BA90:BA110)</f>
        <v>7380</v>
      </c>
      <c r="BB111" s="53">
        <f>SUM(BB90:BB110)</f>
        <v>4428</v>
      </c>
      <c r="BC111" s="52">
        <f>SUM(BC90:BC110)</f>
        <v>1471</v>
      </c>
      <c r="BD111" s="52">
        <f>SUM(BD90:BD110)</f>
        <v>58840</v>
      </c>
      <c r="BE111" s="53">
        <f>SUM(BE90:BE110)</f>
        <v>20594</v>
      </c>
      <c r="BF111" s="52">
        <f>SUM(BF90:BF110)</f>
        <v>4472.5</v>
      </c>
      <c r="BG111" s="49">
        <f t="shared" si="137"/>
        <v>53670</v>
      </c>
      <c r="BH111" s="50">
        <f t="shared" si="138"/>
        <v>53670</v>
      </c>
      <c r="BI111" s="52">
        <f>SUM(BI90:BI110)</f>
        <v>0</v>
      </c>
      <c r="BJ111" s="52">
        <f>SUM(BJ90:BJ110)</f>
        <v>0</v>
      </c>
      <c r="BK111" s="53">
        <f>SUM(BK90:BK110)</f>
        <v>0</v>
      </c>
      <c r="BL111" s="52">
        <f>SUM(BL90:BL110)</f>
        <v>324</v>
      </c>
      <c r="BM111" s="52">
        <f>SUM(BM90:BM110)</f>
        <v>12960</v>
      </c>
      <c r="BN111" s="53">
        <f>SUM(BN90:BN110)</f>
        <v>4536</v>
      </c>
      <c r="BO111" s="52">
        <f>SUM(BO90:BO110)</f>
        <v>25</v>
      </c>
      <c r="BP111" s="52">
        <f>SUM(BP90:BP110)</f>
        <v>300</v>
      </c>
      <c r="BQ111" s="53">
        <f>SUM(BQ90:BQ110)</f>
        <v>300</v>
      </c>
      <c r="BR111" s="52">
        <f>SUM(BR90:BR110)</f>
        <v>0</v>
      </c>
      <c r="BS111" s="52">
        <f>SUM(BS90:BS110)</f>
        <v>0</v>
      </c>
      <c r="BT111" s="53">
        <f>SUM(BT90:BT110)</f>
        <v>0</v>
      </c>
      <c r="BU111" s="52">
        <f>SUM(BU90:BU110)</f>
        <v>0</v>
      </c>
      <c r="BV111" s="52">
        <f>SUM(BV90:BV110)</f>
        <v>0</v>
      </c>
      <c r="BW111" s="53">
        <f>SUM(BW90:BW110)</f>
        <v>0</v>
      </c>
      <c r="BX111" s="52">
        <f>SUM(BX90:BX110)</f>
        <v>0</v>
      </c>
      <c r="BY111" s="52">
        <f>SUM(BY90:BY110)</f>
        <v>0</v>
      </c>
      <c r="BZ111" s="53">
        <f>SUM(BZ90:BZ110)</f>
        <v>0</v>
      </c>
      <c r="CA111" s="52">
        <f>SUM(CA90:CA110)</f>
        <v>0</v>
      </c>
      <c r="CB111" s="52">
        <f>SUM(CB90:CB110)</f>
        <v>0</v>
      </c>
      <c r="CC111" s="53">
        <f>SUM(CC90:CC110)</f>
        <v>0</v>
      </c>
      <c r="CD111" s="52">
        <f>SUM(CD90:CD110)</f>
        <v>0</v>
      </c>
      <c r="CE111" s="52">
        <f>SUM(CE90:CE110)</f>
        <v>0</v>
      </c>
      <c r="CF111" s="53">
        <f>SUM(CF90:CF110)</f>
        <v>0</v>
      </c>
      <c r="CG111" s="52">
        <f>SUM(CG90:CG110)</f>
        <v>0</v>
      </c>
      <c r="CH111" s="52">
        <f>SUM(CH90:CH110)</f>
        <v>0</v>
      </c>
      <c r="CI111" s="53">
        <f>SUM(CI90:CI110)</f>
        <v>0</v>
      </c>
      <c r="CJ111" s="52">
        <f>SUM(CJ90:CJ110)</f>
        <v>0</v>
      </c>
      <c r="CK111" s="52">
        <f>SUM(CK90:CK110)</f>
        <v>0</v>
      </c>
      <c r="CL111" s="53">
        <f>SUM(CL90:CL110)</f>
        <v>0</v>
      </c>
      <c r="CM111" s="52">
        <f>SUM(CM90:CM110)</f>
        <v>16.666666666666668</v>
      </c>
      <c r="CN111" s="52">
        <f>SUM(CN90:CN110)</f>
        <v>200</v>
      </c>
      <c r="CO111" s="53">
        <f>SUM(CO90:CO110)</f>
        <v>200</v>
      </c>
      <c r="CP111" s="52">
        <f>SUM(CP90:CP110)</f>
        <v>0</v>
      </c>
      <c r="CQ111" s="52">
        <f>SUM(CQ90:CQ110)</f>
        <v>0</v>
      </c>
      <c r="CR111" s="53">
        <f>SUM(CR90:CR110)</f>
        <v>0</v>
      </c>
      <c r="CS111" s="52">
        <f>SUM(CS90:CS110)</f>
        <v>0</v>
      </c>
      <c r="CT111" s="52">
        <f>SUM(CT90:CT110)</f>
        <v>0</v>
      </c>
      <c r="CU111" s="53">
        <f>SUM(CU90:CU110)</f>
        <v>0</v>
      </c>
      <c r="CV111" s="52">
        <f>SUM(CV90:CV110)</f>
        <v>25</v>
      </c>
      <c r="CW111" s="52">
        <f>SUM(CW90:CW110)</f>
        <v>500</v>
      </c>
      <c r="CX111" s="53">
        <f>SUM(CX90:CX110)</f>
        <v>500</v>
      </c>
      <c r="CY111" s="52">
        <f>SUM(CY90:CY110)</f>
        <v>0</v>
      </c>
      <c r="CZ111" s="52">
        <f>SUM(CZ90:CZ110)</f>
        <v>0</v>
      </c>
      <c r="DA111" s="53">
        <f>SUM(DA90:DA110)</f>
        <v>0</v>
      </c>
      <c r="DB111" s="52">
        <f>SUM(DB90:DB110)</f>
        <v>0</v>
      </c>
      <c r="DC111" s="52">
        <f>SUM(DC90:DC110)</f>
        <v>0</v>
      </c>
      <c r="DD111" s="53">
        <f>SUM(DD90:DD110)</f>
        <v>0</v>
      </c>
      <c r="DE111" s="52">
        <f>SUM(DE90:DE110)</f>
        <v>59</v>
      </c>
      <c r="DF111" s="52">
        <f>SUM(DF90:DF110)</f>
        <v>708</v>
      </c>
      <c r="DG111" s="53">
        <f>SUM(DG90:DG110)</f>
        <v>708</v>
      </c>
      <c r="DH111" s="52">
        <f>SUM(DH90:DH110)</f>
        <v>0</v>
      </c>
      <c r="DI111" s="52">
        <f>SUM(DI90:DI110)</f>
        <v>0</v>
      </c>
      <c r="DJ111" s="53">
        <f>SUM(DJ90:DJ110)</f>
        <v>0</v>
      </c>
      <c r="DK111" s="52">
        <f>SUM(DK90:DK110)</f>
        <v>5</v>
      </c>
      <c r="DL111" s="52">
        <f>SUM(DL90:DL110)</f>
        <v>60</v>
      </c>
      <c r="DM111" s="53">
        <f>SUM(DM90:DM110)</f>
        <v>40.800000000000004</v>
      </c>
      <c r="DN111" s="52">
        <f>SUM(DN90:DN110)</f>
        <v>6</v>
      </c>
      <c r="DO111" s="52">
        <f>SUM(DO90:DO110)</f>
        <v>72</v>
      </c>
      <c r="DP111" s="53">
        <f>SUM(DP90:DP110)</f>
        <v>72</v>
      </c>
      <c r="DQ111" s="52">
        <f>SUM(DQ90:DQ110)</f>
        <v>0</v>
      </c>
      <c r="DR111" s="52">
        <f>SUM(DR90:DR110)</f>
        <v>0</v>
      </c>
      <c r="DS111" s="53">
        <f>SUM(DS90:DS110)</f>
        <v>0</v>
      </c>
      <c r="DT111" s="52">
        <f>SUM(DT90:DT110)</f>
        <v>22853.166666666668</v>
      </c>
      <c r="DU111" s="52">
        <f>SUM(DU90:DU110)</f>
        <v>335100</v>
      </c>
      <c r="DV111" s="53">
        <f>SUM(DV90:DV110)</f>
        <v>264085.36</v>
      </c>
    </row>
    <row r="112" spans="1:126" ht="21" customHeight="1" x14ac:dyDescent="0.6">
      <c r="A112" s="62" t="s">
        <v>53</v>
      </c>
      <c r="B112" s="29" t="s">
        <v>54</v>
      </c>
      <c r="C112" s="27" t="s">
        <v>55</v>
      </c>
      <c r="D112" s="51">
        <v>25</v>
      </c>
      <c r="E112" s="49">
        <f t="shared" si="101"/>
        <v>350</v>
      </c>
      <c r="F112" s="50">
        <f t="shared" si="102"/>
        <v>224</v>
      </c>
      <c r="G112" s="51"/>
      <c r="H112" s="49">
        <f t="shared" si="103"/>
        <v>0</v>
      </c>
      <c r="I112" s="50">
        <f t="shared" si="104"/>
        <v>0</v>
      </c>
      <c r="J112" s="51"/>
      <c r="K112" s="49">
        <f t="shared" si="105"/>
        <v>0</v>
      </c>
      <c r="L112" s="50">
        <f t="shared" si="106"/>
        <v>0</v>
      </c>
      <c r="M112" s="51">
        <v>1</v>
      </c>
      <c r="N112" s="49">
        <f t="shared" si="107"/>
        <v>14</v>
      </c>
      <c r="O112" s="50">
        <f t="shared" si="108"/>
        <v>8.9600000000000009</v>
      </c>
      <c r="P112" s="51"/>
      <c r="Q112" s="49">
        <f t="shared" si="109"/>
        <v>0</v>
      </c>
      <c r="R112" s="50">
        <f t="shared" si="110"/>
        <v>0</v>
      </c>
      <c r="S112" s="51">
        <v>5</v>
      </c>
      <c r="T112" s="49">
        <f t="shared" si="111"/>
        <v>70</v>
      </c>
      <c r="U112" s="50">
        <f t="shared" si="112"/>
        <v>44.800000000000004</v>
      </c>
      <c r="V112" s="51"/>
      <c r="W112" s="49">
        <f t="shared" si="113"/>
        <v>0</v>
      </c>
      <c r="X112" s="50">
        <f t="shared" si="114"/>
        <v>0</v>
      </c>
      <c r="Y112" s="51"/>
      <c r="Z112" s="49">
        <f t="shared" si="115"/>
        <v>0</v>
      </c>
      <c r="AA112" s="50">
        <f t="shared" si="116"/>
        <v>0</v>
      </c>
      <c r="AB112" s="51"/>
      <c r="AC112" s="49">
        <f t="shared" si="117"/>
        <v>0</v>
      </c>
      <c r="AD112" s="50">
        <f t="shared" si="118"/>
        <v>0</v>
      </c>
      <c r="AE112" s="51"/>
      <c r="AF112" s="49">
        <f t="shared" si="119"/>
        <v>0</v>
      </c>
      <c r="AG112" s="50">
        <f t="shared" si="120"/>
        <v>0</v>
      </c>
      <c r="AH112" s="51"/>
      <c r="AI112" s="49">
        <f t="shared" si="121"/>
        <v>0</v>
      </c>
      <c r="AJ112" s="50">
        <f t="shared" si="122"/>
        <v>0</v>
      </c>
      <c r="AK112" s="51"/>
      <c r="AL112" s="49">
        <f t="shared" si="123"/>
        <v>0</v>
      </c>
      <c r="AM112" s="50">
        <f t="shared" si="124"/>
        <v>0</v>
      </c>
      <c r="AN112" s="51"/>
      <c r="AO112" s="49">
        <f t="shared" si="125"/>
        <v>0</v>
      </c>
      <c r="AP112" s="50">
        <f t="shared" si="126"/>
        <v>0</v>
      </c>
      <c r="AQ112" s="51"/>
      <c r="AR112" s="49">
        <f t="shared" si="127"/>
        <v>0</v>
      </c>
      <c r="AS112" s="50">
        <f t="shared" si="128"/>
        <v>0</v>
      </c>
      <c r="AT112" s="51"/>
      <c r="AU112" s="49">
        <f t="shared" si="129"/>
        <v>0</v>
      </c>
      <c r="AV112" s="50">
        <f t="shared" si="130"/>
        <v>0</v>
      </c>
      <c r="AW112" s="51">
        <v>604</v>
      </c>
      <c r="AX112" s="49">
        <f t="shared" si="131"/>
        <v>7248</v>
      </c>
      <c r="AY112" s="50">
        <f t="shared" si="132"/>
        <v>7248</v>
      </c>
      <c r="AZ112" s="51">
        <v>18</v>
      </c>
      <c r="BA112" s="49">
        <f t="shared" si="133"/>
        <v>216</v>
      </c>
      <c r="BB112" s="50">
        <f t="shared" si="134"/>
        <v>129.6</v>
      </c>
      <c r="BC112" s="51">
        <v>25</v>
      </c>
      <c r="BD112" s="49">
        <f t="shared" si="135"/>
        <v>1000</v>
      </c>
      <c r="BE112" s="50">
        <f t="shared" si="136"/>
        <v>350</v>
      </c>
      <c r="BF112" s="51">
        <v>292</v>
      </c>
      <c r="BG112" s="49">
        <f t="shared" si="137"/>
        <v>3504</v>
      </c>
      <c r="BH112" s="50">
        <f t="shared" si="138"/>
        <v>3504</v>
      </c>
      <c r="BI112" s="51"/>
      <c r="BJ112" s="49">
        <f t="shared" si="139"/>
        <v>0</v>
      </c>
      <c r="BK112" s="50">
        <f t="shared" si="140"/>
        <v>0</v>
      </c>
      <c r="BL112" s="51">
        <v>45</v>
      </c>
      <c r="BM112" s="49">
        <f t="shared" si="141"/>
        <v>1800</v>
      </c>
      <c r="BN112" s="50">
        <f t="shared" si="142"/>
        <v>630</v>
      </c>
      <c r="BO112" s="51"/>
      <c r="BP112" s="49">
        <f t="shared" si="143"/>
        <v>0</v>
      </c>
      <c r="BQ112" s="50">
        <f t="shared" si="144"/>
        <v>0</v>
      </c>
      <c r="BR112" s="51"/>
      <c r="BS112" s="49">
        <f t="shared" si="145"/>
        <v>0</v>
      </c>
      <c r="BT112" s="50">
        <f t="shared" si="146"/>
        <v>0</v>
      </c>
      <c r="BU112" s="51"/>
      <c r="BV112" s="49">
        <f t="shared" si="147"/>
        <v>0</v>
      </c>
      <c r="BW112" s="50">
        <f t="shared" si="148"/>
        <v>0</v>
      </c>
      <c r="BX112" s="51"/>
      <c r="BY112" s="49">
        <f t="shared" si="149"/>
        <v>0</v>
      </c>
      <c r="BZ112" s="50">
        <f t="shared" si="150"/>
        <v>0</v>
      </c>
      <c r="CA112" s="51"/>
      <c r="CB112" s="49">
        <f t="shared" si="151"/>
        <v>0</v>
      </c>
      <c r="CC112" s="50">
        <f t="shared" si="152"/>
        <v>0</v>
      </c>
      <c r="CD112" s="51"/>
      <c r="CE112" s="49">
        <f t="shared" si="153"/>
        <v>0</v>
      </c>
      <c r="CF112" s="50">
        <f t="shared" si="154"/>
        <v>0</v>
      </c>
      <c r="CG112" s="51"/>
      <c r="CH112" s="49">
        <f t="shared" si="155"/>
        <v>0</v>
      </c>
      <c r="CI112" s="50">
        <f t="shared" si="156"/>
        <v>0</v>
      </c>
      <c r="CJ112" s="51"/>
      <c r="CK112" s="49">
        <f t="shared" si="157"/>
        <v>0</v>
      </c>
      <c r="CL112" s="50">
        <f t="shared" si="158"/>
        <v>0</v>
      </c>
      <c r="CM112" s="51">
        <v>7</v>
      </c>
      <c r="CN112" s="49">
        <f t="shared" si="159"/>
        <v>84</v>
      </c>
      <c r="CO112" s="50">
        <f t="shared" si="160"/>
        <v>84</v>
      </c>
      <c r="CP112" s="51"/>
      <c r="CQ112" s="49">
        <f t="shared" si="161"/>
        <v>0</v>
      </c>
      <c r="CR112" s="50">
        <f t="shared" si="162"/>
        <v>0</v>
      </c>
      <c r="CS112" s="51"/>
      <c r="CT112" s="49">
        <f t="shared" si="163"/>
        <v>0</v>
      </c>
      <c r="CU112" s="50">
        <f t="shared" si="164"/>
        <v>0</v>
      </c>
      <c r="CV112" s="51">
        <v>20</v>
      </c>
      <c r="CW112" s="49">
        <f t="shared" si="165"/>
        <v>400</v>
      </c>
      <c r="CX112" s="50">
        <f t="shared" si="166"/>
        <v>400</v>
      </c>
      <c r="CY112" s="51"/>
      <c r="CZ112" s="49">
        <f t="shared" si="167"/>
        <v>0</v>
      </c>
      <c r="DA112" s="50">
        <f t="shared" si="168"/>
        <v>0</v>
      </c>
      <c r="DB112" s="51"/>
      <c r="DC112" s="49">
        <f t="shared" si="169"/>
        <v>0</v>
      </c>
      <c r="DD112" s="50">
        <f t="shared" si="170"/>
        <v>0</v>
      </c>
      <c r="DE112" s="51">
        <v>35</v>
      </c>
      <c r="DF112" s="49">
        <f t="shared" si="171"/>
        <v>420</v>
      </c>
      <c r="DG112" s="50">
        <f t="shared" si="172"/>
        <v>420</v>
      </c>
      <c r="DH112" s="51"/>
      <c r="DI112" s="49">
        <f t="shared" si="173"/>
        <v>0</v>
      </c>
      <c r="DJ112" s="50">
        <f t="shared" si="174"/>
        <v>0</v>
      </c>
      <c r="DK112" s="51"/>
      <c r="DL112" s="49">
        <f t="shared" si="175"/>
        <v>0</v>
      </c>
      <c r="DM112" s="50">
        <f t="shared" si="176"/>
        <v>0</v>
      </c>
      <c r="DN112" s="51">
        <v>2</v>
      </c>
      <c r="DO112" s="49">
        <f t="shared" si="177"/>
        <v>24</v>
      </c>
      <c r="DP112" s="50">
        <f t="shared" si="178"/>
        <v>24</v>
      </c>
      <c r="DQ112" s="51"/>
      <c r="DR112" s="51"/>
      <c r="DS112" s="51"/>
      <c r="DT112" s="46">
        <f t="shared" ref="DT112:DV127" si="184">D112+G112+J112+M112+P112+S112+V112+Y112+AB112+AE112+AH112+AK112+AN112+AQ112+AT112+AW112+AZ112+BC112+BF112+BI112+BL112+BO112+BR112+BU112+BX112+CA112+CD112+CG112+CJ112+CM112+CP112+CS112+CV112+CY112+DB112+DE112+DH112+DK112+DN112</f>
        <v>1079</v>
      </c>
      <c r="DU112" s="46">
        <f t="shared" si="184"/>
        <v>15130</v>
      </c>
      <c r="DV112" s="46">
        <f t="shared" si="184"/>
        <v>13067.36</v>
      </c>
    </row>
    <row r="113" spans="1:126" x14ac:dyDescent="0.6">
      <c r="A113" s="63"/>
      <c r="B113" s="12" t="s">
        <v>56</v>
      </c>
      <c r="C113" s="13" t="s">
        <v>57</v>
      </c>
      <c r="D113" s="51">
        <v>219</v>
      </c>
      <c r="E113" s="49">
        <f t="shared" si="101"/>
        <v>3066</v>
      </c>
      <c r="F113" s="50">
        <f t="shared" si="102"/>
        <v>1962.24</v>
      </c>
      <c r="G113" s="51"/>
      <c r="H113" s="49">
        <f t="shared" si="103"/>
        <v>0</v>
      </c>
      <c r="I113" s="50">
        <f t="shared" si="104"/>
        <v>0</v>
      </c>
      <c r="J113" s="51"/>
      <c r="K113" s="49">
        <f t="shared" si="105"/>
        <v>0</v>
      </c>
      <c r="L113" s="50">
        <f t="shared" si="106"/>
        <v>0</v>
      </c>
      <c r="M113" s="51"/>
      <c r="N113" s="49">
        <f t="shared" si="107"/>
        <v>0</v>
      </c>
      <c r="O113" s="50">
        <f t="shared" si="108"/>
        <v>0</v>
      </c>
      <c r="P113" s="51"/>
      <c r="Q113" s="49">
        <f t="shared" si="109"/>
        <v>0</v>
      </c>
      <c r="R113" s="50">
        <f t="shared" si="110"/>
        <v>0</v>
      </c>
      <c r="S113" s="51">
        <v>13</v>
      </c>
      <c r="T113" s="49">
        <f t="shared" si="111"/>
        <v>182</v>
      </c>
      <c r="U113" s="50">
        <f t="shared" si="112"/>
        <v>116.48</v>
      </c>
      <c r="V113" s="51"/>
      <c r="W113" s="49">
        <f t="shared" si="113"/>
        <v>0</v>
      </c>
      <c r="X113" s="50">
        <f t="shared" si="114"/>
        <v>0</v>
      </c>
      <c r="Y113" s="51"/>
      <c r="Z113" s="49">
        <f t="shared" si="115"/>
        <v>0</v>
      </c>
      <c r="AA113" s="50">
        <f t="shared" si="116"/>
        <v>0</v>
      </c>
      <c r="AB113" s="51"/>
      <c r="AC113" s="49">
        <f t="shared" si="117"/>
        <v>0</v>
      </c>
      <c r="AD113" s="50">
        <f t="shared" si="118"/>
        <v>0</v>
      </c>
      <c r="AE113" s="51"/>
      <c r="AF113" s="49">
        <f t="shared" si="119"/>
        <v>0</v>
      </c>
      <c r="AG113" s="50">
        <f t="shared" si="120"/>
        <v>0</v>
      </c>
      <c r="AH113" s="51">
        <v>1.1666666666666667</v>
      </c>
      <c r="AI113" s="49">
        <f t="shared" si="121"/>
        <v>14</v>
      </c>
      <c r="AJ113" s="50">
        <f t="shared" si="122"/>
        <v>9.7999999999999989</v>
      </c>
      <c r="AK113" s="51"/>
      <c r="AL113" s="49">
        <f t="shared" si="123"/>
        <v>0</v>
      </c>
      <c r="AM113" s="50">
        <f t="shared" si="124"/>
        <v>0</v>
      </c>
      <c r="AN113" s="51">
        <v>8.3333333333333339</v>
      </c>
      <c r="AO113" s="49">
        <f t="shared" si="125"/>
        <v>100</v>
      </c>
      <c r="AP113" s="50">
        <f t="shared" si="126"/>
        <v>70</v>
      </c>
      <c r="AQ113" s="51">
        <v>11.333333333333332</v>
      </c>
      <c r="AR113" s="49">
        <f t="shared" si="127"/>
        <v>272</v>
      </c>
      <c r="AS113" s="50">
        <f t="shared" si="128"/>
        <v>95.199999999999989</v>
      </c>
      <c r="AT113" s="51"/>
      <c r="AU113" s="49">
        <f t="shared" si="129"/>
        <v>0</v>
      </c>
      <c r="AV113" s="50">
        <f t="shared" si="130"/>
        <v>0</v>
      </c>
      <c r="AW113" s="51">
        <v>867</v>
      </c>
      <c r="AX113" s="49">
        <f t="shared" si="131"/>
        <v>10404</v>
      </c>
      <c r="AY113" s="50">
        <f t="shared" si="132"/>
        <v>10404</v>
      </c>
      <c r="AZ113" s="51">
        <v>23</v>
      </c>
      <c r="BA113" s="49">
        <f t="shared" si="133"/>
        <v>276</v>
      </c>
      <c r="BB113" s="50">
        <f t="shared" si="134"/>
        <v>165.6</v>
      </c>
      <c r="BC113" s="51">
        <v>54</v>
      </c>
      <c r="BD113" s="49">
        <f t="shared" si="135"/>
        <v>2160</v>
      </c>
      <c r="BE113" s="50">
        <f t="shared" si="136"/>
        <v>756</v>
      </c>
      <c r="BF113" s="51">
        <v>82.5</v>
      </c>
      <c r="BG113" s="49">
        <f t="shared" si="137"/>
        <v>990</v>
      </c>
      <c r="BH113" s="50">
        <f t="shared" si="138"/>
        <v>990</v>
      </c>
      <c r="BI113" s="51"/>
      <c r="BJ113" s="49">
        <f t="shared" si="139"/>
        <v>0</v>
      </c>
      <c r="BK113" s="50">
        <f t="shared" si="140"/>
        <v>0</v>
      </c>
      <c r="BL113" s="51">
        <v>73</v>
      </c>
      <c r="BM113" s="49">
        <f t="shared" si="141"/>
        <v>2920</v>
      </c>
      <c r="BN113" s="50">
        <f t="shared" si="142"/>
        <v>1021.9999999999999</v>
      </c>
      <c r="BO113" s="51"/>
      <c r="BP113" s="49">
        <f t="shared" si="143"/>
        <v>0</v>
      </c>
      <c r="BQ113" s="50">
        <f t="shared" si="144"/>
        <v>0</v>
      </c>
      <c r="BR113" s="51"/>
      <c r="BS113" s="49">
        <f t="shared" si="145"/>
        <v>0</v>
      </c>
      <c r="BT113" s="50">
        <f t="shared" si="146"/>
        <v>0</v>
      </c>
      <c r="BU113" s="51"/>
      <c r="BV113" s="49">
        <f t="shared" si="147"/>
        <v>0</v>
      </c>
      <c r="BW113" s="50">
        <f t="shared" si="148"/>
        <v>0</v>
      </c>
      <c r="BX113" s="51"/>
      <c r="BY113" s="49">
        <f t="shared" si="149"/>
        <v>0</v>
      </c>
      <c r="BZ113" s="50">
        <f t="shared" si="150"/>
        <v>0</v>
      </c>
      <c r="CA113" s="51"/>
      <c r="CB113" s="49">
        <f t="shared" si="151"/>
        <v>0</v>
      </c>
      <c r="CC113" s="50">
        <f t="shared" si="152"/>
        <v>0</v>
      </c>
      <c r="CD113" s="51"/>
      <c r="CE113" s="49">
        <f t="shared" si="153"/>
        <v>0</v>
      </c>
      <c r="CF113" s="50">
        <f t="shared" si="154"/>
        <v>0</v>
      </c>
      <c r="CG113" s="51"/>
      <c r="CH113" s="49">
        <f t="shared" si="155"/>
        <v>0</v>
      </c>
      <c r="CI113" s="50">
        <f t="shared" si="156"/>
        <v>0</v>
      </c>
      <c r="CJ113" s="51"/>
      <c r="CK113" s="49">
        <f t="shared" si="157"/>
        <v>0</v>
      </c>
      <c r="CL113" s="50">
        <f t="shared" si="158"/>
        <v>0</v>
      </c>
      <c r="CM113" s="51">
        <v>13.75</v>
      </c>
      <c r="CN113" s="49">
        <f t="shared" si="159"/>
        <v>165</v>
      </c>
      <c r="CO113" s="50">
        <f t="shared" si="160"/>
        <v>165</v>
      </c>
      <c r="CP113" s="51"/>
      <c r="CQ113" s="49">
        <f t="shared" si="161"/>
        <v>0</v>
      </c>
      <c r="CR113" s="50">
        <f t="shared" si="162"/>
        <v>0</v>
      </c>
      <c r="CS113" s="51"/>
      <c r="CT113" s="49">
        <f t="shared" si="163"/>
        <v>0</v>
      </c>
      <c r="CU113" s="50">
        <f t="shared" si="164"/>
        <v>0</v>
      </c>
      <c r="CV113" s="51"/>
      <c r="CW113" s="49">
        <f t="shared" si="165"/>
        <v>0</v>
      </c>
      <c r="CX113" s="50">
        <f t="shared" si="166"/>
        <v>0</v>
      </c>
      <c r="CY113" s="51"/>
      <c r="CZ113" s="49">
        <f t="shared" si="167"/>
        <v>0</v>
      </c>
      <c r="DA113" s="50">
        <f t="shared" si="168"/>
        <v>0</v>
      </c>
      <c r="DB113" s="51"/>
      <c r="DC113" s="49">
        <f t="shared" si="169"/>
        <v>0</v>
      </c>
      <c r="DD113" s="50">
        <f t="shared" si="170"/>
        <v>0</v>
      </c>
      <c r="DE113" s="51"/>
      <c r="DF113" s="49">
        <f t="shared" si="171"/>
        <v>0</v>
      </c>
      <c r="DG113" s="50">
        <f t="shared" si="172"/>
        <v>0</v>
      </c>
      <c r="DH113" s="51"/>
      <c r="DI113" s="49">
        <f t="shared" si="173"/>
        <v>0</v>
      </c>
      <c r="DJ113" s="50">
        <f t="shared" si="174"/>
        <v>0</v>
      </c>
      <c r="DK113" s="51">
        <v>5.333333333333333</v>
      </c>
      <c r="DL113" s="49">
        <f t="shared" si="175"/>
        <v>64</v>
      </c>
      <c r="DM113" s="50">
        <f t="shared" si="176"/>
        <v>43.52</v>
      </c>
      <c r="DN113" s="51">
        <v>28.666666666666668</v>
      </c>
      <c r="DO113" s="49">
        <f t="shared" si="177"/>
        <v>344</v>
      </c>
      <c r="DP113" s="50">
        <f t="shared" si="178"/>
        <v>344</v>
      </c>
      <c r="DQ113" s="51"/>
      <c r="DR113" s="51"/>
      <c r="DS113" s="51"/>
      <c r="DT113" s="46">
        <f t="shared" si="184"/>
        <v>1400.0833333333333</v>
      </c>
      <c r="DU113" s="46">
        <f t="shared" si="184"/>
        <v>20957</v>
      </c>
      <c r="DV113" s="46">
        <f t="shared" si="184"/>
        <v>16143.84</v>
      </c>
    </row>
    <row r="114" spans="1:126" x14ac:dyDescent="0.6">
      <c r="A114" s="63"/>
      <c r="B114" s="12" t="s">
        <v>58</v>
      </c>
      <c r="C114" s="64" t="s">
        <v>59</v>
      </c>
      <c r="D114" s="51"/>
      <c r="E114" s="49">
        <f t="shared" si="101"/>
        <v>0</v>
      </c>
      <c r="F114" s="50">
        <f t="shared" si="102"/>
        <v>0</v>
      </c>
      <c r="G114" s="51"/>
      <c r="H114" s="49">
        <f t="shared" si="103"/>
        <v>0</v>
      </c>
      <c r="I114" s="50">
        <f t="shared" si="104"/>
        <v>0</v>
      </c>
      <c r="J114" s="51"/>
      <c r="K114" s="49">
        <f t="shared" si="105"/>
        <v>0</v>
      </c>
      <c r="L114" s="50">
        <f t="shared" si="106"/>
        <v>0</v>
      </c>
      <c r="M114" s="51"/>
      <c r="N114" s="49">
        <f t="shared" si="107"/>
        <v>0</v>
      </c>
      <c r="O114" s="50">
        <f t="shared" si="108"/>
        <v>0</v>
      </c>
      <c r="P114" s="51"/>
      <c r="Q114" s="49">
        <f t="shared" si="109"/>
        <v>0</v>
      </c>
      <c r="R114" s="50">
        <f t="shared" si="110"/>
        <v>0</v>
      </c>
      <c r="S114" s="51"/>
      <c r="T114" s="49">
        <f t="shared" si="111"/>
        <v>0</v>
      </c>
      <c r="U114" s="50">
        <f t="shared" si="112"/>
        <v>0</v>
      </c>
      <c r="V114" s="51"/>
      <c r="W114" s="49">
        <f t="shared" si="113"/>
        <v>0</v>
      </c>
      <c r="X114" s="50">
        <f t="shared" si="114"/>
        <v>0</v>
      </c>
      <c r="Y114" s="51"/>
      <c r="Z114" s="49">
        <f t="shared" si="115"/>
        <v>0</v>
      </c>
      <c r="AA114" s="50">
        <f t="shared" si="116"/>
        <v>0</v>
      </c>
      <c r="AB114" s="51"/>
      <c r="AC114" s="49">
        <f t="shared" si="117"/>
        <v>0</v>
      </c>
      <c r="AD114" s="50">
        <f t="shared" si="118"/>
        <v>0</v>
      </c>
      <c r="AE114" s="51"/>
      <c r="AF114" s="49">
        <f t="shared" si="119"/>
        <v>0</v>
      </c>
      <c r="AG114" s="50">
        <f t="shared" si="120"/>
        <v>0</v>
      </c>
      <c r="AH114" s="51"/>
      <c r="AI114" s="49">
        <f t="shared" si="121"/>
        <v>0</v>
      </c>
      <c r="AJ114" s="50">
        <f t="shared" si="122"/>
        <v>0</v>
      </c>
      <c r="AK114" s="51"/>
      <c r="AL114" s="49">
        <f t="shared" si="123"/>
        <v>0</v>
      </c>
      <c r="AM114" s="50">
        <f t="shared" si="124"/>
        <v>0</v>
      </c>
      <c r="AN114" s="51">
        <v>1</v>
      </c>
      <c r="AO114" s="49">
        <f t="shared" si="125"/>
        <v>12</v>
      </c>
      <c r="AP114" s="50">
        <f t="shared" si="126"/>
        <v>8.3999999999999986</v>
      </c>
      <c r="AQ114" s="51"/>
      <c r="AR114" s="49">
        <f t="shared" si="127"/>
        <v>0</v>
      </c>
      <c r="AS114" s="50">
        <f t="shared" si="128"/>
        <v>0</v>
      </c>
      <c r="AT114" s="51"/>
      <c r="AU114" s="49">
        <f t="shared" si="129"/>
        <v>0</v>
      </c>
      <c r="AV114" s="50">
        <f t="shared" si="130"/>
        <v>0</v>
      </c>
      <c r="AW114" s="51">
        <v>49</v>
      </c>
      <c r="AX114" s="49">
        <f t="shared" si="131"/>
        <v>588</v>
      </c>
      <c r="AY114" s="50">
        <f t="shared" si="132"/>
        <v>588</v>
      </c>
      <c r="AZ114" s="51"/>
      <c r="BA114" s="49">
        <f t="shared" si="133"/>
        <v>0</v>
      </c>
      <c r="BB114" s="50">
        <f t="shared" si="134"/>
        <v>0</v>
      </c>
      <c r="BC114" s="51"/>
      <c r="BD114" s="49">
        <f t="shared" si="135"/>
        <v>0</v>
      </c>
      <c r="BE114" s="50">
        <f t="shared" si="136"/>
        <v>0</v>
      </c>
      <c r="BF114" s="51">
        <v>135</v>
      </c>
      <c r="BG114" s="49">
        <f t="shared" si="137"/>
        <v>1620</v>
      </c>
      <c r="BH114" s="50">
        <f t="shared" si="138"/>
        <v>1620</v>
      </c>
      <c r="BI114" s="51"/>
      <c r="BJ114" s="49">
        <f t="shared" si="139"/>
        <v>0</v>
      </c>
      <c r="BK114" s="50">
        <f t="shared" si="140"/>
        <v>0</v>
      </c>
      <c r="BL114" s="51">
        <v>15</v>
      </c>
      <c r="BM114" s="49">
        <f t="shared" si="141"/>
        <v>600</v>
      </c>
      <c r="BN114" s="50">
        <f t="shared" si="142"/>
        <v>210</v>
      </c>
      <c r="BO114" s="51"/>
      <c r="BP114" s="49">
        <f t="shared" si="143"/>
        <v>0</v>
      </c>
      <c r="BQ114" s="50">
        <f t="shared" si="144"/>
        <v>0</v>
      </c>
      <c r="BR114" s="51"/>
      <c r="BS114" s="49">
        <f t="shared" si="145"/>
        <v>0</v>
      </c>
      <c r="BT114" s="50">
        <f t="shared" si="146"/>
        <v>0</v>
      </c>
      <c r="BU114" s="51"/>
      <c r="BV114" s="49">
        <f t="shared" si="147"/>
        <v>0</v>
      </c>
      <c r="BW114" s="50">
        <f t="shared" si="148"/>
        <v>0</v>
      </c>
      <c r="BX114" s="51"/>
      <c r="BY114" s="49">
        <f t="shared" si="149"/>
        <v>0</v>
      </c>
      <c r="BZ114" s="50">
        <f t="shared" si="150"/>
        <v>0</v>
      </c>
      <c r="CA114" s="51"/>
      <c r="CB114" s="49">
        <f t="shared" si="151"/>
        <v>0</v>
      </c>
      <c r="CC114" s="50">
        <f t="shared" si="152"/>
        <v>0</v>
      </c>
      <c r="CD114" s="51"/>
      <c r="CE114" s="49">
        <f t="shared" si="153"/>
        <v>0</v>
      </c>
      <c r="CF114" s="50">
        <f t="shared" si="154"/>
        <v>0</v>
      </c>
      <c r="CG114" s="51"/>
      <c r="CH114" s="49">
        <f t="shared" si="155"/>
        <v>0</v>
      </c>
      <c r="CI114" s="50">
        <f t="shared" si="156"/>
        <v>0</v>
      </c>
      <c r="CJ114" s="51"/>
      <c r="CK114" s="49">
        <f t="shared" si="157"/>
        <v>0</v>
      </c>
      <c r="CL114" s="50">
        <f t="shared" si="158"/>
        <v>0</v>
      </c>
      <c r="CM114" s="51"/>
      <c r="CN114" s="49">
        <f t="shared" si="159"/>
        <v>0</v>
      </c>
      <c r="CO114" s="50">
        <f t="shared" si="160"/>
        <v>0</v>
      </c>
      <c r="CP114" s="51"/>
      <c r="CQ114" s="49">
        <f t="shared" si="161"/>
        <v>0</v>
      </c>
      <c r="CR114" s="50">
        <f t="shared" si="162"/>
        <v>0</v>
      </c>
      <c r="CS114" s="51"/>
      <c r="CT114" s="49">
        <f t="shared" si="163"/>
        <v>0</v>
      </c>
      <c r="CU114" s="50">
        <f t="shared" si="164"/>
        <v>0</v>
      </c>
      <c r="CV114" s="51"/>
      <c r="CW114" s="49">
        <f t="shared" si="165"/>
        <v>0</v>
      </c>
      <c r="CX114" s="50">
        <f t="shared" si="166"/>
        <v>0</v>
      </c>
      <c r="CY114" s="51"/>
      <c r="CZ114" s="49">
        <f t="shared" si="167"/>
        <v>0</v>
      </c>
      <c r="DA114" s="50">
        <f t="shared" si="168"/>
        <v>0</v>
      </c>
      <c r="DB114" s="51"/>
      <c r="DC114" s="49">
        <f t="shared" si="169"/>
        <v>0</v>
      </c>
      <c r="DD114" s="50">
        <f t="shared" si="170"/>
        <v>0</v>
      </c>
      <c r="DE114" s="51"/>
      <c r="DF114" s="49">
        <f t="shared" si="171"/>
        <v>0</v>
      </c>
      <c r="DG114" s="50">
        <f t="shared" si="172"/>
        <v>0</v>
      </c>
      <c r="DH114" s="51"/>
      <c r="DI114" s="49">
        <f t="shared" si="173"/>
        <v>0</v>
      </c>
      <c r="DJ114" s="50">
        <f t="shared" si="174"/>
        <v>0</v>
      </c>
      <c r="DK114" s="51"/>
      <c r="DL114" s="49">
        <f t="shared" si="175"/>
        <v>0</v>
      </c>
      <c r="DM114" s="50">
        <f t="shared" si="176"/>
        <v>0</v>
      </c>
      <c r="DN114" s="51"/>
      <c r="DO114" s="49">
        <f t="shared" si="177"/>
        <v>0</v>
      </c>
      <c r="DP114" s="50">
        <f t="shared" si="178"/>
        <v>0</v>
      </c>
      <c r="DQ114" s="51"/>
      <c r="DR114" s="51"/>
      <c r="DS114" s="51"/>
      <c r="DT114" s="46">
        <f t="shared" si="184"/>
        <v>200</v>
      </c>
      <c r="DU114" s="46">
        <f t="shared" si="184"/>
        <v>2820</v>
      </c>
      <c r="DV114" s="46">
        <f t="shared" si="184"/>
        <v>2426.4</v>
      </c>
    </row>
    <row r="115" spans="1:126" x14ac:dyDescent="0.6">
      <c r="A115" s="63"/>
      <c r="B115" s="12" t="s">
        <v>60</v>
      </c>
      <c r="C115" s="65"/>
      <c r="D115" s="51">
        <v>25</v>
      </c>
      <c r="E115" s="49">
        <f t="shared" si="101"/>
        <v>350</v>
      </c>
      <c r="F115" s="50">
        <f t="shared" si="102"/>
        <v>224</v>
      </c>
      <c r="G115" s="51"/>
      <c r="H115" s="49">
        <f t="shared" si="103"/>
        <v>0</v>
      </c>
      <c r="I115" s="50">
        <f t="shared" si="104"/>
        <v>0</v>
      </c>
      <c r="J115" s="51"/>
      <c r="K115" s="49">
        <f t="shared" si="105"/>
        <v>0</v>
      </c>
      <c r="L115" s="50">
        <f t="shared" si="106"/>
        <v>0</v>
      </c>
      <c r="M115" s="51">
        <v>10</v>
      </c>
      <c r="N115" s="49">
        <f t="shared" si="107"/>
        <v>140</v>
      </c>
      <c r="O115" s="50">
        <f t="shared" si="108"/>
        <v>89.600000000000009</v>
      </c>
      <c r="P115" s="51"/>
      <c r="Q115" s="49">
        <f t="shared" si="109"/>
        <v>0</v>
      </c>
      <c r="R115" s="50">
        <f t="shared" si="110"/>
        <v>0</v>
      </c>
      <c r="S115" s="51"/>
      <c r="T115" s="49">
        <f t="shared" si="111"/>
        <v>0</v>
      </c>
      <c r="U115" s="50">
        <f t="shared" si="112"/>
        <v>0</v>
      </c>
      <c r="V115" s="51"/>
      <c r="W115" s="49">
        <f t="shared" si="113"/>
        <v>0</v>
      </c>
      <c r="X115" s="50">
        <f t="shared" si="114"/>
        <v>0</v>
      </c>
      <c r="Y115" s="51"/>
      <c r="Z115" s="49">
        <f t="shared" si="115"/>
        <v>0</v>
      </c>
      <c r="AA115" s="50">
        <f t="shared" si="116"/>
        <v>0</v>
      </c>
      <c r="AB115" s="51"/>
      <c r="AC115" s="49">
        <f t="shared" si="117"/>
        <v>0</v>
      </c>
      <c r="AD115" s="50">
        <f t="shared" si="118"/>
        <v>0</v>
      </c>
      <c r="AE115" s="51"/>
      <c r="AF115" s="49">
        <f t="shared" si="119"/>
        <v>0</v>
      </c>
      <c r="AG115" s="50">
        <f t="shared" si="120"/>
        <v>0</v>
      </c>
      <c r="AH115" s="51">
        <v>75</v>
      </c>
      <c r="AI115" s="49">
        <f t="shared" si="121"/>
        <v>900</v>
      </c>
      <c r="AJ115" s="50">
        <f t="shared" si="122"/>
        <v>630</v>
      </c>
      <c r="AK115" s="51"/>
      <c r="AL115" s="49">
        <f t="shared" si="123"/>
        <v>0</v>
      </c>
      <c r="AM115" s="50">
        <f t="shared" si="124"/>
        <v>0</v>
      </c>
      <c r="AN115" s="51"/>
      <c r="AO115" s="49">
        <f t="shared" si="125"/>
        <v>0</v>
      </c>
      <c r="AP115" s="50">
        <f t="shared" si="126"/>
        <v>0</v>
      </c>
      <c r="AQ115" s="51"/>
      <c r="AR115" s="49">
        <f t="shared" si="127"/>
        <v>0</v>
      </c>
      <c r="AS115" s="50">
        <f t="shared" si="128"/>
        <v>0</v>
      </c>
      <c r="AT115" s="51"/>
      <c r="AU115" s="49">
        <f t="shared" si="129"/>
        <v>0</v>
      </c>
      <c r="AV115" s="50">
        <f t="shared" si="130"/>
        <v>0</v>
      </c>
      <c r="AW115" s="51">
        <v>211</v>
      </c>
      <c r="AX115" s="49">
        <f t="shared" si="131"/>
        <v>2532</v>
      </c>
      <c r="AY115" s="50">
        <f t="shared" si="132"/>
        <v>2532</v>
      </c>
      <c r="AZ115" s="51"/>
      <c r="BA115" s="49">
        <f t="shared" si="133"/>
        <v>0</v>
      </c>
      <c r="BB115" s="50">
        <f t="shared" si="134"/>
        <v>0</v>
      </c>
      <c r="BC115" s="51">
        <v>1</v>
      </c>
      <c r="BD115" s="49">
        <f t="shared" si="135"/>
        <v>40</v>
      </c>
      <c r="BE115" s="50">
        <f t="shared" si="136"/>
        <v>14</v>
      </c>
      <c r="BF115" s="51">
        <v>18</v>
      </c>
      <c r="BG115" s="49">
        <f t="shared" si="137"/>
        <v>216</v>
      </c>
      <c r="BH115" s="50">
        <f t="shared" si="138"/>
        <v>216</v>
      </c>
      <c r="BI115" s="51"/>
      <c r="BJ115" s="49">
        <f t="shared" si="139"/>
        <v>0</v>
      </c>
      <c r="BK115" s="50">
        <f t="shared" si="140"/>
        <v>0</v>
      </c>
      <c r="BL115" s="51">
        <v>1</v>
      </c>
      <c r="BM115" s="49">
        <f t="shared" si="141"/>
        <v>40</v>
      </c>
      <c r="BN115" s="50">
        <f t="shared" si="142"/>
        <v>14</v>
      </c>
      <c r="BO115" s="51"/>
      <c r="BP115" s="49">
        <f t="shared" si="143"/>
        <v>0</v>
      </c>
      <c r="BQ115" s="50">
        <f t="shared" si="144"/>
        <v>0</v>
      </c>
      <c r="BR115" s="51"/>
      <c r="BS115" s="49">
        <f t="shared" si="145"/>
        <v>0</v>
      </c>
      <c r="BT115" s="50">
        <f t="shared" si="146"/>
        <v>0</v>
      </c>
      <c r="BU115" s="51"/>
      <c r="BV115" s="49">
        <f t="shared" si="147"/>
        <v>0</v>
      </c>
      <c r="BW115" s="50">
        <f t="shared" si="148"/>
        <v>0</v>
      </c>
      <c r="BX115" s="51"/>
      <c r="BY115" s="49">
        <f t="shared" si="149"/>
        <v>0</v>
      </c>
      <c r="BZ115" s="50">
        <f t="shared" si="150"/>
        <v>0</v>
      </c>
      <c r="CA115" s="51"/>
      <c r="CB115" s="49">
        <f t="shared" si="151"/>
        <v>0</v>
      </c>
      <c r="CC115" s="50">
        <f t="shared" si="152"/>
        <v>0</v>
      </c>
      <c r="CD115" s="51"/>
      <c r="CE115" s="49">
        <f t="shared" si="153"/>
        <v>0</v>
      </c>
      <c r="CF115" s="50">
        <f t="shared" si="154"/>
        <v>0</v>
      </c>
      <c r="CG115" s="51"/>
      <c r="CH115" s="49">
        <f t="shared" si="155"/>
        <v>0</v>
      </c>
      <c r="CI115" s="50">
        <f t="shared" si="156"/>
        <v>0</v>
      </c>
      <c r="CJ115" s="51"/>
      <c r="CK115" s="49">
        <f t="shared" si="157"/>
        <v>0</v>
      </c>
      <c r="CL115" s="50">
        <f t="shared" si="158"/>
        <v>0</v>
      </c>
      <c r="CM115" s="51">
        <v>3</v>
      </c>
      <c r="CN115" s="49">
        <f t="shared" si="159"/>
        <v>36</v>
      </c>
      <c r="CO115" s="50">
        <f t="shared" si="160"/>
        <v>36</v>
      </c>
      <c r="CP115" s="51"/>
      <c r="CQ115" s="49">
        <f t="shared" si="161"/>
        <v>0</v>
      </c>
      <c r="CR115" s="50">
        <f t="shared" si="162"/>
        <v>0</v>
      </c>
      <c r="CS115" s="51"/>
      <c r="CT115" s="49">
        <f t="shared" si="163"/>
        <v>0</v>
      </c>
      <c r="CU115" s="50">
        <f t="shared" si="164"/>
        <v>0</v>
      </c>
      <c r="CV115" s="51"/>
      <c r="CW115" s="49">
        <f t="shared" si="165"/>
        <v>0</v>
      </c>
      <c r="CX115" s="50">
        <f t="shared" si="166"/>
        <v>0</v>
      </c>
      <c r="CY115" s="51"/>
      <c r="CZ115" s="49">
        <f t="shared" si="167"/>
        <v>0</v>
      </c>
      <c r="DA115" s="50">
        <f t="shared" si="168"/>
        <v>0</v>
      </c>
      <c r="DB115" s="51"/>
      <c r="DC115" s="49">
        <f t="shared" si="169"/>
        <v>0</v>
      </c>
      <c r="DD115" s="50">
        <f t="shared" si="170"/>
        <v>0</v>
      </c>
      <c r="DE115" s="51"/>
      <c r="DF115" s="49">
        <f t="shared" si="171"/>
        <v>0</v>
      </c>
      <c r="DG115" s="50">
        <f t="shared" si="172"/>
        <v>0</v>
      </c>
      <c r="DH115" s="51"/>
      <c r="DI115" s="49">
        <f t="shared" si="173"/>
        <v>0</v>
      </c>
      <c r="DJ115" s="50">
        <f t="shared" si="174"/>
        <v>0</v>
      </c>
      <c r="DK115" s="51"/>
      <c r="DL115" s="49">
        <f t="shared" si="175"/>
        <v>0</v>
      </c>
      <c r="DM115" s="50">
        <f t="shared" si="176"/>
        <v>0</v>
      </c>
      <c r="DN115" s="51"/>
      <c r="DO115" s="49">
        <f t="shared" si="177"/>
        <v>0</v>
      </c>
      <c r="DP115" s="50">
        <f t="shared" si="178"/>
        <v>0</v>
      </c>
      <c r="DQ115" s="51"/>
      <c r="DR115" s="51"/>
      <c r="DS115" s="51"/>
      <c r="DT115" s="46">
        <f t="shared" si="184"/>
        <v>344</v>
      </c>
      <c r="DU115" s="46">
        <f t="shared" si="184"/>
        <v>4254</v>
      </c>
      <c r="DV115" s="46">
        <f t="shared" si="184"/>
        <v>3755.6</v>
      </c>
    </row>
    <row r="116" spans="1:126" x14ac:dyDescent="0.6">
      <c r="A116" s="63"/>
      <c r="B116" s="12" t="s">
        <v>61</v>
      </c>
      <c r="C116" s="66"/>
      <c r="D116" s="51">
        <v>100</v>
      </c>
      <c r="E116" s="49">
        <f t="shared" si="101"/>
        <v>1400</v>
      </c>
      <c r="F116" s="50">
        <f t="shared" si="102"/>
        <v>896</v>
      </c>
      <c r="G116" s="51"/>
      <c r="H116" s="49">
        <f t="shared" si="103"/>
        <v>0</v>
      </c>
      <c r="I116" s="50">
        <f t="shared" si="104"/>
        <v>0</v>
      </c>
      <c r="J116" s="51"/>
      <c r="K116" s="49">
        <f t="shared" si="105"/>
        <v>0</v>
      </c>
      <c r="L116" s="50">
        <f t="shared" si="106"/>
        <v>0</v>
      </c>
      <c r="M116" s="51">
        <v>60</v>
      </c>
      <c r="N116" s="49">
        <f t="shared" si="107"/>
        <v>840</v>
      </c>
      <c r="O116" s="50">
        <f t="shared" si="108"/>
        <v>537.6</v>
      </c>
      <c r="P116" s="51"/>
      <c r="Q116" s="49">
        <f t="shared" si="109"/>
        <v>0</v>
      </c>
      <c r="R116" s="50">
        <f t="shared" si="110"/>
        <v>0</v>
      </c>
      <c r="S116" s="51">
        <v>3</v>
      </c>
      <c r="T116" s="49">
        <f t="shared" si="111"/>
        <v>42</v>
      </c>
      <c r="U116" s="50">
        <f t="shared" si="112"/>
        <v>26.88</v>
      </c>
      <c r="V116" s="51"/>
      <c r="W116" s="49">
        <f t="shared" si="113"/>
        <v>0</v>
      </c>
      <c r="X116" s="50">
        <f t="shared" si="114"/>
        <v>0</v>
      </c>
      <c r="Y116" s="51"/>
      <c r="Z116" s="49">
        <f t="shared" si="115"/>
        <v>0</v>
      </c>
      <c r="AA116" s="50">
        <f t="shared" si="116"/>
        <v>0</v>
      </c>
      <c r="AB116" s="51"/>
      <c r="AC116" s="49">
        <f t="shared" si="117"/>
        <v>0</v>
      </c>
      <c r="AD116" s="50">
        <f t="shared" si="118"/>
        <v>0</v>
      </c>
      <c r="AE116" s="51"/>
      <c r="AF116" s="49">
        <f t="shared" si="119"/>
        <v>0</v>
      </c>
      <c r="AG116" s="50">
        <f t="shared" si="120"/>
        <v>0</v>
      </c>
      <c r="AH116" s="51">
        <v>65.083333333333343</v>
      </c>
      <c r="AI116" s="49">
        <f t="shared" si="121"/>
        <v>781.00000000000011</v>
      </c>
      <c r="AJ116" s="50">
        <f t="shared" si="122"/>
        <v>546.70000000000005</v>
      </c>
      <c r="AK116" s="51"/>
      <c r="AL116" s="49">
        <f t="shared" si="123"/>
        <v>0</v>
      </c>
      <c r="AM116" s="50">
        <f t="shared" si="124"/>
        <v>0</v>
      </c>
      <c r="AN116" s="51"/>
      <c r="AO116" s="49">
        <f t="shared" si="125"/>
        <v>0</v>
      </c>
      <c r="AP116" s="50">
        <f t="shared" si="126"/>
        <v>0</v>
      </c>
      <c r="AQ116" s="51"/>
      <c r="AR116" s="49">
        <f t="shared" si="127"/>
        <v>0</v>
      </c>
      <c r="AS116" s="50">
        <f t="shared" si="128"/>
        <v>0</v>
      </c>
      <c r="AT116" s="51"/>
      <c r="AU116" s="49">
        <f t="shared" si="129"/>
        <v>0</v>
      </c>
      <c r="AV116" s="50">
        <f t="shared" si="130"/>
        <v>0</v>
      </c>
      <c r="AW116" s="51">
        <v>211</v>
      </c>
      <c r="AX116" s="49">
        <f t="shared" si="131"/>
        <v>2532</v>
      </c>
      <c r="AY116" s="50">
        <f t="shared" si="132"/>
        <v>2532</v>
      </c>
      <c r="AZ116" s="51">
        <v>15</v>
      </c>
      <c r="BA116" s="49">
        <f t="shared" si="133"/>
        <v>180</v>
      </c>
      <c r="BB116" s="50">
        <f t="shared" si="134"/>
        <v>108</v>
      </c>
      <c r="BC116" s="51">
        <v>13</v>
      </c>
      <c r="BD116" s="49">
        <f t="shared" si="135"/>
        <v>520</v>
      </c>
      <c r="BE116" s="50">
        <f t="shared" si="136"/>
        <v>182</v>
      </c>
      <c r="BF116" s="51"/>
      <c r="BG116" s="49">
        <f t="shared" si="137"/>
        <v>0</v>
      </c>
      <c r="BH116" s="50">
        <f t="shared" si="138"/>
        <v>0</v>
      </c>
      <c r="BI116" s="51"/>
      <c r="BJ116" s="49">
        <f t="shared" si="139"/>
        <v>0</v>
      </c>
      <c r="BK116" s="50">
        <f t="shared" si="140"/>
        <v>0</v>
      </c>
      <c r="BL116" s="51"/>
      <c r="BM116" s="49">
        <f t="shared" si="141"/>
        <v>0</v>
      </c>
      <c r="BN116" s="50">
        <f t="shared" si="142"/>
        <v>0</v>
      </c>
      <c r="BO116" s="51"/>
      <c r="BP116" s="49">
        <f t="shared" si="143"/>
        <v>0</v>
      </c>
      <c r="BQ116" s="50">
        <f t="shared" si="144"/>
        <v>0</v>
      </c>
      <c r="BR116" s="51"/>
      <c r="BS116" s="49">
        <f t="shared" si="145"/>
        <v>0</v>
      </c>
      <c r="BT116" s="50">
        <f t="shared" si="146"/>
        <v>0</v>
      </c>
      <c r="BU116" s="51"/>
      <c r="BV116" s="49">
        <f t="shared" si="147"/>
        <v>0</v>
      </c>
      <c r="BW116" s="50">
        <f t="shared" si="148"/>
        <v>0</v>
      </c>
      <c r="BX116" s="51"/>
      <c r="BY116" s="49">
        <f t="shared" si="149"/>
        <v>0</v>
      </c>
      <c r="BZ116" s="50">
        <f t="shared" si="150"/>
        <v>0</v>
      </c>
      <c r="CA116" s="51"/>
      <c r="CB116" s="49">
        <f t="shared" si="151"/>
        <v>0</v>
      </c>
      <c r="CC116" s="50">
        <f t="shared" si="152"/>
        <v>0</v>
      </c>
      <c r="CD116" s="51"/>
      <c r="CE116" s="49">
        <f t="shared" si="153"/>
        <v>0</v>
      </c>
      <c r="CF116" s="50">
        <f t="shared" si="154"/>
        <v>0</v>
      </c>
      <c r="CG116" s="51"/>
      <c r="CH116" s="49">
        <f t="shared" si="155"/>
        <v>0</v>
      </c>
      <c r="CI116" s="50">
        <f t="shared" si="156"/>
        <v>0</v>
      </c>
      <c r="CJ116" s="51">
        <v>4</v>
      </c>
      <c r="CK116" s="49">
        <f t="shared" si="157"/>
        <v>160</v>
      </c>
      <c r="CL116" s="50">
        <f t="shared" si="158"/>
        <v>56</v>
      </c>
      <c r="CM116" s="51">
        <v>14</v>
      </c>
      <c r="CN116" s="49">
        <f t="shared" si="159"/>
        <v>168</v>
      </c>
      <c r="CO116" s="50">
        <f t="shared" si="160"/>
        <v>168</v>
      </c>
      <c r="CP116" s="51"/>
      <c r="CQ116" s="49">
        <f t="shared" si="161"/>
        <v>0</v>
      </c>
      <c r="CR116" s="50">
        <f t="shared" si="162"/>
        <v>0</v>
      </c>
      <c r="CS116" s="51"/>
      <c r="CT116" s="49">
        <f t="shared" si="163"/>
        <v>0</v>
      </c>
      <c r="CU116" s="50">
        <f t="shared" si="164"/>
        <v>0</v>
      </c>
      <c r="CV116" s="51"/>
      <c r="CW116" s="49">
        <f t="shared" si="165"/>
        <v>0</v>
      </c>
      <c r="CX116" s="50">
        <f t="shared" si="166"/>
        <v>0</v>
      </c>
      <c r="CY116" s="51"/>
      <c r="CZ116" s="49">
        <f t="shared" si="167"/>
        <v>0</v>
      </c>
      <c r="DA116" s="50">
        <f t="shared" si="168"/>
        <v>0</v>
      </c>
      <c r="DB116" s="51"/>
      <c r="DC116" s="49">
        <f t="shared" si="169"/>
        <v>0</v>
      </c>
      <c r="DD116" s="50">
        <f t="shared" si="170"/>
        <v>0</v>
      </c>
      <c r="DE116" s="51"/>
      <c r="DF116" s="49">
        <f t="shared" si="171"/>
        <v>0</v>
      </c>
      <c r="DG116" s="50">
        <f t="shared" si="172"/>
        <v>0</v>
      </c>
      <c r="DH116" s="51"/>
      <c r="DI116" s="49">
        <f t="shared" si="173"/>
        <v>0</v>
      </c>
      <c r="DJ116" s="50">
        <f t="shared" si="174"/>
        <v>0</v>
      </c>
      <c r="DK116" s="51"/>
      <c r="DL116" s="49">
        <f t="shared" si="175"/>
        <v>0</v>
      </c>
      <c r="DM116" s="50">
        <f t="shared" si="176"/>
        <v>0</v>
      </c>
      <c r="DN116" s="51"/>
      <c r="DO116" s="49">
        <f t="shared" si="177"/>
        <v>0</v>
      </c>
      <c r="DP116" s="50">
        <f t="shared" si="178"/>
        <v>0</v>
      </c>
      <c r="DQ116" s="51"/>
      <c r="DR116" s="51"/>
      <c r="DS116" s="51"/>
      <c r="DT116" s="46">
        <f t="shared" si="184"/>
        <v>485.08333333333337</v>
      </c>
      <c r="DU116" s="46">
        <f t="shared" si="184"/>
        <v>6623</v>
      </c>
      <c r="DV116" s="46">
        <f t="shared" si="184"/>
        <v>5053.18</v>
      </c>
    </row>
    <row r="117" spans="1:126" x14ac:dyDescent="0.6">
      <c r="A117" s="63"/>
      <c r="B117" s="12" t="s">
        <v>61</v>
      </c>
      <c r="C117" s="14" t="s">
        <v>77</v>
      </c>
      <c r="D117" s="51"/>
      <c r="E117" s="49">
        <f t="shared" si="101"/>
        <v>0</v>
      </c>
      <c r="F117" s="50">
        <f t="shared" si="102"/>
        <v>0</v>
      </c>
      <c r="G117" s="51"/>
      <c r="H117" s="49">
        <f t="shared" si="103"/>
        <v>0</v>
      </c>
      <c r="I117" s="50">
        <f t="shared" si="104"/>
        <v>0</v>
      </c>
      <c r="J117" s="51"/>
      <c r="K117" s="49">
        <f t="shared" si="105"/>
        <v>0</v>
      </c>
      <c r="L117" s="50">
        <f t="shared" si="106"/>
        <v>0</v>
      </c>
      <c r="M117" s="51"/>
      <c r="N117" s="49">
        <f t="shared" si="107"/>
        <v>0</v>
      </c>
      <c r="O117" s="50">
        <f t="shared" si="108"/>
        <v>0</v>
      </c>
      <c r="P117" s="51"/>
      <c r="Q117" s="49">
        <f t="shared" si="109"/>
        <v>0</v>
      </c>
      <c r="R117" s="50">
        <f t="shared" si="110"/>
        <v>0</v>
      </c>
      <c r="S117" s="51"/>
      <c r="T117" s="49">
        <f t="shared" si="111"/>
        <v>0</v>
      </c>
      <c r="U117" s="50">
        <f t="shared" si="112"/>
        <v>0</v>
      </c>
      <c r="V117" s="51"/>
      <c r="W117" s="49">
        <f t="shared" si="113"/>
        <v>0</v>
      </c>
      <c r="X117" s="50">
        <f t="shared" si="114"/>
        <v>0</v>
      </c>
      <c r="Y117" s="51"/>
      <c r="Z117" s="49">
        <f t="shared" si="115"/>
        <v>0</v>
      </c>
      <c r="AA117" s="50">
        <f t="shared" si="116"/>
        <v>0</v>
      </c>
      <c r="AB117" s="51"/>
      <c r="AC117" s="49">
        <f t="shared" si="117"/>
        <v>0</v>
      </c>
      <c r="AD117" s="50">
        <f t="shared" si="118"/>
        <v>0</v>
      </c>
      <c r="AE117" s="51"/>
      <c r="AF117" s="49">
        <f t="shared" si="119"/>
        <v>0</v>
      </c>
      <c r="AG117" s="50">
        <f t="shared" si="120"/>
        <v>0</v>
      </c>
      <c r="AH117" s="51"/>
      <c r="AI117" s="49">
        <f t="shared" si="121"/>
        <v>0</v>
      </c>
      <c r="AJ117" s="50">
        <f t="shared" si="122"/>
        <v>0</v>
      </c>
      <c r="AK117" s="51"/>
      <c r="AL117" s="49">
        <f t="shared" si="123"/>
        <v>0</v>
      </c>
      <c r="AM117" s="50">
        <f t="shared" si="124"/>
        <v>0</v>
      </c>
      <c r="AN117" s="51"/>
      <c r="AO117" s="49">
        <f t="shared" si="125"/>
        <v>0</v>
      </c>
      <c r="AP117" s="50">
        <f t="shared" si="126"/>
        <v>0</v>
      </c>
      <c r="AQ117" s="51"/>
      <c r="AR117" s="49">
        <f t="shared" si="127"/>
        <v>0</v>
      </c>
      <c r="AS117" s="50">
        <f t="shared" si="128"/>
        <v>0</v>
      </c>
      <c r="AT117" s="51"/>
      <c r="AU117" s="49">
        <f t="shared" si="129"/>
        <v>0</v>
      </c>
      <c r="AV117" s="50">
        <f t="shared" si="130"/>
        <v>0</v>
      </c>
      <c r="AW117" s="51"/>
      <c r="AX117" s="49">
        <f t="shared" si="131"/>
        <v>0</v>
      </c>
      <c r="AY117" s="50">
        <f t="shared" si="132"/>
        <v>0</v>
      </c>
      <c r="AZ117" s="51"/>
      <c r="BA117" s="49">
        <f t="shared" si="133"/>
        <v>0</v>
      </c>
      <c r="BB117" s="50">
        <f t="shared" si="134"/>
        <v>0</v>
      </c>
      <c r="BC117" s="51"/>
      <c r="BD117" s="49">
        <f t="shared" si="135"/>
        <v>0</v>
      </c>
      <c r="BE117" s="50">
        <f t="shared" si="136"/>
        <v>0</v>
      </c>
      <c r="BF117" s="51"/>
      <c r="BG117" s="49">
        <f t="shared" si="137"/>
        <v>0</v>
      </c>
      <c r="BH117" s="50">
        <f t="shared" si="138"/>
        <v>0</v>
      </c>
      <c r="BI117" s="51"/>
      <c r="BJ117" s="49">
        <f t="shared" si="139"/>
        <v>0</v>
      </c>
      <c r="BK117" s="50">
        <f t="shared" si="140"/>
        <v>0</v>
      </c>
      <c r="BL117" s="51"/>
      <c r="BM117" s="49">
        <f t="shared" si="141"/>
        <v>0</v>
      </c>
      <c r="BN117" s="50">
        <f t="shared" si="142"/>
        <v>0</v>
      </c>
      <c r="BO117" s="51"/>
      <c r="BP117" s="49">
        <f t="shared" si="143"/>
        <v>0</v>
      </c>
      <c r="BQ117" s="50">
        <f t="shared" si="144"/>
        <v>0</v>
      </c>
      <c r="BR117" s="51"/>
      <c r="BS117" s="49">
        <f t="shared" si="145"/>
        <v>0</v>
      </c>
      <c r="BT117" s="50">
        <f t="shared" si="146"/>
        <v>0</v>
      </c>
      <c r="BU117" s="51"/>
      <c r="BV117" s="49">
        <f t="shared" si="147"/>
        <v>0</v>
      </c>
      <c r="BW117" s="50">
        <f t="shared" si="148"/>
        <v>0</v>
      </c>
      <c r="BX117" s="51"/>
      <c r="BY117" s="49">
        <f t="shared" si="149"/>
        <v>0</v>
      </c>
      <c r="BZ117" s="50">
        <f t="shared" si="150"/>
        <v>0</v>
      </c>
      <c r="CA117" s="51"/>
      <c r="CB117" s="49">
        <f t="shared" si="151"/>
        <v>0</v>
      </c>
      <c r="CC117" s="50">
        <f t="shared" si="152"/>
        <v>0</v>
      </c>
      <c r="CD117" s="51"/>
      <c r="CE117" s="49">
        <f t="shared" si="153"/>
        <v>0</v>
      </c>
      <c r="CF117" s="50">
        <f t="shared" si="154"/>
        <v>0</v>
      </c>
      <c r="CG117" s="51"/>
      <c r="CH117" s="49">
        <f t="shared" si="155"/>
        <v>0</v>
      </c>
      <c r="CI117" s="50">
        <f t="shared" si="156"/>
        <v>0</v>
      </c>
      <c r="CJ117" s="51"/>
      <c r="CK117" s="49">
        <f t="shared" si="157"/>
        <v>0</v>
      </c>
      <c r="CL117" s="50">
        <f t="shared" si="158"/>
        <v>0</v>
      </c>
      <c r="CM117" s="51"/>
      <c r="CN117" s="49">
        <f t="shared" si="159"/>
        <v>0</v>
      </c>
      <c r="CO117" s="50">
        <f t="shared" si="160"/>
        <v>0</v>
      </c>
      <c r="CP117" s="51"/>
      <c r="CQ117" s="49">
        <f t="shared" si="161"/>
        <v>0</v>
      </c>
      <c r="CR117" s="50">
        <f t="shared" si="162"/>
        <v>0</v>
      </c>
      <c r="CS117" s="51"/>
      <c r="CT117" s="49">
        <f t="shared" si="163"/>
        <v>0</v>
      </c>
      <c r="CU117" s="50">
        <f t="shared" si="164"/>
        <v>0</v>
      </c>
      <c r="CV117" s="51"/>
      <c r="CW117" s="49">
        <f t="shared" si="165"/>
        <v>0</v>
      </c>
      <c r="CX117" s="50">
        <f t="shared" si="166"/>
        <v>0</v>
      </c>
      <c r="CY117" s="51"/>
      <c r="CZ117" s="49">
        <f t="shared" si="167"/>
        <v>0</v>
      </c>
      <c r="DA117" s="50">
        <f t="shared" si="168"/>
        <v>0</v>
      </c>
      <c r="DB117" s="51"/>
      <c r="DC117" s="49">
        <f t="shared" si="169"/>
        <v>0</v>
      </c>
      <c r="DD117" s="50">
        <f t="shared" si="170"/>
        <v>0</v>
      </c>
      <c r="DE117" s="51"/>
      <c r="DF117" s="49">
        <f t="shared" si="171"/>
        <v>0</v>
      </c>
      <c r="DG117" s="50">
        <f t="shared" si="172"/>
        <v>0</v>
      </c>
      <c r="DH117" s="51"/>
      <c r="DI117" s="49">
        <f t="shared" si="173"/>
        <v>0</v>
      </c>
      <c r="DJ117" s="50">
        <f t="shared" si="174"/>
        <v>0</v>
      </c>
      <c r="DK117" s="51"/>
      <c r="DL117" s="49">
        <f t="shared" si="175"/>
        <v>0</v>
      </c>
      <c r="DM117" s="50">
        <f t="shared" si="176"/>
        <v>0</v>
      </c>
      <c r="DN117" s="51"/>
      <c r="DO117" s="49">
        <f t="shared" si="177"/>
        <v>0</v>
      </c>
      <c r="DP117" s="50">
        <f t="shared" si="178"/>
        <v>0</v>
      </c>
      <c r="DQ117" s="51"/>
      <c r="DR117" s="51"/>
      <c r="DS117" s="51"/>
      <c r="DT117" s="46">
        <f t="shared" si="184"/>
        <v>0</v>
      </c>
      <c r="DU117" s="46">
        <f t="shared" si="184"/>
        <v>0</v>
      </c>
      <c r="DV117" s="46">
        <f t="shared" si="184"/>
        <v>0</v>
      </c>
    </row>
    <row r="118" spans="1:126" x14ac:dyDescent="0.6">
      <c r="A118" s="63"/>
      <c r="B118" s="15" t="s">
        <v>54</v>
      </c>
      <c r="C118" s="16" t="s">
        <v>41</v>
      </c>
      <c r="D118" s="51">
        <v>990</v>
      </c>
      <c r="E118" s="49">
        <f t="shared" si="101"/>
        <v>13860</v>
      </c>
      <c r="F118" s="50">
        <f t="shared" si="102"/>
        <v>8870.4</v>
      </c>
      <c r="G118" s="51"/>
      <c r="H118" s="49">
        <f t="shared" si="103"/>
        <v>0</v>
      </c>
      <c r="I118" s="50">
        <f t="shared" si="104"/>
        <v>0</v>
      </c>
      <c r="J118" s="51"/>
      <c r="K118" s="49">
        <f t="shared" si="105"/>
        <v>0</v>
      </c>
      <c r="L118" s="50">
        <f t="shared" si="106"/>
        <v>0</v>
      </c>
      <c r="M118" s="51"/>
      <c r="N118" s="49">
        <f t="shared" si="107"/>
        <v>0</v>
      </c>
      <c r="O118" s="50">
        <f t="shared" si="108"/>
        <v>0</v>
      </c>
      <c r="P118" s="51"/>
      <c r="Q118" s="49">
        <f t="shared" si="109"/>
        <v>0</v>
      </c>
      <c r="R118" s="50">
        <f t="shared" si="110"/>
        <v>0</v>
      </c>
      <c r="S118" s="51">
        <v>60</v>
      </c>
      <c r="T118" s="49">
        <f t="shared" si="111"/>
        <v>840</v>
      </c>
      <c r="U118" s="50">
        <f t="shared" si="112"/>
        <v>537.6</v>
      </c>
      <c r="V118" s="51"/>
      <c r="W118" s="49">
        <f t="shared" si="113"/>
        <v>0</v>
      </c>
      <c r="X118" s="50">
        <f t="shared" si="114"/>
        <v>0</v>
      </c>
      <c r="Y118" s="51"/>
      <c r="Z118" s="49">
        <f t="shared" si="115"/>
        <v>0</v>
      </c>
      <c r="AA118" s="50">
        <f t="shared" si="116"/>
        <v>0</v>
      </c>
      <c r="AB118" s="51"/>
      <c r="AC118" s="49">
        <f t="shared" si="117"/>
        <v>0</v>
      </c>
      <c r="AD118" s="50">
        <f t="shared" si="118"/>
        <v>0</v>
      </c>
      <c r="AE118" s="51"/>
      <c r="AF118" s="49">
        <f t="shared" si="119"/>
        <v>0</v>
      </c>
      <c r="AG118" s="50">
        <f t="shared" si="120"/>
        <v>0</v>
      </c>
      <c r="AH118" s="51">
        <v>100</v>
      </c>
      <c r="AI118" s="49">
        <f t="shared" si="121"/>
        <v>1200</v>
      </c>
      <c r="AJ118" s="50">
        <f t="shared" si="122"/>
        <v>840</v>
      </c>
      <c r="AK118" s="51"/>
      <c r="AL118" s="49">
        <f t="shared" si="123"/>
        <v>0</v>
      </c>
      <c r="AM118" s="50">
        <f t="shared" si="124"/>
        <v>0</v>
      </c>
      <c r="AN118" s="51"/>
      <c r="AO118" s="49">
        <f t="shared" si="125"/>
        <v>0</v>
      </c>
      <c r="AP118" s="50">
        <f t="shared" si="126"/>
        <v>0</v>
      </c>
      <c r="AQ118" s="51"/>
      <c r="AR118" s="49">
        <f t="shared" si="127"/>
        <v>0</v>
      </c>
      <c r="AS118" s="50">
        <f t="shared" si="128"/>
        <v>0</v>
      </c>
      <c r="AT118" s="51"/>
      <c r="AU118" s="49">
        <f t="shared" si="129"/>
        <v>0</v>
      </c>
      <c r="AV118" s="50">
        <f t="shared" si="130"/>
        <v>0</v>
      </c>
      <c r="AW118" s="51">
        <v>4300</v>
      </c>
      <c r="AX118" s="49">
        <f t="shared" si="131"/>
        <v>51600</v>
      </c>
      <c r="AY118" s="50">
        <f t="shared" si="132"/>
        <v>51600</v>
      </c>
      <c r="AZ118" s="51">
        <v>90</v>
      </c>
      <c r="BA118" s="49">
        <f t="shared" si="133"/>
        <v>1080</v>
      </c>
      <c r="BB118" s="50">
        <f t="shared" si="134"/>
        <v>648</v>
      </c>
      <c r="BC118" s="51">
        <v>545</v>
      </c>
      <c r="BD118" s="49">
        <f t="shared" si="135"/>
        <v>21800</v>
      </c>
      <c r="BE118" s="50">
        <f t="shared" si="136"/>
        <v>7629.9999999999991</v>
      </c>
      <c r="BF118" s="51">
        <v>1725</v>
      </c>
      <c r="BG118" s="49">
        <f t="shared" si="137"/>
        <v>20700</v>
      </c>
      <c r="BH118" s="50">
        <f t="shared" si="138"/>
        <v>20700</v>
      </c>
      <c r="BI118" s="51"/>
      <c r="BJ118" s="49">
        <f t="shared" si="139"/>
        <v>0</v>
      </c>
      <c r="BK118" s="50">
        <f t="shared" si="140"/>
        <v>0</v>
      </c>
      <c r="BL118" s="51">
        <v>390</v>
      </c>
      <c r="BM118" s="49">
        <f t="shared" si="141"/>
        <v>15600</v>
      </c>
      <c r="BN118" s="50">
        <f t="shared" si="142"/>
        <v>5460</v>
      </c>
      <c r="BO118" s="51"/>
      <c r="BP118" s="49">
        <f t="shared" si="143"/>
        <v>0</v>
      </c>
      <c r="BQ118" s="50">
        <f t="shared" si="144"/>
        <v>0</v>
      </c>
      <c r="BR118" s="51"/>
      <c r="BS118" s="49">
        <f t="shared" si="145"/>
        <v>0</v>
      </c>
      <c r="BT118" s="50">
        <f t="shared" si="146"/>
        <v>0</v>
      </c>
      <c r="BU118" s="51"/>
      <c r="BV118" s="49">
        <f t="shared" si="147"/>
        <v>0</v>
      </c>
      <c r="BW118" s="50">
        <f t="shared" si="148"/>
        <v>0</v>
      </c>
      <c r="BX118" s="51"/>
      <c r="BY118" s="49">
        <f t="shared" si="149"/>
        <v>0</v>
      </c>
      <c r="BZ118" s="50">
        <f t="shared" si="150"/>
        <v>0</v>
      </c>
      <c r="CA118" s="51"/>
      <c r="CB118" s="49">
        <f t="shared" si="151"/>
        <v>0</v>
      </c>
      <c r="CC118" s="50">
        <f t="shared" si="152"/>
        <v>0</v>
      </c>
      <c r="CD118" s="51"/>
      <c r="CE118" s="49">
        <f t="shared" si="153"/>
        <v>0</v>
      </c>
      <c r="CF118" s="50">
        <f t="shared" si="154"/>
        <v>0</v>
      </c>
      <c r="CG118" s="51"/>
      <c r="CH118" s="49">
        <f t="shared" si="155"/>
        <v>0</v>
      </c>
      <c r="CI118" s="50">
        <f t="shared" si="156"/>
        <v>0</v>
      </c>
      <c r="CJ118" s="51"/>
      <c r="CK118" s="49">
        <f t="shared" si="157"/>
        <v>0</v>
      </c>
      <c r="CL118" s="50">
        <f t="shared" si="158"/>
        <v>0</v>
      </c>
      <c r="CM118" s="51"/>
      <c r="CN118" s="49">
        <f t="shared" si="159"/>
        <v>0</v>
      </c>
      <c r="CO118" s="50">
        <f t="shared" si="160"/>
        <v>0</v>
      </c>
      <c r="CP118" s="51"/>
      <c r="CQ118" s="49">
        <f t="shared" si="161"/>
        <v>0</v>
      </c>
      <c r="CR118" s="50">
        <f t="shared" si="162"/>
        <v>0</v>
      </c>
      <c r="CS118" s="51"/>
      <c r="CT118" s="49">
        <f t="shared" si="163"/>
        <v>0</v>
      </c>
      <c r="CU118" s="50">
        <f t="shared" si="164"/>
        <v>0</v>
      </c>
      <c r="CV118" s="51"/>
      <c r="CW118" s="49">
        <f t="shared" si="165"/>
        <v>0</v>
      </c>
      <c r="CX118" s="50">
        <f t="shared" si="166"/>
        <v>0</v>
      </c>
      <c r="CY118" s="51"/>
      <c r="CZ118" s="49">
        <f t="shared" si="167"/>
        <v>0</v>
      </c>
      <c r="DA118" s="50">
        <f t="shared" si="168"/>
        <v>0</v>
      </c>
      <c r="DB118" s="51"/>
      <c r="DC118" s="49">
        <f t="shared" si="169"/>
        <v>0</v>
      </c>
      <c r="DD118" s="50">
        <f t="shared" si="170"/>
        <v>0</v>
      </c>
      <c r="DE118" s="51">
        <v>30</v>
      </c>
      <c r="DF118" s="49">
        <f t="shared" si="171"/>
        <v>360</v>
      </c>
      <c r="DG118" s="50">
        <f t="shared" si="172"/>
        <v>360</v>
      </c>
      <c r="DH118" s="51"/>
      <c r="DI118" s="49">
        <f t="shared" si="173"/>
        <v>0</v>
      </c>
      <c r="DJ118" s="50">
        <f t="shared" si="174"/>
        <v>0</v>
      </c>
      <c r="DK118" s="51"/>
      <c r="DL118" s="49">
        <f t="shared" si="175"/>
        <v>0</v>
      </c>
      <c r="DM118" s="50">
        <f t="shared" si="176"/>
        <v>0</v>
      </c>
      <c r="DN118" s="51"/>
      <c r="DO118" s="49">
        <f t="shared" si="177"/>
        <v>0</v>
      </c>
      <c r="DP118" s="50">
        <f t="shared" si="178"/>
        <v>0</v>
      </c>
      <c r="DQ118" s="51"/>
      <c r="DR118" s="51"/>
      <c r="DS118" s="51"/>
      <c r="DT118" s="46">
        <f t="shared" si="184"/>
        <v>8230</v>
      </c>
      <c r="DU118" s="46">
        <f t="shared" si="184"/>
        <v>127040</v>
      </c>
      <c r="DV118" s="46">
        <f t="shared" si="184"/>
        <v>96646</v>
      </c>
    </row>
    <row r="119" spans="1:126" x14ac:dyDescent="0.6">
      <c r="A119" s="63"/>
      <c r="B119" s="15" t="s">
        <v>56</v>
      </c>
      <c r="C119" s="16" t="s">
        <v>41</v>
      </c>
      <c r="D119" s="51">
        <v>6230</v>
      </c>
      <c r="E119" s="49">
        <f t="shared" si="101"/>
        <v>87220</v>
      </c>
      <c r="F119" s="50">
        <f t="shared" si="102"/>
        <v>55820.800000000003</v>
      </c>
      <c r="G119" s="51">
        <v>205</v>
      </c>
      <c r="H119" s="49">
        <f t="shared" si="103"/>
        <v>4920</v>
      </c>
      <c r="I119" s="50">
        <f t="shared" si="104"/>
        <v>3148.8</v>
      </c>
      <c r="J119" s="51"/>
      <c r="K119" s="49">
        <f t="shared" si="105"/>
        <v>0</v>
      </c>
      <c r="L119" s="50">
        <f t="shared" si="106"/>
        <v>0</v>
      </c>
      <c r="M119" s="51">
        <v>20</v>
      </c>
      <c r="N119" s="49">
        <f t="shared" si="107"/>
        <v>280</v>
      </c>
      <c r="O119" s="50">
        <f t="shared" si="108"/>
        <v>179.20000000000002</v>
      </c>
      <c r="P119" s="51"/>
      <c r="Q119" s="49">
        <f t="shared" si="109"/>
        <v>0</v>
      </c>
      <c r="R119" s="50">
        <f t="shared" si="110"/>
        <v>0</v>
      </c>
      <c r="S119" s="51"/>
      <c r="T119" s="49">
        <f t="shared" si="111"/>
        <v>0</v>
      </c>
      <c r="U119" s="50">
        <f t="shared" si="112"/>
        <v>0</v>
      </c>
      <c r="V119" s="51"/>
      <c r="W119" s="49">
        <f t="shared" si="113"/>
        <v>0</v>
      </c>
      <c r="X119" s="50">
        <f t="shared" si="114"/>
        <v>0</v>
      </c>
      <c r="Y119" s="51"/>
      <c r="Z119" s="49">
        <f t="shared" si="115"/>
        <v>0</v>
      </c>
      <c r="AA119" s="50">
        <f t="shared" si="116"/>
        <v>0</v>
      </c>
      <c r="AB119" s="51"/>
      <c r="AC119" s="49">
        <f t="shared" si="117"/>
        <v>0</v>
      </c>
      <c r="AD119" s="50">
        <f t="shared" si="118"/>
        <v>0</v>
      </c>
      <c r="AE119" s="51"/>
      <c r="AF119" s="49">
        <f t="shared" si="119"/>
        <v>0</v>
      </c>
      <c r="AG119" s="50">
        <f t="shared" si="120"/>
        <v>0</v>
      </c>
      <c r="AH119" s="51"/>
      <c r="AI119" s="49">
        <f t="shared" si="121"/>
        <v>0</v>
      </c>
      <c r="AJ119" s="50">
        <f t="shared" si="122"/>
        <v>0</v>
      </c>
      <c r="AK119" s="51"/>
      <c r="AL119" s="49">
        <f t="shared" si="123"/>
        <v>0</v>
      </c>
      <c r="AM119" s="50">
        <f t="shared" si="124"/>
        <v>0</v>
      </c>
      <c r="AN119" s="51"/>
      <c r="AO119" s="49">
        <f t="shared" si="125"/>
        <v>0</v>
      </c>
      <c r="AP119" s="50">
        <f t="shared" si="126"/>
        <v>0</v>
      </c>
      <c r="AQ119" s="51"/>
      <c r="AR119" s="49">
        <f t="shared" si="127"/>
        <v>0</v>
      </c>
      <c r="AS119" s="50">
        <f t="shared" si="128"/>
        <v>0</v>
      </c>
      <c r="AT119" s="51"/>
      <c r="AU119" s="49">
        <f t="shared" si="129"/>
        <v>0</v>
      </c>
      <c r="AV119" s="50">
        <f t="shared" si="130"/>
        <v>0</v>
      </c>
      <c r="AW119" s="51"/>
      <c r="AX119" s="49">
        <f t="shared" si="131"/>
        <v>0</v>
      </c>
      <c r="AY119" s="50">
        <f t="shared" si="132"/>
        <v>0</v>
      </c>
      <c r="AZ119" s="51">
        <v>440</v>
      </c>
      <c r="BA119" s="49">
        <f t="shared" si="133"/>
        <v>5280</v>
      </c>
      <c r="BB119" s="50">
        <f t="shared" si="134"/>
        <v>3168</v>
      </c>
      <c r="BC119" s="51">
        <v>595</v>
      </c>
      <c r="BD119" s="49">
        <f t="shared" si="135"/>
        <v>23800</v>
      </c>
      <c r="BE119" s="50">
        <f t="shared" si="136"/>
        <v>8330</v>
      </c>
      <c r="BF119" s="51">
        <v>30</v>
      </c>
      <c r="BG119" s="49">
        <f t="shared" si="137"/>
        <v>360</v>
      </c>
      <c r="BH119" s="50">
        <f t="shared" si="138"/>
        <v>360</v>
      </c>
      <c r="BI119" s="51"/>
      <c r="BJ119" s="49">
        <f t="shared" si="139"/>
        <v>0</v>
      </c>
      <c r="BK119" s="50">
        <f t="shared" si="140"/>
        <v>0</v>
      </c>
      <c r="BL119" s="51"/>
      <c r="BM119" s="49">
        <f t="shared" si="141"/>
        <v>0</v>
      </c>
      <c r="BN119" s="50">
        <f t="shared" si="142"/>
        <v>0</v>
      </c>
      <c r="BO119" s="51"/>
      <c r="BP119" s="49">
        <f t="shared" si="143"/>
        <v>0</v>
      </c>
      <c r="BQ119" s="50">
        <f t="shared" si="144"/>
        <v>0</v>
      </c>
      <c r="BR119" s="51"/>
      <c r="BS119" s="49">
        <f t="shared" si="145"/>
        <v>0</v>
      </c>
      <c r="BT119" s="50">
        <f t="shared" si="146"/>
        <v>0</v>
      </c>
      <c r="BU119" s="51"/>
      <c r="BV119" s="49">
        <f t="shared" si="147"/>
        <v>0</v>
      </c>
      <c r="BW119" s="50">
        <f t="shared" si="148"/>
        <v>0</v>
      </c>
      <c r="BX119" s="51"/>
      <c r="BY119" s="49">
        <f t="shared" si="149"/>
        <v>0</v>
      </c>
      <c r="BZ119" s="50">
        <f t="shared" si="150"/>
        <v>0</v>
      </c>
      <c r="CA119" s="51"/>
      <c r="CB119" s="49">
        <f t="shared" si="151"/>
        <v>0</v>
      </c>
      <c r="CC119" s="50">
        <f t="shared" si="152"/>
        <v>0</v>
      </c>
      <c r="CD119" s="51"/>
      <c r="CE119" s="49">
        <f t="shared" si="153"/>
        <v>0</v>
      </c>
      <c r="CF119" s="50">
        <f t="shared" si="154"/>
        <v>0</v>
      </c>
      <c r="CG119" s="51"/>
      <c r="CH119" s="49">
        <f t="shared" si="155"/>
        <v>0</v>
      </c>
      <c r="CI119" s="50">
        <f t="shared" si="156"/>
        <v>0</v>
      </c>
      <c r="CJ119" s="51"/>
      <c r="CK119" s="49">
        <f t="shared" si="157"/>
        <v>0</v>
      </c>
      <c r="CL119" s="50">
        <f t="shared" si="158"/>
        <v>0</v>
      </c>
      <c r="CM119" s="51"/>
      <c r="CN119" s="49">
        <f t="shared" si="159"/>
        <v>0</v>
      </c>
      <c r="CO119" s="50">
        <f t="shared" si="160"/>
        <v>0</v>
      </c>
      <c r="CP119" s="51"/>
      <c r="CQ119" s="49">
        <f t="shared" si="161"/>
        <v>0</v>
      </c>
      <c r="CR119" s="50">
        <f t="shared" si="162"/>
        <v>0</v>
      </c>
      <c r="CS119" s="51"/>
      <c r="CT119" s="49">
        <f t="shared" si="163"/>
        <v>0</v>
      </c>
      <c r="CU119" s="50">
        <f t="shared" si="164"/>
        <v>0</v>
      </c>
      <c r="CV119" s="51"/>
      <c r="CW119" s="49">
        <f t="shared" si="165"/>
        <v>0</v>
      </c>
      <c r="CX119" s="50">
        <f t="shared" si="166"/>
        <v>0</v>
      </c>
      <c r="CY119" s="51"/>
      <c r="CZ119" s="49">
        <f t="shared" si="167"/>
        <v>0</v>
      </c>
      <c r="DA119" s="50">
        <f t="shared" si="168"/>
        <v>0</v>
      </c>
      <c r="DB119" s="51"/>
      <c r="DC119" s="49">
        <f t="shared" si="169"/>
        <v>0</v>
      </c>
      <c r="DD119" s="50">
        <f t="shared" si="170"/>
        <v>0</v>
      </c>
      <c r="DE119" s="51">
        <v>11330</v>
      </c>
      <c r="DF119" s="49">
        <f t="shared" si="171"/>
        <v>135960</v>
      </c>
      <c r="DG119" s="50">
        <f t="shared" si="172"/>
        <v>135960</v>
      </c>
      <c r="DH119" s="51"/>
      <c r="DI119" s="49">
        <f t="shared" si="173"/>
        <v>0</v>
      </c>
      <c r="DJ119" s="50">
        <f t="shared" si="174"/>
        <v>0</v>
      </c>
      <c r="DK119" s="51"/>
      <c r="DL119" s="49">
        <f t="shared" si="175"/>
        <v>0</v>
      </c>
      <c r="DM119" s="50">
        <f t="shared" si="176"/>
        <v>0</v>
      </c>
      <c r="DN119" s="51"/>
      <c r="DO119" s="49">
        <f t="shared" si="177"/>
        <v>0</v>
      </c>
      <c r="DP119" s="50">
        <f t="shared" si="178"/>
        <v>0</v>
      </c>
      <c r="DQ119" s="51"/>
      <c r="DR119" s="51"/>
      <c r="DS119" s="51"/>
      <c r="DT119" s="46">
        <f t="shared" si="184"/>
        <v>18850</v>
      </c>
      <c r="DU119" s="46">
        <f t="shared" si="184"/>
        <v>257820</v>
      </c>
      <c r="DV119" s="46">
        <f t="shared" si="184"/>
        <v>206966.8</v>
      </c>
    </row>
    <row r="120" spans="1:126" x14ac:dyDescent="0.6">
      <c r="A120" s="63"/>
      <c r="B120" s="15" t="s">
        <v>58</v>
      </c>
      <c r="C120" s="16" t="s">
        <v>41</v>
      </c>
      <c r="D120" s="51"/>
      <c r="E120" s="49">
        <f t="shared" si="101"/>
        <v>0</v>
      </c>
      <c r="F120" s="50">
        <f t="shared" si="102"/>
        <v>0</v>
      </c>
      <c r="G120" s="51"/>
      <c r="H120" s="49">
        <f t="shared" si="103"/>
        <v>0</v>
      </c>
      <c r="I120" s="50">
        <f t="shared" si="104"/>
        <v>0</v>
      </c>
      <c r="J120" s="51"/>
      <c r="K120" s="49">
        <f t="shared" si="105"/>
        <v>0</v>
      </c>
      <c r="L120" s="50">
        <f t="shared" si="106"/>
        <v>0</v>
      </c>
      <c r="M120" s="51"/>
      <c r="N120" s="49">
        <f t="shared" si="107"/>
        <v>0</v>
      </c>
      <c r="O120" s="50">
        <f t="shared" si="108"/>
        <v>0</v>
      </c>
      <c r="P120" s="51"/>
      <c r="Q120" s="49">
        <f t="shared" si="109"/>
        <v>0</v>
      </c>
      <c r="R120" s="50">
        <f t="shared" si="110"/>
        <v>0</v>
      </c>
      <c r="S120" s="51"/>
      <c r="T120" s="49">
        <f t="shared" si="111"/>
        <v>0</v>
      </c>
      <c r="U120" s="50">
        <f t="shared" si="112"/>
        <v>0</v>
      </c>
      <c r="V120" s="51"/>
      <c r="W120" s="49">
        <f t="shared" si="113"/>
        <v>0</v>
      </c>
      <c r="X120" s="50">
        <f t="shared" si="114"/>
        <v>0</v>
      </c>
      <c r="Y120" s="51"/>
      <c r="Z120" s="49">
        <f t="shared" si="115"/>
        <v>0</v>
      </c>
      <c r="AA120" s="50">
        <f t="shared" si="116"/>
        <v>0</v>
      </c>
      <c r="AB120" s="51"/>
      <c r="AC120" s="49">
        <f t="shared" si="117"/>
        <v>0</v>
      </c>
      <c r="AD120" s="50">
        <f t="shared" si="118"/>
        <v>0</v>
      </c>
      <c r="AE120" s="51"/>
      <c r="AF120" s="49">
        <f t="shared" si="119"/>
        <v>0</v>
      </c>
      <c r="AG120" s="50">
        <f t="shared" si="120"/>
        <v>0</v>
      </c>
      <c r="AH120" s="51"/>
      <c r="AI120" s="49">
        <f t="shared" si="121"/>
        <v>0</v>
      </c>
      <c r="AJ120" s="50">
        <f t="shared" si="122"/>
        <v>0</v>
      </c>
      <c r="AK120" s="51"/>
      <c r="AL120" s="49">
        <f t="shared" si="123"/>
        <v>0</v>
      </c>
      <c r="AM120" s="50">
        <f t="shared" si="124"/>
        <v>0</v>
      </c>
      <c r="AN120" s="51"/>
      <c r="AO120" s="49">
        <f t="shared" si="125"/>
        <v>0</v>
      </c>
      <c r="AP120" s="50">
        <f t="shared" si="126"/>
        <v>0</v>
      </c>
      <c r="AQ120" s="51"/>
      <c r="AR120" s="49">
        <f t="shared" si="127"/>
        <v>0</v>
      </c>
      <c r="AS120" s="50">
        <f t="shared" si="128"/>
        <v>0</v>
      </c>
      <c r="AT120" s="51"/>
      <c r="AU120" s="49">
        <f t="shared" si="129"/>
        <v>0</v>
      </c>
      <c r="AV120" s="50">
        <f t="shared" si="130"/>
        <v>0</v>
      </c>
      <c r="AW120" s="51"/>
      <c r="AX120" s="49">
        <f t="shared" si="131"/>
        <v>0</v>
      </c>
      <c r="AY120" s="50">
        <f t="shared" si="132"/>
        <v>0</v>
      </c>
      <c r="AZ120" s="51"/>
      <c r="BA120" s="49">
        <f t="shared" si="133"/>
        <v>0</v>
      </c>
      <c r="BB120" s="50">
        <f t="shared" si="134"/>
        <v>0</v>
      </c>
      <c r="BC120" s="51"/>
      <c r="BD120" s="49">
        <f t="shared" si="135"/>
        <v>0</v>
      </c>
      <c r="BE120" s="50">
        <f t="shared" si="136"/>
        <v>0</v>
      </c>
      <c r="BF120" s="51"/>
      <c r="BG120" s="49">
        <f t="shared" si="137"/>
        <v>0</v>
      </c>
      <c r="BH120" s="50">
        <f t="shared" si="138"/>
        <v>0</v>
      </c>
      <c r="BI120" s="51"/>
      <c r="BJ120" s="49">
        <f t="shared" si="139"/>
        <v>0</v>
      </c>
      <c r="BK120" s="50">
        <f t="shared" si="140"/>
        <v>0</v>
      </c>
      <c r="BL120" s="51"/>
      <c r="BM120" s="49">
        <f t="shared" si="141"/>
        <v>0</v>
      </c>
      <c r="BN120" s="50">
        <f t="shared" si="142"/>
        <v>0</v>
      </c>
      <c r="BO120" s="51"/>
      <c r="BP120" s="49">
        <f t="shared" si="143"/>
        <v>0</v>
      </c>
      <c r="BQ120" s="50">
        <f t="shared" si="144"/>
        <v>0</v>
      </c>
      <c r="BR120" s="51"/>
      <c r="BS120" s="49">
        <f t="shared" si="145"/>
        <v>0</v>
      </c>
      <c r="BT120" s="50">
        <f t="shared" si="146"/>
        <v>0</v>
      </c>
      <c r="BU120" s="51"/>
      <c r="BV120" s="49">
        <f t="shared" si="147"/>
        <v>0</v>
      </c>
      <c r="BW120" s="50">
        <f t="shared" si="148"/>
        <v>0</v>
      </c>
      <c r="BX120" s="51"/>
      <c r="BY120" s="49">
        <f t="shared" si="149"/>
        <v>0</v>
      </c>
      <c r="BZ120" s="50">
        <f t="shared" si="150"/>
        <v>0</v>
      </c>
      <c r="CA120" s="51"/>
      <c r="CB120" s="49">
        <f t="shared" si="151"/>
        <v>0</v>
      </c>
      <c r="CC120" s="50">
        <f t="shared" si="152"/>
        <v>0</v>
      </c>
      <c r="CD120" s="51"/>
      <c r="CE120" s="49">
        <f t="shared" si="153"/>
        <v>0</v>
      </c>
      <c r="CF120" s="50">
        <f t="shared" si="154"/>
        <v>0</v>
      </c>
      <c r="CG120" s="51"/>
      <c r="CH120" s="49">
        <f t="shared" si="155"/>
        <v>0</v>
      </c>
      <c r="CI120" s="50">
        <f t="shared" si="156"/>
        <v>0</v>
      </c>
      <c r="CJ120" s="51"/>
      <c r="CK120" s="49">
        <f t="shared" si="157"/>
        <v>0</v>
      </c>
      <c r="CL120" s="50">
        <f t="shared" si="158"/>
        <v>0</v>
      </c>
      <c r="CM120" s="51"/>
      <c r="CN120" s="49">
        <f t="shared" si="159"/>
        <v>0</v>
      </c>
      <c r="CO120" s="50">
        <f t="shared" si="160"/>
        <v>0</v>
      </c>
      <c r="CP120" s="51"/>
      <c r="CQ120" s="49">
        <f t="shared" si="161"/>
        <v>0</v>
      </c>
      <c r="CR120" s="50">
        <f t="shared" si="162"/>
        <v>0</v>
      </c>
      <c r="CS120" s="51"/>
      <c r="CT120" s="49">
        <f t="shared" si="163"/>
        <v>0</v>
      </c>
      <c r="CU120" s="50">
        <f t="shared" si="164"/>
        <v>0</v>
      </c>
      <c r="CV120" s="51"/>
      <c r="CW120" s="49">
        <f t="shared" si="165"/>
        <v>0</v>
      </c>
      <c r="CX120" s="50">
        <f t="shared" si="166"/>
        <v>0</v>
      </c>
      <c r="CY120" s="51"/>
      <c r="CZ120" s="49">
        <f t="shared" si="167"/>
        <v>0</v>
      </c>
      <c r="DA120" s="50">
        <f t="shared" si="168"/>
        <v>0</v>
      </c>
      <c r="DB120" s="51"/>
      <c r="DC120" s="49">
        <f t="shared" si="169"/>
        <v>0</v>
      </c>
      <c r="DD120" s="50">
        <f t="shared" si="170"/>
        <v>0</v>
      </c>
      <c r="DE120" s="51"/>
      <c r="DF120" s="49">
        <f t="shared" si="171"/>
        <v>0</v>
      </c>
      <c r="DG120" s="50">
        <f t="shared" si="172"/>
        <v>0</v>
      </c>
      <c r="DH120" s="51"/>
      <c r="DI120" s="49">
        <f t="shared" si="173"/>
        <v>0</v>
      </c>
      <c r="DJ120" s="50">
        <f t="shared" si="174"/>
        <v>0</v>
      </c>
      <c r="DK120" s="51"/>
      <c r="DL120" s="49">
        <f t="shared" si="175"/>
        <v>0</v>
      </c>
      <c r="DM120" s="50">
        <f t="shared" si="176"/>
        <v>0</v>
      </c>
      <c r="DN120" s="51"/>
      <c r="DO120" s="49">
        <f t="shared" si="177"/>
        <v>0</v>
      </c>
      <c r="DP120" s="50">
        <f t="shared" si="178"/>
        <v>0</v>
      </c>
      <c r="DQ120" s="51"/>
      <c r="DR120" s="51"/>
      <c r="DS120" s="51"/>
      <c r="DT120" s="46">
        <f t="shared" si="184"/>
        <v>0</v>
      </c>
      <c r="DU120" s="46">
        <f t="shared" si="184"/>
        <v>0</v>
      </c>
      <c r="DV120" s="46">
        <f t="shared" si="184"/>
        <v>0</v>
      </c>
    </row>
    <row r="121" spans="1:126" x14ac:dyDescent="0.6">
      <c r="A121" s="63"/>
      <c r="B121" s="15" t="s">
        <v>60</v>
      </c>
      <c r="C121" s="16" t="s">
        <v>41</v>
      </c>
      <c r="D121" s="51">
        <v>1510</v>
      </c>
      <c r="E121" s="49">
        <f t="shared" si="101"/>
        <v>21140</v>
      </c>
      <c r="F121" s="50">
        <f t="shared" si="102"/>
        <v>13529.6</v>
      </c>
      <c r="G121" s="51">
        <v>50</v>
      </c>
      <c r="H121" s="49">
        <f t="shared" si="103"/>
        <v>1200</v>
      </c>
      <c r="I121" s="50">
        <f t="shared" si="104"/>
        <v>768</v>
      </c>
      <c r="J121" s="51"/>
      <c r="K121" s="49">
        <f t="shared" si="105"/>
        <v>0</v>
      </c>
      <c r="L121" s="50">
        <f t="shared" si="106"/>
        <v>0</v>
      </c>
      <c r="M121" s="51">
        <v>1190</v>
      </c>
      <c r="N121" s="49">
        <f t="shared" si="107"/>
        <v>16660</v>
      </c>
      <c r="O121" s="50">
        <f t="shared" si="108"/>
        <v>10662.4</v>
      </c>
      <c r="P121" s="51"/>
      <c r="Q121" s="49">
        <f t="shared" si="109"/>
        <v>0</v>
      </c>
      <c r="R121" s="50">
        <f t="shared" si="110"/>
        <v>0</v>
      </c>
      <c r="S121" s="51"/>
      <c r="T121" s="49">
        <f t="shared" si="111"/>
        <v>0</v>
      </c>
      <c r="U121" s="50">
        <f t="shared" si="112"/>
        <v>0</v>
      </c>
      <c r="V121" s="51">
        <v>50</v>
      </c>
      <c r="W121" s="49">
        <f t="shared" si="113"/>
        <v>700</v>
      </c>
      <c r="X121" s="50">
        <f t="shared" si="114"/>
        <v>448</v>
      </c>
      <c r="Y121" s="51"/>
      <c r="Z121" s="49">
        <f t="shared" si="115"/>
        <v>0</v>
      </c>
      <c r="AA121" s="50">
        <f t="shared" si="116"/>
        <v>0</v>
      </c>
      <c r="AB121" s="51"/>
      <c r="AC121" s="49">
        <f t="shared" si="117"/>
        <v>0</v>
      </c>
      <c r="AD121" s="50">
        <f t="shared" si="118"/>
        <v>0</v>
      </c>
      <c r="AE121" s="51">
        <v>10</v>
      </c>
      <c r="AF121" s="49">
        <f t="shared" si="119"/>
        <v>140</v>
      </c>
      <c r="AG121" s="50">
        <f t="shared" si="120"/>
        <v>89.600000000000009</v>
      </c>
      <c r="AH121" s="51">
        <v>255</v>
      </c>
      <c r="AI121" s="49">
        <f t="shared" si="121"/>
        <v>3060</v>
      </c>
      <c r="AJ121" s="50">
        <f t="shared" si="122"/>
        <v>2142</v>
      </c>
      <c r="AK121" s="51"/>
      <c r="AL121" s="49">
        <f t="shared" si="123"/>
        <v>0</v>
      </c>
      <c r="AM121" s="50">
        <f t="shared" si="124"/>
        <v>0</v>
      </c>
      <c r="AN121" s="51"/>
      <c r="AO121" s="49">
        <f t="shared" si="125"/>
        <v>0</v>
      </c>
      <c r="AP121" s="50">
        <f t="shared" si="126"/>
        <v>0</v>
      </c>
      <c r="AQ121" s="51"/>
      <c r="AR121" s="49">
        <f t="shared" si="127"/>
        <v>0</v>
      </c>
      <c r="AS121" s="50">
        <f t="shared" si="128"/>
        <v>0</v>
      </c>
      <c r="AT121" s="51"/>
      <c r="AU121" s="49">
        <f t="shared" si="129"/>
        <v>0</v>
      </c>
      <c r="AV121" s="50">
        <f t="shared" si="130"/>
        <v>0</v>
      </c>
      <c r="AW121" s="51">
        <v>525</v>
      </c>
      <c r="AX121" s="49">
        <f t="shared" si="131"/>
        <v>6300</v>
      </c>
      <c r="AY121" s="50">
        <f t="shared" si="132"/>
        <v>6300</v>
      </c>
      <c r="AZ121" s="51">
        <v>5</v>
      </c>
      <c r="BA121" s="49">
        <f t="shared" si="133"/>
        <v>60</v>
      </c>
      <c r="BB121" s="50">
        <f t="shared" si="134"/>
        <v>36</v>
      </c>
      <c r="BC121" s="51">
        <v>5</v>
      </c>
      <c r="BD121" s="49">
        <f t="shared" si="135"/>
        <v>200</v>
      </c>
      <c r="BE121" s="50">
        <f t="shared" si="136"/>
        <v>70</v>
      </c>
      <c r="BF121" s="51">
        <v>15</v>
      </c>
      <c r="BG121" s="49">
        <f t="shared" si="137"/>
        <v>180</v>
      </c>
      <c r="BH121" s="50">
        <f t="shared" si="138"/>
        <v>180</v>
      </c>
      <c r="BI121" s="51"/>
      <c r="BJ121" s="49">
        <f t="shared" si="139"/>
        <v>0</v>
      </c>
      <c r="BK121" s="50">
        <f t="shared" si="140"/>
        <v>0</v>
      </c>
      <c r="BL121" s="51"/>
      <c r="BM121" s="49">
        <f t="shared" si="141"/>
        <v>0</v>
      </c>
      <c r="BN121" s="50">
        <f t="shared" si="142"/>
        <v>0</v>
      </c>
      <c r="BO121" s="51"/>
      <c r="BP121" s="49">
        <f t="shared" si="143"/>
        <v>0</v>
      </c>
      <c r="BQ121" s="50">
        <f t="shared" si="144"/>
        <v>0</v>
      </c>
      <c r="BR121" s="51"/>
      <c r="BS121" s="49">
        <f t="shared" si="145"/>
        <v>0</v>
      </c>
      <c r="BT121" s="50">
        <f t="shared" si="146"/>
        <v>0</v>
      </c>
      <c r="BU121" s="51"/>
      <c r="BV121" s="49">
        <f t="shared" si="147"/>
        <v>0</v>
      </c>
      <c r="BW121" s="50">
        <f t="shared" si="148"/>
        <v>0</v>
      </c>
      <c r="BX121" s="51"/>
      <c r="BY121" s="49">
        <f t="shared" si="149"/>
        <v>0</v>
      </c>
      <c r="BZ121" s="50">
        <f t="shared" si="150"/>
        <v>0</v>
      </c>
      <c r="CA121" s="51"/>
      <c r="CB121" s="49">
        <f t="shared" si="151"/>
        <v>0</v>
      </c>
      <c r="CC121" s="50">
        <f t="shared" si="152"/>
        <v>0</v>
      </c>
      <c r="CD121" s="51"/>
      <c r="CE121" s="49">
        <f t="shared" si="153"/>
        <v>0</v>
      </c>
      <c r="CF121" s="50">
        <f t="shared" si="154"/>
        <v>0</v>
      </c>
      <c r="CG121" s="51"/>
      <c r="CH121" s="49">
        <f t="shared" si="155"/>
        <v>0</v>
      </c>
      <c r="CI121" s="50">
        <f t="shared" si="156"/>
        <v>0</v>
      </c>
      <c r="CJ121" s="51"/>
      <c r="CK121" s="49">
        <f t="shared" si="157"/>
        <v>0</v>
      </c>
      <c r="CL121" s="50">
        <f t="shared" si="158"/>
        <v>0</v>
      </c>
      <c r="CM121" s="51"/>
      <c r="CN121" s="49">
        <f t="shared" si="159"/>
        <v>0</v>
      </c>
      <c r="CO121" s="50">
        <f t="shared" si="160"/>
        <v>0</v>
      </c>
      <c r="CP121" s="51"/>
      <c r="CQ121" s="49">
        <f t="shared" si="161"/>
        <v>0</v>
      </c>
      <c r="CR121" s="50">
        <f t="shared" si="162"/>
        <v>0</v>
      </c>
      <c r="CS121" s="51"/>
      <c r="CT121" s="49">
        <f t="shared" si="163"/>
        <v>0</v>
      </c>
      <c r="CU121" s="50">
        <f t="shared" si="164"/>
        <v>0</v>
      </c>
      <c r="CV121" s="51"/>
      <c r="CW121" s="49">
        <f t="shared" si="165"/>
        <v>0</v>
      </c>
      <c r="CX121" s="50">
        <f t="shared" si="166"/>
        <v>0</v>
      </c>
      <c r="CY121" s="51"/>
      <c r="CZ121" s="49">
        <f t="shared" si="167"/>
        <v>0</v>
      </c>
      <c r="DA121" s="50">
        <f t="shared" si="168"/>
        <v>0</v>
      </c>
      <c r="DB121" s="51"/>
      <c r="DC121" s="49">
        <f t="shared" si="169"/>
        <v>0</v>
      </c>
      <c r="DD121" s="50">
        <f t="shared" si="170"/>
        <v>0</v>
      </c>
      <c r="DE121" s="51"/>
      <c r="DF121" s="49">
        <f t="shared" si="171"/>
        <v>0</v>
      </c>
      <c r="DG121" s="50">
        <f t="shared" si="172"/>
        <v>0</v>
      </c>
      <c r="DH121" s="51"/>
      <c r="DI121" s="49">
        <f t="shared" si="173"/>
        <v>0</v>
      </c>
      <c r="DJ121" s="50">
        <f t="shared" si="174"/>
        <v>0</v>
      </c>
      <c r="DK121" s="51"/>
      <c r="DL121" s="49">
        <f t="shared" si="175"/>
        <v>0</v>
      </c>
      <c r="DM121" s="50">
        <f t="shared" si="176"/>
        <v>0</v>
      </c>
      <c r="DN121" s="51">
        <v>18</v>
      </c>
      <c r="DO121" s="49">
        <f t="shared" si="177"/>
        <v>216</v>
      </c>
      <c r="DP121" s="50">
        <f t="shared" si="178"/>
        <v>216</v>
      </c>
      <c r="DQ121" s="51"/>
      <c r="DR121" s="51"/>
      <c r="DS121" s="51"/>
      <c r="DT121" s="46">
        <f t="shared" si="184"/>
        <v>3633</v>
      </c>
      <c r="DU121" s="46">
        <f t="shared" si="184"/>
        <v>49856</v>
      </c>
      <c r="DV121" s="46">
        <f t="shared" si="184"/>
        <v>34441.599999999999</v>
      </c>
    </row>
    <row r="122" spans="1:126" x14ac:dyDescent="0.6">
      <c r="A122" s="63"/>
      <c r="B122" s="15" t="s">
        <v>61</v>
      </c>
      <c r="C122" s="16" t="s">
        <v>41</v>
      </c>
      <c r="D122" s="51">
        <v>5115</v>
      </c>
      <c r="E122" s="49">
        <f t="shared" si="101"/>
        <v>71610</v>
      </c>
      <c r="F122" s="50">
        <f t="shared" si="102"/>
        <v>45830.400000000001</v>
      </c>
      <c r="G122" s="51"/>
      <c r="H122" s="49">
        <f t="shared" si="103"/>
        <v>0</v>
      </c>
      <c r="I122" s="50">
        <f t="shared" si="104"/>
        <v>0</v>
      </c>
      <c r="J122" s="51"/>
      <c r="K122" s="49">
        <f t="shared" si="105"/>
        <v>0</v>
      </c>
      <c r="L122" s="50">
        <f t="shared" si="106"/>
        <v>0</v>
      </c>
      <c r="M122" s="51">
        <v>3489</v>
      </c>
      <c r="N122" s="49">
        <f t="shared" si="107"/>
        <v>48846</v>
      </c>
      <c r="O122" s="50">
        <f t="shared" si="108"/>
        <v>31261.440000000002</v>
      </c>
      <c r="P122" s="51"/>
      <c r="Q122" s="49">
        <f t="shared" si="109"/>
        <v>0</v>
      </c>
      <c r="R122" s="50">
        <f t="shared" si="110"/>
        <v>0</v>
      </c>
      <c r="S122" s="51"/>
      <c r="T122" s="49">
        <f t="shared" si="111"/>
        <v>0</v>
      </c>
      <c r="U122" s="50">
        <f t="shared" si="112"/>
        <v>0</v>
      </c>
      <c r="V122" s="51"/>
      <c r="W122" s="49">
        <f t="shared" si="113"/>
        <v>0</v>
      </c>
      <c r="X122" s="50">
        <f t="shared" si="114"/>
        <v>0</v>
      </c>
      <c r="Y122" s="51"/>
      <c r="Z122" s="49">
        <f t="shared" si="115"/>
        <v>0</v>
      </c>
      <c r="AA122" s="50">
        <f t="shared" si="116"/>
        <v>0</v>
      </c>
      <c r="AB122" s="51"/>
      <c r="AC122" s="49">
        <f t="shared" si="117"/>
        <v>0</v>
      </c>
      <c r="AD122" s="50">
        <f t="shared" si="118"/>
        <v>0</v>
      </c>
      <c r="AE122" s="51"/>
      <c r="AF122" s="49">
        <f t="shared" si="119"/>
        <v>0</v>
      </c>
      <c r="AG122" s="50">
        <f t="shared" si="120"/>
        <v>0</v>
      </c>
      <c r="AH122" s="51">
        <v>23</v>
      </c>
      <c r="AI122" s="49">
        <f t="shared" si="121"/>
        <v>276</v>
      </c>
      <c r="AJ122" s="50">
        <f t="shared" si="122"/>
        <v>193.2</v>
      </c>
      <c r="AK122" s="51"/>
      <c r="AL122" s="49">
        <f t="shared" si="123"/>
        <v>0</v>
      </c>
      <c r="AM122" s="50">
        <f t="shared" si="124"/>
        <v>0</v>
      </c>
      <c r="AN122" s="51"/>
      <c r="AO122" s="49">
        <f t="shared" si="125"/>
        <v>0</v>
      </c>
      <c r="AP122" s="50">
        <f t="shared" si="126"/>
        <v>0</v>
      </c>
      <c r="AQ122" s="51"/>
      <c r="AR122" s="49">
        <f t="shared" si="127"/>
        <v>0</v>
      </c>
      <c r="AS122" s="50">
        <f t="shared" si="128"/>
        <v>0</v>
      </c>
      <c r="AT122" s="51"/>
      <c r="AU122" s="49">
        <f t="shared" si="129"/>
        <v>0</v>
      </c>
      <c r="AV122" s="50">
        <f t="shared" si="130"/>
        <v>0</v>
      </c>
      <c r="AW122" s="51">
        <v>4996</v>
      </c>
      <c r="AX122" s="49">
        <f t="shared" si="131"/>
        <v>59952</v>
      </c>
      <c r="AY122" s="50">
        <f t="shared" si="132"/>
        <v>59952</v>
      </c>
      <c r="AZ122" s="51">
        <v>40</v>
      </c>
      <c r="BA122" s="49">
        <f t="shared" si="133"/>
        <v>480</v>
      </c>
      <c r="BB122" s="50">
        <f t="shared" si="134"/>
        <v>288</v>
      </c>
      <c r="BC122" s="51">
        <v>285</v>
      </c>
      <c r="BD122" s="49">
        <f t="shared" si="135"/>
        <v>11400</v>
      </c>
      <c r="BE122" s="50">
        <f t="shared" si="136"/>
        <v>3989.9999999999995</v>
      </c>
      <c r="BF122" s="51">
        <v>225</v>
      </c>
      <c r="BG122" s="49">
        <f t="shared" si="137"/>
        <v>2700</v>
      </c>
      <c r="BH122" s="50">
        <f t="shared" si="138"/>
        <v>2700</v>
      </c>
      <c r="BI122" s="51"/>
      <c r="BJ122" s="49">
        <f t="shared" si="139"/>
        <v>0</v>
      </c>
      <c r="BK122" s="50">
        <f t="shared" si="140"/>
        <v>0</v>
      </c>
      <c r="BL122" s="51">
        <v>15</v>
      </c>
      <c r="BM122" s="49">
        <f t="shared" si="141"/>
        <v>600</v>
      </c>
      <c r="BN122" s="50">
        <f t="shared" si="142"/>
        <v>210</v>
      </c>
      <c r="BO122" s="51"/>
      <c r="BP122" s="49">
        <f t="shared" si="143"/>
        <v>0</v>
      </c>
      <c r="BQ122" s="50">
        <f t="shared" si="144"/>
        <v>0</v>
      </c>
      <c r="BR122" s="51"/>
      <c r="BS122" s="49">
        <f t="shared" si="145"/>
        <v>0</v>
      </c>
      <c r="BT122" s="50">
        <f t="shared" si="146"/>
        <v>0</v>
      </c>
      <c r="BU122" s="51"/>
      <c r="BV122" s="49">
        <f t="shared" si="147"/>
        <v>0</v>
      </c>
      <c r="BW122" s="50">
        <f t="shared" si="148"/>
        <v>0</v>
      </c>
      <c r="BX122" s="51"/>
      <c r="BY122" s="49">
        <f t="shared" si="149"/>
        <v>0</v>
      </c>
      <c r="BZ122" s="50">
        <f t="shared" si="150"/>
        <v>0</v>
      </c>
      <c r="CA122" s="51"/>
      <c r="CB122" s="49">
        <f t="shared" si="151"/>
        <v>0</v>
      </c>
      <c r="CC122" s="50">
        <f t="shared" si="152"/>
        <v>0</v>
      </c>
      <c r="CD122" s="51"/>
      <c r="CE122" s="49">
        <f t="shared" si="153"/>
        <v>0</v>
      </c>
      <c r="CF122" s="50">
        <f t="shared" si="154"/>
        <v>0</v>
      </c>
      <c r="CG122" s="51"/>
      <c r="CH122" s="49">
        <f t="shared" si="155"/>
        <v>0</v>
      </c>
      <c r="CI122" s="50">
        <f t="shared" si="156"/>
        <v>0</v>
      </c>
      <c r="CJ122" s="51"/>
      <c r="CK122" s="49">
        <f t="shared" si="157"/>
        <v>0</v>
      </c>
      <c r="CL122" s="50">
        <f t="shared" si="158"/>
        <v>0</v>
      </c>
      <c r="CM122" s="51"/>
      <c r="CN122" s="49">
        <f t="shared" si="159"/>
        <v>0</v>
      </c>
      <c r="CO122" s="50">
        <f t="shared" si="160"/>
        <v>0</v>
      </c>
      <c r="CP122" s="51"/>
      <c r="CQ122" s="49">
        <f t="shared" si="161"/>
        <v>0</v>
      </c>
      <c r="CR122" s="50">
        <f t="shared" si="162"/>
        <v>0</v>
      </c>
      <c r="CS122" s="51"/>
      <c r="CT122" s="49">
        <f t="shared" si="163"/>
        <v>0</v>
      </c>
      <c r="CU122" s="50">
        <f t="shared" si="164"/>
        <v>0</v>
      </c>
      <c r="CV122" s="51"/>
      <c r="CW122" s="49">
        <f t="shared" si="165"/>
        <v>0</v>
      </c>
      <c r="CX122" s="50">
        <f t="shared" si="166"/>
        <v>0</v>
      </c>
      <c r="CY122" s="51"/>
      <c r="CZ122" s="49">
        <f t="shared" si="167"/>
        <v>0</v>
      </c>
      <c r="DA122" s="50">
        <f t="shared" si="168"/>
        <v>0</v>
      </c>
      <c r="DB122" s="51"/>
      <c r="DC122" s="49">
        <f t="shared" si="169"/>
        <v>0</v>
      </c>
      <c r="DD122" s="50">
        <f t="shared" si="170"/>
        <v>0</v>
      </c>
      <c r="DE122" s="51">
        <v>20</v>
      </c>
      <c r="DF122" s="49">
        <f t="shared" si="171"/>
        <v>240</v>
      </c>
      <c r="DG122" s="50">
        <f t="shared" si="172"/>
        <v>240</v>
      </c>
      <c r="DH122" s="51"/>
      <c r="DI122" s="49">
        <f t="shared" si="173"/>
        <v>0</v>
      </c>
      <c r="DJ122" s="50">
        <f t="shared" si="174"/>
        <v>0</v>
      </c>
      <c r="DK122" s="51"/>
      <c r="DL122" s="49">
        <f t="shared" si="175"/>
        <v>0</v>
      </c>
      <c r="DM122" s="50">
        <f t="shared" si="176"/>
        <v>0</v>
      </c>
      <c r="DN122" s="51"/>
      <c r="DO122" s="49">
        <f t="shared" si="177"/>
        <v>0</v>
      </c>
      <c r="DP122" s="50">
        <f t="shared" si="178"/>
        <v>0</v>
      </c>
      <c r="DQ122" s="51"/>
      <c r="DR122" s="51"/>
      <c r="DS122" s="51"/>
      <c r="DT122" s="46">
        <f t="shared" si="184"/>
        <v>14208</v>
      </c>
      <c r="DU122" s="46">
        <f t="shared" si="184"/>
        <v>196104</v>
      </c>
      <c r="DV122" s="46">
        <f t="shared" si="184"/>
        <v>144665.03999999998</v>
      </c>
    </row>
    <row r="123" spans="1:126" x14ac:dyDescent="0.6">
      <c r="A123" s="63"/>
      <c r="B123" s="15" t="s">
        <v>54</v>
      </c>
      <c r="C123" s="16" t="s">
        <v>42</v>
      </c>
      <c r="D123" s="51">
        <v>140</v>
      </c>
      <c r="E123" s="49">
        <f t="shared" si="101"/>
        <v>1960</v>
      </c>
      <c r="F123" s="50">
        <f t="shared" si="102"/>
        <v>1254.4000000000001</v>
      </c>
      <c r="G123" s="51"/>
      <c r="H123" s="49">
        <f t="shared" si="103"/>
        <v>0</v>
      </c>
      <c r="I123" s="50">
        <f t="shared" si="104"/>
        <v>0</v>
      </c>
      <c r="J123" s="51"/>
      <c r="K123" s="49">
        <f t="shared" si="105"/>
        <v>0</v>
      </c>
      <c r="L123" s="50">
        <f t="shared" si="106"/>
        <v>0</v>
      </c>
      <c r="M123" s="51">
        <v>150</v>
      </c>
      <c r="N123" s="49">
        <f t="shared" si="107"/>
        <v>2100</v>
      </c>
      <c r="O123" s="50">
        <f t="shared" si="108"/>
        <v>1344</v>
      </c>
      <c r="P123" s="51"/>
      <c r="Q123" s="49">
        <f t="shared" si="109"/>
        <v>0</v>
      </c>
      <c r="R123" s="50">
        <f t="shared" si="110"/>
        <v>0</v>
      </c>
      <c r="S123" s="51"/>
      <c r="T123" s="49">
        <f t="shared" si="111"/>
        <v>0</v>
      </c>
      <c r="U123" s="50">
        <f t="shared" si="112"/>
        <v>0</v>
      </c>
      <c r="V123" s="51"/>
      <c r="W123" s="49">
        <f t="shared" si="113"/>
        <v>0</v>
      </c>
      <c r="X123" s="50">
        <f t="shared" si="114"/>
        <v>0</v>
      </c>
      <c r="Y123" s="51"/>
      <c r="Z123" s="49">
        <f t="shared" si="115"/>
        <v>0</v>
      </c>
      <c r="AA123" s="50">
        <f t="shared" si="116"/>
        <v>0</v>
      </c>
      <c r="AB123" s="51"/>
      <c r="AC123" s="49">
        <f t="shared" si="117"/>
        <v>0</v>
      </c>
      <c r="AD123" s="50">
        <f t="shared" si="118"/>
        <v>0</v>
      </c>
      <c r="AE123" s="51"/>
      <c r="AF123" s="49">
        <f t="shared" si="119"/>
        <v>0</v>
      </c>
      <c r="AG123" s="50">
        <f t="shared" si="120"/>
        <v>0</v>
      </c>
      <c r="AH123" s="51">
        <v>5</v>
      </c>
      <c r="AI123" s="49">
        <f t="shared" si="121"/>
        <v>60</v>
      </c>
      <c r="AJ123" s="50">
        <f t="shared" si="122"/>
        <v>42</v>
      </c>
      <c r="AK123" s="51"/>
      <c r="AL123" s="49">
        <f t="shared" si="123"/>
        <v>0</v>
      </c>
      <c r="AM123" s="50">
        <f t="shared" si="124"/>
        <v>0</v>
      </c>
      <c r="AN123" s="51"/>
      <c r="AO123" s="49">
        <f t="shared" si="125"/>
        <v>0</v>
      </c>
      <c r="AP123" s="50">
        <f t="shared" si="126"/>
        <v>0</v>
      </c>
      <c r="AQ123" s="51"/>
      <c r="AR123" s="49">
        <f t="shared" si="127"/>
        <v>0</v>
      </c>
      <c r="AS123" s="50">
        <f t="shared" si="128"/>
        <v>0</v>
      </c>
      <c r="AT123" s="51"/>
      <c r="AU123" s="49">
        <f t="shared" si="129"/>
        <v>0</v>
      </c>
      <c r="AV123" s="50">
        <f t="shared" si="130"/>
        <v>0</v>
      </c>
      <c r="AW123" s="51">
        <v>400</v>
      </c>
      <c r="AX123" s="49">
        <f t="shared" si="131"/>
        <v>4800</v>
      </c>
      <c r="AY123" s="50">
        <f t="shared" si="132"/>
        <v>4800</v>
      </c>
      <c r="AZ123" s="51"/>
      <c r="BA123" s="49">
        <f t="shared" si="133"/>
        <v>0</v>
      </c>
      <c r="BB123" s="50">
        <f t="shared" si="134"/>
        <v>0</v>
      </c>
      <c r="BC123" s="51">
        <v>30</v>
      </c>
      <c r="BD123" s="49">
        <f t="shared" si="135"/>
        <v>1200</v>
      </c>
      <c r="BE123" s="50">
        <f t="shared" si="136"/>
        <v>420</v>
      </c>
      <c r="BF123" s="51">
        <v>15</v>
      </c>
      <c r="BG123" s="49">
        <f t="shared" si="137"/>
        <v>180</v>
      </c>
      <c r="BH123" s="50">
        <f t="shared" si="138"/>
        <v>180</v>
      </c>
      <c r="BI123" s="51"/>
      <c r="BJ123" s="49">
        <f t="shared" si="139"/>
        <v>0</v>
      </c>
      <c r="BK123" s="50">
        <f t="shared" si="140"/>
        <v>0</v>
      </c>
      <c r="BL123" s="51">
        <v>8</v>
      </c>
      <c r="BM123" s="49">
        <f t="shared" si="141"/>
        <v>320</v>
      </c>
      <c r="BN123" s="50">
        <f t="shared" si="142"/>
        <v>112</v>
      </c>
      <c r="BO123" s="51"/>
      <c r="BP123" s="49">
        <f t="shared" si="143"/>
        <v>0</v>
      </c>
      <c r="BQ123" s="50">
        <f t="shared" si="144"/>
        <v>0</v>
      </c>
      <c r="BR123" s="51"/>
      <c r="BS123" s="49">
        <f t="shared" si="145"/>
        <v>0</v>
      </c>
      <c r="BT123" s="50">
        <f t="shared" si="146"/>
        <v>0</v>
      </c>
      <c r="BU123" s="51"/>
      <c r="BV123" s="49">
        <f t="shared" si="147"/>
        <v>0</v>
      </c>
      <c r="BW123" s="50">
        <f t="shared" si="148"/>
        <v>0</v>
      </c>
      <c r="BX123" s="51"/>
      <c r="BY123" s="49">
        <f t="shared" si="149"/>
        <v>0</v>
      </c>
      <c r="BZ123" s="50">
        <f t="shared" si="150"/>
        <v>0</v>
      </c>
      <c r="CA123" s="51"/>
      <c r="CB123" s="49">
        <f t="shared" si="151"/>
        <v>0</v>
      </c>
      <c r="CC123" s="50">
        <f t="shared" si="152"/>
        <v>0</v>
      </c>
      <c r="CD123" s="51"/>
      <c r="CE123" s="49">
        <f t="shared" si="153"/>
        <v>0</v>
      </c>
      <c r="CF123" s="50">
        <f t="shared" si="154"/>
        <v>0</v>
      </c>
      <c r="CG123" s="51"/>
      <c r="CH123" s="49">
        <f t="shared" si="155"/>
        <v>0</v>
      </c>
      <c r="CI123" s="50">
        <f t="shared" si="156"/>
        <v>0</v>
      </c>
      <c r="CJ123" s="51"/>
      <c r="CK123" s="49">
        <f t="shared" si="157"/>
        <v>0</v>
      </c>
      <c r="CL123" s="50">
        <f t="shared" si="158"/>
        <v>0</v>
      </c>
      <c r="CM123" s="51"/>
      <c r="CN123" s="49">
        <f t="shared" si="159"/>
        <v>0</v>
      </c>
      <c r="CO123" s="50">
        <f t="shared" si="160"/>
        <v>0</v>
      </c>
      <c r="CP123" s="51"/>
      <c r="CQ123" s="49">
        <f t="shared" si="161"/>
        <v>0</v>
      </c>
      <c r="CR123" s="50">
        <f t="shared" si="162"/>
        <v>0</v>
      </c>
      <c r="CS123" s="51"/>
      <c r="CT123" s="49">
        <f t="shared" si="163"/>
        <v>0</v>
      </c>
      <c r="CU123" s="50">
        <f t="shared" si="164"/>
        <v>0</v>
      </c>
      <c r="CV123" s="51"/>
      <c r="CW123" s="49">
        <f t="shared" si="165"/>
        <v>0</v>
      </c>
      <c r="CX123" s="50">
        <f t="shared" si="166"/>
        <v>0</v>
      </c>
      <c r="CY123" s="51"/>
      <c r="CZ123" s="49">
        <f t="shared" si="167"/>
        <v>0</v>
      </c>
      <c r="DA123" s="50">
        <f t="shared" si="168"/>
        <v>0</v>
      </c>
      <c r="DB123" s="51"/>
      <c r="DC123" s="49">
        <f t="shared" si="169"/>
        <v>0</v>
      </c>
      <c r="DD123" s="50">
        <f t="shared" si="170"/>
        <v>0</v>
      </c>
      <c r="DE123" s="51"/>
      <c r="DF123" s="49">
        <f t="shared" si="171"/>
        <v>0</v>
      </c>
      <c r="DG123" s="50">
        <f t="shared" si="172"/>
        <v>0</v>
      </c>
      <c r="DH123" s="51"/>
      <c r="DI123" s="49">
        <f t="shared" si="173"/>
        <v>0</v>
      </c>
      <c r="DJ123" s="50">
        <f t="shared" si="174"/>
        <v>0</v>
      </c>
      <c r="DK123" s="51"/>
      <c r="DL123" s="49">
        <f t="shared" si="175"/>
        <v>0</v>
      </c>
      <c r="DM123" s="50">
        <f t="shared" si="176"/>
        <v>0</v>
      </c>
      <c r="DN123" s="51"/>
      <c r="DO123" s="49">
        <f t="shared" si="177"/>
        <v>0</v>
      </c>
      <c r="DP123" s="50">
        <f t="shared" si="178"/>
        <v>0</v>
      </c>
      <c r="DQ123" s="51"/>
      <c r="DR123" s="51"/>
      <c r="DS123" s="51"/>
      <c r="DT123" s="46">
        <f t="shared" si="184"/>
        <v>748</v>
      </c>
      <c r="DU123" s="46">
        <f t="shared" si="184"/>
        <v>10620</v>
      </c>
      <c r="DV123" s="46">
        <f t="shared" si="184"/>
        <v>8152.4</v>
      </c>
    </row>
    <row r="124" spans="1:126" x14ac:dyDescent="0.6">
      <c r="A124" s="63"/>
      <c r="B124" s="15" t="s">
        <v>56</v>
      </c>
      <c r="C124" s="16" t="s">
        <v>42</v>
      </c>
      <c r="D124" s="51">
        <v>240</v>
      </c>
      <c r="E124" s="49">
        <f t="shared" si="101"/>
        <v>3360</v>
      </c>
      <c r="F124" s="50">
        <f t="shared" si="102"/>
        <v>2150.4</v>
      </c>
      <c r="G124" s="51"/>
      <c r="H124" s="49">
        <f t="shared" si="103"/>
        <v>0</v>
      </c>
      <c r="I124" s="50">
        <f t="shared" si="104"/>
        <v>0</v>
      </c>
      <c r="J124" s="51"/>
      <c r="K124" s="49">
        <f t="shared" si="105"/>
        <v>0</v>
      </c>
      <c r="L124" s="50">
        <f t="shared" si="106"/>
        <v>0</v>
      </c>
      <c r="M124" s="51"/>
      <c r="N124" s="49">
        <f t="shared" si="107"/>
        <v>0</v>
      </c>
      <c r="O124" s="50">
        <f t="shared" si="108"/>
        <v>0</v>
      </c>
      <c r="P124" s="51"/>
      <c r="Q124" s="49">
        <f t="shared" si="109"/>
        <v>0</v>
      </c>
      <c r="R124" s="50">
        <f t="shared" si="110"/>
        <v>0</v>
      </c>
      <c r="S124" s="51"/>
      <c r="T124" s="49">
        <f t="shared" si="111"/>
        <v>0</v>
      </c>
      <c r="U124" s="50">
        <f t="shared" si="112"/>
        <v>0</v>
      </c>
      <c r="V124" s="51"/>
      <c r="W124" s="49">
        <f t="shared" si="113"/>
        <v>0</v>
      </c>
      <c r="X124" s="50">
        <f t="shared" si="114"/>
        <v>0</v>
      </c>
      <c r="Y124" s="51"/>
      <c r="Z124" s="49">
        <f t="shared" si="115"/>
        <v>0</v>
      </c>
      <c r="AA124" s="50">
        <f t="shared" si="116"/>
        <v>0</v>
      </c>
      <c r="AB124" s="51"/>
      <c r="AC124" s="49">
        <f t="shared" si="117"/>
        <v>0</v>
      </c>
      <c r="AD124" s="50">
        <f t="shared" si="118"/>
        <v>0</v>
      </c>
      <c r="AE124" s="51"/>
      <c r="AF124" s="49">
        <f t="shared" si="119"/>
        <v>0</v>
      </c>
      <c r="AG124" s="50">
        <f t="shared" si="120"/>
        <v>0</v>
      </c>
      <c r="AH124" s="51"/>
      <c r="AI124" s="49">
        <f t="shared" si="121"/>
        <v>0</v>
      </c>
      <c r="AJ124" s="50">
        <f t="shared" si="122"/>
        <v>0</v>
      </c>
      <c r="AK124" s="51"/>
      <c r="AL124" s="49">
        <f t="shared" si="123"/>
        <v>0</v>
      </c>
      <c r="AM124" s="50">
        <f t="shared" si="124"/>
        <v>0</v>
      </c>
      <c r="AN124" s="51"/>
      <c r="AO124" s="49">
        <f t="shared" si="125"/>
        <v>0</v>
      </c>
      <c r="AP124" s="50">
        <f t="shared" si="126"/>
        <v>0</v>
      </c>
      <c r="AQ124" s="51"/>
      <c r="AR124" s="49">
        <f t="shared" si="127"/>
        <v>0</v>
      </c>
      <c r="AS124" s="50">
        <f t="shared" si="128"/>
        <v>0</v>
      </c>
      <c r="AT124" s="51"/>
      <c r="AU124" s="49">
        <f t="shared" si="129"/>
        <v>0</v>
      </c>
      <c r="AV124" s="50">
        <f t="shared" si="130"/>
        <v>0</v>
      </c>
      <c r="AW124" s="51">
        <v>345</v>
      </c>
      <c r="AX124" s="49">
        <f t="shared" si="131"/>
        <v>4140</v>
      </c>
      <c r="AY124" s="50">
        <f t="shared" si="132"/>
        <v>4140</v>
      </c>
      <c r="AZ124" s="51">
        <v>20</v>
      </c>
      <c r="BA124" s="49">
        <f t="shared" si="133"/>
        <v>240</v>
      </c>
      <c r="BB124" s="50">
        <f t="shared" si="134"/>
        <v>144</v>
      </c>
      <c r="BC124" s="51">
        <v>5</v>
      </c>
      <c r="BD124" s="49">
        <f t="shared" si="135"/>
        <v>200</v>
      </c>
      <c r="BE124" s="50">
        <f t="shared" si="136"/>
        <v>70</v>
      </c>
      <c r="BF124" s="51"/>
      <c r="BG124" s="49">
        <f t="shared" si="137"/>
        <v>0</v>
      </c>
      <c r="BH124" s="50">
        <f t="shared" si="138"/>
        <v>0</v>
      </c>
      <c r="BI124" s="51"/>
      <c r="BJ124" s="49">
        <f t="shared" si="139"/>
        <v>0</v>
      </c>
      <c r="BK124" s="50">
        <f t="shared" si="140"/>
        <v>0</v>
      </c>
      <c r="BL124" s="51"/>
      <c r="BM124" s="49">
        <f t="shared" si="141"/>
        <v>0</v>
      </c>
      <c r="BN124" s="50">
        <f t="shared" si="142"/>
        <v>0</v>
      </c>
      <c r="BO124" s="51"/>
      <c r="BP124" s="49">
        <f t="shared" si="143"/>
        <v>0</v>
      </c>
      <c r="BQ124" s="50">
        <f t="shared" si="144"/>
        <v>0</v>
      </c>
      <c r="BR124" s="51"/>
      <c r="BS124" s="49">
        <f t="shared" si="145"/>
        <v>0</v>
      </c>
      <c r="BT124" s="50">
        <f t="shared" si="146"/>
        <v>0</v>
      </c>
      <c r="BU124" s="51"/>
      <c r="BV124" s="49">
        <f t="shared" si="147"/>
        <v>0</v>
      </c>
      <c r="BW124" s="50">
        <f t="shared" si="148"/>
        <v>0</v>
      </c>
      <c r="BX124" s="51"/>
      <c r="BY124" s="49">
        <f t="shared" si="149"/>
        <v>0</v>
      </c>
      <c r="BZ124" s="50">
        <f t="shared" si="150"/>
        <v>0</v>
      </c>
      <c r="CA124" s="51"/>
      <c r="CB124" s="49">
        <f t="shared" si="151"/>
        <v>0</v>
      </c>
      <c r="CC124" s="50">
        <f t="shared" si="152"/>
        <v>0</v>
      </c>
      <c r="CD124" s="51"/>
      <c r="CE124" s="49">
        <f t="shared" si="153"/>
        <v>0</v>
      </c>
      <c r="CF124" s="50">
        <f t="shared" si="154"/>
        <v>0</v>
      </c>
      <c r="CG124" s="51"/>
      <c r="CH124" s="49">
        <f t="shared" si="155"/>
        <v>0</v>
      </c>
      <c r="CI124" s="50">
        <f t="shared" si="156"/>
        <v>0</v>
      </c>
      <c r="CJ124" s="51"/>
      <c r="CK124" s="49">
        <f t="shared" si="157"/>
        <v>0</v>
      </c>
      <c r="CL124" s="50">
        <f t="shared" si="158"/>
        <v>0</v>
      </c>
      <c r="CM124" s="51"/>
      <c r="CN124" s="49">
        <f t="shared" si="159"/>
        <v>0</v>
      </c>
      <c r="CO124" s="50">
        <f t="shared" si="160"/>
        <v>0</v>
      </c>
      <c r="CP124" s="51"/>
      <c r="CQ124" s="49">
        <f t="shared" si="161"/>
        <v>0</v>
      </c>
      <c r="CR124" s="50">
        <f t="shared" si="162"/>
        <v>0</v>
      </c>
      <c r="CS124" s="51"/>
      <c r="CT124" s="49">
        <f t="shared" si="163"/>
        <v>0</v>
      </c>
      <c r="CU124" s="50">
        <f t="shared" si="164"/>
        <v>0</v>
      </c>
      <c r="CV124" s="51"/>
      <c r="CW124" s="49">
        <f t="shared" si="165"/>
        <v>0</v>
      </c>
      <c r="CX124" s="50">
        <f t="shared" si="166"/>
        <v>0</v>
      </c>
      <c r="CY124" s="51"/>
      <c r="CZ124" s="49">
        <f t="shared" si="167"/>
        <v>0</v>
      </c>
      <c r="DA124" s="50">
        <f t="shared" si="168"/>
        <v>0</v>
      </c>
      <c r="DB124" s="51"/>
      <c r="DC124" s="49">
        <f t="shared" si="169"/>
        <v>0</v>
      </c>
      <c r="DD124" s="50">
        <f t="shared" si="170"/>
        <v>0</v>
      </c>
      <c r="DE124" s="51"/>
      <c r="DF124" s="49">
        <f t="shared" si="171"/>
        <v>0</v>
      </c>
      <c r="DG124" s="50">
        <f t="shared" si="172"/>
        <v>0</v>
      </c>
      <c r="DH124" s="51"/>
      <c r="DI124" s="49">
        <f t="shared" si="173"/>
        <v>0</v>
      </c>
      <c r="DJ124" s="50">
        <f t="shared" si="174"/>
        <v>0</v>
      </c>
      <c r="DK124" s="51"/>
      <c r="DL124" s="49">
        <f t="shared" si="175"/>
        <v>0</v>
      </c>
      <c r="DM124" s="50">
        <f t="shared" si="176"/>
        <v>0</v>
      </c>
      <c r="DN124" s="51"/>
      <c r="DO124" s="49">
        <f t="shared" si="177"/>
        <v>0</v>
      </c>
      <c r="DP124" s="50">
        <f t="shared" si="178"/>
        <v>0</v>
      </c>
      <c r="DQ124" s="51"/>
      <c r="DR124" s="51"/>
      <c r="DS124" s="51"/>
      <c r="DT124" s="46">
        <f t="shared" si="184"/>
        <v>610</v>
      </c>
      <c r="DU124" s="46">
        <f t="shared" si="184"/>
        <v>7940</v>
      </c>
      <c r="DV124" s="46">
        <f t="shared" si="184"/>
        <v>6504.4</v>
      </c>
    </row>
    <row r="125" spans="1:126" x14ac:dyDescent="0.6">
      <c r="A125" s="63"/>
      <c r="B125" s="15" t="s">
        <v>58</v>
      </c>
      <c r="C125" s="16" t="s">
        <v>42</v>
      </c>
      <c r="D125" s="51">
        <v>240</v>
      </c>
      <c r="E125" s="49">
        <f t="shared" si="101"/>
        <v>3360</v>
      </c>
      <c r="F125" s="50">
        <f t="shared" si="102"/>
        <v>2150.4</v>
      </c>
      <c r="G125" s="51"/>
      <c r="H125" s="49">
        <f t="shared" si="103"/>
        <v>0</v>
      </c>
      <c r="I125" s="50">
        <f t="shared" si="104"/>
        <v>0</v>
      </c>
      <c r="J125" s="51"/>
      <c r="K125" s="49">
        <f t="shared" si="105"/>
        <v>0</v>
      </c>
      <c r="L125" s="50">
        <f t="shared" si="106"/>
        <v>0</v>
      </c>
      <c r="M125" s="51"/>
      <c r="N125" s="49">
        <f t="shared" si="107"/>
        <v>0</v>
      </c>
      <c r="O125" s="50">
        <f t="shared" si="108"/>
        <v>0</v>
      </c>
      <c r="P125" s="51"/>
      <c r="Q125" s="49">
        <f t="shared" si="109"/>
        <v>0</v>
      </c>
      <c r="R125" s="50">
        <f t="shared" si="110"/>
        <v>0</v>
      </c>
      <c r="S125" s="51"/>
      <c r="T125" s="49">
        <f t="shared" si="111"/>
        <v>0</v>
      </c>
      <c r="U125" s="50">
        <f t="shared" si="112"/>
        <v>0</v>
      </c>
      <c r="V125" s="51"/>
      <c r="W125" s="49">
        <f t="shared" si="113"/>
        <v>0</v>
      </c>
      <c r="X125" s="50">
        <f t="shared" si="114"/>
        <v>0</v>
      </c>
      <c r="Y125" s="51"/>
      <c r="Z125" s="49">
        <f t="shared" si="115"/>
        <v>0</v>
      </c>
      <c r="AA125" s="50">
        <f t="shared" si="116"/>
        <v>0</v>
      </c>
      <c r="AB125" s="51"/>
      <c r="AC125" s="49">
        <f t="shared" si="117"/>
        <v>0</v>
      </c>
      <c r="AD125" s="50">
        <f t="shared" si="118"/>
        <v>0</v>
      </c>
      <c r="AE125" s="51"/>
      <c r="AF125" s="49">
        <f t="shared" si="119"/>
        <v>0</v>
      </c>
      <c r="AG125" s="50">
        <f t="shared" si="120"/>
        <v>0</v>
      </c>
      <c r="AH125" s="51"/>
      <c r="AI125" s="49">
        <f t="shared" si="121"/>
        <v>0</v>
      </c>
      <c r="AJ125" s="50">
        <f t="shared" si="122"/>
        <v>0</v>
      </c>
      <c r="AK125" s="51"/>
      <c r="AL125" s="49">
        <f t="shared" si="123"/>
        <v>0</v>
      </c>
      <c r="AM125" s="50">
        <f t="shared" si="124"/>
        <v>0</v>
      </c>
      <c r="AN125" s="51"/>
      <c r="AO125" s="49">
        <f t="shared" si="125"/>
        <v>0</v>
      </c>
      <c r="AP125" s="50">
        <f t="shared" si="126"/>
        <v>0</v>
      </c>
      <c r="AQ125" s="51"/>
      <c r="AR125" s="49">
        <f t="shared" si="127"/>
        <v>0</v>
      </c>
      <c r="AS125" s="50">
        <f t="shared" si="128"/>
        <v>0</v>
      </c>
      <c r="AT125" s="51"/>
      <c r="AU125" s="49">
        <f t="shared" si="129"/>
        <v>0</v>
      </c>
      <c r="AV125" s="50">
        <f t="shared" si="130"/>
        <v>0</v>
      </c>
      <c r="AW125" s="51">
        <v>180</v>
      </c>
      <c r="AX125" s="49">
        <f t="shared" si="131"/>
        <v>2160</v>
      </c>
      <c r="AY125" s="50">
        <f t="shared" si="132"/>
        <v>2160</v>
      </c>
      <c r="AZ125" s="51"/>
      <c r="BA125" s="49">
        <f t="shared" si="133"/>
        <v>0</v>
      </c>
      <c r="BB125" s="50">
        <f t="shared" si="134"/>
        <v>0</v>
      </c>
      <c r="BC125" s="51">
        <v>5</v>
      </c>
      <c r="BD125" s="49">
        <f t="shared" si="135"/>
        <v>200</v>
      </c>
      <c r="BE125" s="50">
        <f t="shared" si="136"/>
        <v>70</v>
      </c>
      <c r="BF125" s="51">
        <v>105</v>
      </c>
      <c r="BG125" s="49">
        <f t="shared" si="137"/>
        <v>1260</v>
      </c>
      <c r="BH125" s="50">
        <f t="shared" si="138"/>
        <v>1260</v>
      </c>
      <c r="BI125" s="51"/>
      <c r="BJ125" s="49">
        <f t="shared" si="139"/>
        <v>0</v>
      </c>
      <c r="BK125" s="50">
        <f t="shared" si="140"/>
        <v>0</v>
      </c>
      <c r="BL125" s="51">
        <v>15</v>
      </c>
      <c r="BM125" s="49">
        <f t="shared" si="141"/>
        <v>600</v>
      </c>
      <c r="BN125" s="50">
        <f t="shared" si="142"/>
        <v>210</v>
      </c>
      <c r="BO125" s="51"/>
      <c r="BP125" s="49">
        <f t="shared" si="143"/>
        <v>0</v>
      </c>
      <c r="BQ125" s="50">
        <f t="shared" si="144"/>
        <v>0</v>
      </c>
      <c r="BR125" s="51"/>
      <c r="BS125" s="49">
        <f t="shared" si="145"/>
        <v>0</v>
      </c>
      <c r="BT125" s="50">
        <f t="shared" si="146"/>
        <v>0</v>
      </c>
      <c r="BU125" s="51"/>
      <c r="BV125" s="49">
        <f t="shared" si="147"/>
        <v>0</v>
      </c>
      <c r="BW125" s="50">
        <f t="shared" si="148"/>
        <v>0</v>
      </c>
      <c r="BX125" s="51"/>
      <c r="BY125" s="49">
        <f t="shared" si="149"/>
        <v>0</v>
      </c>
      <c r="BZ125" s="50">
        <f t="shared" si="150"/>
        <v>0</v>
      </c>
      <c r="CA125" s="51"/>
      <c r="CB125" s="49">
        <f t="shared" si="151"/>
        <v>0</v>
      </c>
      <c r="CC125" s="50">
        <f t="shared" si="152"/>
        <v>0</v>
      </c>
      <c r="CD125" s="51"/>
      <c r="CE125" s="49">
        <f t="shared" si="153"/>
        <v>0</v>
      </c>
      <c r="CF125" s="50">
        <f t="shared" si="154"/>
        <v>0</v>
      </c>
      <c r="CG125" s="51"/>
      <c r="CH125" s="49">
        <f t="shared" si="155"/>
        <v>0</v>
      </c>
      <c r="CI125" s="50">
        <f t="shared" si="156"/>
        <v>0</v>
      </c>
      <c r="CJ125" s="51"/>
      <c r="CK125" s="49">
        <f t="shared" si="157"/>
        <v>0</v>
      </c>
      <c r="CL125" s="50">
        <f t="shared" si="158"/>
        <v>0</v>
      </c>
      <c r="CM125" s="51"/>
      <c r="CN125" s="49">
        <f t="shared" si="159"/>
        <v>0</v>
      </c>
      <c r="CO125" s="50">
        <f t="shared" si="160"/>
        <v>0</v>
      </c>
      <c r="CP125" s="51"/>
      <c r="CQ125" s="49">
        <f t="shared" si="161"/>
        <v>0</v>
      </c>
      <c r="CR125" s="50">
        <f t="shared" si="162"/>
        <v>0</v>
      </c>
      <c r="CS125" s="51"/>
      <c r="CT125" s="49">
        <f t="shared" si="163"/>
        <v>0</v>
      </c>
      <c r="CU125" s="50">
        <f t="shared" si="164"/>
        <v>0</v>
      </c>
      <c r="CV125" s="51"/>
      <c r="CW125" s="49">
        <f t="shared" si="165"/>
        <v>0</v>
      </c>
      <c r="CX125" s="50">
        <f t="shared" si="166"/>
        <v>0</v>
      </c>
      <c r="CY125" s="51"/>
      <c r="CZ125" s="49">
        <f t="shared" si="167"/>
        <v>0</v>
      </c>
      <c r="DA125" s="50">
        <f t="shared" si="168"/>
        <v>0</v>
      </c>
      <c r="DB125" s="51"/>
      <c r="DC125" s="49">
        <f t="shared" si="169"/>
        <v>0</v>
      </c>
      <c r="DD125" s="50">
        <f t="shared" si="170"/>
        <v>0</v>
      </c>
      <c r="DE125" s="51"/>
      <c r="DF125" s="49">
        <f t="shared" si="171"/>
        <v>0</v>
      </c>
      <c r="DG125" s="50">
        <f t="shared" si="172"/>
        <v>0</v>
      </c>
      <c r="DH125" s="51"/>
      <c r="DI125" s="49">
        <f t="shared" si="173"/>
        <v>0</v>
      </c>
      <c r="DJ125" s="50">
        <f t="shared" si="174"/>
        <v>0</v>
      </c>
      <c r="DK125" s="51"/>
      <c r="DL125" s="49">
        <f t="shared" si="175"/>
        <v>0</v>
      </c>
      <c r="DM125" s="50">
        <f t="shared" si="176"/>
        <v>0</v>
      </c>
      <c r="DN125" s="51"/>
      <c r="DO125" s="49">
        <f t="shared" si="177"/>
        <v>0</v>
      </c>
      <c r="DP125" s="50">
        <f t="shared" si="178"/>
        <v>0</v>
      </c>
      <c r="DQ125" s="51"/>
      <c r="DR125" s="51"/>
      <c r="DS125" s="51"/>
      <c r="DT125" s="46">
        <f t="shared" si="184"/>
        <v>545</v>
      </c>
      <c r="DU125" s="46">
        <f t="shared" si="184"/>
        <v>7580</v>
      </c>
      <c r="DV125" s="46">
        <f t="shared" si="184"/>
        <v>5850.4</v>
      </c>
    </row>
    <row r="126" spans="1:126" x14ac:dyDescent="0.6">
      <c r="A126" s="63"/>
      <c r="B126" s="15" t="s">
        <v>60</v>
      </c>
      <c r="C126" s="16" t="s">
        <v>42</v>
      </c>
      <c r="D126" s="51">
        <v>440</v>
      </c>
      <c r="E126" s="49">
        <f t="shared" si="101"/>
        <v>6160</v>
      </c>
      <c r="F126" s="50">
        <f t="shared" si="102"/>
        <v>3942.4</v>
      </c>
      <c r="G126" s="51"/>
      <c r="H126" s="49">
        <f t="shared" si="103"/>
        <v>0</v>
      </c>
      <c r="I126" s="50">
        <f t="shared" si="104"/>
        <v>0</v>
      </c>
      <c r="J126" s="51"/>
      <c r="K126" s="49">
        <f t="shared" si="105"/>
        <v>0</v>
      </c>
      <c r="L126" s="50">
        <f t="shared" si="106"/>
        <v>0</v>
      </c>
      <c r="M126" s="51">
        <v>20</v>
      </c>
      <c r="N126" s="49">
        <f t="shared" si="107"/>
        <v>280</v>
      </c>
      <c r="O126" s="50">
        <f t="shared" si="108"/>
        <v>179.20000000000002</v>
      </c>
      <c r="P126" s="51"/>
      <c r="Q126" s="49">
        <f t="shared" si="109"/>
        <v>0</v>
      </c>
      <c r="R126" s="50">
        <f t="shared" si="110"/>
        <v>0</v>
      </c>
      <c r="S126" s="51"/>
      <c r="T126" s="49">
        <f t="shared" si="111"/>
        <v>0</v>
      </c>
      <c r="U126" s="50">
        <f t="shared" si="112"/>
        <v>0</v>
      </c>
      <c r="V126" s="51"/>
      <c r="W126" s="49">
        <f t="shared" si="113"/>
        <v>0</v>
      </c>
      <c r="X126" s="50">
        <f t="shared" si="114"/>
        <v>0</v>
      </c>
      <c r="Y126" s="51"/>
      <c r="Z126" s="49">
        <f t="shared" si="115"/>
        <v>0</v>
      </c>
      <c r="AA126" s="50">
        <f t="shared" si="116"/>
        <v>0</v>
      </c>
      <c r="AB126" s="51"/>
      <c r="AC126" s="49">
        <f t="shared" si="117"/>
        <v>0</v>
      </c>
      <c r="AD126" s="50">
        <f t="shared" si="118"/>
        <v>0</v>
      </c>
      <c r="AE126" s="51"/>
      <c r="AF126" s="49">
        <f t="shared" si="119"/>
        <v>0</v>
      </c>
      <c r="AG126" s="50">
        <f t="shared" si="120"/>
        <v>0</v>
      </c>
      <c r="AH126" s="51">
        <v>15</v>
      </c>
      <c r="AI126" s="49">
        <f t="shared" si="121"/>
        <v>180</v>
      </c>
      <c r="AJ126" s="50">
        <f t="shared" si="122"/>
        <v>125.99999999999999</v>
      </c>
      <c r="AK126" s="51"/>
      <c r="AL126" s="49">
        <f t="shared" si="123"/>
        <v>0</v>
      </c>
      <c r="AM126" s="50">
        <f t="shared" si="124"/>
        <v>0</v>
      </c>
      <c r="AN126" s="51"/>
      <c r="AO126" s="49">
        <f t="shared" si="125"/>
        <v>0</v>
      </c>
      <c r="AP126" s="50">
        <f t="shared" si="126"/>
        <v>0</v>
      </c>
      <c r="AQ126" s="51"/>
      <c r="AR126" s="49">
        <f t="shared" si="127"/>
        <v>0</v>
      </c>
      <c r="AS126" s="50">
        <f t="shared" si="128"/>
        <v>0</v>
      </c>
      <c r="AT126" s="51"/>
      <c r="AU126" s="49">
        <f t="shared" si="129"/>
        <v>0</v>
      </c>
      <c r="AV126" s="50">
        <f t="shared" si="130"/>
        <v>0</v>
      </c>
      <c r="AW126" s="51">
        <v>280</v>
      </c>
      <c r="AX126" s="49">
        <f t="shared" si="131"/>
        <v>3360</v>
      </c>
      <c r="AY126" s="50">
        <f t="shared" si="132"/>
        <v>3360</v>
      </c>
      <c r="AZ126" s="51"/>
      <c r="BA126" s="49">
        <f t="shared" si="133"/>
        <v>0</v>
      </c>
      <c r="BB126" s="50">
        <f t="shared" si="134"/>
        <v>0</v>
      </c>
      <c r="BC126" s="51"/>
      <c r="BD126" s="49">
        <f t="shared" si="135"/>
        <v>0</v>
      </c>
      <c r="BE126" s="50">
        <f t="shared" si="136"/>
        <v>0</v>
      </c>
      <c r="BF126" s="51">
        <v>15</v>
      </c>
      <c r="BG126" s="49">
        <f t="shared" si="137"/>
        <v>180</v>
      </c>
      <c r="BH126" s="50">
        <f t="shared" si="138"/>
        <v>180</v>
      </c>
      <c r="BI126" s="51"/>
      <c r="BJ126" s="49">
        <f t="shared" si="139"/>
        <v>0</v>
      </c>
      <c r="BK126" s="50">
        <f t="shared" si="140"/>
        <v>0</v>
      </c>
      <c r="BL126" s="51"/>
      <c r="BM126" s="49">
        <f t="shared" si="141"/>
        <v>0</v>
      </c>
      <c r="BN126" s="50">
        <f t="shared" si="142"/>
        <v>0</v>
      </c>
      <c r="BO126" s="51"/>
      <c r="BP126" s="49">
        <f t="shared" si="143"/>
        <v>0</v>
      </c>
      <c r="BQ126" s="50">
        <f t="shared" si="144"/>
        <v>0</v>
      </c>
      <c r="BR126" s="51"/>
      <c r="BS126" s="49">
        <f t="shared" si="145"/>
        <v>0</v>
      </c>
      <c r="BT126" s="50">
        <f t="shared" si="146"/>
        <v>0</v>
      </c>
      <c r="BU126" s="51"/>
      <c r="BV126" s="49">
        <f t="shared" si="147"/>
        <v>0</v>
      </c>
      <c r="BW126" s="50">
        <f t="shared" si="148"/>
        <v>0</v>
      </c>
      <c r="BX126" s="51"/>
      <c r="BY126" s="49">
        <f t="shared" si="149"/>
        <v>0</v>
      </c>
      <c r="BZ126" s="50">
        <f t="shared" si="150"/>
        <v>0</v>
      </c>
      <c r="CA126" s="51"/>
      <c r="CB126" s="49">
        <f t="shared" si="151"/>
        <v>0</v>
      </c>
      <c r="CC126" s="50">
        <f t="shared" si="152"/>
        <v>0</v>
      </c>
      <c r="CD126" s="51"/>
      <c r="CE126" s="49">
        <f t="shared" si="153"/>
        <v>0</v>
      </c>
      <c r="CF126" s="50">
        <f t="shared" si="154"/>
        <v>0</v>
      </c>
      <c r="CG126" s="51"/>
      <c r="CH126" s="49">
        <f t="shared" si="155"/>
        <v>0</v>
      </c>
      <c r="CI126" s="50">
        <f t="shared" si="156"/>
        <v>0</v>
      </c>
      <c r="CJ126" s="51"/>
      <c r="CK126" s="49">
        <f t="shared" si="157"/>
        <v>0</v>
      </c>
      <c r="CL126" s="50">
        <f t="shared" si="158"/>
        <v>0</v>
      </c>
      <c r="CM126" s="51">
        <v>20</v>
      </c>
      <c r="CN126" s="49">
        <f t="shared" si="159"/>
        <v>240</v>
      </c>
      <c r="CO126" s="50">
        <f t="shared" si="160"/>
        <v>240</v>
      </c>
      <c r="CP126" s="51"/>
      <c r="CQ126" s="49">
        <f t="shared" si="161"/>
        <v>0</v>
      </c>
      <c r="CR126" s="50">
        <f t="shared" si="162"/>
        <v>0</v>
      </c>
      <c r="CS126" s="51"/>
      <c r="CT126" s="49">
        <f t="shared" si="163"/>
        <v>0</v>
      </c>
      <c r="CU126" s="50">
        <f t="shared" si="164"/>
        <v>0</v>
      </c>
      <c r="CV126" s="51"/>
      <c r="CW126" s="49">
        <f t="shared" si="165"/>
        <v>0</v>
      </c>
      <c r="CX126" s="50">
        <f t="shared" si="166"/>
        <v>0</v>
      </c>
      <c r="CY126" s="51"/>
      <c r="CZ126" s="49">
        <f t="shared" si="167"/>
        <v>0</v>
      </c>
      <c r="DA126" s="50">
        <f t="shared" si="168"/>
        <v>0</v>
      </c>
      <c r="DB126" s="51"/>
      <c r="DC126" s="49">
        <f t="shared" si="169"/>
        <v>0</v>
      </c>
      <c r="DD126" s="50">
        <f t="shared" si="170"/>
        <v>0</v>
      </c>
      <c r="DE126" s="51"/>
      <c r="DF126" s="49">
        <f t="shared" si="171"/>
        <v>0</v>
      </c>
      <c r="DG126" s="50">
        <f t="shared" si="172"/>
        <v>0</v>
      </c>
      <c r="DH126" s="51"/>
      <c r="DI126" s="49">
        <f t="shared" si="173"/>
        <v>0</v>
      </c>
      <c r="DJ126" s="50">
        <f t="shared" si="174"/>
        <v>0</v>
      </c>
      <c r="DK126" s="51"/>
      <c r="DL126" s="49">
        <f t="shared" si="175"/>
        <v>0</v>
      </c>
      <c r="DM126" s="50">
        <f t="shared" si="176"/>
        <v>0</v>
      </c>
      <c r="DN126" s="51"/>
      <c r="DO126" s="49">
        <f t="shared" si="177"/>
        <v>0</v>
      </c>
      <c r="DP126" s="50">
        <f t="shared" si="178"/>
        <v>0</v>
      </c>
      <c r="DQ126" s="51"/>
      <c r="DR126" s="51"/>
      <c r="DS126" s="51"/>
      <c r="DT126" s="46">
        <f t="shared" si="184"/>
        <v>790</v>
      </c>
      <c r="DU126" s="46">
        <f t="shared" si="184"/>
        <v>10400</v>
      </c>
      <c r="DV126" s="46">
        <f t="shared" si="184"/>
        <v>8027.6</v>
      </c>
    </row>
    <row r="127" spans="1:126" ht="21.75" thickBot="1" x14ac:dyDescent="0.65">
      <c r="A127" s="63"/>
      <c r="B127" s="15" t="s">
        <v>61</v>
      </c>
      <c r="C127" s="16" t="s">
        <v>42</v>
      </c>
      <c r="D127" s="51">
        <v>441</v>
      </c>
      <c r="E127" s="49">
        <f t="shared" si="101"/>
        <v>6174</v>
      </c>
      <c r="F127" s="50">
        <f t="shared" si="102"/>
        <v>3951.36</v>
      </c>
      <c r="G127" s="51"/>
      <c r="H127" s="49">
        <f t="shared" si="103"/>
        <v>0</v>
      </c>
      <c r="I127" s="50">
        <f t="shared" si="104"/>
        <v>0</v>
      </c>
      <c r="J127" s="51"/>
      <c r="K127" s="49">
        <f t="shared" si="105"/>
        <v>0</v>
      </c>
      <c r="L127" s="50">
        <f t="shared" si="106"/>
        <v>0</v>
      </c>
      <c r="M127" s="51">
        <v>230</v>
      </c>
      <c r="N127" s="49">
        <f t="shared" si="107"/>
        <v>3220</v>
      </c>
      <c r="O127" s="50">
        <f t="shared" si="108"/>
        <v>2060.8000000000002</v>
      </c>
      <c r="P127" s="51"/>
      <c r="Q127" s="49">
        <f t="shared" si="109"/>
        <v>0</v>
      </c>
      <c r="R127" s="50">
        <f t="shared" si="110"/>
        <v>0</v>
      </c>
      <c r="S127" s="51"/>
      <c r="T127" s="49">
        <f t="shared" si="111"/>
        <v>0</v>
      </c>
      <c r="U127" s="50">
        <f t="shared" si="112"/>
        <v>0</v>
      </c>
      <c r="V127" s="51"/>
      <c r="W127" s="49">
        <f t="shared" si="113"/>
        <v>0</v>
      </c>
      <c r="X127" s="50">
        <f t="shared" si="114"/>
        <v>0</v>
      </c>
      <c r="Y127" s="51"/>
      <c r="Z127" s="49">
        <f t="shared" si="115"/>
        <v>0</v>
      </c>
      <c r="AA127" s="50">
        <f t="shared" si="116"/>
        <v>0</v>
      </c>
      <c r="AB127" s="51"/>
      <c r="AC127" s="49">
        <f t="shared" si="117"/>
        <v>0</v>
      </c>
      <c r="AD127" s="50">
        <f t="shared" si="118"/>
        <v>0</v>
      </c>
      <c r="AE127" s="51"/>
      <c r="AF127" s="49">
        <f t="shared" si="119"/>
        <v>0</v>
      </c>
      <c r="AG127" s="50">
        <f t="shared" si="120"/>
        <v>0</v>
      </c>
      <c r="AH127" s="51">
        <v>5</v>
      </c>
      <c r="AI127" s="49">
        <f t="shared" si="121"/>
        <v>60</v>
      </c>
      <c r="AJ127" s="50">
        <f t="shared" si="122"/>
        <v>42</v>
      </c>
      <c r="AK127" s="51"/>
      <c r="AL127" s="49">
        <f t="shared" si="123"/>
        <v>0</v>
      </c>
      <c r="AM127" s="50">
        <f t="shared" si="124"/>
        <v>0</v>
      </c>
      <c r="AN127" s="51"/>
      <c r="AO127" s="49">
        <f t="shared" si="125"/>
        <v>0</v>
      </c>
      <c r="AP127" s="50">
        <f t="shared" si="126"/>
        <v>0</v>
      </c>
      <c r="AQ127" s="51"/>
      <c r="AR127" s="49">
        <f t="shared" si="127"/>
        <v>0</v>
      </c>
      <c r="AS127" s="50">
        <f t="shared" si="128"/>
        <v>0</v>
      </c>
      <c r="AT127" s="51"/>
      <c r="AU127" s="49">
        <f t="shared" si="129"/>
        <v>0</v>
      </c>
      <c r="AV127" s="50">
        <f t="shared" si="130"/>
        <v>0</v>
      </c>
      <c r="AW127" s="51">
        <v>1925</v>
      </c>
      <c r="AX127" s="49">
        <f t="shared" si="131"/>
        <v>23100</v>
      </c>
      <c r="AY127" s="50">
        <f t="shared" si="132"/>
        <v>23100</v>
      </c>
      <c r="AZ127" s="51"/>
      <c r="BA127" s="49">
        <f t="shared" si="133"/>
        <v>0</v>
      </c>
      <c r="BB127" s="50">
        <f t="shared" si="134"/>
        <v>0</v>
      </c>
      <c r="BC127" s="51">
        <v>62</v>
      </c>
      <c r="BD127" s="49">
        <f t="shared" si="135"/>
        <v>2480</v>
      </c>
      <c r="BE127" s="50">
        <f t="shared" si="136"/>
        <v>868</v>
      </c>
      <c r="BF127" s="51">
        <v>5</v>
      </c>
      <c r="BG127" s="49">
        <f t="shared" si="137"/>
        <v>60</v>
      </c>
      <c r="BH127" s="50">
        <f t="shared" si="138"/>
        <v>60</v>
      </c>
      <c r="BI127" s="51"/>
      <c r="BJ127" s="49">
        <f t="shared" si="139"/>
        <v>0</v>
      </c>
      <c r="BK127" s="50">
        <f t="shared" si="140"/>
        <v>0</v>
      </c>
      <c r="BL127" s="51">
        <v>3</v>
      </c>
      <c r="BM127" s="49">
        <f t="shared" si="141"/>
        <v>120</v>
      </c>
      <c r="BN127" s="50">
        <f t="shared" si="142"/>
        <v>42</v>
      </c>
      <c r="BO127" s="51"/>
      <c r="BP127" s="49">
        <f t="shared" si="143"/>
        <v>0</v>
      </c>
      <c r="BQ127" s="50">
        <f t="shared" si="144"/>
        <v>0</v>
      </c>
      <c r="BR127" s="51"/>
      <c r="BS127" s="49">
        <f t="shared" si="145"/>
        <v>0</v>
      </c>
      <c r="BT127" s="50">
        <f t="shared" si="146"/>
        <v>0</v>
      </c>
      <c r="BU127" s="51"/>
      <c r="BV127" s="49">
        <f t="shared" si="147"/>
        <v>0</v>
      </c>
      <c r="BW127" s="50">
        <f t="shared" si="148"/>
        <v>0</v>
      </c>
      <c r="BX127" s="51"/>
      <c r="BY127" s="49">
        <f t="shared" si="149"/>
        <v>0</v>
      </c>
      <c r="BZ127" s="50">
        <f t="shared" si="150"/>
        <v>0</v>
      </c>
      <c r="CA127" s="51"/>
      <c r="CB127" s="49">
        <f t="shared" si="151"/>
        <v>0</v>
      </c>
      <c r="CC127" s="50">
        <f t="shared" si="152"/>
        <v>0</v>
      </c>
      <c r="CD127" s="51"/>
      <c r="CE127" s="49">
        <f t="shared" si="153"/>
        <v>0</v>
      </c>
      <c r="CF127" s="50">
        <f t="shared" si="154"/>
        <v>0</v>
      </c>
      <c r="CG127" s="51"/>
      <c r="CH127" s="49">
        <f t="shared" si="155"/>
        <v>0</v>
      </c>
      <c r="CI127" s="50">
        <f t="shared" si="156"/>
        <v>0</v>
      </c>
      <c r="CJ127" s="51"/>
      <c r="CK127" s="49">
        <f t="shared" si="157"/>
        <v>0</v>
      </c>
      <c r="CL127" s="50">
        <f t="shared" si="158"/>
        <v>0</v>
      </c>
      <c r="CM127" s="51">
        <v>15</v>
      </c>
      <c r="CN127" s="49">
        <f t="shared" si="159"/>
        <v>180</v>
      </c>
      <c r="CO127" s="50">
        <f t="shared" si="160"/>
        <v>180</v>
      </c>
      <c r="CP127" s="51"/>
      <c r="CQ127" s="49">
        <f t="shared" si="161"/>
        <v>0</v>
      </c>
      <c r="CR127" s="50">
        <f t="shared" si="162"/>
        <v>0</v>
      </c>
      <c r="CS127" s="51"/>
      <c r="CT127" s="49">
        <f t="shared" si="163"/>
        <v>0</v>
      </c>
      <c r="CU127" s="50">
        <f t="shared" si="164"/>
        <v>0</v>
      </c>
      <c r="CV127" s="51"/>
      <c r="CW127" s="49">
        <f t="shared" si="165"/>
        <v>0</v>
      </c>
      <c r="CX127" s="50">
        <f t="shared" si="166"/>
        <v>0</v>
      </c>
      <c r="CY127" s="51"/>
      <c r="CZ127" s="49">
        <f t="shared" si="167"/>
        <v>0</v>
      </c>
      <c r="DA127" s="50">
        <f t="shared" si="168"/>
        <v>0</v>
      </c>
      <c r="DB127" s="51"/>
      <c r="DC127" s="49">
        <f t="shared" si="169"/>
        <v>0</v>
      </c>
      <c r="DD127" s="50">
        <f t="shared" si="170"/>
        <v>0</v>
      </c>
      <c r="DE127" s="51">
        <v>70</v>
      </c>
      <c r="DF127" s="49">
        <f t="shared" si="171"/>
        <v>840</v>
      </c>
      <c r="DG127" s="50">
        <f t="shared" si="172"/>
        <v>840</v>
      </c>
      <c r="DH127" s="51"/>
      <c r="DI127" s="49">
        <f t="shared" si="173"/>
        <v>0</v>
      </c>
      <c r="DJ127" s="50">
        <f t="shared" si="174"/>
        <v>0</v>
      </c>
      <c r="DK127" s="51"/>
      <c r="DL127" s="49">
        <f t="shared" si="175"/>
        <v>0</v>
      </c>
      <c r="DM127" s="50">
        <f t="shared" si="176"/>
        <v>0</v>
      </c>
      <c r="DN127" s="51"/>
      <c r="DO127" s="49">
        <f t="shared" si="177"/>
        <v>0</v>
      </c>
      <c r="DP127" s="50">
        <f t="shared" si="178"/>
        <v>0</v>
      </c>
      <c r="DQ127" s="51"/>
      <c r="DR127" s="51"/>
      <c r="DS127" s="51"/>
      <c r="DT127" s="46">
        <f t="shared" si="184"/>
        <v>2756</v>
      </c>
      <c r="DU127" s="46">
        <f t="shared" si="184"/>
        <v>36234</v>
      </c>
      <c r="DV127" s="46">
        <f t="shared" si="184"/>
        <v>31144.16</v>
      </c>
    </row>
    <row r="128" spans="1:126" ht="21.75" thickBot="1" x14ac:dyDescent="0.65">
      <c r="A128" s="17"/>
      <c r="B128" s="32"/>
      <c r="C128" s="31"/>
      <c r="D128" s="52">
        <f>SUM(D112:D127)</f>
        <v>15715</v>
      </c>
      <c r="E128" s="52">
        <f>SUM(E112:E127)</f>
        <v>220010</v>
      </c>
      <c r="F128" s="53">
        <f>SUM(F112:F127)</f>
        <v>140806.39999999997</v>
      </c>
      <c r="G128" s="52">
        <f t="shared" ref="G128:BR128" si="185">SUM(G112:G127)</f>
        <v>255</v>
      </c>
      <c r="H128" s="52">
        <f t="shared" si="185"/>
        <v>6120</v>
      </c>
      <c r="I128" s="53">
        <f t="shared" si="185"/>
        <v>3916.8</v>
      </c>
      <c r="J128" s="52">
        <f t="shared" si="185"/>
        <v>0</v>
      </c>
      <c r="K128" s="52">
        <f t="shared" si="185"/>
        <v>0</v>
      </c>
      <c r="L128" s="53">
        <f t="shared" si="185"/>
        <v>0</v>
      </c>
      <c r="M128" s="52">
        <f t="shared" si="185"/>
        <v>5170</v>
      </c>
      <c r="N128" s="52">
        <f t="shared" si="185"/>
        <v>72380</v>
      </c>
      <c r="O128" s="53">
        <f t="shared" si="185"/>
        <v>46323.200000000004</v>
      </c>
      <c r="P128" s="52">
        <f t="shared" si="185"/>
        <v>0</v>
      </c>
      <c r="Q128" s="52">
        <f t="shared" si="185"/>
        <v>0</v>
      </c>
      <c r="R128" s="53">
        <f t="shared" si="185"/>
        <v>0</v>
      </c>
      <c r="S128" s="52">
        <f t="shared" si="185"/>
        <v>81</v>
      </c>
      <c r="T128" s="52">
        <f t="shared" si="185"/>
        <v>1134</v>
      </c>
      <c r="U128" s="53">
        <f t="shared" si="185"/>
        <v>725.76</v>
      </c>
      <c r="V128" s="52">
        <f t="shared" si="185"/>
        <v>50</v>
      </c>
      <c r="W128" s="52">
        <f t="shared" si="185"/>
        <v>700</v>
      </c>
      <c r="X128" s="53">
        <f t="shared" si="185"/>
        <v>448</v>
      </c>
      <c r="Y128" s="52">
        <f t="shared" si="185"/>
        <v>0</v>
      </c>
      <c r="Z128" s="52">
        <f t="shared" si="185"/>
        <v>0</v>
      </c>
      <c r="AA128" s="53">
        <f t="shared" si="185"/>
        <v>0</v>
      </c>
      <c r="AB128" s="52">
        <f t="shared" si="185"/>
        <v>0</v>
      </c>
      <c r="AC128" s="52">
        <f t="shared" si="185"/>
        <v>0</v>
      </c>
      <c r="AD128" s="53">
        <f t="shared" si="185"/>
        <v>0</v>
      </c>
      <c r="AE128" s="52">
        <f t="shared" si="185"/>
        <v>10</v>
      </c>
      <c r="AF128" s="52">
        <f t="shared" si="185"/>
        <v>140</v>
      </c>
      <c r="AG128" s="53">
        <f t="shared" si="185"/>
        <v>89.600000000000009</v>
      </c>
      <c r="AH128" s="52">
        <f t="shared" si="185"/>
        <v>544.25</v>
      </c>
      <c r="AI128" s="52">
        <f t="shared" si="185"/>
        <v>6531</v>
      </c>
      <c r="AJ128" s="53">
        <f t="shared" si="185"/>
        <v>4571.7</v>
      </c>
      <c r="AK128" s="52">
        <f t="shared" si="185"/>
        <v>0</v>
      </c>
      <c r="AL128" s="52">
        <f t="shared" si="185"/>
        <v>0</v>
      </c>
      <c r="AM128" s="53">
        <f t="shared" si="185"/>
        <v>0</v>
      </c>
      <c r="AN128" s="52">
        <f t="shared" si="185"/>
        <v>9.3333333333333339</v>
      </c>
      <c r="AO128" s="52">
        <f t="shared" si="185"/>
        <v>112</v>
      </c>
      <c r="AP128" s="53">
        <f t="shared" si="185"/>
        <v>78.400000000000006</v>
      </c>
      <c r="AQ128" s="52">
        <f t="shared" si="185"/>
        <v>11.333333333333332</v>
      </c>
      <c r="AR128" s="52">
        <f t="shared" si="185"/>
        <v>272</v>
      </c>
      <c r="AS128" s="53">
        <f t="shared" si="185"/>
        <v>95.199999999999989</v>
      </c>
      <c r="AT128" s="52">
        <f t="shared" si="185"/>
        <v>0</v>
      </c>
      <c r="AU128" s="52">
        <f t="shared" si="185"/>
        <v>0</v>
      </c>
      <c r="AV128" s="53">
        <f t="shared" si="185"/>
        <v>0</v>
      </c>
      <c r="AW128" s="52">
        <f t="shared" si="185"/>
        <v>14893</v>
      </c>
      <c r="AX128" s="52">
        <f t="shared" si="185"/>
        <v>178716</v>
      </c>
      <c r="AY128" s="53">
        <f t="shared" si="185"/>
        <v>178716</v>
      </c>
      <c r="AZ128" s="52">
        <f t="shared" si="185"/>
        <v>651</v>
      </c>
      <c r="BA128" s="52">
        <f t="shared" si="185"/>
        <v>7812</v>
      </c>
      <c r="BB128" s="53">
        <f t="shared" si="185"/>
        <v>4687.2</v>
      </c>
      <c r="BC128" s="52">
        <f t="shared" si="185"/>
        <v>1625</v>
      </c>
      <c r="BD128" s="52">
        <f t="shared" si="185"/>
        <v>65000</v>
      </c>
      <c r="BE128" s="53">
        <f t="shared" si="185"/>
        <v>22750</v>
      </c>
      <c r="BF128" s="52">
        <f t="shared" si="185"/>
        <v>2662.5</v>
      </c>
      <c r="BG128" s="49">
        <f t="shared" si="137"/>
        <v>31950</v>
      </c>
      <c r="BH128" s="50">
        <f t="shared" si="138"/>
        <v>31950</v>
      </c>
      <c r="BI128" s="52">
        <f t="shared" si="185"/>
        <v>0</v>
      </c>
      <c r="BJ128" s="52">
        <f t="shared" si="185"/>
        <v>0</v>
      </c>
      <c r="BK128" s="53">
        <f t="shared" si="185"/>
        <v>0</v>
      </c>
      <c r="BL128" s="52">
        <f t="shared" si="185"/>
        <v>565</v>
      </c>
      <c r="BM128" s="52">
        <f t="shared" si="185"/>
        <v>22600</v>
      </c>
      <c r="BN128" s="53">
        <f t="shared" si="185"/>
        <v>7910</v>
      </c>
      <c r="BO128" s="52">
        <f t="shared" si="185"/>
        <v>0</v>
      </c>
      <c r="BP128" s="52">
        <f t="shared" si="185"/>
        <v>0</v>
      </c>
      <c r="BQ128" s="53">
        <f t="shared" si="185"/>
        <v>0</v>
      </c>
      <c r="BR128" s="52">
        <f t="shared" si="185"/>
        <v>0</v>
      </c>
      <c r="BS128" s="52">
        <f t="shared" ref="BS128:DV128" si="186">SUM(BS112:BS127)</f>
        <v>0</v>
      </c>
      <c r="BT128" s="53">
        <f t="shared" si="186"/>
        <v>0</v>
      </c>
      <c r="BU128" s="52">
        <f t="shared" si="186"/>
        <v>0</v>
      </c>
      <c r="BV128" s="52">
        <f t="shared" si="186"/>
        <v>0</v>
      </c>
      <c r="BW128" s="53">
        <f t="shared" si="186"/>
        <v>0</v>
      </c>
      <c r="BX128" s="52">
        <f t="shared" si="186"/>
        <v>0</v>
      </c>
      <c r="BY128" s="52">
        <f t="shared" si="186"/>
        <v>0</v>
      </c>
      <c r="BZ128" s="53">
        <f t="shared" si="186"/>
        <v>0</v>
      </c>
      <c r="CA128" s="52">
        <f t="shared" si="186"/>
        <v>0</v>
      </c>
      <c r="CB128" s="52">
        <f t="shared" si="186"/>
        <v>0</v>
      </c>
      <c r="CC128" s="53">
        <f t="shared" si="186"/>
        <v>0</v>
      </c>
      <c r="CD128" s="52">
        <f t="shared" si="186"/>
        <v>0</v>
      </c>
      <c r="CE128" s="52">
        <f t="shared" si="186"/>
        <v>0</v>
      </c>
      <c r="CF128" s="53">
        <f t="shared" si="186"/>
        <v>0</v>
      </c>
      <c r="CG128" s="52">
        <f t="shared" si="186"/>
        <v>0</v>
      </c>
      <c r="CH128" s="52">
        <f t="shared" si="186"/>
        <v>0</v>
      </c>
      <c r="CI128" s="53">
        <f t="shared" si="186"/>
        <v>0</v>
      </c>
      <c r="CJ128" s="52">
        <f t="shared" si="186"/>
        <v>4</v>
      </c>
      <c r="CK128" s="52">
        <f t="shared" si="186"/>
        <v>160</v>
      </c>
      <c r="CL128" s="53">
        <f t="shared" si="186"/>
        <v>56</v>
      </c>
      <c r="CM128" s="52">
        <f t="shared" si="186"/>
        <v>72.75</v>
      </c>
      <c r="CN128" s="52">
        <f t="shared" si="186"/>
        <v>873</v>
      </c>
      <c r="CO128" s="53">
        <f t="shared" si="186"/>
        <v>873</v>
      </c>
      <c r="CP128" s="52">
        <f t="shared" si="186"/>
        <v>0</v>
      </c>
      <c r="CQ128" s="52">
        <f t="shared" si="186"/>
        <v>0</v>
      </c>
      <c r="CR128" s="53">
        <f t="shared" si="186"/>
        <v>0</v>
      </c>
      <c r="CS128" s="52">
        <f t="shared" si="186"/>
        <v>0</v>
      </c>
      <c r="CT128" s="52">
        <f t="shared" si="186"/>
        <v>0</v>
      </c>
      <c r="CU128" s="53">
        <f t="shared" si="186"/>
        <v>0</v>
      </c>
      <c r="CV128" s="52">
        <f t="shared" si="186"/>
        <v>20</v>
      </c>
      <c r="CW128" s="52">
        <f t="shared" si="186"/>
        <v>400</v>
      </c>
      <c r="CX128" s="53">
        <f t="shared" si="186"/>
        <v>400</v>
      </c>
      <c r="CY128" s="52">
        <f t="shared" si="186"/>
        <v>0</v>
      </c>
      <c r="CZ128" s="52">
        <f t="shared" si="186"/>
        <v>0</v>
      </c>
      <c r="DA128" s="53">
        <f t="shared" si="186"/>
        <v>0</v>
      </c>
      <c r="DB128" s="52">
        <f t="shared" si="186"/>
        <v>0</v>
      </c>
      <c r="DC128" s="52">
        <f t="shared" si="186"/>
        <v>0</v>
      </c>
      <c r="DD128" s="53">
        <f t="shared" si="186"/>
        <v>0</v>
      </c>
      <c r="DE128" s="52">
        <f t="shared" si="186"/>
        <v>11485</v>
      </c>
      <c r="DF128" s="52">
        <f t="shared" si="186"/>
        <v>137820</v>
      </c>
      <c r="DG128" s="53">
        <f t="shared" si="186"/>
        <v>137820</v>
      </c>
      <c r="DH128" s="52">
        <f t="shared" si="186"/>
        <v>0</v>
      </c>
      <c r="DI128" s="52">
        <f t="shared" si="186"/>
        <v>0</v>
      </c>
      <c r="DJ128" s="53">
        <f t="shared" si="186"/>
        <v>0</v>
      </c>
      <c r="DK128" s="52">
        <f t="shared" si="186"/>
        <v>5.333333333333333</v>
      </c>
      <c r="DL128" s="52">
        <f t="shared" si="186"/>
        <v>64</v>
      </c>
      <c r="DM128" s="53">
        <f t="shared" si="186"/>
        <v>43.52</v>
      </c>
      <c r="DN128" s="52">
        <f t="shared" si="186"/>
        <v>48.666666666666671</v>
      </c>
      <c r="DO128" s="52">
        <f t="shared" si="186"/>
        <v>584</v>
      </c>
      <c r="DP128" s="53">
        <f t="shared" si="186"/>
        <v>584</v>
      </c>
      <c r="DQ128" s="52">
        <f t="shared" si="186"/>
        <v>0</v>
      </c>
      <c r="DR128" s="52">
        <f t="shared" si="186"/>
        <v>0</v>
      </c>
      <c r="DS128" s="53">
        <f t="shared" si="186"/>
        <v>0</v>
      </c>
      <c r="DT128" s="52">
        <f t="shared" si="186"/>
        <v>53878.166666666664</v>
      </c>
      <c r="DU128" s="52">
        <f t="shared" si="186"/>
        <v>753378</v>
      </c>
      <c r="DV128" s="53">
        <f t="shared" si="186"/>
        <v>582844.78</v>
      </c>
    </row>
    <row r="129" spans="1:126" ht="36" x14ac:dyDescent="0.6">
      <c r="A129" s="67"/>
      <c r="B129" s="18" t="s">
        <v>75</v>
      </c>
      <c r="C129" s="14" t="s">
        <v>63</v>
      </c>
      <c r="D129" s="51">
        <v>330</v>
      </c>
      <c r="E129" s="49">
        <f t="shared" si="101"/>
        <v>4620</v>
      </c>
      <c r="F129" s="50">
        <f t="shared" si="102"/>
        <v>2956.8</v>
      </c>
      <c r="G129" s="51"/>
      <c r="H129" s="49">
        <f t="shared" si="103"/>
        <v>0</v>
      </c>
      <c r="I129" s="50">
        <f t="shared" si="104"/>
        <v>0</v>
      </c>
      <c r="J129" s="51"/>
      <c r="K129" s="49">
        <f t="shared" si="105"/>
        <v>0</v>
      </c>
      <c r="L129" s="50">
        <f t="shared" si="106"/>
        <v>0</v>
      </c>
      <c r="M129" s="51"/>
      <c r="N129" s="49">
        <f t="shared" si="107"/>
        <v>0</v>
      </c>
      <c r="O129" s="50">
        <f t="shared" si="108"/>
        <v>0</v>
      </c>
      <c r="P129" s="51"/>
      <c r="Q129" s="49">
        <f t="shared" si="109"/>
        <v>0</v>
      </c>
      <c r="R129" s="50">
        <f t="shared" si="110"/>
        <v>0</v>
      </c>
      <c r="S129" s="51">
        <v>36</v>
      </c>
      <c r="T129" s="49">
        <f t="shared" si="111"/>
        <v>504</v>
      </c>
      <c r="U129" s="50">
        <f t="shared" si="112"/>
        <v>322.56</v>
      </c>
      <c r="V129" s="51"/>
      <c r="W129" s="49">
        <f t="shared" si="113"/>
        <v>0</v>
      </c>
      <c r="X129" s="50">
        <f t="shared" si="114"/>
        <v>0</v>
      </c>
      <c r="Y129" s="51"/>
      <c r="Z129" s="49">
        <f t="shared" si="115"/>
        <v>0</v>
      </c>
      <c r="AA129" s="50">
        <f t="shared" si="116"/>
        <v>0</v>
      </c>
      <c r="AB129" s="51"/>
      <c r="AC129" s="49">
        <f t="shared" si="117"/>
        <v>0</v>
      </c>
      <c r="AD129" s="50">
        <f t="shared" si="118"/>
        <v>0</v>
      </c>
      <c r="AE129" s="51"/>
      <c r="AF129" s="49">
        <f t="shared" si="119"/>
        <v>0</v>
      </c>
      <c r="AG129" s="50">
        <f t="shared" si="120"/>
        <v>0</v>
      </c>
      <c r="AH129" s="51">
        <v>37</v>
      </c>
      <c r="AI129" s="49">
        <f t="shared" si="121"/>
        <v>444</v>
      </c>
      <c r="AJ129" s="50">
        <f t="shared" si="122"/>
        <v>310.79999999999995</v>
      </c>
      <c r="AK129" s="51"/>
      <c r="AL129" s="49">
        <f t="shared" si="123"/>
        <v>0</v>
      </c>
      <c r="AM129" s="50">
        <f t="shared" si="124"/>
        <v>0</v>
      </c>
      <c r="AN129" s="51"/>
      <c r="AO129" s="49">
        <f t="shared" si="125"/>
        <v>0</v>
      </c>
      <c r="AP129" s="50">
        <f t="shared" si="126"/>
        <v>0</v>
      </c>
      <c r="AQ129" s="51"/>
      <c r="AR129" s="49">
        <f t="shared" si="127"/>
        <v>0</v>
      </c>
      <c r="AS129" s="50">
        <f t="shared" si="128"/>
        <v>0</v>
      </c>
      <c r="AT129" s="51"/>
      <c r="AU129" s="49">
        <f t="shared" si="129"/>
        <v>0</v>
      </c>
      <c r="AV129" s="50">
        <f t="shared" si="130"/>
        <v>0</v>
      </c>
      <c r="AW129" s="51">
        <v>1001</v>
      </c>
      <c r="AX129" s="49">
        <f t="shared" si="131"/>
        <v>12012</v>
      </c>
      <c r="AY129" s="50">
        <f t="shared" si="132"/>
        <v>12012</v>
      </c>
      <c r="AZ129" s="51">
        <v>122</v>
      </c>
      <c r="BA129" s="49">
        <f t="shared" si="133"/>
        <v>1464</v>
      </c>
      <c r="BB129" s="50">
        <f t="shared" si="134"/>
        <v>878.4</v>
      </c>
      <c r="BC129" s="51">
        <v>142</v>
      </c>
      <c r="BD129" s="49">
        <f t="shared" si="135"/>
        <v>5680</v>
      </c>
      <c r="BE129" s="50">
        <f t="shared" si="136"/>
        <v>1987.9999999999998</v>
      </c>
      <c r="BF129" s="51">
        <v>154</v>
      </c>
      <c r="BG129" s="49">
        <f t="shared" si="137"/>
        <v>1848</v>
      </c>
      <c r="BH129" s="50">
        <f t="shared" si="138"/>
        <v>1848</v>
      </c>
      <c r="BI129" s="51"/>
      <c r="BJ129" s="49">
        <f t="shared" si="139"/>
        <v>0</v>
      </c>
      <c r="BK129" s="50">
        <f t="shared" si="140"/>
        <v>0</v>
      </c>
      <c r="BL129" s="51">
        <v>23</v>
      </c>
      <c r="BM129" s="49">
        <f t="shared" si="141"/>
        <v>920</v>
      </c>
      <c r="BN129" s="50">
        <f t="shared" si="142"/>
        <v>322</v>
      </c>
      <c r="BO129" s="51"/>
      <c r="BP129" s="49">
        <f t="shared" si="143"/>
        <v>0</v>
      </c>
      <c r="BQ129" s="50">
        <f t="shared" si="144"/>
        <v>0</v>
      </c>
      <c r="BR129" s="51"/>
      <c r="BS129" s="49">
        <f t="shared" si="145"/>
        <v>0</v>
      </c>
      <c r="BT129" s="50">
        <f t="shared" si="146"/>
        <v>0</v>
      </c>
      <c r="BU129" s="51"/>
      <c r="BV129" s="49">
        <f t="shared" si="147"/>
        <v>0</v>
      </c>
      <c r="BW129" s="50">
        <f t="shared" si="148"/>
        <v>0</v>
      </c>
      <c r="BX129" s="51"/>
      <c r="BY129" s="49">
        <f t="shared" si="149"/>
        <v>0</v>
      </c>
      <c r="BZ129" s="50">
        <f t="shared" si="150"/>
        <v>0</v>
      </c>
      <c r="CA129" s="51"/>
      <c r="CB129" s="49">
        <f t="shared" si="151"/>
        <v>0</v>
      </c>
      <c r="CC129" s="50">
        <f t="shared" si="152"/>
        <v>0</v>
      </c>
      <c r="CD129" s="51"/>
      <c r="CE129" s="49">
        <f t="shared" si="153"/>
        <v>0</v>
      </c>
      <c r="CF129" s="50">
        <f t="shared" si="154"/>
        <v>0</v>
      </c>
      <c r="CG129" s="51"/>
      <c r="CH129" s="49">
        <f t="shared" si="155"/>
        <v>0</v>
      </c>
      <c r="CI129" s="50">
        <f t="shared" si="156"/>
        <v>0</v>
      </c>
      <c r="CJ129" s="51"/>
      <c r="CK129" s="49">
        <f t="shared" si="157"/>
        <v>0</v>
      </c>
      <c r="CL129" s="50">
        <f t="shared" si="158"/>
        <v>0</v>
      </c>
      <c r="CM129" s="51">
        <v>32</v>
      </c>
      <c r="CN129" s="49">
        <f t="shared" si="159"/>
        <v>384</v>
      </c>
      <c r="CO129" s="50">
        <f t="shared" si="160"/>
        <v>384</v>
      </c>
      <c r="CP129" s="51"/>
      <c r="CQ129" s="49">
        <f t="shared" si="161"/>
        <v>0</v>
      </c>
      <c r="CR129" s="50">
        <f t="shared" si="162"/>
        <v>0</v>
      </c>
      <c r="CS129" s="51"/>
      <c r="CT129" s="49">
        <f t="shared" si="163"/>
        <v>0</v>
      </c>
      <c r="CU129" s="50">
        <f t="shared" si="164"/>
        <v>0</v>
      </c>
      <c r="CV129" s="51">
        <v>60</v>
      </c>
      <c r="CW129" s="49">
        <f t="shared" si="165"/>
        <v>1200</v>
      </c>
      <c r="CX129" s="50">
        <f t="shared" si="166"/>
        <v>1200</v>
      </c>
      <c r="CY129" s="51"/>
      <c r="CZ129" s="49">
        <f t="shared" si="167"/>
        <v>0</v>
      </c>
      <c r="DA129" s="50">
        <f t="shared" si="168"/>
        <v>0</v>
      </c>
      <c r="DB129" s="51"/>
      <c r="DC129" s="49">
        <f t="shared" si="169"/>
        <v>0</v>
      </c>
      <c r="DD129" s="50">
        <f t="shared" si="170"/>
        <v>0</v>
      </c>
      <c r="DE129" s="51"/>
      <c r="DF129" s="49">
        <f t="shared" si="171"/>
        <v>0</v>
      </c>
      <c r="DG129" s="50">
        <f t="shared" si="172"/>
        <v>0</v>
      </c>
      <c r="DH129" s="51"/>
      <c r="DI129" s="49">
        <f t="shared" si="173"/>
        <v>0</v>
      </c>
      <c r="DJ129" s="50">
        <f t="shared" si="174"/>
        <v>0</v>
      </c>
      <c r="DK129" s="51">
        <v>0.5</v>
      </c>
      <c r="DL129" s="49">
        <f t="shared" si="175"/>
        <v>6</v>
      </c>
      <c r="DM129" s="50">
        <f t="shared" si="176"/>
        <v>4.08</v>
      </c>
      <c r="DN129" s="51">
        <v>1</v>
      </c>
      <c r="DO129" s="49">
        <f t="shared" si="177"/>
        <v>12</v>
      </c>
      <c r="DP129" s="50">
        <f t="shared" si="178"/>
        <v>12</v>
      </c>
      <c r="DQ129" s="51"/>
      <c r="DR129" s="51"/>
      <c r="DS129" s="51"/>
      <c r="DT129" s="46">
        <f t="shared" ref="DT129:DV138" si="187">D129+G129+J129+M129+P129+S129+V129+Y129+AB129+AE129+AH129+AK129+AN129+AQ129+AT129+AW129+AZ129+BC129+BF129+BI129+BL129+BO129+BR129+BU129+BX129+CA129+CD129+CG129+CJ129+CM129+CP129+CS129+CV129+CY129+DB129+DE129+DH129+DK129+DN129</f>
        <v>1938.5</v>
      </c>
      <c r="DU129" s="46">
        <f t="shared" si="187"/>
        <v>29094</v>
      </c>
      <c r="DV129" s="46">
        <f t="shared" si="187"/>
        <v>22238.640000000003</v>
      </c>
    </row>
    <row r="130" spans="1:126" x14ac:dyDescent="0.6">
      <c r="A130" s="67"/>
      <c r="B130" s="12" t="s">
        <v>64</v>
      </c>
      <c r="C130" s="68" t="s">
        <v>65</v>
      </c>
      <c r="D130" s="51">
        <v>25</v>
      </c>
      <c r="E130" s="49">
        <f t="shared" si="101"/>
        <v>350</v>
      </c>
      <c r="F130" s="50">
        <f t="shared" si="102"/>
        <v>224</v>
      </c>
      <c r="G130" s="51"/>
      <c r="H130" s="49">
        <f t="shared" si="103"/>
        <v>0</v>
      </c>
      <c r="I130" s="50">
        <f t="shared" si="104"/>
        <v>0</v>
      </c>
      <c r="J130" s="51"/>
      <c r="K130" s="49">
        <f t="shared" si="105"/>
        <v>0</v>
      </c>
      <c r="L130" s="50">
        <f t="shared" si="106"/>
        <v>0</v>
      </c>
      <c r="M130" s="51"/>
      <c r="N130" s="49">
        <f t="shared" si="107"/>
        <v>0</v>
      </c>
      <c r="O130" s="50">
        <f t="shared" si="108"/>
        <v>0</v>
      </c>
      <c r="P130" s="51"/>
      <c r="Q130" s="49">
        <f t="shared" si="109"/>
        <v>0</v>
      </c>
      <c r="R130" s="50">
        <f t="shared" si="110"/>
        <v>0</v>
      </c>
      <c r="S130" s="51"/>
      <c r="T130" s="49">
        <f t="shared" si="111"/>
        <v>0</v>
      </c>
      <c r="U130" s="50">
        <f t="shared" si="112"/>
        <v>0</v>
      </c>
      <c r="V130" s="51"/>
      <c r="W130" s="49">
        <f t="shared" si="113"/>
        <v>0</v>
      </c>
      <c r="X130" s="50">
        <f t="shared" si="114"/>
        <v>0</v>
      </c>
      <c r="Y130" s="51"/>
      <c r="Z130" s="49">
        <f t="shared" si="115"/>
        <v>0</v>
      </c>
      <c r="AA130" s="50">
        <f t="shared" si="116"/>
        <v>0</v>
      </c>
      <c r="AB130" s="51"/>
      <c r="AC130" s="49">
        <f t="shared" si="117"/>
        <v>0</v>
      </c>
      <c r="AD130" s="50">
        <f t="shared" si="118"/>
        <v>0</v>
      </c>
      <c r="AE130" s="51"/>
      <c r="AF130" s="49">
        <f t="shared" si="119"/>
        <v>0</v>
      </c>
      <c r="AG130" s="50">
        <f t="shared" si="120"/>
        <v>0</v>
      </c>
      <c r="AH130" s="51">
        <v>2</v>
      </c>
      <c r="AI130" s="49">
        <f t="shared" si="121"/>
        <v>24</v>
      </c>
      <c r="AJ130" s="50">
        <f t="shared" si="122"/>
        <v>16.799999999999997</v>
      </c>
      <c r="AK130" s="51"/>
      <c r="AL130" s="49">
        <f t="shared" si="123"/>
        <v>0</v>
      </c>
      <c r="AM130" s="50">
        <f t="shared" si="124"/>
        <v>0</v>
      </c>
      <c r="AN130" s="51">
        <v>3.1666666666666665</v>
      </c>
      <c r="AO130" s="49">
        <f t="shared" si="125"/>
        <v>38</v>
      </c>
      <c r="AP130" s="50">
        <f t="shared" si="126"/>
        <v>26.599999999999998</v>
      </c>
      <c r="AQ130" s="51">
        <v>8.7083333333333321</v>
      </c>
      <c r="AR130" s="49">
        <f t="shared" si="127"/>
        <v>208.99999999999997</v>
      </c>
      <c r="AS130" s="50">
        <f t="shared" si="128"/>
        <v>73.149999999999991</v>
      </c>
      <c r="AT130" s="51"/>
      <c r="AU130" s="49">
        <f t="shared" si="129"/>
        <v>0</v>
      </c>
      <c r="AV130" s="50">
        <f t="shared" si="130"/>
        <v>0</v>
      </c>
      <c r="AW130" s="51">
        <v>40</v>
      </c>
      <c r="AX130" s="49">
        <f t="shared" si="131"/>
        <v>480</v>
      </c>
      <c r="AY130" s="50">
        <f t="shared" si="132"/>
        <v>480</v>
      </c>
      <c r="AZ130" s="51">
        <v>3</v>
      </c>
      <c r="BA130" s="49">
        <f t="shared" si="133"/>
        <v>36</v>
      </c>
      <c r="BB130" s="50">
        <f t="shared" si="134"/>
        <v>21.599999999999998</v>
      </c>
      <c r="BC130" s="51">
        <v>3</v>
      </c>
      <c r="BD130" s="49">
        <f t="shared" si="135"/>
        <v>120</v>
      </c>
      <c r="BE130" s="50">
        <f t="shared" si="136"/>
        <v>42</v>
      </c>
      <c r="BF130" s="51">
        <v>35</v>
      </c>
      <c r="BG130" s="49">
        <f t="shared" si="137"/>
        <v>420</v>
      </c>
      <c r="BH130" s="50">
        <f t="shared" si="138"/>
        <v>420</v>
      </c>
      <c r="BI130" s="51"/>
      <c r="BJ130" s="49">
        <f t="shared" si="139"/>
        <v>0</v>
      </c>
      <c r="BK130" s="50">
        <f t="shared" si="140"/>
        <v>0</v>
      </c>
      <c r="BL130" s="51">
        <v>17</v>
      </c>
      <c r="BM130" s="49">
        <f t="shared" si="141"/>
        <v>680</v>
      </c>
      <c r="BN130" s="50">
        <f t="shared" si="142"/>
        <v>237.99999999999997</v>
      </c>
      <c r="BO130" s="51"/>
      <c r="BP130" s="49">
        <f t="shared" si="143"/>
        <v>0</v>
      </c>
      <c r="BQ130" s="50">
        <f t="shared" si="144"/>
        <v>0</v>
      </c>
      <c r="BR130" s="51"/>
      <c r="BS130" s="49">
        <f t="shared" si="145"/>
        <v>0</v>
      </c>
      <c r="BT130" s="50">
        <f t="shared" si="146"/>
        <v>0</v>
      </c>
      <c r="BU130" s="51"/>
      <c r="BV130" s="49">
        <f t="shared" si="147"/>
        <v>0</v>
      </c>
      <c r="BW130" s="50">
        <f t="shared" si="148"/>
        <v>0</v>
      </c>
      <c r="BX130" s="51"/>
      <c r="BY130" s="49">
        <f t="shared" si="149"/>
        <v>0</v>
      </c>
      <c r="BZ130" s="50">
        <f t="shared" si="150"/>
        <v>0</v>
      </c>
      <c r="CA130" s="51"/>
      <c r="CB130" s="49">
        <f t="shared" si="151"/>
        <v>0</v>
      </c>
      <c r="CC130" s="50">
        <f t="shared" si="152"/>
        <v>0</v>
      </c>
      <c r="CD130" s="51"/>
      <c r="CE130" s="49">
        <f t="shared" si="153"/>
        <v>0</v>
      </c>
      <c r="CF130" s="50">
        <f t="shared" si="154"/>
        <v>0</v>
      </c>
      <c r="CG130" s="51"/>
      <c r="CH130" s="49">
        <f t="shared" si="155"/>
        <v>0</v>
      </c>
      <c r="CI130" s="50">
        <f t="shared" si="156"/>
        <v>0</v>
      </c>
      <c r="CJ130" s="51"/>
      <c r="CK130" s="49">
        <f t="shared" si="157"/>
        <v>0</v>
      </c>
      <c r="CL130" s="50">
        <f t="shared" si="158"/>
        <v>0</v>
      </c>
      <c r="CM130" s="51"/>
      <c r="CN130" s="49">
        <f t="shared" si="159"/>
        <v>0</v>
      </c>
      <c r="CO130" s="50">
        <f t="shared" si="160"/>
        <v>0</v>
      </c>
      <c r="CP130" s="51"/>
      <c r="CQ130" s="49">
        <f t="shared" si="161"/>
        <v>0</v>
      </c>
      <c r="CR130" s="50">
        <f t="shared" si="162"/>
        <v>0</v>
      </c>
      <c r="CS130" s="51"/>
      <c r="CT130" s="49">
        <f t="shared" si="163"/>
        <v>0</v>
      </c>
      <c r="CU130" s="50">
        <f t="shared" si="164"/>
        <v>0</v>
      </c>
      <c r="CV130" s="51"/>
      <c r="CW130" s="49">
        <f t="shared" si="165"/>
        <v>0</v>
      </c>
      <c r="CX130" s="50">
        <f t="shared" si="166"/>
        <v>0</v>
      </c>
      <c r="CY130" s="51"/>
      <c r="CZ130" s="49">
        <f t="shared" si="167"/>
        <v>0</v>
      </c>
      <c r="DA130" s="50">
        <f t="shared" si="168"/>
        <v>0</v>
      </c>
      <c r="DB130" s="51"/>
      <c r="DC130" s="49">
        <f t="shared" si="169"/>
        <v>0</v>
      </c>
      <c r="DD130" s="50">
        <f t="shared" si="170"/>
        <v>0</v>
      </c>
      <c r="DE130" s="51"/>
      <c r="DF130" s="49">
        <f t="shared" si="171"/>
        <v>0</v>
      </c>
      <c r="DG130" s="50">
        <f t="shared" si="172"/>
        <v>0</v>
      </c>
      <c r="DH130" s="51"/>
      <c r="DI130" s="49">
        <f t="shared" si="173"/>
        <v>0</v>
      </c>
      <c r="DJ130" s="50">
        <f t="shared" si="174"/>
        <v>0</v>
      </c>
      <c r="DK130" s="51">
        <v>2.5833333333333335</v>
      </c>
      <c r="DL130" s="49">
        <f t="shared" si="175"/>
        <v>31</v>
      </c>
      <c r="DM130" s="50">
        <f t="shared" si="176"/>
        <v>21.080000000000002</v>
      </c>
      <c r="DN130" s="51">
        <v>12</v>
      </c>
      <c r="DO130" s="49">
        <f t="shared" si="177"/>
        <v>144</v>
      </c>
      <c r="DP130" s="50">
        <f t="shared" si="178"/>
        <v>144</v>
      </c>
      <c r="DQ130" s="51"/>
      <c r="DR130" s="51"/>
      <c r="DS130" s="51"/>
      <c r="DT130" s="46">
        <f t="shared" si="187"/>
        <v>151.45833333333334</v>
      </c>
      <c r="DU130" s="46">
        <f t="shared" si="187"/>
        <v>2532</v>
      </c>
      <c r="DV130" s="46">
        <f t="shared" si="187"/>
        <v>1707.23</v>
      </c>
    </row>
    <row r="131" spans="1:126" x14ac:dyDescent="0.6">
      <c r="A131" s="67"/>
      <c r="B131" s="12" t="s">
        <v>66</v>
      </c>
      <c r="C131" s="69"/>
      <c r="D131" s="51">
        <v>58</v>
      </c>
      <c r="E131" s="49">
        <f t="shared" si="101"/>
        <v>812</v>
      </c>
      <c r="F131" s="50">
        <f t="shared" si="102"/>
        <v>519.68000000000006</v>
      </c>
      <c r="G131" s="51"/>
      <c r="H131" s="49">
        <f t="shared" si="103"/>
        <v>0</v>
      </c>
      <c r="I131" s="50">
        <f t="shared" si="104"/>
        <v>0</v>
      </c>
      <c r="J131" s="51"/>
      <c r="K131" s="49">
        <f t="shared" si="105"/>
        <v>0</v>
      </c>
      <c r="L131" s="50">
        <f t="shared" si="106"/>
        <v>0</v>
      </c>
      <c r="M131" s="51"/>
      <c r="N131" s="49">
        <f t="shared" si="107"/>
        <v>0</v>
      </c>
      <c r="O131" s="50">
        <f t="shared" si="108"/>
        <v>0</v>
      </c>
      <c r="P131" s="51"/>
      <c r="Q131" s="49">
        <f t="shared" si="109"/>
        <v>0</v>
      </c>
      <c r="R131" s="50">
        <f t="shared" si="110"/>
        <v>0</v>
      </c>
      <c r="S131" s="51">
        <v>9</v>
      </c>
      <c r="T131" s="49">
        <f t="shared" si="111"/>
        <v>126</v>
      </c>
      <c r="U131" s="50">
        <f t="shared" si="112"/>
        <v>80.64</v>
      </c>
      <c r="V131" s="51"/>
      <c r="W131" s="49">
        <f t="shared" si="113"/>
        <v>0</v>
      </c>
      <c r="X131" s="50">
        <f t="shared" si="114"/>
        <v>0</v>
      </c>
      <c r="Y131" s="51"/>
      <c r="Z131" s="49">
        <f t="shared" si="115"/>
        <v>0</v>
      </c>
      <c r="AA131" s="50">
        <f t="shared" si="116"/>
        <v>0</v>
      </c>
      <c r="AB131" s="51"/>
      <c r="AC131" s="49">
        <f t="shared" si="117"/>
        <v>0</v>
      </c>
      <c r="AD131" s="50">
        <f t="shared" si="118"/>
        <v>0</v>
      </c>
      <c r="AE131" s="51"/>
      <c r="AF131" s="49">
        <f t="shared" si="119"/>
        <v>0</v>
      </c>
      <c r="AG131" s="50">
        <f t="shared" si="120"/>
        <v>0</v>
      </c>
      <c r="AH131" s="51">
        <v>12</v>
      </c>
      <c r="AI131" s="49">
        <f t="shared" si="121"/>
        <v>144</v>
      </c>
      <c r="AJ131" s="50">
        <f t="shared" si="122"/>
        <v>100.8</v>
      </c>
      <c r="AK131" s="51"/>
      <c r="AL131" s="49">
        <f t="shared" si="123"/>
        <v>0</v>
      </c>
      <c r="AM131" s="50">
        <f t="shared" si="124"/>
        <v>0</v>
      </c>
      <c r="AN131" s="51"/>
      <c r="AO131" s="49">
        <f t="shared" si="125"/>
        <v>0</v>
      </c>
      <c r="AP131" s="50">
        <f t="shared" si="126"/>
        <v>0</v>
      </c>
      <c r="AQ131" s="51"/>
      <c r="AR131" s="49">
        <f t="shared" si="127"/>
        <v>0</v>
      </c>
      <c r="AS131" s="50">
        <f t="shared" si="128"/>
        <v>0</v>
      </c>
      <c r="AT131" s="51"/>
      <c r="AU131" s="49">
        <f t="shared" si="129"/>
        <v>0</v>
      </c>
      <c r="AV131" s="50">
        <f t="shared" si="130"/>
        <v>0</v>
      </c>
      <c r="AW131" s="51">
        <v>221</v>
      </c>
      <c r="AX131" s="49">
        <f t="shared" si="131"/>
        <v>2652</v>
      </c>
      <c r="AY131" s="50">
        <f t="shared" si="132"/>
        <v>2652</v>
      </c>
      <c r="AZ131" s="51">
        <v>2</v>
      </c>
      <c r="BA131" s="49">
        <f t="shared" si="133"/>
        <v>24</v>
      </c>
      <c r="BB131" s="50">
        <f t="shared" si="134"/>
        <v>14.399999999999999</v>
      </c>
      <c r="BC131" s="51">
        <v>15</v>
      </c>
      <c r="BD131" s="49">
        <f t="shared" si="135"/>
        <v>600</v>
      </c>
      <c r="BE131" s="50">
        <f t="shared" si="136"/>
        <v>210</v>
      </c>
      <c r="BF131" s="51">
        <v>9</v>
      </c>
      <c r="BG131" s="49">
        <f t="shared" si="137"/>
        <v>108</v>
      </c>
      <c r="BH131" s="50">
        <f t="shared" si="138"/>
        <v>108</v>
      </c>
      <c r="BI131" s="51"/>
      <c r="BJ131" s="49">
        <f t="shared" si="139"/>
        <v>0</v>
      </c>
      <c r="BK131" s="50">
        <f t="shared" si="140"/>
        <v>0</v>
      </c>
      <c r="BL131" s="51">
        <v>2</v>
      </c>
      <c r="BM131" s="49">
        <f t="shared" si="141"/>
        <v>80</v>
      </c>
      <c r="BN131" s="50">
        <f t="shared" si="142"/>
        <v>28</v>
      </c>
      <c r="BO131" s="51"/>
      <c r="BP131" s="49">
        <f t="shared" si="143"/>
        <v>0</v>
      </c>
      <c r="BQ131" s="50">
        <f t="shared" si="144"/>
        <v>0</v>
      </c>
      <c r="BR131" s="51"/>
      <c r="BS131" s="49">
        <f t="shared" si="145"/>
        <v>0</v>
      </c>
      <c r="BT131" s="50">
        <f t="shared" si="146"/>
        <v>0</v>
      </c>
      <c r="BU131" s="51"/>
      <c r="BV131" s="49">
        <f t="shared" si="147"/>
        <v>0</v>
      </c>
      <c r="BW131" s="50">
        <f t="shared" si="148"/>
        <v>0</v>
      </c>
      <c r="BX131" s="51"/>
      <c r="BY131" s="49">
        <f t="shared" si="149"/>
        <v>0</v>
      </c>
      <c r="BZ131" s="50">
        <f t="shared" si="150"/>
        <v>0</v>
      </c>
      <c r="CA131" s="51"/>
      <c r="CB131" s="49">
        <f t="shared" si="151"/>
        <v>0</v>
      </c>
      <c r="CC131" s="50">
        <f t="shared" si="152"/>
        <v>0</v>
      </c>
      <c r="CD131" s="51">
        <v>2</v>
      </c>
      <c r="CE131" s="49">
        <f t="shared" si="153"/>
        <v>24</v>
      </c>
      <c r="CF131" s="50">
        <f t="shared" si="154"/>
        <v>24</v>
      </c>
      <c r="CG131" s="51"/>
      <c r="CH131" s="49">
        <f t="shared" si="155"/>
        <v>0</v>
      </c>
      <c r="CI131" s="50">
        <f t="shared" si="156"/>
        <v>0</v>
      </c>
      <c r="CJ131" s="51"/>
      <c r="CK131" s="49">
        <f t="shared" si="157"/>
        <v>0</v>
      </c>
      <c r="CL131" s="50">
        <f t="shared" si="158"/>
        <v>0</v>
      </c>
      <c r="CM131" s="51"/>
      <c r="CN131" s="49">
        <f t="shared" si="159"/>
        <v>0</v>
      </c>
      <c r="CO131" s="50">
        <f t="shared" si="160"/>
        <v>0</v>
      </c>
      <c r="CP131" s="51"/>
      <c r="CQ131" s="49">
        <f t="shared" si="161"/>
        <v>0</v>
      </c>
      <c r="CR131" s="50">
        <f t="shared" si="162"/>
        <v>0</v>
      </c>
      <c r="CS131" s="51"/>
      <c r="CT131" s="49">
        <f t="shared" si="163"/>
        <v>0</v>
      </c>
      <c r="CU131" s="50">
        <f t="shared" si="164"/>
        <v>0</v>
      </c>
      <c r="CV131" s="51"/>
      <c r="CW131" s="49">
        <f t="shared" si="165"/>
        <v>0</v>
      </c>
      <c r="CX131" s="50">
        <f t="shared" si="166"/>
        <v>0</v>
      </c>
      <c r="CY131" s="51"/>
      <c r="CZ131" s="49">
        <f t="shared" si="167"/>
        <v>0</v>
      </c>
      <c r="DA131" s="50">
        <f t="shared" si="168"/>
        <v>0</v>
      </c>
      <c r="DB131" s="51"/>
      <c r="DC131" s="49">
        <f t="shared" si="169"/>
        <v>0</v>
      </c>
      <c r="DD131" s="50">
        <f t="shared" si="170"/>
        <v>0</v>
      </c>
      <c r="DE131" s="51"/>
      <c r="DF131" s="49">
        <f t="shared" si="171"/>
        <v>0</v>
      </c>
      <c r="DG131" s="50">
        <f t="shared" si="172"/>
        <v>0</v>
      </c>
      <c r="DH131" s="51"/>
      <c r="DI131" s="49">
        <f t="shared" si="173"/>
        <v>0</v>
      </c>
      <c r="DJ131" s="50">
        <f t="shared" si="174"/>
        <v>0</v>
      </c>
      <c r="DK131" s="51"/>
      <c r="DL131" s="49">
        <f t="shared" si="175"/>
        <v>0</v>
      </c>
      <c r="DM131" s="50">
        <f t="shared" si="176"/>
        <v>0</v>
      </c>
      <c r="DN131" s="51"/>
      <c r="DO131" s="49">
        <f t="shared" si="177"/>
        <v>0</v>
      </c>
      <c r="DP131" s="50">
        <f t="shared" si="178"/>
        <v>0</v>
      </c>
      <c r="DQ131" s="51"/>
      <c r="DR131" s="51"/>
      <c r="DS131" s="51"/>
      <c r="DT131" s="46">
        <f t="shared" si="187"/>
        <v>330</v>
      </c>
      <c r="DU131" s="46">
        <f t="shared" si="187"/>
        <v>4570</v>
      </c>
      <c r="DV131" s="46">
        <f t="shared" si="187"/>
        <v>3737.52</v>
      </c>
    </row>
    <row r="132" spans="1:126" x14ac:dyDescent="0.6">
      <c r="A132" s="67"/>
      <c r="B132" s="12" t="s">
        <v>67</v>
      </c>
      <c r="C132" s="70"/>
      <c r="D132" s="51">
        <v>502</v>
      </c>
      <c r="E132" s="49">
        <f t="shared" si="101"/>
        <v>7028</v>
      </c>
      <c r="F132" s="50">
        <f t="shared" si="102"/>
        <v>4497.92</v>
      </c>
      <c r="G132" s="51"/>
      <c r="H132" s="49">
        <f t="shared" si="103"/>
        <v>0</v>
      </c>
      <c r="I132" s="50">
        <f t="shared" si="104"/>
        <v>0</v>
      </c>
      <c r="J132" s="51"/>
      <c r="K132" s="49">
        <f t="shared" si="105"/>
        <v>0</v>
      </c>
      <c r="L132" s="50">
        <f t="shared" si="106"/>
        <v>0</v>
      </c>
      <c r="M132" s="51"/>
      <c r="N132" s="49">
        <f t="shared" si="107"/>
        <v>0</v>
      </c>
      <c r="O132" s="50">
        <f t="shared" si="108"/>
        <v>0</v>
      </c>
      <c r="P132" s="51"/>
      <c r="Q132" s="49">
        <f t="shared" si="109"/>
        <v>0</v>
      </c>
      <c r="R132" s="50">
        <f t="shared" si="110"/>
        <v>0</v>
      </c>
      <c r="S132" s="51">
        <v>9</v>
      </c>
      <c r="T132" s="49">
        <f t="shared" si="111"/>
        <v>126</v>
      </c>
      <c r="U132" s="50">
        <f t="shared" si="112"/>
        <v>80.64</v>
      </c>
      <c r="V132" s="51"/>
      <c r="W132" s="49">
        <f t="shared" si="113"/>
        <v>0</v>
      </c>
      <c r="X132" s="50">
        <f t="shared" si="114"/>
        <v>0</v>
      </c>
      <c r="Y132" s="51"/>
      <c r="Z132" s="49">
        <f t="shared" si="115"/>
        <v>0</v>
      </c>
      <c r="AA132" s="50">
        <f t="shared" si="116"/>
        <v>0</v>
      </c>
      <c r="AB132" s="51"/>
      <c r="AC132" s="49">
        <f t="shared" si="117"/>
        <v>0</v>
      </c>
      <c r="AD132" s="50">
        <f t="shared" si="118"/>
        <v>0</v>
      </c>
      <c r="AE132" s="51"/>
      <c r="AF132" s="49">
        <f t="shared" si="119"/>
        <v>0</v>
      </c>
      <c r="AG132" s="50">
        <f t="shared" si="120"/>
        <v>0</v>
      </c>
      <c r="AH132" s="51">
        <v>1</v>
      </c>
      <c r="AI132" s="49">
        <f t="shared" si="121"/>
        <v>12</v>
      </c>
      <c r="AJ132" s="50">
        <f t="shared" si="122"/>
        <v>8.3999999999999986</v>
      </c>
      <c r="AK132" s="51"/>
      <c r="AL132" s="49">
        <f t="shared" si="123"/>
        <v>0</v>
      </c>
      <c r="AM132" s="50">
        <f t="shared" si="124"/>
        <v>0</v>
      </c>
      <c r="AN132" s="51"/>
      <c r="AO132" s="49">
        <f t="shared" si="125"/>
        <v>0</v>
      </c>
      <c r="AP132" s="50">
        <f t="shared" si="126"/>
        <v>0</v>
      </c>
      <c r="AQ132" s="51"/>
      <c r="AR132" s="49">
        <f t="shared" si="127"/>
        <v>0</v>
      </c>
      <c r="AS132" s="50">
        <f t="shared" si="128"/>
        <v>0</v>
      </c>
      <c r="AT132" s="51"/>
      <c r="AU132" s="49">
        <f t="shared" si="129"/>
        <v>0</v>
      </c>
      <c r="AV132" s="50">
        <f t="shared" si="130"/>
        <v>0</v>
      </c>
      <c r="AW132" s="51">
        <v>782</v>
      </c>
      <c r="AX132" s="49">
        <f t="shared" si="131"/>
        <v>9384</v>
      </c>
      <c r="AY132" s="50">
        <f t="shared" si="132"/>
        <v>9384</v>
      </c>
      <c r="AZ132" s="51">
        <v>1</v>
      </c>
      <c r="BA132" s="49">
        <f t="shared" si="133"/>
        <v>12</v>
      </c>
      <c r="BB132" s="50">
        <f t="shared" si="134"/>
        <v>7.1999999999999993</v>
      </c>
      <c r="BC132" s="51">
        <v>55</v>
      </c>
      <c r="BD132" s="49">
        <f t="shared" si="135"/>
        <v>2200</v>
      </c>
      <c r="BE132" s="50">
        <f t="shared" si="136"/>
        <v>770</v>
      </c>
      <c r="BF132" s="51">
        <v>116.33333333333334</v>
      </c>
      <c r="BG132" s="49">
        <f t="shared" si="137"/>
        <v>1396</v>
      </c>
      <c r="BH132" s="50">
        <f t="shared" si="138"/>
        <v>1396</v>
      </c>
      <c r="BI132" s="51"/>
      <c r="BJ132" s="49">
        <f t="shared" si="139"/>
        <v>0</v>
      </c>
      <c r="BK132" s="50">
        <f t="shared" si="140"/>
        <v>0</v>
      </c>
      <c r="BL132" s="51">
        <v>7</v>
      </c>
      <c r="BM132" s="49">
        <f t="shared" si="141"/>
        <v>280</v>
      </c>
      <c r="BN132" s="50">
        <f t="shared" si="142"/>
        <v>98</v>
      </c>
      <c r="BO132" s="51"/>
      <c r="BP132" s="49">
        <f t="shared" si="143"/>
        <v>0</v>
      </c>
      <c r="BQ132" s="50">
        <f t="shared" si="144"/>
        <v>0</v>
      </c>
      <c r="BR132" s="51"/>
      <c r="BS132" s="49">
        <f t="shared" si="145"/>
        <v>0</v>
      </c>
      <c r="BT132" s="50">
        <f t="shared" si="146"/>
        <v>0</v>
      </c>
      <c r="BU132" s="51"/>
      <c r="BV132" s="49">
        <f t="shared" si="147"/>
        <v>0</v>
      </c>
      <c r="BW132" s="50">
        <f t="shared" si="148"/>
        <v>0</v>
      </c>
      <c r="BX132" s="51"/>
      <c r="BY132" s="49">
        <f t="shared" si="149"/>
        <v>0</v>
      </c>
      <c r="BZ132" s="50">
        <f t="shared" si="150"/>
        <v>0</v>
      </c>
      <c r="CA132" s="51"/>
      <c r="CB132" s="49">
        <f t="shared" si="151"/>
        <v>0</v>
      </c>
      <c r="CC132" s="50">
        <f t="shared" si="152"/>
        <v>0</v>
      </c>
      <c r="CD132" s="51">
        <v>18</v>
      </c>
      <c r="CE132" s="49">
        <f t="shared" si="153"/>
        <v>216</v>
      </c>
      <c r="CF132" s="50">
        <f t="shared" si="154"/>
        <v>216</v>
      </c>
      <c r="CG132" s="51"/>
      <c r="CH132" s="49">
        <f t="shared" si="155"/>
        <v>0</v>
      </c>
      <c r="CI132" s="50">
        <f t="shared" si="156"/>
        <v>0</v>
      </c>
      <c r="CJ132" s="51"/>
      <c r="CK132" s="49">
        <f t="shared" si="157"/>
        <v>0</v>
      </c>
      <c r="CL132" s="50">
        <f t="shared" si="158"/>
        <v>0</v>
      </c>
      <c r="CM132" s="51">
        <v>9</v>
      </c>
      <c r="CN132" s="49">
        <f t="shared" si="159"/>
        <v>108</v>
      </c>
      <c r="CO132" s="50">
        <f t="shared" si="160"/>
        <v>108</v>
      </c>
      <c r="CP132" s="51"/>
      <c r="CQ132" s="49">
        <f t="shared" si="161"/>
        <v>0</v>
      </c>
      <c r="CR132" s="50">
        <f t="shared" si="162"/>
        <v>0</v>
      </c>
      <c r="CS132" s="51"/>
      <c r="CT132" s="49">
        <f t="shared" si="163"/>
        <v>0</v>
      </c>
      <c r="CU132" s="50">
        <f t="shared" si="164"/>
        <v>0</v>
      </c>
      <c r="CV132" s="51">
        <v>23</v>
      </c>
      <c r="CW132" s="49">
        <f t="shared" si="165"/>
        <v>460</v>
      </c>
      <c r="CX132" s="50">
        <f t="shared" si="166"/>
        <v>460</v>
      </c>
      <c r="CY132" s="51"/>
      <c r="CZ132" s="49">
        <f t="shared" si="167"/>
        <v>0</v>
      </c>
      <c r="DA132" s="50">
        <f t="shared" si="168"/>
        <v>0</v>
      </c>
      <c r="DB132" s="51"/>
      <c r="DC132" s="49">
        <f t="shared" si="169"/>
        <v>0</v>
      </c>
      <c r="DD132" s="50">
        <f t="shared" si="170"/>
        <v>0</v>
      </c>
      <c r="DE132" s="51"/>
      <c r="DF132" s="49">
        <f t="shared" si="171"/>
        <v>0</v>
      </c>
      <c r="DG132" s="50">
        <f t="shared" si="172"/>
        <v>0</v>
      </c>
      <c r="DH132" s="51"/>
      <c r="DI132" s="49">
        <f t="shared" si="173"/>
        <v>0</v>
      </c>
      <c r="DJ132" s="50">
        <f t="shared" si="174"/>
        <v>0</v>
      </c>
      <c r="DK132" s="51">
        <v>0.5</v>
      </c>
      <c r="DL132" s="49">
        <f t="shared" si="175"/>
        <v>6</v>
      </c>
      <c r="DM132" s="50">
        <f t="shared" si="176"/>
        <v>4.08</v>
      </c>
      <c r="DN132" s="51">
        <v>21</v>
      </c>
      <c r="DO132" s="49">
        <f t="shared" si="177"/>
        <v>252</v>
      </c>
      <c r="DP132" s="50">
        <f t="shared" si="178"/>
        <v>252</v>
      </c>
      <c r="DQ132" s="51"/>
      <c r="DR132" s="51"/>
      <c r="DS132" s="51"/>
      <c r="DT132" s="46">
        <f t="shared" si="187"/>
        <v>1544.8333333333333</v>
      </c>
      <c r="DU132" s="46">
        <f t="shared" si="187"/>
        <v>21480</v>
      </c>
      <c r="DV132" s="46">
        <f t="shared" si="187"/>
        <v>17282.240000000002</v>
      </c>
    </row>
    <row r="133" spans="1:126" ht="36" x14ac:dyDescent="0.6">
      <c r="A133" s="67"/>
      <c r="B133" s="23" t="s">
        <v>62</v>
      </c>
      <c r="C133" s="16" t="s">
        <v>41</v>
      </c>
      <c r="D133" s="51">
        <v>200</v>
      </c>
      <c r="E133" s="49">
        <f t="shared" si="101"/>
        <v>2800</v>
      </c>
      <c r="F133" s="50">
        <f t="shared" si="102"/>
        <v>1792</v>
      </c>
      <c r="G133" s="51"/>
      <c r="H133" s="49">
        <f t="shared" si="103"/>
        <v>0</v>
      </c>
      <c r="I133" s="50">
        <f t="shared" si="104"/>
        <v>0</v>
      </c>
      <c r="J133" s="51"/>
      <c r="K133" s="49">
        <f t="shared" si="105"/>
        <v>0</v>
      </c>
      <c r="L133" s="50">
        <f t="shared" si="106"/>
        <v>0</v>
      </c>
      <c r="M133" s="51"/>
      <c r="N133" s="49">
        <f t="shared" si="107"/>
        <v>0</v>
      </c>
      <c r="O133" s="50">
        <f t="shared" si="108"/>
        <v>0</v>
      </c>
      <c r="P133" s="51"/>
      <c r="Q133" s="49">
        <f t="shared" si="109"/>
        <v>0</v>
      </c>
      <c r="R133" s="50">
        <f t="shared" si="110"/>
        <v>0</v>
      </c>
      <c r="S133" s="51"/>
      <c r="T133" s="49">
        <f t="shared" si="111"/>
        <v>0</v>
      </c>
      <c r="U133" s="50">
        <f t="shared" si="112"/>
        <v>0</v>
      </c>
      <c r="V133" s="51"/>
      <c r="W133" s="49">
        <f t="shared" si="113"/>
        <v>0</v>
      </c>
      <c r="X133" s="50">
        <f t="shared" si="114"/>
        <v>0</v>
      </c>
      <c r="Y133" s="51"/>
      <c r="Z133" s="49">
        <f t="shared" si="115"/>
        <v>0</v>
      </c>
      <c r="AA133" s="50">
        <f t="shared" si="116"/>
        <v>0</v>
      </c>
      <c r="AB133" s="51"/>
      <c r="AC133" s="49">
        <f t="shared" si="117"/>
        <v>0</v>
      </c>
      <c r="AD133" s="50">
        <f t="shared" si="118"/>
        <v>0</v>
      </c>
      <c r="AE133" s="51"/>
      <c r="AF133" s="49">
        <f t="shared" si="119"/>
        <v>0</v>
      </c>
      <c r="AG133" s="50">
        <f t="shared" si="120"/>
        <v>0</v>
      </c>
      <c r="AH133" s="51">
        <v>20</v>
      </c>
      <c r="AI133" s="49">
        <f t="shared" si="121"/>
        <v>240</v>
      </c>
      <c r="AJ133" s="50">
        <f t="shared" si="122"/>
        <v>168</v>
      </c>
      <c r="AK133" s="51"/>
      <c r="AL133" s="49">
        <f t="shared" si="123"/>
        <v>0</v>
      </c>
      <c r="AM133" s="50">
        <f t="shared" si="124"/>
        <v>0</v>
      </c>
      <c r="AN133" s="51"/>
      <c r="AO133" s="49">
        <f t="shared" si="125"/>
        <v>0</v>
      </c>
      <c r="AP133" s="50">
        <f t="shared" si="126"/>
        <v>0</v>
      </c>
      <c r="AQ133" s="51"/>
      <c r="AR133" s="49">
        <f t="shared" si="127"/>
        <v>0</v>
      </c>
      <c r="AS133" s="50">
        <f t="shared" si="128"/>
        <v>0</v>
      </c>
      <c r="AT133" s="51"/>
      <c r="AU133" s="49">
        <f t="shared" si="129"/>
        <v>0</v>
      </c>
      <c r="AV133" s="50">
        <f t="shared" si="130"/>
        <v>0</v>
      </c>
      <c r="AW133" s="51">
        <v>450</v>
      </c>
      <c r="AX133" s="49">
        <f t="shared" si="131"/>
        <v>5400</v>
      </c>
      <c r="AY133" s="50">
        <f t="shared" si="132"/>
        <v>5400</v>
      </c>
      <c r="AZ133" s="51">
        <v>40</v>
      </c>
      <c r="BA133" s="49">
        <f t="shared" si="133"/>
        <v>480</v>
      </c>
      <c r="BB133" s="50">
        <f t="shared" si="134"/>
        <v>288</v>
      </c>
      <c r="BC133" s="51">
        <v>40</v>
      </c>
      <c r="BD133" s="49">
        <f t="shared" si="135"/>
        <v>1600</v>
      </c>
      <c r="BE133" s="50">
        <f t="shared" si="136"/>
        <v>560</v>
      </c>
      <c r="BF133" s="51">
        <v>30</v>
      </c>
      <c r="BG133" s="49">
        <f t="shared" si="137"/>
        <v>360</v>
      </c>
      <c r="BH133" s="50">
        <f t="shared" si="138"/>
        <v>360</v>
      </c>
      <c r="BI133" s="51"/>
      <c r="BJ133" s="49">
        <f t="shared" si="139"/>
        <v>0</v>
      </c>
      <c r="BK133" s="50">
        <f t="shared" si="140"/>
        <v>0</v>
      </c>
      <c r="BL133" s="51"/>
      <c r="BM133" s="49">
        <f t="shared" si="141"/>
        <v>0</v>
      </c>
      <c r="BN133" s="50">
        <f t="shared" si="142"/>
        <v>0</v>
      </c>
      <c r="BO133" s="51"/>
      <c r="BP133" s="49">
        <f t="shared" si="143"/>
        <v>0</v>
      </c>
      <c r="BQ133" s="50">
        <f t="shared" si="144"/>
        <v>0</v>
      </c>
      <c r="BR133" s="51"/>
      <c r="BS133" s="49">
        <f t="shared" si="145"/>
        <v>0</v>
      </c>
      <c r="BT133" s="50">
        <f t="shared" si="146"/>
        <v>0</v>
      </c>
      <c r="BU133" s="51"/>
      <c r="BV133" s="49">
        <f t="shared" si="147"/>
        <v>0</v>
      </c>
      <c r="BW133" s="50">
        <f t="shared" si="148"/>
        <v>0</v>
      </c>
      <c r="BX133" s="51"/>
      <c r="BY133" s="49">
        <f t="shared" si="149"/>
        <v>0</v>
      </c>
      <c r="BZ133" s="50">
        <f t="shared" si="150"/>
        <v>0</v>
      </c>
      <c r="CA133" s="51"/>
      <c r="CB133" s="49">
        <f t="shared" si="151"/>
        <v>0</v>
      </c>
      <c r="CC133" s="50">
        <f t="shared" si="152"/>
        <v>0</v>
      </c>
      <c r="CD133" s="51"/>
      <c r="CE133" s="49">
        <f t="shared" si="153"/>
        <v>0</v>
      </c>
      <c r="CF133" s="50">
        <f t="shared" si="154"/>
        <v>0</v>
      </c>
      <c r="CG133" s="51"/>
      <c r="CH133" s="49">
        <f t="shared" si="155"/>
        <v>0</v>
      </c>
      <c r="CI133" s="50">
        <f t="shared" si="156"/>
        <v>0</v>
      </c>
      <c r="CJ133" s="51"/>
      <c r="CK133" s="49">
        <f t="shared" si="157"/>
        <v>0</v>
      </c>
      <c r="CL133" s="50">
        <f t="shared" si="158"/>
        <v>0</v>
      </c>
      <c r="CM133" s="51"/>
      <c r="CN133" s="49">
        <f t="shared" si="159"/>
        <v>0</v>
      </c>
      <c r="CO133" s="50">
        <f t="shared" si="160"/>
        <v>0</v>
      </c>
      <c r="CP133" s="51"/>
      <c r="CQ133" s="49">
        <f t="shared" si="161"/>
        <v>0</v>
      </c>
      <c r="CR133" s="50">
        <f t="shared" si="162"/>
        <v>0</v>
      </c>
      <c r="CS133" s="51"/>
      <c r="CT133" s="49">
        <f t="shared" si="163"/>
        <v>0</v>
      </c>
      <c r="CU133" s="50">
        <f t="shared" si="164"/>
        <v>0</v>
      </c>
      <c r="CV133" s="51"/>
      <c r="CW133" s="49">
        <f t="shared" si="165"/>
        <v>0</v>
      </c>
      <c r="CX133" s="50">
        <f t="shared" si="166"/>
        <v>0</v>
      </c>
      <c r="CY133" s="51"/>
      <c r="CZ133" s="49">
        <f t="shared" si="167"/>
        <v>0</v>
      </c>
      <c r="DA133" s="50">
        <f t="shared" si="168"/>
        <v>0</v>
      </c>
      <c r="DB133" s="51"/>
      <c r="DC133" s="49">
        <f t="shared" si="169"/>
        <v>0</v>
      </c>
      <c r="DD133" s="50">
        <f t="shared" si="170"/>
        <v>0</v>
      </c>
      <c r="DE133" s="51"/>
      <c r="DF133" s="49">
        <f t="shared" si="171"/>
        <v>0</v>
      </c>
      <c r="DG133" s="50">
        <f t="shared" si="172"/>
        <v>0</v>
      </c>
      <c r="DH133" s="51"/>
      <c r="DI133" s="49">
        <f t="shared" si="173"/>
        <v>0</v>
      </c>
      <c r="DJ133" s="50">
        <f t="shared" si="174"/>
        <v>0</v>
      </c>
      <c r="DK133" s="51"/>
      <c r="DL133" s="49">
        <f t="shared" si="175"/>
        <v>0</v>
      </c>
      <c r="DM133" s="50">
        <f t="shared" si="176"/>
        <v>0</v>
      </c>
      <c r="DN133" s="51"/>
      <c r="DO133" s="49">
        <f t="shared" si="177"/>
        <v>0</v>
      </c>
      <c r="DP133" s="50">
        <f t="shared" si="178"/>
        <v>0</v>
      </c>
      <c r="DQ133" s="51"/>
      <c r="DR133" s="51"/>
      <c r="DS133" s="51"/>
      <c r="DT133" s="46">
        <f t="shared" si="187"/>
        <v>780</v>
      </c>
      <c r="DU133" s="46">
        <f t="shared" si="187"/>
        <v>10880</v>
      </c>
      <c r="DV133" s="46">
        <f t="shared" si="187"/>
        <v>8568</v>
      </c>
    </row>
    <row r="134" spans="1:126" x14ac:dyDescent="0.6">
      <c r="A134" s="67"/>
      <c r="B134" s="15" t="s">
        <v>64</v>
      </c>
      <c r="C134" s="16" t="s">
        <v>41</v>
      </c>
      <c r="D134" s="51">
        <v>1950</v>
      </c>
      <c r="E134" s="49">
        <f t="shared" si="101"/>
        <v>27300</v>
      </c>
      <c r="F134" s="50">
        <f t="shared" si="102"/>
        <v>17472</v>
      </c>
      <c r="G134" s="51"/>
      <c r="H134" s="49">
        <f t="shared" si="103"/>
        <v>0</v>
      </c>
      <c r="I134" s="50">
        <f t="shared" si="104"/>
        <v>0</v>
      </c>
      <c r="J134" s="51"/>
      <c r="K134" s="49">
        <f t="shared" si="105"/>
        <v>0</v>
      </c>
      <c r="L134" s="50">
        <f t="shared" si="106"/>
        <v>0</v>
      </c>
      <c r="M134" s="51">
        <v>50</v>
      </c>
      <c r="N134" s="49">
        <f t="shared" si="107"/>
        <v>700</v>
      </c>
      <c r="O134" s="50">
        <f t="shared" si="108"/>
        <v>448</v>
      </c>
      <c r="P134" s="51"/>
      <c r="Q134" s="49">
        <f t="shared" si="109"/>
        <v>0</v>
      </c>
      <c r="R134" s="50">
        <f t="shared" si="110"/>
        <v>0</v>
      </c>
      <c r="S134" s="51"/>
      <c r="T134" s="49">
        <f t="shared" si="111"/>
        <v>0</v>
      </c>
      <c r="U134" s="50">
        <f t="shared" si="112"/>
        <v>0</v>
      </c>
      <c r="V134" s="51">
        <v>110</v>
      </c>
      <c r="W134" s="49">
        <f t="shared" si="113"/>
        <v>1540</v>
      </c>
      <c r="X134" s="50">
        <f t="shared" si="114"/>
        <v>985.6</v>
      </c>
      <c r="Y134" s="51"/>
      <c r="Z134" s="49">
        <f t="shared" si="115"/>
        <v>0</v>
      </c>
      <c r="AA134" s="50">
        <f t="shared" si="116"/>
        <v>0</v>
      </c>
      <c r="AB134" s="51"/>
      <c r="AC134" s="49">
        <f t="shared" si="117"/>
        <v>0</v>
      </c>
      <c r="AD134" s="50">
        <f t="shared" si="118"/>
        <v>0</v>
      </c>
      <c r="AE134" s="51"/>
      <c r="AF134" s="49">
        <f t="shared" si="119"/>
        <v>0</v>
      </c>
      <c r="AG134" s="50">
        <f t="shared" si="120"/>
        <v>0</v>
      </c>
      <c r="AH134" s="51">
        <v>20</v>
      </c>
      <c r="AI134" s="49">
        <f t="shared" si="121"/>
        <v>240</v>
      </c>
      <c r="AJ134" s="50">
        <f t="shared" si="122"/>
        <v>168</v>
      </c>
      <c r="AK134" s="51"/>
      <c r="AL134" s="49">
        <f t="shared" si="123"/>
        <v>0</v>
      </c>
      <c r="AM134" s="50">
        <f t="shared" si="124"/>
        <v>0</v>
      </c>
      <c r="AN134" s="51"/>
      <c r="AO134" s="49">
        <f t="shared" si="125"/>
        <v>0</v>
      </c>
      <c r="AP134" s="50">
        <f t="shared" si="126"/>
        <v>0</v>
      </c>
      <c r="AQ134" s="51"/>
      <c r="AR134" s="49">
        <f t="shared" si="127"/>
        <v>0</v>
      </c>
      <c r="AS134" s="50">
        <f t="shared" si="128"/>
        <v>0</v>
      </c>
      <c r="AT134" s="51"/>
      <c r="AU134" s="49">
        <f t="shared" si="129"/>
        <v>0</v>
      </c>
      <c r="AV134" s="50">
        <f t="shared" si="130"/>
        <v>0</v>
      </c>
      <c r="AW134" s="51">
        <v>2898</v>
      </c>
      <c r="AX134" s="49">
        <f t="shared" si="131"/>
        <v>34776</v>
      </c>
      <c r="AY134" s="50">
        <f t="shared" si="132"/>
        <v>34776</v>
      </c>
      <c r="AZ134" s="51">
        <v>450</v>
      </c>
      <c r="BA134" s="49">
        <f t="shared" si="133"/>
        <v>5400</v>
      </c>
      <c r="BB134" s="50">
        <f t="shared" si="134"/>
        <v>3240</v>
      </c>
      <c r="BC134" s="51">
        <v>530</v>
      </c>
      <c r="BD134" s="49">
        <f t="shared" si="135"/>
        <v>21200</v>
      </c>
      <c r="BE134" s="50">
        <f t="shared" si="136"/>
        <v>7419.9999999999991</v>
      </c>
      <c r="BF134" s="51">
        <v>60</v>
      </c>
      <c r="BG134" s="49">
        <f t="shared" si="137"/>
        <v>720</v>
      </c>
      <c r="BH134" s="50">
        <f t="shared" si="138"/>
        <v>720</v>
      </c>
      <c r="BI134" s="51"/>
      <c r="BJ134" s="49">
        <f t="shared" si="139"/>
        <v>0</v>
      </c>
      <c r="BK134" s="50">
        <f t="shared" si="140"/>
        <v>0</v>
      </c>
      <c r="BL134" s="51"/>
      <c r="BM134" s="49">
        <f t="shared" si="141"/>
        <v>0</v>
      </c>
      <c r="BN134" s="50">
        <f t="shared" si="142"/>
        <v>0</v>
      </c>
      <c r="BO134" s="51"/>
      <c r="BP134" s="49">
        <f t="shared" si="143"/>
        <v>0</v>
      </c>
      <c r="BQ134" s="50">
        <f t="shared" si="144"/>
        <v>0</v>
      </c>
      <c r="BR134" s="51"/>
      <c r="BS134" s="49">
        <f t="shared" si="145"/>
        <v>0</v>
      </c>
      <c r="BT134" s="50">
        <f t="shared" si="146"/>
        <v>0</v>
      </c>
      <c r="BU134" s="51"/>
      <c r="BV134" s="49">
        <f t="shared" si="147"/>
        <v>0</v>
      </c>
      <c r="BW134" s="50">
        <f t="shared" si="148"/>
        <v>0</v>
      </c>
      <c r="BX134" s="51"/>
      <c r="BY134" s="49">
        <f t="shared" si="149"/>
        <v>0</v>
      </c>
      <c r="BZ134" s="50">
        <f t="shared" si="150"/>
        <v>0</v>
      </c>
      <c r="CA134" s="51"/>
      <c r="CB134" s="49">
        <f t="shared" si="151"/>
        <v>0</v>
      </c>
      <c r="CC134" s="50">
        <f t="shared" si="152"/>
        <v>0</v>
      </c>
      <c r="CD134" s="51"/>
      <c r="CE134" s="49">
        <f t="shared" si="153"/>
        <v>0</v>
      </c>
      <c r="CF134" s="50">
        <f t="shared" si="154"/>
        <v>0</v>
      </c>
      <c r="CG134" s="51"/>
      <c r="CH134" s="49">
        <f t="shared" si="155"/>
        <v>0</v>
      </c>
      <c r="CI134" s="50">
        <f t="shared" si="156"/>
        <v>0</v>
      </c>
      <c r="CJ134" s="51"/>
      <c r="CK134" s="49">
        <f t="shared" si="157"/>
        <v>0</v>
      </c>
      <c r="CL134" s="50">
        <f t="shared" si="158"/>
        <v>0</v>
      </c>
      <c r="CM134" s="51"/>
      <c r="CN134" s="49">
        <f t="shared" si="159"/>
        <v>0</v>
      </c>
      <c r="CO134" s="50">
        <f t="shared" si="160"/>
        <v>0</v>
      </c>
      <c r="CP134" s="51"/>
      <c r="CQ134" s="49">
        <f t="shared" si="161"/>
        <v>0</v>
      </c>
      <c r="CR134" s="50">
        <f t="shared" si="162"/>
        <v>0</v>
      </c>
      <c r="CS134" s="51"/>
      <c r="CT134" s="49">
        <f t="shared" si="163"/>
        <v>0</v>
      </c>
      <c r="CU134" s="50">
        <f t="shared" si="164"/>
        <v>0</v>
      </c>
      <c r="CV134" s="51"/>
      <c r="CW134" s="49">
        <f t="shared" si="165"/>
        <v>0</v>
      </c>
      <c r="CX134" s="50">
        <f t="shared" si="166"/>
        <v>0</v>
      </c>
      <c r="CY134" s="51"/>
      <c r="CZ134" s="49">
        <f t="shared" si="167"/>
        <v>0</v>
      </c>
      <c r="DA134" s="50">
        <f t="shared" si="168"/>
        <v>0</v>
      </c>
      <c r="DB134" s="51"/>
      <c r="DC134" s="49">
        <f t="shared" si="169"/>
        <v>0</v>
      </c>
      <c r="DD134" s="50">
        <f t="shared" si="170"/>
        <v>0</v>
      </c>
      <c r="DE134" s="51"/>
      <c r="DF134" s="49">
        <f t="shared" si="171"/>
        <v>0</v>
      </c>
      <c r="DG134" s="50">
        <f t="shared" si="172"/>
        <v>0</v>
      </c>
      <c r="DH134" s="51"/>
      <c r="DI134" s="49">
        <f t="shared" si="173"/>
        <v>0</v>
      </c>
      <c r="DJ134" s="50">
        <f t="shared" si="174"/>
        <v>0</v>
      </c>
      <c r="DK134" s="51"/>
      <c r="DL134" s="49">
        <f t="shared" si="175"/>
        <v>0</v>
      </c>
      <c r="DM134" s="50">
        <f t="shared" si="176"/>
        <v>0</v>
      </c>
      <c r="DN134" s="51"/>
      <c r="DO134" s="49">
        <f t="shared" si="177"/>
        <v>0</v>
      </c>
      <c r="DP134" s="50">
        <f t="shared" si="178"/>
        <v>0</v>
      </c>
      <c r="DQ134" s="51"/>
      <c r="DR134" s="51"/>
      <c r="DS134" s="51"/>
      <c r="DT134" s="46">
        <f t="shared" si="187"/>
        <v>6068</v>
      </c>
      <c r="DU134" s="46">
        <f t="shared" si="187"/>
        <v>91876</v>
      </c>
      <c r="DV134" s="46">
        <f t="shared" si="187"/>
        <v>65229.599999999999</v>
      </c>
    </row>
    <row r="135" spans="1:126" x14ac:dyDescent="0.6">
      <c r="A135" s="67"/>
      <c r="B135" s="15" t="s">
        <v>67</v>
      </c>
      <c r="C135" s="16" t="s">
        <v>41</v>
      </c>
      <c r="D135" s="51">
        <v>5425</v>
      </c>
      <c r="E135" s="49">
        <f t="shared" si="101"/>
        <v>75950</v>
      </c>
      <c r="F135" s="50">
        <f t="shared" si="102"/>
        <v>48608</v>
      </c>
      <c r="G135" s="51"/>
      <c r="H135" s="49">
        <f t="shared" si="103"/>
        <v>0</v>
      </c>
      <c r="I135" s="50">
        <f t="shared" si="104"/>
        <v>0</v>
      </c>
      <c r="J135" s="51"/>
      <c r="K135" s="49">
        <f t="shared" si="105"/>
        <v>0</v>
      </c>
      <c r="L135" s="50">
        <f t="shared" si="106"/>
        <v>0</v>
      </c>
      <c r="M135" s="51"/>
      <c r="N135" s="49">
        <f t="shared" si="107"/>
        <v>0</v>
      </c>
      <c r="O135" s="50">
        <f t="shared" si="108"/>
        <v>0</v>
      </c>
      <c r="P135" s="51"/>
      <c r="Q135" s="49">
        <f t="shared" si="109"/>
        <v>0</v>
      </c>
      <c r="R135" s="50">
        <f t="shared" si="110"/>
        <v>0</v>
      </c>
      <c r="S135" s="51">
        <v>40</v>
      </c>
      <c r="T135" s="49">
        <f t="shared" si="111"/>
        <v>560</v>
      </c>
      <c r="U135" s="50">
        <f t="shared" si="112"/>
        <v>358.40000000000003</v>
      </c>
      <c r="V135" s="51">
        <v>10</v>
      </c>
      <c r="W135" s="49">
        <f t="shared" si="113"/>
        <v>140</v>
      </c>
      <c r="X135" s="50">
        <f t="shared" si="114"/>
        <v>89.600000000000009</v>
      </c>
      <c r="Y135" s="51"/>
      <c r="Z135" s="49">
        <f t="shared" si="115"/>
        <v>0</v>
      </c>
      <c r="AA135" s="50">
        <f t="shared" si="116"/>
        <v>0</v>
      </c>
      <c r="AB135" s="51"/>
      <c r="AC135" s="49">
        <f t="shared" si="117"/>
        <v>0</v>
      </c>
      <c r="AD135" s="50">
        <f t="shared" si="118"/>
        <v>0</v>
      </c>
      <c r="AE135" s="51"/>
      <c r="AF135" s="49">
        <f t="shared" si="119"/>
        <v>0</v>
      </c>
      <c r="AG135" s="50">
        <f t="shared" si="120"/>
        <v>0</v>
      </c>
      <c r="AH135" s="51">
        <v>10</v>
      </c>
      <c r="AI135" s="49">
        <f t="shared" si="121"/>
        <v>120</v>
      </c>
      <c r="AJ135" s="50">
        <f t="shared" si="122"/>
        <v>84</v>
      </c>
      <c r="AK135" s="51"/>
      <c r="AL135" s="49">
        <f t="shared" si="123"/>
        <v>0</v>
      </c>
      <c r="AM135" s="50">
        <f t="shared" si="124"/>
        <v>0</v>
      </c>
      <c r="AN135" s="51"/>
      <c r="AO135" s="49">
        <f t="shared" si="125"/>
        <v>0</v>
      </c>
      <c r="AP135" s="50">
        <f t="shared" si="126"/>
        <v>0</v>
      </c>
      <c r="AQ135" s="51"/>
      <c r="AR135" s="49">
        <f t="shared" si="127"/>
        <v>0</v>
      </c>
      <c r="AS135" s="50">
        <f t="shared" si="128"/>
        <v>0</v>
      </c>
      <c r="AT135" s="51"/>
      <c r="AU135" s="49">
        <f t="shared" si="129"/>
        <v>0</v>
      </c>
      <c r="AV135" s="50">
        <f t="shared" si="130"/>
        <v>0</v>
      </c>
      <c r="AW135" s="51">
        <v>4155</v>
      </c>
      <c r="AX135" s="49">
        <f t="shared" si="131"/>
        <v>49860</v>
      </c>
      <c r="AY135" s="50">
        <f t="shared" si="132"/>
        <v>49860</v>
      </c>
      <c r="AZ135" s="51">
        <v>225</v>
      </c>
      <c r="BA135" s="49">
        <f t="shared" si="133"/>
        <v>2700</v>
      </c>
      <c r="BB135" s="50">
        <f t="shared" si="134"/>
        <v>1620</v>
      </c>
      <c r="BC135" s="51">
        <v>465</v>
      </c>
      <c r="BD135" s="49">
        <f t="shared" si="135"/>
        <v>18600</v>
      </c>
      <c r="BE135" s="50">
        <f t="shared" si="136"/>
        <v>6510</v>
      </c>
      <c r="BF135" s="51">
        <v>214</v>
      </c>
      <c r="BG135" s="49">
        <f t="shared" si="137"/>
        <v>2568</v>
      </c>
      <c r="BH135" s="50">
        <f t="shared" si="138"/>
        <v>2568</v>
      </c>
      <c r="BI135" s="51"/>
      <c r="BJ135" s="49">
        <f t="shared" si="139"/>
        <v>0</v>
      </c>
      <c r="BK135" s="50">
        <f t="shared" si="140"/>
        <v>0</v>
      </c>
      <c r="BL135" s="51"/>
      <c r="BM135" s="49">
        <f t="shared" si="141"/>
        <v>0</v>
      </c>
      <c r="BN135" s="50">
        <f t="shared" si="142"/>
        <v>0</v>
      </c>
      <c r="BO135" s="51"/>
      <c r="BP135" s="49">
        <f t="shared" si="143"/>
        <v>0</v>
      </c>
      <c r="BQ135" s="50">
        <f t="shared" si="144"/>
        <v>0</v>
      </c>
      <c r="BR135" s="51"/>
      <c r="BS135" s="49">
        <f t="shared" si="145"/>
        <v>0</v>
      </c>
      <c r="BT135" s="50">
        <f t="shared" si="146"/>
        <v>0</v>
      </c>
      <c r="BU135" s="51"/>
      <c r="BV135" s="49">
        <f t="shared" si="147"/>
        <v>0</v>
      </c>
      <c r="BW135" s="50">
        <f t="shared" si="148"/>
        <v>0</v>
      </c>
      <c r="BX135" s="51"/>
      <c r="BY135" s="49">
        <f t="shared" si="149"/>
        <v>0</v>
      </c>
      <c r="BZ135" s="50">
        <f t="shared" si="150"/>
        <v>0</v>
      </c>
      <c r="CA135" s="51"/>
      <c r="CB135" s="49">
        <f t="shared" si="151"/>
        <v>0</v>
      </c>
      <c r="CC135" s="50">
        <f t="shared" si="152"/>
        <v>0</v>
      </c>
      <c r="CD135" s="51"/>
      <c r="CE135" s="49">
        <f t="shared" si="153"/>
        <v>0</v>
      </c>
      <c r="CF135" s="50">
        <f t="shared" si="154"/>
        <v>0</v>
      </c>
      <c r="CG135" s="51"/>
      <c r="CH135" s="49">
        <f t="shared" si="155"/>
        <v>0</v>
      </c>
      <c r="CI135" s="50">
        <f t="shared" si="156"/>
        <v>0</v>
      </c>
      <c r="CJ135" s="51"/>
      <c r="CK135" s="49">
        <f t="shared" si="157"/>
        <v>0</v>
      </c>
      <c r="CL135" s="50">
        <f t="shared" si="158"/>
        <v>0</v>
      </c>
      <c r="CM135" s="51"/>
      <c r="CN135" s="49">
        <f t="shared" si="159"/>
        <v>0</v>
      </c>
      <c r="CO135" s="50">
        <f t="shared" si="160"/>
        <v>0</v>
      </c>
      <c r="CP135" s="51"/>
      <c r="CQ135" s="49">
        <f t="shared" si="161"/>
        <v>0</v>
      </c>
      <c r="CR135" s="50">
        <f t="shared" si="162"/>
        <v>0</v>
      </c>
      <c r="CS135" s="51"/>
      <c r="CT135" s="49">
        <f t="shared" si="163"/>
        <v>0</v>
      </c>
      <c r="CU135" s="50">
        <f t="shared" si="164"/>
        <v>0</v>
      </c>
      <c r="CV135" s="51"/>
      <c r="CW135" s="49">
        <f t="shared" si="165"/>
        <v>0</v>
      </c>
      <c r="CX135" s="50">
        <f t="shared" si="166"/>
        <v>0</v>
      </c>
      <c r="CY135" s="51"/>
      <c r="CZ135" s="49">
        <f t="shared" si="167"/>
        <v>0</v>
      </c>
      <c r="DA135" s="50">
        <f t="shared" si="168"/>
        <v>0</v>
      </c>
      <c r="DB135" s="51"/>
      <c r="DC135" s="49">
        <f t="shared" si="169"/>
        <v>0</v>
      </c>
      <c r="DD135" s="50">
        <f t="shared" si="170"/>
        <v>0</v>
      </c>
      <c r="DE135" s="51"/>
      <c r="DF135" s="49">
        <f t="shared" si="171"/>
        <v>0</v>
      </c>
      <c r="DG135" s="50">
        <f t="shared" si="172"/>
        <v>0</v>
      </c>
      <c r="DH135" s="51"/>
      <c r="DI135" s="49">
        <f t="shared" si="173"/>
        <v>0</v>
      </c>
      <c r="DJ135" s="50">
        <f t="shared" si="174"/>
        <v>0</v>
      </c>
      <c r="DK135" s="51"/>
      <c r="DL135" s="49">
        <f t="shared" si="175"/>
        <v>0</v>
      </c>
      <c r="DM135" s="50">
        <f t="shared" si="176"/>
        <v>0</v>
      </c>
      <c r="DN135" s="51"/>
      <c r="DO135" s="49">
        <f t="shared" si="177"/>
        <v>0</v>
      </c>
      <c r="DP135" s="50">
        <f t="shared" si="178"/>
        <v>0</v>
      </c>
      <c r="DQ135" s="51"/>
      <c r="DR135" s="51"/>
      <c r="DS135" s="51"/>
      <c r="DT135" s="46">
        <f t="shared" si="187"/>
        <v>10544</v>
      </c>
      <c r="DU135" s="46">
        <f t="shared" si="187"/>
        <v>150498</v>
      </c>
      <c r="DV135" s="46">
        <f t="shared" si="187"/>
        <v>109698</v>
      </c>
    </row>
    <row r="136" spans="1:126" ht="36" x14ac:dyDescent="0.6">
      <c r="A136" s="67"/>
      <c r="B136" s="23" t="s">
        <v>62</v>
      </c>
      <c r="C136" s="16" t="s">
        <v>42</v>
      </c>
      <c r="D136" s="51">
        <v>650</v>
      </c>
      <c r="E136" s="49">
        <f t="shared" si="101"/>
        <v>9100</v>
      </c>
      <c r="F136" s="50">
        <f t="shared" si="102"/>
        <v>5824</v>
      </c>
      <c r="G136" s="51"/>
      <c r="H136" s="49">
        <f t="shared" si="103"/>
        <v>0</v>
      </c>
      <c r="I136" s="50">
        <f t="shared" si="104"/>
        <v>0</v>
      </c>
      <c r="J136" s="51"/>
      <c r="K136" s="49">
        <f t="shared" si="105"/>
        <v>0</v>
      </c>
      <c r="L136" s="50">
        <f t="shared" si="106"/>
        <v>0</v>
      </c>
      <c r="M136" s="51"/>
      <c r="N136" s="49">
        <f t="shared" si="107"/>
        <v>0</v>
      </c>
      <c r="O136" s="50">
        <f t="shared" si="108"/>
        <v>0</v>
      </c>
      <c r="P136" s="51"/>
      <c r="Q136" s="49">
        <f t="shared" si="109"/>
        <v>0</v>
      </c>
      <c r="R136" s="50">
        <f t="shared" si="110"/>
        <v>0</v>
      </c>
      <c r="S136" s="51">
        <v>15</v>
      </c>
      <c r="T136" s="49">
        <f t="shared" si="111"/>
        <v>210</v>
      </c>
      <c r="U136" s="50">
        <f t="shared" si="112"/>
        <v>134.4</v>
      </c>
      <c r="V136" s="51"/>
      <c r="W136" s="49">
        <f t="shared" si="113"/>
        <v>0</v>
      </c>
      <c r="X136" s="50">
        <f t="shared" si="114"/>
        <v>0</v>
      </c>
      <c r="Y136" s="51"/>
      <c r="Z136" s="49">
        <f t="shared" si="115"/>
        <v>0</v>
      </c>
      <c r="AA136" s="50">
        <f t="shared" si="116"/>
        <v>0</v>
      </c>
      <c r="AB136" s="51"/>
      <c r="AC136" s="49">
        <f t="shared" si="117"/>
        <v>0</v>
      </c>
      <c r="AD136" s="50">
        <f t="shared" si="118"/>
        <v>0</v>
      </c>
      <c r="AE136" s="51"/>
      <c r="AF136" s="49">
        <f t="shared" si="119"/>
        <v>0</v>
      </c>
      <c r="AG136" s="50">
        <f t="shared" si="120"/>
        <v>0</v>
      </c>
      <c r="AH136" s="51">
        <v>13</v>
      </c>
      <c r="AI136" s="49">
        <f t="shared" si="121"/>
        <v>156</v>
      </c>
      <c r="AJ136" s="50">
        <f t="shared" si="122"/>
        <v>109.19999999999999</v>
      </c>
      <c r="AK136" s="51"/>
      <c r="AL136" s="49">
        <f t="shared" si="123"/>
        <v>0</v>
      </c>
      <c r="AM136" s="50">
        <f t="shared" si="124"/>
        <v>0</v>
      </c>
      <c r="AN136" s="51"/>
      <c r="AO136" s="49">
        <f t="shared" si="125"/>
        <v>0</v>
      </c>
      <c r="AP136" s="50">
        <f t="shared" si="126"/>
        <v>0</v>
      </c>
      <c r="AQ136" s="51"/>
      <c r="AR136" s="49">
        <f t="shared" si="127"/>
        <v>0</v>
      </c>
      <c r="AS136" s="50">
        <f t="shared" si="128"/>
        <v>0</v>
      </c>
      <c r="AT136" s="51"/>
      <c r="AU136" s="49">
        <f t="shared" si="129"/>
        <v>0</v>
      </c>
      <c r="AV136" s="50">
        <f t="shared" si="130"/>
        <v>0</v>
      </c>
      <c r="AW136" s="51">
        <v>1040</v>
      </c>
      <c r="AX136" s="49">
        <f t="shared" si="131"/>
        <v>12480</v>
      </c>
      <c r="AY136" s="50">
        <f t="shared" si="132"/>
        <v>12480</v>
      </c>
      <c r="AZ136" s="51">
        <v>30</v>
      </c>
      <c r="BA136" s="49">
        <f t="shared" si="133"/>
        <v>360</v>
      </c>
      <c r="BB136" s="50">
        <f t="shared" si="134"/>
        <v>216</v>
      </c>
      <c r="BC136" s="51">
        <v>104</v>
      </c>
      <c r="BD136" s="49">
        <f t="shared" si="135"/>
        <v>4160</v>
      </c>
      <c r="BE136" s="50">
        <f t="shared" si="136"/>
        <v>1456</v>
      </c>
      <c r="BF136" s="51">
        <v>135</v>
      </c>
      <c r="BG136" s="49">
        <f t="shared" si="137"/>
        <v>1620</v>
      </c>
      <c r="BH136" s="50">
        <f t="shared" si="138"/>
        <v>1620</v>
      </c>
      <c r="BI136" s="51"/>
      <c r="BJ136" s="49">
        <f t="shared" si="139"/>
        <v>0</v>
      </c>
      <c r="BK136" s="50">
        <f t="shared" si="140"/>
        <v>0</v>
      </c>
      <c r="BL136" s="51"/>
      <c r="BM136" s="49">
        <f t="shared" si="141"/>
        <v>0</v>
      </c>
      <c r="BN136" s="50">
        <f t="shared" si="142"/>
        <v>0</v>
      </c>
      <c r="BO136" s="51"/>
      <c r="BP136" s="49">
        <f t="shared" si="143"/>
        <v>0</v>
      </c>
      <c r="BQ136" s="50">
        <f t="shared" si="144"/>
        <v>0</v>
      </c>
      <c r="BR136" s="51"/>
      <c r="BS136" s="49">
        <f t="shared" si="145"/>
        <v>0</v>
      </c>
      <c r="BT136" s="50">
        <f t="shared" si="146"/>
        <v>0</v>
      </c>
      <c r="BU136" s="51"/>
      <c r="BV136" s="49">
        <f t="shared" si="147"/>
        <v>0</v>
      </c>
      <c r="BW136" s="50">
        <f t="shared" si="148"/>
        <v>0</v>
      </c>
      <c r="BX136" s="51"/>
      <c r="BY136" s="49">
        <f t="shared" si="149"/>
        <v>0</v>
      </c>
      <c r="BZ136" s="50">
        <f t="shared" si="150"/>
        <v>0</v>
      </c>
      <c r="CA136" s="51"/>
      <c r="CB136" s="49">
        <f t="shared" si="151"/>
        <v>0</v>
      </c>
      <c r="CC136" s="50">
        <f t="shared" si="152"/>
        <v>0</v>
      </c>
      <c r="CD136" s="51"/>
      <c r="CE136" s="49">
        <f t="shared" si="153"/>
        <v>0</v>
      </c>
      <c r="CF136" s="50">
        <f t="shared" si="154"/>
        <v>0</v>
      </c>
      <c r="CG136" s="51"/>
      <c r="CH136" s="49">
        <f t="shared" si="155"/>
        <v>0</v>
      </c>
      <c r="CI136" s="50">
        <f t="shared" si="156"/>
        <v>0</v>
      </c>
      <c r="CJ136" s="51"/>
      <c r="CK136" s="49">
        <f t="shared" si="157"/>
        <v>0</v>
      </c>
      <c r="CL136" s="50">
        <f t="shared" si="158"/>
        <v>0</v>
      </c>
      <c r="CM136" s="51"/>
      <c r="CN136" s="49">
        <f t="shared" si="159"/>
        <v>0</v>
      </c>
      <c r="CO136" s="50">
        <f t="shared" si="160"/>
        <v>0</v>
      </c>
      <c r="CP136" s="51"/>
      <c r="CQ136" s="49">
        <f t="shared" si="161"/>
        <v>0</v>
      </c>
      <c r="CR136" s="50">
        <f t="shared" si="162"/>
        <v>0</v>
      </c>
      <c r="CS136" s="51"/>
      <c r="CT136" s="49">
        <f t="shared" si="163"/>
        <v>0</v>
      </c>
      <c r="CU136" s="50">
        <f t="shared" si="164"/>
        <v>0</v>
      </c>
      <c r="CV136" s="51"/>
      <c r="CW136" s="49">
        <f t="shared" si="165"/>
        <v>0</v>
      </c>
      <c r="CX136" s="50">
        <f t="shared" si="166"/>
        <v>0</v>
      </c>
      <c r="CY136" s="51"/>
      <c r="CZ136" s="49">
        <f t="shared" si="167"/>
        <v>0</v>
      </c>
      <c r="DA136" s="50">
        <f t="shared" si="168"/>
        <v>0</v>
      </c>
      <c r="DB136" s="51"/>
      <c r="DC136" s="49">
        <f t="shared" si="169"/>
        <v>0</v>
      </c>
      <c r="DD136" s="50">
        <f t="shared" si="170"/>
        <v>0</v>
      </c>
      <c r="DE136" s="51"/>
      <c r="DF136" s="49">
        <f t="shared" si="171"/>
        <v>0</v>
      </c>
      <c r="DG136" s="50">
        <f t="shared" si="172"/>
        <v>0</v>
      </c>
      <c r="DH136" s="51"/>
      <c r="DI136" s="49">
        <f t="shared" si="173"/>
        <v>0</v>
      </c>
      <c r="DJ136" s="50">
        <f t="shared" si="174"/>
        <v>0</v>
      </c>
      <c r="DK136" s="51"/>
      <c r="DL136" s="49">
        <f t="shared" si="175"/>
        <v>0</v>
      </c>
      <c r="DM136" s="50">
        <f t="shared" si="176"/>
        <v>0</v>
      </c>
      <c r="DN136" s="51"/>
      <c r="DO136" s="49">
        <f t="shared" si="177"/>
        <v>0</v>
      </c>
      <c r="DP136" s="50">
        <f t="shared" si="178"/>
        <v>0</v>
      </c>
      <c r="DQ136" s="51"/>
      <c r="DR136" s="51"/>
      <c r="DS136" s="51"/>
      <c r="DT136" s="46">
        <f t="shared" si="187"/>
        <v>1987</v>
      </c>
      <c r="DU136" s="46">
        <f t="shared" si="187"/>
        <v>28086</v>
      </c>
      <c r="DV136" s="46">
        <f t="shared" si="187"/>
        <v>21839.599999999999</v>
      </c>
    </row>
    <row r="137" spans="1:126" x14ac:dyDescent="0.6">
      <c r="A137" s="67"/>
      <c r="B137" s="15" t="s">
        <v>64</v>
      </c>
      <c r="C137" s="16" t="s">
        <v>42</v>
      </c>
      <c r="D137" s="51">
        <v>825</v>
      </c>
      <c r="E137" s="49">
        <f t="shared" si="101"/>
        <v>11550</v>
      </c>
      <c r="F137" s="50">
        <f t="shared" si="102"/>
        <v>7392</v>
      </c>
      <c r="G137" s="51"/>
      <c r="H137" s="49">
        <f t="shared" si="103"/>
        <v>0</v>
      </c>
      <c r="I137" s="50">
        <f t="shared" si="104"/>
        <v>0</v>
      </c>
      <c r="J137" s="51"/>
      <c r="K137" s="49">
        <f t="shared" si="105"/>
        <v>0</v>
      </c>
      <c r="L137" s="50">
        <f t="shared" si="106"/>
        <v>0</v>
      </c>
      <c r="M137" s="51"/>
      <c r="N137" s="49">
        <f t="shared" si="107"/>
        <v>0</v>
      </c>
      <c r="O137" s="50">
        <f t="shared" si="108"/>
        <v>0</v>
      </c>
      <c r="P137" s="51"/>
      <c r="Q137" s="49">
        <f t="shared" si="109"/>
        <v>0</v>
      </c>
      <c r="R137" s="50">
        <f t="shared" si="110"/>
        <v>0</v>
      </c>
      <c r="S137" s="51"/>
      <c r="T137" s="49">
        <f t="shared" si="111"/>
        <v>0</v>
      </c>
      <c r="U137" s="50">
        <f t="shared" si="112"/>
        <v>0</v>
      </c>
      <c r="V137" s="51">
        <v>13</v>
      </c>
      <c r="W137" s="49">
        <f t="shared" si="113"/>
        <v>182</v>
      </c>
      <c r="X137" s="50">
        <f t="shared" si="114"/>
        <v>116.48</v>
      </c>
      <c r="Y137" s="51"/>
      <c r="Z137" s="49">
        <f t="shared" si="115"/>
        <v>0</v>
      </c>
      <c r="AA137" s="50">
        <f t="shared" si="116"/>
        <v>0</v>
      </c>
      <c r="AB137" s="51"/>
      <c r="AC137" s="49">
        <f t="shared" si="117"/>
        <v>0</v>
      </c>
      <c r="AD137" s="50">
        <f t="shared" si="118"/>
        <v>0</v>
      </c>
      <c r="AE137" s="51"/>
      <c r="AF137" s="49">
        <f t="shared" si="119"/>
        <v>0</v>
      </c>
      <c r="AG137" s="50">
        <f t="shared" si="120"/>
        <v>0</v>
      </c>
      <c r="AH137" s="51"/>
      <c r="AI137" s="49">
        <f t="shared" si="121"/>
        <v>0</v>
      </c>
      <c r="AJ137" s="50">
        <f t="shared" si="122"/>
        <v>0</v>
      </c>
      <c r="AK137" s="51"/>
      <c r="AL137" s="49">
        <f t="shared" si="123"/>
        <v>0</v>
      </c>
      <c r="AM137" s="50">
        <f t="shared" si="124"/>
        <v>0</v>
      </c>
      <c r="AN137" s="51"/>
      <c r="AO137" s="49">
        <f t="shared" si="125"/>
        <v>0</v>
      </c>
      <c r="AP137" s="50">
        <f t="shared" si="126"/>
        <v>0</v>
      </c>
      <c r="AQ137" s="51"/>
      <c r="AR137" s="49">
        <f t="shared" si="127"/>
        <v>0</v>
      </c>
      <c r="AS137" s="50">
        <f t="shared" si="128"/>
        <v>0</v>
      </c>
      <c r="AT137" s="51"/>
      <c r="AU137" s="49">
        <f t="shared" si="129"/>
        <v>0</v>
      </c>
      <c r="AV137" s="50">
        <f t="shared" si="130"/>
        <v>0</v>
      </c>
      <c r="AW137" s="51">
        <v>445</v>
      </c>
      <c r="AX137" s="49">
        <f t="shared" si="131"/>
        <v>5340</v>
      </c>
      <c r="AY137" s="50">
        <f t="shared" si="132"/>
        <v>5340</v>
      </c>
      <c r="AZ137" s="51">
        <v>15</v>
      </c>
      <c r="BA137" s="49">
        <f t="shared" si="133"/>
        <v>180</v>
      </c>
      <c r="BB137" s="50">
        <f t="shared" si="134"/>
        <v>108</v>
      </c>
      <c r="BC137" s="51">
        <v>66</v>
      </c>
      <c r="BD137" s="49">
        <f t="shared" si="135"/>
        <v>2640</v>
      </c>
      <c r="BE137" s="50">
        <f t="shared" si="136"/>
        <v>923.99999999999989</v>
      </c>
      <c r="BF137" s="51">
        <v>15</v>
      </c>
      <c r="BG137" s="49">
        <f t="shared" si="137"/>
        <v>180</v>
      </c>
      <c r="BH137" s="50">
        <f t="shared" si="138"/>
        <v>180</v>
      </c>
      <c r="BI137" s="51"/>
      <c r="BJ137" s="49">
        <f t="shared" si="139"/>
        <v>0</v>
      </c>
      <c r="BK137" s="50">
        <f t="shared" si="140"/>
        <v>0</v>
      </c>
      <c r="BL137" s="51">
        <v>3</v>
      </c>
      <c r="BM137" s="49">
        <f t="shared" si="141"/>
        <v>120</v>
      </c>
      <c r="BN137" s="50">
        <f t="shared" si="142"/>
        <v>42</v>
      </c>
      <c r="BO137" s="51"/>
      <c r="BP137" s="49">
        <f t="shared" si="143"/>
        <v>0</v>
      </c>
      <c r="BQ137" s="50">
        <f t="shared" si="144"/>
        <v>0</v>
      </c>
      <c r="BR137" s="51"/>
      <c r="BS137" s="49">
        <f t="shared" si="145"/>
        <v>0</v>
      </c>
      <c r="BT137" s="50">
        <f t="shared" si="146"/>
        <v>0</v>
      </c>
      <c r="BU137" s="51"/>
      <c r="BV137" s="49">
        <f t="shared" si="147"/>
        <v>0</v>
      </c>
      <c r="BW137" s="50">
        <f t="shared" si="148"/>
        <v>0</v>
      </c>
      <c r="BX137" s="51"/>
      <c r="BY137" s="49">
        <f t="shared" si="149"/>
        <v>0</v>
      </c>
      <c r="BZ137" s="50">
        <f t="shared" si="150"/>
        <v>0</v>
      </c>
      <c r="CA137" s="51"/>
      <c r="CB137" s="49">
        <f t="shared" si="151"/>
        <v>0</v>
      </c>
      <c r="CC137" s="50">
        <f t="shared" si="152"/>
        <v>0</v>
      </c>
      <c r="CD137" s="51"/>
      <c r="CE137" s="49">
        <f t="shared" si="153"/>
        <v>0</v>
      </c>
      <c r="CF137" s="50">
        <f t="shared" si="154"/>
        <v>0</v>
      </c>
      <c r="CG137" s="51"/>
      <c r="CH137" s="49">
        <f t="shared" si="155"/>
        <v>0</v>
      </c>
      <c r="CI137" s="50">
        <f t="shared" si="156"/>
        <v>0</v>
      </c>
      <c r="CJ137" s="51"/>
      <c r="CK137" s="49">
        <f t="shared" si="157"/>
        <v>0</v>
      </c>
      <c r="CL137" s="50">
        <f t="shared" si="158"/>
        <v>0</v>
      </c>
      <c r="CM137" s="51"/>
      <c r="CN137" s="49">
        <f t="shared" si="159"/>
        <v>0</v>
      </c>
      <c r="CO137" s="50">
        <f t="shared" si="160"/>
        <v>0</v>
      </c>
      <c r="CP137" s="51"/>
      <c r="CQ137" s="49">
        <f t="shared" si="161"/>
        <v>0</v>
      </c>
      <c r="CR137" s="50">
        <f t="shared" si="162"/>
        <v>0</v>
      </c>
      <c r="CS137" s="51"/>
      <c r="CT137" s="49">
        <f t="shared" si="163"/>
        <v>0</v>
      </c>
      <c r="CU137" s="50">
        <f t="shared" si="164"/>
        <v>0</v>
      </c>
      <c r="CV137" s="51"/>
      <c r="CW137" s="49">
        <f t="shared" si="165"/>
        <v>0</v>
      </c>
      <c r="CX137" s="50">
        <f t="shared" si="166"/>
        <v>0</v>
      </c>
      <c r="CY137" s="51"/>
      <c r="CZ137" s="49">
        <f t="shared" si="167"/>
        <v>0</v>
      </c>
      <c r="DA137" s="50">
        <f t="shared" si="168"/>
        <v>0</v>
      </c>
      <c r="DB137" s="51"/>
      <c r="DC137" s="49">
        <f t="shared" si="169"/>
        <v>0</v>
      </c>
      <c r="DD137" s="50">
        <f t="shared" si="170"/>
        <v>0</v>
      </c>
      <c r="DE137" s="51"/>
      <c r="DF137" s="49">
        <f t="shared" si="171"/>
        <v>0</v>
      </c>
      <c r="DG137" s="50">
        <f t="shared" si="172"/>
        <v>0</v>
      </c>
      <c r="DH137" s="51"/>
      <c r="DI137" s="49">
        <f t="shared" si="173"/>
        <v>0</v>
      </c>
      <c r="DJ137" s="50">
        <f t="shared" si="174"/>
        <v>0</v>
      </c>
      <c r="DK137" s="51"/>
      <c r="DL137" s="49">
        <f t="shared" si="175"/>
        <v>0</v>
      </c>
      <c r="DM137" s="50">
        <f t="shared" si="176"/>
        <v>0</v>
      </c>
      <c r="DN137" s="51"/>
      <c r="DO137" s="49">
        <f t="shared" si="177"/>
        <v>0</v>
      </c>
      <c r="DP137" s="50">
        <f t="shared" si="178"/>
        <v>0</v>
      </c>
      <c r="DQ137" s="51"/>
      <c r="DR137" s="51"/>
      <c r="DS137" s="51"/>
      <c r="DT137" s="46">
        <f t="shared" si="187"/>
        <v>1382</v>
      </c>
      <c r="DU137" s="46">
        <f t="shared" si="187"/>
        <v>20192</v>
      </c>
      <c r="DV137" s="46">
        <f t="shared" si="187"/>
        <v>14102.48</v>
      </c>
    </row>
    <row r="138" spans="1:126" ht="21.75" thickBot="1" x14ac:dyDescent="0.65">
      <c r="A138" s="67"/>
      <c r="B138" s="15" t="s">
        <v>67</v>
      </c>
      <c r="C138" s="16" t="s">
        <v>42</v>
      </c>
      <c r="D138" s="51">
        <v>590</v>
      </c>
      <c r="E138" s="49">
        <f t="shared" si="101"/>
        <v>8260</v>
      </c>
      <c r="F138" s="50">
        <f t="shared" si="102"/>
        <v>5286.4000000000005</v>
      </c>
      <c r="G138" s="51"/>
      <c r="H138" s="49">
        <f t="shared" si="103"/>
        <v>0</v>
      </c>
      <c r="I138" s="50">
        <f t="shared" si="104"/>
        <v>0</v>
      </c>
      <c r="J138" s="51"/>
      <c r="K138" s="49">
        <f t="shared" si="105"/>
        <v>0</v>
      </c>
      <c r="L138" s="50">
        <f t="shared" si="106"/>
        <v>0</v>
      </c>
      <c r="M138" s="51"/>
      <c r="N138" s="49">
        <f t="shared" si="107"/>
        <v>0</v>
      </c>
      <c r="O138" s="50">
        <f t="shared" si="108"/>
        <v>0</v>
      </c>
      <c r="P138" s="51"/>
      <c r="Q138" s="49">
        <f t="shared" si="109"/>
        <v>0</v>
      </c>
      <c r="R138" s="50">
        <f t="shared" si="110"/>
        <v>0</v>
      </c>
      <c r="S138" s="51">
        <v>10</v>
      </c>
      <c r="T138" s="49">
        <f t="shared" si="111"/>
        <v>140</v>
      </c>
      <c r="U138" s="50">
        <f t="shared" si="112"/>
        <v>89.600000000000009</v>
      </c>
      <c r="V138" s="51"/>
      <c r="W138" s="49">
        <f t="shared" si="113"/>
        <v>0</v>
      </c>
      <c r="X138" s="50">
        <f t="shared" si="114"/>
        <v>0</v>
      </c>
      <c r="Y138" s="51"/>
      <c r="Z138" s="49">
        <f t="shared" si="115"/>
        <v>0</v>
      </c>
      <c r="AA138" s="50">
        <f t="shared" si="116"/>
        <v>0</v>
      </c>
      <c r="AB138" s="51"/>
      <c r="AC138" s="49">
        <f t="shared" si="117"/>
        <v>0</v>
      </c>
      <c r="AD138" s="50">
        <f t="shared" si="118"/>
        <v>0</v>
      </c>
      <c r="AE138" s="51"/>
      <c r="AF138" s="49">
        <f t="shared" si="119"/>
        <v>0</v>
      </c>
      <c r="AG138" s="50">
        <f t="shared" si="120"/>
        <v>0</v>
      </c>
      <c r="AH138" s="51"/>
      <c r="AI138" s="49">
        <f t="shared" si="121"/>
        <v>0</v>
      </c>
      <c r="AJ138" s="50">
        <f t="shared" si="122"/>
        <v>0</v>
      </c>
      <c r="AK138" s="51"/>
      <c r="AL138" s="49">
        <f t="shared" si="123"/>
        <v>0</v>
      </c>
      <c r="AM138" s="50">
        <f t="shared" si="124"/>
        <v>0</v>
      </c>
      <c r="AN138" s="51"/>
      <c r="AO138" s="49">
        <f t="shared" si="125"/>
        <v>0</v>
      </c>
      <c r="AP138" s="50">
        <f t="shared" si="126"/>
        <v>0</v>
      </c>
      <c r="AQ138" s="51"/>
      <c r="AR138" s="49">
        <f t="shared" si="127"/>
        <v>0</v>
      </c>
      <c r="AS138" s="50">
        <f t="shared" si="128"/>
        <v>0</v>
      </c>
      <c r="AT138" s="51"/>
      <c r="AU138" s="49">
        <f t="shared" si="129"/>
        <v>0</v>
      </c>
      <c r="AV138" s="50">
        <f t="shared" si="130"/>
        <v>0</v>
      </c>
      <c r="AW138" s="51">
        <v>410</v>
      </c>
      <c r="AX138" s="49">
        <f t="shared" si="131"/>
        <v>4920</v>
      </c>
      <c r="AY138" s="50">
        <f t="shared" si="132"/>
        <v>4920</v>
      </c>
      <c r="AZ138" s="51"/>
      <c r="BA138" s="49">
        <f t="shared" si="133"/>
        <v>0</v>
      </c>
      <c r="BB138" s="50">
        <f t="shared" si="134"/>
        <v>0</v>
      </c>
      <c r="BC138" s="51">
        <v>50</v>
      </c>
      <c r="BD138" s="49">
        <f t="shared" si="135"/>
        <v>2000</v>
      </c>
      <c r="BE138" s="50">
        <f t="shared" si="136"/>
        <v>700</v>
      </c>
      <c r="BF138" s="51"/>
      <c r="BG138" s="49">
        <f t="shared" si="137"/>
        <v>0</v>
      </c>
      <c r="BH138" s="50">
        <f t="shared" si="138"/>
        <v>0</v>
      </c>
      <c r="BI138" s="51"/>
      <c r="BJ138" s="49">
        <f t="shared" si="139"/>
        <v>0</v>
      </c>
      <c r="BK138" s="50">
        <f t="shared" si="140"/>
        <v>0</v>
      </c>
      <c r="BL138" s="51"/>
      <c r="BM138" s="49">
        <f t="shared" si="141"/>
        <v>0</v>
      </c>
      <c r="BN138" s="50">
        <f t="shared" si="142"/>
        <v>0</v>
      </c>
      <c r="BO138" s="51"/>
      <c r="BP138" s="49">
        <f t="shared" si="143"/>
        <v>0</v>
      </c>
      <c r="BQ138" s="50">
        <f t="shared" si="144"/>
        <v>0</v>
      </c>
      <c r="BR138" s="51"/>
      <c r="BS138" s="49">
        <f t="shared" si="145"/>
        <v>0</v>
      </c>
      <c r="BT138" s="50">
        <f t="shared" si="146"/>
        <v>0</v>
      </c>
      <c r="BU138" s="51"/>
      <c r="BV138" s="49">
        <f t="shared" si="147"/>
        <v>0</v>
      </c>
      <c r="BW138" s="50">
        <f t="shared" si="148"/>
        <v>0</v>
      </c>
      <c r="BX138" s="51"/>
      <c r="BY138" s="49">
        <f t="shared" si="149"/>
        <v>0</v>
      </c>
      <c r="BZ138" s="50">
        <f t="shared" si="150"/>
        <v>0</v>
      </c>
      <c r="CA138" s="51"/>
      <c r="CB138" s="49">
        <f t="shared" si="151"/>
        <v>0</v>
      </c>
      <c r="CC138" s="50">
        <f t="shared" si="152"/>
        <v>0</v>
      </c>
      <c r="CD138" s="51"/>
      <c r="CE138" s="49">
        <f t="shared" si="153"/>
        <v>0</v>
      </c>
      <c r="CF138" s="50">
        <f t="shared" si="154"/>
        <v>0</v>
      </c>
      <c r="CG138" s="51"/>
      <c r="CH138" s="49">
        <f t="shared" si="155"/>
        <v>0</v>
      </c>
      <c r="CI138" s="50">
        <f t="shared" si="156"/>
        <v>0</v>
      </c>
      <c r="CJ138" s="51"/>
      <c r="CK138" s="49">
        <f t="shared" si="157"/>
        <v>0</v>
      </c>
      <c r="CL138" s="50">
        <f t="shared" si="158"/>
        <v>0</v>
      </c>
      <c r="CM138" s="51"/>
      <c r="CN138" s="49">
        <f t="shared" si="159"/>
        <v>0</v>
      </c>
      <c r="CO138" s="50">
        <f t="shared" si="160"/>
        <v>0</v>
      </c>
      <c r="CP138" s="51"/>
      <c r="CQ138" s="49">
        <f t="shared" si="161"/>
        <v>0</v>
      </c>
      <c r="CR138" s="50">
        <f t="shared" si="162"/>
        <v>0</v>
      </c>
      <c r="CS138" s="51"/>
      <c r="CT138" s="49">
        <f t="shared" si="163"/>
        <v>0</v>
      </c>
      <c r="CU138" s="50">
        <f t="shared" si="164"/>
        <v>0</v>
      </c>
      <c r="CV138" s="51">
        <v>10</v>
      </c>
      <c r="CW138" s="49">
        <f t="shared" si="165"/>
        <v>200</v>
      </c>
      <c r="CX138" s="50">
        <f t="shared" si="166"/>
        <v>200</v>
      </c>
      <c r="CY138" s="51"/>
      <c r="CZ138" s="49">
        <f t="shared" si="167"/>
        <v>0</v>
      </c>
      <c r="DA138" s="50">
        <f t="shared" si="168"/>
        <v>0</v>
      </c>
      <c r="DB138" s="51"/>
      <c r="DC138" s="49">
        <f t="shared" si="169"/>
        <v>0</v>
      </c>
      <c r="DD138" s="50">
        <f t="shared" si="170"/>
        <v>0</v>
      </c>
      <c r="DE138" s="51"/>
      <c r="DF138" s="49">
        <f t="shared" si="171"/>
        <v>0</v>
      </c>
      <c r="DG138" s="50">
        <f t="shared" si="172"/>
        <v>0</v>
      </c>
      <c r="DH138" s="51"/>
      <c r="DI138" s="49">
        <f t="shared" si="173"/>
        <v>0</v>
      </c>
      <c r="DJ138" s="50">
        <f t="shared" si="174"/>
        <v>0</v>
      </c>
      <c r="DK138" s="51"/>
      <c r="DL138" s="49">
        <f t="shared" si="175"/>
        <v>0</v>
      </c>
      <c r="DM138" s="50">
        <f t="shared" si="176"/>
        <v>0</v>
      </c>
      <c r="DN138" s="51"/>
      <c r="DO138" s="49">
        <f t="shared" si="177"/>
        <v>0</v>
      </c>
      <c r="DP138" s="50">
        <f t="shared" si="178"/>
        <v>0</v>
      </c>
      <c r="DQ138" s="51"/>
      <c r="DR138" s="51"/>
      <c r="DS138" s="51"/>
      <c r="DT138" s="46">
        <f t="shared" si="187"/>
        <v>1070</v>
      </c>
      <c r="DU138" s="46">
        <f t="shared" si="187"/>
        <v>15520</v>
      </c>
      <c r="DV138" s="46">
        <f t="shared" si="187"/>
        <v>11196</v>
      </c>
    </row>
    <row r="139" spans="1:126" ht="21.75" thickBot="1" x14ac:dyDescent="0.65">
      <c r="A139" s="87"/>
      <c r="B139" s="32"/>
      <c r="C139" s="31"/>
      <c r="D139" s="52">
        <f>SUM(D129:D138)</f>
        <v>10555</v>
      </c>
      <c r="E139" s="52">
        <f>SUM(E129:E138)</f>
        <v>147770</v>
      </c>
      <c r="F139" s="53">
        <f>SUM(F129:F138)</f>
        <v>94572.799999999988</v>
      </c>
      <c r="G139" s="52">
        <f t="shared" ref="G139:BR139" si="188">SUM(G129:G138)</f>
        <v>0</v>
      </c>
      <c r="H139" s="52">
        <f t="shared" si="188"/>
        <v>0</v>
      </c>
      <c r="I139" s="53">
        <f t="shared" si="188"/>
        <v>0</v>
      </c>
      <c r="J139" s="52">
        <f t="shared" si="188"/>
        <v>0</v>
      </c>
      <c r="K139" s="52">
        <f t="shared" si="188"/>
        <v>0</v>
      </c>
      <c r="L139" s="53">
        <f t="shared" si="188"/>
        <v>0</v>
      </c>
      <c r="M139" s="52">
        <f t="shared" si="188"/>
        <v>50</v>
      </c>
      <c r="N139" s="52">
        <f t="shared" si="188"/>
        <v>700</v>
      </c>
      <c r="O139" s="53">
        <f t="shared" si="188"/>
        <v>448</v>
      </c>
      <c r="P139" s="52">
        <f t="shared" si="188"/>
        <v>0</v>
      </c>
      <c r="Q139" s="52">
        <f t="shared" si="188"/>
        <v>0</v>
      </c>
      <c r="R139" s="53">
        <f t="shared" si="188"/>
        <v>0</v>
      </c>
      <c r="S139" s="52">
        <f t="shared" si="188"/>
        <v>119</v>
      </c>
      <c r="T139" s="52">
        <f t="shared" si="188"/>
        <v>1666</v>
      </c>
      <c r="U139" s="53">
        <f t="shared" si="188"/>
        <v>1066.24</v>
      </c>
      <c r="V139" s="52">
        <f t="shared" si="188"/>
        <v>133</v>
      </c>
      <c r="W139" s="52">
        <f t="shared" si="188"/>
        <v>1862</v>
      </c>
      <c r="X139" s="53">
        <f t="shared" si="188"/>
        <v>1191.68</v>
      </c>
      <c r="Y139" s="52">
        <f t="shared" si="188"/>
        <v>0</v>
      </c>
      <c r="Z139" s="52">
        <f t="shared" si="188"/>
        <v>0</v>
      </c>
      <c r="AA139" s="53">
        <f t="shared" si="188"/>
        <v>0</v>
      </c>
      <c r="AB139" s="52">
        <f t="shared" si="188"/>
        <v>0</v>
      </c>
      <c r="AC139" s="52">
        <f t="shared" si="188"/>
        <v>0</v>
      </c>
      <c r="AD139" s="53">
        <f t="shared" si="188"/>
        <v>0</v>
      </c>
      <c r="AE139" s="52">
        <f t="shared" si="188"/>
        <v>0</v>
      </c>
      <c r="AF139" s="52">
        <f t="shared" si="188"/>
        <v>0</v>
      </c>
      <c r="AG139" s="53">
        <f t="shared" si="188"/>
        <v>0</v>
      </c>
      <c r="AH139" s="52">
        <f t="shared" si="188"/>
        <v>115</v>
      </c>
      <c r="AI139" s="52">
        <f t="shared" si="188"/>
        <v>1380</v>
      </c>
      <c r="AJ139" s="53">
        <f t="shared" si="188"/>
        <v>966</v>
      </c>
      <c r="AK139" s="52">
        <f t="shared" si="188"/>
        <v>0</v>
      </c>
      <c r="AL139" s="52">
        <f t="shared" si="188"/>
        <v>0</v>
      </c>
      <c r="AM139" s="53">
        <f t="shared" si="188"/>
        <v>0</v>
      </c>
      <c r="AN139" s="52">
        <f t="shared" si="188"/>
        <v>3.1666666666666665</v>
      </c>
      <c r="AO139" s="52">
        <f t="shared" si="188"/>
        <v>38</v>
      </c>
      <c r="AP139" s="53">
        <f t="shared" si="188"/>
        <v>26.599999999999998</v>
      </c>
      <c r="AQ139" s="52">
        <f t="shared" si="188"/>
        <v>8.7083333333333321</v>
      </c>
      <c r="AR139" s="52">
        <f t="shared" si="188"/>
        <v>208.99999999999997</v>
      </c>
      <c r="AS139" s="53">
        <f t="shared" si="188"/>
        <v>73.149999999999991</v>
      </c>
      <c r="AT139" s="52">
        <f t="shared" si="188"/>
        <v>0</v>
      </c>
      <c r="AU139" s="52">
        <f t="shared" si="188"/>
        <v>0</v>
      </c>
      <c r="AV139" s="53">
        <f t="shared" si="188"/>
        <v>0</v>
      </c>
      <c r="AW139" s="52">
        <f t="shared" si="188"/>
        <v>11442</v>
      </c>
      <c r="AX139" s="52">
        <f t="shared" si="188"/>
        <v>137304</v>
      </c>
      <c r="AY139" s="53">
        <f t="shared" si="188"/>
        <v>137304</v>
      </c>
      <c r="AZ139" s="52">
        <f t="shared" si="188"/>
        <v>888</v>
      </c>
      <c r="BA139" s="52">
        <f t="shared" si="188"/>
        <v>10656</v>
      </c>
      <c r="BB139" s="53">
        <f t="shared" si="188"/>
        <v>6393.6</v>
      </c>
      <c r="BC139" s="52">
        <f t="shared" si="188"/>
        <v>1470</v>
      </c>
      <c r="BD139" s="52">
        <f t="shared" si="188"/>
        <v>58800</v>
      </c>
      <c r="BE139" s="53">
        <f t="shared" si="188"/>
        <v>20580</v>
      </c>
      <c r="BF139" s="52">
        <f t="shared" si="188"/>
        <v>768.33333333333337</v>
      </c>
      <c r="BG139" s="52">
        <f t="shared" si="188"/>
        <v>9220</v>
      </c>
      <c r="BH139" s="53">
        <f t="shared" si="188"/>
        <v>9220</v>
      </c>
      <c r="BI139" s="52">
        <f t="shared" si="188"/>
        <v>0</v>
      </c>
      <c r="BJ139" s="52">
        <f t="shared" si="188"/>
        <v>0</v>
      </c>
      <c r="BK139" s="53">
        <f t="shared" si="188"/>
        <v>0</v>
      </c>
      <c r="BL139" s="52">
        <f t="shared" si="188"/>
        <v>52</v>
      </c>
      <c r="BM139" s="52">
        <f t="shared" si="188"/>
        <v>2080</v>
      </c>
      <c r="BN139" s="53">
        <f t="shared" si="188"/>
        <v>728</v>
      </c>
      <c r="BO139" s="52">
        <f t="shared" si="188"/>
        <v>0</v>
      </c>
      <c r="BP139" s="52">
        <f t="shared" si="188"/>
        <v>0</v>
      </c>
      <c r="BQ139" s="53">
        <f t="shared" si="188"/>
        <v>0</v>
      </c>
      <c r="BR139" s="52">
        <f t="shared" si="188"/>
        <v>0</v>
      </c>
      <c r="BS139" s="52">
        <f t="shared" ref="BS139:DV139" si="189">SUM(BS129:BS138)</f>
        <v>0</v>
      </c>
      <c r="BT139" s="53">
        <f t="shared" si="189"/>
        <v>0</v>
      </c>
      <c r="BU139" s="52">
        <f t="shared" si="189"/>
        <v>0</v>
      </c>
      <c r="BV139" s="52">
        <f t="shared" si="189"/>
        <v>0</v>
      </c>
      <c r="BW139" s="53">
        <f t="shared" si="189"/>
        <v>0</v>
      </c>
      <c r="BX139" s="52">
        <f t="shared" si="189"/>
        <v>0</v>
      </c>
      <c r="BY139" s="52">
        <f t="shared" si="189"/>
        <v>0</v>
      </c>
      <c r="BZ139" s="53">
        <f t="shared" si="189"/>
        <v>0</v>
      </c>
      <c r="CA139" s="52">
        <f t="shared" si="189"/>
        <v>0</v>
      </c>
      <c r="CB139" s="52">
        <f t="shared" si="189"/>
        <v>0</v>
      </c>
      <c r="CC139" s="53">
        <f t="shared" si="189"/>
        <v>0</v>
      </c>
      <c r="CD139" s="52">
        <f t="shared" si="189"/>
        <v>20</v>
      </c>
      <c r="CE139" s="52">
        <f t="shared" si="189"/>
        <v>240</v>
      </c>
      <c r="CF139" s="53">
        <f t="shared" si="189"/>
        <v>240</v>
      </c>
      <c r="CG139" s="52">
        <f t="shared" si="189"/>
        <v>0</v>
      </c>
      <c r="CH139" s="52">
        <f t="shared" si="189"/>
        <v>0</v>
      </c>
      <c r="CI139" s="53">
        <f t="shared" si="189"/>
        <v>0</v>
      </c>
      <c r="CJ139" s="52">
        <f t="shared" si="189"/>
        <v>0</v>
      </c>
      <c r="CK139" s="52">
        <f t="shared" si="189"/>
        <v>0</v>
      </c>
      <c r="CL139" s="53">
        <f t="shared" si="189"/>
        <v>0</v>
      </c>
      <c r="CM139" s="52">
        <f t="shared" si="189"/>
        <v>41</v>
      </c>
      <c r="CN139" s="52">
        <f t="shared" si="189"/>
        <v>492</v>
      </c>
      <c r="CO139" s="53">
        <f t="shared" si="189"/>
        <v>492</v>
      </c>
      <c r="CP139" s="52">
        <f t="shared" si="189"/>
        <v>0</v>
      </c>
      <c r="CQ139" s="52">
        <f t="shared" si="189"/>
        <v>0</v>
      </c>
      <c r="CR139" s="53">
        <f t="shared" si="189"/>
        <v>0</v>
      </c>
      <c r="CS139" s="52">
        <f t="shared" si="189"/>
        <v>0</v>
      </c>
      <c r="CT139" s="52">
        <f t="shared" si="189"/>
        <v>0</v>
      </c>
      <c r="CU139" s="53">
        <f t="shared" si="189"/>
        <v>0</v>
      </c>
      <c r="CV139" s="52">
        <f t="shared" si="189"/>
        <v>93</v>
      </c>
      <c r="CW139" s="52">
        <f t="shared" si="189"/>
        <v>1860</v>
      </c>
      <c r="CX139" s="53">
        <f t="shared" si="189"/>
        <v>1860</v>
      </c>
      <c r="CY139" s="52">
        <f t="shared" si="189"/>
        <v>0</v>
      </c>
      <c r="CZ139" s="52">
        <f t="shared" si="189"/>
        <v>0</v>
      </c>
      <c r="DA139" s="53">
        <f t="shared" si="189"/>
        <v>0</v>
      </c>
      <c r="DB139" s="52">
        <f t="shared" si="189"/>
        <v>0</v>
      </c>
      <c r="DC139" s="52">
        <f t="shared" si="189"/>
        <v>0</v>
      </c>
      <c r="DD139" s="53">
        <f t="shared" si="189"/>
        <v>0</v>
      </c>
      <c r="DE139" s="52">
        <f t="shared" si="189"/>
        <v>0</v>
      </c>
      <c r="DF139" s="52">
        <f t="shared" si="189"/>
        <v>0</v>
      </c>
      <c r="DG139" s="53">
        <f t="shared" si="189"/>
        <v>0</v>
      </c>
      <c r="DH139" s="52">
        <f t="shared" si="189"/>
        <v>0</v>
      </c>
      <c r="DI139" s="52">
        <f t="shared" si="189"/>
        <v>0</v>
      </c>
      <c r="DJ139" s="53">
        <f t="shared" si="189"/>
        <v>0</v>
      </c>
      <c r="DK139" s="52">
        <f t="shared" si="189"/>
        <v>3.5833333333333335</v>
      </c>
      <c r="DL139" s="52">
        <f t="shared" si="189"/>
        <v>43</v>
      </c>
      <c r="DM139" s="53">
        <f t="shared" si="189"/>
        <v>29.240000000000002</v>
      </c>
      <c r="DN139" s="52">
        <f t="shared" si="189"/>
        <v>34</v>
      </c>
      <c r="DO139" s="52">
        <f t="shared" si="189"/>
        <v>408</v>
      </c>
      <c r="DP139" s="53">
        <f t="shared" si="189"/>
        <v>408</v>
      </c>
      <c r="DQ139" s="52">
        <f t="shared" si="189"/>
        <v>0</v>
      </c>
      <c r="DR139" s="52">
        <f t="shared" si="189"/>
        <v>0</v>
      </c>
      <c r="DS139" s="53">
        <f t="shared" si="189"/>
        <v>0</v>
      </c>
      <c r="DT139" s="52">
        <f t="shared" si="189"/>
        <v>25795.791666666668</v>
      </c>
      <c r="DU139" s="52">
        <f t="shared" si="189"/>
        <v>374728</v>
      </c>
      <c r="DV139" s="53">
        <f t="shared" si="189"/>
        <v>275599.31</v>
      </c>
    </row>
    <row r="140" spans="1:126" x14ac:dyDescent="0.6">
      <c r="A140" s="19"/>
      <c r="B140" s="20"/>
      <c r="C140" s="21"/>
      <c r="D140" s="54">
        <f>(D89+D111+D128+D139)</f>
        <v>35871</v>
      </c>
      <c r="E140" s="54">
        <f>(E89+E111+E128+E139)</f>
        <v>502194</v>
      </c>
      <c r="F140" s="55">
        <f>(F89+F111+F128+F139)</f>
        <v>321404.15999999997</v>
      </c>
      <c r="G140" s="54">
        <f>(G89+G111+G128+G139)</f>
        <v>515</v>
      </c>
      <c r="H140" s="54">
        <f>(H89+H111+H128+H139)</f>
        <v>12360</v>
      </c>
      <c r="I140" s="55">
        <f>(I89+I111+I128+I139)</f>
        <v>7910.4</v>
      </c>
      <c r="J140" s="54">
        <f>(J89+J111+J128+J139)</f>
        <v>114</v>
      </c>
      <c r="K140" s="54">
        <f>(K89+K111+K128+K139)</f>
        <v>1368</v>
      </c>
      <c r="L140" s="55">
        <f>(L89+L111+L128+L139)</f>
        <v>875.52</v>
      </c>
      <c r="M140" s="54">
        <f>(M89+M111+M128+M139)</f>
        <v>5499</v>
      </c>
      <c r="N140" s="54">
        <f>(N89+N111+N128+N139)</f>
        <v>76986</v>
      </c>
      <c r="O140" s="55">
        <f>(O89+O111+O128+O139)</f>
        <v>49271.040000000008</v>
      </c>
      <c r="P140" s="54">
        <f>(P89+P111+P128+P139)</f>
        <v>0</v>
      </c>
      <c r="Q140" s="54">
        <f>(Q89+Q111+Q128+Q139)</f>
        <v>0</v>
      </c>
      <c r="R140" s="55">
        <f>(R89+R111+R128+R139)</f>
        <v>0</v>
      </c>
      <c r="S140" s="54">
        <f>(S89+S111+S128+S139)</f>
        <v>254</v>
      </c>
      <c r="T140" s="54">
        <f>(T89+T111+T128+T139)</f>
        <v>3556</v>
      </c>
      <c r="U140" s="55">
        <f>(U89+U111+U128+U139)</f>
        <v>2275.84</v>
      </c>
      <c r="V140" s="54">
        <f>(V89+V111+V128+V139)</f>
        <v>1323</v>
      </c>
      <c r="W140" s="54">
        <f>(W89+W111+W128+W139)</f>
        <v>18522</v>
      </c>
      <c r="X140" s="55">
        <f>(X89+X111+X128+X139)</f>
        <v>11854.08</v>
      </c>
      <c r="Y140" s="54">
        <f>(Y89+Y111+Y128+Y139)</f>
        <v>0</v>
      </c>
      <c r="Z140" s="54">
        <f>(Z89+Z111+Z128+Z139)</f>
        <v>0</v>
      </c>
      <c r="AA140" s="55">
        <f>(AA89+AA111+AA128+AA139)</f>
        <v>0</v>
      </c>
      <c r="AB140" s="54">
        <f>(AB89+AB111+AB128+AB139)</f>
        <v>0</v>
      </c>
      <c r="AC140" s="54">
        <f>(AC89+AC111+AC128+AC139)</f>
        <v>0</v>
      </c>
      <c r="AD140" s="55">
        <f>(AD89+AD111+AD128+AD139)</f>
        <v>0</v>
      </c>
      <c r="AE140" s="54">
        <f>(AE89+AE111+AE128+AE139)</f>
        <v>10</v>
      </c>
      <c r="AF140" s="54">
        <f>(AF89+AF111+AF128+AF139)</f>
        <v>140</v>
      </c>
      <c r="AG140" s="55">
        <f>(AG89+AG111+AG128+AG139)</f>
        <v>89.600000000000009</v>
      </c>
      <c r="AH140" s="54">
        <f>(AH89+AH111+AH128+AH139)</f>
        <v>1129.25</v>
      </c>
      <c r="AI140" s="54">
        <f>(AI89+AI111+AI128+AI139)</f>
        <v>13551</v>
      </c>
      <c r="AJ140" s="55">
        <f>(AJ89+AJ111+AJ128+AJ139)</f>
        <v>9485.7000000000007</v>
      </c>
      <c r="AK140" s="54">
        <f>(AK89+AK111+AK128+AK139)</f>
        <v>95</v>
      </c>
      <c r="AL140" s="54">
        <f>(AL89+AL111+AL128+AL139)</f>
        <v>1330</v>
      </c>
      <c r="AM140" s="55">
        <f>(AM89+AM111+AM128+AM139)</f>
        <v>851.2</v>
      </c>
      <c r="AN140" s="54">
        <f>(AN89+AN111+AN128+AN139)</f>
        <v>18.25</v>
      </c>
      <c r="AO140" s="54">
        <f>(AO89+AO111+AO128+AO139)</f>
        <v>219</v>
      </c>
      <c r="AP140" s="55">
        <f>(AP89+AP111+AP128+AP139)</f>
        <v>153.30000000000001</v>
      </c>
      <c r="AQ140" s="54">
        <f>(AQ89+AQ111+AQ128+AQ139)</f>
        <v>26.041666666666664</v>
      </c>
      <c r="AR140" s="54">
        <f>(AR89+AR111+AR128+AR139)</f>
        <v>625</v>
      </c>
      <c r="AS140" s="55">
        <f>(AS89+AS111+AS128+AS139)</f>
        <v>218.74999999999994</v>
      </c>
      <c r="AT140" s="54">
        <f>(AT89+AT111+AT128+AT139)</f>
        <v>0</v>
      </c>
      <c r="AU140" s="54">
        <f>(AU89+AU111+AU128+AU139)</f>
        <v>0</v>
      </c>
      <c r="AV140" s="55">
        <f>(AV89+AV111+AV128+AV139)</f>
        <v>0</v>
      </c>
      <c r="AW140" s="54">
        <f>(AW89+AW111+AW128+AW139)</f>
        <v>51040</v>
      </c>
      <c r="AX140" s="54">
        <f>(AX89+AX111+AX128+AX139)</f>
        <v>612480</v>
      </c>
      <c r="AY140" s="55">
        <f>(AY89+AY111+AY128+AY139)</f>
        <v>612480</v>
      </c>
      <c r="AZ140" s="54">
        <f>(AZ89+AZ111+AZ128+AZ139)</f>
        <v>4060</v>
      </c>
      <c r="BA140" s="54">
        <f>(BA89+BA111+BA128+BA139)</f>
        <v>48720</v>
      </c>
      <c r="BB140" s="55">
        <f>(BB89+BB111+BB128+BB139)</f>
        <v>29232</v>
      </c>
      <c r="BC140" s="54">
        <f>(BC89+BC111+BC128+BC139)</f>
        <v>6783</v>
      </c>
      <c r="BD140" s="54">
        <f>(BD89+BD111+BD128+BD139)</f>
        <v>271320</v>
      </c>
      <c r="BE140" s="55">
        <f>(BE89+BE111+BE128+BE139)</f>
        <v>94962</v>
      </c>
      <c r="BF140" s="54">
        <f>(BF89+BF111+BF128+BF139)</f>
        <v>15238.333333333334</v>
      </c>
      <c r="BG140" s="54">
        <f>(BG89+BG111+BG128+BG139)</f>
        <v>182860</v>
      </c>
      <c r="BH140" s="55">
        <f>(BH89+BH111+BH128+BH139)</f>
        <v>182860</v>
      </c>
      <c r="BI140" s="54">
        <f>(BI89+BI111+BI128+BI139)</f>
        <v>0</v>
      </c>
      <c r="BJ140" s="54">
        <f>(BJ89+BJ111+BJ128+BJ139)</f>
        <v>0</v>
      </c>
      <c r="BK140" s="55">
        <f>(BK89+BK111+BK128+BK139)</f>
        <v>0</v>
      </c>
      <c r="BL140" s="54">
        <f>(BL89+BL111+BL128+BL139)</f>
        <v>1830</v>
      </c>
      <c r="BM140" s="54">
        <f>(BM89+BM111+BM128+BM139)</f>
        <v>73200</v>
      </c>
      <c r="BN140" s="55">
        <f>(BN89+BN111+BN128+BN139)</f>
        <v>25620</v>
      </c>
      <c r="BO140" s="54">
        <f>(BO89+BO111+BO128+BO139)</f>
        <v>25</v>
      </c>
      <c r="BP140" s="54">
        <f>(BP89+BP111+BP128+BP139)</f>
        <v>300</v>
      </c>
      <c r="BQ140" s="55">
        <f>(BQ89+BQ111+BQ128+BQ139)</f>
        <v>300</v>
      </c>
      <c r="BR140" s="54">
        <f>(BR89+BR111+BR128+BR139)</f>
        <v>0</v>
      </c>
      <c r="BS140" s="54">
        <f>(BS89+BS111+BS128+BS139)</f>
        <v>0</v>
      </c>
      <c r="BT140" s="55">
        <f>(BT89+BT111+BT128+BT139)</f>
        <v>0</v>
      </c>
      <c r="BU140" s="54">
        <f>(BU89+BU111+BU128+BU139)</f>
        <v>0</v>
      </c>
      <c r="BV140" s="54">
        <f>(BV89+BV111+BV128+BV139)</f>
        <v>0</v>
      </c>
      <c r="BW140" s="55">
        <f>(BW89+BW111+BW128+BW139)</f>
        <v>0</v>
      </c>
      <c r="BX140" s="54">
        <f>(BX89+BX111+BX128+BX139)</f>
        <v>0</v>
      </c>
      <c r="BY140" s="54">
        <f>(BY89+BY111+BY128+BY139)</f>
        <v>0</v>
      </c>
      <c r="BZ140" s="55">
        <f>(BZ89+BZ111+BZ128+BZ139)</f>
        <v>0</v>
      </c>
      <c r="CA140" s="54">
        <f>(CA89+CA111+CA128+CA139)</f>
        <v>0</v>
      </c>
      <c r="CB140" s="54">
        <f>(CB89+CB111+CB128+CB139)</f>
        <v>0</v>
      </c>
      <c r="CC140" s="55">
        <f>(CC89+CC111+CC128+CC139)</f>
        <v>0</v>
      </c>
      <c r="CD140" s="54">
        <f>(CD89+CD111+CD128+CD139)</f>
        <v>20</v>
      </c>
      <c r="CE140" s="54">
        <f>(CE89+CE111+CE128+CE139)</f>
        <v>240</v>
      </c>
      <c r="CF140" s="55">
        <f>(CF89+CF111+CF128+CF139)</f>
        <v>240</v>
      </c>
      <c r="CG140" s="54">
        <f>(CG89+CG111+CG128+CG139)</f>
        <v>0</v>
      </c>
      <c r="CH140" s="54">
        <f>(CH89+CH111+CH128+CH139)</f>
        <v>0</v>
      </c>
      <c r="CI140" s="55">
        <f>(CI89+CI111+CI128+CI139)</f>
        <v>0</v>
      </c>
      <c r="CJ140" s="54">
        <f>(CJ89+CJ111+CJ128+CJ139)</f>
        <v>4</v>
      </c>
      <c r="CK140" s="54">
        <f>(CK89+CK111+CK128+CK139)</f>
        <v>160</v>
      </c>
      <c r="CL140" s="55">
        <f>(CL89+CL111+CL128+CL139)</f>
        <v>56</v>
      </c>
      <c r="CM140" s="54">
        <f>(CM89+CM111+CM128+CM139)</f>
        <v>145.25</v>
      </c>
      <c r="CN140" s="54">
        <f>(CN89+CN111+CN128+CN139)</f>
        <v>1743</v>
      </c>
      <c r="CO140" s="55">
        <f>(CO89+CO111+CO128+CO139)</f>
        <v>1743</v>
      </c>
      <c r="CP140" s="54">
        <f>(CP89+CP111+CP128+CP139)</f>
        <v>0</v>
      </c>
      <c r="CQ140" s="54">
        <f>(CQ89+CQ111+CQ128+CQ139)</f>
        <v>0</v>
      </c>
      <c r="CR140" s="55">
        <f>(CR89+CR111+CR128+CR139)</f>
        <v>0</v>
      </c>
      <c r="CS140" s="54">
        <f>(CS89+CS111+CS128+CS139)</f>
        <v>0</v>
      </c>
      <c r="CT140" s="54">
        <f>(CT89+CT111+CT128+CT139)</f>
        <v>0</v>
      </c>
      <c r="CU140" s="55">
        <f>(CU89+CU111+CU128+CU139)</f>
        <v>0</v>
      </c>
      <c r="CV140" s="54">
        <f>(CV89+CV111+CV128+CV139)</f>
        <v>138</v>
      </c>
      <c r="CW140" s="54">
        <f>(CW89+CW111+CW128+CW139)</f>
        <v>2760</v>
      </c>
      <c r="CX140" s="55">
        <f>(CX89+CX111+CX128+CX139)</f>
        <v>2760</v>
      </c>
      <c r="CY140" s="54">
        <f>(CY89+CY111+CY128+CY139)</f>
        <v>0</v>
      </c>
      <c r="CZ140" s="54">
        <f>(CZ89+CZ111+CZ128+CZ139)</f>
        <v>0</v>
      </c>
      <c r="DA140" s="55">
        <f>(DA89+DA111+DA128+DA139)</f>
        <v>0</v>
      </c>
      <c r="DB140" s="54">
        <f>(DB89+DB111+DB128+DB139)</f>
        <v>0</v>
      </c>
      <c r="DC140" s="54">
        <f>(DC89+DC111+DC128+DC139)</f>
        <v>0</v>
      </c>
      <c r="DD140" s="55">
        <f>(DD89+DD111+DD128+DD139)</f>
        <v>0</v>
      </c>
      <c r="DE140" s="54">
        <f>(DE89+DE111+DE128+DE139)</f>
        <v>11544</v>
      </c>
      <c r="DF140" s="54">
        <f>(DF89+DF111+DF128+DF139)</f>
        <v>138528</v>
      </c>
      <c r="DG140" s="55">
        <f>(DG89+DG111+DG128+DG139)</f>
        <v>138528</v>
      </c>
      <c r="DH140" s="54">
        <f>(DH89+DH111+DH128+DH139)</f>
        <v>0</v>
      </c>
      <c r="DI140" s="54">
        <f>(DI89+DI111+DI128+DI139)</f>
        <v>0</v>
      </c>
      <c r="DJ140" s="55">
        <f>(DJ89+DJ111+DJ128+DJ139)</f>
        <v>0</v>
      </c>
      <c r="DK140" s="54">
        <f>(DK89+DK111+DK128+DK139)</f>
        <v>19.583333333333332</v>
      </c>
      <c r="DL140" s="54">
        <f>(DL89+DL111+DL128+DL139)</f>
        <v>235</v>
      </c>
      <c r="DM140" s="55">
        <f>(DM89+DM111+DM128+DM139)</f>
        <v>159.80000000000001</v>
      </c>
      <c r="DN140" s="54">
        <f>(DN89+DN111+DN128+DN139)</f>
        <v>97.666666666666671</v>
      </c>
      <c r="DO140" s="54">
        <f>(DO89+DO111+DO128+DO139)</f>
        <v>1172</v>
      </c>
      <c r="DP140" s="55">
        <f>(DP89+DP111+DP128+DP139)</f>
        <v>1172</v>
      </c>
      <c r="DQ140" s="54">
        <f>(DQ89+DQ111+DQ128+DQ139)</f>
        <v>0</v>
      </c>
      <c r="DR140" s="54">
        <f>(DR89+DR111+DR128+DR139)</f>
        <v>0</v>
      </c>
      <c r="DS140" s="55">
        <f>(DS89+DS111+DS128+DS139)</f>
        <v>0</v>
      </c>
      <c r="DT140" s="54">
        <f>(DT89+DT111+DT128+DT139)</f>
        <v>135799.375</v>
      </c>
      <c r="DU140" s="54">
        <f>(DU89+DU111+DU128+DU139)</f>
        <v>1964569</v>
      </c>
      <c r="DV140" s="55">
        <f>(DV89+DV111+DV128+DV139)</f>
        <v>1494502.3900000001</v>
      </c>
    </row>
  </sheetData>
  <mergeCells count="21">
    <mergeCell ref="C130:C132"/>
    <mergeCell ref="A76:A88"/>
    <mergeCell ref="A90:A110"/>
    <mergeCell ref="A112:A127"/>
    <mergeCell ref="A129:A138"/>
    <mergeCell ref="C76:C77"/>
    <mergeCell ref="C79:C80"/>
    <mergeCell ref="C90:C92"/>
    <mergeCell ref="C93:C96"/>
    <mergeCell ref="C114:C116"/>
    <mergeCell ref="B1:DU1"/>
    <mergeCell ref="A41:A56"/>
    <mergeCell ref="C43:C45"/>
    <mergeCell ref="A58:A67"/>
    <mergeCell ref="C59:C61"/>
    <mergeCell ref="A5:A17"/>
    <mergeCell ref="C5:C6"/>
    <mergeCell ref="C8:C9"/>
    <mergeCell ref="A19:A39"/>
    <mergeCell ref="C19:C21"/>
    <mergeCell ref="C22:C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- Dec  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2026-01-27T07:37:12Z</dcterms:created>
  <dcterms:modified xsi:type="dcterms:W3CDTF">2026-03-03T08:35:14Z</dcterms:modified>
</cp:coreProperties>
</file>