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\2025-2026(Uptade)\2026\February(2)\YGN Compare\"/>
    </mc:Choice>
  </mc:AlternateContent>
  <xr:revisionPtr revIDLastSave="0" documentId="13_ncr:1_{09C7565D-9613-420F-825E-C4BAAFB3CB92}" xr6:coauthVersionLast="47" xr6:coauthVersionMax="47" xr10:uidLastSave="{00000000-0000-0000-0000-000000000000}"/>
  <bookViews>
    <workbookView xWindow="-108" yWindow="-108" windowWidth="23256" windowHeight="12456" xr2:uid="{416BFDA5-1BBB-4408-9E88-32D3E7A06B67}"/>
  </bookViews>
  <sheets>
    <sheet name="Compare for YGN (2022 To 2026) " sheetId="6" r:id="rId1"/>
    <sheet name="SKU 2026" sheetId="7" r:id="rId2"/>
    <sheet name="SKU 2025" sheetId="1" r:id="rId3"/>
    <sheet name="SKU 2024" sheetId="2" r:id="rId4"/>
    <sheet name="SKU 2023" sheetId="3" r:id="rId5"/>
    <sheet name="SKU 2022" sheetId="4" r:id="rId6"/>
    <sheet name="KK Compare (2024-2025)" sheetId="5" r:id="rId7"/>
  </sheets>
  <externalReferences>
    <externalReference r:id="rId8"/>
    <externalReference r:id="rId9"/>
  </externalReferences>
  <definedNames>
    <definedName name="aa">#REF!</definedName>
    <definedName name="aaa">#REF!</definedName>
    <definedName name="aa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cvvvv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2">'SKU 2025'!$A$1:$F$45</definedName>
    <definedName name="Print_Area_Reset">OFFSET(Full_Print,0,0,Last_Row)</definedName>
    <definedName name="qqqqqq">#REF!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>IF(Loan_Amount*Interest_Rate*Loan_Years*Loan_Start&gt;0,1,0)</definedName>
    <definedName name="vkhfkgf">#REF!</definedName>
    <definedName name="xdfrg">#REF!</definedName>
    <definedName name="y">#REF!</definedName>
    <definedName name="yhhg123">IF(Values_Entered,Header_Row+Number_of_Payments,Header_Row)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6" l="1"/>
  <c r="K30" i="6"/>
  <c r="L28" i="6"/>
  <c r="K28" i="6"/>
  <c r="L27" i="6"/>
  <c r="K27" i="6"/>
  <c r="L26" i="6"/>
  <c r="K26" i="6"/>
  <c r="L25" i="6"/>
  <c r="K25" i="6"/>
  <c r="M25" i="6"/>
  <c r="EF16" i="7"/>
  <c r="DK129" i="7"/>
  <c r="DK128" i="7"/>
  <c r="DK127" i="7"/>
  <c r="D140" i="7"/>
  <c r="D141" i="7"/>
  <c r="D125" i="7"/>
  <c r="D126" i="7"/>
  <c r="K36" i="6" l="1"/>
  <c r="M6" i="6"/>
  <c r="N6" i="6"/>
  <c r="M7" i="6"/>
  <c r="N7" i="6"/>
  <c r="M8" i="6"/>
  <c r="N8" i="6"/>
  <c r="M9" i="6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7" i="6"/>
  <c r="N17" i="6"/>
  <c r="M26" i="6" l="1"/>
  <c r="M27" i="6"/>
  <c r="M28" i="6"/>
  <c r="K29" i="6"/>
  <c r="M29" i="6" s="1"/>
  <c r="M30" i="6"/>
  <c r="K31" i="6"/>
  <c r="M31" i="6" s="1"/>
  <c r="K32" i="6"/>
  <c r="M32" i="6" s="1"/>
  <c r="K33" i="6"/>
  <c r="M33" i="6" s="1"/>
  <c r="DF151" i="7"/>
  <c r="DF152" i="7"/>
  <c r="DF153" i="7"/>
  <c r="DF154" i="7"/>
  <c r="DF155" i="7"/>
  <c r="DF156" i="7"/>
  <c r="DF157" i="7"/>
  <c r="DF158" i="7"/>
  <c r="DF159" i="7"/>
  <c r="DF160" i="7"/>
  <c r="DF161" i="7"/>
  <c r="DF162" i="7"/>
  <c r="DF163" i="7"/>
  <c r="DF164" i="7"/>
  <c r="DF150" i="7"/>
  <c r="DF5" i="7"/>
  <c r="DF6" i="7"/>
  <c r="DF7" i="7"/>
  <c r="DF8" i="7"/>
  <c r="DF9" i="7"/>
  <c r="DF10" i="7"/>
  <c r="DF11" i="7"/>
  <c r="DF12" i="7"/>
  <c r="DF13" i="7"/>
  <c r="DF14" i="7"/>
  <c r="DF15" i="7"/>
  <c r="DF16" i="7"/>
  <c r="DF17" i="7"/>
  <c r="DF18" i="7"/>
  <c r="DF19" i="7"/>
  <c r="DF20" i="7"/>
  <c r="DF21" i="7"/>
  <c r="DF22" i="7"/>
  <c r="DF23" i="7"/>
  <c r="DF24" i="7"/>
  <c r="DF25" i="7"/>
  <c r="DF26" i="7"/>
  <c r="DF27" i="7"/>
  <c r="DF28" i="7"/>
  <c r="DF29" i="7"/>
  <c r="DF30" i="7"/>
  <c r="DF31" i="7"/>
  <c r="DF32" i="7"/>
  <c r="DF33" i="7"/>
  <c r="DF34" i="7"/>
  <c r="DF35" i="7"/>
  <c r="DF36" i="7"/>
  <c r="DF37" i="7"/>
  <c r="DF38" i="7"/>
  <c r="DF39" i="7"/>
  <c r="DF40" i="7"/>
  <c r="DF41" i="7"/>
  <c r="DF42" i="7"/>
  <c r="DF43" i="7"/>
  <c r="DF44" i="7"/>
  <c r="DF45" i="7"/>
  <c r="DF46" i="7"/>
  <c r="DF47" i="7"/>
  <c r="DF48" i="7"/>
  <c r="DF49" i="7"/>
  <c r="DF50" i="7"/>
  <c r="DF51" i="7"/>
  <c r="DF52" i="7"/>
  <c r="DF53" i="7"/>
  <c r="DF54" i="7"/>
  <c r="DF55" i="7"/>
  <c r="DF56" i="7"/>
  <c r="DF57" i="7"/>
  <c r="DF58" i="7"/>
  <c r="DF59" i="7"/>
  <c r="DF60" i="7"/>
  <c r="DF61" i="7"/>
  <c r="DF62" i="7"/>
  <c r="DF63" i="7"/>
  <c r="DF64" i="7"/>
  <c r="DF65" i="7"/>
  <c r="DF66" i="7"/>
  <c r="DF67" i="7"/>
  <c r="DF68" i="7"/>
  <c r="DF69" i="7"/>
  <c r="DF70" i="7"/>
  <c r="DF71" i="7"/>
  <c r="DF72" i="7"/>
  <c r="DF73" i="7"/>
  <c r="DF74" i="7"/>
  <c r="DF75" i="7"/>
  <c r="DF76" i="7"/>
  <c r="DF77" i="7"/>
  <c r="DF78" i="7"/>
  <c r="DF79" i="7"/>
  <c r="DF80" i="7"/>
  <c r="DF81" i="7"/>
  <c r="DF82" i="7"/>
  <c r="DF83" i="7"/>
  <c r="DF84" i="7"/>
  <c r="DF85" i="7"/>
  <c r="DF86" i="7"/>
  <c r="DF87" i="7"/>
  <c r="DF88" i="7"/>
  <c r="DF89" i="7"/>
  <c r="DF90" i="7"/>
  <c r="DF91" i="7"/>
  <c r="DF92" i="7"/>
  <c r="DF93" i="7"/>
  <c r="DF94" i="7"/>
  <c r="DF95" i="7"/>
  <c r="DF96" i="7"/>
  <c r="DF97" i="7"/>
  <c r="DF98" i="7"/>
  <c r="DF99" i="7"/>
  <c r="DF100" i="7"/>
  <c r="DF101" i="7"/>
  <c r="DF102" i="7"/>
  <c r="DF103" i="7"/>
  <c r="DF104" i="7"/>
  <c r="DF105" i="7"/>
  <c r="DF106" i="7"/>
  <c r="DF107" i="7"/>
  <c r="DF108" i="7"/>
  <c r="DF109" i="7"/>
  <c r="DF110" i="7"/>
  <c r="DF111" i="7"/>
  <c r="DF112" i="7"/>
  <c r="DF113" i="7"/>
  <c r="DF114" i="7"/>
  <c r="DF115" i="7"/>
  <c r="DF116" i="7"/>
  <c r="DF117" i="7"/>
  <c r="DF118" i="7"/>
  <c r="DF119" i="7"/>
  <c r="DF120" i="7"/>
  <c r="DF121" i="7"/>
  <c r="DF122" i="7"/>
  <c r="DF123" i="7"/>
  <c r="DF124" i="7"/>
  <c r="DF127" i="7"/>
  <c r="DF128" i="7"/>
  <c r="DF129" i="7"/>
  <c r="DF130" i="7"/>
  <c r="DF131" i="7"/>
  <c r="DF132" i="7"/>
  <c r="DF133" i="7"/>
  <c r="DF134" i="7"/>
  <c r="DF135" i="7"/>
  <c r="DF136" i="7"/>
  <c r="DF137" i="7"/>
  <c r="DF138" i="7"/>
  <c r="DF139" i="7"/>
  <c r="DF142" i="7"/>
  <c r="DF143" i="7"/>
  <c r="DF144" i="7"/>
  <c r="DF145" i="7"/>
  <c r="DF146" i="7"/>
  <c r="DF147" i="7"/>
  <c r="DF4" i="7"/>
  <c r="DH172" i="7" l="1"/>
  <c r="DI172" i="7" s="1"/>
  <c r="EF181" i="7"/>
  <c r="EG181" i="7" s="1"/>
  <c r="EE181" i="7"/>
  <c r="EC181" i="7"/>
  <c r="EA181" i="7"/>
  <c r="DY181" i="7"/>
  <c r="DW181" i="7"/>
  <c r="DU181" i="7"/>
  <c r="DS181" i="7"/>
  <c r="DQ181" i="7"/>
  <c r="DO181" i="7"/>
  <c r="DM181" i="7"/>
  <c r="DK181" i="7"/>
  <c r="DI181" i="7"/>
  <c r="ED180" i="7"/>
  <c r="EE180" i="7" s="1"/>
  <c r="EB180" i="7"/>
  <c r="EC180" i="7" s="1"/>
  <c r="DZ180" i="7"/>
  <c r="EA180" i="7" s="1"/>
  <c r="DX180" i="7"/>
  <c r="DY180" i="7" s="1"/>
  <c r="DV180" i="7"/>
  <c r="DW180" i="7" s="1"/>
  <c r="DT180" i="7"/>
  <c r="DU180" i="7" s="1"/>
  <c r="DR180" i="7"/>
  <c r="DS180" i="7" s="1"/>
  <c r="DP180" i="7"/>
  <c r="DQ180" i="7" s="1"/>
  <c r="DN180" i="7"/>
  <c r="DO180" i="7" s="1"/>
  <c r="DL180" i="7"/>
  <c r="DM180" i="7" s="1"/>
  <c r="DJ180" i="7"/>
  <c r="DK180" i="7" s="1"/>
  <c r="DH180" i="7"/>
  <c r="DI180" i="7" s="1"/>
  <c r="ED179" i="7"/>
  <c r="EB179" i="7"/>
  <c r="EC179" i="7" s="1"/>
  <c r="DZ179" i="7"/>
  <c r="EA179" i="7" s="1"/>
  <c r="DX179" i="7"/>
  <c r="DY179" i="7" s="1"/>
  <c r="DV179" i="7"/>
  <c r="DW179" i="7" s="1"/>
  <c r="DT179" i="7"/>
  <c r="DU179" i="7" s="1"/>
  <c r="DR179" i="7"/>
  <c r="DS179" i="7" s="1"/>
  <c r="DP179" i="7"/>
  <c r="DQ179" i="7" s="1"/>
  <c r="DN179" i="7"/>
  <c r="DO179" i="7" s="1"/>
  <c r="DL179" i="7"/>
  <c r="DM179" i="7" s="1"/>
  <c r="DJ179" i="7"/>
  <c r="DK179" i="7" s="1"/>
  <c r="DH179" i="7"/>
  <c r="DI179" i="7" s="1"/>
  <c r="ED178" i="7"/>
  <c r="EE178" i="7" s="1"/>
  <c r="EB178" i="7"/>
  <c r="EC178" i="7" s="1"/>
  <c r="EA178" i="7"/>
  <c r="DZ178" i="7"/>
  <c r="DX178" i="7"/>
  <c r="DY178" i="7" s="1"/>
  <c r="DV178" i="7"/>
  <c r="DW178" i="7" s="1"/>
  <c r="DT178" i="7"/>
  <c r="DU178" i="7" s="1"/>
  <c r="DR178" i="7"/>
  <c r="DS178" i="7" s="1"/>
  <c r="DP178" i="7"/>
  <c r="DQ178" i="7" s="1"/>
  <c r="DN178" i="7"/>
  <c r="DO178" i="7" s="1"/>
  <c r="DL178" i="7"/>
  <c r="DM178" i="7" s="1"/>
  <c r="DJ178" i="7"/>
  <c r="DK178" i="7" s="1"/>
  <c r="DH178" i="7"/>
  <c r="DI178" i="7" s="1"/>
  <c r="ED177" i="7"/>
  <c r="EE177" i="7" s="1"/>
  <c r="EB177" i="7"/>
  <c r="EC177" i="7" s="1"/>
  <c r="DZ177" i="7"/>
  <c r="EA177" i="7" s="1"/>
  <c r="DX177" i="7"/>
  <c r="DY177" i="7" s="1"/>
  <c r="DV177" i="7"/>
  <c r="DW177" i="7" s="1"/>
  <c r="DT177" i="7"/>
  <c r="DU177" i="7" s="1"/>
  <c r="DR177" i="7"/>
  <c r="DS177" i="7" s="1"/>
  <c r="DP177" i="7"/>
  <c r="DQ177" i="7" s="1"/>
  <c r="DN177" i="7"/>
  <c r="DO177" i="7" s="1"/>
  <c r="DL177" i="7"/>
  <c r="DM177" i="7" s="1"/>
  <c r="DJ177" i="7"/>
  <c r="DK177" i="7" s="1"/>
  <c r="DH177" i="7"/>
  <c r="DI177" i="7" s="1"/>
  <c r="ED176" i="7"/>
  <c r="EB176" i="7"/>
  <c r="EC176" i="7" s="1"/>
  <c r="DZ176" i="7"/>
  <c r="EA176" i="7" s="1"/>
  <c r="DX176" i="7"/>
  <c r="DY176" i="7" s="1"/>
  <c r="DV176" i="7"/>
  <c r="DW176" i="7" s="1"/>
  <c r="DT176" i="7"/>
  <c r="DU176" i="7" s="1"/>
  <c r="DR176" i="7"/>
  <c r="DS176" i="7" s="1"/>
  <c r="DP176" i="7"/>
  <c r="DQ176" i="7" s="1"/>
  <c r="DN176" i="7"/>
  <c r="DO176" i="7" s="1"/>
  <c r="DL176" i="7"/>
  <c r="DM176" i="7" s="1"/>
  <c r="DJ176" i="7"/>
  <c r="DK176" i="7" s="1"/>
  <c r="DH176" i="7"/>
  <c r="DI176" i="7" s="1"/>
  <c r="ED175" i="7"/>
  <c r="EB175" i="7"/>
  <c r="EC175" i="7" s="1"/>
  <c r="DZ175" i="7"/>
  <c r="EA175" i="7" s="1"/>
  <c r="DX175" i="7"/>
  <c r="DY175" i="7" s="1"/>
  <c r="DV175" i="7"/>
  <c r="DW175" i="7" s="1"/>
  <c r="DT175" i="7"/>
  <c r="DU175" i="7" s="1"/>
  <c r="DR175" i="7"/>
  <c r="DS175" i="7" s="1"/>
  <c r="DP175" i="7"/>
  <c r="DQ175" i="7" s="1"/>
  <c r="DN175" i="7"/>
  <c r="DO175" i="7" s="1"/>
  <c r="DL175" i="7"/>
  <c r="DM175" i="7" s="1"/>
  <c r="DJ175" i="7"/>
  <c r="DK175" i="7" s="1"/>
  <c r="DH175" i="7"/>
  <c r="DI175" i="7" s="1"/>
  <c r="ED174" i="7"/>
  <c r="EE174" i="7" s="1"/>
  <c r="EB174" i="7"/>
  <c r="EC174" i="7" s="1"/>
  <c r="DZ174" i="7"/>
  <c r="EA174" i="7" s="1"/>
  <c r="DX174" i="7"/>
  <c r="DY174" i="7" s="1"/>
  <c r="DV174" i="7"/>
  <c r="DW174" i="7" s="1"/>
  <c r="DT174" i="7"/>
  <c r="DU174" i="7" s="1"/>
  <c r="DR174" i="7"/>
  <c r="DS174" i="7" s="1"/>
  <c r="DP174" i="7"/>
  <c r="DQ174" i="7" s="1"/>
  <c r="DN174" i="7"/>
  <c r="DO174" i="7" s="1"/>
  <c r="DL174" i="7"/>
  <c r="DM174" i="7" s="1"/>
  <c r="DJ174" i="7"/>
  <c r="DK174" i="7" s="1"/>
  <c r="DH174" i="7"/>
  <c r="DI174" i="7" s="1"/>
  <c r="ED173" i="7"/>
  <c r="EE173" i="7" s="1"/>
  <c r="EB173" i="7"/>
  <c r="EC173" i="7" s="1"/>
  <c r="DZ173" i="7"/>
  <c r="EA173" i="7" s="1"/>
  <c r="DX173" i="7"/>
  <c r="DY173" i="7" s="1"/>
  <c r="DV173" i="7"/>
  <c r="DW173" i="7" s="1"/>
  <c r="DT173" i="7"/>
  <c r="DU173" i="7" s="1"/>
  <c r="DR173" i="7"/>
  <c r="DS173" i="7" s="1"/>
  <c r="DP173" i="7"/>
  <c r="DQ173" i="7" s="1"/>
  <c r="DN173" i="7"/>
  <c r="DO173" i="7" s="1"/>
  <c r="DL173" i="7"/>
  <c r="DM173" i="7" s="1"/>
  <c r="DJ173" i="7"/>
  <c r="DK173" i="7" s="1"/>
  <c r="DH173" i="7"/>
  <c r="DI173" i="7" s="1"/>
  <c r="ED172" i="7"/>
  <c r="EB172" i="7"/>
  <c r="EC172" i="7" s="1"/>
  <c r="DZ172" i="7"/>
  <c r="EA172" i="7" s="1"/>
  <c r="DX172" i="7"/>
  <c r="DY172" i="7" s="1"/>
  <c r="DV172" i="7"/>
  <c r="DW172" i="7" s="1"/>
  <c r="DT172" i="7"/>
  <c r="DU172" i="7" s="1"/>
  <c r="DR172" i="7"/>
  <c r="DS172" i="7" s="1"/>
  <c r="DP172" i="7"/>
  <c r="DQ172" i="7" s="1"/>
  <c r="DN172" i="7"/>
  <c r="DO172" i="7" s="1"/>
  <c r="DL172" i="7"/>
  <c r="DM172" i="7" s="1"/>
  <c r="DJ172" i="7"/>
  <c r="ED165" i="7"/>
  <c r="EB165" i="7"/>
  <c r="DZ165" i="7"/>
  <c r="DX165" i="7"/>
  <c r="DV165" i="7"/>
  <c r="DT165" i="7"/>
  <c r="DR165" i="7"/>
  <c r="DP165" i="7"/>
  <c r="DN165" i="7"/>
  <c r="DL165" i="7"/>
  <c r="DJ165" i="7"/>
  <c r="DH165" i="7"/>
  <c r="EF163" i="7"/>
  <c r="EE163" i="7"/>
  <c r="EC163" i="7"/>
  <c r="EA163" i="7"/>
  <c r="DY163" i="7"/>
  <c r="DW163" i="7"/>
  <c r="DU163" i="7"/>
  <c r="DS163" i="7"/>
  <c r="DQ163" i="7"/>
  <c r="DO163" i="7"/>
  <c r="DM163" i="7"/>
  <c r="DK163" i="7"/>
  <c r="DI163" i="7"/>
  <c r="EF162" i="7"/>
  <c r="EE162" i="7"/>
  <c r="EC162" i="7"/>
  <c r="EA162" i="7"/>
  <c r="DY162" i="7"/>
  <c r="DW162" i="7"/>
  <c r="DU162" i="7"/>
  <c r="DS162" i="7"/>
  <c r="DQ162" i="7"/>
  <c r="DO162" i="7"/>
  <c r="DM162" i="7"/>
  <c r="DK162" i="7"/>
  <c r="DI162" i="7"/>
  <c r="EF161" i="7"/>
  <c r="EE161" i="7"/>
  <c r="EC161" i="7"/>
  <c r="EA161" i="7"/>
  <c r="DY161" i="7"/>
  <c r="DW161" i="7"/>
  <c r="DU161" i="7"/>
  <c r="DS161" i="7"/>
  <c r="DQ161" i="7"/>
  <c r="DO161" i="7"/>
  <c r="DM161" i="7"/>
  <c r="DK161" i="7"/>
  <c r="DI161" i="7"/>
  <c r="EF160" i="7"/>
  <c r="EE160" i="7"/>
  <c r="EC160" i="7"/>
  <c r="EA160" i="7"/>
  <c r="DY160" i="7"/>
  <c r="DW160" i="7"/>
  <c r="DU160" i="7"/>
  <c r="DS160" i="7"/>
  <c r="DQ160" i="7"/>
  <c r="DO160" i="7"/>
  <c r="DM160" i="7"/>
  <c r="DK160" i="7"/>
  <c r="DI160" i="7"/>
  <c r="EF159" i="7"/>
  <c r="EE159" i="7"/>
  <c r="EC159" i="7"/>
  <c r="EA159" i="7"/>
  <c r="DY159" i="7"/>
  <c r="DW159" i="7"/>
  <c r="DU159" i="7"/>
  <c r="DS159" i="7"/>
  <c r="DQ159" i="7"/>
  <c r="DO159" i="7"/>
  <c r="DM159" i="7"/>
  <c r="DK159" i="7"/>
  <c r="DI159" i="7"/>
  <c r="EF156" i="7"/>
  <c r="EE156" i="7"/>
  <c r="EC156" i="7"/>
  <c r="EA156" i="7"/>
  <c r="DY156" i="7"/>
  <c r="DW156" i="7"/>
  <c r="DU156" i="7"/>
  <c r="DS156" i="7"/>
  <c r="DQ156" i="7"/>
  <c r="DO156" i="7"/>
  <c r="DM156" i="7"/>
  <c r="DK156" i="7"/>
  <c r="DI156" i="7"/>
  <c r="EF155" i="7"/>
  <c r="EE155" i="7"/>
  <c r="EC155" i="7"/>
  <c r="EA155" i="7"/>
  <c r="DY155" i="7"/>
  <c r="DW155" i="7"/>
  <c r="DU155" i="7"/>
  <c r="DS155" i="7"/>
  <c r="DQ155" i="7"/>
  <c r="DO155" i="7"/>
  <c r="DM155" i="7"/>
  <c r="DK155" i="7"/>
  <c r="DI155" i="7"/>
  <c r="EF154" i="7"/>
  <c r="EE154" i="7"/>
  <c r="EC154" i="7"/>
  <c r="EA154" i="7"/>
  <c r="DY154" i="7"/>
  <c r="DW154" i="7"/>
  <c r="DU154" i="7"/>
  <c r="DS154" i="7"/>
  <c r="DQ154" i="7"/>
  <c r="DO154" i="7"/>
  <c r="DM154" i="7"/>
  <c r="DK154" i="7"/>
  <c r="DI154" i="7"/>
  <c r="EF153" i="7"/>
  <c r="EE153" i="7"/>
  <c r="EC153" i="7"/>
  <c r="EA153" i="7"/>
  <c r="DY153" i="7"/>
  <c r="DW153" i="7"/>
  <c r="DU153" i="7"/>
  <c r="DS153" i="7"/>
  <c r="DQ153" i="7"/>
  <c r="DO153" i="7"/>
  <c r="DM153" i="7"/>
  <c r="DK153" i="7"/>
  <c r="DI153" i="7"/>
  <c r="EF152" i="7"/>
  <c r="EE152" i="7"/>
  <c r="EC152" i="7"/>
  <c r="EA152" i="7"/>
  <c r="DY152" i="7"/>
  <c r="DW152" i="7"/>
  <c r="DU152" i="7"/>
  <c r="DS152" i="7"/>
  <c r="DQ152" i="7"/>
  <c r="DO152" i="7"/>
  <c r="DM152" i="7"/>
  <c r="DK152" i="7"/>
  <c r="DI152" i="7"/>
  <c r="EF151" i="7"/>
  <c r="EE151" i="7"/>
  <c r="EC151" i="7"/>
  <c r="EA151" i="7"/>
  <c r="DY151" i="7"/>
  <c r="DW151" i="7"/>
  <c r="DU151" i="7"/>
  <c r="DS151" i="7"/>
  <c r="DQ151" i="7"/>
  <c r="DO151" i="7"/>
  <c r="DM151" i="7"/>
  <c r="DK151" i="7"/>
  <c r="DI151" i="7"/>
  <c r="EF150" i="7"/>
  <c r="EE150" i="7"/>
  <c r="EC150" i="7"/>
  <c r="EA150" i="7"/>
  <c r="DY150" i="7"/>
  <c r="DW150" i="7"/>
  <c r="DU150" i="7"/>
  <c r="DS150" i="7"/>
  <c r="DQ150" i="7"/>
  <c r="DO150" i="7"/>
  <c r="DM150" i="7"/>
  <c r="DK150" i="7"/>
  <c r="DI150" i="7"/>
  <c r="ED148" i="7"/>
  <c r="ED166" i="7" s="1"/>
  <c r="EB148" i="7"/>
  <c r="DZ148" i="7"/>
  <c r="DZ166" i="7" s="1"/>
  <c r="DX148" i="7"/>
  <c r="DX166" i="7" s="1"/>
  <c r="DV148" i="7"/>
  <c r="DV166" i="7" s="1"/>
  <c r="DT148" i="7"/>
  <c r="DR148" i="7"/>
  <c r="DR166" i="7" s="1"/>
  <c r="DP148" i="7"/>
  <c r="DP166" i="7" s="1"/>
  <c r="DN148" i="7"/>
  <c r="DN166" i="7" s="1"/>
  <c r="DL148" i="7"/>
  <c r="DJ148" i="7"/>
  <c r="DH148" i="7"/>
  <c r="EG146" i="7"/>
  <c r="EF146" i="7"/>
  <c r="EF144" i="7"/>
  <c r="EE144" i="7"/>
  <c r="EC144" i="7"/>
  <c r="EA144" i="7"/>
  <c r="DY144" i="7"/>
  <c r="DW144" i="7"/>
  <c r="DU144" i="7"/>
  <c r="DS144" i="7"/>
  <c r="DQ144" i="7"/>
  <c r="DO144" i="7"/>
  <c r="DM144" i="7"/>
  <c r="DK144" i="7"/>
  <c r="DI144" i="7"/>
  <c r="EF143" i="7"/>
  <c r="EE143" i="7"/>
  <c r="EC143" i="7"/>
  <c r="EA143" i="7"/>
  <c r="DY143" i="7"/>
  <c r="DW143" i="7"/>
  <c r="DU143" i="7"/>
  <c r="DS143" i="7"/>
  <c r="DQ143" i="7"/>
  <c r="DO143" i="7"/>
  <c r="DM143" i="7"/>
  <c r="DK143" i="7"/>
  <c r="DI143" i="7"/>
  <c r="EG142" i="7"/>
  <c r="EF142" i="7"/>
  <c r="EF139" i="7"/>
  <c r="EE139" i="7"/>
  <c r="EC139" i="7"/>
  <c r="EA139" i="7"/>
  <c r="DY139" i="7"/>
  <c r="DW139" i="7"/>
  <c r="DU139" i="7"/>
  <c r="DS139" i="7"/>
  <c r="DQ139" i="7"/>
  <c r="DO139" i="7"/>
  <c r="DM139" i="7"/>
  <c r="DK139" i="7"/>
  <c r="DI139" i="7"/>
  <c r="EG138" i="7"/>
  <c r="EF138" i="7"/>
  <c r="EF137" i="7"/>
  <c r="EE137" i="7"/>
  <c r="EC137" i="7"/>
  <c r="EA137" i="7"/>
  <c r="DY137" i="7"/>
  <c r="DW137" i="7"/>
  <c r="DU137" i="7"/>
  <c r="DS137" i="7"/>
  <c r="DQ137" i="7"/>
  <c r="DO137" i="7"/>
  <c r="DM137" i="7"/>
  <c r="DK137" i="7"/>
  <c r="DI137" i="7"/>
  <c r="EF136" i="7"/>
  <c r="EE136" i="7"/>
  <c r="EC136" i="7"/>
  <c r="EA136" i="7"/>
  <c r="DY136" i="7"/>
  <c r="DW136" i="7"/>
  <c r="DU136" i="7"/>
  <c r="DS136" i="7"/>
  <c r="DQ136" i="7"/>
  <c r="DO136" i="7"/>
  <c r="DM136" i="7"/>
  <c r="DK136" i="7"/>
  <c r="DI136" i="7"/>
  <c r="EF135" i="7"/>
  <c r="EE135" i="7"/>
  <c r="EC135" i="7"/>
  <c r="EA135" i="7"/>
  <c r="DY135" i="7"/>
  <c r="DW135" i="7"/>
  <c r="DU135" i="7"/>
  <c r="DS135" i="7"/>
  <c r="DQ135" i="7"/>
  <c r="DO135" i="7"/>
  <c r="DM135" i="7"/>
  <c r="DK135" i="7"/>
  <c r="DI135" i="7"/>
  <c r="EF134" i="7"/>
  <c r="EE134" i="7"/>
  <c r="EC134" i="7"/>
  <c r="EA134" i="7"/>
  <c r="DY134" i="7"/>
  <c r="DW134" i="7"/>
  <c r="DU134" i="7"/>
  <c r="DS134" i="7"/>
  <c r="DQ134" i="7"/>
  <c r="DO134" i="7"/>
  <c r="DM134" i="7"/>
  <c r="DK134" i="7"/>
  <c r="DI134" i="7"/>
  <c r="EF133" i="7"/>
  <c r="EE133" i="7"/>
  <c r="EC133" i="7"/>
  <c r="EA133" i="7"/>
  <c r="DY133" i="7"/>
  <c r="DW133" i="7"/>
  <c r="DU133" i="7"/>
  <c r="DS133" i="7"/>
  <c r="DQ133" i="7"/>
  <c r="DO133" i="7"/>
  <c r="DM133" i="7"/>
  <c r="DK133" i="7"/>
  <c r="DI133" i="7"/>
  <c r="EF132" i="7"/>
  <c r="EE132" i="7"/>
  <c r="EC132" i="7"/>
  <c r="EA132" i="7"/>
  <c r="DY132" i="7"/>
  <c r="DW132" i="7"/>
  <c r="DU132" i="7"/>
  <c r="DS132" i="7"/>
  <c r="DQ132" i="7"/>
  <c r="DO132" i="7"/>
  <c r="DM132" i="7"/>
  <c r="DK132" i="7"/>
  <c r="DI132" i="7"/>
  <c r="EF131" i="7"/>
  <c r="EE131" i="7"/>
  <c r="EC131" i="7"/>
  <c r="EA131" i="7"/>
  <c r="DY131" i="7"/>
  <c r="DW131" i="7"/>
  <c r="DU131" i="7"/>
  <c r="DS131" i="7"/>
  <c r="DQ131" i="7"/>
  <c r="DO131" i="7"/>
  <c r="DM131" i="7"/>
  <c r="DK131" i="7"/>
  <c r="DI131" i="7"/>
  <c r="EF130" i="7"/>
  <c r="EE130" i="7"/>
  <c r="EC130" i="7"/>
  <c r="EA130" i="7"/>
  <c r="DY130" i="7"/>
  <c r="DW130" i="7"/>
  <c r="DU130" i="7"/>
  <c r="DS130" i="7"/>
  <c r="DQ130" i="7"/>
  <c r="DO130" i="7"/>
  <c r="DM130" i="7"/>
  <c r="DK130" i="7"/>
  <c r="DI130" i="7"/>
  <c r="EF129" i="7"/>
  <c r="DI129" i="7"/>
  <c r="EG129" i="7" s="1"/>
  <c r="EF128" i="7"/>
  <c r="EA128" i="7"/>
  <c r="DY128" i="7"/>
  <c r="DW128" i="7"/>
  <c r="DI128" i="7"/>
  <c r="EF127" i="7"/>
  <c r="DW127" i="7"/>
  <c r="DI127" i="7"/>
  <c r="EG127" i="7" s="1"/>
  <c r="EF124" i="7"/>
  <c r="DW124" i="7"/>
  <c r="DI124" i="7"/>
  <c r="EG124" i="7" s="1"/>
  <c r="EF123" i="7"/>
  <c r="DW123" i="7"/>
  <c r="EG123" i="7" s="1"/>
  <c r="EF120" i="7"/>
  <c r="EE120" i="7"/>
  <c r="EC120" i="7"/>
  <c r="EA120" i="7"/>
  <c r="DY120" i="7"/>
  <c r="DW120" i="7"/>
  <c r="DU120" i="7"/>
  <c r="DS120" i="7"/>
  <c r="DQ120" i="7"/>
  <c r="DO120" i="7"/>
  <c r="DM120" i="7"/>
  <c r="DK120" i="7"/>
  <c r="DI120" i="7"/>
  <c r="EG118" i="7"/>
  <c r="EF118" i="7"/>
  <c r="EG117" i="7"/>
  <c r="EF117" i="7"/>
  <c r="EG116" i="7"/>
  <c r="EF116" i="7"/>
  <c r="EG115" i="7"/>
  <c r="EF115" i="7"/>
  <c r="EF114" i="7"/>
  <c r="EE114" i="7"/>
  <c r="EC114" i="7"/>
  <c r="EA114" i="7"/>
  <c r="DY114" i="7"/>
  <c r="DW114" i="7"/>
  <c r="DU114" i="7"/>
  <c r="DS114" i="7"/>
  <c r="DQ114" i="7"/>
  <c r="DO114" i="7"/>
  <c r="DM114" i="7"/>
  <c r="DK114" i="7"/>
  <c r="DI114" i="7"/>
  <c r="EF113" i="7"/>
  <c r="EE113" i="7"/>
  <c r="EC113" i="7"/>
  <c r="EA113" i="7"/>
  <c r="DY113" i="7"/>
  <c r="DW113" i="7"/>
  <c r="DU113" i="7"/>
  <c r="DS113" i="7"/>
  <c r="DQ113" i="7"/>
  <c r="DO113" i="7"/>
  <c r="DM113" i="7"/>
  <c r="DK113" i="7"/>
  <c r="DI113" i="7"/>
  <c r="EG112" i="7"/>
  <c r="EF112" i="7"/>
  <c r="EG111" i="7"/>
  <c r="EF111" i="7"/>
  <c r="EG110" i="7"/>
  <c r="EF110" i="7"/>
  <c r="EG109" i="7"/>
  <c r="EF109" i="7"/>
  <c r="EG108" i="7"/>
  <c r="EF108" i="7"/>
  <c r="EG107" i="7"/>
  <c r="EF107" i="7"/>
  <c r="EG106" i="7"/>
  <c r="EF106" i="7"/>
  <c r="EG105" i="7"/>
  <c r="EF105" i="7"/>
  <c r="EG104" i="7"/>
  <c r="EF104" i="7"/>
  <c r="EG103" i="7"/>
  <c r="EF103" i="7"/>
  <c r="EG102" i="7"/>
  <c r="EF102" i="7"/>
  <c r="EG101" i="7"/>
  <c r="EF101" i="7"/>
  <c r="EG100" i="7"/>
  <c r="EF100" i="7"/>
  <c r="EG99" i="7"/>
  <c r="EF99" i="7"/>
  <c r="EG98" i="7"/>
  <c r="EF98" i="7"/>
  <c r="EG97" i="7"/>
  <c r="EF97" i="7"/>
  <c r="EG96" i="7"/>
  <c r="EF96" i="7"/>
  <c r="EF95" i="7"/>
  <c r="EE95" i="7"/>
  <c r="EC95" i="7"/>
  <c r="EA95" i="7"/>
  <c r="DY95" i="7"/>
  <c r="DW95" i="7"/>
  <c r="DU95" i="7"/>
  <c r="DS95" i="7"/>
  <c r="DQ95" i="7"/>
  <c r="DO95" i="7"/>
  <c r="DM95" i="7"/>
  <c r="DK95" i="7"/>
  <c r="DI95" i="7"/>
  <c r="EF94" i="7"/>
  <c r="EE94" i="7"/>
  <c r="EC94" i="7"/>
  <c r="EA94" i="7"/>
  <c r="DY94" i="7"/>
  <c r="DW94" i="7"/>
  <c r="DU94" i="7"/>
  <c r="DS94" i="7"/>
  <c r="DQ94" i="7"/>
  <c r="DO94" i="7"/>
  <c r="DM94" i="7"/>
  <c r="DK94" i="7"/>
  <c r="DI94" i="7"/>
  <c r="EF93" i="7"/>
  <c r="EE93" i="7"/>
  <c r="EC93" i="7"/>
  <c r="EA93" i="7"/>
  <c r="DY93" i="7"/>
  <c r="DW93" i="7"/>
  <c r="DU93" i="7"/>
  <c r="DS93" i="7"/>
  <c r="DQ93" i="7"/>
  <c r="DO93" i="7"/>
  <c r="DM93" i="7"/>
  <c r="DK93" i="7"/>
  <c r="DI93" i="7"/>
  <c r="EF92" i="7"/>
  <c r="EE92" i="7"/>
  <c r="EC92" i="7"/>
  <c r="EA92" i="7"/>
  <c r="DY92" i="7"/>
  <c r="DW92" i="7"/>
  <c r="DU92" i="7"/>
  <c r="DS92" i="7"/>
  <c r="DQ92" i="7"/>
  <c r="DO92" i="7"/>
  <c r="DM92" i="7"/>
  <c r="DK92" i="7"/>
  <c r="DI92" i="7"/>
  <c r="EF90" i="7"/>
  <c r="EE90" i="7"/>
  <c r="EC90" i="7"/>
  <c r="EA90" i="7"/>
  <c r="DY90" i="7"/>
  <c r="DW90" i="7"/>
  <c r="DU90" i="7"/>
  <c r="DS90" i="7"/>
  <c r="DQ90" i="7"/>
  <c r="DO90" i="7"/>
  <c r="DM90" i="7"/>
  <c r="DK90" i="7"/>
  <c r="DI90" i="7"/>
  <c r="EF89" i="7"/>
  <c r="EE89" i="7"/>
  <c r="EC89" i="7"/>
  <c r="EA89" i="7"/>
  <c r="DY89" i="7"/>
  <c r="DW89" i="7"/>
  <c r="DU89" i="7"/>
  <c r="DS89" i="7"/>
  <c r="DQ89" i="7"/>
  <c r="DO89" i="7"/>
  <c r="DM89" i="7"/>
  <c r="DK89" i="7"/>
  <c r="DI89" i="7"/>
  <c r="EF88" i="7"/>
  <c r="EE88" i="7"/>
  <c r="EC88" i="7"/>
  <c r="EA88" i="7"/>
  <c r="DY88" i="7"/>
  <c r="DW88" i="7"/>
  <c r="DU88" i="7"/>
  <c r="DS88" i="7"/>
  <c r="DQ88" i="7"/>
  <c r="DO88" i="7"/>
  <c r="DM88" i="7"/>
  <c r="DK88" i="7"/>
  <c r="DI88" i="7"/>
  <c r="EF87" i="7"/>
  <c r="EE87" i="7"/>
  <c r="EC87" i="7"/>
  <c r="EA87" i="7"/>
  <c r="DY87" i="7"/>
  <c r="DW87" i="7"/>
  <c r="DU87" i="7"/>
  <c r="DS87" i="7"/>
  <c r="DQ87" i="7"/>
  <c r="DO87" i="7"/>
  <c r="DM87" i="7"/>
  <c r="DK87" i="7"/>
  <c r="DI87" i="7"/>
  <c r="EF86" i="7"/>
  <c r="EE86" i="7"/>
  <c r="EC86" i="7"/>
  <c r="EA86" i="7"/>
  <c r="DY86" i="7"/>
  <c r="DW86" i="7"/>
  <c r="DU86" i="7"/>
  <c r="DS86" i="7"/>
  <c r="DQ86" i="7"/>
  <c r="DO86" i="7"/>
  <c r="DM86" i="7"/>
  <c r="DK86" i="7"/>
  <c r="DI86" i="7"/>
  <c r="EF84" i="7"/>
  <c r="EE84" i="7"/>
  <c r="EC84" i="7"/>
  <c r="EA84" i="7"/>
  <c r="DY84" i="7"/>
  <c r="DW84" i="7"/>
  <c r="DU84" i="7"/>
  <c r="DS84" i="7"/>
  <c r="DQ84" i="7"/>
  <c r="DO84" i="7"/>
  <c r="DM84" i="7"/>
  <c r="DK84" i="7"/>
  <c r="DI84" i="7"/>
  <c r="EF81" i="7"/>
  <c r="EE81" i="7"/>
  <c r="EC81" i="7"/>
  <c r="EA81" i="7"/>
  <c r="DY81" i="7"/>
  <c r="DW81" i="7"/>
  <c r="DU81" i="7"/>
  <c r="DS81" i="7"/>
  <c r="DQ81" i="7"/>
  <c r="DO81" i="7"/>
  <c r="DM81" i="7"/>
  <c r="DK81" i="7"/>
  <c r="DI81" i="7"/>
  <c r="EF80" i="7"/>
  <c r="EE80" i="7"/>
  <c r="EC80" i="7"/>
  <c r="EA80" i="7"/>
  <c r="DY80" i="7"/>
  <c r="DW80" i="7"/>
  <c r="DU80" i="7"/>
  <c r="DS80" i="7"/>
  <c r="DQ80" i="7"/>
  <c r="DO80" i="7"/>
  <c r="DM80" i="7"/>
  <c r="DK80" i="7"/>
  <c r="DI80" i="7"/>
  <c r="EF78" i="7"/>
  <c r="EE78" i="7"/>
  <c r="EC78" i="7"/>
  <c r="EA78" i="7"/>
  <c r="DY78" i="7"/>
  <c r="DW78" i="7"/>
  <c r="DU78" i="7"/>
  <c r="DS78" i="7"/>
  <c r="DQ78" i="7"/>
  <c r="DO78" i="7"/>
  <c r="DM78" i="7"/>
  <c r="DK78" i="7"/>
  <c r="DI78" i="7"/>
  <c r="EF77" i="7"/>
  <c r="EE77" i="7"/>
  <c r="EC77" i="7"/>
  <c r="EA77" i="7"/>
  <c r="DY77" i="7"/>
  <c r="DW77" i="7"/>
  <c r="DU77" i="7"/>
  <c r="DS77" i="7"/>
  <c r="DQ77" i="7"/>
  <c r="DO77" i="7"/>
  <c r="DM77" i="7"/>
  <c r="DK77" i="7"/>
  <c r="DI77" i="7"/>
  <c r="EF75" i="7"/>
  <c r="EE75" i="7"/>
  <c r="EC75" i="7"/>
  <c r="EA75" i="7"/>
  <c r="DY75" i="7"/>
  <c r="DW75" i="7"/>
  <c r="DU75" i="7"/>
  <c r="DS75" i="7"/>
  <c r="DQ75" i="7"/>
  <c r="DO75" i="7"/>
  <c r="DM75" i="7"/>
  <c r="DK75" i="7"/>
  <c r="DI75" i="7"/>
  <c r="EF74" i="7"/>
  <c r="EE74" i="7"/>
  <c r="EC74" i="7"/>
  <c r="EA74" i="7"/>
  <c r="DY74" i="7"/>
  <c r="DW74" i="7"/>
  <c r="DU74" i="7"/>
  <c r="DS74" i="7"/>
  <c r="DQ74" i="7"/>
  <c r="DO74" i="7"/>
  <c r="DM74" i="7"/>
  <c r="DK74" i="7"/>
  <c r="DI74" i="7"/>
  <c r="EF72" i="7"/>
  <c r="EE72" i="7"/>
  <c r="EC72" i="7"/>
  <c r="EA72" i="7"/>
  <c r="DY72" i="7"/>
  <c r="DW72" i="7"/>
  <c r="DU72" i="7"/>
  <c r="DS72" i="7"/>
  <c r="DQ72" i="7"/>
  <c r="DO72" i="7"/>
  <c r="DM72" i="7"/>
  <c r="DK72" i="7"/>
  <c r="DI72" i="7"/>
  <c r="EF71" i="7"/>
  <c r="EE71" i="7"/>
  <c r="EC71" i="7"/>
  <c r="EA71" i="7"/>
  <c r="DY71" i="7"/>
  <c r="DW71" i="7"/>
  <c r="DU71" i="7"/>
  <c r="DS71" i="7"/>
  <c r="DQ71" i="7"/>
  <c r="DO71" i="7"/>
  <c r="DM71" i="7"/>
  <c r="DK71" i="7"/>
  <c r="DI71" i="7"/>
  <c r="EF70" i="7"/>
  <c r="EE70" i="7"/>
  <c r="EC70" i="7"/>
  <c r="EA70" i="7"/>
  <c r="DY70" i="7"/>
  <c r="DW70" i="7"/>
  <c r="DU70" i="7"/>
  <c r="DS70" i="7"/>
  <c r="DQ70" i="7"/>
  <c r="DO70" i="7"/>
  <c r="DM70" i="7"/>
  <c r="DK70" i="7"/>
  <c r="DI70" i="7"/>
  <c r="EF68" i="7"/>
  <c r="EE68" i="7"/>
  <c r="EC68" i="7"/>
  <c r="EA68" i="7"/>
  <c r="DY68" i="7"/>
  <c r="DW68" i="7"/>
  <c r="DU68" i="7"/>
  <c r="DS68" i="7"/>
  <c r="DQ68" i="7"/>
  <c r="DO68" i="7"/>
  <c r="DM68" i="7"/>
  <c r="DK68" i="7"/>
  <c r="DI68" i="7"/>
  <c r="EF67" i="7"/>
  <c r="EE67" i="7"/>
  <c r="EC67" i="7"/>
  <c r="EA67" i="7"/>
  <c r="DY67" i="7"/>
  <c r="DW67" i="7"/>
  <c r="DU67" i="7"/>
  <c r="DS67" i="7"/>
  <c r="DQ67" i="7"/>
  <c r="DO67" i="7"/>
  <c r="DM67" i="7"/>
  <c r="DK67" i="7"/>
  <c r="DI67" i="7"/>
  <c r="EF66" i="7"/>
  <c r="EE66" i="7"/>
  <c r="EC66" i="7"/>
  <c r="EA66" i="7"/>
  <c r="DY66" i="7"/>
  <c r="DW66" i="7"/>
  <c r="DU66" i="7"/>
  <c r="DS66" i="7"/>
  <c r="DQ66" i="7"/>
  <c r="DO66" i="7"/>
  <c r="DM66" i="7"/>
  <c r="DK66" i="7"/>
  <c r="DI66" i="7"/>
  <c r="EF64" i="7"/>
  <c r="EE64" i="7"/>
  <c r="EC64" i="7"/>
  <c r="EA64" i="7"/>
  <c r="DY64" i="7"/>
  <c r="DW64" i="7"/>
  <c r="DU64" i="7"/>
  <c r="DS64" i="7"/>
  <c r="DQ64" i="7"/>
  <c r="DO64" i="7"/>
  <c r="DM64" i="7"/>
  <c r="DK64" i="7"/>
  <c r="DI64" i="7"/>
  <c r="EF63" i="7"/>
  <c r="EE63" i="7"/>
  <c r="EC63" i="7"/>
  <c r="EA63" i="7"/>
  <c r="DY63" i="7"/>
  <c r="DW63" i="7"/>
  <c r="DU63" i="7"/>
  <c r="DS63" i="7"/>
  <c r="DQ63" i="7"/>
  <c r="DO63" i="7"/>
  <c r="DM63" i="7"/>
  <c r="DK63" i="7"/>
  <c r="DI63" i="7"/>
  <c r="EF62" i="7"/>
  <c r="EE62" i="7"/>
  <c r="EC62" i="7"/>
  <c r="EA62" i="7"/>
  <c r="DY62" i="7"/>
  <c r="DW62" i="7"/>
  <c r="DU62" i="7"/>
  <c r="DS62" i="7"/>
  <c r="DQ62" i="7"/>
  <c r="DO62" i="7"/>
  <c r="DM62" i="7"/>
  <c r="DK62" i="7"/>
  <c r="DI62" i="7"/>
  <c r="EF60" i="7"/>
  <c r="EE60" i="7"/>
  <c r="EC60" i="7"/>
  <c r="EA60" i="7"/>
  <c r="DY60" i="7"/>
  <c r="DW60" i="7"/>
  <c r="DU60" i="7"/>
  <c r="DS60" i="7"/>
  <c r="DQ60" i="7"/>
  <c r="DO60" i="7"/>
  <c r="DM60" i="7"/>
  <c r="DK60" i="7"/>
  <c r="DI60" i="7"/>
  <c r="EF58" i="7"/>
  <c r="EE58" i="7"/>
  <c r="EC58" i="7"/>
  <c r="EA58" i="7"/>
  <c r="DY58" i="7"/>
  <c r="DW58" i="7"/>
  <c r="DU58" i="7"/>
  <c r="DS58" i="7"/>
  <c r="DQ58" i="7"/>
  <c r="DO58" i="7"/>
  <c r="DM58" i="7"/>
  <c r="DK58" i="7"/>
  <c r="DI58" i="7"/>
  <c r="EF57" i="7"/>
  <c r="EE57" i="7"/>
  <c r="EC57" i="7"/>
  <c r="EA57" i="7"/>
  <c r="DY57" i="7"/>
  <c r="DW57" i="7"/>
  <c r="DU57" i="7"/>
  <c r="DS57" i="7"/>
  <c r="DQ57" i="7"/>
  <c r="DO57" i="7"/>
  <c r="DM57" i="7"/>
  <c r="DK57" i="7"/>
  <c r="DI57" i="7"/>
  <c r="EF56" i="7"/>
  <c r="EE56" i="7"/>
  <c r="EC56" i="7"/>
  <c r="EA56" i="7"/>
  <c r="DY56" i="7"/>
  <c r="DW56" i="7"/>
  <c r="DU56" i="7"/>
  <c r="DS56" i="7"/>
  <c r="DQ56" i="7"/>
  <c r="DO56" i="7"/>
  <c r="DM56" i="7"/>
  <c r="DK56" i="7"/>
  <c r="DI56" i="7"/>
  <c r="EF55" i="7"/>
  <c r="EE55" i="7"/>
  <c r="EC55" i="7"/>
  <c r="EA55" i="7"/>
  <c r="DY55" i="7"/>
  <c r="DW55" i="7"/>
  <c r="DU55" i="7"/>
  <c r="DS55" i="7"/>
  <c r="DQ55" i="7"/>
  <c r="DO55" i="7"/>
  <c r="DM55" i="7"/>
  <c r="DK55" i="7"/>
  <c r="DI55" i="7"/>
  <c r="EF52" i="7"/>
  <c r="EE52" i="7"/>
  <c r="EC52" i="7"/>
  <c r="EA52" i="7"/>
  <c r="DY52" i="7"/>
  <c r="DW52" i="7"/>
  <c r="DU52" i="7"/>
  <c r="DS52" i="7"/>
  <c r="DQ52" i="7"/>
  <c r="DO52" i="7"/>
  <c r="DM52" i="7"/>
  <c r="DK52" i="7"/>
  <c r="DI52" i="7"/>
  <c r="EF51" i="7"/>
  <c r="EE51" i="7"/>
  <c r="EC51" i="7"/>
  <c r="EA51" i="7"/>
  <c r="DY51" i="7"/>
  <c r="DW51" i="7"/>
  <c r="DU51" i="7"/>
  <c r="DS51" i="7"/>
  <c r="DQ51" i="7"/>
  <c r="DO51" i="7"/>
  <c r="DM51" i="7"/>
  <c r="DK51" i="7"/>
  <c r="DI51" i="7"/>
  <c r="EF50" i="7"/>
  <c r="EE50" i="7"/>
  <c r="EC50" i="7"/>
  <c r="EA50" i="7"/>
  <c r="DY50" i="7"/>
  <c r="DW50" i="7"/>
  <c r="DU50" i="7"/>
  <c r="DS50" i="7"/>
  <c r="DQ50" i="7"/>
  <c r="DO50" i="7"/>
  <c r="DM50" i="7"/>
  <c r="DK50" i="7"/>
  <c r="DI50" i="7"/>
  <c r="EF49" i="7"/>
  <c r="EE49" i="7"/>
  <c r="EC49" i="7"/>
  <c r="EA49" i="7"/>
  <c r="DY49" i="7"/>
  <c r="DW49" i="7"/>
  <c r="DU49" i="7"/>
  <c r="DS49" i="7"/>
  <c r="DQ49" i="7"/>
  <c r="DO49" i="7"/>
  <c r="DM49" i="7"/>
  <c r="DK49" i="7"/>
  <c r="DI49" i="7"/>
  <c r="EF47" i="7"/>
  <c r="EE47" i="7"/>
  <c r="EC47" i="7"/>
  <c r="EA47" i="7"/>
  <c r="DY47" i="7"/>
  <c r="DW47" i="7"/>
  <c r="DU47" i="7"/>
  <c r="DS47" i="7"/>
  <c r="DQ47" i="7"/>
  <c r="DO47" i="7"/>
  <c r="DM47" i="7"/>
  <c r="DK47" i="7"/>
  <c r="DI47" i="7"/>
  <c r="EF46" i="7"/>
  <c r="EE46" i="7"/>
  <c r="EC46" i="7"/>
  <c r="EA46" i="7"/>
  <c r="DY46" i="7"/>
  <c r="DW46" i="7"/>
  <c r="DU46" i="7"/>
  <c r="DS46" i="7"/>
  <c r="DQ46" i="7"/>
  <c r="DO46" i="7"/>
  <c r="DM46" i="7"/>
  <c r="DK46" i="7"/>
  <c r="DI46" i="7"/>
  <c r="EF45" i="7"/>
  <c r="EE45" i="7"/>
  <c r="EC45" i="7"/>
  <c r="EA45" i="7"/>
  <c r="DY45" i="7"/>
  <c r="DW45" i="7"/>
  <c r="DU45" i="7"/>
  <c r="DS45" i="7"/>
  <c r="DQ45" i="7"/>
  <c r="DO45" i="7"/>
  <c r="DM45" i="7"/>
  <c r="DK45" i="7"/>
  <c r="DI45" i="7"/>
  <c r="EF44" i="7"/>
  <c r="EE44" i="7"/>
  <c r="EC44" i="7"/>
  <c r="EA44" i="7"/>
  <c r="DY44" i="7"/>
  <c r="DW44" i="7"/>
  <c r="DU44" i="7"/>
  <c r="DS44" i="7"/>
  <c r="DQ44" i="7"/>
  <c r="DO44" i="7"/>
  <c r="DM44" i="7"/>
  <c r="DK44" i="7"/>
  <c r="DI44" i="7"/>
  <c r="EF43" i="7"/>
  <c r="EE43" i="7"/>
  <c r="EC43" i="7"/>
  <c r="EA43" i="7"/>
  <c r="DY43" i="7"/>
  <c r="DW43" i="7"/>
  <c r="DU43" i="7"/>
  <c r="DS43" i="7"/>
  <c r="DQ43" i="7"/>
  <c r="DO43" i="7"/>
  <c r="DM43" i="7"/>
  <c r="DK43" i="7"/>
  <c r="DI43" i="7"/>
  <c r="EF42" i="7"/>
  <c r="EE42" i="7"/>
  <c r="EC42" i="7"/>
  <c r="EA42" i="7"/>
  <c r="DY42" i="7"/>
  <c r="DW42" i="7"/>
  <c r="DU42" i="7"/>
  <c r="DS42" i="7"/>
  <c r="DQ42" i="7"/>
  <c r="DO42" i="7"/>
  <c r="DM42" i="7"/>
  <c r="DK42" i="7"/>
  <c r="DI42" i="7"/>
  <c r="EF41" i="7"/>
  <c r="EE41" i="7"/>
  <c r="EC41" i="7"/>
  <c r="EA41" i="7"/>
  <c r="DY41" i="7"/>
  <c r="DW41" i="7"/>
  <c r="DU41" i="7"/>
  <c r="DS41" i="7"/>
  <c r="DQ41" i="7"/>
  <c r="DO41" i="7"/>
  <c r="DM41" i="7"/>
  <c r="DK41" i="7"/>
  <c r="DI41" i="7"/>
  <c r="EF40" i="7"/>
  <c r="EE40" i="7"/>
  <c r="EC40" i="7"/>
  <c r="EA40" i="7"/>
  <c r="DY40" i="7"/>
  <c r="DW40" i="7"/>
  <c r="DU40" i="7"/>
  <c r="DS40" i="7"/>
  <c r="DQ40" i="7"/>
  <c r="DO40" i="7"/>
  <c r="DM40" i="7"/>
  <c r="DK40" i="7"/>
  <c r="DI40" i="7"/>
  <c r="EF39" i="7"/>
  <c r="EE39" i="7"/>
  <c r="EC39" i="7"/>
  <c r="EA39" i="7"/>
  <c r="DY39" i="7"/>
  <c r="DW39" i="7"/>
  <c r="DU39" i="7"/>
  <c r="DS39" i="7"/>
  <c r="DQ39" i="7"/>
  <c r="DO39" i="7"/>
  <c r="DM39" i="7"/>
  <c r="DK39" i="7"/>
  <c r="DI39" i="7"/>
  <c r="EF38" i="7"/>
  <c r="EE38" i="7"/>
  <c r="EC38" i="7"/>
  <c r="EA38" i="7"/>
  <c r="DY38" i="7"/>
  <c r="DW38" i="7"/>
  <c r="DU38" i="7"/>
  <c r="DS38" i="7"/>
  <c r="DQ38" i="7"/>
  <c r="DO38" i="7"/>
  <c r="DM38" i="7"/>
  <c r="DK38" i="7"/>
  <c r="DI38" i="7"/>
  <c r="EF37" i="7"/>
  <c r="EE37" i="7"/>
  <c r="EC37" i="7"/>
  <c r="EA37" i="7"/>
  <c r="DY37" i="7"/>
  <c r="DW37" i="7"/>
  <c r="DU37" i="7"/>
  <c r="DS37" i="7"/>
  <c r="DQ37" i="7"/>
  <c r="DO37" i="7"/>
  <c r="DM37" i="7"/>
  <c r="DK37" i="7"/>
  <c r="DI37" i="7"/>
  <c r="EF36" i="7"/>
  <c r="EE36" i="7"/>
  <c r="EC36" i="7"/>
  <c r="EA36" i="7"/>
  <c r="DY36" i="7"/>
  <c r="DW36" i="7"/>
  <c r="DU36" i="7"/>
  <c r="DS36" i="7"/>
  <c r="DQ36" i="7"/>
  <c r="DO36" i="7"/>
  <c r="DM36" i="7"/>
  <c r="DK36" i="7"/>
  <c r="DI36" i="7"/>
  <c r="EF35" i="7"/>
  <c r="EE35" i="7"/>
  <c r="EC35" i="7"/>
  <c r="EA35" i="7"/>
  <c r="DY35" i="7"/>
  <c r="DW35" i="7"/>
  <c r="DU35" i="7"/>
  <c r="DS35" i="7"/>
  <c r="DQ35" i="7"/>
  <c r="DO35" i="7"/>
  <c r="DM35" i="7"/>
  <c r="DK35" i="7"/>
  <c r="DI35" i="7"/>
  <c r="EF34" i="7"/>
  <c r="EE34" i="7"/>
  <c r="EC34" i="7"/>
  <c r="EA34" i="7"/>
  <c r="DY34" i="7"/>
  <c r="DW34" i="7"/>
  <c r="DU34" i="7"/>
  <c r="DS34" i="7"/>
  <c r="DQ34" i="7"/>
  <c r="DO34" i="7"/>
  <c r="DM34" i="7"/>
  <c r="DK34" i="7"/>
  <c r="DI34" i="7"/>
  <c r="EF33" i="7"/>
  <c r="EE33" i="7"/>
  <c r="EC33" i="7"/>
  <c r="EA33" i="7"/>
  <c r="DY33" i="7"/>
  <c r="DW33" i="7"/>
  <c r="DU33" i="7"/>
  <c r="DS33" i="7"/>
  <c r="DQ33" i="7"/>
  <c r="DO33" i="7"/>
  <c r="DM33" i="7"/>
  <c r="DK33" i="7"/>
  <c r="DI33" i="7"/>
  <c r="EF32" i="7"/>
  <c r="EE32" i="7"/>
  <c r="EC32" i="7"/>
  <c r="EA32" i="7"/>
  <c r="DY32" i="7"/>
  <c r="DW32" i="7"/>
  <c r="DU32" i="7"/>
  <c r="DS32" i="7"/>
  <c r="DQ32" i="7"/>
  <c r="DO32" i="7"/>
  <c r="DM32" i="7"/>
  <c r="DK32" i="7"/>
  <c r="DI32" i="7"/>
  <c r="EF31" i="7"/>
  <c r="EE31" i="7"/>
  <c r="EC31" i="7"/>
  <c r="EA31" i="7"/>
  <c r="DY31" i="7"/>
  <c r="DW31" i="7"/>
  <c r="DU31" i="7"/>
  <c r="DS31" i="7"/>
  <c r="DQ31" i="7"/>
  <c r="DO31" i="7"/>
  <c r="DM31" i="7"/>
  <c r="DK31" i="7"/>
  <c r="DI31" i="7"/>
  <c r="EF29" i="7"/>
  <c r="EE29" i="7"/>
  <c r="EC29" i="7"/>
  <c r="EA29" i="7"/>
  <c r="DY29" i="7"/>
  <c r="DW29" i="7"/>
  <c r="DU29" i="7"/>
  <c r="DS29" i="7"/>
  <c r="DQ29" i="7"/>
  <c r="DO29" i="7"/>
  <c r="DM29" i="7"/>
  <c r="DK29" i="7"/>
  <c r="DI29" i="7"/>
  <c r="EF28" i="7"/>
  <c r="EE28" i="7"/>
  <c r="EC28" i="7"/>
  <c r="EA28" i="7"/>
  <c r="DY28" i="7"/>
  <c r="DW28" i="7"/>
  <c r="DU28" i="7"/>
  <c r="DS28" i="7"/>
  <c r="DQ28" i="7"/>
  <c r="DO28" i="7"/>
  <c r="DM28" i="7"/>
  <c r="DK28" i="7"/>
  <c r="DI28" i="7"/>
  <c r="EF27" i="7"/>
  <c r="EE27" i="7"/>
  <c r="EC27" i="7"/>
  <c r="EA27" i="7"/>
  <c r="DY27" i="7"/>
  <c r="DW27" i="7"/>
  <c r="DU27" i="7"/>
  <c r="DS27" i="7"/>
  <c r="DQ27" i="7"/>
  <c r="DO27" i="7"/>
  <c r="DM27" i="7"/>
  <c r="DK27" i="7"/>
  <c r="DI27" i="7"/>
  <c r="EF26" i="7"/>
  <c r="EE26" i="7"/>
  <c r="EC26" i="7"/>
  <c r="EA26" i="7"/>
  <c r="DY26" i="7"/>
  <c r="DW26" i="7"/>
  <c r="DU26" i="7"/>
  <c r="DS26" i="7"/>
  <c r="DQ26" i="7"/>
  <c r="DO26" i="7"/>
  <c r="DM26" i="7"/>
  <c r="DK26" i="7"/>
  <c r="DI26" i="7"/>
  <c r="EF24" i="7"/>
  <c r="EE24" i="7"/>
  <c r="EC24" i="7"/>
  <c r="EA24" i="7"/>
  <c r="DY24" i="7"/>
  <c r="DW24" i="7"/>
  <c r="DU24" i="7"/>
  <c r="DS24" i="7"/>
  <c r="DQ24" i="7"/>
  <c r="DO24" i="7"/>
  <c r="DM24" i="7"/>
  <c r="DK24" i="7"/>
  <c r="DI24" i="7"/>
  <c r="EF23" i="7"/>
  <c r="EE23" i="7"/>
  <c r="EC23" i="7"/>
  <c r="EA23" i="7"/>
  <c r="DY23" i="7"/>
  <c r="DW23" i="7"/>
  <c r="DU23" i="7"/>
  <c r="DS23" i="7"/>
  <c r="DQ23" i="7"/>
  <c r="DO23" i="7"/>
  <c r="DM23" i="7"/>
  <c r="DK23" i="7"/>
  <c r="DI23" i="7"/>
  <c r="L32" i="6" s="1"/>
  <c r="N32" i="6" s="1"/>
  <c r="EF22" i="7"/>
  <c r="EE22" i="7"/>
  <c r="EC22" i="7"/>
  <c r="EA22" i="7"/>
  <c r="DY22" i="7"/>
  <c r="DW22" i="7"/>
  <c r="DU22" i="7"/>
  <c r="DS22" i="7"/>
  <c r="DQ22" i="7"/>
  <c r="DO22" i="7"/>
  <c r="DM22" i="7"/>
  <c r="DK22" i="7"/>
  <c r="DI22" i="7"/>
  <c r="L31" i="6" s="1"/>
  <c r="N31" i="6" s="1"/>
  <c r="EF21" i="7"/>
  <c r="EE21" i="7"/>
  <c r="EC21" i="7"/>
  <c r="EA21" i="7"/>
  <c r="DY21" i="7"/>
  <c r="DW21" i="7"/>
  <c r="DU21" i="7"/>
  <c r="DS21" i="7"/>
  <c r="DQ21" i="7"/>
  <c r="DO21" i="7"/>
  <c r="DM21" i="7"/>
  <c r="DK21" i="7"/>
  <c r="DI21" i="7"/>
  <c r="EF20" i="7"/>
  <c r="EE20" i="7"/>
  <c r="EC20" i="7"/>
  <c r="EA20" i="7"/>
  <c r="DY20" i="7"/>
  <c r="DW20" i="7"/>
  <c r="DU20" i="7"/>
  <c r="DS20" i="7"/>
  <c r="DQ20" i="7"/>
  <c r="DO20" i="7"/>
  <c r="DM20" i="7"/>
  <c r="DK20" i="7"/>
  <c r="DI20" i="7"/>
  <c r="EF19" i="7"/>
  <c r="EE19" i="7"/>
  <c r="EC19" i="7"/>
  <c r="EA19" i="7"/>
  <c r="DY19" i="7"/>
  <c r="DW19" i="7"/>
  <c r="DU19" i="7"/>
  <c r="DS19" i="7"/>
  <c r="DQ19" i="7"/>
  <c r="DO19" i="7"/>
  <c r="DM19" i="7"/>
  <c r="DK19" i="7"/>
  <c r="DI19" i="7"/>
  <c r="N28" i="6" s="1"/>
  <c r="EF18" i="7"/>
  <c r="EE18" i="7"/>
  <c r="EC18" i="7"/>
  <c r="EA18" i="7"/>
  <c r="DY18" i="7"/>
  <c r="DW18" i="7"/>
  <c r="DU18" i="7"/>
  <c r="DS18" i="7"/>
  <c r="DQ18" i="7"/>
  <c r="DO18" i="7"/>
  <c r="DM18" i="7"/>
  <c r="DK18" i="7"/>
  <c r="DI18" i="7"/>
  <c r="N27" i="6" s="1"/>
  <c r="EF17" i="7"/>
  <c r="EE17" i="7"/>
  <c r="EC17" i="7"/>
  <c r="EA17" i="7"/>
  <c r="DY17" i="7"/>
  <c r="DW17" i="7"/>
  <c r="DU17" i="7"/>
  <c r="DS17" i="7"/>
  <c r="DQ17" i="7"/>
  <c r="DO17" i="7"/>
  <c r="DM17" i="7"/>
  <c r="DK17" i="7"/>
  <c r="DI17" i="7"/>
  <c r="EE16" i="7"/>
  <c r="EC16" i="7"/>
  <c r="EA16" i="7"/>
  <c r="DY16" i="7"/>
  <c r="DW16" i="7"/>
  <c r="DU16" i="7"/>
  <c r="DS16" i="7"/>
  <c r="DQ16" i="7"/>
  <c r="DO16" i="7"/>
  <c r="DM16" i="7"/>
  <c r="DK16" i="7"/>
  <c r="DI16" i="7"/>
  <c r="EF14" i="7"/>
  <c r="EE14" i="7"/>
  <c r="EC14" i="7"/>
  <c r="EA14" i="7"/>
  <c r="DY14" i="7"/>
  <c r="DW14" i="7"/>
  <c r="DU14" i="7"/>
  <c r="DS14" i="7"/>
  <c r="DQ14" i="7"/>
  <c r="DO14" i="7"/>
  <c r="DM14" i="7"/>
  <c r="DK14" i="7"/>
  <c r="DI14" i="7"/>
  <c r="EF13" i="7"/>
  <c r="EE13" i="7"/>
  <c r="EC13" i="7"/>
  <c r="EA13" i="7"/>
  <c r="DY13" i="7"/>
  <c r="DW13" i="7"/>
  <c r="DU13" i="7"/>
  <c r="DS13" i="7"/>
  <c r="DQ13" i="7"/>
  <c r="DO13" i="7"/>
  <c r="DM13" i="7"/>
  <c r="DK13" i="7"/>
  <c r="DI13" i="7"/>
  <c r="EF12" i="7"/>
  <c r="EE12" i="7"/>
  <c r="EC12" i="7"/>
  <c r="EA12" i="7"/>
  <c r="DY12" i="7"/>
  <c r="DW12" i="7"/>
  <c r="DU12" i="7"/>
  <c r="DS12" i="7"/>
  <c r="DQ12" i="7"/>
  <c r="DO12" i="7"/>
  <c r="DM12" i="7"/>
  <c r="DK12" i="7"/>
  <c r="DI12" i="7"/>
  <c r="EF11" i="7"/>
  <c r="EE11" i="7"/>
  <c r="EC11" i="7"/>
  <c r="EA11" i="7"/>
  <c r="DY11" i="7"/>
  <c r="DW11" i="7"/>
  <c r="DU11" i="7"/>
  <c r="DS11" i="7"/>
  <c r="DQ11" i="7"/>
  <c r="DO11" i="7"/>
  <c r="DM11" i="7"/>
  <c r="DK11" i="7"/>
  <c r="DI11" i="7"/>
  <c r="EF10" i="7"/>
  <c r="EE10" i="7"/>
  <c r="EC10" i="7"/>
  <c r="EA10" i="7"/>
  <c r="DY10" i="7"/>
  <c r="DW10" i="7"/>
  <c r="DU10" i="7"/>
  <c r="DS10" i="7"/>
  <c r="DQ10" i="7"/>
  <c r="DO10" i="7"/>
  <c r="DM10" i="7"/>
  <c r="DK10" i="7"/>
  <c r="DI10" i="7"/>
  <c r="EF9" i="7"/>
  <c r="EE9" i="7"/>
  <c r="EC9" i="7"/>
  <c r="EA9" i="7"/>
  <c r="DY9" i="7"/>
  <c r="DW9" i="7"/>
  <c r="DU9" i="7"/>
  <c r="DS9" i="7"/>
  <c r="DQ9" i="7"/>
  <c r="DO9" i="7"/>
  <c r="DM9" i="7"/>
  <c r="DK9" i="7"/>
  <c r="DI9" i="7"/>
  <c r="EF8" i="7"/>
  <c r="EE8" i="7"/>
  <c r="EC8" i="7"/>
  <c r="EA8" i="7"/>
  <c r="DY8" i="7"/>
  <c r="DW8" i="7"/>
  <c r="DU8" i="7"/>
  <c r="DS8" i="7"/>
  <c r="DQ8" i="7"/>
  <c r="DO8" i="7"/>
  <c r="DM8" i="7"/>
  <c r="DK8" i="7"/>
  <c r="DI8" i="7"/>
  <c r="EF7" i="7"/>
  <c r="EE7" i="7"/>
  <c r="EC7" i="7"/>
  <c r="EA7" i="7"/>
  <c r="DY7" i="7"/>
  <c r="DW7" i="7"/>
  <c r="DU7" i="7"/>
  <c r="DS7" i="7"/>
  <c r="DQ7" i="7"/>
  <c r="DO7" i="7"/>
  <c r="DM7" i="7"/>
  <c r="DI7" i="7"/>
  <c r="EF6" i="7"/>
  <c r="EE6" i="7"/>
  <c r="EC6" i="7"/>
  <c r="EA6" i="7"/>
  <c r="DY6" i="7"/>
  <c r="DW6" i="7"/>
  <c r="DU6" i="7"/>
  <c r="DS6" i="7"/>
  <c r="DQ6" i="7"/>
  <c r="DO6" i="7"/>
  <c r="DM6" i="7"/>
  <c r="DK6" i="7"/>
  <c r="DI6" i="7"/>
  <c r="EF4" i="7"/>
  <c r="EE4" i="7"/>
  <c r="EC4" i="7"/>
  <c r="EA4" i="7"/>
  <c r="DY4" i="7"/>
  <c r="DW4" i="7"/>
  <c r="DU4" i="7"/>
  <c r="DS4" i="7"/>
  <c r="DQ4" i="7"/>
  <c r="DO4" i="7"/>
  <c r="DM4" i="7"/>
  <c r="DK4" i="7"/>
  <c r="DI4" i="7"/>
  <c r="DJ166" i="7" l="1"/>
  <c r="K5" i="6"/>
  <c r="M5" i="6" s="1"/>
  <c r="DK165" i="7"/>
  <c r="EG153" i="7"/>
  <c r="EG163" i="7"/>
  <c r="EA165" i="7"/>
  <c r="EC165" i="7"/>
  <c r="DJ182" i="7"/>
  <c r="DQ148" i="7"/>
  <c r="EG155" i="7"/>
  <c r="DW182" i="7"/>
  <c r="EG20" i="7"/>
  <c r="L29" i="6"/>
  <c r="N29" i="6" s="1"/>
  <c r="EG29" i="7"/>
  <c r="EG46" i="7"/>
  <c r="EG68" i="7"/>
  <c r="DU148" i="7"/>
  <c r="DU166" i="7" s="1"/>
  <c r="EG17" i="7"/>
  <c r="N26" i="6"/>
  <c r="EG35" i="7"/>
  <c r="EG75" i="7"/>
  <c r="EG88" i="7"/>
  <c r="EG160" i="7"/>
  <c r="EE148" i="7"/>
  <c r="EE166" i="7" s="1"/>
  <c r="DK148" i="7"/>
  <c r="EA148" i="7"/>
  <c r="EA166" i="7" s="1"/>
  <c r="DY148" i="7"/>
  <c r="EG16" i="7"/>
  <c r="N25" i="6"/>
  <c r="EG24" i="7"/>
  <c r="L33" i="6"/>
  <c r="N33" i="6" s="1"/>
  <c r="EG34" i="7"/>
  <c r="EG42" i="7"/>
  <c r="EG51" i="7"/>
  <c r="EG63" i="7"/>
  <c r="EG74" i="7"/>
  <c r="EG87" i="7"/>
  <c r="EG156" i="7"/>
  <c r="DL166" i="7"/>
  <c r="EB166" i="7"/>
  <c r="DS148" i="7"/>
  <c r="DS166" i="7" s="1"/>
  <c r="EG38" i="7"/>
  <c r="EG57" i="7"/>
  <c r="EG80" i="7"/>
  <c r="EG152" i="7"/>
  <c r="EG162" i="7"/>
  <c r="DT166" i="7"/>
  <c r="EF179" i="7"/>
  <c r="EG179" i="7" s="1"/>
  <c r="EG26" i="7"/>
  <c r="EG64" i="7"/>
  <c r="EG134" i="7"/>
  <c r="EG150" i="7"/>
  <c r="DW148" i="7"/>
  <c r="EG144" i="7"/>
  <c r="DS165" i="7"/>
  <c r="DO165" i="7"/>
  <c r="EF176" i="7"/>
  <c r="EG176" i="7" s="1"/>
  <c r="DM148" i="7"/>
  <c r="EG7" i="7"/>
  <c r="EG12" i="7"/>
  <c r="EG21" i="7"/>
  <c r="N30" i="6"/>
  <c r="EG31" i="7"/>
  <c r="EG39" i="7"/>
  <c r="EG47" i="7"/>
  <c r="EG58" i="7"/>
  <c r="EG70" i="7"/>
  <c r="EG81" i="7"/>
  <c r="EG93" i="7"/>
  <c r="EG130" i="7"/>
  <c r="EG136" i="7"/>
  <c r="DW165" i="7"/>
  <c r="EG11" i="7"/>
  <c r="EG92" i="7"/>
  <c r="EG120" i="7"/>
  <c r="EG8" i="7"/>
  <c r="EG43" i="7"/>
  <c r="EG52" i="7"/>
  <c r="DU165" i="7"/>
  <c r="EG131" i="7"/>
  <c r="DH166" i="7"/>
  <c r="K4" i="6"/>
  <c r="EG114" i="7"/>
  <c r="EG151" i="7"/>
  <c r="EE165" i="7"/>
  <c r="EG161" i="7"/>
  <c r="EC148" i="7"/>
  <c r="EC166" i="7" s="1"/>
  <c r="EG128" i="7"/>
  <c r="EG135" i="7"/>
  <c r="DY165" i="7"/>
  <c r="EF180" i="7"/>
  <c r="EG180" i="7" s="1"/>
  <c r="EG27" i="7"/>
  <c r="EG55" i="7"/>
  <c r="EG132" i="7"/>
  <c r="EF173" i="7"/>
  <c r="EG173" i="7" s="1"/>
  <c r="EF175" i="7"/>
  <c r="EG175" i="7" s="1"/>
  <c r="EG66" i="7"/>
  <c r="EG143" i="7"/>
  <c r="EG9" i="7"/>
  <c r="EG6" i="7"/>
  <c r="EG14" i="7"/>
  <c r="EG23" i="7"/>
  <c r="EG33" i="7"/>
  <c r="EG41" i="7"/>
  <c r="EG50" i="7"/>
  <c r="EG62" i="7"/>
  <c r="EG72" i="7"/>
  <c r="EG86" i="7"/>
  <c r="EG95" i="7"/>
  <c r="EG139" i="7"/>
  <c r="EG18" i="7"/>
  <c r="EG36" i="7"/>
  <c r="EG44" i="7"/>
  <c r="EG13" i="7"/>
  <c r="EG22" i="7"/>
  <c r="EG32" i="7"/>
  <c r="EG40" i="7"/>
  <c r="EG49" i="7"/>
  <c r="EG60" i="7"/>
  <c r="EG71" i="7"/>
  <c r="EG84" i="7"/>
  <c r="EG94" i="7"/>
  <c r="EG137" i="7"/>
  <c r="EF172" i="7"/>
  <c r="EG172" i="7" s="1"/>
  <c r="DI182" i="7"/>
  <c r="DY182" i="7"/>
  <c r="EA182" i="7"/>
  <c r="DM182" i="7"/>
  <c r="EC182" i="7"/>
  <c r="DO182" i="7"/>
  <c r="DQ182" i="7"/>
  <c r="DS182" i="7"/>
  <c r="DU182" i="7"/>
  <c r="EF174" i="7"/>
  <c r="EG174" i="7" s="1"/>
  <c r="EF178" i="7"/>
  <c r="EG178" i="7" s="1"/>
  <c r="DL182" i="7"/>
  <c r="DT182" i="7"/>
  <c r="EB182" i="7"/>
  <c r="DR182" i="7"/>
  <c r="DK172" i="7"/>
  <c r="DK182" i="7" s="1"/>
  <c r="EE175" i="7"/>
  <c r="EE179" i="7"/>
  <c r="EF177" i="7"/>
  <c r="EG177" i="7" s="1"/>
  <c r="DN182" i="7"/>
  <c r="DV182" i="7"/>
  <c r="ED182" i="7"/>
  <c r="EE172" i="7"/>
  <c r="EE176" i="7"/>
  <c r="DZ182" i="7"/>
  <c r="DH182" i="7"/>
  <c r="DP182" i="7"/>
  <c r="DX182" i="7"/>
  <c r="EF165" i="7"/>
  <c r="EG159" i="7"/>
  <c r="DI165" i="7"/>
  <c r="EG154" i="7"/>
  <c r="EG56" i="7"/>
  <c r="EG67" i="7"/>
  <c r="EG78" i="7"/>
  <c r="EG90" i="7"/>
  <c r="EF148" i="7"/>
  <c r="EF166" i="7" s="1"/>
  <c r="EG28" i="7"/>
  <c r="EG37" i="7"/>
  <c r="EG77" i="7"/>
  <c r="EG89" i="7"/>
  <c r="EG19" i="7"/>
  <c r="EG10" i="7"/>
  <c r="EG45" i="7"/>
  <c r="EG113" i="7"/>
  <c r="EG133" i="7"/>
  <c r="EG4" i="7"/>
  <c r="DQ165" i="7"/>
  <c r="DO148" i="7"/>
  <c r="DI148" i="7"/>
  <c r="DM165" i="7"/>
  <c r="DK166" i="7" l="1"/>
  <c r="L5" i="6"/>
  <c r="N5" i="6" s="1"/>
  <c r="DM166" i="7"/>
  <c r="DO166" i="7"/>
  <c r="DQ166" i="7"/>
  <c r="M4" i="6"/>
  <c r="DI166" i="7"/>
  <c r="L4" i="6"/>
  <c r="N4" i="6" s="1"/>
  <c r="DW166" i="7"/>
  <c r="DY166" i="7"/>
  <c r="EG165" i="7"/>
  <c r="EE182" i="7"/>
  <c r="EF182" i="7"/>
  <c r="EG182" i="7"/>
  <c r="EG148" i="7"/>
  <c r="EG166" i="7" l="1"/>
  <c r="DF181" i="7"/>
  <c r="DG181" i="7" s="1"/>
  <c r="DE181" i="7"/>
  <c r="DC181" i="7"/>
  <c r="DA181" i="7"/>
  <c r="CY181" i="7"/>
  <c r="CW181" i="7"/>
  <c r="CU181" i="7"/>
  <c r="CS181" i="7"/>
  <c r="CQ181" i="7"/>
  <c r="CO181" i="7"/>
  <c r="CM181" i="7"/>
  <c r="CK181" i="7"/>
  <c r="CI181" i="7"/>
  <c r="CF181" i="7"/>
  <c r="CG181" i="7" s="1"/>
  <c r="CE181" i="7"/>
  <c r="CC181" i="7"/>
  <c r="CA181" i="7"/>
  <c r="BY181" i="7"/>
  <c r="BW181" i="7"/>
  <c r="BU181" i="7"/>
  <c r="BS181" i="7"/>
  <c r="BQ181" i="7"/>
  <c r="BO181" i="7"/>
  <c r="BM181" i="7"/>
  <c r="BK181" i="7"/>
  <c r="BI181" i="7"/>
  <c r="BF181" i="7"/>
  <c r="BG181" i="7" s="1"/>
  <c r="BE181" i="7"/>
  <c r="BC181" i="7"/>
  <c r="BA181" i="7"/>
  <c r="AY181" i="7"/>
  <c r="AW181" i="7"/>
  <c r="AU181" i="7"/>
  <c r="AS181" i="7"/>
  <c r="AQ181" i="7"/>
  <c r="AO181" i="7"/>
  <c r="AM181" i="7"/>
  <c r="AK181" i="7"/>
  <c r="AI181" i="7"/>
  <c r="AF181" i="7"/>
  <c r="AG181" i="7" s="1"/>
  <c r="AE181" i="7"/>
  <c r="AC181" i="7"/>
  <c r="AA181" i="7"/>
  <c r="Y181" i="7"/>
  <c r="W181" i="7"/>
  <c r="U181" i="7"/>
  <c r="S181" i="7"/>
  <c r="Q181" i="7"/>
  <c r="O181" i="7"/>
  <c r="M181" i="7"/>
  <c r="K181" i="7"/>
  <c r="I181" i="7"/>
  <c r="DD180" i="7"/>
  <c r="DE180" i="7" s="1"/>
  <c r="DB180" i="7"/>
  <c r="DC180" i="7" s="1"/>
  <c r="CZ180" i="7"/>
  <c r="DA180" i="7" s="1"/>
  <c r="CX180" i="7"/>
  <c r="CY180" i="7" s="1"/>
  <c r="CV180" i="7"/>
  <c r="CW180" i="7" s="1"/>
  <c r="CT180" i="7"/>
  <c r="CU180" i="7" s="1"/>
  <c r="CR180" i="7"/>
  <c r="CS180" i="7" s="1"/>
  <c r="CP180" i="7"/>
  <c r="CQ180" i="7" s="1"/>
  <c r="CN180" i="7"/>
  <c r="CL180" i="7"/>
  <c r="CM180" i="7" s="1"/>
  <c r="CJ180" i="7"/>
  <c r="CK180" i="7" s="1"/>
  <c r="CH180" i="7"/>
  <c r="CI180" i="7" s="1"/>
  <c r="CD180" i="7"/>
  <c r="CE180" i="7" s="1"/>
  <c r="CB180" i="7"/>
  <c r="BZ180" i="7"/>
  <c r="CA180" i="7" s="1"/>
  <c r="BX180" i="7"/>
  <c r="BY180" i="7" s="1"/>
  <c r="BV180" i="7"/>
  <c r="BW180" i="7" s="1"/>
  <c r="BT180" i="7"/>
  <c r="BU180" i="7" s="1"/>
  <c r="BR180" i="7"/>
  <c r="BS180" i="7" s="1"/>
  <c r="BP180" i="7"/>
  <c r="BQ180" i="7" s="1"/>
  <c r="BN180" i="7"/>
  <c r="BO180" i="7" s="1"/>
  <c r="BL180" i="7"/>
  <c r="BM180" i="7" s="1"/>
  <c r="BJ180" i="7"/>
  <c r="BK180" i="7" s="1"/>
  <c r="BH180" i="7"/>
  <c r="BD180" i="7"/>
  <c r="BB180" i="7"/>
  <c r="BC180" i="7" s="1"/>
  <c r="AZ180" i="7"/>
  <c r="BA180" i="7" s="1"/>
  <c r="AX180" i="7"/>
  <c r="AY180" i="7" s="1"/>
  <c r="AV180" i="7"/>
  <c r="AW180" i="7" s="1"/>
  <c r="AT180" i="7"/>
  <c r="AU180" i="7" s="1"/>
  <c r="AR180" i="7"/>
  <c r="AS180" i="7" s="1"/>
  <c r="AP180" i="7"/>
  <c r="AQ180" i="7" s="1"/>
  <c r="AN180" i="7"/>
  <c r="AO180" i="7" s="1"/>
  <c r="AL180" i="7"/>
  <c r="AM180" i="7" s="1"/>
  <c r="AJ180" i="7"/>
  <c r="AK180" i="7" s="1"/>
  <c r="AH180" i="7"/>
  <c r="AI180" i="7" s="1"/>
  <c r="AD180" i="7"/>
  <c r="AE180" i="7" s="1"/>
  <c r="AB180" i="7"/>
  <c r="Z180" i="7"/>
  <c r="AA180" i="7" s="1"/>
  <c r="X180" i="7"/>
  <c r="Y180" i="7" s="1"/>
  <c r="V180" i="7"/>
  <c r="W180" i="7" s="1"/>
  <c r="T180" i="7"/>
  <c r="U180" i="7" s="1"/>
  <c r="R180" i="7"/>
  <c r="S180" i="7" s="1"/>
  <c r="P180" i="7"/>
  <c r="Q180" i="7" s="1"/>
  <c r="N180" i="7"/>
  <c r="O180" i="7" s="1"/>
  <c r="L180" i="7"/>
  <c r="M180" i="7" s="1"/>
  <c r="J180" i="7"/>
  <c r="K180" i="7" s="1"/>
  <c r="H180" i="7"/>
  <c r="I180" i="7" s="1"/>
  <c r="DD179" i="7"/>
  <c r="DE179" i="7" s="1"/>
  <c r="DB179" i="7"/>
  <c r="DC179" i="7" s="1"/>
  <c r="DA179" i="7"/>
  <c r="CZ179" i="7"/>
  <c r="CX179" i="7"/>
  <c r="CV179" i="7"/>
  <c r="CW179" i="7" s="1"/>
  <c r="CT179" i="7"/>
  <c r="CU179" i="7" s="1"/>
  <c r="CR179" i="7"/>
  <c r="CS179" i="7" s="1"/>
  <c r="CP179" i="7"/>
  <c r="CQ179" i="7" s="1"/>
  <c r="CN179" i="7"/>
  <c r="CO179" i="7" s="1"/>
  <c r="CL179" i="7"/>
  <c r="CM179" i="7" s="1"/>
  <c r="CJ179" i="7"/>
  <c r="CK179" i="7" s="1"/>
  <c r="CH179" i="7"/>
  <c r="CI179" i="7" s="1"/>
  <c r="CD179" i="7"/>
  <c r="CE179" i="7" s="1"/>
  <c r="CB179" i="7"/>
  <c r="BZ179" i="7"/>
  <c r="CA179" i="7" s="1"/>
  <c r="BX179" i="7"/>
  <c r="BY179" i="7" s="1"/>
  <c r="BV179" i="7"/>
  <c r="BW179" i="7" s="1"/>
  <c r="BT179" i="7"/>
  <c r="BU179" i="7" s="1"/>
  <c r="BR179" i="7"/>
  <c r="BS179" i="7" s="1"/>
  <c r="BP179" i="7"/>
  <c r="BQ179" i="7" s="1"/>
  <c r="BN179" i="7"/>
  <c r="BO179" i="7" s="1"/>
  <c r="BL179" i="7"/>
  <c r="BM179" i="7" s="1"/>
  <c r="BJ179" i="7"/>
  <c r="BK179" i="7" s="1"/>
  <c r="BH179" i="7"/>
  <c r="BI179" i="7" s="1"/>
  <c r="BD179" i="7"/>
  <c r="BB179" i="7"/>
  <c r="BC179" i="7" s="1"/>
  <c r="AZ179" i="7"/>
  <c r="BA179" i="7" s="1"/>
  <c r="AX179" i="7"/>
  <c r="AY179" i="7" s="1"/>
  <c r="AV179" i="7"/>
  <c r="AW179" i="7" s="1"/>
  <c r="AT179" i="7"/>
  <c r="AU179" i="7" s="1"/>
  <c r="AR179" i="7"/>
  <c r="AS179" i="7" s="1"/>
  <c r="AP179" i="7"/>
  <c r="AQ179" i="7" s="1"/>
  <c r="AN179" i="7"/>
  <c r="AO179" i="7" s="1"/>
  <c r="AL179" i="7"/>
  <c r="AM179" i="7" s="1"/>
  <c r="AJ179" i="7"/>
  <c r="AK179" i="7" s="1"/>
  <c r="AH179" i="7"/>
  <c r="AI179" i="7" s="1"/>
  <c r="AD179" i="7"/>
  <c r="AE179" i="7" s="1"/>
  <c r="AB179" i="7"/>
  <c r="AC179" i="7" s="1"/>
  <c r="Z179" i="7"/>
  <c r="AA179" i="7" s="1"/>
  <c r="X179" i="7"/>
  <c r="Y179" i="7" s="1"/>
  <c r="V179" i="7"/>
  <c r="W179" i="7" s="1"/>
  <c r="T179" i="7"/>
  <c r="U179" i="7" s="1"/>
  <c r="R179" i="7"/>
  <c r="S179" i="7" s="1"/>
  <c r="P179" i="7"/>
  <c r="Q179" i="7" s="1"/>
  <c r="N179" i="7"/>
  <c r="O179" i="7" s="1"/>
  <c r="L179" i="7"/>
  <c r="M179" i="7" s="1"/>
  <c r="J179" i="7"/>
  <c r="K179" i="7" s="1"/>
  <c r="H179" i="7"/>
  <c r="I179" i="7" s="1"/>
  <c r="DD178" i="7"/>
  <c r="DE178" i="7" s="1"/>
  <c r="DB178" i="7"/>
  <c r="CZ178" i="7"/>
  <c r="DA178" i="7" s="1"/>
  <c r="CX178" i="7"/>
  <c r="CY178" i="7" s="1"/>
  <c r="CV178" i="7"/>
  <c r="CW178" i="7" s="1"/>
  <c r="CT178" i="7"/>
  <c r="CU178" i="7" s="1"/>
  <c r="CR178" i="7"/>
  <c r="CS178" i="7" s="1"/>
  <c r="CP178" i="7"/>
  <c r="CQ178" i="7" s="1"/>
  <c r="CN178" i="7"/>
  <c r="CO178" i="7" s="1"/>
  <c r="CL178" i="7"/>
  <c r="CM178" i="7" s="1"/>
  <c r="CJ178" i="7"/>
  <c r="CH178" i="7"/>
  <c r="CI178" i="7" s="1"/>
  <c r="CD178" i="7"/>
  <c r="CB178" i="7"/>
  <c r="CC178" i="7" s="1"/>
  <c r="BZ178" i="7"/>
  <c r="BX178" i="7"/>
  <c r="BY178" i="7" s="1"/>
  <c r="BV178" i="7"/>
  <c r="BW178" i="7" s="1"/>
  <c r="BT178" i="7"/>
  <c r="BU178" i="7" s="1"/>
  <c r="BR178" i="7"/>
  <c r="BS178" i="7" s="1"/>
  <c r="BP178" i="7"/>
  <c r="BQ178" i="7" s="1"/>
  <c r="BN178" i="7"/>
  <c r="BO178" i="7" s="1"/>
  <c r="BL178" i="7"/>
  <c r="BM178" i="7" s="1"/>
  <c r="BJ178" i="7"/>
  <c r="BK178" i="7" s="1"/>
  <c r="BH178" i="7"/>
  <c r="BI178" i="7" s="1"/>
  <c r="BD178" i="7"/>
  <c r="BE178" i="7" s="1"/>
  <c r="BB178" i="7"/>
  <c r="BC178" i="7" s="1"/>
  <c r="AZ178" i="7"/>
  <c r="BA178" i="7" s="1"/>
  <c r="AX178" i="7"/>
  <c r="AY178" i="7" s="1"/>
  <c r="AV178" i="7"/>
  <c r="AW178" i="7" s="1"/>
  <c r="AT178" i="7"/>
  <c r="AU178" i="7" s="1"/>
  <c r="AR178" i="7"/>
  <c r="AS178" i="7" s="1"/>
  <c r="AP178" i="7"/>
  <c r="AQ178" i="7" s="1"/>
  <c r="AN178" i="7"/>
  <c r="AL178" i="7"/>
  <c r="AM178" i="7" s="1"/>
  <c r="AJ178" i="7"/>
  <c r="AK178" i="7" s="1"/>
  <c r="AH178" i="7"/>
  <c r="AI178" i="7" s="1"/>
  <c r="AD178" i="7"/>
  <c r="AE178" i="7" s="1"/>
  <c r="AB178" i="7"/>
  <c r="AC178" i="7" s="1"/>
  <c r="Z178" i="7"/>
  <c r="AA178" i="7" s="1"/>
  <c r="X178" i="7"/>
  <c r="Y178" i="7" s="1"/>
  <c r="V178" i="7"/>
  <c r="T178" i="7"/>
  <c r="U178" i="7" s="1"/>
  <c r="R178" i="7"/>
  <c r="S178" i="7" s="1"/>
  <c r="P178" i="7"/>
  <c r="Q178" i="7" s="1"/>
  <c r="N178" i="7"/>
  <c r="O178" i="7" s="1"/>
  <c r="L178" i="7"/>
  <c r="M178" i="7" s="1"/>
  <c r="J178" i="7"/>
  <c r="K178" i="7" s="1"/>
  <c r="H178" i="7"/>
  <c r="I178" i="7" s="1"/>
  <c r="DD177" i="7"/>
  <c r="DE177" i="7" s="1"/>
  <c r="DB177" i="7"/>
  <c r="DC177" i="7" s="1"/>
  <c r="CZ177" i="7"/>
  <c r="DA177" i="7" s="1"/>
  <c r="CX177" i="7"/>
  <c r="CY177" i="7" s="1"/>
  <c r="CV177" i="7"/>
  <c r="CW177" i="7" s="1"/>
  <c r="CT177" i="7"/>
  <c r="CU177" i="7" s="1"/>
  <c r="CR177" i="7"/>
  <c r="CS177" i="7" s="1"/>
  <c r="CP177" i="7"/>
  <c r="CQ177" i="7" s="1"/>
  <c r="CN177" i="7"/>
  <c r="CO177" i="7" s="1"/>
  <c r="CL177" i="7"/>
  <c r="CM177" i="7" s="1"/>
  <c r="CJ177" i="7"/>
  <c r="CK177" i="7" s="1"/>
  <c r="CH177" i="7"/>
  <c r="CI177" i="7" s="1"/>
  <c r="CD177" i="7"/>
  <c r="CE177" i="7" s="1"/>
  <c r="CB177" i="7"/>
  <c r="CC177" i="7" s="1"/>
  <c r="BZ177" i="7"/>
  <c r="CA177" i="7" s="1"/>
  <c r="BX177" i="7"/>
  <c r="BY177" i="7" s="1"/>
  <c r="BV177" i="7"/>
  <c r="BW177" i="7" s="1"/>
  <c r="BT177" i="7"/>
  <c r="BU177" i="7" s="1"/>
  <c r="BR177" i="7"/>
  <c r="BS177" i="7" s="1"/>
  <c r="BP177" i="7"/>
  <c r="BQ177" i="7" s="1"/>
  <c r="BN177" i="7"/>
  <c r="BO177" i="7" s="1"/>
  <c r="BL177" i="7"/>
  <c r="BM177" i="7" s="1"/>
  <c r="BJ177" i="7"/>
  <c r="BK177" i="7" s="1"/>
  <c r="BH177" i="7"/>
  <c r="BI177" i="7" s="1"/>
  <c r="BD177" i="7"/>
  <c r="BE177" i="7" s="1"/>
  <c r="BB177" i="7"/>
  <c r="BC177" i="7" s="1"/>
  <c r="AZ177" i="7"/>
  <c r="BA177" i="7" s="1"/>
  <c r="AX177" i="7"/>
  <c r="AV177" i="7"/>
  <c r="AW177" i="7" s="1"/>
  <c r="AT177" i="7"/>
  <c r="AU177" i="7" s="1"/>
  <c r="AR177" i="7"/>
  <c r="AS177" i="7" s="1"/>
  <c r="AP177" i="7"/>
  <c r="AQ177" i="7" s="1"/>
  <c r="AN177" i="7"/>
  <c r="AO177" i="7" s="1"/>
  <c r="AL177" i="7"/>
  <c r="AM177" i="7" s="1"/>
  <c r="AJ177" i="7"/>
  <c r="AK177" i="7" s="1"/>
  <c r="AH177" i="7"/>
  <c r="AI177" i="7" s="1"/>
  <c r="AD177" i="7"/>
  <c r="AE177" i="7" s="1"/>
  <c r="AB177" i="7"/>
  <c r="AC177" i="7" s="1"/>
  <c r="Z177" i="7"/>
  <c r="X177" i="7"/>
  <c r="Y177" i="7" s="1"/>
  <c r="V177" i="7"/>
  <c r="W177" i="7" s="1"/>
  <c r="T177" i="7"/>
  <c r="U177" i="7" s="1"/>
  <c r="R177" i="7"/>
  <c r="S177" i="7" s="1"/>
  <c r="P177" i="7"/>
  <c r="Q177" i="7" s="1"/>
  <c r="N177" i="7"/>
  <c r="O177" i="7" s="1"/>
  <c r="L177" i="7"/>
  <c r="M177" i="7" s="1"/>
  <c r="J177" i="7"/>
  <c r="K177" i="7" s="1"/>
  <c r="H177" i="7"/>
  <c r="I177" i="7" s="1"/>
  <c r="DD176" i="7"/>
  <c r="DB176" i="7"/>
  <c r="DC176" i="7" s="1"/>
  <c r="CZ176" i="7"/>
  <c r="DA176" i="7" s="1"/>
  <c r="CX176" i="7"/>
  <c r="CY176" i="7" s="1"/>
  <c r="CV176" i="7"/>
  <c r="CW176" i="7" s="1"/>
  <c r="CT176" i="7"/>
  <c r="CU176" i="7" s="1"/>
  <c r="CR176" i="7"/>
  <c r="CP176" i="7"/>
  <c r="CQ176" i="7" s="1"/>
  <c r="CN176" i="7"/>
  <c r="CO176" i="7" s="1"/>
  <c r="CL176" i="7"/>
  <c r="CM176" i="7" s="1"/>
  <c r="CJ176" i="7"/>
  <c r="CK176" i="7" s="1"/>
  <c r="CH176" i="7"/>
  <c r="CI176" i="7" s="1"/>
  <c r="CD176" i="7"/>
  <c r="CE176" i="7" s="1"/>
  <c r="CB176" i="7"/>
  <c r="CC176" i="7" s="1"/>
  <c r="BZ176" i="7"/>
  <c r="CA176" i="7" s="1"/>
  <c r="BX176" i="7"/>
  <c r="BY176" i="7" s="1"/>
  <c r="BV176" i="7"/>
  <c r="BW176" i="7" s="1"/>
  <c r="BT176" i="7"/>
  <c r="BU176" i="7" s="1"/>
  <c r="BR176" i="7"/>
  <c r="BS176" i="7" s="1"/>
  <c r="BP176" i="7"/>
  <c r="BQ176" i="7" s="1"/>
  <c r="BN176" i="7"/>
  <c r="BO176" i="7" s="1"/>
  <c r="BL176" i="7"/>
  <c r="BM176" i="7" s="1"/>
  <c r="BJ176" i="7"/>
  <c r="BK176" i="7" s="1"/>
  <c r="BH176" i="7"/>
  <c r="BI176" i="7" s="1"/>
  <c r="BD176" i="7"/>
  <c r="BE176" i="7" s="1"/>
  <c r="BB176" i="7"/>
  <c r="BC176" i="7" s="1"/>
  <c r="AZ176" i="7"/>
  <c r="BA176" i="7" s="1"/>
  <c r="AX176" i="7"/>
  <c r="AV176" i="7"/>
  <c r="AW176" i="7" s="1"/>
  <c r="AT176" i="7"/>
  <c r="AU176" i="7" s="1"/>
  <c r="AR176" i="7"/>
  <c r="AS176" i="7" s="1"/>
  <c r="AP176" i="7"/>
  <c r="AQ176" i="7" s="1"/>
  <c r="AN176" i="7"/>
  <c r="AO176" i="7" s="1"/>
  <c r="AL176" i="7"/>
  <c r="AM176" i="7" s="1"/>
  <c r="AJ176" i="7"/>
  <c r="AK176" i="7" s="1"/>
  <c r="AH176" i="7"/>
  <c r="AI176" i="7" s="1"/>
  <c r="AD176" i="7"/>
  <c r="AE176" i="7" s="1"/>
  <c r="AB176" i="7"/>
  <c r="AC176" i="7" s="1"/>
  <c r="Z176" i="7"/>
  <c r="AA176" i="7" s="1"/>
  <c r="X176" i="7"/>
  <c r="Y176" i="7" s="1"/>
  <c r="V176" i="7"/>
  <c r="W176" i="7" s="1"/>
  <c r="T176" i="7"/>
  <c r="R176" i="7"/>
  <c r="S176" i="7" s="1"/>
  <c r="P176" i="7"/>
  <c r="Q176" i="7" s="1"/>
  <c r="N176" i="7"/>
  <c r="O176" i="7" s="1"/>
  <c r="L176" i="7"/>
  <c r="M176" i="7" s="1"/>
  <c r="J176" i="7"/>
  <c r="K176" i="7" s="1"/>
  <c r="H176" i="7"/>
  <c r="I176" i="7" s="1"/>
  <c r="DD175" i="7"/>
  <c r="DE175" i="7" s="1"/>
  <c r="DB175" i="7"/>
  <c r="DC175" i="7" s="1"/>
  <c r="CZ175" i="7"/>
  <c r="DA175" i="7" s="1"/>
  <c r="CX175" i="7"/>
  <c r="CY175" i="7" s="1"/>
  <c r="CV175" i="7"/>
  <c r="CW175" i="7" s="1"/>
  <c r="CT175" i="7"/>
  <c r="CU175" i="7" s="1"/>
  <c r="CR175" i="7"/>
  <c r="CS175" i="7" s="1"/>
  <c r="CP175" i="7"/>
  <c r="CQ175" i="7" s="1"/>
  <c r="CN175" i="7"/>
  <c r="CO175" i="7" s="1"/>
  <c r="CL175" i="7"/>
  <c r="CM175" i="7" s="1"/>
  <c r="CJ175" i="7"/>
  <c r="CK175" i="7" s="1"/>
  <c r="CH175" i="7"/>
  <c r="CI175" i="7" s="1"/>
  <c r="CD175" i="7"/>
  <c r="CE175" i="7" s="1"/>
  <c r="CB175" i="7"/>
  <c r="CC175" i="7" s="1"/>
  <c r="BZ175" i="7"/>
  <c r="CA175" i="7" s="1"/>
  <c r="BX175" i="7"/>
  <c r="BY175" i="7" s="1"/>
  <c r="BV175" i="7"/>
  <c r="BW175" i="7" s="1"/>
  <c r="BT175" i="7"/>
  <c r="BU175" i="7" s="1"/>
  <c r="BR175" i="7"/>
  <c r="BS175" i="7" s="1"/>
  <c r="BP175" i="7"/>
  <c r="BQ175" i="7" s="1"/>
  <c r="BN175" i="7"/>
  <c r="BO175" i="7" s="1"/>
  <c r="BL175" i="7"/>
  <c r="BM175" i="7" s="1"/>
  <c r="BJ175" i="7"/>
  <c r="BK175" i="7" s="1"/>
  <c r="BH175" i="7"/>
  <c r="BI175" i="7" s="1"/>
  <c r="BD175" i="7"/>
  <c r="BE175" i="7" s="1"/>
  <c r="BB175" i="7"/>
  <c r="BC175" i="7" s="1"/>
  <c r="AZ175" i="7"/>
  <c r="BA175" i="7" s="1"/>
  <c r="AX175" i="7"/>
  <c r="AV175" i="7"/>
  <c r="AW175" i="7" s="1"/>
  <c r="AT175" i="7"/>
  <c r="AU175" i="7" s="1"/>
  <c r="AR175" i="7"/>
  <c r="AS175" i="7" s="1"/>
  <c r="AP175" i="7"/>
  <c r="AQ175" i="7" s="1"/>
  <c r="AN175" i="7"/>
  <c r="AO175" i="7" s="1"/>
  <c r="AL175" i="7"/>
  <c r="AM175" i="7" s="1"/>
  <c r="AJ175" i="7"/>
  <c r="AK175" i="7" s="1"/>
  <c r="AH175" i="7"/>
  <c r="AI175" i="7" s="1"/>
  <c r="AD175" i="7"/>
  <c r="AE175" i="7" s="1"/>
  <c r="AB175" i="7"/>
  <c r="Z175" i="7"/>
  <c r="AA175" i="7" s="1"/>
  <c r="X175" i="7"/>
  <c r="Y175" i="7" s="1"/>
  <c r="V175" i="7"/>
  <c r="W175" i="7" s="1"/>
  <c r="T175" i="7"/>
  <c r="U175" i="7" s="1"/>
  <c r="R175" i="7"/>
  <c r="S175" i="7" s="1"/>
  <c r="P175" i="7"/>
  <c r="Q175" i="7" s="1"/>
  <c r="N175" i="7"/>
  <c r="O175" i="7" s="1"/>
  <c r="L175" i="7"/>
  <c r="M175" i="7" s="1"/>
  <c r="J175" i="7"/>
  <c r="K175" i="7" s="1"/>
  <c r="H175" i="7"/>
  <c r="I175" i="7" s="1"/>
  <c r="DD174" i="7"/>
  <c r="DE174" i="7" s="1"/>
  <c r="DB174" i="7"/>
  <c r="DC174" i="7" s="1"/>
  <c r="CZ174" i="7"/>
  <c r="DA174" i="7" s="1"/>
  <c r="CX174" i="7"/>
  <c r="CY174" i="7" s="1"/>
  <c r="CV174" i="7"/>
  <c r="CW174" i="7" s="1"/>
  <c r="CT174" i="7"/>
  <c r="CU174" i="7" s="1"/>
  <c r="CR174" i="7"/>
  <c r="CS174" i="7" s="1"/>
  <c r="CP174" i="7"/>
  <c r="CQ174" i="7" s="1"/>
  <c r="CN174" i="7"/>
  <c r="CO174" i="7" s="1"/>
  <c r="CL174" i="7"/>
  <c r="CM174" i="7" s="1"/>
  <c r="CJ174" i="7"/>
  <c r="CK174" i="7" s="1"/>
  <c r="CH174" i="7"/>
  <c r="CI174" i="7" s="1"/>
  <c r="CD174" i="7"/>
  <c r="CE174" i="7" s="1"/>
  <c r="CB174" i="7"/>
  <c r="CC174" i="7" s="1"/>
  <c r="BZ174" i="7"/>
  <c r="CA174" i="7" s="1"/>
  <c r="BX174" i="7"/>
  <c r="BY174" i="7" s="1"/>
  <c r="BV174" i="7"/>
  <c r="BW174" i="7" s="1"/>
  <c r="BT174" i="7"/>
  <c r="BU174" i="7" s="1"/>
  <c r="BR174" i="7"/>
  <c r="BS174" i="7" s="1"/>
  <c r="BP174" i="7"/>
  <c r="BQ174" i="7" s="1"/>
  <c r="BN174" i="7"/>
  <c r="BO174" i="7" s="1"/>
  <c r="BL174" i="7"/>
  <c r="BM174" i="7" s="1"/>
  <c r="BJ174" i="7"/>
  <c r="BK174" i="7" s="1"/>
  <c r="BH174" i="7"/>
  <c r="BI174" i="7" s="1"/>
  <c r="BD174" i="7"/>
  <c r="BE174" i="7" s="1"/>
  <c r="BB174" i="7"/>
  <c r="BC174" i="7" s="1"/>
  <c r="AZ174" i="7"/>
  <c r="BA174" i="7" s="1"/>
  <c r="AX174" i="7"/>
  <c r="AY174" i="7" s="1"/>
  <c r="AV174" i="7"/>
  <c r="AW174" i="7" s="1"/>
  <c r="AT174" i="7"/>
  <c r="AU174" i="7" s="1"/>
  <c r="AR174" i="7"/>
  <c r="AS174" i="7" s="1"/>
  <c r="AP174" i="7"/>
  <c r="AQ174" i="7" s="1"/>
  <c r="AN174" i="7"/>
  <c r="AO174" i="7" s="1"/>
  <c r="AL174" i="7"/>
  <c r="AM174" i="7" s="1"/>
  <c r="AJ174" i="7"/>
  <c r="AK174" i="7" s="1"/>
  <c r="AH174" i="7"/>
  <c r="AI174" i="7" s="1"/>
  <c r="AD174" i="7"/>
  <c r="AB174" i="7"/>
  <c r="AC174" i="7" s="1"/>
  <c r="Z174" i="7"/>
  <c r="AA174" i="7" s="1"/>
  <c r="X174" i="7"/>
  <c r="Y174" i="7" s="1"/>
  <c r="V174" i="7"/>
  <c r="W174" i="7" s="1"/>
  <c r="T174" i="7"/>
  <c r="U174" i="7" s="1"/>
  <c r="R174" i="7"/>
  <c r="S174" i="7" s="1"/>
  <c r="P174" i="7"/>
  <c r="Q174" i="7" s="1"/>
  <c r="N174" i="7"/>
  <c r="O174" i="7" s="1"/>
  <c r="L174" i="7"/>
  <c r="M174" i="7" s="1"/>
  <c r="J174" i="7"/>
  <c r="K174" i="7" s="1"/>
  <c r="H174" i="7"/>
  <c r="I174" i="7" s="1"/>
  <c r="DD173" i="7"/>
  <c r="DE173" i="7" s="1"/>
  <c r="DB173" i="7"/>
  <c r="DC173" i="7" s="1"/>
  <c r="CZ173" i="7"/>
  <c r="DA173" i="7" s="1"/>
  <c r="CX173" i="7"/>
  <c r="CY173" i="7" s="1"/>
  <c r="CV173" i="7"/>
  <c r="CW173" i="7" s="1"/>
  <c r="CT173" i="7"/>
  <c r="CU173" i="7" s="1"/>
  <c r="CR173" i="7"/>
  <c r="CS173" i="7" s="1"/>
  <c r="CP173" i="7"/>
  <c r="CQ173" i="7" s="1"/>
  <c r="CN173" i="7"/>
  <c r="CO173" i="7" s="1"/>
  <c r="CL173" i="7"/>
  <c r="CM173" i="7" s="1"/>
  <c r="CJ173" i="7"/>
  <c r="CK173" i="7" s="1"/>
  <c r="CH173" i="7"/>
  <c r="CI173" i="7" s="1"/>
  <c r="CD173" i="7"/>
  <c r="CE173" i="7" s="1"/>
  <c r="CB173" i="7"/>
  <c r="CC173" i="7" s="1"/>
  <c r="BZ173" i="7"/>
  <c r="CA173" i="7" s="1"/>
  <c r="BX173" i="7"/>
  <c r="BV173" i="7"/>
  <c r="BW173" i="7" s="1"/>
  <c r="BT173" i="7"/>
  <c r="BU173" i="7" s="1"/>
  <c r="BR173" i="7"/>
  <c r="BS173" i="7" s="1"/>
  <c r="BP173" i="7"/>
  <c r="BQ173" i="7" s="1"/>
  <c r="BN173" i="7"/>
  <c r="BO173" i="7" s="1"/>
  <c r="BL173" i="7"/>
  <c r="BM173" i="7" s="1"/>
  <c r="BJ173" i="7"/>
  <c r="BK173" i="7" s="1"/>
  <c r="BH173" i="7"/>
  <c r="BI173" i="7" s="1"/>
  <c r="BD173" i="7"/>
  <c r="BE173" i="7" s="1"/>
  <c r="BB173" i="7"/>
  <c r="AZ173" i="7"/>
  <c r="BA173" i="7" s="1"/>
  <c r="AX173" i="7"/>
  <c r="AY173" i="7" s="1"/>
  <c r="AV173" i="7"/>
  <c r="AW173" i="7" s="1"/>
  <c r="AT173" i="7"/>
  <c r="AR173" i="7"/>
  <c r="AS173" i="7" s="1"/>
  <c r="AP173" i="7"/>
  <c r="AQ173" i="7" s="1"/>
  <c r="AN173" i="7"/>
  <c r="AO173" i="7" s="1"/>
  <c r="AL173" i="7"/>
  <c r="AM173" i="7" s="1"/>
  <c r="AJ173" i="7"/>
  <c r="AK173" i="7" s="1"/>
  <c r="AH173" i="7"/>
  <c r="AI173" i="7" s="1"/>
  <c r="AD173" i="7"/>
  <c r="AB173" i="7"/>
  <c r="Z173" i="7"/>
  <c r="AA173" i="7" s="1"/>
  <c r="X173" i="7"/>
  <c r="Y173" i="7" s="1"/>
  <c r="V173" i="7"/>
  <c r="W173" i="7" s="1"/>
  <c r="T173" i="7"/>
  <c r="U173" i="7" s="1"/>
  <c r="R173" i="7"/>
  <c r="S173" i="7" s="1"/>
  <c r="P173" i="7"/>
  <c r="Q173" i="7" s="1"/>
  <c r="N173" i="7"/>
  <c r="L173" i="7"/>
  <c r="M173" i="7" s="1"/>
  <c r="J173" i="7"/>
  <c r="K173" i="7" s="1"/>
  <c r="H173" i="7"/>
  <c r="I173" i="7" s="1"/>
  <c r="DD172" i="7"/>
  <c r="DE172" i="7" s="1"/>
  <c r="DB172" i="7"/>
  <c r="DC172" i="7" s="1"/>
  <c r="CZ172" i="7"/>
  <c r="CX172" i="7"/>
  <c r="CY172" i="7" s="1"/>
  <c r="CV172" i="7"/>
  <c r="CT172" i="7"/>
  <c r="CU172" i="7" s="1"/>
  <c r="CR172" i="7"/>
  <c r="CS172" i="7" s="1"/>
  <c r="CP172" i="7"/>
  <c r="CN172" i="7"/>
  <c r="CO172" i="7" s="1"/>
  <c r="CL172" i="7"/>
  <c r="CM172" i="7" s="1"/>
  <c r="CJ172" i="7"/>
  <c r="CK172" i="7" s="1"/>
  <c r="CH172" i="7"/>
  <c r="CD172" i="7"/>
  <c r="CB172" i="7"/>
  <c r="CC172" i="7" s="1"/>
  <c r="BZ172" i="7"/>
  <c r="CA172" i="7" s="1"/>
  <c r="BX172" i="7"/>
  <c r="BV172" i="7"/>
  <c r="BW172" i="7" s="1"/>
  <c r="BT172" i="7"/>
  <c r="BR172" i="7"/>
  <c r="BP172" i="7"/>
  <c r="BN172" i="7"/>
  <c r="BL172" i="7"/>
  <c r="BM172" i="7" s="1"/>
  <c r="BJ172" i="7"/>
  <c r="BH172" i="7"/>
  <c r="BI172" i="7" s="1"/>
  <c r="BD172" i="7"/>
  <c r="BB172" i="7"/>
  <c r="AZ172" i="7"/>
  <c r="AX172" i="7"/>
  <c r="AV172" i="7"/>
  <c r="AW172" i="7" s="1"/>
  <c r="AT172" i="7"/>
  <c r="AU172" i="7" s="1"/>
  <c r="AR172" i="7"/>
  <c r="AP172" i="7"/>
  <c r="AQ172" i="7" s="1"/>
  <c r="AN172" i="7"/>
  <c r="AL172" i="7"/>
  <c r="AJ172" i="7"/>
  <c r="AH172" i="7"/>
  <c r="AD172" i="7"/>
  <c r="AB172" i="7"/>
  <c r="AC172" i="7" s="1"/>
  <c r="Z172" i="7"/>
  <c r="AA172" i="7" s="1"/>
  <c r="X172" i="7"/>
  <c r="Y172" i="7" s="1"/>
  <c r="V172" i="7"/>
  <c r="T172" i="7"/>
  <c r="R172" i="7"/>
  <c r="P172" i="7"/>
  <c r="Q172" i="7" s="1"/>
  <c r="N172" i="7"/>
  <c r="O172" i="7" s="1"/>
  <c r="L172" i="7"/>
  <c r="M172" i="7" s="1"/>
  <c r="J172" i="7"/>
  <c r="K172" i="7" s="1"/>
  <c r="H172" i="7"/>
  <c r="DD165" i="7"/>
  <c r="DB165" i="7"/>
  <c r="CZ165" i="7"/>
  <c r="CX165" i="7"/>
  <c r="CV165" i="7"/>
  <c r="CT165" i="7"/>
  <c r="CR165" i="7"/>
  <c r="CP165" i="7"/>
  <c r="CN165" i="7"/>
  <c r="CL165" i="7"/>
  <c r="CJ165" i="7"/>
  <c r="CH165" i="7"/>
  <c r="CD165" i="7"/>
  <c r="BZ165" i="7"/>
  <c r="BX165" i="7"/>
  <c r="BV165" i="7"/>
  <c r="BT165" i="7"/>
  <c r="BR165" i="7"/>
  <c r="BP165" i="7"/>
  <c r="BN165" i="7"/>
  <c r="BL165" i="7"/>
  <c r="BJ165" i="7"/>
  <c r="BH165" i="7"/>
  <c r="BD165" i="7"/>
  <c r="BB165" i="7"/>
  <c r="AZ165" i="7"/>
  <c r="AX165" i="7"/>
  <c r="AV165" i="7"/>
  <c r="AT165" i="7"/>
  <c r="AN165" i="7"/>
  <c r="AJ165" i="7"/>
  <c r="AD165" i="7"/>
  <c r="AB165" i="7"/>
  <c r="Z165" i="7"/>
  <c r="X165" i="7"/>
  <c r="V165" i="7"/>
  <c r="T165" i="7"/>
  <c r="R165" i="7"/>
  <c r="P165" i="7"/>
  <c r="N165" i="7"/>
  <c r="L165" i="7"/>
  <c r="J165" i="7"/>
  <c r="H165" i="7"/>
  <c r="DG164" i="7"/>
  <c r="DE164" i="7"/>
  <c r="DC164" i="7"/>
  <c r="DA164" i="7"/>
  <c r="CY164" i="7"/>
  <c r="CW164" i="7"/>
  <c r="CU164" i="7"/>
  <c r="CS164" i="7"/>
  <c r="CQ164" i="7"/>
  <c r="CO164" i="7"/>
  <c r="CM164" i="7"/>
  <c r="CK164" i="7"/>
  <c r="CI164" i="7"/>
  <c r="DE163" i="7"/>
  <c r="DC163" i="7"/>
  <c r="DA163" i="7"/>
  <c r="CY163" i="7"/>
  <c r="CW163" i="7"/>
  <c r="CU163" i="7"/>
  <c r="CS163" i="7"/>
  <c r="CQ163" i="7"/>
  <c r="CO163" i="7"/>
  <c r="CM163" i="7"/>
  <c r="CK163" i="7"/>
  <c r="CI163" i="7"/>
  <c r="CF163" i="7"/>
  <c r="CG163" i="7" s="1"/>
  <c r="CE163" i="7"/>
  <c r="CC163" i="7"/>
  <c r="CA163" i="7"/>
  <c r="BY163" i="7"/>
  <c r="BW163" i="7"/>
  <c r="BU163" i="7"/>
  <c r="BS163" i="7"/>
  <c r="BQ163" i="7"/>
  <c r="BO163" i="7"/>
  <c r="BM163" i="7"/>
  <c r="BK163" i="7"/>
  <c r="BI163" i="7"/>
  <c r="BF163" i="7"/>
  <c r="BG163" i="7" s="1"/>
  <c r="BE163" i="7"/>
  <c r="BC163" i="7"/>
  <c r="BA163" i="7"/>
  <c r="AY163" i="7"/>
  <c r="AW163" i="7"/>
  <c r="AU163" i="7"/>
  <c r="AS163" i="7"/>
  <c r="AQ163" i="7"/>
  <c r="AO163" i="7"/>
  <c r="AM163" i="7"/>
  <c r="AK163" i="7"/>
  <c r="AI163" i="7"/>
  <c r="AF163" i="7"/>
  <c r="AG163" i="7" s="1"/>
  <c r="AE163" i="7"/>
  <c r="AC163" i="7"/>
  <c r="AA163" i="7"/>
  <c r="Y163" i="7"/>
  <c r="W163" i="7"/>
  <c r="U163" i="7"/>
  <c r="S163" i="7"/>
  <c r="Q163" i="7"/>
  <c r="O163" i="7"/>
  <c r="M163" i="7"/>
  <c r="K163" i="7"/>
  <c r="I163" i="7"/>
  <c r="DG162" i="7"/>
  <c r="DE162" i="7"/>
  <c r="DC162" i="7"/>
  <c r="DA162" i="7"/>
  <c r="CY162" i="7"/>
  <c r="CW162" i="7"/>
  <c r="CU162" i="7"/>
  <c r="CS162" i="7"/>
  <c r="CQ162" i="7"/>
  <c r="CO162" i="7"/>
  <c r="CM162" i="7"/>
  <c r="CK162" i="7"/>
  <c r="CI162" i="7"/>
  <c r="CF162" i="7"/>
  <c r="CG162" i="7" s="1"/>
  <c r="CE162" i="7"/>
  <c r="CC162" i="7"/>
  <c r="CA162" i="7"/>
  <c r="BY162" i="7"/>
  <c r="BW162" i="7"/>
  <c r="BU162" i="7"/>
  <c r="BS162" i="7"/>
  <c r="BQ162" i="7"/>
  <c r="BO162" i="7"/>
  <c r="BM162" i="7"/>
  <c r="BK162" i="7"/>
  <c r="BI162" i="7"/>
  <c r="BF162" i="7"/>
  <c r="BG162" i="7" s="1"/>
  <c r="BE162" i="7"/>
  <c r="BC162" i="7"/>
  <c r="BA162" i="7"/>
  <c r="AY162" i="7"/>
  <c r="AW162" i="7"/>
  <c r="AU162" i="7"/>
  <c r="AS162" i="7"/>
  <c r="AQ162" i="7"/>
  <c r="AO162" i="7"/>
  <c r="AM162" i="7"/>
  <c r="AK162" i="7"/>
  <c r="AI162" i="7"/>
  <c r="AF162" i="7"/>
  <c r="AG162" i="7" s="1"/>
  <c r="AE162" i="7"/>
  <c r="AC162" i="7"/>
  <c r="AA162" i="7"/>
  <c r="Y162" i="7"/>
  <c r="W162" i="7"/>
  <c r="U162" i="7"/>
  <c r="S162" i="7"/>
  <c r="Q162" i="7"/>
  <c r="O162" i="7"/>
  <c r="M162" i="7"/>
  <c r="K162" i="7"/>
  <c r="I162" i="7"/>
  <c r="DG161" i="7"/>
  <c r="DE161" i="7"/>
  <c r="DC161" i="7"/>
  <c r="DA161" i="7"/>
  <c r="CY161" i="7"/>
  <c r="CW161" i="7"/>
  <c r="CU161" i="7"/>
  <c r="CS161" i="7"/>
  <c r="CQ161" i="7"/>
  <c r="CO161" i="7"/>
  <c r="CM161" i="7"/>
  <c r="CK161" i="7"/>
  <c r="CI161" i="7"/>
  <c r="CF161" i="7"/>
  <c r="CG161" i="7" s="1"/>
  <c r="CE161" i="7"/>
  <c r="CC161" i="7"/>
  <c r="CA161" i="7"/>
  <c r="BY161" i="7"/>
  <c r="BW161" i="7"/>
  <c r="BU161" i="7"/>
  <c r="BS161" i="7"/>
  <c r="BQ161" i="7"/>
  <c r="BO161" i="7"/>
  <c r="BM161" i="7"/>
  <c r="BK161" i="7"/>
  <c r="BI161" i="7"/>
  <c r="BF161" i="7"/>
  <c r="BG161" i="7" s="1"/>
  <c r="BE161" i="7"/>
  <c r="BC161" i="7"/>
  <c r="BA161" i="7"/>
  <c r="AY161" i="7"/>
  <c r="AW161" i="7"/>
  <c r="AU161" i="7"/>
  <c r="AS161" i="7"/>
  <c r="AQ161" i="7"/>
  <c r="AO161" i="7"/>
  <c r="AM161" i="7"/>
  <c r="AK161" i="7"/>
  <c r="AI161" i="7"/>
  <c r="AF161" i="7"/>
  <c r="AG161" i="7" s="1"/>
  <c r="AE161" i="7"/>
  <c r="AC161" i="7"/>
  <c r="AA161" i="7"/>
  <c r="Y161" i="7"/>
  <c r="W161" i="7"/>
  <c r="U161" i="7"/>
  <c r="S161" i="7"/>
  <c r="Q161" i="7"/>
  <c r="O161" i="7"/>
  <c r="M161" i="7"/>
  <c r="K161" i="7"/>
  <c r="I161" i="7"/>
  <c r="DG160" i="7"/>
  <c r="DE160" i="7"/>
  <c r="DC160" i="7"/>
  <c r="DA160" i="7"/>
  <c r="CY160" i="7"/>
  <c r="CW160" i="7"/>
  <c r="CU160" i="7"/>
  <c r="CS160" i="7"/>
  <c r="CQ160" i="7"/>
  <c r="CO160" i="7"/>
  <c r="CM160" i="7"/>
  <c r="CK160" i="7"/>
  <c r="CI160" i="7"/>
  <c r="CF160" i="7"/>
  <c r="CG160" i="7" s="1"/>
  <c r="CE160" i="7"/>
  <c r="CC160" i="7"/>
  <c r="CA160" i="7"/>
  <c r="BY160" i="7"/>
  <c r="BW160" i="7"/>
  <c r="BU160" i="7"/>
  <c r="BS160" i="7"/>
  <c r="BQ160" i="7"/>
  <c r="BO160" i="7"/>
  <c r="BM160" i="7"/>
  <c r="BK160" i="7"/>
  <c r="BI160" i="7"/>
  <c r="BF160" i="7"/>
  <c r="BG160" i="7" s="1"/>
  <c r="BE160" i="7"/>
  <c r="BC160" i="7"/>
  <c r="BA160" i="7"/>
  <c r="AY160" i="7"/>
  <c r="AW160" i="7"/>
  <c r="AU160" i="7"/>
  <c r="AS160" i="7"/>
  <c r="AQ160" i="7"/>
  <c r="AO160" i="7"/>
  <c r="AM160" i="7"/>
  <c r="AK160" i="7"/>
  <c r="AI160" i="7"/>
  <c r="AF160" i="7"/>
  <c r="AG160" i="7" s="1"/>
  <c r="AE160" i="7"/>
  <c r="AC160" i="7"/>
  <c r="AA160" i="7"/>
  <c r="Y160" i="7"/>
  <c r="W160" i="7"/>
  <c r="U160" i="7"/>
  <c r="S160" i="7"/>
  <c r="Q160" i="7"/>
  <c r="O160" i="7"/>
  <c r="M160" i="7"/>
  <c r="K160" i="7"/>
  <c r="I160" i="7"/>
  <c r="DE159" i="7"/>
  <c r="DC159" i="7"/>
  <c r="DA159" i="7"/>
  <c r="CY159" i="7"/>
  <c r="CW159" i="7"/>
  <c r="CU159" i="7"/>
  <c r="CS159" i="7"/>
  <c r="CQ159" i="7"/>
  <c r="CO159" i="7"/>
  <c r="CM159" i="7"/>
  <c r="CK159" i="7"/>
  <c r="CI159" i="7"/>
  <c r="CF159" i="7"/>
  <c r="CG159" i="7" s="1"/>
  <c r="CE159" i="7"/>
  <c r="CC159" i="7"/>
  <c r="CA159" i="7"/>
  <c r="BY159" i="7"/>
  <c r="BW159" i="7"/>
  <c r="BU159" i="7"/>
  <c r="BS159" i="7"/>
  <c r="BQ159" i="7"/>
  <c r="BO159" i="7"/>
  <c r="BM159" i="7"/>
  <c r="BK159" i="7"/>
  <c r="BI159" i="7"/>
  <c r="BF159" i="7"/>
  <c r="BG159" i="7" s="1"/>
  <c r="BE159" i="7"/>
  <c r="BC159" i="7"/>
  <c r="BA159" i="7"/>
  <c r="AY159" i="7"/>
  <c r="AW159" i="7"/>
  <c r="AU159" i="7"/>
  <c r="AS159" i="7"/>
  <c r="AQ159" i="7"/>
  <c r="AO159" i="7"/>
  <c r="AM159" i="7"/>
  <c r="AK159" i="7"/>
  <c r="AI159" i="7"/>
  <c r="AF159" i="7"/>
  <c r="AG159" i="7" s="1"/>
  <c r="AE159" i="7"/>
  <c r="AC159" i="7"/>
  <c r="AA159" i="7"/>
  <c r="Y159" i="7"/>
  <c r="W159" i="7"/>
  <c r="U159" i="7"/>
  <c r="S159" i="7"/>
  <c r="Q159" i="7"/>
  <c r="O159" i="7"/>
  <c r="M159" i="7"/>
  <c r="K159" i="7"/>
  <c r="I159" i="7"/>
  <c r="DG157" i="7"/>
  <c r="CU157" i="7"/>
  <c r="CS157" i="7"/>
  <c r="CQ157" i="7"/>
  <c r="CO157" i="7"/>
  <c r="CM157" i="7"/>
  <c r="CK157" i="7"/>
  <c r="CI157" i="7"/>
  <c r="CG157" i="7"/>
  <c r="BG157" i="7"/>
  <c r="AG157" i="7"/>
  <c r="DG156" i="7"/>
  <c r="DE156" i="7"/>
  <c r="DC156" i="7"/>
  <c r="DA156" i="7"/>
  <c r="CY156" i="7"/>
  <c r="CW156" i="7"/>
  <c r="CU156" i="7"/>
  <c r="CS156" i="7"/>
  <c r="CQ156" i="7"/>
  <c r="CO156" i="7"/>
  <c r="CM156" i="7"/>
  <c r="CK156" i="7"/>
  <c r="CI156" i="7"/>
  <c r="CF156" i="7"/>
  <c r="CG156" i="7" s="1"/>
  <c r="CE156" i="7"/>
  <c r="CC156" i="7"/>
  <c r="CA156" i="7"/>
  <c r="BY156" i="7"/>
  <c r="BW156" i="7"/>
  <c r="BU156" i="7"/>
  <c r="BS156" i="7"/>
  <c r="BQ156" i="7"/>
  <c r="BO156" i="7"/>
  <c r="BM156" i="7"/>
  <c r="BK156" i="7"/>
  <c r="BI156" i="7"/>
  <c r="BF156" i="7"/>
  <c r="BG156" i="7" s="1"/>
  <c r="BE156" i="7"/>
  <c r="BC156" i="7"/>
  <c r="BA156" i="7"/>
  <c r="AY156" i="7"/>
  <c r="AW156" i="7"/>
  <c r="AU156" i="7"/>
  <c r="AS156" i="7"/>
  <c r="AQ156" i="7"/>
  <c r="AO156" i="7"/>
  <c r="AM156" i="7"/>
  <c r="AK156" i="7"/>
  <c r="AI156" i="7"/>
  <c r="AF156" i="7"/>
  <c r="AG156" i="7" s="1"/>
  <c r="AE156" i="7"/>
  <c r="AC156" i="7"/>
  <c r="AA156" i="7"/>
  <c r="Y156" i="7"/>
  <c r="W156" i="7"/>
  <c r="U156" i="7"/>
  <c r="S156" i="7"/>
  <c r="Q156" i="7"/>
  <c r="O156" i="7"/>
  <c r="M156" i="7"/>
  <c r="K156" i="7"/>
  <c r="I156" i="7"/>
  <c r="DE155" i="7"/>
  <c r="DC155" i="7"/>
  <c r="DA155" i="7"/>
  <c r="CY155" i="7"/>
  <c r="CW155" i="7"/>
  <c r="CU155" i="7"/>
  <c r="CS155" i="7"/>
  <c r="CQ155" i="7"/>
  <c r="CO155" i="7"/>
  <c r="CM155" i="7"/>
  <c r="CK155" i="7"/>
  <c r="CI155" i="7"/>
  <c r="CF155" i="7"/>
  <c r="CG155" i="7" s="1"/>
  <c r="CE155" i="7"/>
  <c r="CC155" i="7"/>
  <c r="CA155" i="7"/>
  <c r="BY155" i="7"/>
  <c r="BW155" i="7"/>
  <c r="BU155" i="7"/>
  <c r="BS155" i="7"/>
  <c r="BQ155" i="7"/>
  <c r="BO155" i="7"/>
  <c r="BM155" i="7"/>
  <c r="BK155" i="7"/>
  <c r="BI155" i="7"/>
  <c r="BF155" i="7"/>
  <c r="BG155" i="7" s="1"/>
  <c r="BE155" i="7"/>
  <c r="BC155" i="7"/>
  <c r="BA155" i="7"/>
  <c r="AY155" i="7"/>
  <c r="AW155" i="7"/>
  <c r="AU155" i="7"/>
  <c r="AS155" i="7"/>
  <c r="AQ155" i="7"/>
  <c r="AO155" i="7"/>
  <c r="AM155" i="7"/>
  <c r="AK155" i="7"/>
  <c r="AI155" i="7"/>
  <c r="AF155" i="7"/>
  <c r="AG155" i="7" s="1"/>
  <c r="AE155" i="7"/>
  <c r="AC155" i="7"/>
  <c r="AA155" i="7"/>
  <c r="Y155" i="7"/>
  <c r="W155" i="7"/>
  <c r="U155" i="7"/>
  <c r="S155" i="7"/>
  <c r="Q155" i="7"/>
  <c r="O155" i="7"/>
  <c r="M155" i="7"/>
  <c r="K155" i="7"/>
  <c r="I155" i="7"/>
  <c r="DG154" i="7"/>
  <c r="DE154" i="7"/>
  <c r="DC154" i="7"/>
  <c r="DA154" i="7"/>
  <c r="CY154" i="7"/>
  <c r="CW154" i="7"/>
  <c r="CU154" i="7"/>
  <c r="CS154" i="7"/>
  <c r="CQ154" i="7"/>
  <c r="CO154" i="7"/>
  <c r="CM154" i="7"/>
  <c r="CK154" i="7"/>
  <c r="CI154" i="7"/>
  <c r="CF154" i="7"/>
  <c r="CG154" i="7" s="1"/>
  <c r="CE154" i="7"/>
  <c r="CC154" i="7"/>
  <c r="CA154" i="7"/>
  <c r="BY154" i="7"/>
  <c r="BW154" i="7"/>
  <c r="BU154" i="7"/>
  <c r="BS154" i="7"/>
  <c r="BQ154" i="7"/>
  <c r="BO154" i="7"/>
  <c r="BM154" i="7"/>
  <c r="BK154" i="7"/>
  <c r="BI154" i="7"/>
  <c r="BG154" i="7"/>
  <c r="BF154" i="7"/>
  <c r="BE154" i="7"/>
  <c r="BC154" i="7"/>
  <c r="BA154" i="7"/>
  <c r="AY154" i="7"/>
  <c r="AW154" i="7"/>
  <c r="AU154" i="7"/>
  <c r="AS154" i="7"/>
  <c r="AQ154" i="7"/>
  <c r="AO154" i="7"/>
  <c r="AM154" i="7"/>
  <c r="AK154" i="7"/>
  <c r="AI154" i="7"/>
  <c r="AF154" i="7"/>
  <c r="AG154" i="7" s="1"/>
  <c r="AE154" i="7"/>
  <c r="AC154" i="7"/>
  <c r="AA154" i="7"/>
  <c r="Y154" i="7"/>
  <c r="W154" i="7"/>
  <c r="U154" i="7"/>
  <c r="S154" i="7"/>
  <c r="Q154" i="7"/>
  <c r="O154" i="7"/>
  <c r="M154" i="7"/>
  <c r="K154" i="7"/>
  <c r="I154" i="7"/>
  <c r="DE153" i="7"/>
  <c r="DC153" i="7"/>
  <c r="DA153" i="7"/>
  <c r="CY153" i="7"/>
  <c r="CW153" i="7"/>
  <c r="CU153" i="7"/>
  <c r="CS153" i="7"/>
  <c r="CQ153" i="7"/>
  <c r="CO153" i="7"/>
  <c r="CM153" i="7"/>
  <c r="CK153" i="7"/>
  <c r="CI153" i="7"/>
  <c r="CF153" i="7"/>
  <c r="CG153" i="7" s="1"/>
  <c r="CE153" i="7"/>
  <c r="CC153" i="7"/>
  <c r="CA153" i="7"/>
  <c r="BY153" i="7"/>
  <c r="BW153" i="7"/>
  <c r="BU153" i="7"/>
  <c r="BS153" i="7"/>
  <c r="BQ153" i="7"/>
  <c r="BO153" i="7"/>
  <c r="BM153" i="7"/>
  <c r="BK153" i="7"/>
  <c r="BI153" i="7"/>
  <c r="BF153" i="7"/>
  <c r="BG153" i="7" s="1"/>
  <c r="BE153" i="7"/>
  <c r="BC153" i="7"/>
  <c r="BA153" i="7"/>
  <c r="AY153" i="7"/>
  <c r="AW153" i="7"/>
  <c r="AU153" i="7"/>
  <c r="AS153" i="7"/>
  <c r="AQ153" i="7"/>
  <c r="AO153" i="7"/>
  <c r="AM153" i="7"/>
  <c r="AK153" i="7"/>
  <c r="AI153" i="7"/>
  <c r="AF153" i="7"/>
  <c r="AG153" i="7" s="1"/>
  <c r="AE153" i="7"/>
  <c r="AC153" i="7"/>
  <c r="AA153" i="7"/>
  <c r="Y153" i="7"/>
  <c r="W153" i="7"/>
  <c r="U153" i="7"/>
  <c r="S153" i="7"/>
  <c r="Q153" i="7"/>
  <c r="O153" i="7"/>
  <c r="M153" i="7"/>
  <c r="K153" i="7"/>
  <c r="I153" i="7"/>
  <c r="DG152" i="7"/>
  <c r="DE152" i="7"/>
  <c r="DC152" i="7"/>
  <c r="DA152" i="7"/>
  <c r="CY152" i="7"/>
  <c r="CW152" i="7"/>
  <c r="CU152" i="7"/>
  <c r="CS152" i="7"/>
  <c r="CQ152" i="7"/>
  <c r="CO152" i="7"/>
  <c r="CM152" i="7"/>
  <c r="CK152" i="7"/>
  <c r="CI152" i="7"/>
  <c r="CF152" i="7"/>
  <c r="CG152" i="7" s="1"/>
  <c r="CE152" i="7"/>
  <c r="CC152" i="7"/>
  <c r="CA152" i="7"/>
  <c r="BY152" i="7"/>
  <c r="BW152" i="7"/>
  <c r="BU152" i="7"/>
  <c r="BS152" i="7"/>
  <c r="BQ152" i="7"/>
  <c r="BO152" i="7"/>
  <c r="BM152" i="7"/>
  <c r="BK152" i="7"/>
  <c r="BI152" i="7"/>
  <c r="BF152" i="7"/>
  <c r="BG152" i="7" s="1"/>
  <c r="BE152" i="7"/>
  <c r="BC152" i="7"/>
  <c r="BA152" i="7"/>
  <c r="AY152" i="7"/>
  <c r="AW152" i="7"/>
  <c r="AU152" i="7"/>
  <c r="AS152" i="7"/>
  <c r="AQ152" i="7"/>
  <c r="AO152" i="7"/>
  <c r="AM152" i="7"/>
  <c r="AK152" i="7"/>
  <c r="AI152" i="7"/>
  <c r="AF152" i="7"/>
  <c r="AG152" i="7" s="1"/>
  <c r="AE152" i="7"/>
  <c r="AC152" i="7"/>
  <c r="AA152" i="7"/>
  <c r="Y152" i="7"/>
  <c r="W152" i="7"/>
  <c r="U152" i="7"/>
  <c r="S152" i="7"/>
  <c r="Q152" i="7"/>
  <c r="O152" i="7"/>
  <c r="M152" i="7"/>
  <c r="K152" i="7"/>
  <c r="I152" i="7"/>
  <c r="DG151" i="7"/>
  <c r="DE151" i="7"/>
  <c r="DC151" i="7"/>
  <c r="DA151" i="7"/>
  <c r="CY151" i="7"/>
  <c r="CW151" i="7"/>
  <c r="CU151" i="7"/>
  <c r="CS151" i="7"/>
  <c r="CQ151" i="7"/>
  <c r="CO151" i="7"/>
  <c r="CM151" i="7"/>
  <c r="CK151" i="7"/>
  <c r="CI151" i="7"/>
  <c r="CE151" i="7"/>
  <c r="CB151" i="7"/>
  <c r="CA151" i="7"/>
  <c r="BY151" i="7"/>
  <c r="BW151" i="7"/>
  <c r="BU151" i="7"/>
  <c r="BS151" i="7"/>
  <c r="BQ151" i="7"/>
  <c r="BO151" i="7"/>
  <c r="BM151" i="7"/>
  <c r="BK151" i="7"/>
  <c r="BI151" i="7"/>
  <c r="BE151" i="7"/>
  <c r="BC151" i="7"/>
  <c r="BA151" i="7"/>
  <c r="AY151" i="7"/>
  <c r="AW151" i="7"/>
  <c r="AU151" i="7"/>
  <c r="AS151" i="7"/>
  <c r="AQ151" i="7"/>
  <c r="AO151" i="7"/>
  <c r="AL151" i="7"/>
  <c r="AM151" i="7" s="1"/>
  <c r="AK151" i="7"/>
  <c r="AI151" i="7"/>
  <c r="AF151" i="7"/>
  <c r="AG151" i="7" s="1"/>
  <c r="AE151" i="7"/>
  <c r="AC151" i="7"/>
  <c r="AA151" i="7"/>
  <c r="Y151" i="7"/>
  <c r="W151" i="7"/>
  <c r="U151" i="7"/>
  <c r="S151" i="7"/>
  <c r="Q151" i="7"/>
  <c r="O151" i="7"/>
  <c r="M151" i="7"/>
  <c r="K151" i="7"/>
  <c r="I151" i="7"/>
  <c r="DE150" i="7"/>
  <c r="DC150" i="7"/>
  <c r="DA150" i="7"/>
  <c r="CY150" i="7"/>
  <c r="CW150" i="7"/>
  <c r="CU150" i="7"/>
  <c r="CS150" i="7"/>
  <c r="CQ150" i="7"/>
  <c r="CO150" i="7"/>
  <c r="CM150" i="7"/>
  <c r="CK150" i="7"/>
  <c r="CI150" i="7"/>
  <c r="CF150" i="7"/>
  <c r="CG150" i="7" s="1"/>
  <c r="CE150" i="7"/>
  <c r="CC150" i="7"/>
  <c r="CA150" i="7"/>
  <c r="BY150" i="7"/>
  <c r="BW150" i="7"/>
  <c r="BU150" i="7"/>
  <c r="BS150" i="7"/>
  <c r="BQ150" i="7"/>
  <c r="BO150" i="7"/>
  <c r="BM150" i="7"/>
  <c r="BK150" i="7"/>
  <c r="BI150" i="7"/>
  <c r="BE150" i="7"/>
  <c r="BC150" i="7"/>
  <c r="BA150" i="7"/>
  <c r="AY150" i="7"/>
  <c r="AW150" i="7"/>
  <c r="AU150" i="7"/>
  <c r="AR150" i="7"/>
  <c r="AR165" i="7" s="1"/>
  <c r="AP150" i="7"/>
  <c r="AQ150" i="7" s="1"/>
  <c r="AO150" i="7"/>
  <c r="AL150" i="7"/>
  <c r="AK150" i="7"/>
  <c r="AH150" i="7"/>
  <c r="AI150" i="7" s="1"/>
  <c r="AF150" i="7"/>
  <c r="AG150" i="7" s="1"/>
  <c r="AE150" i="7"/>
  <c r="AC150" i="7"/>
  <c r="AA150" i="7"/>
  <c r="Y150" i="7"/>
  <c r="W150" i="7"/>
  <c r="U150" i="7"/>
  <c r="S150" i="7"/>
  <c r="Q150" i="7"/>
  <c r="O150" i="7"/>
  <c r="M150" i="7"/>
  <c r="K150" i="7"/>
  <c r="I150" i="7"/>
  <c r="DD148" i="7"/>
  <c r="DB148" i="7"/>
  <c r="DB166" i="7" s="1"/>
  <c r="CZ148" i="7"/>
  <c r="CX148" i="7"/>
  <c r="CV148" i="7"/>
  <c r="CT148" i="7"/>
  <c r="CR148" i="7"/>
  <c r="CP148" i="7"/>
  <c r="CN148" i="7"/>
  <c r="CL148" i="7"/>
  <c r="CL166" i="7" s="1"/>
  <c r="CJ148" i="7"/>
  <c r="CJ166" i="7" s="1"/>
  <c r="CH148" i="7"/>
  <c r="CD148" i="7"/>
  <c r="CB148" i="7"/>
  <c r="BZ148" i="7"/>
  <c r="BX148" i="7"/>
  <c r="BV148" i="7"/>
  <c r="BT148" i="7"/>
  <c r="BR148" i="7"/>
  <c r="BR166" i="7" s="1"/>
  <c r="BP148" i="7"/>
  <c r="BN148" i="7"/>
  <c r="BL148" i="7"/>
  <c r="BJ148" i="7"/>
  <c r="BH148" i="7"/>
  <c r="BD148" i="7"/>
  <c r="BB148" i="7"/>
  <c r="AZ148" i="7"/>
  <c r="AX148" i="7"/>
  <c r="AV148" i="7"/>
  <c r="AT148" i="7"/>
  <c r="AR148" i="7"/>
  <c r="AP148" i="7"/>
  <c r="AN148" i="7"/>
  <c r="AL148" i="7"/>
  <c r="AJ148" i="7"/>
  <c r="AJ166" i="7" s="1"/>
  <c r="AH148" i="7"/>
  <c r="AD148" i="7"/>
  <c r="Z148" i="7"/>
  <c r="Z166" i="7" s="1"/>
  <c r="X148" i="7"/>
  <c r="X166" i="7" s="1"/>
  <c r="V148" i="7"/>
  <c r="V166" i="7" s="1"/>
  <c r="P148" i="7"/>
  <c r="N148" i="7"/>
  <c r="L148" i="7"/>
  <c r="DG147" i="7"/>
  <c r="DE147" i="7"/>
  <c r="DC147" i="7"/>
  <c r="DA147" i="7"/>
  <c r="CY147" i="7"/>
  <c r="CW147" i="7"/>
  <c r="CU147" i="7"/>
  <c r="CS147" i="7"/>
  <c r="CQ147" i="7"/>
  <c r="CO147" i="7"/>
  <c r="CM147" i="7"/>
  <c r="CK147" i="7"/>
  <c r="CI147" i="7"/>
  <c r="DG146" i="7"/>
  <c r="DE146" i="7"/>
  <c r="DC146" i="7"/>
  <c r="DA146" i="7"/>
  <c r="CY146" i="7"/>
  <c r="CW146" i="7"/>
  <c r="CU146" i="7"/>
  <c r="CS146" i="7"/>
  <c r="CQ146" i="7"/>
  <c r="CO146" i="7"/>
  <c r="CM146" i="7"/>
  <c r="CK146" i="7"/>
  <c r="CI146" i="7"/>
  <c r="CF146" i="7"/>
  <c r="CG146" i="7" s="1"/>
  <c r="BF146" i="7"/>
  <c r="BG146" i="7" s="1"/>
  <c r="AF146" i="7"/>
  <c r="AG146" i="7" s="1"/>
  <c r="S146" i="7"/>
  <c r="DG144" i="7"/>
  <c r="DE144" i="7"/>
  <c r="DC144" i="7"/>
  <c r="DA144" i="7"/>
  <c r="CY144" i="7"/>
  <c r="CW144" i="7"/>
  <c r="CU144" i="7"/>
  <c r="CS144" i="7"/>
  <c r="CQ144" i="7"/>
  <c r="CO144" i="7"/>
  <c r="CM144" i="7"/>
  <c r="CK144" i="7"/>
  <c r="CI144" i="7"/>
  <c r="CF144" i="7"/>
  <c r="CG144" i="7" s="1"/>
  <c r="CE144" i="7"/>
  <c r="CC144" i="7"/>
  <c r="CA144" i="7"/>
  <c r="BY144" i="7"/>
  <c r="BW144" i="7"/>
  <c r="BU144" i="7"/>
  <c r="BS144" i="7"/>
  <c r="BQ144" i="7"/>
  <c r="BO144" i="7"/>
  <c r="BM144" i="7"/>
  <c r="BK144" i="7"/>
  <c r="BI144" i="7"/>
  <c r="BF144" i="7"/>
  <c r="BG144" i="7" s="1"/>
  <c r="BE144" i="7"/>
  <c r="BC144" i="7"/>
  <c r="BA144" i="7"/>
  <c r="AY144" i="7"/>
  <c r="AW144" i="7"/>
  <c r="AU144" i="7"/>
  <c r="AS144" i="7"/>
  <c r="AQ144" i="7"/>
  <c r="AO144" i="7"/>
  <c r="AM144" i="7"/>
  <c r="AK144" i="7"/>
  <c r="AI144" i="7"/>
  <c r="AF144" i="7"/>
  <c r="AG144" i="7" s="1"/>
  <c r="AE144" i="7"/>
  <c r="AC144" i="7"/>
  <c r="AA144" i="7"/>
  <c r="Y144" i="7"/>
  <c r="W144" i="7"/>
  <c r="U144" i="7"/>
  <c r="S144" i="7"/>
  <c r="Q144" i="7"/>
  <c r="O144" i="7"/>
  <c r="M144" i="7"/>
  <c r="K144" i="7"/>
  <c r="I144" i="7"/>
  <c r="DG143" i="7"/>
  <c r="DE143" i="7"/>
  <c r="DC143" i="7"/>
  <c r="DA143" i="7"/>
  <c r="CY143" i="7"/>
  <c r="CW143" i="7"/>
  <c r="CU143" i="7"/>
  <c r="CS143" i="7"/>
  <c r="CQ143" i="7"/>
  <c r="CO143" i="7"/>
  <c r="CM143" i="7"/>
  <c r="CK143" i="7"/>
  <c r="CI143" i="7"/>
  <c r="CF143" i="7"/>
  <c r="CG143" i="7" s="1"/>
  <c r="CE143" i="7"/>
  <c r="CC143" i="7"/>
  <c r="CA143" i="7"/>
  <c r="BY143" i="7"/>
  <c r="BW143" i="7"/>
  <c r="BU143" i="7"/>
  <c r="BS143" i="7"/>
  <c r="BQ143" i="7"/>
  <c r="BO143" i="7"/>
  <c r="BM143" i="7"/>
  <c r="BK143" i="7"/>
  <c r="BI143" i="7"/>
  <c r="BF143" i="7"/>
  <c r="BG143" i="7" s="1"/>
  <c r="BE143" i="7"/>
  <c r="BC143" i="7"/>
  <c r="BA143" i="7"/>
  <c r="AY143" i="7"/>
  <c r="AW143" i="7"/>
  <c r="AU143" i="7"/>
  <c r="AS143" i="7"/>
  <c r="AQ143" i="7"/>
  <c r="AO143" i="7"/>
  <c r="AM143" i="7"/>
  <c r="AK143" i="7"/>
  <c r="AI143" i="7"/>
  <c r="AF143" i="7"/>
  <c r="AG143" i="7" s="1"/>
  <c r="AE143" i="7"/>
  <c r="AC143" i="7"/>
  <c r="AA143" i="7"/>
  <c r="Y143" i="7"/>
  <c r="W143" i="7"/>
  <c r="U143" i="7"/>
  <c r="S143" i="7"/>
  <c r="Q143" i="7"/>
  <c r="O143" i="7"/>
  <c r="M143" i="7"/>
  <c r="K143" i="7"/>
  <c r="I143" i="7"/>
  <c r="DG142" i="7"/>
  <c r="DE142" i="7"/>
  <c r="DC142" i="7"/>
  <c r="DA142" i="7"/>
  <c r="CY142" i="7"/>
  <c r="CW142" i="7"/>
  <c r="CU142" i="7"/>
  <c r="CS142" i="7"/>
  <c r="CQ142" i="7"/>
  <c r="CO142" i="7"/>
  <c r="CM142" i="7"/>
  <c r="CK142" i="7"/>
  <c r="CI142" i="7"/>
  <c r="CF142" i="7"/>
  <c r="CG142" i="7" s="1"/>
  <c r="BF142" i="7"/>
  <c r="BG142" i="7" s="1"/>
  <c r="AF142" i="7"/>
  <c r="AG142" i="7" s="1"/>
  <c r="S142" i="7"/>
  <c r="DG139" i="7"/>
  <c r="DE139" i="7"/>
  <c r="DC139" i="7"/>
  <c r="DA139" i="7"/>
  <c r="CY139" i="7"/>
  <c r="CW139" i="7"/>
  <c r="CU139" i="7"/>
  <c r="CS139" i="7"/>
  <c r="CQ139" i="7"/>
  <c r="CO139" i="7"/>
  <c r="CM139" i="7"/>
  <c r="CK139" i="7"/>
  <c r="CI139" i="7"/>
  <c r="CF139" i="7"/>
  <c r="CG139" i="7" s="1"/>
  <c r="CE139" i="7"/>
  <c r="CC139" i="7"/>
  <c r="CA139" i="7"/>
  <c r="BY139" i="7"/>
  <c r="BW139" i="7"/>
  <c r="BU139" i="7"/>
  <c r="BS139" i="7"/>
  <c r="BQ139" i="7"/>
  <c r="BO139" i="7"/>
  <c r="BM139" i="7"/>
  <c r="BK139" i="7"/>
  <c r="BI139" i="7"/>
  <c r="BF139" i="7"/>
  <c r="BG139" i="7" s="1"/>
  <c r="BE139" i="7"/>
  <c r="BC139" i="7"/>
  <c r="BA139" i="7"/>
  <c r="AY139" i="7"/>
  <c r="AW139" i="7"/>
  <c r="AU139" i="7"/>
  <c r="AS139" i="7"/>
  <c r="AQ139" i="7"/>
  <c r="AO139" i="7"/>
  <c r="AM139" i="7"/>
  <c r="AK139" i="7"/>
  <c r="AI139" i="7"/>
  <c r="AF139" i="7"/>
  <c r="AG139" i="7" s="1"/>
  <c r="AE139" i="7"/>
  <c r="AC139" i="7"/>
  <c r="AA139" i="7"/>
  <c r="Y139" i="7"/>
  <c r="W139" i="7"/>
  <c r="U139" i="7"/>
  <c r="S139" i="7"/>
  <c r="Q139" i="7"/>
  <c r="O139" i="7"/>
  <c r="M139" i="7"/>
  <c r="K139" i="7"/>
  <c r="I139" i="7"/>
  <c r="DG138" i="7"/>
  <c r="DE138" i="7"/>
  <c r="DC138" i="7"/>
  <c r="DA138" i="7"/>
  <c r="CY138" i="7"/>
  <c r="CW138" i="7"/>
  <c r="CU138" i="7"/>
  <c r="CS138" i="7"/>
  <c r="CQ138" i="7"/>
  <c r="CO138" i="7"/>
  <c r="CM138" i="7"/>
  <c r="CK138" i="7"/>
  <c r="CI138" i="7"/>
  <c r="CF138" i="7"/>
  <c r="CG138" i="7" s="1"/>
  <c r="BF138" i="7"/>
  <c r="BG138" i="7" s="1"/>
  <c r="AF138" i="7"/>
  <c r="AG138" i="7" s="1"/>
  <c r="S138" i="7"/>
  <c r="DG137" i="7"/>
  <c r="DE137" i="7"/>
  <c r="DC137" i="7"/>
  <c r="DA137" i="7"/>
  <c r="CY137" i="7"/>
  <c r="CW137" i="7"/>
  <c r="CU137" i="7"/>
  <c r="CS137" i="7"/>
  <c r="CQ137" i="7"/>
  <c r="CO137" i="7"/>
  <c r="CM137" i="7"/>
  <c r="CK137" i="7"/>
  <c r="CI137" i="7"/>
  <c r="CF137" i="7"/>
  <c r="CG137" i="7" s="1"/>
  <c r="CE137" i="7"/>
  <c r="CC137" i="7"/>
  <c r="CA137" i="7"/>
  <c r="BY137" i="7"/>
  <c r="BW137" i="7"/>
  <c r="BU137" i="7"/>
  <c r="BS137" i="7"/>
  <c r="BQ137" i="7"/>
  <c r="BO137" i="7"/>
  <c r="BM137" i="7"/>
  <c r="BK137" i="7"/>
  <c r="BI137" i="7"/>
  <c r="BF137" i="7"/>
  <c r="BG137" i="7" s="1"/>
  <c r="BE137" i="7"/>
  <c r="BC137" i="7"/>
  <c r="BA137" i="7"/>
  <c r="AY137" i="7"/>
  <c r="AW137" i="7"/>
  <c r="AU137" i="7"/>
  <c r="AS137" i="7"/>
  <c r="AQ137" i="7"/>
  <c r="AO137" i="7"/>
  <c r="AM137" i="7"/>
  <c r="AK137" i="7"/>
  <c r="AI137" i="7"/>
  <c r="AF137" i="7"/>
  <c r="AG137" i="7" s="1"/>
  <c r="AE137" i="7"/>
  <c r="AC137" i="7"/>
  <c r="AA137" i="7"/>
  <c r="Y137" i="7"/>
  <c r="W137" i="7"/>
  <c r="U137" i="7"/>
  <c r="S137" i="7"/>
  <c r="Q137" i="7"/>
  <c r="O137" i="7"/>
  <c r="M137" i="7"/>
  <c r="K137" i="7"/>
  <c r="I137" i="7"/>
  <c r="DG136" i="7"/>
  <c r="DE136" i="7"/>
  <c r="DC136" i="7"/>
  <c r="DA136" i="7"/>
  <c r="CY136" i="7"/>
  <c r="CW136" i="7"/>
  <c r="CU136" i="7"/>
  <c r="CS136" i="7"/>
  <c r="CQ136" i="7"/>
  <c r="CO136" i="7"/>
  <c r="CM136" i="7"/>
  <c r="CK136" i="7"/>
  <c r="CI136" i="7"/>
  <c r="CF136" i="7"/>
  <c r="CG136" i="7" s="1"/>
  <c r="CE136" i="7"/>
  <c r="CC136" i="7"/>
  <c r="CA136" i="7"/>
  <c r="BY136" i="7"/>
  <c r="BW136" i="7"/>
  <c r="BU136" i="7"/>
  <c r="BS136" i="7"/>
  <c r="BQ136" i="7"/>
  <c r="BO136" i="7"/>
  <c r="BM136" i="7"/>
  <c r="BK136" i="7"/>
  <c r="BI136" i="7"/>
  <c r="BF136" i="7"/>
  <c r="BG136" i="7" s="1"/>
  <c r="BE136" i="7"/>
  <c r="BC136" i="7"/>
  <c r="BA136" i="7"/>
  <c r="AY136" i="7"/>
  <c r="AW136" i="7"/>
  <c r="AU136" i="7"/>
  <c r="AS136" i="7"/>
  <c r="AQ136" i="7"/>
  <c r="AO136" i="7"/>
  <c r="AM136" i="7"/>
  <c r="AK136" i="7"/>
  <c r="AI136" i="7"/>
  <c r="AF136" i="7"/>
  <c r="AG136" i="7" s="1"/>
  <c r="AE136" i="7"/>
  <c r="AC136" i="7"/>
  <c r="AA136" i="7"/>
  <c r="Y136" i="7"/>
  <c r="W136" i="7"/>
  <c r="U136" i="7"/>
  <c r="S136" i="7"/>
  <c r="Q136" i="7"/>
  <c r="O136" i="7"/>
  <c r="M136" i="7"/>
  <c r="K136" i="7"/>
  <c r="I136" i="7"/>
  <c r="DG135" i="7"/>
  <c r="DE135" i="7"/>
  <c r="DC135" i="7"/>
  <c r="DA135" i="7"/>
  <c r="CY135" i="7"/>
  <c r="CW135" i="7"/>
  <c r="CU135" i="7"/>
  <c r="CS135" i="7"/>
  <c r="CQ135" i="7"/>
  <c r="CO135" i="7"/>
  <c r="CM135" i="7"/>
  <c r="CK135" i="7"/>
  <c r="CI135" i="7"/>
  <c r="CF135" i="7"/>
  <c r="CG135" i="7" s="1"/>
  <c r="CE135" i="7"/>
  <c r="CC135" i="7"/>
  <c r="CA135" i="7"/>
  <c r="BY135" i="7"/>
  <c r="BW135" i="7"/>
  <c r="BU135" i="7"/>
  <c r="BS135" i="7"/>
  <c r="BQ135" i="7"/>
  <c r="BO135" i="7"/>
  <c r="BM135" i="7"/>
  <c r="BK135" i="7"/>
  <c r="BI135" i="7"/>
  <c r="BF135" i="7"/>
  <c r="BG135" i="7" s="1"/>
  <c r="BE135" i="7"/>
  <c r="BC135" i="7"/>
  <c r="BA135" i="7"/>
  <c r="AY135" i="7"/>
  <c r="AW135" i="7"/>
  <c r="AU135" i="7"/>
  <c r="AS135" i="7"/>
  <c r="AQ135" i="7"/>
  <c r="AO135" i="7"/>
  <c r="AM135" i="7"/>
  <c r="AK135" i="7"/>
  <c r="AI135" i="7"/>
  <c r="AF135" i="7"/>
  <c r="AG135" i="7" s="1"/>
  <c r="AE135" i="7"/>
  <c r="AC135" i="7"/>
  <c r="AA135" i="7"/>
  <c r="Y135" i="7"/>
  <c r="W135" i="7"/>
  <c r="U135" i="7"/>
  <c r="S135" i="7"/>
  <c r="Q135" i="7"/>
  <c r="O135" i="7"/>
  <c r="M135" i="7"/>
  <c r="K135" i="7"/>
  <c r="I135" i="7"/>
  <c r="DG134" i="7"/>
  <c r="DE134" i="7"/>
  <c r="DC134" i="7"/>
  <c r="DA134" i="7"/>
  <c r="CY134" i="7"/>
  <c r="CW134" i="7"/>
  <c r="CU134" i="7"/>
  <c r="CS134" i="7"/>
  <c r="CQ134" i="7"/>
  <c r="CO134" i="7"/>
  <c r="CM134" i="7"/>
  <c r="CK134" i="7"/>
  <c r="CI134" i="7"/>
  <c r="CF134" i="7"/>
  <c r="CG134" i="7" s="1"/>
  <c r="CE134" i="7"/>
  <c r="CC134" i="7"/>
  <c r="CA134" i="7"/>
  <c r="BY134" i="7"/>
  <c r="BW134" i="7"/>
  <c r="BU134" i="7"/>
  <c r="BS134" i="7"/>
  <c r="BQ134" i="7"/>
  <c r="BO134" i="7"/>
  <c r="BM134" i="7"/>
  <c r="BK134" i="7"/>
  <c r="BI134" i="7"/>
  <c r="BF134" i="7"/>
  <c r="BG134" i="7" s="1"/>
  <c r="BE134" i="7"/>
  <c r="BC134" i="7"/>
  <c r="BA134" i="7"/>
  <c r="AY134" i="7"/>
  <c r="AW134" i="7"/>
  <c r="AU134" i="7"/>
  <c r="AS134" i="7"/>
  <c r="AQ134" i="7"/>
  <c r="AO134" i="7"/>
  <c r="AM134" i="7"/>
  <c r="AK134" i="7"/>
  <c r="AI134" i="7"/>
  <c r="AF134" i="7"/>
  <c r="AG134" i="7" s="1"/>
  <c r="AE134" i="7"/>
  <c r="AC134" i="7"/>
  <c r="AA134" i="7"/>
  <c r="Y134" i="7"/>
  <c r="W134" i="7"/>
  <c r="U134" i="7"/>
  <c r="S134" i="7"/>
  <c r="Q134" i="7"/>
  <c r="O134" i="7"/>
  <c r="M134" i="7"/>
  <c r="K134" i="7"/>
  <c r="I134" i="7"/>
  <c r="DG133" i="7"/>
  <c r="DE133" i="7"/>
  <c r="DC133" i="7"/>
  <c r="DA133" i="7"/>
  <c r="CY133" i="7"/>
  <c r="CW133" i="7"/>
  <c r="CU133" i="7"/>
  <c r="CS133" i="7"/>
  <c r="CQ133" i="7"/>
  <c r="CO133" i="7"/>
  <c r="CM133" i="7"/>
  <c r="CK133" i="7"/>
  <c r="CI133" i="7"/>
  <c r="CF133" i="7"/>
  <c r="CG133" i="7" s="1"/>
  <c r="CE133" i="7"/>
  <c r="CC133" i="7"/>
  <c r="CA133" i="7"/>
  <c r="BY133" i="7"/>
  <c r="BW133" i="7"/>
  <c r="BU133" i="7"/>
  <c r="BS133" i="7"/>
  <c r="BQ133" i="7"/>
  <c r="BO133" i="7"/>
  <c r="BM133" i="7"/>
  <c r="BK133" i="7"/>
  <c r="BI133" i="7"/>
  <c r="BF133" i="7"/>
  <c r="BG133" i="7" s="1"/>
  <c r="BE133" i="7"/>
  <c r="BC133" i="7"/>
  <c r="BA133" i="7"/>
  <c r="AY133" i="7"/>
  <c r="AW133" i="7"/>
  <c r="AU133" i="7"/>
  <c r="AS133" i="7"/>
  <c r="AQ133" i="7"/>
  <c r="AO133" i="7"/>
  <c r="AM133" i="7"/>
  <c r="AK133" i="7"/>
  <c r="AI133" i="7"/>
  <c r="AF133" i="7"/>
  <c r="AG133" i="7" s="1"/>
  <c r="AE133" i="7"/>
  <c r="AC133" i="7"/>
  <c r="AA133" i="7"/>
  <c r="Y133" i="7"/>
  <c r="W133" i="7"/>
  <c r="U133" i="7"/>
  <c r="S133" i="7"/>
  <c r="Q133" i="7"/>
  <c r="O133" i="7"/>
  <c r="M133" i="7"/>
  <c r="K133" i="7"/>
  <c r="I133" i="7"/>
  <c r="DG120" i="7"/>
  <c r="DE120" i="7"/>
  <c r="DC120" i="7"/>
  <c r="DA120" i="7"/>
  <c r="CY120" i="7"/>
  <c r="CW120" i="7"/>
  <c r="CU120" i="7"/>
  <c r="CS120" i="7"/>
  <c r="CQ120" i="7"/>
  <c r="CO120" i="7"/>
  <c r="CM120" i="7"/>
  <c r="CK120" i="7"/>
  <c r="CI120" i="7"/>
  <c r="CF120" i="7"/>
  <c r="CG120" i="7" s="1"/>
  <c r="CE120" i="7"/>
  <c r="CC120" i="7"/>
  <c r="CA120" i="7"/>
  <c r="BY120" i="7"/>
  <c r="BW120" i="7"/>
  <c r="BU120" i="7"/>
  <c r="BS120" i="7"/>
  <c r="BQ120" i="7"/>
  <c r="BO120" i="7"/>
  <c r="BM120" i="7"/>
  <c r="BK120" i="7"/>
  <c r="BI120" i="7"/>
  <c r="BF120" i="7"/>
  <c r="BG120" i="7" s="1"/>
  <c r="BE120" i="7"/>
  <c r="BC120" i="7"/>
  <c r="BA120" i="7"/>
  <c r="AY120" i="7"/>
  <c r="AW120" i="7"/>
  <c r="AU120" i="7"/>
  <c r="AS120" i="7"/>
  <c r="AQ120" i="7"/>
  <c r="AO120" i="7"/>
  <c r="AM120" i="7"/>
  <c r="AK120" i="7"/>
  <c r="AI120" i="7"/>
  <c r="AG120" i="7"/>
  <c r="AF120" i="7"/>
  <c r="AE120" i="7"/>
  <c r="AC120" i="7"/>
  <c r="AA120" i="7"/>
  <c r="Y120" i="7"/>
  <c r="W120" i="7"/>
  <c r="U120" i="7"/>
  <c r="S120" i="7"/>
  <c r="Q120" i="7"/>
  <c r="O120" i="7"/>
  <c r="M120" i="7"/>
  <c r="K120" i="7"/>
  <c r="I120" i="7"/>
  <c r="DE132" i="7"/>
  <c r="DC132" i="7"/>
  <c r="DA132" i="7"/>
  <c r="CY132" i="7"/>
  <c r="CW132" i="7"/>
  <c r="CU132" i="7"/>
  <c r="CS132" i="7"/>
  <c r="CQ132" i="7"/>
  <c r="CO132" i="7"/>
  <c r="CM132" i="7"/>
  <c r="CK132" i="7"/>
  <c r="CI132" i="7"/>
  <c r="CF132" i="7"/>
  <c r="CG132" i="7" s="1"/>
  <c r="CE132" i="7"/>
  <c r="CC132" i="7"/>
  <c r="CA132" i="7"/>
  <c r="BY132" i="7"/>
  <c r="BW132" i="7"/>
  <c r="BU132" i="7"/>
  <c r="BS132" i="7"/>
  <c r="BQ132" i="7"/>
  <c r="BO132" i="7"/>
  <c r="BM132" i="7"/>
  <c r="BK132" i="7"/>
  <c r="BI132" i="7"/>
  <c r="BF132" i="7"/>
  <c r="BG132" i="7" s="1"/>
  <c r="BE132" i="7"/>
  <c r="BC132" i="7"/>
  <c r="BA132" i="7"/>
  <c r="AY132" i="7"/>
  <c r="AW132" i="7"/>
  <c r="AU132" i="7"/>
  <c r="AS132" i="7"/>
  <c r="AQ132" i="7"/>
  <c r="AO132" i="7"/>
  <c r="AM132" i="7"/>
  <c r="AK132" i="7"/>
  <c r="AI132" i="7"/>
  <c r="AF132" i="7"/>
  <c r="AG132" i="7" s="1"/>
  <c r="AE132" i="7"/>
  <c r="AC132" i="7"/>
  <c r="AA132" i="7"/>
  <c r="Y132" i="7"/>
  <c r="W132" i="7"/>
  <c r="U132" i="7"/>
  <c r="S132" i="7"/>
  <c r="Q132" i="7"/>
  <c r="O132" i="7"/>
  <c r="M132" i="7"/>
  <c r="K132" i="7"/>
  <c r="I132" i="7"/>
  <c r="DG131" i="7"/>
  <c r="DE131" i="7"/>
  <c r="DC131" i="7"/>
  <c r="DA131" i="7"/>
  <c r="CY131" i="7"/>
  <c r="CW131" i="7"/>
  <c r="CU131" i="7"/>
  <c r="CS131" i="7"/>
  <c r="CQ131" i="7"/>
  <c r="CO131" i="7"/>
  <c r="CM131" i="7"/>
  <c r="CK131" i="7"/>
  <c r="CI131" i="7"/>
  <c r="CF131" i="7"/>
  <c r="CG131" i="7" s="1"/>
  <c r="CE131" i="7"/>
  <c r="CC131" i="7"/>
  <c r="CA131" i="7"/>
  <c r="BY131" i="7"/>
  <c r="BW131" i="7"/>
  <c r="BU131" i="7"/>
  <c r="BS131" i="7"/>
  <c r="BQ131" i="7"/>
  <c r="BO131" i="7"/>
  <c r="BM131" i="7"/>
  <c r="BK131" i="7"/>
  <c r="BI131" i="7"/>
  <c r="BF131" i="7"/>
  <c r="BG131" i="7" s="1"/>
  <c r="BE131" i="7"/>
  <c r="BC131" i="7"/>
  <c r="BA131" i="7"/>
  <c r="AY131" i="7"/>
  <c r="AW131" i="7"/>
  <c r="AU131" i="7"/>
  <c r="AS131" i="7"/>
  <c r="AQ131" i="7"/>
  <c r="AO131" i="7"/>
  <c r="AM131" i="7"/>
  <c r="AK131" i="7"/>
  <c r="AI131" i="7"/>
  <c r="AF131" i="7"/>
  <c r="AG131" i="7" s="1"/>
  <c r="AE131" i="7"/>
  <c r="AC131" i="7"/>
  <c r="AA131" i="7"/>
  <c r="Y131" i="7"/>
  <c r="W131" i="7"/>
  <c r="U131" i="7"/>
  <c r="S131" i="7"/>
  <c r="Q131" i="7"/>
  <c r="O131" i="7"/>
  <c r="M131" i="7"/>
  <c r="K131" i="7"/>
  <c r="I131" i="7"/>
  <c r="DG130" i="7"/>
  <c r="DE130" i="7"/>
  <c r="DC130" i="7"/>
  <c r="DA130" i="7"/>
  <c r="CY130" i="7"/>
  <c r="CW130" i="7"/>
  <c r="CU130" i="7"/>
  <c r="CS130" i="7"/>
  <c r="CQ130" i="7"/>
  <c r="CO130" i="7"/>
  <c r="CM130" i="7"/>
  <c r="CK130" i="7"/>
  <c r="CI130" i="7"/>
  <c r="CF130" i="7"/>
  <c r="CG130" i="7" s="1"/>
  <c r="CE130" i="7"/>
  <c r="CC130" i="7"/>
  <c r="CA130" i="7"/>
  <c r="BY130" i="7"/>
  <c r="BW130" i="7"/>
  <c r="BU130" i="7"/>
  <c r="BS130" i="7"/>
  <c r="BQ130" i="7"/>
  <c r="BO130" i="7"/>
  <c r="BM130" i="7"/>
  <c r="BK130" i="7"/>
  <c r="BI130" i="7"/>
  <c r="BF130" i="7"/>
  <c r="BG130" i="7" s="1"/>
  <c r="BE130" i="7"/>
  <c r="BC130" i="7"/>
  <c r="BA130" i="7"/>
  <c r="AY130" i="7"/>
  <c r="AW130" i="7"/>
  <c r="AU130" i="7"/>
  <c r="AS130" i="7"/>
  <c r="AQ130" i="7"/>
  <c r="AO130" i="7"/>
  <c r="AM130" i="7"/>
  <c r="AK130" i="7"/>
  <c r="AI130" i="7"/>
  <c r="AF130" i="7"/>
  <c r="AG130" i="7" s="1"/>
  <c r="AE130" i="7"/>
  <c r="AC130" i="7"/>
  <c r="AA130" i="7"/>
  <c r="Y130" i="7"/>
  <c r="W130" i="7"/>
  <c r="U130" i="7"/>
  <c r="S130" i="7"/>
  <c r="Q130" i="7"/>
  <c r="O130" i="7"/>
  <c r="M130" i="7"/>
  <c r="K130" i="7"/>
  <c r="I130" i="7"/>
  <c r="DG129" i="7"/>
  <c r="DE129" i="7"/>
  <c r="DC129" i="7"/>
  <c r="DA129" i="7"/>
  <c r="CY129" i="7"/>
  <c r="CW129" i="7"/>
  <c r="CU129" i="7"/>
  <c r="CS129" i="7"/>
  <c r="CQ129" i="7"/>
  <c r="CO129" i="7"/>
  <c r="CM129" i="7"/>
  <c r="CK129" i="7"/>
  <c r="CI129" i="7"/>
  <c r="CF129" i="7"/>
  <c r="CG129" i="7" s="1"/>
  <c r="BF129" i="7"/>
  <c r="BG129" i="7" s="1"/>
  <c r="AF129" i="7"/>
  <c r="AG129" i="7" s="1"/>
  <c r="DE128" i="7"/>
  <c r="DC128" i="7"/>
  <c r="DA128" i="7"/>
  <c r="CY128" i="7"/>
  <c r="CW128" i="7"/>
  <c r="CU128" i="7"/>
  <c r="CS128" i="7"/>
  <c r="CQ128" i="7"/>
  <c r="CO128" i="7"/>
  <c r="CM128" i="7"/>
  <c r="CK128" i="7"/>
  <c r="CI128" i="7"/>
  <c r="DE127" i="7"/>
  <c r="DC127" i="7"/>
  <c r="DA127" i="7"/>
  <c r="CY127" i="7"/>
  <c r="CW127" i="7"/>
  <c r="CU127" i="7"/>
  <c r="CS127" i="7"/>
  <c r="CQ127" i="7"/>
  <c r="CO127" i="7"/>
  <c r="CM127" i="7"/>
  <c r="CK127" i="7"/>
  <c r="CI127" i="7"/>
  <c r="DG124" i="7"/>
  <c r="DE124" i="7"/>
  <c r="DC124" i="7"/>
  <c r="DA124" i="7"/>
  <c r="CY124" i="7"/>
  <c r="CW124" i="7"/>
  <c r="CU124" i="7"/>
  <c r="CS124" i="7"/>
  <c r="CQ124" i="7"/>
  <c r="CO124" i="7"/>
  <c r="CM124" i="7"/>
  <c r="CK124" i="7"/>
  <c r="CI124" i="7"/>
  <c r="DE123" i="7"/>
  <c r="DC123" i="7"/>
  <c r="DA123" i="7"/>
  <c r="CY123" i="7"/>
  <c r="CW123" i="7"/>
  <c r="CU123" i="7"/>
  <c r="CS123" i="7"/>
  <c r="CQ123" i="7"/>
  <c r="CO123" i="7"/>
  <c r="CM123" i="7"/>
  <c r="CK123" i="7"/>
  <c r="CI123" i="7"/>
  <c r="DG118" i="7"/>
  <c r="DE118" i="7"/>
  <c r="DC118" i="7"/>
  <c r="DA118" i="7"/>
  <c r="CY118" i="7"/>
  <c r="CW118" i="7"/>
  <c r="CU118" i="7"/>
  <c r="CS118" i="7"/>
  <c r="CQ118" i="7"/>
  <c r="CO118" i="7"/>
  <c r="CM118" i="7"/>
  <c r="CK118" i="7"/>
  <c r="CI118" i="7"/>
  <c r="CF118" i="7"/>
  <c r="CG118" i="7" s="1"/>
  <c r="BF118" i="7"/>
  <c r="BG118" i="7" s="1"/>
  <c r="AF118" i="7"/>
  <c r="AG118" i="7" s="1"/>
  <c r="DG117" i="7"/>
  <c r="DE117" i="7"/>
  <c r="DC117" i="7"/>
  <c r="DA117" i="7"/>
  <c r="CY117" i="7"/>
  <c r="CW117" i="7"/>
  <c r="CU117" i="7"/>
  <c r="CS117" i="7"/>
  <c r="CQ117" i="7"/>
  <c r="CO117" i="7"/>
  <c r="CM117" i="7"/>
  <c r="CK117" i="7"/>
  <c r="CI117" i="7"/>
  <c r="CF117" i="7"/>
  <c r="CG117" i="7" s="1"/>
  <c r="BF117" i="7"/>
  <c r="BG117" i="7" s="1"/>
  <c r="AF117" i="7"/>
  <c r="AG117" i="7" s="1"/>
  <c r="DG116" i="7"/>
  <c r="DE116" i="7"/>
  <c r="DC116" i="7"/>
  <c r="DA116" i="7"/>
  <c r="CY116" i="7"/>
  <c r="CW116" i="7"/>
  <c r="CU116" i="7"/>
  <c r="CS116" i="7"/>
  <c r="CQ116" i="7"/>
  <c r="CO116" i="7"/>
  <c r="CM116" i="7"/>
  <c r="CK116" i="7"/>
  <c r="CI116" i="7"/>
  <c r="CF116" i="7"/>
  <c r="CG116" i="7" s="1"/>
  <c r="BF116" i="7"/>
  <c r="BG116" i="7" s="1"/>
  <c r="AF116" i="7"/>
  <c r="AG116" i="7" s="1"/>
  <c r="DG115" i="7"/>
  <c r="DE115" i="7"/>
  <c r="DC115" i="7"/>
  <c r="DA115" i="7"/>
  <c r="CY115" i="7"/>
  <c r="CW115" i="7"/>
  <c r="CU115" i="7"/>
  <c r="CS115" i="7"/>
  <c r="CQ115" i="7"/>
  <c r="CO115" i="7"/>
  <c r="CM115" i="7"/>
  <c r="CK115" i="7"/>
  <c r="CI115" i="7"/>
  <c r="CF115" i="7"/>
  <c r="CG115" i="7" s="1"/>
  <c r="CE115" i="7"/>
  <c r="CC115" i="7"/>
  <c r="CA115" i="7"/>
  <c r="BY115" i="7"/>
  <c r="BW115" i="7"/>
  <c r="BU115" i="7"/>
  <c r="BS115" i="7"/>
  <c r="BQ115" i="7"/>
  <c r="BO115" i="7"/>
  <c r="BM115" i="7"/>
  <c r="BK115" i="7"/>
  <c r="BI115" i="7"/>
  <c r="BF115" i="7"/>
  <c r="BG115" i="7" s="1"/>
  <c r="BE115" i="7"/>
  <c r="BC115" i="7"/>
  <c r="BA115" i="7"/>
  <c r="AY115" i="7"/>
  <c r="AW115" i="7"/>
  <c r="AU115" i="7"/>
  <c r="AS115" i="7"/>
  <c r="AQ115" i="7"/>
  <c r="AO115" i="7"/>
  <c r="AM115" i="7"/>
  <c r="AK115" i="7"/>
  <c r="AI115" i="7"/>
  <c r="AF115" i="7"/>
  <c r="AG115" i="7" s="1"/>
  <c r="AE115" i="7"/>
  <c r="AC115" i="7"/>
  <c r="AA115" i="7"/>
  <c r="Y115" i="7"/>
  <c r="W115" i="7"/>
  <c r="U115" i="7"/>
  <c r="S115" i="7"/>
  <c r="Q115" i="7"/>
  <c r="O115" i="7"/>
  <c r="M115" i="7"/>
  <c r="K115" i="7"/>
  <c r="I115" i="7"/>
  <c r="DG114" i="7"/>
  <c r="DE114" i="7"/>
  <c r="DC114" i="7"/>
  <c r="DA114" i="7"/>
  <c r="CY114" i="7"/>
  <c r="CW114" i="7"/>
  <c r="CU114" i="7"/>
  <c r="CS114" i="7"/>
  <c r="CQ114" i="7"/>
  <c r="CO114" i="7"/>
  <c r="CM114" i="7"/>
  <c r="CK114" i="7"/>
  <c r="CI114" i="7"/>
  <c r="CF114" i="7"/>
  <c r="CG114" i="7" s="1"/>
  <c r="CE114" i="7"/>
  <c r="CC114" i="7"/>
  <c r="CA114" i="7"/>
  <c r="BY114" i="7"/>
  <c r="BW114" i="7"/>
  <c r="BU114" i="7"/>
  <c r="BS114" i="7"/>
  <c r="BQ114" i="7"/>
  <c r="BO114" i="7"/>
  <c r="BM114" i="7"/>
  <c r="BK114" i="7"/>
  <c r="BI114" i="7"/>
  <c r="BF114" i="7"/>
  <c r="BG114" i="7" s="1"/>
  <c r="BE114" i="7"/>
  <c r="BC114" i="7"/>
  <c r="BA114" i="7"/>
  <c r="AY114" i="7"/>
  <c r="AW114" i="7"/>
  <c r="AU114" i="7"/>
  <c r="AS114" i="7"/>
  <c r="AQ114" i="7"/>
  <c r="AO114" i="7"/>
  <c r="AM114" i="7"/>
  <c r="AK114" i="7"/>
  <c r="AI114" i="7"/>
  <c r="AF114" i="7"/>
  <c r="AG114" i="7" s="1"/>
  <c r="AE114" i="7"/>
  <c r="AC114" i="7"/>
  <c r="AA114" i="7"/>
  <c r="Y114" i="7"/>
  <c r="W114" i="7"/>
  <c r="U114" i="7"/>
  <c r="S114" i="7"/>
  <c r="Q114" i="7"/>
  <c r="O114" i="7"/>
  <c r="M114" i="7"/>
  <c r="K114" i="7"/>
  <c r="I114" i="7"/>
  <c r="DG113" i="7"/>
  <c r="DE113" i="7"/>
  <c r="DC113" i="7"/>
  <c r="DA113" i="7"/>
  <c r="CY113" i="7"/>
  <c r="CW113" i="7"/>
  <c r="CU113" i="7"/>
  <c r="CS113" i="7"/>
  <c r="CQ113" i="7"/>
  <c r="CO113" i="7"/>
  <c r="CM113" i="7"/>
  <c r="CK113" i="7"/>
  <c r="CI113" i="7"/>
  <c r="CF113" i="7"/>
  <c r="CG113" i="7" s="1"/>
  <c r="CE113" i="7"/>
  <c r="CC113" i="7"/>
  <c r="CA113" i="7"/>
  <c r="BY113" i="7"/>
  <c r="BW113" i="7"/>
  <c r="BU113" i="7"/>
  <c r="BS113" i="7"/>
  <c r="BQ113" i="7"/>
  <c r="BO113" i="7"/>
  <c r="BM113" i="7"/>
  <c r="BK113" i="7"/>
  <c r="BI113" i="7"/>
  <c r="BF113" i="7"/>
  <c r="BG113" i="7" s="1"/>
  <c r="BE113" i="7"/>
  <c r="BC113" i="7"/>
  <c r="BA113" i="7"/>
  <c r="AY113" i="7"/>
  <c r="AW113" i="7"/>
  <c r="AU113" i="7"/>
  <c r="AS113" i="7"/>
  <c r="AQ113" i="7"/>
  <c r="AO113" i="7"/>
  <c r="AM113" i="7"/>
  <c r="AK113" i="7"/>
  <c r="AI113" i="7"/>
  <c r="AF113" i="7"/>
  <c r="AG113" i="7" s="1"/>
  <c r="AE113" i="7"/>
  <c r="AC113" i="7"/>
  <c r="AA113" i="7"/>
  <c r="Y113" i="7"/>
  <c r="W113" i="7"/>
  <c r="U113" i="7"/>
  <c r="S113" i="7"/>
  <c r="Q113" i="7"/>
  <c r="O113" i="7"/>
  <c r="M113" i="7"/>
  <c r="K113" i="7"/>
  <c r="I113" i="7"/>
  <c r="DG112" i="7"/>
  <c r="DE112" i="7"/>
  <c r="DC112" i="7"/>
  <c r="DA112" i="7"/>
  <c r="CY112" i="7"/>
  <c r="CW112" i="7"/>
  <c r="CU112" i="7"/>
  <c r="CS112" i="7"/>
  <c r="CQ112" i="7"/>
  <c r="CO112" i="7"/>
  <c r="CM112" i="7"/>
  <c r="CK112" i="7"/>
  <c r="CI112" i="7"/>
  <c r="CF112" i="7"/>
  <c r="CG112" i="7" s="1"/>
  <c r="BF112" i="7"/>
  <c r="BG112" i="7" s="1"/>
  <c r="AF112" i="7"/>
  <c r="AG112" i="7" s="1"/>
  <c r="S112" i="7"/>
  <c r="DG111" i="7"/>
  <c r="DE111" i="7"/>
  <c r="DC111" i="7"/>
  <c r="DA111" i="7"/>
  <c r="CY111" i="7"/>
  <c r="CW111" i="7"/>
  <c r="CU111" i="7"/>
  <c r="CS111" i="7"/>
  <c r="CQ111" i="7"/>
  <c r="CO111" i="7"/>
  <c r="CM111" i="7"/>
  <c r="CK111" i="7"/>
  <c r="CI111" i="7"/>
  <c r="CF111" i="7"/>
  <c r="CG111" i="7" s="1"/>
  <c r="CE111" i="7"/>
  <c r="CC111" i="7"/>
  <c r="CA111" i="7"/>
  <c r="BY111" i="7"/>
  <c r="BW111" i="7"/>
  <c r="BU111" i="7"/>
  <c r="BS111" i="7"/>
  <c r="BQ111" i="7"/>
  <c r="BO111" i="7"/>
  <c r="BM111" i="7"/>
  <c r="BK111" i="7"/>
  <c r="BI111" i="7"/>
  <c r="BF111" i="7"/>
  <c r="BG111" i="7" s="1"/>
  <c r="BE111" i="7"/>
  <c r="BC111" i="7"/>
  <c r="BA111" i="7"/>
  <c r="AY111" i="7"/>
  <c r="AW111" i="7"/>
  <c r="AU111" i="7"/>
  <c r="AS111" i="7"/>
  <c r="AQ111" i="7"/>
  <c r="AO111" i="7"/>
  <c r="AM111" i="7"/>
  <c r="AK111" i="7"/>
  <c r="AI111" i="7"/>
  <c r="AF111" i="7"/>
  <c r="AG111" i="7" s="1"/>
  <c r="AE111" i="7"/>
  <c r="AC111" i="7"/>
  <c r="AA111" i="7"/>
  <c r="Y111" i="7"/>
  <c r="W111" i="7"/>
  <c r="U111" i="7"/>
  <c r="S111" i="7"/>
  <c r="Q111" i="7"/>
  <c r="O111" i="7"/>
  <c r="M111" i="7"/>
  <c r="K111" i="7"/>
  <c r="I111" i="7"/>
  <c r="DG110" i="7"/>
  <c r="DE110" i="7"/>
  <c r="DC110" i="7"/>
  <c r="DA110" i="7"/>
  <c r="CY110" i="7"/>
  <c r="CW110" i="7"/>
  <c r="CU110" i="7"/>
  <c r="CS110" i="7"/>
  <c r="CQ110" i="7"/>
  <c r="CO110" i="7"/>
  <c r="CM110" i="7"/>
  <c r="CK110" i="7"/>
  <c r="CI110" i="7"/>
  <c r="CF110" i="7"/>
  <c r="CG110" i="7" s="1"/>
  <c r="BF110" i="7"/>
  <c r="BG110" i="7" s="1"/>
  <c r="AF110" i="7"/>
  <c r="AG110" i="7" s="1"/>
  <c r="S110" i="7"/>
  <c r="DG109" i="7"/>
  <c r="DE109" i="7"/>
  <c r="DC109" i="7"/>
  <c r="DA109" i="7"/>
  <c r="CY109" i="7"/>
  <c r="CW109" i="7"/>
  <c r="CU109" i="7"/>
  <c r="CS109" i="7"/>
  <c r="CQ109" i="7"/>
  <c r="CO109" i="7"/>
  <c r="CM109" i="7"/>
  <c r="CK109" i="7"/>
  <c r="CI109" i="7"/>
  <c r="CF109" i="7"/>
  <c r="CG109" i="7" s="1"/>
  <c r="BF109" i="7"/>
  <c r="BG109" i="7" s="1"/>
  <c r="AF109" i="7"/>
  <c r="AG109" i="7" s="1"/>
  <c r="S109" i="7"/>
  <c r="DG108" i="7"/>
  <c r="DE108" i="7"/>
  <c r="DC108" i="7"/>
  <c r="DA108" i="7"/>
  <c r="CY108" i="7"/>
  <c r="CW108" i="7"/>
  <c r="CU108" i="7"/>
  <c r="CS108" i="7"/>
  <c r="CQ108" i="7"/>
  <c r="CO108" i="7"/>
  <c r="CM108" i="7"/>
  <c r="CK108" i="7"/>
  <c r="CI108" i="7"/>
  <c r="CF108" i="7"/>
  <c r="CG108" i="7" s="1"/>
  <c r="BF108" i="7"/>
  <c r="BG108" i="7" s="1"/>
  <c r="AF108" i="7"/>
  <c r="AG108" i="7" s="1"/>
  <c r="DG107" i="7"/>
  <c r="DE107" i="7"/>
  <c r="DC107" i="7"/>
  <c r="DA107" i="7"/>
  <c r="CY107" i="7"/>
  <c r="CW107" i="7"/>
  <c r="CU107" i="7"/>
  <c r="CS107" i="7"/>
  <c r="CQ107" i="7"/>
  <c r="CO107" i="7"/>
  <c r="CM107" i="7"/>
  <c r="CK107" i="7"/>
  <c r="CI107" i="7"/>
  <c r="CF107" i="7"/>
  <c r="CG107" i="7" s="1"/>
  <c r="BF107" i="7"/>
  <c r="BG107" i="7" s="1"/>
  <c r="AF107" i="7"/>
  <c r="AG107" i="7" s="1"/>
  <c r="S107" i="7"/>
  <c r="DE106" i="7"/>
  <c r="DC106" i="7"/>
  <c r="DA106" i="7"/>
  <c r="CY106" i="7"/>
  <c r="CW106" i="7"/>
  <c r="CU106" i="7"/>
  <c r="CS106" i="7"/>
  <c r="CQ106" i="7"/>
  <c r="CO106" i="7"/>
  <c r="CM106" i="7"/>
  <c r="CK106" i="7"/>
  <c r="CI106" i="7"/>
  <c r="CF106" i="7"/>
  <c r="CG106" i="7" s="1"/>
  <c r="CE106" i="7"/>
  <c r="CC106" i="7"/>
  <c r="CA106" i="7"/>
  <c r="BY106" i="7"/>
  <c r="BW106" i="7"/>
  <c r="BU106" i="7"/>
  <c r="BS106" i="7"/>
  <c r="BQ106" i="7"/>
  <c r="BO106" i="7"/>
  <c r="BM106" i="7"/>
  <c r="BK106" i="7"/>
  <c r="BI106" i="7"/>
  <c r="BF106" i="7"/>
  <c r="BG106" i="7" s="1"/>
  <c r="BE106" i="7"/>
  <c r="BC106" i="7"/>
  <c r="BA106" i="7"/>
  <c r="AY106" i="7"/>
  <c r="AW106" i="7"/>
  <c r="AU106" i="7"/>
  <c r="AS106" i="7"/>
  <c r="AQ106" i="7"/>
  <c r="AO106" i="7"/>
  <c r="AM106" i="7"/>
  <c r="AK106" i="7"/>
  <c r="AI106" i="7"/>
  <c r="AF106" i="7"/>
  <c r="AG106" i="7" s="1"/>
  <c r="AE106" i="7"/>
  <c r="AC106" i="7"/>
  <c r="AA106" i="7"/>
  <c r="Y106" i="7"/>
  <c r="W106" i="7"/>
  <c r="U106" i="7"/>
  <c r="S106" i="7"/>
  <c r="Q106" i="7"/>
  <c r="O106" i="7"/>
  <c r="M106" i="7"/>
  <c r="K106" i="7"/>
  <c r="I106" i="7"/>
  <c r="DG105" i="7"/>
  <c r="DE105" i="7"/>
  <c r="DC105" i="7"/>
  <c r="DA105" i="7"/>
  <c r="CY105" i="7"/>
  <c r="CW105" i="7"/>
  <c r="CU105" i="7"/>
  <c r="CS105" i="7"/>
  <c r="CQ105" i="7"/>
  <c r="CO105" i="7"/>
  <c r="CM105" i="7"/>
  <c r="CK105" i="7"/>
  <c r="CI105" i="7"/>
  <c r="CF105" i="7"/>
  <c r="CG105" i="7" s="1"/>
  <c r="BF105" i="7"/>
  <c r="BG105" i="7" s="1"/>
  <c r="AG105" i="7"/>
  <c r="AF105" i="7"/>
  <c r="S105" i="7"/>
  <c r="DG104" i="7"/>
  <c r="DE104" i="7"/>
  <c r="DC104" i="7"/>
  <c r="DA104" i="7"/>
  <c r="CY104" i="7"/>
  <c r="CW104" i="7"/>
  <c r="CU104" i="7"/>
  <c r="CS104" i="7"/>
  <c r="CQ104" i="7"/>
  <c r="CO104" i="7"/>
  <c r="CM104" i="7"/>
  <c r="CK104" i="7"/>
  <c r="CI104" i="7"/>
  <c r="CG104" i="7"/>
  <c r="CF104" i="7"/>
  <c r="BF104" i="7"/>
  <c r="BG104" i="7" s="1"/>
  <c r="AF104" i="7"/>
  <c r="AG104" i="7" s="1"/>
  <c r="DG103" i="7"/>
  <c r="DE103" i="7"/>
  <c r="DC103" i="7"/>
  <c r="DA103" i="7"/>
  <c r="CY103" i="7"/>
  <c r="CW103" i="7"/>
  <c r="CU103" i="7"/>
  <c r="CS103" i="7"/>
  <c r="CQ103" i="7"/>
  <c r="CO103" i="7"/>
  <c r="CM103" i="7"/>
  <c r="CK103" i="7"/>
  <c r="CI103" i="7"/>
  <c r="CF103" i="7"/>
  <c r="CG103" i="7" s="1"/>
  <c r="BF103" i="7"/>
  <c r="BG103" i="7" s="1"/>
  <c r="AF103" i="7"/>
  <c r="AG103" i="7" s="1"/>
  <c r="S103" i="7"/>
  <c r="DG102" i="7"/>
  <c r="DE102" i="7"/>
  <c r="DC102" i="7"/>
  <c r="DA102" i="7"/>
  <c r="CY102" i="7"/>
  <c r="CW102" i="7"/>
  <c r="CU102" i="7"/>
  <c r="CS102" i="7"/>
  <c r="CQ102" i="7"/>
  <c r="CO102" i="7"/>
  <c r="CM102" i="7"/>
  <c r="CK102" i="7"/>
  <c r="CI102" i="7"/>
  <c r="CF102" i="7"/>
  <c r="CG102" i="7" s="1"/>
  <c r="BF102" i="7"/>
  <c r="BG102" i="7" s="1"/>
  <c r="AF102" i="7"/>
  <c r="AG102" i="7" s="1"/>
  <c r="S102" i="7"/>
  <c r="DE101" i="7"/>
  <c r="DC101" i="7"/>
  <c r="DA101" i="7"/>
  <c r="CY101" i="7"/>
  <c r="CW101" i="7"/>
  <c r="CU101" i="7"/>
  <c r="CS101" i="7"/>
  <c r="CQ101" i="7"/>
  <c r="CO101" i="7"/>
  <c r="CM101" i="7"/>
  <c r="CK101" i="7"/>
  <c r="CI101" i="7"/>
  <c r="CF101" i="7"/>
  <c r="CG101" i="7" s="1"/>
  <c r="CE101" i="7"/>
  <c r="CC101" i="7"/>
  <c r="CA101" i="7"/>
  <c r="BY101" i="7"/>
  <c r="BW101" i="7"/>
  <c r="BU101" i="7"/>
  <c r="BS101" i="7"/>
  <c r="BQ101" i="7"/>
  <c r="BO101" i="7"/>
  <c r="BM101" i="7"/>
  <c r="BK101" i="7"/>
  <c r="BI101" i="7"/>
  <c r="BF101" i="7"/>
  <c r="BG101" i="7" s="1"/>
  <c r="BE101" i="7"/>
  <c r="BC101" i="7"/>
  <c r="BA101" i="7"/>
  <c r="AY101" i="7"/>
  <c r="AW101" i="7"/>
  <c r="AU101" i="7"/>
  <c r="AS101" i="7"/>
  <c r="AQ101" i="7"/>
  <c r="AO101" i="7"/>
  <c r="AM101" i="7"/>
  <c r="AK101" i="7"/>
  <c r="AI101" i="7"/>
  <c r="AF101" i="7"/>
  <c r="AG101" i="7" s="1"/>
  <c r="AE101" i="7"/>
  <c r="AC101" i="7"/>
  <c r="AA101" i="7"/>
  <c r="Y101" i="7"/>
  <c r="W101" i="7"/>
  <c r="U101" i="7"/>
  <c r="S101" i="7"/>
  <c r="Q101" i="7"/>
  <c r="O101" i="7"/>
  <c r="M101" i="7"/>
  <c r="K101" i="7"/>
  <c r="I101" i="7"/>
  <c r="DG100" i="7"/>
  <c r="DE100" i="7"/>
  <c r="DC100" i="7"/>
  <c r="DA100" i="7"/>
  <c r="CY100" i="7"/>
  <c r="CW100" i="7"/>
  <c r="CU100" i="7"/>
  <c r="CS100" i="7"/>
  <c r="CQ100" i="7"/>
  <c r="CO100" i="7"/>
  <c r="CM100" i="7"/>
  <c r="CK100" i="7"/>
  <c r="CI100" i="7"/>
  <c r="CF100" i="7"/>
  <c r="CG100" i="7" s="1"/>
  <c r="BF100" i="7"/>
  <c r="BG100" i="7" s="1"/>
  <c r="AF100" i="7"/>
  <c r="AG100" i="7" s="1"/>
  <c r="S100" i="7"/>
  <c r="DG99" i="7"/>
  <c r="DE99" i="7"/>
  <c r="DC99" i="7"/>
  <c r="DA99" i="7"/>
  <c r="CY99" i="7"/>
  <c r="CW99" i="7"/>
  <c r="CU99" i="7"/>
  <c r="CS99" i="7"/>
  <c r="CQ99" i="7"/>
  <c r="CO99" i="7"/>
  <c r="CM99" i="7"/>
  <c r="CK99" i="7"/>
  <c r="CI99" i="7"/>
  <c r="CF99" i="7"/>
  <c r="CG99" i="7" s="1"/>
  <c r="CE99" i="7"/>
  <c r="CC99" i="7"/>
  <c r="CA99" i="7"/>
  <c r="BY99" i="7"/>
  <c r="BW99" i="7"/>
  <c r="BU99" i="7"/>
  <c r="BS99" i="7"/>
  <c r="BQ99" i="7"/>
  <c r="BO99" i="7"/>
  <c r="BM99" i="7"/>
  <c r="BK99" i="7"/>
  <c r="BI99" i="7"/>
  <c r="BF99" i="7"/>
  <c r="BG99" i="7" s="1"/>
  <c r="BE99" i="7"/>
  <c r="BC99" i="7"/>
  <c r="BA99" i="7"/>
  <c r="AY99" i="7"/>
  <c r="AW99" i="7"/>
  <c r="AU99" i="7"/>
  <c r="AS99" i="7"/>
  <c r="AQ99" i="7"/>
  <c r="AO99" i="7"/>
  <c r="AM99" i="7"/>
  <c r="AK99" i="7"/>
  <c r="AI99" i="7"/>
  <c r="AF99" i="7"/>
  <c r="AG99" i="7" s="1"/>
  <c r="AE99" i="7"/>
  <c r="AC99" i="7"/>
  <c r="AA99" i="7"/>
  <c r="Y99" i="7"/>
  <c r="W99" i="7"/>
  <c r="U99" i="7"/>
  <c r="S99" i="7"/>
  <c r="Q99" i="7"/>
  <c r="O99" i="7"/>
  <c r="M99" i="7"/>
  <c r="K99" i="7"/>
  <c r="I99" i="7"/>
  <c r="DG98" i="7"/>
  <c r="DE98" i="7"/>
  <c r="DC98" i="7"/>
  <c r="DA98" i="7"/>
  <c r="CY98" i="7"/>
  <c r="CW98" i="7"/>
  <c r="CU98" i="7"/>
  <c r="CS98" i="7"/>
  <c r="CQ98" i="7"/>
  <c r="CO98" i="7"/>
  <c r="CM98" i="7"/>
  <c r="CK98" i="7"/>
  <c r="CI98" i="7"/>
  <c r="CF98" i="7"/>
  <c r="CG98" i="7" s="1"/>
  <c r="BF98" i="7"/>
  <c r="BG98" i="7" s="1"/>
  <c r="AF98" i="7"/>
  <c r="AG98" i="7" s="1"/>
  <c r="S98" i="7"/>
  <c r="DG97" i="7"/>
  <c r="DE97" i="7"/>
  <c r="DC97" i="7"/>
  <c r="DA97" i="7"/>
  <c r="CY97" i="7"/>
  <c r="CW97" i="7"/>
  <c r="CU97" i="7"/>
  <c r="CS97" i="7"/>
  <c r="CQ97" i="7"/>
  <c r="CO97" i="7"/>
  <c r="CM97" i="7"/>
  <c r="CK97" i="7"/>
  <c r="CI97" i="7"/>
  <c r="CF97" i="7"/>
  <c r="CG97" i="7" s="1"/>
  <c r="BF97" i="7"/>
  <c r="BG97" i="7" s="1"/>
  <c r="AF97" i="7"/>
  <c r="AG97" i="7" s="1"/>
  <c r="S97" i="7"/>
  <c r="DG96" i="7"/>
  <c r="DE96" i="7"/>
  <c r="DC96" i="7"/>
  <c r="DA96" i="7"/>
  <c r="CY96" i="7"/>
  <c r="CW96" i="7"/>
  <c r="CU96" i="7"/>
  <c r="CS96" i="7"/>
  <c r="CQ96" i="7"/>
  <c r="CO96" i="7"/>
  <c r="CM96" i="7"/>
  <c r="CK96" i="7"/>
  <c r="CI96" i="7"/>
  <c r="CF96" i="7"/>
  <c r="CG96" i="7" s="1"/>
  <c r="BF96" i="7"/>
  <c r="BG96" i="7" s="1"/>
  <c r="AF96" i="7"/>
  <c r="AG96" i="7" s="1"/>
  <c r="S96" i="7"/>
  <c r="DE95" i="7"/>
  <c r="DC95" i="7"/>
  <c r="DA95" i="7"/>
  <c r="CY95" i="7"/>
  <c r="CW95" i="7"/>
  <c r="CU95" i="7"/>
  <c r="CS95" i="7"/>
  <c r="CQ95" i="7"/>
  <c r="CO95" i="7"/>
  <c r="CM95" i="7"/>
  <c r="CK95" i="7"/>
  <c r="CI95" i="7"/>
  <c r="CF95" i="7"/>
  <c r="CG95" i="7" s="1"/>
  <c r="CE95" i="7"/>
  <c r="CC95" i="7"/>
  <c r="CA95" i="7"/>
  <c r="BY95" i="7"/>
  <c r="BW95" i="7"/>
  <c r="BU95" i="7"/>
  <c r="BS95" i="7"/>
  <c r="BQ95" i="7"/>
  <c r="BO95" i="7"/>
  <c r="BM95" i="7"/>
  <c r="BK95" i="7"/>
  <c r="BI95" i="7"/>
  <c r="BF95" i="7"/>
  <c r="BG95" i="7" s="1"/>
  <c r="BE95" i="7"/>
  <c r="BC95" i="7"/>
  <c r="BA95" i="7"/>
  <c r="AY95" i="7"/>
  <c r="AW95" i="7"/>
  <c r="AU95" i="7"/>
  <c r="AS95" i="7"/>
  <c r="AQ95" i="7"/>
  <c r="AO95" i="7"/>
  <c r="AM95" i="7"/>
  <c r="AK95" i="7"/>
  <c r="AI95" i="7"/>
  <c r="AF95" i="7"/>
  <c r="AG95" i="7" s="1"/>
  <c r="AE95" i="7"/>
  <c r="AC95" i="7"/>
  <c r="AA95" i="7"/>
  <c r="Y95" i="7"/>
  <c r="W95" i="7"/>
  <c r="U95" i="7"/>
  <c r="S95" i="7"/>
  <c r="Q95" i="7"/>
  <c r="O95" i="7"/>
  <c r="M95" i="7"/>
  <c r="K95" i="7"/>
  <c r="I95" i="7"/>
  <c r="DE94" i="7"/>
  <c r="DC94" i="7"/>
  <c r="DA94" i="7"/>
  <c r="CY94" i="7"/>
  <c r="CW94" i="7"/>
  <c r="CU94" i="7"/>
  <c r="CS94" i="7"/>
  <c r="CQ94" i="7"/>
  <c r="CO94" i="7"/>
  <c r="CM94" i="7"/>
  <c r="CK94" i="7"/>
  <c r="CI94" i="7"/>
  <c r="CF94" i="7"/>
  <c r="CG94" i="7" s="1"/>
  <c r="CE94" i="7"/>
  <c r="CC94" i="7"/>
  <c r="CA94" i="7"/>
  <c r="BY94" i="7"/>
  <c r="BW94" i="7"/>
  <c r="BU94" i="7"/>
  <c r="BS94" i="7"/>
  <c r="BQ94" i="7"/>
  <c r="BO94" i="7"/>
  <c r="BM94" i="7"/>
  <c r="BK94" i="7"/>
  <c r="BI94" i="7"/>
  <c r="BF94" i="7"/>
  <c r="BG94" i="7" s="1"/>
  <c r="BE94" i="7"/>
  <c r="BC94" i="7"/>
  <c r="BA94" i="7"/>
  <c r="AY94" i="7"/>
  <c r="AW94" i="7"/>
  <c r="AU94" i="7"/>
  <c r="AS94" i="7"/>
  <c r="AQ94" i="7"/>
  <c r="AO94" i="7"/>
  <c r="AM94" i="7"/>
  <c r="AK94" i="7"/>
  <c r="AI94" i="7"/>
  <c r="AF94" i="7"/>
  <c r="AG94" i="7" s="1"/>
  <c r="AE94" i="7"/>
  <c r="AC94" i="7"/>
  <c r="AA94" i="7"/>
  <c r="Y94" i="7"/>
  <c r="W94" i="7"/>
  <c r="U94" i="7"/>
  <c r="S94" i="7"/>
  <c r="Q94" i="7"/>
  <c r="O94" i="7"/>
  <c r="M94" i="7"/>
  <c r="K94" i="7"/>
  <c r="I94" i="7"/>
  <c r="DG93" i="7"/>
  <c r="DE93" i="7"/>
  <c r="DC93" i="7"/>
  <c r="DA93" i="7"/>
  <c r="CY93" i="7"/>
  <c r="CW93" i="7"/>
  <c r="CU93" i="7"/>
  <c r="CS93" i="7"/>
  <c r="CQ93" i="7"/>
  <c r="CO93" i="7"/>
  <c r="CM93" i="7"/>
  <c r="CK93" i="7"/>
  <c r="CI93" i="7"/>
  <c r="CF93" i="7"/>
  <c r="CG93" i="7" s="1"/>
  <c r="CE93" i="7"/>
  <c r="CC93" i="7"/>
  <c r="CA93" i="7"/>
  <c r="BY93" i="7"/>
  <c r="BW93" i="7"/>
  <c r="BU93" i="7"/>
  <c r="BS93" i="7"/>
  <c r="BQ93" i="7"/>
  <c r="BO93" i="7"/>
  <c r="BM93" i="7"/>
  <c r="BK93" i="7"/>
  <c r="BI93" i="7"/>
  <c r="BF93" i="7"/>
  <c r="BG93" i="7" s="1"/>
  <c r="BE93" i="7"/>
  <c r="BC93" i="7"/>
  <c r="BA93" i="7"/>
  <c r="AY93" i="7"/>
  <c r="AW93" i="7"/>
  <c r="AU93" i="7"/>
  <c r="AS93" i="7"/>
  <c r="AQ93" i="7"/>
  <c r="AO93" i="7"/>
  <c r="AM93" i="7"/>
  <c r="AK93" i="7"/>
  <c r="AI93" i="7"/>
  <c r="AF93" i="7"/>
  <c r="AG93" i="7" s="1"/>
  <c r="AE93" i="7"/>
  <c r="AC93" i="7"/>
  <c r="AA93" i="7"/>
  <c r="Y93" i="7"/>
  <c r="W93" i="7"/>
  <c r="U93" i="7"/>
  <c r="S93" i="7"/>
  <c r="Q93" i="7"/>
  <c r="O93" i="7"/>
  <c r="M93" i="7"/>
  <c r="K93" i="7"/>
  <c r="I93" i="7"/>
  <c r="DG92" i="7"/>
  <c r="DE92" i="7"/>
  <c r="DC92" i="7"/>
  <c r="DA92" i="7"/>
  <c r="CY92" i="7"/>
  <c r="CW92" i="7"/>
  <c r="CU92" i="7"/>
  <c r="CS92" i="7"/>
  <c r="CQ92" i="7"/>
  <c r="CO92" i="7"/>
  <c r="CM92" i="7"/>
  <c r="CK92" i="7"/>
  <c r="CI92" i="7"/>
  <c r="CF92" i="7"/>
  <c r="CG92" i="7" s="1"/>
  <c r="CE92" i="7"/>
  <c r="CC92" i="7"/>
  <c r="CA92" i="7"/>
  <c r="BY92" i="7"/>
  <c r="BW92" i="7"/>
  <c r="BU92" i="7"/>
  <c r="BS92" i="7"/>
  <c r="BQ92" i="7"/>
  <c r="BO92" i="7"/>
  <c r="BM92" i="7"/>
  <c r="BK92" i="7"/>
  <c r="BI92" i="7"/>
  <c r="BF92" i="7"/>
  <c r="BG92" i="7" s="1"/>
  <c r="BE92" i="7"/>
  <c r="BC92" i="7"/>
  <c r="BA92" i="7"/>
  <c r="AY92" i="7"/>
  <c r="AW92" i="7"/>
  <c r="AU92" i="7"/>
  <c r="AS92" i="7"/>
  <c r="AQ92" i="7"/>
  <c r="AO92" i="7"/>
  <c r="AM92" i="7"/>
  <c r="AK92" i="7"/>
  <c r="AI92" i="7"/>
  <c r="AF92" i="7"/>
  <c r="AG92" i="7" s="1"/>
  <c r="AE92" i="7"/>
  <c r="AC92" i="7"/>
  <c r="AA92" i="7"/>
  <c r="Y92" i="7"/>
  <c r="W92" i="7"/>
  <c r="U92" i="7"/>
  <c r="S92" i="7"/>
  <c r="Q92" i="7"/>
  <c r="O92" i="7"/>
  <c r="M92" i="7"/>
  <c r="K92" i="7"/>
  <c r="I92" i="7"/>
  <c r="DG91" i="7"/>
  <c r="DE91" i="7"/>
  <c r="DC91" i="7"/>
  <c r="DA91" i="7"/>
  <c r="CY91" i="7"/>
  <c r="CW91" i="7"/>
  <c r="CU91" i="7"/>
  <c r="CS91" i="7"/>
  <c r="CQ91" i="7"/>
  <c r="CO91" i="7"/>
  <c r="CM91" i="7"/>
  <c r="CK91" i="7"/>
  <c r="CI91" i="7"/>
  <c r="CF91" i="7"/>
  <c r="CG91" i="7" s="1"/>
  <c r="CE91" i="7"/>
  <c r="CC91" i="7"/>
  <c r="CA91" i="7"/>
  <c r="BY91" i="7"/>
  <c r="BW91" i="7"/>
  <c r="BU91" i="7"/>
  <c r="BS91" i="7"/>
  <c r="BQ91" i="7"/>
  <c r="BO91" i="7"/>
  <c r="BM91" i="7"/>
  <c r="BK91" i="7"/>
  <c r="BI91" i="7"/>
  <c r="BF91" i="7"/>
  <c r="BG91" i="7" s="1"/>
  <c r="BE91" i="7"/>
  <c r="BC91" i="7"/>
  <c r="BA91" i="7"/>
  <c r="AY91" i="7"/>
  <c r="AW91" i="7"/>
  <c r="AU91" i="7"/>
  <c r="AS91" i="7"/>
  <c r="AQ91" i="7"/>
  <c r="AO91" i="7"/>
  <c r="AM91" i="7"/>
  <c r="AK91" i="7"/>
  <c r="AI91" i="7"/>
  <c r="AF91" i="7"/>
  <c r="AG91" i="7" s="1"/>
  <c r="AE91" i="7"/>
  <c r="AC91" i="7"/>
  <c r="AA91" i="7"/>
  <c r="Y91" i="7"/>
  <c r="W91" i="7"/>
  <c r="U91" i="7"/>
  <c r="S91" i="7"/>
  <c r="Q91" i="7"/>
  <c r="O91" i="7"/>
  <c r="M91" i="7"/>
  <c r="K91" i="7"/>
  <c r="I91" i="7"/>
  <c r="DG90" i="7"/>
  <c r="DE90" i="7"/>
  <c r="DC90" i="7"/>
  <c r="DA90" i="7"/>
  <c r="CY90" i="7"/>
  <c r="CW90" i="7"/>
  <c r="CU90" i="7"/>
  <c r="CS90" i="7"/>
  <c r="CQ90" i="7"/>
  <c r="CO90" i="7"/>
  <c r="CM90" i="7"/>
  <c r="CK90" i="7"/>
  <c r="CI90" i="7"/>
  <c r="CF90" i="7"/>
  <c r="CG90" i="7" s="1"/>
  <c r="CE90" i="7"/>
  <c r="CC90" i="7"/>
  <c r="CA90" i="7"/>
  <c r="BY90" i="7"/>
  <c r="BW90" i="7"/>
  <c r="BU90" i="7"/>
  <c r="BS90" i="7"/>
  <c r="BQ90" i="7"/>
  <c r="BO90" i="7"/>
  <c r="BM90" i="7"/>
  <c r="BK90" i="7"/>
  <c r="BI90" i="7"/>
  <c r="BF90" i="7"/>
  <c r="BG90" i="7" s="1"/>
  <c r="BE90" i="7"/>
  <c r="BC90" i="7"/>
  <c r="BA90" i="7"/>
  <c r="AY90" i="7"/>
  <c r="AW90" i="7"/>
  <c r="AU90" i="7"/>
  <c r="AS90" i="7"/>
  <c r="AQ90" i="7"/>
  <c r="AO90" i="7"/>
  <c r="AM90" i="7"/>
  <c r="AK90" i="7"/>
  <c r="AI90" i="7"/>
  <c r="AF90" i="7"/>
  <c r="AG90" i="7" s="1"/>
  <c r="AE90" i="7"/>
  <c r="AC90" i="7"/>
  <c r="AA90" i="7"/>
  <c r="Y90" i="7"/>
  <c r="W90" i="7"/>
  <c r="U90" i="7"/>
  <c r="S90" i="7"/>
  <c r="Q90" i="7"/>
  <c r="O90" i="7"/>
  <c r="M90" i="7"/>
  <c r="K90" i="7"/>
  <c r="I90" i="7"/>
  <c r="DE89" i="7"/>
  <c r="DC89" i="7"/>
  <c r="DA89" i="7"/>
  <c r="CY89" i="7"/>
  <c r="CW89" i="7"/>
  <c r="CU89" i="7"/>
  <c r="CS89" i="7"/>
  <c r="CQ89" i="7"/>
  <c r="CO89" i="7"/>
  <c r="CM89" i="7"/>
  <c r="CK89" i="7"/>
  <c r="CI89" i="7"/>
  <c r="CF89" i="7"/>
  <c r="CG89" i="7" s="1"/>
  <c r="CE89" i="7"/>
  <c r="CC89" i="7"/>
  <c r="CA89" i="7"/>
  <c r="BY89" i="7"/>
  <c r="BW89" i="7"/>
  <c r="BU89" i="7"/>
  <c r="BS89" i="7"/>
  <c r="BQ89" i="7"/>
  <c r="BO89" i="7"/>
  <c r="BM89" i="7"/>
  <c r="BK89" i="7"/>
  <c r="BI89" i="7"/>
  <c r="BF89" i="7"/>
  <c r="BG89" i="7" s="1"/>
  <c r="BE89" i="7"/>
  <c r="BC89" i="7"/>
  <c r="BA89" i="7"/>
  <c r="AY89" i="7"/>
  <c r="AW89" i="7"/>
  <c r="AU89" i="7"/>
  <c r="AS89" i="7"/>
  <c r="AQ89" i="7"/>
  <c r="AO89" i="7"/>
  <c r="AM89" i="7"/>
  <c r="AK89" i="7"/>
  <c r="AI89" i="7"/>
  <c r="AF89" i="7"/>
  <c r="AG89" i="7" s="1"/>
  <c r="AE89" i="7"/>
  <c r="AC89" i="7"/>
  <c r="AA89" i="7"/>
  <c r="Y89" i="7"/>
  <c r="W89" i="7"/>
  <c r="U89" i="7"/>
  <c r="S89" i="7"/>
  <c r="Q89" i="7"/>
  <c r="O89" i="7"/>
  <c r="M89" i="7"/>
  <c r="K89" i="7"/>
  <c r="I89" i="7"/>
  <c r="DG88" i="7"/>
  <c r="DE88" i="7"/>
  <c r="DC88" i="7"/>
  <c r="DA88" i="7"/>
  <c r="CY88" i="7"/>
  <c r="CW88" i="7"/>
  <c r="CU88" i="7"/>
  <c r="CS88" i="7"/>
  <c r="CQ88" i="7"/>
  <c r="CO88" i="7"/>
  <c r="CM88" i="7"/>
  <c r="CK88" i="7"/>
  <c r="CI88" i="7"/>
  <c r="CF88" i="7"/>
  <c r="CG88" i="7" s="1"/>
  <c r="CE88" i="7"/>
  <c r="CC88" i="7"/>
  <c r="CA88" i="7"/>
  <c r="BY88" i="7"/>
  <c r="BW88" i="7"/>
  <c r="BU88" i="7"/>
  <c r="BS88" i="7"/>
  <c r="BQ88" i="7"/>
  <c r="BO88" i="7"/>
  <c r="BM88" i="7"/>
  <c r="BK88" i="7"/>
  <c r="BI88" i="7"/>
  <c r="BF88" i="7"/>
  <c r="BG88" i="7" s="1"/>
  <c r="BE88" i="7"/>
  <c r="BC88" i="7"/>
  <c r="BA88" i="7"/>
  <c r="AY88" i="7"/>
  <c r="AW88" i="7"/>
  <c r="AU88" i="7"/>
  <c r="AS88" i="7"/>
  <c r="AQ88" i="7"/>
  <c r="AO88" i="7"/>
  <c r="AM88" i="7"/>
  <c r="AK88" i="7"/>
  <c r="AI88" i="7"/>
  <c r="AF88" i="7"/>
  <c r="AG88" i="7" s="1"/>
  <c r="AE88" i="7"/>
  <c r="AC88" i="7"/>
  <c r="AA88" i="7"/>
  <c r="Y88" i="7"/>
  <c r="W88" i="7"/>
  <c r="U88" i="7"/>
  <c r="S88" i="7"/>
  <c r="Q88" i="7"/>
  <c r="O88" i="7"/>
  <c r="M88" i="7"/>
  <c r="K88" i="7"/>
  <c r="I88" i="7"/>
  <c r="DG87" i="7"/>
  <c r="DE87" i="7"/>
  <c r="DC87" i="7"/>
  <c r="DA87" i="7"/>
  <c r="CY87" i="7"/>
  <c r="CW87" i="7"/>
  <c r="CU87" i="7"/>
  <c r="CS87" i="7"/>
  <c r="CQ87" i="7"/>
  <c r="CO87" i="7"/>
  <c r="CM87" i="7"/>
  <c r="CK87" i="7"/>
  <c r="CI87" i="7"/>
  <c r="CF87" i="7"/>
  <c r="CG87" i="7" s="1"/>
  <c r="CE87" i="7"/>
  <c r="CC87" i="7"/>
  <c r="CA87" i="7"/>
  <c r="BY87" i="7"/>
  <c r="BW87" i="7"/>
  <c r="BU87" i="7"/>
  <c r="BS87" i="7"/>
  <c r="BQ87" i="7"/>
  <c r="BO87" i="7"/>
  <c r="BM87" i="7"/>
  <c r="BK87" i="7"/>
  <c r="BI87" i="7"/>
  <c r="BF87" i="7"/>
  <c r="BG87" i="7" s="1"/>
  <c r="BE87" i="7"/>
  <c r="BC87" i="7"/>
  <c r="BA87" i="7"/>
  <c r="AY87" i="7"/>
  <c r="AW87" i="7"/>
  <c r="AU87" i="7"/>
  <c r="AS87" i="7"/>
  <c r="AQ87" i="7"/>
  <c r="AO87" i="7"/>
  <c r="AM87" i="7"/>
  <c r="AK87" i="7"/>
  <c r="AI87" i="7"/>
  <c r="AF87" i="7"/>
  <c r="AG87" i="7" s="1"/>
  <c r="AE87" i="7"/>
  <c r="AC87" i="7"/>
  <c r="AA87" i="7"/>
  <c r="Y87" i="7"/>
  <c r="W87" i="7"/>
  <c r="U87" i="7"/>
  <c r="S87" i="7"/>
  <c r="Q87" i="7"/>
  <c r="O87" i="7"/>
  <c r="M87" i="7"/>
  <c r="K87" i="7"/>
  <c r="I87" i="7"/>
  <c r="DE86" i="7"/>
  <c r="DC86" i="7"/>
  <c r="DA86" i="7"/>
  <c r="CY86" i="7"/>
  <c r="CW86" i="7"/>
  <c r="CU86" i="7"/>
  <c r="CS86" i="7"/>
  <c r="CQ86" i="7"/>
  <c r="CO86" i="7"/>
  <c r="CM86" i="7"/>
  <c r="CK86" i="7"/>
  <c r="CI86" i="7"/>
  <c r="CF86" i="7"/>
  <c r="CG86" i="7" s="1"/>
  <c r="CE86" i="7"/>
  <c r="CC86" i="7"/>
  <c r="CA86" i="7"/>
  <c r="BY86" i="7"/>
  <c r="BW86" i="7"/>
  <c r="BU86" i="7"/>
  <c r="BS86" i="7"/>
  <c r="BQ86" i="7"/>
  <c r="BO86" i="7"/>
  <c r="BM86" i="7"/>
  <c r="BK86" i="7"/>
  <c r="BI86" i="7"/>
  <c r="BF86" i="7"/>
  <c r="BG86" i="7" s="1"/>
  <c r="BE86" i="7"/>
  <c r="BC86" i="7"/>
  <c r="BA86" i="7"/>
  <c r="AY86" i="7"/>
  <c r="AW86" i="7"/>
  <c r="AU86" i="7"/>
  <c r="AS86" i="7"/>
  <c r="AQ86" i="7"/>
  <c r="AO86" i="7"/>
  <c r="AM86" i="7"/>
  <c r="AK86" i="7"/>
  <c r="AI86" i="7"/>
  <c r="AF86" i="7"/>
  <c r="AG86" i="7" s="1"/>
  <c r="AE86" i="7"/>
  <c r="AC86" i="7"/>
  <c r="AA86" i="7"/>
  <c r="Y86" i="7"/>
  <c r="W86" i="7"/>
  <c r="U86" i="7"/>
  <c r="S86" i="7"/>
  <c r="Q86" i="7"/>
  <c r="O86" i="7"/>
  <c r="M86" i="7"/>
  <c r="K86" i="7"/>
  <c r="I86" i="7"/>
  <c r="DG85" i="7"/>
  <c r="DE85" i="7"/>
  <c r="DC85" i="7"/>
  <c r="DA85" i="7"/>
  <c r="CY85" i="7"/>
  <c r="CW85" i="7"/>
  <c r="CU85" i="7"/>
  <c r="CS85" i="7"/>
  <c r="CQ85" i="7"/>
  <c r="CO85" i="7"/>
  <c r="CM85" i="7"/>
  <c r="CK85" i="7"/>
  <c r="CI85" i="7"/>
  <c r="CF85" i="7"/>
  <c r="CG85" i="7" s="1"/>
  <c r="CE85" i="7"/>
  <c r="CC85" i="7"/>
  <c r="CA85" i="7"/>
  <c r="BY85" i="7"/>
  <c r="BW85" i="7"/>
  <c r="BU85" i="7"/>
  <c r="BS85" i="7"/>
  <c r="BQ85" i="7"/>
  <c r="BO85" i="7"/>
  <c r="BM85" i="7"/>
  <c r="BK85" i="7"/>
  <c r="BI85" i="7"/>
  <c r="BF85" i="7"/>
  <c r="BG85" i="7" s="1"/>
  <c r="BE85" i="7"/>
  <c r="BC85" i="7"/>
  <c r="BA85" i="7"/>
  <c r="AY85" i="7"/>
  <c r="AW85" i="7"/>
  <c r="AU85" i="7"/>
  <c r="AS85" i="7"/>
  <c r="AQ85" i="7"/>
  <c r="AO85" i="7"/>
  <c r="AM85" i="7"/>
  <c r="AK85" i="7"/>
  <c r="AI85" i="7"/>
  <c r="AF85" i="7"/>
  <c r="AG85" i="7" s="1"/>
  <c r="AE85" i="7"/>
  <c r="AC85" i="7"/>
  <c r="AA85" i="7"/>
  <c r="Y85" i="7"/>
  <c r="W85" i="7"/>
  <c r="U85" i="7"/>
  <c r="S85" i="7"/>
  <c r="Q85" i="7"/>
  <c r="O85" i="7"/>
  <c r="M85" i="7"/>
  <c r="K85" i="7"/>
  <c r="I85" i="7"/>
  <c r="DG84" i="7"/>
  <c r="DE84" i="7"/>
  <c r="DC84" i="7"/>
  <c r="DA84" i="7"/>
  <c r="CY84" i="7"/>
  <c r="CW84" i="7"/>
  <c r="CU84" i="7"/>
  <c r="CS84" i="7"/>
  <c r="CQ84" i="7"/>
  <c r="CO84" i="7"/>
  <c r="CM84" i="7"/>
  <c r="CK84" i="7"/>
  <c r="CI84" i="7"/>
  <c r="CF84" i="7"/>
  <c r="CG84" i="7" s="1"/>
  <c r="CE84" i="7"/>
  <c r="CC84" i="7"/>
  <c r="CA84" i="7"/>
  <c r="BY84" i="7"/>
  <c r="BW84" i="7"/>
  <c r="BU84" i="7"/>
  <c r="BS84" i="7"/>
  <c r="BQ84" i="7"/>
  <c r="BO84" i="7"/>
  <c r="BM84" i="7"/>
  <c r="BK84" i="7"/>
  <c r="BI84" i="7"/>
  <c r="BF84" i="7"/>
  <c r="BG84" i="7" s="1"/>
  <c r="BE84" i="7"/>
  <c r="BC84" i="7"/>
  <c r="BA84" i="7"/>
  <c r="AY84" i="7"/>
  <c r="AW84" i="7"/>
  <c r="AU84" i="7"/>
  <c r="AS84" i="7"/>
  <c r="AQ84" i="7"/>
  <c r="AO84" i="7"/>
  <c r="AM84" i="7"/>
  <c r="AK84" i="7"/>
  <c r="AI84" i="7"/>
  <c r="AF84" i="7"/>
  <c r="AG84" i="7" s="1"/>
  <c r="AE84" i="7"/>
  <c r="AC84" i="7"/>
  <c r="AA84" i="7"/>
  <c r="Y84" i="7"/>
  <c r="W84" i="7"/>
  <c r="U84" i="7"/>
  <c r="S84" i="7"/>
  <c r="Q84" i="7"/>
  <c r="O84" i="7"/>
  <c r="M84" i="7"/>
  <c r="K84" i="7"/>
  <c r="I84" i="7"/>
  <c r="DG83" i="7"/>
  <c r="DE83" i="7"/>
  <c r="DC83" i="7"/>
  <c r="DA83" i="7"/>
  <c r="CY83" i="7"/>
  <c r="CW83" i="7"/>
  <c r="CU83" i="7"/>
  <c r="CS83" i="7"/>
  <c r="CQ83" i="7"/>
  <c r="CO83" i="7"/>
  <c r="CM83" i="7"/>
  <c r="CK83" i="7"/>
  <c r="CI83" i="7"/>
  <c r="CF83" i="7"/>
  <c r="CG83" i="7" s="1"/>
  <c r="BF83" i="7"/>
  <c r="BG83" i="7" s="1"/>
  <c r="AF83" i="7"/>
  <c r="AG83" i="7" s="1"/>
  <c r="DG82" i="7"/>
  <c r="DE82" i="7"/>
  <c r="DC82" i="7"/>
  <c r="DA82" i="7"/>
  <c r="CY82" i="7"/>
  <c r="CW82" i="7"/>
  <c r="CU82" i="7"/>
  <c r="CS82" i="7"/>
  <c r="CQ82" i="7"/>
  <c r="CO82" i="7"/>
  <c r="CM82" i="7"/>
  <c r="CK82" i="7"/>
  <c r="CI82" i="7"/>
  <c r="CF82" i="7"/>
  <c r="CG82" i="7" s="1"/>
  <c r="BF82" i="7"/>
  <c r="BG82" i="7" s="1"/>
  <c r="AF82" i="7"/>
  <c r="AG82" i="7" s="1"/>
  <c r="DG81" i="7"/>
  <c r="DE81" i="7"/>
  <c r="DC81" i="7"/>
  <c r="DA81" i="7"/>
  <c r="CY81" i="7"/>
  <c r="CW81" i="7"/>
  <c r="CU81" i="7"/>
  <c r="CS81" i="7"/>
  <c r="CQ81" i="7"/>
  <c r="CO81" i="7"/>
  <c r="CM81" i="7"/>
  <c r="CK81" i="7"/>
  <c r="CI81" i="7"/>
  <c r="CF81" i="7"/>
  <c r="CG81" i="7" s="1"/>
  <c r="CE81" i="7"/>
  <c r="CC81" i="7"/>
  <c r="CA81" i="7"/>
  <c r="BY81" i="7"/>
  <c r="BW81" i="7"/>
  <c r="BU81" i="7"/>
  <c r="BS81" i="7"/>
  <c r="BQ81" i="7"/>
  <c r="BO81" i="7"/>
  <c r="BM81" i="7"/>
  <c r="BK81" i="7"/>
  <c r="BI81" i="7"/>
  <c r="BF81" i="7"/>
  <c r="BG81" i="7" s="1"/>
  <c r="BE81" i="7"/>
  <c r="BC81" i="7"/>
  <c r="BA81" i="7"/>
  <c r="AY81" i="7"/>
  <c r="AW81" i="7"/>
  <c r="AU81" i="7"/>
  <c r="AS81" i="7"/>
  <c r="AQ81" i="7"/>
  <c r="AO81" i="7"/>
  <c r="AM81" i="7"/>
  <c r="AK81" i="7"/>
  <c r="AI81" i="7"/>
  <c r="AF81" i="7"/>
  <c r="AG81" i="7" s="1"/>
  <c r="AE81" i="7"/>
  <c r="AC81" i="7"/>
  <c r="AA81" i="7"/>
  <c r="Y81" i="7"/>
  <c r="W81" i="7"/>
  <c r="U81" i="7"/>
  <c r="S81" i="7"/>
  <c r="Q81" i="7"/>
  <c r="O81" i="7"/>
  <c r="M81" i="7"/>
  <c r="K81" i="7"/>
  <c r="I81" i="7"/>
  <c r="DE80" i="7"/>
  <c r="DC80" i="7"/>
  <c r="DA80" i="7"/>
  <c r="CY80" i="7"/>
  <c r="CW80" i="7"/>
  <c r="CU80" i="7"/>
  <c r="CS80" i="7"/>
  <c r="CQ80" i="7"/>
  <c r="CO80" i="7"/>
  <c r="CM80" i="7"/>
  <c r="CK80" i="7"/>
  <c r="CI80" i="7"/>
  <c r="CF80" i="7"/>
  <c r="CG80" i="7" s="1"/>
  <c r="CE80" i="7"/>
  <c r="CC80" i="7"/>
  <c r="CA80" i="7"/>
  <c r="BY80" i="7"/>
  <c r="BW80" i="7"/>
  <c r="BU80" i="7"/>
  <c r="BS80" i="7"/>
  <c r="BQ80" i="7"/>
  <c r="BO80" i="7"/>
  <c r="BM80" i="7"/>
  <c r="BK80" i="7"/>
  <c r="BI80" i="7"/>
  <c r="BF80" i="7"/>
  <c r="BG80" i="7" s="1"/>
  <c r="BE80" i="7"/>
  <c r="BC80" i="7"/>
  <c r="BA80" i="7"/>
  <c r="AY80" i="7"/>
  <c r="AW80" i="7"/>
  <c r="AU80" i="7"/>
  <c r="AS80" i="7"/>
  <c r="AQ80" i="7"/>
  <c r="AO80" i="7"/>
  <c r="AM80" i="7"/>
  <c r="AK80" i="7"/>
  <c r="AI80" i="7"/>
  <c r="AF80" i="7"/>
  <c r="AG80" i="7" s="1"/>
  <c r="AE80" i="7"/>
  <c r="AC80" i="7"/>
  <c r="AA80" i="7"/>
  <c r="Y80" i="7"/>
  <c r="W80" i="7"/>
  <c r="U80" i="7"/>
  <c r="S80" i="7"/>
  <c r="Q80" i="7"/>
  <c r="O80" i="7"/>
  <c r="M80" i="7"/>
  <c r="K80" i="7"/>
  <c r="I80" i="7"/>
  <c r="DG79" i="7"/>
  <c r="DE79" i="7"/>
  <c r="DC79" i="7"/>
  <c r="DA79" i="7"/>
  <c r="CY79" i="7"/>
  <c r="CW79" i="7"/>
  <c r="CU79" i="7"/>
  <c r="CS79" i="7"/>
  <c r="CQ79" i="7"/>
  <c r="CO79" i="7"/>
  <c r="CM79" i="7"/>
  <c r="CK79" i="7"/>
  <c r="CI79" i="7"/>
  <c r="CF79" i="7"/>
  <c r="CG79" i="7" s="1"/>
  <c r="CE79" i="7"/>
  <c r="CC79" i="7"/>
  <c r="CA79" i="7"/>
  <c r="BY79" i="7"/>
  <c r="BW79" i="7"/>
  <c r="BU79" i="7"/>
  <c r="BS79" i="7"/>
  <c r="BQ79" i="7"/>
  <c r="BO79" i="7"/>
  <c r="BM79" i="7"/>
  <c r="BK79" i="7"/>
  <c r="BI79" i="7"/>
  <c r="BF79" i="7"/>
  <c r="BG79" i="7" s="1"/>
  <c r="BE79" i="7"/>
  <c r="BC79" i="7"/>
  <c r="BA79" i="7"/>
  <c r="AY79" i="7"/>
  <c r="AW79" i="7"/>
  <c r="AU79" i="7"/>
  <c r="AS79" i="7"/>
  <c r="AQ79" i="7"/>
  <c r="AO79" i="7"/>
  <c r="AM79" i="7"/>
  <c r="AK79" i="7"/>
  <c r="AI79" i="7"/>
  <c r="AF79" i="7"/>
  <c r="AG79" i="7" s="1"/>
  <c r="AE79" i="7"/>
  <c r="AC79" i="7"/>
  <c r="AA79" i="7"/>
  <c r="Y79" i="7"/>
  <c r="W79" i="7"/>
  <c r="U79" i="7"/>
  <c r="S79" i="7"/>
  <c r="Q79" i="7"/>
  <c r="O79" i="7"/>
  <c r="M79" i="7"/>
  <c r="K79" i="7"/>
  <c r="I79" i="7"/>
  <c r="DG78" i="7"/>
  <c r="DE78" i="7"/>
  <c r="DC78" i="7"/>
  <c r="DA78" i="7"/>
  <c r="CY78" i="7"/>
  <c r="CW78" i="7"/>
  <c r="CU78" i="7"/>
  <c r="CS78" i="7"/>
  <c r="CQ78" i="7"/>
  <c r="CO78" i="7"/>
  <c r="CM78" i="7"/>
  <c r="CK78" i="7"/>
  <c r="CI78" i="7"/>
  <c r="CF78" i="7"/>
  <c r="CG78" i="7" s="1"/>
  <c r="CE78" i="7"/>
  <c r="CC78" i="7"/>
  <c r="CA78" i="7"/>
  <c r="BY78" i="7"/>
  <c r="BW78" i="7"/>
  <c r="BU78" i="7"/>
  <c r="BS78" i="7"/>
  <c r="BQ78" i="7"/>
  <c r="BO78" i="7"/>
  <c r="BM78" i="7"/>
  <c r="BK78" i="7"/>
  <c r="BI78" i="7"/>
  <c r="BF78" i="7"/>
  <c r="BG78" i="7" s="1"/>
  <c r="BE78" i="7"/>
  <c r="BC78" i="7"/>
  <c r="BA78" i="7"/>
  <c r="AY78" i="7"/>
  <c r="AW78" i="7"/>
  <c r="AU78" i="7"/>
  <c r="AS78" i="7"/>
  <c r="AQ78" i="7"/>
  <c r="AO78" i="7"/>
  <c r="AM78" i="7"/>
  <c r="AK78" i="7"/>
  <c r="AI78" i="7"/>
  <c r="AF78" i="7"/>
  <c r="AG78" i="7" s="1"/>
  <c r="AE78" i="7"/>
  <c r="AC78" i="7"/>
  <c r="AA78" i="7"/>
  <c r="Y78" i="7"/>
  <c r="W78" i="7"/>
  <c r="U78" i="7"/>
  <c r="S78" i="7"/>
  <c r="Q78" i="7"/>
  <c r="O78" i="7"/>
  <c r="M78" i="7"/>
  <c r="K78" i="7"/>
  <c r="I78" i="7"/>
  <c r="DG77" i="7"/>
  <c r="DE77" i="7"/>
  <c r="DC77" i="7"/>
  <c r="DA77" i="7"/>
  <c r="CY77" i="7"/>
  <c r="CW77" i="7"/>
  <c r="CU77" i="7"/>
  <c r="CS77" i="7"/>
  <c r="CQ77" i="7"/>
  <c r="CO77" i="7"/>
  <c r="CM77" i="7"/>
  <c r="CK77" i="7"/>
  <c r="CI77" i="7"/>
  <c r="CF77" i="7"/>
  <c r="CG77" i="7" s="1"/>
  <c r="CE77" i="7"/>
  <c r="CC77" i="7"/>
  <c r="CA77" i="7"/>
  <c r="BY77" i="7"/>
  <c r="BW77" i="7"/>
  <c r="BU77" i="7"/>
  <c r="BS77" i="7"/>
  <c r="BQ77" i="7"/>
  <c r="BO77" i="7"/>
  <c r="BM77" i="7"/>
  <c r="BK77" i="7"/>
  <c r="BI77" i="7"/>
  <c r="BF77" i="7"/>
  <c r="BG77" i="7" s="1"/>
  <c r="BE77" i="7"/>
  <c r="BC77" i="7"/>
  <c r="BA77" i="7"/>
  <c r="AY77" i="7"/>
  <c r="AW77" i="7"/>
  <c r="AU77" i="7"/>
  <c r="AS77" i="7"/>
  <c r="AQ77" i="7"/>
  <c r="AO77" i="7"/>
  <c r="AM77" i="7"/>
  <c r="AK77" i="7"/>
  <c r="AI77" i="7"/>
  <c r="AF77" i="7"/>
  <c r="AG77" i="7" s="1"/>
  <c r="AE77" i="7"/>
  <c r="AC77" i="7"/>
  <c r="AA77" i="7"/>
  <c r="Y77" i="7"/>
  <c r="W77" i="7"/>
  <c r="U77" i="7"/>
  <c r="S77" i="7"/>
  <c r="Q77" i="7"/>
  <c r="O77" i="7"/>
  <c r="M77" i="7"/>
  <c r="K77" i="7"/>
  <c r="I77" i="7"/>
  <c r="DG76" i="7"/>
  <c r="DE76" i="7"/>
  <c r="DC76" i="7"/>
  <c r="DA76" i="7"/>
  <c r="CY76" i="7"/>
  <c r="CW76" i="7"/>
  <c r="CU76" i="7"/>
  <c r="CS76" i="7"/>
  <c r="CQ76" i="7"/>
  <c r="CO76" i="7"/>
  <c r="CM76" i="7"/>
  <c r="CK76" i="7"/>
  <c r="CI76" i="7"/>
  <c r="CF76" i="7"/>
  <c r="CG76" i="7" s="1"/>
  <c r="CE76" i="7"/>
  <c r="CC76" i="7"/>
  <c r="CA76" i="7"/>
  <c r="BY76" i="7"/>
  <c r="BW76" i="7"/>
  <c r="BU76" i="7"/>
  <c r="BS76" i="7"/>
  <c r="BQ76" i="7"/>
  <c r="BO76" i="7"/>
  <c r="BM76" i="7"/>
  <c r="BK76" i="7"/>
  <c r="BI76" i="7"/>
  <c r="BF76" i="7"/>
  <c r="BG76" i="7" s="1"/>
  <c r="BE76" i="7"/>
  <c r="BC76" i="7"/>
  <c r="BA76" i="7"/>
  <c r="AY76" i="7"/>
  <c r="AW76" i="7"/>
  <c r="AU76" i="7"/>
  <c r="AS76" i="7"/>
  <c r="AQ76" i="7"/>
  <c r="AO76" i="7"/>
  <c r="AM76" i="7"/>
  <c r="AK76" i="7"/>
  <c r="AI76" i="7"/>
  <c r="AF76" i="7"/>
  <c r="AG76" i="7" s="1"/>
  <c r="AE76" i="7"/>
  <c r="AC76" i="7"/>
  <c r="AA76" i="7"/>
  <c r="Y76" i="7"/>
  <c r="W76" i="7"/>
  <c r="U76" i="7"/>
  <c r="S76" i="7"/>
  <c r="Q76" i="7"/>
  <c r="O76" i="7"/>
  <c r="M76" i="7"/>
  <c r="K76" i="7"/>
  <c r="I76" i="7"/>
  <c r="DE75" i="7"/>
  <c r="DC75" i="7"/>
  <c r="DA75" i="7"/>
  <c r="CY75" i="7"/>
  <c r="CW75" i="7"/>
  <c r="CU75" i="7"/>
  <c r="CS75" i="7"/>
  <c r="CQ75" i="7"/>
  <c r="CO75" i="7"/>
  <c r="CM75" i="7"/>
  <c r="CK75" i="7"/>
  <c r="CI75" i="7"/>
  <c r="CF75" i="7"/>
  <c r="CG75" i="7" s="1"/>
  <c r="CE75" i="7"/>
  <c r="CC75" i="7"/>
  <c r="CA75" i="7"/>
  <c r="BY75" i="7"/>
  <c r="BW75" i="7"/>
  <c r="BU75" i="7"/>
  <c r="BS75" i="7"/>
  <c r="BQ75" i="7"/>
  <c r="BO75" i="7"/>
  <c r="BM75" i="7"/>
  <c r="BK75" i="7"/>
  <c r="BI75" i="7"/>
  <c r="BF75" i="7"/>
  <c r="BG75" i="7" s="1"/>
  <c r="BE75" i="7"/>
  <c r="BC75" i="7"/>
  <c r="BA75" i="7"/>
  <c r="AY75" i="7"/>
  <c r="AW75" i="7"/>
  <c r="AU75" i="7"/>
  <c r="AS75" i="7"/>
  <c r="AQ75" i="7"/>
  <c r="AO75" i="7"/>
  <c r="AM75" i="7"/>
  <c r="AK75" i="7"/>
  <c r="AI75" i="7"/>
  <c r="AF75" i="7"/>
  <c r="AG75" i="7" s="1"/>
  <c r="AE75" i="7"/>
  <c r="AC75" i="7"/>
  <c r="AA75" i="7"/>
  <c r="Y75" i="7"/>
  <c r="W75" i="7"/>
  <c r="U75" i="7"/>
  <c r="S75" i="7"/>
  <c r="Q75" i="7"/>
  <c r="O75" i="7"/>
  <c r="M75" i="7"/>
  <c r="K75" i="7"/>
  <c r="I75" i="7"/>
  <c r="DG74" i="7"/>
  <c r="DE74" i="7"/>
  <c r="DC74" i="7"/>
  <c r="DA74" i="7"/>
  <c r="CY74" i="7"/>
  <c r="CW74" i="7"/>
  <c r="CU74" i="7"/>
  <c r="CS74" i="7"/>
  <c r="CQ74" i="7"/>
  <c r="CO74" i="7"/>
  <c r="CM74" i="7"/>
  <c r="CK74" i="7"/>
  <c r="CI74" i="7"/>
  <c r="CF74" i="7"/>
  <c r="CG74" i="7" s="1"/>
  <c r="CE74" i="7"/>
  <c r="CC74" i="7"/>
  <c r="CA74" i="7"/>
  <c r="BY74" i="7"/>
  <c r="BW74" i="7"/>
  <c r="BU74" i="7"/>
  <c r="BS74" i="7"/>
  <c r="BQ74" i="7"/>
  <c r="BO74" i="7"/>
  <c r="BM74" i="7"/>
  <c r="BK74" i="7"/>
  <c r="BI74" i="7"/>
  <c r="BF74" i="7"/>
  <c r="BG74" i="7" s="1"/>
  <c r="BE74" i="7"/>
  <c r="BC74" i="7"/>
  <c r="BA74" i="7"/>
  <c r="AY74" i="7"/>
  <c r="AW74" i="7"/>
  <c r="AU74" i="7"/>
  <c r="AS74" i="7"/>
  <c r="AQ74" i="7"/>
  <c r="AO74" i="7"/>
  <c r="AM74" i="7"/>
  <c r="AK74" i="7"/>
  <c r="AI74" i="7"/>
  <c r="AF74" i="7"/>
  <c r="AG74" i="7" s="1"/>
  <c r="AE74" i="7"/>
  <c r="AC74" i="7"/>
  <c r="AA74" i="7"/>
  <c r="Y74" i="7"/>
  <c r="W74" i="7"/>
  <c r="U74" i="7"/>
  <c r="S74" i="7"/>
  <c r="Q74" i="7"/>
  <c r="O74" i="7"/>
  <c r="M74" i="7"/>
  <c r="K74" i="7"/>
  <c r="I74" i="7"/>
  <c r="DG73" i="7"/>
  <c r="DE73" i="7"/>
  <c r="DC73" i="7"/>
  <c r="DA73" i="7"/>
  <c r="CY73" i="7"/>
  <c r="CW73" i="7"/>
  <c r="CU73" i="7"/>
  <c r="CS73" i="7"/>
  <c r="CQ73" i="7"/>
  <c r="CO73" i="7"/>
  <c r="CM73" i="7"/>
  <c r="CK73" i="7"/>
  <c r="CI73" i="7"/>
  <c r="CF73" i="7"/>
  <c r="CG73" i="7" s="1"/>
  <c r="CE73" i="7"/>
  <c r="CC73" i="7"/>
  <c r="CA73" i="7"/>
  <c r="BY73" i="7"/>
  <c r="BW73" i="7"/>
  <c r="BU73" i="7"/>
  <c r="BS73" i="7"/>
  <c r="BQ73" i="7"/>
  <c r="BO73" i="7"/>
  <c r="BM73" i="7"/>
  <c r="BK73" i="7"/>
  <c r="BI73" i="7"/>
  <c r="BF73" i="7"/>
  <c r="BG73" i="7" s="1"/>
  <c r="BE73" i="7"/>
  <c r="BC73" i="7"/>
  <c r="BA73" i="7"/>
  <c r="AY73" i="7"/>
  <c r="AW73" i="7"/>
  <c r="AU73" i="7"/>
  <c r="AS73" i="7"/>
  <c r="AQ73" i="7"/>
  <c r="AO73" i="7"/>
  <c r="AM73" i="7"/>
  <c r="AK73" i="7"/>
  <c r="AI73" i="7"/>
  <c r="AF73" i="7"/>
  <c r="AG73" i="7" s="1"/>
  <c r="AE73" i="7"/>
  <c r="AC73" i="7"/>
  <c r="AA73" i="7"/>
  <c r="Y73" i="7"/>
  <c r="W73" i="7"/>
  <c r="U73" i="7"/>
  <c r="S73" i="7"/>
  <c r="Q73" i="7"/>
  <c r="O73" i="7"/>
  <c r="M73" i="7"/>
  <c r="K73" i="7"/>
  <c r="I73" i="7"/>
  <c r="DG72" i="7"/>
  <c r="DE72" i="7"/>
  <c r="DC72" i="7"/>
  <c r="DA72" i="7"/>
  <c r="CY72" i="7"/>
  <c r="CW72" i="7"/>
  <c r="CU72" i="7"/>
  <c r="CS72" i="7"/>
  <c r="CQ72" i="7"/>
  <c r="CO72" i="7"/>
  <c r="CM72" i="7"/>
  <c r="CK72" i="7"/>
  <c r="CI72" i="7"/>
  <c r="CF72" i="7"/>
  <c r="CG72" i="7" s="1"/>
  <c r="CE72" i="7"/>
  <c r="CC72" i="7"/>
  <c r="CA72" i="7"/>
  <c r="BY72" i="7"/>
  <c r="BW72" i="7"/>
  <c r="BU72" i="7"/>
  <c r="BS72" i="7"/>
  <c r="BQ72" i="7"/>
  <c r="BO72" i="7"/>
  <c r="BM72" i="7"/>
  <c r="BK72" i="7"/>
  <c r="BI72" i="7"/>
  <c r="BF72" i="7"/>
  <c r="BG72" i="7" s="1"/>
  <c r="BE72" i="7"/>
  <c r="BC72" i="7"/>
  <c r="BA72" i="7"/>
  <c r="AY72" i="7"/>
  <c r="AW72" i="7"/>
  <c r="AU72" i="7"/>
  <c r="AS72" i="7"/>
  <c r="AQ72" i="7"/>
  <c r="AO72" i="7"/>
  <c r="AM72" i="7"/>
  <c r="AK72" i="7"/>
  <c r="AI72" i="7"/>
  <c r="AF72" i="7"/>
  <c r="AG72" i="7" s="1"/>
  <c r="AE72" i="7"/>
  <c r="AC72" i="7"/>
  <c r="AA72" i="7"/>
  <c r="Y72" i="7"/>
  <c r="W72" i="7"/>
  <c r="U72" i="7"/>
  <c r="S72" i="7"/>
  <c r="Q72" i="7"/>
  <c r="O72" i="7"/>
  <c r="M72" i="7"/>
  <c r="K72" i="7"/>
  <c r="I72" i="7"/>
  <c r="DG71" i="7"/>
  <c r="DE71" i="7"/>
  <c r="DC71" i="7"/>
  <c r="DA71" i="7"/>
  <c r="CY71" i="7"/>
  <c r="CW71" i="7"/>
  <c r="CU71" i="7"/>
  <c r="CS71" i="7"/>
  <c r="CQ71" i="7"/>
  <c r="CO71" i="7"/>
  <c r="CM71" i="7"/>
  <c r="CK71" i="7"/>
  <c r="CI71" i="7"/>
  <c r="CF71" i="7"/>
  <c r="CG71" i="7" s="1"/>
  <c r="CE71" i="7"/>
  <c r="CC71" i="7"/>
  <c r="CA71" i="7"/>
  <c r="BY71" i="7"/>
  <c r="BW71" i="7"/>
  <c r="BU71" i="7"/>
  <c r="BS71" i="7"/>
  <c r="BQ71" i="7"/>
  <c r="BO71" i="7"/>
  <c r="BM71" i="7"/>
  <c r="BK71" i="7"/>
  <c r="BI71" i="7"/>
  <c r="BF71" i="7"/>
  <c r="BG71" i="7" s="1"/>
  <c r="BE71" i="7"/>
  <c r="BC71" i="7"/>
  <c r="BA71" i="7"/>
  <c r="AY71" i="7"/>
  <c r="AW71" i="7"/>
  <c r="AU71" i="7"/>
  <c r="AS71" i="7"/>
  <c r="AQ71" i="7"/>
  <c r="AO71" i="7"/>
  <c r="AM71" i="7"/>
  <c r="AK71" i="7"/>
  <c r="AI71" i="7"/>
  <c r="AF71" i="7"/>
  <c r="AG71" i="7" s="1"/>
  <c r="AE71" i="7"/>
  <c r="AC71" i="7"/>
  <c r="AA71" i="7"/>
  <c r="Y71" i="7"/>
  <c r="W71" i="7"/>
  <c r="U71" i="7"/>
  <c r="S71" i="7"/>
  <c r="Q71" i="7"/>
  <c r="O71" i="7"/>
  <c r="M71" i="7"/>
  <c r="K71" i="7"/>
  <c r="I71" i="7"/>
  <c r="DG70" i="7"/>
  <c r="DE70" i="7"/>
  <c r="DC70" i="7"/>
  <c r="DA70" i="7"/>
  <c r="CY70" i="7"/>
  <c r="CW70" i="7"/>
  <c r="CU70" i="7"/>
  <c r="CS70" i="7"/>
  <c r="CQ70" i="7"/>
  <c r="CO70" i="7"/>
  <c r="CM70" i="7"/>
  <c r="CK70" i="7"/>
  <c r="CI70" i="7"/>
  <c r="CF70" i="7"/>
  <c r="CG70" i="7" s="1"/>
  <c r="CE70" i="7"/>
  <c r="CC70" i="7"/>
  <c r="CA70" i="7"/>
  <c r="BY70" i="7"/>
  <c r="BW70" i="7"/>
  <c r="BU70" i="7"/>
  <c r="BS70" i="7"/>
  <c r="BQ70" i="7"/>
  <c r="BO70" i="7"/>
  <c r="BM70" i="7"/>
  <c r="BK70" i="7"/>
  <c r="BI70" i="7"/>
  <c r="BF70" i="7"/>
  <c r="BG70" i="7" s="1"/>
  <c r="BE70" i="7"/>
  <c r="BC70" i="7"/>
  <c r="BA70" i="7"/>
  <c r="AY70" i="7"/>
  <c r="AW70" i="7"/>
  <c r="AU70" i="7"/>
  <c r="AS70" i="7"/>
  <c r="AQ70" i="7"/>
  <c r="AO70" i="7"/>
  <c r="AM70" i="7"/>
  <c r="AK70" i="7"/>
  <c r="AI70" i="7"/>
  <c r="AF70" i="7"/>
  <c r="AG70" i="7" s="1"/>
  <c r="AE70" i="7"/>
  <c r="AC70" i="7"/>
  <c r="AA70" i="7"/>
  <c r="Y70" i="7"/>
  <c r="W70" i="7"/>
  <c r="U70" i="7"/>
  <c r="S70" i="7"/>
  <c r="Q70" i="7"/>
  <c r="O70" i="7"/>
  <c r="M70" i="7"/>
  <c r="K70" i="7"/>
  <c r="I70" i="7"/>
  <c r="DG69" i="7"/>
  <c r="DE69" i="7"/>
  <c r="DC69" i="7"/>
  <c r="DA69" i="7"/>
  <c r="CY69" i="7"/>
  <c r="CW69" i="7"/>
  <c r="CU69" i="7"/>
  <c r="CS69" i="7"/>
  <c r="CQ69" i="7"/>
  <c r="CO69" i="7"/>
  <c r="CM69" i="7"/>
  <c r="CK69" i="7"/>
  <c r="CI69" i="7"/>
  <c r="CF69" i="7"/>
  <c r="CG69" i="7" s="1"/>
  <c r="CE69" i="7"/>
  <c r="CC69" i="7"/>
  <c r="CA69" i="7"/>
  <c r="BY69" i="7"/>
  <c r="BW69" i="7"/>
  <c r="BU69" i="7"/>
  <c r="BS69" i="7"/>
  <c r="BQ69" i="7"/>
  <c r="BO69" i="7"/>
  <c r="BM69" i="7"/>
  <c r="BK69" i="7"/>
  <c r="BI69" i="7"/>
  <c r="BF69" i="7"/>
  <c r="BG69" i="7" s="1"/>
  <c r="BE69" i="7"/>
  <c r="BC69" i="7"/>
  <c r="BA69" i="7"/>
  <c r="AY69" i="7"/>
  <c r="AW69" i="7"/>
  <c r="AU69" i="7"/>
  <c r="AS69" i="7"/>
  <c r="AQ69" i="7"/>
  <c r="AO69" i="7"/>
  <c r="AM69" i="7"/>
  <c r="AK69" i="7"/>
  <c r="AI69" i="7"/>
  <c r="AF69" i="7"/>
  <c r="AG69" i="7" s="1"/>
  <c r="AE69" i="7"/>
  <c r="AC69" i="7"/>
  <c r="AA69" i="7"/>
  <c r="Y69" i="7"/>
  <c r="W69" i="7"/>
  <c r="U69" i="7"/>
  <c r="S69" i="7"/>
  <c r="Q69" i="7"/>
  <c r="O69" i="7"/>
  <c r="M69" i="7"/>
  <c r="K69" i="7"/>
  <c r="I69" i="7"/>
  <c r="DE68" i="7"/>
  <c r="DC68" i="7"/>
  <c r="DA68" i="7"/>
  <c r="CY68" i="7"/>
  <c r="CW68" i="7"/>
  <c r="CU68" i="7"/>
  <c r="CS68" i="7"/>
  <c r="CQ68" i="7"/>
  <c r="CO68" i="7"/>
  <c r="CM68" i="7"/>
  <c r="CK68" i="7"/>
  <c r="CI68" i="7"/>
  <c r="CF68" i="7"/>
  <c r="CG68" i="7" s="1"/>
  <c r="CE68" i="7"/>
  <c r="CC68" i="7"/>
  <c r="CA68" i="7"/>
  <c r="BY68" i="7"/>
  <c r="BW68" i="7"/>
  <c r="BU68" i="7"/>
  <c r="BS68" i="7"/>
  <c r="BQ68" i="7"/>
  <c r="BO68" i="7"/>
  <c r="BM68" i="7"/>
  <c r="BK68" i="7"/>
  <c r="BI68" i="7"/>
  <c r="BF68" i="7"/>
  <c r="BG68" i="7" s="1"/>
  <c r="BE68" i="7"/>
  <c r="BC68" i="7"/>
  <c r="BA68" i="7"/>
  <c r="AY68" i="7"/>
  <c r="AW68" i="7"/>
  <c r="AU68" i="7"/>
  <c r="AS68" i="7"/>
  <c r="AQ68" i="7"/>
  <c r="AO68" i="7"/>
  <c r="AM68" i="7"/>
  <c r="AK68" i="7"/>
  <c r="AI68" i="7"/>
  <c r="AF68" i="7"/>
  <c r="AG68" i="7" s="1"/>
  <c r="AE68" i="7"/>
  <c r="AC68" i="7"/>
  <c r="AA68" i="7"/>
  <c r="Y68" i="7"/>
  <c r="W68" i="7"/>
  <c r="U68" i="7"/>
  <c r="S68" i="7"/>
  <c r="Q68" i="7"/>
  <c r="O68" i="7"/>
  <c r="M68" i="7"/>
  <c r="K68" i="7"/>
  <c r="I68" i="7"/>
  <c r="DG67" i="7"/>
  <c r="DE67" i="7"/>
  <c r="DC67" i="7"/>
  <c r="DA67" i="7"/>
  <c r="CY67" i="7"/>
  <c r="CW67" i="7"/>
  <c r="CU67" i="7"/>
  <c r="CS67" i="7"/>
  <c r="CQ67" i="7"/>
  <c r="CO67" i="7"/>
  <c r="CM67" i="7"/>
  <c r="CK67" i="7"/>
  <c r="CI67" i="7"/>
  <c r="CF67" i="7"/>
  <c r="CG67" i="7" s="1"/>
  <c r="CE67" i="7"/>
  <c r="CC67" i="7"/>
  <c r="CA67" i="7"/>
  <c r="BY67" i="7"/>
  <c r="BW67" i="7"/>
  <c r="BU67" i="7"/>
  <c r="BS67" i="7"/>
  <c r="BQ67" i="7"/>
  <c r="BO67" i="7"/>
  <c r="BM67" i="7"/>
  <c r="BK67" i="7"/>
  <c r="BI67" i="7"/>
  <c r="BF67" i="7"/>
  <c r="BG67" i="7" s="1"/>
  <c r="BE67" i="7"/>
  <c r="BC67" i="7"/>
  <c r="BA67" i="7"/>
  <c r="AY67" i="7"/>
  <c r="AW67" i="7"/>
  <c r="AU67" i="7"/>
  <c r="AS67" i="7"/>
  <c r="AQ67" i="7"/>
  <c r="AO67" i="7"/>
  <c r="AM67" i="7"/>
  <c r="AK67" i="7"/>
  <c r="AI67" i="7"/>
  <c r="AF67" i="7"/>
  <c r="AG67" i="7" s="1"/>
  <c r="AE67" i="7"/>
  <c r="AC67" i="7"/>
  <c r="AA67" i="7"/>
  <c r="Y67" i="7"/>
  <c r="W67" i="7"/>
  <c r="U67" i="7"/>
  <c r="S67" i="7"/>
  <c r="Q67" i="7"/>
  <c r="O67" i="7"/>
  <c r="M67" i="7"/>
  <c r="K67" i="7"/>
  <c r="I67" i="7"/>
  <c r="DE66" i="7"/>
  <c r="DC66" i="7"/>
  <c r="DA66" i="7"/>
  <c r="CY66" i="7"/>
  <c r="CW66" i="7"/>
  <c r="CU66" i="7"/>
  <c r="CS66" i="7"/>
  <c r="CQ66" i="7"/>
  <c r="CO66" i="7"/>
  <c r="CM66" i="7"/>
  <c r="CK66" i="7"/>
  <c r="CI66" i="7"/>
  <c r="CF66" i="7"/>
  <c r="CG66" i="7" s="1"/>
  <c r="CE66" i="7"/>
  <c r="CC66" i="7"/>
  <c r="CA66" i="7"/>
  <c r="BY66" i="7"/>
  <c r="BW66" i="7"/>
  <c r="BU66" i="7"/>
  <c r="BS66" i="7"/>
  <c r="BQ66" i="7"/>
  <c r="BO66" i="7"/>
  <c r="BM66" i="7"/>
  <c r="BK66" i="7"/>
  <c r="BI66" i="7"/>
  <c r="BF66" i="7"/>
  <c r="BG66" i="7" s="1"/>
  <c r="BE66" i="7"/>
  <c r="BC66" i="7"/>
  <c r="BA66" i="7"/>
  <c r="AY66" i="7"/>
  <c r="AW66" i="7"/>
  <c r="AU66" i="7"/>
  <c r="AS66" i="7"/>
  <c r="AQ66" i="7"/>
  <c r="AO66" i="7"/>
  <c r="AM66" i="7"/>
  <c r="AK66" i="7"/>
  <c r="AI66" i="7"/>
  <c r="AF66" i="7"/>
  <c r="AG66" i="7" s="1"/>
  <c r="AE66" i="7"/>
  <c r="AC66" i="7"/>
  <c r="AA66" i="7"/>
  <c r="Y66" i="7"/>
  <c r="W66" i="7"/>
  <c r="U66" i="7"/>
  <c r="S66" i="7"/>
  <c r="Q66" i="7"/>
  <c r="O66" i="7"/>
  <c r="M66" i="7"/>
  <c r="K66" i="7"/>
  <c r="I66" i="7"/>
  <c r="DG65" i="7"/>
  <c r="DE65" i="7"/>
  <c r="DC65" i="7"/>
  <c r="DA65" i="7"/>
  <c r="CY65" i="7"/>
  <c r="CW65" i="7"/>
  <c r="CU65" i="7"/>
  <c r="CS65" i="7"/>
  <c r="CQ65" i="7"/>
  <c r="CO65" i="7"/>
  <c r="CM65" i="7"/>
  <c r="CK65" i="7"/>
  <c r="CI65" i="7"/>
  <c r="CF65" i="7"/>
  <c r="CG65" i="7" s="1"/>
  <c r="BF65" i="7"/>
  <c r="BG65" i="7" s="1"/>
  <c r="AF65" i="7"/>
  <c r="AG65" i="7" s="1"/>
  <c r="S65" i="7"/>
  <c r="DE64" i="7"/>
  <c r="DC64" i="7"/>
  <c r="DA64" i="7"/>
  <c r="CY64" i="7"/>
  <c r="CW64" i="7"/>
  <c r="CU64" i="7"/>
  <c r="CS64" i="7"/>
  <c r="CQ64" i="7"/>
  <c r="CO64" i="7"/>
  <c r="CM64" i="7"/>
  <c r="CK64" i="7"/>
  <c r="CI64" i="7"/>
  <c r="CF64" i="7"/>
  <c r="CG64" i="7" s="1"/>
  <c r="CE64" i="7"/>
  <c r="CC64" i="7"/>
  <c r="CA64" i="7"/>
  <c r="BY64" i="7"/>
  <c r="BW64" i="7"/>
  <c r="BU64" i="7"/>
  <c r="BS64" i="7"/>
  <c r="BQ64" i="7"/>
  <c r="BO64" i="7"/>
  <c r="BM64" i="7"/>
  <c r="BK64" i="7"/>
  <c r="BI64" i="7"/>
  <c r="BF64" i="7"/>
  <c r="BG64" i="7" s="1"/>
  <c r="BE64" i="7"/>
  <c r="BC64" i="7"/>
  <c r="BA64" i="7"/>
  <c r="AY64" i="7"/>
  <c r="AW64" i="7"/>
  <c r="AU64" i="7"/>
  <c r="AS64" i="7"/>
  <c r="AQ64" i="7"/>
  <c r="AO64" i="7"/>
  <c r="AM64" i="7"/>
  <c r="AK64" i="7"/>
  <c r="AI64" i="7"/>
  <c r="AF64" i="7"/>
  <c r="AG64" i="7" s="1"/>
  <c r="AE64" i="7"/>
  <c r="AC64" i="7"/>
  <c r="AA64" i="7"/>
  <c r="Y64" i="7"/>
  <c r="W64" i="7"/>
  <c r="U64" i="7"/>
  <c r="S64" i="7"/>
  <c r="Q64" i="7"/>
  <c r="O64" i="7"/>
  <c r="M64" i="7"/>
  <c r="K64" i="7"/>
  <c r="I64" i="7"/>
  <c r="DG63" i="7"/>
  <c r="DE63" i="7"/>
  <c r="DC63" i="7"/>
  <c r="DA63" i="7"/>
  <c r="CY63" i="7"/>
  <c r="CW63" i="7"/>
  <c r="CU63" i="7"/>
  <c r="CS63" i="7"/>
  <c r="CQ63" i="7"/>
  <c r="CO63" i="7"/>
  <c r="CM63" i="7"/>
  <c r="CK63" i="7"/>
  <c r="CI63" i="7"/>
  <c r="CF63" i="7"/>
  <c r="CG63" i="7" s="1"/>
  <c r="CE63" i="7"/>
  <c r="CC63" i="7"/>
  <c r="CA63" i="7"/>
  <c r="BY63" i="7"/>
  <c r="BW63" i="7"/>
  <c r="BU63" i="7"/>
  <c r="BS63" i="7"/>
  <c r="BQ63" i="7"/>
  <c r="BO63" i="7"/>
  <c r="BM63" i="7"/>
  <c r="BK63" i="7"/>
  <c r="BI63" i="7"/>
  <c r="BF63" i="7"/>
  <c r="BG63" i="7" s="1"/>
  <c r="BE63" i="7"/>
  <c r="BC63" i="7"/>
  <c r="BA63" i="7"/>
  <c r="AY63" i="7"/>
  <c r="AW63" i="7"/>
  <c r="AU63" i="7"/>
  <c r="AS63" i="7"/>
  <c r="AQ63" i="7"/>
  <c r="AO63" i="7"/>
  <c r="AM63" i="7"/>
  <c r="AK63" i="7"/>
  <c r="AI63" i="7"/>
  <c r="AF63" i="7"/>
  <c r="AG63" i="7" s="1"/>
  <c r="AE63" i="7"/>
  <c r="AC63" i="7"/>
  <c r="AA63" i="7"/>
  <c r="Y63" i="7"/>
  <c r="W63" i="7"/>
  <c r="U63" i="7"/>
  <c r="S63" i="7"/>
  <c r="Q63" i="7"/>
  <c r="O63" i="7"/>
  <c r="M63" i="7"/>
  <c r="K63" i="7"/>
  <c r="I63" i="7"/>
  <c r="DE62" i="7"/>
  <c r="DC62" i="7"/>
  <c r="DA62" i="7"/>
  <c r="CY62" i="7"/>
  <c r="CW62" i="7"/>
  <c r="CU62" i="7"/>
  <c r="CS62" i="7"/>
  <c r="CQ62" i="7"/>
  <c r="CO62" i="7"/>
  <c r="CM62" i="7"/>
  <c r="CK62" i="7"/>
  <c r="CI62" i="7"/>
  <c r="CF62" i="7"/>
  <c r="CG62" i="7" s="1"/>
  <c r="CE62" i="7"/>
  <c r="CC62" i="7"/>
  <c r="CA62" i="7"/>
  <c r="BY62" i="7"/>
  <c r="BW62" i="7"/>
  <c r="BU62" i="7"/>
  <c r="BS62" i="7"/>
  <c r="BQ62" i="7"/>
  <c r="BO62" i="7"/>
  <c r="BM62" i="7"/>
  <c r="BK62" i="7"/>
  <c r="BI62" i="7"/>
  <c r="BF62" i="7"/>
  <c r="BG62" i="7" s="1"/>
  <c r="BE62" i="7"/>
  <c r="BC62" i="7"/>
  <c r="BA62" i="7"/>
  <c r="AY62" i="7"/>
  <c r="AW62" i="7"/>
  <c r="AU62" i="7"/>
  <c r="AS62" i="7"/>
  <c r="AQ62" i="7"/>
  <c r="AO62" i="7"/>
  <c r="AM62" i="7"/>
  <c r="AK62" i="7"/>
  <c r="AI62" i="7"/>
  <c r="AF62" i="7"/>
  <c r="AG62" i="7" s="1"/>
  <c r="AE62" i="7"/>
  <c r="AC62" i="7"/>
  <c r="AA62" i="7"/>
  <c r="Y62" i="7"/>
  <c r="W62" i="7"/>
  <c r="U62" i="7"/>
  <c r="S62" i="7"/>
  <c r="Q62" i="7"/>
  <c r="O62" i="7"/>
  <c r="M62" i="7"/>
  <c r="K62" i="7"/>
  <c r="I62" i="7"/>
  <c r="DE61" i="7"/>
  <c r="DC61" i="7"/>
  <c r="DA61" i="7"/>
  <c r="CY61" i="7"/>
  <c r="CW61" i="7"/>
  <c r="CU61" i="7"/>
  <c r="CS61" i="7"/>
  <c r="CQ61" i="7"/>
  <c r="CO61" i="7"/>
  <c r="CM61" i="7"/>
  <c r="CK61" i="7"/>
  <c r="CI61" i="7"/>
  <c r="CF61" i="7"/>
  <c r="CG61" i="7" s="1"/>
  <c r="CE61" i="7"/>
  <c r="CC61" i="7"/>
  <c r="CA61" i="7"/>
  <c r="BY61" i="7"/>
  <c r="BW61" i="7"/>
  <c r="BU61" i="7"/>
  <c r="BS61" i="7"/>
  <c r="BQ61" i="7"/>
  <c r="BO61" i="7"/>
  <c r="BM61" i="7"/>
  <c r="BK61" i="7"/>
  <c r="BI61" i="7"/>
  <c r="BF61" i="7"/>
  <c r="BG61" i="7" s="1"/>
  <c r="BE61" i="7"/>
  <c r="BC61" i="7"/>
  <c r="BA61" i="7"/>
  <c r="AY61" i="7"/>
  <c r="AW61" i="7"/>
  <c r="AU61" i="7"/>
  <c r="AS61" i="7"/>
  <c r="AQ61" i="7"/>
  <c r="AO61" i="7"/>
  <c r="AM61" i="7"/>
  <c r="AK61" i="7"/>
  <c r="AI61" i="7"/>
  <c r="AF61" i="7"/>
  <c r="AG61" i="7" s="1"/>
  <c r="AE61" i="7"/>
  <c r="AC61" i="7"/>
  <c r="AA61" i="7"/>
  <c r="Y61" i="7"/>
  <c r="W61" i="7"/>
  <c r="U61" i="7"/>
  <c r="S61" i="7"/>
  <c r="Q61" i="7"/>
  <c r="O61" i="7"/>
  <c r="M61" i="7"/>
  <c r="K61" i="7"/>
  <c r="I61" i="7"/>
  <c r="DE60" i="7"/>
  <c r="DC60" i="7"/>
  <c r="DA60" i="7"/>
  <c r="CY60" i="7"/>
  <c r="CW60" i="7"/>
  <c r="CU60" i="7"/>
  <c r="CS60" i="7"/>
  <c r="CQ60" i="7"/>
  <c r="CO60" i="7"/>
  <c r="CM60" i="7"/>
  <c r="CK60" i="7"/>
  <c r="CI60" i="7"/>
  <c r="CF60" i="7"/>
  <c r="CG60" i="7" s="1"/>
  <c r="CE60" i="7"/>
  <c r="CC60" i="7"/>
  <c r="CA60" i="7"/>
  <c r="BY60" i="7"/>
  <c r="BW60" i="7"/>
  <c r="BU60" i="7"/>
  <c r="BS60" i="7"/>
  <c r="BQ60" i="7"/>
  <c r="BO60" i="7"/>
  <c r="BM60" i="7"/>
  <c r="BK60" i="7"/>
  <c r="BI60" i="7"/>
  <c r="BF60" i="7"/>
  <c r="BG60" i="7" s="1"/>
  <c r="BE60" i="7"/>
  <c r="BC60" i="7"/>
  <c r="BA60" i="7"/>
  <c r="AY60" i="7"/>
  <c r="AW60" i="7"/>
  <c r="AU60" i="7"/>
  <c r="AS60" i="7"/>
  <c r="AQ60" i="7"/>
  <c r="AO60" i="7"/>
  <c r="AM60" i="7"/>
  <c r="AK60" i="7"/>
  <c r="AI60" i="7"/>
  <c r="AF60" i="7"/>
  <c r="AG60" i="7" s="1"/>
  <c r="AE60" i="7"/>
  <c r="AC60" i="7"/>
  <c r="AA60" i="7"/>
  <c r="Y60" i="7"/>
  <c r="W60" i="7"/>
  <c r="U60" i="7"/>
  <c r="S60" i="7"/>
  <c r="Q60" i="7"/>
  <c r="O60" i="7"/>
  <c r="M60" i="7"/>
  <c r="K60" i="7"/>
  <c r="I60" i="7"/>
  <c r="DG59" i="7"/>
  <c r="DE59" i="7"/>
  <c r="DC59" i="7"/>
  <c r="DA59" i="7"/>
  <c r="CY59" i="7"/>
  <c r="CW59" i="7"/>
  <c r="CU59" i="7"/>
  <c r="CS59" i="7"/>
  <c r="CQ59" i="7"/>
  <c r="CO59" i="7"/>
  <c r="CM59" i="7"/>
  <c r="CK59" i="7"/>
  <c r="CI59" i="7"/>
  <c r="CF59" i="7"/>
  <c r="CG59" i="7" s="1"/>
  <c r="CE59" i="7"/>
  <c r="CC59" i="7"/>
  <c r="CA59" i="7"/>
  <c r="BY59" i="7"/>
  <c r="BW59" i="7"/>
  <c r="BU59" i="7"/>
  <c r="BS59" i="7"/>
  <c r="BQ59" i="7"/>
  <c r="BO59" i="7"/>
  <c r="BM59" i="7"/>
  <c r="BK59" i="7"/>
  <c r="BI59" i="7"/>
  <c r="BF59" i="7"/>
  <c r="BG59" i="7" s="1"/>
  <c r="BE59" i="7"/>
  <c r="BC59" i="7"/>
  <c r="BA59" i="7"/>
  <c r="AY59" i="7"/>
  <c r="AW59" i="7"/>
  <c r="AU59" i="7"/>
  <c r="AS59" i="7"/>
  <c r="AQ59" i="7"/>
  <c r="AO59" i="7"/>
  <c r="AM59" i="7"/>
  <c r="AK59" i="7"/>
  <c r="AI59" i="7"/>
  <c r="AF59" i="7"/>
  <c r="AG59" i="7" s="1"/>
  <c r="AE59" i="7"/>
  <c r="AC59" i="7"/>
  <c r="AA59" i="7"/>
  <c r="Y59" i="7"/>
  <c r="W59" i="7"/>
  <c r="U59" i="7"/>
  <c r="S59" i="7"/>
  <c r="Q59" i="7"/>
  <c r="O59" i="7"/>
  <c r="M59" i="7"/>
  <c r="K59" i="7"/>
  <c r="I59" i="7"/>
  <c r="DG58" i="7"/>
  <c r="DE58" i="7"/>
  <c r="DC58" i="7"/>
  <c r="DA58" i="7"/>
  <c r="CY58" i="7"/>
  <c r="CW58" i="7"/>
  <c r="CU58" i="7"/>
  <c r="CS58" i="7"/>
  <c r="CQ58" i="7"/>
  <c r="CO58" i="7"/>
  <c r="CM58" i="7"/>
  <c r="CK58" i="7"/>
  <c r="CI58" i="7"/>
  <c r="CF58" i="7"/>
  <c r="CG58" i="7" s="1"/>
  <c r="CE58" i="7"/>
  <c r="CC58" i="7"/>
  <c r="CA58" i="7"/>
  <c r="BY58" i="7"/>
  <c r="BW58" i="7"/>
  <c r="BU58" i="7"/>
  <c r="BS58" i="7"/>
  <c r="BQ58" i="7"/>
  <c r="BO58" i="7"/>
  <c r="BM58" i="7"/>
  <c r="BK58" i="7"/>
  <c r="BI58" i="7"/>
  <c r="BF58" i="7"/>
  <c r="BG58" i="7" s="1"/>
  <c r="BE58" i="7"/>
  <c r="BC58" i="7"/>
  <c r="BA58" i="7"/>
  <c r="AY58" i="7"/>
  <c r="AW58" i="7"/>
  <c r="AU58" i="7"/>
  <c r="AS58" i="7"/>
  <c r="AQ58" i="7"/>
  <c r="AO58" i="7"/>
  <c r="AM58" i="7"/>
  <c r="AK58" i="7"/>
  <c r="AI58" i="7"/>
  <c r="AF58" i="7"/>
  <c r="AG58" i="7" s="1"/>
  <c r="AE58" i="7"/>
  <c r="AC58" i="7"/>
  <c r="AA58" i="7"/>
  <c r="Y58" i="7"/>
  <c r="W58" i="7"/>
  <c r="U58" i="7"/>
  <c r="S58" i="7"/>
  <c r="Q58" i="7"/>
  <c r="O58" i="7"/>
  <c r="M58" i="7"/>
  <c r="K58" i="7"/>
  <c r="I58" i="7"/>
  <c r="DG57" i="7"/>
  <c r="DE57" i="7"/>
  <c r="DC57" i="7"/>
  <c r="DA57" i="7"/>
  <c r="CY57" i="7"/>
  <c r="CW57" i="7"/>
  <c r="CU57" i="7"/>
  <c r="CS57" i="7"/>
  <c r="CQ57" i="7"/>
  <c r="CO57" i="7"/>
  <c r="CM57" i="7"/>
  <c r="CK57" i="7"/>
  <c r="CI57" i="7"/>
  <c r="CF57" i="7"/>
  <c r="CG57" i="7" s="1"/>
  <c r="CE57" i="7"/>
  <c r="CC57" i="7"/>
  <c r="CA57" i="7"/>
  <c r="BY57" i="7"/>
  <c r="BW57" i="7"/>
  <c r="BU57" i="7"/>
  <c r="BS57" i="7"/>
  <c r="BQ57" i="7"/>
  <c r="BO57" i="7"/>
  <c r="BM57" i="7"/>
  <c r="BK57" i="7"/>
  <c r="BI57" i="7"/>
  <c r="BF57" i="7"/>
  <c r="BG57" i="7" s="1"/>
  <c r="BE57" i="7"/>
  <c r="BC57" i="7"/>
  <c r="BA57" i="7"/>
  <c r="AY57" i="7"/>
  <c r="AW57" i="7"/>
  <c r="AU57" i="7"/>
  <c r="AS57" i="7"/>
  <c r="AQ57" i="7"/>
  <c r="AO57" i="7"/>
  <c r="AM57" i="7"/>
  <c r="AK57" i="7"/>
  <c r="AI57" i="7"/>
  <c r="AF57" i="7"/>
  <c r="AG57" i="7" s="1"/>
  <c r="AE57" i="7"/>
  <c r="AC57" i="7"/>
  <c r="AA57" i="7"/>
  <c r="Y57" i="7"/>
  <c r="W57" i="7"/>
  <c r="U57" i="7"/>
  <c r="S57" i="7"/>
  <c r="Q57" i="7"/>
  <c r="O57" i="7"/>
  <c r="M57" i="7"/>
  <c r="K57" i="7"/>
  <c r="I57" i="7"/>
  <c r="DG56" i="7"/>
  <c r="DE56" i="7"/>
  <c r="DC56" i="7"/>
  <c r="DA56" i="7"/>
  <c r="CY56" i="7"/>
  <c r="CW56" i="7"/>
  <c r="CU56" i="7"/>
  <c r="CS56" i="7"/>
  <c r="CQ56" i="7"/>
  <c r="CO56" i="7"/>
  <c r="CM56" i="7"/>
  <c r="CK56" i="7"/>
  <c r="CI56" i="7"/>
  <c r="CF56" i="7"/>
  <c r="CG56" i="7" s="1"/>
  <c r="CE56" i="7"/>
  <c r="CC56" i="7"/>
  <c r="CA56" i="7"/>
  <c r="BY56" i="7"/>
  <c r="BW56" i="7"/>
  <c r="BU56" i="7"/>
  <c r="BS56" i="7"/>
  <c r="BQ56" i="7"/>
  <c r="BO56" i="7"/>
  <c r="BM56" i="7"/>
  <c r="BK56" i="7"/>
  <c r="BI56" i="7"/>
  <c r="BF56" i="7"/>
  <c r="BG56" i="7" s="1"/>
  <c r="BE56" i="7"/>
  <c r="BC56" i="7"/>
  <c r="BA56" i="7"/>
  <c r="AY56" i="7"/>
  <c r="AW56" i="7"/>
  <c r="AU56" i="7"/>
  <c r="AS56" i="7"/>
  <c r="AQ56" i="7"/>
  <c r="AO56" i="7"/>
  <c r="AM56" i="7"/>
  <c r="AK56" i="7"/>
  <c r="AI56" i="7"/>
  <c r="AF56" i="7"/>
  <c r="AG56" i="7" s="1"/>
  <c r="AE56" i="7"/>
  <c r="AC56" i="7"/>
  <c r="AA56" i="7"/>
  <c r="Y56" i="7"/>
  <c r="W56" i="7"/>
  <c r="U56" i="7"/>
  <c r="S56" i="7"/>
  <c r="Q56" i="7"/>
  <c r="O56" i="7"/>
  <c r="M56" i="7"/>
  <c r="K56" i="7"/>
  <c r="I56" i="7"/>
  <c r="DE55" i="7"/>
  <c r="DC55" i="7"/>
  <c r="DA55" i="7"/>
  <c r="CY55" i="7"/>
  <c r="CW55" i="7"/>
  <c r="CU55" i="7"/>
  <c r="CS55" i="7"/>
  <c r="CQ55" i="7"/>
  <c r="CO55" i="7"/>
  <c r="CM55" i="7"/>
  <c r="CK55" i="7"/>
  <c r="CI55" i="7"/>
  <c r="CF55" i="7"/>
  <c r="CG55" i="7" s="1"/>
  <c r="CE55" i="7"/>
  <c r="CC55" i="7"/>
  <c r="CA55" i="7"/>
  <c r="BY55" i="7"/>
  <c r="BW55" i="7"/>
  <c r="BU55" i="7"/>
  <c r="BS55" i="7"/>
  <c r="BQ55" i="7"/>
  <c r="BO55" i="7"/>
  <c r="BM55" i="7"/>
  <c r="BK55" i="7"/>
  <c r="BI55" i="7"/>
  <c r="BF55" i="7"/>
  <c r="BG55" i="7" s="1"/>
  <c r="BE55" i="7"/>
  <c r="BC55" i="7"/>
  <c r="BA55" i="7"/>
  <c r="AY55" i="7"/>
  <c r="AW55" i="7"/>
  <c r="AU55" i="7"/>
  <c r="AS55" i="7"/>
  <c r="AQ55" i="7"/>
  <c r="AO55" i="7"/>
  <c r="AM55" i="7"/>
  <c r="AK55" i="7"/>
  <c r="AI55" i="7"/>
  <c r="AF55" i="7"/>
  <c r="AG55" i="7" s="1"/>
  <c r="AE55" i="7"/>
  <c r="AC55" i="7"/>
  <c r="AA55" i="7"/>
  <c r="Y55" i="7"/>
  <c r="W55" i="7"/>
  <c r="U55" i="7"/>
  <c r="S55" i="7"/>
  <c r="Q55" i="7"/>
  <c r="O55" i="7"/>
  <c r="M55" i="7"/>
  <c r="K55" i="7"/>
  <c r="I55" i="7"/>
  <c r="DG54" i="7"/>
  <c r="DE54" i="7"/>
  <c r="DC54" i="7"/>
  <c r="DA54" i="7"/>
  <c r="CY54" i="7"/>
  <c r="CW54" i="7"/>
  <c r="CU54" i="7"/>
  <c r="CS54" i="7"/>
  <c r="CQ54" i="7"/>
  <c r="CO54" i="7"/>
  <c r="CM54" i="7"/>
  <c r="CK54" i="7"/>
  <c r="CI54" i="7"/>
  <c r="CF54" i="7"/>
  <c r="CG54" i="7" s="1"/>
  <c r="CE54" i="7"/>
  <c r="CC54" i="7"/>
  <c r="CA54" i="7"/>
  <c r="BY54" i="7"/>
  <c r="BW54" i="7"/>
  <c r="BU54" i="7"/>
  <c r="BS54" i="7"/>
  <c r="BQ54" i="7"/>
  <c r="BO54" i="7"/>
  <c r="BM54" i="7"/>
  <c r="BK54" i="7"/>
  <c r="BI54" i="7"/>
  <c r="BF54" i="7"/>
  <c r="BG54" i="7" s="1"/>
  <c r="BE54" i="7"/>
  <c r="BC54" i="7"/>
  <c r="BA54" i="7"/>
  <c r="AY54" i="7"/>
  <c r="AW54" i="7"/>
  <c r="AU54" i="7"/>
  <c r="AS54" i="7"/>
  <c r="AQ54" i="7"/>
  <c r="AO54" i="7"/>
  <c r="AM54" i="7"/>
  <c r="AK54" i="7"/>
  <c r="AI54" i="7"/>
  <c r="AF54" i="7"/>
  <c r="AG54" i="7" s="1"/>
  <c r="AE54" i="7"/>
  <c r="AC54" i="7"/>
  <c r="AA54" i="7"/>
  <c r="Y54" i="7"/>
  <c r="W54" i="7"/>
  <c r="U54" i="7"/>
  <c r="S54" i="7"/>
  <c r="Q54" i="7"/>
  <c r="O54" i="7"/>
  <c r="M54" i="7"/>
  <c r="K54" i="7"/>
  <c r="I54" i="7"/>
  <c r="DG53" i="7"/>
  <c r="DE53" i="7"/>
  <c r="DC53" i="7"/>
  <c r="DA53" i="7"/>
  <c r="CY53" i="7"/>
  <c r="CW53" i="7"/>
  <c r="CU53" i="7"/>
  <c r="CS53" i="7"/>
  <c r="CQ53" i="7"/>
  <c r="CO53" i="7"/>
  <c r="CM53" i="7"/>
  <c r="CK53" i="7"/>
  <c r="CI53" i="7"/>
  <c r="CF53" i="7"/>
  <c r="CG53" i="7" s="1"/>
  <c r="CE53" i="7"/>
  <c r="CC53" i="7"/>
  <c r="CA53" i="7"/>
  <c r="BY53" i="7"/>
  <c r="BW53" i="7"/>
  <c r="BU53" i="7"/>
  <c r="BS53" i="7"/>
  <c r="BQ53" i="7"/>
  <c r="BO53" i="7"/>
  <c r="BM53" i="7"/>
  <c r="BK53" i="7"/>
  <c r="BI53" i="7"/>
  <c r="BF53" i="7"/>
  <c r="BG53" i="7" s="1"/>
  <c r="BE53" i="7"/>
  <c r="BC53" i="7"/>
  <c r="BA53" i="7"/>
  <c r="AY53" i="7"/>
  <c r="AW53" i="7"/>
  <c r="AU53" i="7"/>
  <c r="AS53" i="7"/>
  <c r="AQ53" i="7"/>
  <c r="AO53" i="7"/>
  <c r="AM53" i="7"/>
  <c r="AK53" i="7"/>
  <c r="AI53" i="7"/>
  <c r="AF53" i="7"/>
  <c r="AG53" i="7" s="1"/>
  <c r="AE53" i="7"/>
  <c r="AC53" i="7"/>
  <c r="AA53" i="7"/>
  <c r="Y53" i="7"/>
  <c r="W53" i="7"/>
  <c r="U53" i="7"/>
  <c r="S53" i="7"/>
  <c r="Q53" i="7"/>
  <c r="O53" i="7"/>
  <c r="M53" i="7"/>
  <c r="K53" i="7"/>
  <c r="I53" i="7"/>
  <c r="DG52" i="7"/>
  <c r="DE52" i="7"/>
  <c r="DC52" i="7"/>
  <c r="DA52" i="7"/>
  <c r="CY52" i="7"/>
  <c r="CW52" i="7"/>
  <c r="CU52" i="7"/>
  <c r="CS52" i="7"/>
  <c r="CQ52" i="7"/>
  <c r="CO52" i="7"/>
  <c r="CM52" i="7"/>
  <c r="CK52" i="7"/>
  <c r="CI52" i="7"/>
  <c r="CF52" i="7"/>
  <c r="CG52" i="7" s="1"/>
  <c r="CE52" i="7"/>
  <c r="CC52" i="7"/>
  <c r="CA52" i="7"/>
  <c r="BY52" i="7"/>
  <c r="BW52" i="7"/>
  <c r="BU52" i="7"/>
  <c r="BS52" i="7"/>
  <c r="BQ52" i="7"/>
  <c r="BO52" i="7"/>
  <c r="BM52" i="7"/>
  <c r="BK52" i="7"/>
  <c r="BI52" i="7"/>
  <c r="BF52" i="7"/>
  <c r="BG52" i="7" s="1"/>
  <c r="BE52" i="7"/>
  <c r="BC52" i="7"/>
  <c r="BA52" i="7"/>
  <c r="AY52" i="7"/>
  <c r="AW52" i="7"/>
  <c r="AU52" i="7"/>
  <c r="AS52" i="7"/>
  <c r="AQ52" i="7"/>
  <c r="AO52" i="7"/>
  <c r="AM52" i="7"/>
  <c r="AK52" i="7"/>
  <c r="AI52" i="7"/>
  <c r="AF52" i="7"/>
  <c r="AG52" i="7" s="1"/>
  <c r="AE52" i="7"/>
  <c r="AC52" i="7"/>
  <c r="AA52" i="7"/>
  <c r="Y52" i="7"/>
  <c r="W52" i="7"/>
  <c r="U52" i="7"/>
  <c r="S52" i="7"/>
  <c r="Q52" i="7"/>
  <c r="O52" i="7"/>
  <c r="M52" i="7"/>
  <c r="K52" i="7"/>
  <c r="I52" i="7"/>
  <c r="DG51" i="7"/>
  <c r="DE51" i="7"/>
  <c r="DC51" i="7"/>
  <c r="DA51" i="7"/>
  <c r="CY51" i="7"/>
  <c r="CW51" i="7"/>
  <c r="CU51" i="7"/>
  <c r="CS51" i="7"/>
  <c r="CQ51" i="7"/>
  <c r="CO51" i="7"/>
  <c r="CM51" i="7"/>
  <c r="CK51" i="7"/>
  <c r="CI51" i="7"/>
  <c r="CF51" i="7"/>
  <c r="CG51" i="7" s="1"/>
  <c r="CE51" i="7"/>
  <c r="CC51" i="7"/>
  <c r="CA51" i="7"/>
  <c r="BY51" i="7"/>
  <c r="BW51" i="7"/>
  <c r="BU51" i="7"/>
  <c r="BS51" i="7"/>
  <c r="BQ51" i="7"/>
  <c r="BO51" i="7"/>
  <c r="BM51" i="7"/>
  <c r="BK51" i="7"/>
  <c r="BI51" i="7"/>
  <c r="BF51" i="7"/>
  <c r="BG51" i="7" s="1"/>
  <c r="BE51" i="7"/>
  <c r="BC51" i="7"/>
  <c r="BA51" i="7"/>
  <c r="AY51" i="7"/>
  <c r="AW51" i="7"/>
  <c r="AU51" i="7"/>
  <c r="AS51" i="7"/>
  <c r="AQ51" i="7"/>
  <c r="AO51" i="7"/>
  <c r="AM51" i="7"/>
  <c r="AK51" i="7"/>
  <c r="AI51" i="7"/>
  <c r="AF51" i="7"/>
  <c r="AG51" i="7" s="1"/>
  <c r="AE51" i="7"/>
  <c r="AC51" i="7"/>
  <c r="AA51" i="7"/>
  <c r="Y51" i="7"/>
  <c r="W51" i="7"/>
  <c r="U51" i="7"/>
  <c r="S51" i="7"/>
  <c r="Q51" i="7"/>
  <c r="O51" i="7"/>
  <c r="M51" i="7"/>
  <c r="K51" i="7"/>
  <c r="I51" i="7"/>
  <c r="DG50" i="7"/>
  <c r="DE50" i="7"/>
  <c r="DC50" i="7"/>
  <c r="DA50" i="7"/>
  <c r="CY50" i="7"/>
  <c r="CW50" i="7"/>
  <c r="CU50" i="7"/>
  <c r="CS50" i="7"/>
  <c r="CQ50" i="7"/>
  <c r="CO50" i="7"/>
  <c r="CM50" i="7"/>
  <c r="CK50" i="7"/>
  <c r="CI50" i="7"/>
  <c r="CF50" i="7"/>
  <c r="CG50" i="7" s="1"/>
  <c r="CE50" i="7"/>
  <c r="CC50" i="7"/>
  <c r="CA50" i="7"/>
  <c r="BY50" i="7"/>
  <c r="BW50" i="7"/>
  <c r="BU50" i="7"/>
  <c r="BS50" i="7"/>
  <c r="BQ50" i="7"/>
  <c r="BO50" i="7"/>
  <c r="BM50" i="7"/>
  <c r="BK50" i="7"/>
  <c r="BI50" i="7"/>
  <c r="BF50" i="7"/>
  <c r="BG50" i="7" s="1"/>
  <c r="BE50" i="7"/>
  <c r="BC50" i="7"/>
  <c r="BA50" i="7"/>
  <c r="AY50" i="7"/>
  <c r="AW50" i="7"/>
  <c r="AU50" i="7"/>
  <c r="AS50" i="7"/>
  <c r="AQ50" i="7"/>
  <c r="AO50" i="7"/>
  <c r="AM50" i="7"/>
  <c r="AK50" i="7"/>
  <c r="AI50" i="7"/>
  <c r="AF50" i="7"/>
  <c r="AG50" i="7" s="1"/>
  <c r="AE50" i="7"/>
  <c r="AC50" i="7"/>
  <c r="AA50" i="7"/>
  <c r="Y50" i="7"/>
  <c r="W50" i="7"/>
  <c r="U50" i="7"/>
  <c r="S50" i="7"/>
  <c r="Q50" i="7"/>
  <c r="O50" i="7"/>
  <c r="M50" i="7"/>
  <c r="K50" i="7"/>
  <c r="I50" i="7"/>
  <c r="DG49" i="7"/>
  <c r="DE49" i="7"/>
  <c r="DC49" i="7"/>
  <c r="DA49" i="7"/>
  <c r="CY49" i="7"/>
  <c r="CW49" i="7"/>
  <c r="CU49" i="7"/>
  <c r="CS49" i="7"/>
  <c r="CQ49" i="7"/>
  <c r="CO49" i="7"/>
  <c r="CM49" i="7"/>
  <c r="CK49" i="7"/>
  <c r="CI49" i="7"/>
  <c r="CF49" i="7"/>
  <c r="CG49" i="7" s="1"/>
  <c r="CE49" i="7"/>
  <c r="CC49" i="7"/>
  <c r="CA49" i="7"/>
  <c r="BY49" i="7"/>
  <c r="BW49" i="7"/>
  <c r="BU49" i="7"/>
  <c r="BS49" i="7"/>
  <c r="BQ49" i="7"/>
  <c r="BO49" i="7"/>
  <c r="BM49" i="7"/>
  <c r="BK49" i="7"/>
  <c r="BI49" i="7"/>
  <c r="BF49" i="7"/>
  <c r="BG49" i="7" s="1"/>
  <c r="BE49" i="7"/>
  <c r="BC49" i="7"/>
  <c r="BA49" i="7"/>
  <c r="AY49" i="7"/>
  <c r="AW49" i="7"/>
  <c r="AU49" i="7"/>
  <c r="AS49" i="7"/>
  <c r="AQ49" i="7"/>
  <c r="AO49" i="7"/>
  <c r="AM49" i="7"/>
  <c r="AK49" i="7"/>
  <c r="AI49" i="7"/>
  <c r="AF49" i="7"/>
  <c r="AG49" i="7" s="1"/>
  <c r="AE49" i="7"/>
  <c r="AC49" i="7"/>
  <c r="AA49" i="7"/>
  <c r="Y49" i="7"/>
  <c r="W49" i="7"/>
  <c r="U49" i="7"/>
  <c r="S49" i="7"/>
  <c r="Q49" i="7"/>
  <c r="O49" i="7"/>
  <c r="M49" i="7"/>
  <c r="K49" i="7"/>
  <c r="I49" i="7"/>
  <c r="DG48" i="7"/>
  <c r="DE48" i="7"/>
  <c r="DC48" i="7"/>
  <c r="DA48" i="7"/>
  <c r="CY48" i="7"/>
  <c r="CW48" i="7"/>
  <c r="CU48" i="7"/>
  <c r="CS48" i="7"/>
  <c r="CQ48" i="7"/>
  <c r="CO48" i="7"/>
  <c r="CM48" i="7"/>
  <c r="CK48" i="7"/>
  <c r="CI48" i="7"/>
  <c r="CF48" i="7"/>
  <c r="CG48" i="7" s="1"/>
  <c r="CE48" i="7"/>
  <c r="CC48" i="7"/>
  <c r="CA48" i="7"/>
  <c r="BY48" i="7"/>
  <c r="BW48" i="7"/>
  <c r="BU48" i="7"/>
  <c r="BS48" i="7"/>
  <c r="BQ48" i="7"/>
  <c r="BO48" i="7"/>
  <c r="BM48" i="7"/>
  <c r="BK48" i="7"/>
  <c r="BI48" i="7"/>
  <c r="BF48" i="7"/>
  <c r="BG48" i="7" s="1"/>
  <c r="BE48" i="7"/>
  <c r="BC48" i="7"/>
  <c r="BA48" i="7"/>
  <c r="AY48" i="7"/>
  <c r="AW48" i="7"/>
  <c r="AU48" i="7"/>
  <c r="AS48" i="7"/>
  <c r="AQ48" i="7"/>
  <c r="AO48" i="7"/>
  <c r="AM48" i="7"/>
  <c r="AK48" i="7"/>
  <c r="AI48" i="7"/>
  <c r="AF48" i="7"/>
  <c r="AG48" i="7" s="1"/>
  <c r="AE48" i="7"/>
  <c r="AC48" i="7"/>
  <c r="AA48" i="7"/>
  <c r="Y48" i="7"/>
  <c r="W48" i="7"/>
  <c r="U48" i="7"/>
  <c r="S48" i="7"/>
  <c r="Q48" i="7"/>
  <c r="O48" i="7"/>
  <c r="M48" i="7"/>
  <c r="K48" i="7"/>
  <c r="I48" i="7"/>
  <c r="DG47" i="7"/>
  <c r="DE47" i="7"/>
  <c r="DC47" i="7"/>
  <c r="DA47" i="7"/>
  <c r="CY47" i="7"/>
  <c r="CW47" i="7"/>
  <c r="CU47" i="7"/>
  <c r="CS47" i="7"/>
  <c r="CQ47" i="7"/>
  <c r="CO47" i="7"/>
  <c r="CM47" i="7"/>
  <c r="CK47" i="7"/>
  <c r="CI47" i="7"/>
  <c r="CF47" i="7"/>
  <c r="CG47" i="7" s="1"/>
  <c r="CE47" i="7"/>
  <c r="CC47" i="7"/>
  <c r="CA47" i="7"/>
  <c r="BY47" i="7"/>
  <c r="BW47" i="7"/>
  <c r="BU47" i="7"/>
  <c r="BS47" i="7"/>
  <c r="BQ47" i="7"/>
  <c r="BO47" i="7"/>
  <c r="BM47" i="7"/>
  <c r="BK47" i="7"/>
  <c r="BI47" i="7"/>
  <c r="BF47" i="7"/>
  <c r="BG47" i="7" s="1"/>
  <c r="BE47" i="7"/>
  <c r="BC47" i="7"/>
  <c r="BA47" i="7"/>
  <c r="AY47" i="7"/>
  <c r="AW47" i="7"/>
  <c r="AU47" i="7"/>
  <c r="AS47" i="7"/>
  <c r="AQ47" i="7"/>
  <c r="AO47" i="7"/>
  <c r="AM47" i="7"/>
  <c r="AK47" i="7"/>
  <c r="AI47" i="7"/>
  <c r="AF47" i="7"/>
  <c r="AG47" i="7" s="1"/>
  <c r="AE47" i="7"/>
  <c r="AC47" i="7"/>
  <c r="AA47" i="7"/>
  <c r="Y47" i="7"/>
  <c r="W47" i="7"/>
  <c r="U47" i="7"/>
  <c r="S47" i="7"/>
  <c r="Q47" i="7"/>
  <c r="O47" i="7"/>
  <c r="M47" i="7"/>
  <c r="K47" i="7"/>
  <c r="I47" i="7"/>
  <c r="DG46" i="7"/>
  <c r="DE46" i="7"/>
  <c r="DC46" i="7"/>
  <c r="DA46" i="7"/>
  <c r="CY46" i="7"/>
  <c r="CW46" i="7"/>
  <c r="CU46" i="7"/>
  <c r="CS46" i="7"/>
  <c r="CQ46" i="7"/>
  <c r="CO46" i="7"/>
  <c r="CM46" i="7"/>
  <c r="CK46" i="7"/>
  <c r="CI46" i="7"/>
  <c r="CF46" i="7"/>
  <c r="CG46" i="7" s="1"/>
  <c r="CE46" i="7"/>
  <c r="CC46" i="7"/>
  <c r="CA46" i="7"/>
  <c r="BY46" i="7"/>
  <c r="BW46" i="7"/>
  <c r="BU46" i="7"/>
  <c r="BS46" i="7"/>
  <c r="BQ46" i="7"/>
  <c r="BO46" i="7"/>
  <c r="BM46" i="7"/>
  <c r="BK46" i="7"/>
  <c r="BI46" i="7"/>
  <c r="BF46" i="7"/>
  <c r="BG46" i="7" s="1"/>
  <c r="BE46" i="7"/>
  <c r="BC46" i="7"/>
  <c r="BA46" i="7"/>
  <c r="AY46" i="7"/>
  <c r="AW46" i="7"/>
  <c r="AU46" i="7"/>
  <c r="AS46" i="7"/>
  <c r="AQ46" i="7"/>
  <c r="AO46" i="7"/>
  <c r="AM46" i="7"/>
  <c r="AK46" i="7"/>
  <c r="AI46" i="7"/>
  <c r="AF46" i="7"/>
  <c r="AG46" i="7" s="1"/>
  <c r="AE46" i="7"/>
  <c r="AC46" i="7"/>
  <c r="AA46" i="7"/>
  <c r="Y46" i="7"/>
  <c r="W46" i="7"/>
  <c r="U46" i="7"/>
  <c r="S46" i="7"/>
  <c r="Q46" i="7"/>
  <c r="O46" i="7"/>
  <c r="M46" i="7"/>
  <c r="K46" i="7"/>
  <c r="I46" i="7"/>
  <c r="DG45" i="7"/>
  <c r="DE45" i="7"/>
  <c r="DC45" i="7"/>
  <c r="DA45" i="7"/>
  <c r="CY45" i="7"/>
  <c r="CW45" i="7"/>
  <c r="CU45" i="7"/>
  <c r="CS45" i="7"/>
  <c r="CQ45" i="7"/>
  <c r="CO45" i="7"/>
  <c r="CM45" i="7"/>
  <c r="CK45" i="7"/>
  <c r="CI45" i="7"/>
  <c r="CF45" i="7"/>
  <c r="CG45" i="7" s="1"/>
  <c r="CE45" i="7"/>
  <c r="CC45" i="7"/>
  <c r="CA45" i="7"/>
  <c r="BY45" i="7"/>
  <c r="BW45" i="7"/>
  <c r="BU45" i="7"/>
  <c r="BS45" i="7"/>
  <c r="BQ45" i="7"/>
  <c r="BO45" i="7"/>
  <c r="BM45" i="7"/>
  <c r="BK45" i="7"/>
  <c r="BI45" i="7"/>
  <c r="BF45" i="7"/>
  <c r="BG45" i="7" s="1"/>
  <c r="BE45" i="7"/>
  <c r="BC45" i="7"/>
  <c r="BA45" i="7"/>
  <c r="AY45" i="7"/>
  <c r="AW45" i="7"/>
  <c r="AU45" i="7"/>
  <c r="AS45" i="7"/>
  <c r="AQ45" i="7"/>
  <c r="AO45" i="7"/>
  <c r="AM45" i="7"/>
  <c r="AK45" i="7"/>
  <c r="AI45" i="7"/>
  <c r="AF45" i="7"/>
  <c r="AG45" i="7" s="1"/>
  <c r="AE45" i="7"/>
  <c r="AC45" i="7"/>
  <c r="AA45" i="7"/>
  <c r="Y45" i="7"/>
  <c r="W45" i="7"/>
  <c r="U45" i="7"/>
  <c r="S45" i="7"/>
  <c r="Q45" i="7"/>
  <c r="O45" i="7"/>
  <c r="M45" i="7"/>
  <c r="K45" i="7"/>
  <c r="I45" i="7"/>
  <c r="DG44" i="7"/>
  <c r="DE44" i="7"/>
  <c r="DC44" i="7"/>
  <c r="DA44" i="7"/>
  <c r="CY44" i="7"/>
  <c r="CW44" i="7"/>
  <c r="CU44" i="7"/>
  <c r="CS44" i="7"/>
  <c r="CQ44" i="7"/>
  <c r="CO44" i="7"/>
  <c r="CM44" i="7"/>
  <c r="CK44" i="7"/>
  <c r="CI44" i="7"/>
  <c r="CF44" i="7"/>
  <c r="CG44" i="7" s="1"/>
  <c r="CE44" i="7"/>
  <c r="CC44" i="7"/>
  <c r="CA44" i="7"/>
  <c r="BY44" i="7"/>
  <c r="BW44" i="7"/>
  <c r="BU44" i="7"/>
  <c r="BS44" i="7"/>
  <c r="BQ44" i="7"/>
  <c r="BO44" i="7"/>
  <c r="BM44" i="7"/>
  <c r="BK44" i="7"/>
  <c r="BI44" i="7"/>
  <c r="BF44" i="7"/>
  <c r="BG44" i="7" s="1"/>
  <c r="BE44" i="7"/>
  <c r="BC44" i="7"/>
  <c r="BA44" i="7"/>
  <c r="AY44" i="7"/>
  <c r="AW44" i="7"/>
  <c r="AU44" i="7"/>
  <c r="AS44" i="7"/>
  <c r="AQ44" i="7"/>
  <c r="AO44" i="7"/>
  <c r="AM44" i="7"/>
  <c r="AK44" i="7"/>
  <c r="AI44" i="7"/>
  <c r="AF44" i="7"/>
  <c r="AG44" i="7" s="1"/>
  <c r="AE44" i="7"/>
  <c r="AC44" i="7"/>
  <c r="AA44" i="7"/>
  <c r="Y44" i="7"/>
  <c r="W44" i="7"/>
  <c r="U44" i="7"/>
  <c r="S44" i="7"/>
  <c r="Q44" i="7"/>
  <c r="O44" i="7"/>
  <c r="M44" i="7"/>
  <c r="K44" i="7"/>
  <c r="I44" i="7"/>
  <c r="DE43" i="7"/>
  <c r="DC43" i="7"/>
  <c r="DA43" i="7"/>
  <c r="CY43" i="7"/>
  <c r="CW43" i="7"/>
  <c r="CU43" i="7"/>
  <c r="CS43" i="7"/>
  <c r="CQ43" i="7"/>
  <c r="CO43" i="7"/>
  <c r="CM43" i="7"/>
  <c r="CK43" i="7"/>
  <c r="CI43" i="7"/>
  <c r="CF43" i="7"/>
  <c r="CG43" i="7" s="1"/>
  <c r="CE43" i="7"/>
  <c r="CC43" i="7"/>
  <c r="CA43" i="7"/>
  <c r="BY43" i="7"/>
  <c r="BW43" i="7"/>
  <c r="BU43" i="7"/>
  <c r="BS43" i="7"/>
  <c r="BQ43" i="7"/>
  <c r="BO43" i="7"/>
  <c r="BM43" i="7"/>
  <c r="BK43" i="7"/>
  <c r="BI43" i="7"/>
  <c r="BF43" i="7"/>
  <c r="BG43" i="7" s="1"/>
  <c r="BE43" i="7"/>
  <c r="BC43" i="7"/>
  <c r="BA43" i="7"/>
  <c r="AY43" i="7"/>
  <c r="AW43" i="7"/>
  <c r="AU43" i="7"/>
  <c r="AS43" i="7"/>
  <c r="AQ43" i="7"/>
  <c r="AO43" i="7"/>
  <c r="AM43" i="7"/>
  <c r="AK43" i="7"/>
  <c r="AI43" i="7"/>
  <c r="AF43" i="7"/>
  <c r="AG43" i="7" s="1"/>
  <c r="AE43" i="7"/>
  <c r="AC43" i="7"/>
  <c r="AA43" i="7"/>
  <c r="Y43" i="7"/>
  <c r="W43" i="7"/>
  <c r="U43" i="7"/>
  <c r="S43" i="7"/>
  <c r="Q43" i="7"/>
  <c r="O43" i="7"/>
  <c r="M43" i="7"/>
  <c r="K43" i="7"/>
  <c r="I43" i="7"/>
  <c r="DG42" i="7"/>
  <c r="DE42" i="7"/>
  <c r="DC42" i="7"/>
  <c r="DA42" i="7"/>
  <c r="CY42" i="7"/>
  <c r="CW42" i="7"/>
  <c r="CU42" i="7"/>
  <c r="CS42" i="7"/>
  <c r="CQ42" i="7"/>
  <c r="CO42" i="7"/>
  <c r="CM42" i="7"/>
  <c r="CK42" i="7"/>
  <c r="CI42" i="7"/>
  <c r="CF42" i="7"/>
  <c r="CG42" i="7" s="1"/>
  <c r="CE42" i="7"/>
  <c r="CC42" i="7"/>
  <c r="CA42" i="7"/>
  <c r="BY42" i="7"/>
  <c r="BW42" i="7"/>
  <c r="BU42" i="7"/>
  <c r="BS42" i="7"/>
  <c r="BQ42" i="7"/>
  <c r="BO42" i="7"/>
  <c r="BM42" i="7"/>
  <c r="BK42" i="7"/>
  <c r="BI42" i="7"/>
  <c r="BF42" i="7"/>
  <c r="BG42" i="7" s="1"/>
  <c r="BE42" i="7"/>
  <c r="BC42" i="7"/>
  <c r="BA42" i="7"/>
  <c r="AY42" i="7"/>
  <c r="AW42" i="7"/>
  <c r="AU42" i="7"/>
  <c r="AS42" i="7"/>
  <c r="AQ42" i="7"/>
  <c r="AO42" i="7"/>
  <c r="AM42" i="7"/>
  <c r="AK42" i="7"/>
  <c r="AI42" i="7"/>
  <c r="AF42" i="7"/>
  <c r="AG42" i="7" s="1"/>
  <c r="AE42" i="7"/>
  <c r="AC42" i="7"/>
  <c r="AA42" i="7"/>
  <c r="Y42" i="7"/>
  <c r="W42" i="7"/>
  <c r="U42" i="7"/>
  <c r="S42" i="7"/>
  <c r="Q42" i="7"/>
  <c r="O42" i="7"/>
  <c r="M42" i="7"/>
  <c r="K42" i="7"/>
  <c r="I42" i="7"/>
  <c r="DG41" i="7"/>
  <c r="DE41" i="7"/>
  <c r="DC41" i="7"/>
  <c r="DA41" i="7"/>
  <c r="CY41" i="7"/>
  <c r="CW41" i="7"/>
  <c r="CU41" i="7"/>
  <c r="CS41" i="7"/>
  <c r="CQ41" i="7"/>
  <c r="CO41" i="7"/>
  <c r="CM41" i="7"/>
  <c r="CK41" i="7"/>
  <c r="CI41" i="7"/>
  <c r="CF41" i="7"/>
  <c r="CG41" i="7" s="1"/>
  <c r="CE41" i="7"/>
  <c r="CC41" i="7"/>
  <c r="CA41" i="7"/>
  <c r="BY41" i="7"/>
  <c r="BW41" i="7"/>
  <c r="BU41" i="7"/>
  <c r="BS41" i="7"/>
  <c r="BQ41" i="7"/>
  <c r="BO41" i="7"/>
  <c r="BM41" i="7"/>
  <c r="BK41" i="7"/>
  <c r="BI41" i="7"/>
  <c r="BF41" i="7"/>
  <c r="BG41" i="7" s="1"/>
  <c r="BE41" i="7"/>
  <c r="BC41" i="7"/>
  <c r="BA41" i="7"/>
  <c r="AY41" i="7"/>
  <c r="AW41" i="7"/>
  <c r="AU41" i="7"/>
  <c r="AS41" i="7"/>
  <c r="AQ41" i="7"/>
  <c r="AO41" i="7"/>
  <c r="AM41" i="7"/>
  <c r="AK41" i="7"/>
  <c r="AI41" i="7"/>
  <c r="AF41" i="7"/>
  <c r="AG41" i="7" s="1"/>
  <c r="AE41" i="7"/>
  <c r="AC41" i="7"/>
  <c r="AA41" i="7"/>
  <c r="Y41" i="7"/>
  <c r="W41" i="7"/>
  <c r="U41" i="7"/>
  <c r="S41" i="7"/>
  <c r="Q41" i="7"/>
  <c r="O41" i="7"/>
  <c r="M41" i="7"/>
  <c r="K41" i="7"/>
  <c r="I41" i="7"/>
  <c r="DG40" i="7"/>
  <c r="DE40" i="7"/>
  <c r="DC40" i="7"/>
  <c r="DA40" i="7"/>
  <c r="CY40" i="7"/>
  <c r="CW40" i="7"/>
  <c r="CU40" i="7"/>
  <c r="CS40" i="7"/>
  <c r="CQ40" i="7"/>
  <c r="CO40" i="7"/>
  <c r="CM40" i="7"/>
  <c r="CK40" i="7"/>
  <c r="CI40" i="7"/>
  <c r="CF40" i="7"/>
  <c r="CG40" i="7" s="1"/>
  <c r="CE40" i="7"/>
  <c r="CC40" i="7"/>
  <c r="CA40" i="7"/>
  <c r="BY40" i="7"/>
  <c r="BW40" i="7"/>
  <c r="BU40" i="7"/>
  <c r="BS40" i="7"/>
  <c r="BQ40" i="7"/>
  <c r="BO40" i="7"/>
  <c r="BM40" i="7"/>
  <c r="BK40" i="7"/>
  <c r="BI40" i="7"/>
  <c r="BF40" i="7"/>
  <c r="BG40" i="7" s="1"/>
  <c r="BE40" i="7"/>
  <c r="BC40" i="7"/>
  <c r="BA40" i="7"/>
  <c r="AY40" i="7"/>
  <c r="AW40" i="7"/>
  <c r="AU40" i="7"/>
  <c r="AS40" i="7"/>
  <c r="AQ40" i="7"/>
  <c r="AO40" i="7"/>
  <c r="AM40" i="7"/>
  <c r="AK40" i="7"/>
  <c r="AI40" i="7"/>
  <c r="AF40" i="7"/>
  <c r="AG40" i="7" s="1"/>
  <c r="AE40" i="7"/>
  <c r="AC40" i="7"/>
  <c r="AA40" i="7"/>
  <c r="Y40" i="7"/>
  <c r="W40" i="7"/>
  <c r="U40" i="7"/>
  <c r="S40" i="7"/>
  <c r="Q40" i="7"/>
  <c r="O40" i="7"/>
  <c r="M40" i="7"/>
  <c r="K40" i="7"/>
  <c r="I40" i="7"/>
  <c r="DG39" i="7"/>
  <c r="DE39" i="7"/>
  <c r="DC39" i="7"/>
  <c r="DA39" i="7"/>
  <c r="CY39" i="7"/>
  <c r="CW39" i="7"/>
  <c r="CU39" i="7"/>
  <c r="CS39" i="7"/>
  <c r="CQ39" i="7"/>
  <c r="CO39" i="7"/>
  <c r="CM39" i="7"/>
  <c r="CK39" i="7"/>
  <c r="CI39" i="7"/>
  <c r="CF39" i="7"/>
  <c r="CG39" i="7" s="1"/>
  <c r="CE39" i="7"/>
  <c r="CC39" i="7"/>
  <c r="CA39" i="7"/>
  <c r="BY39" i="7"/>
  <c r="BW39" i="7"/>
  <c r="BU39" i="7"/>
  <c r="BS39" i="7"/>
  <c r="BQ39" i="7"/>
  <c r="BO39" i="7"/>
  <c r="BM39" i="7"/>
  <c r="BK39" i="7"/>
  <c r="BI39" i="7"/>
  <c r="BF39" i="7"/>
  <c r="BG39" i="7" s="1"/>
  <c r="BE39" i="7"/>
  <c r="BC39" i="7"/>
  <c r="BA39" i="7"/>
  <c r="AY39" i="7"/>
  <c r="AW39" i="7"/>
  <c r="AU39" i="7"/>
  <c r="AS39" i="7"/>
  <c r="AQ39" i="7"/>
  <c r="AO39" i="7"/>
  <c r="AM39" i="7"/>
  <c r="AK39" i="7"/>
  <c r="AI39" i="7"/>
  <c r="AF39" i="7"/>
  <c r="AG39" i="7" s="1"/>
  <c r="AE39" i="7"/>
  <c r="AC39" i="7"/>
  <c r="AA39" i="7"/>
  <c r="Y39" i="7"/>
  <c r="W39" i="7"/>
  <c r="U39" i="7"/>
  <c r="S39" i="7"/>
  <c r="Q39" i="7"/>
  <c r="O39" i="7"/>
  <c r="M39" i="7"/>
  <c r="K39" i="7"/>
  <c r="I39" i="7"/>
  <c r="DG38" i="7"/>
  <c r="DE38" i="7"/>
  <c r="DC38" i="7"/>
  <c r="DA38" i="7"/>
  <c r="CY38" i="7"/>
  <c r="CW38" i="7"/>
  <c r="CU38" i="7"/>
  <c r="CS38" i="7"/>
  <c r="CQ38" i="7"/>
  <c r="CO38" i="7"/>
  <c r="CM38" i="7"/>
  <c r="CK38" i="7"/>
  <c r="CI38" i="7"/>
  <c r="CF38" i="7"/>
  <c r="CG38" i="7" s="1"/>
  <c r="CE38" i="7"/>
  <c r="CC38" i="7"/>
  <c r="CA38" i="7"/>
  <c r="BY38" i="7"/>
  <c r="BW38" i="7"/>
  <c r="BU38" i="7"/>
  <c r="BS38" i="7"/>
  <c r="BQ38" i="7"/>
  <c r="BO38" i="7"/>
  <c r="BM38" i="7"/>
  <c r="BK38" i="7"/>
  <c r="BI38" i="7"/>
  <c r="BF38" i="7"/>
  <c r="BG38" i="7" s="1"/>
  <c r="BE38" i="7"/>
  <c r="BC38" i="7"/>
  <c r="BA38" i="7"/>
  <c r="AY38" i="7"/>
  <c r="AW38" i="7"/>
  <c r="AU38" i="7"/>
  <c r="AS38" i="7"/>
  <c r="AQ38" i="7"/>
  <c r="AO38" i="7"/>
  <c r="AM38" i="7"/>
  <c r="AK38" i="7"/>
  <c r="AI38" i="7"/>
  <c r="AF38" i="7"/>
  <c r="AG38" i="7" s="1"/>
  <c r="AE38" i="7"/>
  <c r="AC38" i="7"/>
  <c r="AA38" i="7"/>
  <c r="Y38" i="7"/>
  <c r="W38" i="7"/>
  <c r="U38" i="7"/>
  <c r="S38" i="7"/>
  <c r="Q38" i="7"/>
  <c r="O38" i="7"/>
  <c r="M38" i="7"/>
  <c r="K38" i="7"/>
  <c r="I38" i="7"/>
  <c r="DG37" i="7"/>
  <c r="DE37" i="7"/>
  <c r="DC37" i="7"/>
  <c r="DA37" i="7"/>
  <c r="CY37" i="7"/>
  <c r="CW37" i="7"/>
  <c r="CU37" i="7"/>
  <c r="CS37" i="7"/>
  <c r="CQ37" i="7"/>
  <c r="CO37" i="7"/>
  <c r="CM37" i="7"/>
  <c r="CK37" i="7"/>
  <c r="CI37" i="7"/>
  <c r="CF37" i="7"/>
  <c r="CG37" i="7" s="1"/>
  <c r="CE37" i="7"/>
  <c r="CC37" i="7"/>
  <c r="CA37" i="7"/>
  <c r="BY37" i="7"/>
  <c r="BW37" i="7"/>
  <c r="BU37" i="7"/>
  <c r="BS37" i="7"/>
  <c r="BQ37" i="7"/>
  <c r="BO37" i="7"/>
  <c r="BM37" i="7"/>
  <c r="BK37" i="7"/>
  <c r="BI37" i="7"/>
  <c r="BF37" i="7"/>
  <c r="BG37" i="7" s="1"/>
  <c r="BE37" i="7"/>
  <c r="BC37" i="7"/>
  <c r="BA37" i="7"/>
  <c r="AY37" i="7"/>
  <c r="AW37" i="7"/>
  <c r="AU37" i="7"/>
  <c r="AS37" i="7"/>
  <c r="AQ37" i="7"/>
  <c r="AO37" i="7"/>
  <c r="AM37" i="7"/>
  <c r="AK37" i="7"/>
  <c r="AI37" i="7"/>
  <c r="AF37" i="7"/>
  <c r="AG37" i="7" s="1"/>
  <c r="AE37" i="7"/>
  <c r="AC37" i="7"/>
  <c r="AA37" i="7"/>
  <c r="Y37" i="7"/>
  <c r="W37" i="7"/>
  <c r="U37" i="7"/>
  <c r="S37" i="7"/>
  <c r="Q37" i="7"/>
  <c r="O37" i="7"/>
  <c r="M37" i="7"/>
  <c r="K37" i="7"/>
  <c r="I37" i="7"/>
  <c r="DG36" i="7"/>
  <c r="DE36" i="7"/>
  <c r="DC36" i="7"/>
  <c r="DA36" i="7"/>
  <c r="CY36" i="7"/>
  <c r="CW36" i="7"/>
  <c r="CU36" i="7"/>
  <c r="CS36" i="7"/>
  <c r="CQ36" i="7"/>
  <c r="CO36" i="7"/>
  <c r="CM36" i="7"/>
  <c r="CK36" i="7"/>
  <c r="CI36" i="7"/>
  <c r="CF36" i="7"/>
  <c r="CG36" i="7" s="1"/>
  <c r="CE36" i="7"/>
  <c r="CC36" i="7"/>
  <c r="CA36" i="7"/>
  <c r="BY36" i="7"/>
  <c r="BW36" i="7"/>
  <c r="BU36" i="7"/>
  <c r="BS36" i="7"/>
  <c r="BQ36" i="7"/>
  <c r="BO36" i="7"/>
  <c r="BM36" i="7"/>
  <c r="BK36" i="7"/>
  <c r="BI36" i="7"/>
  <c r="BF36" i="7"/>
  <c r="BG36" i="7" s="1"/>
  <c r="BE36" i="7"/>
  <c r="BC36" i="7"/>
  <c r="BA36" i="7"/>
  <c r="AY36" i="7"/>
  <c r="AW36" i="7"/>
  <c r="AU36" i="7"/>
  <c r="AS36" i="7"/>
  <c r="AQ36" i="7"/>
  <c r="AO36" i="7"/>
  <c r="AM36" i="7"/>
  <c r="AK36" i="7"/>
  <c r="AI36" i="7"/>
  <c r="AF36" i="7"/>
  <c r="AG36" i="7" s="1"/>
  <c r="AE36" i="7"/>
  <c r="AC36" i="7"/>
  <c r="AA36" i="7"/>
  <c r="Y36" i="7"/>
  <c r="W36" i="7"/>
  <c r="U36" i="7"/>
  <c r="S36" i="7"/>
  <c r="Q36" i="7"/>
  <c r="O36" i="7"/>
  <c r="M36" i="7"/>
  <c r="K36" i="7"/>
  <c r="I36" i="7"/>
  <c r="DE35" i="7"/>
  <c r="DC35" i="7"/>
  <c r="DA35" i="7"/>
  <c r="CY35" i="7"/>
  <c r="CW35" i="7"/>
  <c r="CU35" i="7"/>
  <c r="CS35" i="7"/>
  <c r="CQ35" i="7"/>
  <c r="CO35" i="7"/>
  <c r="CM35" i="7"/>
  <c r="CK35" i="7"/>
  <c r="CI35" i="7"/>
  <c r="CF35" i="7"/>
  <c r="CG35" i="7" s="1"/>
  <c r="CE35" i="7"/>
  <c r="CC35" i="7"/>
  <c r="CA35" i="7"/>
  <c r="BY35" i="7"/>
  <c r="BW35" i="7"/>
  <c r="BU35" i="7"/>
  <c r="BS35" i="7"/>
  <c r="BQ35" i="7"/>
  <c r="BO35" i="7"/>
  <c r="BM35" i="7"/>
  <c r="BK35" i="7"/>
  <c r="BI35" i="7"/>
  <c r="BF35" i="7"/>
  <c r="BG35" i="7" s="1"/>
  <c r="BE35" i="7"/>
  <c r="BC35" i="7"/>
  <c r="BA35" i="7"/>
  <c r="AY35" i="7"/>
  <c r="AW35" i="7"/>
  <c r="AU35" i="7"/>
  <c r="AS35" i="7"/>
  <c r="AQ35" i="7"/>
  <c r="AO35" i="7"/>
  <c r="AM35" i="7"/>
  <c r="AK35" i="7"/>
  <c r="AI35" i="7"/>
  <c r="AF35" i="7"/>
  <c r="AG35" i="7" s="1"/>
  <c r="AE35" i="7"/>
  <c r="AC35" i="7"/>
  <c r="AA35" i="7"/>
  <c r="Y35" i="7"/>
  <c r="W35" i="7"/>
  <c r="U35" i="7"/>
  <c r="S35" i="7"/>
  <c r="Q35" i="7"/>
  <c r="O35" i="7"/>
  <c r="M35" i="7"/>
  <c r="K35" i="7"/>
  <c r="I35" i="7"/>
  <c r="DG34" i="7"/>
  <c r="DE34" i="7"/>
  <c r="DC34" i="7"/>
  <c r="DA34" i="7"/>
  <c r="CY34" i="7"/>
  <c r="CW34" i="7"/>
  <c r="CU34" i="7"/>
  <c r="CS34" i="7"/>
  <c r="CQ34" i="7"/>
  <c r="CO34" i="7"/>
  <c r="CM34" i="7"/>
  <c r="CK34" i="7"/>
  <c r="CI34" i="7"/>
  <c r="CF34" i="7"/>
  <c r="CG34" i="7" s="1"/>
  <c r="CE34" i="7"/>
  <c r="CC34" i="7"/>
  <c r="CA34" i="7"/>
  <c r="BY34" i="7"/>
  <c r="BW34" i="7"/>
  <c r="BU34" i="7"/>
  <c r="BS34" i="7"/>
  <c r="BQ34" i="7"/>
  <c r="BO34" i="7"/>
  <c r="BM34" i="7"/>
  <c r="BK34" i="7"/>
  <c r="BI34" i="7"/>
  <c r="BF34" i="7"/>
  <c r="BG34" i="7" s="1"/>
  <c r="BE34" i="7"/>
  <c r="BC34" i="7"/>
  <c r="BA34" i="7"/>
  <c r="AY34" i="7"/>
  <c r="AW34" i="7"/>
  <c r="AU34" i="7"/>
  <c r="AS34" i="7"/>
  <c r="AQ34" i="7"/>
  <c r="AO34" i="7"/>
  <c r="AM34" i="7"/>
  <c r="AK34" i="7"/>
  <c r="AI34" i="7"/>
  <c r="AF34" i="7"/>
  <c r="AG34" i="7" s="1"/>
  <c r="AE34" i="7"/>
  <c r="AC34" i="7"/>
  <c r="AA34" i="7"/>
  <c r="Y34" i="7"/>
  <c r="W34" i="7"/>
  <c r="U34" i="7"/>
  <c r="S34" i="7"/>
  <c r="Q34" i="7"/>
  <c r="O34" i="7"/>
  <c r="M34" i="7"/>
  <c r="K34" i="7"/>
  <c r="I34" i="7"/>
  <c r="DG33" i="7"/>
  <c r="DE33" i="7"/>
  <c r="DC33" i="7"/>
  <c r="DA33" i="7"/>
  <c r="CY33" i="7"/>
  <c r="CW33" i="7"/>
  <c r="CU33" i="7"/>
  <c r="CS33" i="7"/>
  <c r="CQ33" i="7"/>
  <c r="CO33" i="7"/>
  <c r="CM33" i="7"/>
  <c r="CK33" i="7"/>
  <c r="CI33" i="7"/>
  <c r="CF33" i="7"/>
  <c r="CG33" i="7" s="1"/>
  <c r="CE33" i="7"/>
  <c r="CC33" i="7"/>
  <c r="CA33" i="7"/>
  <c r="BY33" i="7"/>
  <c r="BW33" i="7"/>
  <c r="BU33" i="7"/>
  <c r="BS33" i="7"/>
  <c r="BQ33" i="7"/>
  <c r="BO33" i="7"/>
  <c r="BM33" i="7"/>
  <c r="BK33" i="7"/>
  <c r="BI33" i="7"/>
  <c r="BF33" i="7"/>
  <c r="BG33" i="7" s="1"/>
  <c r="BE33" i="7"/>
  <c r="BC33" i="7"/>
  <c r="BA33" i="7"/>
  <c r="AY33" i="7"/>
  <c r="AW33" i="7"/>
  <c r="AU33" i="7"/>
  <c r="AS33" i="7"/>
  <c r="AQ33" i="7"/>
  <c r="AO33" i="7"/>
  <c r="AM33" i="7"/>
  <c r="AK33" i="7"/>
  <c r="AI33" i="7"/>
  <c r="AF33" i="7"/>
  <c r="AG33" i="7" s="1"/>
  <c r="AE33" i="7"/>
  <c r="AC33" i="7"/>
  <c r="AA33" i="7"/>
  <c r="Y33" i="7"/>
  <c r="W33" i="7"/>
  <c r="U33" i="7"/>
  <c r="S33" i="7"/>
  <c r="Q33" i="7"/>
  <c r="O33" i="7"/>
  <c r="M33" i="7"/>
  <c r="K33" i="7"/>
  <c r="I33" i="7"/>
  <c r="DG32" i="7"/>
  <c r="DE32" i="7"/>
  <c r="DC32" i="7"/>
  <c r="DA32" i="7"/>
  <c r="CY32" i="7"/>
  <c r="CW32" i="7"/>
  <c r="CU32" i="7"/>
  <c r="CS32" i="7"/>
  <c r="CQ32" i="7"/>
  <c r="CO32" i="7"/>
  <c r="CM32" i="7"/>
  <c r="CK32" i="7"/>
  <c r="CI32" i="7"/>
  <c r="CF32" i="7"/>
  <c r="CG32" i="7" s="1"/>
  <c r="CE32" i="7"/>
  <c r="CC32" i="7"/>
  <c r="CA32" i="7"/>
  <c r="BY32" i="7"/>
  <c r="BW32" i="7"/>
  <c r="BU32" i="7"/>
  <c r="BS32" i="7"/>
  <c r="BQ32" i="7"/>
  <c r="BO32" i="7"/>
  <c r="BM32" i="7"/>
  <c r="BK32" i="7"/>
  <c r="BI32" i="7"/>
  <c r="BF32" i="7"/>
  <c r="BG32" i="7" s="1"/>
  <c r="BE32" i="7"/>
  <c r="BC32" i="7"/>
  <c r="BA32" i="7"/>
  <c r="AY32" i="7"/>
  <c r="AW32" i="7"/>
  <c r="AU32" i="7"/>
  <c r="AS32" i="7"/>
  <c r="AQ32" i="7"/>
  <c r="AO32" i="7"/>
  <c r="AM32" i="7"/>
  <c r="AK32" i="7"/>
  <c r="AI32" i="7"/>
  <c r="AF32" i="7"/>
  <c r="AG32" i="7" s="1"/>
  <c r="AE32" i="7"/>
  <c r="AC32" i="7"/>
  <c r="AA32" i="7"/>
  <c r="Y32" i="7"/>
  <c r="W32" i="7"/>
  <c r="U32" i="7"/>
  <c r="S32" i="7"/>
  <c r="Q32" i="7"/>
  <c r="O32" i="7"/>
  <c r="M32" i="7"/>
  <c r="K32" i="7"/>
  <c r="I32" i="7"/>
  <c r="DG31" i="7"/>
  <c r="DE31" i="7"/>
  <c r="DC31" i="7"/>
  <c r="DA31" i="7"/>
  <c r="CY31" i="7"/>
  <c r="CW31" i="7"/>
  <c r="CU31" i="7"/>
  <c r="CS31" i="7"/>
  <c r="CQ31" i="7"/>
  <c r="CO31" i="7"/>
  <c r="CM31" i="7"/>
  <c r="CK31" i="7"/>
  <c r="CI31" i="7"/>
  <c r="CF31" i="7"/>
  <c r="CG31" i="7" s="1"/>
  <c r="CE31" i="7"/>
  <c r="CC31" i="7"/>
  <c r="CA31" i="7"/>
  <c r="BY31" i="7"/>
  <c r="BW31" i="7"/>
  <c r="BU31" i="7"/>
  <c r="BS31" i="7"/>
  <c r="BQ31" i="7"/>
  <c r="BO31" i="7"/>
  <c r="BM31" i="7"/>
  <c r="BK31" i="7"/>
  <c r="BI31" i="7"/>
  <c r="BF31" i="7"/>
  <c r="BG31" i="7" s="1"/>
  <c r="BE31" i="7"/>
  <c r="BC31" i="7"/>
  <c r="BA31" i="7"/>
  <c r="AY31" i="7"/>
  <c r="AW31" i="7"/>
  <c r="AU31" i="7"/>
  <c r="AS31" i="7"/>
  <c r="AQ31" i="7"/>
  <c r="AO31" i="7"/>
  <c r="AM31" i="7"/>
  <c r="AK31" i="7"/>
  <c r="AI31" i="7"/>
  <c r="AF31" i="7"/>
  <c r="AG31" i="7" s="1"/>
  <c r="AE31" i="7"/>
  <c r="AC31" i="7"/>
  <c r="AA31" i="7"/>
  <c r="Y31" i="7"/>
  <c r="W31" i="7"/>
  <c r="U31" i="7"/>
  <c r="S31" i="7"/>
  <c r="Q31" i="7"/>
  <c r="O31" i="7"/>
  <c r="M31" i="7"/>
  <c r="K31" i="7"/>
  <c r="I31" i="7"/>
  <c r="DG30" i="7"/>
  <c r="DE30" i="7"/>
  <c r="DC30" i="7"/>
  <c r="DA30" i="7"/>
  <c r="CY30" i="7"/>
  <c r="CW30" i="7"/>
  <c r="CU30" i="7"/>
  <c r="CS30" i="7"/>
  <c r="CQ30" i="7"/>
  <c r="CO30" i="7"/>
  <c r="CM30" i="7"/>
  <c r="CK30" i="7"/>
  <c r="CI30" i="7"/>
  <c r="CF30" i="7"/>
  <c r="CG30" i="7" s="1"/>
  <c r="CE30" i="7"/>
  <c r="CC30" i="7"/>
  <c r="CA30" i="7"/>
  <c r="BY30" i="7"/>
  <c r="BW30" i="7"/>
  <c r="BU30" i="7"/>
  <c r="BS30" i="7"/>
  <c r="BQ30" i="7"/>
  <c r="BO30" i="7"/>
  <c r="BM30" i="7"/>
  <c r="BK30" i="7"/>
  <c r="BI30" i="7"/>
  <c r="BF30" i="7"/>
  <c r="BG30" i="7" s="1"/>
  <c r="BE30" i="7"/>
  <c r="BC30" i="7"/>
  <c r="BA30" i="7"/>
  <c r="AY30" i="7"/>
  <c r="AW30" i="7"/>
  <c r="AU30" i="7"/>
  <c r="AS30" i="7"/>
  <c r="AQ30" i="7"/>
  <c r="AO30" i="7"/>
  <c r="AM30" i="7"/>
  <c r="AK30" i="7"/>
  <c r="AI30" i="7"/>
  <c r="AF30" i="7"/>
  <c r="AG30" i="7" s="1"/>
  <c r="AE30" i="7"/>
  <c r="AC30" i="7"/>
  <c r="AA30" i="7"/>
  <c r="Y30" i="7"/>
  <c r="W30" i="7"/>
  <c r="U30" i="7"/>
  <c r="S30" i="7"/>
  <c r="Q30" i="7"/>
  <c r="O30" i="7"/>
  <c r="M30" i="7"/>
  <c r="K30" i="7"/>
  <c r="I30" i="7"/>
  <c r="DG29" i="7"/>
  <c r="DE29" i="7"/>
  <c r="DC29" i="7"/>
  <c r="DA29" i="7"/>
  <c r="CY29" i="7"/>
  <c r="CW29" i="7"/>
  <c r="CU29" i="7"/>
  <c r="CS29" i="7"/>
  <c r="CQ29" i="7"/>
  <c r="CO29" i="7"/>
  <c r="CM29" i="7"/>
  <c r="CK29" i="7"/>
  <c r="CI29" i="7"/>
  <c r="CF29" i="7"/>
  <c r="CG29" i="7" s="1"/>
  <c r="CE29" i="7"/>
  <c r="CC29" i="7"/>
  <c r="CA29" i="7"/>
  <c r="BY29" i="7"/>
  <c r="BW29" i="7"/>
  <c r="BU29" i="7"/>
  <c r="BS29" i="7"/>
  <c r="BQ29" i="7"/>
  <c r="BO29" i="7"/>
  <c r="BM29" i="7"/>
  <c r="BK29" i="7"/>
  <c r="BI29" i="7"/>
  <c r="BF29" i="7"/>
  <c r="BG29" i="7" s="1"/>
  <c r="BE29" i="7"/>
  <c r="BC29" i="7"/>
  <c r="BA29" i="7"/>
  <c r="AY29" i="7"/>
  <c r="AW29" i="7"/>
  <c r="AU29" i="7"/>
  <c r="AS29" i="7"/>
  <c r="AQ29" i="7"/>
  <c r="AO29" i="7"/>
  <c r="AM29" i="7"/>
  <c r="AK29" i="7"/>
  <c r="AI29" i="7"/>
  <c r="AF29" i="7"/>
  <c r="AG29" i="7" s="1"/>
  <c r="AE29" i="7"/>
  <c r="AC29" i="7"/>
  <c r="AA29" i="7"/>
  <c r="Y29" i="7"/>
  <c r="W29" i="7"/>
  <c r="U29" i="7"/>
  <c r="S29" i="7"/>
  <c r="Q29" i="7"/>
  <c r="O29" i="7"/>
  <c r="M29" i="7"/>
  <c r="K29" i="7"/>
  <c r="I29" i="7"/>
  <c r="DG28" i="7"/>
  <c r="DE28" i="7"/>
  <c r="DC28" i="7"/>
  <c r="DA28" i="7"/>
  <c r="CY28" i="7"/>
  <c r="CW28" i="7"/>
  <c r="CU28" i="7"/>
  <c r="CS28" i="7"/>
  <c r="CQ28" i="7"/>
  <c r="CO28" i="7"/>
  <c r="CM28" i="7"/>
  <c r="CK28" i="7"/>
  <c r="CI28" i="7"/>
  <c r="CF28" i="7"/>
  <c r="CG28" i="7" s="1"/>
  <c r="CE28" i="7"/>
  <c r="CC28" i="7"/>
  <c r="CA28" i="7"/>
  <c r="BY28" i="7"/>
  <c r="BW28" i="7"/>
  <c r="BU28" i="7"/>
  <c r="BS28" i="7"/>
  <c r="BQ28" i="7"/>
  <c r="BO28" i="7"/>
  <c r="BM28" i="7"/>
  <c r="BK28" i="7"/>
  <c r="BI28" i="7"/>
  <c r="BF28" i="7"/>
  <c r="BG28" i="7" s="1"/>
  <c r="BE28" i="7"/>
  <c r="BC28" i="7"/>
  <c r="BA28" i="7"/>
  <c r="AY28" i="7"/>
  <c r="AW28" i="7"/>
  <c r="AU28" i="7"/>
  <c r="AS28" i="7"/>
  <c r="AQ28" i="7"/>
  <c r="AO28" i="7"/>
  <c r="AM28" i="7"/>
  <c r="AK28" i="7"/>
  <c r="AI28" i="7"/>
  <c r="AF28" i="7"/>
  <c r="AG28" i="7" s="1"/>
  <c r="AE28" i="7"/>
  <c r="AC28" i="7"/>
  <c r="AA28" i="7"/>
  <c r="Y28" i="7"/>
  <c r="W28" i="7"/>
  <c r="U28" i="7"/>
  <c r="S28" i="7"/>
  <c r="Q28" i="7"/>
  <c r="O28" i="7"/>
  <c r="M28" i="7"/>
  <c r="K28" i="7"/>
  <c r="I28" i="7"/>
  <c r="DG27" i="7"/>
  <c r="DE27" i="7"/>
  <c r="DC27" i="7"/>
  <c r="DA27" i="7"/>
  <c r="CY27" i="7"/>
  <c r="CW27" i="7"/>
  <c r="CU27" i="7"/>
  <c r="CS27" i="7"/>
  <c r="CQ27" i="7"/>
  <c r="CO27" i="7"/>
  <c r="CM27" i="7"/>
  <c r="CK27" i="7"/>
  <c r="CI27" i="7"/>
  <c r="CF27" i="7"/>
  <c r="CG27" i="7" s="1"/>
  <c r="CE27" i="7"/>
  <c r="CC27" i="7"/>
  <c r="CA27" i="7"/>
  <c r="BY27" i="7"/>
  <c r="BW27" i="7"/>
  <c r="BU27" i="7"/>
  <c r="BS27" i="7"/>
  <c r="BQ27" i="7"/>
  <c r="BO27" i="7"/>
  <c r="BM27" i="7"/>
  <c r="BK27" i="7"/>
  <c r="BI27" i="7"/>
  <c r="BF27" i="7"/>
  <c r="BG27" i="7" s="1"/>
  <c r="BE27" i="7"/>
  <c r="BC27" i="7"/>
  <c r="BA27" i="7"/>
  <c r="AY27" i="7"/>
  <c r="AW27" i="7"/>
  <c r="AU27" i="7"/>
  <c r="AS27" i="7"/>
  <c r="AQ27" i="7"/>
  <c r="AO27" i="7"/>
  <c r="AM27" i="7"/>
  <c r="AK27" i="7"/>
  <c r="AI27" i="7"/>
  <c r="AF27" i="7"/>
  <c r="AG27" i="7" s="1"/>
  <c r="AE27" i="7"/>
  <c r="AC27" i="7"/>
  <c r="AA27" i="7"/>
  <c r="Y27" i="7"/>
  <c r="W27" i="7"/>
  <c r="U27" i="7"/>
  <c r="S27" i="7"/>
  <c r="Q27" i="7"/>
  <c r="O27" i="7"/>
  <c r="M27" i="7"/>
  <c r="K27" i="7"/>
  <c r="I27" i="7"/>
  <c r="DE26" i="7"/>
  <c r="DC26" i="7"/>
  <c r="DA26" i="7"/>
  <c r="CY26" i="7"/>
  <c r="CW26" i="7"/>
  <c r="CU26" i="7"/>
  <c r="CS26" i="7"/>
  <c r="CQ26" i="7"/>
  <c r="CO26" i="7"/>
  <c r="CM26" i="7"/>
  <c r="CK26" i="7"/>
  <c r="CI26" i="7"/>
  <c r="CF26" i="7"/>
  <c r="CG26" i="7" s="1"/>
  <c r="CE26" i="7"/>
  <c r="CC26" i="7"/>
  <c r="CA26" i="7"/>
  <c r="BY26" i="7"/>
  <c r="BW26" i="7"/>
  <c r="BU26" i="7"/>
  <c r="BS26" i="7"/>
  <c r="BQ26" i="7"/>
  <c r="BO26" i="7"/>
  <c r="BM26" i="7"/>
  <c r="BK26" i="7"/>
  <c r="BI26" i="7"/>
  <c r="BF26" i="7"/>
  <c r="BG26" i="7" s="1"/>
  <c r="BE26" i="7"/>
  <c r="BC26" i="7"/>
  <c r="BA26" i="7"/>
  <c r="AY26" i="7"/>
  <c r="AW26" i="7"/>
  <c r="AU26" i="7"/>
  <c r="AS26" i="7"/>
  <c r="AQ26" i="7"/>
  <c r="AO26" i="7"/>
  <c r="AM26" i="7"/>
  <c r="AK26" i="7"/>
  <c r="AI26" i="7"/>
  <c r="AF26" i="7"/>
  <c r="AG26" i="7" s="1"/>
  <c r="AE26" i="7"/>
  <c r="AC26" i="7"/>
  <c r="AA26" i="7"/>
  <c r="Y26" i="7"/>
  <c r="W26" i="7"/>
  <c r="U26" i="7"/>
  <c r="S26" i="7"/>
  <c r="Q26" i="7"/>
  <c r="O26" i="7"/>
  <c r="M26" i="7"/>
  <c r="K26" i="7"/>
  <c r="I26" i="7"/>
  <c r="DG25" i="7"/>
  <c r="DE25" i="7"/>
  <c r="DC25" i="7"/>
  <c r="DA25" i="7"/>
  <c r="CY25" i="7"/>
  <c r="CW25" i="7"/>
  <c r="CU25" i="7"/>
  <c r="CS25" i="7"/>
  <c r="CQ25" i="7"/>
  <c r="CO25" i="7"/>
  <c r="CM25" i="7"/>
  <c r="CK25" i="7"/>
  <c r="CI25" i="7"/>
  <c r="CF25" i="7"/>
  <c r="CG25" i="7" s="1"/>
  <c r="CE25" i="7"/>
  <c r="CC25" i="7"/>
  <c r="CA25" i="7"/>
  <c r="BY25" i="7"/>
  <c r="BW25" i="7"/>
  <c r="BU25" i="7"/>
  <c r="BS25" i="7"/>
  <c r="BQ25" i="7"/>
  <c r="BO25" i="7"/>
  <c r="BM25" i="7"/>
  <c r="BK25" i="7"/>
  <c r="BI25" i="7"/>
  <c r="BF25" i="7"/>
  <c r="BG25" i="7" s="1"/>
  <c r="BE25" i="7"/>
  <c r="BC25" i="7"/>
  <c r="BA25" i="7"/>
  <c r="AY25" i="7"/>
  <c r="AW25" i="7"/>
  <c r="AU25" i="7"/>
  <c r="AS25" i="7"/>
  <c r="AQ25" i="7"/>
  <c r="AO25" i="7"/>
  <c r="AM25" i="7"/>
  <c r="AK25" i="7"/>
  <c r="AI25" i="7"/>
  <c r="AF25" i="7"/>
  <c r="AG25" i="7" s="1"/>
  <c r="AE25" i="7"/>
  <c r="AC25" i="7"/>
  <c r="AA25" i="7"/>
  <c r="Y25" i="7"/>
  <c r="W25" i="7"/>
  <c r="U25" i="7"/>
  <c r="S25" i="7"/>
  <c r="Q25" i="7"/>
  <c r="O25" i="7"/>
  <c r="M25" i="7"/>
  <c r="K25" i="7"/>
  <c r="I25" i="7"/>
  <c r="DG24" i="7"/>
  <c r="DE24" i="7"/>
  <c r="DC24" i="7"/>
  <c r="DA24" i="7"/>
  <c r="CY24" i="7"/>
  <c r="CW24" i="7"/>
  <c r="CU24" i="7"/>
  <c r="CS24" i="7"/>
  <c r="CQ24" i="7"/>
  <c r="CO24" i="7"/>
  <c r="CM24" i="7"/>
  <c r="CK24" i="7"/>
  <c r="CI24" i="7"/>
  <c r="CF24" i="7"/>
  <c r="CG24" i="7" s="1"/>
  <c r="CE24" i="7"/>
  <c r="CC24" i="7"/>
  <c r="CA24" i="7"/>
  <c r="BY24" i="7"/>
  <c r="BW24" i="7"/>
  <c r="BU24" i="7"/>
  <c r="BS24" i="7"/>
  <c r="BQ24" i="7"/>
  <c r="BO24" i="7"/>
  <c r="BM24" i="7"/>
  <c r="BK24" i="7"/>
  <c r="BI24" i="7"/>
  <c r="BF24" i="7"/>
  <c r="BG24" i="7" s="1"/>
  <c r="BE24" i="7"/>
  <c r="BC24" i="7"/>
  <c r="BA24" i="7"/>
  <c r="AY24" i="7"/>
  <c r="AW24" i="7"/>
  <c r="AU24" i="7"/>
  <c r="AS24" i="7"/>
  <c r="AQ24" i="7"/>
  <c r="AO24" i="7"/>
  <c r="AM24" i="7"/>
  <c r="AK24" i="7"/>
  <c r="AI24" i="7"/>
  <c r="AF24" i="7"/>
  <c r="AG24" i="7" s="1"/>
  <c r="AE24" i="7"/>
  <c r="AC24" i="7"/>
  <c r="AA24" i="7"/>
  <c r="Y24" i="7"/>
  <c r="W24" i="7"/>
  <c r="U24" i="7"/>
  <c r="S24" i="7"/>
  <c r="Q24" i="7"/>
  <c r="O24" i="7"/>
  <c r="M24" i="7"/>
  <c r="K24" i="7"/>
  <c r="I24" i="7"/>
  <c r="DE23" i="7"/>
  <c r="DC23" i="7"/>
  <c r="DA23" i="7"/>
  <c r="CY23" i="7"/>
  <c r="CW23" i="7"/>
  <c r="CU23" i="7"/>
  <c r="CS23" i="7"/>
  <c r="CQ23" i="7"/>
  <c r="CO23" i="7"/>
  <c r="CM23" i="7"/>
  <c r="CK23" i="7"/>
  <c r="CI23" i="7"/>
  <c r="CF23" i="7"/>
  <c r="CG23" i="7" s="1"/>
  <c r="CE23" i="7"/>
  <c r="CC23" i="7"/>
  <c r="CA23" i="7"/>
  <c r="BY23" i="7"/>
  <c r="BW23" i="7"/>
  <c r="BU23" i="7"/>
  <c r="BS23" i="7"/>
  <c r="BQ23" i="7"/>
  <c r="BO23" i="7"/>
  <c r="BM23" i="7"/>
  <c r="BK23" i="7"/>
  <c r="BI23" i="7"/>
  <c r="BF23" i="7"/>
  <c r="BG23" i="7" s="1"/>
  <c r="BE23" i="7"/>
  <c r="BC23" i="7"/>
  <c r="BA23" i="7"/>
  <c r="AY23" i="7"/>
  <c r="AW23" i="7"/>
  <c r="AU23" i="7"/>
  <c r="AS23" i="7"/>
  <c r="AQ23" i="7"/>
  <c r="AO23" i="7"/>
  <c r="AM23" i="7"/>
  <c r="AK23" i="7"/>
  <c r="AI23" i="7"/>
  <c r="AF23" i="7"/>
  <c r="AG23" i="7" s="1"/>
  <c r="AE23" i="7"/>
  <c r="AC23" i="7"/>
  <c r="AA23" i="7"/>
  <c r="Y23" i="7"/>
  <c r="W23" i="7"/>
  <c r="U23" i="7"/>
  <c r="S23" i="7"/>
  <c r="Q23" i="7"/>
  <c r="O23" i="7"/>
  <c r="M23" i="7"/>
  <c r="K23" i="7"/>
  <c r="I23" i="7"/>
  <c r="DG22" i="7"/>
  <c r="DE22" i="7"/>
  <c r="DC22" i="7"/>
  <c r="DA22" i="7"/>
  <c r="CY22" i="7"/>
  <c r="CW22" i="7"/>
  <c r="CU22" i="7"/>
  <c r="CS22" i="7"/>
  <c r="CQ22" i="7"/>
  <c r="CO22" i="7"/>
  <c r="CM22" i="7"/>
  <c r="CK22" i="7"/>
  <c r="CI22" i="7"/>
  <c r="CF22" i="7"/>
  <c r="CG22" i="7" s="1"/>
  <c r="CE22" i="7"/>
  <c r="CC22" i="7"/>
  <c r="CA22" i="7"/>
  <c r="BY22" i="7"/>
  <c r="BW22" i="7"/>
  <c r="BU22" i="7"/>
  <c r="BS22" i="7"/>
  <c r="BQ22" i="7"/>
  <c r="BO22" i="7"/>
  <c r="BM22" i="7"/>
  <c r="BK22" i="7"/>
  <c r="BI22" i="7"/>
  <c r="BF22" i="7"/>
  <c r="BG22" i="7" s="1"/>
  <c r="BE22" i="7"/>
  <c r="BC22" i="7"/>
  <c r="BA22" i="7"/>
  <c r="AY22" i="7"/>
  <c r="AW22" i="7"/>
  <c r="AU22" i="7"/>
  <c r="AS22" i="7"/>
  <c r="AQ22" i="7"/>
  <c r="AO22" i="7"/>
  <c r="AM22" i="7"/>
  <c r="AK22" i="7"/>
  <c r="AI22" i="7"/>
  <c r="AF22" i="7"/>
  <c r="AG22" i="7" s="1"/>
  <c r="AE22" i="7"/>
  <c r="AC22" i="7"/>
  <c r="AA22" i="7"/>
  <c r="Y22" i="7"/>
  <c r="W22" i="7"/>
  <c r="U22" i="7"/>
  <c r="S22" i="7"/>
  <c r="Q22" i="7"/>
  <c r="O22" i="7"/>
  <c r="M22" i="7"/>
  <c r="K22" i="7"/>
  <c r="I22" i="7"/>
  <c r="DG21" i="7"/>
  <c r="DE21" i="7"/>
  <c r="DC21" i="7"/>
  <c r="DA21" i="7"/>
  <c r="CY21" i="7"/>
  <c r="CW21" i="7"/>
  <c r="CU21" i="7"/>
  <c r="CS21" i="7"/>
  <c r="CQ21" i="7"/>
  <c r="CO21" i="7"/>
  <c r="CM21" i="7"/>
  <c r="CK21" i="7"/>
  <c r="CI21" i="7"/>
  <c r="CF21" i="7"/>
  <c r="CG21" i="7" s="1"/>
  <c r="CE21" i="7"/>
  <c r="CC21" i="7"/>
  <c r="CA21" i="7"/>
  <c r="BY21" i="7"/>
  <c r="BW21" i="7"/>
  <c r="BU21" i="7"/>
  <c r="BS21" i="7"/>
  <c r="BQ21" i="7"/>
  <c r="BO21" i="7"/>
  <c r="BM21" i="7"/>
  <c r="BK21" i="7"/>
  <c r="BI21" i="7"/>
  <c r="BF21" i="7"/>
  <c r="BG21" i="7" s="1"/>
  <c r="BE21" i="7"/>
  <c r="BC21" i="7"/>
  <c r="BA21" i="7"/>
  <c r="AY21" i="7"/>
  <c r="AW21" i="7"/>
  <c r="AU21" i="7"/>
  <c r="AS21" i="7"/>
  <c r="AQ21" i="7"/>
  <c r="AO21" i="7"/>
  <c r="AM21" i="7"/>
  <c r="AK21" i="7"/>
  <c r="AI21" i="7"/>
  <c r="AF21" i="7"/>
  <c r="AG21" i="7" s="1"/>
  <c r="AE21" i="7"/>
  <c r="AC21" i="7"/>
  <c r="AA21" i="7"/>
  <c r="Y21" i="7"/>
  <c r="W21" i="7"/>
  <c r="U21" i="7"/>
  <c r="S21" i="7"/>
  <c r="Q21" i="7"/>
  <c r="O21" i="7"/>
  <c r="M21" i="7"/>
  <c r="K21" i="7"/>
  <c r="I21" i="7"/>
  <c r="DG20" i="7"/>
  <c r="DE20" i="7"/>
  <c r="DC20" i="7"/>
  <c r="DA20" i="7"/>
  <c r="CY20" i="7"/>
  <c r="CW20" i="7"/>
  <c r="CU20" i="7"/>
  <c r="CS20" i="7"/>
  <c r="CQ20" i="7"/>
  <c r="CO20" i="7"/>
  <c r="CM20" i="7"/>
  <c r="CK20" i="7"/>
  <c r="CI20" i="7"/>
  <c r="CF20" i="7"/>
  <c r="CG20" i="7" s="1"/>
  <c r="CE20" i="7"/>
  <c r="CC20" i="7"/>
  <c r="CA20" i="7"/>
  <c r="BY20" i="7"/>
  <c r="BW20" i="7"/>
  <c r="BU20" i="7"/>
  <c r="BS20" i="7"/>
  <c r="BQ20" i="7"/>
  <c r="BO20" i="7"/>
  <c r="BM20" i="7"/>
  <c r="BK20" i="7"/>
  <c r="BI20" i="7"/>
  <c r="BF20" i="7"/>
  <c r="BG20" i="7" s="1"/>
  <c r="BE20" i="7"/>
  <c r="BC20" i="7"/>
  <c r="BA20" i="7"/>
  <c r="AY20" i="7"/>
  <c r="AW20" i="7"/>
  <c r="AU20" i="7"/>
  <c r="AS20" i="7"/>
  <c r="AQ20" i="7"/>
  <c r="AO20" i="7"/>
  <c r="AM20" i="7"/>
  <c r="AK20" i="7"/>
  <c r="AI20" i="7"/>
  <c r="AF20" i="7"/>
  <c r="AG20" i="7" s="1"/>
  <c r="AE20" i="7"/>
  <c r="AC20" i="7"/>
  <c r="AA20" i="7"/>
  <c r="Y20" i="7"/>
  <c r="W20" i="7"/>
  <c r="U20" i="7"/>
  <c r="S20" i="7"/>
  <c r="Q20" i="7"/>
  <c r="O20" i="7"/>
  <c r="M20" i="7"/>
  <c r="K20" i="7"/>
  <c r="I20" i="7"/>
  <c r="DG19" i="7"/>
  <c r="DE19" i="7"/>
  <c r="DC19" i="7"/>
  <c r="DA19" i="7"/>
  <c r="CY19" i="7"/>
  <c r="CW19" i="7"/>
  <c r="CU19" i="7"/>
  <c r="CS19" i="7"/>
  <c r="CQ19" i="7"/>
  <c r="CO19" i="7"/>
  <c r="CM19" i="7"/>
  <c r="CK19" i="7"/>
  <c r="CI19" i="7"/>
  <c r="CF19" i="7"/>
  <c r="CG19" i="7" s="1"/>
  <c r="CE19" i="7"/>
  <c r="CC19" i="7"/>
  <c r="CA19" i="7"/>
  <c r="BY19" i="7"/>
  <c r="BW19" i="7"/>
  <c r="BU19" i="7"/>
  <c r="BS19" i="7"/>
  <c r="BQ19" i="7"/>
  <c r="BO19" i="7"/>
  <c r="BM19" i="7"/>
  <c r="BK19" i="7"/>
  <c r="BI19" i="7"/>
  <c r="BF19" i="7"/>
  <c r="BG19" i="7" s="1"/>
  <c r="BE19" i="7"/>
  <c r="BC19" i="7"/>
  <c r="BA19" i="7"/>
  <c r="AY19" i="7"/>
  <c r="AW19" i="7"/>
  <c r="AU19" i="7"/>
  <c r="AS19" i="7"/>
  <c r="AQ19" i="7"/>
  <c r="AO19" i="7"/>
  <c r="AM19" i="7"/>
  <c r="AK19" i="7"/>
  <c r="AI19" i="7"/>
  <c r="AF19" i="7"/>
  <c r="AG19" i="7" s="1"/>
  <c r="AE19" i="7"/>
  <c r="AC19" i="7"/>
  <c r="AA19" i="7"/>
  <c r="Y19" i="7"/>
  <c r="W19" i="7"/>
  <c r="U19" i="7"/>
  <c r="S19" i="7"/>
  <c r="Q19" i="7"/>
  <c r="O19" i="7"/>
  <c r="M19" i="7"/>
  <c r="K19" i="7"/>
  <c r="I19" i="7"/>
  <c r="DG18" i="7"/>
  <c r="DE18" i="7"/>
  <c r="DC18" i="7"/>
  <c r="DA18" i="7"/>
  <c r="CY18" i="7"/>
  <c r="CW18" i="7"/>
  <c r="CU18" i="7"/>
  <c r="CS18" i="7"/>
  <c r="CQ18" i="7"/>
  <c r="CO18" i="7"/>
  <c r="CM18" i="7"/>
  <c r="CK18" i="7"/>
  <c r="CI18" i="7"/>
  <c r="CF18" i="7"/>
  <c r="CG18" i="7" s="1"/>
  <c r="CE18" i="7"/>
  <c r="CC18" i="7"/>
  <c r="CA18" i="7"/>
  <c r="BY18" i="7"/>
  <c r="BW18" i="7"/>
  <c r="BU18" i="7"/>
  <c r="BS18" i="7"/>
  <c r="BQ18" i="7"/>
  <c r="BO18" i="7"/>
  <c r="BM18" i="7"/>
  <c r="BK18" i="7"/>
  <c r="BI18" i="7"/>
  <c r="BF18" i="7"/>
  <c r="BG18" i="7" s="1"/>
  <c r="BE18" i="7"/>
  <c r="BC18" i="7"/>
  <c r="BA18" i="7"/>
  <c r="AY18" i="7"/>
  <c r="AW18" i="7"/>
  <c r="AU18" i="7"/>
  <c r="AS18" i="7"/>
  <c r="AQ18" i="7"/>
  <c r="AO18" i="7"/>
  <c r="AM18" i="7"/>
  <c r="AK18" i="7"/>
  <c r="AI18" i="7"/>
  <c r="AF18" i="7"/>
  <c r="AG18" i="7" s="1"/>
  <c r="AE18" i="7"/>
  <c r="AC18" i="7"/>
  <c r="AA18" i="7"/>
  <c r="Y18" i="7"/>
  <c r="W18" i="7"/>
  <c r="U18" i="7"/>
  <c r="S18" i="7"/>
  <c r="Q18" i="7"/>
  <c r="O18" i="7"/>
  <c r="M18" i="7"/>
  <c r="K18" i="7"/>
  <c r="I18" i="7"/>
  <c r="DE17" i="7"/>
  <c r="DC17" i="7"/>
  <c r="DA17" i="7"/>
  <c r="CY17" i="7"/>
  <c r="CW17" i="7"/>
  <c r="CU17" i="7"/>
  <c r="CS17" i="7"/>
  <c r="CQ17" i="7"/>
  <c r="CO17" i="7"/>
  <c r="CM17" i="7"/>
  <c r="CK17" i="7"/>
  <c r="CI17" i="7"/>
  <c r="CF17" i="7"/>
  <c r="CG17" i="7" s="1"/>
  <c r="CE17" i="7"/>
  <c r="CC17" i="7"/>
  <c r="CA17" i="7"/>
  <c r="BY17" i="7"/>
  <c r="BW17" i="7"/>
  <c r="BU17" i="7"/>
  <c r="BS17" i="7"/>
  <c r="BQ17" i="7"/>
  <c r="BO17" i="7"/>
  <c r="BM17" i="7"/>
  <c r="BK17" i="7"/>
  <c r="BI17" i="7"/>
  <c r="BF17" i="7"/>
  <c r="BG17" i="7" s="1"/>
  <c r="BE17" i="7"/>
  <c r="BC17" i="7"/>
  <c r="BA17" i="7"/>
  <c r="AY17" i="7"/>
  <c r="AW17" i="7"/>
  <c r="AU17" i="7"/>
  <c r="AS17" i="7"/>
  <c r="AQ17" i="7"/>
  <c r="AO17" i="7"/>
  <c r="AM17" i="7"/>
  <c r="AK17" i="7"/>
  <c r="AI17" i="7"/>
  <c r="AF17" i="7"/>
  <c r="AG17" i="7" s="1"/>
  <c r="AE17" i="7"/>
  <c r="AC17" i="7"/>
  <c r="AA17" i="7"/>
  <c r="Y17" i="7"/>
  <c r="W17" i="7"/>
  <c r="U17" i="7"/>
  <c r="S17" i="7"/>
  <c r="Q17" i="7"/>
  <c r="O17" i="7"/>
  <c r="M17" i="7"/>
  <c r="K17" i="7"/>
  <c r="I17" i="7"/>
  <c r="DG16" i="7"/>
  <c r="DE16" i="7"/>
  <c r="DC16" i="7"/>
  <c r="DA16" i="7"/>
  <c r="CY16" i="7"/>
  <c r="CW16" i="7"/>
  <c r="CU16" i="7"/>
  <c r="CS16" i="7"/>
  <c r="CQ16" i="7"/>
  <c r="CO16" i="7"/>
  <c r="CM16" i="7"/>
  <c r="CK16" i="7"/>
  <c r="CI16" i="7"/>
  <c r="CF16" i="7"/>
  <c r="CG16" i="7" s="1"/>
  <c r="CE16" i="7"/>
  <c r="CC16" i="7"/>
  <c r="CA16" i="7"/>
  <c r="BY16" i="7"/>
  <c r="BW16" i="7"/>
  <c r="BU16" i="7"/>
  <c r="BS16" i="7"/>
  <c r="BQ16" i="7"/>
  <c r="BO16" i="7"/>
  <c r="BM16" i="7"/>
  <c r="BK16" i="7"/>
  <c r="BI16" i="7"/>
  <c r="BF16" i="7"/>
  <c r="BG16" i="7" s="1"/>
  <c r="BE16" i="7"/>
  <c r="BC16" i="7"/>
  <c r="BA16" i="7"/>
  <c r="AY16" i="7"/>
  <c r="AW16" i="7"/>
  <c r="AU16" i="7"/>
  <c r="AS16" i="7"/>
  <c r="AQ16" i="7"/>
  <c r="AO16" i="7"/>
  <c r="AM16" i="7"/>
  <c r="AK16" i="7"/>
  <c r="AI16" i="7"/>
  <c r="AF16" i="7"/>
  <c r="AG16" i="7" s="1"/>
  <c r="AE16" i="7"/>
  <c r="AC16" i="7"/>
  <c r="AA16" i="7"/>
  <c r="Y16" i="7"/>
  <c r="W16" i="7"/>
  <c r="U16" i="7"/>
  <c r="S16" i="7"/>
  <c r="Q16" i="7"/>
  <c r="O16" i="7"/>
  <c r="M16" i="7"/>
  <c r="K16" i="7"/>
  <c r="I16" i="7"/>
  <c r="DG15" i="7"/>
  <c r="DE15" i="7"/>
  <c r="DC15" i="7"/>
  <c r="DA15" i="7"/>
  <c r="CY15" i="7"/>
  <c r="CW15" i="7"/>
  <c r="CU15" i="7"/>
  <c r="CS15" i="7"/>
  <c r="CQ15" i="7"/>
  <c r="CO15" i="7"/>
  <c r="CM15" i="7"/>
  <c r="CK15" i="7"/>
  <c r="CI15" i="7"/>
  <c r="CF15" i="7"/>
  <c r="CG15" i="7" s="1"/>
  <c r="CE15" i="7"/>
  <c r="CC15" i="7"/>
  <c r="CA15" i="7"/>
  <c r="BY15" i="7"/>
  <c r="BW15" i="7"/>
  <c r="BU15" i="7"/>
  <c r="BS15" i="7"/>
  <c r="BQ15" i="7"/>
  <c r="BO15" i="7"/>
  <c r="BM15" i="7"/>
  <c r="BK15" i="7"/>
  <c r="BI15" i="7"/>
  <c r="BF15" i="7"/>
  <c r="BG15" i="7" s="1"/>
  <c r="BE15" i="7"/>
  <c r="BC15" i="7"/>
  <c r="BA15" i="7"/>
  <c r="AY15" i="7"/>
  <c r="AW15" i="7"/>
  <c r="AU15" i="7"/>
  <c r="AS15" i="7"/>
  <c r="AQ15" i="7"/>
  <c r="AO15" i="7"/>
  <c r="AM15" i="7"/>
  <c r="AK15" i="7"/>
  <c r="AI15" i="7"/>
  <c r="AF15" i="7"/>
  <c r="AG15" i="7" s="1"/>
  <c r="AE15" i="7"/>
  <c r="AC15" i="7"/>
  <c r="AA15" i="7"/>
  <c r="Y15" i="7"/>
  <c r="W15" i="7"/>
  <c r="U15" i="7"/>
  <c r="S15" i="7"/>
  <c r="Q15" i="7"/>
  <c r="O15" i="7"/>
  <c r="M15" i="7"/>
  <c r="K15" i="7"/>
  <c r="I15" i="7"/>
  <c r="DG14" i="7"/>
  <c r="DE14" i="7"/>
  <c r="DC14" i="7"/>
  <c r="DA14" i="7"/>
  <c r="CY14" i="7"/>
  <c r="CW14" i="7"/>
  <c r="CU14" i="7"/>
  <c r="CS14" i="7"/>
  <c r="CQ14" i="7"/>
  <c r="CO14" i="7"/>
  <c r="CM14" i="7"/>
  <c r="CK14" i="7"/>
  <c r="CI14" i="7"/>
  <c r="CF14" i="7"/>
  <c r="CG14" i="7" s="1"/>
  <c r="CE14" i="7"/>
  <c r="CC14" i="7"/>
  <c r="CA14" i="7"/>
  <c r="BY14" i="7"/>
  <c r="BW14" i="7"/>
  <c r="BU14" i="7"/>
  <c r="BS14" i="7"/>
  <c r="BQ14" i="7"/>
  <c r="BO14" i="7"/>
  <c r="BM14" i="7"/>
  <c r="BK14" i="7"/>
  <c r="BI14" i="7"/>
  <c r="BF14" i="7"/>
  <c r="BG14" i="7" s="1"/>
  <c r="BE14" i="7"/>
  <c r="BC14" i="7"/>
  <c r="BA14" i="7"/>
  <c r="AY14" i="7"/>
  <c r="AW14" i="7"/>
  <c r="AU14" i="7"/>
  <c r="AS14" i="7"/>
  <c r="AQ14" i="7"/>
  <c r="AO14" i="7"/>
  <c r="AM14" i="7"/>
  <c r="AK14" i="7"/>
  <c r="AI14" i="7"/>
  <c r="AF14" i="7"/>
  <c r="AG14" i="7" s="1"/>
  <c r="AE14" i="7"/>
  <c r="AC14" i="7"/>
  <c r="AA14" i="7"/>
  <c r="Y14" i="7"/>
  <c r="W14" i="7"/>
  <c r="U14" i="7"/>
  <c r="S14" i="7"/>
  <c r="Q14" i="7"/>
  <c r="O14" i="7"/>
  <c r="M14" i="7"/>
  <c r="K14" i="7"/>
  <c r="I14" i="7"/>
  <c r="D14" i="7"/>
  <c r="DG13" i="7"/>
  <c r="DE13" i="7"/>
  <c r="DC13" i="7"/>
  <c r="DA13" i="7"/>
  <c r="CY13" i="7"/>
  <c r="CW13" i="7"/>
  <c r="CU13" i="7"/>
  <c r="CS13" i="7"/>
  <c r="CQ13" i="7"/>
  <c r="CO13" i="7"/>
  <c r="CM13" i="7"/>
  <c r="CK13" i="7"/>
  <c r="CI13" i="7"/>
  <c r="CF13" i="7"/>
  <c r="CG13" i="7" s="1"/>
  <c r="CE13" i="7"/>
  <c r="CC13" i="7"/>
  <c r="CA13" i="7"/>
  <c r="BY13" i="7"/>
  <c r="BW13" i="7"/>
  <c r="BU13" i="7"/>
  <c r="BS13" i="7"/>
  <c r="BQ13" i="7"/>
  <c r="BO13" i="7"/>
  <c r="BM13" i="7"/>
  <c r="BK13" i="7"/>
  <c r="BI13" i="7"/>
  <c r="BF13" i="7"/>
  <c r="BG13" i="7" s="1"/>
  <c r="BE13" i="7"/>
  <c r="BC13" i="7"/>
  <c r="BA13" i="7"/>
  <c r="AY13" i="7"/>
  <c r="AW13" i="7"/>
  <c r="AU13" i="7"/>
  <c r="AS13" i="7"/>
  <c r="AQ13" i="7"/>
  <c r="AO13" i="7"/>
  <c r="AM13" i="7"/>
  <c r="AK13" i="7"/>
  <c r="AI13" i="7"/>
  <c r="AF13" i="7"/>
  <c r="AG13" i="7" s="1"/>
  <c r="AE13" i="7"/>
  <c r="AC13" i="7"/>
  <c r="AA13" i="7"/>
  <c r="Y13" i="7"/>
  <c r="W13" i="7"/>
  <c r="U13" i="7"/>
  <c r="S13" i="7"/>
  <c r="Q13" i="7"/>
  <c r="O13" i="7"/>
  <c r="M13" i="7"/>
  <c r="K13" i="7"/>
  <c r="I13" i="7"/>
  <c r="D13" i="7"/>
  <c r="DG12" i="7"/>
  <c r="DE12" i="7"/>
  <c r="DC12" i="7"/>
  <c r="DA12" i="7"/>
  <c r="CY12" i="7"/>
  <c r="CW12" i="7"/>
  <c r="CU12" i="7"/>
  <c r="CS12" i="7"/>
  <c r="CQ12" i="7"/>
  <c r="CO12" i="7"/>
  <c r="CM12" i="7"/>
  <c r="CK12" i="7"/>
  <c r="CI12" i="7"/>
  <c r="CF12" i="7"/>
  <c r="CG12" i="7" s="1"/>
  <c r="CE12" i="7"/>
  <c r="CC12" i="7"/>
  <c r="CA12" i="7"/>
  <c r="BY12" i="7"/>
  <c r="BW12" i="7"/>
  <c r="BU12" i="7"/>
  <c r="BS12" i="7"/>
  <c r="BQ12" i="7"/>
  <c r="BO12" i="7"/>
  <c r="BM12" i="7"/>
  <c r="BK12" i="7"/>
  <c r="BI12" i="7"/>
  <c r="BF12" i="7"/>
  <c r="BG12" i="7" s="1"/>
  <c r="BE12" i="7"/>
  <c r="BC12" i="7"/>
  <c r="BA12" i="7"/>
  <c r="AY12" i="7"/>
  <c r="AW12" i="7"/>
  <c r="AU12" i="7"/>
  <c r="AS12" i="7"/>
  <c r="AQ12" i="7"/>
  <c r="AO12" i="7"/>
  <c r="AM12" i="7"/>
  <c r="AK12" i="7"/>
  <c r="AI12" i="7"/>
  <c r="AE12" i="7"/>
  <c r="AB12" i="7"/>
  <c r="AA12" i="7"/>
  <c r="Y12" i="7"/>
  <c r="W12" i="7"/>
  <c r="T12" i="7"/>
  <c r="T148" i="7" s="1"/>
  <c r="R12" i="7"/>
  <c r="Q12" i="7"/>
  <c r="O12" i="7"/>
  <c r="M12" i="7"/>
  <c r="K12" i="7"/>
  <c r="H12" i="7"/>
  <c r="H148" i="7" s="1"/>
  <c r="D12" i="7"/>
  <c r="DG11" i="7"/>
  <c r="DE11" i="7"/>
  <c r="DC11" i="7"/>
  <c r="DA11" i="7"/>
  <c r="CY11" i="7"/>
  <c r="CW11" i="7"/>
  <c r="CU11" i="7"/>
  <c r="CS11" i="7"/>
  <c r="CQ11" i="7"/>
  <c r="CO11" i="7"/>
  <c r="CM11" i="7"/>
  <c r="CK11" i="7"/>
  <c r="CI11" i="7"/>
  <c r="CF11" i="7"/>
  <c r="CG11" i="7" s="1"/>
  <c r="CE11" i="7"/>
  <c r="CC11" i="7"/>
  <c r="CA11" i="7"/>
  <c r="BY11" i="7"/>
  <c r="BW11" i="7"/>
  <c r="BU11" i="7"/>
  <c r="BS11" i="7"/>
  <c r="BQ11" i="7"/>
  <c r="BO11" i="7"/>
  <c r="BM11" i="7"/>
  <c r="BK11" i="7"/>
  <c r="BI11" i="7"/>
  <c r="BF11" i="7"/>
  <c r="BG11" i="7" s="1"/>
  <c r="BE11" i="7"/>
  <c r="BC11" i="7"/>
  <c r="BA11" i="7"/>
  <c r="AY11" i="7"/>
  <c r="AW11" i="7"/>
  <c r="AU11" i="7"/>
  <c r="AS11" i="7"/>
  <c r="AQ11" i="7"/>
  <c r="AO11" i="7"/>
  <c r="AM11" i="7"/>
  <c r="AK11" i="7"/>
  <c r="AI11" i="7"/>
  <c r="AE11" i="7"/>
  <c r="AC11" i="7"/>
  <c r="AA11" i="7"/>
  <c r="Y11" i="7"/>
  <c r="W11" i="7"/>
  <c r="U11" i="7"/>
  <c r="S11" i="7"/>
  <c r="Q11" i="7"/>
  <c r="O11" i="7"/>
  <c r="M11" i="7"/>
  <c r="J11" i="7"/>
  <c r="I11" i="7"/>
  <c r="D11" i="7"/>
  <c r="DG10" i="7"/>
  <c r="DE10" i="7"/>
  <c r="DC10" i="7"/>
  <c r="DA10" i="7"/>
  <c r="CY10" i="7"/>
  <c r="CW10" i="7"/>
  <c r="CU10" i="7"/>
  <c r="CS10" i="7"/>
  <c r="CQ10" i="7"/>
  <c r="CO10" i="7"/>
  <c r="CM10" i="7"/>
  <c r="CK10" i="7"/>
  <c r="CI10" i="7"/>
  <c r="CF10" i="7"/>
  <c r="CG10" i="7" s="1"/>
  <c r="CE10" i="7"/>
  <c r="CC10" i="7"/>
  <c r="CA10" i="7"/>
  <c r="BY10" i="7"/>
  <c r="BW10" i="7"/>
  <c r="BU10" i="7"/>
  <c r="BS10" i="7"/>
  <c r="BQ10" i="7"/>
  <c r="BO10" i="7"/>
  <c r="BM10" i="7"/>
  <c r="BK10" i="7"/>
  <c r="BI10" i="7"/>
  <c r="BF10" i="7"/>
  <c r="BG10" i="7" s="1"/>
  <c r="BE10" i="7"/>
  <c r="BC10" i="7"/>
  <c r="BA10" i="7"/>
  <c r="AY10" i="7"/>
  <c r="AW10" i="7"/>
  <c r="AU10" i="7"/>
  <c r="AS10" i="7"/>
  <c r="AQ10" i="7"/>
  <c r="AO10" i="7"/>
  <c r="AM10" i="7"/>
  <c r="AK10" i="7"/>
  <c r="AI10" i="7"/>
  <c r="AF10" i="7"/>
  <c r="AG10" i="7" s="1"/>
  <c r="AE10" i="7"/>
  <c r="AC10" i="7"/>
  <c r="AA10" i="7"/>
  <c r="Y10" i="7"/>
  <c r="W10" i="7"/>
  <c r="U10" i="7"/>
  <c r="S10" i="7"/>
  <c r="Q10" i="7"/>
  <c r="O10" i="7"/>
  <c r="M10" i="7"/>
  <c r="K10" i="7"/>
  <c r="I10" i="7"/>
  <c r="DG9" i="7"/>
  <c r="DE9" i="7"/>
  <c r="DC9" i="7"/>
  <c r="DA9" i="7"/>
  <c r="CY9" i="7"/>
  <c r="CW9" i="7"/>
  <c r="CU9" i="7"/>
  <c r="CS9" i="7"/>
  <c r="CQ9" i="7"/>
  <c r="CO9" i="7"/>
  <c r="CM9" i="7"/>
  <c r="CK9" i="7"/>
  <c r="CI9" i="7"/>
  <c r="CF9" i="7"/>
  <c r="CG9" i="7" s="1"/>
  <c r="CE9" i="7"/>
  <c r="CC9" i="7"/>
  <c r="CA9" i="7"/>
  <c r="BY9" i="7"/>
  <c r="BW9" i="7"/>
  <c r="BU9" i="7"/>
  <c r="BS9" i="7"/>
  <c r="BQ9" i="7"/>
  <c r="BO9" i="7"/>
  <c r="BM9" i="7"/>
  <c r="BK9" i="7"/>
  <c r="BI9" i="7"/>
  <c r="BF9" i="7"/>
  <c r="BG9" i="7" s="1"/>
  <c r="BE9" i="7"/>
  <c r="BC9" i="7"/>
  <c r="BA9" i="7"/>
  <c r="AY9" i="7"/>
  <c r="AW9" i="7"/>
  <c r="AU9" i="7"/>
  <c r="AS9" i="7"/>
  <c r="AQ9" i="7"/>
  <c r="AO9" i="7"/>
  <c r="AM9" i="7"/>
  <c r="AK9" i="7"/>
  <c r="AI9" i="7"/>
  <c r="AF9" i="7"/>
  <c r="AG9" i="7" s="1"/>
  <c r="AE9" i="7"/>
  <c r="AC9" i="7"/>
  <c r="AA9" i="7"/>
  <c r="Y9" i="7"/>
  <c r="W9" i="7"/>
  <c r="U9" i="7"/>
  <c r="S9" i="7"/>
  <c r="Q9" i="7"/>
  <c r="O9" i="7"/>
  <c r="M9" i="7"/>
  <c r="K9" i="7"/>
  <c r="I9" i="7"/>
  <c r="DG8" i="7"/>
  <c r="DE8" i="7"/>
  <c r="DC8" i="7"/>
  <c r="DA8" i="7"/>
  <c r="CY8" i="7"/>
  <c r="CW8" i="7"/>
  <c r="CU8" i="7"/>
  <c r="CS8" i="7"/>
  <c r="CQ8" i="7"/>
  <c r="CO8" i="7"/>
  <c r="CM8" i="7"/>
  <c r="CK8" i="7"/>
  <c r="CI8" i="7"/>
  <c r="CF8" i="7"/>
  <c r="CG8" i="7" s="1"/>
  <c r="CE8" i="7"/>
  <c r="CC8" i="7"/>
  <c r="CA8" i="7"/>
  <c r="BY8" i="7"/>
  <c r="BW8" i="7"/>
  <c r="BU8" i="7"/>
  <c r="BS8" i="7"/>
  <c r="BQ8" i="7"/>
  <c r="BO8" i="7"/>
  <c r="BM8" i="7"/>
  <c r="BK8" i="7"/>
  <c r="BI8" i="7"/>
  <c r="BF8" i="7"/>
  <c r="BG8" i="7" s="1"/>
  <c r="BE8" i="7"/>
  <c r="BC8" i="7"/>
  <c r="BA8" i="7"/>
  <c r="AY8" i="7"/>
  <c r="AW8" i="7"/>
  <c r="AU8" i="7"/>
  <c r="AS8" i="7"/>
  <c r="AQ8" i="7"/>
  <c r="AO8" i="7"/>
  <c r="AM8" i="7"/>
  <c r="AK8" i="7"/>
  <c r="AI8" i="7"/>
  <c r="AF8" i="7"/>
  <c r="AG8" i="7" s="1"/>
  <c r="AE8" i="7"/>
  <c r="AC8" i="7"/>
  <c r="AA8" i="7"/>
  <c r="Y8" i="7"/>
  <c r="W8" i="7"/>
  <c r="U8" i="7"/>
  <c r="S8" i="7"/>
  <c r="Q8" i="7"/>
  <c r="O8" i="7"/>
  <c r="M8" i="7"/>
  <c r="K8" i="7"/>
  <c r="I8" i="7"/>
  <c r="DG7" i="7"/>
  <c r="DE7" i="7"/>
  <c r="DC7" i="7"/>
  <c r="DA7" i="7"/>
  <c r="CY7" i="7"/>
  <c r="CW7" i="7"/>
  <c r="CU7" i="7"/>
  <c r="CS7" i="7"/>
  <c r="CQ7" i="7"/>
  <c r="CO7" i="7"/>
  <c r="CM7" i="7"/>
  <c r="CK7" i="7"/>
  <c r="CI7" i="7"/>
  <c r="CF7" i="7"/>
  <c r="CG7" i="7" s="1"/>
  <c r="CE7" i="7"/>
  <c r="CC7" i="7"/>
  <c r="CA7" i="7"/>
  <c r="BY7" i="7"/>
  <c r="BW7" i="7"/>
  <c r="BU7" i="7"/>
  <c r="BS7" i="7"/>
  <c r="BQ7" i="7"/>
  <c r="BO7" i="7"/>
  <c r="BM7" i="7"/>
  <c r="BK7" i="7"/>
  <c r="BI7" i="7"/>
  <c r="BF7" i="7"/>
  <c r="BG7" i="7" s="1"/>
  <c r="BE7" i="7"/>
  <c r="BC7" i="7"/>
  <c r="BA7" i="7"/>
  <c r="AY7" i="7"/>
  <c r="AW7" i="7"/>
  <c r="AU7" i="7"/>
  <c r="AS7" i="7"/>
  <c r="AQ7" i="7"/>
  <c r="AO7" i="7"/>
  <c r="AM7" i="7"/>
  <c r="AK7" i="7"/>
  <c r="AI7" i="7"/>
  <c r="AF7" i="7"/>
  <c r="AG7" i="7" s="1"/>
  <c r="AE7" i="7"/>
  <c r="AC7" i="7"/>
  <c r="AA7" i="7"/>
  <c r="Y7" i="7"/>
  <c r="W7" i="7"/>
  <c r="U7" i="7"/>
  <c r="S7" i="7"/>
  <c r="Q7" i="7"/>
  <c r="O7" i="7"/>
  <c r="M7" i="7"/>
  <c r="K7" i="7"/>
  <c r="I7" i="7"/>
  <c r="DG6" i="7"/>
  <c r="DE6" i="7"/>
  <c r="DC6" i="7"/>
  <c r="DA6" i="7"/>
  <c r="CY6" i="7"/>
  <c r="CW6" i="7"/>
  <c r="CU6" i="7"/>
  <c r="CS6" i="7"/>
  <c r="CQ6" i="7"/>
  <c r="CO6" i="7"/>
  <c r="CM6" i="7"/>
  <c r="CK6" i="7"/>
  <c r="CI6" i="7"/>
  <c r="CF6" i="7"/>
  <c r="CG6" i="7" s="1"/>
  <c r="CE6" i="7"/>
  <c r="CC6" i="7"/>
  <c r="CA6" i="7"/>
  <c r="BY6" i="7"/>
  <c r="BW6" i="7"/>
  <c r="BU6" i="7"/>
  <c r="BS6" i="7"/>
  <c r="BQ6" i="7"/>
  <c r="BO6" i="7"/>
  <c r="BM6" i="7"/>
  <c r="BK6" i="7"/>
  <c r="BI6" i="7"/>
  <c r="BF6" i="7"/>
  <c r="BG6" i="7" s="1"/>
  <c r="BE6" i="7"/>
  <c r="BC6" i="7"/>
  <c r="BA6" i="7"/>
  <c r="AY6" i="7"/>
  <c r="AW6" i="7"/>
  <c r="AU6" i="7"/>
  <c r="AS6" i="7"/>
  <c r="AQ6" i="7"/>
  <c r="AO6" i="7"/>
  <c r="AM6" i="7"/>
  <c r="AK6" i="7"/>
  <c r="AI6" i="7"/>
  <c r="AF6" i="7"/>
  <c r="AG6" i="7" s="1"/>
  <c r="AE6" i="7"/>
  <c r="AC6" i="7"/>
  <c r="AA6" i="7"/>
  <c r="Y6" i="7"/>
  <c r="W6" i="7"/>
  <c r="U6" i="7"/>
  <c r="S6" i="7"/>
  <c r="Q6" i="7"/>
  <c r="O6" i="7"/>
  <c r="M6" i="7"/>
  <c r="K6" i="7"/>
  <c r="I6" i="7"/>
  <c r="DG5" i="7"/>
  <c r="DE5" i="7"/>
  <c r="DC5" i="7"/>
  <c r="DA5" i="7"/>
  <c r="CY5" i="7"/>
  <c r="CW5" i="7"/>
  <c r="CU5" i="7"/>
  <c r="CS5" i="7"/>
  <c r="CQ5" i="7"/>
  <c r="CO5" i="7"/>
  <c r="CM5" i="7"/>
  <c r="CK5" i="7"/>
  <c r="CI5" i="7"/>
  <c r="CF5" i="7"/>
  <c r="CG5" i="7" s="1"/>
  <c r="CE5" i="7"/>
  <c r="CC5" i="7"/>
  <c r="CA5" i="7"/>
  <c r="BY5" i="7"/>
  <c r="BW5" i="7"/>
  <c r="BU5" i="7"/>
  <c r="BS5" i="7"/>
  <c r="BQ5" i="7"/>
  <c r="BO5" i="7"/>
  <c r="BM5" i="7"/>
  <c r="BK5" i="7"/>
  <c r="BI5" i="7"/>
  <c r="BF5" i="7"/>
  <c r="BG5" i="7" s="1"/>
  <c r="BE5" i="7"/>
  <c r="BC5" i="7"/>
  <c r="BA5" i="7"/>
  <c r="AY5" i="7"/>
  <c r="AW5" i="7"/>
  <c r="AU5" i="7"/>
  <c r="AS5" i="7"/>
  <c r="AQ5" i="7"/>
  <c r="AO5" i="7"/>
  <c r="AM5" i="7"/>
  <c r="AK5" i="7"/>
  <c r="AI5" i="7"/>
  <c r="AF5" i="7"/>
  <c r="AG5" i="7" s="1"/>
  <c r="AE5" i="7"/>
  <c r="AC5" i="7"/>
  <c r="AA5" i="7"/>
  <c r="Y5" i="7"/>
  <c r="W5" i="7"/>
  <c r="U5" i="7"/>
  <c r="S5" i="7"/>
  <c r="Q5" i="7"/>
  <c r="O5" i="7"/>
  <c r="M5" i="7"/>
  <c r="K5" i="7"/>
  <c r="I5" i="7"/>
  <c r="DE4" i="7"/>
  <c r="DC4" i="7"/>
  <c r="DA4" i="7"/>
  <c r="CY4" i="7"/>
  <c r="CW4" i="7"/>
  <c r="CU4" i="7"/>
  <c r="CS4" i="7"/>
  <c r="CQ4" i="7"/>
  <c r="CO4" i="7"/>
  <c r="CM4" i="7"/>
  <c r="CK4" i="7"/>
  <c r="CI4" i="7"/>
  <c r="CF4" i="7"/>
  <c r="CG4" i="7" s="1"/>
  <c r="CE4" i="7"/>
  <c r="CC4" i="7"/>
  <c r="CA4" i="7"/>
  <c r="BY4" i="7"/>
  <c r="BW4" i="7"/>
  <c r="BU4" i="7"/>
  <c r="BS4" i="7"/>
  <c r="BQ4" i="7"/>
  <c r="BO4" i="7"/>
  <c r="BM4" i="7"/>
  <c r="BK4" i="7"/>
  <c r="BI4" i="7"/>
  <c r="BF4" i="7"/>
  <c r="BG4" i="7" s="1"/>
  <c r="BE4" i="7"/>
  <c r="BC4" i="7"/>
  <c r="BA4" i="7"/>
  <c r="AY4" i="7"/>
  <c r="AW4" i="7"/>
  <c r="AU4" i="7"/>
  <c r="AS4" i="7"/>
  <c r="AQ4" i="7"/>
  <c r="AO4" i="7"/>
  <c r="AM4" i="7"/>
  <c r="AK4" i="7"/>
  <c r="AI4" i="7"/>
  <c r="AF4" i="7"/>
  <c r="AE4" i="7"/>
  <c r="AC4" i="7"/>
  <c r="AA4" i="7"/>
  <c r="Y4" i="7"/>
  <c r="W4" i="7"/>
  <c r="U4" i="7"/>
  <c r="S4" i="7"/>
  <c r="Q4" i="7"/>
  <c r="O4" i="7"/>
  <c r="M4" i="7"/>
  <c r="K4" i="7"/>
  <c r="I4" i="7"/>
  <c r="AV166" i="7" l="1"/>
  <c r="AN166" i="7"/>
  <c r="CR166" i="7"/>
  <c r="H166" i="7"/>
  <c r="AT166" i="7"/>
  <c r="BL166" i="7"/>
  <c r="CT166" i="7"/>
  <c r="T166" i="7"/>
  <c r="BJ166" i="7"/>
  <c r="CD166" i="7"/>
  <c r="BZ166" i="7"/>
  <c r="AX166" i="7"/>
  <c r="BO165" i="7"/>
  <c r="CN166" i="7"/>
  <c r="CM182" i="7"/>
  <c r="L166" i="7"/>
  <c r="AI165" i="7"/>
  <c r="CP166" i="7"/>
  <c r="AL182" i="7"/>
  <c r="BN166" i="7"/>
  <c r="CV166" i="7"/>
  <c r="CU165" i="7"/>
  <c r="N166" i="7"/>
  <c r="BB166" i="7"/>
  <c r="BT166" i="7"/>
  <c r="AK165" i="7"/>
  <c r="BS165" i="7"/>
  <c r="CW165" i="7"/>
  <c r="AM172" i="7"/>
  <c r="BA172" i="7"/>
  <c r="BA182" i="7" s="1"/>
  <c r="AZ182" i="7"/>
  <c r="D23" i="7"/>
  <c r="BM148" i="7"/>
  <c r="DA148" i="7"/>
  <c r="BV166" i="7"/>
  <c r="DD166" i="7"/>
  <c r="CF151" i="7"/>
  <c r="CF165" i="7" s="1"/>
  <c r="CB165" i="7"/>
  <c r="CB166" i="7" s="1"/>
  <c r="Y148" i="7"/>
  <c r="J148" i="7"/>
  <c r="J166" i="7" s="1"/>
  <c r="AF11" i="7"/>
  <c r="AG11" i="7" s="1"/>
  <c r="U12" i="7"/>
  <c r="U148" i="7" s="1"/>
  <c r="BH166" i="7"/>
  <c r="K11" i="7"/>
  <c r="K148" i="7" s="1"/>
  <c r="I12" i="7"/>
  <c r="I148" i="7" s="1"/>
  <c r="AA165" i="7"/>
  <c r="CF173" i="7"/>
  <c r="CG173" i="7" s="1"/>
  <c r="AO148" i="7"/>
  <c r="BJ182" i="7"/>
  <c r="BY173" i="7"/>
  <c r="BF177" i="7"/>
  <c r="BG177" i="7" s="1"/>
  <c r="CJ182" i="7"/>
  <c r="BZ182" i="7"/>
  <c r="CA178" i="7"/>
  <c r="CA182" i="7" s="1"/>
  <c r="P166" i="7"/>
  <c r="BD166" i="7"/>
  <c r="BK172" i="7"/>
  <c r="BK182" i="7" s="1"/>
  <c r="AY177" i="7"/>
  <c r="K165" i="7"/>
  <c r="AQ165" i="7"/>
  <c r="AP165" i="7"/>
  <c r="AP166" i="7" s="1"/>
  <c r="BX166" i="7"/>
  <c r="CP182" i="7"/>
  <c r="M182" i="7"/>
  <c r="BF175" i="7"/>
  <c r="BG175" i="7" s="1"/>
  <c r="AF178" i="7"/>
  <c r="AG178" i="7" s="1"/>
  <c r="AR166" i="7"/>
  <c r="CO165" i="7"/>
  <c r="DE165" i="7"/>
  <c r="AR182" i="7"/>
  <c r="CQ172" i="7"/>
  <c r="CQ182" i="7" s="1"/>
  <c r="AY175" i="7"/>
  <c r="W178" i="7"/>
  <c r="CX182" i="7"/>
  <c r="AD166" i="7"/>
  <c r="BM165" i="7"/>
  <c r="AS172" i="7"/>
  <c r="AF180" i="7"/>
  <c r="AG180" i="7" s="1"/>
  <c r="CK148" i="7"/>
  <c r="BP166" i="7"/>
  <c r="CH166" i="7"/>
  <c r="CX166" i="7"/>
  <c r="CE165" i="7"/>
  <c r="CM165" i="7"/>
  <c r="DD182" i="7"/>
  <c r="DF173" i="7"/>
  <c r="Q148" i="7"/>
  <c r="AU148" i="7"/>
  <c r="BK148" i="7"/>
  <c r="CA148" i="7"/>
  <c r="CO148" i="7"/>
  <c r="DE148" i="7"/>
  <c r="D22" i="7"/>
  <c r="D24" i="7"/>
  <c r="DG95" i="7"/>
  <c r="D95" i="7"/>
  <c r="R148" i="7"/>
  <c r="R166" i="7" s="1"/>
  <c r="S12" i="7"/>
  <c r="S148" i="7" s="1"/>
  <c r="DG26" i="7"/>
  <c r="D26" i="7"/>
  <c r="D40" i="7"/>
  <c r="D42" i="7"/>
  <c r="D49" i="7"/>
  <c r="D52" i="7"/>
  <c r="D56" i="7"/>
  <c r="D58" i="7"/>
  <c r="DG62" i="7"/>
  <c r="D62" i="7"/>
  <c r="D70" i="7"/>
  <c r="D127" i="7"/>
  <c r="D130" i="7"/>
  <c r="D131" i="7"/>
  <c r="DG155" i="7"/>
  <c r="D155" i="7"/>
  <c r="BI148" i="7"/>
  <c r="BY148" i="7"/>
  <c r="CM148" i="7"/>
  <c r="DC148" i="7"/>
  <c r="DG23" i="7"/>
  <c r="D41" i="7"/>
  <c r="D51" i="7"/>
  <c r="D57" i="7"/>
  <c r="D84" i="7"/>
  <c r="AU173" i="7"/>
  <c r="AT182" i="7"/>
  <c r="D173" i="7"/>
  <c r="DG173" i="7"/>
  <c r="AG4" i="7"/>
  <c r="AW148" i="7"/>
  <c r="CC148" i="7"/>
  <c r="CQ148" i="7"/>
  <c r="D139" i="7"/>
  <c r="D136" i="7"/>
  <c r="D114" i="7"/>
  <c r="D92" i="7"/>
  <c r="D144" i="7"/>
  <c r="D135" i="7"/>
  <c r="D124" i="7"/>
  <c r="D113" i="7"/>
  <c r="D98" i="7"/>
  <c r="D90" i="7"/>
  <c r="DF148" i="7"/>
  <c r="D133" i="7"/>
  <c r="D99" i="7"/>
  <c r="D118" i="7"/>
  <c r="D138" i="7"/>
  <c r="D137" i="7"/>
  <c r="D116" i="7"/>
  <c r="D97" i="7"/>
  <c r="D47" i="7"/>
  <c r="D46" i="7"/>
  <c r="D38" i="7"/>
  <c r="D29" i="7"/>
  <c r="D20" i="7"/>
  <c r="D8" i="7"/>
  <c r="D78" i="7"/>
  <c r="D45" i="7"/>
  <c r="D37" i="7"/>
  <c r="D28" i="7"/>
  <c r="D19" i="7"/>
  <c r="D7" i="7"/>
  <c r="D93" i="7"/>
  <c r="D67" i="7"/>
  <c r="D44" i="7"/>
  <c r="D36" i="7"/>
  <c r="D27" i="7"/>
  <c r="D18" i="7"/>
  <c r="D6" i="7"/>
  <c r="DG4" i="7"/>
  <c r="D4" i="7"/>
  <c r="D88" i="7"/>
  <c r="D82" i="7"/>
  <c r="D81" i="7"/>
  <c r="D74" i="7"/>
  <c r="D71" i="7"/>
  <c r="D63" i="7"/>
  <c r="DG35" i="7"/>
  <c r="D35" i="7"/>
  <c r="D60" i="7"/>
  <c r="DG61" i="7"/>
  <c r="D61" i="7"/>
  <c r="D94" i="7"/>
  <c r="DG94" i="7"/>
  <c r="D111" i="7"/>
  <c r="AI148" i="7"/>
  <c r="AI166" i="7" s="1"/>
  <c r="AY148" i="7"/>
  <c r="CS148" i="7"/>
  <c r="DG60" i="7"/>
  <c r="DG17" i="7"/>
  <c r="D17" i="7"/>
  <c r="D32" i="7"/>
  <c r="D34" i="7"/>
  <c r="DG64" i="7"/>
  <c r="D64" i="7"/>
  <c r="D72" i="7"/>
  <c r="BG148" i="7"/>
  <c r="D10" i="7"/>
  <c r="AB148" i="7"/>
  <c r="AB166" i="7" s="1"/>
  <c r="AF12" i="7"/>
  <c r="AG12" i="7" s="1"/>
  <c r="D33" i="7"/>
  <c r="DG43" i="7"/>
  <c r="D43" i="7"/>
  <c r="D103" i="7"/>
  <c r="D106" i="7"/>
  <c r="AZ166" i="7"/>
  <c r="BE148" i="7"/>
  <c r="BE166" i="7" s="1"/>
  <c r="BU148" i="7"/>
  <c r="AC12" i="7"/>
  <c r="AC148" i="7" s="1"/>
  <c r="D16" i="7"/>
  <c r="DG80" i="7"/>
  <c r="D80" i="7"/>
  <c r="U176" i="7"/>
  <c r="AF176" i="7"/>
  <c r="AG176" i="7" s="1"/>
  <c r="DG68" i="7"/>
  <c r="D68" i="7"/>
  <c r="AL165" i="7"/>
  <c r="AL166" i="7" s="1"/>
  <c r="AM150" i="7"/>
  <c r="AM165" i="7" s="1"/>
  <c r="AY165" i="7"/>
  <c r="BC172" i="7"/>
  <c r="BB182" i="7"/>
  <c r="AF177" i="7"/>
  <c r="AG177" i="7" s="1"/>
  <c r="W148" i="7"/>
  <c r="AK148" i="7"/>
  <c r="BA148" i="7"/>
  <c r="BO148" i="7"/>
  <c r="CE148" i="7"/>
  <c r="DG66" i="7"/>
  <c r="D66" i="7"/>
  <c r="DG86" i="7"/>
  <c r="D86" i="7"/>
  <c r="D105" i="7"/>
  <c r="DG106" i="7"/>
  <c r="D109" i="7"/>
  <c r="D117" i="7"/>
  <c r="I165" i="7"/>
  <c r="Y165" i="7"/>
  <c r="BW165" i="7"/>
  <c r="CG151" i="7"/>
  <c r="CG165" i="7" s="1"/>
  <c r="I172" i="7"/>
  <c r="I182" i="7" s="1"/>
  <c r="H182" i="7"/>
  <c r="R182" i="7"/>
  <c r="S172" i="7"/>
  <c r="S182" i="7" s="1"/>
  <c r="AD182" i="7"/>
  <c r="AF172" i="7"/>
  <c r="AE172" i="7"/>
  <c r="AA177" i="7"/>
  <c r="AA182" i="7" s="1"/>
  <c r="BF180" i="7"/>
  <c r="BG180" i="7" s="1"/>
  <c r="BE180" i="7"/>
  <c r="L182" i="7"/>
  <c r="AM148" i="7"/>
  <c r="BC148" i="7"/>
  <c r="BQ148" i="7"/>
  <c r="CF148" i="7"/>
  <c r="CU148" i="7"/>
  <c r="CU166" i="7" s="1"/>
  <c r="D83" i="7"/>
  <c r="DG101" i="7"/>
  <c r="D101" i="7"/>
  <c r="BF148" i="7"/>
  <c r="DC165" i="7"/>
  <c r="S165" i="7"/>
  <c r="D153" i="7"/>
  <c r="T182" i="7"/>
  <c r="U172" i="7"/>
  <c r="BH182" i="7"/>
  <c r="BI180" i="7"/>
  <c r="BI182" i="7" s="1"/>
  <c r="AA148" i="7"/>
  <c r="BS148" i="7"/>
  <c r="CG148" i="7"/>
  <c r="CW148" i="7"/>
  <c r="CW166" i="7" s="1"/>
  <c r="D123" i="7"/>
  <c r="D128" i="7"/>
  <c r="DG128" i="7"/>
  <c r="BK165" i="7"/>
  <c r="CA165" i="7"/>
  <c r="CH182" i="7"/>
  <c r="CI172" i="7"/>
  <c r="CI182" i="7" s="1"/>
  <c r="BF174" i="7"/>
  <c r="BG174" i="7" s="1"/>
  <c r="M148" i="7"/>
  <c r="AQ148" i="7"/>
  <c r="CI148" i="7"/>
  <c r="CY148" i="7"/>
  <c r="D107" i="7"/>
  <c r="DG132" i="7"/>
  <c r="D132" i="7"/>
  <c r="AU165" i="7"/>
  <c r="CQ165" i="7"/>
  <c r="DF165" i="7"/>
  <c r="D160" i="7"/>
  <c r="D158" i="7"/>
  <c r="D150" i="7"/>
  <c r="D154" i="7"/>
  <c r="D152" i="7"/>
  <c r="D151" i="7"/>
  <c r="D162" i="7"/>
  <c r="D156" i="7"/>
  <c r="DG150" i="7"/>
  <c r="BW182" i="7"/>
  <c r="O148" i="7"/>
  <c r="AE148" i="7"/>
  <c r="AS148" i="7"/>
  <c r="BW148" i="7"/>
  <c r="D9" i="7"/>
  <c r="D21" i="7"/>
  <c r="D31" i="7"/>
  <c r="D39" i="7"/>
  <c r="D50" i="7"/>
  <c r="DG55" i="7"/>
  <c r="D55" i="7"/>
  <c r="DG75" i="7"/>
  <c r="D75" i="7"/>
  <c r="DG89" i="7"/>
  <c r="D89" i="7"/>
  <c r="D102" i="7"/>
  <c r="D110" i="7"/>
  <c r="D129" i="7"/>
  <c r="CZ166" i="7"/>
  <c r="AG165" i="7"/>
  <c r="AW165" i="7"/>
  <c r="BX182" i="7"/>
  <c r="BY172" i="7"/>
  <c r="AY176" i="7"/>
  <c r="BF176" i="7"/>
  <c r="BG176" i="7" s="1"/>
  <c r="BF178" i="7"/>
  <c r="BG178" i="7" s="1"/>
  <c r="AO178" i="7"/>
  <c r="M165" i="7"/>
  <c r="AC165" i="7"/>
  <c r="CS165" i="7"/>
  <c r="K182" i="7"/>
  <c r="BE172" i="7"/>
  <c r="BD182" i="7"/>
  <c r="BN182" i="7"/>
  <c r="N182" i="7"/>
  <c r="CF176" i="7"/>
  <c r="CG176" i="7" s="1"/>
  <c r="DC178" i="7"/>
  <c r="DC182" i="7" s="1"/>
  <c r="DF178" i="7"/>
  <c r="D77" i="7"/>
  <c r="D87" i="7"/>
  <c r="DG127" i="7"/>
  <c r="D120" i="7"/>
  <c r="O165" i="7"/>
  <c r="AE165" i="7"/>
  <c r="AO165" i="7"/>
  <c r="BA165" i="7"/>
  <c r="BQ165" i="7"/>
  <c r="CC151" i="7"/>
  <c r="CC165" i="7" s="1"/>
  <c r="DG153" i="7"/>
  <c r="V182" i="7"/>
  <c r="W172" i="7"/>
  <c r="AS182" i="7"/>
  <c r="BF172" i="7"/>
  <c r="BO172" i="7"/>
  <c r="BO182" i="7" s="1"/>
  <c r="O173" i="7"/>
  <c r="O182" i="7" s="1"/>
  <c r="X182" i="7"/>
  <c r="Q165" i="7"/>
  <c r="BC165" i="7"/>
  <c r="DG159" i="7"/>
  <c r="D159" i="7"/>
  <c r="AF165" i="7"/>
  <c r="AJ182" i="7"/>
  <c r="AK172" i="7"/>
  <c r="AK182" i="7" s="1"/>
  <c r="BP182" i="7"/>
  <c r="BQ172" i="7"/>
  <c r="BQ182" i="7" s="1"/>
  <c r="CV182" i="7"/>
  <c r="CW172" i="7"/>
  <c r="CW182" i="7" s="1"/>
  <c r="CR182" i="7"/>
  <c r="CS176" i="7"/>
  <c r="CS182" i="7" s="1"/>
  <c r="DF179" i="7"/>
  <c r="DG123" i="7"/>
  <c r="D134" i="7"/>
  <c r="D143" i="7"/>
  <c r="BE165" i="7"/>
  <c r="BU165" i="7"/>
  <c r="CI165" i="7"/>
  <c r="CY165" i="7"/>
  <c r="D157" i="7"/>
  <c r="AH165" i="7"/>
  <c r="AH166" i="7" s="1"/>
  <c r="AU182" i="7"/>
  <c r="BR182" i="7"/>
  <c r="AC173" i="7"/>
  <c r="AB182" i="7"/>
  <c r="CF174" i="7"/>
  <c r="CG174" i="7" s="1"/>
  <c r="CF175" i="7"/>
  <c r="CG175" i="7" s="1"/>
  <c r="CK178" i="7"/>
  <c r="CY179" i="7"/>
  <c r="CY182" i="7" s="1"/>
  <c r="CN182" i="7"/>
  <c r="CO180" i="7"/>
  <c r="CO182" i="7" s="1"/>
  <c r="U165" i="7"/>
  <c r="BF150" i="7"/>
  <c r="CK165" i="7"/>
  <c r="DA165" i="7"/>
  <c r="BF151" i="7"/>
  <c r="BG151" i="7" s="1"/>
  <c r="AM182" i="7"/>
  <c r="AW182" i="7"/>
  <c r="BU172" i="7"/>
  <c r="BU182" i="7" s="1"/>
  <c r="BT182" i="7"/>
  <c r="CD182" i="7"/>
  <c r="CE172" i="7"/>
  <c r="AF173" i="7"/>
  <c r="AG173" i="7" s="1"/>
  <c r="BF173" i="7"/>
  <c r="BG173" i="7" s="1"/>
  <c r="BC173" i="7"/>
  <c r="DF174" i="7"/>
  <c r="AV182" i="7"/>
  <c r="W165" i="7"/>
  <c r="AS150" i="7"/>
  <c r="AS165" i="7" s="1"/>
  <c r="BI165" i="7"/>
  <c r="BY165" i="7"/>
  <c r="DG163" i="7"/>
  <c r="D163" i="7"/>
  <c r="AO172" i="7"/>
  <c r="AN182" i="7"/>
  <c r="AX182" i="7"/>
  <c r="AY172" i="7"/>
  <c r="CF172" i="7"/>
  <c r="DA172" i="7"/>
  <c r="DA182" i="7" s="1"/>
  <c r="DF172" i="7"/>
  <c r="CZ182" i="7"/>
  <c r="AE173" i="7"/>
  <c r="CF177" i="7"/>
  <c r="CG177" i="7" s="1"/>
  <c r="CC180" i="7"/>
  <c r="CF180" i="7"/>
  <c r="CG180" i="7" s="1"/>
  <c r="BL182" i="7"/>
  <c r="AP182" i="7"/>
  <c r="DB182" i="7"/>
  <c r="AF174" i="7"/>
  <c r="AG174" i="7" s="1"/>
  <c r="AE174" i="7"/>
  <c r="DF175" i="7"/>
  <c r="AC180" i="7"/>
  <c r="Y182" i="7"/>
  <c r="AH182" i="7"/>
  <c r="AQ182" i="7"/>
  <c r="CK182" i="7"/>
  <c r="CT182" i="7"/>
  <c r="AF175" i="7"/>
  <c r="AG175" i="7" s="1"/>
  <c r="CF179" i="7"/>
  <c r="CG179" i="7" s="1"/>
  <c r="P182" i="7"/>
  <c r="CB182" i="7"/>
  <c r="D161" i="7"/>
  <c r="Q182" i="7"/>
  <c r="Z182" i="7"/>
  <c r="AI172" i="7"/>
  <c r="AI182" i="7" s="1"/>
  <c r="BS172" i="7"/>
  <c r="BS182" i="7" s="1"/>
  <c r="CL182" i="7"/>
  <c r="CU182" i="7"/>
  <c r="AC175" i="7"/>
  <c r="DF176" i="7"/>
  <c r="DE176" i="7"/>
  <c r="DE182" i="7" s="1"/>
  <c r="CF178" i="7"/>
  <c r="CG178" i="7" s="1"/>
  <c r="CE178" i="7"/>
  <c r="CC179" i="7"/>
  <c r="AF179" i="7"/>
  <c r="AG179" i="7" s="1"/>
  <c r="BF179" i="7"/>
  <c r="BG179" i="7" s="1"/>
  <c r="J182" i="7"/>
  <c r="BM182" i="7"/>
  <c r="BV182" i="7"/>
  <c r="DF177" i="7"/>
  <c r="BE179" i="7"/>
  <c r="DF180" i="7"/>
  <c r="BO166" i="7" l="1"/>
  <c r="CK166" i="7"/>
  <c r="Y166" i="7"/>
  <c r="CO166" i="7"/>
  <c r="AM166" i="7"/>
  <c r="AE166" i="7"/>
  <c r="BS166" i="7"/>
  <c r="BC166" i="7"/>
  <c r="K166" i="7"/>
  <c r="AO182" i="7"/>
  <c r="O166" i="7"/>
  <c r="CY166" i="7"/>
  <c r="W182" i="7"/>
  <c r="CM166" i="7"/>
  <c r="AA166" i="7"/>
  <c r="AQ166" i="7"/>
  <c r="AU166" i="7"/>
  <c r="CF166" i="7"/>
  <c r="BY182" i="7"/>
  <c r="DA166" i="7"/>
  <c r="CE166" i="7"/>
  <c r="DE166" i="7"/>
  <c r="BM166" i="7"/>
  <c r="DG165" i="7"/>
  <c r="AO166" i="7"/>
  <c r="AC166" i="7"/>
  <c r="I166" i="7"/>
  <c r="U182" i="7"/>
  <c r="CC182" i="7"/>
  <c r="AC182" i="7"/>
  <c r="AK166" i="7"/>
  <c r="BK166" i="7"/>
  <c r="BQ166" i="7"/>
  <c r="AG172" i="7"/>
  <c r="AG182" i="7" s="1"/>
  <c r="AF182" i="7"/>
  <c r="S166" i="7"/>
  <c r="BG150" i="7"/>
  <c r="BG165" i="7" s="1"/>
  <c r="BF165" i="7"/>
  <c r="BF166" i="7" s="1"/>
  <c r="DG178" i="7"/>
  <c r="D178" i="7"/>
  <c r="CI166" i="7"/>
  <c r="DF166" i="7"/>
  <c r="BF182" i="7"/>
  <c r="BG172" i="7"/>
  <c r="BG182" i="7" s="1"/>
  <c r="BC182" i="7"/>
  <c r="BG166" i="7"/>
  <c r="DC166" i="7"/>
  <c r="AF148" i="7"/>
  <c r="AF166" i="7" s="1"/>
  <c r="CF182" i="7"/>
  <c r="CG172" i="7"/>
  <c r="CG182" i="7" s="1"/>
  <c r="BW166" i="7"/>
  <c r="CS166" i="7"/>
  <c r="Q166" i="7"/>
  <c r="D180" i="7"/>
  <c r="DG180" i="7"/>
  <c r="AY182" i="7"/>
  <c r="AS166" i="7"/>
  <c r="M166" i="7"/>
  <c r="AY166" i="7"/>
  <c r="CQ166" i="7"/>
  <c r="BY166" i="7"/>
  <c r="DG176" i="7"/>
  <c r="D176" i="7"/>
  <c r="DF182" i="7"/>
  <c r="D172" i="7"/>
  <c r="DG172" i="7"/>
  <c r="DG175" i="7"/>
  <c r="D175" i="7"/>
  <c r="CE182" i="7"/>
  <c r="BA166" i="7"/>
  <c r="CC166" i="7"/>
  <c r="BI166" i="7"/>
  <c r="D177" i="7"/>
  <c r="DG177" i="7"/>
  <c r="CG166" i="7"/>
  <c r="U166" i="7"/>
  <c r="DG148" i="7"/>
  <c r="AW166" i="7"/>
  <c r="DG174" i="7"/>
  <c r="D174" i="7"/>
  <c r="D179" i="7"/>
  <c r="DG179" i="7"/>
  <c r="BE182" i="7"/>
  <c r="AE182" i="7"/>
  <c r="W166" i="7"/>
  <c r="BU166" i="7"/>
  <c r="AG148" i="7"/>
  <c r="AG166" i="7" s="1"/>
  <c r="CA166" i="7"/>
  <c r="DG166" i="7" l="1"/>
  <c r="DG182" i="7"/>
  <c r="L17" i="6" l="1"/>
  <c r="K17" i="6"/>
  <c r="AC37" i="6"/>
  <c r="K18" i="6" s="1"/>
  <c r="AB37" i="6"/>
  <c r="AA37" i="6"/>
  <c r="K16" i="6" s="1"/>
  <c r="I16" i="6"/>
  <c r="L36" i="6"/>
  <c r="AI11" i="5"/>
  <c r="L18" i="6" l="1"/>
  <c r="N18" i="6" s="1"/>
  <c r="M18" i="6"/>
  <c r="L16" i="6"/>
  <c r="N16" i="6" s="1"/>
  <c r="N19" i="6" s="1"/>
  <c r="M16" i="6"/>
  <c r="M19" i="6" s="1"/>
  <c r="K19" i="6"/>
  <c r="L19" i="6"/>
  <c r="AI5" i="5"/>
  <c r="AJ5" i="5"/>
  <c r="AH8" i="5" l="1"/>
  <c r="AH7" i="5"/>
  <c r="V7" i="5"/>
  <c r="V8" i="5"/>
  <c r="X7" i="5"/>
  <c r="X8" i="5"/>
  <c r="Z8" i="5"/>
  <c r="AB8" i="5"/>
  <c r="AF7" i="5"/>
  <c r="AH6" i="5"/>
  <c r="AH5" i="5"/>
  <c r="AD5" i="5"/>
  <c r="AF11" i="5" l="1"/>
  <c r="AE11" i="5" l="1"/>
  <c r="AF8" i="5"/>
  <c r="AF6" i="5"/>
  <c r="AF5" i="5"/>
  <c r="AI8" i="5" l="1"/>
  <c r="AJ8" i="5"/>
  <c r="AD11" i="5"/>
  <c r="AC11" i="5"/>
  <c r="AD8" i="5"/>
  <c r="AD6" i="5"/>
  <c r="AD7" i="5"/>
  <c r="AB7" i="5"/>
  <c r="AB6" i="5"/>
  <c r="AB5" i="5"/>
  <c r="Z6" i="5"/>
  <c r="Z7" i="5"/>
  <c r="Z5" i="5"/>
  <c r="DF124" i="1"/>
  <c r="DG124" i="1" s="1"/>
  <c r="DE124" i="1"/>
  <c r="DC124" i="1"/>
  <c r="DA124" i="1"/>
  <c r="CY124" i="1"/>
  <c r="CW124" i="1"/>
  <c r="CU124" i="1"/>
  <c r="CS124" i="1"/>
  <c r="CQ124" i="1"/>
  <c r="CO124" i="1"/>
  <c r="CM124" i="1"/>
  <c r="CK124" i="1"/>
  <c r="CI124" i="1"/>
  <c r="CF124" i="1"/>
  <c r="CG124" i="1" s="1"/>
  <c r="BF124" i="1"/>
  <c r="BG124" i="1" s="1"/>
  <c r="AF124" i="1"/>
  <c r="AG124" i="1" s="1"/>
  <c r="AA11" i="5"/>
  <c r="S11" i="5" l="1"/>
  <c r="G11" i="5"/>
  <c r="I11" i="5"/>
  <c r="K11" i="5"/>
  <c r="M11" i="5"/>
  <c r="O11" i="5"/>
  <c r="Q11" i="5"/>
  <c r="U11" i="5"/>
  <c r="W11" i="5"/>
  <c r="Y11" i="5"/>
  <c r="Z11" i="5"/>
  <c r="AB11" i="5"/>
  <c r="AG11" i="5"/>
  <c r="AH11" i="5"/>
  <c r="E11" i="5"/>
  <c r="AI7" i="5"/>
  <c r="AJ7" i="5"/>
  <c r="CO120" i="1"/>
  <c r="CQ120" i="1"/>
  <c r="CS120" i="1"/>
  <c r="CO121" i="1"/>
  <c r="CQ121" i="1"/>
  <c r="CS121" i="1"/>
  <c r="CO122" i="1"/>
  <c r="CQ122" i="1"/>
  <c r="CS122" i="1"/>
  <c r="CO123" i="1"/>
  <c r="CQ123" i="1"/>
  <c r="CS123" i="1"/>
  <c r="CU120" i="1"/>
  <c r="CU121" i="1"/>
  <c r="CU122" i="1"/>
  <c r="CU123" i="1"/>
  <c r="CM120" i="1"/>
  <c r="CM121" i="1"/>
  <c r="CM122" i="1"/>
  <c r="CM123" i="1"/>
  <c r="CK120" i="1"/>
  <c r="CK121" i="1"/>
  <c r="CK122" i="1"/>
  <c r="CK123" i="1"/>
  <c r="CI120" i="1"/>
  <c r="CI121" i="1"/>
  <c r="CI122" i="1"/>
  <c r="CI123" i="1"/>
  <c r="CW120" i="1"/>
  <c r="CY120" i="1"/>
  <c r="DA120" i="1"/>
  <c r="DC120" i="1"/>
  <c r="DE120" i="1"/>
  <c r="DF120" i="1"/>
  <c r="DG120" i="1" s="1"/>
  <c r="CW121" i="1"/>
  <c r="CY121" i="1"/>
  <c r="DA121" i="1"/>
  <c r="DC121" i="1"/>
  <c r="DE121" i="1"/>
  <c r="DF121" i="1"/>
  <c r="DG121" i="1" s="1"/>
  <c r="CW122" i="1"/>
  <c r="CY122" i="1"/>
  <c r="DA122" i="1"/>
  <c r="DC122" i="1"/>
  <c r="DE122" i="1"/>
  <c r="DF122" i="1"/>
  <c r="DG122" i="1" s="1"/>
  <c r="CW123" i="1"/>
  <c r="CY123" i="1"/>
  <c r="DA123" i="1"/>
  <c r="DC123" i="1"/>
  <c r="DE123" i="1"/>
  <c r="DF123" i="1"/>
  <c r="DG123" i="1" s="1"/>
  <c r="X6" i="5" l="1"/>
  <c r="X5" i="5"/>
  <c r="X11" i="5" s="1"/>
  <c r="DF150" i="1" l="1"/>
  <c r="DF151" i="1"/>
  <c r="DG151" i="1" s="1"/>
  <c r="DF153" i="1"/>
  <c r="CU151" i="1"/>
  <c r="CS151" i="1"/>
  <c r="CQ151" i="1"/>
  <c r="CO151" i="1"/>
  <c r="CM151" i="1"/>
  <c r="CK151" i="1"/>
  <c r="CI151" i="1"/>
  <c r="CG151" i="1"/>
  <c r="BG151" i="1"/>
  <c r="AG151" i="1"/>
  <c r="AI6" i="5"/>
  <c r="V6" i="5" l="1"/>
  <c r="V5" i="5"/>
  <c r="V11" i="5" l="1"/>
  <c r="BH142" i="1"/>
  <c r="BH159" i="1"/>
  <c r="BH166" i="1"/>
  <c r="BH167" i="1"/>
  <c r="BH168" i="1"/>
  <c r="BH169" i="1"/>
  <c r="BH170" i="1"/>
  <c r="BH171" i="1"/>
  <c r="BH172" i="1"/>
  <c r="BH173" i="1"/>
  <c r="BH174" i="1"/>
  <c r="CP166" i="1"/>
  <c r="T6" i="5"/>
  <c r="T5" i="5"/>
  <c r="T11" i="5" s="1"/>
  <c r="R6" i="5"/>
  <c r="R5" i="5"/>
  <c r="P6" i="5"/>
  <c r="P5" i="5"/>
  <c r="P11" i="5" s="1"/>
  <c r="N5" i="5"/>
  <c r="R11" i="5" l="1"/>
  <c r="BH160" i="1"/>
  <c r="BH176" i="1"/>
  <c r="CN166" i="1" l="1"/>
  <c r="CN142" i="1" l="1"/>
  <c r="I7" i="6" s="1"/>
  <c r="CN159" i="1"/>
  <c r="CN160" i="1" l="1"/>
  <c r="DF175" i="1" l="1"/>
  <c r="DG175" i="1" s="1"/>
  <c r="DE175" i="1"/>
  <c r="DC175" i="1"/>
  <c r="DA175" i="1"/>
  <c r="CY175" i="1"/>
  <c r="CW175" i="1"/>
  <c r="CU175" i="1"/>
  <c r="CS175" i="1"/>
  <c r="CQ175" i="1"/>
  <c r="CO175" i="1"/>
  <c r="CM175" i="1"/>
  <c r="CK175" i="1"/>
  <c r="CI175" i="1"/>
  <c r="DD174" i="1"/>
  <c r="DE174" i="1" s="1"/>
  <c r="DB174" i="1"/>
  <c r="DC174" i="1" s="1"/>
  <c r="CZ174" i="1"/>
  <c r="DA174" i="1" s="1"/>
  <c r="CX174" i="1"/>
  <c r="CY174" i="1" s="1"/>
  <c r="CV174" i="1"/>
  <c r="CW174" i="1" s="1"/>
  <c r="CT174" i="1"/>
  <c r="CU174" i="1" s="1"/>
  <c r="CR174" i="1"/>
  <c r="CS174" i="1" s="1"/>
  <c r="CP174" i="1"/>
  <c r="CQ174" i="1" s="1"/>
  <c r="CN174" i="1"/>
  <c r="CO174" i="1" s="1"/>
  <c r="CL174" i="1"/>
  <c r="CM174" i="1" s="1"/>
  <c r="CJ174" i="1"/>
  <c r="CK174" i="1" s="1"/>
  <c r="CH174" i="1"/>
  <c r="CI174" i="1" s="1"/>
  <c r="DD173" i="1"/>
  <c r="DB173" i="1"/>
  <c r="DC173" i="1" s="1"/>
  <c r="CZ173" i="1"/>
  <c r="DA173" i="1" s="1"/>
  <c r="CX173" i="1"/>
  <c r="CY173" i="1" s="1"/>
  <c r="CV173" i="1"/>
  <c r="CW173" i="1" s="1"/>
  <c r="CT173" i="1"/>
  <c r="CU173" i="1" s="1"/>
  <c r="CR173" i="1"/>
  <c r="CS173" i="1" s="1"/>
  <c r="CP173" i="1"/>
  <c r="CQ173" i="1" s="1"/>
  <c r="CN173" i="1"/>
  <c r="CO173" i="1" s="1"/>
  <c r="CL173" i="1"/>
  <c r="CM173" i="1" s="1"/>
  <c r="CJ173" i="1"/>
  <c r="CK173" i="1" s="1"/>
  <c r="CH173" i="1"/>
  <c r="CI173" i="1" s="1"/>
  <c r="DD172" i="1"/>
  <c r="DE172" i="1" s="1"/>
  <c r="DB172" i="1"/>
  <c r="DC172" i="1" s="1"/>
  <c r="CZ172" i="1"/>
  <c r="DA172" i="1" s="1"/>
  <c r="CX172" i="1"/>
  <c r="CY172" i="1" s="1"/>
  <c r="CV172" i="1"/>
  <c r="CW172" i="1" s="1"/>
  <c r="CT172" i="1"/>
  <c r="CU172" i="1" s="1"/>
  <c r="CR172" i="1"/>
  <c r="CS172" i="1" s="1"/>
  <c r="CP172" i="1"/>
  <c r="CQ172" i="1" s="1"/>
  <c r="CN172" i="1"/>
  <c r="CO172" i="1" s="1"/>
  <c r="CL172" i="1"/>
  <c r="CM172" i="1" s="1"/>
  <c r="CJ172" i="1"/>
  <c r="CK172" i="1" s="1"/>
  <c r="CH172" i="1"/>
  <c r="CI172" i="1" s="1"/>
  <c r="DD171" i="1"/>
  <c r="DE171" i="1" s="1"/>
  <c r="DB171" i="1"/>
  <c r="DC171" i="1" s="1"/>
  <c r="CZ171" i="1"/>
  <c r="CX171" i="1"/>
  <c r="CY171" i="1" s="1"/>
  <c r="CV171" i="1"/>
  <c r="CW171" i="1" s="1"/>
  <c r="CT171" i="1"/>
  <c r="CU171" i="1" s="1"/>
  <c r="CR171" i="1"/>
  <c r="CS171" i="1" s="1"/>
  <c r="CP171" i="1"/>
  <c r="CQ171" i="1" s="1"/>
  <c r="CN171" i="1"/>
  <c r="CO171" i="1" s="1"/>
  <c r="CL171" i="1"/>
  <c r="CM171" i="1" s="1"/>
  <c r="CJ171" i="1"/>
  <c r="CK171" i="1" s="1"/>
  <c r="CH171" i="1"/>
  <c r="CI171" i="1" s="1"/>
  <c r="DD170" i="1"/>
  <c r="DB170" i="1"/>
  <c r="DC170" i="1" s="1"/>
  <c r="CZ170" i="1"/>
  <c r="DA170" i="1" s="1"/>
  <c r="CX170" i="1"/>
  <c r="CY170" i="1" s="1"/>
  <c r="CV170" i="1"/>
  <c r="CW170" i="1" s="1"/>
  <c r="CT170" i="1"/>
  <c r="CU170" i="1" s="1"/>
  <c r="CR170" i="1"/>
  <c r="CS170" i="1" s="1"/>
  <c r="CP170" i="1"/>
  <c r="CQ170" i="1" s="1"/>
  <c r="CN170" i="1"/>
  <c r="CO170" i="1" s="1"/>
  <c r="CL170" i="1"/>
  <c r="CM170" i="1" s="1"/>
  <c r="CJ170" i="1"/>
  <c r="CK170" i="1" s="1"/>
  <c r="CH170" i="1"/>
  <c r="CI170" i="1" s="1"/>
  <c r="DD169" i="1"/>
  <c r="DE169" i="1" s="1"/>
  <c r="DB169" i="1"/>
  <c r="DC169" i="1" s="1"/>
  <c r="CZ169" i="1"/>
  <c r="DA169" i="1" s="1"/>
  <c r="CX169" i="1"/>
  <c r="CY169" i="1" s="1"/>
  <c r="CV169" i="1"/>
  <c r="CW169" i="1" s="1"/>
  <c r="CT169" i="1"/>
  <c r="CU169" i="1" s="1"/>
  <c r="CR169" i="1"/>
  <c r="CS169" i="1" s="1"/>
  <c r="CP169" i="1"/>
  <c r="CQ169" i="1" s="1"/>
  <c r="CN169" i="1"/>
  <c r="CO169" i="1" s="1"/>
  <c r="CL169" i="1"/>
  <c r="CM169" i="1" s="1"/>
  <c r="CJ169" i="1"/>
  <c r="CK169" i="1" s="1"/>
  <c r="CH169" i="1"/>
  <c r="CI169" i="1" s="1"/>
  <c r="DD168" i="1"/>
  <c r="DE168" i="1" s="1"/>
  <c r="DB168" i="1"/>
  <c r="DC168" i="1" s="1"/>
  <c r="CZ168" i="1"/>
  <c r="DA168" i="1" s="1"/>
  <c r="CX168" i="1"/>
  <c r="CY168" i="1" s="1"/>
  <c r="CV168" i="1"/>
  <c r="CW168" i="1" s="1"/>
  <c r="CT168" i="1"/>
  <c r="CU168" i="1" s="1"/>
  <c r="CR168" i="1"/>
  <c r="CS168" i="1" s="1"/>
  <c r="CP168" i="1"/>
  <c r="CQ168" i="1" s="1"/>
  <c r="CN168" i="1"/>
  <c r="CO168" i="1" s="1"/>
  <c r="CL168" i="1"/>
  <c r="CM168" i="1" s="1"/>
  <c r="CJ168" i="1"/>
  <c r="CK168" i="1" s="1"/>
  <c r="CH168" i="1"/>
  <c r="CI168" i="1" s="1"/>
  <c r="DD167" i="1"/>
  <c r="DB167" i="1"/>
  <c r="DC167" i="1" s="1"/>
  <c r="CZ167" i="1"/>
  <c r="DA167" i="1" s="1"/>
  <c r="CX167" i="1"/>
  <c r="CY167" i="1" s="1"/>
  <c r="CV167" i="1"/>
  <c r="CW167" i="1" s="1"/>
  <c r="CT167" i="1"/>
  <c r="CU167" i="1" s="1"/>
  <c r="CR167" i="1"/>
  <c r="CS167" i="1" s="1"/>
  <c r="CP167" i="1"/>
  <c r="CQ167" i="1" s="1"/>
  <c r="CN167" i="1"/>
  <c r="CO167" i="1" s="1"/>
  <c r="CL167" i="1"/>
  <c r="CM167" i="1" s="1"/>
  <c r="CJ167" i="1"/>
  <c r="CH167" i="1"/>
  <c r="CI167" i="1" s="1"/>
  <c r="DD166" i="1"/>
  <c r="DE166" i="1" s="1"/>
  <c r="DB166" i="1"/>
  <c r="CZ166" i="1"/>
  <c r="CX166" i="1"/>
  <c r="CY166" i="1" s="1"/>
  <c r="CV166" i="1"/>
  <c r="CW166" i="1" s="1"/>
  <c r="CT166" i="1"/>
  <c r="CR166" i="1"/>
  <c r="CS166" i="1" s="1"/>
  <c r="CQ166" i="1"/>
  <c r="CL166" i="1"/>
  <c r="CJ166" i="1"/>
  <c r="CK166" i="1" s="1"/>
  <c r="CH166" i="1"/>
  <c r="CH176" i="1" s="1"/>
  <c r="CF175" i="1"/>
  <c r="CG175" i="1" s="1"/>
  <c r="CE175" i="1"/>
  <c r="CC175" i="1"/>
  <c r="CA175" i="1"/>
  <c r="BY175" i="1"/>
  <c r="BW175" i="1"/>
  <c r="BU175" i="1"/>
  <c r="BS175" i="1"/>
  <c r="BQ175" i="1"/>
  <c r="BO175" i="1"/>
  <c r="BM175" i="1"/>
  <c r="BK175" i="1"/>
  <c r="BI175" i="1"/>
  <c r="CD174" i="1"/>
  <c r="CE174" i="1" s="1"/>
  <c r="CB174" i="1"/>
  <c r="CC174" i="1" s="1"/>
  <c r="BZ174" i="1"/>
  <c r="BX174" i="1"/>
  <c r="BY174" i="1" s="1"/>
  <c r="BV174" i="1"/>
  <c r="BW174" i="1" s="1"/>
  <c r="BT174" i="1"/>
  <c r="BU174" i="1" s="1"/>
  <c r="BR174" i="1"/>
  <c r="BS174" i="1" s="1"/>
  <c r="BP174" i="1"/>
  <c r="BQ174" i="1" s="1"/>
  <c r="BN174" i="1"/>
  <c r="BO174" i="1" s="1"/>
  <c r="BL174" i="1"/>
  <c r="BM174" i="1" s="1"/>
  <c r="BJ174" i="1"/>
  <c r="BK174" i="1" s="1"/>
  <c r="BI174" i="1"/>
  <c r="CD173" i="1"/>
  <c r="CB173" i="1"/>
  <c r="CC173" i="1" s="1"/>
  <c r="BZ173" i="1"/>
  <c r="CA173" i="1" s="1"/>
  <c r="BX173" i="1"/>
  <c r="BY173" i="1" s="1"/>
  <c r="BV173" i="1"/>
  <c r="BW173" i="1" s="1"/>
  <c r="BT173" i="1"/>
  <c r="BU173" i="1" s="1"/>
  <c r="BR173" i="1"/>
  <c r="BS173" i="1" s="1"/>
  <c r="BP173" i="1"/>
  <c r="BQ173" i="1" s="1"/>
  <c r="BN173" i="1"/>
  <c r="BO173" i="1" s="1"/>
  <c r="BL173" i="1"/>
  <c r="BM173" i="1" s="1"/>
  <c r="BJ173" i="1"/>
  <c r="BK173" i="1" s="1"/>
  <c r="BI173" i="1"/>
  <c r="CD172" i="1"/>
  <c r="CB172" i="1"/>
  <c r="CC172" i="1" s="1"/>
  <c r="BZ172" i="1"/>
  <c r="CA172" i="1" s="1"/>
  <c r="BX172" i="1"/>
  <c r="BY172" i="1" s="1"/>
  <c r="BV172" i="1"/>
  <c r="BW172" i="1" s="1"/>
  <c r="BT172" i="1"/>
  <c r="BU172" i="1" s="1"/>
  <c r="BR172" i="1"/>
  <c r="BS172" i="1" s="1"/>
  <c r="BP172" i="1"/>
  <c r="BQ172" i="1" s="1"/>
  <c r="BN172" i="1"/>
  <c r="BO172" i="1" s="1"/>
  <c r="BL172" i="1"/>
  <c r="BM172" i="1" s="1"/>
  <c r="BJ172" i="1"/>
  <c r="BK172" i="1" s="1"/>
  <c r="BI172" i="1"/>
  <c r="CD171" i="1"/>
  <c r="CE171" i="1" s="1"/>
  <c r="CB171" i="1"/>
  <c r="CC171" i="1" s="1"/>
  <c r="BZ171" i="1"/>
  <c r="BX171" i="1"/>
  <c r="BY171" i="1" s="1"/>
  <c r="BV171" i="1"/>
  <c r="BW171" i="1" s="1"/>
  <c r="BT171" i="1"/>
  <c r="BU171" i="1" s="1"/>
  <c r="BR171" i="1"/>
  <c r="BS171" i="1" s="1"/>
  <c r="BP171" i="1"/>
  <c r="BQ171" i="1" s="1"/>
  <c r="BN171" i="1"/>
  <c r="BO171" i="1" s="1"/>
  <c r="BL171" i="1"/>
  <c r="BM171" i="1" s="1"/>
  <c r="BJ171" i="1"/>
  <c r="BK171" i="1" s="1"/>
  <c r="BI171" i="1"/>
  <c r="CD170" i="1"/>
  <c r="CB170" i="1"/>
  <c r="CC170" i="1" s="1"/>
  <c r="BZ170" i="1"/>
  <c r="CA170" i="1" s="1"/>
  <c r="BX170" i="1"/>
  <c r="BY170" i="1" s="1"/>
  <c r="BV170" i="1"/>
  <c r="BW170" i="1" s="1"/>
  <c r="BT170" i="1"/>
  <c r="BU170" i="1" s="1"/>
  <c r="BR170" i="1"/>
  <c r="BS170" i="1" s="1"/>
  <c r="BP170" i="1"/>
  <c r="BQ170" i="1" s="1"/>
  <c r="BN170" i="1"/>
  <c r="BO170" i="1" s="1"/>
  <c r="BL170" i="1"/>
  <c r="BM170" i="1" s="1"/>
  <c r="BJ170" i="1"/>
  <c r="BK170" i="1" s="1"/>
  <c r="BI170" i="1"/>
  <c r="CD169" i="1"/>
  <c r="CB169" i="1"/>
  <c r="CC169" i="1" s="1"/>
  <c r="BZ169" i="1"/>
  <c r="CA169" i="1" s="1"/>
  <c r="BX169" i="1"/>
  <c r="BY169" i="1" s="1"/>
  <c r="BV169" i="1"/>
  <c r="BW169" i="1" s="1"/>
  <c r="BT169" i="1"/>
  <c r="BU169" i="1" s="1"/>
  <c r="BR169" i="1"/>
  <c r="BS169" i="1" s="1"/>
  <c r="BP169" i="1"/>
  <c r="BQ169" i="1" s="1"/>
  <c r="BN169" i="1"/>
  <c r="BO169" i="1" s="1"/>
  <c r="BL169" i="1"/>
  <c r="BM169" i="1" s="1"/>
  <c r="BJ169" i="1"/>
  <c r="BK169" i="1" s="1"/>
  <c r="BI169" i="1"/>
  <c r="CD168" i="1"/>
  <c r="CE168" i="1" s="1"/>
  <c r="CB168" i="1"/>
  <c r="CC168" i="1" s="1"/>
  <c r="BZ168" i="1"/>
  <c r="BX168" i="1"/>
  <c r="BY168" i="1" s="1"/>
  <c r="BV168" i="1"/>
  <c r="BW168" i="1" s="1"/>
  <c r="BT168" i="1"/>
  <c r="BU168" i="1" s="1"/>
  <c r="BR168" i="1"/>
  <c r="BS168" i="1" s="1"/>
  <c r="BP168" i="1"/>
  <c r="BQ168" i="1" s="1"/>
  <c r="BN168" i="1"/>
  <c r="BO168" i="1" s="1"/>
  <c r="BL168" i="1"/>
  <c r="BM168" i="1" s="1"/>
  <c r="BJ168" i="1"/>
  <c r="BK168" i="1" s="1"/>
  <c r="BI168" i="1"/>
  <c r="CD167" i="1"/>
  <c r="CB167" i="1"/>
  <c r="CC167" i="1" s="1"/>
  <c r="BZ167" i="1"/>
  <c r="CA167" i="1" s="1"/>
  <c r="BX167" i="1"/>
  <c r="BY167" i="1" s="1"/>
  <c r="BV167" i="1"/>
  <c r="BV176" i="1" s="1"/>
  <c r="BT167" i="1"/>
  <c r="BU167" i="1" s="1"/>
  <c r="BR167" i="1"/>
  <c r="BS167" i="1" s="1"/>
  <c r="BP167" i="1"/>
  <c r="BN167" i="1"/>
  <c r="BO167" i="1" s="1"/>
  <c r="BL167" i="1"/>
  <c r="BM167" i="1" s="1"/>
  <c r="BJ167" i="1"/>
  <c r="BI167" i="1"/>
  <c r="CD166" i="1"/>
  <c r="CD176" i="1" s="1"/>
  <c r="CB166" i="1"/>
  <c r="CC166" i="1" s="1"/>
  <c r="BZ166" i="1"/>
  <c r="BX166" i="1"/>
  <c r="BV166" i="1"/>
  <c r="BW166" i="1" s="1"/>
  <c r="BT166" i="1"/>
  <c r="BR166" i="1"/>
  <c r="BP166" i="1"/>
  <c r="BQ166" i="1" s="1"/>
  <c r="BN166" i="1"/>
  <c r="BN176" i="1" s="1"/>
  <c r="BL166" i="1"/>
  <c r="BJ166" i="1"/>
  <c r="BK166" i="1" s="1"/>
  <c r="BF175" i="1"/>
  <c r="BG175" i="1" s="1"/>
  <c r="BE175" i="1"/>
  <c r="BC175" i="1"/>
  <c r="BA175" i="1"/>
  <c r="AY175" i="1"/>
  <c r="AW175" i="1"/>
  <c r="AU175" i="1"/>
  <c r="AS175" i="1"/>
  <c r="AQ175" i="1"/>
  <c r="AO175" i="1"/>
  <c r="AM175" i="1"/>
  <c r="AK175" i="1"/>
  <c r="AI175" i="1"/>
  <c r="BD174" i="1"/>
  <c r="BE174" i="1" s="1"/>
  <c r="BB174" i="1"/>
  <c r="BC174" i="1" s="1"/>
  <c r="AZ174" i="1"/>
  <c r="AX174" i="1"/>
  <c r="AY174" i="1" s="1"/>
  <c r="AV174" i="1"/>
  <c r="AW174" i="1" s="1"/>
  <c r="AT174" i="1"/>
  <c r="AU174" i="1" s="1"/>
  <c r="AR174" i="1"/>
  <c r="AS174" i="1" s="1"/>
  <c r="AP174" i="1"/>
  <c r="AQ174" i="1" s="1"/>
  <c r="AN174" i="1"/>
  <c r="AO174" i="1" s="1"/>
  <c r="AL174" i="1"/>
  <c r="AM174" i="1" s="1"/>
  <c r="AJ174" i="1"/>
  <c r="AK174" i="1" s="1"/>
  <c r="AH174" i="1"/>
  <c r="AI174" i="1" s="1"/>
  <c r="BD173" i="1"/>
  <c r="BB173" i="1"/>
  <c r="BC173" i="1" s="1"/>
  <c r="AZ173" i="1"/>
  <c r="BA173" i="1" s="1"/>
  <c r="AX173" i="1"/>
  <c r="AY173" i="1" s="1"/>
  <c r="AV173" i="1"/>
  <c r="AW173" i="1" s="1"/>
  <c r="AT173" i="1"/>
  <c r="AU173" i="1" s="1"/>
  <c r="AR173" i="1"/>
  <c r="AS173" i="1" s="1"/>
  <c r="AP173" i="1"/>
  <c r="AQ173" i="1" s="1"/>
  <c r="AN173" i="1"/>
  <c r="AO173" i="1" s="1"/>
  <c r="AL173" i="1"/>
  <c r="AM173" i="1" s="1"/>
  <c r="AJ173" i="1"/>
  <c r="AK173" i="1" s="1"/>
  <c r="AH173" i="1"/>
  <c r="AI173" i="1" s="1"/>
  <c r="BD172" i="1"/>
  <c r="BB172" i="1"/>
  <c r="BC172" i="1" s="1"/>
  <c r="AZ172" i="1"/>
  <c r="BA172" i="1" s="1"/>
  <c r="AX172" i="1"/>
  <c r="AY172" i="1" s="1"/>
  <c r="AV172" i="1"/>
  <c r="AW172" i="1" s="1"/>
  <c r="AT172" i="1"/>
  <c r="AU172" i="1" s="1"/>
  <c r="AR172" i="1"/>
  <c r="AS172" i="1" s="1"/>
  <c r="AP172" i="1"/>
  <c r="AQ172" i="1" s="1"/>
  <c r="AN172" i="1"/>
  <c r="AO172" i="1" s="1"/>
  <c r="AL172" i="1"/>
  <c r="AM172" i="1" s="1"/>
  <c r="AJ172" i="1"/>
  <c r="AK172" i="1" s="1"/>
  <c r="AH172" i="1"/>
  <c r="AI172" i="1" s="1"/>
  <c r="BD171" i="1"/>
  <c r="BE171" i="1" s="1"/>
  <c r="BB171" i="1"/>
  <c r="BC171" i="1" s="1"/>
  <c r="AZ171" i="1"/>
  <c r="AX171" i="1"/>
  <c r="AY171" i="1" s="1"/>
  <c r="AV171" i="1"/>
  <c r="AW171" i="1" s="1"/>
  <c r="AT171" i="1"/>
  <c r="AU171" i="1" s="1"/>
  <c r="AR171" i="1"/>
  <c r="AS171" i="1" s="1"/>
  <c r="AP171" i="1"/>
  <c r="AQ171" i="1" s="1"/>
  <c r="AN171" i="1"/>
  <c r="AO171" i="1" s="1"/>
  <c r="AL171" i="1"/>
  <c r="AM171" i="1" s="1"/>
  <c r="AJ171" i="1"/>
  <c r="AK171" i="1" s="1"/>
  <c r="AH171" i="1"/>
  <c r="AI171" i="1" s="1"/>
  <c r="BD170" i="1"/>
  <c r="BB170" i="1"/>
  <c r="BC170" i="1" s="1"/>
  <c r="BA170" i="1"/>
  <c r="AZ170" i="1"/>
  <c r="AX170" i="1"/>
  <c r="AY170" i="1" s="1"/>
  <c r="AV170" i="1"/>
  <c r="AW170" i="1" s="1"/>
  <c r="AT170" i="1"/>
  <c r="AU170" i="1" s="1"/>
  <c r="AR170" i="1"/>
  <c r="AS170" i="1" s="1"/>
  <c r="AP170" i="1"/>
  <c r="AQ170" i="1" s="1"/>
  <c r="AN170" i="1"/>
  <c r="AO170" i="1" s="1"/>
  <c r="AL170" i="1"/>
  <c r="AM170" i="1" s="1"/>
  <c r="AJ170" i="1"/>
  <c r="AK170" i="1" s="1"/>
  <c r="AH170" i="1"/>
  <c r="AI170" i="1" s="1"/>
  <c r="BD169" i="1"/>
  <c r="BB169" i="1"/>
  <c r="BC169" i="1" s="1"/>
  <c r="AZ169" i="1"/>
  <c r="BA169" i="1" s="1"/>
  <c r="AX169" i="1"/>
  <c r="AY169" i="1" s="1"/>
  <c r="AV169" i="1"/>
  <c r="AW169" i="1" s="1"/>
  <c r="AT169" i="1"/>
  <c r="AU169" i="1" s="1"/>
  <c r="AR169" i="1"/>
  <c r="AS169" i="1" s="1"/>
  <c r="AP169" i="1"/>
  <c r="AQ169" i="1" s="1"/>
  <c r="AN169" i="1"/>
  <c r="AO169" i="1" s="1"/>
  <c r="AL169" i="1"/>
  <c r="AM169" i="1" s="1"/>
  <c r="AJ169" i="1"/>
  <c r="AK169" i="1" s="1"/>
  <c r="AH169" i="1"/>
  <c r="AI169" i="1" s="1"/>
  <c r="BD168" i="1"/>
  <c r="BE168" i="1" s="1"/>
  <c r="BB168" i="1"/>
  <c r="BC168" i="1" s="1"/>
  <c r="AZ168" i="1"/>
  <c r="AX168" i="1"/>
  <c r="AY168" i="1" s="1"/>
  <c r="AV168" i="1"/>
  <c r="AW168" i="1" s="1"/>
  <c r="AT168" i="1"/>
  <c r="AU168" i="1" s="1"/>
  <c r="AR168" i="1"/>
  <c r="AS168" i="1" s="1"/>
  <c r="AP168" i="1"/>
  <c r="AQ168" i="1" s="1"/>
  <c r="AN168" i="1"/>
  <c r="AO168" i="1" s="1"/>
  <c r="AL168" i="1"/>
  <c r="AM168" i="1" s="1"/>
  <c r="AJ168" i="1"/>
  <c r="AK168" i="1" s="1"/>
  <c r="AH168" i="1"/>
  <c r="AI168" i="1" s="1"/>
  <c r="BD167" i="1"/>
  <c r="BB167" i="1"/>
  <c r="BC167" i="1" s="1"/>
  <c r="AZ167" i="1"/>
  <c r="BA167" i="1" s="1"/>
  <c r="AX167" i="1"/>
  <c r="AY167" i="1" s="1"/>
  <c r="AV167" i="1"/>
  <c r="AT167" i="1"/>
  <c r="AU167" i="1" s="1"/>
  <c r="AR167" i="1"/>
  <c r="AS167" i="1" s="1"/>
  <c r="AP167" i="1"/>
  <c r="AN167" i="1"/>
  <c r="AO167" i="1" s="1"/>
  <c r="AL167" i="1"/>
  <c r="AM167" i="1" s="1"/>
  <c r="AJ167" i="1"/>
  <c r="AH167" i="1"/>
  <c r="AI167" i="1" s="1"/>
  <c r="BD166" i="1"/>
  <c r="BB166" i="1"/>
  <c r="BC166" i="1" s="1"/>
  <c r="AZ166" i="1"/>
  <c r="AX166" i="1"/>
  <c r="AV166" i="1"/>
  <c r="AW166" i="1" s="1"/>
  <c r="AT166" i="1"/>
  <c r="AR166" i="1"/>
  <c r="AP166" i="1"/>
  <c r="AQ166" i="1" s="1"/>
  <c r="AN166" i="1"/>
  <c r="AL166" i="1"/>
  <c r="AJ166" i="1"/>
  <c r="AK166" i="1" s="1"/>
  <c r="AH166" i="1"/>
  <c r="AE175" i="1"/>
  <c r="AC175" i="1"/>
  <c r="AA175" i="1"/>
  <c r="Y175" i="1"/>
  <c r="W175" i="1"/>
  <c r="U175" i="1"/>
  <c r="S175" i="1"/>
  <c r="Q175" i="1"/>
  <c r="O175" i="1"/>
  <c r="M175" i="1"/>
  <c r="K175" i="1"/>
  <c r="AD174" i="1"/>
  <c r="AE174" i="1" s="1"/>
  <c r="AB174" i="1"/>
  <c r="AC174" i="1" s="1"/>
  <c r="Z174" i="1"/>
  <c r="AA174" i="1" s="1"/>
  <c r="X174" i="1"/>
  <c r="Y174" i="1" s="1"/>
  <c r="V174" i="1"/>
  <c r="W174" i="1" s="1"/>
  <c r="T174" i="1"/>
  <c r="U174" i="1" s="1"/>
  <c r="R174" i="1"/>
  <c r="S174" i="1" s="1"/>
  <c r="P174" i="1"/>
  <c r="Q174" i="1" s="1"/>
  <c r="N174" i="1"/>
  <c r="O174" i="1" s="1"/>
  <c r="L174" i="1"/>
  <c r="M174" i="1" s="1"/>
  <c r="J174" i="1"/>
  <c r="K174" i="1" s="1"/>
  <c r="AD173" i="1"/>
  <c r="AE173" i="1" s="1"/>
  <c r="AB173" i="1"/>
  <c r="Z173" i="1"/>
  <c r="AA173" i="1" s="1"/>
  <c r="X173" i="1"/>
  <c r="Y173" i="1" s="1"/>
  <c r="V173" i="1"/>
  <c r="W173" i="1" s="1"/>
  <c r="T173" i="1"/>
  <c r="U173" i="1" s="1"/>
  <c r="R173" i="1"/>
  <c r="S173" i="1" s="1"/>
  <c r="P173" i="1"/>
  <c r="Q173" i="1" s="1"/>
  <c r="N173" i="1"/>
  <c r="O173" i="1" s="1"/>
  <c r="L173" i="1"/>
  <c r="M173" i="1" s="1"/>
  <c r="J173" i="1"/>
  <c r="K173" i="1" s="1"/>
  <c r="AD172" i="1"/>
  <c r="AE172" i="1" s="1"/>
  <c r="AB172" i="1"/>
  <c r="AC172" i="1" s="1"/>
  <c r="Z172" i="1"/>
  <c r="AA172" i="1" s="1"/>
  <c r="X172" i="1"/>
  <c r="Y172" i="1" s="1"/>
  <c r="V172" i="1"/>
  <c r="W172" i="1" s="1"/>
  <c r="T172" i="1"/>
  <c r="U172" i="1" s="1"/>
  <c r="R172" i="1"/>
  <c r="S172" i="1" s="1"/>
  <c r="P172" i="1"/>
  <c r="Q172" i="1" s="1"/>
  <c r="N172" i="1"/>
  <c r="O172" i="1" s="1"/>
  <c r="L172" i="1"/>
  <c r="M172" i="1" s="1"/>
  <c r="J172" i="1"/>
  <c r="K172" i="1" s="1"/>
  <c r="AD171" i="1"/>
  <c r="AB171" i="1"/>
  <c r="AC171" i="1" s="1"/>
  <c r="Z171" i="1"/>
  <c r="AA171" i="1" s="1"/>
  <c r="X171" i="1"/>
  <c r="Y171" i="1" s="1"/>
  <c r="V171" i="1"/>
  <c r="W171" i="1" s="1"/>
  <c r="T171" i="1"/>
  <c r="U171" i="1" s="1"/>
  <c r="R171" i="1"/>
  <c r="S171" i="1" s="1"/>
  <c r="P171" i="1"/>
  <c r="Q171" i="1" s="1"/>
  <c r="N171" i="1"/>
  <c r="O171" i="1" s="1"/>
  <c r="L171" i="1"/>
  <c r="M171" i="1" s="1"/>
  <c r="J171" i="1"/>
  <c r="K171" i="1" s="1"/>
  <c r="AD170" i="1"/>
  <c r="AE170" i="1" s="1"/>
  <c r="AB170" i="1"/>
  <c r="AC170" i="1" s="1"/>
  <c r="Z170" i="1"/>
  <c r="AA170" i="1" s="1"/>
  <c r="X170" i="1"/>
  <c r="Y170" i="1" s="1"/>
  <c r="V170" i="1"/>
  <c r="W170" i="1" s="1"/>
  <c r="T170" i="1"/>
  <c r="U170" i="1" s="1"/>
  <c r="R170" i="1"/>
  <c r="S170" i="1" s="1"/>
  <c r="P170" i="1"/>
  <c r="Q170" i="1" s="1"/>
  <c r="N170" i="1"/>
  <c r="O170" i="1" s="1"/>
  <c r="L170" i="1"/>
  <c r="M170" i="1" s="1"/>
  <c r="J170" i="1"/>
  <c r="K170" i="1" s="1"/>
  <c r="AD169" i="1"/>
  <c r="AE169" i="1" s="1"/>
  <c r="AB169" i="1"/>
  <c r="AC169" i="1" s="1"/>
  <c r="Z169" i="1"/>
  <c r="AA169" i="1" s="1"/>
  <c r="X169" i="1"/>
  <c r="Y169" i="1" s="1"/>
  <c r="V169" i="1"/>
  <c r="W169" i="1" s="1"/>
  <c r="T169" i="1"/>
  <c r="U169" i="1" s="1"/>
  <c r="R169" i="1"/>
  <c r="S169" i="1" s="1"/>
  <c r="P169" i="1"/>
  <c r="Q169" i="1" s="1"/>
  <c r="N169" i="1"/>
  <c r="O169" i="1" s="1"/>
  <c r="L169" i="1"/>
  <c r="M169" i="1" s="1"/>
  <c r="J169" i="1"/>
  <c r="K169" i="1" s="1"/>
  <c r="AD168" i="1"/>
  <c r="AB168" i="1"/>
  <c r="AC168" i="1" s="1"/>
  <c r="Z168" i="1"/>
  <c r="AA168" i="1" s="1"/>
  <c r="X168" i="1"/>
  <c r="Y168" i="1" s="1"/>
  <c r="V168" i="1"/>
  <c r="W168" i="1" s="1"/>
  <c r="T168" i="1"/>
  <c r="U168" i="1" s="1"/>
  <c r="R168" i="1"/>
  <c r="S168" i="1" s="1"/>
  <c r="P168" i="1"/>
  <c r="Q168" i="1" s="1"/>
  <c r="N168" i="1"/>
  <c r="O168" i="1" s="1"/>
  <c r="L168" i="1"/>
  <c r="M168" i="1" s="1"/>
  <c r="J168" i="1"/>
  <c r="K168" i="1" s="1"/>
  <c r="AD167" i="1"/>
  <c r="AE167" i="1" s="1"/>
  <c r="AB167" i="1"/>
  <c r="Z167" i="1"/>
  <c r="X167" i="1"/>
  <c r="Y167" i="1" s="1"/>
  <c r="V167" i="1"/>
  <c r="W167" i="1" s="1"/>
  <c r="T167" i="1"/>
  <c r="U167" i="1" s="1"/>
  <c r="R167" i="1"/>
  <c r="S167" i="1" s="1"/>
  <c r="P167" i="1"/>
  <c r="Q167" i="1" s="1"/>
  <c r="N167" i="1"/>
  <c r="O167" i="1" s="1"/>
  <c r="L167" i="1"/>
  <c r="M167" i="1" s="1"/>
  <c r="J167" i="1"/>
  <c r="K167" i="1" s="1"/>
  <c r="AD166" i="1"/>
  <c r="AB166" i="1"/>
  <c r="AC166" i="1" s="1"/>
  <c r="Z166" i="1"/>
  <c r="X166" i="1"/>
  <c r="V166" i="1"/>
  <c r="W166" i="1" s="1"/>
  <c r="T166" i="1"/>
  <c r="U166" i="1" s="1"/>
  <c r="R166" i="1"/>
  <c r="P166" i="1"/>
  <c r="Q166" i="1" s="1"/>
  <c r="N166" i="1"/>
  <c r="L166" i="1"/>
  <c r="J166" i="1"/>
  <c r="K166" i="1" s="1"/>
  <c r="H167" i="1"/>
  <c r="I167" i="1" s="1"/>
  <c r="H168" i="1"/>
  <c r="I168" i="1" s="1"/>
  <c r="H169" i="1"/>
  <c r="I169" i="1" s="1"/>
  <c r="H170" i="1"/>
  <c r="H171" i="1"/>
  <c r="I171" i="1" s="1"/>
  <c r="H172" i="1"/>
  <c r="H173" i="1"/>
  <c r="I173" i="1" s="1"/>
  <c r="H174" i="1"/>
  <c r="H166" i="1"/>
  <c r="AF175" i="1"/>
  <c r="AG175" i="1" s="1"/>
  <c r="I175" i="1"/>
  <c r="G4" i="6"/>
  <c r="CF146" i="1"/>
  <c r="CG146" i="1" s="1"/>
  <c r="CF147" i="1"/>
  <c r="CG147" i="1" s="1"/>
  <c r="CF148" i="1"/>
  <c r="CG148" i="1" s="1"/>
  <c r="CF149" i="1"/>
  <c r="CG149" i="1" s="1"/>
  <c r="CF150" i="1"/>
  <c r="CG150" i="1" s="1"/>
  <c r="CF153" i="1"/>
  <c r="CG153" i="1" s="1"/>
  <c r="CF154" i="1"/>
  <c r="CG154" i="1" s="1"/>
  <c r="CF155" i="1"/>
  <c r="CG155" i="1" s="1"/>
  <c r="CF156" i="1"/>
  <c r="CG156" i="1" s="1"/>
  <c r="CF157" i="1"/>
  <c r="CG157" i="1" s="1"/>
  <c r="CF144" i="1"/>
  <c r="CG144" i="1" s="1"/>
  <c r="BF146" i="1"/>
  <c r="BG146" i="1" s="1"/>
  <c r="BF147" i="1"/>
  <c r="BG147" i="1" s="1"/>
  <c r="BF148" i="1"/>
  <c r="BG148" i="1" s="1"/>
  <c r="BF149" i="1"/>
  <c r="BG149" i="1" s="1"/>
  <c r="BF150" i="1"/>
  <c r="BG150" i="1"/>
  <c r="BF153" i="1"/>
  <c r="BG153" i="1" s="1"/>
  <c r="BF154" i="1"/>
  <c r="BG154" i="1" s="1"/>
  <c r="BF155" i="1"/>
  <c r="BG155" i="1" s="1"/>
  <c r="BF156" i="1"/>
  <c r="BG156" i="1" s="1"/>
  <c r="BF157" i="1"/>
  <c r="BG157" i="1" s="1"/>
  <c r="AF145" i="1"/>
  <c r="AG145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F153" i="1"/>
  <c r="AG153" i="1"/>
  <c r="AF154" i="1"/>
  <c r="AG154" i="1"/>
  <c r="AF155" i="1"/>
  <c r="AG155" i="1" s="1"/>
  <c r="AF156" i="1"/>
  <c r="AG156" i="1" s="1"/>
  <c r="AF157" i="1"/>
  <c r="AG157" i="1" s="1"/>
  <c r="AF144" i="1"/>
  <c r="AG144" i="1" s="1"/>
  <c r="CF5" i="1"/>
  <c r="CG5" i="1" s="1"/>
  <c r="CF6" i="1"/>
  <c r="CG6" i="1" s="1"/>
  <c r="CF7" i="1"/>
  <c r="CG7" i="1" s="1"/>
  <c r="CF8" i="1"/>
  <c r="CG8" i="1" s="1"/>
  <c r="CF9" i="1"/>
  <c r="CG9" i="1" s="1"/>
  <c r="CF10" i="1"/>
  <c r="CG10" i="1" s="1"/>
  <c r="CF11" i="1"/>
  <c r="CG11" i="1" s="1"/>
  <c r="CF12" i="1"/>
  <c r="CG12" i="1" s="1"/>
  <c r="CF13" i="1"/>
  <c r="CG13" i="1" s="1"/>
  <c r="CF14" i="1"/>
  <c r="CG14" i="1" s="1"/>
  <c r="CF15" i="1"/>
  <c r="CG15" i="1" s="1"/>
  <c r="CF16" i="1"/>
  <c r="CF17" i="1"/>
  <c r="CG17" i="1" s="1"/>
  <c r="H26" i="6" s="1"/>
  <c r="CF18" i="1"/>
  <c r="G27" i="6" s="1"/>
  <c r="CF19" i="1"/>
  <c r="CG19" i="1" s="1"/>
  <c r="H28" i="6" s="1"/>
  <c r="CF20" i="1"/>
  <c r="G29" i="6" s="1"/>
  <c r="CF21" i="1"/>
  <c r="CG21" i="1" s="1"/>
  <c r="H30" i="6" s="1"/>
  <c r="CF22" i="1"/>
  <c r="CG22" i="1" s="1"/>
  <c r="H31" i="6" s="1"/>
  <c r="CF23" i="1"/>
  <c r="G32" i="6" s="1"/>
  <c r="CF24" i="1"/>
  <c r="CF25" i="1"/>
  <c r="CG25" i="1" s="1"/>
  <c r="CF26" i="1"/>
  <c r="CG26" i="1" s="1"/>
  <c r="CF27" i="1"/>
  <c r="CG27" i="1" s="1"/>
  <c r="CF28" i="1"/>
  <c r="CG28" i="1" s="1"/>
  <c r="CF29" i="1"/>
  <c r="CG29" i="1" s="1"/>
  <c r="CF30" i="1"/>
  <c r="CG30" i="1" s="1"/>
  <c r="CF31" i="1"/>
  <c r="CG31" i="1" s="1"/>
  <c r="CF32" i="1"/>
  <c r="CG32" i="1" s="1"/>
  <c r="CF33" i="1"/>
  <c r="CG33" i="1" s="1"/>
  <c r="CF34" i="1"/>
  <c r="CG34" i="1" s="1"/>
  <c r="CF35" i="1"/>
  <c r="CG35" i="1" s="1"/>
  <c r="CF36" i="1"/>
  <c r="CG36" i="1" s="1"/>
  <c r="CF37" i="1"/>
  <c r="CG37" i="1" s="1"/>
  <c r="CF38" i="1"/>
  <c r="CG38" i="1" s="1"/>
  <c r="CF39" i="1"/>
  <c r="CG39" i="1" s="1"/>
  <c r="CF40" i="1"/>
  <c r="CG40" i="1" s="1"/>
  <c r="CF41" i="1"/>
  <c r="CG41" i="1" s="1"/>
  <c r="CF42" i="1"/>
  <c r="CG42" i="1" s="1"/>
  <c r="CF43" i="1"/>
  <c r="CG43" i="1" s="1"/>
  <c r="CF44" i="1"/>
  <c r="CG44" i="1" s="1"/>
  <c r="CF45" i="1"/>
  <c r="CG45" i="1" s="1"/>
  <c r="CF46" i="1"/>
  <c r="CG46" i="1" s="1"/>
  <c r="CF47" i="1"/>
  <c r="CG47" i="1" s="1"/>
  <c r="CF48" i="1"/>
  <c r="CG48" i="1" s="1"/>
  <c r="CF49" i="1"/>
  <c r="CG49" i="1" s="1"/>
  <c r="CF50" i="1"/>
  <c r="CG50" i="1" s="1"/>
  <c r="CF51" i="1"/>
  <c r="CG51" i="1" s="1"/>
  <c r="CF52" i="1"/>
  <c r="CG52" i="1" s="1"/>
  <c r="CF53" i="1"/>
  <c r="CG53" i="1" s="1"/>
  <c r="CF54" i="1"/>
  <c r="CG54" i="1" s="1"/>
  <c r="CF55" i="1"/>
  <c r="CG55" i="1" s="1"/>
  <c r="CF56" i="1"/>
  <c r="CG56" i="1" s="1"/>
  <c r="CF57" i="1"/>
  <c r="CG57" i="1" s="1"/>
  <c r="CF58" i="1"/>
  <c r="CG58" i="1" s="1"/>
  <c r="CF59" i="1"/>
  <c r="CG59" i="1" s="1"/>
  <c r="CF60" i="1"/>
  <c r="CG60" i="1" s="1"/>
  <c r="CF61" i="1"/>
  <c r="CG61" i="1" s="1"/>
  <c r="CF62" i="1"/>
  <c r="CG62" i="1" s="1"/>
  <c r="CF63" i="1"/>
  <c r="CG63" i="1" s="1"/>
  <c r="CF64" i="1"/>
  <c r="CG64" i="1" s="1"/>
  <c r="CF65" i="1"/>
  <c r="CG65" i="1" s="1"/>
  <c r="CF66" i="1"/>
  <c r="CG66" i="1" s="1"/>
  <c r="CF67" i="1"/>
  <c r="CG67" i="1" s="1"/>
  <c r="CF68" i="1"/>
  <c r="CG68" i="1" s="1"/>
  <c r="CF69" i="1"/>
  <c r="CG69" i="1" s="1"/>
  <c r="CF70" i="1"/>
  <c r="CG70" i="1" s="1"/>
  <c r="CF71" i="1"/>
  <c r="CG71" i="1" s="1"/>
  <c r="CF72" i="1"/>
  <c r="CG72" i="1" s="1"/>
  <c r="CF73" i="1"/>
  <c r="CG73" i="1" s="1"/>
  <c r="CF74" i="1"/>
  <c r="CG74" i="1" s="1"/>
  <c r="CF75" i="1"/>
  <c r="CG75" i="1" s="1"/>
  <c r="CF76" i="1"/>
  <c r="CG76" i="1" s="1"/>
  <c r="CF77" i="1"/>
  <c r="CG77" i="1" s="1"/>
  <c r="CF78" i="1"/>
  <c r="CG78" i="1" s="1"/>
  <c r="CF79" i="1"/>
  <c r="CG79" i="1" s="1"/>
  <c r="CF80" i="1"/>
  <c r="CG80" i="1" s="1"/>
  <c r="CF81" i="1"/>
  <c r="CG81" i="1" s="1"/>
  <c r="CF82" i="1"/>
  <c r="CG82" i="1" s="1"/>
  <c r="CF83" i="1"/>
  <c r="CG83" i="1" s="1"/>
  <c r="CF84" i="1"/>
  <c r="CG84" i="1" s="1"/>
  <c r="CF85" i="1"/>
  <c r="CG85" i="1" s="1"/>
  <c r="CF86" i="1"/>
  <c r="CG86" i="1" s="1"/>
  <c r="CF87" i="1"/>
  <c r="CG87" i="1" s="1"/>
  <c r="CF88" i="1"/>
  <c r="CG88" i="1" s="1"/>
  <c r="CF89" i="1"/>
  <c r="CG89" i="1" s="1"/>
  <c r="CF90" i="1"/>
  <c r="CG90" i="1" s="1"/>
  <c r="CF91" i="1"/>
  <c r="CG91" i="1" s="1"/>
  <c r="CF92" i="1"/>
  <c r="CG92" i="1" s="1"/>
  <c r="CF93" i="1"/>
  <c r="CG93" i="1" s="1"/>
  <c r="CF94" i="1"/>
  <c r="CG94" i="1" s="1"/>
  <c r="CF95" i="1"/>
  <c r="CG95" i="1" s="1"/>
  <c r="CF96" i="1"/>
  <c r="CG96" i="1" s="1"/>
  <c r="CF97" i="1"/>
  <c r="CG97" i="1" s="1"/>
  <c r="CF98" i="1"/>
  <c r="CG98" i="1" s="1"/>
  <c r="CF99" i="1"/>
  <c r="CG99" i="1" s="1"/>
  <c r="CF100" i="1"/>
  <c r="CG100" i="1" s="1"/>
  <c r="CF101" i="1"/>
  <c r="CG101" i="1" s="1"/>
  <c r="CF102" i="1"/>
  <c r="CG102" i="1" s="1"/>
  <c r="CF103" i="1"/>
  <c r="CG103" i="1" s="1"/>
  <c r="CF104" i="1"/>
  <c r="CG104" i="1" s="1"/>
  <c r="CF105" i="1"/>
  <c r="CG105" i="1" s="1"/>
  <c r="CF106" i="1"/>
  <c r="CG106" i="1" s="1"/>
  <c r="CF107" i="1"/>
  <c r="CG107" i="1" s="1"/>
  <c r="CF108" i="1"/>
  <c r="CG108" i="1" s="1"/>
  <c r="CF109" i="1"/>
  <c r="CG109" i="1" s="1"/>
  <c r="CF110" i="1"/>
  <c r="CG110" i="1" s="1"/>
  <c r="CF111" i="1"/>
  <c r="CG111" i="1" s="1"/>
  <c r="CF112" i="1"/>
  <c r="CG112" i="1" s="1"/>
  <c r="CF113" i="1"/>
  <c r="CG113" i="1" s="1"/>
  <c r="CF114" i="1"/>
  <c r="CG114" i="1" s="1"/>
  <c r="CF115" i="1"/>
  <c r="CG115" i="1" s="1"/>
  <c r="CF116" i="1"/>
  <c r="CG116" i="1" s="1"/>
  <c r="CF117" i="1"/>
  <c r="CG117" i="1" s="1"/>
  <c r="CF118" i="1"/>
  <c r="CG118" i="1" s="1"/>
  <c r="CF125" i="1"/>
  <c r="CG125" i="1" s="1"/>
  <c r="CF126" i="1"/>
  <c r="CG126" i="1" s="1"/>
  <c r="CF127" i="1"/>
  <c r="CG127" i="1" s="1"/>
  <c r="CF128" i="1"/>
  <c r="CG128" i="1" s="1"/>
  <c r="CF129" i="1"/>
  <c r="CG129" i="1" s="1"/>
  <c r="CF130" i="1"/>
  <c r="CG130" i="1" s="1"/>
  <c r="CF131" i="1"/>
  <c r="CG131" i="1" s="1"/>
  <c r="CF132" i="1"/>
  <c r="CG132" i="1" s="1"/>
  <c r="CF133" i="1"/>
  <c r="CG133" i="1" s="1"/>
  <c r="CF134" i="1"/>
  <c r="CG134" i="1" s="1"/>
  <c r="CF135" i="1"/>
  <c r="CG135" i="1" s="1"/>
  <c r="CF136" i="1"/>
  <c r="CG136" i="1" s="1"/>
  <c r="CF137" i="1"/>
  <c r="CG137" i="1" s="1"/>
  <c r="CF138" i="1"/>
  <c r="CG138" i="1" s="1"/>
  <c r="CF139" i="1"/>
  <c r="CG139" i="1" s="1"/>
  <c r="CF140" i="1"/>
  <c r="CG140" i="1" s="1"/>
  <c r="BF5" i="1"/>
  <c r="BG5" i="1" s="1"/>
  <c r="BF6" i="1"/>
  <c r="BG6" i="1" s="1"/>
  <c r="BF7" i="1"/>
  <c r="BG7" i="1" s="1"/>
  <c r="BF8" i="1"/>
  <c r="BG8" i="1" s="1"/>
  <c r="BF9" i="1"/>
  <c r="BG9" i="1" s="1"/>
  <c r="BF10" i="1"/>
  <c r="BG10" i="1" s="1"/>
  <c r="BF11" i="1"/>
  <c r="BG11" i="1" s="1"/>
  <c r="BF12" i="1"/>
  <c r="BG12" i="1" s="1"/>
  <c r="BF13" i="1"/>
  <c r="BG13" i="1" s="1"/>
  <c r="BF14" i="1"/>
  <c r="BG14" i="1" s="1"/>
  <c r="BF15" i="1"/>
  <c r="BG15" i="1" s="1"/>
  <c r="BF16" i="1"/>
  <c r="BG16" i="1" s="1"/>
  <c r="F25" i="6" s="1"/>
  <c r="BF17" i="1"/>
  <c r="BG17" i="1" s="1"/>
  <c r="F26" i="6" s="1"/>
  <c r="BF18" i="1"/>
  <c r="E27" i="6" s="1"/>
  <c r="BF19" i="1"/>
  <c r="E28" i="6" s="1"/>
  <c r="BF20" i="1"/>
  <c r="E29" i="6" s="1"/>
  <c r="BF21" i="1"/>
  <c r="BG21" i="1" s="1"/>
  <c r="F30" i="6" s="1"/>
  <c r="BF22" i="1"/>
  <c r="BF23" i="1"/>
  <c r="BG23" i="1" s="1"/>
  <c r="F32" i="6" s="1"/>
  <c r="BF24" i="1"/>
  <c r="BG24" i="1" s="1"/>
  <c r="F33" i="6" s="1"/>
  <c r="BF25" i="1"/>
  <c r="BG25" i="1" s="1"/>
  <c r="BF26" i="1"/>
  <c r="BG26" i="1" s="1"/>
  <c r="BF27" i="1"/>
  <c r="BG27" i="1" s="1"/>
  <c r="BF28" i="1"/>
  <c r="BG28" i="1" s="1"/>
  <c r="BF29" i="1"/>
  <c r="BG29" i="1" s="1"/>
  <c r="BF30" i="1"/>
  <c r="BG30" i="1" s="1"/>
  <c r="BF31" i="1"/>
  <c r="BG31" i="1" s="1"/>
  <c r="BF32" i="1"/>
  <c r="BG32" i="1" s="1"/>
  <c r="BF33" i="1"/>
  <c r="BG33" i="1" s="1"/>
  <c r="BF34" i="1"/>
  <c r="BG34" i="1" s="1"/>
  <c r="BF35" i="1"/>
  <c r="BG35" i="1" s="1"/>
  <c r="BF36" i="1"/>
  <c r="BG36" i="1" s="1"/>
  <c r="BF37" i="1"/>
  <c r="BG37" i="1" s="1"/>
  <c r="BF38" i="1"/>
  <c r="BG38" i="1" s="1"/>
  <c r="BF39" i="1"/>
  <c r="BG39" i="1" s="1"/>
  <c r="BF40" i="1"/>
  <c r="BG40" i="1" s="1"/>
  <c r="BF41" i="1"/>
  <c r="BG41" i="1" s="1"/>
  <c r="BF42" i="1"/>
  <c r="BG42" i="1" s="1"/>
  <c r="BF43" i="1"/>
  <c r="BG43" i="1" s="1"/>
  <c r="BF44" i="1"/>
  <c r="BG44" i="1" s="1"/>
  <c r="BF45" i="1"/>
  <c r="BG45" i="1" s="1"/>
  <c r="BF46" i="1"/>
  <c r="BG46" i="1" s="1"/>
  <c r="BF47" i="1"/>
  <c r="BG47" i="1" s="1"/>
  <c r="BF48" i="1"/>
  <c r="BG48" i="1" s="1"/>
  <c r="BF49" i="1"/>
  <c r="BG49" i="1" s="1"/>
  <c r="BF50" i="1"/>
  <c r="BG50" i="1" s="1"/>
  <c r="BF51" i="1"/>
  <c r="BG51" i="1" s="1"/>
  <c r="BF52" i="1"/>
  <c r="BG52" i="1" s="1"/>
  <c r="BF53" i="1"/>
  <c r="BG53" i="1" s="1"/>
  <c r="BF54" i="1"/>
  <c r="BG54" i="1" s="1"/>
  <c r="BF55" i="1"/>
  <c r="BG55" i="1" s="1"/>
  <c r="BF56" i="1"/>
  <c r="BG56" i="1" s="1"/>
  <c r="BF57" i="1"/>
  <c r="BG57" i="1" s="1"/>
  <c r="BF58" i="1"/>
  <c r="BG58" i="1" s="1"/>
  <c r="BF59" i="1"/>
  <c r="BG59" i="1" s="1"/>
  <c r="BF60" i="1"/>
  <c r="BG60" i="1" s="1"/>
  <c r="BF61" i="1"/>
  <c r="BG61" i="1" s="1"/>
  <c r="BF62" i="1"/>
  <c r="BG62" i="1" s="1"/>
  <c r="BF63" i="1"/>
  <c r="BG63" i="1" s="1"/>
  <c r="BF64" i="1"/>
  <c r="BG64" i="1" s="1"/>
  <c r="BF65" i="1"/>
  <c r="BG65" i="1" s="1"/>
  <c r="BF66" i="1"/>
  <c r="BG66" i="1" s="1"/>
  <c r="BF67" i="1"/>
  <c r="BG67" i="1" s="1"/>
  <c r="BF68" i="1"/>
  <c r="BG68" i="1" s="1"/>
  <c r="BF69" i="1"/>
  <c r="BG69" i="1" s="1"/>
  <c r="BF70" i="1"/>
  <c r="BG70" i="1" s="1"/>
  <c r="BF71" i="1"/>
  <c r="BG71" i="1" s="1"/>
  <c r="BF72" i="1"/>
  <c r="BG72" i="1" s="1"/>
  <c r="BF73" i="1"/>
  <c r="BG73" i="1" s="1"/>
  <c r="BF74" i="1"/>
  <c r="BG74" i="1" s="1"/>
  <c r="BF75" i="1"/>
  <c r="BG75" i="1" s="1"/>
  <c r="BF76" i="1"/>
  <c r="BG76" i="1" s="1"/>
  <c r="BF77" i="1"/>
  <c r="BG77" i="1" s="1"/>
  <c r="BF78" i="1"/>
  <c r="BG78" i="1" s="1"/>
  <c r="BF79" i="1"/>
  <c r="BG79" i="1" s="1"/>
  <c r="BF80" i="1"/>
  <c r="BG80" i="1" s="1"/>
  <c r="BF81" i="1"/>
  <c r="BG81" i="1" s="1"/>
  <c r="BF82" i="1"/>
  <c r="BG82" i="1" s="1"/>
  <c r="BF83" i="1"/>
  <c r="BG83" i="1" s="1"/>
  <c r="BF84" i="1"/>
  <c r="BG84" i="1" s="1"/>
  <c r="BF85" i="1"/>
  <c r="BG85" i="1" s="1"/>
  <c r="BF86" i="1"/>
  <c r="BG86" i="1" s="1"/>
  <c r="BF87" i="1"/>
  <c r="BG87" i="1" s="1"/>
  <c r="BF88" i="1"/>
  <c r="BG88" i="1" s="1"/>
  <c r="BF89" i="1"/>
  <c r="BG89" i="1" s="1"/>
  <c r="BF90" i="1"/>
  <c r="BG90" i="1" s="1"/>
  <c r="BF91" i="1"/>
  <c r="BG91" i="1" s="1"/>
  <c r="BF92" i="1"/>
  <c r="BG92" i="1" s="1"/>
  <c r="BF93" i="1"/>
  <c r="BG93" i="1" s="1"/>
  <c r="BF94" i="1"/>
  <c r="BG94" i="1" s="1"/>
  <c r="BF95" i="1"/>
  <c r="BG95" i="1" s="1"/>
  <c r="BF96" i="1"/>
  <c r="BG96" i="1" s="1"/>
  <c r="BF97" i="1"/>
  <c r="BG97" i="1" s="1"/>
  <c r="BF98" i="1"/>
  <c r="BG98" i="1" s="1"/>
  <c r="BF99" i="1"/>
  <c r="BG99" i="1" s="1"/>
  <c r="BF100" i="1"/>
  <c r="BG100" i="1" s="1"/>
  <c r="BF101" i="1"/>
  <c r="BG101" i="1" s="1"/>
  <c r="BF102" i="1"/>
  <c r="BG102" i="1" s="1"/>
  <c r="BF103" i="1"/>
  <c r="BG103" i="1" s="1"/>
  <c r="BF104" i="1"/>
  <c r="BG104" i="1" s="1"/>
  <c r="BF105" i="1"/>
  <c r="BG105" i="1" s="1"/>
  <c r="BF106" i="1"/>
  <c r="BG106" i="1" s="1"/>
  <c r="BF107" i="1"/>
  <c r="BG107" i="1" s="1"/>
  <c r="BF108" i="1"/>
  <c r="BG108" i="1" s="1"/>
  <c r="BF109" i="1"/>
  <c r="BG109" i="1" s="1"/>
  <c r="BF110" i="1"/>
  <c r="BG110" i="1" s="1"/>
  <c r="BF111" i="1"/>
  <c r="BG111" i="1" s="1"/>
  <c r="BF112" i="1"/>
  <c r="BG112" i="1" s="1"/>
  <c r="BF113" i="1"/>
  <c r="BG113" i="1" s="1"/>
  <c r="BF114" i="1"/>
  <c r="BG114" i="1" s="1"/>
  <c r="BF115" i="1"/>
  <c r="BG115" i="1" s="1"/>
  <c r="BF116" i="1"/>
  <c r="BG116" i="1" s="1"/>
  <c r="BF117" i="1"/>
  <c r="BG117" i="1" s="1"/>
  <c r="BF118" i="1"/>
  <c r="BG118" i="1" s="1"/>
  <c r="BF125" i="1"/>
  <c r="BG125" i="1" s="1"/>
  <c r="BF126" i="1"/>
  <c r="BG126" i="1" s="1"/>
  <c r="BF127" i="1"/>
  <c r="BG127" i="1" s="1"/>
  <c r="BF128" i="1"/>
  <c r="BG128" i="1" s="1"/>
  <c r="BF129" i="1"/>
  <c r="BG129" i="1" s="1"/>
  <c r="BF130" i="1"/>
  <c r="BG130" i="1" s="1"/>
  <c r="BF131" i="1"/>
  <c r="BG131" i="1" s="1"/>
  <c r="BF132" i="1"/>
  <c r="BG132" i="1" s="1"/>
  <c r="BF133" i="1"/>
  <c r="BG133" i="1" s="1"/>
  <c r="BF134" i="1"/>
  <c r="BG134" i="1" s="1"/>
  <c r="BF135" i="1"/>
  <c r="BG135" i="1" s="1"/>
  <c r="BF136" i="1"/>
  <c r="BG136" i="1" s="1"/>
  <c r="BF137" i="1"/>
  <c r="BG137" i="1" s="1"/>
  <c r="BF138" i="1"/>
  <c r="BG138" i="1" s="1"/>
  <c r="BF139" i="1"/>
  <c r="BG139" i="1" s="1"/>
  <c r="BF140" i="1"/>
  <c r="BG140" i="1" s="1"/>
  <c r="AF76" i="1"/>
  <c r="AG76" i="1" s="1"/>
  <c r="AF77" i="1"/>
  <c r="AG77" i="1" s="1"/>
  <c r="AF78" i="1"/>
  <c r="AG78" i="1" s="1"/>
  <c r="AF79" i="1"/>
  <c r="AG79" i="1" s="1"/>
  <c r="AF80" i="1"/>
  <c r="AG80" i="1" s="1"/>
  <c r="AF81" i="1"/>
  <c r="AG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F90" i="1"/>
  <c r="AG90" i="1" s="1"/>
  <c r="AF91" i="1"/>
  <c r="AG91" i="1" s="1"/>
  <c r="AF92" i="1"/>
  <c r="AG92" i="1" s="1"/>
  <c r="AF93" i="1"/>
  <c r="AG93" i="1" s="1"/>
  <c r="AF94" i="1"/>
  <c r="AG94" i="1" s="1"/>
  <c r="AF95" i="1"/>
  <c r="AG95" i="1" s="1"/>
  <c r="AF96" i="1"/>
  <c r="AG96" i="1" s="1"/>
  <c r="AF97" i="1"/>
  <c r="AG97" i="1" s="1"/>
  <c r="AF98" i="1"/>
  <c r="AG98" i="1" s="1"/>
  <c r="AF99" i="1"/>
  <c r="AG99" i="1" s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F113" i="1"/>
  <c r="AG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25" i="1"/>
  <c r="AG125" i="1" s="1"/>
  <c r="AF126" i="1"/>
  <c r="AG126" i="1" s="1"/>
  <c r="AF127" i="1"/>
  <c r="AG127" i="1" s="1"/>
  <c r="AF128" i="1"/>
  <c r="AG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F65" i="1"/>
  <c r="AG65" i="1" s="1"/>
  <c r="AF66" i="1"/>
  <c r="AG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5" i="1"/>
  <c r="AG5" i="1" s="1"/>
  <c r="AF6" i="1"/>
  <c r="AG6" i="1" s="1"/>
  <c r="AF7" i="1"/>
  <c r="AG7" i="1" s="1"/>
  <c r="AF8" i="1"/>
  <c r="AG8" i="1" s="1"/>
  <c r="AF9" i="1"/>
  <c r="AG9" i="1" s="1"/>
  <c r="AF10" i="1"/>
  <c r="AG10" i="1" s="1"/>
  <c r="AF13" i="1"/>
  <c r="AG13" i="1" s="1"/>
  <c r="AF14" i="1"/>
  <c r="AG14" i="1" s="1"/>
  <c r="AF15" i="1"/>
  <c r="AG15" i="1" s="1"/>
  <c r="AF16" i="1"/>
  <c r="C25" i="6" s="1"/>
  <c r="AF17" i="1"/>
  <c r="C26" i="6" s="1"/>
  <c r="AF18" i="1"/>
  <c r="C27" i="6" s="1"/>
  <c r="AF19" i="1"/>
  <c r="C28" i="6" s="1"/>
  <c r="AF20" i="1"/>
  <c r="AF21" i="1"/>
  <c r="AG21" i="1" s="1"/>
  <c r="D30" i="6" s="1"/>
  <c r="AF22" i="1"/>
  <c r="C31" i="6" s="1"/>
  <c r="AF23" i="1"/>
  <c r="AG23" i="1" s="1"/>
  <c r="D32" i="6" s="1"/>
  <c r="AF24" i="1"/>
  <c r="C33" i="6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F50" i="1"/>
  <c r="AG50" i="1" s="1"/>
  <c r="AF51" i="1"/>
  <c r="AG51" i="1" s="1"/>
  <c r="AF52" i="1"/>
  <c r="AG52" i="1" s="1"/>
  <c r="AF53" i="1"/>
  <c r="AG53" i="1" s="1"/>
  <c r="AF54" i="1"/>
  <c r="AG54" i="1" s="1"/>
  <c r="AF55" i="1"/>
  <c r="AG55" i="1" s="1"/>
  <c r="AF56" i="1"/>
  <c r="AG56" i="1" s="1"/>
  <c r="AF57" i="1"/>
  <c r="AG57" i="1" s="1"/>
  <c r="AF58" i="1"/>
  <c r="AG58" i="1" s="1"/>
  <c r="AF59" i="1"/>
  <c r="AG59" i="1" s="1"/>
  <c r="AF60" i="1"/>
  <c r="AG60" i="1" s="1"/>
  <c r="AF61" i="1"/>
  <c r="AG61" i="1" s="1"/>
  <c r="AF62" i="1"/>
  <c r="AG62" i="1" s="1"/>
  <c r="AF63" i="1"/>
  <c r="AG63" i="1" s="1"/>
  <c r="AF64" i="1"/>
  <c r="AG64" i="1" s="1"/>
  <c r="CF4" i="1"/>
  <c r="CG4" i="1" s="1"/>
  <c r="BF4" i="1"/>
  <c r="AF4" i="1"/>
  <c r="AG4" i="1" s="1"/>
  <c r="DD159" i="1"/>
  <c r="DB159" i="1"/>
  <c r="CZ159" i="1"/>
  <c r="CX159" i="1"/>
  <c r="CV159" i="1"/>
  <c r="CT159" i="1"/>
  <c r="CR159" i="1"/>
  <c r="CP159" i="1"/>
  <c r="CL159" i="1"/>
  <c r="CJ159" i="1"/>
  <c r="CH159" i="1"/>
  <c r="CD159" i="1"/>
  <c r="BZ159" i="1"/>
  <c r="BX159" i="1"/>
  <c r="BV159" i="1"/>
  <c r="BT159" i="1"/>
  <c r="BR159" i="1"/>
  <c r="BP159" i="1"/>
  <c r="BN159" i="1"/>
  <c r="BL159" i="1"/>
  <c r="BJ159" i="1"/>
  <c r="BD159" i="1"/>
  <c r="BB159" i="1"/>
  <c r="AZ159" i="1"/>
  <c r="AX159" i="1"/>
  <c r="AV159" i="1"/>
  <c r="AT159" i="1"/>
  <c r="AN159" i="1"/>
  <c r="AJ159" i="1"/>
  <c r="AD159" i="1"/>
  <c r="AB159" i="1"/>
  <c r="Z159" i="1"/>
  <c r="X159" i="1"/>
  <c r="V159" i="1"/>
  <c r="T159" i="1"/>
  <c r="R159" i="1"/>
  <c r="P159" i="1"/>
  <c r="N159" i="1"/>
  <c r="L159" i="1"/>
  <c r="J159" i="1"/>
  <c r="H159" i="1"/>
  <c r="DF158" i="1"/>
  <c r="DG158" i="1" s="1"/>
  <c r="DE158" i="1"/>
  <c r="DC158" i="1"/>
  <c r="DA158" i="1"/>
  <c r="CY158" i="1"/>
  <c r="CW158" i="1"/>
  <c r="CU158" i="1"/>
  <c r="CS158" i="1"/>
  <c r="CQ158" i="1"/>
  <c r="CO158" i="1"/>
  <c r="CM158" i="1"/>
  <c r="CK158" i="1"/>
  <c r="CI158" i="1"/>
  <c r="DF157" i="1"/>
  <c r="DG157" i="1" s="1"/>
  <c r="DE157" i="1"/>
  <c r="DC157" i="1"/>
  <c r="DA157" i="1"/>
  <c r="CY157" i="1"/>
  <c r="CW157" i="1"/>
  <c r="CU157" i="1"/>
  <c r="CS157" i="1"/>
  <c r="CQ157" i="1"/>
  <c r="CO157" i="1"/>
  <c r="CM157" i="1"/>
  <c r="CK157" i="1"/>
  <c r="CI157" i="1"/>
  <c r="CE157" i="1"/>
  <c r="CC157" i="1"/>
  <c r="CA157" i="1"/>
  <c r="BY157" i="1"/>
  <c r="BW157" i="1"/>
  <c r="BU157" i="1"/>
  <c r="BS157" i="1"/>
  <c r="BQ157" i="1"/>
  <c r="BO157" i="1"/>
  <c r="BM157" i="1"/>
  <c r="BK157" i="1"/>
  <c r="BI157" i="1"/>
  <c r="BE157" i="1"/>
  <c r="BC157" i="1"/>
  <c r="BA157" i="1"/>
  <c r="AY157" i="1"/>
  <c r="AW157" i="1"/>
  <c r="AU157" i="1"/>
  <c r="AS157" i="1"/>
  <c r="AQ157" i="1"/>
  <c r="AO157" i="1"/>
  <c r="AM157" i="1"/>
  <c r="AK157" i="1"/>
  <c r="AI157" i="1"/>
  <c r="AE157" i="1"/>
  <c r="AC157" i="1"/>
  <c r="AA157" i="1"/>
  <c r="Y157" i="1"/>
  <c r="W157" i="1"/>
  <c r="U157" i="1"/>
  <c r="S157" i="1"/>
  <c r="Q157" i="1"/>
  <c r="O157" i="1"/>
  <c r="M157" i="1"/>
  <c r="K157" i="1"/>
  <c r="I157" i="1"/>
  <c r="DF156" i="1"/>
  <c r="DG156" i="1" s="1"/>
  <c r="DE156" i="1"/>
  <c r="DC156" i="1"/>
  <c r="DA156" i="1"/>
  <c r="CY156" i="1"/>
  <c r="CW156" i="1"/>
  <c r="CU156" i="1"/>
  <c r="CS156" i="1"/>
  <c r="CQ156" i="1"/>
  <c r="CO156" i="1"/>
  <c r="CM156" i="1"/>
  <c r="CK156" i="1"/>
  <c r="CI156" i="1"/>
  <c r="CE156" i="1"/>
  <c r="CC156" i="1"/>
  <c r="CA156" i="1"/>
  <c r="BY156" i="1"/>
  <c r="BW156" i="1"/>
  <c r="BU156" i="1"/>
  <c r="BS156" i="1"/>
  <c r="BQ156" i="1"/>
  <c r="BO156" i="1"/>
  <c r="BM156" i="1"/>
  <c r="BK156" i="1"/>
  <c r="BI156" i="1"/>
  <c r="BE156" i="1"/>
  <c r="BC156" i="1"/>
  <c r="BA156" i="1"/>
  <c r="AY156" i="1"/>
  <c r="AW156" i="1"/>
  <c r="AU156" i="1"/>
  <c r="AS156" i="1"/>
  <c r="AQ156" i="1"/>
  <c r="AO156" i="1"/>
  <c r="AM156" i="1"/>
  <c r="AK156" i="1"/>
  <c r="AI156" i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DF155" i="1"/>
  <c r="DG155" i="1" s="1"/>
  <c r="DE155" i="1"/>
  <c r="DC155" i="1"/>
  <c r="DA155" i="1"/>
  <c r="CY155" i="1"/>
  <c r="CW155" i="1"/>
  <c r="CU155" i="1"/>
  <c r="CS155" i="1"/>
  <c r="CQ155" i="1"/>
  <c r="CO155" i="1"/>
  <c r="CM155" i="1"/>
  <c r="CK155" i="1"/>
  <c r="CI155" i="1"/>
  <c r="CE155" i="1"/>
  <c r="CC155" i="1"/>
  <c r="CA155" i="1"/>
  <c r="BY155" i="1"/>
  <c r="BW155" i="1"/>
  <c r="BU155" i="1"/>
  <c r="BS155" i="1"/>
  <c r="BQ155" i="1"/>
  <c r="BO155" i="1"/>
  <c r="BM155" i="1"/>
  <c r="BK155" i="1"/>
  <c r="BI155" i="1"/>
  <c r="BE155" i="1"/>
  <c r="BC155" i="1"/>
  <c r="BA155" i="1"/>
  <c r="AY155" i="1"/>
  <c r="AW155" i="1"/>
  <c r="AU155" i="1"/>
  <c r="AS155" i="1"/>
  <c r="AQ155" i="1"/>
  <c r="AO155" i="1"/>
  <c r="AM155" i="1"/>
  <c r="AK155" i="1"/>
  <c r="AI155" i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DF154" i="1"/>
  <c r="DE154" i="1"/>
  <c r="DC154" i="1"/>
  <c r="DA154" i="1"/>
  <c r="CY154" i="1"/>
  <c r="CW154" i="1"/>
  <c r="CU154" i="1"/>
  <c r="CS154" i="1"/>
  <c r="CQ154" i="1"/>
  <c r="CO154" i="1"/>
  <c r="CM154" i="1"/>
  <c r="CK154" i="1"/>
  <c r="CI154" i="1"/>
  <c r="CE154" i="1"/>
  <c r="CC154" i="1"/>
  <c r="CA154" i="1"/>
  <c r="BY154" i="1"/>
  <c r="BW154" i="1"/>
  <c r="BU154" i="1"/>
  <c r="BS154" i="1"/>
  <c r="BQ154" i="1"/>
  <c r="BO154" i="1"/>
  <c r="BM154" i="1"/>
  <c r="BK154" i="1"/>
  <c r="BI154" i="1"/>
  <c r="BE154" i="1"/>
  <c r="BC154" i="1"/>
  <c r="BA154" i="1"/>
  <c r="AY154" i="1"/>
  <c r="AW154" i="1"/>
  <c r="AU154" i="1"/>
  <c r="AS154" i="1"/>
  <c r="AQ154" i="1"/>
  <c r="AO154" i="1"/>
  <c r="AM154" i="1"/>
  <c r="AK154" i="1"/>
  <c r="AI154" i="1"/>
  <c r="AE154" i="1"/>
  <c r="AC154" i="1"/>
  <c r="AA154" i="1"/>
  <c r="Y154" i="1"/>
  <c r="W154" i="1"/>
  <c r="U154" i="1"/>
  <c r="S154" i="1"/>
  <c r="Q154" i="1"/>
  <c r="O154" i="1"/>
  <c r="M154" i="1"/>
  <c r="K154" i="1"/>
  <c r="I154" i="1"/>
  <c r="DG153" i="1"/>
  <c r="DE153" i="1"/>
  <c r="DC153" i="1"/>
  <c r="DA153" i="1"/>
  <c r="CY153" i="1"/>
  <c r="CW153" i="1"/>
  <c r="CU153" i="1"/>
  <c r="CS153" i="1"/>
  <c r="CQ153" i="1"/>
  <c r="CO153" i="1"/>
  <c r="CM153" i="1"/>
  <c r="CK153" i="1"/>
  <c r="CI153" i="1"/>
  <c r="CE153" i="1"/>
  <c r="CC153" i="1"/>
  <c r="CA153" i="1"/>
  <c r="BY153" i="1"/>
  <c r="BW153" i="1"/>
  <c r="BU153" i="1"/>
  <c r="BS153" i="1"/>
  <c r="BQ153" i="1"/>
  <c r="BO153" i="1"/>
  <c r="BM153" i="1"/>
  <c r="BK153" i="1"/>
  <c r="BI153" i="1"/>
  <c r="BE153" i="1"/>
  <c r="BC153" i="1"/>
  <c r="BA153" i="1"/>
  <c r="AY153" i="1"/>
  <c r="AW153" i="1"/>
  <c r="AU153" i="1"/>
  <c r="AS153" i="1"/>
  <c r="AQ153" i="1"/>
  <c r="AO153" i="1"/>
  <c r="AM153" i="1"/>
  <c r="AK153" i="1"/>
  <c r="AI153" i="1"/>
  <c r="AE153" i="1"/>
  <c r="AC153" i="1"/>
  <c r="AA153" i="1"/>
  <c r="Y153" i="1"/>
  <c r="W153" i="1"/>
  <c r="U153" i="1"/>
  <c r="S153" i="1"/>
  <c r="Q153" i="1"/>
  <c r="O153" i="1"/>
  <c r="M153" i="1"/>
  <c r="K153" i="1"/>
  <c r="I153" i="1"/>
  <c r="DE150" i="1"/>
  <c r="DC150" i="1"/>
  <c r="DA150" i="1"/>
  <c r="CY150" i="1"/>
  <c r="CW150" i="1"/>
  <c r="CU150" i="1"/>
  <c r="CS150" i="1"/>
  <c r="CQ150" i="1"/>
  <c r="CO150" i="1"/>
  <c r="CM150" i="1"/>
  <c r="CK150" i="1"/>
  <c r="CI150" i="1"/>
  <c r="CE150" i="1"/>
  <c r="CC150" i="1"/>
  <c r="CA150" i="1"/>
  <c r="BY150" i="1"/>
  <c r="BW150" i="1"/>
  <c r="BU150" i="1"/>
  <c r="BS150" i="1"/>
  <c r="BQ150" i="1"/>
  <c r="BO150" i="1"/>
  <c r="BM150" i="1"/>
  <c r="BK150" i="1"/>
  <c r="BI150" i="1"/>
  <c r="BE150" i="1"/>
  <c r="BC150" i="1"/>
  <c r="BA150" i="1"/>
  <c r="AY150" i="1"/>
  <c r="AW150" i="1"/>
  <c r="AU150" i="1"/>
  <c r="AS150" i="1"/>
  <c r="AQ150" i="1"/>
  <c r="AO150" i="1"/>
  <c r="AM150" i="1"/>
  <c r="AK150" i="1"/>
  <c r="AI150" i="1"/>
  <c r="AE150" i="1"/>
  <c r="AC150" i="1"/>
  <c r="AA150" i="1"/>
  <c r="Y150" i="1"/>
  <c r="W150" i="1"/>
  <c r="U150" i="1"/>
  <c r="S150" i="1"/>
  <c r="Q150" i="1"/>
  <c r="O150" i="1"/>
  <c r="M150" i="1"/>
  <c r="K150" i="1"/>
  <c r="I150" i="1"/>
  <c r="DF149" i="1"/>
  <c r="DG149" i="1" s="1"/>
  <c r="DE149" i="1"/>
  <c r="DC149" i="1"/>
  <c r="DA149" i="1"/>
  <c r="CY149" i="1"/>
  <c r="CW149" i="1"/>
  <c r="CU149" i="1"/>
  <c r="CS149" i="1"/>
  <c r="CQ149" i="1"/>
  <c r="CO149" i="1"/>
  <c r="CM149" i="1"/>
  <c r="CK149" i="1"/>
  <c r="CI149" i="1"/>
  <c r="CE149" i="1"/>
  <c r="CC149" i="1"/>
  <c r="CA149" i="1"/>
  <c r="BY149" i="1"/>
  <c r="BW149" i="1"/>
  <c r="BU149" i="1"/>
  <c r="BS149" i="1"/>
  <c r="BQ149" i="1"/>
  <c r="BO149" i="1"/>
  <c r="BM149" i="1"/>
  <c r="BK149" i="1"/>
  <c r="BI149" i="1"/>
  <c r="BE149" i="1"/>
  <c r="BC149" i="1"/>
  <c r="BA149" i="1"/>
  <c r="AY149" i="1"/>
  <c r="AW149" i="1"/>
  <c r="AU149" i="1"/>
  <c r="AS149" i="1"/>
  <c r="AQ149" i="1"/>
  <c r="AO149" i="1"/>
  <c r="AM149" i="1"/>
  <c r="AK149" i="1"/>
  <c r="AI149" i="1"/>
  <c r="AE149" i="1"/>
  <c r="AC149" i="1"/>
  <c r="AA149" i="1"/>
  <c r="Y149" i="1"/>
  <c r="W149" i="1"/>
  <c r="U149" i="1"/>
  <c r="S149" i="1"/>
  <c r="Q149" i="1"/>
  <c r="O149" i="1"/>
  <c r="M149" i="1"/>
  <c r="K149" i="1"/>
  <c r="I149" i="1"/>
  <c r="DF148" i="1"/>
  <c r="DE148" i="1"/>
  <c r="DC148" i="1"/>
  <c r="DA148" i="1"/>
  <c r="CY148" i="1"/>
  <c r="CW148" i="1"/>
  <c r="CU148" i="1"/>
  <c r="CS148" i="1"/>
  <c r="CQ148" i="1"/>
  <c r="CO148" i="1"/>
  <c r="CM148" i="1"/>
  <c r="CK148" i="1"/>
  <c r="CI148" i="1"/>
  <c r="CE148" i="1"/>
  <c r="CC148" i="1"/>
  <c r="CA148" i="1"/>
  <c r="BY148" i="1"/>
  <c r="BW148" i="1"/>
  <c r="BU148" i="1"/>
  <c r="BS148" i="1"/>
  <c r="BQ148" i="1"/>
  <c r="BO148" i="1"/>
  <c r="BM148" i="1"/>
  <c r="BK148" i="1"/>
  <c r="BI148" i="1"/>
  <c r="BE148" i="1"/>
  <c r="BC148" i="1"/>
  <c r="BA148" i="1"/>
  <c r="AY148" i="1"/>
  <c r="AW148" i="1"/>
  <c r="AU148" i="1"/>
  <c r="AS148" i="1"/>
  <c r="AQ148" i="1"/>
  <c r="AO148" i="1"/>
  <c r="AM148" i="1"/>
  <c r="AK148" i="1"/>
  <c r="AI148" i="1"/>
  <c r="AE148" i="1"/>
  <c r="AC148" i="1"/>
  <c r="AA148" i="1"/>
  <c r="Y148" i="1"/>
  <c r="W148" i="1"/>
  <c r="U148" i="1"/>
  <c r="S148" i="1"/>
  <c r="Q148" i="1"/>
  <c r="O148" i="1"/>
  <c r="M148" i="1"/>
  <c r="K148" i="1"/>
  <c r="I148" i="1"/>
  <c r="DF147" i="1"/>
  <c r="DG147" i="1" s="1"/>
  <c r="DE147" i="1"/>
  <c r="DC147" i="1"/>
  <c r="DA147" i="1"/>
  <c r="CY147" i="1"/>
  <c r="CW147" i="1"/>
  <c r="CU147" i="1"/>
  <c r="CS147" i="1"/>
  <c r="CQ147" i="1"/>
  <c r="CO147" i="1"/>
  <c r="CM147" i="1"/>
  <c r="CK147" i="1"/>
  <c r="CI147" i="1"/>
  <c r="CE147" i="1"/>
  <c r="CC147" i="1"/>
  <c r="CA147" i="1"/>
  <c r="BY147" i="1"/>
  <c r="BW147" i="1"/>
  <c r="BU147" i="1"/>
  <c r="BS147" i="1"/>
  <c r="BQ147" i="1"/>
  <c r="BO147" i="1"/>
  <c r="BM147" i="1"/>
  <c r="BK147" i="1"/>
  <c r="BI147" i="1"/>
  <c r="BE147" i="1"/>
  <c r="BC147" i="1"/>
  <c r="BA147" i="1"/>
  <c r="AY147" i="1"/>
  <c r="AW147" i="1"/>
  <c r="AU147" i="1"/>
  <c r="AS147" i="1"/>
  <c r="AQ147" i="1"/>
  <c r="AO147" i="1"/>
  <c r="AM147" i="1"/>
  <c r="AK147" i="1"/>
  <c r="AI147" i="1"/>
  <c r="AE147" i="1"/>
  <c r="AC147" i="1"/>
  <c r="AA147" i="1"/>
  <c r="Y147" i="1"/>
  <c r="W147" i="1"/>
  <c r="U147" i="1"/>
  <c r="S147" i="1"/>
  <c r="Q147" i="1"/>
  <c r="O147" i="1"/>
  <c r="M147" i="1"/>
  <c r="K147" i="1"/>
  <c r="I147" i="1"/>
  <c r="DF146" i="1"/>
  <c r="DE146" i="1"/>
  <c r="DC146" i="1"/>
  <c r="DA146" i="1"/>
  <c r="CY146" i="1"/>
  <c r="CW146" i="1"/>
  <c r="CU146" i="1"/>
  <c r="CS146" i="1"/>
  <c r="CQ146" i="1"/>
  <c r="CO146" i="1"/>
  <c r="CM146" i="1"/>
  <c r="CK146" i="1"/>
  <c r="CI146" i="1"/>
  <c r="CE146" i="1"/>
  <c r="CC146" i="1"/>
  <c r="CA146" i="1"/>
  <c r="BY146" i="1"/>
  <c r="BW146" i="1"/>
  <c r="BU146" i="1"/>
  <c r="BS146" i="1"/>
  <c r="BQ146" i="1"/>
  <c r="BO146" i="1"/>
  <c r="BM146" i="1"/>
  <c r="BK146" i="1"/>
  <c r="BI146" i="1"/>
  <c r="BE146" i="1"/>
  <c r="BC146" i="1"/>
  <c r="BA146" i="1"/>
  <c r="AY146" i="1"/>
  <c r="AW146" i="1"/>
  <c r="AU146" i="1"/>
  <c r="AS146" i="1"/>
  <c r="AQ146" i="1"/>
  <c r="AO146" i="1"/>
  <c r="AM146" i="1"/>
  <c r="AK146" i="1"/>
  <c r="AI146" i="1"/>
  <c r="AE146" i="1"/>
  <c r="AC146" i="1"/>
  <c r="AA146" i="1"/>
  <c r="Y146" i="1"/>
  <c r="W146" i="1"/>
  <c r="U146" i="1"/>
  <c r="S146" i="1"/>
  <c r="Q146" i="1"/>
  <c r="O146" i="1"/>
  <c r="M146" i="1"/>
  <c r="K146" i="1"/>
  <c r="I146" i="1"/>
  <c r="DF145" i="1"/>
  <c r="DG145" i="1" s="1"/>
  <c r="DE145" i="1"/>
  <c r="DC145" i="1"/>
  <c r="DA145" i="1"/>
  <c r="CY145" i="1"/>
  <c r="CW145" i="1"/>
  <c r="CU145" i="1"/>
  <c r="CS145" i="1"/>
  <c r="CQ145" i="1"/>
  <c r="CO145" i="1"/>
  <c r="CM145" i="1"/>
  <c r="CK145" i="1"/>
  <c r="CI145" i="1"/>
  <c r="CE145" i="1"/>
  <c r="CB145" i="1"/>
  <c r="CC145" i="1" s="1"/>
  <c r="CA145" i="1"/>
  <c r="BY145" i="1"/>
  <c r="BW145" i="1"/>
  <c r="BU145" i="1"/>
  <c r="BS145" i="1"/>
  <c r="BQ145" i="1"/>
  <c r="BO145" i="1"/>
  <c r="BM145" i="1"/>
  <c r="BK145" i="1"/>
  <c r="BI145" i="1"/>
  <c r="BE145" i="1"/>
  <c r="BC145" i="1"/>
  <c r="BA145" i="1"/>
  <c r="AY145" i="1"/>
  <c r="AW145" i="1"/>
  <c r="AU145" i="1"/>
  <c r="AS145" i="1"/>
  <c r="AQ145" i="1"/>
  <c r="AO145" i="1"/>
  <c r="AL145" i="1"/>
  <c r="BF145" i="1" s="1"/>
  <c r="BG145" i="1" s="1"/>
  <c r="AK145" i="1"/>
  <c r="AI145" i="1"/>
  <c r="AE145" i="1"/>
  <c r="AC145" i="1"/>
  <c r="AA145" i="1"/>
  <c r="Y145" i="1"/>
  <c r="W145" i="1"/>
  <c r="U145" i="1"/>
  <c r="S145" i="1"/>
  <c r="Q145" i="1"/>
  <c r="O145" i="1"/>
  <c r="M145" i="1"/>
  <c r="K145" i="1"/>
  <c r="I145" i="1"/>
  <c r="DF144" i="1"/>
  <c r="DE144" i="1"/>
  <c r="DC144" i="1"/>
  <c r="DA144" i="1"/>
  <c r="CY144" i="1"/>
  <c r="CW144" i="1"/>
  <c r="CU144" i="1"/>
  <c r="CS144" i="1"/>
  <c r="CQ144" i="1"/>
  <c r="CO144" i="1"/>
  <c r="CM144" i="1"/>
  <c r="CK144" i="1"/>
  <c r="CI144" i="1"/>
  <c r="CE144" i="1"/>
  <c r="CC144" i="1"/>
  <c r="CA144" i="1"/>
  <c r="BY144" i="1"/>
  <c r="BW144" i="1"/>
  <c r="BU144" i="1"/>
  <c r="BS144" i="1"/>
  <c r="BQ144" i="1"/>
  <c r="BO144" i="1"/>
  <c r="BM144" i="1"/>
  <c r="BK144" i="1"/>
  <c r="BI144" i="1"/>
  <c r="BE144" i="1"/>
  <c r="BC144" i="1"/>
  <c r="BA144" i="1"/>
  <c r="AY144" i="1"/>
  <c r="AW144" i="1"/>
  <c r="AU144" i="1"/>
  <c r="AR144" i="1"/>
  <c r="AP144" i="1"/>
  <c r="AP159" i="1" s="1"/>
  <c r="AO144" i="1"/>
  <c r="AL144" i="1"/>
  <c r="AK144" i="1"/>
  <c r="AH144" i="1"/>
  <c r="AE144" i="1"/>
  <c r="AC144" i="1"/>
  <c r="AA144" i="1"/>
  <c r="Y144" i="1"/>
  <c r="W144" i="1"/>
  <c r="U144" i="1"/>
  <c r="S144" i="1"/>
  <c r="Q144" i="1"/>
  <c r="O144" i="1"/>
  <c r="M144" i="1"/>
  <c r="K144" i="1"/>
  <c r="I144" i="1"/>
  <c r="DD142" i="1"/>
  <c r="I15" i="6" s="1"/>
  <c r="DB142" i="1"/>
  <c r="I14" i="6" s="1"/>
  <c r="CZ142" i="1"/>
  <c r="I13" i="6" s="1"/>
  <c r="CX142" i="1"/>
  <c r="I12" i="6" s="1"/>
  <c r="CV142" i="1"/>
  <c r="I11" i="6" s="1"/>
  <c r="CT142" i="1"/>
  <c r="CR142" i="1"/>
  <c r="CP142" i="1"/>
  <c r="CL142" i="1"/>
  <c r="I6" i="6" s="1"/>
  <c r="CJ142" i="1"/>
  <c r="I5" i="6" s="1"/>
  <c r="CH142" i="1"/>
  <c r="CD142" i="1"/>
  <c r="CB142" i="1"/>
  <c r="BZ142" i="1"/>
  <c r="BX142" i="1"/>
  <c r="BV142" i="1"/>
  <c r="BT142" i="1"/>
  <c r="BR142" i="1"/>
  <c r="BN142" i="1"/>
  <c r="G7" i="6" s="1"/>
  <c r="BL142" i="1"/>
  <c r="BJ142" i="1"/>
  <c r="BD142" i="1"/>
  <c r="BB142" i="1"/>
  <c r="AZ142" i="1"/>
  <c r="E13" i="6" s="1"/>
  <c r="AX142" i="1"/>
  <c r="E12" i="6" s="1"/>
  <c r="AV142" i="1"/>
  <c r="E11" i="6" s="1"/>
  <c r="AT142" i="1"/>
  <c r="AR142" i="1"/>
  <c r="E9" i="6" s="1"/>
  <c r="AP142" i="1"/>
  <c r="AN142" i="1"/>
  <c r="AL142" i="1"/>
  <c r="AJ142" i="1"/>
  <c r="AH142" i="1"/>
  <c r="E4" i="6" s="1"/>
  <c r="AD142" i="1"/>
  <c r="Z142" i="1"/>
  <c r="C13" i="6" s="1"/>
  <c r="X142" i="1"/>
  <c r="V142" i="1"/>
  <c r="P142" i="1"/>
  <c r="N142" i="1"/>
  <c r="L142" i="1"/>
  <c r="DF141" i="1"/>
  <c r="DG141" i="1" s="1"/>
  <c r="DE141" i="1"/>
  <c r="DC141" i="1"/>
  <c r="DA141" i="1"/>
  <c r="CY141" i="1"/>
  <c r="CW141" i="1"/>
  <c r="CU141" i="1"/>
  <c r="CS141" i="1"/>
  <c r="CQ141" i="1"/>
  <c r="CO141" i="1"/>
  <c r="CM141" i="1"/>
  <c r="CK141" i="1"/>
  <c r="CI141" i="1"/>
  <c r="DF140" i="1"/>
  <c r="DG140" i="1" s="1"/>
  <c r="DE140" i="1"/>
  <c r="DC140" i="1"/>
  <c r="DA140" i="1"/>
  <c r="CY140" i="1"/>
  <c r="CW140" i="1"/>
  <c r="CU140" i="1"/>
  <c r="CS140" i="1"/>
  <c r="CQ140" i="1"/>
  <c r="CO140" i="1"/>
  <c r="CM140" i="1"/>
  <c r="CK140" i="1"/>
  <c r="CI140" i="1"/>
  <c r="S140" i="1"/>
  <c r="DF139" i="1"/>
  <c r="DG139" i="1" s="1"/>
  <c r="DE139" i="1"/>
  <c r="DC139" i="1"/>
  <c r="DA139" i="1"/>
  <c r="CY139" i="1"/>
  <c r="CW139" i="1"/>
  <c r="CU139" i="1"/>
  <c r="CS139" i="1"/>
  <c r="CQ139" i="1"/>
  <c r="CO139" i="1"/>
  <c r="CM139" i="1"/>
  <c r="CK139" i="1"/>
  <c r="CI139" i="1"/>
  <c r="S139" i="1"/>
  <c r="DF138" i="1"/>
  <c r="DG138" i="1" s="1"/>
  <c r="DE138" i="1"/>
  <c r="DC138" i="1"/>
  <c r="DA138" i="1"/>
  <c r="CY138" i="1"/>
  <c r="CW138" i="1"/>
  <c r="CU138" i="1"/>
  <c r="CS138" i="1"/>
  <c r="CQ138" i="1"/>
  <c r="CO138" i="1"/>
  <c r="CM138" i="1"/>
  <c r="CK138" i="1"/>
  <c r="CI138" i="1"/>
  <c r="CE138" i="1"/>
  <c r="CC138" i="1"/>
  <c r="CA138" i="1"/>
  <c r="BY138" i="1"/>
  <c r="BW138" i="1"/>
  <c r="BU138" i="1"/>
  <c r="BS138" i="1"/>
  <c r="BQ138" i="1"/>
  <c r="BO138" i="1"/>
  <c r="BM138" i="1"/>
  <c r="BK138" i="1"/>
  <c r="BI138" i="1"/>
  <c r="BE138" i="1"/>
  <c r="BC138" i="1"/>
  <c r="BA138" i="1"/>
  <c r="AY138" i="1"/>
  <c r="AW138" i="1"/>
  <c r="AU138" i="1"/>
  <c r="AS138" i="1"/>
  <c r="AQ138" i="1"/>
  <c r="AO138" i="1"/>
  <c r="AM138" i="1"/>
  <c r="AK138" i="1"/>
  <c r="AI138" i="1"/>
  <c r="AE138" i="1"/>
  <c r="AC138" i="1"/>
  <c r="AA138" i="1"/>
  <c r="Y138" i="1"/>
  <c r="W138" i="1"/>
  <c r="U138" i="1"/>
  <c r="S138" i="1"/>
  <c r="Q138" i="1"/>
  <c r="O138" i="1"/>
  <c r="M138" i="1"/>
  <c r="K138" i="1"/>
  <c r="I138" i="1"/>
  <c r="DF137" i="1"/>
  <c r="DG137" i="1" s="1"/>
  <c r="DE137" i="1"/>
  <c r="DC137" i="1"/>
  <c r="DA137" i="1"/>
  <c r="CY137" i="1"/>
  <c r="CW137" i="1"/>
  <c r="CU137" i="1"/>
  <c r="CS137" i="1"/>
  <c r="CQ137" i="1"/>
  <c r="CO137" i="1"/>
  <c r="CM137" i="1"/>
  <c r="CK137" i="1"/>
  <c r="CI137" i="1"/>
  <c r="CE137" i="1"/>
  <c r="CC137" i="1"/>
  <c r="CA137" i="1"/>
  <c r="BY137" i="1"/>
  <c r="BW137" i="1"/>
  <c r="BU137" i="1"/>
  <c r="BS137" i="1"/>
  <c r="BQ137" i="1"/>
  <c r="BO137" i="1"/>
  <c r="BM137" i="1"/>
  <c r="BK137" i="1"/>
  <c r="BI137" i="1"/>
  <c r="BE137" i="1"/>
  <c r="BC137" i="1"/>
  <c r="BA137" i="1"/>
  <c r="AY137" i="1"/>
  <c r="AW137" i="1"/>
  <c r="AU137" i="1"/>
  <c r="AS137" i="1"/>
  <c r="AQ137" i="1"/>
  <c r="AO137" i="1"/>
  <c r="AM137" i="1"/>
  <c r="AK137" i="1"/>
  <c r="AI137" i="1"/>
  <c r="AE137" i="1"/>
  <c r="AC137" i="1"/>
  <c r="AA137" i="1"/>
  <c r="Y137" i="1"/>
  <c r="W137" i="1"/>
  <c r="U137" i="1"/>
  <c r="S137" i="1"/>
  <c r="Q137" i="1"/>
  <c r="O137" i="1"/>
  <c r="M137" i="1"/>
  <c r="K137" i="1"/>
  <c r="I137" i="1"/>
  <c r="DF136" i="1"/>
  <c r="DG136" i="1" s="1"/>
  <c r="DE136" i="1"/>
  <c r="DC136" i="1"/>
  <c r="DA136" i="1"/>
  <c r="CY136" i="1"/>
  <c r="CW136" i="1"/>
  <c r="CU136" i="1"/>
  <c r="CS136" i="1"/>
  <c r="CQ136" i="1"/>
  <c r="CO136" i="1"/>
  <c r="CM136" i="1"/>
  <c r="CK136" i="1"/>
  <c r="CI136" i="1"/>
  <c r="S136" i="1"/>
  <c r="DF135" i="1"/>
  <c r="DE135" i="1"/>
  <c r="DC135" i="1"/>
  <c r="DA135" i="1"/>
  <c r="CY135" i="1"/>
  <c r="CW135" i="1"/>
  <c r="CU135" i="1"/>
  <c r="CS135" i="1"/>
  <c r="CQ135" i="1"/>
  <c r="CO135" i="1"/>
  <c r="CM135" i="1"/>
  <c r="CK135" i="1"/>
  <c r="CI135" i="1"/>
  <c r="CE135" i="1"/>
  <c r="CC135" i="1"/>
  <c r="CA135" i="1"/>
  <c r="BY135" i="1"/>
  <c r="BW135" i="1"/>
  <c r="BU135" i="1"/>
  <c r="BS135" i="1"/>
  <c r="BQ135" i="1"/>
  <c r="BO135" i="1"/>
  <c r="BM135" i="1"/>
  <c r="BK135" i="1"/>
  <c r="BI135" i="1"/>
  <c r="BE135" i="1"/>
  <c r="BC135" i="1"/>
  <c r="BA135" i="1"/>
  <c r="AY135" i="1"/>
  <c r="AW135" i="1"/>
  <c r="AU135" i="1"/>
  <c r="AS135" i="1"/>
  <c r="AQ135" i="1"/>
  <c r="AO135" i="1"/>
  <c r="AM135" i="1"/>
  <c r="AK135" i="1"/>
  <c r="AI135" i="1"/>
  <c r="AE135" i="1"/>
  <c r="AC135" i="1"/>
  <c r="AA135" i="1"/>
  <c r="Y135" i="1"/>
  <c r="W135" i="1"/>
  <c r="U135" i="1"/>
  <c r="S135" i="1"/>
  <c r="Q135" i="1"/>
  <c r="O135" i="1"/>
  <c r="M135" i="1"/>
  <c r="K135" i="1"/>
  <c r="I135" i="1"/>
  <c r="DF134" i="1"/>
  <c r="DE134" i="1"/>
  <c r="DC134" i="1"/>
  <c r="DA134" i="1"/>
  <c r="CY134" i="1"/>
  <c r="CW134" i="1"/>
  <c r="CU134" i="1"/>
  <c r="CS134" i="1"/>
  <c r="CQ134" i="1"/>
  <c r="CO134" i="1"/>
  <c r="CM134" i="1"/>
  <c r="CK134" i="1"/>
  <c r="CI134" i="1"/>
  <c r="S134" i="1"/>
  <c r="DF133" i="1"/>
  <c r="DE133" i="1"/>
  <c r="DC133" i="1"/>
  <c r="DA133" i="1"/>
  <c r="CY133" i="1"/>
  <c r="CW133" i="1"/>
  <c r="CU133" i="1"/>
  <c r="CS133" i="1"/>
  <c r="CQ133" i="1"/>
  <c r="CO133" i="1"/>
  <c r="CM133" i="1"/>
  <c r="CK133" i="1"/>
  <c r="CI133" i="1"/>
  <c r="CE133" i="1"/>
  <c r="CC133" i="1"/>
  <c r="CA133" i="1"/>
  <c r="BY133" i="1"/>
  <c r="BW133" i="1"/>
  <c r="BU133" i="1"/>
  <c r="BS133" i="1"/>
  <c r="BQ133" i="1"/>
  <c r="BO133" i="1"/>
  <c r="BM133" i="1"/>
  <c r="BK133" i="1"/>
  <c r="BI133" i="1"/>
  <c r="BE133" i="1"/>
  <c r="BC133" i="1"/>
  <c r="BA133" i="1"/>
  <c r="AY133" i="1"/>
  <c r="AW133" i="1"/>
  <c r="AU133" i="1"/>
  <c r="AS133" i="1"/>
  <c r="AQ133" i="1"/>
  <c r="AO133" i="1"/>
  <c r="AM133" i="1"/>
  <c r="AK133" i="1"/>
  <c r="AI133" i="1"/>
  <c r="AE133" i="1"/>
  <c r="AC133" i="1"/>
  <c r="AA133" i="1"/>
  <c r="Y133" i="1"/>
  <c r="W133" i="1"/>
  <c r="U133" i="1"/>
  <c r="S133" i="1"/>
  <c r="Q133" i="1"/>
  <c r="O133" i="1"/>
  <c r="M133" i="1"/>
  <c r="K133" i="1"/>
  <c r="I133" i="1"/>
  <c r="DF132" i="1"/>
  <c r="DE132" i="1"/>
  <c r="DC132" i="1"/>
  <c r="DA132" i="1"/>
  <c r="CY132" i="1"/>
  <c r="CW132" i="1"/>
  <c r="CU132" i="1"/>
  <c r="CS132" i="1"/>
  <c r="CQ132" i="1"/>
  <c r="CO132" i="1"/>
  <c r="CM132" i="1"/>
  <c r="CK132" i="1"/>
  <c r="CI132" i="1"/>
  <c r="CE132" i="1"/>
  <c r="CC132" i="1"/>
  <c r="CA132" i="1"/>
  <c r="BY132" i="1"/>
  <c r="BW132" i="1"/>
  <c r="BU132" i="1"/>
  <c r="BS132" i="1"/>
  <c r="BQ132" i="1"/>
  <c r="BO132" i="1"/>
  <c r="BM132" i="1"/>
  <c r="BK132" i="1"/>
  <c r="BI132" i="1"/>
  <c r="BE132" i="1"/>
  <c r="BC132" i="1"/>
  <c r="BA132" i="1"/>
  <c r="AY132" i="1"/>
  <c r="AW132" i="1"/>
  <c r="AU132" i="1"/>
  <c r="AS132" i="1"/>
  <c r="AQ132" i="1"/>
  <c r="AO132" i="1"/>
  <c r="AM132" i="1"/>
  <c r="AK132" i="1"/>
  <c r="AI132" i="1"/>
  <c r="AE132" i="1"/>
  <c r="AC132" i="1"/>
  <c r="AA132" i="1"/>
  <c r="Y132" i="1"/>
  <c r="W132" i="1"/>
  <c r="U132" i="1"/>
  <c r="S132" i="1"/>
  <c r="Q132" i="1"/>
  <c r="O132" i="1"/>
  <c r="M132" i="1"/>
  <c r="K132" i="1"/>
  <c r="I132" i="1"/>
  <c r="DF131" i="1"/>
  <c r="DE131" i="1"/>
  <c r="DC131" i="1"/>
  <c r="DA131" i="1"/>
  <c r="CY131" i="1"/>
  <c r="CW131" i="1"/>
  <c r="CU131" i="1"/>
  <c r="CS131" i="1"/>
  <c r="CQ131" i="1"/>
  <c r="CO131" i="1"/>
  <c r="CM131" i="1"/>
  <c r="CK131" i="1"/>
  <c r="CI131" i="1"/>
  <c r="CE131" i="1"/>
  <c r="CC131" i="1"/>
  <c r="CA131" i="1"/>
  <c r="BY131" i="1"/>
  <c r="BW131" i="1"/>
  <c r="BU131" i="1"/>
  <c r="BS131" i="1"/>
  <c r="BQ131" i="1"/>
  <c r="BO131" i="1"/>
  <c r="BM131" i="1"/>
  <c r="BK131" i="1"/>
  <c r="BI131" i="1"/>
  <c r="BE131" i="1"/>
  <c r="BC131" i="1"/>
  <c r="BA131" i="1"/>
  <c r="AY131" i="1"/>
  <c r="AW131" i="1"/>
  <c r="AU131" i="1"/>
  <c r="AS131" i="1"/>
  <c r="AQ131" i="1"/>
  <c r="AO131" i="1"/>
  <c r="AM131" i="1"/>
  <c r="AK131" i="1"/>
  <c r="AI131" i="1"/>
  <c r="AE131" i="1"/>
  <c r="AC131" i="1"/>
  <c r="AA131" i="1"/>
  <c r="Y131" i="1"/>
  <c r="W131" i="1"/>
  <c r="U131" i="1"/>
  <c r="S131" i="1"/>
  <c r="Q131" i="1"/>
  <c r="O131" i="1"/>
  <c r="M131" i="1"/>
  <c r="K131" i="1"/>
  <c r="I131" i="1"/>
  <c r="DF130" i="1"/>
  <c r="DE130" i="1"/>
  <c r="DC130" i="1"/>
  <c r="DA130" i="1"/>
  <c r="CY130" i="1"/>
  <c r="CW130" i="1"/>
  <c r="CU130" i="1"/>
  <c r="CS130" i="1"/>
  <c r="CQ130" i="1"/>
  <c r="CO130" i="1"/>
  <c r="CM130" i="1"/>
  <c r="CK130" i="1"/>
  <c r="CI130" i="1"/>
  <c r="CE130" i="1"/>
  <c r="CC130" i="1"/>
  <c r="CA130" i="1"/>
  <c r="BY130" i="1"/>
  <c r="BW130" i="1"/>
  <c r="BU130" i="1"/>
  <c r="BS130" i="1"/>
  <c r="BQ130" i="1"/>
  <c r="BO130" i="1"/>
  <c r="BM130" i="1"/>
  <c r="BK130" i="1"/>
  <c r="BI130" i="1"/>
  <c r="BE130" i="1"/>
  <c r="BC130" i="1"/>
  <c r="BA130" i="1"/>
  <c r="AY130" i="1"/>
  <c r="AW130" i="1"/>
  <c r="AU130" i="1"/>
  <c r="AS130" i="1"/>
  <c r="AQ130" i="1"/>
  <c r="AO130" i="1"/>
  <c r="AM130" i="1"/>
  <c r="AK130" i="1"/>
  <c r="AI130" i="1"/>
  <c r="AE130" i="1"/>
  <c r="AC130" i="1"/>
  <c r="AA130" i="1"/>
  <c r="Y130" i="1"/>
  <c r="W130" i="1"/>
  <c r="U130" i="1"/>
  <c r="S130" i="1"/>
  <c r="Q130" i="1"/>
  <c r="O130" i="1"/>
  <c r="M130" i="1"/>
  <c r="K130" i="1"/>
  <c r="I130" i="1"/>
  <c r="DF129" i="1"/>
  <c r="DE129" i="1"/>
  <c r="DC129" i="1"/>
  <c r="DA129" i="1"/>
  <c r="CY129" i="1"/>
  <c r="CW129" i="1"/>
  <c r="CU129" i="1"/>
  <c r="CS129" i="1"/>
  <c r="CQ129" i="1"/>
  <c r="CO129" i="1"/>
  <c r="CM129" i="1"/>
  <c r="CK129" i="1"/>
  <c r="CI129" i="1"/>
  <c r="CE129" i="1"/>
  <c r="CC129" i="1"/>
  <c r="CA129" i="1"/>
  <c r="BY129" i="1"/>
  <c r="BW129" i="1"/>
  <c r="BU129" i="1"/>
  <c r="BS129" i="1"/>
  <c r="BQ129" i="1"/>
  <c r="BO129" i="1"/>
  <c r="BM129" i="1"/>
  <c r="BK129" i="1"/>
  <c r="BI129" i="1"/>
  <c r="BE129" i="1"/>
  <c r="BC129" i="1"/>
  <c r="BA129" i="1"/>
  <c r="AY129" i="1"/>
  <c r="AW129" i="1"/>
  <c r="AU129" i="1"/>
  <c r="AS129" i="1"/>
  <c r="AQ129" i="1"/>
  <c r="AO129" i="1"/>
  <c r="AM129" i="1"/>
  <c r="AK129" i="1"/>
  <c r="AI129" i="1"/>
  <c r="AE129" i="1"/>
  <c r="AC129" i="1"/>
  <c r="AA129" i="1"/>
  <c r="Y129" i="1"/>
  <c r="W129" i="1"/>
  <c r="U129" i="1"/>
  <c r="S129" i="1"/>
  <c r="Q129" i="1"/>
  <c r="O129" i="1"/>
  <c r="M129" i="1"/>
  <c r="K129" i="1"/>
  <c r="I129" i="1"/>
  <c r="DF128" i="1"/>
  <c r="DE128" i="1"/>
  <c r="DC128" i="1"/>
  <c r="DA128" i="1"/>
  <c r="CY128" i="1"/>
  <c r="CW128" i="1"/>
  <c r="CU128" i="1"/>
  <c r="CS128" i="1"/>
  <c r="CQ128" i="1"/>
  <c r="CO128" i="1"/>
  <c r="CM128" i="1"/>
  <c r="CK128" i="1"/>
  <c r="CI128" i="1"/>
  <c r="CE128" i="1"/>
  <c r="CC128" i="1"/>
  <c r="CA128" i="1"/>
  <c r="BY128" i="1"/>
  <c r="BW128" i="1"/>
  <c r="BU128" i="1"/>
  <c r="BS128" i="1"/>
  <c r="BQ128" i="1"/>
  <c r="BO128" i="1"/>
  <c r="BM128" i="1"/>
  <c r="BK128" i="1"/>
  <c r="BI128" i="1"/>
  <c r="BE128" i="1"/>
  <c r="BC128" i="1"/>
  <c r="BA128" i="1"/>
  <c r="AY128" i="1"/>
  <c r="AW128" i="1"/>
  <c r="AU128" i="1"/>
  <c r="AS128" i="1"/>
  <c r="AQ128" i="1"/>
  <c r="AO128" i="1"/>
  <c r="AM128" i="1"/>
  <c r="AK128" i="1"/>
  <c r="AI128" i="1"/>
  <c r="AE128" i="1"/>
  <c r="AC128" i="1"/>
  <c r="AA128" i="1"/>
  <c r="Y128" i="1"/>
  <c r="W128" i="1"/>
  <c r="U128" i="1"/>
  <c r="S128" i="1"/>
  <c r="Q128" i="1"/>
  <c r="O128" i="1"/>
  <c r="M128" i="1"/>
  <c r="K128" i="1"/>
  <c r="I128" i="1"/>
  <c r="DF127" i="1"/>
  <c r="DE127" i="1"/>
  <c r="DC127" i="1"/>
  <c r="DA127" i="1"/>
  <c r="CY127" i="1"/>
  <c r="CW127" i="1"/>
  <c r="CU127" i="1"/>
  <c r="CS127" i="1"/>
  <c r="CQ127" i="1"/>
  <c r="CO127" i="1"/>
  <c r="CM127" i="1"/>
  <c r="CK127" i="1"/>
  <c r="CI127" i="1"/>
  <c r="CE127" i="1"/>
  <c r="CC127" i="1"/>
  <c r="CA127" i="1"/>
  <c r="BY127" i="1"/>
  <c r="BW127" i="1"/>
  <c r="BU127" i="1"/>
  <c r="BS127" i="1"/>
  <c r="BQ127" i="1"/>
  <c r="BO127" i="1"/>
  <c r="BM127" i="1"/>
  <c r="BK127" i="1"/>
  <c r="BI127" i="1"/>
  <c r="BE127" i="1"/>
  <c r="BC127" i="1"/>
  <c r="BA127" i="1"/>
  <c r="AY127" i="1"/>
  <c r="AW127" i="1"/>
  <c r="AU127" i="1"/>
  <c r="AS127" i="1"/>
  <c r="AQ127" i="1"/>
  <c r="AO127" i="1"/>
  <c r="AM127" i="1"/>
  <c r="AK127" i="1"/>
  <c r="AI127" i="1"/>
  <c r="AE127" i="1"/>
  <c r="AC127" i="1"/>
  <c r="AA127" i="1"/>
  <c r="Y127" i="1"/>
  <c r="W127" i="1"/>
  <c r="U127" i="1"/>
  <c r="S127" i="1"/>
  <c r="Q127" i="1"/>
  <c r="O127" i="1"/>
  <c r="M127" i="1"/>
  <c r="K127" i="1"/>
  <c r="I127" i="1"/>
  <c r="DF126" i="1"/>
  <c r="DE126" i="1"/>
  <c r="DC126" i="1"/>
  <c r="DA126" i="1"/>
  <c r="CY126" i="1"/>
  <c r="CW126" i="1"/>
  <c r="CU126" i="1"/>
  <c r="CS126" i="1"/>
  <c r="CQ126" i="1"/>
  <c r="CO126" i="1"/>
  <c r="CM126" i="1"/>
  <c r="CK126" i="1"/>
  <c r="CI126" i="1"/>
  <c r="CE126" i="1"/>
  <c r="CC126" i="1"/>
  <c r="CA126" i="1"/>
  <c r="BY126" i="1"/>
  <c r="BW126" i="1"/>
  <c r="BU126" i="1"/>
  <c r="BS126" i="1"/>
  <c r="BQ126" i="1"/>
  <c r="BO126" i="1"/>
  <c r="BM126" i="1"/>
  <c r="BK126" i="1"/>
  <c r="BI126" i="1"/>
  <c r="BE126" i="1"/>
  <c r="BC126" i="1"/>
  <c r="BA126" i="1"/>
  <c r="AY126" i="1"/>
  <c r="AW126" i="1"/>
  <c r="AU126" i="1"/>
  <c r="AS126" i="1"/>
  <c r="AQ126" i="1"/>
  <c r="AO126" i="1"/>
  <c r="AM126" i="1"/>
  <c r="AK126" i="1"/>
  <c r="AI126" i="1"/>
  <c r="AE126" i="1"/>
  <c r="AC126" i="1"/>
  <c r="AA126" i="1"/>
  <c r="Y126" i="1"/>
  <c r="W126" i="1"/>
  <c r="U126" i="1"/>
  <c r="S126" i="1"/>
  <c r="Q126" i="1"/>
  <c r="O126" i="1"/>
  <c r="M126" i="1"/>
  <c r="K126" i="1"/>
  <c r="I126" i="1"/>
  <c r="DF125" i="1"/>
  <c r="DE125" i="1"/>
  <c r="DC125" i="1"/>
  <c r="DA125" i="1"/>
  <c r="CY125" i="1"/>
  <c r="CW125" i="1"/>
  <c r="CU125" i="1"/>
  <c r="CS125" i="1"/>
  <c r="CQ125" i="1"/>
  <c r="CO125" i="1"/>
  <c r="CM125" i="1"/>
  <c r="CK125" i="1"/>
  <c r="CI125" i="1"/>
  <c r="CE125" i="1"/>
  <c r="CC125" i="1"/>
  <c r="CA125" i="1"/>
  <c r="BY125" i="1"/>
  <c r="BW125" i="1"/>
  <c r="BU125" i="1"/>
  <c r="BS125" i="1"/>
  <c r="BO125" i="1"/>
  <c r="BM125" i="1"/>
  <c r="BK125" i="1"/>
  <c r="BI125" i="1"/>
  <c r="BE125" i="1"/>
  <c r="BC125" i="1"/>
  <c r="BA125" i="1"/>
  <c r="AY125" i="1"/>
  <c r="AW125" i="1"/>
  <c r="AU125" i="1"/>
  <c r="AS125" i="1"/>
  <c r="AQ125" i="1"/>
  <c r="AO125" i="1"/>
  <c r="AM125" i="1"/>
  <c r="AK125" i="1"/>
  <c r="AI125" i="1"/>
  <c r="AE125" i="1"/>
  <c r="AC125" i="1"/>
  <c r="AA125" i="1"/>
  <c r="Y125" i="1"/>
  <c r="W125" i="1"/>
  <c r="U125" i="1"/>
  <c r="S125" i="1"/>
  <c r="Q125" i="1"/>
  <c r="O125" i="1"/>
  <c r="M125" i="1"/>
  <c r="K125" i="1"/>
  <c r="I125" i="1"/>
  <c r="DF118" i="1"/>
  <c r="DE118" i="1"/>
  <c r="DC118" i="1"/>
  <c r="DA118" i="1"/>
  <c r="CY118" i="1"/>
  <c r="CW118" i="1"/>
  <c r="CU118" i="1"/>
  <c r="CS118" i="1"/>
  <c r="CQ118" i="1"/>
  <c r="CO118" i="1"/>
  <c r="CM118" i="1"/>
  <c r="CK118" i="1"/>
  <c r="CI118" i="1"/>
  <c r="DF117" i="1"/>
  <c r="DE117" i="1"/>
  <c r="DC117" i="1"/>
  <c r="DA117" i="1"/>
  <c r="CY117" i="1"/>
  <c r="CW117" i="1"/>
  <c r="CU117" i="1"/>
  <c r="CS117" i="1"/>
  <c r="CQ117" i="1"/>
  <c r="CO117" i="1"/>
  <c r="CM117" i="1"/>
  <c r="CK117" i="1"/>
  <c r="CI117" i="1"/>
  <c r="DF116" i="1"/>
  <c r="DE116" i="1"/>
  <c r="DC116" i="1"/>
  <c r="DA116" i="1"/>
  <c r="CY116" i="1"/>
  <c r="CW116" i="1"/>
  <c r="CU116" i="1"/>
  <c r="CS116" i="1"/>
  <c r="CQ116" i="1"/>
  <c r="CO116" i="1"/>
  <c r="CM116" i="1"/>
  <c r="CK116" i="1"/>
  <c r="CI116" i="1"/>
  <c r="DF115" i="1"/>
  <c r="DG115" i="1" s="1"/>
  <c r="DE115" i="1"/>
  <c r="DC115" i="1"/>
  <c r="DA115" i="1"/>
  <c r="CY115" i="1"/>
  <c r="CW115" i="1"/>
  <c r="CU115" i="1"/>
  <c r="CS115" i="1"/>
  <c r="CQ115" i="1"/>
  <c r="CO115" i="1"/>
  <c r="CM115" i="1"/>
  <c r="CK115" i="1"/>
  <c r="CI115" i="1"/>
  <c r="CE115" i="1"/>
  <c r="CC115" i="1"/>
  <c r="CA115" i="1"/>
  <c r="BY115" i="1"/>
  <c r="BW115" i="1"/>
  <c r="BU115" i="1"/>
  <c r="BS115" i="1"/>
  <c r="BQ115" i="1"/>
  <c r="BO115" i="1"/>
  <c r="BM115" i="1"/>
  <c r="BK115" i="1"/>
  <c r="BI115" i="1"/>
  <c r="BE115" i="1"/>
  <c r="BC115" i="1"/>
  <c r="BA115" i="1"/>
  <c r="AY115" i="1"/>
  <c r="AW115" i="1"/>
  <c r="AU115" i="1"/>
  <c r="AS115" i="1"/>
  <c r="AQ115" i="1"/>
  <c r="AO115" i="1"/>
  <c r="AM115" i="1"/>
  <c r="AK115" i="1"/>
  <c r="AI115" i="1"/>
  <c r="AE115" i="1"/>
  <c r="AC115" i="1"/>
  <c r="AA115" i="1"/>
  <c r="Y115" i="1"/>
  <c r="W115" i="1"/>
  <c r="U115" i="1"/>
  <c r="S115" i="1"/>
  <c r="Q115" i="1"/>
  <c r="O115" i="1"/>
  <c r="M115" i="1"/>
  <c r="K115" i="1"/>
  <c r="I115" i="1"/>
  <c r="DF114" i="1"/>
  <c r="DE114" i="1"/>
  <c r="DC114" i="1"/>
  <c r="DA114" i="1"/>
  <c r="CY114" i="1"/>
  <c r="CW114" i="1"/>
  <c r="CU114" i="1"/>
  <c r="CS114" i="1"/>
  <c r="CQ114" i="1"/>
  <c r="CO114" i="1"/>
  <c r="CM114" i="1"/>
  <c r="CK114" i="1"/>
  <c r="CI114" i="1"/>
  <c r="CE114" i="1"/>
  <c r="CC114" i="1"/>
  <c r="CA114" i="1"/>
  <c r="BY114" i="1"/>
  <c r="BW114" i="1"/>
  <c r="BU114" i="1"/>
  <c r="BS114" i="1"/>
  <c r="BQ114" i="1"/>
  <c r="BO114" i="1"/>
  <c r="BM114" i="1"/>
  <c r="BK114" i="1"/>
  <c r="BI114" i="1"/>
  <c r="BE114" i="1"/>
  <c r="BC114" i="1"/>
  <c r="BA114" i="1"/>
  <c r="AY114" i="1"/>
  <c r="AW114" i="1"/>
  <c r="AU114" i="1"/>
  <c r="AS114" i="1"/>
  <c r="AQ114" i="1"/>
  <c r="AO114" i="1"/>
  <c r="AM114" i="1"/>
  <c r="AK114" i="1"/>
  <c r="AI114" i="1"/>
  <c r="AE114" i="1"/>
  <c r="AC114" i="1"/>
  <c r="AA114" i="1"/>
  <c r="Y114" i="1"/>
  <c r="W114" i="1"/>
  <c r="U114" i="1"/>
  <c r="S114" i="1"/>
  <c r="Q114" i="1"/>
  <c r="O114" i="1"/>
  <c r="M114" i="1"/>
  <c r="K114" i="1"/>
  <c r="I114" i="1"/>
  <c r="DF113" i="1"/>
  <c r="DE113" i="1"/>
  <c r="DC113" i="1"/>
  <c r="DA113" i="1"/>
  <c r="CY113" i="1"/>
  <c r="CW113" i="1"/>
  <c r="CU113" i="1"/>
  <c r="CS113" i="1"/>
  <c r="CQ113" i="1"/>
  <c r="CO113" i="1"/>
  <c r="CM113" i="1"/>
  <c r="CK113" i="1"/>
  <c r="CI113" i="1"/>
  <c r="CE113" i="1"/>
  <c r="CC113" i="1"/>
  <c r="CA113" i="1"/>
  <c r="BY113" i="1"/>
  <c r="BW113" i="1"/>
  <c r="BU113" i="1"/>
  <c r="BS113" i="1"/>
  <c r="BQ113" i="1"/>
  <c r="BO113" i="1"/>
  <c r="BM113" i="1"/>
  <c r="BK113" i="1"/>
  <c r="BI113" i="1"/>
  <c r="BE113" i="1"/>
  <c r="BC113" i="1"/>
  <c r="BA113" i="1"/>
  <c r="AY113" i="1"/>
  <c r="AW113" i="1"/>
  <c r="AU113" i="1"/>
  <c r="AS113" i="1"/>
  <c r="AQ113" i="1"/>
  <c r="AO113" i="1"/>
  <c r="AM113" i="1"/>
  <c r="AK113" i="1"/>
  <c r="AI113" i="1"/>
  <c r="AE113" i="1"/>
  <c r="AC113" i="1"/>
  <c r="AA113" i="1"/>
  <c r="Y113" i="1"/>
  <c r="W113" i="1"/>
  <c r="U113" i="1"/>
  <c r="S113" i="1"/>
  <c r="Q113" i="1"/>
  <c r="O113" i="1"/>
  <c r="M113" i="1"/>
  <c r="K113" i="1"/>
  <c r="I113" i="1"/>
  <c r="DF112" i="1"/>
  <c r="DG112" i="1" s="1"/>
  <c r="DE112" i="1"/>
  <c r="DC112" i="1"/>
  <c r="DA112" i="1"/>
  <c r="CY112" i="1"/>
  <c r="CW112" i="1"/>
  <c r="CU112" i="1"/>
  <c r="CS112" i="1"/>
  <c r="CQ112" i="1"/>
  <c r="CO112" i="1"/>
  <c r="CM112" i="1"/>
  <c r="CK112" i="1"/>
  <c r="CI112" i="1"/>
  <c r="S112" i="1"/>
  <c r="DF111" i="1"/>
  <c r="DE111" i="1"/>
  <c r="DC111" i="1"/>
  <c r="DA111" i="1"/>
  <c r="CY111" i="1"/>
  <c r="CW111" i="1"/>
  <c r="CU111" i="1"/>
  <c r="CS111" i="1"/>
  <c r="CQ111" i="1"/>
  <c r="CO111" i="1"/>
  <c r="CM111" i="1"/>
  <c r="CK111" i="1"/>
  <c r="CI111" i="1"/>
  <c r="CE111" i="1"/>
  <c r="CC111" i="1"/>
  <c r="CA111" i="1"/>
  <c r="BY111" i="1"/>
  <c r="BW111" i="1"/>
  <c r="BU111" i="1"/>
  <c r="BS111" i="1"/>
  <c r="BQ111" i="1"/>
  <c r="BO111" i="1"/>
  <c r="BM111" i="1"/>
  <c r="BK111" i="1"/>
  <c r="BI111" i="1"/>
  <c r="BE111" i="1"/>
  <c r="BC111" i="1"/>
  <c r="BA111" i="1"/>
  <c r="AY111" i="1"/>
  <c r="AW111" i="1"/>
  <c r="AU111" i="1"/>
  <c r="AS111" i="1"/>
  <c r="AQ111" i="1"/>
  <c r="AO111" i="1"/>
  <c r="AM111" i="1"/>
  <c r="AK111" i="1"/>
  <c r="AI111" i="1"/>
  <c r="AE111" i="1"/>
  <c r="AC111" i="1"/>
  <c r="AA111" i="1"/>
  <c r="Y111" i="1"/>
  <c r="W111" i="1"/>
  <c r="U111" i="1"/>
  <c r="S111" i="1"/>
  <c r="Q111" i="1"/>
  <c r="O111" i="1"/>
  <c r="M111" i="1"/>
  <c r="K111" i="1"/>
  <c r="I111" i="1"/>
  <c r="DF110" i="1"/>
  <c r="DE110" i="1"/>
  <c r="DC110" i="1"/>
  <c r="DA110" i="1"/>
  <c r="CY110" i="1"/>
  <c r="CW110" i="1"/>
  <c r="CU110" i="1"/>
  <c r="CS110" i="1"/>
  <c r="CQ110" i="1"/>
  <c r="CO110" i="1"/>
  <c r="CM110" i="1"/>
  <c r="CK110" i="1"/>
  <c r="CI110" i="1"/>
  <c r="S110" i="1"/>
  <c r="DF109" i="1"/>
  <c r="DE109" i="1"/>
  <c r="DC109" i="1"/>
  <c r="DA109" i="1"/>
  <c r="CY109" i="1"/>
  <c r="CW109" i="1"/>
  <c r="CU109" i="1"/>
  <c r="CS109" i="1"/>
  <c r="CQ109" i="1"/>
  <c r="CO109" i="1"/>
  <c r="CM109" i="1"/>
  <c r="CK109" i="1"/>
  <c r="CI109" i="1"/>
  <c r="S109" i="1"/>
  <c r="DF108" i="1"/>
  <c r="DG108" i="1" s="1"/>
  <c r="DE108" i="1"/>
  <c r="DC108" i="1"/>
  <c r="DA108" i="1"/>
  <c r="CY108" i="1"/>
  <c r="CW108" i="1"/>
  <c r="CU108" i="1"/>
  <c r="CS108" i="1"/>
  <c r="CQ108" i="1"/>
  <c r="CO108" i="1"/>
  <c r="CM108" i="1"/>
  <c r="CK108" i="1"/>
  <c r="CI108" i="1"/>
  <c r="DF107" i="1"/>
  <c r="DE107" i="1"/>
  <c r="DC107" i="1"/>
  <c r="DA107" i="1"/>
  <c r="CY107" i="1"/>
  <c r="CW107" i="1"/>
  <c r="CU107" i="1"/>
  <c r="CS107" i="1"/>
  <c r="CQ107" i="1"/>
  <c r="CO107" i="1"/>
  <c r="CM107" i="1"/>
  <c r="CK107" i="1"/>
  <c r="CI107" i="1"/>
  <c r="S107" i="1"/>
  <c r="DF106" i="1"/>
  <c r="DE106" i="1"/>
  <c r="DC106" i="1"/>
  <c r="DA106" i="1"/>
  <c r="CY106" i="1"/>
  <c r="CW106" i="1"/>
  <c r="CU106" i="1"/>
  <c r="CS106" i="1"/>
  <c r="CQ106" i="1"/>
  <c r="CO106" i="1"/>
  <c r="CM106" i="1"/>
  <c r="CK106" i="1"/>
  <c r="CI106" i="1"/>
  <c r="CE106" i="1"/>
  <c r="CC106" i="1"/>
  <c r="CA106" i="1"/>
  <c r="BY106" i="1"/>
  <c r="BW106" i="1"/>
  <c r="BU106" i="1"/>
  <c r="BS106" i="1"/>
  <c r="BQ106" i="1"/>
  <c r="BO106" i="1"/>
  <c r="BM106" i="1"/>
  <c r="BK106" i="1"/>
  <c r="BI106" i="1"/>
  <c r="BE106" i="1"/>
  <c r="BC106" i="1"/>
  <c r="BA106" i="1"/>
  <c r="AY106" i="1"/>
  <c r="AW106" i="1"/>
  <c r="AU106" i="1"/>
  <c r="AS106" i="1"/>
  <c r="AQ106" i="1"/>
  <c r="AO106" i="1"/>
  <c r="AM106" i="1"/>
  <c r="AK106" i="1"/>
  <c r="AI106" i="1"/>
  <c r="AE106" i="1"/>
  <c r="AC106" i="1"/>
  <c r="AA106" i="1"/>
  <c r="Y106" i="1"/>
  <c r="W106" i="1"/>
  <c r="U106" i="1"/>
  <c r="S106" i="1"/>
  <c r="Q106" i="1"/>
  <c r="O106" i="1"/>
  <c r="M106" i="1"/>
  <c r="K106" i="1"/>
  <c r="I106" i="1"/>
  <c r="DF105" i="1"/>
  <c r="DE105" i="1"/>
  <c r="DC105" i="1"/>
  <c r="DA105" i="1"/>
  <c r="CY105" i="1"/>
  <c r="CW105" i="1"/>
  <c r="CU105" i="1"/>
  <c r="CS105" i="1"/>
  <c r="CQ105" i="1"/>
  <c r="CO105" i="1"/>
  <c r="CM105" i="1"/>
  <c r="CK105" i="1"/>
  <c r="CI105" i="1"/>
  <c r="S105" i="1"/>
  <c r="DF104" i="1"/>
  <c r="DG104" i="1" s="1"/>
  <c r="DE104" i="1"/>
  <c r="DC104" i="1"/>
  <c r="DA104" i="1"/>
  <c r="CY104" i="1"/>
  <c r="CW104" i="1"/>
  <c r="CU104" i="1"/>
  <c r="CS104" i="1"/>
  <c r="CQ104" i="1"/>
  <c r="CO104" i="1"/>
  <c r="CM104" i="1"/>
  <c r="CK104" i="1"/>
  <c r="CI104" i="1"/>
  <c r="DF103" i="1"/>
  <c r="DE103" i="1"/>
  <c r="DC103" i="1"/>
  <c r="DA103" i="1"/>
  <c r="CY103" i="1"/>
  <c r="CW103" i="1"/>
  <c r="CU103" i="1"/>
  <c r="CS103" i="1"/>
  <c r="CQ103" i="1"/>
  <c r="CO103" i="1"/>
  <c r="CM103" i="1"/>
  <c r="CK103" i="1"/>
  <c r="CI103" i="1"/>
  <c r="S103" i="1"/>
  <c r="DF102" i="1"/>
  <c r="DE102" i="1"/>
  <c r="DC102" i="1"/>
  <c r="DA102" i="1"/>
  <c r="CY102" i="1"/>
  <c r="CW102" i="1"/>
  <c r="CU102" i="1"/>
  <c r="CS102" i="1"/>
  <c r="CQ102" i="1"/>
  <c r="CO102" i="1"/>
  <c r="CM102" i="1"/>
  <c r="CK102" i="1"/>
  <c r="CI102" i="1"/>
  <c r="S102" i="1"/>
  <c r="DF101" i="1"/>
  <c r="DE101" i="1"/>
  <c r="DC101" i="1"/>
  <c r="DA101" i="1"/>
  <c r="CY101" i="1"/>
  <c r="CW101" i="1"/>
  <c r="CU101" i="1"/>
  <c r="CS101" i="1"/>
  <c r="CQ101" i="1"/>
  <c r="CO101" i="1"/>
  <c r="CM101" i="1"/>
  <c r="CK101" i="1"/>
  <c r="CI101" i="1"/>
  <c r="CE101" i="1"/>
  <c r="CC101" i="1"/>
  <c r="CA101" i="1"/>
  <c r="BY101" i="1"/>
  <c r="BW101" i="1"/>
  <c r="BU101" i="1"/>
  <c r="BS101" i="1"/>
  <c r="BQ101" i="1"/>
  <c r="BO101" i="1"/>
  <c r="BM101" i="1"/>
  <c r="BK101" i="1"/>
  <c r="BI101" i="1"/>
  <c r="BE101" i="1"/>
  <c r="BC101" i="1"/>
  <c r="BA101" i="1"/>
  <c r="AY101" i="1"/>
  <c r="AW101" i="1"/>
  <c r="AU101" i="1"/>
  <c r="AS101" i="1"/>
  <c r="AQ101" i="1"/>
  <c r="AO101" i="1"/>
  <c r="AM101" i="1"/>
  <c r="AK101" i="1"/>
  <c r="AI101" i="1"/>
  <c r="AE101" i="1"/>
  <c r="AC101" i="1"/>
  <c r="AA101" i="1"/>
  <c r="Y101" i="1"/>
  <c r="W101" i="1"/>
  <c r="U101" i="1"/>
  <c r="S101" i="1"/>
  <c r="Q101" i="1"/>
  <c r="O101" i="1"/>
  <c r="M101" i="1"/>
  <c r="K101" i="1"/>
  <c r="I101" i="1"/>
  <c r="DF100" i="1"/>
  <c r="DG100" i="1" s="1"/>
  <c r="DE100" i="1"/>
  <c r="DC100" i="1"/>
  <c r="DA100" i="1"/>
  <c r="CY100" i="1"/>
  <c r="CW100" i="1"/>
  <c r="CU100" i="1"/>
  <c r="CS100" i="1"/>
  <c r="CQ100" i="1"/>
  <c r="CO100" i="1"/>
  <c r="CM100" i="1"/>
  <c r="CK100" i="1"/>
  <c r="CI100" i="1"/>
  <c r="S100" i="1"/>
  <c r="DF99" i="1"/>
  <c r="DE99" i="1"/>
  <c r="DC99" i="1"/>
  <c r="DA99" i="1"/>
  <c r="CY99" i="1"/>
  <c r="CW99" i="1"/>
  <c r="CU99" i="1"/>
  <c r="CS99" i="1"/>
  <c r="CQ99" i="1"/>
  <c r="CO99" i="1"/>
  <c r="CM99" i="1"/>
  <c r="CK99" i="1"/>
  <c r="CI99" i="1"/>
  <c r="CE99" i="1"/>
  <c r="CC99" i="1"/>
  <c r="CA99" i="1"/>
  <c r="BY99" i="1"/>
  <c r="BW99" i="1"/>
  <c r="BU99" i="1"/>
  <c r="BS99" i="1"/>
  <c r="BQ99" i="1"/>
  <c r="BO99" i="1"/>
  <c r="BM99" i="1"/>
  <c r="BK99" i="1"/>
  <c r="BI99" i="1"/>
  <c r="BE99" i="1"/>
  <c r="BC99" i="1"/>
  <c r="BA99" i="1"/>
  <c r="AY99" i="1"/>
  <c r="AW99" i="1"/>
  <c r="AU99" i="1"/>
  <c r="AS99" i="1"/>
  <c r="AQ99" i="1"/>
  <c r="AO99" i="1"/>
  <c r="AM99" i="1"/>
  <c r="AK99" i="1"/>
  <c r="AI99" i="1"/>
  <c r="AE99" i="1"/>
  <c r="AC99" i="1"/>
  <c r="AA99" i="1"/>
  <c r="Y99" i="1"/>
  <c r="W99" i="1"/>
  <c r="U99" i="1"/>
  <c r="S99" i="1"/>
  <c r="Q99" i="1"/>
  <c r="O99" i="1"/>
  <c r="M99" i="1"/>
  <c r="K99" i="1"/>
  <c r="I99" i="1"/>
  <c r="DF98" i="1"/>
  <c r="DE98" i="1"/>
  <c r="DC98" i="1"/>
  <c r="DA98" i="1"/>
  <c r="CY98" i="1"/>
  <c r="CW98" i="1"/>
  <c r="CU98" i="1"/>
  <c r="CS98" i="1"/>
  <c r="CQ98" i="1"/>
  <c r="CO98" i="1"/>
  <c r="CM98" i="1"/>
  <c r="CK98" i="1"/>
  <c r="CI98" i="1"/>
  <c r="S98" i="1"/>
  <c r="DF97" i="1"/>
  <c r="DE97" i="1"/>
  <c r="DC97" i="1"/>
  <c r="DA97" i="1"/>
  <c r="CY97" i="1"/>
  <c r="CW97" i="1"/>
  <c r="CU97" i="1"/>
  <c r="CS97" i="1"/>
  <c r="CQ97" i="1"/>
  <c r="CO97" i="1"/>
  <c r="CM97" i="1"/>
  <c r="CK97" i="1"/>
  <c r="CI97" i="1"/>
  <c r="S97" i="1"/>
  <c r="DF96" i="1"/>
  <c r="DG96" i="1" s="1"/>
  <c r="DE96" i="1"/>
  <c r="DC96" i="1"/>
  <c r="DA96" i="1"/>
  <c r="CY96" i="1"/>
  <c r="CW96" i="1"/>
  <c r="CU96" i="1"/>
  <c r="CS96" i="1"/>
  <c r="CQ96" i="1"/>
  <c r="CO96" i="1"/>
  <c r="CM96" i="1"/>
  <c r="CK96" i="1"/>
  <c r="CI96" i="1"/>
  <c r="S96" i="1"/>
  <c r="DF95" i="1"/>
  <c r="DG95" i="1" s="1"/>
  <c r="DE95" i="1"/>
  <c r="DC95" i="1"/>
  <c r="DA95" i="1"/>
  <c r="CY95" i="1"/>
  <c r="CW95" i="1"/>
  <c r="CU95" i="1"/>
  <c r="CS95" i="1"/>
  <c r="CQ95" i="1"/>
  <c r="CO95" i="1"/>
  <c r="CM95" i="1"/>
  <c r="CK95" i="1"/>
  <c r="CI95" i="1"/>
  <c r="CE95" i="1"/>
  <c r="CC95" i="1"/>
  <c r="CA95" i="1"/>
  <c r="BY95" i="1"/>
  <c r="BW95" i="1"/>
  <c r="BU95" i="1"/>
  <c r="BS95" i="1"/>
  <c r="BQ95" i="1"/>
  <c r="BO95" i="1"/>
  <c r="BM95" i="1"/>
  <c r="BK95" i="1"/>
  <c r="BI95" i="1"/>
  <c r="BE95" i="1"/>
  <c r="BC95" i="1"/>
  <c r="BA95" i="1"/>
  <c r="AY95" i="1"/>
  <c r="AW95" i="1"/>
  <c r="AU95" i="1"/>
  <c r="AS95" i="1"/>
  <c r="AQ95" i="1"/>
  <c r="AO95" i="1"/>
  <c r="AM95" i="1"/>
  <c r="AK95" i="1"/>
  <c r="AI95" i="1"/>
  <c r="AE95" i="1"/>
  <c r="AC95" i="1"/>
  <c r="AA95" i="1"/>
  <c r="Y95" i="1"/>
  <c r="W95" i="1"/>
  <c r="U95" i="1"/>
  <c r="S95" i="1"/>
  <c r="Q95" i="1"/>
  <c r="O95" i="1"/>
  <c r="M95" i="1"/>
  <c r="K95" i="1"/>
  <c r="I95" i="1"/>
  <c r="DF94" i="1"/>
  <c r="DG94" i="1" s="1"/>
  <c r="DE94" i="1"/>
  <c r="DC94" i="1"/>
  <c r="DA94" i="1"/>
  <c r="CY94" i="1"/>
  <c r="CW94" i="1"/>
  <c r="CU94" i="1"/>
  <c r="CS94" i="1"/>
  <c r="CQ94" i="1"/>
  <c r="CO94" i="1"/>
  <c r="CM94" i="1"/>
  <c r="CK94" i="1"/>
  <c r="CI94" i="1"/>
  <c r="CE94" i="1"/>
  <c r="CC94" i="1"/>
  <c r="CA94" i="1"/>
  <c r="BY94" i="1"/>
  <c r="BW94" i="1"/>
  <c r="BU94" i="1"/>
  <c r="BS94" i="1"/>
  <c r="BQ94" i="1"/>
  <c r="BO94" i="1"/>
  <c r="BM94" i="1"/>
  <c r="BK94" i="1"/>
  <c r="BI94" i="1"/>
  <c r="BE94" i="1"/>
  <c r="BC94" i="1"/>
  <c r="BA94" i="1"/>
  <c r="AY94" i="1"/>
  <c r="AW94" i="1"/>
  <c r="AU94" i="1"/>
  <c r="AS94" i="1"/>
  <c r="AQ94" i="1"/>
  <c r="AO94" i="1"/>
  <c r="AM94" i="1"/>
  <c r="AK94" i="1"/>
  <c r="AI94" i="1"/>
  <c r="AE94" i="1"/>
  <c r="AC94" i="1"/>
  <c r="AA94" i="1"/>
  <c r="Y94" i="1"/>
  <c r="W94" i="1"/>
  <c r="U94" i="1"/>
  <c r="S94" i="1"/>
  <c r="Q94" i="1"/>
  <c r="O94" i="1"/>
  <c r="M94" i="1"/>
  <c r="K94" i="1"/>
  <c r="I94" i="1"/>
  <c r="DF93" i="1"/>
  <c r="DG93" i="1" s="1"/>
  <c r="DE93" i="1"/>
  <c r="DC93" i="1"/>
  <c r="DA93" i="1"/>
  <c r="CY93" i="1"/>
  <c r="CW93" i="1"/>
  <c r="CU93" i="1"/>
  <c r="CS93" i="1"/>
  <c r="CQ93" i="1"/>
  <c r="CO93" i="1"/>
  <c r="CM93" i="1"/>
  <c r="CK93" i="1"/>
  <c r="CI93" i="1"/>
  <c r="CE93" i="1"/>
  <c r="CC93" i="1"/>
  <c r="CA93" i="1"/>
  <c r="BY93" i="1"/>
  <c r="BW93" i="1"/>
  <c r="BU93" i="1"/>
  <c r="BS93" i="1"/>
  <c r="BQ93" i="1"/>
  <c r="BO93" i="1"/>
  <c r="BM93" i="1"/>
  <c r="BK93" i="1"/>
  <c r="BI93" i="1"/>
  <c r="BE93" i="1"/>
  <c r="BC93" i="1"/>
  <c r="BA93" i="1"/>
  <c r="AY93" i="1"/>
  <c r="AW93" i="1"/>
  <c r="AU93" i="1"/>
  <c r="AS93" i="1"/>
  <c r="AQ93" i="1"/>
  <c r="AO93" i="1"/>
  <c r="AM93" i="1"/>
  <c r="AK93" i="1"/>
  <c r="AI93" i="1"/>
  <c r="AE93" i="1"/>
  <c r="AC93" i="1"/>
  <c r="AA93" i="1"/>
  <c r="Y93" i="1"/>
  <c r="W93" i="1"/>
  <c r="U93" i="1"/>
  <c r="S93" i="1"/>
  <c r="Q93" i="1"/>
  <c r="O93" i="1"/>
  <c r="M93" i="1"/>
  <c r="K93" i="1"/>
  <c r="I93" i="1"/>
  <c r="DF92" i="1"/>
  <c r="DG92" i="1" s="1"/>
  <c r="DE92" i="1"/>
  <c r="DC92" i="1"/>
  <c r="DA92" i="1"/>
  <c r="CY92" i="1"/>
  <c r="CW92" i="1"/>
  <c r="CU92" i="1"/>
  <c r="CS92" i="1"/>
  <c r="CQ92" i="1"/>
  <c r="CO92" i="1"/>
  <c r="CM92" i="1"/>
  <c r="CK92" i="1"/>
  <c r="CI92" i="1"/>
  <c r="CE92" i="1"/>
  <c r="CC92" i="1"/>
  <c r="CA92" i="1"/>
  <c r="BY92" i="1"/>
  <c r="BW92" i="1"/>
  <c r="BU92" i="1"/>
  <c r="BS92" i="1"/>
  <c r="BQ92" i="1"/>
  <c r="BO92" i="1"/>
  <c r="BM92" i="1"/>
  <c r="BK92" i="1"/>
  <c r="BI92" i="1"/>
  <c r="BE92" i="1"/>
  <c r="BC92" i="1"/>
  <c r="BA92" i="1"/>
  <c r="AY92" i="1"/>
  <c r="AW92" i="1"/>
  <c r="AU92" i="1"/>
  <c r="AS92" i="1"/>
  <c r="AQ92" i="1"/>
  <c r="AO92" i="1"/>
  <c r="AM92" i="1"/>
  <c r="AK92" i="1"/>
  <c r="AI92" i="1"/>
  <c r="AE92" i="1"/>
  <c r="AC92" i="1"/>
  <c r="AA92" i="1"/>
  <c r="Y92" i="1"/>
  <c r="W92" i="1"/>
  <c r="U92" i="1"/>
  <c r="S92" i="1"/>
  <c r="Q92" i="1"/>
  <c r="O92" i="1"/>
  <c r="M92" i="1"/>
  <c r="K92" i="1"/>
  <c r="I92" i="1"/>
  <c r="DF91" i="1"/>
  <c r="DG91" i="1" s="1"/>
  <c r="DE91" i="1"/>
  <c r="DC91" i="1"/>
  <c r="DA91" i="1"/>
  <c r="CY91" i="1"/>
  <c r="CW91" i="1"/>
  <c r="CU91" i="1"/>
  <c r="CS91" i="1"/>
  <c r="CQ91" i="1"/>
  <c r="CO91" i="1"/>
  <c r="CM91" i="1"/>
  <c r="CK91" i="1"/>
  <c r="CI91" i="1"/>
  <c r="CE91" i="1"/>
  <c r="CC91" i="1"/>
  <c r="CA91" i="1"/>
  <c r="BY91" i="1"/>
  <c r="BW91" i="1"/>
  <c r="BU91" i="1"/>
  <c r="BS91" i="1"/>
  <c r="BQ91" i="1"/>
  <c r="BO91" i="1"/>
  <c r="BM91" i="1"/>
  <c r="BK91" i="1"/>
  <c r="BI91" i="1"/>
  <c r="BE91" i="1"/>
  <c r="BC91" i="1"/>
  <c r="BA91" i="1"/>
  <c r="AY91" i="1"/>
  <c r="AW91" i="1"/>
  <c r="AU91" i="1"/>
  <c r="AS91" i="1"/>
  <c r="AQ91" i="1"/>
  <c r="AO91" i="1"/>
  <c r="AM91" i="1"/>
  <c r="AK91" i="1"/>
  <c r="AI91" i="1"/>
  <c r="AE91" i="1"/>
  <c r="AC91" i="1"/>
  <c r="AA91" i="1"/>
  <c r="Y91" i="1"/>
  <c r="W91" i="1"/>
  <c r="U91" i="1"/>
  <c r="S91" i="1"/>
  <c r="Q91" i="1"/>
  <c r="O91" i="1"/>
  <c r="M91" i="1"/>
  <c r="K91" i="1"/>
  <c r="I91" i="1"/>
  <c r="DF90" i="1"/>
  <c r="DG90" i="1" s="1"/>
  <c r="DE90" i="1"/>
  <c r="DC90" i="1"/>
  <c r="DA90" i="1"/>
  <c r="CY90" i="1"/>
  <c r="CW90" i="1"/>
  <c r="CU90" i="1"/>
  <c r="CS90" i="1"/>
  <c r="CQ90" i="1"/>
  <c r="CO90" i="1"/>
  <c r="CM90" i="1"/>
  <c r="CK90" i="1"/>
  <c r="CI90" i="1"/>
  <c r="CE90" i="1"/>
  <c r="CC90" i="1"/>
  <c r="CA90" i="1"/>
  <c r="BY90" i="1"/>
  <c r="BW90" i="1"/>
  <c r="BU90" i="1"/>
  <c r="BS90" i="1"/>
  <c r="BQ90" i="1"/>
  <c r="BO90" i="1"/>
  <c r="BM90" i="1"/>
  <c r="BK90" i="1"/>
  <c r="BI90" i="1"/>
  <c r="BE90" i="1"/>
  <c r="BC90" i="1"/>
  <c r="BA90" i="1"/>
  <c r="AY90" i="1"/>
  <c r="AW90" i="1"/>
  <c r="AU90" i="1"/>
  <c r="AS90" i="1"/>
  <c r="AQ90" i="1"/>
  <c r="AO90" i="1"/>
  <c r="AM90" i="1"/>
  <c r="AK90" i="1"/>
  <c r="AI90" i="1"/>
  <c r="AE90" i="1"/>
  <c r="AC90" i="1"/>
  <c r="AA90" i="1"/>
  <c r="Y90" i="1"/>
  <c r="W90" i="1"/>
  <c r="U90" i="1"/>
  <c r="S90" i="1"/>
  <c r="Q90" i="1"/>
  <c r="O90" i="1"/>
  <c r="M90" i="1"/>
  <c r="K90" i="1"/>
  <c r="I90" i="1"/>
  <c r="DF89" i="1"/>
  <c r="DG89" i="1" s="1"/>
  <c r="DE89" i="1"/>
  <c r="DC89" i="1"/>
  <c r="DA89" i="1"/>
  <c r="CY89" i="1"/>
  <c r="CW89" i="1"/>
  <c r="CU89" i="1"/>
  <c r="CS89" i="1"/>
  <c r="CQ89" i="1"/>
  <c r="CO89" i="1"/>
  <c r="CM89" i="1"/>
  <c r="CK89" i="1"/>
  <c r="CI89" i="1"/>
  <c r="CE89" i="1"/>
  <c r="CC89" i="1"/>
  <c r="CA89" i="1"/>
  <c r="BY89" i="1"/>
  <c r="BW89" i="1"/>
  <c r="BU89" i="1"/>
  <c r="BS89" i="1"/>
  <c r="BQ89" i="1"/>
  <c r="BO89" i="1"/>
  <c r="BM89" i="1"/>
  <c r="BK89" i="1"/>
  <c r="BI89" i="1"/>
  <c r="BE89" i="1"/>
  <c r="BC89" i="1"/>
  <c r="BA89" i="1"/>
  <c r="AY89" i="1"/>
  <c r="AW89" i="1"/>
  <c r="AU89" i="1"/>
  <c r="AS89" i="1"/>
  <c r="AQ89" i="1"/>
  <c r="AO89" i="1"/>
  <c r="AM89" i="1"/>
  <c r="AK89" i="1"/>
  <c r="AI89" i="1"/>
  <c r="AE89" i="1"/>
  <c r="AC89" i="1"/>
  <c r="AA89" i="1"/>
  <c r="Y89" i="1"/>
  <c r="W89" i="1"/>
  <c r="U89" i="1"/>
  <c r="S89" i="1"/>
  <c r="Q89" i="1"/>
  <c r="O89" i="1"/>
  <c r="M89" i="1"/>
  <c r="K89" i="1"/>
  <c r="I89" i="1"/>
  <c r="DF88" i="1"/>
  <c r="DG88" i="1" s="1"/>
  <c r="DE88" i="1"/>
  <c r="DC88" i="1"/>
  <c r="DA88" i="1"/>
  <c r="CY88" i="1"/>
  <c r="CW88" i="1"/>
  <c r="CU88" i="1"/>
  <c r="CS88" i="1"/>
  <c r="CQ88" i="1"/>
  <c r="CO88" i="1"/>
  <c r="CM88" i="1"/>
  <c r="CK88" i="1"/>
  <c r="CI88" i="1"/>
  <c r="CE88" i="1"/>
  <c r="CC88" i="1"/>
  <c r="CA88" i="1"/>
  <c r="BY88" i="1"/>
  <c r="BW88" i="1"/>
  <c r="BU88" i="1"/>
  <c r="BS88" i="1"/>
  <c r="BQ88" i="1"/>
  <c r="BO88" i="1"/>
  <c r="BM88" i="1"/>
  <c r="BK88" i="1"/>
  <c r="BI88" i="1"/>
  <c r="BE88" i="1"/>
  <c r="BC88" i="1"/>
  <c r="BA88" i="1"/>
  <c r="AY88" i="1"/>
  <c r="AW88" i="1"/>
  <c r="AU88" i="1"/>
  <c r="AS88" i="1"/>
  <c r="AQ88" i="1"/>
  <c r="AO88" i="1"/>
  <c r="AM88" i="1"/>
  <c r="AK88" i="1"/>
  <c r="AI88" i="1"/>
  <c r="AE88" i="1"/>
  <c r="AC88" i="1"/>
  <c r="AA88" i="1"/>
  <c r="Y88" i="1"/>
  <c r="W88" i="1"/>
  <c r="U88" i="1"/>
  <c r="S88" i="1"/>
  <c r="Q88" i="1"/>
  <c r="O88" i="1"/>
  <c r="M88" i="1"/>
  <c r="K88" i="1"/>
  <c r="I88" i="1"/>
  <c r="DF87" i="1"/>
  <c r="DG87" i="1" s="1"/>
  <c r="DE87" i="1"/>
  <c r="DC87" i="1"/>
  <c r="DA87" i="1"/>
  <c r="CY87" i="1"/>
  <c r="CW87" i="1"/>
  <c r="CU87" i="1"/>
  <c r="CS87" i="1"/>
  <c r="CQ87" i="1"/>
  <c r="CO87" i="1"/>
  <c r="CM87" i="1"/>
  <c r="CK87" i="1"/>
  <c r="CI87" i="1"/>
  <c r="CE87" i="1"/>
  <c r="CC87" i="1"/>
  <c r="CA87" i="1"/>
  <c r="BY87" i="1"/>
  <c r="BW87" i="1"/>
  <c r="BU87" i="1"/>
  <c r="BS87" i="1"/>
  <c r="BQ87" i="1"/>
  <c r="BO87" i="1"/>
  <c r="BM87" i="1"/>
  <c r="BK87" i="1"/>
  <c r="BI87" i="1"/>
  <c r="BE87" i="1"/>
  <c r="BC87" i="1"/>
  <c r="BA87" i="1"/>
  <c r="AY87" i="1"/>
  <c r="AW87" i="1"/>
  <c r="AU87" i="1"/>
  <c r="AS87" i="1"/>
  <c r="AQ87" i="1"/>
  <c r="AO87" i="1"/>
  <c r="AM87" i="1"/>
  <c r="AK87" i="1"/>
  <c r="AI87" i="1"/>
  <c r="AE87" i="1"/>
  <c r="AC87" i="1"/>
  <c r="AA87" i="1"/>
  <c r="Y87" i="1"/>
  <c r="W87" i="1"/>
  <c r="U87" i="1"/>
  <c r="S87" i="1"/>
  <c r="Q87" i="1"/>
  <c r="O87" i="1"/>
  <c r="M87" i="1"/>
  <c r="K87" i="1"/>
  <c r="I87" i="1"/>
  <c r="DF86" i="1"/>
  <c r="DG86" i="1" s="1"/>
  <c r="DE86" i="1"/>
  <c r="DC86" i="1"/>
  <c r="DA86" i="1"/>
  <c r="CY86" i="1"/>
  <c r="CW86" i="1"/>
  <c r="CU86" i="1"/>
  <c r="CS86" i="1"/>
  <c r="CQ86" i="1"/>
  <c r="CO86" i="1"/>
  <c r="CM86" i="1"/>
  <c r="CK86" i="1"/>
  <c r="CI86" i="1"/>
  <c r="CE86" i="1"/>
  <c r="CC86" i="1"/>
  <c r="CA86" i="1"/>
  <c r="BY86" i="1"/>
  <c r="BW86" i="1"/>
  <c r="BU86" i="1"/>
  <c r="BS86" i="1"/>
  <c r="BQ86" i="1"/>
  <c r="BO86" i="1"/>
  <c r="BM86" i="1"/>
  <c r="BK86" i="1"/>
  <c r="BI86" i="1"/>
  <c r="BE86" i="1"/>
  <c r="BC86" i="1"/>
  <c r="BA86" i="1"/>
  <c r="AY86" i="1"/>
  <c r="AW86" i="1"/>
  <c r="AU86" i="1"/>
  <c r="AS86" i="1"/>
  <c r="AQ86" i="1"/>
  <c r="AO86" i="1"/>
  <c r="AM86" i="1"/>
  <c r="AK86" i="1"/>
  <c r="AI86" i="1"/>
  <c r="AE86" i="1"/>
  <c r="AC86" i="1"/>
  <c r="AA86" i="1"/>
  <c r="Y86" i="1"/>
  <c r="W86" i="1"/>
  <c r="U86" i="1"/>
  <c r="S86" i="1"/>
  <c r="Q86" i="1"/>
  <c r="O86" i="1"/>
  <c r="M86" i="1"/>
  <c r="K86" i="1"/>
  <c r="I86" i="1"/>
  <c r="DF85" i="1"/>
  <c r="DG85" i="1" s="1"/>
  <c r="DE85" i="1"/>
  <c r="DC85" i="1"/>
  <c r="DA85" i="1"/>
  <c r="CY85" i="1"/>
  <c r="CW85" i="1"/>
  <c r="CU85" i="1"/>
  <c r="CS85" i="1"/>
  <c r="CQ85" i="1"/>
  <c r="CO85" i="1"/>
  <c r="CM85" i="1"/>
  <c r="CK85" i="1"/>
  <c r="CI85" i="1"/>
  <c r="CE85" i="1"/>
  <c r="CC85" i="1"/>
  <c r="CA85" i="1"/>
  <c r="BY85" i="1"/>
  <c r="BW85" i="1"/>
  <c r="BU85" i="1"/>
  <c r="BS85" i="1"/>
  <c r="BQ85" i="1"/>
  <c r="BO85" i="1"/>
  <c r="BM85" i="1"/>
  <c r="BK85" i="1"/>
  <c r="BI85" i="1"/>
  <c r="BE85" i="1"/>
  <c r="BC85" i="1"/>
  <c r="BA85" i="1"/>
  <c r="AY85" i="1"/>
  <c r="AW85" i="1"/>
  <c r="AU85" i="1"/>
  <c r="AS85" i="1"/>
  <c r="AQ85" i="1"/>
  <c r="AO85" i="1"/>
  <c r="AM85" i="1"/>
  <c r="AK85" i="1"/>
  <c r="AI85" i="1"/>
  <c r="AE85" i="1"/>
  <c r="AC85" i="1"/>
  <c r="AA85" i="1"/>
  <c r="Y85" i="1"/>
  <c r="W85" i="1"/>
  <c r="U85" i="1"/>
  <c r="S85" i="1"/>
  <c r="Q85" i="1"/>
  <c r="O85" i="1"/>
  <c r="M85" i="1"/>
  <c r="K85" i="1"/>
  <c r="I85" i="1"/>
  <c r="DF84" i="1"/>
  <c r="DE84" i="1"/>
  <c r="DC84" i="1"/>
  <c r="DA84" i="1"/>
  <c r="CY84" i="1"/>
  <c r="CW84" i="1"/>
  <c r="CU84" i="1"/>
  <c r="CS84" i="1"/>
  <c r="CQ84" i="1"/>
  <c r="CO84" i="1"/>
  <c r="CM84" i="1"/>
  <c r="CK84" i="1"/>
  <c r="CI84" i="1"/>
  <c r="CE84" i="1"/>
  <c r="CC84" i="1"/>
  <c r="CA84" i="1"/>
  <c r="BY84" i="1"/>
  <c r="BW84" i="1"/>
  <c r="BU84" i="1"/>
  <c r="BS84" i="1"/>
  <c r="BQ84" i="1"/>
  <c r="BO84" i="1"/>
  <c r="BM84" i="1"/>
  <c r="BK84" i="1"/>
  <c r="BI84" i="1"/>
  <c r="BE84" i="1"/>
  <c r="BC84" i="1"/>
  <c r="BA84" i="1"/>
  <c r="AY84" i="1"/>
  <c r="AW84" i="1"/>
  <c r="AU84" i="1"/>
  <c r="AS84" i="1"/>
  <c r="AQ84" i="1"/>
  <c r="AO84" i="1"/>
  <c r="AM84" i="1"/>
  <c r="AK84" i="1"/>
  <c r="AI84" i="1"/>
  <c r="AE84" i="1"/>
  <c r="AC84" i="1"/>
  <c r="AA84" i="1"/>
  <c r="Y84" i="1"/>
  <c r="W84" i="1"/>
  <c r="U84" i="1"/>
  <c r="S84" i="1"/>
  <c r="Q84" i="1"/>
  <c r="O84" i="1"/>
  <c r="M84" i="1"/>
  <c r="K84" i="1"/>
  <c r="I84" i="1"/>
  <c r="DF83" i="1"/>
  <c r="DE83" i="1"/>
  <c r="DC83" i="1"/>
  <c r="DA83" i="1"/>
  <c r="CY83" i="1"/>
  <c r="CW83" i="1"/>
  <c r="CU83" i="1"/>
  <c r="CS83" i="1"/>
  <c r="CQ83" i="1"/>
  <c r="CO83" i="1"/>
  <c r="CM83" i="1"/>
  <c r="CK83" i="1"/>
  <c r="CI83" i="1"/>
  <c r="DF82" i="1"/>
  <c r="DE82" i="1"/>
  <c r="DC82" i="1"/>
  <c r="DA82" i="1"/>
  <c r="CY82" i="1"/>
  <c r="CW82" i="1"/>
  <c r="CU82" i="1"/>
  <c r="CS82" i="1"/>
  <c r="CQ82" i="1"/>
  <c r="CO82" i="1"/>
  <c r="CM82" i="1"/>
  <c r="CK82" i="1"/>
  <c r="CI82" i="1"/>
  <c r="DF81" i="1"/>
  <c r="DE81" i="1"/>
  <c r="DC81" i="1"/>
  <c r="DA81" i="1"/>
  <c r="CY81" i="1"/>
  <c r="CW81" i="1"/>
  <c r="CU81" i="1"/>
  <c r="CS81" i="1"/>
  <c r="CQ81" i="1"/>
  <c r="CO81" i="1"/>
  <c r="CM81" i="1"/>
  <c r="CK81" i="1"/>
  <c r="CI81" i="1"/>
  <c r="CE81" i="1"/>
  <c r="CC81" i="1"/>
  <c r="CA81" i="1"/>
  <c r="BY81" i="1"/>
  <c r="BW81" i="1"/>
  <c r="BU81" i="1"/>
  <c r="BS81" i="1"/>
  <c r="BQ81" i="1"/>
  <c r="BO81" i="1"/>
  <c r="BM81" i="1"/>
  <c r="BK81" i="1"/>
  <c r="BI81" i="1"/>
  <c r="BE81" i="1"/>
  <c r="BC81" i="1"/>
  <c r="BA81" i="1"/>
  <c r="AY81" i="1"/>
  <c r="AW81" i="1"/>
  <c r="AU81" i="1"/>
  <c r="AS81" i="1"/>
  <c r="AQ81" i="1"/>
  <c r="AO81" i="1"/>
  <c r="AM81" i="1"/>
  <c r="AK81" i="1"/>
  <c r="AI81" i="1"/>
  <c r="AE81" i="1"/>
  <c r="AC81" i="1"/>
  <c r="AA81" i="1"/>
  <c r="Y81" i="1"/>
  <c r="W81" i="1"/>
  <c r="U81" i="1"/>
  <c r="S81" i="1"/>
  <c r="Q81" i="1"/>
  <c r="O81" i="1"/>
  <c r="M81" i="1"/>
  <c r="K81" i="1"/>
  <c r="I81" i="1"/>
  <c r="DF80" i="1"/>
  <c r="DG80" i="1" s="1"/>
  <c r="DE80" i="1"/>
  <c r="DC80" i="1"/>
  <c r="DA80" i="1"/>
  <c r="CY80" i="1"/>
  <c r="CW80" i="1"/>
  <c r="CU80" i="1"/>
  <c r="CS80" i="1"/>
  <c r="CQ80" i="1"/>
  <c r="CO80" i="1"/>
  <c r="CM80" i="1"/>
  <c r="CK80" i="1"/>
  <c r="CI80" i="1"/>
  <c r="CE80" i="1"/>
  <c r="CC80" i="1"/>
  <c r="CA80" i="1"/>
  <c r="BY80" i="1"/>
  <c r="BW80" i="1"/>
  <c r="BU80" i="1"/>
  <c r="BS80" i="1"/>
  <c r="BQ80" i="1"/>
  <c r="BO80" i="1"/>
  <c r="BM80" i="1"/>
  <c r="BK80" i="1"/>
  <c r="BI80" i="1"/>
  <c r="BE80" i="1"/>
  <c r="BC80" i="1"/>
  <c r="BA80" i="1"/>
  <c r="AY80" i="1"/>
  <c r="AW80" i="1"/>
  <c r="AU80" i="1"/>
  <c r="AS80" i="1"/>
  <c r="AQ80" i="1"/>
  <c r="AO80" i="1"/>
  <c r="AM80" i="1"/>
  <c r="AK80" i="1"/>
  <c r="AI80" i="1"/>
  <c r="AE80" i="1"/>
  <c r="AC80" i="1"/>
  <c r="AA80" i="1"/>
  <c r="Y80" i="1"/>
  <c r="W80" i="1"/>
  <c r="U80" i="1"/>
  <c r="S80" i="1"/>
  <c r="Q80" i="1"/>
  <c r="O80" i="1"/>
  <c r="M80" i="1"/>
  <c r="K80" i="1"/>
  <c r="I80" i="1"/>
  <c r="DF79" i="1"/>
  <c r="DG79" i="1" s="1"/>
  <c r="DE79" i="1"/>
  <c r="DC79" i="1"/>
  <c r="DA79" i="1"/>
  <c r="CY79" i="1"/>
  <c r="CW79" i="1"/>
  <c r="CU79" i="1"/>
  <c r="CS79" i="1"/>
  <c r="CQ79" i="1"/>
  <c r="CO79" i="1"/>
  <c r="CM79" i="1"/>
  <c r="CK79" i="1"/>
  <c r="CI79" i="1"/>
  <c r="CE79" i="1"/>
  <c r="CC79" i="1"/>
  <c r="CA79" i="1"/>
  <c r="BY79" i="1"/>
  <c r="BW79" i="1"/>
  <c r="BU79" i="1"/>
  <c r="BS79" i="1"/>
  <c r="BQ79" i="1"/>
  <c r="BO79" i="1"/>
  <c r="BM79" i="1"/>
  <c r="BK79" i="1"/>
  <c r="BI79" i="1"/>
  <c r="BE79" i="1"/>
  <c r="BC79" i="1"/>
  <c r="BA79" i="1"/>
  <c r="AY79" i="1"/>
  <c r="AW79" i="1"/>
  <c r="AU79" i="1"/>
  <c r="AS79" i="1"/>
  <c r="AQ79" i="1"/>
  <c r="AO79" i="1"/>
  <c r="AM79" i="1"/>
  <c r="AK79" i="1"/>
  <c r="AI79" i="1"/>
  <c r="AE79" i="1"/>
  <c r="AC79" i="1"/>
  <c r="AA79" i="1"/>
  <c r="Y79" i="1"/>
  <c r="W79" i="1"/>
  <c r="U79" i="1"/>
  <c r="S79" i="1"/>
  <c r="Q79" i="1"/>
  <c r="O79" i="1"/>
  <c r="M79" i="1"/>
  <c r="K79" i="1"/>
  <c r="I79" i="1"/>
  <c r="DF78" i="1"/>
  <c r="DE78" i="1"/>
  <c r="DC78" i="1"/>
  <c r="DA78" i="1"/>
  <c r="CY78" i="1"/>
  <c r="CW78" i="1"/>
  <c r="CU78" i="1"/>
  <c r="CS78" i="1"/>
  <c r="CQ78" i="1"/>
  <c r="CO78" i="1"/>
  <c r="CM78" i="1"/>
  <c r="CK78" i="1"/>
  <c r="CI78" i="1"/>
  <c r="CE78" i="1"/>
  <c r="CC78" i="1"/>
  <c r="CA78" i="1"/>
  <c r="BY78" i="1"/>
  <c r="BW78" i="1"/>
  <c r="BU78" i="1"/>
  <c r="BS78" i="1"/>
  <c r="BQ78" i="1"/>
  <c r="BO78" i="1"/>
  <c r="BM78" i="1"/>
  <c r="BK78" i="1"/>
  <c r="BI78" i="1"/>
  <c r="BE78" i="1"/>
  <c r="BC78" i="1"/>
  <c r="BA78" i="1"/>
  <c r="AY78" i="1"/>
  <c r="AW78" i="1"/>
  <c r="AU78" i="1"/>
  <c r="AS78" i="1"/>
  <c r="AQ78" i="1"/>
  <c r="AO78" i="1"/>
  <c r="AM78" i="1"/>
  <c r="AK78" i="1"/>
  <c r="AI78" i="1"/>
  <c r="AE78" i="1"/>
  <c r="AC78" i="1"/>
  <c r="AA78" i="1"/>
  <c r="Y78" i="1"/>
  <c r="W78" i="1"/>
  <c r="U78" i="1"/>
  <c r="S78" i="1"/>
  <c r="Q78" i="1"/>
  <c r="O78" i="1"/>
  <c r="M78" i="1"/>
  <c r="K78" i="1"/>
  <c r="I78" i="1"/>
  <c r="DF77" i="1"/>
  <c r="DG77" i="1" s="1"/>
  <c r="DE77" i="1"/>
  <c r="DC77" i="1"/>
  <c r="DA77" i="1"/>
  <c r="CY77" i="1"/>
  <c r="CW77" i="1"/>
  <c r="CU77" i="1"/>
  <c r="CS77" i="1"/>
  <c r="CQ77" i="1"/>
  <c r="CO77" i="1"/>
  <c r="CM77" i="1"/>
  <c r="CK77" i="1"/>
  <c r="CI77" i="1"/>
  <c r="CE77" i="1"/>
  <c r="CC77" i="1"/>
  <c r="CA77" i="1"/>
  <c r="BY77" i="1"/>
  <c r="BW77" i="1"/>
  <c r="BU77" i="1"/>
  <c r="BS77" i="1"/>
  <c r="BQ77" i="1"/>
  <c r="BO77" i="1"/>
  <c r="BM77" i="1"/>
  <c r="BK77" i="1"/>
  <c r="BI77" i="1"/>
  <c r="BE77" i="1"/>
  <c r="BC77" i="1"/>
  <c r="BA77" i="1"/>
  <c r="AY77" i="1"/>
  <c r="AW77" i="1"/>
  <c r="AU77" i="1"/>
  <c r="AS77" i="1"/>
  <c r="AQ77" i="1"/>
  <c r="AO77" i="1"/>
  <c r="AM77" i="1"/>
  <c r="AK77" i="1"/>
  <c r="AI77" i="1"/>
  <c r="AE77" i="1"/>
  <c r="AC77" i="1"/>
  <c r="AA77" i="1"/>
  <c r="Y77" i="1"/>
  <c r="W77" i="1"/>
  <c r="U77" i="1"/>
  <c r="S77" i="1"/>
  <c r="Q77" i="1"/>
  <c r="O77" i="1"/>
  <c r="M77" i="1"/>
  <c r="K77" i="1"/>
  <c r="I77" i="1"/>
  <c r="DF76" i="1"/>
  <c r="DG76" i="1" s="1"/>
  <c r="DE76" i="1"/>
  <c r="DC76" i="1"/>
  <c r="DA76" i="1"/>
  <c r="CY76" i="1"/>
  <c r="CW76" i="1"/>
  <c r="CU76" i="1"/>
  <c r="CS76" i="1"/>
  <c r="CQ76" i="1"/>
  <c r="CO76" i="1"/>
  <c r="CM76" i="1"/>
  <c r="CK76" i="1"/>
  <c r="CI76" i="1"/>
  <c r="CE76" i="1"/>
  <c r="CC76" i="1"/>
  <c r="CA76" i="1"/>
  <c r="BY76" i="1"/>
  <c r="BW76" i="1"/>
  <c r="BU76" i="1"/>
  <c r="BS76" i="1"/>
  <c r="BQ76" i="1"/>
  <c r="BO76" i="1"/>
  <c r="BM76" i="1"/>
  <c r="BK76" i="1"/>
  <c r="BI76" i="1"/>
  <c r="BE76" i="1"/>
  <c r="BC76" i="1"/>
  <c r="BA76" i="1"/>
  <c r="AY76" i="1"/>
  <c r="AW76" i="1"/>
  <c r="AU76" i="1"/>
  <c r="AS76" i="1"/>
  <c r="AQ76" i="1"/>
  <c r="AO76" i="1"/>
  <c r="AM76" i="1"/>
  <c r="AK76" i="1"/>
  <c r="AI76" i="1"/>
  <c r="AE76" i="1"/>
  <c r="AC76" i="1"/>
  <c r="AA76" i="1"/>
  <c r="Y76" i="1"/>
  <c r="W76" i="1"/>
  <c r="U76" i="1"/>
  <c r="S76" i="1"/>
  <c r="Q76" i="1"/>
  <c r="O76" i="1"/>
  <c r="M76" i="1"/>
  <c r="K76" i="1"/>
  <c r="I76" i="1"/>
  <c r="DF75" i="1"/>
  <c r="DG75" i="1" s="1"/>
  <c r="DE75" i="1"/>
  <c r="DC75" i="1"/>
  <c r="DA75" i="1"/>
  <c r="CY75" i="1"/>
  <c r="CW75" i="1"/>
  <c r="CU75" i="1"/>
  <c r="CS75" i="1"/>
  <c r="CQ75" i="1"/>
  <c r="CO75" i="1"/>
  <c r="CM75" i="1"/>
  <c r="CK75" i="1"/>
  <c r="CI75" i="1"/>
  <c r="CE75" i="1"/>
  <c r="CC75" i="1"/>
  <c r="CA75" i="1"/>
  <c r="BY75" i="1"/>
  <c r="BW75" i="1"/>
  <c r="BU75" i="1"/>
  <c r="BS75" i="1"/>
  <c r="BQ75" i="1"/>
  <c r="BO75" i="1"/>
  <c r="BM75" i="1"/>
  <c r="BK75" i="1"/>
  <c r="BI75" i="1"/>
  <c r="BE75" i="1"/>
  <c r="BC75" i="1"/>
  <c r="BA75" i="1"/>
  <c r="AY75" i="1"/>
  <c r="AW75" i="1"/>
  <c r="AU75" i="1"/>
  <c r="AS75" i="1"/>
  <c r="AQ75" i="1"/>
  <c r="AO75" i="1"/>
  <c r="AM75" i="1"/>
  <c r="AK75" i="1"/>
  <c r="AI75" i="1"/>
  <c r="AE75" i="1"/>
  <c r="AC75" i="1"/>
  <c r="AA75" i="1"/>
  <c r="Y75" i="1"/>
  <c r="W75" i="1"/>
  <c r="U75" i="1"/>
  <c r="S75" i="1"/>
  <c r="Q75" i="1"/>
  <c r="O75" i="1"/>
  <c r="M75" i="1"/>
  <c r="K75" i="1"/>
  <c r="I75" i="1"/>
  <c r="DF74" i="1"/>
  <c r="DG74" i="1" s="1"/>
  <c r="DE74" i="1"/>
  <c r="DC74" i="1"/>
  <c r="DA74" i="1"/>
  <c r="CY74" i="1"/>
  <c r="CW74" i="1"/>
  <c r="CU74" i="1"/>
  <c r="CS74" i="1"/>
  <c r="CQ74" i="1"/>
  <c r="CO74" i="1"/>
  <c r="CM74" i="1"/>
  <c r="CK74" i="1"/>
  <c r="CI74" i="1"/>
  <c r="CE74" i="1"/>
  <c r="CC74" i="1"/>
  <c r="CA74" i="1"/>
  <c r="BY74" i="1"/>
  <c r="BW74" i="1"/>
  <c r="BU74" i="1"/>
  <c r="BS74" i="1"/>
  <c r="BQ74" i="1"/>
  <c r="BO74" i="1"/>
  <c r="BM74" i="1"/>
  <c r="BK74" i="1"/>
  <c r="BI74" i="1"/>
  <c r="BE74" i="1"/>
  <c r="BC74" i="1"/>
  <c r="BA74" i="1"/>
  <c r="AY74" i="1"/>
  <c r="AW74" i="1"/>
  <c r="AU74" i="1"/>
  <c r="AS74" i="1"/>
  <c r="AQ74" i="1"/>
  <c r="AO74" i="1"/>
  <c r="AM74" i="1"/>
  <c r="AK74" i="1"/>
  <c r="AI74" i="1"/>
  <c r="AE74" i="1"/>
  <c r="AC74" i="1"/>
  <c r="AA74" i="1"/>
  <c r="Y74" i="1"/>
  <c r="W74" i="1"/>
  <c r="U74" i="1"/>
  <c r="S74" i="1"/>
  <c r="Q74" i="1"/>
  <c r="O74" i="1"/>
  <c r="M74" i="1"/>
  <c r="K74" i="1"/>
  <c r="I74" i="1"/>
  <c r="DF73" i="1"/>
  <c r="DG73" i="1" s="1"/>
  <c r="DE73" i="1"/>
  <c r="DC73" i="1"/>
  <c r="DA73" i="1"/>
  <c r="CY73" i="1"/>
  <c r="CW73" i="1"/>
  <c r="CU73" i="1"/>
  <c r="CS73" i="1"/>
  <c r="CQ73" i="1"/>
  <c r="CO73" i="1"/>
  <c r="CM73" i="1"/>
  <c r="CK73" i="1"/>
  <c r="CI73" i="1"/>
  <c r="CE73" i="1"/>
  <c r="CC73" i="1"/>
  <c r="CA73" i="1"/>
  <c r="BY73" i="1"/>
  <c r="BW73" i="1"/>
  <c r="BU73" i="1"/>
  <c r="BS73" i="1"/>
  <c r="BQ73" i="1"/>
  <c r="BO73" i="1"/>
  <c r="BM73" i="1"/>
  <c r="BK73" i="1"/>
  <c r="BI73" i="1"/>
  <c r="BE73" i="1"/>
  <c r="BC73" i="1"/>
  <c r="BA73" i="1"/>
  <c r="AY73" i="1"/>
  <c r="AW73" i="1"/>
  <c r="AU73" i="1"/>
  <c r="AS73" i="1"/>
  <c r="AQ73" i="1"/>
  <c r="AO73" i="1"/>
  <c r="AM73" i="1"/>
  <c r="AK73" i="1"/>
  <c r="AI73" i="1"/>
  <c r="AE73" i="1"/>
  <c r="AC73" i="1"/>
  <c r="AA73" i="1"/>
  <c r="Y73" i="1"/>
  <c r="W73" i="1"/>
  <c r="U73" i="1"/>
  <c r="S73" i="1"/>
  <c r="Q73" i="1"/>
  <c r="O73" i="1"/>
  <c r="M73" i="1"/>
  <c r="K73" i="1"/>
  <c r="I73" i="1"/>
  <c r="DF72" i="1"/>
  <c r="DG72" i="1" s="1"/>
  <c r="DE72" i="1"/>
  <c r="DC72" i="1"/>
  <c r="DA72" i="1"/>
  <c r="CY72" i="1"/>
  <c r="CW72" i="1"/>
  <c r="CU72" i="1"/>
  <c r="CS72" i="1"/>
  <c r="CQ72" i="1"/>
  <c r="CO72" i="1"/>
  <c r="CM72" i="1"/>
  <c r="CK72" i="1"/>
  <c r="CI72" i="1"/>
  <c r="CE72" i="1"/>
  <c r="CC72" i="1"/>
  <c r="CA72" i="1"/>
  <c r="BY72" i="1"/>
  <c r="BW72" i="1"/>
  <c r="BU72" i="1"/>
  <c r="BS72" i="1"/>
  <c r="BQ72" i="1"/>
  <c r="BO72" i="1"/>
  <c r="BM72" i="1"/>
  <c r="BK72" i="1"/>
  <c r="BI72" i="1"/>
  <c r="BE72" i="1"/>
  <c r="BC72" i="1"/>
  <c r="BA72" i="1"/>
  <c r="AY72" i="1"/>
  <c r="AW72" i="1"/>
  <c r="AU72" i="1"/>
  <c r="AS72" i="1"/>
  <c r="AQ72" i="1"/>
  <c r="AO72" i="1"/>
  <c r="AM72" i="1"/>
  <c r="AK72" i="1"/>
  <c r="AI72" i="1"/>
  <c r="AE72" i="1"/>
  <c r="AC72" i="1"/>
  <c r="AA72" i="1"/>
  <c r="Y72" i="1"/>
  <c r="W72" i="1"/>
  <c r="U72" i="1"/>
  <c r="S72" i="1"/>
  <c r="Q72" i="1"/>
  <c r="O72" i="1"/>
  <c r="M72" i="1"/>
  <c r="K72" i="1"/>
  <c r="I72" i="1"/>
  <c r="DF71" i="1"/>
  <c r="DG71" i="1" s="1"/>
  <c r="DE71" i="1"/>
  <c r="DC71" i="1"/>
  <c r="DA71" i="1"/>
  <c r="CY71" i="1"/>
  <c r="CW71" i="1"/>
  <c r="CU71" i="1"/>
  <c r="CS71" i="1"/>
  <c r="CQ71" i="1"/>
  <c r="CO71" i="1"/>
  <c r="CM71" i="1"/>
  <c r="CK71" i="1"/>
  <c r="CI71" i="1"/>
  <c r="CE71" i="1"/>
  <c r="CC71" i="1"/>
  <c r="CA71" i="1"/>
  <c r="BY71" i="1"/>
  <c r="BW71" i="1"/>
  <c r="BU71" i="1"/>
  <c r="BS71" i="1"/>
  <c r="BQ71" i="1"/>
  <c r="BO71" i="1"/>
  <c r="BM71" i="1"/>
  <c r="BK71" i="1"/>
  <c r="BI71" i="1"/>
  <c r="BE71" i="1"/>
  <c r="BC71" i="1"/>
  <c r="BA71" i="1"/>
  <c r="AY71" i="1"/>
  <c r="AW71" i="1"/>
  <c r="AU71" i="1"/>
  <c r="AS71" i="1"/>
  <c r="AQ71" i="1"/>
  <c r="AO71" i="1"/>
  <c r="AM71" i="1"/>
  <c r="AK71" i="1"/>
  <c r="AI71" i="1"/>
  <c r="AE71" i="1"/>
  <c r="AC71" i="1"/>
  <c r="AA71" i="1"/>
  <c r="Y71" i="1"/>
  <c r="W71" i="1"/>
  <c r="U71" i="1"/>
  <c r="S71" i="1"/>
  <c r="Q71" i="1"/>
  <c r="O71" i="1"/>
  <c r="M71" i="1"/>
  <c r="K71" i="1"/>
  <c r="I71" i="1"/>
  <c r="DF70" i="1"/>
  <c r="DG70" i="1" s="1"/>
  <c r="DE70" i="1"/>
  <c r="DC70" i="1"/>
  <c r="DA70" i="1"/>
  <c r="CY70" i="1"/>
  <c r="CW70" i="1"/>
  <c r="CU70" i="1"/>
  <c r="CS70" i="1"/>
  <c r="CQ70" i="1"/>
  <c r="CO70" i="1"/>
  <c r="CM70" i="1"/>
  <c r="CK70" i="1"/>
  <c r="CI70" i="1"/>
  <c r="CE70" i="1"/>
  <c r="CC70" i="1"/>
  <c r="CA70" i="1"/>
  <c r="BY70" i="1"/>
  <c r="BW70" i="1"/>
  <c r="BU70" i="1"/>
  <c r="BS70" i="1"/>
  <c r="BQ70" i="1"/>
  <c r="BO70" i="1"/>
  <c r="BM70" i="1"/>
  <c r="BK70" i="1"/>
  <c r="BI70" i="1"/>
  <c r="BE70" i="1"/>
  <c r="BC70" i="1"/>
  <c r="BA70" i="1"/>
  <c r="AY70" i="1"/>
  <c r="AW70" i="1"/>
  <c r="AU70" i="1"/>
  <c r="AS70" i="1"/>
  <c r="AQ70" i="1"/>
  <c r="AO70" i="1"/>
  <c r="AM70" i="1"/>
  <c r="AK70" i="1"/>
  <c r="AI70" i="1"/>
  <c r="AE70" i="1"/>
  <c r="AC70" i="1"/>
  <c r="AA70" i="1"/>
  <c r="Y70" i="1"/>
  <c r="W70" i="1"/>
  <c r="U70" i="1"/>
  <c r="S70" i="1"/>
  <c r="Q70" i="1"/>
  <c r="O70" i="1"/>
  <c r="M70" i="1"/>
  <c r="K70" i="1"/>
  <c r="I70" i="1"/>
  <c r="DF69" i="1"/>
  <c r="DG69" i="1" s="1"/>
  <c r="DE69" i="1"/>
  <c r="DC69" i="1"/>
  <c r="DA69" i="1"/>
  <c r="CY69" i="1"/>
  <c r="CW69" i="1"/>
  <c r="CU69" i="1"/>
  <c r="CS69" i="1"/>
  <c r="CQ69" i="1"/>
  <c r="CO69" i="1"/>
  <c r="CM69" i="1"/>
  <c r="CK69" i="1"/>
  <c r="CI69" i="1"/>
  <c r="CE69" i="1"/>
  <c r="CC69" i="1"/>
  <c r="CA69" i="1"/>
  <c r="BY69" i="1"/>
  <c r="BW69" i="1"/>
  <c r="BU69" i="1"/>
  <c r="BS69" i="1"/>
  <c r="BQ69" i="1"/>
  <c r="BO69" i="1"/>
  <c r="BM69" i="1"/>
  <c r="BK69" i="1"/>
  <c r="BI69" i="1"/>
  <c r="BE69" i="1"/>
  <c r="BC69" i="1"/>
  <c r="BA69" i="1"/>
  <c r="AY69" i="1"/>
  <c r="AW69" i="1"/>
  <c r="AU69" i="1"/>
  <c r="AS69" i="1"/>
  <c r="AQ69" i="1"/>
  <c r="AO69" i="1"/>
  <c r="AM69" i="1"/>
  <c r="AK69" i="1"/>
  <c r="AI69" i="1"/>
  <c r="AE69" i="1"/>
  <c r="AC69" i="1"/>
  <c r="AA69" i="1"/>
  <c r="Y69" i="1"/>
  <c r="W69" i="1"/>
  <c r="U69" i="1"/>
  <c r="S69" i="1"/>
  <c r="Q69" i="1"/>
  <c r="O69" i="1"/>
  <c r="M69" i="1"/>
  <c r="K69" i="1"/>
  <c r="I69" i="1"/>
  <c r="DF68" i="1"/>
  <c r="DG68" i="1" s="1"/>
  <c r="DE68" i="1"/>
  <c r="DC68" i="1"/>
  <c r="DA68" i="1"/>
  <c r="CY68" i="1"/>
  <c r="CW68" i="1"/>
  <c r="CU68" i="1"/>
  <c r="CS68" i="1"/>
  <c r="CQ68" i="1"/>
  <c r="CO68" i="1"/>
  <c r="CM68" i="1"/>
  <c r="CK68" i="1"/>
  <c r="CI68" i="1"/>
  <c r="CE68" i="1"/>
  <c r="CC68" i="1"/>
  <c r="CA68" i="1"/>
  <c r="BY68" i="1"/>
  <c r="BW68" i="1"/>
  <c r="BU68" i="1"/>
  <c r="BS68" i="1"/>
  <c r="BQ68" i="1"/>
  <c r="BO68" i="1"/>
  <c r="BM68" i="1"/>
  <c r="BK68" i="1"/>
  <c r="BI68" i="1"/>
  <c r="BE68" i="1"/>
  <c r="BC68" i="1"/>
  <c r="BA68" i="1"/>
  <c r="AY68" i="1"/>
  <c r="AW68" i="1"/>
  <c r="AU68" i="1"/>
  <c r="AS68" i="1"/>
  <c r="AQ68" i="1"/>
  <c r="AO68" i="1"/>
  <c r="AM68" i="1"/>
  <c r="AK68" i="1"/>
  <c r="AI68" i="1"/>
  <c r="AE68" i="1"/>
  <c r="AC68" i="1"/>
  <c r="AA68" i="1"/>
  <c r="Y68" i="1"/>
  <c r="W68" i="1"/>
  <c r="U68" i="1"/>
  <c r="S68" i="1"/>
  <c r="Q68" i="1"/>
  <c r="O68" i="1"/>
  <c r="M68" i="1"/>
  <c r="K68" i="1"/>
  <c r="I68" i="1"/>
  <c r="DF67" i="1"/>
  <c r="DE67" i="1"/>
  <c r="DC67" i="1"/>
  <c r="DA67" i="1"/>
  <c r="CY67" i="1"/>
  <c r="CW67" i="1"/>
  <c r="CU67" i="1"/>
  <c r="CS67" i="1"/>
  <c r="CQ67" i="1"/>
  <c r="CO67" i="1"/>
  <c r="CM67" i="1"/>
  <c r="CK67" i="1"/>
  <c r="CI67" i="1"/>
  <c r="CE67" i="1"/>
  <c r="CC67" i="1"/>
  <c r="CA67" i="1"/>
  <c r="BY67" i="1"/>
  <c r="BW67" i="1"/>
  <c r="BU67" i="1"/>
  <c r="BS67" i="1"/>
  <c r="BQ67" i="1"/>
  <c r="BO67" i="1"/>
  <c r="BM67" i="1"/>
  <c r="BK67" i="1"/>
  <c r="BI67" i="1"/>
  <c r="BE67" i="1"/>
  <c r="BC67" i="1"/>
  <c r="BA67" i="1"/>
  <c r="AY67" i="1"/>
  <c r="AW67" i="1"/>
  <c r="AU67" i="1"/>
  <c r="AS67" i="1"/>
  <c r="AQ67" i="1"/>
  <c r="AO67" i="1"/>
  <c r="AM67" i="1"/>
  <c r="AK67" i="1"/>
  <c r="AI67" i="1"/>
  <c r="AE67" i="1"/>
  <c r="AC67" i="1"/>
  <c r="AA67" i="1"/>
  <c r="Y67" i="1"/>
  <c r="W67" i="1"/>
  <c r="U67" i="1"/>
  <c r="S67" i="1"/>
  <c r="Q67" i="1"/>
  <c r="O67" i="1"/>
  <c r="M67" i="1"/>
  <c r="K67" i="1"/>
  <c r="I67" i="1"/>
  <c r="DF66" i="1"/>
  <c r="DG66" i="1" s="1"/>
  <c r="DE66" i="1"/>
  <c r="DC66" i="1"/>
  <c r="DA66" i="1"/>
  <c r="CY66" i="1"/>
  <c r="CW66" i="1"/>
  <c r="CU66" i="1"/>
  <c r="CS66" i="1"/>
  <c r="CQ66" i="1"/>
  <c r="CO66" i="1"/>
  <c r="CM66" i="1"/>
  <c r="CK66" i="1"/>
  <c r="CI66" i="1"/>
  <c r="CE66" i="1"/>
  <c r="CC66" i="1"/>
  <c r="CA66" i="1"/>
  <c r="BY66" i="1"/>
  <c r="BW66" i="1"/>
  <c r="BU66" i="1"/>
  <c r="BS66" i="1"/>
  <c r="BQ66" i="1"/>
  <c r="BO66" i="1"/>
  <c r="BM66" i="1"/>
  <c r="BK66" i="1"/>
  <c r="BI66" i="1"/>
  <c r="BE66" i="1"/>
  <c r="BC66" i="1"/>
  <c r="BA66" i="1"/>
  <c r="AY66" i="1"/>
  <c r="AW66" i="1"/>
  <c r="AU66" i="1"/>
  <c r="AS66" i="1"/>
  <c r="AQ66" i="1"/>
  <c r="AO66" i="1"/>
  <c r="AM66" i="1"/>
  <c r="AK66" i="1"/>
  <c r="AI66" i="1"/>
  <c r="AE66" i="1"/>
  <c r="AC66" i="1"/>
  <c r="AA66" i="1"/>
  <c r="Y66" i="1"/>
  <c r="W66" i="1"/>
  <c r="U66" i="1"/>
  <c r="S66" i="1"/>
  <c r="Q66" i="1"/>
  <c r="O66" i="1"/>
  <c r="M66" i="1"/>
  <c r="K66" i="1"/>
  <c r="I66" i="1"/>
  <c r="DF65" i="1"/>
  <c r="DG65" i="1" s="1"/>
  <c r="DE65" i="1"/>
  <c r="DC65" i="1"/>
  <c r="DA65" i="1"/>
  <c r="CY65" i="1"/>
  <c r="CW65" i="1"/>
  <c r="CU65" i="1"/>
  <c r="CS65" i="1"/>
  <c r="CQ65" i="1"/>
  <c r="CO65" i="1"/>
  <c r="CM65" i="1"/>
  <c r="CK65" i="1"/>
  <c r="CI65" i="1"/>
  <c r="S65" i="1"/>
  <c r="DF64" i="1"/>
  <c r="DG64" i="1" s="1"/>
  <c r="DE64" i="1"/>
  <c r="DC64" i="1"/>
  <c r="DA64" i="1"/>
  <c r="CY64" i="1"/>
  <c r="CW64" i="1"/>
  <c r="CU64" i="1"/>
  <c r="CS64" i="1"/>
  <c r="CQ64" i="1"/>
  <c r="CO64" i="1"/>
  <c r="CM64" i="1"/>
  <c r="CK64" i="1"/>
  <c r="CI64" i="1"/>
  <c r="CE64" i="1"/>
  <c r="CC64" i="1"/>
  <c r="CA64" i="1"/>
  <c r="BY64" i="1"/>
  <c r="BW64" i="1"/>
  <c r="BU64" i="1"/>
  <c r="BS64" i="1"/>
  <c r="BQ64" i="1"/>
  <c r="BO64" i="1"/>
  <c r="BM64" i="1"/>
  <c r="BK64" i="1"/>
  <c r="BI64" i="1"/>
  <c r="BE64" i="1"/>
  <c r="BC64" i="1"/>
  <c r="BA64" i="1"/>
  <c r="AY64" i="1"/>
  <c r="AW64" i="1"/>
  <c r="AU64" i="1"/>
  <c r="AS64" i="1"/>
  <c r="AQ64" i="1"/>
  <c r="AO64" i="1"/>
  <c r="AM64" i="1"/>
  <c r="AK64" i="1"/>
  <c r="AI64" i="1"/>
  <c r="AE64" i="1"/>
  <c r="AC64" i="1"/>
  <c r="AA64" i="1"/>
  <c r="Y64" i="1"/>
  <c r="W64" i="1"/>
  <c r="U64" i="1"/>
  <c r="S64" i="1"/>
  <c r="Q64" i="1"/>
  <c r="O64" i="1"/>
  <c r="M64" i="1"/>
  <c r="K64" i="1"/>
  <c r="I64" i="1"/>
  <c r="DF63" i="1"/>
  <c r="DE63" i="1"/>
  <c r="DC63" i="1"/>
  <c r="DA63" i="1"/>
  <c r="CY63" i="1"/>
  <c r="CW63" i="1"/>
  <c r="CU63" i="1"/>
  <c r="CS63" i="1"/>
  <c r="CQ63" i="1"/>
  <c r="CO63" i="1"/>
  <c r="CM63" i="1"/>
  <c r="CK63" i="1"/>
  <c r="CI63" i="1"/>
  <c r="CE63" i="1"/>
  <c r="CC63" i="1"/>
  <c r="CA63" i="1"/>
  <c r="BY63" i="1"/>
  <c r="BW63" i="1"/>
  <c r="BU63" i="1"/>
  <c r="BS63" i="1"/>
  <c r="BQ63" i="1"/>
  <c r="BO63" i="1"/>
  <c r="BM63" i="1"/>
  <c r="BK63" i="1"/>
  <c r="BI63" i="1"/>
  <c r="BE63" i="1"/>
  <c r="BC63" i="1"/>
  <c r="BA63" i="1"/>
  <c r="AY63" i="1"/>
  <c r="AW63" i="1"/>
  <c r="AU63" i="1"/>
  <c r="AS63" i="1"/>
  <c r="AQ63" i="1"/>
  <c r="AO63" i="1"/>
  <c r="AM63" i="1"/>
  <c r="AK63" i="1"/>
  <c r="AI63" i="1"/>
  <c r="AE63" i="1"/>
  <c r="AC63" i="1"/>
  <c r="AA63" i="1"/>
  <c r="Y63" i="1"/>
  <c r="W63" i="1"/>
  <c r="U63" i="1"/>
  <c r="S63" i="1"/>
  <c r="Q63" i="1"/>
  <c r="O63" i="1"/>
  <c r="M63" i="1"/>
  <c r="K63" i="1"/>
  <c r="I63" i="1"/>
  <c r="DF62" i="1"/>
  <c r="DG62" i="1" s="1"/>
  <c r="DE62" i="1"/>
  <c r="DC62" i="1"/>
  <c r="DA62" i="1"/>
  <c r="CY62" i="1"/>
  <c r="CW62" i="1"/>
  <c r="CU62" i="1"/>
  <c r="CS62" i="1"/>
  <c r="CQ62" i="1"/>
  <c r="CO62" i="1"/>
  <c r="CM62" i="1"/>
  <c r="CK62" i="1"/>
  <c r="CI62" i="1"/>
  <c r="CE62" i="1"/>
  <c r="CC62" i="1"/>
  <c r="CA62" i="1"/>
  <c r="BY62" i="1"/>
  <c r="BW62" i="1"/>
  <c r="BU62" i="1"/>
  <c r="BS62" i="1"/>
  <c r="BQ62" i="1"/>
  <c r="BO62" i="1"/>
  <c r="BM62" i="1"/>
  <c r="BK62" i="1"/>
  <c r="BI62" i="1"/>
  <c r="BE62" i="1"/>
  <c r="BC62" i="1"/>
  <c r="BA62" i="1"/>
  <c r="AY62" i="1"/>
  <c r="AW62" i="1"/>
  <c r="AU62" i="1"/>
  <c r="AS62" i="1"/>
  <c r="AQ62" i="1"/>
  <c r="AO62" i="1"/>
  <c r="AM62" i="1"/>
  <c r="AK62" i="1"/>
  <c r="AI62" i="1"/>
  <c r="AE62" i="1"/>
  <c r="AC62" i="1"/>
  <c r="AA62" i="1"/>
  <c r="Y62" i="1"/>
  <c r="W62" i="1"/>
  <c r="U62" i="1"/>
  <c r="S62" i="1"/>
  <c r="Q62" i="1"/>
  <c r="O62" i="1"/>
  <c r="M62" i="1"/>
  <c r="K62" i="1"/>
  <c r="I62" i="1"/>
  <c r="DF61" i="1"/>
  <c r="DE61" i="1"/>
  <c r="DC61" i="1"/>
  <c r="DA61" i="1"/>
  <c r="CY61" i="1"/>
  <c r="CW61" i="1"/>
  <c r="CU61" i="1"/>
  <c r="CS61" i="1"/>
  <c r="CQ61" i="1"/>
  <c r="CO61" i="1"/>
  <c r="CM61" i="1"/>
  <c r="CK61" i="1"/>
  <c r="CI61" i="1"/>
  <c r="CE61" i="1"/>
  <c r="CC61" i="1"/>
  <c r="CA61" i="1"/>
  <c r="BY61" i="1"/>
  <c r="BW61" i="1"/>
  <c r="BU61" i="1"/>
  <c r="BS61" i="1"/>
  <c r="BQ61" i="1"/>
  <c r="BO61" i="1"/>
  <c r="BM61" i="1"/>
  <c r="BK61" i="1"/>
  <c r="BI61" i="1"/>
  <c r="BE61" i="1"/>
  <c r="BC61" i="1"/>
  <c r="BA61" i="1"/>
  <c r="AY61" i="1"/>
  <c r="AW61" i="1"/>
  <c r="AU61" i="1"/>
  <c r="AS61" i="1"/>
  <c r="AQ61" i="1"/>
  <c r="AO61" i="1"/>
  <c r="AM61" i="1"/>
  <c r="AK61" i="1"/>
  <c r="AI61" i="1"/>
  <c r="AE61" i="1"/>
  <c r="AC61" i="1"/>
  <c r="AA61" i="1"/>
  <c r="Y61" i="1"/>
  <c r="W61" i="1"/>
  <c r="U61" i="1"/>
  <c r="S61" i="1"/>
  <c r="Q61" i="1"/>
  <c r="O61" i="1"/>
  <c r="M61" i="1"/>
  <c r="K61" i="1"/>
  <c r="I61" i="1"/>
  <c r="DF60" i="1"/>
  <c r="DG60" i="1" s="1"/>
  <c r="DE60" i="1"/>
  <c r="DC60" i="1"/>
  <c r="DA60" i="1"/>
  <c r="CY60" i="1"/>
  <c r="CW60" i="1"/>
  <c r="CU60" i="1"/>
  <c r="CS60" i="1"/>
  <c r="CQ60" i="1"/>
  <c r="CO60" i="1"/>
  <c r="CM60" i="1"/>
  <c r="CK60" i="1"/>
  <c r="CI60" i="1"/>
  <c r="CE60" i="1"/>
  <c r="CC60" i="1"/>
  <c r="CA60" i="1"/>
  <c r="BY60" i="1"/>
  <c r="BW60" i="1"/>
  <c r="BU60" i="1"/>
  <c r="BS60" i="1"/>
  <c r="BQ60" i="1"/>
  <c r="BO60" i="1"/>
  <c r="BM60" i="1"/>
  <c r="BK60" i="1"/>
  <c r="BI60" i="1"/>
  <c r="BE60" i="1"/>
  <c r="BC60" i="1"/>
  <c r="BA60" i="1"/>
  <c r="AY60" i="1"/>
  <c r="AW60" i="1"/>
  <c r="AU60" i="1"/>
  <c r="AS60" i="1"/>
  <c r="AQ60" i="1"/>
  <c r="AO60" i="1"/>
  <c r="AM60" i="1"/>
  <c r="AK60" i="1"/>
  <c r="AI60" i="1"/>
  <c r="AE60" i="1"/>
  <c r="AC60" i="1"/>
  <c r="AA60" i="1"/>
  <c r="Y60" i="1"/>
  <c r="W60" i="1"/>
  <c r="U60" i="1"/>
  <c r="S60" i="1"/>
  <c r="Q60" i="1"/>
  <c r="O60" i="1"/>
  <c r="M60" i="1"/>
  <c r="K60" i="1"/>
  <c r="I60" i="1"/>
  <c r="DF59" i="1"/>
  <c r="DG59" i="1" s="1"/>
  <c r="DE59" i="1"/>
  <c r="DC59" i="1"/>
  <c r="DA59" i="1"/>
  <c r="CY59" i="1"/>
  <c r="CW59" i="1"/>
  <c r="CU59" i="1"/>
  <c r="CS59" i="1"/>
  <c r="CQ59" i="1"/>
  <c r="CO59" i="1"/>
  <c r="CM59" i="1"/>
  <c r="CK59" i="1"/>
  <c r="CI59" i="1"/>
  <c r="CE59" i="1"/>
  <c r="CC59" i="1"/>
  <c r="CA59" i="1"/>
  <c r="BY59" i="1"/>
  <c r="BW59" i="1"/>
  <c r="BU59" i="1"/>
  <c r="BS59" i="1"/>
  <c r="BQ59" i="1"/>
  <c r="BO59" i="1"/>
  <c r="BM59" i="1"/>
  <c r="BK59" i="1"/>
  <c r="BI59" i="1"/>
  <c r="BE59" i="1"/>
  <c r="BC59" i="1"/>
  <c r="BA59" i="1"/>
  <c r="AY59" i="1"/>
  <c r="AW59" i="1"/>
  <c r="AU59" i="1"/>
  <c r="AS59" i="1"/>
  <c r="AQ59" i="1"/>
  <c r="AO59" i="1"/>
  <c r="AM59" i="1"/>
  <c r="AK59" i="1"/>
  <c r="AI59" i="1"/>
  <c r="AE59" i="1"/>
  <c r="AC59" i="1"/>
  <c r="AA59" i="1"/>
  <c r="Y59" i="1"/>
  <c r="W59" i="1"/>
  <c r="U59" i="1"/>
  <c r="S59" i="1"/>
  <c r="Q59" i="1"/>
  <c r="O59" i="1"/>
  <c r="M59" i="1"/>
  <c r="K59" i="1"/>
  <c r="I59" i="1"/>
  <c r="DF58" i="1"/>
  <c r="DG58" i="1" s="1"/>
  <c r="DE58" i="1"/>
  <c r="DC58" i="1"/>
  <c r="DA58" i="1"/>
  <c r="CY58" i="1"/>
  <c r="CW58" i="1"/>
  <c r="CU58" i="1"/>
  <c r="CS58" i="1"/>
  <c r="CQ58" i="1"/>
  <c r="CO58" i="1"/>
  <c r="CM58" i="1"/>
  <c r="CK58" i="1"/>
  <c r="CI58" i="1"/>
  <c r="CE58" i="1"/>
  <c r="CC58" i="1"/>
  <c r="CA58" i="1"/>
  <c r="BY58" i="1"/>
  <c r="BW58" i="1"/>
  <c r="BU58" i="1"/>
  <c r="BS58" i="1"/>
  <c r="BQ58" i="1"/>
  <c r="BO58" i="1"/>
  <c r="BM58" i="1"/>
  <c r="BK58" i="1"/>
  <c r="BI58" i="1"/>
  <c r="BE58" i="1"/>
  <c r="BC58" i="1"/>
  <c r="BA58" i="1"/>
  <c r="AY58" i="1"/>
  <c r="AW58" i="1"/>
  <c r="AU58" i="1"/>
  <c r="AS58" i="1"/>
  <c r="AQ58" i="1"/>
  <c r="AO58" i="1"/>
  <c r="AM58" i="1"/>
  <c r="AK58" i="1"/>
  <c r="AI58" i="1"/>
  <c r="AE58" i="1"/>
  <c r="AC58" i="1"/>
  <c r="AA58" i="1"/>
  <c r="Y58" i="1"/>
  <c r="W58" i="1"/>
  <c r="U58" i="1"/>
  <c r="S58" i="1"/>
  <c r="Q58" i="1"/>
  <c r="O58" i="1"/>
  <c r="M58" i="1"/>
  <c r="K58" i="1"/>
  <c r="I58" i="1"/>
  <c r="DF57" i="1"/>
  <c r="DG57" i="1" s="1"/>
  <c r="DE57" i="1"/>
  <c r="DC57" i="1"/>
  <c r="DA57" i="1"/>
  <c r="CY57" i="1"/>
  <c r="CW57" i="1"/>
  <c r="CU57" i="1"/>
  <c r="CS57" i="1"/>
  <c r="CQ57" i="1"/>
  <c r="CO57" i="1"/>
  <c r="CM57" i="1"/>
  <c r="CK57" i="1"/>
  <c r="CI57" i="1"/>
  <c r="CE57" i="1"/>
  <c r="CC57" i="1"/>
  <c r="CA57" i="1"/>
  <c r="BY57" i="1"/>
  <c r="BW57" i="1"/>
  <c r="BU57" i="1"/>
  <c r="BS57" i="1"/>
  <c r="BQ57" i="1"/>
  <c r="BO57" i="1"/>
  <c r="BM57" i="1"/>
  <c r="BK57" i="1"/>
  <c r="BI57" i="1"/>
  <c r="BE57" i="1"/>
  <c r="BC57" i="1"/>
  <c r="BA57" i="1"/>
  <c r="AY57" i="1"/>
  <c r="AW57" i="1"/>
  <c r="AU57" i="1"/>
  <c r="AS57" i="1"/>
  <c r="AQ57" i="1"/>
  <c r="AO57" i="1"/>
  <c r="AM57" i="1"/>
  <c r="AK57" i="1"/>
  <c r="AI57" i="1"/>
  <c r="AE57" i="1"/>
  <c r="AC57" i="1"/>
  <c r="AA57" i="1"/>
  <c r="Y57" i="1"/>
  <c r="W57" i="1"/>
  <c r="U57" i="1"/>
  <c r="S57" i="1"/>
  <c r="Q57" i="1"/>
  <c r="O57" i="1"/>
  <c r="M57" i="1"/>
  <c r="K57" i="1"/>
  <c r="I57" i="1"/>
  <c r="DF56" i="1"/>
  <c r="DG56" i="1" s="1"/>
  <c r="DE56" i="1"/>
  <c r="DC56" i="1"/>
  <c r="DA56" i="1"/>
  <c r="CY56" i="1"/>
  <c r="CW56" i="1"/>
  <c r="CU56" i="1"/>
  <c r="CS56" i="1"/>
  <c r="CQ56" i="1"/>
  <c r="CO56" i="1"/>
  <c r="CM56" i="1"/>
  <c r="CK56" i="1"/>
  <c r="CI56" i="1"/>
  <c r="CE56" i="1"/>
  <c r="CC56" i="1"/>
  <c r="CA56" i="1"/>
  <c r="BY56" i="1"/>
  <c r="BW56" i="1"/>
  <c r="BU56" i="1"/>
  <c r="BS56" i="1"/>
  <c r="BQ56" i="1"/>
  <c r="BO56" i="1"/>
  <c r="BM56" i="1"/>
  <c r="BK56" i="1"/>
  <c r="BI56" i="1"/>
  <c r="BE56" i="1"/>
  <c r="BC56" i="1"/>
  <c r="BA56" i="1"/>
  <c r="AY56" i="1"/>
  <c r="AW56" i="1"/>
  <c r="AU56" i="1"/>
  <c r="AS56" i="1"/>
  <c r="AQ56" i="1"/>
  <c r="AO56" i="1"/>
  <c r="AM56" i="1"/>
  <c r="AK56" i="1"/>
  <c r="AI56" i="1"/>
  <c r="AE56" i="1"/>
  <c r="AC56" i="1"/>
  <c r="AA56" i="1"/>
  <c r="Y56" i="1"/>
  <c r="W56" i="1"/>
  <c r="U56" i="1"/>
  <c r="S56" i="1"/>
  <c r="Q56" i="1"/>
  <c r="O56" i="1"/>
  <c r="M56" i="1"/>
  <c r="K56" i="1"/>
  <c r="I56" i="1"/>
  <c r="DF55" i="1"/>
  <c r="DG55" i="1" s="1"/>
  <c r="DE55" i="1"/>
  <c r="DC55" i="1"/>
  <c r="DA55" i="1"/>
  <c r="CY55" i="1"/>
  <c r="CW55" i="1"/>
  <c r="CU55" i="1"/>
  <c r="CS55" i="1"/>
  <c r="CQ55" i="1"/>
  <c r="CO55" i="1"/>
  <c r="CM55" i="1"/>
  <c r="CK55" i="1"/>
  <c r="CI55" i="1"/>
  <c r="CE55" i="1"/>
  <c r="CC55" i="1"/>
  <c r="CA55" i="1"/>
  <c r="BY55" i="1"/>
  <c r="BW55" i="1"/>
  <c r="BU55" i="1"/>
  <c r="BS55" i="1"/>
  <c r="BQ55" i="1"/>
  <c r="BO55" i="1"/>
  <c r="BM55" i="1"/>
  <c r="BK55" i="1"/>
  <c r="BI55" i="1"/>
  <c r="BE55" i="1"/>
  <c r="BC55" i="1"/>
  <c r="BA55" i="1"/>
  <c r="AY55" i="1"/>
  <c r="AW55" i="1"/>
  <c r="AU55" i="1"/>
  <c r="AS55" i="1"/>
  <c r="AQ55" i="1"/>
  <c r="AO55" i="1"/>
  <c r="AM55" i="1"/>
  <c r="AK55" i="1"/>
  <c r="AI55" i="1"/>
  <c r="AE55" i="1"/>
  <c r="AC55" i="1"/>
  <c r="AA55" i="1"/>
  <c r="Y55" i="1"/>
  <c r="W55" i="1"/>
  <c r="U55" i="1"/>
  <c r="S55" i="1"/>
  <c r="Q55" i="1"/>
  <c r="O55" i="1"/>
  <c r="M55" i="1"/>
  <c r="K55" i="1"/>
  <c r="I55" i="1"/>
  <c r="DF54" i="1"/>
  <c r="DG54" i="1" s="1"/>
  <c r="DE54" i="1"/>
  <c r="DC54" i="1"/>
  <c r="DA54" i="1"/>
  <c r="CY54" i="1"/>
  <c r="CW54" i="1"/>
  <c r="CU54" i="1"/>
  <c r="CS54" i="1"/>
  <c r="CQ54" i="1"/>
  <c r="CO54" i="1"/>
  <c r="CM54" i="1"/>
  <c r="CK54" i="1"/>
  <c r="CI54" i="1"/>
  <c r="CE54" i="1"/>
  <c r="CC54" i="1"/>
  <c r="CA54" i="1"/>
  <c r="BY54" i="1"/>
  <c r="BW54" i="1"/>
  <c r="BU54" i="1"/>
  <c r="BS54" i="1"/>
  <c r="BQ54" i="1"/>
  <c r="BO54" i="1"/>
  <c r="BM54" i="1"/>
  <c r="BK54" i="1"/>
  <c r="BI54" i="1"/>
  <c r="BE54" i="1"/>
  <c r="BC54" i="1"/>
  <c r="BA54" i="1"/>
  <c r="AY54" i="1"/>
  <c r="AW54" i="1"/>
  <c r="AU54" i="1"/>
  <c r="AS54" i="1"/>
  <c r="AQ54" i="1"/>
  <c r="AO54" i="1"/>
  <c r="AM54" i="1"/>
  <c r="AK54" i="1"/>
  <c r="AI54" i="1"/>
  <c r="AE54" i="1"/>
  <c r="AC54" i="1"/>
  <c r="AA54" i="1"/>
  <c r="Y54" i="1"/>
  <c r="W54" i="1"/>
  <c r="U54" i="1"/>
  <c r="S54" i="1"/>
  <c r="Q54" i="1"/>
  <c r="O54" i="1"/>
  <c r="M54" i="1"/>
  <c r="K54" i="1"/>
  <c r="I54" i="1"/>
  <c r="DF53" i="1"/>
  <c r="DG53" i="1" s="1"/>
  <c r="DE53" i="1"/>
  <c r="DC53" i="1"/>
  <c r="DA53" i="1"/>
  <c r="CY53" i="1"/>
  <c r="CW53" i="1"/>
  <c r="CU53" i="1"/>
  <c r="CS53" i="1"/>
  <c r="CQ53" i="1"/>
  <c r="CO53" i="1"/>
  <c r="CM53" i="1"/>
  <c r="CK53" i="1"/>
  <c r="CI53" i="1"/>
  <c r="CE53" i="1"/>
  <c r="CC53" i="1"/>
  <c r="CA53" i="1"/>
  <c r="BY53" i="1"/>
  <c r="BW53" i="1"/>
  <c r="BU53" i="1"/>
  <c r="BS53" i="1"/>
  <c r="BQ53" i="1"/>
  <c r="BO53" i="1"/>
  <c r="BM53" i="1"/>
  <c r="BK53" i="1"/>
  <c r="BI53" i="1"/>
  <c r="BE53" i="1"/>
  <c r="BC53" i="1"/>
  <c r="BA53" i="1"/>
  <c r="AY53" i="1"/>
  <c r="AW53" i="1"/>
  <c r="AU53" i="1"/>
  <c r="AS53" i="1"/>
  <c r="AQ53" i="1"/>
  <c r="AO53" i="1"/>
  <c r="AM53" i="1"/>
  <c r="AK53" i="1"/>
  <c r="AI53" i="1"/>
  <c r="AE53" i="1"/>
  <c r="AC53" i="1"/>
  <c r="AA53" i="1"/>
  <c r="Y53" i="1"/>
  <c r="W53" i="1"/>
  <c r="U53" i="1"/>
  <c r="S53" i="1"/>
  <c r="Q53" i="1"/>
  <c r="O53" i="1"/>
  <c r="M53" i="1"/>
  <c r="K53" i="1"/>
  <c r="I53" i="1"/>
  <c r="DF52" i="1"/>
  <c r="DG52" i="1" s="1"/>
  <c r="DE52" i="1"/>
  <c r="DC52" i="1"/>
  <c r="DA52" i="1"/>
  <c r="CY52" i="1"/>
  <c r="CW52" i="1"/>
  <c r="CU52" i="1"/>
  <c r="CS52" i="1"/>
  <c r="CQ52" i="1"/>
  <c r="CO52" i="1"/>
  <c r="CM52" i="1"/>
  <c r="CK52" i="1"/>
  <c r="CI52" i="1"/>
  <c r="CE52" i="1"/>
  <c r="CC52" i="1"/>
  <c r="CA52" i="1"/>
  <c r="BY52" i="1"/>
  <c r="BW52" i="1"/>
  <c r="BU52" i="1"/>
  <c r="BS52" i="1"/>
  <c r="BQ52" i="1"/>
  <c r="BO52" i="1"/>
  <c r="BM52" i="1"/>
  <c r="BK52" i="1"/>
  <c r="BI52" i="1"/>
  <c r="BE52" i="1"/>
  <c r="BC52" i="1"/>
  <c r="BA52" i="1"/>
  <c r="AY52" i="1"/>
  <c r="AW52" i="1"/>
  <c r="AU52" i="1"/>
  <c r="AS52" i="1"/>
  <c r="AQ52" i="1"/>
  <c r="AO52" i="1"/>
  <c r="AM52" i="1"/>
  <c r="AK52" i="1"/>
  <c r="AI52" i="1"/>
  <c r="AE52" i="1"/>
  <c r="AC52" i="1"/>
  <c r="AA52" i="1"/>
  <c r="Y52" i="1"/>
  <c r="W52" i="1"/>
  <c r="U52" i="1"/>
  <c r="S52" i="1"/>
  <c r="Q52" i="1"/>
  <c r="O52" i="1"/>
  <c r="M52" i="1"/>
  <c r="K52" i="1"/>
  <c r="I52" i="1"/>
  <c r="DF51" i="1"/>
  <c r="DG51" i="1" s="1"/>
  <c r="DE51" i="1"/>
  <c r="DC51" i="1"/>
  <c r="DA51" i="1"/>
  <c r="CY51" i="1"/>
  <c r="CW51" i="1"/>
  <c r="CU51" i="1"/>
  <c r="CS51" i="1"/>
  <c r="CQ51" i="1"/>
  <c r="CO51" i="1"/>
  <c r="CM51" i="1"/>
  <c r="CK51" i="1"/>
  <c r="CI51" i="1"/>
  <c r="CE51" i="1"/>
  <c r="CC51" i="1"/>
  <c r="CA51" i="1"/>
  <c r="BY51" i="1"/>
  <c r="BW51" i="1"/>
  <c r="BU51" i="1"/>
  <c r="BS51" i="1"/>
  <c r="BQ51" i="1"/>
  <c r="BO51" i="1"/>
  <c r="BM51" i="1"/>
  <c r="BK51" i="1"/>
  <c r="BI51" i="1"/>
  <c r="BE51" i="1"/>
  <c r="BC51" i="1"/>
  <c r="BA51" i="1"/>
  <c r="AY51" i="1"/>
  <c r="AW51" i="1"/>
  <c r="AU51" i="1"/>
  <c r="AS51" i="1"/>
  <c r="AQ51" i="1"/>
  <c r="AO51" i="1"/>
  <c r="AM51" i="1"/>
  <c r="AK51" i="1"/>
  <c r="AI51" i="1"/>
  <c r="AE51" i="1"/>
  <c r="AC51" i="1"/>
  <c r="AA51" i="1"/>
  <c r="Y51" i="1"/>
  <c r="W51" i="1"/>
  <c r="U51" i="1"/>
  <c r="S51" i="1"/>
  <c r="Q51" i="1"/>
  <c r="O51" i="1"/>
  <c r="M51" i="1"/>
  <c r="K51" i="1"/>
  <c r="I51" i="1"/>
  <c r="DF50" i="1"/>
  <c r="DG50" i="1" s="1"/>
  <c r="DE50" i="1"/>
  <c r="DC50" i="1"/>
  <c r="DA50" i="1"/>
  <c r="CY50" i="1"/>
  <c r="CW50" i="1"/>
  <c r="CU50" i="1"/>
  <c r="CS50" i="1"/>
  <c r="CQ50" i="1"/>
  <c r="CO50" i="1"/>
  <c r="CM50" i="1"/>
  <c r="CK50" i="1"/>
  <c r="CI50" i="1"/>
  <c r="CE50" i="1"/>
  <c r="CC50" i="1"/>
  <c r="CA50" i="1"/>
  <c r="BY50" i="1"/>
  <c r="BW50" i="1"/>
  <c r="BU50" i="1"/>
  <c r="BS50" i="1"/>
  <c r="BQ50" i="1"/>
  <c r="BO50" i="1"/>
  <c r="BM50" i="1"/>
  <c r="BK50" i="1"/>
  <c r="BI50" i="1"/>
  <c r="BE50" i="1"/>
  <c r="BC50" i="1"/>
  <c r="BA50" i="1"/>
  <c r="AY50" i="1"/>
  <c r="AW50" i="1"/>
  <c r="AU50" i="1"/>
  <c r="AS50" i="1"/>
  <c r="AQ50" i="1"/>
  <c r="AO50" i="1"/>
  <c r="AM50" i="1"/>
  <c r="AK50" i="1"/>
  <c r="AI50" i="1"/>
  <c r="AE50" i="1"/>
  <c r="AC50" i="1"/>
  <c r="AA50" i="1"/>
  <c r="Y50" i="1"/>
  <c r="W50" i="1"/>
  <c r="U50" i="1"/>
  <c r="S50" i="1"/>
  <c r="Q50" i="1"/>
  <c r="O50" i="1"/>
  <c r="M50" i="1"/>
  <c r="K50" i="1"/>
  <c r="I50" i="1"/>
  <c r="DF49" i="1"/>
  <c r="DG49" i="1" s="1"/>
  <c r="DE49" i="1"/>
  <c r="DC49" i="1"/>
  <c r="DA49" i="1"/>
  <c r="CY49" i="1"/>
  <c r="CW49" i="1"/>
  <c r="CU49" i="1"/>
  <c r="CS49" i="1"/>
  <c r="CQ49" i="1"/>
  <c r="CO49" i="1"/>
  <c r="CM49" i="1"/>
  <c r="CK49" i="1"/>
  <c r="CI49" i="1"/>
  <c r="CE49" i="1"/>
  <c r="CC49" i="1"/>
  <c r="CA49" i="1"/>
  <c r="BY49" i="1"/>
  <c r="BW49" i="1"/>
  <c r="BU49" i="1"/>
  <c r="BS49" i="1"/>
  <c r="BQ49" i="1"/>
  <c r="BO49" i="1"/>
  <c r="BM49" i="1"/>
  <c r="BK49" i="1"/>
  <c r="BI49" i="1"/>
  <c r="BE49" i="1"/>
  <c r="BC49" i="1"/>
  <c r="BA49" i="1"/>
  <c r="AY49" i="1"/>
  <c r="AW49" i="1"/>
  <c r="AU49" i="1"/>
  <c r="AS49" i="1"/>
  <c r="AQ49" i="1"/>
  <c r="AO49" i="1"/>
  <c r="AM49" i="1"/>
  <c r="AK49" i="1"/>
  <c r="AI49" i="1"/>
  <c r="AE49" i="1"/>
  <c r="AC49" i="1"/>
  <c r="AA49" i="1"/>
  <c r="Y49" i="1"/>
  <c r="W49" i="1"/>
  <c r="U49" i="1"/>
  <c r="S49" i="1"/>
  <c r="Q49" i="1"/>
  <c r="O49" i="1"/>
  <c r="M49" i="1"/>
  <c r="K49" i="1"/>
  <c r="I49" i="1"/>
  <c r="DF48" i="1"/>
  <c r="DG48" i="1" s="1"/>
  <c r="DE48" i="1"/>
  <c r="DC48" i="1"/>
  <c r="DA48" i="1"/>
  <c r="CY48" i="1"/>
  <c r="CW48" i="1"/>
  <c r="CU48" i="1"/>
  <c r="CS48" i="1"/>
  <c r="CQ48" i="1"/>
  <c r="CO48" i="1"/>
  <c r="CM48" i="1"/>
  <c r="CK48" i="1"/>
  <c r="CI48" i="1"/>
  <c r="CE48" i="1"/>
  <c r="CC48" i="1"/>
  <c r="CA48" i="1"/>
  <c r="BY48" i="1"/>
  <c r="BW48" i="1"/>
  <c r="BU48" i="1"/>
  <c r="BS48" i="1"/>
  <c r="BQ48" i="1"/>
  <c r="BO48" i="1"/>
  <c r="BM48" i="1"/>
  <c r="BK48" i="1"/>
  <c r="BI48" i="1"/>
  <c r="BE48" i="1"/>
  <c r="BC48" i="1"/>
  <c r="BA48" i="1"/>
  <c r="AY48" i="1"/>
  <c r="AW48" i="1"/>
  <c r="AU48" i="1"/>
  <c r="AS48" i="1"/>
  <c r="AQ48" i="1"/>
  <c r="AO48" i="1"/>
  <c r="AM48" i="1"/>
  <c r="AK48" i="1"/>
  <c r="AI48" i="1"/>
  <c r="AE48" i="1"/>
  <c r="AC48" i="1"/>
  <c r="AA48" i="1"/>
  <c r="Y48" i="1"/>
  <c r="W48" i="1"/>
  <c r="U48" i="1"/>
  <c r="S48" i="1"/>
  <c r="Q48" i="1"/>
  <c r="O48" i="1"/>
  <c r="M48" i="1"/>
  <c r="K48" i="1"/>
  <c r="I48" i="1"/>
  <c r="DF47" i="1"/>
  <c r="DG47" i="1" s="1"/>
  <c r="DE47" i="1"/>
  <c r="DC47" i="1"/>
  <c r="DA47" i="1"/>
  <c r="CY47" i="1"/>
  <c r="CW47" i="1"/>
  <c r="CU47" i="1"/>
  <c r="CS47" i="1"/>
  <c r="CQ47" i="1"/>
  <c r="CO47" i="1"/>
  <c r="CM47" i="1"/>
  <c r="CK47" i="1"/>
  <c r="CI47" i="1"/>
  <c r="CE47" i="1"/>
  <c r="CC47" i="1"/>
  <c r="CA47" i="1"/>
  <c r="BY47" i="1"/>
  <c r="BW47" i="1"/>
  <c r="BU47" i="1"/>
  <c r="BS47" i="1"/>
  <c r="BQ47" i="1"/>
  <c r="BO47" i="1"/>
  <c r="BM47" i="1"/>
  <c r="BK47" i="1"/>
  <c r="BI47" i="1"/>
  <c r="BE47" i="1"/>
  <c r="BC47" i="1"/>
  <c r="BA47" i="1"/>
  <c r="AY47" i="1"/>
  <c r="AW47" i="1"/>
  <c r="AU47" i="1"/>
  <c r="AS47" i="1"/>
  <c r="AQ47" i="1"/>
  <c r="AO47" i="1"/>
  <c r="AM47" i="1"/>
  <c r="AK47" i="1"/>
  <c r="AI47" i="1"/>
  <c r="AE47" i="1"/>
  <c r="AC47" i="1"/>
  <c r="AA47" i="1"/>
  <c r="Y47" i="1"/>
  <c r="W47" i="1"/>
  <c r="U47" i="1"/>
  <c r="S47" i="1"/>
  <c r="Q47" i="1"/>
  <c r="O47" i="1"/>
  <c r="M47" i="1"/>
  <c r="K47" i="1"/>
  <c r="I47" i="1"/>
  <c r="DF46" i="1"/>
  <c r="DG46" i="1" s="1"/>
  <c r="DE46" i="1"/>
  <c r="DC46" i="1"/>
  <c r="DA46" i="1"/>
  <c r="CY46" i="1"/>
  <c r="CW46" i="1"/>
  <c r="CU46" i="1"/>
  <c r="CS46" i="1"/>
  <c r="CQ46" i="1"/>
  <c r="CO46" i="1"/>
  <c r="CM46" i="1"/>
  <c r="CK46" i="1"/>
  <c r="CI46" i="1"/>
  <c r="CE46" i="1"/>
  <c r="CC46" i="1"/>
  <c r="CA46" i="1"/>
  <c r="BY46" i="1"/>
  <c r="BW46" i="1"/>
  <c r="BU46" i="1"/>
  <c r="BS46" i="1"/>
  <c r="BQ46" i="1"/>
  <c r="BO46" i="1"/>
  <c r="BM46" i="1"/>
  <c r="BK46" i="1"/>
  <c r="BI46" i="1"/>
  <c r="BE46" i="1"/>
  <c r="BC46" i="1"/>
  <c r="BA46" i="1"/>
  <c r="AY46" i="1"/>
  <c r="AW46" i="1"/>
  <c r="AU46" i="1"/>
  <c r="AS46" i="1"/>
  <c r="AQ46" i="1"/>
  <c r="AO46" i="1"/>
  <c r="AM46" i="1"/>
  <c r="AK46" i="1"/>
  <c r="AI46" i="1"/>
  <c r="AE46" i="1"/>
  <c r="AC46" i="1"/>
  <c r="AA46" i="1"/>
  <c r="Y46" i="1"/>
  <c r="W46" i="1"/>
  <c r="U46" i="1"/>
  <c r="S46" i="1"/>
  <c r="Q46" i="1"/>
  <c r="O46" i="1"/>
  <c r="M46" i="1"/>
  <c r="K46" i="1"/>
  <c r="I46" i="1"/>
  <c r="DF45" i="1"/>
  <c r="DG45" i="1" s="1"/>
  <c r="DE45" i="1"/>
  <c r="DC45" i="1"/>
  <c r="DA45" i="1"/>
  <c r="CY45" i="1"/>
  <c r="CW45" i="1"/>
  <c r="CU45" i="1"/>
  <c r="CS45" i="1"/>
  <c r="CQ45" i="1"/>
  <c r="CO45" i="1"/>
  <c r="CM45" i="1"/>
  <c r="CK45" i="1"/>
  <c r="CI45" i="1"/>
  <c r="CE45" i="1"/>
  <c r="CC45" i="1"/>
  <c r="CA45" i="1"/>
  <c r="BY45" i="1"/>
  <c r="BW45" i="1"/>
  <c r="BU45" i="1"/>
  <c r="BS45" i="1"/>
  <c r="BQ45" i="1"/>
  <c r="BO45" i="1"/>
  <c r="BM45" i="1"/>
  <c r="BK45" i="1"/>
  <c r="BI45" i="1"/>
  <c r="BE45" i="1"/>
  <c r="BC45" i="1"/>
  <c r="BA45" i="1"/>
  <c r="AY45" i="1"/>
  <c r="AW45" i="1"/>
  <c r="AU45" i="1"/>
  <c r="AS45" i="1"/>
  <c r="AQ45" i="1"/>
  <c r="AO45" i="1"/>
  <c r="AM45" i="1"/>
  <c r="AK45" i="1"/>
  <c r="AI45" i="1"/>
  <c r="AE45" i="1"/>
  <c r="AC45" i="1"/>
  <c r="AA45" i="1"/>
  <c r="Y45" i="1"/>
  <c r="W45" i="1"/>
  <c r="U45" i="1"/>
  <c r="S45" i="1"/>
  <c r="Q45" i="1"/>
  <c r="O45" i="1"/>
  <c r="M45" i="1"/>
  <c r="K45" i="1"/>
  <c r="I45" i="1"/>
  <c r="DF44" i="1"/>
  <c r="DG44" i="1" s="1"/>
  <c r="DE44" i="1"/>
  <c r="DC44" i="1"/>
  <c r="DA44" i="1"/>
  <c r="CY44" i="1"/>
  <c r="CW44" i="1"/>
  <c r="CU44" i="1"/>
  <c r="CS44" i="1"/>
  <c r="CQ44" i="1"/>
  <c r="CO44" i="1"/>
  <c r="CM44" i="1"/>
  <c r="CK44" i="1"/>
  <c r="CI44" i="1"/>
  <c r="CE44" i="1"/>
  <c r="CC44" i="1"/>
  <c r="CA44" i="1"/>
  <c r="BY44" i="1"/>
  <c r="BW44" i="1"/>
  <c r="BU44" i="1"/>
  <c r="BS44" i="1"/>
  <c r="BQ44" i="1"/>
  <c r="BO44" i="1"/>
  <c r="BM44" i="1"/>
  <c r="BK44" i="1"/>
  <c r="BI44" i="1"/>
  <c r="BE44" i="1"/>
  <c r="BC44" i="1"/>
  <c r="BA44" i="1"/>
  <c r="AY44" i="1"/>
  <c r="AW44" i="1"/>
  <c r="AU44" i="1"/>
  <c r="AS44" i="1"/>
  <c r="AQ44" i="1"/>
  <c r="AO44" i="1"/>
  <c r="AM44" i="1"/>
  <c r="AK44" i="1"/>
  <c r="AI44" i="1"/>
  <c r="AE44" i="1"/>
  <c r="AC44" i="1"/>
  <c r="AA44" i="1"/>
  <c r="Y44" i="1"/>
  <c r="W44" i="1"/>
  <c r="U44" i="1"/>
  <c r="S44" i="1"/>
  <c r="Q44" i="1"/>
  <c r="O44" i="1"/>
  <c r="M44" i="1"/>
  <c r="K44" i="1"/>
  <c r="I44" i="1"/>
  <c r="DF43" i="1"/>
  <c r="DG43" i="1" s="1"/>
  <c r="DE43" i="1"/>
  <c r="DC43" i="1"/>
  <c r="DA43" i="1"/>
  <c r="CY43" i="1"/>
  <c r="CW43" i="1"/>
  <c r="CU43" i="1"/>
  <c r="CS43" i="1"/>
  <c r="CQ43" i="1"/>
  <c r="CO43" i="1"/>
  <c r="CM43" i="1"/>
  <c r="CK43" i="1"/>
  <c r="CI43" i="1"/>
  <c r="CE43" i="1"/>
  <c r="CC43" i="1"/>
  <c r="CA43" i="1"/>
  <c r="BY43" i="1"/>
  <c r="BW43" i="1"/>
  <c r="BU43" i="1"/>
  <c r="BS43" i="1"/>
  <c r="BQ43" i="1"/>
  <c r="BO43" i="1"/>
  <c r="BM43" i="1"/>
  <c r="BK43" i="1"/>
  <c r="BI43" i="1"/>
  <c r="BE43" i="1"/>
  <c r="BC43" i="1"/>
  <c r="BA43" i="1"/>
  <c r="AY43" i="1"/>
  <c r="AW43" i="1"/>
  <c r="AU43" i="1"/>
  <c r="AS43" i="1"/>
  <c r="AQ43" i="1"/>
  <c r="AO43" i="1"/>
  <c r="AM43" i="1"/>
  <c r="AK43" i="1"/>
  <c r="AI43" i="1"/>
  <c r="AE43" i="1"/>
  <c r="AC43" i="1"/>
  <c r="AA43" i="1"/>
  <c r="Y43" i="1"/>
  <c r="W43" i="1"/>
  <c r="U43" i="1"/>
  <c r="S43" i="1"/>
  <c r="Q43" i="1"/>
  <c r="O43" i="1"/>
  <c r="M43" i="1"/>
  <c r="K43" i="1"/>
  <c r="I43" i="1"/>
  <c r="DF42" i="1"/>
  <c r="DG42" i="1" s="1"/>
  <c r="DE42" i="1"/>
  <c r="DC42" i="1"/>
  <c r="DA42" i="1"/>
  <c r="CY42" i="1"/>
  <c r="CW42" i="1"/>
  <c r="CU42" i="1"/>
  <c r="CS42" i="1"/>
  <c r="CQ42" i="1"/>
  <c r="CO42" i="1"/>
  <c r="CM42" i="1"/>
  <c r="CK42" i="1"/>
  <c r="CI42" i="1"/>
  <c r="CE42" i="1"/>
  <c r="CC42" i="1"/>
  <c r="CA42" i="1"/>
  <c r="BY42" i="1"/>
  <c r="BW42" i="1"/>
  <c r="BU42" i="1"/>
  <c r="BS42" i="1"/>
  <c r="BQ42" i="1"/>
  <c r="BO42" i="1"/>
  <c r="BM42" i="1"/>
  <c r="BK42" i="1"/>
  <c r="BI42" i="1"/>
  <c r="BE42" i="1"/>
  <c r="BC42" i="1"/>
  <c r="BA42" i="1"/>
  <c r="AY42" i="1"/>
  <c r="AW42" i="1"/>
  <c r="AU42" i="1"/>
  <c r="AS42" i="1"/>
  <c r="AQ42" i="1"/>
  <c r="AO42" i="1"/>
  <c r="AM42" i="1"/>
  <c r="AK42" i="1"/>
  <c r="AI42" i="1"/>
  <c r="AE42" i="1"/>
  <c r="AC42" i="1"/>
  <c r="AA42" i="1"/>
  <c r="Y42" i="1"/>
  <c r="W42" i="1"/>
  <c r="U42" i="1"/>
  <c r="S42" i="1"/>
  <c r="Q42" i="1"/>
  <c r="O42" i="1"/>
  <c r="M42" i="1"/>
  <c r="K42" i="1"/>
  <c r="I42" i="1"/>
  <c r="DF41" i="1"/>
  <c r="DG41" i="1" s="1"/>
  <c r="DE41" i="1"/>
  <c r="DC41" i="1"/>
  <c r="DA41" i="1"/>
  <c r="CY41" i="1"/>
  <c r="CW41" i="1"/>
  <c r="CU41" i="1"/>
  <c r="CS41" i="1"/>
  <c r="CQ41" i="1"/>
  <c r="CO41" i="1"/>
  <c r="CM41" i="1"/>
  <c r="CK41" i="1"/>
  <c r="CI41" i="1"/>
  <c r="CE41" i="1"/>
  <c r="CC41" i="1"/>
  <c r="CA41" i="1"/>
  <c r="BY41" i="1"/>
  <c r="BW41" i="1"/>
  <c r="BU41" i="1"/>
  <c r="BS41" i="1"/>
  <c r="BQ41" i="1"/>
  <c r="BO41" i="1"/>
  <c r="BM41" i="1"/>
  <c r="BK41" i="1"/>
  <c r="BI41" i="1"/>
  <c r="BE41" i="1"/>
  <c r="BC41" i="1"/>
  <c r="BA41" i="1"/>
  <c r="AY41" i="1"/>
  <c r="AW41" i="1"/>
  <c r="AU41" i="1"/>
  <c r="AS41" i="1"/>
  <c r="AQ41" i="1"/>
  <c r="AO41" i="1"/>
  <c r="AM41" i="1"/>
  <c r="AK41" i="1"/>
  <c r="AI41" i="1"/>
  <c r="AE41" i="1"/>
  <c r="AC41" i="1"/>
  <c r="AA41" i="1"/>
  <c r="Y41" i="1"/>
  <c r="W41" i="1"/>
  <c r="U41" i="1"/>
  <c r="S41" i="1"/>
  <c r="Q41" i="1"/>
  <c r="O41" i="1"/>
  <c r="M41" i="1"/>
  <c r="K41" i="1"/>
  <c r="I41" i="1"/>
  <c r="DF40" i="1"/>
  <c r="DG40" i="1" s="1"/>
  <c r="DE40" i="1"/>
  <c r="DC40" i="1"/>
  <c r="DA40" i="1"/>
  <c r="CY40" i="1"/>
  <c r="CW40" i="1"/>
  <c r="CU40" i="1"/>
  <c r="CS40" i="1"/>
  <c r="CQ40" i="1"/>
  <c r="CO40" i="1"/>
  <c r="CM40" i="1"/>
  <c r="CK40" i="1"/>
  <c r="CI40" i="1"/>
  <c r="CE40" i="1"/>
  <c r="CC40" i="1"/>
  <c r="CA40" i="1"/>
  <c r="BY40" i="1"/>
  <c r="BW40" i="1"/>
  <c r="BU40" i="1"/>
  <c r="BS40" i="1"/>
  <c r="BQ40" i="1"/>
  <c r="BO40" i="1"/>
  <c r="BM40" i="1"/>
  <c r="BK40" i="1"/>
  <c r="BI40" i="1"/>
  <c r="BE40" i="1"/>
  <c r="BC40" i="1"/>
  <c r="BA40" i="1"/>
  <c r="AY40" i="1"/>
  <c r="AW40" i="1"/>
  <c r="AU40" i="1"/>
  <c r="AS40" i="1"/>
  <c r="AQ40" i="1"/>
  <c r="AO40" i="1"/>
  <c r="AM40" i="1"/>
  <c r="AK40" i="1"/>
  <c r="AI40" i="1"/>
  <c r="AE40" i="1"/>
  <c r="AC40" i="1"/>
  <c r="AA40" i="1"/>
  <c r="Y40" i="1"/>
  <c r="W40" i="1"/>
  <c r="U40" i="1"/>
  <c r="S40" i="1"/>
  <c r="Q40" i="1"/>
  <c r="O40" i="1"/>
  <c r="M40" i="1"/>
  <c r="K40" i="1"/>
  <c r="I40" i="1"/>
  <c r="DF39" i="1"/>
  <c r="DG39" i="1" s="1"/>
  <c r="DE39" i="1"/>
  <c r="DC39" i="1"/>
  <c r="DA39" i="1"/>
  <c r="CY39" i="1"/>
  <c r="CW39" i="1"/>
  <c r="CU39" i="1"/>
  <c r="CS39" i="1"/>
  <c r="CQ39" i="1"/>
  <c r="CO39" i="1"/>
  <c r="CM39" i="1"/>
  <c r="CK39" i="1"/>
  <c r="CI39" i="1"/>
  <c r="CE39" i="1"/>
  <c r="CC39" i="1"/>
  <c r="CA39" i="1"/>
  <c r="BY39" i="1"/>
  <c r="BW39" i="1"/>
  <c r="BU39" i="1"/>
  <c r="BS39" i="1"/>
  <c r="BQ39" i="1"/>
  <c r="BO39" i="1"/>
  <c r="BM39" i="1"/>
  <c r="BK39" i="1"/>
  <c r="BI39" i="1"/>
  <c r="BE39" i="1"/>
  <c r="BC39" i="1"/>
  <c r="BA39" i="1"/>
  <c r="AY39" i="1"/>
  <c r="AW39" i="1"/>
  <c r="AU39" i="1"/>
  <c r="AS39" i="1"/>
  <c r="AQ39" i="1"/>
  <c r="AO39" i="1"/>
  <c r="AM39" i="1"/>
  <c r="AK39" i="1"/>
  <c r="AI39" i="1"/>
  <c r="AE39" i="1"/>
  <c r="AC39" i="1"/>
  <c r="AA39" i="1"/>
  <c r="Y39" i="1"/>
  <c r="W39" i="1"/>
  <c r="U39" i="1"/>
  <c r="S39" i="1"/>
  <c r="Q39" i="1"/>
  <c r="O39" i="1"/>
  <c r="M39" i="1"/>
  <c r="K39" i="1"/>
  <c r="I39" i="1"/>
  <c r="DF38" i="1"/>
  <c r="DG38" i="1" s="1"/>
  <c r="DE38" i="1"/>
  <c r="DC38" i="1"/>
  <c r="DA38" i="1"/>
  <c r="CY38" i="1"/>
  <c r="CW38" i="1"/>
  <c r="CU38" i="1"/>
  <c r="CS38" i="1"/>
  <c r="CQ38" i="1"/>
  <c r="CO38" i="1"/>
  <c r="CM38" i="1"/>
  <c r="CK38" i="1"/>
  <c r="CI38" i="1"/>
  <c r="CE38" i="1"/>
  <c r="CC38" i="1"/>
  <c r="CA38" i="1"/>
  <c r="BY38" i="1"/>
  <c r="BW38" i="1"/>
  <c r="BU38" i="1"/>
  <c r="BS38" i="1"/>
  <c r="BQ38" i="1"/>
  <c r="BO38" i="1"/>
  <c r="BM38" i="1"/>
  <c r="BK38" i="1"/>
  <c r="BI38" i="1"/>
  <c r="BE38" i="1"/>
  <c r="BC38" i="1"/>
  <c r="BA38" i="1"/>
  <c r="AY38" i="1"/>
  <c r="AW38" i="1"/>
  <c r="AU38" i="1"/>
  <c r="AS38" i="1"/>
  <c r="AQ38" i="1"/>
  <c r="AO38" i="1"/>
  <c r="AM38" i="1"/>
  <c r="AK38" i="1"/>
  <c r="AI38" i="1"/>
  <c r="AE38" i="1"/>
  <c r="AC38" i="1"/>
  <c r="AA38" i="1"/>
  <c r="Y38" i="1"/>
  <c r="W38" i="1"/>
  <c r="U38" i="1"/>
  <c r="S38" i="1"/>
  <c r="Q38" i="1"/>
  <c r="O38" i="1"/>
  <c r="M38" i="1"/>
  <c r="K38" i="1"/>
  <c r="I38" i="1"/>
  <c r="DF37" i="1"/>
  <c r="DG37" i="1" s="1"/>
  <c r="DE37" i="1"/>
  <c r="DC37" i="1"/>
  <c r="DA37" i="1"/>
  <c r="CY37" i="1"/>
  <c r="CW37" i="1"/>
  <c r="CU37" i="1"/>
  <c r="CS37" i="1"/>
  <c r="CQ37" i="1"/>
  <c r="CO37" i="1"/>
  <c r="CM37" i="1"/>
  <c r="CK37" i="1"/>
  <c r="CI37" i="1"/>
  <c r="CE37" i="1"/>
  <c r="CC37" i="1"/>
  <c r="CA37" i="1"/>
  <c r="BY37" i="1"/>
  <c r="BW37" i="1"/>
  <c r="BU37" i="1"/>
  <c r="BS37" i="1"/>
  <c r="BQ37" i="1"/>
  <c r="BO37" i="1"/>
  <c r="BM37" i="1"/>
  <c r="BK37" i="1"/>
  <c r="BI37" i="1"/>
  <c r="BE37" i="1"/>
  <c r="BC37" i="1"/>
  <c r="BA37" i="1"/>
  <c r="AY37" i="1"/>
  <c r="AW37" i="1"/>
  <c r="AU37" i="1"/>
  <c r="AS37" i="1"/>
  <c r="AQ37" i="1"/>
  <c r="AO37" i="1"/>
  <c r="AM37" i="1"/>
  <c r="AK37" i="1"/>
  <c r="AI37" i="1"/>
  <c r="AE37" i="1"/>
  <c r="AC37" i="1"/>
  <c r="AA37" i="1"/>
  <c r="Y37" i="1"/>
  <c r="W37" i="1"/>
  <c r="U37" i="1"/>
  <c r="S37" i="1"/>
  <c r="Q37" i="1"/>
  <c r="O37" i="1"/>
  <c r="M37" i="1"/>
  <c r="K37" i="1"/>
  <c r="I37" i="1"/>
  <c r="DF36" i="1"/>
  <c r="DG36" i="1" s="1"/>
  <c r="DE36" i="1"/>
  <c r="DC36" i="1"/>
  <c r="DA36" i="1"/>
  <c r="CY36" i="1"/>
  <c r="CW36" i="1"/>
  <c r="CU36" i="1"/>
  <c r="CS36" i="1"/>
  <c r="CQ36" i="1"/>
  <c r="CO36" i="1"/>
  <c r="CM36" i="1"/>
  <c r="CK36" i="1"/>
  <c r="CI36" i="1"/>
  <c r="CE36" i="1"/>
  <c r="CC36" i="1"/>
  <c r="CA36" i="1"/>
  <c r="BY36" i="1"/>
  <c r="BW36" i="1"/>
  <c r="BU36" i="1"/>
  <c r="BS36" i="1"/>
  <c r="BQ36" i="1"/>
  <c r="BO36" i="1"/>
  <c r="BM36" i="1"/>
  <c r="BK36" i="1"/>
  <c r="BI36" i="1"/>
  <c r="BE36" i="1"/>
  <c r="BC36" i="1"/>
  <c r="BA36" i="1"/>
  <c r="AY36" i="1"/>
  <c r="AW36" i="1"/>
  <c r="AU36" i="1"/>
  <c r="AS36" i="1"/>
  <c r="AQ36" i="1"/>
  <c r="AO36" i="1"/>
  <c r="AM36" i="1"/>
  <c r="AK36" i="1"/>
  <c r="AI36" i="1"/>
  <c r="AE36" i="1"/>
  <c r="AC36" i="1"/>
  <c r="AA36" i="1"/>
  <c r="Y36" i="1"/>
  <c r="W36" i="1"/>
  <c r="U36" i="1"/>
  <c r="S36" i="1"/>
  <c r="Q36" i="1"/>
  <c r="O36" i="1"/>
  <c r="M36" i="1"/>
  <c r="K36" i="1"/>
  <c r="I36" i="1"/>
  <c r="DF35" i="1"/>
  <c r="DG35" i="1" s="1"/>
  <c r="DE35" i="1"/>
  <c r="DC35" i="1"/>
  <c r="DA35" i="1"/>
  <c r="CY35" i="1"/>
  <c r="CW35" i="1"/>
  <c r="CU35" i="1"/>
  <c r="CS35" i="1"/>
  <c r="CQ35" i="1"/>
  <c r="CO35" i="1"/>
  <c r="CM35" i="1"/>
  <c r="CK35" i="1"/>
  <c r="CI35" i="1"/>
  <c r="CE35" i="1"/>
  <c r="CC35" i="1"/>
  <c r="CA35" i="1"/>
  <c r="BY35" i="1"/>
  <c r="BW35" i="1"/>
  <c r="BU35" i="1"/>
  <c r="BS35" i="1"/>
  <c r="BQ35" i="1"/>
  <c r="BO35" i="1"/>
  <c r="BM35" i="1"/>
  <c r="BK35" i="1"/>
  <c r="BI35" i="1"/>
  <c r="BE35" i="1"/>
  <c r="BC35" i="1"/>
  <c r="BA35" i="1"/>
  <c r="AY35" i="1"/>
  <c r="AW35" i="1"/>
  <c r="AU35" i="1"/>
  <c r="AS35" i="1"/>
  <c r="AQ35" i="1"/>
  <c r="AO35" i="1"/>
  <c r="AM35" i="1"/>
  <c r="AK35" i="1"/>
  <c r="AI35" i="1"/>
  <c r="AE35" i="1"/>
  <c r="AC35" i="1"/>
  <c r="AA35" i="1"/>
  <c r="Y35" i="1"/>
  <c r="W35" i="1"/>
  <c r="U35" i="1"/>
  <c r="S35" i="1"/>
  <c r="Q35" i="1"/>
  <c r="O35" i="1"/>
  <c r="M35" i="1"/>
  <c r="K35" i="1"/>
  <c r="I35" i="1"/>
  <c r="DF34" i="1"/>
  <c r="DG34" i="1" s="1"/>
  <c r="DE34" i="1"/>
  <c r="DC34" i="1"/>
  <c r="DA34" i="1"/>
  <c r="CY34" i="1"/>
  <c r="CW34" i="1"/>
  <c r="CU34" i="1"/>
  <c r="CS34" i="1"/>
  <c r="CQ34" i="1"/>
  <c r="CO34" i="1"/>
  <c r="CM34" i="1"/>
  <c r="CK34" i="1"/>
  <c r="CI34" i="1"/>
  <c r="CE34" i="1"/>
  <c r="CC34" i="1"/>
  <c r="CA34" i="1"/>
  <c r="BY34" i="1"/>
  <c r="BW34" i="1"/>
  <c r="BU34" i="1"/>
  <c r="BS34" i="1"/>
  <c r="BQ34" i="1"/>
  <c r="BO34" i="1"/>
  <c r="BM34" i="1"/>
  <c r="BK34" i="1"/>
  <c r="BI34" i="1"/>
  <c r="BE34" i="1"/>
  <c r="BC34" i="1"/>
  <c r="BA34" i="1"/>
  <c r="AY34" i="1"/>
  <c r="AW34" i="1"/>
  <c r="AU34" i="1"/>
  <c r="AS34" i="1"/>
  <c r="AQ34" i="1"/>
  <c r="AO34" i="1"/>
  <c r="AM34" i="1"/>
  <c r="AK34" i="1"/>
  <c r="AI34" i="1"/>
  <c r="AE34" i="1"/>
  <c r="AC34" i="1"/>
  <c r="AA34" i="1"/>
  <c r="Y34" i="1"/>
  <c r="W34" i="1"/>
  <c r="U34" i="1"/>
  <c r="S34" i="1"/>
  <c r="Q34" i="1"/>
  <c r="O34" i="1"/>
  <c r="M34" i="1"/>
  <c r="K34" i="1"/>
  <c r="I34" i="1"/>
  <c r="DF33" i="1"/>
  <c r="DG33" i="1" s="1"/>
  <c r="DE33" i="1"/>
  <c r="DC33" i="1"/>
  <c r="DA33" i="1"/>
  <c r="CY33" i="1"/>
  <c r="CW33" i="1"/>
  <c r="CU33" i="1"/>
  <c r="CS33" i="1"/>
  <c r="CQ33" i="1"/>
  <c r="CO33" i="1"/>
  <c r="CM33" i="1"/>
  <c r="CK33" i="1"/>
  <c r="CI33" i="1"/>
  <c r="CE33" i="1"/>
  <c r="CC33" i="1"/>
  <c r="CA33" i="1"/>
  <c r="BY33" i="1"/>
  <c r="BW33" i="1"/>
  <c r="BU33" i="1"/>
  <c r="BS33" i="1"/>
  <c r="BQ33" i="1"/>
  <c r="BO33" i="1"/>
  <c r="BM33" i="1"/>
  <c r="BK33" i="1"/>
  <c r="BI33" i="1"/>
  <c r="BE33" i="1"/>
  <c r="BC33" i="1"/>
  <c r="BA33" i="1"/>
  <c r="AY33" i="1"/>
  <c r="AW33" i="1"/>
  <c r="AU33" i="1"/>
  <c r="AS33" i="1"/>
  <c r="AQ33" i="1"/>
  <c r="AO33" i="1"/>
  <c r="AM33" i="1"/>
  <c r="AK33" i="1"/>
  <c r="AI33" i="1"/>
  <c r="AE33" i="1"/>
  <c r="AC33" i="1"/>
  <c r="AA33" i="1"/>
  <c r="Y33" i="1"/>
  <c r="W33" i="1"/>
  <c r="U33" i="1"/>
  <c r="S33" i="1"/>
  <c r="Q33" i="1"/>
  <c r="O33" i="1"/>
  <c r="M33" i="1"/>
  <c r="K33" i="1"/>
  <c r="I33" i="1"/>
  <c r="DF32" i="1"/>
  <c r="DG32" i="1" s="1"/>
  <c r="DE32" i="1"/>
  <c r="DC32" i="1"/>
  <c r="DA32" i="1"/>
  <c r="CY32" i="1"/>
  <c r="CW32" i="1"/>
  <c r="CU32" i="1"/>
  <c r="CS32" i="1"/>
  <c r="CQ32" i="1"/>
  <c r="CO32" i="1"/>
  <c r="CM32" i="1"/>
  <c r="CK32" i="1"/>
  <c r="CI32" i="1"/>
  <c r="CE32" i="1"/>
  <c r="CC32" i="1"/>
  <c r="CA32" i="1"/>
  <c r="BY32" i="1"/>
  <c r="BW32" i="1"/>
  <c r="BU32" i="1"/>
  <c r="BS32" i="1"/>
  <c r="BQ32" i="1"/>
  <c r="BO32" i="1"/>
  <c r="BM32" i="1"/>
  <c r="BK32" i="1"/>
  <c r="BI32" i="1"/>
  <c r="BE32" i="1"/>
  <c r="BC32" i="1"/>
  <c r="BA32" i="1"/>
  <c r="AY32" i="1"/>
  <c r="AW32" i="1"/>
  <c r="AU32" i="1"/>
  <c r="AS32" i="1"/>
  <c r="AQ32" i="1"/>
  <c r="AO32" i="1"/>
  <c r="AM32" i="1"/>
  <c r="AK32" i="1"/>
  <c r="AI32" i="1"/>
  <c r="AE32" i="1"/>
  <c r="AC32" i="1"/>
  <c r="AA32" i="1"/>
  <c r="Y32" i="1"/>
  <c r="W32" i="1"/>
  <c r="U32" i="1"/>
  <c r="S32" i="1"/>
  <c r="Q32" i="1"/>
  <c r="O32" i="1"/>
  <c r="M32" i="1"/>
  <c r="K32" i="1"/>
  <c r="I32" i="1"/>
  <c r="DF31" i="1"/>
  <c r="DG31" i="1" s="1"/>
  <c r="DE31" i="1"/>
  <c r="DC31" i="1"/>
  <c r="DA31" i="1"/>
  <c r="CY31" i="1"/>
  <c r="CW31" i="1"/>
  <c r="CU31" i="1"/>
  <c r="CS31" i="1"/>
  <c r="CQ31" i="1"/>
  <c r="CO31" i="1"/>
  <c r="CM31" i="1"/>
  <c r="CK31" i="1"/>
  <c r="CI31" i="1"/>
  <c r="CE31" i="1"/>
  <c r="CC31" i="1"/>
  <c r="CA31" i="1"/>
  <c r="BY31" i="1"/>
  <c r="BW31" i="1"/>
  <c r="BU31" i="1"/>
  <c r="BS31" i="1"/>
  <c r="BQ31" i="1"/>
  <c r="BO31" i="1"/>
  <c r="BM31" i="1"/>
  <c r="BK31" i="1"/>
  <c r="BI31" i="1"/>
  <c r="BE31" i="1"/>
  <c r="BC31" i="1"/>
  <c r="BA31" i="1"/>
  <c r="AY31" i="1"/>
  <c r="AW31" i="1"/>
  <c r="AU31" i="1"/>
  <c r="AS31" i="1"/>
  <c r="AQ31" i="1"/>
  <c r="AO31" i="1"/>
  <c r="AM31" i="1"/>
  <c r="AK31" i="1"/>
  <c r="AI31" i="1"/>
  <c r="AE31" i="1"/>
  <c r="AC31" i="1"/>
  <c r="AA31" i="1"/>
  <c r="Y31" i="1"/>
  <c r="W31" i="1"/>
  <c r="U31" i="1"/>
  <c r="S31" i="1"/>
  <c r="Q31" i="1"/>
  <c r="O31" i="1"/>
  <c r="M31" i="1"/>
  <c r="K31" i="1"/>
  <c r="I31" i="1"/>
  <c r="DF30" i="1"/>
  <c r="DG30" i="1" s="1"/>
  <c r="DE30" i="1"/>
  <c r="DC30" i="1"/>
  <c r="DA30" i="1"/>
  <c r="CY30" i="1"/>
  <c r="CW30" i="1"/>
  <c r="CU30" i="1"/>
  <c r="CS30" i="1"/>
  <c r="CQ30" i="1"/>
  <c r="CO30" i="1"/>
  <c r="CM30" i="1"/>
  <c r="CK30" i="1"/>
  <c r="CI30" i="1"/>
  <c r="CE30" i="1"/>
  <c r="CC30" i="1"/>
  <c r="CA30" i="1"/>
  <c r="BY30" i="1"/>
  <c r="BW30" i="1"/>
  <c r="BU30" i="1"/>
  <c r="BS30" i="1"/>
  <c r="BQ30" i="1"/>
  <c r="BO30" i="1"/>
  <c r="BM30" i="1"/>
  <c r="BK30" i="1"/>
  <c r="BI30" i="1"/>
  <c r="BE30" i="1"/>
  <c r="BC30" i="1"/>
  <c r="BA30" i="1"/>
  <c r="AY30" i="1"/>
  <c r="AW30" i="1"/>
  <c r="AU30" i="1"/>
  <c r="AS30" i="1"/>
  <c r="AQ30" i="1"/>
  <c r="AO30" i="1"/>
  <c r="AM30" i="1"/>
  <c r="AK30" i="1"/>
  <c r="AI30" i="1"/>
  <c r="AE30" i="1"/>
  <c r="AC30" i="1"/>
  <c r="AA30" i="1"/>
  <c r="Y30" i="1"/>
  <c r="W30" i="1"/>
  <c r="U30" i="1"/>
  <c r="S30" i="1"/>
  <c r="Q30" i="1"/>
  <c r="O30" i="1"/>
  <c r="M30" i="1"/>
  <c r="K30" i="1"/>
  <c r="I30" i="1"/>
  <c r="DF29" i="1"/>
  <c r="DE29" i="1"/>
  <c r="DC29" i="1"/>
  <c r="DA29" i="1"/>
  <c r="CY29" i="1"/>
  <c r="CW29" i="1"/>
  <c r="CU29" i="1"/>
  <c r="CS29" i="1"/>
  <c r="CQ29" i="1"/>
  <c r="CO29" i="1"/>
  <c r="CM29" i="1"/>
  <c r="CK29" i="1"/>
  <c r="CI29" i="1"/>
  <c r="CE29" i="1"/>
  <c r="CC29" i="1"/>
  <c r="CA29" i="1"/>
  <c r="BY29" i="1"/>
  <c r="BW29" i="1"/>
  <c r="BU29" i="1"/>
  <c r="BS29" i="1"/>
  <c r="BQ29" i="1"/>
  <c r="BO29" i="1"/>
  <c r="BM29" i="1"/>
  <c r="BK29" i="1"/>
  <c r="BI29" i="1"/>
  <c r="BE29" i="1"/>
  <c r="BC29" i="1"/>
  <c r="BA29" i="1"/>
  <c r="AY29" i="1"/>
  <c r="AW29" i="1"/>
  <c r="AU29" i="1"/>
  <c r="AS29" i="1"/>
  <c r="AQ29" i="1"/>
  <c r="AO29" i="1"/>
  <c r="AM29" i="1"/>
  <c r="AK29" i="1"/>
  <c r="AI29" i="1"/>
  <c r="AE29" i="1"/>
  <c r="AC29" i="1"/>
  <c r="AA29" i="1"/>
  <c r="Y29" i="1"/>
  <c r="W29" i="1"/>
  <c r="U29" i="1"/>
  <c r="S29" i="1"/>
  <c r="Q29" i="1"/>
  <c r="O29" i="1"/>
  <c r="M29" i="1"/>
  <c r="K29" i="1"/>
  <c r="I29" i="1"/>
  <c r="DF28" i="1"/>
  <c r="DE28" i="1"/>
  <c r="DC28" i="1"/>
  <c r="DA28" i="1"/>
  <c r="CY28" i="1"/>
  <c r="CW28" i="1"/>
  <c r="CU28" i="1"/>
  <c r="CS28" i="1"/>
  <c r="CQ28" i="1"/>
  <c r="CO28" i="1"/>
  <c r="CM28" i="1"/>
  <c r="CK28" i="1"/>
  <c r="CI28" i="1"/>
  <c r="CE28" i="1"/>
  <c r="CC28" i="1"/>
  <c r="CA28" i="1"/>
  <c r="BY28" i="1"/>
  <c r="BW28" i="1"/>
  <c r="BU28" i="1"/>
  <c r="BS28" i="1"/>
  <c r="BQ28" i="1"/>
  <c r="BO28" i="1"/>
  <c r="BM28" i="1"/>
  <c r="BK28" i="1"/>
  <c r="BI28" i="1"/>
  <c r="BE28" i="1"/>
  <c r="BC28" i="1"/>
  <c r="BA28" i="1"/>
  <c r="AY28" i="1"/>
  <c r="AW28" i="1"/>
  <c r="AU28" i="1"/>
  <c r="AS28" i="1"/>
  <c r="AQ28" i="1"/>
  <c r="AO28" i="1"/>
  <c r="AM28" i="1"/>
  <c r="AK28" i="1"/>
  <c r="AI28" i="1"/>
  <c r="AE28" i="1"/>
  <c r="AC28" i="1"/>
  <c r="AA28" i="1"/>
  <c r="Y28" i="1"/>
  <c r="W28" i="1"/>
  <c r="U28" i="1"/>
  <c r="S28" i="1"/>
  <c r="Q28" i="1"/>
  <c r="O28" i="1"/>
  <c r="M28" i="1"/>
  <c r="K28" i="1"/>
  <c r="I28" i="1"/>
  <c r="DF27" i="1"/>
  <c r="DE27" i="1"/>
  <c r="DC27" i="1"/>
  <c r="DA27" i="1"/>
  <c r="CY27" i="1"/>
  <c r="CW27" i="1"/>
  <c r="CU27" i="1"/>
  <c r="CS27" i="1"/>
  <c r="CQ27" i="1"/>
  <c r="CO27" i="1"/>
  <c r="CM27" i="1"/>
  <c r="CK27" i="1"/>
  <c r="CI27" i="1"/>
  <c r="CE27" i="1"/>
  <c r="CC27" i="1"/>
  <c r="CA27" i="1"/>
  <c r="BY27" i="1"/>
  <c r="BW27" i="1"/>
  <c r="BU27" i="1"/>
  <c r="BS27" i="1"/>
  <c r="BQ27" i="1"/>
  <c r="BO27" i="1"/>
  <c r="BM27" i="1"/>
  <c r="BK27" i="1"/>
  <c r="BI27" i="1"/>
  <c r="BE27" i="1"/>
  <c r="BC27" i="1"/>
  <c r="BA27" i="1"/>
  <c r="AY27" i="1"/>
  <c r="AW27" i="1"/>
  <c r="AU27" i="1"/>
  <c r="AS27" i="1"/>
  <c r="AQ27" i="1"/>
  <c r="AO27" i="1"/>
  <c r="AM27" i="1"/>
  <c r="AK27" i="1"/>
  <c r="AI27" i="1"/>
  <c r="AE27" i="1"/>
  <c r="AC27" i="1"/>
  <c r="AA27" i="1"/>
  <c r="Y27" i="1"/>
  <c r="W27" i="1"/>
  <c r="U27" i="1"/>
  <c r="S27" i="1"/>
  <c r="Q27" i="1"/>
  <c r="O27" i="1"/>
  <c r="M27" i="1"/>
  <c r="K27" i="1"/>
  <c r="I27" i="1"/>
  <c r="DF26" i="1"/>
  <c r="DE26" i="1"/>
  <c r="DC26" i="1"/>
  <c r="DA26" i="1"/>
  <c r="CY26" i="1"/>
  <c r="CW26" i="1"/>
  <c r="CU26" i="1"/>
  <c r="CS26" i="1"/>
  <c r="CQ26" i="1"/>
  <c r="CO26" i="1"/>
  <c r="CM26" i="1"/>
  <c r="CK26" i="1"/>
  <c r="CI26" i="1"/>
  <c r="CE26" i="1"/>
  <c r="CC26" i="1"/>
  <c r="CA26" i="1"/>
  <c r="BY26" i="1"/>
  <c r="BW26" i="1"/>
  <c r="BU26" i="1"/>
  <c r="BS26" i="1"/>
  <c r="BQ26" i="1"/>
  <c r="BO26" i="1"/>
  <c r="BM26" i="1"/>
  <c r="BK26" i="1"/>
  <c r="BI26" i="1"/>
  <c r="BE26" i="1"/>
  <c r="BC26" i="1"/>
  <c r="BA26" i="1"/>
  <c r="AY26" i="1"/>
  <c r="AW26" i="1"/>
  <c r="AU26" i="1"/>
  <c r="AS26" i="1"/>
  <c r="AQ26" i="1"/>
  <c r="AO26" i="1"/>
  <c r="AM26" i="1"/>
  <c r="AK26" i="1"/>
  <c r="AI26" i="1"/>
  <c r="AE26" i="1"/>
  <c r="AC26" i="1"/>
  <c r="AA26" i="1"/>
  <c r="Y26" i="1"/>
  <c r="W26" i="1"/>
  <c r="U26" i="1"/>
  <c r="S26" i="1"/>
  <c r="Q26" i="1"/>
  <c r="O26" i="1"/>
  <c r="M26" i="1"/>
  <c r="K26" i="1"/>
  <c r="I26" i="1"/>
  <c r="DF25" i="1"/>
  <c r="DG25" i="1" s="1"/>
  <c r="DE25" i="1"/>
  <c r="DC25" i="1"/>
  <c r="DA25" i="1"/>
  <c r="CY25" i="1"/>
  <c r="CW25" i="1"/>
  <c r="CU25" i="1"/>
  <c r="CS25" i="1"/>
  <c r="CQ25" i="1"/>
  <c r="CO25" i="1"/>
  <c r="CM25" i="1"/>
  <c r="CK25" i="1"/>
  <c r="CI25" i="1"/>
  <c r="CE25" i="1"/>
  <c r="CC25" i="1"/>
  <c r="CA25" i="1"/>
  <c r="BY25" i="1"/>
  <c r="BW25" i="1"/>
  <c r="BU25" i="1"/>
  <c r="BS25" i="1"/>
  <c r="BQ25" i="1"/>
  <c r="BO25" i="1"/>
  <c r="BM25" i="1"/>
  <c r="BK25" i="1"/>
  <c r="BI25" i="1"/>
  <c r="BE25" i="1"/>
  <c r="BC25" i="1"/>
  <c r="BA25" i="1"/>
  <c r="AY25" i="1"/>
  <c r="AW25" i="1"/>
  <c r="AU25" i="1"/>
  <c r="AS25" i="1"/>
  <c r="AQ25" i="1"/>
  <c r="AO25" i="1"/>
  <c r="AM25" i="1"/>
  <c r="AK25" i="1"/>
  <c r="AI25" i="1"/>
  <c r="AE25" i="1"/>
  <c r="AC25" i="1"/>
  <c r="AA25" i="1"/>
  <c r="Y25" i="1"/>
  <c r="W25" i="1"/>
  <c r="U25" i="1"/>
  <c r="S25" i="1"/>
  <c r="Q25" i="1"/>
  <c r="O25" i="1"/>
  <c r="M25" i="1"/>
  <c r="K25" i="1"/>
  <c r="I25" i="1"/>
  <c r="DF24" i="1"/>
  <c r="DG24" i="1" s="1"/>
  <c r="J33" i="6" s="1"/>
  <c r="DE24" i="1"/>
  <c r="DC24" i="1"/>
  <c r="DA24" i="1"/>
  <c r="CY24" i="1"/>
  <c r="CW24" i="1"/>
  <c r="CU24" i="1"/>
  <c r="CS24" i="1"/>
  <c r="CQ24" i="1"/>
  <c r="CO24" i="1"/>
  <c r="CM24" i="1"/>
  <c r="CK24" i="1"/>
  <c r="CI24" i="1"/>
  <c r="CE24" i="1"/>
  <c r="CC24" i="1"/>
  <c r="CA24" i="1"/>
  <c r="BY24" i="1"/>
  <c r="BW24" i="1"/>
  <c r="BU24" i="1"/>
  <c r="BS24" i="1"/>
  <c r="BQ24" i="1"/>
  <c r="BO24" i="1"/>
  <c r="BM24" i="1"/>
  <c r="BK24" i="1"/>
  <c r="BI24" i="1"/>
  <c r="BE24" i="1"/>
  <c r="BC24" i="1"/>
  <c r="BA24" i="1"/>
  <c r="AY24" i="1"/>
  <c r="AW24" i="1"/>
  <c r="AU24" i="1"/>
  <c r="AS24" i="1"/>
  <c r="AQ24" i="1"/>
  <c r="AO24" i="1"/>
  <c r="AM24" i="1"/>
  <c r="AK24" i="1"/>
  <c r="AI24" i="1"/>
  <c r="AE24" i="1"/>
  <c r="AC24" i="1"/>
  <c r="AA24" i="1"/>
  <c r="Y24" i="1"/>
  <c r="W24" i="1"/>
  <c r="U24" i="1"/>
  <c r="S24" i="1"/>
  <c r="Q24" i="1"/>
  <c r="O24" i="1"/>
  <c r="M24" i="1"/>
  <c r="K24" i="1"/>
  <c r="I24" i="1"/>
  <c r="DF23" i="1"/>
  <c r="DG23" i="1" s="1"/>
  <c r="J32" i="6" s="1"/>
  <c r="DE23" i="1"/>
  <c r="DC23" i="1"/>
  <c r="DA23" i="1"/>
  <c r="CY23" i="1"/>
  <c r="CW23" i="1"/>
  <c r="CU23" i="1"/>
  <c r="CS23" i="1"/>
  <c r="CQ23" i="1"/>
  <c r="CO23" i="1"/>
  <c r="CM23" i="1"/>
  <c r="CK23" i="1"/>
  <c r="CI23" i="1"/>
  <c r="CE23" i="1"/>
  <c r="CC23" i="1"/>
  <c r="CA23" i="1"/>
  <c r="BY23" i="1"/>
  <c r="BW23" i="1"/>
  <c r="BU23" i="1"/>
  <c r="BS23" i="1"/>
  <c r="BQ23" i="1"/>
  <c r="BO23" i="1"/>
  <c r="BM23" i="1"/>
  <c r="BK23" i="1"/>
  <c r="BI23" i="1"/>
  <c r="BE23" i="1"/>
  <c r="BC23" i="1"/>
  <c r="BA23" i="1"/>
  <c r="AY23" i="1"/>
  <c r="AW23" i="1"/>
  <c r="AU23" i="1"/>
  <c r="AS23" i="1"/>
  <c r="AQ23" i="1"/>
  <c r="AO23" i="1"/>
  <c r="AM23" i="1"/>
  <c r="AK23" i="1"/>
  <c r="AI23" i="1"/>
  <c r="AE23" i="1"/>
  <c r="AC23" i="1"/>
  <c r="AA23" i="1"/>
  <c r="Y23" i="1"/>
  <c r="W23" i="1"/>
  <c r="U23" i="1"/>
  <c r="S23" i="1"/>
  <c r="Q23" i="1"/>
  <c r="O23" i="1"/>
  <c r="M23" i="1"/>
  <c r="K23" i="1"/>
  <c r="I23" i="1"/>
  <c r="DF22" i="1"/>
  <c r="DG22" i="1" s="1"/>
  <c r="J31" i="6" s="1"/>
  <c r="DE22" i="1"/>
  <c r="DC22" i="1"/>
  <c r="DA22" i="1"/>
  <c r="CY22" i="1"/>
  <c r="CW22" i="1"/>
  <c r="CU22" i="1"/>
  <c r="CS22" i="1"/>
  <c r="CQ22" i="1"/>
  <c r="CO22" i="1"/>
  <c r="CM22" i="1"/>
  <c r="CK22" i="1"/>
  <c r="CI22" i="1"/>
  <c r="CE22" i="1"/>
  <c r="CC22" i="1"/>
  <c r="CA22" i="1"/>
  <c r="BY22" i="1"/>
  <c r="BW22" i="1"/>
  <c r="BU22" i="1"/>
  <c r="BS22" i="1"/>
  <c r="BQ22" i="1"/>
  <c r="BO22" i="1"/>
  <c r="BM22" i="1"/>
  <c r="BK22" i="1"/>
  <c r="BI22" i="1"/>
  <c r="BE22" i="1"/>
  <c r="BC22" i="1"/>
  <c r="BA22" i="1"/>
  <c r="AY22" i="1"/>
  <c r="AW22" i="1"/>
  <c r="AU22" i="1"/>
  <c r="AS22" i="1"/>
  <c r="AQ22" i="1"/>
  <c r="AO22" i="1"/>
  <c r="AM22" i="1"/>
  <c r="AK22" i="1"/>
  <c r="AI22" i="1"/>
  <c r="AE22" i="1"/>
  <c r="AC22" i="1"/>
  <c r="AA22" i="1"/>
  <c r="Y22" i="1"/>
  <c r="W22" i="1"/>
  <c r="U22" i="1"/>
  <c r="S22" i="1"/>
  <c r="Q22" i="1"/>
  <c r="O22" i="1"/>
  <c r="M22" i="1"/>
  <c r="K22" i="1"/>
  <c r="I22" i="1"/>
  <c r="DF21" i="1"/>
  <c r="DG21" i="1" s="1"/>
  <c r="J30" i="6" s="1"/>
  <c r="DE21" i="1"/>
  <c r="DC21" i="1"/>
  <c r="DA21" i="1"/>
  <c r="CY21" i="1"/>
  <c r="CW21" i="1"/>
  <c r="CU21" i="1"/>
  <c r="CS21" i="1"/>
  <c r="CQ21" i="1"/>
  <c r="CO21" i="1"/>
  <c r="CM21" i="1"/>
  <c r="CK21" i="1"/>
  <c r="CI21" i="1"/>
  <c r="CE21" i="1"/>
  <c r="CC21" i="1"/>
  <c r="CA21" i="1"/>
  <c r="BY21" i="1"/>
  <c r="BW21" i="1"/>
  <c r="BU21" i="1"/>
  <c r="BS21" i="1"/>
  <c r="BQ21" i="1"/>
  <c r="BO21" i="1"/>
  <c r="BM21" i="1"/>
  <c r="BK21" i="1"/>
  <c r="BI21" i="1"/>
  <c r="BE21" i="1"/>
  <c r="BC21" i="1"/>
  <c r="BA21" i="1"/>
  <c r="AY21" i="1"/>
  <c r="AW21" i="1"/>
  <c r="AU21" i="1"/>
  <c r="AS21" i="1"/>
  <c r="AQ21" i="1"/>
  <c r="AO21" i="1"/>
  <c r="AM21" i="1"/>
  <c r="AK21" i="1"/>
  <c r="AI21" i="1"/>
  <c r="AE21" i="1"/>
  <c r="AC21" i="1"/>
  <c r="AA21" i="1"/>
  <c r="Y21" i="1"/>
  <c r="W21" i="1"/>
  <c r="U21" i="1"/>
  <c r="S21" i="1"/>
  <c r="Q21" i="1"/>
  <c r="O21" i="1"/>
  <c r="M21" i="1"/>
  <c r="K21" i="1"/>
  <c r="I21" i="1"/>
  <c r="DF20" i="1"/>
  <c r="DG20" i="1" s="1"/>
  <c r="J29" i="6" s="1"/>
  <c r="DE20" i="1"/>
  <c r="DC20" i="1"/>
  <c r="DA20" i="1"/>
  <c r="CY20" i="1"/>
  <c r="CW20" i="1"/>
  <c r="CU20" i="1"/>
  <c r="CS20" i="1"/>
  <c r="CQ20" i="1"/>
  <c r="CO20" i="1"/>
  <c r="CM20" i="1"/>
  <c r="CK20" i="1"/>
  <c r="CI20" i="1"/>
  <c r="CE20" i="1"/>
  <c r="CC20" i="1"/>
  <c r="CA20" i="1"/>
  <c r="BY20" i="1"/>
  <c r="BW20" i="1"/>
  <c r="BU20" i="1"/>
  <c r="BS20" i="1"/>
  <c r="BQ20" i="1"/>
  <c r="BO20" i="1"/>
  <c r="BM20" i="1"/>
  <c r="BK20" i="1"/>
  <c r="BI20" i="1"/>
  <c r="BE20" i="1"/>
  <c r="BC20" i="1"/>
  <c r="BA20" i="1"/>
  <c r="AY20" i="1"/>
  <c r="AW20" i="1"/>
  <c r="AU20" i="1"/>
  <c r="AS20" i="1"/>
  <c r="AQ20" i="1"/>
  <c r="AO20" i="1"/>
  <c r="AM20" i="1"/>
  <c r="AK20" i="1"/>
  <c r="AI20" i="1"/>
  <c r="AE20" i="1"/>
  <c r="AC20" i="1"/>
  <c r="AA20" i="1"/>
  <c r="Y20" i="1"/>
  <c r="W20" i="1"/>
  <c r="U20" i="1"/>
  <c r="S20" i="1"/>
  <c r="Q20" i="1"/>
  <c r="O20" i="1"/>
  <c r="M20" i="1"/>
  <c r="K20" i="1"/>
  <c r="I20" i="1"/>
  <c r="DF19" i="1"/>
  <c r="DG19" i="1" s="1"/>
  <c r="J28" i="6" s="1"/>
  <c r="DE19" i="1"/>
  <c r="DC19" i="1"/>
  <c r="DA19" i="1"/>
  <c r="CY19" i="1"/>
  <c r="CW19" i="1"/>
  <c r="CU19" i="1"/>
  <c r="CS19" i="1"/>
  <c r="CQ19" i="1"/>
  <c r="CO19" i="1"/>
  <c r="CM19" i="1"/>
  <c r="CK19" i="1"/>
  <c r="CI19" i="1"/>
  <c r="CE19" i="1"/>
  <c r="CC19" i="1"/>
  <c r="CA19" i="1"/>
  <c r="BY19" i="1"/>
  <c r="BW19" i="1"/>
  <c r="BU19" i="1"/>
  <c r="BS19" i="1"/>
  <c r="BQ19" i="1"/>
  <c r="BO19" i="1"/>
  <c r="BM19" i="1"/>
  <c r="BK19" i="1"/>
  <c r="BI19" i="1"/>
  <c r="BE19" i="1"/>
  <c r="BC19" i="1"/>
  <c r="BA19" i="1"/>
  <c r="AY19" i="1"/>
  <c r="AW19" i="1"/>
  <c r="AU19" i="1"/>
  <c r="AS19" i="1"/>
  <c r="AQ19" i="1"/>
  <c r="AO19" i="1"/>
  <c r="AM19" i="1"/>
  <c r="AK19" i="1"/>
  <c r="AI19" i="1"/>
  <c r="AE19" i="1"/>
  <c r="AC19" i="1"/>
  <c r="AA19" i="1"/>
  <c r="Y19" i="1"/>
  <c r="W19" i="1"/>
  <c r="U19" i="1"/>
  <c r="S19" i="1"/>
  <c r="Q19" i="1"/>
  <c r="O19" i="1"/>
  <c r="M19" i="1"/>
  <c r="K19" i="1"/>
  <c r="I19" i="1"/>
  <c r="DF18" i="1"/>
  <c r="I27" i="6" s="1"/>
  <c r="DE18" i="1"/>
  <c r="DC18" i="1"/>
  <c r="DA18" i="1"/>
  <c r="CY18" i="1"/>
  <c r="CW18" i="1"/>
  <c r="CU18" i="1"/>
  <c r="CS18" i="1"/>
  <c r="CQ18" i="1"/>
  <c r="CO18" i="1"/>
  <c r="CM18" i="1"/>
  <c r="CK18" i="1"/>
  <c r="CI18" i="1"/>
  <c r="CE18" i="1"/>
  <c r="CC18" i="1"/>
  <c r="CA18" i="1"/>
  <c r="BY18" i="1"/>
  <c r="BW18" i="1"/>
  <c r="BU18" i="1"/>
  <c r="BS18" i="1"/>
  <c r="BQ18" i="1"/>
  <c r="BO18" i="1"/>
  <c r="BM18" i="1"/>
  <c r="BK18" i="1"/>
  <c r="BI18" i="1"/>
  <c r="BE18" i="1"/>
  <c r="BC18" i="1"/>
  <c r="BA18" i="1"/>
  <c r="AY18" i="1"/>
  <c r="AW18" i="1"/>
  <c r="AU18" i="1"/>
  <c r="AS18" i="1"/>
  <c r="AQ18" i="1"/>
  <c r="AO18" i="1"/>
  <c r="AM18" i="1"/>
  <c r="AK18" i="1"/>
  <c r="AI18" i="1"/>
  <c r="AE18" i="1"/>
  <c r="AC18" i="1"/>
  <c r="AA18" i="1"/>
  <c r="Y18" i="1"/>
  <c r="W18" i="1"/>
  <c r="U18" i="1"/>
  <c r="S18" i="1"/>
  <c r="Q18" i="1"/>
  <c r="O18" i="1"/>
  <c r="M18" i="1"/>
  <c r="K18" i="1"/>
  <c r="I18" i="1"/>
  <c r="DF17" i="1"/>
  <c r="DG17" i="1" s="1"/>
  <c r="J26" i="6" s="1"/>
  <c r="DE17" i="1"/>
  <c r="DC17" i="1"/>
  <c r="DA17" i="1"/>
  <c r="CY17" i="1"/>
  <c r="CW17" i="1"/>
  <c r="CU17" i="1"/>
  <c r="CS17" i="1"/>
  <c r="CQ17" i="1"/>
  <c r="CO17" i="1"/>
  <c r="CM17" i="1"/>
  <c r="CK17" i="1"/>
  <c r="CI17" i="1"/>
  <c r="CE17" i="1"/>
  <c r="CC17" i="1"/>
  <c r="CA17" i="1"/>
  <c r="BY17" i="1"/>
  <c r="BW17" i="1"/>
  <c r="BU17" i="1"/>
  <c r="BS17" i="1"/>
  <c r="BQ17" i="1"/>
  <c r="BO17" i="1"/>
  <c r="BM17" i="1"/>
  <c r="BK17" i="1"/>
  <c r="BI17" i="1"/>
  <c r="BE17" i="1"/>
  <c r="BC17" i="1"/>
  <c r="BA17" i="1"/>
  <c r="AY17" i="1"/>
  <c r="AW17" i="1"/>
  <c r="AU17" i="1"/>
  <c r="AS17" i="1"/>
  <c r="AQ17" i="1"/>
  <c r="AO17" i="1"/>
  <c r="AM17" i="1"/>
  <c r="AK17" i="1"/>
  <c r="AI17" i="1"/>
  <c r="AE17" i="1"/>
  <c r="AC17" i="1"/>
  <c r="AA17" i="1"/>
  <c r="Y17" i="1"/>
  <c r="W17" i="1"/>
  <c r="U17" i="1"/>
  <c r="S17" i="1"/>
  <c r="Q17" i="1"/>
  <c r="O17" i="1"/>
  <c r="M17" i="1"/>
  <c r="K17" i="1"/>
  <c r="I17" i="1"/>
  <c r="DF16" i="1"/>
  <c r="I25" i="6" s="1"/>
  <c r="DE16" i="1"/>
  <c r="DC16" i="1"/>
  <c r="DA16" i="1"/>
  <c r="CY16" i="1"/>
  <c r="CW16" i="1"/>
  <c r="CU16" i="1"/>
  <c r="CS16" i="1"/>
  <c r="CQ16" i="1"/>
  <c r="CO16" i="1"/>
  <c r="CM16" i="1"/>
  <c r="CK16" i="1"/>
  <c r="CI16" i="1"/>
  <c r="CE16" i="1"/>
  <c r="CC16" i="1"/>
  <c r="CA16" i="1"/>
  <c r="BY16" i="1"/>
  <c r="BW16" i="1"/>
  <c r="BU16" i="1"/>
  <c r="BS16" i="1"/>
  <c r="BQ16" i="1"/>
  <c r="BO16" i="1"/>
  <c r="BM16" i="1"/>
  <c r="BK16" i="1"/>
  <c r="BI16" i="1"/>
  <c r="BE16" i="1"/>
  <c r="BC16" i="1"/>
  <c r="BA16" i="1"/>
  <c r="AY16" i="1"/>
  <c r="AW16" i="1"/>
  <c r="AU16" i="1"/>
  <c r="AS16" i="1"/>
  <c r="AQ16" i="1"/>
  <c r="AO16" i="1"/>
  <c r="AM16" i="1"/>
  <c r="AK16" i="1"/>
  <c r="AI16" i="1"/>
  <c r="AE16" i="1"/>
  <c r="AC16" i="1"/>
  <c r="AA16" i="1"/>
  <c r="Y16" i="1"/>
  <c r="W16" i="1"/>
  <c r="U16" i="1"/>
  <c r="S16" i="1"/>
  <c r="Q16" i="1"/>
  <c r="O16" i="1"/>
  <c r="M16" i="1"/>
  <c r="K16" i="1"/>
  <c r="I16" i="1"/>
  <c r="DF15" i="1"/>
  <c r="DG15" i="1" s="1"/>
  <c r="DE15" i="1"/>
  <c r="DC15" i="1"/>
  <c r="DA15" i="1"/>
  <c r="CY15" i="1"/>
  <c r="CW15" i="1"/>
  <c r="CU15" i="1"/>
  <c r="CS15" i="1"/>
  <c r="CQ15" i="1"/>
  <c r="CO15" i="1"/>
  <c r="CM15" i="1"/>
  <c r="CK15" i="1"/>
  <c r="CI15" i="1"/>
  <c r="CE15" i="1"/>
  <c r="CC15" i="1"/>
  <c r="CA15" i="1"/>
  <c r="BY15" i="1"/>
  <c r="BW15" i="1"/>
  <c r="BU15" i="1"/>
  <c r="BS15" i="1"/>
  <c r="BQ15" i="1"/>
  <c r="BO15" i="1"/>
  <c r="BM15" i="1"/>
  <c r="BK15" i="1"/>
  <c r="BI15" i="1"/>
  <c r="BE15" i="1"/>
  <c r="BC15" i="1"/>
  <c r="BA15" i="1"/>
  <c r="AY15" i="1"/>
  <c r="AW15" i="1"/>
  <c r="AU15" i="1"/>
  <c r="AS15" i="1"/>
  <c r="AQ15" i="1"/>
  <c r="AO15" i="1"/>
  <c r="AM15" i="1"/>
  <c r="AK15" i="1"/>
  <c r="AI15" i="1"/>
  <c r="AE15" i="1"/>
  <c r="AC15" i="1"/>
  <c r="AA15" i="1"/>
  <c r="Y15" i="1"/>
  <c r="W15" i="1"/>
  <c r="U15" i="1"/>
  <c r="S15" i="1"/>
  <c r="Q15" i="1"/>
  <c r="O15" i="1"/>
  <c r="M15" i="1"/>
  <c r="K15" i="1"/>
  <c r="I15" i="1"/>
  <c r="DF14" i="1"/>
  <c r="DG14" i="1" s="1"/>
  <c r="DE14" i="1"/>
  <c r="DC14" i="1"/>
  <c r="DA14" i="1"/>
  <c r="CY14" i="1"/>
  <c r="CW14" i="1"/>
  <c r="CU14" i="1"/>
  <c r="CS14" i="1"/>
  <c r="CQ14" i="1"/>
  <c r="CO14" i="1"/>
  <c r="CM14" i="1"/>
  <c r="CK14" i="1"/>
  <c r="CI14" i="1"/>
  <c r="CE14" i="1"/>
  <c r="CC14" i="1"/>
  <c r="CA14" i="1"/>
  <c r="BY14" i="1"/>
  <c r="BW14" i="1"/>
  <c r="BU14" i="1"/>
  <c r="BS14" i="1"/>
  <c r="BQ14" i="1"/>
  <c r="BO14" i="1"/>
  <c r="BM14" i="1"/>
  <c r="BK14" i="1"/>
  <c r="BI14" i="1"/>
  <c r="BE14" i="1"/>
  <c r="BC14" i="1"/>
  <c r="BA14" i="1"/>
  <c r="AY14" i="1"/>
  <c r="AW14" i="1"/>
  <c r="AU14" i="1"/>
  <c r="AS14" i="1"/>
  <c r="AQ14" i="1"/>
  <c r="AO14" i="1"/>
  <c r="AM14" i="1"/>
  <c r="AK14" i="1"/>
  <c r="AI14" i="1"/>
  <c r="AE14" i="1"/>
  <c r="AC14" i="1"/>
  <c r="AA14" i="1"/>
  <c r="Y14" i="1"/>
  <c r="W14" i="1"/>
  <c r="U14" i="1"/>
  <c r="S14" i="1"/>
  <c r="Q14" i="1"/>
  <c r="O14" i="1"/>
  <c r="M14" i="1"/>
  <c r="K14" i="1"/>
  <c r="I14" i="1"/>
  <c r="D14" i="1"/>
  <c r="DF13" i="1"/>
  <c r="DG13" i="1" s="1"/>
  <c r="DE13" i="1"/>
  <c r="DC13" i="1"/>
  <c r="DA13" i="1"/>
  <c r="CY13" i="1"/>
  <c r="CW13" i="1"/>
  <c r="CU13" i="1"/>
  <c r="CS13" i="1"/>
  <c r="CQ13" i="1"/>
  <c r="CO13" i="1"/>
  <c r="CM13" i="1"/>
  <c r="CK13" i="1"/>
  <c r="CI13" i="1"/>
  <c r="CE13" i="1"/>
  <c r="CC13" i="1"/>
  <c r="CA13" i="1"/>
  <c r="BY13" i="1"/>
  <c r="BW13" i="1"/>
  <c r="BU13" i="1"/>
  <c r="BS13" i="1"/>
  <c r="BP142" i="1"/>
  <c r="BO13" i="1"/>
  <c r="BM13" i="1"/>
  <c r="BK13" i="1"/>
  <c r="BI13" i="1"/>
  <c r="BE13" i="1"/>
  <c r="BC13" i="1"/>
  <c r="BA13" i="1"/>
  <c r="AY13" i="1"/>
  <c r="AW13" i="1"/>
  <c r="AU13" i="1"/>
  <c r="AS13" i="1"/>
  <c r="AQ13" i="1"/>
  <c r="AO13" i="1"/>
  <c r="AM13" i="1"/>
  <c r="AK13" i="1"/>
  <c r="AI13" i="1"/>
  <c r="AE13" i="1"/>
  <c r="AC13" i="1"/>
  <c r="AA13" i="1"/>
  <c r="Y13" i="1"/>
  <c r="W13" i="1"/>
  <c r="U13" i="1"/>
  <c r="S13" i="1"/>
  <c r="Q13" i="1"/>
  <c r="O13" i="1"/>
  <c r="M13" i="1"/>
  <c r="K13" i="1"/>
  <c r="I13" i="1"/>
  <c r="D13" i="1"/>
  <c r="DF12" i="1"/>
  <c r="DG12" i="1" s="1"/>
  <c r="DE12" i="1"/>
  <c r="DC12" i="1"/>
  <c r="DA12" i="1"/>
  <c r="CY12" i="1"/>
  <c r="CW12" i="1"/>
  <c r="CU12" i="1"/>
  <c r="CS12" i="1"/>
  <c r="CQ12" i="1"/>
  <c r="CO12" i="1"/>
  <c r="CM12" i="1"/>
  <c r="CK12" i="1"/>
  <c r="CI12" i="1"/>
  <c r="CE12" i="1"/>
  <c r="CC12" i="1"/>
  <c r="CA12" i="1"/>
  <c r="BY12" i="1"/>
  <c r="BW12" i="1"/>
  <c r="BU12" i="1"/>
  <c r="BS12" i="1"/>
  <c r="BQ12" i="1"/>
  <c r="BO12" i="1"/>
  <c r="BM12" i="1"/>
  <c r="BK12" i="1"/>
  <c r="BI12" i="1"/>
  <c r="BE12" i="1"/>
  <c r="BC12" i="1"/>
  <c r="BA12" i="1"/>
  <c r="AY12" i="1"/>
  <c r="AW12" i="1"/>
  <c r="AU12" i="1"/>
  <c r="AS12" i="1"/>
  <c r="AQ12" i="1"/>
  <c r="AO12" i="1"/>
  <c r="AM12" i="1"/>
  <c r="AK12" i="1"/>
  <c r="AI12" i="1"/>
  <c r="AE12" i="1"/>
  <c r="AB12" i="1"/>
  <c r="AB142" i="1" s="1"/>
  <c r="AA12" i="1"/>
  <c r="Y12" i="1"/>
  <c r="W12" i="1"/>
  <c r="T12" i="1"/>
  <c r="T142" i="1" s="1"/>
  <c r="R12" i="1"/>
  <c r="R142" i="1" s="1"/>
  <c r="C9" i="6" s="1"/>
  <c r="Q12" i="1"/>
  <c r="O12" i="1"/>
  <c r="M12" i="1"/>
  <c r="K12" i="1"/>
  <c r="H12" i="1"/>
  <c r="H142" i="1" s="1"/>
  <c r="C4" i="6" s="1"/>
  <c r="D12" i="1"/>
  <c r="DF11" i="1"/>
  <c r="DG11" i="1" s="1"/>
  <c r="DE11" i="1"/>
  <c r="DC11" i="1"/>
  <c r="DA11" i="1"/>
  <c r="CY11" i="1"/>
  <c r="CW11" i="1"/>
  <c r="CU11" i="1"/>
  <c r="CS11" i="1"/>
  <c r="CQ11" i="1"/>
  <c r="CO11" i="1"/>
  <c r="CM11" i="1"/>
  <c r="CK11" i="1"/>
  <c r="CI11" i="1"/>
  <c r="CE11" i="1"/>
  <c r="CC11" i="1"/>
  <c r="CA11" i="1"/>
  <c r="BY11" i="1"/>
  <c r="BW11" i="1"/>
  <c r="BU11" i="1"/>
  <c r="BS11" i="1"/>
  <c r="BQ11" i="1"/>
  <c r="BO11" i="1"/>
  <c r="BM11" i="1"/>
  <c r="BK11" i="1"/>
  <c r="BI11" i="1"/>
  <c r="BE11" i="1"/>
  <c r="BC11" i="1"/>
  <c r="BA11" i="1"/>
  <c r="AY11" i="1"/>
  <c r="AW11" i="1"/>
  <c r="AU11" i="1"/>
  <c r="AS11" i="1"/>
  <c r="AQ11" i="1"/>
  <c r="AO11" i="1"/>
  <c r="AM11" i="1"/>
  <c r="AK11" i="1"/>
  <c r="AI11" i="1"/>
  <c r="AE11" i="1"/>
  <c r="AC11" i="1"/>
  <c r="AA11" i="1"/>
  <c r="Y11" i="1"/>
  <c r="W11" i="1"/>
  <c r="U11" i="1"/>
  <c r="S11" i="1"/>
  <c r="Q11" i="1"/>
  <c r="O11" i="1"/>
  <c r="M11" i="1"/>
  <c r="J11" i="1"/>
  <c r="J142" i="1" s="1"/>
  <c r="C5" i="6" s="1"/>
  <c r="I11" i="1"/>
  <c r="D11" i="1"/>
  <c r="DF10" i="1"/>
  <c r="DG10" i="1" s="1"/>
  <c r="DE10" i="1"/>
  <c r="DC10" i="1"/>
  <c r="DA10" i="1"/>
  <c r="CY10" i="1"/>
  <c r="CW10" i="1"/>
  <c r="CU10" i="1"/>
  <c r="CS10" i="1"/>
  <c r="CQ10" i="1"/>
  <c r="CO10" i="1"/>
  <c r="CM10" i="1"/>
  <c r="CK10" i="1"/>
  <c r="CI10" i="1"/>
  <c r="CE10" i="1"/>
  <c r="CC10" i="1"/>
  <c r="CA10" i="1"/>
  <c r="BY10" i="1"/>
  <c r="BW10" i="1"/>
  <c r="BU10" i="1"/>
  <c r="BS10" i="1"/>
  <c r="BQ10" i="1"/>
  <c r="BO10" i="1"/>
  <c r="BM10" i="1"/>
  <c r="BK10" i="1"/>
  <c r="BI10" i="1"/>
  <c r="BE10" i="1"/>
  <c r="BC10" i="1"/>
  <c r="BA10" i="1"/>
  <c r="AY10" i="1"/>
  <c r="AW10" i="1"/>
  <c r="AU10" i="1"/>
  <c r="AS10" i="1"/>
  <c r="AQ10" i="1"/>
  <c r="AO10" i="1"/>
  <c r="AM10" i="1"/>
  <c r="AK10" i="1"/>
  <c r="AI10" i="1"/>
  <c r="AE10" i="1"/>
  <c r="AC10" i="1"/>
  <c r="AA10" i="1"/>
  <c r="Y10" i="1"/>
  <c r="W10" i="1"/>
  <c r="U10" i="1"/>
  <c r="S10" i="1"/>
  <c r="Q10" i="1"/>
  <c r="O10" i="1"/>
  <c r="M10" i="1"/>
  <c r="K10" i="1"/>
  <c r="I10" i="1"/>
  <c r="DF9" i="1"/>
  <c r="DG9" i="1" s="1"/>
  <c r="DE9" i="1"/>
  <c r="DC9" i="1"/>
  <c r="DA9" i="1"/>
  <c r="CY9" i="1"/>
  <c r="CW9" i="1"/>
  <c r="CU9" i="1"/>
  <c r="CS9" i="1"/>
  <c r="CQ9" i="1"/>
  <c r="CO9" i="1"/>
  <c r="CM9" i="1"/>
  <c r="CK9" i="1"/>
  <c r="CI9" i="1"/>
  <c r="CE9" i="1"/>
  <c r="CC9" i="1"/>
  <c r="CA9" i="1"/>
  <c r="BY9" i="1"/>
  <c r="BW9" i="1"/>
  <c r="BU9" i="1"/>
  <c r="BS9" i="1"/>
  <c r="BQ9" i="1"/>
  <c r="BO9" i="1"/>
  <c r="BM9" i="1"/>
  <c r="BK9" i="1"/>
  <c r="BI9" i="1"/>
  <c r="BE9" i="1"/>
  <c r="BC9" i="1"/>
  <c r="BA9" i="1"/>
  <c r="AY9" i="1"/>
  <c r="AW9" i="1"/>
  <c r="AU9" i="1"/>
  <c r="AS9" i="1"/>
  <c r="AQ9" i="1"/>
  <c r="AO9" i="1"/>
  <c r="AM9" i="1"/>
  <c r="AK9" i="1"/>
  <c r="AI9" i="1"/>
  <c r="AE9" i="1"/>
  <c r="AC9" i="1"/>
  <c r="AA9" i="1"/>
  <c r="Y9" i="1"/>
  <c r="W9" i="1"/>
  <c r="U9" i="1"/>
  <c r="S9" i="1"/>
  <c r="Q9" i="1"/>
  <c r="O9" i="1"/>
  <c r="M9" i="1"/>
  <c r="K9" i="1"/>
  <c r="I9" i="1"/>
  <c r="DF8" i="1"/>
  <c r="DE8" i="1"/>
  <c r="DC8" i="1"/>
  <c r="DA8" i="1"/>
  <c r="CY8" i="1"/>
  <c r="CW8" i="1"/>
  <c r="CU8" i="1"/>
  <c r="CS8" i="1"/>
  <c r="CQ8" i="1"/>
  <c r="CO8" i="1"/>
  <c r="CM8" i="1"/>
  <c r="CK8" i="1"/>
  <c r="CI8" i="1"/>
  <c r="CE8" i="1"/>
  <c r="CC8" i="1"/>
  <c r="CA8" i="1"/>
  <c r="BY8" i="1"/>
  <c r="BW8" i="1"/>
  <c r="BU8" i="1"/>
  <c r="BS8" i="1"/>
  <c r="BQ8" i="1"/>
  <c r="BO8" i="1"/>
  <c r="BM8" i="1"/>
  <c r="BK8" i="1"/>
  <c r="BI8" i="1"/>
  <c r="BE8" i="1"/>
  <c r="BC8" i="1"/>
  <c r="BA8" i="1"/>
  <c r="AY8" i="1"/>
  <c r="AW8" i="1"/>
  <c r="AU8" i="1"/>
  <c r="AS8" i="1"/>
  <c r="AQ8" i="1"/>
  <c r="AO8" i="1"/>
  <c r="AM8" i="1"/>
  <c r="AK8" i="1"/>
  <c r="AI8" i="1"/>
  <c r="AE8" i="1"/>
  <c r="AC8" i="1"/>
  <c r="AA8" i="1"/>
  <c r="Y8" i="1"/>
  <c r="W8" i="1"/>
  <c r="U8" i="1"/>
  <c r="S8" i="1"/>
  <c r="Q8" i="1"/>
  <c r="O8" i="1"/>
  <c r="M8" i="1"/>
  <c r="K8" i="1"/>
  <c r="I8" i="1"/>
  <c r="DF7" i="1"/>
  <c r="DG7" i="1" s="1"/>
  <c r="DE7" i="1"/>
  <c r="DC7" i="1"/>
  <c r="DA7" i="1"/>
  <c r="CY7" i="1"/>
  <c r="CW7" i="1"/>
  <c r="CU7" i="1"/>
  <c r="CS7" i="1"/>
  <c r="CQ7" i="1"/>
  <c r="CO7" i="1"/>
  <c r="CM7" i="1"/>
  <c r="CK7" i="1"/>
  <c r="CI7" i="1"/>
  <c r="CE7" i="1"/>
  <c r="CC7" i="1"/>
  <c r="CA7" i="1"/>
  <c r="BY7" i="1"/>
  <c r="BW7" i="1"/>
  <c r="BU7" i="1"/>
  <c r="BS7" i="1"/>
  <c r="BQ7" i="1"/>
  <c r="BO7" i="1"/>
  <c r="BM7" i="1"/>
  <c r="BK7" i="1"/>
  <c r="BI7" i="1"/>
  <c r="BE7" i="1"/>
  <c r="BC7" i="1"/>
  <c r="BA7" i="1"/>
  <c r="AY7" i="1"/>
  <c r="AW7" i="1"/>
  <c r="AU7" i="1"/>
  <c r="AS7" i="1"/>
  <c r="AQ7" i="1"/>
  <c r="AO7" i="1"/>
  <c r="AM7" i="1"/>
  <c r="AK7" i="1"/>
  <c r="AI7" i="1"/>
  <c r="AE7" i="1"/>
  <c r="AC7" i="1"/>
  <c r="AA7" i="1"/>
  <c r="Y7" i="1"/>
  <c r="W7" i="1"/>
  <c r="U7" i="1"/>
  <c r="S7" i="1"/>
  <c r="Q7" i="1"/>
  <c r="O7" i="1"/>
  <c r="M7" i="1"/>
  <c r="K7" i="1"/>
  <c r="I7" i="1"/>
  <c r="DF6" i="1"/>
  <c r="DG6" i="1" s="1"/>
  <c r="DE6" i="1"/>
  <c r="DC6" i="1"/>
  <c r="DA6" i="1"/>
  <c r="CY6" i="1"/>
  <c r="CW6" i="1"/>
  <c r="CU6" i="1"/>
  <c r="CS6" i="1"/>
  <c r="CQ6" i="1"/>
  <c r="CO6" i="1"/>
  <c r="CM6" i="1"/>
  <c r="CK6" i="1"/>
  <c r="CI6" i="1"/>
  <c r="CE6" i="1"/>
  <c r="CC6" i="1"/>
  <c r="CA6" i="1"/>
  <c r="BY6" i="1"/>
  <c r="BW6" i="1"/>
  <c r="BU6" i="1"/>
  <c r="BS6" i="1"/>
  <c r="BQ6" i="1"/>
  <c r="BO6" i="1"/>
  <c r="BM6" i="1"/>
  <c r="BK6" i="1"/>
  <c r="BI6" i="1"/>
  <c r="BE6" i="1"/>
  <c r="BC6" i="1"/>
  <c r="BA6" i="1"/>
  <c r="AY6" i="1"/>
  <c r="AW6" i="1"/>
  <c r="AU6" i="1"/>
  <c r="AS6" i="1"/>
  <c r="AQ6" i="1"/>
  <c r="AO6" i="1"/>
  <c r="AM6" i="1"/>
  <c r="AK6" i="1"/>
  <c r="AI6" i="1"/>
  <c r="AE6" i="1"/>
  <c r="AC6" i="1"/>
  <c r="AA6" i="1"/>
  <c r="Y6" i="1"/>
  <c r="W6" i="1"/>
  <c r="U6" i="1"/>
  <c r="S6" i="1"/>
  <c r="Q6" i="1"/>
  <c r="O6" i="1"/>
  <c r="M6" i="1"/>
  <c r="K6" i="1"/>
  <c r="I6" i="1"/>
  <c r="DF5" i="1"/>
  <c r="DG5" i="1" s="1"/>
  <c r="DE5" i="1"/>
  <c r="DC5" i="1"/>
  <c r="DA5" i="1"/>
  <c r="CY5" i="1"/>
  <c r="CW5" i="1"/>
  <c r="CU5" i="1"/>
  <c r="CS5" i="1"/>
  <c r="CQ5" i="1"/>
  <c r="CO5" i="1"/>
  <c r="CM5" i="1"/>
  <c r="CK5" i="1"/>
  <c r="CI5" i="1"/>
  <c r="CE5" i="1"/>
  <c r="CC5" i="1"/>
  <c r="CA5" i="1"/>
  <c r="BY5" i="1"/>
  <c r="BW5" i="1"/>
  <c r="BU5" i="1"/>
  <c r="BS5" i="1"/>
  <c r="BQ5" i="1"/>
  <c r="BO5" i="1"/>
  <c r="BM5" i="1"/>
  <c r="BK5" i="1"/>
  <c r="BI5" i="1"/>
  <c r="BE5" i="1"/>
  <c r="BC5" i="1"/>
  <c r="BA5" i="1"/>
  <c r="AY5" i="1"/>
  <c r="AW5" i="1"/>
  <c r="AU5" i="1"/>
  <c r="AS5" i="1"/>
  <c r="AQ5" i="1"/>
  <c r="AO5" i="1"/>
  <c r="AM5" i="1"/>
  <c r="AK5" i="1"/>
  <c r="AI5" i="1"/>
  <c r="AE5" i="1"/>
  <c r="AC5" i="1"/>
  <c r="AA5" i="1"/>
  <c r="Y5" i="1"/>
  <c r="W5" i="1"/>
  <c r="U5" i="1"/>
  <c r="S5" i="1"/>
  <c r="Q5" i="1"/>
  <c r="O5" i="1"/>
  <c r="M5" i="1"/>
  <c r="K5" i="1"/>
  <c r="I5" i="1"/>
  <c r="DF4" i="1"/>
  <c r="DE4" i="1"/>
  <c r="DC4" i="1"/>
  <c r="DA4" i="1"/>
  <c r="CY4" i="1"/>
  <c r="CW4" i="1"/>
  <c r="CU4" i="1"/>
  <c r="CS4" i="1"/>
  <c r="CQ4" i="1"/>
  <c r="CO4" i="1"/>
  <c r="CM4" i="1"/>
  <c r="CK4" i="1"/>
  <c r="CI4" i="1"/>
  <c r="CE4" i="1"/>
  <c r="CC4" i="1"/>
  <c r="CA4" i="1"/>
  <c r="BY4" i="1"/>
  <c r="BW4" i="1"/>
  <c r="BU4" i="1"/>
  <c r="BS4" i="1"/>
  <c r="BQ4" i="1"/>
  <c r="BO4" i="1"/>
  <c r="BM4" i="1"/>
  <c r="BK4" i="1"/>
  <c r="BI4" i="1"/>
  <c r="BE4" i="1"/>
  <c r="BC4" i="1"/>
  <c r="BA4" i="1"/>
  <c r="AY4" i="1"/>
  <c r="AW4" i="1"/>
  <c r="AU4" i="1"/>
  <c r="AS4" i="1"/>
  <c r="AQ4" i="1"/>
  <c r="AO4" i="1"/>
  <c r="AM4" i="1"/>
  <c r="AK4" i="1"/>
  <c r="AI4" i="1"/>
  <c r="AE4" i="1"/>
  <c r="AC4" i="1"/>
  <c r="AA4" i="1"/>
  <c r="Y4" i="1"/>
  <c r="W4" i="1"/>
  <c r="U4" i="1"/>
  <c r="S4" i="1"/>
  <c r="Q4" i="1"/>
  <c r="O4" i="1"/>
  <c r="M4" i="1"/>
  <c r="K4" i="1"/>
  <c r="I4" i="1"/>
  <c r="DC166" i="1" l="1"/>
  <c r="DF166" i="1"/>
  <c r="D124" i="1"/>
  <c r="DC176" i="1"/>
  <c r="BG18" i="1"/>
  <c r="F27" i="6" s="1"/>
  <c r="BG19" i="1"/>
  <c r="F28" i="6" s="1"/>
  <c r="DG128" i="1"/>
  <c r="D128" i="1"/>
  <c r="D123" i="1"/>
  <c r="D120" i="1"/>
  <c r="D122" i="1"/>
  <c r="D121" i="1"/>
  <c r="DG117" i="1"/>
  <c r="D117" i="1"/>
  <c r="DG135" i="1"/>
  <c r="D135" i="1"/>
  <c r="DG125" i="1"/>
  <c r="D125" i="1"/>
  <c r="DG133" i="1"/>
  <c r="D133" i="1"/>
  <c r="DG127" i="1"/>
  <c r="D127" i="1"/>
  <c r="DG118" i="1"/>
  <c r="D118" i="1"/>
  <c r="DG129" i="1"/>
  <c r="D129" i="1"/>
  <c r="DG130" i="1"/>
  <c r="D130" i="1"/>
  <c r="DG131" i="1"/>
  <c r="D131" i="1"/>
  <c r="DG134" i="1"/>
  <c r="D134" i="1"/>
  <c r="DG132" i="1"/>
  <c r="D132" i="1"/>
  <c r="DG116" i="1"/>
  <c r="D116" i="1"/>
  <c r="DG126" i="1"/>
  <c r="D126" i="1"/>
  <c r="E33" i="6"/>
  <c r="DG61" i="1"/>
  <c r="D61" i="1"/>
  <c r="DG105" i="1"/>
  <c r="D105" i="1"/>
  <c r="DG110" i="1"/>
  <c r="D110" i="1"/>
  <c r="DG113" i="1"/>
  <c r="D113" i="1"/>
  <c r="DG97" i="1"/>
  <c r="D97" i="1"/>
  <c r="AG16" i="1"/>
  <c r="D25" i="6" s="1"/>
  <c r="BZ176" i="1"/>
  <c r="BL176" i="1"/>
  <c r="DG103" i="1"/>
  <c r="D103" i="1"/>
  <c r="E25" i="6"/>
  <c r="DG102" i="1"/>
  <c r="D102" i="1"/>
  <c r="DG107" i="1"/>
  <c r="D107" i="1"/>
  <c r="DG81" i="1"/>
  <c r="D81" i="1"/>
  <c r="DG98" i="1"/>
  <c r="D98" i="1"/>
  <c r="DG101" i="1"/>
  <c r="D101" i="1"/>
  <c r="DG106" i="1"/>
  <c r="D106" i="1"/>
  <c r="DG111" i="1"/>
  <c r="D111" i="1"/>
  <c r="DG114" i="1"/>
  <c r="D114" i="1"/>
  <c r="BZ160" i="1"/>
  <c r="DG83" i="1"/>
  <c r="D83" i="1"/>
  <c r="DG84" i="1"/>
  <c r="D84" i="1"/>
  <c r="CC176" i="1"/>
  <c r="DG82" i="1"/>
  <c r="D82" i="1"/>
  <c r="DG99" i="1"/>
  <c r="D99" i="1"/>
  <c r="DG109" i="1"/>
  <c r="D109" i="1"/>
  <c r="BJ160" i="1"/>
  <c r="CV160" i="1"/>
  <c r="AG17" i="1"/>
  <c r="D26" i="6" s="1"/>
  <c r="BL160" i="1"/>
  <c r="CD160" i="1"/>
  <c r="CX160" i="1"/>
  <c r="D152" i="1"/>
  <c r="AT160" i="1"/>
  <c r="BN160" i="1"/>
  <c r="CH160" i="1"/>
  <c r="CZ160" i="1"/>
  <c r="AQ144" i="1"/>
  <c r="AQ159" i="1" s="1"/>
  <c r="AM145" i="1"/>
  <c r="AL159" i="1"/>
  <c r="AL160" i="1" s="1"/>
  <c r="I4" i="6"/>
  <c r="AZ176" i="1"/>
  <c r="S12" i="1"/>
  <c r="S142" i="1" s="1"/>
  <c r="AE159" i="1"/>
  <c r="AE142" i="1"/>
  <c r="D15" i="6" s="1"/>
  <c r="AN176" i="1"/>
  <c r="E32" i="6"/>
  <c r="E10" i="6"/>
  <c r="AF11" i="1"/>
  <c r="AG11" i="1" s="1"/>
  <c r="C30" i="6"/>
  <c r="CZ176" i="1"/>
  <c r="AF12" i="1"/>
  <c r="AG12" i="1" s="1"/>
  <c r="G13" i="6"/>
  <c r="K11" i="1"/>
  <c r="K142" i="1" s="1"/>
  <c r="AG24" i="1"/>
  <c r="D33" i="6" s="1"/>
  <c r="BG20" i="1"/>
  <c r="F29" i="6" s="1"/>
  <c r="DG144" i="1"/>
  <c r="DF159" i="1"/>
  <c r="D151" i="1"/>
  <c r="CT160" i="1"/>
  <c r="I10" i="6"/>
  <c r="V160" i="1"/>
  <c r="AV160" i="1"/>
  <c r="DB160" i="1"/>
  <c r="AJ160" i="1"/>
  <c r="Q142" i="1"/>
  <c r="CW142" i="1"/>
  <c r="J11" i="6" s="1"/>
  <c r="T160" i="1"/>
  <c r="C10" i="6"/>
  <c r="X160" i="1"/>
  <c r="AH159" i="1"/>
  <c r="AH160" i="1" s="1"/>
  <c r="AI144" i="1"/>
  <c r="AI159" i="1" s="1"/>
  <c r="CW159" i="1"/>
  <c r="I12" i="1"/>
  <c r="I142" i="1" s="1"/>
  <c r="D4" i="6" s="1"/>
  <c r="CL176" i="1"/>
  <c r="H176" i="1"/>
  <c r="C32" i="6"/>
  <c r="G15" i="6"/>
  <c r="AP160" i="1"/>
  <c r="E8" i="6"/>
  <c r="C29" i="6"/>
  <c r="AG20" i="1"/>
  <c r="D29" i="6" s="1"/>
  <c r="E31" i="6"/>
  <c r="BG22" i="1"/>
  <c r="F31" i="6" s="1"/>
  <c r="Z176" i="1"/>
  <c r="AA167" i="1"/>
  <c r="H160" i="1"/>
  <c r="BP160" i="1"/>
  <c r="G8" i="6"/>
  <c r="Q159" i="1"/>
  <c r="BO159" i="1"/>
  <c r="R176" i="1"/>
  <c r="S166" i="1"/>
  <c r="S176" i="1" s="1"/>
  <c r="C11" i="6"/>
  <c r="AF173" i="1"/>
  <c r="AG173" i="1" s="1"/>
  <c r="C12" i="6"/>
  <c r="P160" i="1"/>
  <c r="C8" i="6"/>
  <c r="AN160" i="1"/>
  <c r="E7" i="6"/>
  <c r="BD160" i="1"/>
  <c r="E15" i="6"/>
  <c r="M159" i="1"/>
  <c r="AC159" i="1"/>
  <c r="AR159" i="1"/>
  <c r="AR160" i="1" s="1"/>
  <c r="AS144" i="1"/>
  <c r="AS159" i="1" s="1"/>
  <c r="BF144" i="1"/>
  <c r="BG144" i="1" s="1"/>
  <c r="BG159" i="1" s="1"/>
  <c r="E26" i="6"/>
  <c r="I166" i="1"/>
  <c r="O166" i="1"/>
  <c r="O176" i="1" s="1"/>
  <c r="N176" i="1"/>
  <c r="AD176" i="1"/>
  <c r="AE166" i="1"/>
  <c r="AE168" i="1"/>
  <c r="AF168" i="1"/>
  <c r="AG168" i="1" s="1"/>
  <c r="BF169" i="1"/>
  <c r="BG169" i="1" s="1"/>
  <c r="BF170" i="1"/>
  <c r="BG170" i="1" s="1"/>
  <c r="AX160" i="1"/>
  <c r="W159" i="1"/>
  <c r="BA159" i="1"/>
  <c r="X176" i="1"/>
  <c r="AF167" i="1"/>
  <c r="AG167" i="1" s="1"/>
  <c r="AR176" i="1"/>
  <c r="AC12" i="1"/>
  <c r="AC142" i="1" s="1"/>
  <c r="L160" i="1"/>
  <c r="C6" i="6"/>
  <c r="AZ160" i="1"/>
  <c r="BV160" i="1"/>
  <c r="Y159" i="1"/>
  <c r="AO159" i="1"/>
  <c r="BU159" i="1"/>
  <c r="CM159" i="1"/>
  <c r="DC159" i="1"/>
  <c r="AG19" i="1"/>
  <c r="D28" i="6" s="1"/>
  <c r="E30" i="6"/>
  <c r="E5" i="6"/>
  <c r="L176" i="1"/>
  <c r="Y166" i="1"/>
  <c r="Y176" i="1" s="1"/>
  <c r="AT176" i="1"/>
  <c r="AP176" i="1"/>
  <c r="AY159" i="1"/>
  <c r="BQ159" i="1"/>
  <c r="CY159" i="1"/>
  <c r="CB159" i="1"/>
  <c r="CB160" i="1" s="1"/>
  <c r="CF145" i="1"/>
  <c r="CG145" i="1" s="1"/>
  <c r="CG159" i="1" s="1"/>
  <c r="BD176" i="1"/>
  <c r="BF167" i="1"/>
  <c r="BG167" i="1" s="1"/>
  <c r="BF172" i="1"/>
  <c r="BG172" i="1" s="1"/>
  <c r="BF173" i="1"/>
  <c r="BG173" i="1" s="1"/>
  <c r="CJ176" i="1"/>
  <c r="AO142" i="1"/>
  <c r="AB160" i="1"/>
  <c r="C14" i="6"/>
  <c r="BT160" i="1"/>
  <c r="DD160" i="1"/>
  <c r="AM144" i="1"/>
  <c r="CK159" i="1"/>
  <c r="J160" i="1"/>
  <c r="R160" i="1"/>
  <c r="N160" i="1"/>
  <c r="C7" i="6"/>
  <c r="E6" i="6"/>
  <c r="BB160" i="1"/>
  <c r="E14" i="6"/>
  <c r="BX160" i="1"/>
  <c r="G12" i="6"/>
  <c r="CR160" i="1"/>
  <c r="I9" i="6"/>
  <c r="K159" i="1"/>
  <c r="BE159" i="1"/>
  <c r="BW159" i="1"/>
  <c r="DE159" i="1"/>
  <c r="AG18" i="1"/>
  <c r="D27" i="6" s="1"/>
  <c r="M166" i="1"/>
  <c r="M176" i="1" s="1"/>
  <c r="AF166" i="1"/>
  <c r="AF169" i="1"/>
  <c r="AG169" i="1" s="1"/>
  <c r="AH176" i="1"/>
  <c r="AV176" i="1"/>
  <c r="CT176" i="1"/>
  <c r="Z160" i="1"/>
  <c r="S159" i="1"/>
  <c r="BK159" i="1"/>
  <c r="CA159" i="1"/>
  <c r="AG22" i="1"/>
  <c r="D31" i="6" s="1"/>
  <c r="AF171" i="1"/>
  <c r="AG171" i="1" s="1"/>
  <c r="AL176" i="1"/>
  <c r="AX176" i="1"/>
  <c r="AJ176" i="1"/>
  <c r="BA142" i="1"/>
  <c r="DC142" i="1"/>
  <c r="J14" i="6" s="1"/>
  <c r="AD160" i="1"/>
  <c r="BR160" i="1"/>
  <c r="AU159" i="1"/>
  <c r="CC159" i="1"/>
  <c r="C15" i="6"/>
  <c r="W176" i="1"/>
  <c r="T176" i="1"/>
  <c r="BF168" i="1"/>
  <c r="BG168" i="1" s="1"/>
  <c r="BF171" i="1"/>
  <c r="BG171" i="1" s="1"/>
  <c r="BF174" i="1"/>
  <c r="BG174" i="1" s="1"/>
  <c r="CS159" i="1"/>
  <c r="CS176" i="1"/>
  <c r="DF171" i="1"/>
  <c r="DG171" i="1" s="1"/>
  <c r="G14" i="6"/>
  <c r="BX176" i="1"/>
  <c r="G11" i="6"/>
  <c r="BU142" i="1"/>
  <c r="BT176" i="1"/>
  <c r="G10" i="6"/>
  <c r="G9" i="6"/>
  <c r="BR176" i="1"/>
  <c r="BP176" i="1"/>
  <c r="G28" i="6"/>
  <c r="G26" i="6"/>
  <c r="G6" i="6"/>
  <c r="CF174" i="1"/>
  <c r="CG174" i="1" s="1"/>
  <c r="G5" i="6"/>
  <c r="BJ176" i="1"/>
  <c r="CF171" i="1"/>
  <c r="CG171" i="1" s="1"/>
  <c r="CF170" i="1"/>
  <c r="CG170" i="1" s="1"/>
  <c r="CF172" i="1"/>
  <c r="CG172" i="1" s="1"/>
  <c r="CF167" i="1"/>
  <c r="CG167" i="1" s="1"/>
  <c r="CF169" i="1"/>
  <c r="CG169" i="1" s="1"/>
  <c r="CF173" i="1"/>
  <c r="CG173" i="1" s="1"/>
  <c r="CF168" i="1"/>
  <c r="CG168" i="1" s="1"/>
  <c r="G31" i="6"/>
  <c r="BI142" i="1"/>
  <c r="H4" i="6" s="1"/>
  <c r="CG18" i="1"/>
  <c r="H27" i="6" s="1"/>
  <c r="G30" i="6"/>
  <c r="G33" i="6"/>
  <c r="CG24" i="1"/>
  <c r="H33" i="6" s="1"/>
  <c r="G25" i="6"/>
  <c r="CG16" i="1"/>
  <c r="H25" i="6" s="1"/>
  <c r="BI159" i="1"/>
  <c r="CG23" i="1"/>
  <c r="H32" i="6" s="1"/>
  <c r="CG20" i="1"/>
  <c r="H29" i="6" s="1"/>
  <c r="CQ159" i="1"/>
  <c r="CQ176" i="1"/>
  <c r="CP160" i="1"/>
  <c r="I8" i="6"/>
  <c r="CQ142" i="1"/>
  <c r="I30" i="6"/>
  <c r="I31" i="6"/>
  <c r="D52" i="1"/>
  <c r="D6" i="1"/>
  <c r="I26" i="6"/>
  <c r="D8" i="1"/>
  <c r="I29" i="6"/>
  <c r="I28" i="6"/>
  <c r="DG4" i="1"/>
  <c r="DG8" i="1"/>
  <c r="DG18" i="1"/>
  <c r="J27" i="6" s="1"/>
  <c r="I33" i="6"/>
  <c r="I32" i="6"/>
  <c r="D10" i="1"/>
  <c r="CN176" i="1"/>
  <c r="DF170" i="1"/>
  <c r="DG170" i="1" s="1"/>
  <c r="D4" i="1"/>
  <c r="DG16" i="1"/>
  <c r="J25" i="6" s="1"/>
  <c r="DF167" i="1"/>
  <c r="DG167" i="1" s="1"/>
  <c r="DF173" i="1"/>
  <c r="D173" i="1" s="1"/>
  <c r="CW176" i="1"/>
  <c r="CY176" i="1"/>
  <c r="DF174" i="1"/>
  <c r="CP176" i="1"/>
  <c r="CM166" i="1"/>
  <c r="CM176" i="1" s="1"/>
  <c r="CK167" i="1"/>
  <c r="CK176" i="1" s="1"/>
  <c r="DF169" i="1"/>
  <c r="DF172" i="1"/>
  <c r="CR176" i="1"/>
  <c r="CX176" i="1"/>
  <c r="DD176" i="1"/>
  <c r="DF168" i="1"/>
  <c r="DB176" i="1"/>
  <c r="DA171" i="1"/>
  <c r="CI166" i="1"/>
  <c r="CI176" i="1" s="1"/>
  <c r="CO166" i="1"/>
  <c r="CO176" i="1" s="1"/>
  <c r="CU166" i="1"/>
  <c r="CU176" i="1" s="1"/>
  <c r="DA166" i="1"/>
  <c r="DE167" i="1"/>
  <c r="DE170" i="1"/>
  <c r="DE173" i="1"/>
  <c r="CV176" i="1"/>
  <c r="CB176" i="1"/>
  <c r="BM166" i="1"/>
  <c r="BM176" i="1" s="1"/>
  <c r="BS166" i="1"/>
  <c r="BS176" i="1" s="1"/>
  <c r="BY166" i="1"/>
  <c r="BY176" i="1" s="1"/>
  <c r="CE166" i="1"/>
  <c r="BK167" i="1"/>
  <c r="BK176" i="1" s="1"/>
  <c r="BQ167" i="1"/>
  <c r="BQ176" i="1" s="1"/>
  <c r="BW167" i="1"/>
  <c r="BW176" i="1" s="1"/>
  <c r="CA168" i="1"/>
  <c r="CE169" i="1"/>
  <c r="CA171" i="1"/>
  <c r="CE172" i="1"/>
  <c r="CA174" i="1"/>
  <c r="CF166" i="1"/>
  <c r="BI166" i="1"/>
  <c r="BI176" i="1" s="1"/>
  <c r="BO166" i="1"/>
  <c r="BO176" i="1" s="1"/>
  <c r="BU166" i="1"/>
  <c r="BU176" i="1" s="1"/>
  <c r="CA166" i="1"/>
  <c r="CE167" i="1"/>
  <c r="CE170" i="1"/>
  <c r="CE173" i="1"/>
  <c r="BC176" i="1"/>
  <c r="BB176" i="1"/>
  <c r="AM166" i="1"/>
  <c r="AM176" i="1" s="1"/>
  <c r="AS166" i="1"/>
  <c r="AS176" i="1" s="1"/>
  <c r="AY166" i="1"/>
  <c r="AY176" i="1" s="1"/>
  <c r="BE166" i="1"/>
  <c r="AK167" i="1"/>
  <c r="AK176" i="1" s="1"/>
  <c r="AQ167" i="1"/>
  <c r="AQ176" i="1" s="1"/>
  <c r="AW167" i="1"/>
  <c r="AW176" i="1" s="1"/>
  <c r="BA168" i="1"/>
  <c r="BE169" i="1"/>
  <c r="BA171" i="1"/>
  <c r="BE172" i="1"/>
  <c r="BA174" i="1"/>
  <c r="BF166" i="1"/>
  <c r="AI166" i="1"/>
  <c r="AI176" i="1" s="1"/>
  <c r="AO166" i="1"/>
  <c r="AO176" i="1" s="1"/>
  <c r="AU166" i="1"/>
  <c r="AU176" i="1" s="1"/>
  <c r="BA166" i="1"/>
  <c r="BE167" i="1"/>
  <c r="BE170" i="1"/>
  <c r="BE173" i="1"/>
  <c r="Q176" i="1"/>
  <c r="K176" i="1"/>
  <c r="U176" i="1"/>
  <c r="AA166" i="1"/>
  <c r="AC167" i="1"/>
  <c r="AE171" i="1"/>
  <c r="AC173" i="1"/>
  <c r="J176" i="1"/>
  <c r="P176" i="1"/>
  <c r="V176" i="1"/>
  <c r="AB176" i="1"/>
  <c r="AF170" i="1"/>
  <c r="AG170" i="1" s="1"/>
  <c r="AF174" i="1"/>
  <c r="AG174" i="1" s="1"/>
  <c r="I172" i="1"/>
  <c r="AF172" i="1"/>
  <c r="AG172" i="1" s="1"/>
  <c r="I170" i="1"/>
  <c r="I174" i="1"/>
  <c r="D50" i="1"/>
  <c r="D58" i="1"/>
  <c r="D63" i="1"/>
  <c r="DG63" i="1"/>
  <c r="DG154" i="1"/>
  <c r="D154" i="1"/>
  <c r="AQ142" i="1"/>
  <c r="F8" i="6" s="1"/>
  <c r="BC142" i="1"/>
  <c r="BK142" i="1"/>
  <c r="BW142" i="1"/>
  <c r="CS142" i="1"/>
  <c r="DE142" i="1"/>
  <c r="J15" i="6" s="1"/>
  <c r="D21" i="1"/>
  <c r="D22" i="1"/>
  <c r="D41" i="1"/>
  <c r="D77" i="1"/>
  <c r="D78" i="1"/>
  <c r="DG78" i="1"/>
  <c r="I159" i="1"/>
  <c r="U159" i="1"/>
  <c r="AF159" i="1"/>
  <c r="AG159" i="1"/>
  <c r="AW159" i="1"/>
  <c r="W142" i="1"/>
  <c r="AS142" i="1"/>
  <c r="BE142" i="1"/>
  <c r="BM142" i="1"/>
  <c r="H6" i="6" s="1"/>
  <c r="BY142" i="1"/>
  <c r="H12" i="6" s="1"/>
  <c r="CI142" i="1"/>
  <c r="J4" i="6" s="1"/>
  <c r="CU142" i="1"/>
  <c r="J10" i="6" s="1"/>
  <c r="DF142" i="1"/>
  <c r="D137" i="1"/>
  <c r="D89" i="1"/>
  <c r="D87" i="1"/>
  <c r="D80" i="1"/>
  <c r="D71" i="1"/>
  <c r="D95" i="1"/>
  <c r="D93" i="1"/>
  <c r="D75" i="1"/>
  <c r="D60" i="1"/>
  <c r="D51" i="1"/>
  <c r="D49" i="1"/>
  <c r="D90" i="1"/>
  <c r="D88" i="1"/>
  <c r="D86" i="1"/>
  <c r="D72" i="1"/>
  <c r="D70" i="1"/>
  <c r="D57" i="1"/>
  <c r="D55" i="1"/>
  <c r="D46" i="1"/>
  <c r="D44" i="1"/>
  <c r="D42" i="1"/>
  <c r="D40" i="1"/>
  <c r="D38" i="1"/>
  <c r="D36" i="1"/>
  <c r="D34" i="1"/>
  <c r="D32" i="1"/>
  <c r="D17" i="1"/>
  <c r="D18" i="1"/>
  <c r="DG28" i="1"/>
  <c r="D28" i="1"/>
  <c r="D29" i="1"/>
  <c r="DG29" i="1"/>
  <c r="D31" i="1"/>
  <c r="D43" i="1"/>
  <c r="M142" i="1"/>
  <c r="AU142" i="1"/>
  <c r="BO142" i="1"/>
  <c r="CA142" i="1"/>
  <c r="CK142" i="1"/>
  <c r="D7" i="1"/>
  <c r="D9" i="1"/>
  <c r="D23" i="1"/>
  <c r="D24" i="1"/>
  <c r="DG26" i="1"/>
  <c r="D26" i="1"/>
  <c r="D27" i="1"/>
  <c r="DG27" i="1"/>
  <c r="D33" i="1"/>
  <c r="D45" i="1"/>
  <c r="CF142" i="1"/>
  <c r="BF142" i="1"/>
  <c r="AA142" i="1"/>
  <c r="D13" i="6" s="1"/>
  <c r="AW142" i="1"/>
  <c r="BG4" i="1"/>
  <c r="CC142" i="1"/>
  <c r="CM142" i="1"/>
  <c r="CY142" i="1"/>
  <c r="J12" i="6" s="1"/>
  <c r="D35" i="1"/>
  <c r="D47" i="1"/>
  <c r="D94" i="1"/>
  <c r="D39" i="1"/>
  <c r="Y142" i="1"/>
  <c r="AI142" i="1"/>
  <c r="O142" i="1"/>
  <c r="AK142" i="1"/>
  <c r="F5" i="6" s="1"/>
  <c r="AM142" i="1"/>
  <c r="AY142" i="1"/>
  <c r="BS142" i="1"/>
  <c r="CE142" i="1"/>
  <c r="H15" i="6" s="1"/>
  <c r="CO142" i="1"/>
  <c r="J7" i="6" s="1"/>
  <c r="DA142" i="1"/>
  <c r="J13" i="6" s="1"/>
  <c r="U12" i="1"/>
  <c r="U142" i="1" s="1"/>
  <c r="BQ13" i="1"/>
  <c r="D16" i="1"/>
  <c r="D19" i="1"/>
  <c r="D20" i="1"/>
  <c r="D37" i="1"/>
  <c r="D56" i="1"/>
  <c r="D67" i="1"/>
  <c r="DG67" i="1"/>
  <c r="D74" i="1"/>
  <c r="D92" i="1"/>
  <c r="DG150" i="1"/>
  <c r="D150" i="1"/>
  <c r="D62" i="1"/>
  <c r="D64" i="1"/>
  <c r="D66" i="1"/>
  <c r="D68" i="1"/>
  <c r="BQ125" i="1"/>
  <c r="BM159" i="1"/>
  <c r="BY159" i="1"/>
  <c r="CI159" i="1"/>
  <c r="CU159" i="1"/>
  <c r="DG148" i="1"/>
  <c r="D148" i="1"/>
  <c r="O159" i="1"/>
  <c r="AA159" i="1"/>
  <c r="AK159" i="1"/>
  <c r="BC159" i="1"/>
  <c r="DG146" i="1"/>
  <c r="D146" i="1"/>
  <c r="D144" i="1"/>
  <c r="D145" i="1"/>
  <c r="D138" i="1"/>
  <c r="BS159" i="1"/>
  <c r="CE159" i="1"/>
  <c r="CO159" i="1"/>
  <c r="DA159" i="1"/>
  <c r="D156" i="1"/>
  <c r="CJ160" i="1"/>
  <c r="CL160" i="1"/>
  <c r="D147" i="1"/>
  <c r="D149" i="1"/>
  <c r="D153" i="1"/>
  <c r="D155" i="1"/>
  <c r="D157" i="1"/>
  <c r="I36" i="6" l="1"/>
  <c r="BQ142" i="1"/>
  <c r="AM159" i="1"/>
  <c r="DF160" i="1"/>
  <c r="AE160" i="1"/>
  <c r="I176" i="1"/>
  <c r="CF159" i="1"/>
  <c r="CF160" i="1" s="1"/>
  <c r="AE176" i="1"/>
  <c r="AA176" i="1"/>
  <c r="BG142" i="1"/>
  <c r="BG160" i="1" s="1"/>
  <c r="CY160" i="1"/>
  <c r="DA160" i="1"/>
  <c r="AC160" i="1"/>
  <c r="D14" i="6"/>
  <c r="O160" i="1"/>
  <c r="D7" i="6"/>
  <c r="CM160" i="1"/>
  <c r="J6" i="6"/>
  <c r="W160" i="1"/>
  <c r="D11" i="6"/>
  <c r="AI160" i="1"/>
  <c r="F4" i="6"/>
  <c r="K160" i="1"/>
  <c r="D5" i="6"/>
  <c r="BC160" i="1"/>
  <c r="F14" i="6"/>
  <c r="S160" i="1"/>
  <c r="D9" i="6"/>
  <c r="Y160" i="1"/>
  <c r="D12" i="6"/>
  <c r="DE176" i="1"/>
  <c r="CK160" i="1"/>
  <c r="J5" i="6"/>
  <c r="BF159" i="1"/>
  <c r="BF160" i="1" s="1"/>
  <c r="AY160" i="1"/>
  <c r="F12" i="6"/>
  <c r="AW160" i="1"/>
  <c r="F11" i="6"/>
  <c r="BA176" i="1"/>
  <c r="D171" i="1"/>
  <c r="AM160" i="1"/>
  <c r="F6" i="6"/>
  <c r="DE160" i="1"/>
  <c r="AG166" i="1"/>
  <c r="AG176" i="1" s="1"/>
  <c r="AF176" i="1"/>
  <c r="U160" i="1"/>
  <c r="D10" i="6"/>
  <c r="AU160" i="1"/>
  <c r="F10" i="6"/>
  <c r="BE160" i="1"/>
  <c r="F15" i="6"/>
  <c r="CS160" i="1"/>
  <c r="J9" i="6"/>
  <c r="AC176" i="1"/>
  <c r="DC160" i="1"/>
  <c r="CW160" i="1"/>
  <c r="AG142" i="1"/>
  <c r="AG160" i="1" s="1"/>
  <c r="M160" i="1"/>
  <c r="D6" i="6"/>
  <c r="AS160" i="1"/>
  <c r="F9" i="6"/>
  <c r="BA160" i="1"/>
  <c r="F13" i="6"/>
  <c r="AO160" i="1"/>
  <c r="F7" i="6"/>
  <c r="Q160" i="1"/>
  <c r="D8" i="6"/>
  <c r="CC160" i="1"/>
  <c r="H14" i="6"/>
  <c r="CA160" i="1"/>
  <c r="H13" i="6"/>
  <c r="BW160" i="1"/>
  <c r="H11" i="6"/>
  <c r="BU160" i="1"/>
  <c r="H10" i="6"/>
  <c r="BS160" i="1"/>
  <c r="H9" i="6"/>
  <c r="BQ160" i="1"/>
  <c r="H8" i="6"/>
  <c r="BO160" i="1"/>
  <c r="H7" i="6"/>
  <c r="BK160" i="1"/>
  <c r="H5" i="6"/>
  <c r="BI160" i="1"/>
  <c r="CG142" i="1"/>
  <c r="CG160" i="1" s="1"/>
  <c r="CQ160" i="1"/>
  <c r="J8" i="6"/>
  <c r="DG173" i="1"/>
  <c r="D170" i="1"/>
  <c r="D167" i="1"/>
  <c r="DG142" i="1"/>
  <c r="DG159" i="1"/>
  <c r="D169" i="1"/>
  <c r="DG169" i="1"/>
  <c r="DA176" i="1"/>
  <c r="DG168" i="1"/>
  <c r="D168" i="1"/>
  <c r="DF176" i="1"/>
  <c r="DG166" i="1"/>
  <c r="D166" i="1"/>
  <c r="DG172" i="1"/>
  <c r="D172" i="1"/>
  <c r="D174" i="1"/>
  <c r="DG174" i="1"/>
  <c r="CF176" i="1"/>
  <c r="CG166" i="1"/>
  <c r="CG176" i="1" s="1"/>
  <c r="CA176" i="1"/>
  <c r="CE176" i="1"/>
  <c r="BE176" i="1"/>
  <c r="BF176" i="1"/>
  <c r="BG166" i="1"/>
  <c r="BG176" i="1" s="1"/>
  <c r="CI160" i="1"/>
  <c r="CO160" i="1"/>
  <c r="AK160" i="1"/>
  <c r="BY160" i="1"/>
  <c r="AQ160" i="1"/>
  <c r="BM160" i="1"/>
  <c r="AF142" i="1"/>
  <c r="AF160" i="1" s="1"/>
  <c r="CE160" i="1"/>
  <c r="AA160" i="1"/>
  <c r="I160" i="1"/>
  <c r="CU160" i="1"/>
  <c r="X55" i="6"/>
  <c r="I18" i="6" s="1"/>
  <c r="W55" i="6"/>
  <c r="I17" i="6" s="1"/>
  <c r="J17" i="6" s="1"/>
  <c r="V55" i="6"/>
  <c r="S55" i="6"/>
  <c r="E18" i="6" s="1"/>
  <c r="F18" i="6" s="1"/>
  <c r="R55" i="6"/>
  <c r="E17" i="6" s="1"/>
  <c r="F17" i="6" s="1"/>
  <c r="Q55" i="6"/>
  <c r="E16" i="6" s="1"/>
  <c r="E19" i="6" s="1"/>
  <c r="F36" i="6"/>
  <c r="E36" i="6"/>
  <c r="D36" i="6"/>
  <c r="C36" i="6"/>
  <c r="X37" i="6"/>
  <c r="G18" i="6" s="1"/>
  <c r="W37" i="6"/>
  <c r="G17" i="6" s="1"/>
  <c r="V37" i="6"/>
  <c r="G16" i="6" s="1"/>
  <c r="G19" i="6" s="1"/>
  <c r="S37" i="6"/>
  <c r="C18" i="6" s="1"/>
  <c r="D18" i="6" s="1"/>
  <c r="R37" i="6"/>
  <c r="C17" i="6" s="1"/>
  <c r="D17" i="6" s="1"/>
  <c r="Q37" i="6"/>
  <c r="C16" i="6" s="1"/>
  <c r="C19" i="6" s="1"/>
  <c r="N6" i="5"/>
  <c r="N11" i="5" s="1"/>
  <c r="L6" i="5"/>
  <c r="J6" i="5"/>
  <c r="H6" i="5"/>
  <c r="F6" i="5"/>
  <c r="L5" i="5"/>
  <c r="J5" i="5"/>
  <c r="J11" i="5" s="1"/>
  <c r="H5" i="5"/>
  <c r="F5" i="5"/>
  <c r="O77" i="4"/>
  <c r="AA76" i="4"/>
  <c r="AA77" i="4" s="1"/>
  <c r="Y76" i="4"/>
  <c r="Y77" i="4" s="1"/>
  <c r="W76" i="4"/>
  <c r="U76" i="4"/>
  <c r="U77" i="4" s="1"/>
  <c r="S76" i="4"/>
  <c r="S77" i="4" s="1"/>
  <c r="Q76" i="4"/>
  <c r="Q77" i="4" s="1"/>
  <c r="O76" i="4"/>
  <c r="M76" i="4"/>
  <c r="M77" i="4" s="1"/>
  <c r="K76" i="4"/>
  <c r="K77" i="4" s="1"/>
  <c r="I76" i="4"/>
  <c r="I77" i="4" s="1"/>
  <c r="G76" i="4"/>
  <c r="E76" i="4"/>
  <c r="E77" i="4" s="1"/>
  <c r="AD75" i="4"/>
  <c r="AB75" i="4"/>
  <c r="Z75" i="4"/>
  <c r="X75" i="4"/>
  <c r="V75" i="4"/>
  <c r="T75" i="4"/>
  <c r="R75" i="4"/>
  <c r="P75" i="4"/>
  <c r="N75" i="4"/>
  <c r="L75" i="4"/>
  <c r="J75" i="4"/>
  <c r="H75" i="4"/>
  <c r="F75" i="4"/>
  <c r="AB74" i="4"/>
  <c r="Z74" i="4"/>
  <c r="X74" i="4"/>
  <c r="V74" i="4"/>
  <c r="T74" i="4"/>
  <c r="R74" i="4"/>
  <c r="P74" i="4"/>
  <c r="N74" i="4"/>
  <c r="L74" i="4"/>
  <c r="J74" i="4"/>
  <c r="H74" i="4"/>
  <c r="F74" i="4"/>
  <c r="AB73" i="4"/>
  <c r="Z73" i="4"/>
  <c r="X73" i="4"/>
  <c r="V73" i="4"/>
  <c r="T73" i="4"/>
  <c r="R73" i="4"/>
  <c r="P73" i="4"/>
  <c r="N73" i="4"/>
  <c r="L73" i="4"/>
  <c r="J73" i="4"/>
  <c r="H73" i="4"/>
  <c r="F73" i="4"/>
  <c r="AB72" i="4"/>
  <c r="Z72" i="4"/>
  <c r="X72" i="4"/>
  <c r="V72" i="4"/>
  <c r="T72" i="4"/>
  <c r="R72" i="4"/>
  <c r="P72" i="4"/>
  <c r="N72" i="4"/>
  <c r="L72" i="4"/>
  <c r="AC72" i="4" s="1"/>
  <c r="AD72" i="4" s="1"/>
  <c r="J72" i="4"/>
  <c r="H72" i="4"/>
  <c r="F72" i="4"/>
  <c r="AB71" i="4"/>
  <c r="Z71" i="4"/>
  <c r="X71" i="4"/>
  <c r="V71" i="4"/>
  <c r="T71" i="4"/>
  <c r="R71" i="4"/>
  <c r="P71" i="4"/>
  <c r="N71" i="4"/>
  <c r="L71" i="4"/>
  <c r="J71" i="4"/>
  <c r="H71" i="4"/>
  <c r="AC71" i="4" s="1"/>
  <c r="AD71" i="4" s="1"/>
  <c r="F71" i="4"/>
  <c r="AB70" i="4"/>
  <c r="Z70" i="4"/>
  <c r="X70" i="4"/>
  <c r="V70" i="4"/>
  <c r="T70" i="4"/>
  <c r="R70" i="4"/>
  <c r="P70" i="4"/>
  <c r="N70" i="4"/>
  <c r="L70" i="4"/>
  <c r="J70" i="4"/>
  <c r="H70" i="4"/>
  <c r="F70" i="4"/>
  <c r="AC70" i="4" s="1"/>
  <c r="AD70" i="4" s="1"/>
  <c r="AB69" i="4"/>
  <c r="Z69" i="4"/>
  <c r="X69" i="4"/>
  <c r="V69" i="4"/>
  <c r="T69" i="4"/>
  <c r="R69" i="4"/>
  <c r="P69" i="4"/>
  <c r="N69" i="4"/>
  <c r="L69" i="4"/>
  <c r="J69" i="4"/>
  <c r="H69" i="4"/>
  <c r="F69" i="4"/>
  <c r="AB68" i="4"/>
  <c r="Z68" i="4"/>
  <c r="X68" i="4"/>
  <c r="V68" i="4"/>
  <c r="T68" i="4"/>
  <c r="R68" i="4"/>
  <c r="P68" i="4"/>
  <c r="N68" i="4"/>
  <c r="L68" i="4"/>
  <c r="AC68" i="4" s="1"/>
  <c r="AD68" i="4" s="1"/>
  <c r="J68" i="4"/>
  <c r="H68" i="4"/>
  <c r="F68" i="4"/>
  <c r="AB67" i="4"/>
  <c r="Z67" i="4"/>
  <c r="X67" i="4"/>
  <c r="V67" i="4"/>
  <c r="T67" i="4"/>
  <c r="R67" i="4"/>
  <c r="P67" i="4"/>
  <c r="N67" i="4"/>
  <c r="L67" i="4"/>
  <c r="J67" i="4"/>
  <c r="H67" i="4"/>
  <c r="AC67" i="4" s="1"/>
  <c r="AD67" i="4" s="1"/>
  <c r="F67" i="4"/>
  <c r="AB66" i="4"/>
  <c r="Z66" i="4"/>
  <c r="X66" i="4"/>
  <c r="V66" i="4"/>
  <c r="T66" i="4"/>
  <c r="R66" i="4"/>
  <c r="P66" i="4"/>
  <c r="N66" i="4"/>
  <c r="L66" i="4"/>
  <c r="J66" i="4"/>
  <c r="H66" i="4"/>
  <c r="F66" i="4"/>
  <c r="AB65" i="4"/>
  <c r="Z65" i="4"/>
  <c r="X65" i="4"/>
  <c r="V65" i="4"/>
  <c r="T65" i="4"/>
  <c r="R65" i="4"/>
  <c r="P65" i="4"/>
  <c r="N65" i="4"/>
  <c r="L65" i="4"/>
  <c r="J65" i="4"/>
  <c r="H65" i="4"/>
  <c r="F65" i="4"/>
  <c r="AC65" i="4" s="1"/>
  <c r="AD65" i="4" s="1"/>
  <c r="AB64" i="4"/>
  <c r="Z64" i="4"/>
  <c r="X64" i="4"/>
  <c r="V64" i="4"/>
  <c r="T64" i="4"/>
  <c r="R64" i="4"/>
  <c r="P64" i="4"/>
  <c r="N64" i="4"/>
  <c r="AC64" i="4" s="1"/>
  <c r="AD64" i="4" s="1"/>
  <c r="L64" i="4"/>
  <c r="J64" i="4"/>
  <c r="H64" i="4"/>
  <c r="F64" i="4"/>
  <c r="AB63" i="4"/>
  <c r="Z63" i="4"/>
  <c r="X63" i="4"/>
  <c r="V63" i="4"/>
  <c r="T63" i="4"/>
  <c r="R63" i="4"/>
  <c r="P63" i="4"/>
  <c r="N63" i="4"/>
  <c r="L63" i="4"/>
  <c r="J63" i="4"/>
  <c r="H63" i="4"/>
  <c r="AC63" i="4" s="1"/>
  <c r="AD63" i="4" s="1"/>
  <c r="F63" i="4"/>
  <c r="AB62" i="4"/>
  <c r="Z62" i="4"/>
  <c r="X62" i="4"/>
  <c r="V62" i="4"/>
  <c r="T62" i="4"/>
  <c r="R62" i="4"/>
  <c r="P62" i="4"/>
  <c r="N62" i="4"/>
  <c r="L62" i="4"/>
  <c r="J62" i="4"/>
  <c r="H62" i="4"/>
  <c r="F62" i="4"/>
  <c r="AB61" i="4"/>
  <c r="Z61" i="4"/>
  <c r="X61" i="4"/>
  <c r="V61" i="4"/>
  <c r="T61" i="4"/>
  <c r="R61" i="4"/>
  <c r="P61" i="4"/>
  <c r="N61" i="4"/>
  <c r="L61" i="4"/>
  <c r="J61" i="4"/>
  <c r="H61" i="4"/>
  <c r="F61" i="4"/>
  <c r="AB60" i="4"/>
  <c r="Z60" i="4"/>
  <c r="X60" i="4"/>
  <c r="V60" i="4"/>
  <c r="T60" i="4"/>
  <c r="R60" i="4"/>
  <c r="P60" i="4"/>
  <c r="N60" i="4"/>
  <c r="L60" i="4"/>
  <c r="AC60" i="4" s="1"/>
  <c r="AD60" i="4" s="1"/>
  <c r="J60" i="4"/>
  <c r="H60" i="4"/>
  <c r="F60" i="4"/>
  <c r="AB59" i="4"/>
  <c r="AB76" i="4" s="1"/>
  <c r="Z59" i="4"/>
  <c r="Z76" i="4" s="1"/>
  <c r="X59" i="4"/>
  <c r="V59" i="4"/>
  <c r="T59" i="4"/>
  <c r="R59" i="4"/>
  <c r="P59" i="4"/>
  <c r="N59" i="4"/>
  <c r="L59" i="4"/>
  <c r="L76" i="4" s="1"/>
  <c r="J59" i="4"/>
  <c r="J76" i="4" s="1"/>
  <c r="H59" i="4"/>
  <c r="F59" i="4"/>
  <c r="AB58" i="4"/>
  <c r="Z58" i="4"/>
  <c r="X58" i="4"/>
  <c r="V58" i="4"/>
  <c r="T58" i="4"/>
  <c r="R58" i="4"/>
  <c r="P58" i="4"/>
  <c r="N58" i="4"/>
  <c r="L58" i="4"/>
  <c r="J58" i="4"/>
  <c r="H58" i="4"/>
  <c r="F58" i="4"/>
  <c r="AB57" i="4"/>
  <c r="Z57" i="4"/>
  <c r="X57" i="4"/>
  <c r="V57" i="4"/>
  <c r="T57" i="4"/>
  <c r="R57" i="4"/>
  <c r="R76" i="4" s="1"/>
  <c r="P57" i="4"/>
  <c r="N57" i="4"/>
  <c r="L57" i="4"/>
  <c r="J57" i="4"/>
  <c r="H57" i="4"/>
  <c r="F57" i="4"/>
  <c r="AA55" i="4"/>
  <c r="Y55" i="4"/>
  <c r="W55" i="4"/>
  <c r="U55" i="4"/>
  <c r="S55" i="4"/>
  <c r="Q55" i="4"/>
  <c r="O55" i="4"/>
  <c r="M55" i="4"/>
  <c r="L55" i="4"/>
  <c r="K55" i="4"/>
  <c r="I55" i="4"/>
  <c r="G55" i="4"/>
  <c r="E55" i="4"/>
  <c r="AB53" i="4"/>
  <c r="Z53" i="4"/>
  <c r="X53" i="4"/>
  <c r="V53" i="4"/>
  <c r="T53" i="4"/>
  <c r="R53" i="4"/>
  <c r="P53" i="4"/>
  <c r="N53" i="4"/>
  <c r="L53" i="4"/>
  <c r="J53" i="4"/>
  <c r="H53" i="4"/>
  <c r="F53" i="4"/>
  <c r="AC53" i="4" s="1"/>
  <c r="AD53" i="4" s="1"/>
  <c r="AB52" i="4"/>
  <c r="Z52" i="4"/>
  <c r="X52" i="4"/>
  <c r="V52" i="4"/>
  <c r="T52" i="4"/>
  <c r="R52" i="4"/>
  <c r="P52" i="4"/>
  <c r="N52" i="4"/>
  <c r="AC52" i="4" s="1"/>
  <c r="AD52" i="4" s="1"/>
  <c r="L52" i="4"/>
  <c r="J52" i="4"/>
  <c r="H52" i="4"/>
  <c r="F52" i="4"/>
  <c r="AB51" i="4"/>
  <c r="Z51" i="4"/>
  <c r="X51" i="4"/>
  <c r="V51" i="4"/>
  <c r="T51" i="4"/>
  <c r="R51" i="4"/>
  <c r="P51" i="4"/>
  <c r="N51" i="4"/>
  <c r="L51" i="4"/>
  <c r="J51" i="4"/>
  <c r="H51" i="4"/>
  <c r="AC51" i="4" s="1"/>
  <c r="AD51" i="4" s="1"/>
  <c r="F51" i="4"/>
  <c r="AB50" i="4"/>
  <c r="Z50" i="4"/>
  <c r="X50" i="4"/>
  <c r="V50" i="4"/>
  <c r="T50" i="4"/>
  <c r="R50" i="4"/>
  <c r="P50" i="4"/>
  <c r="N50" i="4"/>
  <c r="L50" i="4"/>
  <c r="J50" i="4"/>
  <c r="H50" i="4"/>
  <c r="F50" i="4"/>
  <c r="AB49" i="4"/>
  <c r="Z49" i="4"/>
  <c r="X49" i="4"/>
  <c r="V49" i="4"/>
  <c r="T49" i="4"/>
  <c r="R49" i="4"/>
  <c r="P49" i="4"/>
  <c r="N49" i="4"/>
  <c r="L49" i="4"/>
  <c r="J49" i="4"/>
  <c r="H49" i="4"/>
  <c r="F49" i="4"/>
  <c r="AB48" i="4"/>
  <c r="Z48" i="4"/>
  <c r="X48" i="4"/>
  <c r="V48" i="4"/>
  <c r="T48" i="4"/>
  <c r="R48" i="4"/>
  <c r="P48" i="4"/>
  <c r="N48" i="4"/>
  <c r="L48" i="4"/>
  <c r="AC48" i="4" s="1"/>
  <c r="AD48" i="4" s="1"/>
  <c r="J48" i="4"/>
  <c r="H48" i="4"/>
  <c r="F48" i="4"/>
  <c r="AB47" i="4"/>
  <c r="Z47" i="4"/>
  <c r="X47" i="4"/>
  <c r="V47" i="4"/>
  <c r="T47" i="4"/>
  <c r="R47" i="4"/>
  <c r="P47" i="4"/>
  <c r="N47" i="4"/>
  <c r="L47" i="4"/>
  <c r="J47" i="4"/>
  <c r="H47" i="4"/>
  <c r="F47" i="4"/>
  <c r="AB46" i="4"/>
  <c r="Z46" i="4"/>
  <c r="X46" i="4"/>
  <c r="V46" i="4"/>
  <c r="T46" i="4"/>
  <c r="R46" i="4"/>
  <c r="P46" i="4"/>
  <c r="N46" i="4"/>
  <c r="L46" i="4"/>
  <c r="J46" i="4"/>
  <c r="H46" i="4"/>
  <c r="F46" i="4"/>
  <c r="AB45" i="4"/>
  <c r="Z45" i="4"/>
  <c r="X45" i="4"/>
  <c r="V45" i="4"/>
  <c r="T45" i="4"/>
  <c r="R45" i="4"/>
  <c r="P45" i="4"/>
  <c r="N45" i="4"/>
  <c r="L45" i="4"/>
  <c r="J45" i="4"/>
  <c r="H45" i="4"/>
  <c r="F45" i="4"/>
  <c r="AB44" i="4"/>
  <c r="AB55" i="4" s="1"/>
  <c r="Z44" i="4"/>
  <c r="X44" i="4"/>
  <c r="V44" i="4"/>
  <c r="T44" i="4"/>
  <c r="R44" i="4"/>
  <c r="P44" i="4"/>
  <c r="N44" i="4"/>
  <c r="N55" i="4" s="1"/>
  <c r="L44" i="4"/>
  <c r="AC44" i="4" s="1"/>
  <c r="AD44" i="4" s="1"/>
  <c r="J44" i="4"/>
  <c r="H44" i="4"/>
  <c r="F44" i="4"/>
  <c r="AB43" i="4"/>
  <c r="Z43" i="4"/>
  <c r="X43" i="4"/>
  <c r="V43" i="4"/>
  <c r="T43" i="4"/>
  <c r="R43" i="4"/>
  <c r="P43" i="4"/>
  <c r="P55" i="4" s="1"/>
  <c r="N43" i="4"/>
  <c r="L43" i="4"/>
  <c r="J43" i="4"/>
  <c r="H43" i="4"/>
  <c r="AC43" i="4" s="1"/>
  <c r="AD43" i="4" s="1"/>
  <c r="F43" i="4"/>
  <c r="AB42" i="4"/>
  <c r="Z42" i="4"/>
  <c r="Z55" i="4" s="1"/>
  <c r="X42" i="4"/>
  <c r="X55" i="4" s="1"/>
  <c r="V42" i="4"/>
  <c r="T42" i="4"/>
  <c r="T55" i="4" s="1"/>
  <c r="R42" i="4"/>
  <c r="P42" i="4"/>
  <c r="N42" i="4"/>
  <c r="L42" i="4"/>
  <c r="J42" i="4"/>
  <c r="J55" i="4" s="1"/>
  <c r="H42" i="4"/>
  <c r="H55" i="4" s="1"/>
  <c r="F42" i="4"/>
  <c r="AA39" i="4"/>
  <c r="Y39" i="4"/>
  <c r="W39" i="4"/>
  <c r="W77" i="4" s="1"/>
  <c r="U39" i="4"/>
  <c r="S39" i="4"/>
  <c r="Q39" i="4"/>
  <c r="O39" i="4"/>
  <c r="M39" i="4"/>
  <c r="K39" i="4"/>
  <c r="I39" i="4"/>
  <c r="G39" i="4"/>
  <c r="G77" i="4" s="1"/>
  <c r="E39" i="4"/>
  <c r="AC38" i="4"/>
  <c r="AC37" i="4"/>
  <c r="AD37" i="4" s="1"/>
  <c r="AB37" i="4"/>
  <c r="Z37" i="4"/>
  <c r="X37" i="4"/>
  <c r="V37" i="4"/>
  <c r="T37" i="4"/>
  <c r="R37" i="4"/>
  <c r="P37" i="4"/>
  <c r="N37" i="4"/>
  <c r="L37" i="4"/>
  <c r="J37" i="4"/>
  <c r="H37" i="4"/>
  <c r="F37" i="4"/>
  <c r="AD36" i="4"/>
  <c r="AC36" i="4"/>
  <c r="AB36" i="4"/>
  <c r="Z36" i="4"/>
  <c r="X36" i="4"/>
  <c r="V36" i="4"/>
  <c r="T36" i="4"/>
  <c r="R36" i="4"/>
  <c r="P36" i="4"/>
  <c r="N36" i="4"/>
  <c r="L36" i="4"/>
  <c r="J36" i="4"/>
  <c r="H36" i="4"/>
  <c r="F36" i="4"/>
  <c r="AC35" i="4"/>
  <c r="AD35" i="4" s="1"/>
  <c r="AB35" i="4"/>
  <c r="Z35" i="4"/>
  <c r="X35" i="4"/>
  <c r="V35" i="4"/>
  <c r="T35" i="4"/>
  <c r="R35" i="4"/>
  <c r="P35" i="4"/>
  <c r="N35" i="4"/>
  <c r="L35" i="4"/>
  <c r="J35" i="4"/>
  <c r="H35" i="4"/>
  <c r="F35" i="4"/>
  <c r="AC34" i="4"/>
  <c r="AD34" i="4" s="1"/>
  <c r="AB34" i="4"/>
  <c r="Z34" i="4"/>
  <c r="X34" i="4"/>
  <c r="V34" i="4"/>
  <c r="T34" i="4"/>
  <c r="R34" i="4"/>
  <c r="P34" i="4"/>
  <c r="N34" i="4"/>
  <c r="L34" i="4"/>
  <c r="J34" i="4"/>
  <c r="H34" i="4"/>
  <c r="F34" i="4"/>
  <c r="AC33" i="4"/>
  <c r="AD33" i="4" s="1"/>
  <c r="AB33" i="4"/>
  <c r="Z33" i="4"/>
  <c r="X33" i="4"/>
  <c r="V33" i="4"/>
  <c r="T33" i="4"/>
  <c r="R33" i="4"/>
  <c r="P33" i="4"/>
  <c r="N33" i="4"/>
  <c r="L33" i="4"/>
  <c r="J33" i="4"/>
  <c r="H33" i="4"/>
  <c r="F33" i="4"/>
  <c r="AC32" i="4"/>
  <c r="AD32" i="4" s="1"/>
  <c r="AB32" i="4"/>
  <c r="Z32" i="4"/>
  <c r="X32" i="4"/>
  <c r="V32" i="4"/>
  <c r="T32" i="4"/>
  <c r="R32" i="4"/>
  <c r="P32" i="4"/>
  <c r="N32" i="4"/>
  <c r="L32" i="4"/>
  <c r="J32" i="4"/>
  <c r="H32" i="4"/>
  <c r="F32" i="4"/>
  <c r="AC31" i="4"/>
  <c r="AD31" i="4" s="1"/>
  <c r="AB31" i="4"/>
  <c r="Z31" i="4"/>
  <c r="X31" i="4"/>
  <c r="V31" i="4"/>
  <c r="T31" i="4"/>
  <c r="R31" i="4"/>
  <c r="P31" i="4"/>
  <c r="N31" i="4"/>
  <c r="L31" i="4"/>
  <c r="J31" i="4"/>
  <c r="H31" i="4"/>
  <c r="F31" i="4"/>
  <c r="AC30" i="4"/>
  <c r="AD30" i="4" s="1"/>
  <c r="AB30" i="4"/>
  <c r="Z30" i="4"/>
  <c r="X30" i="4"/>
  <c r="V30" i="4"/>
  <c r="T30" i="4"/>
  <c r="R30" i="4"/>
  <c r="P30" i="4"/>
  <c r="N30" i="4"/>
  <c r="L30" i="4"/>
  <c r="J30" i="4"/>
  <c r="H30" i="4"/>
  <c r="F30" i="4"/>
  <c r="AC29" i="4"/>
  <c r="AD29" i="4" s="1"/>
  <c r="AB29" i="4"/>
  <c r="Z29" i="4"/>
  <c r="X29" i="4"/>
  <c r="V29" i="4"/>
  <c r="T29" i="4"/>
  <c r="R29" i="4"/>
  <c r="P29" i="4"/>
  <c r="N29" i="4"/>
  <c r="L29" i="4"/>
  <c r="J29" i="4"/>
  <c r="H29" i="4"/>
  <c r="F29" i="4"/>
  <c r="AC28" i="4"/>
  <c r="AD28" i="4" s="1"/>
  <c r="AB28" i="4"/>
  <c r="Z28" i="4"/>
  <c r="X28" i="4"/>
  <c r="V28" i="4"/>
  <c r="T28" i="4"/>
  <c r="R28" i="4"/>
  <c r="P28" i="4"/>
  <c r="N28" i="4"/>
  <c r="L28" i="4"/>
  <c r="J28" i="4"/>
  <c r="H28" i="4"/>
  <c r="F28" i="4"/>
  <c r="AD27" i="4"/>
  <c r="AC27" i="4"/>
  <c r="AB27" i="4"/>
  <c r="Z27" i="4"/>
  <c r="X27" i="4"/>
  <c r="V27" i="4"/>
  <c r="T27" i="4"/>
  <c r="R27" i="4"/>
  <c r="P27" i="4"/>
  <c r="N27" i="4"/>
  <c r="L27" i="4"/>
  <c r="J27" i="4"/>
  <c r="H27" i="4"/>
  <c r="F27" i="4"/>
  <c r="AC26" i="4"/>
  <c r="AD26" i="4" s="1"/>
  <c r="AB26" i="4"/>
  <c r="Z26" i="4"/>
  <c r="X26" i="4"/>
  <c r="V26" i="4"/>
  <c r="T26" i="4"/>
  <c r="R26" i="4"/>
  <c r="P26" i="4"/>
  <c r="N26" i="4"/>
  <c r="L26" i="4"/>
  <c r="J26" i="4"/>
  <c r="H26" i="4"/>
  <c r="F26" i="4"/>
  <c r="AC25" i="4"/>
  <c r="AD25" i="4" s="1"/>
  <c r="AB25" i="4"/>
  <c r="Z25" i="4"/>
  <c r="X25" i="4"/>
  <c r="V25" i="4"/>
  <c r="T25" i="4"/>
  <c r="R25" i="4"/>
  <c r="P25" i="4"/>
  <c r="N25" i="4"/>
  <c r="L25" i="4"/>
  <c r="J25" i="4"/>
  <c r="H25" i="4"/>
  <c r="F25" i="4"/>
  <c r="AC24" i="4"/>
  <c r="AD24" i="4" s="1"/>
  <c r="AB24" i="4"/>
  <c r="Z24" i="4"/>
  <c r="X24" i="4"/>
  <c r="V24" i="4"/>
  <c r="T24" i="4"/>
  <c r="R24" i="4"/>
  <c r="P24" i="4"/>
  <c r="N24" i="4"/>
  <c r="L24" i="4"/>
  <c r="J24" i="4"/>
  <c r="H24" i="4"/>
  <c r="F24" i="4"/>
  <c r="AC23" i="4"/>
  <c r="AD23" i="4" s="1"/>
  <c r="AB23" i="4"/>
  <c r="Z23" i="4"/>
  <c r="X23" i="4"/>
  <c r="V23" i="4"/>
  <c r="T23" i="4"/>
  <c r="R23" i="4"/>
  <c r="P23" i="4"/>
  <c r="N23" i="4"/>
  <c r="L23" i="4"/>
  <c r="J23" i="4"/>
  <c r="H23" i="4"/>
  <c r="F23" i="4"/>
  <c r="AC22" i="4"/>
  <c r="AD22" i="4" s="1"/>
  <c r="AB22" i="4"/>
  <c r="Z22" i="4"/>
  <c r="X22" i="4"/>
  <c r="V22" i="4"/>
  <c r="T22" i="4"/>
  <c r="R22" i="4"/>
  <c r="P22" i="4"/>
  <c r="N22" i="4"/>
  <c r="L22" i="4"/>
  <c r="J22" i="4"/>
  <c r="H22" i="4"/>
  <c r="F22" i="4"/>
  <c r="AC21" i="4"/>
  <c r="AD21" i="4" s="1"/>
  <c r="AB21" i="4"/>
  <c r="Z21" i="4"/>
  <c r="X21" i="4"/>
  <c r="V21" i="4"/>
  <c r="T21" i="4"/>
  <c r="R21" i="4"/>
  <c r="P21" i="4"/>
  <c r="N21" i="4"/>
  <c r="L21" i="4"/>
  <c r="J21" i="4"/>
  <c r="H21" i="4"/>
  <c r="F21" i="4"/>
  <c r="AC20" i="4"/>
  <c r="AD20" i="4" s="1"/>
  <c r="AB20" i="4"/>
  <c r="Z20" i="4"/>
  <c r="X20" i="4"/>
  <c r="V20" i="4"/>
  <c r="T20" i="4"/>
  <c r="R20" i="4"/>
  <c r="P20" i="4"/>
  <c r="N20" i="4"/>
  <c r="L20" i="4"/>
  <c r="J20" i="4"/>
  <c r="H20" i="4"/>
  <c r="F20" i="4"/>
  <c r="AC19" i="4"/>
  <c r="AD19" i="4" s="1"/>
  <c r="AB19" i="4"/>
  <c r="Z19" i="4"/>
  <c r="X19" i="4"/>
  <c r="V19" i="4"/>
  <c r="T19" i="4"/>
  <c r="R19" i="4"/>
  <c r="P19" i="4"/>
  <c r="N19" i="4"/>
  <c r="L19" i="4"/>
  <c r="J19" i="4"/>
  <c r="H19" i="4"/>
  <c r="F19" i="4"/>
  <c r="AC18" i="4"/>
  <c r="AD18" i="4" s="1"/>
  <c r="AB18" i="4"/>
  <c r="Z18" i="4"/>
  <c r="X18" i="4"/>
  <c r="V18" i="4"/>
  <c r="T18" i="4"/>
  <c r="R18" i="4"/>
  <c r="P18" i="4"/>
  <c r="N18" i="4"/>
  <c r="L18" i="4"/>
  <c r="J18" i="4"/>
  <c r="H18" i="4"/>
  <c r="F18" i="4"/>
  <c r="AC17" i="4"/>
  <c r="AD17" i="4" s="1"/>
  <c r="AB17" i="4"/>
  <c r="Z17" i="4"/>
  <c r="X17" i="4"/>
  <c r="V17" i="4"/>
  <c r="T17" i="4"/>
  <c r="R17" i="4"/>
  <c r="P17" i="4"/>
  <c r="N17" i="4"/>
  <c r="L17" i="4"/>
  <c r="J17" i="4"/>
  <c r="H17" i="4"/>
  <c r="F17" i="4"/>
  <c r="AC16" i="4"/>
  <c r="AD16" i="4" s="1"/>
  <c r="AB16" i="4"/>
  <c r="Z16" i="4"/>
  <c r="X16" i="4"/>
  <c r="V16" i="4"/>
  <c r="T16" i="4"/>
  <c r="R16" i="4"/>
  <c r="P16" i="4"/>
  <c r="N16" i="4"/>
  <c r="L16" i="4"/>
  <c r="J16" i="4"/>
  <c r="H16" i="4"/>
  <c r="F16" i="4"/>
  <c r="AD15" i="4"/>
  <c r="AC15" i="4"/>
  <c r="AB15" i="4"/>
  <c r="Z15" i="4"/>
  <c r="X15" i="4"/>
  <c r="V15" i="4"/>
  <c r="T15" i="4"/>
  <c r="R15" i="4"/>
  <c r="P15" i="4"/>
  <c r="N15" i="4"/>
  <c r="L15" i="4"/>
  <c r="J15" i="4"/>
  <c r="H15" i="4"/>
  <c r="F15" i="4"/>
  <c r="AC14" i="4"/>
  <c r="AD14" i="4" s="1"/>
  <c r="AB14" i="4"/>
  <c r="Z14" i="4"/>
  <c r="X14" i="4"/>
  <c r="V14" i="4"/>
  <c r="T14" i="4"/>
  <c r="R14" i="4"/>
  <c r="P14" i="4"/>
  <c r="N14" i="4"/>
  <c r="L14" i="4"/>
  <c r="J14" i="4"/>
  <c r="H14" i="4"/>
  <c r="F14" i="4"/>
  <c r="AC13" i="4"/>
  <c r="AD13" i="4" s="1"/>
  <c r="AB13" i="4"/>
  <c r="Z13" i="4"/>
  <c r="X13" i="4"/>
  <c r="V13" i="4"/>
  <c r="T13" i="4"/>
  <c r="R13" i="4"/>
  <c r="P13" i="4"/>
  <c r="N13" i="4"/>
  <c r="L13" i="4"/>
  <c r="J13" i="4"/>
  <c r="H13" i="4"/>
  <c r="F13" i="4"/>
  <c r="AC12" i="4"/>
  <c r="AD12" i="4" s="1"/>
  <c r="AB12" i="4"/>
  <c r="Z12" i="4"/>
  <c r="X12" i="4"/>
  <c r="V12" i="4"/>
  <c r="T12" i="4"/>
  <c r="R12" i="4"/>
  <c r="P12" i="4"/>
  <c r="N12" i="4"/>
  <c r="L12" i="4"/>
  <c r="J12" i="4"/>
  <c r="H12" i="4"/>
  <c r="F12" i="4"/>
  <c r="AC11" i="4"/>
  <c r="AD11" i="4" s="1"/>
  <c r="AB11" i="4"/>
  <c r="Z11" i="4"/>
  <c r="X11" i="4"/>
  <c r="V11" i="4"/>
  <c r="T11" i="4"/>
  <c r="R11" i="4"/>
  <c r="P11" i="4"/>
  <c r="N11" i="4"/>
  <c r="L11" i="4"/>
  <c r="J11" i="4"/>
  <c r="H11" i="4"/>
  <c r="F11" i="4"/>
  <c r="AC10" i="4"/>
  <c r="AD10" i="4" s="1"/>
  <c r="AB10" i="4"/>
  <c r="Z10" i="4"/>
  <c r="X10" i="4"/>
  <c r="V10" i="4"/>
  <c r="T10" i="4"/>
  <c r="R10" i="4"/>
  <c r="P10" i="4"/>
  <c r="N10" i="4"/>
  <c r="L10" i="4"/>
  <c r="J10" i="4"/>
  <c r="H10" i="4"/>
  <c r="F10" i="4"/>
  <c r="AC9" i="4"/>
  <c r="AD9" i="4" s="1"/>
  <c r="AB9" i="4"/>
  <c r="Z9" i="4"/>
  <c r="X9" i="4"/>
  <c r="V9" i="4"/>
  <c r="T9" i="4"/>
  <c r="R9" i="4"/>
  <c r="P9" i="4"/>
  <c r="N9" i="4"/>
  <c r="L9" i="4"/>
  <c r="J9" i="4"/>
  <c r="H9" i="4"/>
  <c r="F9" i="4"/>
  <c r="AC8" i="4"/>
  <c r="AD8" i="4" s="1"/>
  <c r="AB8" i="4"/>
  <c r="Z8" i="4"/>
  <c r="X8" i="4"/>
  <c r="V8" i="4"/>
  <c r="T8" i="4"/>
  <c r="R8" i="4"/>
  <c r="P8" i="4"/>
  <c r="N8" i="4"/>
  <c r="L8" i="4"/>
  <c r="J8" i="4"/>
  <c r="H8" i="4"/>
  <c r="F8" i="4"/>
  <c r="AC7" i="4"/>
  <c r="AD7" i="4" s="1"/>
  <c r="AB7" i="4"/>
  <c r="Z7" i="4"/>
  <c r="X7" i="4"/>
  <c r="V7" i="4"/>
  <c r="T7" i="4"/>
  <c r="R7" i="4"/>
  <c r="P7" i="4"/>
  <c r="N7" i="4"/>
  <c r="L7" i="4"/>
  <c r="J7" i="4"/>
  <c r="H7" i="4"/>
  <c r="F7" i="4"/>
  <c r="AC6" i="4"/>
  <c r="AD6" i="4" s="1"/>
  <c r="AB6" i="4"/>
  <c r="Z6" i="4"/>
  <c r="X6" i="4"/>
  <c r="V6" i="4"/>
  <c r="T6" i="4"/>
  <c r="R6" i="4"/>
  <c r="P6" i="4"/>
  <c r="N6" i="4"/>
  <c r="N39" i="4" s="1"/>
  <c r="L6" i="4"/>
  <c r="J6" i="4"/>
  <c r="H6" i="4"/>
  <c r="F6" i="4"/>
  <c r="AC5" i="4"/>
  <c r="AD5" i="4" s="1"/>
  <c r="AB5" i="4"/>
  <c r="Z5" i="4"/>
  <c r="X5" i="4"/>
  <c r="X39" i="4" s="1"/>
  <c r="V5" i="4"/>
  <c r="T5" i="4"/>
  <c r="R5" i="4"/>
  <c r="P5" i="4"/>
  <c r="N5" i="4"/>
  <c r="L5" i="4"/>
  <c r="J5" i="4"/>
  <c r="H5" i="4"/>
  <c r="H39" i="4" s="1"/>
  <c r="F5" i="4"/>
  <c r="AC4" i="4"/>
  <c r="AD4" i="4" s="1"/>
  <c r="AB4" i="4"/>
  <c r="Z4" i="4"/>
  <c r="X4" i="4"/>
  <c r="V4" i="4"/>
  <c r="V39" i="4" s="1"/>
  <c r="T4" i="4"/>
  <c r="R4" i="4"/>
  <c r="R39" i="4" s="1"/>
  <c r="P4" i="4"/>
  <c r="N4" i="4"/>
  <c r="L4" i="4"/>
  <c r="J4" i="4"/>
  <c r="H4" i="4"/>
  <c r="F4" i="4"/>
  <c r="F39" i="4" s="1"/>
  <c r="O99" i="3"/>
  <c r="Y95" i="3"/>
  <c r="Q95" i="3"/>
  <c r="AA94" i="3"/>
  <c r="AA95" i="3" s="1"/>
  <c r="Z94" i="3"/>
  <c r="Y94" i="3"/>
  <c r="W94" i="3"/>
  <c r="U94" i="3"/>
  <c r="U95" i="3" s="1"/>
  <c r="S94" i="3"/>
  <c r="S95" i="3" s="1"/>
  <c r="R94" i="3"/>
  <c r="Q94" i="3"/>
  <c r="O94" i="3"/>
  <c r="M94" i="3"/>
  <c r="M95" i="3" s="1"/>
  <c r="K94" i="3"/>
  <c r="K95" i="3" s="1"/>
  <c r="J94" i="3"/>
  <c r="I94" i="3"/>
  <c r="G94" i="3"/>
  <c r="E94" i="3"/>
  <c r="AC93" i="3"/>
  <c r="AD93" i="3" s="1"/>
  <c r="AB93" i="3"/>
  <c r="Z93" i="3"/>
  <c r="X93" i="3"/>
  <c r="V93" i="3"/>
  <c r="T93" i="3"/>
  <c r="R93" i="3"/>
  <c r="P93" i="3"/>
  <c r="N93" i="3"/>
  <c r="L93" i="3"/>
  <c r="J93" i="3"/>
  <c r="H93" i="3"/>
  <c r="F93" i="3"/>
  <c r="AC92" i="3"/>
  <c r="AD92" i="3" s="1"/>
  <c r="AB92" i="3"/>
  <c r="Z92" i="3"/>
  <c r="X92" i="3"/>
  <c r="V92" i="3"/>
  <c r="T92" i="3"/>
  <c r="R92" i="3"/>
  <c r="P92" i="3"/>
  <c r="N92" i="3"/>
  <c r="L92" i="3"/>
  <c r="J92" i="3"/>
  <c r="H92" i="3"/>
  <c r="F92" i="3"/>
  <c r="AD91" i="3"/>
  <c r="AC91" i="3"/>
  <c r="AB91" i="3"/>
  <c r="Z91" i="3"/>
  <c r="X91" i="3"/>
  <c r="V91" i="3"/>
  <c r="T91" i="3"/>
  <c r="R91" i="3"/>
  <c r="P91" i="3"/>
  <c r="N91" i="3"/>
  <c r="L91" i="3"/>
  <c r="J91" i="3"/>
  <c r="H91" i="3"/>
  <c r="F91" i="3"/>
  <c r="AD90" i="3"/>
  <c r="AC90" i="3"/>
  <c r="AB90" i="3"/>
  <c r="Z90" i="3"/>
  <c r="X90" i="3"/>
  <c r="V90" i="3"/>
  <c r="T90" i="3"/>
  <c r="R90" i="3"/>
  <c r="P90" i="3"/>
  <c r="N90" i="3"/>
  <c r="L90" i="3"/>
  <c r="J90" i="3"/>
  <c r="H90" i="3"/>
  <c r="F90" i="3"/>
  <c r="AC89" i="3"/>
  <c r="AD89" i="3" s="1"/>
  <c r="AB89" i="3"/>
  <c r="Z89" i="3"/>
  <c r="X89" i="3"/>
  <c r="V89" i="3"/>
  <c r="T89" i="3"/>
  <c r="R89" i="3"/>
  <c r="P89" i="3"/>
  <c r="N89" i="3"/>
  <c r="L89" i="3"/>
  <c r="J89" i="3"/>
  <c r="H89" i="3"/>
  <c r="F89" i="3"/>
  <c r="AC88" i="3"/>
  <c r="AD88" i="3" s="1"/>
  <c r="AB88" i="3"/>
  <c r="Z88" i="3"/>
  <c r="X88" i="3"/>
  <c r="V88" i="3"/>
  <c r="T88" i="3"/>
  <c r="R88" i="3"/>
  <c r="P88" i="3"/>
  <c r="N88" i="3"/>
  <c r="L88" i="3"/>
  <c r="J88" i="3"/>
  <c r="H88" i="3"/>
  <c r="F88" i="3"/>
  <c r="AD87" i="3"/>
  <c r="AC87" i="3"/>
  <c r="AB87" i="3"/>
  <c r="Z87" i="3"/>
  <c r="X87" i="3"/>
  <c r="V87" i="3"/>
  <c r="T87" i="3"/>
  <c r="R87" i="3"/>
  <c r="P87" i="3"/>
  <c r="N87" i="3"/>
  <c r="L87" i="3"/>
  <c r="J87" i="3"/>
  <c r="H87" i="3"/>
  <c r="F87" i="3"/>
  <c r="AD86" i="3"/>
  <c r="AC86" i="3"/>
  <c r="AB86" i="3"/>
  <c r="Z86" i="3"/>
  <c r="X86" i="3"/>
  <c r="V86" i="3"/>
  <c r="T86" i="3"/>
  <c r="R86" i="3"/>
  <c r="P86" i="3"/>
  <c r="N86" i="3"/>
  <c r="L86" i="3"/>
  <c r="J86" i="3"/>
  <c r="H86" i="3"/>
  <c r="F86" i="3"/>
  <c r="AC85" i="3"/>
  <c r="AD85" i="3" s="1"/>
  <c r="AB85" i="3"/>
  <c r="Z85" i="3"/>
  <c r="X85" i="3"/>
  <c r="V85" i="3"/>
  <c r="T85" i="3"/>
  <c r="R85" i="3"/>
  <c r="P85" i="3"/>
  <c r="N85" i="3"/>
  <c r="L85" i="3"/>
  <c r="J85" i="3"/>
  <c r="H85" i="3"/>
  <c r="F85" i="3"/>
  <c r="AC84" i="3"/>
  <c r="AD84" i="3" s="1"/>
  <c r="AB84" i="3"/>
  <c r="Z84" i="3"/>
  <c r="X84" i="3"/>
  <c r="V84" i="3"/>
  <c r="T84" i="3"/>
  <c r="R84" i="3"/>
  <c r="P84" i="3"/>
  <c r="N84" i="3"/>
  <c r="L84" i="3"/>
  <c r="J84" i="3"/>
  <c r="H84" i="3"/>
  <c r="F84" i="3"/>
  <c r="AD83" i="3"/>
  <c r="AC83" i="3"/>
  <c r="AB83" i="3"/>
  <c r="Z83" i="3"/>
  <c r="X83" i="3"/>
  <c r="V83" i="3"/>
  <c r="T83" i="3"/>
  <c r="R83" i="3"/>
  <c r="P83" i="3"/>
  <c r="N83" i="3"/>
  <c r="L83" i="3"/>
  <c r="J83" i="3"/>
  <c r="H83" i="3"/>
  <c r="F83" i="3"/>
  <c r="AD82" i="3"/>
  <c r="AC82" i="3"/>
  <c r="AB82" i="3"/>
  <c r="Z82" i="3"/>
  <c r="X82" i="3"/>
  <c r="V82" i="3"/>
  <c r="T82" i="3"/>
  <c r="R82" i="3"/>
  <c r="P82" i="3"/>
  <c r="N82" i="3"/>
  <c r="L82" i="3"/>
  <c r="J82" i="3"/>
  <c r="H82" i="3"/>
  <c r="F82" i="3"/>
  <c r="AC81" i="3"/>
  <c r="AD81" i="3" s="1"/>
  <c r="AB81" i="3"/>
  <c r="Z81" i="3"/>
  <c r="X81" i="3"/>
  <c r="V81" i="3"/>
  <c r="T81" i="3"/>
  <c r="R81" i="3"/>
  <c r="P81" i="3"/>
  <c r="P94" i="3" s="1"/>
  <c r="N81" i="3"/>
  <c r="L81" i="3"/>
  <c r="J81" i="3"/>
  <c r="H81" i="3"/>
  <c r="F81" i="3"/>
  <c r="AC80" i="3"/>
  <c r="AD80" i="3" s="1"/>
  <c r="AB80" i="3"/>
  <c r="AB94" i="3" s="1"/>
  <c r="Z80" i="3"/>
  <c r="X80" i="3"/>
  <c r="V80" i="3"/>
  <c r="T80" i="3"/>
  <c r="R80" i="3"/>
  <c r="P80" i="3"/>
  <c r="N80" i="3"/>
  <c r="N94" i="3" s="1"/>
  <c r="L80" i="3"/>
  <c r="L94" i="3" s="1"/>
  <c r="J80" i="3"/>
  <c r="H80" i="3"/>
  <c r="F80" i="3"/>
  <c r="AD79" i="3"/>
  <c r="AC79" i="3"/>
  <c r="AB79" i="3"/>
  <c r="Z79" i="3"/>
  <c r="X79" i="3"/>
  <c r="X94" i="3" s="1"/>
  <c r="V79" i="3"/>
  <c r="V94" i="3" s="1"/>
  <c r="T79" i="3"/>
  <c r="T94" i="3" s="1"/>
  <c r="T95" i="3" s="1"/>
  <c r="R79" i="3"/>
  <c r="P79" i="3"/>
  <c r="N79" i="3"/>
  <c r="L79" i="3"/>
  <c r="J79" i="3"/>
  <c r="H79" i="3"/>
  <c r="H94" i="3" s="1"/>
  <c r="F79" i="3"/>
  <c r="F94" i="3" s="1"/>
  <c r="AA77" i="3"/>
  <c r="Y77" i="3"/>
  <c r="W77" i="3"/>
  <c r="W95" i="3" s="1"/>
  <c r="U77" i="3"/>
  <c r="S77" i="3"/>
  <c r="Q77" i="3"/>
  <c r="O77" i="3"/>
  <c r="O95" i="3" s="1"/>
  <c r="K77" i="3"/>
  <c r="G77" i="3"/>
  <c r="G95" i="3" s="1"/>
  <c r="AD76" i="3"/>
  <c r="AC76" i="3"/>
  <c r="AB76" i="3"/>
  <c r="Z76" i="3"/>
  <c r="X76" i="3"/>
  <c r="V76" i="3"/>
  <c r="T76" i="3"/>
  <c r="R76" i="3"/>
  <c r="P76" i="3"/>
  <c r="N76" i="3"/>
  <c r="L76" i="3"/>
  <c r="J76" i="3"/>
  <c r="H76" i="3"/>
  <c r="F76" i="3"/>
  <c r="AD75" i="3"/>
  <c r="AC75" i="3"/>
  <c r="AB75" i="3"/>
  <c r="Z75" i="3"/>
  <c r="X75" i="3"/>
  <c r="V75" i="3"/>
  <c r="T75" i="3"/>
  <c r="R75" i="3"/>
  <c r="P75" i="3"/>
  <c r="N75" i="3"/>
  <c r="L75" i="3"/>
  <c r="J75" i="3"/>
  <c r="H75" i="3"/>
  <c r="F75" i="3"/>
  <c r="AC74" i="3"/>
  <c r="AD74" i="3" s="1"/>
  <c r="AB74" i="3"/>
  <c r="Z74" i="3"/>
  <c r="X74" i="3"/>
  <c r="V74" i="3"/>
  <c r="T74" i="3"/>
  <c r="R74" i="3"/>
  <c r="P74" i="3"/>
  <c r="N74" i="3"/>
  <c r="L74" i="3"/>
  <c r="J74" i="3"/>
  <c r="H74" i="3"/>
  <c r="F74" i="3"/>
  <c r="AC73" i="3"/>
  <c r="AD73" i="3" s="1"/>
  <c r="AB73" i="3"/>
  <c r="Z73" i="3"/>
  <c r="X73" i="3"/>
  <c r="V73" i="3"/>
  <c r="T73" i="3"/>
  <c r="R73" i="3"/>
  <c r="P73" i="3"/>
  <c r="N73" i="3"/>
  <c r="L73" i="3"/>
  <c r="J73" i="3"/>
  <c r="H73" i="3"/>
  <c r="F73" i="3"/>
  <c r="AD72" i="3"/>
  <c r="AC72" i="3"/>
  <c r="AB72" i="3"/>
  <c r="Z72" i="3"/>
  <c r="X72" i="3"/>
  <c r="V72" i="3"/>
  <c r="T72" i="3"/>
  <c r="R72" i="3"/>
  <c r="P72" i="3"/>
  <c r="N72" i="3"/>
  <c r="L72" i="3"/>
  <c r="J72" i="3"/>
  <c r="H72" i="3"/>
  <c r="F72" i="3"/>
  <c r="AD71" i="3"/>
  <c r="AC71" i="3"/>
  <c r="AB71" i="3"/>
  <c r="Z71" i="3"/>
  <c r="X71" i="3"/>
  <c r="V71" i="3"/>
  <c r="T71" i="3"/>
  <c r="T77" i="3" s="1"/>
  <c r="R71" i="3"/>
  <c r="P71" i="3"/>
  <c r="N71" i="3"/>
  <c r="L71" i="3"/>
  <c r="J71" i="3"/>
  <c r="H71" i="3"/>
  <c r="F71" i="3"/>
  <c r="AC70" i="3"/>
  <c r="AD70" i="3" s="1"/>
  <c r="AB70" i="3"/>
  <c r="Z70" i="3"/>
  <c r="X70" i="3"/>
  <c r="V70" i="3"/>
  <c r="T70" i="3"/>
  <c r="R70" i="3"/>
  <c r="P70" i="3"/>
  <c r="N70" i="3"/>
  <c r="L70" i="3"/>
  <c r="J70" i="3"/>
  <c r="H70" i="3"/>
  <c r="F70" i="3"/>
  <c r="AB69" i="3"/>
  <c r="Z69" i="3"/>
  <c r="X69" i="3"/>
  <c r="V69" i="3"/>
  <c r="T69" i="3"/>
  <c r="R69" i="3"/>
  <c r="P69" i="3"/>
  <c r="N69" i="3"/>
  <c r="L69" i="3"/>
  <c r="I69" i="3"/>
  <c r="I77" i="3" s="1"/>
  <c r="I95" i="3" s="1"/>
  <c r="H69" i="3"/>
  <c r="F69" i="3"/>
  <c r="AB68" i="3"/>
  <c r="Z68" i="3"/>
  <c r="X68" i="3"/>
  <c r="V68" i="3"/>
  <c r="T68" i="3"/>
  <c r="R68" i="3"/>
  <c r="O68" i="3"/>
  <c r="P68" i="3" s="1"/>
  <c r="P77" i="3" s="1"/>
  <c r="M68" i="3"/>
  <c r="M77" i="3" s="1"/>
  <c r="L68" i="3"/>
  <c r="J68" i="3"/>
  <c r="I68" i="3"/>
  <c r="H68" i="3"/>
  <c r="E68" i="3"/>
  <c r="E77" i="3" s="1"/>
  <c r="AC67" i="3"/>
  <c r="AD67" i="3" s="1"/>
  <c r="AB67" i="3"/>
  <c r="Z67" i="3"/>
  <c r="X67" i="3"/>
  <c r="V67" i="3"/>
  <c r="T67" i="3"/>
  <c r="R67" i="3"/>
  <c r="R77" i="3" s="1"/>
  <c r="P67" i="3"/>
  <c r="N67" i="3"/>
  <c r="L67" i="3"/>
  <c r="J67" i="3"/>
  <c r="H67" i="3"/>
  <c r="F67" i="3"/>
  <c r="AC66" i="3"/>
  <c r="AB66" i="3"/>
  <c r="AB77" i="3" s="1"/>
  <c r="Z66" i="3"/>
  <c r="Z77" i="3" s="1"/>
  <c r="X66" i="3"/>
  <c r="X77" i="3" s="1"/>
  <c r="V66" i="3"/>
  <c r="V77" i="3" s="1"/>
  <c r="T66" i="3"/>
  <c r="R66" i="3"/>
  <c r="P66" i="3"/>
  <c r="N66" i="3"/>
  <c r="L66" i="3"/>
  <c r="L77" i="3" s="1"/>
  <c r="J66" i="3"/>
  <c r="H66" i="3"/>
  <c r="H77" i="3" s="1"/>
  <c r="F66" i="3"/>
  <c r="AA64" i="3"/>
  <c r="Y64" i="3"/>
  <c r="W64" i="3"/>
  <c r="U64" i="3"/>
  <c r="S64" i="3"/>
  <c r="Q64" i="3"/>
  <c r="O64" i="3"/>
  <c r="M64" i="3"/>
  <c r="K64" i="3"/>
  <c r="I64" i="3"/>
  <c r="G64" i="3"/>
  <c r="E64" i="3"/>
  <c r="AC63" i="3"/>
  <c r="AD63" i="3" s="1"/>
  <c r="AB63" i="3"/>
  <c r="Z63" i="3"/>
  <c r="X63" i="3"/>
  <c r="V63" i="3"/>
  <c r="T63" i="3"/>
  <c r="R63" i="3"/>
  <c r="P63" i="3"/>
  <c r="N63" i="3"/>
  <c r="L63" i="3"/>
  <c r="J63" i="3"/>
  <c r="H63" i="3"/>
  <c r="F63" i="3"/>
  <c r="AD62" i="3"/>
  <c r="AC62" i="3"/>
  <c r="AB62" i="3"/>
  <c r="Z62" i="3"/>
  <c r="X62" i="3"/>
  <c r="V62" i="3"/>
  <c r="T62" i="3"/>
  <c r="R62" i="3"/>
  <c r="P62" i="3"/>
  <c r="N62" i="3"/>
  <c r="L62" i="3"/>
  <c r="J62" i="3"/>
  <c r="H62" i="3"/>
  <c r="F62" i="3"/>
  <c r="AC61" i="3"/>
  <c r="AD61" i="3" s="1"/>
  <c r="AB61" i="3"/>
  <c r="Z61" i="3"/>
  <c r="X61" i="3"/>
  <c r="V61" i="3"/>
  <c r="T61" i="3"/>
  <c r="R61" i="3"/>
  <c r="P61" i="3"/>
  <c r="N61" i="3"/>
  <c r="L61" i="3"/>
  <c r="J61" i="3"/>
  <c r="H61" i="3"/>
  <c r="F61" i="3"/>
  <c r="AC60" i="3"/>
  <c r="AD60" i="3" s="1"/>
  <c r="AB60" i="3"/>
  <c r="Z60" i="3"/>
  <c r="X60" i="3"/>
  <c r="V60" i="3"/>
  <c r="T60" i="3"/>
  <c r="R60" i="3"/>
  <c r="P60" i="3"/>
  <c r="N60" i="3"/>
  <c r="L60" i="3"/>
  <c r="J60" i="3"/>
  <c r="H60" i="3"/>
  <c r="F60" i="3"/>
  <c r="AC59" i="3"/>
  <c r="AD59" i="3" s="1"/>
  <c r="AB59" i="3"/>
  <c r="Z59" i="3"/>
  <c r="X59" i="3"/>
  <c r="V59" i="3"/>
  <c r="T59" i="3"/>
  <c r="R59" i="3"/>
  <c r="P59" i="3"/>
  <c r="N59" i="3"/>
  <c r="L59" i="3"/>
  <c r="J59" i="3"/>
  <c r="H59" i="3"/>
  <c r="F59" i="3"/>
  <c r="AD58" i="3"/>
  <c r="AC58" i="3"/>
  <c r="AB58" i="3"/>
  <c r="Z58" i="3"/>
  <c r="X58" i="3"/>
  <c r="V58" i="3"/>
  <c r="T58" i="3"/>
  <c r="R58" i="3"/>
  <c r="P58" i="3"/>
  <c r="N58" i="3"/>
  <c r="L58" i="3"/>
  <c r="J58" i="3"/>
  <c r="H58" i="3"/>
  <c r="F58" i="3"/>
  <c r="AC57" i="3"/>
  <c r="AD57" i="3" s="1"/>
  <c r="AB57" i="3"/>
  <c r="Z57" i="3"/>
  <c r="X57" i="3"/>
  <c r="V57" i="3"/>
  <c r="T57" i="3"/>
  <c r="R57" i="3"/>
  <c r="P57" i="3"/>
  <c r="N57" i="3"/>
  <c r="L57" i="3"/>
  <c r="J57" i="3"/>
  <c r="H57" i="3"/>
  <c r="F57" i="3"/>
  <c r="AC56" i="3"/>
  <c r="AD56" i="3" s="1"/>
  <c r="AB56" i="3"/>
  <c r="Z56" i="3"/>
  <c r="X56" i="3"/>
  <c r="V56" i="3"/>
  <c r="T56" i="3"/>
  <c r="R56" i="3"/>
  <c r="P56" i="3"/>
  <c r="N56" i="3"/>
  <c r="L56" i="3"/>
  <c r="J56" i="3"/>
  <c r="H56" i="3"/>
  <c r="F56" i="3"/>
  <c r="AC55" i="3"/>
  <c r="AD55" i="3" s="1"/>
  <c r="AB55" i="3"/>
  <c r="Z55" i="3"/>
  <c r="X55" i="3"/>
  <c r="V55" i="3"/>
  <c r="T55" i="3"/>
  <c r="R55" i="3"/>
  <c r="P55" i="3"/>
  <c r="N55" i="3"/>
  <c r="L55" i="3"/>
  <c r="J55" i="3"/>
  <c r="H55" i="3"/>
  <c r="F55" i="3"/>
  <c r="AD54" i="3"/>
  <c r="AC54" i="3"/>
  <c r="AB54" i="3"/>
  <c r="Z54" i="3"/>
  <c r="X54" i="3"/>
  <c r="V54" i="3"/>
  <c r="T54" i="3"/>
  <c r="R54" i="3"/>
  <c r="P54" i="3"/>
  <c r="N54" i="3"/>
  <c r="L54" i="3"/>
  <c r="J54" i="3"/>
  <c r="H54" i="3"/>
  <c r="F54" i="3"/>
  <c r="AC53" i="3"/>
  <c r="AD53" i="3" s="1"/>
  <c r="AB53" i="3"/>
  <c r="Z53" i="3"/>
  <c r="X53" i="3"/>
  <c r="V53" i="3"/>
  <c r="T53" i="3"/>
  <c r="R53" i="3"/>
  <c r="P53" i="3"/>
  <c r="N53" i="3"/>
  <c r="L53" i="3"/>
  <c r="J53" i="3"/>
  <c r="H53" i="3"/>
  <c r="F53" i="3"/>
  <c r="AC52" i="3"/>
  <c r="AD52" i="3" s="1"/>
  <c r="AB52" i="3"/>
  <c r="Z52" i="3"/>
  <c r="X52" i="3"/>
  <c r="V52" i="3"/>
  <c r="T52" i="3"/>
  <c r="R52" i="3"/>
  <c r="P52" i="3"/>
  <c r="N52" i="3"/>
  <c r="L52" i="3"/>
  <c r="J52" i="3"/>
  <c r="H52" i="3"/>
  <c r="F52" i="3"/>
  <c r="AC51" i="3"/>
  <c r="AD51" i="3" s="1"/>
  <c r="AB51" i="3"/>
  <c r="Z51" i="3"/>
  <c r="X51" i="3"/>
  <c r="V51" i="3"/>
  <c r="T51" i="3"/>
  <c r="R51" i="3"/>
  <c r="P51" i="3"/>
  <c r="N51" i="3"/>
  <c r="L51" i="3"/>
  <c r="J51" i="3"/>
  <c r="H51" i="3"/>
  <c r="F51" i="3"/>
  <c r="AD50" i="3"/>
  <c r="AC50" i="3"/>
  <c r="AB50" i="3"/>
  <c r="Z50" i="3"/>
  <c r="X50" i="3"/>
  <c r="V50" i="3"/>
  <c r="T50" i="3"/>
  <c r="R50" i="3"/>
  <c r="P50" i="3"/>
  <c r="N50" i="3"/>
  <c r="L50" i="3"/>
  <c r="J50" i="3"/>
  <c r="H50" i="3"/>
  <c r="F50" i="3"/>
  <c r="AC49" i="3"/>
  <c r="AD49" i="3" s="1"/>
  <c r="AB49" i="3"/>
  <c r="Z49" i="3"/>
  <c r="X49" i="3"/>
  <c r="V49" i="3"/>
  <c r="T49" i="3"/>
  <c r="R49" i="3"/>
  <c r="P49" i="3"/>
  <c r="N49" i="3"/>
  <c r="L49" i="3"/>
  <c r="J49" i="3"/>
  <c r="H49" i="3"/>
  <c r="F49" i="3"/>
  <c r="AC48" i="3"/>
  <c r="AD48" i="3" s="1"/>
  <c r="AB48" i="3"/>
  <c r="Z48" i="3"/>
  <c r="X48" i="3"/>
  <c r="V48" i="3"/>
  <c r="T48" i="3"/>
  <c r="R48" i="3"/>
  <c r="P48" i="3"/>
  <c r="N48" i="3"/>
  <c r="L48" i="3"/>
  <c r="J48" i="3"/>
  <c r="H48" i="3"/>
  <c r="F48" i="3"/>
  <c r="AC47" i="3"/>
  <c r="AD47" i="3" s="1"/>
  <c r="AB47" i="3"/>
  <c r="Z47" i="3"/>
  <c r="X47" i="3"/>
  <c r="V47" i="3"/>
  <c r="T47" i="3"/>
  <c r="R47" i="3"/>
  <c r="P47" i="3"/>
  <c r="N47" i="3"/>
  <c r="L47" i="3"/>
  <c r="J47" i="3"/>
  <c r="H47" i="3"/>
  <c r="F47" i="3"/>
  <c r="AD46" i="3"/>
  <c r="AC46" i="3"/>
  <c r="AB46" i="3"/>
  <c r="Z46" i="3"/>
  <c r="X46" i="3"/>
  <c r="V46" i="3"/>
  <c r="T46" i="3"/>
  <c r="R46" i="3"/>
  <c r="P46" i="3"/>
  <c r="N46" i="3"/>
  <c r="L46" i="3"/>
  <c r="J46" i="3"/>
  <c r="H46" i="3"/>
  <c r="F46" i="3"/>
  <c r="AC45" i="3"/>
  <c r="AD45" i="3" s="1"/>
  <c r="AB45" i="3"/>
  <c r="Z45" i="3"/>
  <c r="X45" i="3"/>
  <c r="V45" i="3"/>
  <c r="T45" i="3"/>
  <c r="R45" i="3"/>
  <c r="P45" i="3"/>
  <c r="N45" i="3"/>
  <c r="L45" i="3"/>
  <c r="J45" i="3"/>
  <c r="H45" i="3"/>
  <c r="F45" i="3"/>
  <c r="AC44" i="3"/>
  <c r="AD44" i="3" s="1"/>
  <c r="AB44" i="3"/>
  <c r="Z44" i="3"/>
  <c r="X44" i="3"/>
  <c r="V44" i="3"/>
  <c r="T44" i="3"/>
  <c r="R44" i="3"/>
  <c r="P44" i="3"/>
  <c r="N44" i="3"/>
  <c r="L44" i="3"/>
  <c r="J44" i="3"/>
  <c r="H44" i="3"/>
  <c r="F44" i="3"/>
  <c r="AC43" i="3"/>
  <c r="AD43" i="3" s="1"/>
  <c r="AB43" i="3"/>
  <c r="Z43" i="3"/>
  <c r="X43" i="3"/>
  <c r="V43" i="3"/>
  <c r="T43" i="3"/>
  <c r="R43" i="3"/>
  <c r="P43" i="3"/>
  <c r="N43" i="3"/>
  <c r="L43" i="3"/>
  <c r="J43" i="3"/>
  <c r="H43" i="3"/>
  <c r="F43" i="3"/>
  <c r="AD42" i="3"/>
  <c r="AC42" i="3"/>
  <c r="AB42" i="3"/>
  <c r="Z42" i="3"/>
  <c r="X42" i="3"/>
  <c r="V42" i="3"/>
  <c r="T42" i="3"/>
  <c r="R42" i="3"/>
  <c r="P42" i="3"/>
  <c r="N42" i="3"/>
  <c r="L42" i="3"/>
  <c r="J42" i="3"/>
  <c r="H42" i="3"/>
  <c r="F42" i="3"/>
  <c r="AC41" i="3"/>
  <c r="AD41" i="3" s="1"/>
  <c r="AB41" i="3"/>
  <c r="Z41" i="3"/>
  <c r="X41" i="3"/>
  <c r="V41" i="3"/>
  <c r="T41" i="3"/>
  <c r="R41" i="3"/>
  <c r="P41" i="3"/>
  <c r="N41" i="3"/>
  <c r="L41" i="3"/>
  <c r="J41" i="3"/>
  <c r="H41" i="3"/>
  <c r="F41" i="3"/>
  <c r="AC40" i="3"/>
  <c r="AD40" i="3" s="1"/>
  <c r="AB40" i="3"/>
  <c r="Z40" i="3"/>
  <c r="X40" i="3"/>
  <c r="V40" i="3"/>
  <c r="T40" i="3"/>
  <c r="R40" i="3"/>
  <c r="P40" i="3"/>
  <c r="N40" i="3"/>
  <c r="L40" i="3"/>
  <c r="J40" i="3"/>
  <c r="H40" i="3"/>
  <c r="F40" i="3"/>
  <c r="AC39" i="3"/>
  <c r="AD39" i="3" s="1"/>
  <c r="AB39" i="3"/>
  <c r="Z39" i="3"/>
  <c r="X39" i="3"/>
  <c r="V39" i="3"/>
  <c r="T39" i="3"/>
  <c r="R39" i="3"/>
  <c r="P39" i="3"/>
  <c r="N39" i="3"/>
  <c r="L39" i="3"/>
  <c r="J39" i="3"/>
  <c r="H39" i="3"/>
  <c r="F39" i="3"/>
  <c r="AD38" i="3"/>
  <c r="AC38" i="3"/>
  <c r="AB38" i="3"/>
  <c r="Z38" i="3"/>
  <c r="X38" i="3"/>
  <c r="V38" i="3"/>
  <c r="T38" i="3"/>
  <c r="R38" i="3"/>
  <c r="P38" i="3"/>
  <c r="N38" i="3"/>
  <c r="L38" i="3"/>
  <c r="J38" i="3"/>
  <c r="H38" i="3"/>
  <c r="F38" i="3"/>
  <c r="AC37" i="3"/>
  <c r="AD37" i="3" s="1"/>
  <c r="AB37" i="3"/>
  <c r="Z37" i="3"/>
  <c r="X37" i="3"/>
  <c r="V37" i="3"/>
  <c r="T37" i="3"/>
  <c r="R37" i="3"/>
  <c r="P37" i="3"/>
  <c r="N37" i="3"/>
  <c r="L37" i="3"/>
  <c r="J37" i="3"/>
  <c r="H37" i="3"/>
  <c r="F37" i="3"/>
  <c r="AC36" i="3"/>
  <c r="AD36" i="3" s="1"/>
  <c r="AB36" i="3"/>
  <c r="Z36" i="3"/>
  <c r="X36" i="3"/>
  <c r="V36" i="3"/>
  <c r="T36" i="3"/>
  <c r="R36" i="3"/>
  <c r="P36" i="3"/>
  <c r="N36" i="3"/>
  <c r="L36" i="3"/>
  <c r="J36" i="3"/>
  <c r="H36" i="3"/>
  <c r="F36" i="3"/>
  <c r="AC35" i="3"/>
  <c r="AD35" i="3" s="1"/>
  <c r="AB35" i="3"/>
  <c r="Z35" i="3"/>
  <c r="X35" i="3"/>
  <c r="V35" i="3"/>
  <c r="T35" i="3"/>
  <c r="R35" i="3"/>
  <c r="P35" i="3"/>
  <c r="N35" i="3"/>
  <c r="L35" i="3"/>
  <c r="J35" i="3"/>
  <c r="H35" i="3"/>
  <c r="F35" i="3"/>
  <c r="AD34" i="3"/>
  <c r="AC34" i="3"/>
  <c r="AB34" i="3"/>
  <c r="Z34" i="3"/>
  <c r="X34" i="3"/>
  <c r="V34" i="3"/>
  <c r="T34" i="3"/>
  <c r="R34" i="3"/>
  <c r="P34" i="3"/>
  <c r="N34" i="3"/>
  <c r="L34" i="3"/>
  <c r="J34" i="3"/>
  <c r="H34" i="3"/>
  <c r="F34" i="3"/>
  <c r="AC33" i="3"/>
  <c r="AD33" i="3" s="1"/>
  <c r="AB33" i="3"/>
  <c r="Z33" i="3"/>
  <c r="X33" i="3"/>
  <c r="V33" i="3"/>
  <c r="T33" i="3"/>
  <c r="R33" i="3"/>
  <c r="P33" i="3"/>
  <c r="N33" i="3"/>
  <c r="L33" i="3"/>
  <c r="J33" i="3"/>
  <c r="H33" i="3"/>
  <c r="F33" i="3"/>
  <c r="AC32" i="3"/>
  <c r="AD32" i="3" s="1"/>
  <c r="AB32" i="3"/>
  <c r="Z32" i="3"/>
  <c r="X32" i="3"/>
  <c r="V32" i="3"/>
  <c r="T32" i="3"/>
  <c r="R32" i="3"/>
  <c r="P32" i="3"/>
  <c r="N32" i="3"/>
  <c r="L32" i="3"/>
  <c r="J32" i="3"/>
  <c r="H32" i="3"/>
  <c r="F32" i="3"/>
  <c r="AC31" i="3"/>
  <c r="AD31" i="3" s="1"/>
  <c r="AB31" i="3"/>
  <c r="Z31" i="3"/>
  <c r="X31" i="3"/>
  <c r="V31" i="3"/>
  <c r="T31" i="3"/>
  <c r="R31" i="3"/>
  <c r="P31" i="3"/>
  <c r="N31" i="3"/>
  <c r="L31" i="3"/>
  <c r="J31" i="3"/>
  <c r="H31" i="3"/>
  <c r="F31" i="3"/>
  <c r="AD30" i="3"/>
  <c r="AC30" i="3"/>
  <c r="AB30" i="3"/>
  <c r="Z30" i="3"/>
  <c r="X30" i="3"/>
  <c r="V30" i="3"/>
  <c r="T30" i="3"/>
  <c r="R30" i="3"/>
  <c r="P30" i="3"/>
  <c r="N30" i="3"/>
  <c r="L30" i="3"/>
  <c r="J30" i="3"/>
  <c r="H30" i="3"/>
  <c r="F30" i="3"/>
  <c r="AC29" i="3"/>
  <c r="AD29" i="3" s="1"/>
  <c r="AB29" i="3"/>
  <c r="Z29" i="3"/>
  <c r="X29" i="3"/>
  <c r="V29" i="3"/>
  <c r="T29" i="3"/>
  <c r="R29" i="3"/>
  <c r="P29" i="3"/>
  <c r="N29" i="3"/>
  <c r="L29" i="3"/>
  <c r="J29" i="3"/>
  <c r="H29" i="3"/>
  <c r="F29" i="3"/>
  <c r="AC28" i="3"/>
  <c r="AD28" i="3" s="1"/>
  <c r="AB28" i="3"/>
  <c r="Z28" i="3"/>
  <c r="X28" i="3"/>
  <c r="V28" i="3"/>
  <c r="T28" i="3"/>
  <c r="R28" i="3"/>
  <c r="P28" i="3"/>
  <c r="N28" i="3"/>
  <c r="L28" i="3"/>
  <c r="J28" i="3"/>
  <c r="H28" i="3"/>
  <c r="F28" i="3"/>
  <c r="AC27" i="3"/>
  <c r="AD27" i="3" s="1"/>
  <c r="AB27" i="3"/>
  <c r="Z27" i="3"/>
  <c r="X27" i="3"/>
  <c r="V27" i="3"/>
  <c r="T27" i="3"/>
  <c r="R27" i="3"/>
  <c r="P27" i="3"/>
  <c r="N27" i="3"/>
  <c r="L27" i="3"/>
  <c r="J27" i="3"/>
  <c r="H27" i="3"/>
  <c r="F27" i="3"/>
  <c r="AD26" i="3"/>
  <c r="AC26" i="3"/>
  <c r="AB26" i="3"/>
  <c r="Z26" i="3"/>
  <c r="X26" i="3"/>
  <c r="V26" i="3"/>
  <c r="T26" i="3"/>
  <c r="R26" i="3"/>
  <c r="P26" i="3"/>
  <c r="N26" i="3"/>
  <c r="L26" i="3"/>
  <c r="J26" i="3"/>
  <c r="H26" i="3"/>
  <c r="F26" i="3"/>
  <c r="AC25" i="3"/>
  <c r="AD25" i="3" s="1"/>
  <c r="AB25" i="3"/>
  <c r="Z25" i="3"/>
  <c r="X25" i="3"/>
  <c r="V25" i="3"/>
  <c r="T25" i="3"/>
  <c r="R25" i="3"/>
  <c r="P25" i="3"/>
  <c r="N25" i="3"/>
  <c r="L25" i="3"/>
  <c r="J25" i="3"/>
  <c r="H25" i="3"/>
  <c r="F25" i="3"/>
  <c r="AC24" i="3"/>
  <c r="AD24" i="3" s="1"/>
  <c r="AB24" i="3"/>
  <c r="Z24" i="3"/>
  <c r="X24" i="3"/>
  <c r="V24" i="3"/>
  <c r="T24" i="3"/>
  <c r="R24" i="3"/>
  <c r="P24" i="3"/>
  <c r="N24" i="3"/>
  <c r="L24" i="3"/>
  <c r="J24" i="3"/>
  <c r="H24" i="3"/>
  <c r="F24" i="3"/>
  <c r="AC23" i="3"/>
  <c r="AD23" i="3" s="1"/>
  <c r="AB23" i="3"/>
  <c r="Z23" i="3"/>
  <c r="X23" i="3"/>
  <c r="V23" i="3"/>
  <c r="T23" i="3"/>
  <c r="R23" i="3"/>
  <c r="P23" i="3"/>
  <c r="N23" i="3"/>
  <c r="L23" i="3"/>
  <c r="J23" i="3"/>
  <c r="H23" i="3"/>
  <c r="F23" i="3"/>
  <c r="AD22" i="3"/>
  <c r="AC22" i="3"/>
  <c r="AB22" i="3"/>
  <c r="Z22" i="3"/>
  <c r="X22" i="3"/>
  <c r="V22" i="3"/>
  <c r="T22" i="3"/>
  <c r="R22" i="3"/>
  <c r="P22" i="3"/>
  <c r="N22" i="3"/>
  <c r="L22" i="3"/>
  <c r="J22" i="3"/>
  <c r="H22" i="3"/>
  <c r="F22" i="3"/>
  <c r="AC21" i="3"/>
  <c r="AD21" i="3" s="1"/>
  <c r="AB21" i="3"/>
  <c r="Z21" i="3"/>
  <c r="X21" i="3"/>
  <c r="V21" i="3"/>
  <c r="T21" i="3"/>
  <c r="R21" i="3"/>
  <c r="P21" i="3"/>
  <c r="N21" i="3"/>
  <c r="L21" i="3"/>
  <c r="J21" i="3"/>
  <c r="H21" i="3"/>
  <c r="F21" i="3"/>
  <c r="AC20" i="3"/>
  <c r="AD20" i="3" s="1"/>
  <c r="AB20" i="3"/>
  <c r="Z20" i="3"/>
  <c r="X20" i="3"/>
  <c r="V20" i="3"/>
  <c r="T20" i="3"/>
  <c r="R20" i="3"/>
  <c r="P20" i="3"/>
  <c r="N20" i="3"/>
  <c r="L20" i="3"/>
  <c r="J20" i="3"/>
  <c r="H20" i="3"/>
  <c r="F20" i="3"/>
  <c r="AC19" i="3"/>
  <c r="AD19" i="3" s="1"/>
  <c r="AB19" i="3"/>
  <c r="Z19" i="3"/>
  <c r="X19" i="3"/>
  <c r="V19" i="3"/>
  <c r="T19" i="3"/>
  <c r="R19" i="3"/>
  <c r="P19" i="3"/>
  <c r="N19" i="3"/>
  <c r="L19" i="3"/>
  <c r="J19" i="3"/>
  <c r="H19" i="3"/>
  <c r="F19" i="3"/>
  <c r="AD18" i="3"/>
  <c r="AC18" i="3"/>
  <c r="AB18" i="3"/>
  <c r="Z18" i="3"/>
  <c r="X18" i="3"/>
  <c r="V18" i="3"/>
  <c r="T18" i="3"/>
  <c r="R18" i="3"/>
  <c r="P18" i="3"/>
  <c r="N18" i="3"/>
  <c r="L18" i="3"/>
  <c r="J18" i="3"/>
  <c r="H18" i="3"/>
  <c r="F18" i="3"/>
  <c r="AC17" i="3"/>
  <c r="AD17" i="3" s="1"/>
  <c r="AB17" i="3"/>
  <c r="Z17" i="3"/>
  <c r="X17" i="3"/>
  <c r="V17" i="3"/>
  <c r="T17" i="3"/>
  <c r="R17" i="3"/>
  <c r="P17" i="3"/>
  <c r="N17" i="3"/>
  <c r="L17" i="3"/>
  <c r="J17" i="3"/>
  <c r="H17" i="3"/>
  <c r="F17" i="3"/>
  <c r="AC16" i="3"/>
  <c r="AD16" i="3" s="1"/>
  <c r="AB16" i="3"/>
  <c r="Z16" i="3"/>
  <c r="X16" i="3"/>
  <c r="V16" i="3"/>
  <c r="T16" i="3"/>
  <c r="R16" i="3"/>
  <c r="P16" i="3"/>
  <c r="N16" i="3"/>
  <c r="L16" i="3"/>
  <c r="J16" i="3"/>
  <c r="H16" i="3"/>
  <c r="F16" i="3"/>
  <c r="AC15" i="3"/>
  <c r="AD15" i="3" s="1"/>
  <c r="AB15" i="3"/>
  <c r="Z15" i="3"/>
  <c r="X15" i="3"/>
  <c r="V15" i="3"/>
  <c r="T15" i="3"/>
  <c r="R15" i="3"/>
  <c r="P15" i="3"/>
  <c r="N15" i="3"/>
  <c r="L15" i="3"/>
  <c r="J15" i="3"/>
  <c r="H15" i="3"/>
  <c r="F15" i="3"/>
  <c r="AD14" i="3"/>
  <c r="AC14" i="3"/>
  <c r="AB14" i="3"/>
  <c r="Z14" i="3"/>
  <c r="X14" i="3"/>
  <c r="V14" i="3"/>
  <c r="T14" i="3"/>
  <c r="R14" i="3"/>
  <c r="P14" i="3"/>
  <c r="N14" i="3"/>
  <c r="L14" i="3"/>
  <c r="J14" i="3"/>
  <c r="H14" i="3"/>
  <c r="F14" i="3"/>
  <c r="AC13" i="3"/>
  <c r="AD13" i="3" s="1"/>
  <c r="AB13" i="3"/>
  <c r="Z13" i="3"/>
  <c r="X13" i="3"/>
  <c r="V13" i="3"/>
  <c r="T13" i="3"/>
  <c r="R13" i="3"/>
  <c r="P13" i="3"/>
  <c r="N13" i="3"/>
  <c r="L13" i="3"/>
  <c r="J13" i="3"/>
  <c r="H13" i="3"/>
  <c r="F13" i="3"/>
  <c r="AC12" i="3"/>
  <c r="AD12" i="3" s="1"/>
  <c r="AB12" i="3"/>
  <c r="Z12" i="3"/>
  <c r="X12" i="3"/>
  <c r="V12" i="3"/>
  <c r="T12" i="3"/>
  <c r="R12" i="3"/>
  <c r="P12" i="3"/>
  <c r="N12" i="3"/>
  <c r="L12" i="3"/>
  <c r="J12" i="3"/>
  <c r="H12" i="3"/>
  <c r="F12" i="3"/>
  <c r="AC11" i="3"/>
  <c r="AD11" i="3" s="1"/>
  <c r="AB11" i="3"/>
  <c r="Z11" i="3"/>
  <c r="X11" i="3"/>
  <c r="V11" i="3"/>
  <c r="T11" i="3"/>
  <c r="R11" i="3"/>
  <c r="P11" i="3"/>
  <c r="N11" i="3"/>
  <c r="L11" i="3"/>
  <c r="J11" i="3"/>
  <c r="H11" i="3"/>
  <c r="F11" i="3"/>
  <c r="AD10" i="3"/>
  <c r="AC10" i="3"/>
  <c r="AB10" i="3"/>
  <c r="Z10" i="3"/>
  <c r="X10" i="3"/>
  <c r="V10" i="3"/>
  <c r="T10" i="3"/>
  <c r="R10" i="3"/>
  <c r="P10" i="3"/>
  <c r="N10" i="3"/>
  <c r="L10" i="3"/>
  <c r="J10" i="3"/>
  <c r="H10" i="3"/>
  <c r="F10" i="3"/>
  <c r="AC9" i="3"/>
  <c r="AD9" i="3" s="1"/>
  <c r="AB9" i="3"/>
  <c r="Z9" i="3"/>
  <c r="X9" i="3"/>
  <c r="V9" i="3"/>
  <c r="T9" i="3"/>
  <c r="R9" i="3"/>
  <c r="P9" i="3"/>
  <c r="N9" i="3"/>
  <c r="L9" i="3"/>
  <c r="J9" i="3"/>
  <c r="H9" i="3"/>
  <c r="F9" i="3"/>
  <c r="AC8" i="3"/>
  <c r="AD8" i="3" s="1"/>
  <c r="AB8" i="3"/>
  <c r="Z8" i="3"/>
  <c r="X8" i="3"/>
  <c r="V8" i="3"/>
  <c r="T8" i="3"/>
  <c r="R8" i="3"/>
  <c r="P8" i="3"/>
  <c r="N8" i="3"/>
  <c r="L8" i="3"/>
  <c r="J8" i="3"/>
  <c r="H8" i="3"/>
  <c r="F8" i="3"/>
  <c r="AC7" i="3"/>
  <c r="AD7" i="3" s="1"/>
  <c r="AB7" i="3"/>
  <c r="Z7" i="3"/>
  <c r="X7" i="3"/>
  <c r="X64" i="3" s="1"/>
  <c r="V7" i="3"/>
  <c r="T7" i="3"/>
  <c r="R7" i="3"/>
  <c r="P7" i="3"/>
  <c r="N7" i="3"/>
  <c r="L7" i="3"/>
  <c r="J7" i="3"/>
  <c r="H7" i="3"/>
  <c r="H64" i="3" s="1"/>
  <c r="F7" i="3"/>
  <c r="AD6" i="3"/>
  <c r="AC6" i="3"/>
  <c r="AB6" i="3"/>
  <c r="Z6" i="3"/>
  <c r="X6" i="3"/>
  <c r="V6" i="3"/>
  <c r="T6" i="3"/>
  <c r="R6" i="3"/>
  <c r="P6" i="3"/>
  <c r="N6" i="3"/>
  <c r="L6" i="3"/>
  <c r="J6" i="3"/>
  <c r="H6" i="3"/>
  <c r="F6" i="3"/>
  <c r="AC5" i="3"/>
  <c r="AD5" i="3" s="1"/>
  <c r="AB5" i="3"/>
  <c r="Z5" i="3"/>
  <c r="X5" i="3"/>
  <c r="V5" i="3"/>
  <c r="V64" i="3" s="1"/>
  <c r="T5" i="3"/>
  <c r="T64" i="3" s="1"/>
  <c r="R5" i="3"/>
  <c r="R64" i="3" s="1"/>
  <c r="P5" i="3"/>
  <c r="P64" i="3" s="1"/>
  <c r="N5" i="3"/>
  <c r="L5" i="3"/>
  <c r="J5" i="3"/>
  <c r="H5" i="3"/>
  <c r="F5" i="3"/>
  <c r="F64" i="3" s="1"/>
  <c r="AC4" i="3"/>
  <c r="AC64" i="3" s="1"/>
  <c r="AB4" i="3"/>
  <c r="AB64" i="3" s="1"/>
  <c r="Z4" i="3"/>
  <c r="Z64" i="3" s="1"/>
  <c r="X4" i="3"/>
  <c r="V4" i="3"/>
  <c r="T4" i="3"/>
  <c r="R4" i="3"/>
  <c r="P4" i="3"/>
  <c r="N4" i="3"/>
  <c r="N64" i="3" s="1"/>
  <c r="L4" i="3"/>
  <c r="L64" i="3" s="1"/>
  <c r="J4" i="3"/>
  <c r="J64" i="3" s="1"/>
  <c r="H4" i="3"/>
  <c r="F4" i="3"/>
  <c r="U54" i="2"/>
  <c r="S54" i="2"/>
  <c r="M54" i="2"/>
  <c r="K54" i="2"/>
  <c r="AC53" i="2"/>
  <c r="AC54" i="2" s="1"/>
  <c r="Y53" i="2"/>
  <c r="W53" i="2"/>
  <c r="U53" i="2"/>
  <c r="T53" i="2"/>
  <c r="S53" i="2"/>
  <c r="Q53" i="2"/>
  <c r="O53" i="2"/>
  <c r="M53" i="2"/>
  <c r="K53" i="2"/>
  <c r="I53" i="2"/>
  <c r="G53" i="2"/>
  <c r="AE52" i="2"/>
  <c r="AG52" i="2" s="1"/>
  <c r="AD52" i="2"/>
  <c r="AB52" i="2"/>
  <c r="Z52" i="2"/>
  <c r="AF52" i="2" s="1"/>
  <c r="AH52" i="2" s="1"/>
  <c r="X52" i="2"/>
  <c r="V52" i="2"/>
  <c r="T52" i="2"/>
  <c r="R52" i="2"/>
  <c r="P52" i="2"/>
  <c r="N52" i="2"/>
  <c r="L52" i="2"/>
  <c r="J52" i="2"/>
  <c r="H52" i="2"/>
  <c r="AE51" i="2"/>
  <c r="AG51" i="2" s="1"/>
  <c r="AD51" i="2"/>
  <c r="AB51" i="2"/>
  <c r="Z51" i="2"/>
  <c r="AF51" i="2" s="1"/>
  <c r="AH51" i="2" s="1"/>
  <c r="X51" i="2"/>
  <c r="V51" i="2"/>
  <c r="T51" i="2"/>
  <c r="R51" i="2"/>
  <c r="P51" i="2"/>
  <c r="N51" i="2"/>
  <c r="L51" i="2"/>
  <c r="J51" i="2"/>
  <c r="H51" i="2"/>
  <c r="AE50" i="2"/>
  <c r="AG50" i="2" s="1"/>
  <c r="AD50" i="2"/>
  <c r="AB50" i="2"/>
  <c r="Z50" i="2"/>
  <c r="X50" i="2"/>
  <c r="V50" i="2"/>
  <c r="T50" i="2"/>
  <c r="R50" i="2"/>
  <c r="AF50" i="2" s="1"/>
  <c r="AH50" i="2" s="1"/>
  <c r="P50" i="2"/>
  <c r="N50" i="2"/>
  <c r="L50" i="2"/>
  <c r="J50" i="2"/>
  <c r="H50" i="2"/>
  <c r="AG49" i="2"/>
  <c r="AE49" i="2"/>
  <c r="AD49" i="2"/>
  <c r="AB49" i="2"/>
  <c r="Z49" i="2"/>
  <c r="X49" i="2"/>
  <c r="V49" i="2"/>
  <c r="T49" i="2"/>
  <c r="R49" i="2"/>
  <c r="P49" i="2"/>
  <c r="N49" i="2"/>
  <c r="L49" i="2"/>
  <c r="J49" i="2"/>
  <c r="H49" i="2"/>
  <c r="AG48" i="2"/>
  <c r="AE48" i="2"/>
  <c r="AD48" i="2"/>
  <c r="AB48" i="2"/>
  <c r="Z48" i="2"/>
  <c r="X48" i="2"/>
  <c r="V48" i="2"/>
  <c r="T48" i="2"/>
  <c r="R48" i="2"/>
  <c r="P48" i="2"/>
  <c r="N48" i="2"/>
  <c r="L48" i="2"/>
  <c r="J48" i="2"/>
  <c r="H48" i="2"/>
  <c r="AG47" i="2"/>
  <c r="AE47" i="2"/>
  <c r="AD47" i="2"/>
  <c r="AB47" i="2"/>
  <c r="Z47" i="2"/>
  <c r="AF47" i="2" s="1"/>
  <c r="AH47" i="2" s="1"/>
  <c r="X47" i="2"/>
  <c r="V47" i="2"/>
  <c r="T47" i="2"/>
  <c r="R47" i="2"/>
  <c r="P47" i="2"/>
  <c r="N47" i="2"/>
  <c r="L47" i="2"/>
  <c r="J47" i="2"/>
  <c r="H47" i="2"/>
  <c r="AG46" i="2"/>
  <c r="AE46" i="2"/>
  <c r="AD46" i="2"/>
  <c r="AB46" i="2"/>
  <c r="Z46" i="2"/>
  <c r="AF46" i="2" s="1"/>
  <c r="AH46" i="2" s="1"/>
  <c r="X46" i="2"/>
  <c r="V46" i="2"/>
  <c r="T46" i="2"/>
  <c r="R46" i="2"/>
  <c r="P46" i="2"/>
  <c r="N46" i="2"/>
  <c r="L46" i="2"/>
  <c r="L53" i="2" s="1"/>
  <c r="L54" i="2" s="1"/>
  <c r="J46" i="2"/>
  <c r="H46" i="2"/>
  <c r="AG45" i="2"/>
  <c r="AE45" i="2"/>
  <c r="AD45" i="2"/>
  <c r="AB45" i="2"/>
  <c r="AA45" i="2"/>
  <c r="AA53" i="2" s="1"/>
  <c r="Z45" i="2"/>
  <c r="X45" i="2"/>
  <c r="V45" i="2"/>
  <c r="T45" i="2"/>
  <c r="R45" i="2"/>
  <c r="P45" i="2"/>
  <c r="P53" i="2" s="1"/>
  <c r="N45" i="2"/>
  <c r="L45" i="2"/>
  <c r="J45" i="2"/>
  <c r="H45" i="2"/>
  <c r="AE44" i="2"/>
  <c r="AG44" i="2" s="1"/>
  <c r="AD44" i="2"/>
  <c r="AB44" i="2"/>
  <c r="Z44" i="2"/>
  <c r="X44" i="2"/>
  <c r="V44" i="2"/>
  <c r="V53" i="2" s="1"/>
  <c r="T44" i="2"/>
  <c r="R44" i="2"/>
  <c r="P44" i="2"/>
  <c r="N44" i="2"/>
  <c r="L44" i="2"/>
  <c r="J44" i="2"/>
  <c r="H44" i="2"/>
  <c r="H53" i="2" s="1"/>
  <c r="AH43" i="2"/>
  <c r="AG43" i="2"/>
  <c r="AC42" i="2"/>
  <c r="AA42" i="2"/>
  <c r="AA54" i="2" s="1"/>
  <c r="Y42" i="2"/>
  <c r="Y54" i="2" s="1"/>
  <c r="W42" i="2"/>
  <c r="U42" i="2"/>
  <c r="S42" i="2"/>
  <c r="Q42" i="2"/>
  <c r="Q54" i="2" s="1"/>
  <c r="O42" i="2"/>
  <c r="O54" i="2" s="1"/>
  <c r="M42" i="2"/>
  <c r="K42" i="2"/>
  <c r="I42" i="2"/>
  <c r="I54" i="2" s="1"/>
  <c r="G42" i="2"/>
  <c r="G54" i="2" s="1"/>
  <c r="AE41" i="2"/>
  <c r="AG41" i="2" s="1"/>
  <c r="AD41" i="2"/>
  <c r="AB41" i="2"/>
  <c r="Z41" i="2"/>
  <c r="X41" i="2"/>
  <c r="V41" i="2"/>
  <c r="T41" i="2"/>
  <c r="R41" i="2"/>
  <c r="P41" i="2"/>
  <c r="N41" i="2"/>
  <c r="N42" i="2" s="1"/>
  <c r="L41" i="2"/>
  <c r="J41" i="2"/>
  <c r="H41" i="2"/>
  <c r="AD40" i="2"/>
  <c r="AD42" i="2" s="1"/>
  <c r="AB40" i="2"/>
  <c r="Z40" i="2"/>
  <c r="X40" i="2"/>
  <c r="V40" i="2"/>
  <c r="T40" i="2"/>
  <c r="R40" i="2"/>
  <c r="O40" i="2"/>
  <c r="AE40" i="2" s="1"/>
  <c r="AG40" i="2" s="1"/>
  <c r="N40" i="2"/>
  <c r="L40" i="2"/>
  <c r="J40" i="2"/>
  <c r="H40" i="2"/>
  <c r="AE39" i="2"/>
  <c r="AG39" i="2" s="1"/>
  <c r="AD39" i="2"/>
  <c r="AB39" i="2"/>
  <c r="Z39" i="2"/>
  <c r="X39" i="2"/>
  <c r="V39" i="2"/>
  <c r="T39" i="2"/>
  <c r="R39" i="2"/>
  <c r="P39" i="2"/>
  <c r="N39" i="2"/>
  <c r="L39" i="2"/>
  <c r="J39" i="2"/>
  <c r="H39" i="2"/>
  <c r="AF39" i="2" s="1"/>
  <c r="AH39" i="2" s="1"/>
  <c r="AE38" i="2"/>
  <c r="AG38" i="2" s="1"/>
  <c r="AD38" i="2"/>
  <c r="AB38" i="2"/>
  <c r="Z38" i="2"/>
  <c r="X38" i="2"/>
  <c r="V38" i="2"/>
  <c r="T38" i="2"/>
  <c r="R38" i="2"/>
  <c r="P38" i="2"/>
  <c r="N38" i="2"/>
  <c r="L38" i="2"/>
  <c r="J38" i="2"/>
  <c r="H38" i="2"/>
  <c r="AF38" i="2" s="1"/>
  <c r="AH38" i="2" s="1"/>
  <c r="AE37" i="2"/>
  <c r="AG37" i="2" s="1"/>
  <c r="AD37" i="2"/>
  <c r="AB37" i="2"/>
  <c r="Z37" i="2"/>
  <c r="X37" i="2"/>
  <c r="V37" i="2"/>
  <c r="T37" i="2"/>
  <c r="R37" i="2"/>
  <c r="P37" i="2"/>
  <c r="AF37" i="2" s="1"/>
  <c r="AH37" i="2" s="1"/>
  <c r="N37" i="2"/>
  <c r="L37" i="2"/>
  <c r="J37" i="2"/>
  <c r="H37" i="2"/>
  <c r="AE36" i="2"/>
  <c r="AG36" i="2" s="1"/>
  <c r="AD36" i="2"/>
  <c r="AB36" i="2"/>
  <c r="Z36" i="2"/>
  <c r="X36" i="2"/>
  <c r="V36" i="2"/>
  <c r="T36" i="2"/>
  <c r="R36" i="2"/>
  <c r="P36" i="2"/>
  <c r="AF36" i="2" s="1"/>
  <c r="AH36" i="2" s="1"/>
  <c r="N36" i="2"/>
  <c r="L36" i="2"/>
  <c r="J36" i="2"/>
  <c r="H36" i="2"/>
  <c r="AE35" i="2"/>
  <c r="AG35" i="2" s="1"/>
  <c r="AD35" i="2"/>
  <c r="AB35" i="2"/>
  <c r="Z35" i="2"/>
  <c r="X35" i="2"/>
  <c r="V35" i="2"/>
  <c r="T35" i="2"/>
  <c r="R35" i="2"/>
  <c r="P35" i="2"/>
  <c r="N35" i="2"/>
  <c r="L35" i="2"/>
  <c r="J35" i="2"/>
  <c r="H35" i="2"/>
  <c r="AF35" i="2" s="1"/>
  <c r="AH35" i="2" s="1"/>
  <c r="AE34" i="2"/>
  <c r="AG34" i="2" s="1"/>
  <c r="AD34" i="2"/>
  <c r="AB34" i="2"/>
  <c r="Z34" i="2"/>
  <c r="X34" i="2"/>
  <c r="V34" i="2"/>
  <c r="T34" i="2"/>
  <c r="R34" i="2"/>
  <c r="P34" i="2"/>
  <c r="N34" i="2"/>
  <c r="L34" i="2"/>
  <c r="J34" i="2"/>
  <c r="H34" i="2"/>
  <c r="AF34" i="2" s="1"/>
  <c r="AH34" i="2" s="1"/>
  <c r="AE33" i="2"/>
  <c r="AG33" i="2" s="1"/>
  <c r="AD33" i="2"/>
  <c r="AB33" i="2"/>
  <c r="Z33" i="2"/>
  <c r="X33" i="2"/>
  <c r="V33" i="2"/>
  <c r="T33" i="2"/>
  <c r="R33" i="2"/>
  <c r="P33" i="2"/>
  <c r="AF33" i="2" s="1"/>
  <c r="AH33" i="2" s="1"/>
  <c r="N33" i="2"/>
  <c r="L33" i="2"/>
  <c r="J33" i="2"/>
  <c r="H33" i="2"/>
  <c r="AE32" i="2"/>
  <c r="AG32" i="2" s="1"/>
  <c r="AD32" i="2"/>
  <c r="AB32" i="2"/>
  <c r="Z32" i="2"/>
  <c r="X32" i="2"/>
  <c r="V32" i="2"/>
  <c r="T32" i="2"/>
  <c r="R32" i="2"/>
  <c r="P32" i="2"/>
  <c r="AF32" i="2" s="1"/>
  <c r="AH32" i="2" s="1"/>
  <c r="N32" i="2"/>
  <c r="L32" i="2"/>
  <c r="J32" i="2"/>
  <c r="H32" i="2"/>
  <c r="AE31" i="2"/>
  <c r="AG31" i="2" s="1"/>
  <c r="AD31" i="2"/>
  <c r="AB31" i="2"/>
  <c r="Z31" i="2"/>
  <c r="X31" i="2"/>
  <c r="V31" i="2"/>
  <c r="T31" i="2"/>
  <c r="R31" i="2"/>
  <c r="P31" i="2"/>
  <c r="N31" i="2"/>
  <c r="L31" i="2"/>
  <c r="J31" i="2"/>
  <c r="H31" i="2"/>
  <c r="AF31" i="2" s="1"/>
  <c r="AH31" i="2" s="1"/>
  <c r="AE30" i="2"/>
  <c r="AG30" i="2" s="1"/>
  <c r="AD30" i="2"/>
  <c r="AB30" i="2"/>
  <c r="Z30" i="2"/>
  <c r="X30" i="2"/>
  <c r="V30" i="2"/>
  <c r="T30" i="2"/>
  <c r="R30" i="2"/>
  <c r="P30" i="2"/>
  <c r="N30" i="2"/>
  <c r="L30" i="2"/>
  <c r="J30" i="2"/>
  <c r="H30" i="2"/>
  <c r="AF30" i="2" s="1"/>
  <c r="AH30" i="2" s="1"/>
  <c r="AE29" i="2"/>
  <c r="AG29" i="2" s="1"/>
  <c r="AD29" i="2"/>
  <c r="AB29" i="2"/>
  <c r="Z29" i="2"/>
  <c r="X29" i="2"/>
  <c r="V29" i="2"/>
  <c r="T29" i="2"/>
  <c r="R29" i="2"/>
  <c r="P29" i="2"/>
  <c r="AF29" i="2" s="1"/>
  <c r="AH29" i="2" s="1"/>
  <c r="N29" i="2"/>
  <c r="L29" i="2"/>
  <c r="J29" i="2"/>
  <c r="H29" i="2"/>
  <c r="AE28" i="2"/>
  <c r="AG28" i="2" s="1"/>
  <c r="AD28" i="2"/>
  <c r="AB28" i="2"/>
  <c r="Z28" i="2"/>
  <c r="X28" i="2"/>
  <c r="V28" i="2"/>
  <c r="T28" i="2"/>
  <c r="R28" i="2"/>
  <c r="P28" i="2"/>
  <c r="AF28" i="2" s="1"/>
  <c r="AH28" i="2" s="1"/>
  <c r="N28" i="2"/>
  <c r="L28" i="2"/>
  <c r="J28" i="2"/>
  <c r="H28" i="2"/>
  <c r="AE27" i="2"/>
  <c r="AG27" i="2" s="1"/>
  <c r="AD27" i="2"/>
  <c r="AB27" i="2"/>
  <c r="Z27" i="2"/>
  <c r="X27" i="2"/>
  <c r="V27" i="2"/>
  <c r="T27" i="2"/>
  <c r="R27" i="2"/>
  <c r="P27" i="2"/>
  <c r="N27" i="2"/>
  <c r="L27" i="2"/>
  <c r="J27" i="2"/>
  <c r="H27" i="2"/>
  <c r="AF27" i="2" s="1"/>
  <c r="AH27" i="2" s="1"/>
  <c r="AE26" i="2"/>
  <c r="AG26" i="2" s="1"/>
  <c r="AD26" i="2"/>
  <c r="AB26" i="2"/>
  <c r="Z26" i="2"/>
  <c r="X26" i="2"/>
  <c r="V26" i="2"/>
  <c r="T26" i="2"/>
  <c r="R26" i="2"/>
  <c r="P26" i="2"/>
  <c r="N26" i="2"/>
  <c r="L26" i="2"/>
  <c r="J26" i="2"/>
  <c r="H26" i="2"/>
  <c r="AF26" i="2" s="1"/>
  <c r="AH26" i="2" s="1"/>
  <c r="AE25" i="2"/>
  <c r="AG25" i="2" s="1"/>
  <c r="AD25" i="2"/>
  <c r="AB25" i="2"/>
  <c r="Z25" i="2"/>
  <c r="X25" i="2"/>
  <c r="V25" i="2"/>
  <c r="T25" i="2"/>
  <c r="R25" i="2"/>
  <c r="P25" i="2"/>
  <c r="AF25" i="2" s="1"/>
  <c r="AH25" i="2" s="1"/>
  <c r="N25" i="2"/>
  <c r="L25" i="2"/>
  <c r="J25" i="2"/>
  <c r="H25" i="2"/>
  <c r="AE24" i="2"/>
  <c r="AG24" i="2" s="1"/>
  <c r="AD24" i="2"/>
  <c r="AB24" i="2"/>
  <c r="Z24" i="2"/>
  <c r="X24" i="2"/>
  <c r="V24" i="2"/>
  <c r="T24" i="2"/>
  <c r="R24" i="2"/>
  <c r="P24" i="2"/>
  <c r="AF24" i="2" s="1"/>
  <c r="AH24" i="2" s="1"/>
  <c r="N24" i="2"/>
  <c r="L24" i="2"/>
  <c r="J24" i="2"/>
  <c r="H24" i="2"/>
  <c r="AE23" i="2"/>
  <c r="AG23" i="2" s="1"/>
  <c r="AD23" i="2"/>
  <c r="AB23" i="2"/>
  <c r="Z23" i="2"/>
  <c r="X23" i="2"/>
  <c r="V23" i="2"/>
  <c r="T23" i="2"/>
  <c r="R23" i="2"/>
  <c r="P23" i="2"/>
  <c r="N23" i="2"/>
  <c r="L23" i="2"/>
  <c r="J23" i="2"/>
  <c r="H23" i="2"/>
  <c r="AF23" i="2" s="1"/>
  <c r="AH23" i="2" s="1"/>
  <c r="AE22" i="2"/>
  <c r="AG22" i="2" s="1"/>
  <c r="AD22" i="2"/>
  <c r="AB22" i="2"/>
  <c r="Z22" i="2"/>
  <c r="X22" i="2"/>
  <c r="V22" i="2"/>
  <c r="T22" i="2"/>
  <c r="R22" i="2"/>
  <c r="P22" i="2"/>
  <c r="N22" i="2"/>
  <c r="L22" i="2"/>
  <c r="J22" i="2"/>
  <c r="H22" i="2"/>
  <c r="AF22" i="2" s="1"/>
  <c r="AH22" i="2" s="1"/>
  <c r="AE21" i="2"/>
  <c r="AG21" i="2" s="1"/>
  <c r="AD21" i="2"/>
  <c r="AB21" i="2"/>
  <c r="Z21" i="2"/>
  <c r="X21" i="2"/>
  <c r="V21" i="2"/>
  <c r="T21" i="2"/>
  <c r="R21" i="2"/>
  <c r="P21" i="2"/>
  <c r="AF21" i="2" s="1"/>
  <c r="AH21" i="2" s="1"/>
  <c r="N21" i="2"/>
  <c r="L21" i="2"/>
  <c r="J21" i="2"/>
  <c r="H21" i="2"/>
  <c r="AE20" i="2"/>
  <c r="AG20" i="2" s="1"/>
  <c r="AD20" i="2"/>
  <c r="AB20" i="2"/>
  <c r="Z20" i="2"/>
  <c r="X20" i="2"/>
  <c r="V20" i="2"/>
  <c r="T20" i="2"/>
  <c r="R20" i="2"/>
  <c r="P20" i="2"/>
  <c r="AF20" i="2" s="1"/>
  <c r="AH20" i="2" s="1"/>
  <c r="N20" i="2"/>
  <c r="L20" i="2"/>
  <c r="J20" i="2"/>
  <c r="H20" i="2"/>
  <c r="AE19" i="2"/>
  <c r="AG19" i="2" s="1"/>
  <c r="AD19" i="2"/>
  <c r="AB19" i="2"/>
  <c r="Z19" i="2"/>
  <c r="X19" i="2"/>
  <c r="V19" i="2"/>
  <c r="T19" i="2"/>
  <c r="R19" i="2"/>
  <c r="P19" i="2"/>
  <c r="N19" i="2"/>
  <c r="L19" i="2"/>
  <c r="J19" i="2"/>
  <c r="H19" i="2"/>
  <c r="AF19" i="2" s="1"/>
  <c r="AH19" i="2" s="1"/>
  <c r="AE18" i="2"/>
  <c r="AG18" i="2" s="1"/>
  <c r="AD18" i="2"/>
  <c r="AB18" i="2"/>
  <c r="Z18" i="2"/>
  <c r="X18" i="2"/>
  <c r="V18" i="2"/>
  <c r="T18" i="2"/>
  <c r="R18" i="2"/>
  <c r="P18" i="2"/>
  <c r="N18" i="2"/>
  <c r="L18" i="2"/>
  <c r="J18" i="2"/>
  <c r="H18" i="2"/>
  <c r="AF18" i="2" s="1"/>
  <c r="AH18" i="2" s="1"/>
  <c r="AE17" i="2"/>
  <c r="AG17" i="2" s="1"/>
  <c r="AD17" i="2"/>
  <c r="AB17" i="2"/>
  <c r="Z17" i="2"/>
  <c r="X17" i="2"/>
  <c r="V17" i="2"/>
  <c r="T17" i="2"/>
  <c r="R17" i="2"/>
  <c r="P17" i="2"/>
  <c r="AF17" i="2" s="1"/>
  <c r="AH17" i="2" s="1"/>
  <c r="N17" i="2"/>
  <c r="L17" i="2"/>
  <c r="J17" i="2"/>
  <c r="H17" i="2"/>
  <c r="AE16" i="2"/>
  <c r="AG16" i="2" s="1"/>
  <c r="AD16" i="2"/>
  <c r="AB16" i="2"/>
  <c r="Z16" i="2"/>
  <c r="X16" i="2"/>
  <c r="V16" i="2"/>
  <c r="T16" i="2"/>
  <c r="R16" i="2"/>
  <c r="P16" i="2"/>
  <c r="AF16" i="2" s="1"/>
  <c r="AH16" i="2" s="1"/>
  <c r="N16" i="2"/>
  <c r="L16" i="2"/>
  <c r="J16" i="2"/>
  <c r="H16" i="2"/>
  <c r="AE15" i="2"/>
  <c r="AG15" i="2" s="1"/>
  <c r="AD15" i="2"/>
  <c r="AB15" i="2"/>
  <c r="Z15" i="2"/>
  <c r="X15" i="2"/>
  <c r="V15" i="2"/>
  <c r="T15" i="2"/>
  <c r="R15" i="2"/>
  <c r="P15" i="2"/>
  <c r="N15" i="2"/>
  <c r="L15" i="2"/>
  <c r="J15" i="2"/>
  <c r="H15" i="2"/>
  <c r="AF15" i="2" s="1"/>
  <c r="AH15" i="2" s="1"/>
  <c r="AE14" i="2"/>
  <c r="AG14" i="2" s="1"/>
  <c r="AD14" i="2"/>
  <c r="AB14" i="2"/>
  <c r="Z14" i="2"/>
  <c r="X14" i="2"/>
  <c r="V14" i="2"/>
  <c r="T14" i="2"/>
  <c r="R14" i="2"/>
  <c r="P14" i="2"/>
  <c r="N14" i="2"/>
  <c r="L14" i="2"/>
  <c r="J14" i="2"/>
  <c r="H14" i="2"/>
  <c r="AF14" i="2" s="1"/>
  <c r="AH14" i="2" s="1"/>
  <c r="AE13" i="2"/>
  <c r="AG13" i="2" s="1"/>
  <c r="AD13" i="2"/>
  <c r="AB13" i="2"/>
  <c r="Z13" i="2"/>
  <c r="X13" i="2"/>
  <c r="V13" i="2"/>
  <c r="T13" i="2"/>
  <c r="R13" i="2"/>
  <c r="P13" i="2"/>
  <c r="AF13" i="2" s="1"/>
  <c r="AH13" i="2" s="1"/>
  <c r="N13" i="2"/>
  <c r="L13" i="2"/>
  <c r="J13" i="2"/>
  <c r="H13" i="2"/>
  <c r="AE12" i="2"/>
  <c r="AG12" i="2" s="1"/>
  <c r="AD12" i="2"/>
  <c r="AB12" i="2"/>
  <c r="Z12" i="2"/>
  <c r="X12" i="2"/>
  <c r="V12" i="2"/>
  <c r="T12" i="2"/>
  <c r="R12" i="2"/>
  <c r="P12" i="2"/>
  <c r="AF12" i="2" s="1"/>
  <c r="AH12" i="2" s="1"/>
  <c r="N12" i="2"/>
  <c r="L12" i="2"/>
  <c r="J12" i="2"/>
  <c r="H12" i="2"/>
  <c r="AE11" i="2"/>
  <c r="AG11" i="2" s="1"/>
  <c r="AD11" i="2"/>
  <c r="AB11" i="2"/>
  <c r="Z11" i="2"/>
  <c r="Z42" i="2" s="1"/>
  <c r="X11" i="2"/>
  <c r="V11" i="2"/>
  <c r="T11" i="2"/>
  <c r="R11" i="2"/>
  <c r="P11" i="2"/>
  <c r="N11" i="2"/>
  <c r="L11" i="2"/>
  <c r="J11" i="2"/>
  <c r="H11" i="2"/>
  <c r="AF11" i="2" s="1"/>
  <c r="AH11" i="2" s="1"/>
  <c r="AE10" i="2"/>
  <c r="AG10" i="2" s="1"/>
  <c r="AD10" i="2"/>
  <c r="AB10" i="2"/>
  <c r="Z10" i="2"/>
  <c r="X10" i="2"/>
  <c r="V10" i="2"/>
  <c r="T10" i="2"/>
  <c r="R10" i="2"/>
  <c r="P10" i="2"/>
  <c r="N10" i="2"/>
  <c r="L10" i="2"/>
  <c r="J10" i="2"/>
  <c r="H10" i="2"/>
  <c r="AG9" i="2"/>
  <c r="AF9" i="2"/>
  <c r="AH9" i="2" s="1"/>
  <c r="AE9" i="2"/>
  <c r="AD9" i="2"/>
  <c r="AB9" i="2"/>
  <c r="Z9" i="2"/>
  <c r="X9" i="2"/>
  <c r="V9" i="2"/>
  <c r="T9" i="2"/>
  <c r="R9" i="2"/>
  <c r="R42" i="2" s="1"/>
  <c r="P9" i="2"/>
  <c r="O9" i="2"/>
  <c r="N9" i="2"/>
  <c r="L9" i="2"/>
  <c r="J9" i="2"/>
  <c r="H9" i="2"/>
  <c r="AG8" i="2"/>
  <c r="AE8" i="2"/>
  <c r="AD8" i="2"/>
  <c r="AB8" i="2"/>
  <c r="Z8" i="2"/>
  <c r="X8" i="2"/>
  <c r="V8" i="2"/>
  <c r="T8" i="2"/>
  <c r="R8" i="2"/>
  <c r="P8" i="2"/>
  <c r="N8" i="2"/>
  <c r="L8" i="2"/>
  <c r="J8" i="2"/>
  <c r="AF8" i="2" s="1"/>
  <c r="AH8" i="2" s="1"/>
  <c r="H8" i="2"/>
  <c r="AG7" i="2"/>
  <c r="AE7" i="2"/>
  <c r="AD7" i="2"/>
  <c r="AB7" i="2"/>
  <c r="Z7" i="2"/>
  <c r="X7" i="2"/>
  <c r="V7" i="2"/>
  <c r="T7" i="2"/>
  <c r="R7" i="2"/>
  <c r="P7" i="2"/>
  <c r="N7" i="2"/>
  <c r="L7" i="2"/>
  <c r="J7" i="2"/>
  <c r="AF7" i="2" s="1"/>
  <c r="AH7" i="2" s="1"/>
  <c r="H7" i="2"/>
  <c r="AG6" i="2"/>
  <c r="AE6" i="2"/>
  <c r="AD6" i="2"/>
  <c r="AB6" i="2"/>
  <c r="Z6" i="2"/>
  <c r="X6" i="2"/>
  <c r="V6" i="2"/>
  <c r="T6" i="2"/>
  <c r="R6" i="2"/>
  <c r="P6" i="2"/>
  <c r="N6" i="2"/>
  <c r="L6" i="2"/>
  <c r="J6" i="2"/>
  <c r="AF6" i="2" s="1"/>
  <c r="AH6" i="2" s="1"/>
  <c r="H6" i="2"/>
  <c r="AG5" i="2"/>
  <c r="AE5" i="2"/>
  <c r="AD5" i="2"/>
  <c r="AB5" i="2"/>
  <c r="AB42" i="2" s="1"/>
  <c r="Z5" i="2"/>
  <c r="X5" i="2"/>
  <c r="V5" i="2"/>
  <c r="V42" i="2" s="1"/>
  <c r="V54" i="2" s="1"/>
  <c r="T5" i="2"/>
  <c r="T42" i="2" s="1"/>
  <c r="T54" i="2" s="1"/>
  <c r="R5" i="2"/>
  <c r="P5" i="2"/>
  <c r="N5" i="2"/>
  <c r="L5" i="2"/>
  <c r="L42" i="2" s="1"/>
  <c r="J5" i="2"/>
  <c r="AF5" i="2" s="1"/>
  <c r="H5" i="2"/>
  <c r="H11" i="5" l="1"/>
  <c r="L11" i="5"/>
  <c r="F11" i="5"/>
  <c r="AJ6" i="5"/>
  <c r="D19" i="6"/>
  <c r="F19" i="6"/>
  <c r="J18" i="6"/>
  <c r="DG160" i="1"/>
  <c r="DG176" i="1"/>
  <c r="H36" i="6"/>
  <c r="M36" i="6"/>
  <c r="H16" i="6"/>
  <c r="H19" i="6" s="1"/>
  <c r="F16" i="6"/>
  <c r="D16" i="6"/>
  <c r="H18" i="6"/>
  <c r="J36" i="6"/>
  <c r="H17" i="6"/>
  <c r="G36" i="6"/>
  <c r="AD39" i="4"/>
  <c r="T39" i="4"/>
  <c r="AC46" i="4"/>
  <c r="AD46" i="4" s="1"/>
  <c r="AB77" i="4"/>
  <c r="P76" i="4"/>
  <c r="AC58" i="4"/>
  <c r="AD58" i="4" s="1"/>
  <c r="AC74" i="4"/>
  <c r="AD74" i="4" s="1"/>
  <c r="AC50" i="4"/>
  <c r="AD50" i="4" s="1"/>
  <c r="AC69" i="4"/>
  <c r="AD69" i="4" s="1"/>
  <c r="J39" i="4"/>
  <c r="J77" i="4" s="1"/>
  <c r="Z39" i="4"/>
  <c r="Z77" i="4" s="1"/>
  <c r="AC45" i="4"/>
  <c r="AD45" i="4" s="1"/>
  <c r="T76" i="4"/>
  <c r="T77" i="4" s="1"/>
  <c r="AC62" i="4"/>
  <c r="AD62" i="4" s="1"/>
  <c r="L39" i="4"/>
  <c r="AB39" i="4"/>
  <c r="R55" i="4"/>
  <c r="R77" i="4" s="1"/>
  <c r="AC57" i="4"/>
  <c r="V76" i="4"/>
  <c r="V77" i="4" s="1"/>
  <c r="AC73" i="4"/>
  <c r="AD73" i="4" s="1"/>
  <c r="P39" i="4"/>
  <c r="AC39" i="4"/>
  <c r="AC47" i="4"/>
  <c r="AD47" i="4" s="1"/>
  <c r="AC49" i="4"/>
  <c r="AD49" i="4" s="1"/>
  <c r="H76" i="4"/>
  <c r="H77" i="4" s="1"/>
  <c r="X76" i="4"/>
  <c r="X77" i="4" s="1"/>
  <c r="N76" i="4"/>
  <c r="N77" i="4" s="1"/>
  <c r="AC66" i="4"/>
  <c r="AD66" i="4" s="1"/>
  <c r="L77" i="4"/>
  <c r="AC42" i="4"/>
  <c r="F55" i="4"/>
  <c r="V55" i="4"/>
  <c r="AC59" i="4"/>
  <c r="AD59" i="4" s="1"/>
  <c r="AC61" i="4"/>
  <c r="AD61" i="4" s="1"/>
  <c r="F76" i="4"/>
  <c r="F77" i="4" s="1"/>
  <c r="F77" i="3"/>
  <c r="J77" i="3"/>
  <c r="J95" i="3" s="1"/>
  <c r="Z95" i="3"/>
  <c r="F95" i="3"/>
  <c r="V95" i="3"/>
  <c r="P95" i="3"/>
  <c r="H95" i="3"/>
  <c r="X95" i="3"/>
  <c r="L95" i="3"/>
  <c r="AB95" i="3"/>
  <c r="N95" i="3"/>
  <c r="AD94" i="3"/>
  <c r="E95" i="3"/>
  <c r="R95" i="3"/>
  <c r="J69" i="3"/>
  <c r="AD4" i="3"/>
  <c r="AD64" i="3" s="1"/>
  <c r="N68" i="3"/>
  <c r="N77" i="3" s="1"/>
  <c r="AC69" i="3"/>
  <c r="AD69" i="3" s="1"/>
  <c r="AC94" i="3"/>
  <c r="AC68" i="3"/>
  <c r="AD68" i="3" s="1"/>
  <c r="AD66" i="3"/>
  <c r="F68" i="3"/>
  <c r="AH5" i="2"/>
  <c r="AB54" i="2"/>
  <c r="AI42" i="2"/>
  <c r="Z54" i="2"/>
  <c r="AF45" i="2"/>
  <c r="AH45" i="2" s="1"/>
  <c r="P40" i="2"/>
  <c r="Z53" i="2"/>
  <c r="AF41" i="2"/>
  <c r="AH41" i="2" s="1"/>
  <c r="J42" i="2"/>
  <c r="J54" i="2" s="1"/>
  <c r="AE42" i="2"/>
  <c r="N53" i="2"/>
  <c r="N54" i="2" s="1"/>
  <c r="AD53" i="2"/>
  <c r="AD54" i="2" s="1"/>
  <c r="AF49" i="2"/>
  <c r="AH49" i="2" s="1"/>
  <c r="AF40" i="2"/>
  <c r="AH40" i="2" s="1"/>
  <c r="AI49" i="2"/>
  <c r="AF48" i="2"/>
  <c r="AH48" i="2" s="1"/>
  <c r="AE53" i="2"/>
  <c r="AG53" i="2" s="1"/>
  <c r="H42" i="2"/>
  <c r="H54" i="2" s="1"/>
  <c r="AF44" i="2"/>
  <c r="X42" i="2"/>
  <c r="X54" i="2" s="1"/>
  <c r="J53" i="2"/>
  <c r="AB53" i="2"/>
  <c r="X53" i="2"/>
  <c r="P42" i="2"/>
  <c r="P54" i="2" s="1"/>
  <c r="AF10" i="2"/>
  <c r="AH10" i="2" s="1"/>
  <c r="W54" i="2"/>
  <c r="R53" i="2"/>
  <c r="R54" i="2" s="1"/>
  <c r="AJ11" i="5" l="1"/>
  <c r="I19" i="6"/>
  <c r="J16" i="6"/>
  <c r="N36" i="6"/>
  <c r="P77" i="4"/>
  <c r="AC76" i="4"/>
  <c r="AD57" i="4"/>
  <c r="AD76" i="4" s="1"/>
  <c r="AD77" i="4" s="1"/>
  <c r="AD42" i="4"/>
  <c r="AD55" i="4" s="1"/>
  <c r="AC55" i="4"/>
  <c r="AC77" i="3"/>
  <c r="AC95" i="3" s="1"/>
  <c r="AD77" i="3"/>
  <c r="AD95" i="3" s="1"/>
  <c r="AF53" i="2"/>
  <c r="AH53" i="2" s="1"/>
  <c r="AH44" i="2"/>
  <c r="AJ49" i="2" s="1"/>
  <c r="AG42" i="2"/>
  <c r="AE54" i="2"/>
  <c r="AG54" i="2" s="1"/>
  <c r="AF42" i="2"/>
  <c r="J19" i="6" l="1"/>
  <c r="AC77" i="4"/>
  <c r="AF54" i="2"/>
  <c r="AH54" i="2" s="1"/>
  <c r="AH42" i="2"/>
  <c r="AJ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0" authorId="0" shapeId="0" xr:uid="{AE6B484D-B397-42E6-A792-08CA3F4DCF7F}">
      <text>
        <r>
          <rPr>
            <b/>
            <sz val="9"/>
            <color indexed="81"/>
            <rFont val="Tahoma"/>
            <family val="2"/>
          </rPr>
          <t xml:space="preserve">T4 Production
</t>
        </r>
      </text>
    </comment>
  </commentList>
</comments>
</file>

<file path=xl/sharedStrings.xml><?xml version="1.0" encoding="utf-8"?>
<sst xmlns="http://schemas.openxmlformats.org/spreadsheetml/2006/main" count="1914" uniqueCount="336">
  <si>
    <t>Yangon</t>
  </si>
  <si>
    <t>Sr.</t>
  </si>
  <si>
    <t xml:space="preserve">Product Name </t>
  </si>
  <si>
    <t>Ranking</t>
  </si>
  <si>
    <t>ML</t>
  </si>
  <si>
    <t xml:space="preserve">Packing </t>
  </si>
  <si>
    <t>Sales 
Price</t>
  </si>
  <si>
    <t>2025 Total</t>
  </si>
  <si>
    <t>Bot</t>
  </si>
  <si>
    <t>Lit</t>
  </si>
  <si>
    <t>"Zay" Vodka 700-ml</t>
  </si>
  <si>
    <t>ပုလင်း</t>
  </si>
  <si>
    <t>1 * 12</t>
  </si>
  <si>
    <t>"Zay" Vodka (1 Liter)</t>
  </si>
  <si>
    <t>‌ကော်ဘူး</t>
  </si>
  <si>
    <t>"Zay" (1 Liter)</t>
  </si>
  <si>
    <t>"Zay" (0.6 Liter)</t>
  </si>
  <si>
    <t>"Zay" (0.35 Liter)</t>
  </si>
  <si>
    <t>1 * 40</t>
  </si>
  <si>
    <t>"Zay" Vodka</t>
  </si>
  <si>
    <t>1 * 24</t>
  </si>
  <si>
    <t>"Zay" Vodka - 640ml</t>
  </si>
  <si>
    <t>1 * 14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</si>
  <si>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</si>
  <si>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</si>
  <si>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</si>
  <si>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</si>
  <si>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</si>
  <si>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</si>
  <si>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</si>
  <si>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</si>
  <si>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</si>
  <si>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</si>
  <si>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</si>
  <si>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</si>
  <si>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>1*12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</si>
  <si>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</si>
  <si>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</si>
  <si>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</si>
  <si>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</si>
  <si>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</si>
  <si>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</si>
  <si>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</si>
  <si>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</si>
  <si>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</si>
  <si>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</si>
  <si>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</si>
  <si>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</si>
  <si>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1* 14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</si>
  <si>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</si>
  <si>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</si>
  <si>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</si>
  <si>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</si>
  <si>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</si>
  <si>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 xml:space="preserve">Top Lime </t>
  </si>
  <si>
    <t>Dagon Tamarind (1 Liter)</t>
  </si>
  <si>
    <t>Dagon Tamarind - 600ml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</si>
  <si>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</si>
  <si>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</si>
  <si>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</si>
  <si>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</si>
  <si>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</si>
  <si>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</si>
  <si>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</si>
  <si>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</si>
  <si>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</si>
  <si>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</si>
  <si>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</si>
  <si>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</si>
  <si>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</si>
  <si>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</si>
  <si>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</si>
  <si>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</si>
  <si>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</si>
  <si>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</si>
  <si>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</si>
  <si>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</si>
  <si>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</si>
  <si>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</si>
  <si>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စပါး</t>
  </si>
  <si>
    <t>1* 24</t>
  </si>
  <si>
    <t>Paddyစပါး</t>
  </si>
  <si>
    <t>မန်းဘီအီး</t>
  </si>
  <si>
    <t>ပျားသံပုရာ</t>
  </si>
  <si>
    <t>Formula Rum 700ml</t>
  </si>
  <si>
    <t>Formula Rum 350ml</t>
  </si>
  <si>
    <t>Super Vodka (1 Liter) - 38%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</si>
  <si>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</si>
  <si>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</si>
  <si>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</si>
  <si>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</si>
  <si>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</si>
  <si>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</si>
  <si>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</si>
  <si>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</si>
  <si>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</si>
  <si>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</si>
  <si>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ရုပ်ပျို</t>
  </si>
  <si>
    <t>ပုံးဘီအီး</t>
  </si>
  <si>
    <t>1*50</t>
  </si>
  <si>
    <t>Care+ အရက်ပြန် 700 ml</t>
  </si>
  <si>
    <t>Care+ အရက်ပြန် 20 Liter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</si>
  <si>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</si>
  <si>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</si>
  <si>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</si>
  <si>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</si>
  <si>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</si>
  <si>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</si>
  <si>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</si>
  <si>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</si>
  <si>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</si>
  <si>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</si>
  <si>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</si>
  <si>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</si>
  <si>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</si>
  <si>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</si>
  <si>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</si>
  <si>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Whisky စုစုပေါင်း</t>
  </si>
  <si>
    <t>All Total</t>
  </si>
  <si>
    <t>Yangon Region (SKU Wise Sales Report - 2024)</t>
  </si>
  <si>
    <t xml:space="preserve">Alc % </t>
  </si>
  <si>
    <t>Jan - 24</t>
  </si>
  <si>
    <t>Feb - 24</t>
  </si>
  <si>
    <t>March - 24</t>
  </si>
  <si>
    <t>April - 24</t>
  </si>
  <si>
    <t>May - 24</t>
  </si>
  <si>
    <t>June - 24</t>
  </si>
  <si>
    <t>July - 24</t>
  </si>
  <si>
    <t>Aug - 24</t>
  </si>
  <si>
    <t>Sept - 24</t>
  </si>
  <si>
    <t>Oct - 24</t>
  </si>
  <si>
    <t>Nov - 24</t>
  </si>
  <si>
    <t>Dec - 24</t>
  </si>
  <si>
    <t>Total</t>
  </si>
  <si>
    <t>Bottle</t>
  </si>
  <si>
    <t>Litre</t>
  </si>
  <si>
    <t>700ml</t>
  </si>
  <si>
    <t>640ml</t>
  </si>
  <si>
    <t>1* 12</t>
  </si>
  <si>
    <t xml:space="preserve">Zayawaddr Red </t>
  </si>
  <si>
    <t>1000ml</t>
  </si>
  <si>
    <t>600ml</t>
  </si>
  <si>
    <t>350ml</t>
  </si>
  <si>
    <t>Zayawaddy Red(1 Liter) _ 30%</t>
  </si>
  <si>
    <t>Zayawaddy Red(0.6 Liter) _ 30%</t>
  </si>
  <si>
    <t>Zayawaddy Red(1 Liter) _ 40%</t>
  </si>
  <si>
    <t>Zayawaddy  Red(0.6 Liter) _ 40%</t>
  </si>
  <si>
    <t>Zayawaddy  Red(0.35 Liter) _ 40%</t>
  </si>
  <si>
    <t xml:space="preserve"> 1* 40</t>
  </si>
  <si>
    <t>1*20</t>
  </si>
  <si>
    <t>1*24</t>
  </si>
  <si>
    <t>175ml</t>
  </si>
  <si>
    <t>1*48</t>
  </si>
  <si>
    <t>Yangon Region (SKU Wise Sales Report - 2023)</t>
  </si>
  <si>
    <t>ml</t>
  </si>
  <si>
    <t xml:space="preserve">Bottle </t>
  </si>
  <si>
    <t xml:space="preserve">Liters </t>
  </si>
  <si>
    <t>Zay ( 1*14)</t>
  </si>
  <si>
    <t>Zay ( 1*12)</t>
  </si>
  <si>
    <t>Zay ( 1*24)</t>
  </si>
  <si>
    <t>White Orange  ( 1*14)</t>
  </si>
  <si>
    <t>Top Lime ( 1*14)</t>
  </si>
  <si>
    <t>Cj5 ( 1*14)</t>
  </si>
  <si>
    <t>Dagon ( 1*14)</t>
  </si>
  <si>
    <t>Dagon Pineapple ( 1*14)</t>
  </si>
  <si>
    <t>Zay Rum ( 1*14)</t>
  </si>
  <si>
    <t>Moe Nae ( 1*14)</t>
  </si>
  <si>
    <t>KK (1*14)</t>
  </si>
  <si>
    <t>Cj5 ( 1*24)</t>
  </si>
  <si>
    <t>Zay Vodka  ( 1*12)</t>
  </si>
  <si>
    <t>Zay Vodka  ( 1*14)</t>
  </si>
  <si>
    <t>Zay Vodka  ( 1*24)</t>
  </si>
  <si>
    <t>12-ေဇယ်၀တီ((Red)</t>
  </si>
  <si>
    <t>မန္းဘီအီး</t>
  </si>
  <si>
    <t>Rice ေကာက္ညွင္းစပါး</t>
  </si>
  <si>
    <t>Rum ျဖဴ</t>
  </si>
  <si>
    <t>Rum နီ</t>
  </si>
  <si>
    <t>Rum စိမ္း</t>
  </si>
  <si>
    <t>ကခ်င္ရိုးရာဆန္အရက္</t>
  </si>
  <si>
    <t>ပ်ားသံပုရာ</t>
  </si>
  <si>
    <t>ေဇယ်၀တီ Smooth(စိမ္း)</t>
  </si>
  <si>
    <t>HP စပါး</t>
  </si>
  <si>
    <t>ရုပ္ပ်ိဳ</t>
  </si>
  <si>
    <t>ေဇယ်၀တီ Smooth(နီ)</t>
  </si>
  <si>
    <t>ေမ်ာက္ရွယ္</t>
  </si>
  <si>
    <t>12-ေဇယ်၀တီ((H)ေဒါင့္</t>
  </si>
  <si>
    <t>ေဇေရခဲ</t>
  </si>
  <si>
    <t>ပံုး BE 40%+46%</t>
  </si>
  <si>
    <t>KK 40% 1-Ltr</t>
  </si>
  <si>
    <t>KK-40% 600-ml</t>
  </si>
  <si>
    <t>KK-40% 350-ml</t>
  </si>
  <si>
    <t>KK-25% 1-Ltr</t>
  </si>
  <si>
    <t>KK-25% 600-ml</t>
  </si>
  <si>
    <t>KK-25% 350-ml</t>
  </si>
  <si>
    <t>"Zay"  1-Ltr</t>
  </si>
  <si>
    <t>ေဇ ေကာ္ 600-ml</t>
  </si>
  <si>
    <t>"Zay" 600-ml-2</t>
  </si>
  <si>
    <t>"Zay" 350-ml</t>
  </si>
  <si>
    <t>Zay(Red) 40% 1-Ltr</t>
  </si>
  <si>
    <t>Zay(Red) 40% 600-ml</t>
  </si>
  <si>
    <t>Zay(Red) 40% 350-ml</t>
  </si>
  <si>
    <t>Zay(Red) 1-Ltr</t>
  </si>
  <si>
    <t>Zay(Red) 600-ml</t>
  </si>
  <si>
    <t>Zay(Red)(H) 600-ml</t>
  </si>
  <si>
    <t>Zay(Red)(H) 350-ml</t>
  </si>
  <si>
    <t>Zayawaddy Red(600 ml) _ 30%</t>
  </si>
  <si>
    <t>Dagon Tamarind - 1-Ltr</t>
  </si>
  <si>
    <t>Dagon Tamarind - 350ml</t>
  </si>
  <si>
    <t>Zay Vodka  1-Ltr</t>
  </si>
  <si>
    <t>Shwe Min Thar - 600ml</t>
  </si>
  <si>
    <t>ေရႊမင္းသားေခါင္ရည္ 640 ml</t>
  </si>
  <si>
    <t>Zeyawaddy Rum(H)</t>
  </si>
  <si>
    <t>Total ( BE )</t>
  </si>
  <si>
    <t>Formula Rum 700-ml</t>
  </si>
  <si>
    <t>Formula Rum 350-ml</t>
  </si>
  <si>
    <t>Columbus 700-ml</t>
  </si>
  <si>
    <t>Columbus 350-ml</t>
  </si>
  <si>
    <t xml:space="preserve">Columbus 175-ml </t>
  </si>
  <si>
    <t>SRS Columbus 700-ml</t>
  </si>
  <si>
    <t xml:space="preserve">SRS Columbus 350-ml </t>
  </si>
  <si>
    <t xml:space="preserve">SRS Columbus 175-ml </t>
  </si>
  <si>
    <t>Col - Steel (Big)</t>
  </si>
  <si>
    <t>Col - Steel (Small) - Ship</t>
  </si>
  <si>
    <t>Shwe Triangle</t>
  </si>
  <si>
    <t>Total (Whisky + Rum)</t>
  </si>
  <si>
    <t>Spirit 700-ml</t>
  </si>
  <si>
    <t>Spirit 20-Ltr ပံုး</t>
  </si>
  <si>
    <t>Spirit 205-Ltr ပံုး</t>
  </si>
  <si>
    <t>HG 100-ml</t>
  </si>
  <si>
    <t>လက္သန့္ေဆး 500-ml</t>
  </si>
  <si>
    <t>လက္သန့္ေဆး 500-ml refill</t>
  </si>
  <si>
    <t>လက္သန့္ေဆး 640-ml</t>
  </si>
  <si>
    <t>HG 700-ml</t>
  </si>
  <si>
    <t>HG 640-ml</t>
  </si>
  <si>
    <t>HG 500-ml</t>
  </si>
  <si>
    <t xml:space="preserve">HG 20-Ltr </t>
  </si>
  <si>
    <t>လက္သန့္ေဆး Gals</t>
  </si>
  <si>
    <t>လက္သန္႔ေဆး 205-Ltr (ေပပါ )</t>
  </si>
  <si>
    <t>စတီးဘူး အေသး(ပဲ႔ထိန္း)</t>
  </si>
  <si>
    <t>Total (Others)</t>
  </si>
  <si>
    <t xml:space="preserve">All Total </t>
  </si>
  <si>
    <t>Yangon Region (SKU Wise Sales Report - 2022)</t>
  </si>
  <si>
    <t>Liter</t>
  </si>
  <si>
    <t>Dagon Tamarind (1*14)</t>
  </si>
  <si>
    <t>Zay 1 Ltr</t>
  </si>
  <si>
    <t>Zay 600-ml</t>
  </si>
  <si>
    <t>Zay 600-ml - 2</t>
  </si>
  <si>
    <t>Zay 350-ml</t>
  </si>
  <si>
    <t>Dagon Tamarind (1 Ltr)</t>
  </si>
  <si>
    <t>Dagon Tamarind (600ml)</t>
  </si>
  <si>
    <t>Zay Vodka - 1 Ltr</t>
  </si>
  <si>
    <t xml:space="preserve">Total (BE) </t>
  </si>
  <si>
    <t>SRS - Columbus 700-ml</t>
  </si>
  <si>
    <t>SRS - Columbus 350-ml</t>
  </si>
  <si>
    <t xml:space="preserve">SRS - Columbus 175-ml </t>
  </si>
  <si>
    <t>Ngwe Taung 700-ml</t>
  </si>
  <si>
    <t>Col - Steel (Small) - Wheel</t>
  </si>
  <si>
    <t>Total ( Whisky + Rum)</t>
  </si>
  <si>
    <t>Spirit 500ml</t>
  </si>
  <si>
    <t>Spirit 700ml</t>
  </si>
  <si>
    <t xml:space="preserve">Spirit 20-Ltr </t>
  </si>
  <si>
    <t>HG - 100ml</t>
  </si>
  <si>
    <t>HG - 500ml</t>
  </si>
  <si>
    <t>HG - 700ml</t>
  </si>
  <si>
    <t xml:space="preserve">HG - 20 Liter </t>
  </si>
  <si>
    <t>HG - 250 Liter</t>
  </si>
  <si>
    <t xml:space="preserve">Total ( Others) </t>
  </si>
  <si>
    <t>BE Sales For Yangon (KK In Bottle)</t>
  </si>
  <si>
    <t>No</t>
  </si>
  <si>
    <t>Description</t>
  </si>
  <si>
    <t>BE Sales For Yangon (All In Bottle)</t>
  </si>
  <si>
    <t>Month</t>
  </si>
  <si>
    <t>2022 (BE)</t>
  </si>
  <si>
    <t>2023 (BE)</t>
  </si>
  <si>
    <t>2024 (BE)</t>
  </si>
  <si>
    <t xml:space="preserve">2025 (BE) </t>
  </si>
  <si>
    <t>January</t>
  </si>
  <si>
    <t>February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</si>
  <si>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</si>
  <si>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</si>
  <si>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</si>
  <si>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</si>
  <si>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</si>
  <si>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</si>
  <si>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</si>
  <si>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</si>
  <si>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</si>
  <si>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</si>
  <si>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Gift ( DT - 1 Liter)</t>
  </si>
  <si>
    <t>Gift ( DT - 0.6 Liter)</t>
  </si>
  <si>
    <t>Gift ( DT - 0.35 Liter)</t>
  </si>
  <si>
    <t>2022 - FOC (Tarmarind) - Yangon</t>
  </si>
  <si>
    <t>2024 - FOC (Tarmarind) - Yangon</t>
  </si>
  <si>
    <t xml:space="preserve">လ </t>
  </si>
  <si>
    <t>1-Liter</t>
  </si>
  <si>
    <t>.600ml</t>
  </si>
  <si>
    <t>.350ml</t>
  </si>
  <si>
    <t>လ</t>
  </si>
  <si>
    <t xml:space="preserve">Jan </t>
  </si>
  <si>
    <t>2022 (KK)</t>
  </si>
  <si>
    <t>2023 (KK)</t>
  </si>
  <si>
    <t>2024 (KK)</t>
  </si>
  <si>
    <t>2025 (KK)</t>
  </si>
  <si>
    <t>Feb</t>
  </si>
  <si>
    <t>Mar</t>
  </si>
  <si>
    <t>Jun</t>
  </si>
  <si>
    <t>Aug</t>
  </si>
  <si>
    <t>Sept</t>
  </si>
  <si>
    <t>Oct</t>
  </si>
  <si>
    <t>Nov</t>
  </si>
  <si>
    <t>Dec</t>
  </si>
  <si>
    <t>2023 - FOC (Tarmarind) - Yangon</t>
  </si>
  <si>
    <t>2025 - FOC (Tarmarind) - Yangon</t>
  </si>
  <si>
    <t>သံပုရာအရက်</t>
  </si>
  <si>
    <t>Super Liquor</t>
  </si>
  <si>
    <t>2022 Total</t>
  </si>
  <si>
    <t>2023 Total</t>
  </si>
  <si>
    <t>2024 Total</t>
  </si>
  <si>
    <t>Ngwe Taung 700ml(New)</t>
  </si>
  <si>
    <t>Total-2025</t>
  </si>
  <si>
    <t>Ngwe Taung (ဂါလံ)</t>
  </si>
  <si>
    <t>ရွှေမင်းသားမန်ကျည်းခေါင်ရည်</t>
  </si>
  <si>
    <t>ကော်ဘူး</t>
  </si>
  <si>
    <t>1 *14</t>
  </si>
  <si>
    <t>Three Lions OP - 55% Alc</t>
  </si>
  <si>
    <t>ရွှေမန်း -  Rum</t>
  </si>
  <si>
    <t>Three Lions OP - 35% Alc</t>
  </si>
  <si>
    <t>2026 - FOC (Tarmarind) - Yangon</t>
  </si>
  <si>
    <t>2026 Total</t>
  </si>
  <si>
    <t>Care+ လက်သန့်ဆေးရည် 500 ml</t>
  </si>
  <si>
    <t>2026 (KK)</t>
  </si>
  <si>
    <t xml:space="preserve">2026 (BE) </t>
  </si>
  <si>
    <t>OP - 87% Alc (red)</t>
  </si>
  <si>
    <t>OP - 69% Alc (Green)</t>
  </si>
  <si>
    <t>ဆန်ပုံး(ဝါ)</t>
  </si>
  <si>
    <t>ဆန်ပုံး(ပြာ)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</si>
</sst>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33">
    <font>
      <sz val="11"/>
      <color theme="1"/>
      <name val="Pyidaungsu"/>
      <family val="2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b/>
      <sz val="10"/>
      <color rgb="FFFF0000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name val="Pyidaungsu"/>
      <family val="2"/>
    </font>
    <font>
      <sz val="10"/>
      <name val="Pyidaungsu"/>
      <family val="2"/>
    </font>
    <font>
      <sz val="11"/>
      <color theme="1"/>
      <name val="Zawgyi-One"/>
      <family val="2"/>
    </font>
    <font>
      <sz val="10"/>
      <color rgb="FFFF0000"/>
      <name val="Pyidaungsu"/>
      <family val="2"/>
    </font>
    <font>
      <b/>
      <sz val="11"/>
      <name val="Pyidaungsu"/>
      <family val="2"/>
    </font>
    <font>
      <sz val="12"/>
      <name val="Pyidaungsu"/>
      <family val="2"/>
    </font>
    <font>
      <b/>
      <sz val="14"/>
      <color rgb="FFFF0000"/>
      <name val="Pyidaungsu"/>
      <family val="2"/>
    </font>
    <font>
      <b/>
      <sz val="14"/>
      <name val="Pyidaungsu"/>
      <family val="2"/>
    </font>
    <font>
      <b/>
      <sz val="11"/>
      <color rgb="FFFF0000"/>
      <name val="Pyidaungsu"/>
      <family val="2"/>
    </font>
    <font>
      <sz val="11"/>
      <name val="Pyidaungsu"/>
      <family val="2"/>
    </font>
    <font>
      <sz val="11"/>
      <color rgb="FFFF0000"/>
      <name val="Pyidaungsu"/>
      <family val="2"/>
    </font>
    <font>
      <b/>
      <sz val="12"/>
      <name val="Pyidaungsu"/>
      <family val="2"/>
    </font>
    <font>
      <b/>
      <sz val="12"/>
      <color rgb="FFFF0000"/>
      <name val="Pyidaungsu"/>
      <family val="2"/>
    </font>
    <font>
      <b/>
      <sz val="12"/>
      <color theme="1"/>
      <name val="Pyidaungsu"/>
      <family val="2"/>
    </font>
    <font>
      <b/>
      <sz val="9"/>
      <color indexed="81"/>
      <name val="Tahoma"/>
      <family val="2"/>
    </font>
    <font>
      <sz val="12"/>
      <color theme="1"/>
      <name val="Pyidaungsu"/>
      <family val="2"/>
    </font>
    <font>
      <sz val="11"/>
      <color rgb="FFFF0000"/>
      <name val="Zawgyi-One"/>
      <family val="2"/>
    </font>
    <font>
      <sz val="10"/>
      <name val="Zawgyi-One"/>
      <family val="2"/>
    </font>
    <font>
      <b/>
      <sz val="11"/>
      <name val="Zawgyi-One"/>
      <family val="2"/>
    </font>
    <font>
      <b/>
      <sz val="11"/>
      <color rgb="FFFF0000"/>
      <name val="Zawgyi-One"/>
      <family val="2"/>
    </font>
    <font>
      <sz val="11"/>
      <name val="Zawgyi-One"/>
      <family val="2"/>
    </font>
    <font>
      <sz val="12"/>
      <color theme="1"/>
      <name val="Aptos Narrow"/>
      <family val="2"/>
      <scheme val="minor"/>
    </font>
    <font>
      <b/>
      <sz val="13"/>
      <color theme="1"/>
      <name val="Pyidaungsu"/>
      <family val="2"/>
    </font>
    <font>
      <sz val="13"/>
      <color theme="1"/>
      <name val="Pyidaungsu"/>
      <family val="2"/>
    </font>
    <font>
      <sz val="12"/>
      <color rgb="FFFF0000"/>
      <name val="Pyidaungsu"/>
      <family val="2"/>
    </font>
    <font>
      <sz val="13"/>
      <name val="Pyidaungsu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0" fontId="28" fillId="0" borderId="0"/>
  </cellStyleXfs>
  <cellXfs count="290">
    <xf numFmtId="0" fontId="0" fillId="0" borderId="0" xfId="0"/>
    <xf numFmtId="0" fontId="4" fillId="0" borderId="2" xfId="2" applyFont="1" applyBorder="1" applyAlignment="1">
      <alignment horizontal="center" vertical="center"/>
    </xf>
    <xf numFmtId="0" fontId="6" fillId="0" borderId="0" xfId="2" applyFont="1"/>
    <xf numFmtId="17" fontId="5" fillId="0" borderId="8" xfId="2" applyNumberFormat="1" applyFont="1" applyBorder="1" applyAlignment="1">
      <alignment horizontal="center"/>
    </xf>
    <xf numFmtId="17" fontId="4" fillId="0" borderId="8" xfId="2" applyNumberFormat="1" applyFont="1" applyBorder="1" applyAlignment="1">
      <alignment horizontal="center"/>
    </xf>
    <xf numFmtId="17" fontId="5" fillId="2" borderId="8" xfId="2" applyNumberFormat="1" applyFont="1" applyFill="1" applyBorder="1" applyAlignment="1">
      <alignment horizontal="center"/>
    </xf>
    <xf numFmtId="17" fontId="4" fillId="2" borderId="8" xfId="2" applyNumberFormat="1" applyFont="1" applyFill="1" applyBorder="1" applyAlignment="1">
      <alignment horizontal="center"/>
    </xf>
    <xf numFmtId="0" fontId="8" fillId="0" borderId="8" xfId="3" applyFont="1" applyBorder="1" applyAlignment="1">
      <alignment horizontal="center" vertical="center"/>
    </xf>
    <xf numFmtId="0" fontId="8" fillId="0" borderId="8" xfId="3" applyFont="1" applyBorder="1" applyAlignment="1">
      <alignment horizontal="left" vertical="center"/>
    </xf>
    <xf numFmtId="164" fontId="6" fillId="0" borderId="8" xfId="4" applyNumberFormat="1" applyFont="1" applyFill="1" applyBorder="1" applyAlignment="1">
      <alignment horizontal="center"/>
    </xf>
    <xf numFmtId="164" fontId="10" fillId="0" borderId="8" xfId="1" applyNumberFormat="1" applyFont="1" applyFill="1" applyBorder="1"/>
    <xf numFmtId="164" fontId="6" fillId="2" borderId="8" xfId="1" applyNumberFormat="1" applyFont="1" applyFill="1" applyBorder="1"/>
    <xf numFmtId="164" fontId="10" fillId="2" borderId="8" xfId="1" applyNumberFormat="1" applyFont="1" applyFill="1" applyBorder="1"/>
    <xf numFmtId="164" fontId="8" fillId="0" borderId="8" xfId="4" applyNumberFormat="1" applyFont="1" applyFill="1" applyBorder="1" applyAlignment="1">
      <alignment horizontal="center" vertical="center"/>
    </xf>
    <xf numFmtId="164" fontId="6" fillId="0" borderId="8" xfId="4" applyNumberFormat="1" applyFont="1" applyFill="1" applyBorder="1" applyAlignment="1">
      <alignment horizontal="center" vertical="center"/>
    </xf>
    <xf numFmtId="164" fontId="6" fillId="0" borderId="8" xfId="1" applyNumberFormat="1" applyFont="1" applyFill="1" applyBorder="1"/>
    <xf numFmtId="164" fontId="8" fillId="0" borderId="8" xfId="1" applyNumberFormat="1" applyFont="1" applyFill="1" applyBorder="1"/>
    <xf numFmtId="164" fontId="6" fillId="0" borderId="8" xfId="1" applyNumberFormat="1" applyFont="1" applyFill="1" applyBorder="1" applyAlignment="1">
      <alignment vertical="center"/>
    </xf>
    <xf numFmtId="0" fontId="8" fillId="3" borderId="8" xfId="3" applyFont="1" applyFill="1" applyBorder="1" applyAlignment="1">
      <alignment horizontal="left" vertical="center"/>
    </xf>
    <xf numFmtId="0" fontId="6" fillId="0" borderId="8" xfId="5" applyFont="1" applyBorder="1"/>
    <xf numFmtId="0" fontId="6" fillId="0" borderId="8" xfId="2" applyFont="1" applyBorder="1" applyAlignment="1">
      <alignment vertical="center"/>
    </xf>
    <xf numFmtId="43" fontId="6" fillId="0" borderId="8" xfId="6" applyFont="1" applyFill="1" applyBorder="1" applyAlignment="1">
      <alignment horizontal="center" vertical="center"/>
    </xf>
    <xf numFmtId="165" fontId="7" fillId="4" borderId="8" xfId="3" applyNumberFormat="1" applyFont="1" applyFill="1" applyBorder="1" applyAlignment="1">
      <alignment horizontal="center" vertical="center"/>
    </xf>
    <xf numFmtId="0" fontId="5" fillId="4" borderId="8" xfId="2" applyFont="1" applyFill="1" applyBorder="1" applyAlignment="1">
      <alignment vertical="center"/>
    </xf>
    <xf numFmtId="0" fontId="4" fillId="4" borderId="8" xfId="3" applyFont="1" applyFill="1" applyBorder="1" applyAlignment="1">
      <alignment vertical="center" wrapText="1"/>
    </xf>
    <xf numFmtId="43" fontId="5" fillId="4" borderId="8" xfId="6" applyFont="1" applyFill="1" applyBorder="1" applyAlignment="1">
      <alignment horizontal="center" vertical="center"/>
    </xf>
    <xf numFmtId="164" fontId="7" fillId="4" borderId="8" xfId="1" applyNumberFormat="1" applyFont="1" applyFill="1" applyBorder="1"/>
    <xf numFmtId="164" fontId="4" fillId="4" borderId="8" xfId="1" applyNumberFormat="1" applyFont="1" applyFill="1" applyBorder="1"/>
    <xf numFmtId="165" fontId="8" fillId="0" borderId="8" xfId="3" applyNumberFormat="1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4" xfId="2" applyFont="1" applyBorder="1" applyAlignment="1">
      <alignment vertical="center"/>
    </xf>
    <xf numFmtId="43" fontId="6" fillId="0" borderId="8" xfId="6" applyFont="1" applyFill="1" applyBorder="1"/>
    <xf numFmtId="0" fontId="5" fillId="4" borderId="8" xfId="2" applyFont="1" applyFill="1" applyBorder="1" applyAlignment="1">
      <alignment horizontal="center" vertical="center"/>
    </xf>
    <xf numFmtId="0" fontId="4" fillId="5" borderId="8" xfId="3" applyFont="1" applyFill="1" applyBorder="1" applyAlignment="1">
      <alignment vertical="center"/>
    </xf>
    <xf numFmtId="0" fontId="4" fillId="5" borderId="8" xfId="3" applyFont="1" applyFill="1" applyBorder="1" applyAlignment="1">
      <alignment vertical="center" wrapText="1"/>
    </xf>
    <xf numFmtId="164" fontId="5" fillId="5" borderId="8" xfId="1" applyNumberFormat="1" applyFont="1" applyFill="1" applyBorder="1"/>
    <xf numFmtId="164" fontId="4" fillId="5" borderId="8" xfId="1" applyNumberFormat="1" applyFont="1" applyFill="1" applyBorder="1"/>
    <xf numFmtId="0" fontId="6" fillId="0" borderId="0" xfId="2" applyFont="1" applyAlignment="1">
      <alignment horizontal="left" vertical="center"/>
    </xf>
    <xf numFmtId="0" fontId="10" fillId="0" borderId="0" xfId="2" applyFont="1"/>
    <xf numFmtId="164" fontId="6" fillId="0" borderId="0" xfId="2" applyNumberFormat="1" applyFont="1"/>
    <xf numFmtId="164" fontId="10" fillId="0" borderId="0" xfId="2" applyNumberFormat="1" applyFont="1"/>
    <xf numFmtId="165" fontId="6" fillId="0" borderId="0" xfId="2" applyNumberFormat="1" applyFont="1"/>
    <xf numFmtId="165" fontId="10" fillId="0" borderId="0" xfId="2" applyNumberFormat="1" applyFont="1"/>
    <xf numFmtId="0" fontId="12" fillId="0" borderId="0" xfId="3" applyFont="1"/>
    <xf numFmtId="0" fontId="13" fillId="0" borderId="0" xfId="3" applyFont="1"/>
    <xf numFmtId="0" fontId="14" fillId="0" borderId="0" xfId="3" applyFont="1"/>
    <xf numFmtId="164" fontId="12" fillId="0" borderId="0" xfId="3" applyNumberFormat="1" applyFont="1"/>
    <xf numFmtId="43" fontId="12" fillId="0" borderId="0" xfId="3" applyNumberFormat="1" applyFont="1"/>
    <xf numFmtId="0" fontId="8" fillId="0" borderId="0" xfId="3" applyFont="1"/>
    <xf numFmtId="0" fontId="11" fillId="5" borderId="8" xfId="3" applyFont="1" applyFill="1" applyBorder="1" applyAlignment="1">
      <alignment horizontal="center" vertical="center"/>
    </xf>
    <xf numFmtId="0" fontId="15" fillId="5" borderId="8" xfId="3" applyFont="1" applyFill="1" applyBorder="1" applyAlignment="1">
      <alignment horizontal="center" vertical="center"/>
    </xf>
    <xf numFmtId="0" fontId="2" fillId="5" borderId="8" xfId="3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left" vertical="center"/>
    </xf>
    <xf numFmtId="0" fontId="12" fillId="2" borderId="8" xfId="3" applyFont="1" applyFill="1" applyBorder="1" applyAlignment="1">
      <alignment horizontal="center" vertical="center"/>
    </xf>
    <xf numFmtId="164" fontId="16" fillId="3" borderId="8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1" fillId="3" borderId="8" xfId="4" applyNumberFormat="1" applyFont="1" applyFill="1" applyBorder="1" applyAlignment="1">
      <alignment horizontal="center" vertical="center"/>
    </xf>
    <xf numFmtId="164" fontId="11" fillId="3" borderId="8" xfId="4" applyNumberFormat="1" applyFont="1" applyFill="1" applyBorder="1"/>
    <xf numFmtId="164" fontId="15" fillId="3" borderId="8" xfId="4" applyNumberFormat="1" applyFont="1" applyFill="1" applyBorder="1"/>
    <xf numFmtId="164" fontId="16" fillId="7" borderId="8" xfId="4" applyNumberFormat="1" applyFont="1" applyFill="1" applyBorder="1"/>
    <xf numFmtId="164" fontId="16" fillId="0" borderId="0" xfId="4" applyNumberFormat="1" applyFont="1" applyFill="1"/>
    <xf numFmtId="0" fontId="16" fillId="3" borderId="0" xfId="3" applyFont="1" applyFill="1"/>
    <xf numFmtId="164" fontId="16" fillId="3" borderId="0" xfId="4" applyNumberFormat="1" applyFont="1" applyFill="1"/>
    <xf numFmtId="0" fontId="16" fillId="0" borderId="8" xfId="3" applyFont="1" applyBorder="1" applyAlignment="1">
      <alignment horizontal="center" vertical="center"/>
    </xf>
    <xf numFmtId="164" fontId="16" fillId="0" borderId="8" xfId="4" applyNumberFormat="1" applyFont="1" applyBorder="1" applyAlignment="1">
      <alignment horizontal="center" vertical="center"/>
    </xf>
    <xf numFmtId="164" fontId="16" fillId="0" borderId="0" xfId="4" applyNumberFormat="1" applyFont="1"/>
    <xf numFmtId="0" fontId="16" fillId="0" borderId="0" xfId="3" applyFont="1"/>
    <xf numFmtId="0" fontId="16" fillId="0" borderId="8" xfId="3" applyFont="1" applyBorder="1" applyAlignment="1">
      <alignment horizontal="left" vertical="center"/>
    </xf>
    <xf numFmtId="164" fontId="17" fillId="0" borderId="8" xfId="4" applyNumberFormat="1" applyFont="1" applyFill="1" applyBorder="1" applyAlignment="1">
      <alignment horizontal="center" vertical="center"/>
    </xf>
    <xf numFmtId="164" fontId="16" fillId="3" borderId="8" xfId="4" applyNumberFormat="1" applyFont="1" applyFill="1" applyBorder="1"/>
    <xf numFmtId="164" fontId="12" fillId="3" borderId="8" xfId="4" applyNumberFormat="1" applyFont="1" applyFill="1" applyBorder="1" applyAlignment="1">
      <alignment horizontal="center" vertical="center"/>
    </xf>
    <xf numFmtId="164" fontId="12" fillId="3" borderId="0" xfId="4" applyNumberFormat="1" applyFont="1" applyFill="1"/>
    <xf numFmtId="0" fontId="12" fillId="3" borderId="0" xfId="3" applyFont="1" applyFill="1"/>
    <xf numFmtId="0" fontId="16" fillId="0" borderId="8" xfId="3" applyFont="1" applyBorder="1"/>
    <xf numFmtId="0" fontId="17" fillId="0" borderId="8" xfId="3" applyFont="1" applyBorder="1" applyAlignment="1">
      <alignment horizontal="center"/>
    </xf>
    <xf numFmtId="164" fontId="12" fillId="0" borderId="8" xfId="4" applyNumberFormat="1" applyFont="1" applyBorder="1" applyAlignment="1">
      <alignment horizontal="center" vertical="center"/>
    </xf>
    <xf numFmtId="164" fontId="12" fillId="0" borderId="0" xfId="4" applyNumberFormat="1" applyFont="1"/>
    <xf numFmtId="165" fontId="11" fillId="4" borderId="8" xfId="3" applyNumberFormat="1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vertical="center" wrapText="1"/>
    </xf>
    <xf numFmtId="0" fontId="15" fillId="4" borderId="8" xfId="3" applyFont="1" applyFill="1" applyBorder="1" applyAlignment="1">
      <alignment vertical="center" wrapText="1"/>
    </xf>
    <xf numFmtId="164" fontId="18" fillId="4" borderId="8" xfId="4" applyNumberFormat="1" applyFont="1" applyFill="1" applyBorder="1" applyAlignment="1">
      <alignment horizontal="center" vertical="center"/>
    </xf>
    <xf numFmtId="164" fontId="19" fillId="4" borderId="8" xfId="4" applyNumberFormat="1" applyFont="1" applyFill="1" applyBorder="1" applyAlignment="1">
      <alignment horizontal="center" vertical="center"/>
    </xf>
    <xf numFmtId="164" fontId="20" fillId="4" borderId="8" xfId="4" applyNumberFormat="1" applyFont="1" applyFill="1" applyBorder="1" applyAlignment="1">
      <alignment horizontal="center" vertical="center"/>
    </xf>
    <xf numFmtId="164" fontId="18" fillId="0" borderId="0" xfId="4" applyNumberFormat="1" applyFont="1"/>
    <xf numFmtId="164" fontId="18" fillId="8" borderId="0" xfId="3" applyNumberFormat="1" applyFont="1" applyFill="1"/>
    <xf numFmtId="0" fontId="18" fillId="0" borderId="0" xfId="3" applyFont="1"/>
    <xf numFmtId="165" fontId="16" fillId="0" borderId="8" xfId="3" applyNumberFormat="1" applyFont="1" applyBorder="1" applyAlignment="1">
      <alignment horizontal="center" vertical="center"/>
    </xf>
    <xf numFmtId="164" fontId="18" fillId="0" borderId="8" xfId="4" applyNumberFormat="1" applyFont="1" applyFill="1" applyBorder="1" applyAlignment="1">
      <alignment horizontal="center" vertical="center"/>
    </xf>
    <xf numFmtId="164" fontId="19" fillId="0" borderId="8" xfId="4" applyNumberFormat="1" applyFont="1" applyFill="1" applyBorder="1" applyAlignment="1">
      <alignment horizontal="center" vertical="center"/>
    </xf>
    <xf numFmtId="164" fontId="12" fillId="0" borderId="8" xfId="4" applyNumberFormat="1" applyFont="1" applyFill="1" applyBorder="1" applyAlignment="1">
      <alignment horizontal="center" vertical="center"/>
    </xf>
    <xf numFmtId="164" fontId="12" fillId="0" borderId="8" xfId="4" applyNumberFormat="1" applyFont="1" applyFill="1" applyBorder="1"/>
    <xf numFmtId="164" fontId="12" fillId="0" borderId="0" xfId="4" applyNumberFormat="1" applyFont="1" applyFill="1"/>
    <xf numFmtId="0" fontId="12" fillId="0" borderId="8" xfId="3" applyFont="1" applyBorder="1" applyAlignment="1">
      <alignment vertical="center"/>
    </xf>
    <xf numFmtId="0" fontId="12" fillId="0" borderId="8" xfId="3" applyFont="1" applyBorder="1"/>
    <xf numFmtId="0" fontId="18" fillId="4" borderId="8" xfId="3" applyFont="1" applyFill="1" applyBorder="1"/>
    <xf numFmtId="0" fontId="19" fillId="9" borderId="8" xfId="3" applyFont="1" applyFill="1" applyBorder="1"/>
    <xf numFmtId="164" fontId="19" fillId="9" borderId="8" xfId="4" applyNumberFormat="1" applyFont="1" applyFill="1" applyBorder="1" applyAlignment="1">
      <alignment horizontal="center" vertical="center"/>
    </xf>
    <xf numFmtId="164" fontId="19" fillId="3" borderId="0" xfId="4" applyNumberFormat="1" applyFont="1" applyFill="1"/>
    <xf numFmtId="0" fontId="19" fillId="3" borderId="0" xfId="3" applyFont="1" applyFill="1"/>
    <xf numFmtId="0" fontId="22" fillId="0" borderId="0" xfId="5" applyFont="1" applyAlignment="1">
      <alignment horizontal="center"/>
    </xf>
    <xf numFmtId="0" fontId="1" fillId="0" borderId="0" xfId="5" applyFont="1"/>
    <xf numFmtId="17" fontId="2" fillId="9" borderId="8" xfId="5" applyNumberFormat="1" applyFont="1" applyFill="1" applyBorder="1" applyAlignment="1">
      <alignment horizontal="center"/>
    </xf>
    <xf numFmtId="0" fontId="1" fillId="0" borderId="8" xfId="5" applyFont="1" applyBorder="1" applyAlignment="1">
      <alignment horizontal="center"/>
    </xf>
    <xf numFmtId="0" fontId="1" fillId="0" borderId="8" xfId="5" applyFont="1" applyBorder="1"/>
    <xf numFmtId="164" fontId="1" fillId="3" borderId="8" xfId="4" applyNumberFormat="1" applyFont="1" applyFill="1" applyBorder="1" applyAlignment="1">
      <alignment horizontal="center"/>
    </xf>
    <xf numFmtId="164" fontId="1" fillId="0" borderId="8" xfId="4" applyNumberFormat="1" applyFont="1" applyBorder="1" applyAlignment="1">
      <alignment horizontal="center"/>
    </xf>
    <xf numFmtId="164" fontId="8" fillId="0" borderId="10" xfId="4" applyNumberFormat="1" applyFont="1" applyFill="1" applyBorder="1"/>
    <xf numFmtId="164" fontId="8" fillId="0" borderId="11" xfId="4" applyNumberFormat="1" applyFont="1" applyFill="1" applyBorder="1"/>
    <xf numFmtId="0" fontId="2" fillId="10" borderId="8" xfId="5" applyFont="1" applyFill="1" applyBorder="1"/>
    <xf numFmtId="0" fontId="2" fillId="10" borderId="8" xfId="5" applyFont="1" applyFill="1" applyBorder="1" applyAlignment="1">
      <alignment horizontal="center"/>
    </xf>
    <xf numFmtId="164" fontId="2" fillId="10" borderId="8" xfId="4" applyNumberFormat="1" applyFont="1" applyFill="1" applyBorder="1" applyAlignment="1">
      <alignment horizontal="center"/>
    </xf>
    <xf numFmtId="0" fontId="2" fillId="10" borderId="0" xfId="5" applyFont="1" applyFill="1"/>
    <xf numFmtId="164" fontId="15" fillId="10" borderId="8" xfId="4" applyNumberFormat="1" applyFont="1" applyFill="1" applyBorder="1" applyAlignment="1">
      <alignment horizontal="center"/>
    </xf>
    <xf numFmtId="0" fontId="1" fillId="7" borderId="8" xfId="5" applyFont="1" applyFill="1" applyBorder="1" applyAlignment="1">
      <alignment horizontal="center"/>
    </xf>
    <xf numFmtId="0" fontId="1" fillId="7" borderId="8" xfId="5" applyFont="1" applyFill="1" applyBorder="1"/>
    <xf numFmtId="164" fontId="1" fillId="7" borderId="8" xfId="4" applyNumberFormat="1" applyFont="1" applyFill="1" applyBorder="1" applyAlignment="1">
      <alignment horizontal="center"/>
    </xf>
    <xf numFmtId="164" fontId="15" fillId="7" borderId="8" xfId="4" applyNumberFormat="1" applyFont="1" applyFill="1" applyBorder="1" applyAlignment="1">
      <alignment horizontal="center"/>
    </xf>
    <xf numFmtId="0" fontId="1" fillId="7" borderId="0" xfId="5" applyFont="1" applyFill="1"/>
    <xf numFmtId="164" fontId="15" fillId="0" borderId="8" xfId="4" applyNumberFormat="1" applyFont="1" applyFill="1" applyBorder="1" applyAlignment="1">
      <alignment horizontal="center"/>
    </xf>
    <xf numFmtId="0" fontId="1" fillId="10" borderId="8" xfId="5" applyFont="1" applyFill="1" applyBorder="1"/>
    <xf numFmtId="0" fontId="1" fillId="10" borderId="8" xfId="5" applyFont="1" applyFill="1" applyBorder="1" applyAlignment="1">
      <alignment horizontal="center"/>
    </xf>
    <xf numFmtId="164" fontId="1" fillId="10" borderId="8" xfId="4" applyNumberFormat="1" applyFont="1" applyFill="1" applyBorder="1" applyAlignment="1">
      <alignment horizontal="center"/>
    </xf>
    <xf numFmtId="0" fontId="1" fillId="0" borderId="0" xfId="5" applyFont="1" applyAlignment="1">
      <alignment horizontal="center"/>
    </xf>
    <xf numFmtId="164" fontId="1" fillId="0" borderId="0" xfId="5" applyNumberFormat="1" applyFont="1" applyAlignment="1">
      <alignment horizontal="center"/>
    </xf>
    <xf numFmtId="0" fontId="16" fillId="0" borderId="0" xfId="5" applyFont="1" applyAlignment="1">
      <alignment horizontal="center"/>
    </xf>
    <xf numFmtId="0" fontId="17" fillId="0" borderId="0" xfId="5" applyFont="1" applyAlignment="1">
      <alignment horizontal="center"/>
    </xf>
    <xf numFmtId="0" fontId="19" fillId="0" borderId="2" xfId="5" applyFont="1" applyBorder="1"/>
    <xf numFmtId="0" fontId="19" fillId="0" borderId="0" xfId="5" applyFont="1"/>
    <xf numFmtId="0" fontId="23" fillId="0" borderId="0" xfId="5" applyFont="1"/>
    <xf numFmtId="0" fontId="9" fillId="0" borderId="0" xfId="5"/>
    <xf numFmtId="0" fontId="2" fillId="0" borderId="8" xfId="5" applyFont="1" applyBorder="1" applyAlignment="1">
      <alignment horizontal="center" vertical="center"/>
    </xf>
    <xf numFmtId="17" fontId="15" fillId="9" borderId="8" xfId="5" applyNumberFormat="1" applyFont="1" applyFill="1" applyBorder="1" applyAlignment="1">
      <alignment horizontal="center"/>
    </xf>
    <xf numFmtId="17" fontId="11" fillId="9" borderId="8" xfId="5" applyNumberFormat="1" applyFont="1" applyFill="1" applyBorder="1" applyAlignment="1">
      <alignment horizontal="center"/>
    </xf>
    <xf numFmtId="164" fontId="17" fillId="0" borderId="8" xfId="4" applyNumberFormat="1" applyFont="1" applyBorder="1" applyAlignment="1">
      <alignment horizontal="center"/>
    </xf>
    <xf numFmtId="164" fontId="11" fillId="0" borderId="8" xfId="4" applyNumberFormat="1" applyFont="1" applyFill="1" applyBorder="1"/>
    <xf numFmtId="164" fontId="24" fillId="0" borderId="10" xfId="4" applyNumberFormat="1" applyFont="1" applyFill="1" applyBorder="1"/>
    <xf numFmtId="164" fontId="24" fillId="0" borderId="11" xfId="4" applyNumberFormat="1" applyFont="1" applyFill="1" applyBorder="1"/>
    <xf numFmtId="0" fontId="9" fillId="0" borderId="8" xfId="5" applyBorder="1" applyAlignment="1">
      <alignment horizontal="center"/>
    </xf>
    <xf numFmtId="0" fontId="9" fillId="0" borderId="8" xfId="5" applyBorder="1"/>
    <xf numFmtId="164" fontId="0" fillId="0" borderId="8" xfId="4" applyNumberFormat="1" applyFont="1" applyBorder="1" applyAlignment="1">
      <alignment horizontal="center"/>
    </xf>
    <xf numFmtId="164" fontId="23" fillId="0" borderId="8" xfId="4" applyNumberFormat="1" applyFont="1" applyBorder="1" applyAlignment="1">
      <alignment horizontal="center"/>
    </xf>
    <xf numFmtId="0" fontId="9" fillId="7" borderId="8" xfId="5" applyFill="1" applyBorder="1" applyAlignment="1">
      <alignment horizontal="center"/>
    </xf>
    <xf numFmtId="0" fontId="9" fillId="7" borderId="8" xfId="5" applyFill="1" applyBorder="1"/>
    <xf numFmtId="164" fontId="0" fillId="7" borderId="8" xfId="4" applyNumberFormat="1" applyFont="1" applyFill="1" applyBorder="1" applyAlignment="1">
      <alignment horizontal="center"/>
    </xf>
    <xf numFmtId="164" fontId="23" fillId="7" borderId="8" xfId="4" applyNumberFormat="1" applyFont="1" applyFill="1" applyBorder="1" applyAlignment="1">
      <alignment horizontal="center"/>
    </xf>
    <xf numFmtId="164" fontId="11" fillId="7" borderId="8" xfId="4" applyNumberFormat="1" applyFont="1" applyFill="1" applyBorder="1"/>
    <xf numFmtId="164" fontId="23" fillId="7" borderId="8" xfId="4" applyNumberFormat="1" applyFont="1" applyFill="1" applyBorder="1"/>
    <xf numFmtId="164" fontId="25" fillId="0" borderId="8" xfId="4" applyNumberFormat="1" applyFont="1" applyFill="1" applyBorder="1"/>
    <xf numFmtId="164" fontId="23" fillId="0" borderId="8" xfId="4" applyNumberFormat="1" applyFont="1" applyBorder="1"/>
    <xf numFmtId="0" fontId="9" fillId="7" borderId="0" xfId="5" applyFill="1"/>
    <xf numFmtId="0" fontId="9" fillId="10" borderId="8" xfId="5" applyFill="1" applyBorder="1" applyAlignment="1">
      <alignment horizontal="center"/>
    </xf>
    <xf numFmtId="0" fontId="9" fillId="10" borderId="8" xfId="5" applyFill="1" applyBorder="1"/>
    <xf numFmtId="164" fontId="26" fillId="10" borderId="8" xfId="4" applyNumberFormat="1" applyFont="1" applyFill="1" applyBorder="1" applyAlignment="1">
      <alignment horizontal="center"/>
    </xf>
    <xf numFmtId="0" fontId="9" fillId="10" borderId="0" xfId="5" applyFill="1"/>
    <xf numFmtId="0" fontId="9" fillId="0" borderId="0" xfId="5" applyAlignment="1">
      <alignment horizontal="center"/>
    </xf>
    <xf numFmtId="0" fontId="23" fillId="0" borderId="0" xfId="5" applyFont="1" applyAlignment="1">
      <alignment horizontal="center"/>
    </xf>
    <xf numFmtId="0" fontId="27" fillId="0" borderId="0" xfId="5" applyFont="1"/>
    <xf numFmtId="0" fontId="30" fillId="0" borderId="0" xfId="0" applyFont="1"/>
    <xf numFmtId="0" fontId="1" fillId="0" borderId="0" xfId="0" applyFont="1"/>
    <xf numFmtId="0" fontId="2" fillId="0" borderId="8" xfId="7" applyFont="1" applyBorder="1" applyAlignment="1">
      <alignment horizontal="center" vertical="center"/>
    </xf>
    <xf numFmtId="0" fontId="15" fillId="0" borderId="8" xfId="7" applyFont="1" applyBorder="1" applyAlignment="1">
      <alignment horizontal="center" vertical="center"/>
    </xf>
    <xf numFmtId="0" fontId="11" fillId="0" borderId="8" xfId="7" applyFont="1" applyBorder="1" applyAlignment="1">
      <alignment horizontal="center" vertical="center"/>
    </xf>
    <xf numFmtId="0" fontId="6" fillId="0" borderId="8" xfId="7" applyFont="1" applyBorder="1" applyAlignment="1">
      <alignment horizontal="center" vertical="center"/>
    </xf>
    <xf numFmtId="164" fontId="8" fillId="0" borderId="8" xfId="4" applyNumberFormat="1" applyFont="1" applyBorder="1" applyAlignment="1">
      <alignment horizontal="center" vertical="center"/>
    </xf>
    <xf numFmtId="164" fontId="10" fillId="0" borderId="8" xfId="4" applyNumberFormat="1" applyFont="1" applyBorder="1" applyAlignment="1">
      <alignment horizontal="center" vertical="center"/>
    </xf>
    <xf numFmtId="164" fontId="6" fillId="3" borderId="8" xfId="4" applyNumberFormat="1" applyFont="1" applyFill="1" applyBorder="1" applyAlignment="1">
      <alignment horizontal="center" vertical="center"/>
    </xf>
    <xf numFmtId="164" fontId="6" fillId="0" borderId="8" xfId="4" applyNumberFormat="1" applyFont="1" applyFill="1" applyBorder="1"/>
    <xf numFmtId="164" fontId="5" fillId="2" borderId="8" xfId="4" applyNumberFormat="1" applyFont="1" applyFill="1" applyBorder="1" applyAlignment="1">
      <alignment horizontal="center" vertical="center"/>
    </xf>
    <xf numFmtId="164" fontId="4" fillId="2" borderId="8" xfId="4" applyNumberFormat="1" applyFont="1" applyFill="1" applyBorder="1" applyAlignment="1">
      <alignment horizontal="center" vertical="center"/>
    </xf>
    <xf numFmtId="0" fontId="6" fillId="0" borderId="0" xfId="0" applyFont="1"/>
    <xf numFmtId="0" fontId="22" fillId="10" borderId="8" xfId="7" applyFont="1" applyFill="1" applyBorder="1" applyAlignment="1">
      <alignment horizontal="center" vertical="center"/>
    </xf>
    <xf numFmtId="0" fontId="20" fillId="10" borderId="8" xfId="7" applyFont="1" applyFill="1" applyBorder="1" applyAlignment="1">
      <alignment horizontal="left" vertical="center"/>
    </xf>
    <xf numFmtId="164" fontId="22" fillId="10" borderId="8" xfId="4" applyNumberFormat="1" applyFont="1" applyFill="1" applyBorder="1" applyAlignment="1">
      <alignment horizontal="center" vertical="center"/>
    </xf>
    <xf numFmtId="164" fontId="31" fillId="10" borderId="8" xfId="4" applyNumberFormat="1" applyFont="1" applyFill="1" applyBorder="1" applyAlignment="1">
      <alignment horizontal="center" vertical="center"/>
    </xf>
    <xf numFmtId="164" fontId="12" fillId="10" borderId="8" xfId="4" applyNumberFormat="1" applyFont="1" applyFill="1" applyBorder="1" applyAlignment="1">
      <alignment horizontal="center" vertical="center"/>
    </xf>
    <xf numFmtId="164" fontId="20" fillId="10" borderId="8" xfId="4" applyNumberFormat="1" applyFont="1" applyFill="1" applyBorder="1" applyAlignment="1">
      <alignment horizontal="center" vertical="center"/>
    </xf>
    <xf numFmtId="164" fontId="19" fillId="10" borderId="8" xfId="4" applyNumberFormat="1" applyFont="1" applyFill="1" applyBorder="1" applyAlignment="1">
      <alignment horizontal="center" vertical="center"/>
    </xf>
    <xf numFmtId="0" fontId="22" fillId="0" borderId="8" xfId="7" applyFont="1" applyBorder="1" applyAlignment="1">
      <alignment horizontal="center" vertical="center"/>
    </xf>
    <xf numFmtId="0" fontId="22" fillId="0" borderId="8" xfId="7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center" vertical="center"/>
    </xf>
    <xf numFmtId="164" fontId="31" fillId="0" borderId="8" xfId="4" applyNumberFormat="1" applyFont="1" applyBorder="1" applyAlignment="1">
      <alignment horizontal="center" vertical="center"/>
    </xf>
    <xf numFmtId="164" fontId="20" fillId="2" borderId="8" xfId="4" applyNumberFormat="1" applyFont="1" applyFill="1" applyBorder="1" applyAlignment="1">
      <alignment horizontal="center" vertical="center"/>
    </xf>
    <xf numFmtId="164" fontId="19" fillId="2" borderId="8" xfId="4" applyNumberFormat="1" applyFont="1" applyFill="1" applyBorder="1" applyAlignment="1">
      <alignment horizontal="center" vertical="center"/>
    </xf>
    <xf numFmtId="0" fontId="1" fillId="11" borderId="8" xfId="7" applyFont="1" applyFill="1" applyBorder="1" applyAlignment="1">
      <alignment horizontal="left"/>
    </xf>
    <xf numFmtId="0" fontId="15" fillId="11" borderId="8" xfId="7" applyFont="1" applyFill="1" applyBorder="1" applyAlignment="1">
      <alignment horizontal="left" vertical="center"/>
    </xf>
    <xf numFmtId="164" fontId="11" fillId="11" borderId="8" xfId="4" applyNumberFormat="1" applyFont="1" applyFill="1" applyBorder="1" applyAlignment="1">
      <alignment horizontal="center" vertical="center"/>
    </xf>
    <xf numFmtId="164" fontId="15" fillId="11" borderId="8" xfId="4" applyNumberFormat="1" applyFont="1" applyFill="1" applyBorder="1" applyAlignment="1">
      <alignment vertical="center"/>
    </xf>
    <xf numFmtId="164" fontId="2" fillId="11" borderId="8" xfId="4" applyNumberFormat="1" applyFont="1" applyFill="1" applyBorder="1" applyAlignment="1">
      <alignment horizontal="center" vertical="center"/>
    </xf>
    <xf numFmtId="164" fontId="15" fillId="11" borderId="8" xfId="4" applyNumberFormat="1" applyFont="1" applyFill="1" applyBorder="1" applyAlignment="1">
      <alignment horizontal="center" vertical="center"/>
    </xf>
    <xf numFmtId="164" fontId="1" fillId="0" borderId="0" xfId="0" applyNumberFormat="1" applyFont="1"/>
    <xf numFmtId="0" fontId="22" fillId="0" borderId="0" xfId="7" applyFont="1"/>
    <xf numFmtId="0" fontId="12" fillId="0" borderId="0" xfId="7" applyFont="1"/>
    <xf numFmtId="0" fontId="1" fillId="0" borderId="0" xfId="7" applyFont="1"/>
    <xf numFmtId="0" fontId="16" fillId="0" borderId="0" xfId="7" applyFont="1"/>
    <xf numFmtId="0" fontId="6" fillId="0" borderId="0" xfId="7" applyFont="1"/>
    <xf numFmtId="0" fontId="8" fillId="0" borderId="0" xfId="7" applyFont="1"/>
    <xf numFmtId="0" fontId="2" fillId="0" borderId="0" xfId="0" applyFont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64" fontId="16" fillId="0" borderId="8" xfId="4" applyNumberFormat="1" applyFont="1" applyBorder="1" applyAlignment="1">
      <alignment horizontal="center"/>
    </xf>
    <xf numFmtId="0" fontId="1" fillId="0" borderId="8" xfId="7" applyFont="1" applyBorder="1"/>
    <xf numFmtId="0" fontId="16" fillId="0" borderId="8" xfId="7" applyFont="1" applyBorder="1"/>
    <xf numFmtId="0" fontId="22" fillId="0" borderId="8" xfId="7" applyFont="1" applyBorder="1"/>
    <xf numFmtId="0" fontId="30" fillId="0" borderId="0" xfId="7" applyFont="1" applyAlignment="1">
      <alignment vertical="center"/>
    </xf>
    <xf numFmtId="0" fontId="32" fillId="0" borderId="0" xfId="7" applyFont="1" applyAlignment="1">
      <alignment vertical="center"/>
    </xf>
    <xf numFmtId="164" fontId="4" fillId="0" borderId="8" xfId="1" applyNumberFormat="1" applyFont="1" applyFill="1" applyBorder="1" applyAlignment="1">
      <alignment horizontal="center"/>
    </xf>
    <xf numFmtId="164" fontId="10" fillId="0" borderId="8" xfId="1" applyNumberFormat="1" applyFont="1" applyFill="1" applyBorder="1" applyAlignment="1">
      <alignment vertical="center"/>
    </xf>
    <xf numFmtId="0" fontId="1" fillId="0" borderId="0" xfId="7" applyFont="1" applyAlignment="1">
      <alignment vertical="center"/>
    </xf>
    <xf numFmtId="0" fontId="1" fillId="0" borderId="8" xfId="7" applyFont="1" applyBorder="1" applyAlignment="1">
      <alignment horizontal="center" vertical="center"/>
    </xf>
    <xf numFmtId="0" fontId="1" fillId="0" borderId="8" xfId="7" applyFont="1" applyBorder="1" applyAlignment="1">
      <alignment horizontal="left" vertical="center"/>
    </xf>
    <xf numFmtId="164" fontId="1" fillId="0" borderId="8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164" fontId="2" fillId="2" borderId="8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0" fontId="1" fillId="10" borderId="8" xfId="7" applyFont="1" applyFill="1" applyBorder="1" applyAlignment="1">
      <alignment horizontal="center" vertical="center"/>
    </xf>
    <xf numFmtId="0" fontId="1" fillId="10" borderId="8" xfId="7" applyFont="1" applyFill="1" applyBorder="1" applyAlignment="1">
      <alignment horizontal="left" vertical="center"/>
    </xf>
    <xf numFmtId="164" fontId="1" fillId="10" borderId="8" xfId="4" applyNumberFormat="1" applyFont="1" applyFill="1" applyBorder="1" applyAlignment="1">
      <alignment horizontal="center" vertical="center"/>
    </xf>
    <xf numFmtId="164" fontId="17" fillId="10" borderId="8" xfId="4" applyNumberFormat="1" applyFont="1" applyFill="1" applyBorder="1" applyAlignment="1">
      <alignment horizontal="center" vertical="center"/>
    </xf>
    <xf numFmtId="164" fontId="16" fillId="10" borderId="8" xfId="4" applyNumberFormat="1" applyFont="1" applyFill="1" applyBorder="1" applyAlignment="1">
      <alignment horizontal="center" vertical="center"/>
    </xf>
    <xf numFmtId="0" fontId="2" fillId="10" borderId="8" xfId="7" applyFont="1" applyFill="1" applyBorder="1" applyAlignment="1">
      <alignment horizontal="left" vertical="center"/>
    </xf>
    <xf numFmtId="164" fontId="17" fillId="10" borderId="8" xfId="4" applyNumberFormat="1" applyFont="1" applyFill="1" applyBorder="1" applyAlignment="1">
      <alignment vertical="center"/>
    </xf>
    <xf numFmtId="164" fontId="2" fillId="10" borderId="8" xfId="4" applyNumberFormat="1" applyFont="1" applyFill="1" applyBorder="1" applyAlignment="1">
      <alignment horizontal="center" vertical="center"/>
    </xf>
    <xf numFmtId="164" fontId="15" fillId="10" borderId="8" xfId="4" applyNumberFormat="1" applyFont="1" applyFill="1" applyBorder="1" applyAlignment="1">
      <alignment horizontal="center" vertical="center"/>
    </xf>
    <xf numFmtId="0" fontId="8" fillId="0" borderId="8" xfId="3" applyFont="1" applyFill="1" applyBorder="1" applyAlignment="1">
      <alignment horizontal="center" vertical="center"/>
    </xf>
    <xf numFmtId="0" fontId="8" fillId="0" borderId="8" xfId="3" applyFont="1" applyFill="1" applyBorder="1" applyAlignment="1">
      <alignment horizontal="left" vertical="center"/>
    </xf>
    <xf numFmtId="0" fontId="4" fillId="0" borderId="2" xfId="2" applyFont="1" applyBorder="1" applyAlignment="1">
      <alignment horizontal="center" vertical="center"/>
    </xf>
    <xf numFmtId="0" fontId="29" fillId="0" borderId="0" xfId="7" applyFont="1" applyBorder="1" applyAlignment="1">
      <alignment horizontal="center" vertical="center" wrapText="1"/>
    </xf>
    <xf numFmtId="164" fontId="4" fillId="2" borderId="8" xfId="1" applyNumberFormat="1" applyFont="1" applyFill="1" applyBorder="1" applyAlignment="1">
      <alignment horizontal="center"/>
    </xf>
    <xf numFmtId="164" fontId="10" fillId="2" borderId="8" xfId="1" applyNumberFormat="1" applyFont="1" applyFill="1" applyBorder="1" applyAlignment="1">
      <alignment vertical="center"/>
    </xf>
    <xf numFmtId="164" fontId="8" fillId="2" borderId="8" xfId="1" applyNumberFormat="1" applyFont="1" applyFill="1" applyBorder="1"/>
    <xf numFmtId="0" fontId="12" fillId="0" borderId="0" xfId="0" applyFont="1" applyAlignment="1">
      <alignment vertical="center"/>
    </xf>
    <xf numFmtId="17" fontId="2" fillId="0" borderId="8" xfId="2" applyNumberFormat="1" applyFont="1" applyBorder="1" applyAlignment="1">
      <alignment horizontal="center" vertical="center"/>
    </xf>
    <xf numFmtId="17" fontId="15" fillId="0" borderId="8" xfId="2" applyNumberFormat="1" applyFont="1" applyBorder="1" applyAlignment="1">
      <alignment horizontal="center" vertical="center"/>
    </xf>
    <xf numFmtId="164" fontId="6" fillId="0" borderId="8" xfId="6" applyNumberFormat="1" applyFont="1" applyFill="1" applyBorder="1" applyAlignment="1">
      <alignment vertical="center"/>
    </xf>
    <xf numFmtId="164" fontId="10" fillId="0" borderId="8" xfId="6" applyNumberFormat="1" applyFont="1" applyFill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6" fillId="0" borderId="8" xfId="4" applyNumberFormat="1" applyFont="1" applyFill="1" applyBorder="1" applyAlignment="1">
      <alignment vertical="center"/>
    </xf>
    <xf numFmtId="164" fontId="10" fillId="0" borderId="8" xfId="4" applyNumberFormat="1" applyFont="1" applyFill="1" applyBorder="1" applyAlignment="1">
      <alignment vertical="center"/>
    </xf>
    <xf numFmtId="164" fontId="8" fillId="0" borderId="8" xfId="4" applyNumberFormat="1" applyFont="1" applyFill="1" applyBorder="1" applyAlignment="1">
      <alignment vertical="center"/>
    </xf>
    <xf numFmtId="43" fontId="10" fillId="0" borderId="8" xfId="6" applyFont="1" applyFill="1" applyBorder="1" applyAlignment="1">
      <alignment vertical="center"/>
    </xf>
    <xf numFmtId="164" fontId="11" fillId="4" borderId="8" xfId="4" applyNumberFormat="1" applyFont="1" applyFill="1" applyBorder="1" applyAlignment="1">
      <alignment vertical="center"/>
    </xf>
    <xf numFmtId="164" fontId="15" fillId="4" borderId="8" xfId="4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4" fillId="12" borderId="8" xfId="1" applyNumberFormat="1" applyFont="1" applyFill="1" applyBorder="1"/>
    <xf numFmtId="164" fontId="2" fillId="12" borderId="8" xfId="4" applyNumberFormat="1" applyFont="1" applyFill="1" applyBorder="1" applyAlignment="1">
      <alignment vertical="center"/>
    </xf>
    <xf numFmtId="164" fontId="15" fillId="12" borderId="8" xfId="4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7" applyFont="1" applyBorder="1" applyAlignment="1">
      <alignment horizontal="center" vertical="center"/>
    </xf>
    <xf numFmtId="0" fontId="29" fillId="0" borderId="2" xfId="7" applyFont="1" applyBorder="1" applyAlignment="1">
      <alignment horizontal="center" wrapText="1"/>
    </xf>
    <xf numFmtId="0" fontId="2" fillId="0" borderId="4" xfId="7" applyFont="1" applyBorder="1" applyAlignment="1">
      <alignment horizontal="center" vertical="center"/>
    </xf>
    <xf numFmtId="0" fontId="2" fillId="0" borderId="7" xfId="7" applyFont="1" applyBorder="1" applyAlignment="1">
      <alignment horizontal="center" vertical="center"/>
    </xf>
    <xf numFmtId="0" fontId="2" fillId="0" borderId="5" xfId="7" applyFont="1" applyBorder="1" applyAlignment="1">
      <alignment horizontal="center" vertical="center"/>
    </xf>
    <xf numFmtId="0" fontId="2" fillId="0" borderId="6" xfId="7" applyFont="1" applyBorder="1" applyAlignment="1">
      <alignment horizontal="center" vertical="center"/>
    </xf>
    <xf numFmtId="0" fontId="29" fillId="0" borderId="2" xfId="7" applyFont="1" applyBorder="1" applyAlignment="1">
      <alignment horizontal="center" vertical="center" wrapText="1"/>
    </xf>
    <xf numFmtId="17" fontId="5" fillId="0" borderId="5" xfId="2" applyNumberFormat="1" applyFont="1" applyBorder="1" applyAlignment="1">
      <alignment horizontal="center"/>
    </xf>
    <xf numFmtId="17" fontId="5" fillId="0" borderId="6" xfId="2" applyNumberFormat="1" applyFont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17" fontId="5" fillId="2" borderId="5" xfId="2" applyNumberFormat="1" applyFont="1" applyFill="1" applyBorder="1" applyAlignment="1">
      <alignment horizontal="center"/>
    </xf>
    <xf numFmtId="17" fontId="5" fillId="2" borderId="6" xfId="2" applyNumberFormat="1" applyFont="1" applyFill="1" applyBorder="1" applyAlignment="1">
      <alignment horizontal="center"/>
    </xf>
    <xf numFmtId="0" fontId="7" fillId="0" borderId="4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17" fontId="2" fillId="0" borderId="5" xfId="2" applyNumberFormat="1" applyFont="1" applyBorder="1" applyAlignment="1">
      <alignment horizontal="center" vertical="center"/>
    </xf>
    <xf numFmtId="17" fontId="2" fillId="0" borderId="6" xfId="2" applyNumberFormat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7" fillId="0" borderId="8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/>
    </xf>
    <xf numFmtId="0" fontId="11" fillId="6" borderId="8" xfId="3" quotePrefix="1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 wrapText="1"/>
    </xf>
    <xf numFmtId="0" fontId="19" fillId="9" borderId="8" xfId="3" applyFont="1" applyFill="1" applyBorder="1" applyAlignment="1">
      <alignment horizontal="center" wrapText="1"/>
    </xf>
    <xf numFmtId="16" fontId="11" fillId="6" borderId="8" xfId="3" quotePrefix="1" applyNumberFormat="1" applyFont="1" applyFill="1" applyBorder="1" applyAlignment="1">
      <alignment horizontal="center" vertical="center"/>
    </xf>
    <xf numFmtId="0" fontId="13" fillId="0" borderId="9" xfId="3" applyFont="1" applyBorder="1" applyAlignment="1">
      <alignment horizontal="left" vertical="center"/>
    </xf>
    <xf numFmtId="0" fontId="13" fillId="0" borderId="2" xfId="3" applyFont="1" applyBorder="1" applyAlignment="1">
      <alignment horizontal="left" vertical="center"/>
    </xf>
    <xf numFmtId="0" fontId="2" fillId="0" borderId="8" xfId="5" applyFont="1" applyBorder="1" applyAlignment="1">
      <alignment horizontal="center" vertical="center"/>
    </xf>
    <xf numFmtId="17" fontId="2" fillId="6" borderId="8" xfId="5" applyNumberFormat="1" applyFont="1" applyFill="1" applyBorder="1" applyAlignment="1">
      <alignment horizontal="center"/>
    </xf>
    <xf numFmtId="0" fontId="2" fillId="6" borderId="8" xfId="5" applyFont="1" applyFill="1" applyBorder="1" applyAlignment="1">
      <alignment horizontal="center"/>
    </xf>
    <xf numFmtId="0" fontId="2" fillId="6" borderId="8" xfId="5" applyFont="1" applyFill="1" applyBorder="1" applyAlignment="1">
      <alignment horizontal="center" wrapText="1"/>
    </xf>
    <xf numFmtId="17" fontId="2" fillId="0" borderId="5" xfId="7" applyNumberFormat="1" applyFont="1" applyBorder="1" applyAlignment="1">
      <alignment horizontal="center" vertical="center" wrapText="1"/>
    </xf>
  </cellXfs>
  <cellStyles count="8">
    <cellStyle name="Comma" xfId="1" builtinId="3"/>
    <cellStyle name="Comma 2 2 2" xfId="6" xr:uid="{F86DFD55-CA99-4BBB-8AF2-AE1406658733}"/>
    <cellStyle name="Comma 3" xfId="4" xr:uid="{53ED040C-427F-453A-B8BE-584718E7C5D1}"/>
    <cellStyle name="Normal" xfId="0" builtinId="0"/>
    <cellStyle name="Normal 19" xfId="2" xr:uid="{1B4317E7-1723-441F-8A21-64802FA31C27}"/>
    <cellStyle name="Normal 2" xfId="3" xr:uid="{895001C5-571C-478C-A53A-C64AB7703774}"/>
    <cellStyle name="Normal 2 2" xfId="7" xr:uid="{2374671C-B6E6-4723-96A6-F9C49E094F5A}"/>
    <cellStyle name="Normal 3" xfId="5" xr:uid="{2B9EB152-3F7E-474B-83BB-DAC5733C2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8125-B35B-4E09-B068-C37BDD099B76}">
  <dimension ref="A1:AC85"/>
  <sheetViews>
    <sheetView tabSelected="1" topLeftCell="B17" zoomScale="98" zoomScaleNormal="98" workbookViewId="0">
      <selection activeCell="AC25" sqref="AC25"/>
    </sheetView>
  </sheetViews>
  <sheetFormatPr defaultColWidth="10" defaultRowHeight="22.8"/>
  <cols>
    <col min="1" max="1" width="6" style="193" customWidth="1"/>
    <col min="2" max="2" width="27.6640625" style="193" customWidth="1"/>
    <col min="3" max="4" width="14.44140625" style="193" customWidth="1"/>
    <col min="5" max="5" width="15" style="193" customWidth="1"/>
    <col min="6" max="6" width="12.33203125" style="193" customWidth="1"/>
    <col min="7" max="8" width="15.109375" style="193" customWidth="1"/>
    <col min="9" max="9" width="15.5546875" style="194" bestFit="1" customWidth="1"/>
    <col min="10" max="10" width="14.6640625" style="193" bestFit="1" customWidth="1"/>
    <col min="11" max="11" width="15.5546875" style="194" bestFit="1" customWidth="1"/>
    <col min="12" max="12" width="14.6640625" style="193" bestFit="1" customWidth="1"/>
    <col min="13" max="13" width="12.88671875" style="193" customWidth="1"/>
    <col min="14" max="14" width="13.6640625" style="193" customWidth="1"/>
    <col min="15" max="19" width="10" style="191"/>
    <col min="20" max="20" width="10" style="192"/>
    <col min="21" max="16384" width="10" style="191"/>
  </cols>
  <sheetData>
    <row r="1" spans="1:20" s="205" customFormat="1" ht="30" customHeight="1">
      <c r="A1" s="255" t="s">
        <v>270</v>
      </c>
      <c r="B1" s="255"/>
      <c r="C1" s="255"/>
      <c r="D1" s="255"/>
      <c r="E1" s="255"/>
      <c r="F1" s="255"/>
      <c r="G1" s="255"/>
      <c r="H1" s="255"/>
      <c r="I1" s="255"/>
      <c r="J1" s="255"/>
      <c r="K1" s="228"/>
      <c r="L1" s="228"/>
      <c r="M1" s="209"/>
      <c r="N1" s="209"/>
      <c r="T1" s="206"/>
    </row>
    <row r="2" spans="1:20" s="193" customFormat="1" ht="19.95" customHeight="1">
      <c r="A2" s="251" t="s">
        <v>268</v>
      </c>
      <c r="B2" s="251" t="s">
        <v>271</v>
      </c>
      <c r="C2" s="253" t="s">
        <v>272</v>
      </c>
      <c r="D2" s="254"/>
      <c r="E2" s="253" t="s">
        <v>273</v>
      </c>
      <c r="F2" s="254"/>
      <c r="G2" s="253" t="s">
        <v>274</v>
      </c>
      <c r="H2" s="254"/>
      <c r="I2" s="253" t="s">
        <v>275</v>
      </c>
      <c r="J2" s="254"/>
      <c r="K2" s="253" t="s">
        <v>331</v>
      </c>
      <c r="L2" s="254"/>
      <c r="M2" s="249" t="s">
        <v>133</v>
      </c>
      <c r="N2" s="249"/>
      <c r="T2" s="194"/>
    </row>
    <row r="3" spans="1:20" s="193" customFormat="1" ht="19.95" customHeight="1">
      <c r="A3" s="252"/>
      <c r="B3" s="252"/>
      <c r="C3" s="160" t="s">
        <v>155</v>
      </c>
      <c r="D3" s="161" t="s">
        <v>156</v>
      </c>
      <c r="E3" s="160" t="s">
        <v>155</v>
      </c>
      <c r="F3" s="161" t="s">
        <v>156</v>
      </c>
      <c r="G3" s="160" t="s">
        <v>155</v>
      </c>
      <c r="H3" s="161" t="s">
        <v>156</v>
      </c>
      <c r="I3" s="162" t="s">
        <v>155</v>
      </c>
      <c r="J3" s="161" t="s">
        <v>156</v>
      </c>
      <c r="K3" s="162" t="s">
        <v>155</v>
      </c>
      <c r="L3" s="161" t="s">
        <v>156</v>
      </c>
      <c r="M3" s="160" t="s">
        <v>155</v>
      </c>
      <c r="N3" s="161" t="s">
        <v>156</v>
      </c>
      <c r="T3" s="194"/>
    </row>
    <row r="4" spans="1:20" s="195" customFormat="1" ht="19.95" customHeight="1">
      <c r="A4" s="210">
        <v>1</v>
      </c>
      <c r="B4" s="211" t="s">
        <v>276</v>
      </c>
      <c r="C4" s="212">
        <f>+'SKU 2025'!H142</f>
        <v>2905396</v>
      </c>
      <c r="D4" s="213">
        <f>+'SKU 2025'!I142</f>
        <v>1973831.34</v>
      </c>
      <c r="E4" s="212">
        <f>+'SKU 2025'!AH142</f>
        <v>3028281</v>
      </c>
      <c r="F4" s="213">
        <f>+'SKU 2025'!AI142</f>
        <v>2123061.1799999992</v>
      </c>
      <c r="G4" s="212">
        <f>+'SKU 2025'!BH142</f>
        <v>2635501</v>
      </c>
      <c r="H4" s="213">
        <f>+'SKU 2025'!BI142</f>
        <v>1945479.7600000005</v>
      </c>
      <c r="I4" s="65">
        <f>+'SKU 2025'!CH142</f>
        <v>2088118</v>
      </c>
      <c r="J4" s="213">
        <f>+'SKU 2025'!CI142</f>
        <v>1573223.2000000004</v>
      </c>
      <c r="K4" s="65">
        <f>'SKU 2026'!DH148</f>
        <v>2170348</v>
      </c>
      <c r="L4" s="213">
        <f>'SKU 2026'!DI148</f>
        <v>1642001.3200000003</v>
      </c>
      <c r="M4" s="214">
        <f>+G4+E4+C4+I4+K4</f>
        <v>12827644</v>
      </c>
      <c r="N4" s="215">
        <f>+H4+F4+D4+J4+L4</f>
        <v>9257596.8000000007</v>
      </c>
      <c r="T4" s="196"/>
    </row>
    <row r="5" spans="1:20" s="195" customFormat="1" ht="19.95" customHeight="1">
      <c r="A5" s="210">
        <v>2</v>
      </c>
      <c r="B5" s="211" t="s">
        <v>277</v>
      </c>
      <c r="C5" s="212">
        <f>+'SKU 2025'!J142</f>
        <v>2675328</v>
      </c>
      <c r="D5" s="213">
        <f>+'SKU 2025'!K142</f>
        <v>1821908.28</v>
      </c>
      <c r="E5" s="212">
        <f>+'SKU 2025'!AJ142</f>
        <v>2480575</v>
      </c>
      <c r="F5" s="213">
        <f>+'SKU 2025'!AK142</f>
        <v>1732604.3</v>
      </c>
      <c r="G5" s="212">
        <f>+'SKU 2025'!BJ142</f>
        <v>2188605</v>
      </c>
      <c r="H5" s="213">
        <f>+'SKU 2025'!BK142</f>
        <v>1613415.4899999998</v>
      </c>
      <c r="I5" s="65">
        <f>+'SKU 2025'!CJ142</f>
        <v>2119137</v>
      </c>
      <c r="J5" s="213">
        <f>+'SKU 2025'!CK142</f>
        <v>1588117.29</v>
      </c>
      <c r="K5" s="65">
        <f>'SKU 2026'!DJ148</f>
        <v>1964569</v>
      </c>
      <c r="L5" s="213">
        <f>'SKU 2026'!DK148</f>
        <v>1494502.3900000004</v>
      </c>
      <c r="M5" s="214">
        <f t="shared" ref="M5:M17" si="0">+G5+E5+C5+I5+K5</f>
        <v>11428214</v>
      </c>
      <c r="N5" s="215">
        <f t="shared" ref="N5:N17" si="1">+H5+F5+D5+J5+L5</f>
        <v>8250547.7500000009</v>
      </c>
      <c r="T5" s="196"/>
    </row>
    <row r="6" spans="1:20" s="195" customFormat="1" ht="19.95" customHeight="1">
      <c r="A6" s="210">
        <v>3</v>
      </c>
      <c r="B6" s="211" t="s">
        <v>278</v>
      </c>
      <c r="C6" s="212">
        <f>+'SKU 2025'!L142</f>
        <v>4002433</v>
      </c>
      <c r="D6" s="213">
        <f>+'SKU 2025'!M142</f>
        <v>2701832.36</v>
      </c>
      <c r="E6" s="212">
        <f>+'SKU 2025'!AL142</f>
        <v>3273071</v>
      </c>
      <c r="F6" s="213">
        <f>+'SKU 2025'!AM142</f>
        <v>2282645.66</v>
      </c>
      <c r="G6" s="212">
        <f>+'SKU 2025'!BL142</f>
        <v>2467561</v>
      </c>
      <c r="H6" s="213">
        <f>+'SKU 2025'!BM142</f>
        <v>1832925.2299999997</v>
      </c>
      <c r="I6" s="65">
        <f>+'SKU 2025'!CL142</f>
        <v>3118431</v>
      </c>
      <c r="J6" s="213">
        <f>+'SKU 2025'!CM142</f>
        <v>2360939.59</v>
      </c>
      <c r="K6" s="65"/>
      <c r="L6" s="213"/>
      <c r="M6" s="214">
        <f t="shared" si="0"/>
        <v>12861496</v>
      </c>
      <c r="N6" s="215">
        <f t="shared" si="1"/>
        <v>9178342.8399999999</v>
      </c>
      <c r="T6" s="196"/>
    </row>
    <row r="7" spans="1:20" s="195" customFormat="1" ht="19.95" customHeight="1">
      <c r="A7" s="210">
        <v>4</v>
      </c>
      <c r="B7" s="211" t="s">
        <v>279</v>
      </c>
      <c r="C7" s="212">
        <f>+'SKU 2025'!N142</f>
        <v>3026203</v>
      </c>
      <c r="D7" s="213">
        <f>+'SKU 2025'!O142</f>
        <v>2085945.7200000002</v>
      </c>
      <c r="E7" s="212">
        <f>+'SKU 2025'!AN142</f>
        <v>2609941</v>
      </c>
      <c r="F7" s="213">
        <f>+'SKU 2025'!AO142</f>
        <v>1851666.2400000005</v>
      </c>
      <c r="G7" s="212">
        <f>+'SKU 2025'!BN142</f>
        <v>2441256</v>
      </c>
      <c r="H7" s="213">
        <f>+'SKU 2025'!BO142</f>
        <v>1823736.19</v>
      </c>
      <c r="I7" s="65">
        <f>'SKU 2025'!CN142</f>
        <v>1794739</v>
      </c>
      <c r="J7" s="213">
        <f>'SKU 2025'!CO142</f>
        <v>1331643.8799999997</v>
      </c>
      <c r="K7" s="65"/>
      <c r="L7" s="213"/>
      <c r="M7" s="214">
        <f t="shared" si="0"/>
        <v>9872139</v>
      </c>
      <c r="N7" s="215">
        <f t="shared" si="1"/>
        <v>7092992.0300000003</v>
      </c>
      <c r="T7" s="196"/>
    </row>
    <row r="8" spans="1:20" s="195" customFormat="1" ht="19.95" customHeight="1">
      <c r="A8" s="210">
        <v>5</v>
      </c>
      <c r="B8" s="211" t="s">
        <v>280</v>
      </c>
      <c r="C8" s="212">
        <f>+'SKU 2025'!P142</f>
        <v>2887735</v>
      </c>
      <c r="D8" s="213">
        <f>+'SKU 2025'!Q142</f>
        <v>2006991.9600000002</v>
      </c>
      <c r="E8" s="212">
        <f>+'SKU 2025'!AP142</f>
        <v>2590552</v>
      </c>
      <c r="F8" s="213">
        <f>+'SKU 2025'!AQ142</f>
        <v>1891759.9900000002</v>
      </c>
      <c r="G8" s="212">
        <f>+'SKU 2025'!BP142</f>
        <v>2524506</v>
      </c>
      <c r="H8" s="213">
        <f>+'SKU 2025'!BQ142</f>
        <v>1876603.94</v>
      </c>
      <c r="I8" s="65">
        <f>'SKU 2025'!CP142</f>
        <v>2221723</v>
      </c>
      <c r="J8" s="213">
        <f>'SKU 2025'!CQ142</f>
        <v>1682932.2199999995</v>
      </c>
      <c r="K8" s="65"/>
      <c r="L8" s="213"/>
      <c r="M8" s="214">
        <f t="shared" si="0"/>
        <v>10224516</v>
      </c>
      <c r="N8" s="215">
        <f t="shared" si="1"/>
        <v>7458288.1100000003</v>
      </c>
      <c r="T8" s="196"/>
    </row>
    <row r="9" spans="1:20" s="195" customFormat="1" ht="19.95" customHeight="1">
      <c r="A9" s="210">
        <v>6</v>
      </c>
      <c r="B9" s="211" t="s">
        <v>281</v>
      </c>
      <c r="C9" s="212">
        <f>+'SKU 2025'!R142</f>
        <v>3003194</v>
      </c>
      <c r="D9" s="213">
        <f>+'SKU 2025'!S142</f>
        <v>2087997.16</v>
      </c>
      <c r="E9" s="212">
        <f>+'SKU 2025'!AR142</f>
        <v>2454565</v>
      </c>
      <c r="F9" s="213">
        <f>+'SKU 2025'!AS142</f>
        <v>1825451.0099999998</v>
      </c>
      <c r="G9" s="212">
        <f>+'SKU 2025'!BR142</f>
        <v>2791984</v>
      </c>
      <c r="H9" s="213">
        <f>+'SKU 2025'!BS142</f>
        <v>2093949.46</v>
      </c>
      <c r="I9" s="65">
        <f>'SKU 2025'!CR142</f>
        <v>2279600</v>
      </c>
      <c r="J9" s="213">
        <f>'SKU 2025'!CS142</f>
        <v>1732105.38</v>
      </c>
      <c r="K9" s="65"/>
      <c r="L9" s="213"/>
      <c r="M9" s="214">
        <f t="shared" si="0"/>
        <v>10529343</v>
      </c>
      <c r="N9" s="215">
        <f t="shared" si="1"/>
        <v>7739503.0099999998</v>
      </c>
      <c r="T9" s="196"/>
    </row>
    <row r="10" spans="1:20" s="195" customFormat="1" ht="19.95" customHeight="1">
      <c r="A10" s="210">
        <v>7</v>
      </c>
      <c r="B10" s="211" t="s">
        <v>282</v>
      </c>
      <c r="C10" s="212">
        <f>+'SKU 2025'!T142</f>
        <v>2836346</v>
      </c>
      <c r="D10" s="213">
        <f>+'SKU 2025'!U142</f>
        <v>1943349.4200000004</v>
      </c>
      <c r="E10" s="212">
        <f>+'SKU 2025'!AT142</f>
        <v>2779248</v>
      </c>
      <c r="F10" s="213">
        <f>+'SKU 2025'!AU142</f>
        <v>2016338.0600000005</v>
      </c>
      <c r="G10" s="212">
        <f>+'SKU 2025'!BT142</f>
        <v>2562242</v>
      </c>
      <c r="H10" s="213">
        <f>+'SKU 2025'!BU142</f>
        <v>1929114.5200000003</v>
      </c>
      <c r="I10" s="65">
        <f>'SKU 2025'!CT142</f>
        <v>2251328</v>
      </c>
      <c r="J10" s="213">
        <f>'SKU 2025'!CU142</f>
        <v>1699256.87</v>
      </c>
      <c r="K10" s="65"/>
      <c r="L10" s="213"/>
      <c r="M10" s="214">
        <f t="shared" si="0"/>
        <v>10429164</v>
      </c>
      <c r="N10" s="215">
        <f t="shared" si="1"/>
        <v>7588058.870000002</v>
      </c>
      <c r="T10" s="196"/>
    </row>
    <row r="11" spans="1:20" s="195" customFormat="1" ht="19.95" customHeight="1">
      <c r="A11" s="210">
        <v>8</v>
      </c>
      <c r="B11" s="211" t="s">
        <v>283</v>
      </c>
      <c r="C11" s="212">
        <f>+'SKU 2025'!V142</f>
        <v>3483097</v>
      </c>
      <c r="D11" s="213">
        <f>+'SKU 2025'!W142</f>
        <v>2426535.9200000004</v>
      </c>
      <c r="E11" s="212">
        <f>+'SKU 2025'!AV142</f>
        <v>2940873</v>
      </c>
      <c r="F11" s="213">
        <f>+'SKU 2025'!AW142</f>
        <v>2133100.3799999994</v>
      </c>
      <c r="G11" s="212">
        <f>+'SKU 2025'!BV142</f>
        <v>2263539</v>
      </c>
      <c r="H11" s="213">
        <f>+'SKU 2025'!BW142</f>
        <v>1696048.9000000001</v>
      </c>
      <c r="I11" s="65">
        <f>'SKU 2025'!CV142</f>
        <v>2239523</v>
      </c>
      <c r="J11" s="213">
        <f>'SKU 2025'!CW142</f>
        <v>1689285.95</v>
      </c>
      <c r="K11" s="65"/>
      <c r="L11" s="213"/>
      <c r="M11" s="214">
        <f t="shared" si="0"/>
        <v>10927032</v>
      </c>
      <c r="N11" s="215">
        <f t="shared" si="1"/>
        <v>7944971.1499999994</v>
      </c>
      <c r="T11" s="196"/>
    </row>
    <row r="12" spans="1:20" s="195" customFormat="1" ht="19.95" customHeight="1">
      <c r="A12" s="210">
        <v>9</v>
      </c>
      <c r="B12" s="211" t="s">
        <v>284</v>
      </c>
      <c r="C12" s="212">
        <f>+'SKU 2025'!X142</f>
        <v>2436131</v>
      </c>
      <c r="D12" s="213">
        <f>+'SKU 2025'!Y142</f>
        <v>1694399.2099999997</v>
      </c>
      <c r="E12" s="212">
        <f>+'SKU 2025'!AX142</f>
        <v>2038669</v>
      </c>
      <c r="F12" s="213">
        <f>+'SKU 2025'!AY142</f>
        <v>1465445.6299999997</v>
      </c>
      <c r="G12" s="212">
        <f>+'SKU 2025'!BX142</f>
        <v>2144607</v>
      </c>
      <c r="H12" s="213">
        <f>+'SKU 2025'!BY142</f>
        <v>1615266.0200000005</v>
      </c>
      <c r="I12" s="65">
        <f>'SKU 2025'!CX142</f>
        <v>2124541</v>
      </c>
      <c r="J12" s="213">
        <f>'SKU 2025'!CY142</f>
        <v>1606217.7</v>
      </c>
      <c r="K12" s="65"/>
      <c r="L12" s="213"/>
      <c r="M12" s="214">
        <f t="shared" si="0"/>
        <v>8743948</v>
      </c>
      <c r="N12" s="215">
        <f t="shared" si="1"/>
        <v>6381328.5600000005</v>
      </c>
      <c r="T12" s="196"/>
    </row>
    <row r="13" spans="1:20" s="195" customFormat="1" ht="19.95" customHeight="1">
      <c r="A13" s="210">
        <v>10</v>
      </c>
      <c r="B13" s="211" t="s">
        <v>285</v>
      </c>
      <c r="C13" s="212">
        <f>+'SKU 2025'!Z142</f>
        <v>2508180</v>
      </c>
      <c r="D13" s="213">
        <f>+'SKU 2025'!AA142</f>
        <v>1734445.03</v>
      </c>
      <c r="E13" s="212">
        <f>+'SKU 2025'!AZ142</f>
        <v>2321631</v>
      </c>
      <c r="F13" s="213">
        <f>+'SKU 2025'!BA142</f>
        <v>1686561.7200000004</v>
      </c>
      <c r="G13" s="212">
        <f>+'SKU 2025'!BZ142</f>
        <v>2505567</v>
      </c>
      <c r="H13" s="213">
        <f>+'SKU 2025'!CA142</f>
        <v>1884903.3399999999</v>
      </c>
      <c r="I13" s="65">
        <f>'SKU 2025'!CZ142</f>
        <v>2219563</v>
      </c>
      <c r="J13" s="213">
        <f>'SKU 2025'!DA142</f>
        <v>1676170.2599999998</v>
      </c>
      <c r="K13" s="65"/>
      <c r="L13" s="213"/>
      <c r="M13" s="214">
        <f t="shared" si="0"/>
        <v>9554941</v>
      </c>
      <c r="N13" s="215">
        <f t="shared" si="1"/>
        <v>6982080.3500000006</v>
      </c>
      <c r="T13" s="196"/>
    </row>
    <row r="14" spans="1:20" s="195" customFormat="1" ht="19.95" customHeight="1">
      <c r="A14" s="210">
        <v>11</v>
      </c>
      <c r="B14" s="211" t="s">
        <v>286</v>
      </c>
      <c r="C14" s="212">
        <f>+'SKU 2025'!AB142</f>
        <v>2588009</v>
      </c>
      <c r="D14" s="213">
        <f>+'SKU 2025'!AC142</f>
        <v>1783502.0200000003</v>
      </c>
      <c r="E14" s="212">
        <f>+'SKU 2025'!BB142</f>
        <v>2357171</v>
      </c>
      <c r="F14" s="213">
        <f>+'SKU 2025'!BC142</f>
        <v>1724714.1800000002</v>
      </c>
      <c r="G14" s="212">
        <f>+'SKU 2025'!CB142</f>
        <v>2317593</v>
      </c>
      <c r="H14" s="213">
        <f>+'SKU 2025'!CC142</f>
        <v>1714170.4600000007</v>
      </c>
      <c r="I14" s="65">
        <f>'SKU 2025'!DB142</f>
        <v>2095754</v>
      </c>
      <c r="J14" s="213">
        <f>'SKU 2025'!DC142</f>
        <v>1580591.2600000002</v>
      </c>
      <c r="K14" s="65"/>
      <c r="L14" s="213"/>
      <c r="M14" s="214">
        <f t="shared" si="0"/>
        <v>9358527</v>
      </c>
      <c r="N14" s="215">
        <f t="shared" si="1"/>
        <v>6802977.9200000018</v>
      </c>
      <c r="T14" s="196"/>
    </row>
    <row r="15" spans="1:20" s="195" customFormat="1" ht="19.95" customHeight="1">
      <c r="A15" s="210">
        <v>12</v>
      </c>
      <c r="B15" s="211" t="s">
        <v>287</v>
      </c>
      <c r="C15" s="212">
        <f>+'SKU 2025'!AD142</f>
        <v>2863648</v>
      </c>
      <c r="D15" s="213">
        <f>+'SKU 2025'!AE142</f>
        <v>1992385.91</v>
      </c>
      <c r="E15" s="212">
        <f>+'SKU 2025'!BD142</f>
        <v>2553960</v>
      </c>
      <c r="F15" s="213">
        <f>+'SKU 2025'!BE142</f>
        <v>1871502.6900000002</v>
      </c>
      <c r="G15" s="212">
        <f>+'SKU 2025'!CD142</f>
        <v>2218222</v>
      </c>
      <c r="H15" s="213">
        <f>+'SKU 2025'!CE142</f>
        <v>1646715.5799999996</v>
      </c>
      <c r="I15" s="65">
        <f>'SKU 2025'!DD142</f>
        <v>2252568</v>
      </c>
      <c r="J15" s="213">
        <f>'SKU 2025'!DE142</f>
        <v>1706072.0200000003</v>
      </c>
      <c r="K15" s="65"/>
      <c r="L15" s="213"/>
      <c r="M15" s="214">
        <f t="shared" si="0"/>
        <v>9888398</v>
      </c>
      <c r="N15" s="215">
        <f t="shared" si="1"/>
        <v>7216676.2000000002</v>
      </c>
      <c r="T15" s="196"/>
    </row>
    <row r="16" spans="1:20" s="195" customFormat="1" ht="19.95" customHeight="1">
      <c r="A16" s="216"/>
      <c r="B16" s="217" t="s">
        <v>288</v>
      </c>
      <c r="C16" s="218">
        <f>Q37</f>
        <v>106670</v>
      </c>
      <c r="D16" s="219">
        <f>C16*1</f>
        <v>106670</v>
      </c>
      <c r="E16" s="218">
        <f>Q55</f>
        <v>154126</v>
      </c>
      <c r="F16" s="219">
        <f>E16*1</f>
        <v>154126</v>
      </c>
      <c r="G16" s="218">
        <f>V37</f>
        <v>183659</v>
      </c>
      <c r="H16" s="219">
        <f>G16*1</f>
        <v>183659</v>
      </c>
      <c r="I16" s="220">
        <f>V55</f>
        <v>172648</v>
      </c>
      <c r="J16" s="219">
        <f>I16*1</f>
        <v>172648</v>
      </c>
      <c r="K16" s="220">
        <f>AA37</f>
        <v>25168</v>
      </c>
      <c r="L16" s="219">
        <f>K16*1</f>
        <v>25168</v>
      </c>
      <c r="M16" s="214">
        <f>+G16+E16+C16+I16+K16</f>
        <v>642271</v>
      </c>
      <c r="N16" s="215">
        <f t="shared" si="1"/>
        <v>642271</v>
      </c>
      <c r="T16" s="196"/>
    </row>
    <row r="17" spans="1:29" s="195" customFormat="1" ht="19.95" customHeight="1">
      <c r="A17" s="216"/>
      <c r="B17" s="217" t="s">
        <v>289</v>
      </c>
      <c r="C17" s="218">
        <f>R37</f>
        <v>240</v>
      </c>
      <c r="D17" s="219">
        <f>C17*0.6</f>
        <v>144</v>
      </c>
      <c r="E17" s="218">
        <f>R55</f>
        <v>384</v>
      </c>
      <c r="F17" s="219">
        <f>E17*0.6</f>
        <v>230.39999999999998</v>
      </c>
      <c r="G17" s="218">
        <f>W37</f>
        <v>0</v>
      </c>
      <c r="H17" s="219">
        <f>G17*0.6</f>
        <v>0</v>
      </c>
      <c r="I17" s="220">
        <f>W55</f>
        <v>0</v>
      </c>
      <c r="J17" s="219">
        <f>I17*0.6</f>
        <v>0</v>
      </c>
      <c r="K17" s="220">
        <f>AB37</f>
        <v>0</v>
      </c>
      <c r="L17" s="219">
        <f>K17*0.6</f>
        <v>0</v>
      </c>
      <c r="M17" s="214">
        <f t="shared" si="0"/>
        <v>624</v>
      </c>
      <c r="N17" s="215">
        <f t="shared" si="1"/>
        <v>374.4</v>
      </c>
      <c r="T17" s="196"/>
    </row>
    <row r="18" spans="1:29" s="195" customFormat="1" ht="19.95" customHeight="1">
      <c r="A18" s="216"/>
      <c r="B18" s="217" t="s">
        <v>290</v>
      </c>
      <c r="C18" s="218">
        <f>S37</f>
        <v>0</v>
      </c>
      <c r="D18" s="219">
        <f>C18*0.35</f>
        <v>0</v>
      </c>
      <c r="E18" s="218">
        <f>S55</f>
        <v>1498</v>
      </c>
      <c r="F18" s="219">
        <f>E18*0.35</f>
        <v>524.29999999999995</v>
      </c>
      <c r="G18" s="218">
        <f>X37</f>
        <v>29515</v>
      </c>
      <c r="H18" s="219">
        <f>G18*0.35</f>
        <v>10330.25</v>
      </c>
      <c r="I18" s="220">
        <f>X55</f>
        <v>58996</v>
      </c>
      <c r="J18" s="219">
        <f>I18*0.35</f>
        <v>20648.599999999999</v>
      </c>
      <c r="K18" s="220">
        <f>AC37</f>
        <v>8400</v>
      </c>
      <c r="L18" s="219">
        <f>K18*0.35</f>
        <v>2940</v>
      </c>
      <c r="M18" s="214">
        <f>+G18+E18+C18+I18+K18</f>
        <v>98409</v>
      </c>
      <c r="N18" s="215">
        <f>+H18+F18+D18+J18+L18</f>
        <v>34443.149999999994</v>
      </c>
      <c r="T18" s="196"/>
    </row>
    <row r="19" spans="1:29" s="193" customFormat="1" ht="19.95" customHeight="1">
      <c r="A19" s="184"/>
      <c r="B19" s="185" t="s">
        <v>133</v>
      </c>
      <c r="C19" s="186">
        <f t="shared" ref="C19:J19" si="2">SUM(C4:C18)</f>
        <v>35322610</v>
      </c>
      <c r="D19" s="189">
        <f t="shared" si="2"/>
        <v>24359938.330000006</v>
      </c>
      <c r="E19" s="186">
        <f t="shared" si="2"/>
        <v>31584545</v>
      </c>
      <c r="F19" s="189">
        <f t="shared" si="2"/>
        <v>22759731.739999998</v>
      </c>
      <c r="G19" s="186">
        <f t="shared" si="2"/>
        <v>29274357</v>
      </c>
      <c r="H19" s="189">
        <f t="shared" si="2"/>
        <v>21866318.140000001</v>
      </c>
      <c r="I19" s="186">
        <f t="shared" si="2"/>
        <v>27036669</v>
      </c>
      <c r="J19" s="189">
        <f t="shared" si="2"/>
        <v>20419852.219999999</v>
      </c>
      <c r="K19" s="186">
        <f>SUM(K4:K18)</f>
        <v>4168485</v>
      </c>
      <c r="L19" s="189">
        <f t="shared" ref="L19" si="3">SUM(L4:L18)</f>
        <v>3164611.7100000009</v>
      </c>
      <c r="M19" s="186">
        <f>SUM(M4:M18)</f>
        <v>127386666</v>
      </c>
      <c r="N19" s="189">
        <f>SUM(N4:N18)</f>
        <v>92570452.140000015</v>
      </c>
      <c r="T19" s="194"/>
    </row>
    <row r="21" spans="1:29" ht="19.95" customHeight="1">
      <c r="J21" s="197"/>
      <c r="L21" s="197"/>
      <c r="M21" s="197"/>
    </row>
    <row r="22" spans="1:29" ht="30" customHeight="1">
      <c r="A22" s="250" t="s">
        <v>267</v>
      </c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P22" s="248" t="s">
        <v>291</v>
      </c>
      <c r="Q22" s="248"/>
      <c r="R22" s="248"/>
      <c r="S22" s="248"/>
      <c r="T22" s="191"/>
      <c r="U22" s="248" t="s">
        <v>292</v>
      </c>
      <c r="V22" s="248"/>
      <c r="W22" s="248"/>
      <c r="X22" s="248"/>
      <c r="Z22" s="248" t="s">
        <v>327</v>
      </c>
      <c r="AA22" s="248"/>
      <c r="AB22" s="248"/>
      <c r="AC22" s="248"/>
    </row>
    <row r="23" spans="1:29" ht="19.95" customHeight="1">
      <c r="A23" s="251" t="s">
        <v>268</v>
      </c>
      <c r="B23" s="251" t="s">
        <v>271</v>
      </c>
      <c r="C23" s="253" t="s">
        <v>299</v>
      </c>
      <c r="D23" s="254"/>
      <c r="E23" s="253" t="s">
        <v>300</v>
      </c>
      <c r="F23" s="254"/>
      <c r="G23" s="253" t="s">
        <v>301</v>
      </c>
      <c r="H23" s="254"/>
      <c r="I23" s="253" t="s">
        <v>302</v>
      </c>
      <c r="J23" s="254"/>
      <c r="K23" s="253" t="s">
        <v>330</v>
      </c>
      <c r="L23" s="254"/>
      <c r="M23" s="249" t="s">
        <v>133</v>
      </c>
      <c r="N23" s="249"/>
      <c r="P23" s="198" t="s">
        <v>293</v>
      </c>
      <c r="Q23" s="199" t="s">
        <v>294</v>
      </c>
      <c r="R23" s="199" t="s">
        <v>295</v>
      </c>
      <c r="S23" s="199" t="s">
        <v>296</v>
      </c>
      <c r="T23" s="191"/>
      <c r="U23" s="198" t="s">
        <v>297</v>
      </c>
      <c r="V23" s="199" t="s">
        <v>294</v>
      </c>
      <c r="W23" s="199" t="s">
        <v>295</v>
      </c>
      <c r="X23" s="200" t="s">
        <v>296</v>
      </c>
      <c r="Z23" s="198" t="s">
        <v>297</v>
      </c>
      <c r="AA23" s="199" t="s">
        <v>294</v>
      </c>
      <c r="AB23" s="199" t="s">
        <v>295</v>
      </c>
      <c r="AC23" s="199" t="s">
        <v>296</v>
      </c>
    </row>
    <row r="24" spans="1:29" ht="19.95" customHeight="1">
      <c r="A24" s="252"/>
      <c r="B24" s="252"/>
      <c r="C24" s="160" t="s">
        <v>155</v>
      </c>
      <c r="D24" s="161" t="s">
        <v>156</v>
      </c>
      <c r="E24" s="160" t="s">
        <v>155</v>
      </c>
      <c r="F24" s="161" t="s">
        <v>156</v>
      </c>
      <c r="G24" s="160" t="s">
        <v>155</v>
      </c>
      <c r="H24" s="161" t="s">
        <v>156</v>
      </c>
      <c r="I24" s="162" t="s">
        <v>155</v>
      </c>
      <c r="J24" s="161" t="s">
        <v>156</v>
      </c>
      <c r="K24" s="162" t="s">
        <v>155</v>
      </c>
      <c r="L24" s="161" t="s">
        <v>156</v>
      </c>
      <c r="M24" s="160" t="s">
        <v>155</v>
      </c>
      <c r="N24" s="161" t="s">
        <v>156</v>
      </c>
      <c r="P24" s="198" t="s">
        <v>298</v>
      </c>
      <c r="Q24" s="106">
        <v>6446</v>
      </c>
      <c r="R24" s="106"/>
      <c r="S24" s="106">
        <v>0</v>
      </c>
      <c r="T24" s="191"/>
      <c r="U24" s="198" t="s">
        <v>298</v>
      </c>
      <c r="V24" s="106">
        <v>13243</v>
      </c>
      <c r="W24" s="106"/>
      <c r="X24" s="201">
        <v>655</v>
      </c>
      <c r="Z24" s="198" t="s">
        <v>298</v>
      </c>
      <c r="AA24" s="202">
        <v>12994</v>
      </c>
      <c r="AB24" s="202"/>
      <c r="AC24" s="203">
        <v>4640</v>
      </c>
    </row>
    <row r="25" spans="1:29" ht="19.95" customHeight="1">
      <c r="A25" s="210">
        <v>1</v>
      </c>
      <c r="B25" s="211" t="s">
        <v>24</v>
      </c>
      <c r="C25" s="212">
        <f>+'SKU 2025'!AF16</f>
        <v>312</v>
      </c>
      <c r="D25" s="213">
        <f>'SKU 2025'!AG16</f>
        <v>312</v>
      </c>
      <c r="E25" s="212">
        <f>'SKU 2025'!BF16</f>
        <v>360</v>
      </c>
      <c r="F25" s="213">
        <f>'SKU 2025'!BG16</f>
        <v>360</v>
      </c>
      <c r="G25" s="212">
        <f>'SKU 2025'!CF16</f>
        <v>6951</v>
      </c>
      <c r="H25" s="213">
        <f>'SKU 2025'!CG16</f>
        <v>6951</v>
      </c>
      <c r="I25" s="65">
        <f>'SKU 2025'!DF16</f>
        <v>20817</v>
      </c>
      <c r="J25" s="213">
        <f>'SKU 2025'!DG16</f>
        <v>20817</v>
      </c>
      <c r="K25" s="65">
        <f>'SKU 2026'!EF16</f>
        <v>3479</v>
      </c>
      <c r="L25" s="213">
        <f>'SKU 2026'!EG16</f>
        <v>3479</v>
      </c>
      <c r="M25" s="214">
        <f>+G25+E25+C25+I25+K25</f>
        <v>31919</v>
      </c>
      <c r="N25" s="215">
        <f>+H25+F25+D25+J25+L25</f>
        <v>31919</v>
      </c>
      <c r="P25" s="198" t="s">
        <v>303</v>
      </c>
      <c r="Q25" s="106">
        <v>5328</v>
      </c>
      <c r="R25" s="106"/>
      <c r="S25" s="106">
        <v>0</v>
      </c>
      <c r="T25" s="191"/>
      <c r="U25" s="198" t="s">
        <v>303</v>
      </c>
      <c r="V25" s="106">
        <v>12300</v>
      </c>
      <c r="W25" s="106"/>
      <c r="X25" s="201">
        <v>664</v>
      </c>
      <c r="Z25" s="198" t="s">
        <v>303</v>
      </c>
      <c r="AA25" s="202">
        <v>12174</v>
      </c>
      <c r="AB25" s="202"/>
      <c r="AC25" s="203">
        <v>3760</v>
      </c>
    </row>
    <row r="26" spans="1:29" ht="19.95" customHeight="1">
      <c r="A26" s="210">
        <v>2</v>
      </c>
      <c r="B26" s="211" t="s">
        <v>25</v>
      </c>
      <c r="C26" s="212">
        <f>+'SKU 2025'!AF17</f>
        <v>108</v>
      </c>
      <c r="D26" s="213">
        <f>'SKU 2025'!AG17</f>
        <v>108</v>
      </c>
      <c r="E26" s="212">
        <f>'SKU 2025'!BF17</f>
        <v>360</v>
      </c>
      <c r="F26" s="213">
        <f>'SKU 2025'!BG17</f>
        <v>360</v>
      </c>
      <c r="G26" s="212">
        <f>'SKU 2025'!CF17</f>
        <v>4164</v>
      </c>
      <c r="H26" s="213">
        <f>'SKU 2025'!CG17</f>
        <v>4164</v>
      </c>
      <c r="I26" s="65">
        <f>'SKU 2025'!DF17</f>
        <v>2848</v>
      </c>
      <c r="J26" s="213">
        <f>'SKU 2025'!DG17</f>
        <v>2848</v>
      </c>
      <c r="K26" s="65">
        <f>'SKU 2026'!EF17</f>
        <v>468</v>
      </c>
      <c r="L26" s="213">
        <f>'SKU 2026'!EG17</f>
        <v>468</v>
      </c>
      <c r="M26" s="214">
        <f>+G26+E26+C26+I26+K26</f>
        <v>7948</v>
      </c>
      <c r="N26" s="215">
        <f>+H26+F26+D26+J26+L26</f>
        <v>7948</v>
      </c>
      <c r="P26" s="198" t="s">
        <v>304</v>
      </c>
      <c r="Q26" s="106">
        <v>8064</v>
      </c>
      <c r="R26" s="106"/>
      <c r="S26" s="106"/>
      <c r="T26" s="191"/>
      <c r="U26" s="198" t="s">
        <v>304</v>
      </c>
      <c r="V26" s="106">
        <v>13744</v>
      </c>
      <c r="W26" s="106"/>
      <c r="X26" s="201">
        <v>590</v>
      </c>
      <c r="Z26" s="198" t="s">
        <v>304</v>
      </c>
      <c r="AA26" s="202"/>
      <c r="AB26" s="202"/>
      <c r="AC26" s="203"/>
    </row>
    <row r="27" spans="1:29" ht="19.95" customHeight="1">
      <c r="A27" s="210">
        <v>3</v>
      </c>
      <c r="B27" s="211" t="s">
        <v>26</v>
      </c>
      <c r="C27" s="212">
        <f>+'SKU 2025'!AF18</f>
        <v>0</v>
      </c>
      <c r="D27" s="213">
        <f>'SKU 2025'!AG18</f>
        <v>0</v>
      </c>
      <c r="E27" s="212">
        <f>'SKU 2025'!BF18</f>
        <v>0</v>
      </c>
      <c r="F27" s="213">
        <f>'SKU 2025'!BG18</f>
        <v>0</v>
      </c>
      <c r="G27" s="212">
        <f>'SKU 2025'!CF18</f>
        <v>0</v>
      </c>
      <c r="H27" s="213">
        <f>'SKU 2025'!CG18</f>
        <v>0</v>
      </c>
      <c r="I27" s="65">
        <f>'SKU 2025'!DF18</f>
        <v>0</v>
      </c>
      <c r="J27" s="213">
        <f>'SKU 2025'!DG18</f>
        <v>0</v>
      </c>
      <c r="K27" s="65">
        <f>'SKU 2026'!EF18</f>
        <v>0</v>
      </c>
      <c r="L27" s="213">
        <f>'SKU 2026'!EG18</f>
        <v>0</v>
      </c>
      <c r="M27" s="214">
        <f t="shared" ref="M27:M33" si="4">+G27+E27+C27+I27+K27</f>
        <v>0</v>
      </c>
      <c r="N27" s="215">
        <f t="shared" ref="N27:N33" si="5">+H27+F27+D27+J27+L27</f>
        <v>0</v>
      </c>
      <c r="P27" s="198" t="s">
        <v>279</v>
      </c>
      <c r="Q27" s="106">
        <v>9276</v>
      </c>
      <c r="R27" s="106"/>
      <c r="S27" s="106"/>
      <c r="T27" s="191"/>
      <c r="U27" s="198" t="s">
        <v>279</v>
      </c>
      <c r="V27" s="106">
        <v>13430</v>
      </c>
      <c r="W27" s="106"/>
      <c r="X27" s="201">
        <v>630</v>
      </c>
      <c r="Z27" s="198" t="s">
        <v>279</v>
      </c>
      <c r="AA27" s="202"/>
      <c r="AB27" s="202"/>
      <c r="AC27" s="203"/>
    </row>
    <row r="28" spans="1:29" ht="19.95" customHeight="1">
      <c r="A28" s="210">
        <v>4</v>
      </c>
      <c r="B28" s="211" t="s">
        <v>27</v>
      </c>
      <c r="C28" s="212">
        <f>+'SKU 2025'!AF19</f>
        <v>144</v>
      </c>
      <c r="D28" s="213">
        <f>'SKU 2025'!AG19</f>
        <v>86.399999999999991</v>
      </c>
      <c r="E28" s="212">
        <f>'SKU 2025'!BF19</f>
        <v>0</v>
      </c>
      <c r="F28" s="213">
        <f>'SKU 2025'!BG19</f>
        <v>0</v>
      </c>
      <c r="G28" s="212">
        <f>'SKU 2025'!CF19</f>
        <v>12</v>
      </c>
      <c r="H28" s="213">
        <f>'SKU 2025'!CG19</f>
        <v>7.1999999999999993</v>
      </c>
      <c r="I28" s="65">
        <f>'SKU 2025'!DF19</f>
        <v>12</v>
      </c>
      <c r="J28" s="213">
        <f>'SKU 2025'!DG19</f>
        <v>7.1999999999999993</v>
      </c>
      <c r="K28" s="65">
        <f>'SKU 2026'!EF19</f>
        <v>12</v>
      </c>
      <c r="L28" s="213">
        <f>'SKU 2026'!EG19</f>
        <v>7.1999999999999993</v>
      </c>
      <c r="M28" s="214">
        <f t="shared" si="4"/>
        <v>180</v>
      </c>
      <c r="N28" s="215">
        <f t="shared" si="5"/>
        <v>108</v>
      </c>
      <c r="P28" s="198" t="s">
        <v>280</v>
      </c>
      <c r="Q28" s="106">
        <v>9288</v>
      </c>
      <c r="R28" s="106">
        <v>120</v>
      </c>
      <c r="S28" s="106"/>
      <c r="T28" s="191"/>
      <c r="U28" s="198" t="s">
        <v>280</v>
      </c>
      <c r="V28" s="106">
        <v>15259</v>
      </c>
      <c r="W28" s="106"/>
      <c r="X28" s="201">
        <v>870</v>
      </c>
      <c r="Z28" s="198" t="s">
        <v>280</v>
      </c>
      <c r="AA28" s="202"/>
      <c r="AB28" s="202"/>
      <c r="AC28" s="203"/>
    </row>
    <row r="29" spans="1:29" ht="19.95" customHeight="1">
      <c r="A29" s="210">
        <v>5</v>
      </c>
      <c r="B29" s="211" t="s">
        <v>28</v>
      </c>
      <c r="C29" s="212">
        <f>+'SKU 2025'!AF20</f>
        <v>0</v>
      </c>
      <c r="D29" s="213">
        <f>'SKU 2025'!AG20</f>
        <v>0</v>
      </c>
      <c r="E29" s="212">
        <f>'SKU 2025'!BF20</f>
        <v>0</v>
      </c>
      <c r="F29" s="213">
        <f>'SKU 2025'!BG20</f>
        <v>0</v>
      </c>
      <c r="G29" s="212">
        <f>'SKU 2025'!CF20</f>
        <v>0</v>
      </c>
      <c r="H29" s="213">
        <f>'SKU 2025'!CG20</f>
        <v>0</v>
      </c>
      <c r="I29" s="65">
        <f>'SKU 2025'!DF20</f>
        <v>0</v>
      </c>
      <c r="J29" s="213">
        <f>'SKU 2025'!DG20</f>
        <v>0</v>
      </c>
      <c r="K29" s="65">
        <f>'SKU 2026'!DH20</f>
        <v>0</v>
      </c>
      <c r="L29" s="213">
        <f>'SKU 2026'!DI20</f>
        <v>0</v>
      </c>
      <c r="M29" s="214">
        <f t="shared" si="4"/>
        <v>0</v>
      </c>
      <c r="N29" s="215">
        <f t="shared" si="5"/>
        <v>0</v>
      </c>
      <c r="P29" s="198" t="s">
        <v>305</v>
      </c>
      <c r="Q29" s="106">
        <v>9996</v>
      </c>
      <c r="R29" s="106"/>
      <c r="S29" s="106"/>
      <c r="T29" s="191"/>
      <c r="U29" s="198" t="s">
        <v>305</v>
      </c>
      <c r="V29" s="106">
        <v>15283</v>
      </c>
      <c r="W29" s="106"/>
      <c r="X29" s="201">
        <v>1070</v>
      </c>
      <c r="Z29" s="198" t="s">
        <v>305</v>
      </c>
      <c r="AA29" s="202"/>
      <c r="AB29" s="202"/>
      <c r="AC29" s="203"/>
    </row>
    <row r="30" spans="1:29" ht="19.95" customHeight="1">
      <c r="A30" s="210">
        <v>6</v>
      </c>
      <c r="B30" s="211" t="s">
        <v>29</v>
      </c>
      <c r="C30" s="212">
        <f>+'SKU 2025'!AF21</f>
        <v>187200</v>
      </c>
      <c r="D30" s="213">
        <f>'SKU 2025'!AG21</f>
        <v>65519.999999999993</v>
      </c>
      <c r="E30" s="212">
        <f>'SKU 2025'!BF21</f>
        <v>52</v>
      </c>
      <c r="F30" s="213">
        <f>'SKU 2025'!BG21</f>
        <v>18.2</v>
      </c>
      <c r="G30" s="212">
        <f>'SKU 2025'!CF21</f>
        <v>0</v>
      </c>
      <c r="H30" s="213">
        <f>'SKU 2025'!CG21</f>
        <v>0</v>
      </c>
      <c r="I30" s="65">
        <f>'SKU 2025'!DF21</f>
        <v>480</v>
      </c>
      <c r="J30" s="213">
        <f>'SKU 2025'!DG21</f>
        <v>168</v>
      </c>
      <c r="K30" s="65">
        <f>'SKU 2026'!EF21</f>
        <v>200</v>
      </c>
      <c r="L30" s="213">
        <f>'SKU 2026'!EG21</f>
        <v>70</v>
      </c>
      <c r="M30" s="214">
        <f t="shared" si="4"/>
        <v>187932</v>
      </c>
      <c r="N30" s="215">
        <f t="shared" si="5"/>
        <v>65776.2</v>
      </c>
      <c r="P30" s="198" t="s">
        <v>282</v>
      </c>
      <c r="Q30" s="106">
        <v>9516</v>
      </c>
      <c r="R30" s="106">
        <v>24</v>
      </c>
      <c r="S30" s="106"/>
      <c r="T30" s="191"/>
      <c r="U30" s="198" t="s">
        <v>282</v>
      </c>
      <c r="V30" s="106">
        <v>18525</v>
      </c>
      <c r="W30" s="106"/>
      <c r="X30" s="201">
        <v>1532</v>
      </c>
      <c r="Z30" s="198" t="s">
        <v>282</v>
      </c>
      <c r="AA30" s="202"/>
      <c r="AB30" s="202"/>
      <c r="AC30" s="203"/>
    </row>
    <row r="31" spans="1:29" ht="19.95" customHeight="1">
      <c r="A31" s="210">
        <v>7</v>
      </c>
      <c r="B31" s="211" t="s">
        <v>30</v>
      </c>
      <c r="C31" s="212">
        <f>+'SKU 2025'!AF22</f>
        <v>0</v>
      </c>
      <c r="D31" s="213">
        <f>'SKU 2025'!AG22</f>
        <v>0</v>
      </c>
      <c r="E31" s="212">
        <f>'SKU 2025'!BF22</f>
        <v>14</v>
      </c>
      <c r="F31" s="213">
        <f>'SKU 2025'!BG22</f>
        <v>8.9600000000000009</v>
      </c>
      <c r="G31" s="212">
        <f>'SKU 2025'!CF22</f>
        <v>0</v>
      </c>
      <c r="H31" s="213">
        <f>'SKU 2025'!CG22</f>
        <v>0</v>
      </c>
      <c r="I31" s="65">
        <f>'SKU 2025'!DF22</f>
        <v>0</v>
      </c>
      <c r="J31" s="213">
        <f>'SKU 2025'!DG22</f>
        <v>0</v>
      </c>
      <c r="K31" s="65">
        <f>'SKU 2026'!DH22</f>
        <v>0</v>
      </c>
      <c r="L31" s="213">
        <f>'SKU 2026'!DI22</f>
        <v>0</v>
      </c>
      <c r="M31" s="214">
        <f t="shared" si="4"/>
        <v>14</v>
      </c>
      <c r="N31" s="215">
        <f t="shared" si="5"/>
        <v>8.9600000000000009</v>
      </c>
      <c r="P31" s="198" t="s">
        <v>306</v>
      </c>
      <c r="Q31" s="106">
        <v>10752</v>
      </c>
      <c r="R31" s="106">
        <v>24</v>
      </c>
      <c r="S31" s="106"/>
      <c r="T31" s="191"/>
      <c r="U31" s="198" t="s">
        <v>306</v>
      </c>
      <c r="V31" s="106">
        <v>16278</v>
      </c>
      <c r="W31" s="106"/>
      <c r="X31" s="201">
        <v>1480</v>
      </c>
      <c r="Z31" s="198" t="s">
        <v>306</v>
      </c>
      <c r="AA31" s="202"/>
      <c r="AB31" s="202"/>
      <c r="AC31" s="203"/>
    </row>
    <row r="32" spans="1:29" ht="19.95" customHeight="1">
      <c r="A32" s="210">
        <v>8</v>
      </c>
      <c r="B32" s="211" t="s">
        <v>31</v>
      </c>
      <c r="C32" s="212">
        <f>+'SKU 2025'!AF23</f>
        <v>0</v>
      </c>
      <c r="D32" s="213">
        <f>'SKU 2025'!AG23</f>
        <v>0</v>
      </c>
      <c r="E32" s="212">
        <f>'SKU 2025'!BF23</f>
        <v>0</v>
      </c>
      <c r="F32" s="213">
        <f>'SKU 2025'!BG23</f>
        <v>0</v>
      </c>
      <c r="G32" s="212">
        <f>'SKU 2025'!CF23</f>
        <v>0</v>
      </c>
      <c r="H32" s="213">
        <f>'SKU 2025'!CG23</f>
        <v>0</v>
      </c>
      <c r="I32" s="65">
        <f>'SKU 2025'!DF23</f>
        <v>0</v>
      </c>
      <c r="J32" s="213">
        <f>'SKU 2025'!DG23</f>
        <v>0</v>
      </c>
      <c r="K32" s="65">
        <f>'SKU 2026'!DH23</f>
        <v>0</v>
      </c>
      <c r="L32" s="213">
        <f>'SKU 2026'!DI23</f>
        <v>0</v>
      </c>
      <c r="M32" s="214">
        <f t="shared" si="4"/>
        <v>0</v>
      </c>
      <c r="N32" s="215">
        <f t="shared" si="5"/>
        <v>0</v>
      </c>
      <c r="P32" s="198" t="s">
        <v>307</v>
      </c>
      <c r="Q32" s="106">
        <v>9252</v>
      </c>
      <c r="R32" s="106">
        <v>36</v>
      </c>
      <c r="S32" s="106"/>
      <c r="T32" s="191"/>
      <c r="U32" s="198" t="s">
        <v>307</v>
      </c>
      <c r="V32" s="106">
        <v>16515</v>
      </c>
      <c r="W32" s="106"/>
      <c r="X32" s="201">
        <v>7314</v>
      </c>
      <c r="Z32" s="198" t="s">
        <v>307</v>
      </c>
      <c r="AA32" s="202"/>
      <c r="AB32" s="202"/>
      <c r="AC32" s="203"/>
    </row>
    <row r="33" spans="1:29" ht="19.95" customHeight="1">
      <c r="A33" s="210">
        <v>9</v>
      </c>
      <c r="B33" s="211" t="s">
        <v>32</v>
      </c>
      <c r="C33" s="212">
        <f>+'SKU 2025'!AF24</f>
        <v>0</v>
      </c>
      <c r="D33" s="213">
        <f>'SKU 2025'!AG24</f>
        <v>0</v>
      </c>
      <c r="E33" s="212">
        <f>'SKU 2025'!BF24</f>
        <v>0</v>
      </c>
      <c r="F33" s="213">
        <f>'SKU 2025'!BG24</f>
        <v>0</v>
      </c>
      <c r="G33" s="212">
        <f>'SKU 2025'!CF24</f>
        <v>0</v>
      </c>
      <c r="H33" s="213">
        <f>'SKU 2025'!CG24</f>
        <v>0</v>
      </c>
      <c r="I33" s="65">
        <f>'SKU 2025'!DF24</f>
        <v>0</v>
      </c>
      <c r="J33" s="213">
        <f>'SKU 2025'!DG24</f>
        <v>0</v>
      </c>
      <c r="K33" s="65">
        <f>'SKU 2026'!DH24</f>
        <v>0</v>
      </c>
      <c r="L33" s="213">
        <f>'SKU 2026'!DI24</f>
        <v>0</v>
      </c>
      <c r="M33" s="214">
        <f t="shared" si="4"/>
        <v>0</v>
      </c>
      <c r="N33" s="215">
        <f t="shared" si="5"/>
        <v>0</v>
      </c>
      <c r="P33" s="198" t="s">
        <v>308</v>
      </c>
      <c r="Q33" s="106">
        <v>9264</v>
      </c>
      <c r="R33" s="106"/>
      <c r="S33" s="106"/>
      <c r="T33" s="191"/>
      <c r="U33" s="198" t="s">
        <v>308</v>
      </c>
      <c r="V33" s="106">
        <v>17415</v>
      </c>
      <c r="W33" s="106"/>
      <c r="X33" s="201">
        <v>10194</v>
      </c>
      <c r="Z33" s="198" t="s">
        <v>308</v>
      </c>
      <c r="AA33" s="202"/>
      <c r="AB33" s="202"/>
      <c r="AC33" s="203"/>
    </row>
    <row r="34" spans="1:29" ht="19.95" customHeight="1">
      <c r="A34" s="216"/>
      <c r="B34" s="221"/>
      <c r="C34" s="218"/>
      <c r="D34" s="219"/>
      <c r="E34" s="218"/>
      <c r="F34" s="222"/>
      <c r="G34" s="218"/>
      <c r="H34" s="219"/>
      <c r="I34" s="220"/>
      <c r="J34" s="219"/>
      <c r="K34" s="220"/>
      <c r="L34" s="219"/>
      <c r="M34" s="223"/>
      <c r="N34" s="224"/>
      <c r="P34" s="198" t="s">
        <v>309</v>
      </c>
      <c r="Q34" s="106">
        <v>9276</v>
      </c>
      <c r="R34" s="106">
        <v>24</v>
      </c>
      <c r="S34" s="106"/>
      <c r="T34" s="191"/>
      <c r="U34" s="198" t="s">
        <v>309</v>
      </c>
      <c r="V34" s="106">
        <v>17159</v>
      </c>
      <c r="W34" s="106"/>
      <c r="X34" s="201">
        <v>1101</v>
      </c>
      <c r="Z34" s="198" t="s">
        <v>309</v>
      </c>
      <c r="AA34" s="202"/>
      <c r="AB34" s="202"/>
      <c r="AC34" s="203"/>
    </row>
    <row r="35" spans="1:29" ht="19.95" customHeight="1">
      <c r="A35" s="210"/>
      <c r="B35" s="211"/>
      <c r="C35" s="212"/>
      <c r="D35" s="213"/>
      <c r="E35" s="212"/>
      <c r="F35" s="213"/>
      <c r="G35" s="212"/>
      <c r="H35" s="213"/>
      <c r="I35" s="65"/>
      <c r="J35" s="213"/>
      <c r="K35" s="65"/>
      <c r="L35" s="213"/>
      <c r="M35" s="214"/>
      <c r="N35" s="215"/>
      <c r="P35" s="198" t="s">
        <v>310</v>
      </c>
      <c r="Q35" s="106">
        <v>10212</v>
      </c>
      <c r="R35" s="106">
        <v>12</v>
      </c>
      <c r="S35" s="106"/>
      <c r="T35" s="191"/>
      <c r="U35" s="198" t="s">
        <v>310</v>
      </c>
      <c r="V35" s="106">
        <v>14508</v>
      </c>
      <c r="W35" s="106"/>
      <c r="X35" s="201">
        <v>3415</v>
      </c>
      <c r="Z35" s="198" t="s">
        <v>310</v>
      </c>
      <c r="AA35" s="202"/>
      <c r="AB35" s="202"/>
      <c r="AC35" s="203"/>
    </row>
    <row r="36" spans="1:29" ht="19.95" customHeight="1">
      <c r="A36" s="184"/>
      <c r="B36" s="185" t="s">
        <v>133</v>
      </c>
      <c r="C36" s="186">
        <f t="shared" ref="C36:N36" si="6">SUM(C25:C33)</f>
        <v>187764</v>
      </c>
      <c r="D36" s="189">
        <f t="shared" si="6"/>
        <v>66026.399999999994</v>
      </c>
      <c r="E36" s="186">
        <f t="shared" si="6"/>
        <v>786</v>
      </c>
      <c r="F36" s="187">
        <f t="shared" si="6"/>
        <v>747.16000000000008</v>
      </c>
      <c r="G36" s="186">
        <f t="shared" si="6"/>
        <v>11127</v>
      </c>
      <c r="H36" s="187">
        <f t="shared" si="6"/>
        <v>11122.2</v>
      </c>
      <c r="I36" s="186">
        <f>SUM(I25:I33)</f>
        <v>24157</v>
      </c>
      <c r="J36" s="187">
        <f t="shared" si="6"/>
        <v>23840.2</v>
      </c>
      <c r="K36" s="186">
        <f>SUM(K25:K33)</f>
        <v>4159</v>
      </c>
      <c r="L36" s="187">
        <f t="shared" ref="L36" si="7">SUM(L25:L33)</f>
        <v>4024.2</v>
      </c>
      <c r="M36" s="188">
        <f t="shared" si="6"/>
        <v>227993</v>
      </c>
      <c r="N36" s="189">
        <f t="shared" si="6"/>
        <v>105760.16</v>
      </c>
      <c r="P36" s="198"/>
      <c r="Q36" s="106"/>
      <c r="R36" s="106"/>
      <c r="S36" s="106"/>
      <c r="T36" s="191"/>
      <c r="U36" s="198"/>
      <c r="V36" s="106"/>
      <c r="W36" s="106"/>
      <c r="X36" s="201"/>
      <c r="Z36" s="204"/>
      <c r="AA36" s="202"/>
      <c r="AB36" s="202"/>
      <c r="AC36" s="203"/>
    </row>
    <row r="37" spans="1:29" ht="19.95" customHeight="1">
      <c r="P37" s="198"/>
      <c r="Q37" s="106">
        <f>SUM(Q24:Q36)</f>
        <v>106670</v>
      </c>
      <c r="R37" s="106">
        <f>SUM(R24:R36)</f>
        <v>240</v>
      </c>
      <c r="S37" s="106">
        <f>SUM(S24:S36)</f>
        <v>0</v>
      </c>
      <c r="T37" s="191"/>
      <c r="U37" s="198"/>
      <c r="V37" s="106">
        <f>SUM(V24:V36)</f>
        <v>183659</v>
      </c>
      <c r="W37" s="106">
        <f>SUM(W24:W36)</f>
        <v>0</v>
      </c>
      <c r="X37" s="201">
        <f>SUM(X24:X36)</f>
        <v>29515</v>
      </c>
      <c r="Z37" s="204"/>
      <c r="AA37" s="106">
        <f>SUM(AA24:AA36)</f>
        <v>25168</v>
      </c>
      <c r="AB37" s="106">
        <f>SUM(AB24:AB36)</f>
        <v>0</v>
      </c>
      <c r="AC37" s="106">
        <f>SUM(AC24:AC36)</f>
        <v>8400</v>
      </c>
    </row>
    <row r="38" spans="1:29" ht="19.95" customHeight="1">
      <c r="T38" s="191"/>
      <c r="X38" s="192"/>
    </row>
    <row r="39" spans="1:29" ht="19.95" customHeight="1">
      <c r="T39" s="191"/>
      <c r="X39" s="192"/>
    </row>
    <row r="40" spans="1:29" ht="19.95" customHeight="1">
      <c r="P40" s="248" t="s">
        <v>311</v>
      </c>
      <c r="Q40" s="248"/>
      <c r="R40" s="248"/>
      <c r="S40" s="248"/>
      <c r="T40" s="191"/>
      <c r="U40" s="248" t="s">
        <v>312</v>
      </c>
      <c r="V40" s="248"/>
      <c r="W40" s="248"/>
      <c r="X40" s="248"/>
    </row>
    <row r="41" spans="1:29" ht="19.95" customHeight="1">
      <c r="P41" s="198" t="s">
        <v>297</v>
      </c>
      <c r="Q41" s="199" t="s">
        <v>294</v>
      </c>
      <c r="R41" s="199" t="s">
        <v>295</v>
      </c>
      <c r="S41" s="199" t="s">
        <v>296</v>
      </c>
      <c r="T41" s="191"/>
      <c r="U41" s="198" t="s">
        <v>297</v>
      </c>
      <c r="V41" s="199" t="s">
        <v>294</v>
      </c>
      <c r="W41" s="199" t="s">
        <v>295</v>
      </c>
      <c r="X41" s="199" t="s">
        <v>296</v>
      </c>
    </row>
    <row r="42" spans="1:29" ht="19.95" customHeight="1">
      <c r="P42" s="198" t="s">
        <v>298</v>
      </c>
      <c r="Q42" s="106">
        <v>11184</v>
      </c>
      <c r="R42" s="106">
        <v>48</v>
      </c>
      <c r="S42" s="106"/>
      <c r="T42" s="191"/>
      <c r="U42" s="198" t="s">
        <v>298</v>
      </c>
      <c r="V42" s="202">
        <v>13556</v>
      </c>
      <c r="W42" s="202"/>
      <c r="X42" s="203">
        <v>9498</v>
      </c>
    </row>
    <row r="43" spans="1:29" ht="19.95" customHeight="1">
      <c r="P43" s="198" t="s">
        <v>303</v>
      </c>
      <c r="Q43" s="106">
        <v>11412</v>
      </c>
      <c r="R43" s="106">
        <v>60</v>
      </c>
      <c r="S43" s="106"/>
      <c r="T43" s="191"/>
      <c r="U43" s="198" t="s">
        <v>303</v>
      </c>
      <c r="V43" s="202">
        <v>13307</v>
      </c>
      <c r="W43" s="202"/>
      <c r="X43" s="203">
        <v>8335</v>
      </c>
    </row>
    <row r="44" spans="1:29" ht="19.95" customHeight="1">
      <c r="P44" s="198" t="s">
        <v>304</v>
      </c>
      <c r="Q44" s="106">
        <v>17628</v>
      </c>
      <c r="R44" s="106"/>
      <c r="S44" s="106"/>
      <c r="T44" s="191"/>
      <c r="U44" s="198" t="s">
        <v>304</v>
      </c>
      <c r="V44" s="202">
        <v>19676</v>
      </c>
      <c r="W44" s="202"/>
      <c r="X44" s="203">
        <v>7039</v>
      </c>
    </row>
    <row r="45" spans="1:29" ht="19.95" customHeight="1">
      <c r="P45" s="198" t="s">
        <v>279</v>
      </c>
      <c r="Q45" s="106">
        <v>11244</v>
      </c>
      <c r="R45" s="106">
        <v>60</v>
      </c>
      <c r="S45" s="106"/>
      <c r="T45" s="191"/>
      <c r="U45" s="198" t="s">
        <v>279</v>
      </c>
      <c r="V45" s="202">
        <v>10088</v>
      </c>
      <c r="W45" s="202"/>
      <c r="X45" s="203">
        <v>2080</v>
      </c>
    </row>
    <row r="46" spans="1:29" ht="19.95" customHeight="1">
      <c r="P46" s="198" t="s">
        <v>280</v>
      </c>
      <c r="Q46" s="106">
        <v>14640</v>
      </c>
      <c r="R46" s="106">
        <v>144</v>
      </c>
      <c r="S46" s="106"/>
      <c r="T46" s="191"/>
      <c r="U46" s="198" t="s">
        <v>280</v>
      </c>
      <c r="V46" s="202">
        <v>14986</v>
      </c>
      <c r="W46" s="202"/>
      <c r="X46" s="203">
        <v>4633</v>
      </c>
    </row>
    <row r="47" spans="1:29" ht="19.95" customHeight="1">
      <c r="P47" s="198" t="s">
        <v>305</v>
      </c>
      <c r="Q47" s="106">
        <v>12552</v>
      </c>
      <c r="R47" s="106">
        <v>72</v>
      </c>
      <c r="S47" s="106"/>
      <c r="T47" s="191"/>
      <c r="U47" s="198" t="s">
        <v>305</v>
      </c>
      <c r="V47" s="202">
        <v>15398</v>
      </c>
      <c r="W47" s="202"/>
      <c r="X47" s="203">
        <v>3415</v>
      </c>
    </row>
    <row r="48" spans="1:29" ht="19.95" customHeight="1">
      <c r="P48" s="198" t="s">
        <v>282</v>
      </c>
      <c r="Q48" s="106">
        <v>13056</v>
      </c>
      <c r="R48" s="106"/>
      <c r="S48" s="106"/>
      <c r="T48" s="191"/>
      <c r="U48" s="198" t="s">
        <v>282</v>
      </c>
      <c r="V48" s="202">
        <v>15534</v>
      </c>
      <c r="W48" s="202"/>
      <c r="X48" s="203">
        <v>3425</v>
      </c>
    </row>
    <row r="49" spans="16:24" ht="19.95" customHeight="1">
      <c r="P49" s="198" t="s">
        <v>306</v>
      </c>
      <c r="Q49" s="106">
        <v>15180</v>
      </c>
      <c r="R49" s="106"/>
      <c r="S49" s="106"/>
      <c r="T49" s="191"/>
      <c r="U49" s="198" t="s">
        <v>306</v>
      </c>
      <c r="V49" s="202">
        <v>14988</v>
      </c>
      <c r="W49" s="202"/>
      <c r="X49" s="203">
        <v>3961</v>
      </c>
    </row>
    <row r="50" spans="16:24" ht="19.95" customHeight="1">
      <c r="P50" s="198" t="s">
        <v>307</v>
      </c>
      <c r="Q50" s="106">
        <v>10731</v>
      </c>
      <c r="R50" s="106"/>
      <c r="S50" s="106"/>
      <c r="T50" s="191"/>
      <c r="U50" s="198" t="s">
        <v>307</v>
      </c>
      <c r="V50" s="202">
        <v>13677</v>
      </c>
      <c r="W50" s="202"/>
      <c r="X50" s="203">
        <v>3800</v>
      </c>
    </row>
    <row r="51" spans="16:24" ht="19.95" customHeight="1">
      <c r="P51" s="198" t="s">
        <v>308</v>
      </c>
      <c r="Q51" s="106">
        <v>11562</v>
      </c>
      <c r="R51" s="106"/>
      <c r="S51" s="106">
        <v>854</v>
      </c>
      <c r="T51" s="191"/>
      <c r="U51" s="198" t="s">
        <v>308</v>
      </c>
      <c r="V51" s="202">
        <v>14637</v>
      </c>
      <c r="W51" s="202"/>
      <c r="X51" s="203">
        <v>4370</v>
      </c>
    </row>
    <row r="52" spans="16:24" ht="19.95" customHeight="1">
      <c r="P52" s="198" t="s">
        <v>309</v>
      </c>
      <c r="Q52" s="106">
        <v>11903</v>
      </c>
      <c r="R52" s="106"/>
      <c r="S52" s="106">
        <v>166</v>
      </c>
      <c r="T52" s="191"/>
      <c r="U52" s="198" t="s">
        <v>309</v>
      </c>
      <c r="V52" s="202">
        <v>12414</v>
      </c>
      <c r="W52" s="202"/>
      <c r="X52" s="203">
        <v>3800</v>
      </c>
    </row>
    <row r="53" spans="16:24" ht="19.95" customHeight="1">
      <c r="P53" s="198" t="s">
        <v>310</v>
      </c>
      <c r="Q53" s="106">
        <v>13034</v>
      </c>
      <c r="R53" s="106"/>
      <c r="S53" s="106">
        <v>478</v>
      </c>
      <c r="T53" s="191"/>
      <c r="U53" s="198" t="s">
        <v>310</v>
      </c>
      <c r="V53" s="202">
        <v>14387</v>
      </c>
      <c r="W53" s="202"/>
      <c r="X53" s="203">
        <v>4640</v>
      </c>
    </row>
    <row r="54" spans="16:24" ht="19.95" customHeight="1">
      <c r="P54" s="198"/>
      <c r="Q54" s="106"/>
      <c r="R54" s="106"/>
      <c r="S54" s="106"/>
      <c r="T54" s="191"/>
      <c r="U54" s="204"/>
      <c r="V54" s="202"/>
      <c r="W54" s="202"/>
      <c r="X54" s="203"/>
    </row>
    <row r="55" spans="16:24">
      <c r="P55" s="198"/>
      <c r="Q55" s="106">
        <f>SUM(Q42:Q54)</f>
        <v>154126</v>
      </c>
      <c r="R55" s="106">
        <f>SUM(R42:R54)</f>
        <v>384</v>
      </c>
      <c r="S55" s="106">
        <f>SUM(S42:S54)</f>
        <v>1498</v>
      </c>
      <c r="T55" s="191"/>
      <c r="U55" s="204"/>
      <c r="V55" s="106">
        <f>SUM(V42:V54)</f>
        <v>172648</v>
      </c>
      <c r="W55" s="106">
        <f>SUM(W42:W54)</f>
        <v>0</v>
      </c>
      <c r="X55" s="106">
        <f>SUM(X42:X54)</f>
        <v>58996</v>
      </c>
    </row>
    <row r="56" spans="16:24">
      <c r="T56" s="191"/>
      <c r="X56" s="192"/>
    </row>
    <row r="57" spans="16:24">
      <c r="T57" s="191"/>
      <c r="X57" s="192"/>
    </row>
    <row r="58" spans="16:24">
      <c r="T58" s="191"/>
    </row>
    <row r="59" spans="16:24">
      <c r="T59" s="191"/>
    </row>
    <row r="60" spans="16:24">
      <c r="T60" s="191"/>
    </row>
    <row r="61" spans="16:24">
      <c r="T61" s="191"/>
    </row>
    <row r="62" spans="16:24">
      <c r="T62" s="191"/>
    </row>
    <row r="63" spans="16:24">
      <c r="T63" s="191"/>
    </row>
    <row r="64" spans="16:24">
      <c r="T64" s="191"/>
    </row>
    <row r="65" spans="20:20">
      <c r="T65" s="191"/>
    </row>
    <row r="66" spans="20:20">
      <c r="T66" s="191"/>
    </row>
    <row r="67" spans="20:20">
      <c r="T67" s="191"/>
    </row>
    <row r="68" spans="20:20">
      <c r="T68" s="191"/>
    </row>
    <row r="69" spans="20:20">
      <c r="T69" s="191"/>
    </row>
    <row r="70" spans="20:20">
      <c r="T70" s="191"/>
    </row>
    <row r="71" spans="20:20">
      <c r="T71" s="191"/>
    </row>
    <row r="72" spans="20:20">
      <c r="T72" s="191"/>
    </row>
    <row r="73" spans="20:20">
      <c r="T73" s="191"/>
    </row>
    <row r="74" spans="20:20">
      <c r="T74" s="191"/>
    </row>
    <row r="75" spans="20:20">
      <c r="T75" s="191"/>
    </row>
    <row r="76" spans="20:20">
      <c r="T76" s="191"/>
    </row>
    <row r="77" spans="20:20">
      <c r="T77" s="191"/>
    </row>
    <row r="78" spans="20:20">
      <c r="T78" s="191"/>
    </row>
    <row r="79" spans="20:20">
      <c r="T79" s="191"/>
    </row>
    <row r="80" spans="20:20">
      <c r="T80" s="191"/>
    </row>
    <row r="81" spans="20:20">
      <c r="T81" s="191"/>
    </row>
    <row r="82" spans="20:20">
      <c r="T82" s="191"/>
    </row>
    <row r="83" spans="20:20">
      <c r="T83" s="191"/>
    </row>
    <row r="84" spans="20:20">
      <c r="T84" s="191"/>
    </row>
    <row r="85" spans="20:20">
      <c r="T85" s="191"/>
    </row>
  </sheetData>
  <mergeCells count="23">
    <mergeCell ref="A1:J1"/>
    <mergeCell ref="A2:A3"/>
    <mergeCell ref="B2:B3"/>
    <mergeCell ref="C2:D2"/>
    <mergeCell ref="E2:F2"/>
    <mergeCell ref="G2:H2"/>
    <mergeCell ref="I2:J2"/>
    <mergeCell ref="Z22:AC22"/>
    <mergeCell ref="M23:N23"/>
    <mergeCell ref="P40:S40"/>
    <mergeCell ref="U40:X40"/>
    <mergeCell ref="M2:N2"/>
    <mergeCell ref="P22:S22"/>
    <mergeCell ref="U22:X22"/>
    <mergeCell ref="A22:N22"/>
    <mergeCell ref="A23:A24"/>
    <mergeCell ref="B23:B24"/>
    <mergeCell ref="C23:D23"/>
    <mergeCell ref="E23:F23"/>
    <mergeCell ref="G23:H23"/>
    <mergeCell ref="I23:J23"/>
    <mergeCell ref="K2:L2"/>
    <mergeCell ref="K23:L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385B-5FA4-4470-B041-6B7918D6F10B}">
  <sheetPr>
    <tabColor rgb="FF00B050"/>
  </sheetPr>
  <dimension ref="A1:EG182"/>
  <sheetViews>
    <sheetView zoomScaleNormal="100" workbookViewId="0">
      <pane xSplit="31" ySplit="2" topLeftCell="DG172" activePane="bottomRight" state="frozen"/>
      <selection pane="topRight" activeCell="AF1" sqref="AF1"/>
      <selection pane="bottomLeft" activeCell="A3" sqref="A3"/>
      <selection pane="bottomRight" activeCell="DJ172" sqref="DJ172"/>
    </sheetView>
  </sheetViews>
  <sheetFormatPr defaultColWidth="10.5546875" defaultRowHeight="22.8"/>
  <cols>
    <col min="1" max="1" width="3.5546875" style="37" bestFit="1" customWidth="1"/>
    <col min="2" max="2" width="27.88671875" style="37" bestFit="1" customWidth="1"/>
    <col min="3" max="4" width="7.44140625" style="37" bestFit="1" customWidth="1"/>
    <col min="5" max="5" width="5.44140625" style="37" customWidth="1"/>
    <col min="6" max="6" width="7.6640625" style="37" bestFit="1" customWidth="1"/>
    <col min="7" max="7" width="9.6640625" style="37" customWidth="1"/>
    <col min="8" max="31" width="9.33203125" style="37" hidden="1" customWidth="1"/>
    <col min="32" max="32" width="12.109375" style="37" customWidth="1"/>
    <col min="33" max="33" width="11.5546875" style="37" customWidth="1"/>
    <col min="34" max="57" width="9.33203125" style="37" hidden="1" customWidth="1"/>
    <col min="58" max="58" width="13.6640625" style="37" customWidth="1"/>
    <col min="59" max="59" width="12.21875" style="37" customWidth="1"/>
    <col min="60" max="83" width="9.33203125" style="37" hidden="1" customWidth="1"/>
    <col min="84" max="85" width="10.5546875" style="37"/>
    <col min="86" max="86" width="9.33203125" style="2" hidden="1" customWidth="1"/>
    <col min="87" max="87" width="9.33203125" style="38" hidden="1" customWidth="1"/>
    <col min="88" max="88" width="9.33203125" style="2" hidden="1" customWidth="1"/>
    <col min="89" max="89" width="9.33203125" style="38" hidden="1" customWidth="1"/>
    <col min="90" max="90" width="9.33203125" style="2" hidden="1" customWidth="1"/>
    <col min="91" max="91" width="9.33203125" style="38" hidden="1" customWidth="1"/>
    <col min="92" max="92" width="9.33203125" style="2" hidden="1" customWidth="1"/>
    <col min="93" max="93" width="9.5546875" style="38" hidden="1" customWidth="1"/>
    <col min="94" max="94" width="10.88671875" style="2" hidden="1" customWidth="1"/>
    <col min="95" max="95" width="12.109375" style="38" hidden="1" customWidth="1"/>
    <col min="96" max="96" width="0" style="2" hidden="1" customWidth="1"/>
    <col min="97" max="97" width="0" style="38" hidden="1" customWidth="1"/>
    <col min="98" max="98" width="9.21875" style="2" hidden="1" customWidth="1"/>
    <col min="99" max="99" width="9.88671875" style="38" hidden="1" customWidth="1"/>
    <col min="100" max="100" width="10.21875" style="2" hidden="1" customWidth="1"/>
    <col min="101" max="101" width="10.21875" style="38" hidden="1" customWidth="1"/>
    <col min="102" max="102" width="10.109375" style="2" hidden="1" customWidth="1"/>
    <col min="103" max="103" width="11.109375" style="38" hidden="1" customWidth="1"/>
    <col min="104" max="104" width="0" style="2" hidden="1" customWidth="1"/>
    <col min="105" max="105" width="9.44140625" style="38" hidden="1" customWidth="1"/>
    <col min="106" max="106" width="9.77734375" style="2" hidden="1" customWidth="1"/>
    <col min="107" max="107" width="9.77734375" style="38" hidden="1" customWidth="1"/>
    <col min="108" max="108" width="9.6640625" style="2" hidden="1" customWidth="1"/>
    <col min="109" max="109" width="9.6640625" style="38" hidden="1" customWidth="1"/>
    <col min="110" max="110" width="10.5546875" style="2"/>
    <col min="111" max="111" width="11.5546875" style="38" customWidth="1"/>
    <col min="112" max="112" width="11.21875" style="244" customWidth="1"/>
    <col min="113" max="113" width="12.44140625" style="232" customWidth="1"/>
    <col min="114" max="115" width="10.5546875" style="232" customWidth="1"/>
    <col min="116" max="116" width="9.109375" style="232" hidden="1" customWidth="1"/>
    <col min="117" max="117" width="10.44140625" style="232" hidden="1" customWidth="1"/>
    <col min="118" max="118" width="9.109375" style="232" hidden="1" customWidth="1"/>
    <col min="119" max="119" width="11.33203125" style="232" hidden="1" customWidth="1"/>
    <col min="120" max="120" width="9.109375" style="232" hidden="1" customWidth="1"/>
    <col min="121" max="121" width="11.6640625" style="232" hidden="1" customWidth="1"/>
    <col min="122" max="122" width="9.109375" style="232" hidden="1" customWidth="1"/>
    <col min="123" max="123" width="10.21875" style="232" hidden="1" customWidth="1"/>
    <col min="124" max="124" width="9.109375" style="232" hidden="1" customWidth="1"/>
    <col min="125" max="125" width="9.77734375" style="232" hidden="1" customWidth="1"/>
    <col min="126" max="127" width="9.109375" style="232" hidden="1" customWidth="1"/>
    <col min="128" max="128" width="9.33203125" style="232" hidden="1" customWidth="1"/>
    <col min="129" max="135" width="9.109375" style="232" hidden="1" customWidth="1"/>
    <col min="136" max="136" width="10.44140625" style="232" customWidth="1"/>
    <col min="137" max="137" width="10.6640625" style="232" customWidth="1"/>
    <col min="138" max="16384" width="10.5546875" style="2"/>
  </cols>
  <sheetData>
    <row r="1" spans="1:137">
      <c r="A1" s="270" t="s">
        <v>0</v>
      </c>
      <c r="B1" s="271"/>
      <c r="C1" s="271"/>
      <c r="D1" s="271"/>
      <c r="E1" s="271"/>
      <c r="F1" s="271"/>
      <c r="G1" s="272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/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73">
        <v>2025</v>
      </c>
      <c r="CI1" s="274"/>
      <c r="CJ1" s="274"/>
      <c r="CK1" s="274"/>
      <c r="CL1" s="274"/>
      <c r="CM1" s="274"/>
      <c r="CN1" s="274"/>
      <c r="CO1" s="274"/>
      <c r="CP1" s="274"/>
      <c r="CQ1" s="274"/>
      <c r="CR1" s="274"/>
      <c r="CS1" s="274"/>
      <c r="CT1" s="274"/>
      <c r="CU1" s="274"/>
      <c r="CV1" s="274"/>
      <c r="CW1" s="274"/>
      <c r="CX1" s="274"/>
      <c r="CY1" s="274"/>
      <c r="CZ1" s="274"/>
      <c r="DA1" s="274"/>
      <c r="DB1" s="274"/>
      <c r="DC1" s="274"/>
      <c r="DD1" s="274"/>
      <c r="DE1" s="274"/>
      <c r="DF1" s="274"/>
      <c r="DG1" s="274"/>
      <c r="DH1" s="232"/>
    </row>
    <row r="2" spans="1:137" ht="18.75" customHeight="1">
      <c r="A2" s="264" t="s">
        <v>1</v>
      </c>
      <c r="B2" s="264" t="s">
        <v>2</v>
      </c>
      <c r="C2" s="264"/>
      <c r="D2" s="262" t="s">
        <v>3</v>
      </c>
      <c r="E2" s="262" t="s">
        <v>4</v>
      </c>
      <c r="F2" s="262" t="s">
        <v>5</v>
      </c>
      <c r="G2" s="264" t="s">
        <v>6</v>
      </c>
      <c r="H2" s="256">
        <v>44562</v>
      </c>
      <c r="I2" s="257"/>
      <c r="J2" s="256">
        <v>44593</v>
      </c>
      <c r="K2" s="257"/>
      <c r="L2" s="256">
        <v>44621</v>
      </c>
      <c r="M2" s="257"/>
      <c r="N2" s="256">
        <v>44652</v>
      </c>
      <c r="O2" s="257"/>
      <c r="P2" s="256">
        <v>44682</v>
      </c>
      <c r="Q2" s="257"/>
      <c r="R2" s="256">
        <v>44713</v>
      </c>
      <c r="S2" s="257"/>
      <c r="T2" s="256">
        <v>44743</v>
      </c>
      <c r="U2" s="257"/>
      <c r="V2" s="256">
        <v>44774</v>
      </c>
      <c r="W2" s="257"/>
      <c r="X2" s="256">
        <v>44805</v>
      </c>
      <c r="Y2" s="257"/>
      <c r="Z2" s="256">
        <v>44835</v>
      </c>
      <c r="AA2" s="257"/>
      <c r="AB2" s="256">
        <v>44866</v>
      </c>
      <c r="AC2" s="257"/>
      <c r="AD2" s="256">
        <v>44896</v>
      </c>
      <c r="AE2" s="257"/>
      <c r="AF2" s="260" t="s">
        <v>315</v>
      </c>
      <c r="AG2" s="261"/>
      <c r="AH2" s="256">
        <v>44927</v>
      </c>
      <c r="AI2" s="257"/>
      <c r="AJ2" s="256">
        <v>44958</v>
      </c>
      <c r="AK2" s="257"/>
      <c r="AL2" s="256">
        <v>44986</v>
      </c>
      <c r="AM2" s="257"/>
      <c r="AN2" s="256">
        <v>45017</v>
      </c>
      <c r="AO2" s="257"/>
      <c r="AP2" s="256">
        <v>45047</v>
      </c>
      <c r="AQ2" s="257"/>
      <c r="AR2" s="256">
        <v>45078</v>
      </c>
      <c r="AS2" s="257"/>
      <c r="AT2" s="256">
        <v>45108</v>
      </c>
      <c r="AU2" s="257"/>
      <c r="AV2" s="256">
        <v>45139</v>
      </c>
      <c r="AW2" s="257"/>
      <c r="AX2" s="256">
        <v>45170</v>
      </c>
      <c r="AY2" s="257"/>
      <c r="AZ2" s="256">
        <v>45200</v>
      </c>
      <c r="BA2" s="257"/>
      <c r="BB2" s="256">
        <v>45231</v>
      </c>
      <c r="BC2" s="257"/>
      <c r="BD2" s="256">
        <v>45261</v>
      </c>
      <c r="BE2" s="257"/>
      <c r="BF2" s="260" t="s">
        <v>316</v>
      </c>
      <c r="BG2" s="261"/>
      <c r="BH2" s="256">
        <v>45292</v>
      </c>
      <c r="BI2" s="257"/>
      <c r="BJ2" s="256">
        <v>45323</v>
      </c>
      <c r="BK2" s="257"/>
      <c r="BL2" s="256">
        <v>45352</v>
      </c>
      <c r="BM2" s="257"/>
      <c r="BN2" s="256">
        <v>45383</v>
      </c>
      <c r="BO2" s="257"/>
      <c r="BP2" s="256">
        <v>45413</v>
      </c>
      <c r="BQ2" s="257"/>
      <c r="BR2" s="256">
        <v>45444</v>
      </c>
      <c r="BS2" s="257"/>
      <c r="BT2" s="256">
        <v>45474</v>
      </c>
      <c r="BU2" s="257"/>
      <c r="BV2" s="256">
        <v>45505</v>
      </c>
      <c r="BW2" s="257"/>
      <c r="BX2" s="256">
        <v>45536</v>
      </c>
      <c r="BY2" s="257"/>
      <c r="BZ2" s="256">
        <v>45566</v>
      </c>
      <c r="CA2" s="257"/>
      <c r="CB2" s="256">
        <v>45597</v>
      </c>
      <c r="CC2" s="257"/>
      <c r="CD2" s="256">
        <v>45627</v>
      </c>
      <c r="CE2" s="257"/>
      <c r="CF2" s="260" t="s">
        <v>317</v>
      </c>
      <c r="CG2" s="261"/>
      <c r="CH2" s="256">
        <v>45658</v>
      </c>
      <c r="CI2" s="257"/>
      <c r="CJ2" s="256">
        <v>45689</v>
      </c>
      <c r="CK2" s="257"/>
      <c r="CL2" s="256">
        <v>45717</v>
      </c>
      <c r="CM2" s="257"/>
      <c r="CN2" s="256">
        <v>45748</v>
      </c>
      <c r="CO2" s="257"/>
      <c r="CP2" s="256">
        <v>45778</v>
      </c>
      <c r="CQ2" s="257"/>
      <c r="CR2" s="256">
        <v>45809</v>
      </c>
      <c r="CS2" s="257"/>
      <c r="CT2" s="256">
        <v>45839</v>
      </c>
      <c r="CU2" s="257"/>
      <c r="CV2" s="256">
        <v>45870</v>
      </c>
      <c r="CW2" s="257"/>
      <c r="CX2" s="256">
        <v>45901</v>
      </c>
      <c r="CY2" s="257"/>
      <c r="CZ2" s="256">
        <v>45931</v>
      </c>
      <c r="DA2" s="257"/>
      <c r="DB2" s="256">
        <v>45962</v>
      </c>
      <c r="DC2" s="257"/>
      <c r="DD2" s="256">
        <v>45992</v>
      </c>
      <c r="DE2" s="257"/>
      <c r="DF2" s="258" t="s">
        <v>7</v>
      </c>
      <c r="DG2" s="259"/>
      <c r="DH2" s="265">
        <v>46023</v>
      </c>
      <c r="DI2" s="266"/>
      <c r="DJ2" s="265">
        <v>46054</v>
      </c>
      <c r="DK2" s="266"/>
      <c r="DL2" s="265">
        <v>46082</v>
      </c>
      <c r="DM2" s="266"/>
      <c r="DN2" s="265">
        <v>46113</v>
      </c>
      <c r="DO2" s="266"/>
      <c r="DP2" s="265">
        <v>46143</v>
      </c>
      <c r="DQ2" s="266"/>
      <c r="DR2" s="265">
        <v>46174</v>
      </c>
      <c r="DS2" s="266"/>
      <c r="DT2" s="265">
        <v>46204</v>
      </c>
      <c r="DU2" s="266"/>
      <c r="DV2" s="265">
        <v>46235</v>
      </c>
      <c r="DW2" s="266"/>
      <c r="DX2" s="265">
        <v>46266</v>
      </c>
      <c r="DY2" s="266"/>
      <c r="DZ2" s="265">
        <v>46296</v>
      </c>
      <c r="EA2" s="266"/>
      <c r="EB2" s="265">
        <v>46327</v>
      </c>
      <c r="EC2" s="266"/>
      <c r="ED2" s="265">
        <v>46357</v>
      </c>
      <c r="EE2" s="266"/>
      <c r="EF2" s="267" t="s">
        <v>328</v>
      </c>
      <c r="EG2" s="268"/>
    </row>
    <row r="3" spans="1:137" ht="18.75" customHeight="1">
      <c r="A3" s="269"/>
      <c r="B3" s="269"/>
      <c r="C3" s="269"/>
      <c r="D3" s="263"/>
      <c r="E3" s="263"/>
      <c r="F3" s="263"/>
      <c r="G3" s="263"/>
      <c r="H3" s="3" t="s">
        <v>8</v>
      </c>
      <c r="I3" s="4" t="s">
        <v>9</v>
      </c>
      <c r="J3" s="3" t="s">
        <v>8</v>
      </c>
      <c r="K3" s="4" t="s">
        <v>9</v>
      </c>
      <c r="L3" s="3" t="s">
        <v>8</v>
      </c>
      <c r="M3" s="4" t="s">
        <v>9</v>
      </c>
      <c r="N3" s="3" t="s">
        <v>8</v>
      </c>
      <c r="O3" s="4" t="s">
        <v>9</v>
      </c>
      <c r="P3" s="3" t="s">
        <v>8</v>
      </c>
      <c r="Q3" s="4" t="s">
        <v>9</v>
      </c>
      <c r="R3" s="3" t="s">
        <v>8</v>
      </c>
      <c r="S3" s="4" t="s">
        <v>9</v>
      </c>
      <c r="T3" s="3" t="s">
        <v>8</v>
      </c>
      <c r="U3" s="4" t="s">
        <v>9</v>
      </c>
      <c r="V3" s="3" t="s">
        <v>8</v>
      </c>
      <c r="W3" s="4" t="s">
        <v>9</v>
      </c>
      <c r="X3" s="3" t="s">
        <v>8</v>
      </c>
      <c r="Y3" s="4" t="s">
        <v>9</v>
      </c>
      <c r="Z3" s="3" t="s">
        <v>8</v>
      </c>
      <c r="AA3" s="4" t="s">
        <v>9</v>
      </c>
      <c r="AB3" s="3" t="s">
        <v>8</v>
      </c>
      <c r="AC3" s="4" t="s">
        <v>9</v>
      </c>
      <c r="AD3" s="3" t="s">
        <v>8</v>
      </c>
      <c r="AE3" s="4" t="s">
        <v>9</v>
      </c>
      <c r="AF3" s="5" t="s">
        <v>8</v>
      </c>
      <c r="AG3" s="6" t="s">
        <v>9</v>
      </c>
      <c r="AH3" s="3" t="s">
        <v>8</v>
      </c>
      <c r="AI3" s="4" t="s">
        <v>9</v>
      </c>
      <c r="AJ3" s="3" t="s">
        <v>8</v>
      </c>
      <c r="AK3" s="4" t="s">
        <v>9</v>
      </c>
      <c r="AL3" s="3" t="s">
        <v>8</v>
      </c>
      <c r="AM3" s="4" t="s">
        <v>9</v>
      </c>
      <c r="AN3" s="3" t="s">
        <v>8</v>
      </c>
      <c r="AO3" s="4" t="s">
        <v>9</v>
      </c>
      <c r="AP3" s="3" t="s">
        <v>8</v>
      </c>
      <c r="AQ3" s="4" t="s">
        <v>9</v>
      </c>
      <c r="AR3" s="3" t="s">
        <v>8</v>
      </c>
      <c r="AS3" s="4" t="s">
        <v>9</v>
      </c>
      <c r="AT3" s="3" t="s">
        <v>8</v>
      </c>
      <c r="AU3" s="4" t="s">
        <v>9</v>
      </c>
      <c r="AV3" s="3" t="s">
        <v>8</v>
      </c>
      <c r="AW3" s="4" t="s">
        <v>9</v>
      </c>
      <c r="AX3" s="3" t="s">
        <v>8</v>
      </c>
      <c r="AY3" s="4" t="s">
        <v>9</v>
      </c>
      <c r="AZ3" s="3" t="s">
        <v>8</v>
      </c>
      <c r="BA3" s="4" t="s">
        <v>9</v>
      </c>
      <c r="BB3" s="3" t="s">
        <v>8</v>
      </c>
      <c r="BC3" s="4" t="s">
        <v>9</v>
      </c>
      <c r="BD3" s="3" t="s">
        <v>8</v>
      </c>
      <c r="BE3" s="4" t="s">
        <v>9</v>
      </c>
      <c r="BF3" s="5" t="s">
        <v>8</v>
      </c>
      <c r="BG3" s="6" t="s">
        <v>9</v>
      </c>
      <c r="BH3" s="3" t="s">
        <v>8</v>
      </c>
      <c r="BI3" s="4" t="s">
        <v>9</v>
      </c>
      <c r="BJ3" s="3" t="s">
        <v>8</v>
      </c>
      <c r="BK3" s="4" t="s">
        <v>9</v>
      </c>
      <c r="BL3" s="3" t="s">
        <v>8</v>
      </c>
      <c r="BM3" s="4" t="s">
        <v>9</v>
      </c>
      <c r="BN3" s="3" t="s">
        <v>8</v>
      </c>
      <c r="BO3" s="4" t="s">
        <v>9</v>
      </c>
      <c r="BP3" s="3" t="s">
        <v>8</v>
      </c>
      <c r="BQ3" s="4" t="s">
        <v>9</v>
      </c>
      <c r="BR3" s="3" t="s">
        <v>8</v>
      </c>
      <c r="BS3" s="4" t="s">
        <v>9</v>
      </c>
      <c r="BT3" s="3" t="s">
        <v>8</v>
      </c>
      <c r="BU3" s="4" t="s">
        <v>9</v>
      </c>
      <c r="BV3" s="3" t="s">
        <v>8</v>
      </c>
      <c r="BW3" s="4" t="s">
        <v>9</v>
      </c>
      <c r="BX3" s="3" t="s">
        <v>8</v>
      </c>
      <c r="BY3" s="4" t="s">
        <v>9</v>
      </c>
      <c r="BZ3" s="3" t="s">
        <v>8</v>
      </c>
      <c r="CA3" s="4" t="s">
        <v>9</v>
      </c>
      <c r="CB3" s="3" t="s">
        <v>8</v>
      </c>
      <c r="CC3" s="4" t="s">
        <v>9</v>
      </c>
      <c r="CD3" s="3" t="s">
        <v>8</v>
      </c>
      <c r="CE3" s="4" t="s">
        <v>9</v>
      </c>
      <c r="CF3" s="5" t="s">
        <v>8</v>
      </c>
      <c r="CG3" s="6" t="s">
        <v>9</v>
      </c>
      <c r="CH3" s="3" t="s">
        <v>8</v>
      </c>
      <c r="CI3" s="4" t="s">
        <v>9</v>
      </c>
      <c r="CJ3" s="3" t="s">
        <v>8</v>
      </c>
      <c r="CK3" s="4" t="s">
        <v>9</v>
      </c>
      <c r="CL3" s="3" t="s">
        <v>8</v>
      </c>
      <c r="CM3" s="4" t="s">
        <v>9</v>
      </c>
      <c r="CN3" s="3" t="s">
        <v>8</v>
      </c>
      <c r="CO3" s="4" t="s">
        <v>9</v>
      </c>
      <c r="CP3" s="3" t="s">
        <v>8</v>
      </c>
      <c r="CQ3" s="4" t="s">
        <v>9</v>
      </c>
      <c r="CR3" s="3" t="s">
        <v>8</v>
      </c>
      <c r="CS3" s="4" t="s">
        <v>9</v>
      </c>
      <c r="CT3" s="3" t="s">
        <v>8</v>
      </c>
      <c r="CU3" s="4" t="s">
        <v>9</v>
      </c>
      <c r="CV3" s="3" t="s">
        <v>8</v>
      </c>
      <c r="CW3" s="4" t="s">
        <v>9</v>
      </c>
      <c r="CX3" s="3" t="s">
        <v>8</v>
      </c>
      <c r="CY3" s="4" t="s">
        <v>9</v>
      </c>
      <c r="CZ3" s="3" t="s">
        <v>8</v>
      </c>
      <c r="DA3" s="4" t="s">
        <v>9</v>
      </c>
      <c r="DB3" s="3" t="s">
        <v>8</v>
      </c>
      <c r="DC3" s="4" t="s">
        <v>9</v>
      </c>
      <c r="DD3" s="3" t="s">
        <v>8</v>
      </c>
      <c r="DE3" s="4" t="s">
        <v>9</v>
      </c>
      <c r="DF3" s="5" t="s">
        <v>8</v>
      </c>
      <c r="DG3" s="229" t="s">
        <v>9</v>
      </c>
      <c r="DH3" s="233" t="s">
        <v>8</v>
      </c>
      <c r="DI3" s="234" t="s">
        <v>9</v>
      </c>
      <c r="DJ3" s="233" t="s">
        <v>8</v>
      </c>
      <c r="DK3" s="234" t="s">
        <v>9</v>
      </c>
      <c r="DL3" s="233" t="s">
        <v>8</v>
      </c>
      <c r="DM3" s="234" t="s">
        <v>9</v>
      </c>
      <c r="DN3" s="233" t="s">
        <v>8</v>
      </c>
      <c r="DO3" s="234" t="s">
        <v>9</v>
      </c>
      <c r="DP3" s="233" t="s">
        <v>8</v>
      </c>
      <c r="DQ3" s="234" t="s">
        <v>9</v>
      </c>
      <c r="DR3" s="233" t="s">
        <v>8</v>
      </c>
      <c r="DS3" s="234" t="s">
        <v>9</v>
      </c>
      <c r="DT3" s="233" t="s">
        <v>8</v>
      </c>
      <c r="DU3" s="234" t="s">
        <v>9</v>
      </c>
      <c r="DV3" s="233" t="s">
        <v>8</v>
      </c>
      <c r="DW3" s="234" t="s">
        <v>9</v>
      </c>
      <c r="DX3" s="233" t="s">
        <v>8</v>
      </c>
      <c r="DY3" s="234" t="s">
        <v>9</v>
      </c>
      <c r="DZ3" s="233" t="s">
        <v>8</v>
      </c>
      <c r="EA3" s="234" t="s">
        <v>9</v>
      </c>
      <c r="EB3" s="233" t="s">
        <v>8</v>
      </c>
      <c r="EC3" s="234" t="s">
        <v>9</v>
      </c>
      <c r="ED3" s="233" t="s">
        <v>8</v>
      </c>
      <c r="EE3" s="234" t="s">
        <v>9</v>
      </c>
      <c r="EF3" s="233" t="s">
        <v>8</v>
      </c>
      <c r="EG3" s="234" t="s">
        <v>9</v>
      </c>
    </row>
    <row r="4" spans="1:137" ht="19.8">
      <c r="A4" s="7">
        <v>1</v>
      </c>
      <c r="B4" s="8" t="s">
        <v>10</v>
      </c>
      <c r="C4" s="8" t="s">
        <v>11</v>
      </c>
      <c r="D4" s="7">
        <f>RANK(DF4,$DF$4:$DF$147)</f>
        <v>11</v>
      </c>
      <c r="E4" s="7">
        <v>0.7</v>
      </c>
      <c r="F4" s="7" t="s">
        <v>12</v>
      </c>
      <c r="G4" s="7">
        <v>2000</v>
      </c>
      <c r="H4" s="9">
        <v>124523</v>
      </c>
      <c r="I4" s="10">
        <f>H4*$E4</f>
        <v>87166.099999999991</v>
      </c>
      <c r="J4" s="9">
        <v>116620</v>
      </c>
      <c r="K4" s="10">
        <f>J4*$E4</f>
        <v>81634</v>
      </c>
      <c r="L4" s="9">
        <v>181840</v>
      </c>
      <c r="M4" s="10">
        <f>L4*$E4</f>
        <v>127287.99999999999</v>
      </c>
      <c r="N4" s="9">
        <v>108012</v>
      </c>
      <c r="O4" s="10">
        <f>N4*$E4</f>
        <v>75608.399999999994</v>
      </c>
      <c r="P4" s="9">
        <v>114210</v>
      </c>
      <c r="Q4" s="10">
        <f>P4*$E4</f>
        <v>79947</v>
      </c>
      <c r="R4" s="9">
        <v>119568</v>
      </c>
      <c r="S4" s="10">
        <f>R4*$E4</f>
        <v>83697.599999999991</v>
      </c>
      <c r="T4" s="9">
        <v>96592</v>
      </c>
      <c r="U4" s="10">
        <f>T4*$E4</f>
        <v>67614.399999999994</v>
      </c>
      <c r="V4" s="9">
        <v>131952</v>
      </c>
      <c r="W4" s="10">
        <f>V4*$E4</f>
        <v>92366.399999999994</v>
      </c>
      <c r="X4" s="9">
        <v>89903</v>
      </c>
      <c r="Y4" s="10">
        <f>X4*$E4</f>
        <v>62932.1</v>
      </c>
      <c r="Z4" s="9">
        <v>61110</v>
      </c>
      <c r="AA4" s="10">
        <f>Z4*$E4</f>
        <v>42777</v>
      </c>
      <c r="AB4" s="9">
        <v>51726</v>
      </c>
      <c r="AC4" s="10">
        <f>AB4*$E4</f>
        <v>36208.199999999997</v>
      </c>
      <c r="AD4" s="9">
        <v>78719</v>
      </c>
      <c r="AE4" s="10">
        <f>AD4*$E4</f>
        <v>55103.299999999996</v>
      </c>
      <c r="AF4" s="11">
        <f>(AD4+AB4+Z4+X4+V4+T4+R4+P4+N4+L4+J4+H4)/1</f>
        <v>1274775</v>
      </c>
      <c r="AG4" s="12">
        <f>AF4*$E4</f>
        <v>892342.5</v>
      </c>
      <c r="AH4" s="9">
        <v>77141</v>
      </c>
      <c r="AI4" s="10">
        <f>AH4*$E4</f>
        <v>53998.7</v>
      </c>
      <c r="AJ4" s="9">
        <v>72972</v>
      </c>
      <c r="AK4" s="10">
        <f>AJ4*$E4</f>
        <v>51080.399999999994</v>
      </c>
      <c r="AL4" s="9">
        <v>70308</v>
      </c>
      <c r="AM4" s="10">
        <f>AL4*$E4</f>
        <v>49215.6</v>
      </c>
      <c r="AN4" s="9">
        <v>58392</v>
      </c>
      <c r="AO4" s="10">
        <f>AN4*$E4</f>
        <v>40874.399999999994</v>
      </c>
      <c r="AP4" s="9">
        <v>58378</v>
      </c>
      <c r="AQ4" s="10">
        <f>AP4*$E4</f>
        <v>40864.6</v>
      </c>
      <c r="AR4" s="9">
        <v>43500</v>
      </c>
      <c r="AS4" s="10">
        <f>AR4*$E4</f>
        <v>30449.999999999996</v>
      </c>
      <c r="AT4" s="9">
        <v>42396</v>
      </c>
      <c r="AU4" s="10">
        <f>AT4*$E4</f>
        <v>29677.199999999997</v>
      </c>
      <c r="AV4" s="9">
        <v>53793</v>
      </c>
      <c r="AW4" s="10">
        <f>AV4*$E4</f>
        <v>37655.1</v>
      </c>
      <c r="AX4" s="9">
        <v>32216</v>
      </c>
      <c r="AY4" s="10">
        <f>AX4*$E4</f>
        <v>22551.199999999997</v>
      </c>
      <c r="AZ4" s="9">
        <v>41076</v>
      </c>
      <c r="BA4" s="10">
        <f>AZ4*$E4</f>
        <v>28753.199999999997</v>
      </c>
      <c r="BB4" s="9">
        <v>38508</v>
      </c>
      <c r="BC4" s="10">
        <f>BB4*$E4</f>
        <v>26955.599999999999</v>
      </c>
      <c r="BD4" s="9">
        <v>38963</v>
      </c>
      <c r="BE4" s="10">
        <f>BD4*$E4</f>
        <v>27274.1</v>
      </c>
      <c r="BF4" s="11">
        <f>(BD4+BB4+AZ4+AX4+AV4+AT4+AR4+AP4+AN4+AL4+AJ4+AH4)/1</f>
        <v>627643</v>
      </c>
      <c r="BG4" s="12">
        <f>BF4*$E4</f>
        <v>439350.1</v>
      </c>
      <c r="BH4" s="13">
        <v>48252</v>
      </c>
      <c r="BI4" s="10">
        <f>BH4*$E4</f>
        <v>33776.400000000001</v>
      </c>
      <c r="BJ4" s="13">
        <v>36072</v>
      </c>
      <c r="BK4" s="10">
        <f>BJ4*$E4</f>
        <v>25250.399999999998</v>
      </c>
      <c r="BL4" s="13">
        <v>42647</v>
      </c>
      <c r="BM4" s="10">
        <f>BL4*$E4</f>
        <v>29852.899999999998</v>
      </c>
      <c r="BN4" s="13">
        <v>36856</v>
      </c>
      <c r="BO4" s="10">
        <f>BN4*$E4</f>
        <v>25799.199999999997</v>
      </c>
      <c r="BP4" s="13">
        <v>33804</v>
      </c>
      <c r="BQ4" s="10">
        <f>BP4*$E4</f>
        <v>23662.799999999999</v>
      </c>
      <c r="BR4" s="13">
        <v>35760</v>
      </c>
      <c r="BS4" s="10">
        <f>BR4*$E4</f>
        <v>25032</v>
      </c>
      <c r="BT4" s="13">
        <v>30059</v>
      </c>
      <c r="BU4" s="10">
        <f>BT4*$E4</f>
        <v>21041.3</v>
      </c>
      <c r="BV4" s="13">
        <v>28524</v>
      </c>
      <c r="BW4" s="10">
        <f>BV4*$E4</f>
        <v>19966.8</v>
      </c>
      <c r="BX4" s="13">
        <v>22953</v>
      </c>
      <c r="BY4" s="10">
        <f>BX4*$E4</f>
        <v>16067.099999999999</v>
      </c>
      <c r="BZ4" s="13">
        <v>22835</v>
      </c>
      <c r="CA4" s="10">
        <f>BZ4*$E4</f>
        <v>15984.499999999998</v>
      </c>
      <c r="CB4" s="13">
        <v>23747</v>
      </c>
      <c r="CC4" s="10">
        <f>CB4*$E4</f>
        <v>16622.899999999998</v>
      </c>
      <c r="CD4" s="14">
        <v>26058</v>
      </c>
      <c r="CE4" s="10">
        <f>CD4*$E4</f>
        <v>18240.599999999999</v>
      </c>
      <c r="CF4" s="11">
        <f>(CD4+CB4+BZ4+BX4+BV4+BT4+BR4+BP4+BN4+BL4+BJ4+BH4)/1</f>
        <v>387567</v>
      </c>
      <c r="CG4" s="12">
        <f>CF4*$E4</f>
        <v>271296.89999999997</v>
      </c>
      <c r="CH4" s="15">
        <v>22051</v>
      </c>
      <c r="CI4" s="10">
        <f>CH4*$E4</f>
        <v>15435.699999999999</v>
      </c>
      <c r="CJ4" s="15">
        <v>19282</v>
      </c>
      <c r="CK4" s="10">
        <f>CJ4*$E4</f>
        <v>13497.4</v>
      </c>
      <c r="CL4" s="15">
        <v>28498</v>
      </c>
      <c r="CM4" s="10">
        <f>CL4*$E4</f>
        <v>19948.599999999999</v>
      </c>
      <c r="CN4" s="15">
        <v>22811</v>
      </c>
      <c r="CO4" s="10">
        <f>CN4*$E4</f>
        <v>15967.699999999999</v>
      </c>
      <c r="CP4" s="15">
        <v>21036</v>
      </c>
      <c r="CQ4" s="10">
        <f>CP4*$E4</f>
        <v>14725.199999999999</v>
      </c>
      <c r="CR4" s="15">
        <v>21198</v>
      </c>
      <c r="CS4" s="10">
        <f>CR4*$E4</f>
        <v>14838.599999999999</v>
      </c>
      <c r="CT4" s="15">
        <v>16910</v>
      </c>
      <c r="CU4" s="10">
        <f>CT4*$E4</f>
        <v>11837</v>
      </c>
      <c r="CV4" s="15">
        <v>17784</v>
      </c>
      <c r="CW4" s="10">
        <f>CV4*$E4</f>
        <v>12448.8</v>
      </c>
      <c r="CX4" s="15">
        <v>17328</v>
      </c>
      <c r="CY4" s="10">
        <f>CX4*$E4</f>
        <v>12129.599999999999</v>
      </c>
      <c r="CZ4" s="15">
        <v>18888</v>
      </c>
      <c r="DA4" s="10">
        <f>CZ4*$E4</f>
        <v>13221.599999999999</v>
      </c>
      <c r="DB4" s="15">
        <v>22091</v>
      </c>
      <c r="DC4" s="10">
        <f>DB4*$E4</f>
        <v>15463.699999999999</v>
      </c>
      <c r="DD4" s="15">
        <v>18869</v>
      </c>
      <c r="DE4" s="10">
        <f>DD4*$E4</f>
        <v>13208.3</v>
      </c>
      <c r="DF4" s="231">
        <f>SUM(CH4,CJ4,CL4,CN4,CP4,CR4,CT4,CV4,CX4,CZ4,DB4,DD4)/1</f>
        <v>246746</v>
      </c>
      <c r="DG4" s="230">
        <f>DF4*$E4</f>
        <v>172722.19999999998</v>
      </c>
      <c r="DH4" s="235">
        <v>16824</v>
      </c>
      <c r="DI4" s="236">
        <f t="shared" ref="DI4" si="0">DH4*$E4</f>
        <v>11776.8</v>
      </c>
      <c r="DJ4" s="15">
        <v>13551</v>
      </c>
      <c r="DK4" s="236">
        <f>DJ4*$E4</f>
        <v>9485.6999999999989</v>
      </c>
      <c r="DL4" s="238"/>
      <c r="DM4" s="239">
        <f>DL4*$E4</f>
        <v>0</v>
      </c>
      <c r="DN4" s="238"/>
      <c r="DO4" s="239">
        <f>DN4*$E4</f>
        <v>0</v>
      </c>
      <c r="DP4" s="238"/>
      <c r="DQ4" s="239">
        <f>DP4*$E4</f>
        <v>0</v>
      </c>
      <c r="DR4" s="238"/>
      <c r="DS4" s="239">
        <f>DR4*$E4</f>
        <v>0</v>
      </c>
      <c r="DT4" s="238"/>
      <c r="DU4" s="239">
        <f>DT4*$E4</f>
        <v>0</v>
      </c>
      <c r="DV4" s="238"/>
      <c r="DW4" s="239">
        <f>DV4*$E4</f>
        <v>0</v>
      </c>
      <c r="DX4" s="238"/>
      <c r="DY4" s="239">
        <f>DX4*$E4</f>
        <v>0</v>
      </c>
      <c r="DZ4" s="238"/>
      <c r="EA4" s="239">
        <f>DZ4*$E4</f>
        <v>0</v>
      </c>
      <c r="EB4" s="238"/>
      <c r="EC4" s="239">
        <f>EB4*$E4</f>
        <v>0</v>
      </c>
      <c r="ED4" s="238"/>
      <c r="EE4" s="239">
        <f>ED4*$E4</f>
        <v>0</v>
      </c>
      <c r="EF4" s="240">
        <f>SUM(DH4,DJ4,DL4,DN4,DP4,DR4,DT4,DV4,DX4,DZ4,EB4,ED4)</f>
        <v>30375</v>
      </c>
      <c r="EG4" s="239">
        <f t="shared" ref="EG4" si="1">SUM(DI4,DK4,DM4,DO4,DQ4,DS4,DU4,DW4,DY4,EA4,EC4,EE4)</f>
        <v>21262.5</v>
      </c>
    </row>
    <row r="5" spans="1:137" ht="19.8">
      <c r="A5" s="225"/>
      <c r="B5" s="226"/>
      <c r="C5" s="226"/>
      <c r="D5" s="225"/>
      <c r="E5" s="225"/>
      <c r="F5" s="225"/>
      <c r="G5" s="225"/>
      <c r="H5" s="15"/>
      <c r="I5" s="10">
        <f t="shared" ref="I5:I73" si="2">H5*$E5</f>
        <v>0</v>
      </c>
      <c r="J5" s="15"/>
      <c r="K5" s="10">
        <f t="shared" ref="K5:K73" si="3">J5*$E5</f>
        <v>0</v>
      </c>
      <c r="L5" s="15"/>
      <c r="M5" s="10">
        <f t="shared" ref="M5:M73" si="4">L5*$E5</f>
        <v>0</v>
      </c>
      <c r="N5" s="15"/>
      <c r="O5" s="10">
        <f t="shared" ref="O5:O73" si="5">N5*$E5</f>
        <v>0</v>
      </c>
      <c r="P5" s="15"/>
      <c r="Q5" s="10">
        <f t="shared" ref="Q5:Q73" si="6">P5*$E5</f>
        <v>0</v>
      </c>
      <c r="R5" s="15"/>
      <c r="S5" s="10">
        <f t="shared" ref="S5:S64" si="7">R5*$E5</f>
        <v>0</v>
      </c>
      <c r="T5" s="15"/>
      <c r="U5" s="10">
        <f t="shared" ref="U5:U73" si="8">T5*$E5</f>
        <v>0</v>
      </c>
      <c r="V5" s="15"/>
      <c r="W5" s="10">
        <f t="shared" ref="W5:W73" si="9">V5*$E5</f>
        <v>0</v>
      </c>
      <c r="X5" s="15"/>
      <c r="Y5" s="10">
        <f t="shared" ref="Y5:Y73" si="10">X5*$E5</f>
        <v>0</v>
      </c>
      <c r="Z5" s="15"/>
      <c r="AA5" s="10">
        <f t="shared" ref="AA5:AA73" si="11">Z5*$E5</f>
        <v>0</v>
      </c>
      <c r="AB5" s="15"/>
      <c r="AC5" s="10">
        <f t="shared" ref="AC5:AC73" si="12">AB5*$E5</f>
        <v>0</v>
      </c>
      <c r="AD5" s="15"/>
      <c r="AE5" s="10">
        <f t="shared" ref="AE5:AE73" si="13">AD5*$E5</f>
        <v>0</v>
      </c>
      <c r="AF5" s="11">
        <f t="shared" ref="AF5:AF68" si="14">(AD5+AB5+Z5+X5+V5+T5+R5+P5+N5+L5+J5+H5)/1</f>
        <v>0</v>
      </c>
      <c r="AG5" s="12">
        <f t="shared" ref="AG5:AG68" si="15">AF5*$E5</f>
        <v>0</v>
      </c>
      <c r="AH5" s="15"/>
      <c r="AI5" s="10">
        <f t="shared" ref="AI5:AI73" si="16">AH5*$E5</f>
        <v>0</v>
      </c>
      <c r="AJ5" s="15"/>
      <c r="AK5" s="10">
        <f t="shared" ref="AK5:AK73" si="17">AJ5*$E5</f>
        <v>0</v>
      </c>
      <c r="AL5" s="15"/>
      <c r="AM5" s="10">
        <f t="shared" ref="AM5:AM73" si="18">AL5*$E5</f>
        <v>0</v>
      </c>
      <c r="AN5" s="15"/>
      <c r="AO5" s="10">
        <f t="shared" ref="AO5:AO73" si="19">AN5*$E5</f>
        <v>0</v>
      </c>
      <c r="AP5" s="15"/>
      <c r="AQ5" s="10">
        <f t="shared" ref="AQ5:AQ73" si="20">AP5*$E5</f>
        <v>0</v>
      </c>
      <c r="AR5" s="15"/>
      <c r="AS5" s="10">
        <f t="shared" ref="AS5:AS73" si="21">AR5*$E5</f>
        <v>0</v>
      </c>
      <c r="AT5" s="15"/>
      <c r="AU5" s="10">
        <f t="shared" ref="AU5:AU73" si="22">AT5*$E5</f>
        <v>0</v>
      </c>
      <c r="AV5" s="15"/>
      <c r="AW5" s="10">
        <f t="shared" ref="AW5:AW73" si="23">AV5*$E5</f>
        <v>0</v>
      </c>
      <c r="AX5" s="15"/>
      <c r="AY5" s="10">
        <f t="shared" ref="AY5:AY73" si="24">AX5*$E5</f>
        <v>0</v>
      </c>
      <c r="AZ5" s="15"/>
      <c r="BA5" s="10">
        <f t="shared" ref="BA5:BA73" si="25">AZ5*$E5</f>
        <v>0</v>
      </c>
      <c r="BB5" s="15"/>
      <c r="BC5" s="10">
        <f t="shared" ref="BC5:BC73" si="26">BB5*$E5</f>
        <v>0</v>
      </c>
      <c r="BD5" s="15"/>
      <c r="BE5" s="10">
        <f t="shared" ref="BE5:BE73" si="27">BD5*$E5</f>
        <v>0</v>
      </c>
      <c r="BF5" s="11">
        <f t="shared" ref="BF5:BF68" si="28">(BD5+BB5+AZ5+AX5+AV5+AT5+AR5+AP5+AN5+AL5+AJ5+AH5)/1</f>
        <v>0</v>
      </c>
      <c r="BG5" s="12">
        <f t="shared" ref="BG5:BG68" si="29">BF5*$E5</f>
        <v>0</v>
      </c>
      <c r="BH5" s="15"/>
      <c r="BI5" s="10">
        <f t="shared" ref="BI5:BI73" si="30">BH5*$E5</f>
        <v>0</v>
      </c>
      <c r="BJ5" s="15"/>
      <c r="BK5" s="10">
        <f t="shared" ref="BK5:BK73" si="31">BJ5*$E5</f>
        <v>0</v>
      </c>
      <c r="BL5" s="15"/>
      <c r="BM5" s="10">
        <f t="shared" ref="BM5:BM73" si="32">BL5*$E5</f>
        <v>0</v>
      </c>
      <c r="BN5" s="15"/>
      <c r="BO5" s="10">
        <f t="shared" ref="BO5:BO73" si="33">BN5*$E5</f>
        <v>0</v>
      </c>
      <c r="BP5" s="15"/>
      <c r="BQ5" s="10">
        <f t="shared" ref="BQ5:BQ73" si="34">BP5*$E5</f>
        <v>0</v>
      </c>
      <c r="BR5" s="15"/>
      <c r="BS5" s="10">
        <f t="shared" ref="BS5:BS73" si="35">BR5*$E5</f>
        <v>0</v>
      </c>
      <c r="BT5" s="15"/>
      <c r="BU5" s="10">
        <f t="shared" ref="BU5:BU73" si="36">BT5*$E5</f>
        <v>0</v>
      </c>
      <c r="BV5" s="15"/>
      <c r="BW5" s="10">
        <f t="shared" ref="BW5:BW73" si="37">BV5*$E5</f>
        <v>0</v>
      </c>
      <c r="BX5" s="15"/>
      <c r="BY5" s="10">
        <f t="shared" ref="BY5:BY73" si="38">BX5*$E5</f>
        <v>0</v>
      </c>
      <c r="BZ5" s="15"/>
      <c r="CA5" s="10">
        <f t="shared" ref="CA5:CA73" si="39">BZ5*$E5</f>
        <v>0</v>
      </c>
      <c r="CB5" s="15"/>
      <c r="CC5" s="10">
        <f t="shared" ref="CC5:CC73" si="40">CB5*$E5</f>
        <v>0</v>
      </c>
      <c r="CD5" s="15"/>
      <c r="CE5" s="10">
        <f t="shared" ref="CE5:CE73" si="41">CD5*$E5</f>
        <v>0</v>
      </c>
      <c r="CF5" s="11">
        <f t="shared" ref="CF5:CF68" si="42">(CD5+CB5+BZ5+BX5+BV5+BT5+BR5+BP5+BN5+BL5+BJ5+BH5)/1</f>
        <v>0</v>
      </c>
      <c r="CG5" s="12">
        <f t="shared" ref="CG5:CG68" si="43">CF5*$E5</f>
        <v>0</v>
      </c>
      <c r="CH5" s="15"/>
      <c r="CI5" s="10">
        <f t="shared" ref="CI5:CI68" si="44">CH5*$E5</f>
        <v>0</v>
      </c>
      <c r="CJ5" s="15"/>
      <c r="CK5" s="10">
        <f t="shared" ref="CK5:CK68" si="45">CJ5*$E5</f>
        <v>0</v>
      </c>
      <c r="CL5" s="15"/>
      <c r="CM5" s="10">
        <f t="shared" ref="CM5:CM68" si="46">CL5*$E5</f>
        <v>0</v>
      </c>
      <c r="CN5" s="15"/>
      <c r="CO5" s="10">
        <f t="shared" ref="CO5:CO68" si="47">CN5*$E5</f>
        <v>0</v>
      </c>
      <c r="CP5" s="15"/>
      <c r="CQ5" s="10">
        <f t="shared" ref="CQ5:CQ68" si="48">CP5*$E5</f>
        <v>0</v>
      </c>
      <c r="CR5" s="15"/>
      <c r="CS5" s="10">
        <f t="shared" ref="CS5:CS68" si="49">CR5*$E5</f>
        <v>0</v>
      </c>
      <c r="CT5" s="15"/>
      <c r="CU5" s="10">
        <f t="shared" ref="CU5:CU68" si="50">CT5*$E5</f>
        <v>0</v>
      </c>
      <c r="CV5" s="15"/>
      <c r="CW5" s="10">
        <f t="shared" ref="CW5:CW68" si="51">CV5*$E5</f>
        <v>0</v>
      </c>
      <c r="CX5" s="15"/>
      <c r="CY5" s="10">
        <f t="shared" ref="CY5:CY68" si="52">CX5*$E5</f>
        <v>0</v>
      </c>
      <c r="CZ5" s="15"/>
      <c r="DA5" s="10">
        <f t="shared" ref="DA5:DA68" si="53">CZ5*$E5</f>
        <v>0</v>
      </c>
      <c r="DB5" s="15"/>
      <c r="DC5" s="10">
        <f t="shared" ref="DC5:DE68" si="54">DB5*$E5</f>
        <v>0</v>
      </c>
      <c r="DD5" s="15"/>
      <c r="DE5" s="10">
        <f t="shared" si="54"/>
        <v>0</v>
      </c>
      <c r="DF5" s="231">
        <f t="shared" ref="DF5:DF68" si="55">SUM(CH5,CJ5,CL5,CN5,CP5,CR5,CT5,CV5,CX5,CZ5,DB5,DD5)/1</f>
        <v>0</v>
      </c>
      <c r="DG5" s="230">
        <f t="shared" ref="DG5:DG68" si="56">DF5*$E5</f>
        <v>0</v>
      </c>
      <c r="DH5" s="238"/>
      <c r="DI5" s="239"/>
      <c r="DJ5" s="15"/>
      <c r="DK5" s="239"/>
      <c r="DL5" s="238"/>
      <c r="DM5" s="239"/>
      <c r="DN5" s="238"/>
      <c r="DO5" s="239"/>
      <c r="DP5" s="238"/>
      <c r="DQ5" s="239"/>
      <c r="DR5" s="238"/>
      <c r="DS5" s="239"/>
      <c r="DT5" s="238"/>
      <c r="DU5" s="239"/>
      <c r="DV5" s="238"/>
      <c r="DW5" s="239"/>
      <c r="DX5" s="238"/>
      <c r="DY5" s="239"/>
      <c r="DZ5" s="238"/>
      <c r="EA5" s="239"/>
      <c r="EB5" s="238"/>
      <c r="EC5" s="239"/>
      <c r="ED5" s="238"/>
      <c r="EE5" s="239"/>
      <c r="EF5" s="240"/>
      <c r="EG5" s="239"/>
    </row>
    <row r="6" spans="1:137" ht="19.8">
      <c r="A6" s="225">
        <v>2</v>
      </c>
      <c r="B6" s="226" t="s">
        <v>13</v>
      </c>
      <c r="C6" s="226" t="s">
        <v>14</v>
      </c>
      <c r="D6" s="225">
        <f>RANK(DF6,$DF$4:$DF$147)</f>
        <v>3</v>
      </c>
      <c r="E6" s="225">
        <v>1</v>
      </c>
      <c r="F6" s="225" t="s">
        <v>12</v>
      </c>
      <c r="G6" s="225">
        <v>1650</v>
      </c>
      <c r="H6" s="9"/>
      <c r="I6" s="10">
        <f t="shared" si="2"/>
        <v>0</v>
      </c>
      <c r="J6" s="9"/>
      <c r="K6" s="10">
        <f t="shared" si="3"/>
        <v>0</v>
      </c>
      <c r="L6" s="9">
        <v>4332</v>
      </c>
      <c r="M6" s="10">
        <f t="shared" si="4"/>
        <v>4332</v>
      </c>
      <c r="N6" s="9">
        <v>564</v>
      </c>
      <c r="O6" s="10">
        <f t="shared" si="5"/>
        <v>564</v>
      </c>
      <c r="P6" s="9">
        <v>312</v>
      </c>
      <c r="Q6" s="10">
        <f t="shared" si="6"/>
        <v>312</v>
      </c>
      <c r="R6" s="9">
        <v>600</v>
      </c>
      <c r="S6" s="10">
        <f t="shared" si="7"/>
        <v>600</v>
      </c>
      <c r="T6" s="9">
        <v>4020</v>
      </c>
      <c r="U6" s="10">
        <f t="shared" si="8"/>
        <v>4020</v>
      </c>
      <c r="V6" s="9">
        <v>428</v>
      </c>
      <c r="W6" s="10">
        <f t="shared" si="9"/>
        <v>428</v>
      </c>
      <c r="X6" s="9">
        <v>1452</v>
      </c>
      <c r="Y6" s="10">
        <f t="shared" si="10"/>
        <v>1452</v>
      </c>
      <c r="Z6" s="9">
        <v>1464</v>
      </c>
      <c r="AA6" s="10">
        <f t="shared" si="11"/>
        <v>1464</v>
      </c>
      <c r="AB6" s="9">
        <v>3300</v>
      </c>
      <c r="AC6" s="10">
        <f t="shared" si="12"/>
        <v>3300</v>
      </c>
      <c r="AD6" s="9">
        <v>408</v>
      </c>
      <c r="AE6" s="10">
        <f t="shared" si="13"/>
        <v>408</v>
      </c>
      <c r="AF6" s="11">
        <f t="shared" si="14"/>
        <v>16880</v>
      </c>
      <c r="AG6" s="12">
        <f t="shared" si="15"/>
        <v>16880</v>
      </c>
      <c r="AH6" s="9"/>
      <c r="AI6" s="10">
        <f t="shared" si="16"/>
        <v>0</v>
      </c>
      <c r="AJ6" s="9"/>
      <c r="AK6" s="10">
        <f t="shared" si="17"/>
        <v>0</v>
      </c>
      <c r="AL6" s="9">
        <v>60</v>
      </c>
      <c r="AM6" s="10">
        <f t="shared" si="18"/>
        <v>60</v>
      </c>
      <c r="AN6" s="9">
        <v>1152</v>
      </c>
      <c r="AO6" s="10">
        <f t="shared" si="19"/>
        <v>1152</v>
      </c>
      <c r="AP6" s="9">
        <v>1512</v>
      </c>
      <c r="AQ6" s="10">
        <f t="shared" si="20"/>
        <v>1512</v>
      </c>
      <c r="AR6" s="9">
        <v>1416</v>
      </c>
      <c r="AS6" s="10">
        <f t="shared" si="21"/>
        <v>1416</v>
      </c>
      <c r="AT6" s="9">
        <v>588</v>
      </c>
      <c r="AU6" s="10">
        <f t="shared" si="22"/>
        <v>588</v>
      </c>
      <c r="AV6" s="9"/>
      <c r="AW6" s="10">
        <f t="shared" si="23"/>
        <v>0</v>
      </c>
      <c r="AX6" s="9">
        <v>840</v>
      </c>
      <c r="AY6" s="10">
        <f t="shared" si="24"/>
        <v>840</v>
      </c>
      <c r="AZ6" s="9">
        <v>1152</v>
      </c>
      <c r="BA6" s="10">
        <f t="shared" si="25"/>
        <v>1152</v>
      </c>
      <c r="BB6" s="9">
        <v>1608</v>
      </c>
      <c r="BC6" s="10">
        <f t="shared" si="26"/>
        <v>1608</v>
      </c>
      <c r="BD6" s="9"/>
      <c r="BE6" s="10">
        <f t="shared" si="27"/>
        <v>0</v>
      </c>
      <c r="BF6" s="11">
        <f t="shared" si="28"/>
        <v>8328</v>
      </c>
      <c r="BG6" s="12">
        <f t="shared" si="29"/>
        <v>8328</v>
      </c>
      <c r="BH6" s="13">
        <v>0</v>
      </c>
      <c r="BI6" s="10">
        <f t="shared" si="30"/>
        <v>0</v>
      </c>
      <c r="BJ6" s="13">
        <v>0</v>
      </c>
      <c r="BK6" s="10">
        <f t="shared" si="31"/>
        <v>0</v>
      </c>
      <c r="BL6" s="13">
        <v>12</v>
      </c>
      <c r="BM6" s="10">
        <f t="shared" si="32"/>
        <v>12</v>
      </c>
      <c r="BN6" s="13">
        <v>0</v>
      </c>
      <c r="BO6" s="10">
        <f t="shared" si="33"/>
        <v>0</v>
      </c>
      <c r="BP6" s="13">
        <v>0</v>
      </c>
      <c r="BQ6" s="10">
        <f t="shared" si="34"/>
        <v>0</v>
      </c>
      <c r="BR6" s="13">
        <v>1152</v>
      </c>
      <c r="BS6" s="10">
        <f t="shared" si="35"/>
        <v>1152</v>
      </c>
      <c r="BT6" s="13">
        <v>0</v>
      </c>
      <c r="BU6" s="10">
        <f t="shared" si="36"/>
        <v>0</v>
      </c>
      <c r="BV6" s="13">
        <v>0</v>
      </c>
      <c r="BW6" s="10">
        <f t="shared" si="37"/>
        <v>0</v>
      </c>
      <c r="BX6" s="13">
        <v>0</v>
      </c>
      <c r="BY6" s="10">
        <f t="shared" si="38"/>
        <v>0</v>
      </c>
      <c r="BZ6" s="13"/>
      <c r="CA6" s="10">
        <f t="shared" si="39"/>
        <v>0</v>
      </c>
      <c r="CB6" s="13"/>
      <c r="CC6" s="10">
        <f t="shared" si="40"/>
        <v>0</v>
      </c>
      <c r="CD6" s="14"/>
      <c r="CE6" s="10">
        <f t="shared" si="41"/>
        <v>0</v>
      </c>
      <c r="CF6" s="11">
        <f t="shared" si="42"/>
        <v>1164</v>
      </c>
      <c r="CG6" s="12">
        <f t="shared" si="43"/>
        <v>1164</v>
      </c>
      <c r="CH6" s="15">
        <v>2040</v>
      </c>
      <c r="CI6" s="10">
        <f t="shared" si="44"/>
        <v>2040</v>
      </c>
      <c r="CJ6" s="15">
        <v>7200</v>
      </c>
      <c r="CK6" s="10">
        <f t="shared" si="45"/>
        <v>7200</v>
      </c>
      <c r="CL6" s="15">
        <v>36</v>
      </c>
      <c r="CM6" s="10">
        <f t="shared" si="46"/>
        <v>36</v>
      </c>
      <c r="CN6" s="15"/>
      <c r="CO6" s="10">
        <f t="shared" si="47"/>
        <v>0</v>
      </c>
      <c r="CP6" s="15"/>
      <c r="CQ6" s="10">
        <f t="shared" si="48"/>
        <v>0</v>
      </c>
      <c r="CR6" s="15"/>
      <c r="CS6" s="10">
        <f t="shared" si="49"/>
        <v>0</v>
      </c>
      <c r="CT6" s="15">
        <v>656309</v>
      </c>
      <c r="CU6" s="10">
        <f t="shared" si="50"/>
        <v>656309</v>
      </c>
      <c r="CV6" s="15">
        <v>783152</v>
      </c>
      <c r="CW6" s="10">
        <f t="shared" si="51"/>
        <v>783152</v>
      </c>
      <c r="CX6" s="15">
        <v>767283</v>
      </c>
      <c r="CY6" s="10">
        <f t="shared" si="52"/>
        <v>767283</v>
      </c>
      <c r="CZ6" s="15">
        <v>794208</v>
      </c>
      <c r="DA6" s="10">
        <f t="shared" si="53"/>
        <v>794208</v>
      </c>
      <c r="DB6" s="15">
        <v>759250</v>
      </c>
      <c r="DC6" s="10">
        <f t="shared" si="54"/>
        <v>759250</v>
      </c>
      <c r="DD6" s="15">
        <v>829714</v>
      </c>
      <c r="DE6" s="10">
        <f t="shared" si="54"/>
        <v>829714</v>
      </c>
      <c r="DF6" s="231">
        <f t="shared" si="55"/>
        <v>4599192</v>
      </c>
      <c r="DG6" s="230">
        <f t="shared" si="56"/>
        <v>4599192</v>
      </c>
      <c r="DH6" s="235">
        <v>808786</v>
      </c>
      <c r="DI6" s="236">
        <f t="shared" ref="DI6:DK13" si="57">DH6*$E6</f>
        <v>808786</v>
      </c>
      <c r="DJ6" s="15">
        <v>748440</v>
      </c>
      <c r="DK6" s="236">
        <f t="shared" si="57"/>
        <v>748440</v>
      </c>
      <c r="DL6" s="238"/>
      <c r="DM6" s="239">
        <f t="shared" ref="DM6:DM11" si="58">DL6*$E6</f>
        <v>0</v>
      </c>
      <c r="DN6" s="238"/>
      <c r="DO6" s="239">
        <f t="shared" ref="DO6:DO11" si="59">DN6*$E6</f>
        <v>0</v>
      </c>
      <c r="DP6" s="238"/>
      <c r="DQ6" s="239">
        <f t="shared" ref="DQ6:DQ11" si="60">DP6*$E6</f>
        <v>0</v>
      </c>
      <c r="DR6" s="238"/>
      <c r="DS6" s="239">
        <f t="shared" ref="DS6:DS11" si="61">DR6*$E6</f>
        <v>0</v>
      </c>
      <c r="DT6" s="238"/>
      <c r="DU6" s="239">
        <f t="shared" ref="DU6:DU11" si="62">DT6*$E6</f>
        <v>0</v>
      </c>
      <c r="DV6" s="238"/>
      <c r="DW6" s="239">
        <f t="shared" ref="DW6:DW11" si="63">DV6*$E6</f>
        <v>0</v>
      </c>
      <c r="DX6" s="238"/>
      <c r="DY6" s="239">
        <f t="shared" ref="DY6:DY11" si="64">DX6*$E6</f>
        <v>0</v>
      </c>
      <c r="DZ6" s="238"/>
      <c r="EA6" s="239">
        <f t="shared" ref="EA6:EA11" si="65">DZ6*$E6</f>
        <v>0</v>
      </c>
      <c r="EB6" s="238"/>
      <c r="EC6" s="239">
        <f t="shared" ref="EC6:EC11" si="66">EB6*$E6</f>
        <v>0</v>
      </c>
      <c r="ED6" s="238"/>
      <c r="EE6" s="239">
        <f t="shared" ref="EE6:EE11" si="67">ED6*$E6</f>
        <v>0</v>
      </c>
      <c r="EF6" s="240">
        <f t="shared" ref="EF6:EG11" si="68">SUM(DH6,DJ6,DL6,DN6,DP6,DR6,DT6,DV6,DX6,DZ6,EB6,ED6)</f>
        <v>1557226</v>
      </c>
      <c r="EG6" s="239">
        <f t="shared" si="68"/>
        <v>1557226</v>
      </c>
    </row>
    <row r="7" spans="1:137" ht="19.8">
      <c r="A7" s="225">
        <v>3</v>
      </c>
      <c r="B7" s="226" t="s">
        <v>15</v>
      </c>
      <c r="C7" s="226" t="s">
        <v>14</v>
      </c>
      <c r="D7" s="225">
        <f>RANK(DF7,$DF$4:$DF$147)</f>
        <v>2</v>
      </c>
      <c r="E7" s="225">
        <v>1</v>
      </c>
      <c r="F7" s="225" t="s">
        <v>12</v>
      </c>
      <c r="G7" s="225">
        <v>1650</v>
      </c>
      <c r="H7" s="9">
        <v>473472</v>
      </c>
      <c r="I7" s="10">
        <f t="shared" si="2"/>
        <v>473472</v>
      </c>
      <c r="J7" s="9">
        <v>450804</v>
      </c>
      <c r="K7" s="10">
        <f t="shared" si="3"/>
        <v>450804</v>
      </c>
      <c r="L7" s="9">
        <v>626052</v>
      </c>
      <c r="M7" s="10">
        <f t="shared" si="4"/>
        <v>626052</v>
      </c>
      <c r="N7" s="9">
        <v>511680</v>
      </c>
      <c r="O7" s="10">
        <f t="shared" si="5"/>
        <v>511680</v>
      </c>
      <c r="P7" s="9">
        <v>550272</v>
      </c>
      <c r="Q7" s="10">
        <f t="shared" si="6"/>
        <v>550272</v>
      </c>
      <c r="R7" s="9">
        <v>592536</v>
      </c>
      <c r="S7" s="10">
        <f t="shared" si="7"/>
        <v>592536</v>
      </c>
      <c r="T7" s="9">
        <v>565716</v>
      </c>
      <c r="U7" s="10">
        <f t="shared" si="8"/>
        <v>565716</v>
      </c>
      <c r="V7" s="9">
        <v>765972</v>
      </c>
      <c r="W7" s="10">
        <f t="shared" si="9"/>
        <v>765972</v>
      </c>
      <c r="X7" s="9">
        <v>498072</v>
      </c>
      <c r="Y7" s="10">
        <f t="shared" si="10"/>
        <v>498072</v>
      </c>
      <c r="Z7" s="9">
        <v>500448</v>
      </c>
      <c r="AA7" s="10">
        <f t="shared" si="11"/>
        <v>500448</v>
      </c>
      <c r="AB7" s="9">
        <v>500652</v>
      </c>
      <c r="AC7" s="10">
        <f t="shared" si="12"/>
        <v>500652</v>
      </c>
      <c r="AD7" s="9">
        <v>592176</v>
      </c>
      <c r="AE7" s="10">
        <f t="shared" si="13"/>
        <v>592176</v>
      </c>
      <c r="AF7" s="11">
        <f t="shared" si="14"/>
        <v>6627852</v>
      </c>
      <c r="AG7" s="12">
        <f t="shared" si="15"/>
        <v>6627852</v>
      </c>
      <c r="AH7" s="9">
        <v>703416</v>
      </c>
      <c r="AI7" s="10">
        <f t="shared" si="16"/>
        <v>703416</v>
      </c>
      <c r="AJ7" s="9">
        <v>510672</v>
      </c>
      <c r="AK7" s="10">
        <f t="shared" si="17"/>
        <v>510672</v>
      </c>
      <c r="AL7" s="9">
        <v>684900</v>
      </c>
      <c r="AM7" s="10">
        <f t="shared" si="18"/>
        <v>684900</v>
      </c>
      <c r="AN7" s="9">
        <v>604764</v>
      </c>
      <c r="AO7" s="10">
        <f t="shared" si="19"/>
        <v>604764</v>
      </c>
      <c r="AP7" s="9">
        <v>644832</v>
      </c>
      <c r="AQ7" s="10">
        <f t="shared" si="20"/>
        <v>644832</v>
      </c>
      <c r="AR7" s="9">
        <v>663312</v>
      </c>
      <c r="AS7" s="10">
        <f t="shared" si="21"/>
        <v>663312</v>
      </c>
      <c r="AT7" s="9">
        <v>715536</v>
      </c>
      <c r="AU7" s="10">
        <f t="shared" si="22"/>
        <v>715536</v>
      </c>
      <c r="AV7" s="9">
        <v>771876</v>
      </c>
      <c r="AW7" s="10">
        <f t="shared" si="23"/>
        <v>771876</v>
      </c>
      <c r="AX7" s="9">
        <v>503604</v>
      </c>
      <c r="AY7" s="10">
        <f t="shared" si="24"/>
        <v>503604</v>
      </c>
      <c r="AZ7" s="9">
        <v>612828</v>
      </c>
      <c r="BA7" s="10">
        <f t="shared" si="25"/>
        <v>612828</v>
      </c>
      <c r="BB7" s="9">
        <v>631164</v>
      </c>
      <c r="BC7" s="10">
        <f t="shared" si="26"/>
        <v>631164</v>
      </c>
      <c r="BD7" s="9">
        <v>699420</v>
      </c>
      <c r="BE7" s="10">
        <f t="shared" si="27"/>
        <v>699420</v>
      </c>
      <c r="BF7" s="11">
        <f t="shared" si="28"/>
        <v>7746324</v>
      </c>
      <c r="BG7" s="12">
        <f t="shared" si="29"/>
        <v>7746324</v>
      </c>
      <c r="BH7" s="13">
        <v>763500</v>
      </c>
      <c r="BI7" s="10">
        <f t="shared" si="30"/>
        <v>763500</v>
      </c>
      <c r="BJ7" s="13">
        <v>625956</v>
      </c>
      <c r="BK7" s="10">
        <f t="shared" si="31"/>
        <v>625956</v>
      </c>
      <c r="BL7" s="13">
        <v>730020</v>
      </c>
      <c r="BM7" s="10">
        <f t="shared" si="32"/>
        <v>730020</v>
      </c>
      <c r="BN7" s="13">
        <v>739728</v>
      </c>
      <c r="BO7" s="10">
        <f t="shared" si="33"/>
        <v>739728</v>
      </c>
      <c r="BP7" s="13">
        <v>736560</v>
      </c>
      <c r="BQ7" s="10">
        <f t="shared" si="34"/>
        <v>736560</v>
      </c>
      <c r="BR7" s="13">
        <v>845592</v>
      </c>
      <c r="BS7" s="10">
        <f t="shared" si="35"/>
        <v>845592</v>
      </c>
      <c r="BT7" s="13">
        <v>811500</v>
      </c>
      <c r="BU7" s="10">
        <f t="shared" si="36"/>
        <v>811500</v>
      </c>
      <c r="BV7" s="13">
        <v>706632</v>
      </c>
      <c r="BW7" s="10">
        <f t="shared" si="37"/>
        <v>706632</v>
      </c>
      <c r="BX7" s="13">
        <v>670944</v>
      </c>
      <c r="BY7" s="10">
        <f t="shared" si="38"/>
        <v>670944</v>
      </c>
      <c r="BZ7" s="13">
        <v>814836</v>
      </c>
      <c r="CA7" s="10">
        <f t="shared" si="39"/>
        <v>814836</v>
      </c>
      <c r="CB7" s="13">
        <v>725722</v>
      </c>
      <c r="CC7" s="10">
        <f t="shared" si="40"/>
        <v>725722</v>
      </c>
      <c r="CD7" s="14">
        <v>687720</v>
      </c>
      <c r="CE7" s="10">
        <f t="shared" si="41"/>
        <v>687720</v>
      </c>
      <c r="CF7" s="11">
        <f t="shared" si="42"/>
        <v>8858710</v>
      </c>
      <c r="CG7" s="12">
        <f t="shared" si="43"/>
        <v>8858710</v>
      </c>
      <c r="CH7" s="15">
        <v>693995</v>
      </c>
      <c r="CI7" s="10">
        <f t="shared" si="44"/>
        <v>693995</v>
      </c>
      <c r="CJ7" s="15">
        <v>680976</v>
      </c>
      <c r="CK7" s="10">
        <f t="shared" si="45"/>
        <v>680976</v>
      </c>
      <c r="CL7" s="15">
        <v>1104079</v>
      </c>
      <c r="CM7" s="10">
        <f t="shared" si="46"/>
        <v>1104079</v>
      </c>
      <c r="CN7" s="15">
        <v>557195</v>
      </c>
      <c r="CO7" s="10">
        <f t="shared" si="47"/>
        <v>557195</v>
      </c>
      <c r="CP7" s="15">
        <v>766488</v>
      </c>
      <c r="CQ7" s="10">
        <f t="shared" si="48"/>
        <v>766488</v>
      </c>
      <c r="CR7" s="15">
        <v>790289</v>
      </c>
      <c r="CS7" s="10">
        <f t="shared" si="49"/>
        <v>790289</v>
      </c>
      <c r="CT7" s="15">
        <v>113229</v>
      </c>
      <c r="CU7" s="10">
        <f t="shared" si="50"/>
        <v>113229</v>
      </c>
      <c r="CV7" s="15"/>
      <c r="CW7" s="10">
        <f t="shared" si="51"/>
        <v>0</v>
      </c>
      <c r="CX7" s="15"/>
      <c r="CY7" s="10">
        <f t="shared" si="52"/>
        <v>0</v>
      </c>
      <c r="CZ7" s="15"/>
      <c r="DA7" s="10">
        <f t="shared" si="53"/>
        <v>0</v>
      </c>
      <c r="DB7" s="15"/>
      <c r="DC7" s="10">
        <f t="shared" si="54"/>
        <v>0</v>
      </c>
      <c r="DD7" s="15"/>
      <c r="DE7" s="10">
        <f t="shared" si="54"/>
        <v>0</v>
      </c>
      <c r="DF7" s="231">
        <f t="shared" si="55"/>
        <v>4706251</v>
      </c>
      <c r="DG7" s="230">
        <f t="shared" si="56"/>
        <v>4706251</v>
      </c>
      <c r="DH7" s="238"/>
      <c r="DI7" s="236">
        <f t="shared" si="57"/>
        <v>0</v>
      </c>
      <c r="DJ7" s="15"/>
      <c r="DK7" s="239">
        <v>0</v>
      </c>
      <c r="DL7" s="238"/>
      <c r="DM7" s="239">
        <f t="shared" si="58"/>
        <v>0</v>
      </c>
      <c r="DN7" s="238"/>
      <c r="DO7" s="239">
        <f t="shared" si="59"/>
        <v>0</v>
      </c>
      <c r="DP7" s="238"/>
      <c r="DQ7" s="239">
        <f t="shared" si="60"/>
        <v>0</v>
      </c>
      <c r="DR7" s="238"/>
      <c r="DS7" s="239">
        <f t="shared" si="61"/>
        <v>0</v>
      </c>
      <c r="DT7" s="238"/>
      <c r="DU7" s="239">
        <f t="shared" si="62"/>
        <v>0</v>
      </c>
      <c r="DV7" s="238"/>
      <c r="DW7" s="239">
        <f t="shared" si="63"/>
        <v>0</v>
      </c>
      <c r="DX7" s="238"/>
      <c r="DY7" s="239">
        <f t="shared" si="64"/>
        <v>0</v>
      </c>
      <c r="DZ7" s="238"/>
      <c r="EA7" s="239">
        <f t="shared" si="65"/>
        <v>0</v>
      </c>
      <c r="EB7" s="238"/>
      <c r="EC7" s="239">
        <f t="shared" si="66"/>
        <v>0</v>
      </c>
      <c r="ED7" s="238"/>
      <c r="EE7" s="239">
        <f t="shared" si="67"/>
        <v>0</v>
      </c>
      <c r="EF7" s="240">
        <f t="shared" si="68"/>
        <v>0</v>
      </c>
      <c r="EG7" s="239">
        <f t="shared" si="68"/>
        <v>0</v>
      </c>
    </row>
    <row r="8" spans="1:137" ht="19.8">
      <c r="A8" s="225">
        <v>4</v>
      </c>
      <c r="B8" s="226" t="s">
        <v>16</v>
      </c>
      <c r="C8" s="226" t="s">
        <v>14</v>
      </c>
      <c r="D8" s="225">
        <f>RANK(DF8,$DF$4:$DF$147)</f>
        <v>8</v>
      </c>
      <c r="E8" s="225">
        <v>0.6</v>
      </c>
      <c r="F8" s="225" t="s">
        <v>12</v>
      </c>
      <c r="G8" s="225">
        <v>1130</v>
      </c>
      <c r="H8" s="9">
        <v>52464</v>
      </c>
      <c r="I8" s="10">
        <f t="shared" si="2"/>
        <v>31478.399999999998</v>
      </c>
      <c r="J8" s="9">
        <v>41544</v>
      </c>
      <c r="K8" s="10">
        <f t="shared" si="3"/>
        <v>24926.399999999998</v>
      </c>
      <c r="L8" s="9">
        <v>61080</v>
      </c>
      <c r="M8" s="10">
        <f t="shared" si="4"/>
        <v>36648</v>
      </c>
      <c r="N8" s="9">
        <v>44568</v>
      </c>
      <c r="O8" s="10">
        <f t="shared" si="5"/>
        <v>26740.799999999999</v>
      </c>
      <c r="P8" s="9">
        <v>38844</v>
      </c>
      <c r="Q8" s="10">
        <f t="shared" si="6"/>
        <v>23306.399999999998</v>
      </c>
      <c r="R8" s="9">
        <v>42405</v>
      </c>
      <c r="S8" s="10">
        <f t="shared" si="7"/>
        <v>25443</v>
      </c>
      <c r="T8" s="9">
        <v>38460</v>
      </c>
      <c r="U8" s="10">
        <f t="shared" si="8"/>
        <v>23076</v>
      </c>
      <c r="V8" s="9">
        <v>46740</v>
      </c>
      <c r="W8" s="10">
        <f t="shared" si="9"/>
        <v>28044</v>
      </c>
      <c r="X8" s="9">
        <v>36324</v>
      </c>
      <c r="Y8" s="10">
        <f t="shared" si="10"/>
        <v>21794.399999999998</v>
      </c>
      <c r="Z8" s="9">
        <v>38988</v>
      </c>
      <c r="AA8" s="10">
        <f t="shared" si="11"/>
        <v>23392.799999999999</v>
      </c>
      <c r="AB8" s="9">
        <v>26892</v>
      </c>
      <c r="AC8" s="10">
        <f t="shared" si="12"/>
        <v>16135.199999999999</v>
      </c>
      <c r="AD8" s="9">
        <v>30576</v>
      </c>
      <c r="AE8" s="10">
        <f t="shared" si="13"/>
        <v>18345.599999999999</v>
      </c>
      <c r="AF8" s="11">
        <f t="shared" si="14"/>
        <v>498885</v>
      </c>
      <c r="AG8" s="12">
        <f t="shared" si="15"/>
        <v>299331</v>
      </c>
      <c r="AH8" s="9">
        <v>34128</v>
      </c>
      <c r="AI8" s="10">
        <f t="shared" si="16"/>
        <v>20476.8</v>
      </c>
      <c r="AJ8" s="9">
        <v>26004</v>
      </c>
      <c r="AK8" s="10">
        <f t="shared" si="17"/>
        <v>15602.4</v>
      </c>
      <c r="AL8" s="9">
        <v>34092</v>
      </c>
      <c r="AM8" s="10">
        <f t="shared" si="18"/>
        <v>20455.2</v>
      </c>
      <c r="AN8" s="9">
        <v>20184</v>
      </c>
      <c r="AO8" s="10">
        <f t="shared" si="19"/>
        <v>12110.4</v>
      </c>
      <c r="AP8" s="9">
        <v>42588</v>
      </c>
      <c r="AQ8" s="10">
        <f t="shared" si="20"/>
        <v>25552.799999999999</v>
      </c>
      <c r="AR8" s="9">
        <v>42192</v>
      </c>
      <c r="AS8" s="10">
        <f t="shared" si="21"/>
        <v>25315.200000000001</v>
      </c>
      <c r="AT8" s="9">
        <v>58176</v>
      </c>
      <c r="AU8" s="10">
        <f t="shared" si="22"/>
        <v>34905.599999999999</v>
      </c>
      <c r="AV8" s="9">
        <v>50544</v>
      </c>
      <c r="AW8" s="10">
        <f t="shared" si="23"/>
        <v>30326.399999999998</v>
      </c>
      <c r="AX8" s="9">
        <v>38592</v>
      </c>
      <c r="AY8" s="10">
        <f t="shared" si="24"/>
        <v>23155.200000000001</v>
      </c>
      <c r="AZ8" s="9">
        <v>44376</v>
      </c>
      <c r="BA8" s="10">
        <f t="shared" si="25"/>
        <v>26625.599999999999</v>
      </c>
      <c r="BB8" s="9">
        <v>41700</v>
      </c>
      <c r="BC8" s="10">
        <f t="shared" si="26"/>
        <v>25020</v>
      </c>
      <c r="BD8" s="9">
        <v>48672</v>
      </c>
      <c r="BE8" s="10">
        <f t="shared" si="27"/>
        <v>29203.200000000001</v>
      </c>
      <c r="BF8" s="11">
        <f t="shared" si="28"/>
        <v>481248</v>
      </c>
      <c r="BG8" s="12">
        <f t="shared" si="29"/>
        <v>288748.79999999999</v>
      </c>
      <c r="BH8" s="13">
        <v>49908</v>
      </c>
      <c r="BI8" s="10">
        <f t="shared" si="30"/>
        <v>29944.799999999999</v>
      </c>
      <c r="BJ8" s="13">
        <v>45801</v>
      </c>
      <c r="BK8" s="10">
        <f t="shared" si="31"/>
        <v>27480.6</v>
      </c>
      <c r="BL8" s="13">
        <v>47844</v>
      </c>
      <c r="BM8" s="10">
        <f t="shared" si="32"/>
        <v>28706.399999999998</v>
      </c>
      <c r="BN8" s="13">
        <v>50160</v>
      </c>
      <c r="BO8" s="10">
        <f t="shared" si="33"/>
        <v>30096</v>
      </c>
      <c r="BP8" s="13">
        <v>47652</v>
      </c>
      <c r="BQ8" s="10">
        <f t="shared" si="34"/>
        <v>28591.200000000001</v>
      </c>
      <c r="BR8" s="13">
        <v>60372</v>
      </c>
      <c r="BS8" s="10">
        <f t="shared" si="35"/>
        <v>36223.199999999997</v>
      </c>
      <c r="BT8" s="13">
        <v>54036</v>
      </c>
      <c r="BU8" s="10">
        <f t="shared" si="36"/>
        <v>32421.599999999999</v>
      </c>
      <c r="BV8" s="13">
        <v>30299</v>
      </c>
      <c r="BW8" s="10">
        <f t="shared" si="37"/>
        <v>18179.399999999998</v>
      </c>
      <c r="BX8" s="13">
        <v>42360</v>
      </c>
      <c r="BY8" s="10">
        <f t="shared" si="38"/>
        <v>25416</v>
      </c>
      <c r="BZ8" s="13">
        <v>47242</v>
      </c>
      <c r="CA8" s="10">
        <f t="shared" si="39"/>
        <v>28345.200000000001</v>
      </c>
      <c r="CB8" s="13">
        <v>51708</v>
      </c>
      <c r="CC8" s="10">
        <f t="shared" si="40"/>
        <v>31024.799999999999</v>
      </c>
      <c r="CD8" s="14">
        <v>42680</v>
      </c>
      <c r="CE8" s="10">
        <f t="shared" si="41"/>
        <v>25608</v>
      </c>
      <c r="CF8" s="11">
        <f t="shared" si="42"/>
        <v>570062</v>
      </c>
      <c r="CG8" s="12">
        <f t="shared" si="43"/>
        <v>342037.2</v>
      </c>
      <c r="CH8" s="15">
        <v>44616</v>
      </c>
      <c r="CI8" s="10">
        <f t="shared" si="44"/>
        <v>26769.599999999999</v>
      </c>
      <c r="CJ8" s="15">
        <v>44988</v>
      </c>
      <c r="CK8" s="10">
        <f t="shared" si="45"/>
        <v>26992.799999999999</v>
      </c>
      <c r="CL8" s="15">
        <v>72693</v>
      </c>
      <c r="CM8" s="10">
        <f t="shared" si="46"/>
        <v>43615.799999999996</v>
      </c>
      <c r="CN8" s="15">
        <v>39864</v>
      </c>
      <c r="CO8" s="10">
        <f t="shared" si="47"/>
        <v>23918.399999999998</v>
      </c>
      <c r="CP8" s="15">
        <v>47964</v>
      </c>
      <c r="CQ8" s="10">
        <f t="shared" si="48"/>
        <v>28778.399999999998</v>
      </c>
      <c r="CR8" s="15">
        <v>57216</v>
      </c>
      <c r="CS8" s="10">
        <f t="shared" si="49"/>
        <v>34329.599999999999</v>
      </c>
      <c r="CT8" s="15">
        <v>54312</v>
      </c>
      <c r="CU8" s="10">
        <f t="shared" si="50"/>
        <v>32587.199999999997</v>
      </c>
      <c r="CV8" s="15">
        <v>53556</v>
      </c>
      <c r="CW8" s="10">
        <f t="shared" si="51"/>
        <v>32133.599999999999</v>
      </c>
      <c r="CX8" s="15">
        <v>57468</v>
      </c>
      <c r="CY8" s="10">
        <f t="shared" si="52"/>
        <v>34480.799999999996</v>
      </c>
      <c r="CZ8" s="15">
        <v>56448</v>
      </c>
      <c r="DA8" s="10">
        <f t="shared" si="53"/>
        <v>33868.799999999996</v>
      </c>
      <c r="DB8" s="15">
        <v>54108</v>
      </c>
      <c r="DC8" s="10">
        <f t="shared" si="54"/>
        <v>32464.799999999999</v>
      </c>
      <c r="DD8" s="15">
        <v>52391</v>
      </c>
      <c r="DE8" s="10">
        <f t="shared" si="54"/>
        <v>31434.6</v>
      </c>
      <c r="DF8" s="231">
        <f t="shared" si="55"/>
        <v>635624</v>
      </c>
      <c r="DG8" s="230">
        <f t="shared" si="56"/>
        <v>381374.39999999997</v>
      </c>
      <c r="DH8" s="235">
        <v>53484</v>
      </c>
      <c r="DI8" s="236">
        <f t="shared" si="57"/>
        <v>32090.399999999998</v>
      </c>
      <c r="DJ8" s="15">
        <v>48720</v>
      </c>
      <c r="DK8" s="236">
        <f t="shared" si="57"/>
        <v>29232</v>
      </c>
      <c r="DL8" s="238"/>
      <c r="DM8" s="239">
        <f t="shared" si="58"/>
        <v>0</v>
      </c>
      <c r="DN8" s="238"/>
      <c r="DO8" s="239">
        <f t="shared" si="59"/>
        <v>0</v>
      </c>
      <c r="DP8" s="238"/>
      <c r="DQ8" s="239">
        <f t="shared" si="60"/>
        <v>0</v>
      </c>
      <c r="DR8" s="238"/>
      <c r="DS8" s="239">
        <f t="shared" si="61"/>
        <v>0</v>
      </c>
      <c r="DT8" s="238"/>
      <c r="DU8" s="239">
        <f t="shared" si="62"/>
        <v>0</v>
      </c>
      <c r="DV8" s="238"/>
      <c r="DW8" s="239">
        <f t="shared" si="63"/>
        <v>0</v>
      </c>
      <c r="DX8" s="238"/>
      <c r="DY8" s="239">
        <f t="shared" si="64"/>
        <v>0</v>
      </c>
      <c r="DZ8" s="238"/>
      <c r="EA8" s="239">
        <f t="shared" si="65"/>
        <v>0</v>
      </c>
      <c r="EB8" s="238"/>
      <c r="EC8" s="239">
        <f t="shared" si="66"/>
        <v>0</v>
      </c>
      <c r="ED8" s="238"/>
      <c r="EE8" s="239">
        <f t="shared" si="67"/>
        <v>0</v>
      </c>
      <c r="EF8" s="240">
        <f t="shared" si="68"/>
        <v>102204</v>
      </c>
      <c r="EG8" s="239">
        <f t="shared" si="68"/>
        <v>61322.399999999994</v>
      </c>
    </row>
    <row r="9" spans="1:137" ht="19.8">
      <c r="A9" s="225">
        <v>5</v>
      </c>
      <c r="B9" s="226" t="s">
        <v>17</v>
      </c>
      <c r="C9" s="226" t="s">
        <v>14</v>
      </c>
      <c r="D9" s="225">
        <f>RANK(DF9,$DF$4:$DF$147)</f>
        <v>4</v>
      </c>
      <c r="E9" s="225">
        <v>0.35</v>
      </c>
      <c r="F9" s="225" t="s">
        <v>18</v>
      </c>
      <c r="G9" s="225">
        <v>760</v>
      </c>
      <c r="H9" s="9">
        <v>150760</v>
      </c>
      <c r="I9" s="10">
        <f t="shared" si="2"/>
        <v>52766</v>
      </c>
      <c r="J9" s="9">
        <v>308440</v>
      </c>
      <c r="K9" s="10">
        <f t="shared" si="3"/>
        <v>107954</v>
      </c>
      <c r="L9" s="9">
        <v>487360</v>
      </c>
      <c r="M9" s="10">
        <f t="shared" si="4"/>
        <v>170576</v>
      </c>
      <c r="N9" s="9">
        <v>316840</v>
      </c>
      <c r="O9" s="10">
        <f t="shared" si="5"/>
        <v>110894</v>
      </c>
      <c r="P9" s="9">
        <v>334160</v>
      </c>
      <c r="Q9" s="10">
        <f t="shared" si="6"/>
        <v>116955.99999999999</v>
      </c>
      <c r="R9" s="9">
        <v>376440</v>
      </c>
      <c r="S9" s="10">
        <f t="shared" si="7"/>
        <v>131754</v>
      </c>
      <c r="T9" s="9">
        <v>367720</v>
      </c>
      <c r="U9" s="10">
        <f t="shared" si="8"/>
        <v>128701.99999999999</v>
      </c>
      <c r="V9" s="9">
        <v>491400</v>
      </c>
      <c r="W9" s="10">
        <f t="shared" si="9"/>
        <v>171990</v>
      </c>
      <c r="X9" s="9">
        <v>339120</v>
      </c>
      <c r="Y9" s="10">
        <f t="shared" si="10"/>
        <v>118691.99999999999</v>
      </c>
      <c r="Z9" s="9">
        <v>353920</v>
      </c>
      <c r="AA9" s="10">
        <f t="shared" si="11"/>
        <v>123871.99999999999</v>
      </c>
      <c r="AB9" s="9">
        <v>363320</v>
      </c>
      <c r="AC9" s="10">
        <f t="shared" si="12"/>
        <v>127161.99999999999</v>
      </c>
      <c r="AD9" s="9">
        <v>384200</v>
      </c>
      <c r="AE9" s="10">
        <f t="shared" si="13"/>
        <v>134470</v>
      </c>
      <c r="AF9" s="11">
        <f t="shared" si="14"/>
        <v>4273680</v>
      </c>
      <c r="AG9" s="12">
        <f t="shared" si="15"/>
        <v>1495788</v>
      </c>
      <c r="AH9" s="9">
        <v>451920</v>
      </c>
      <c r="AI9" s="10">
        <f t="shared" si="16"/>
        <v>158172</v>
      </c>
      <c r="AJ9" s="9">
        <v>331680</v>
      </c>
      <c r="AK9" s="10">
        <f t="shared" si="17"/>
        <v>116087.99999999999</v>
      </c>
      <c r="AL9" s="9">
        <v>444400</v>
      </c>
      <c r="AM9" s="10">
        <f t="shared" si="18"/>
        <v>155540</v>
      </c>
      <c r="AN9" s="9">
        <v>342440</v>
      </c>
      <c r="AO9" s="10">
        <f t="shared" si="19"/>
        <v>119853.99999999999</v>
      </c>
      <c r="AP9" s="9">
        <v>272560</v>
      </c>
      <c r="AQ9" s="10">
        <f t="shared" si="20"/>
        <v>95396</v>
      </c>
      <c r="AR9" s="9">
        <v>179680</v>
      </c>
      <c r="AS9" s="10">
        <f t="shared" si="21"/>
        <v>62887.999999999993</v>
      </c>
      <c r="AT9" s="9">
        <v>310960</v>
      </c>
      <c r="AU9" s="10">
        <f t="shared" si="22"/>
        <v>108836</v>
      </c>
      <c r="AV9" s="9">
        <v>373600</v>
      </c>
      <c r="AW9" s="10">
        <f t="shared" si="23"/>
        <v>130759.99999999999</v>
      </c>
      <c r="AX9" s="9">
        <v>274800</v>
      </c>
      <c r="AY9" s="10">
        <f t="shared" si="24"/>
        <v>96180</v>
      </c>
      <c r="AZ9" s="9">
        <v>270280</v>
      </c>
      <c r="BA9" s="10">
        <f t="shared" si="25"/>
        <v>94598</v>
      </c>
      <c r="BB9" s="9">
        <v>262400</v>
      </c>
      <c r="BC9" s="10">
        <f t="shared" si="26"/>
        <v>91840</v>
      </c>
      <c r="BD9" s="9">
        <v>282960</v>
      </c>
      <c r="BE9" s="10">
        <f t="shared" si="27"/>
        <v>99036</v>
      </c>
      <c r="BF9" s="11">
        <f t="shared" si="28"/>
        <v>3797680</v>
      </c>
      <c r="BG9" s="12">
        <f t="shared" si="29"/>
        <v>1329188</v>
      </c>
      <c r="BH9" s="13">
        <v>289690</v>
      </c>
      <c r="BI9" s="10">
        <f t="shared" si="30"/>
        <v>101391.5</v>
      </c>
      <c r="BJ9" s="13">
        <v>258000</v>
      </c>
      <c r="BK9" s="10">
        <f t="shared" si="31"/>
        <v>90300</v>
      </c>
      <c r="BL9" s="13">
        <v>277000</v>
      </c>
      <c r="BM9" s="10">
        <f t="shared" si="32"/>
        <v>96950</v>
      </c>
      <c r="BN9" s="13">
        <v>256600</v>
      </c>
      <c r="BO9" s="10">
        <f t="shared" si="33"/>
        <v>89810</v>
      </c>
      <c r="BP9" s="13">
        <v>282700</v>
      </c>
      <c r="BQ9" s="10">
        <f t="shared" si="34"/>
        <v>98945</v>
      </c>
      <c r="BR9" s="13">
        <v>285700</v>
      </c>
      <c r="BS9" s="10">
        <f t="shared" si="35"/>
        <v>99995</v>
      </c>
      <c r="BT9" s="13">
        <v>296440</v>
      </c>
      <c r="BU9" s="10">
        <f t="shared" si="36"/>
        <v>103754</v>
      </c>
      <c r="BV9" s="13">
        <v>301520</v>
      </c>
      <c r="BW9" s="10">
        <f t="shared" si="37"/>
        <v>105532</v>
      </c>
      <c r="BX9" s="13">
        <v>274960</v>
      </c>
      <c r="BY9" s="10">
        <f t="shared" si="38"/>
        <v>96236</v>
      </c>
      <c r="BZ9" s="13">
        <v>335760</v>
      </c>
      <c r="CA9" s="10">
        <f t="shared" si="39"/>
        <v>117515.99999999999</v>
      </c>
      <c r="CB9" s="13">
        <v>316080</v>
      </c>
      <c r="CC9" s="10">
        <f t="shared" si="40"/>
        <v>110628</v>
      </c>
      <c r="CD9" s="14">
        <v>293036</v>
      </c>
      <c r="CE9" s="10">
        <f t="shared" si="41"/>
        <v>102562.59999999999</v>
      </c>
      <c r="CF9" s="11">
        <f t="shared" si="42"/>
        <v>3467486</v>
      </c>
      <c r="CG9" s="12">
        <f t="shared" si="43"/>
        <v>1213620.0999999999</v>
      </c>
      <c r="CH9" s="15">
        <v>252553</v>
      </c>
      <c r="CI9" s="10">
        <f t="shared" si="44"/>
        <v>88393.549999999988</v>
      </c>
      <c r="CJ9" s="15">
        <v>258745</v>
      </c>
      <c r="CK9" s="10">
        <f t="shared" si="45"/>
        <v>90560.75</v>
      </c>
      <c r="CL9" s="15">
        <v>397880</v>
      </c>
      <c r="CM9" s="10">
        <f t="shared" si="46"/>
        <v>139258</v>
      </c>
      <c r="CN9" s="15">
        <v>205800</v>
      </c>
      <c r="CO9" s="10">
        <f t="shared" si="47"/>
        <v>72030</v>
      </c>
      <c r="CP9" s="15">
        <v>253440</v>
      </c>
      <c r="CQ9" s="10">
        <f t="shared" si="48"/>
        <v>88704</v>
      </c>
      <c r="CR9" s="15">
        <v>268480</v>
      </c>
      <c r="CS9" s="10">
        <f t="shared" si="49"/>
        <v>93968</v>
      </c>
      <c r="CT9" s="15">
        <v>283028</v>
      </c>
      <c r="CU9" s="10">
        <f t="shared" si="50"/>
        <v>99059.799999999988</v>
      </c>
      <c r="CV9" s="15">
        <v>290121</v>
      </c>
      <c r="CW9" s="10">
        <f t="shared" si="51"/>
        <v>101542.34999999999</v>
      </c>
      <c r="CX9" s="15">
        <v>288390</v>
      </c>
      <c r="CY9" s="10">
        <f t="shared" si="52"/>
        <v>100936.5</v>
      </c>
      <c r="CZ9" s="15">
        <v>297360</v>
      </c>
      <c r="DA9" s="10">
        <f t="shared" si="53"/>
        <v>104076</v>
      </c>
      <c r="DB9" s="15">
        <v>278720</v>
      </c>
      <c r="DC9" s="10">
        <f t="shared" si="54"/>
        <v>97552</v>
      </c>
      <c r="DD9" s="15">
        <v>307120</v>
      </c>
      <c r="DE9" s="10">
        <f t="shared" si="54"/>
        <v>107492</v>
      </c>
      <c r="DF9" s="231">
        <f t="shared" si="55"/>
        <v>3381637</v>
      </c>
      <c r="DG9" s="230">
        <f t="shared" si="56"/>
        <v>1183572.95</v>
      </c>
      <c r="DH9" s="235">
        <v>295720</v>
      </c>
      <c r="DI9" s="236">
        <f t="shared" si="57"/>
        <v>103502</v>
      </c>
      <c r="DJ9" s="15">
        <v>271320</v>
      </c>
      <c r="DK9" s="236">
        <f t="shared" si="57"/>
        <v>94962</v>
      </c>
      <c r="DL9" s="238"/>
      <c r="DM9" s="239">
        <f t="shared" si="58"/>
        <v>0</v>
      </c>
      <c r="DN9" s="238"/>
      <c r="DO9" s="239">
        <f t="shared" si="59"/>
        <v>0</v>
      </c>
      <c r="DP9" s="238"/>
      <c r="DQ9" s="239">
        <f t="shared" si="60"/>
        <v>0</v>
      </c>
      <c r="DR9" s="238"/>
      <c r="DS9" s="239">
        <f t="shared" si="61"/>
        <v>0</v>
      </c>
      <c r="DT9" s="238"/>
      <c r="DU9" s="239">
        <f t="shared" si="62"/>
        <v>0</v>
      </c>
      <c r="DV9" s="238"/>
      <c r="DW9" s="239">
        <f t="shared" si="63"/>
        <v>0</v>
      </c>
      <c r="DX9" s="238"/>
      <c r="DY9" s="239">
        <f t="shared" si="64"/>
        <v>0</v>
      </c>
      <c r="DZ9" s="238"/>
      <c r="EA9" s="239">
        <f t="shared" si="65"/>
        <v>0</v>
      </c>
      <c r="EB9" s="238"/>
      <c r="EC9" s="239">
        <f t="shared" si="66"/>
        <v>0</v>
      </c>
      <c r="ED9" s="238"/>
      <c r="EE9" s="239">
        <f t="shared" si="67"/>
        <v>0</v>
      </c>
      <c r="EF9" s="240">
        <f t="shared" si="68"/>
        <v>567040</v>
      </c>
      <c r="EG9" s="239">
        <f t="shared" si="68"/>
        <v>198464</v>
      </c>
    </row>
    <row r="10" spans="1:137" ht="19.8">
      <c r="A10" s="225">
        <v>6</v>
      </c>
      <c r="B10" s="226" t="s">
        <v>19</v>
      </c>
      <c r="C10" s="226" t="s">
        <v>11</v>
      </c>
      <c r="D10" s="225">
        <f>RANK(DF10,$DF$4:$DF$147)</f>
        <v>31</v>
      </c>
      <c r="E10" s="225">
        <v>0.7</v>
      </c>
      <c r="F10" s="225" t="s">
        <v>20</v>
      </c>
      <c r="G10" s="225">
        <v>1850</v>
      </c>
      <c r="H10" s="9"/>
      <c r="I10" s="10">
        <f t="shared" si="2"/>
        <v>0</v>
      </c>
      <c r="J10" s="9"/>
      <c r="K10" s="10">
        <f t="shared" si="3"/>
        <v>0</v>
      </c>
      <c r="L10" s="9"/>
      <c r="M10" s="10">
        <f t="shared" si="4"/>
        <v>0</v>
      </c>
      <c r="N10" s="9"/>
      <c r="O10" s="10">
        <f t="shared" si="5"/>
        <v>0</v>
      </c>
      <c r="P10" s="9"/>
      <c r="Q10" s="10">
        <f t="shared" si="6"/>
        <v>0</v>
      </c>
      <c r="R10" s="9"/>
      <c r="S10" s="10">
        <f t="shared" si="7"/>
        <v>0</v>
      </c>
      <c r="T10" s="9"/>
      <c r="U10" s="10">
        <f t="shared" si="8"/>
        <v>0</v>
      </c>
      <c r="V10" s="9"/>
      <c r="W10" s="10">
        <f t="shared" si="9"/>
        <v>0</v>
      </c>
      <c r="X10" s="9"/>
      <c r="Y10" s="10">
        <f t="shared" si="10"/>
        <v>0</v>
      </c>
      <c r="Z10" s="9"/>
      <c r="AA10" s="10">
        <f t="shared" si="11"/>
        <v>0</v>
      </c>
      <c r="AB10" s="9"/>
      <c r="AC10" s="10">
        <f t="shared" si="12"/>
        <v>0</v>
      </c>
      <c r="AD10" s="9"/>
      <c r="AE10" s="10">
        <f t="shared" si="13"/>
        <v>0</v>
      </c>
      <c r="AF10" s="11">
        <f t="shared" si="14"/>
        <v>0</v>
      </c>
      <c r="AG10" s="12">
        <f t="shared" si="15"/>
        <v>0</v>
      </c>
      <c r="AH10" s="9"/>
      <c r="AI10" s="10">
        <f t="shared" si="16"/>
        <v>0</v>
      </c>
      <c r="AJ10" s="9">
        <v>24</v>
      </c>
      <c r="AK10" s="10">
        <f t="shared" si="17"/>
        <v>16.799999999999997</v>
      </c>
      <c r="AL10" s="9"/>
      <c r="AM10" s="10">
        <f t="shared" si="18"/>
        <v>0</v>
      </c>
      <c r="AN10" s="9"/>
      <c r="AO10" s="10">
        <f t="shared" si="19"/>
        <v>0</v>
      </c>
      <c r="AP10" s="9"/>
      <c r="AQ10" s="10">
        <f t="shared" si="20"/>
        <v>0</v>
      </c>
      <c r="AR10" s="9"/>
      <c r="AS10" s="10">
        <f t="shared" si="21"/>
        <v>0</v>
      </c>
      <c r="AT10" s="9"/>
      <c r="AU10" s="10">
        <f t="shared" si="22"/>
        <v>0</v>
      </c>
      <c r="AV10" s="9"/>
      <c r="AW10" s="10">
        <f t="shared" si="23"/>
        <v>0</v>
      </c>
      <c r="AX10" s="9"/>
      <c r="AY10" s="10">
        <f t="shared" si="24"/>
        <v>0</v>
      </c>
      <c r="AZ10" s="9"/>
      <c r="BA10" s="10">
        <f t="shared" si="25"/>
        <v>0</v>
      </c>
      <c r="BB10" s="9"/>
      <c r="BC10" s="10">
        <f t="shared" si="26"/>
        <v>0</v>
      </c>
      <c r="BD10" s="9"/>
      <c r="BE10" s="10">
        <f t="shared" si="27"/>
        <v>0</v>
      </c>
      <c r="BF10" s="11">
        <f t="shared" si="28"/>
        <v>24</v>
      </c>
      <c r="BG10" s="12">
        <f t="shared" si="29"/>
        <v>16.799999999999997</v>
      </c>
      <c r="BH10" s="15"/>
      <c r="BI10" s="10">
        <f t="shared" si="30"/>
        <v>0</v>
      </c>
      <c r="BJ10" s="15"/>
      <c r="BK10" s="10">
        <f t="shared" si="31"/>
        <v>0</v>
      </c>
      <c r="BL10" s="15"/>
      <c r="BM10" s="10">
        <f t="shared" si="32"/>
        <v>0</v>
      </c>
      <c r="BN10" s="15"/>
      <c r="BO10" s="10">
        <f t="shared" si="33"/>
        <v>0</v>
      </c>
      <c r="BP10" s="15"/>
      <c r="BQ10" s="10">
        <f t="shared" si="34"/>
        <v>0</v>
      </c>
      <c r="BR10" s="15"/>
      <c r="BS10" s="10">
        <f t="shared" si="35"/>
        <v>0</v>
      </c>
      <c r="BT10" s="15"/>
      <c r="BU10" s="10">
        <f t="shared" si="36"/>
        <v>0</v>
      </c>
      <c r="BV10" s="15"/>
      <c r="BW10" s="10">
        <f t="shared" si="37"/>
        <v>0</v>
      </c>
      <c r="BX10" s="15"/>
      <c r="BY10" s="10">
        <f t="shared" si="38"/>
        <v>0</v>
      </c>
      <c r="BZ10" s="15"/>
      <c r="CA10" s="10">
        <f t="shared" si="39"/>
        <v>0</v>
      </c>
      <c r="CB10" s="15"/>
      <c r="CC10" s="10">
        <f t="shared" si="40"/>
        <v>0</v>
      </c>
      <c r="CD10" s="15"/>
      <c r="CE10" s="10">
        <f t="shared" si="41"/>
        <v>0</v>
      </c>
      <c r="CF10" s="11">
        <f t="shared" si="42"/>
        <v>0</v>
      </c>
      <c r="CG10" s="12">
        <f t="shared" si="43"/>
        <v>0</v>
      </c>
      <c r="CH10" s="15"/>
      <c r="CI10" s="10">
        <f t="shared" si="44"/>
        <v>0</v>
      </c>
      <c r="CJ10" s="15"/>
      <c r="CK10" s="10">
        <f t="shared" si="45"/>
        <v>0</v>
      </c>
      <c r="CL10" s="15"/>
      <c r="CM10" s="10">
        <f t="shared" si="46"/>
        <v>0</v>
      </c>
      <c r="CN10" s="15"/>
      <c r="CO10" s="10">
        <f t="shared" si="47"/>
        <v>0</v>
      </c>
      <c r="CP10" s="15"/>
      <c r="CQ10" s="10">
        <f t="shared" si="48"/>
        <v>0</v>
      </c>
      <c r="CR10" s="15"/>
      <c r="CS10" s="10">
        <f t="shared" si="49"/>
        <v>0</v>
      </c>
      <c r="CT10" s="15"/>
      <c r="CU10" s="10">
        <f t="shared" si="50"/>
        <v>0</v>
      </c>
      <c r="CV10" s="15"/>
      <c r="CW10" s="10">
        <f t="shared" si="51"/>
        <v>0</v>
      </c>
      <c r="CX10" s="15"/>
      <c r="CY10" s="10">
        <f t="shared" si="52"/>
        <v>0</v>
      </c>
      <c r="CZ10" s="15"/>
      <c r="DA10" s="10">
        <f t="shared" si="53"/>
        <v>0</v>
      </c>
      <c r="DB10" s="15"/>
      <c r="DC10" s="10">
        <f t="shared" si="54"/>
        <v>0</v>
      </c>
      <c r="DD10" s="15"/>
      <c r="DE10" s="10">
        <f t="shared" si="54"/>
        <v>0</v>
      </c>
      <c r="DF10" s="231">
        <f t="shared" si="55"/>
        <v>0</v>
      </c>
      <c r="DG10" s="230">
        <f t="shared" si="56"/>
        <v>0</v>
      </c>
      <c r="DH10" s="238"/>
      <c r="DI10" s="239">
        <f t="shared" si="57"/>
        <v>0</v>
      </c>
      <c r="DJ10" s="15"/>
      <c r="DK10" s="239">
        <f t="shared" si="57"/>
        <v>0</v>
      </c>
      <c r="DL10" s="238"/>
      <c r="DM10" s="239">
        <f t="shared" si="58"/>
        <v>0</v>
      </c>
      <c r="DN10" s="238"/>
      <c r="DO10" s="239">
        <f t="shared" si="59"/>
        <v>0</v>
      </c>
      <c r="DP10" s="238"/>
      <c r="DQ10" s="239">
        <f t="shared" si="60"/>
        <v>0</v>
      </c>
      <c r="DR10" s="238"/>
      <c r="DS10" s="239">
        <f t="shared" si="61"/>
        <v>0</v>
      </c>
      <c r="DT10" s="238"/>
      <c r="DU10" s="239">
        <f t="shared" si="62"/>
        <v>0</v>
      </c>
      <c r="DV10" s="238"/>
      <c r="DW10" s="239">
        <f t="shared" si="63"/>
        <v>0</v>
      </c>
      <c r="DX10" s="238"/>
      <c r="DY10" s="239">
        <f t="shared" si="64"/>
        <v>0</v>
      </c>
      <c r="DZ10" s="238"/>
      <c r="EA10" s="239">
        <f t="shared" si="65"/>
        <v>0</v>
      </c>
      <c r="EB10" s="238"/>
      <c r="EC10" s="239">
        <f t="shared" si="66"/>
        <v>0</v>
      </c>
      <c r="ED10" s="238"/>
      <c r="EE10" s="239">
        <f t="shared" si="67"/>
        <v>0</v>
      </c>
      <c r="EF10" s="240">
        <f t="shared" si="68"/>
        <v>0</v>
      </c>
      <c r="EG10" s="239">
        <f t="shared" si="68"/>
        <v>0</v>
      </c>
    </row>
    <row r="11" spans="1:137" ht="19.8">
      <c r="A11" s="225">
        <v>7</v>
      </c>
      <c r="B11" s="226" t="s">
        <v>21</v>
      </c>
      <c r="C11" s="226" t="s">
        <v>11</v>
      </c>
      <c r="D11" s="225">
        <f>RANK(AH11,$AH$4:$AH$147)</f>
        <v>7</v>
      </c>
      <c r="E11" s="225">
        <v>0.64</v>
      </c>
      <c r="F11" s="225" t="s">
        <v>20</v>
      </c>
      <c r="G11" s="225">
        <v>1400</v>
      </c>
      <c r="H11" s="9">
        <v>45600</v>
      </c>
      <c r="I11" s="10">
        <f t="shared" si="2"/>
        <v>29184</v>
      </c>
      <c r="J11" s="9">
        <f>43632+2400</f>
        <v>46032</v>
      </c>
      <c r="K11" s="10">
        <f t="shared" si="3"/>
        <v>29460.48</v>
      </c>
      <c r="L11" s="9">
        <v>91560</v>
      </c>
      <c r="M11" s="10">
        <f t="shared" si="4"/>
        <v>58598.400000000001</v>
      </c>
      <c r="N11" s="9">
        <v>52200</v>
      </c>
      <c r="O11" s="10">
        <f t="shared" si="5"/>
        <v>33408</v>
      </c>
      <c r="P11" s="9">
        <v>49440</v>
      </c>
      <c r="Q11" s="10">
        <f t="shared" si="6"/>
        <v>31641.600000000002</v>
      </c>
      <c r="R11" s="9">
        <v>50648</v>
      </c>
      <c r="S11" s="10">
        <f t="shared" si="7"/>
        <v>32414.720000000001</v>
      </c>
      <c r="T11" s="9">
        <v>45384</v>
      </c>
      <c r="U11" s="10">
        <f t="shared" si="8"/>
        <v>29045.760000000002</v>
      </c>
      <c r="V11" s="9">
        <v>43704</v>
      </c>
      <c r="W11" s="10">
        <f t="shared" si="9"/>
        <v>27970.560000000001</v>
      </c>
      <c r="X11" s="9">
        <v>31920</v>
      </c>
      <c r="Y11" s="10">
        <f t="shared" si="10"/>
        <v>20428.8</v>
      </c>
      <c r="Z11" s="9">
        <v>39912</v>
      </c>
      <c r="AA11" s="10">
        <f t="shared" si="11"/>
        <v>25543.68</v>
      </c>
      <c r="AB11" s="9">
        <v>28512</v>
      </c>
      <c r="AC11" s="10">
        <f t="shared" si="12"/>
        <v>18247.68</v>
      </c>
      <c r="AD11" s="9">
        <v>53808</v>
      </c>
      <c r="AE11" s="10">
        <f t="shared" si="13"/>
        <v>34437.120000000003</v>
      </c>
      <c r="AF11" s="11">
        <f t="shared" si="14"/>
        <v>578720</v>
      </c>
      <c r="AG11" s="12">
        <f t="shared" si="15"/>
        <v>370380.79999999999</v>
      </c>
      <c r="AH11" s="9">
        <v>51288</v>
      </c>
      <c r="AI11" s="10">
        <f t="shared" si="16"/>
        <v>32824.32</v>
      </c>
      <c r="AJ11" s="9">
        <v>27816</v>
      </c>
      <c r="AK11" s="10">
        <f t="shared" si="17"/>
        <v>17802.240000000002</v>
      </c>
      <c r="AL11" s="9">
        <v>53160</v>
      </c>
      <c r="AM11" s="10">
        <f t="shared" si="18"/>
        <v>34022.400000000001</v>
      </c>
      <c r="AN11" s="9">
        <v>38184</v>
      </c>
      <c r="AO11" s="10">
        <f t="shared" si="19"/>
        <v>24437.760000000002</v>
      </c>
      <c r="AP11" s="9">
        <v>46512</v>
      </c>
      <c r="AQ11" s="10">
        <f t="shared" si="20"/>
        <v>29767.68</v>
      </c>
      <c r="AR11" s="9">
        <v>35304</v>
      </c>
      <c r="AS11" s="10">
        <f t="shared" si="21"/>
        <v>22594.560000000001</v>
      </c>
      <c r="AT11" s="9">
        <v>29616</v>
      </c>
      <c r="AU11" s="10">
        <f t="shared" si="22"/>
        <v>18954.240000000002</v>
      </c>
      <c r="AV11" s="9">
        <v>29712</v>
      </c>
      <c r="AW11" s="10">
        <f t="shared" si="23"/>
        <v>19015.68</v>
      </c>
      <c r="AX11" s="9">
        <v>22632</v>
      </c>
      <c r="AY11" s="10">
        <f t="shared" si="24"/>
        <v>14484.48</v>
      </c>
      <c r="AZ11" s="9">
        <v>31008</v>
      </c>
      <c r="BA11" s="10">
        <f t="shared" si="25"/>
        <v>19845.12</v>
      </c>
      <c r="BB11" s="9">
        <v>30024</v>
      </c>
      <c r="BC11" s="10">
        <f t="shared" si="26"/>
        <v>19215.36</v>
      </c>
      <c r="BD11" s="9">
        <v>30120</v>
      </c>
      <c r="BE11" s="10">
        <f t="shared" si="27"/>
        <v>19276.8</v>
      </c>
      <c r="BF11" s="11">
        <f t="shared" si="28"/>
        <v>425376</v>
      </c>
      <c r="BG11" s="12">
        <f t="shared" si="29"/>
        <v>272240.64000000001</v>
      </c>
      <c r="BH11" s="13">
        <v>40752</v>
      </c>
      <c r="BI11" s="10">
        <f t="shared" si="30"/>
        <v>26081.279999999999</v>
      </c>
      <c r="BJ11" s="13">
        <v>24000</v>
      </c>
      <c r="BK11" s="10">
        <f t="shared" si="31"/>
        <v>15360</v>
      </c>
      <c r="BL11" s="13">
        <v>29232</v>
      </c>
      <c r="BM11" s="10">
        <f t="shared" si="32"/>
        <v>18708.48</v>
      </c>
      <c r="BN11" s="13">
        <v>34080</v>
      </c>
      <c r="BO11" s="10">
        <f t="shared" si="33"/>
        <v>21811.200000000001</v>
      </c>
      <c r="BP11" s="13">
        <v>31704</v>
      </c>
      <c r="BQ11" s="10">
        <f t="shared" si="34"/>
        <v>20290.560000000001</v>
      </c>
      <c r="BR11" s="13">
        <v>24672</v>
      </c>
      <c r="BS11" s="10">
        <f t="shared" si="35"/>
        <v>15790.08</v>
      </c>
      <c r="BT11" s="13">
        <v>26640</v>
      </c>
      <c r="BU11" s="10">
        <f t="shared" si="36"/>
        <v>17049.599999999999</v>
      </c>
      <c r="BV11" s="13">
        <v>26928</v>
      </c>
      <c r="BW11" s="10">
        <f t="shared" si="37"/>
        <v>17233.920000000002</v>
      </c>
      <c r="BX11" s="13">
        <v>12312</v>
      </c>
      <c r="BY11" s="10">
        <f t="shared" si="38"/>
        <v>7879.68</v>
      </c>
      <c r="BZ11" s="13">
        <v>16080</v>
      </c>
      <c r="CA11" s="10">
        <f t="shared" si="39"/>
        <v>10291.200000000001</v>
      </c>
      <c r="CB11" s="13">
        <v>15720</v>
      </c>
      <c r="CC11" s="10">
        <f t="shared" si="40"/>
        <v>10060.800000000001</v>
      </c>
      <c r="CD11" s="14">
        <v>26880</v>
      </c>
      <c r="CE11" s="10">
        <f t="shared" si="41"/>
        <v>17203.2</v>
      </c>
      <c r="CF11" s="11">
        <f t="shared" si="42"/>
        <v>309000</v>
      </c>
      <c r="CG11" s="12">
        <f t="shared" si="43"/>
        <v>197760</v>
      </c>
      <c r="CH11" s="15">
        <v>28320</v>
      </c>
      <c r="CI11" s="10">
        <f t="shared" si="44"/>
        <v>18124.8</v>
      </c>
      <c r="CJ11" s="15">
        <v>18720</v>
      </c>
      <c r="CK11" s="10">
        <f t="shared" si="45"/>
        <v>11980.800000000001</v>
      </c>
      <c r="CL11" s="15">
        <v>33984</v>
      </c>
      <c r="CM11" s="10">
        <f t="shared" si="46"/>
        <v>21749.760000000002</v>
      </c>
      <c r="CN11" s="15">
        <v>37440</v>
      </c>
      <c r="CO11" s="10">
        <f t="shared" si="47"/>
        <v>23961.600000000002</v>
      </c>
      <c r="CP11" s="15">
        <v>20520</v>
      </c>
      <c r="CQ11" s="10">
        <f t="shared" si="48"/>
        <v>13132.800000000001</v>
      </c>
      <c r="CR11" s="15">
        <v>27120</v>
      </c>
      <c r="CS11" s="10">
        <f t="shared" si="49"/>
        <v>17356.8</v>
      </c>
      <c r="CT11" s="15">
        <v>19800</v>
      </c>
      <c r="CU11" s="10">
        <f t="shared" si="50"/>
        <v>12672</v>
      </c>
      <c r="CV11" s="15">
        <v>17160</v>
      </c>
      <c r="CW11" s="10">
        <f t="shared" si="51"/>
        <v>10982.4</v>
      </c>
      <c r="CX11" s="15">
        <v>17520</v>
      </c>
      <c r="CY11" s="10">
        <f t="shared" si="52"/>
        <v>11212.800000000001</v>
      </c>
      <c r="CZ11" s="15">
        <v>20040</v>
      </c>
      <c r="DA11" s="10">
        <f t="shared" si="53"/>
        <v>12825.6</v>
      </c>
      <c r="DB11" s="15">
        <v>31800</v>
      </c>
      <c r="DC11" s="10">
        <f t="shared" si="54"/>
        <v>20352</v>
      </c>
      <c r="DD11" s="15">
        <v>17520</v>
      </c>
      <c r="DE11" s="10">
        <f t="shared" si="54"/>
        <v>11212.800000000001</v>
      </c>
      <c r="DF11" s="231">
        <f t="shared" si="55"/>
        <v>289944</v>
      </c>
      <c r="DG11" s="230">
        <f t="shared" si="56"/>
        <v>185564.16</v>
      </c>
      <c r="DH11" s="238">
        <v>24960</v>
      </c>
      <c r="DI11" s="239">
        <f t="shared" si="57"/>
        <v>15974.4</v>
      </c>
      <c r="DJ11" s="15">
        <v>12360</v>
      </c>
      <c r="DK11" s="239">
        <f t="shared" si="57"/>
        <v>7910.4000000000005</v>
      </c>
      <c r="DL11" s="238"/>
      <c r="DM11" s="239">
        <f t="shared" si="58"/>
        <v>0</v>
      </c>
      <c r="DN11" s="238"/>
      <c r="DO11" s="239">
        <f t="shared" si="59"/>
        <v>0</v>
      </c>
      <c r="DP11" s="238"/>
      <c r="DQ11" s="239">
        <f t="shared" si="60"/>
        <v>0</v>
      </c>
      <c r="DR11" s="238"/>
      <c r="DS11" s="239">
        <f t="shared" si="61"/>
        <v>0</v>
      </c>
      <c r="DT11" s="238"/>
      <c r="DU11" s="239">
        <f t="shared" si="62"/>
        <v>0</v>
      </c>
      <c r="DV11" s="238"/>
      <c r="DW11" s="239">
        <f t="shared" si="63"/>
        <v>0</v>
      </c>
      <c r="DX11" s="238"/>
      <c r="DY11" s="239">
        <f t="shared" si="64"/>
        <v>0</v>
      </c>
      <c r="DZ11" s="238"/>
      <c r="EA11" s="239">
        <f t="shared" si="65"/>
        <v>0</v>
      </c>
      <c r="EB11" s="238"/>
      <c r="EC11" s="239">
        <f t="shared" si="66"/>
        <v>0</v>
      </c>
      <c r="ED11" s="238"/>
      <c r="EE11" s="239">
        <f t="shared" si="67"/>
        <v>0</v>
      </c>
      <c r="EF11" s="240">
        <f t="shared" si="68"/>
        <v>37320</v>
      </c>
      <c r="EG11" s="239">
        <f t="shared" si="68"/>
        <v>23884.799999999999</v>
      </c>
    </row>
    <row r="12" spans="1:137" ht="19.8">
      <c r="A12" s="225">
        <v>8</v>
      </c>
      <c r="B12" s="226" t="s">
        <v>21</v>
      </c>
      <c r="C12" s="226" t="s">
        <v>11</v>
      </c>
      <c r="D12" s="225">
        <f>RANK(AH12,$AH$4:$AH$147)</f>
        <v>1</v>
      </c>
      <c r="E12" s="225">
        <v>0.64</v>
      </c>
      <c r="F12" s="225" t="s">
        <v>22</v>
      </c>
      <c r="G12" s="225">
        <v>1400</v>
      </c>
      <c r="H12" s="9">
        <f>1607217+5280</f>
        <v>1612497</v>
      </c>
      <c r="I12" s="10">
        <f t="shared" si="2"/>
        <v>1031998.0800000001</v>
      </c>
      <c r="J12" s="9">
        <v>1487206</v>
      </c>
      <c r="K12" s="10">
        <f t="shared" si="3"/>
        <v>951811.84</v>
      </c>
      <c r="L12" s="9">
        <v>2198434</v>
      </c>
      <c r="M12" s="10">
        <f t="shared" si="4"/>
        <v>1406997.76</v>
      </c>
      <c r="N12" s="9">
        <v>1666056</v>
      </c>
      <c r="O12" s="10">
        <f t="shared" si="5"/>
        <v>1066275.8400000001</v>
      </c>
      <c r="P12" s="9">
        <v>1496012</v>
      </c>
      <c r="Q12" s="10">
        <f t="shared" si="6"/>
        <v>957447.68000000005</v>
      </c>
      <c r="R12" s="9">
        <f>1515416+560</f>
        <v>1515976</v>
      </c>
      <c r="S12" s="10">
        <f t="shared" si="7"/>
        <v>970224.64000000001</v>
      </c>
      <c r="T12" s="9">
        <f>1423576+840</f>
        <v>1424416</v>
      </c>
      <c r="U12" s="10">
        <f t="shared" si="8"/>
        <v>911626.23999999999</v>
      </c>
      <c r="V12" s="9">
        <v>1674932</v>
      </c>
      <c r="W12" s="10">
        <f t="shared" si="9"/>
        <v>1071956.48</v>
      </c>
      <c r="X12" s="9">
        <v>1158486</v>
      </c>
      <c r="Y12" s="10">
        <f t="shared" si="10"/>
        <v>741431.04</v>
      </c>
      <c r="Z12" s="9">
        <v>1230558</v>
      </c>
      <c r="AA12" s="10">
        <f t="shared" si="11"/>
        <v>787557.12</v>
      </c>
      <c r="AB12" s="9">
        <f>1325646+6</f>
        <v>1325652</v>
      </c>
      <c r="AC12" s="10">
        <f t="shared" si="12"/>
        <v>848417.28000000003</v>
      </c>
      <c r="AD12" s="9">
        <v>1410990</v>
      </c>
      <c r="AE12" s="10">
        <f t="shared" si="13"/>
        <v>903033.6</v>
      </c>
      <c r="AF12" s="11">
        <f t="shared" si="14"/>
        <v>18201215</v>
      </c>
      <c r="AG12" s="12">
        <f t="shared" si="15"/>
        <v>11648777.6</v>
      </c>
      <c r="AH12" s="9">
        <v>1399258</v>
      </c>
      <c r="AI12" s="10">
        <f t="shared" si="16"/>
        <v>895525.12</v>
      </c>
      <c r="AJ12" s="9">
        <v>1181866</v>
      </c>
      <c r="AK12" s="10">
        <f t="shared" si="17"/>
        <v>756394.24</v>
      </c>
      <c r="AL12" s="9">
        <v>1568917</v>
      </c>
      <c r="AM12" s="10">
        <f t="shared" si="18"/>
        <v>1004106.88</v>
      </c>
      <c r="AN12" s="9">
        <v>1249780</v>
      </c>
      <c r="AO12" s="10">
        <f t="shared" si="19"/>
        <v>799859.20000000007</v>
      </c>
      <c r="AP12" s="9">
        <v>1141630</v>
      </c>
      <c r="AQ12" s="10">
        <f t="shared" si="20"/>
        <v>730643.20000000007</v>
      </c>
      <c r="AR12" s="9">
        <v>1176224</v>
      </c>
      <c r="AS12" s="10">
        <f t="shared" si="21"/>
        <v>752783.35999999999</v>
      </c>
      <c r="AT12" s="9">
        <v>1274322</v>
      </c>
      <c r="AU12" s="10">
        <f t="shared" si="22"/>
        <v>815566.08000000007</v>
      </c>
      <c r="AV12" s="9">
        <v>1294006</v>
      </c>
      <c r="AW12" s="10">
        <f t="shared" si="23"/>
        <v>828163.84</v>
      </c>
      <c r="AX12" s="9">
        <v>890078</v>
      </c>
      <c r="AY12" s="10">
        <f t="shared" si="24"/>
        <v>569649.92000000004</v>
      </c>
      <c r="AZ12" s="9">
        <v>999712</v>
      </c>
      <c r="BA12" s="10">
        <f t="shared" si="25"/>
        <v>639815.68000000005</v>
      </c>
      <c r="BB12" s="9">
        <v>1046766</v>
      </c>
      <c r="BC12" s="10">
        <f t="shared" si="26"/>
        <v>669930.23999999999</v>
      </c>
      <c r="BD12" s="9">
        <v>1107288</v>
      </c>
      <c r="BE12" s="10">
        <f t="shared" si="27"/>
        <v>708664.32000000007</v>
      </c>
      <c r="BF12" s="11">
        <f t="shared" si="28"/>
        <v>14329847</v>
      </c>
      <c r="BG12" s="12">
        <f t="shared" si="29"/>
        <v>9171102.0800000001</v>
      </c>
      <c r="BH12" s="13">
        <v>1062432</v>
      </c>
      <c r="BI12" s="10">
        <f t="shared" si="30"/>
        <v>679956.47999999998</v>
      </c>
      <c r="BJ12" s="13">
        <v>888174</v>
      </c>
      <c r="BK12" s="10">
        <f t="shared" si="31"/>
        <v>568431.35999999999</v>
      </c>
      <c r="BL12" s="13">
        <v>985152</v>
      </c>
      <c r="BM12" s="10">
        <f t="shared" si="32"/>
        <v>630497.28000000003</v>
      </c>
      <c r="BN12" s="13">
        <v>966210</v>
      </c>
      <c r="BO12" s="10">
        <f t="shared" si="33"/>
        <v>618374.40000000002</v>
      </c>
      <c r="BP12" s="13">
        <v>1008938</v>
      </c>
      <c r="BQ12" s="10">
        <f t="shared" si="34"/>
        <v>645720.32000000007</v>
      </c>
      <c r="BR12" s="13">
        <v>1108953</v>
      </c>
      <c r="BS12" s="10">
        <f t="shared" si="35"/>
        <v>709729.92</v>
      </c>
      <c r="BT12" s="13">
        <v>925364</v>
      </c>
      <c r="BU12" s="10">
        <f t="shared" si="36"/>
        <v>592232.95999999996</v>
      </c>
      <c r="BV12" s="13">
        <v>766892</v>
      </c>
      <c r="BW12" s="10">
        <f t="shared" si="37"/>
        <v>490810.88</v>
      </c>
      <c r="BX12" s="13">
        <v>730395</v>
      </c>
      <c r="BY12" s="10">
        <f t="shared" si="38"/>
        <v>467452.8</v>
      </c>
      <c r="BZ12" s="13">
        <v>834624</v>
      </c>
      <c r="CA12" s="10">
        <f t="shared" si="39"/>
        <v>534159.35999999999</v>
      </c>
      <c r="CB12" s="13">
        <v>812171</v>
      </c>
      <c r="CC12" s="10">
        <f t="shared" si="40"/>
        <v>519789.44</v>
      </c>
      <c r="CD12" s="14">
        <v>764567</v>
      </c>
      <c r="CE12" s="10">
        <f t="shared" si="41"/>
        <v>489322.88</v>
      </c>
      <c r="CF12" s="11">
        <f t="shared" si="42"/>
        <v>10853872</v>
      </c>
      <c r="CG12" s="12">
        <f t="shared" si="43"/>
        <v>6946478.0800000001</v>
      </c>
      <c r="CH12" s="15">
        <v>694078</v>
      </c>
      <c r="CI12" s="10">
        <f t="shared" si="44"/>
        <v>444209.91999999998</v>
      </c>
      <c r="CJ12" s="15">
        <v>743873</v>
      </c>
      <c r="CK12" s="10">
        <f t="shared" si="45"/>
        <v>476078.72000000003</v>
      </c>
      <c r="CL12" s="15">
        <v>967690</v>
      </c>
      <c r="CM12" s="10">
        <f t="shared" si="46"/>
        <v>619321.59999999998</v>
      </c>
      <c r="CN12" s="15">
        <v>599298</v>
      </c>
      <c r="CO12" s="10">
        <f t="shared" si="47"/>
        <v>383550.72000000003</v>
      </c>
      <c r="CP12" s="15">
        <v>696682</v>
      </c>
      <c r="CQ12" s="10">
        <f t="shared" si="48"/>
        <v>445876.47999999998</v>
      </c>
      <c r="CR12" s="15">
        <v>698141</v>
      </c>
      <c r="CS12" s="10">
        <f t="shared" si="49"/>
        <v>446810.24</v>
      </c>
      <c r="CT12" s="15">
        <v>682290</v>
      </c>
      <c r="CU12" s="10">
        <f t="shared" si="50"/>
        <v>436665.60000000003</v>
      </c>
      <c r="CV12" s="15">
        <v>655446</v>
      </c>
      <c r="CW12" s="10">
        <f t="shared" si="51"/>
        <v>419485.44</v>
      </c>
      <c r="CX12" s="15">
        <v>579448</v>
      </c>
      <c r="CY12" s="10">
        <f t="shared" si="52"/>
        <v>370846.72000000003</v>
      </c>
      <c r="CZ12" s="15">
        <v>606088</v>
      </c>
      <c r="DA12" s="10">
        <f t="shared" si="53"/>
        <v>387896.32000000001</v>
      </c>
      <c r="DB12" s="15">
        <v>571213</v>
      </c>
      <c r="DC12" s="10">
        <f t="shared" si="54"/>
        <v>365576.32</v>
      </c>
      <c r="DD12" s="15">
        <v>588305</v>
      </c>
      <c r="DE12" s="10">
        <f t="shared" si="54"/>
        <v>376515.2</v>
      </c>
      <c r="DF12" s="231">
        <f t="shared" si="55"/>
        <v>8082552</v>
      </c>
      <c r="DG12" s="230">
        <f t="shared" si="56"/>
        <v>5172833.28</v>
      </c>
      <c r="DH12" s="235">
        <v>557228</v>
      </c>
      <c r="DI12" s="236">
        <f t="shared" si="57"/>
        <v>356625.91999999998</v>
      </c>
      <c r="DJ12" s="15">
        <v>502194</v>
      </c>
      <c r="DK12" s="236">
        <f t="shared" si="57"/>
        <v>321404.16000000003</v>
      </c>
      <c r="DL12" s="238"/>
      <c r="DM12" s="239">
        <f>DL12*$E12</f>
        <v>0</v>
      </c>
      <c r="DN12" s="238"/>
      <c r="DO12" s="239">
        <f>DN12*$E12</f>
        <v>0</v>
      </c>
      <c r="DP12" s="238"/>
      <c r="DQ12" s="239">
        <f>DP12*$E12</f>
        <v>0</v>
      </c>
      <c r="DR12" s="238"/>
      <c r="DS12" s="239">
        <f>DR12*$E12</f>
        <v>0</v>
      </c>
      <c r="DT12" s="238"/>
      <c r="DU12" s="239">
        <f>DT12*$E12</f>
        <v>0</v>
      </c>
      <c r="DV12" s="238"/>
      <c r="DW12" s="239">
        <f>DV12*$E12</f>
        <v>0</v>
      </c>
      <c r="DX12" s="238"/>
      <c r="DY12" s="239">
        <f>DX12*$E12</f>
        <v>0</v>
      </c>
      <c r="DZ12" s="238"/>
      <c r="EA12" s="239">
        <f>DZ12*$E12</f>
        <v>0</v>
      </c>
      <c r="EB12" s="238"/>
      <c r="EC12" s="239">
        <f>EB12*$E12</f>
        <v>0</v>
      </c>
      <c r="ED12" s="238"/>
      <c r="EE12" s="239">
        <f>ED12*$E12</f>
        <v>0</v>
      </c>
      <c r="EF12" s="240">
        <f>SUM(DH12,DJ12,DL12,DN12,DP12,DR12,DT12,DV12,DX12,DZ12,EB12,ED12)</f>
        <v>1059422</v>
      </c>
      <c r="EG12" s="239">
        <f>SUM(DI12,DK12,DM12,DO12,DQ12,DS12,DU12,DW12,DY12,EA12,EC12,EE12)</f>
        <v>678030.08000000007</v>
      </c>
    </row>
    <row r="13" spans="1:137" ht="19.8">
      <c r="A13" s="225">
        <v>9</v>
      </c>
      <c r="B13" s="226" t="s">
        <v>21</v>
      </c>
      <c r="C13" s="226" t="s">
        <v>11</v>
      </c>
      <c r="D13" s="225" t="e">
        <f>RANK(AH13,$AH$4:$AH$147)</f>
        <v>#N/A</v>
      </c>
      <c r="E13" s="225">
        <v>0.64</v>
      </c>
      <c r="F13" s="225" t="s">
        <v>12</v>
      </c>
      <c r="G13" s="225">
        <v>1250</v>
      </c>
      <c r="H13" s="9"/>
      <c r="I13" s="10">
        <f t="shared" si="2"/>
        <v>0</v>
      </c>
      <c r="J13" s="9"/>
      <c r="K13" s="10">
        <f t="shared" si="3"/>
        <v>0</v>
      </c>
      <c r="L13" s="9"/>
      <c r="M13" s="10">
        <f t="shared" si="4"/>
        <v>0</v>
      </c>
      <c r="N13" s="9"/>
      <c r="O13" s="10">
        <f t="shared" si="5"/>
        <v>0</v>
      </c>
      <c r="P13" s="9"/>
      <c r="Q13" s="10">
        <f t="shared" si="6"/>
        <v>0</v>
      </c>
      <c r="R13" s="9"/>
      <c r="S13" s="10">
        <f t="shared" si="7"/>
        <v>0</v>
      </c>
      <c r="T13" s="9"/>
      <c r="U13" s="10">
        <f t="shared" si="8"/>
        <v>0</v>
      </c>
      <c r="V13" s="9"/>
      <c r="W13" s="10">
        <f t="shared" si="9"/>
        <v>0</v>
      </c>
      <c r="X13" s="9"/>
      <c r="Y13" s="10">
        <f t="shared" si="10"/>
        <v>0</v>
      </c>
      <c r="Z13" s="9"/>
      <c r="AA13" s="10">
        <f t="shared" si="11"/>
        <v>0</v>
      </c>
      <c r="AB13" s="9"/>
      <c r="AC13" s="10">
        <f t="shared" si="12"/>
        <v>0</v>
      </c>
      <c r="AD13" s="9"/>
      <c r="AE13" s="10">
        <f t="shared" si="13"/>
        <v>0</v>
      </c>
      <c r="AF13" s="11">
        <f t="shared" si="14"/>
        <v>0</v>
      </c>
      <c r="AG13" s="12">
        <f t="shared" si="15"/>
        <v>0</v>
      </c>
      <c r="AH13" s="9"/>
      <c r="AI13" s="10">
        <f t="shared" si="16"/>
        <v>0</v>
      </c>
      <c r="AJ13" s="9"/>
      <c r="AK13" s="10">
        <f t="shared" si="17"/>
        <v>0</v>
      </c>
      <c r="AL13" s="9"/>
      <c r="AM13" s="10">
        <f t="shared" si="18"/>
        <v>0</v>
      </c>
      <c r="AN13" s="9"/>
      <c r="AO13" s="10">
        <f t="shared" si="19"/>
        <v>0</v>
      </c>
      <c r="AP13" s="9"/>
      <c r="AQ13" s="10">
        <f t="shared" si="20"/>
        <v>0</v>
      </c>
      <c r="AR13" s="9"/>
      <c r="AS13" s="10">
        <f t="shared" si="21"/>
        <v>0</v>
      </c>
      <c r="AT13" s="9"/>
      <c r="AU13" s="10">
        <f t="shared" si="22"/>
        <v>0</v>
      </c>
      <c r="AV13" s="9">
        <v>3216</v>
      </c>
      <c r="AW13" s="10">
        <f t="shared" si="23"/>
        <v>2058.2400000000002</v>
      </c>
      <c r="AX13" s="9"/>
      <c r="AY13" s="10">
        <f t="shared" si="24"/>
        <v>0</v>
      </c>
      <c r="AZ13" s="9">
        <v>1608</v>
      </c>
      <c r="BA13" s="10">
        <f t="shared" si="25"/>
        <v>1029.1200000000001</v>
      </c>
      <c r="BB13" s="9">
        <v>24</v>
      </c>
      <c r="BC13" s="10">
        <f t="shared" si="26"/>
        <v>15.36</v>
      </c>
      <c r="BD13" s="9">
        <v>720</v>
      </c>
      <c r="BE13" s="10">
        <f t="shared" si="27"/>
        <v>460.8</v>
      </c>
      <c r="BF13" s="11">
        <f t="shared" si="28"/>
        <v>5568</v>
      </c>
      <c r="BG13" s="12">
        <f t="shared" si="29"/>
        <v>3563.52</v>
      </c>
      <c r="BH13" s="13">
        <v>1440</v>
      </c>
      <c r="BI13" s="10">
        <f t="shared" si="30"/>
        <v>921.6</v>
      </c>
      <c r="BJ13" s="13">
        <v>720</v>
      </c>
      <c r="BK13" s="10">
        <f t="shared" si="31"/>
        <v>460.8</v>
      </c>
      <c r="BL13" s="13">
        <v>0</v>
      </c>
      <c r="BM13" s="10">
        <f t="shared" si="32"/>
        <v>0</v>
      </c>
      <c r="BN13" s="13">
        <v>720</v>
      </c>
      <c r="BO13" s="10">
        <f t="shared" si="33"/>
        <v>460.8</v>
      </c>
      <c r="BP13" s="13">
        <v>5664</v>
      </c>
      <c r="BQ13" s="10">
        <f t="shared" si="34"/>
        <v>3624.96</v>
      </c>
      <c r="BR13" s="13">
        <v>708</v>
      </c>
      <c r="BS13" s="10">
        <f t="shared" si="35"/>
        <v>453.12</v>
      </c>
      <c r="BT13" s="13">
        <v>708</v>
      </c>
      <c r="BU13" s="10">
        <f t="shared" si="36"/>
        <v>453.12</v>
      </c>
      <c r="BV13" s="13">
        <v>2124</v>
      </c>
      <c r="BW13" s="10">
        <f t="shared" si="37"/>
        <v>1359.3600000000001</v>
      </c>
      <c r="BX13" s="13">
        <v>708</v>
      </c>
      <c r="BY13" s="10">
        <f t="shared" si="38"/>
        <v>453.12</v>
      </c>
      <c r="BZ13" s="13">
        <v>696</v>
      </c>
      <c r="CA13" s="10">
        <f t="shared" si="39"/>
        <v>445.44</v>
      </c>
      <c r="CB13" s="13">
        <v>1158</v>
      </c>
      <c r="CC13" s="10">
        <f t="shared" si="40"/>
        <v>741.12</v>
      </c>
      <c r="CD13" s="14">
        <v>2496</v>
      </c>
      <c r="CE13" s="10">
        <f t="shared" si="41"/>
        <v>1597.44</v>
      </c>
      <c r="CF13" s="11">
        <f t="shared" si="42"/>
        <v>17142</v>
      </c>
      <c r="CG13" s="12">
        <f t="shared" si="43"/>
        <v>10970.880000000001</v>
      </c>
      <c r="CH13" s="15"/>
      <c r="CI13" s="10">
        <f t="shared" si="44"/>
        <v>0</v>
      </c>
      <c r="CJ13" s="15"/>
      <c r="CK13" s="10">
        <f t="shared" si="45"/>
        <v>0</v>
      </c>
      <c r="CL13" s="15">
        <v>1188</v>
      </c>
      <c r="CM13" s="10">
        <f t="shared" si="46"/>
        <v>760.32</v>
      </c>
      <c r="CN13" s="15">
        <v>1247</v>
      </c>
      <c r="CO13" s="10">
        <f t="shared" si="47"/>
        <v>798.08</v>
      </c>
      <c r="CP13" s="15">
        <v>1560</v>
      </c>
      <c r="CQ13" s="10">
        <f t="shared" si="48"/>
        <v>998.4</v>
      </c>
      <c r="CR13" s="15">
        <v>900</v>
      </c>
      <c r="CS13" s="10">
        <f t="shared" si="49"/>
        <v>576</v>
      </c>
      <c r="CT13" s="15">
        <v>1824</v>
      </c>
      <c r="CU13" s="10">
        <f t="shared" si="50"/>
        <v>1167.3600000000001</v>
      </c>
      <c r="CV13" s="15">
        <v>1536</v>
      </c>
      <c r="CW13" s="10">
        <f t="shared" si="51"/>
        <v>983.04</v>
      </c>
      <c r="CX13" s="15">
        <v>1428</v>
      </c>
      <c r="CY13" s="10">
        <f t="shared" si="52"/>
        <v>913.92000000000007</v>
      </c>
      <c r="CZ13" s="15">
        <v>1704</v>
      </c>
      <c r="DA13" s="10">
        <f t="shared" si="53"/>
        <v>1090.56</v>
      </c>
      <c r="DB13" s="15">
        <v>1152</v>
      </c>
      <c r="DC13" s="10">
        <f t="shared" si="54"/>
        <v>737.28</v>
      </c>
      <c r="DD13" s="15">
        <v>1452</v>
      </c>
      <c r="DE13" s="10">
        <f t="shared" si="54"/>
        <v>929.28</v>
      </c>
      <c r="DF13" s="231">
        <f t="shared" si="55"/>
        <v>13991</v>
      </c>
      <c r="DG13" s="230">
        <f t="shared" si="56"/>
        <v>8954.24</v>
      </c>
      <c r="DH13" s="238">
        <v>1308</v>
      </c>
      <c r="DI13" s="239">
        <f t="shared" si="57"/>
        <v>837.12</v>
      </c>
      <c r="DJ13" s="15">
        <v>1368</v>
      </c>
      <c r="DK13" s="239">
        <f t="shared" si="57"/>
        <v>875.52</v>
      </c>
      <c r="DL13" s="238"/>
      <c r="DM13" s="239">
        <f t="shared" ref="DM13" si="69">DL13*$E13</f>
        <v>0</v>
      </c>
      <c r="DN13" s="238"/>
      <c r="DO13" s="239">
        <f t="shared" ref="DO13" si="70">DN13*$E13</f>
        <v>0</v>
      </c>
      <c r="DP13" s="238"/>
      <c r="DQ13" s="239">
        <f t="shared" ref="DQ13" si="71">DP13*$E13</f>
        <v>0</v>
      </c>
      <c r="DR13" s="238"/>
      <c r="DS13" s="239">
        <f t="shared" ref="DS13" si="72">DR13*$E13</f>
        <v>0</v>
      </c>
      <c r="DT13" s="238"/>
      <c r="DU13" s="239">
        <f t="shared" ref="DU13" si="73">DT13*$E13</f>
        <v>0</v>
      </c>
      <c r="DV13" s="238"/>
      <c r="DW13" s="239">
        <f t="shared" ref="DW13" si="74">DV13*$E13</f>
        <v>0</v>
      </c>
      <c r="DX13" s="238"/>
      <c r="DY13" s="239">
        <f t="shared" ref="DY13" si="75">DX13*$E13</f>
        <v>0</v>
      </c>
      <c r="DZ13" s="238"/>
      <c r="EA13" s="239">
        <f t="shared" ref="EA13" si="76">DZ13*$E13</f>
        <v>0</v>
      </c>
      <c r="EB13" s="238"/>
      <c r="EC13" s="239">
        <f t="shared" ref="EC13" si="77">EB13*$E13</f>
        <v>0</v>
      </c>
      <c r="ED13" s="238"/>
      <c r="EE13" s="239">
        <f t="shared" ref="EE13" si="78">ED13*$E13</f>
        <v>0</v>
      </c>
      <c r="EF13" s="240">
        <f t="shared" ref="EF13:EG13" si="79">SUM(DH13,DJ13,DL13,DN13,DP13,DR13,DT13,DV13,DX13,DZ13,EB13,ED13)</f>
        <v>2676</v>
      </c>
      <c r="EG13" s="239">
        <f t="shared" si="79"/>
        <v>1712.6399999999999</v>
      </c>
    </row>
    <row r="14" spans="1:137" ht="19.8">
      <c r="A14" s="225">
        <v>10</v>
      </c>
      <c r="B14" s="226" t="s">
        <v>23</v>
      </c>
      <c r="C14" s="226" t="s">
        <v>11</v>
      </c>
      <c r="D14" s="225" t="e">
        <f>RANK(AH14,$AH$4:$AH$147)</f>
        <v>#N/A</v>
      </c>
      <c r="E14" s="225">
        <v>0.64</v>
      </c>
      <c r="F14" s="225" t="s">
        <v>22</v>
      </c>
      <c r="G14" s="225"/>
      <c r="H14" s="15"/>
      <c r="I14" s="10">
        <f t="shared" si="2"/>
        <v>0</v>
      </c>
      <c r="J14" s="15"/>
      <c r="K14" s="10">
        <f t="shared" si="3"/>
        <v>0</v>
      </c>
      <c r="L14" s="15"/>
      <c r="M14" s="10">
        <f t="shared" si="4"/>
        <v>0</v>
      </c>
      <c r="N14" s="15"/>
      <c r="O14" s="10">
        <f t="shared" si="5"/>
        <v>0</v>
      </c>
      <c r="P14" s="15"/>
      <c r="Q14" s="10">
        <f t="shared" si="6"/>
        <v>0</v>
      </c>
      <c r="R14" s="15"/>
      <c r="S14" s="10">
        <f t="shared" si="7"/>
        <v>0</v>
      </c>
      <c r="T14" s="15"/>
      <c r="U14" s="10">
        <f t="shared" si="8"/>
        <v>0</v>
      </c>
      <c r="V14" s="15"/>
      <c r="W14" s="10">
        <f t="shared" si="9"/>
        <v>0</v>
      </c>
      <c r="X14" s="15"/>
      <c r="Y14" s="10">
        <f t="shared" si="10"/>
        <v>0</v>
      </c>
      <c r="Z14" s="15"/>
      <c r="AA14" s="10">
        <f t="shared" si="11"/>
        <v>0</v>
      </c>
      <c r="AB14" s="15"/>
      <c r="AC14" s="10">
        <f t="shared" si="12"/>
        <v>0</v>
      </c>
      <c r="AD14" s="15"/>
      <c r="AE14" s="10">
        <f t="shared" si="13"/>
        <v>0</v>
      </c>
      <c r="AF14" s="11">
        <f t="shared" si="14"/>
        <v>0</v>
      </c>
      <c r="AG14" s="12">
        <f t="shared" si="15"/>
        <v>0</v>
      </c>
      <c r="AH14" s="15"/>
      <c r="AI14" s="10">
        <f t="shared" si="16"/>
        <v>0</v>
      </c>
      <c r="AJ14" s="15"/>
      <c r="AK14" s="10">
        <f t="shared" si="17"/>
        <v>0</v>
      </c>
      <c r="AL14" s="15"/>
      <c r="AM14" s="10">
        <f t="shared" si="18"/>
        <v>0</v>
      </c>
      <c r="AN14" s="15"/>
      <c r="AO14" s="10">
        <f t="shared" si="19"/>
        <v>0</v>
      </c>
      <c r="AP14" s="15"/>
      <c r="AQ14" s="10">
        <f t="shared" si="20"/>
        <v>0</v>
      </c>
      <c r="AR14" s="15"/>
      <c r="AS14" s="10">
        <f t="shared" si="21"/>
        <v>0</v>
      </c>
      <c r="AT14" s="15"/>
      <c r="AU14" s="10">
        <f t="shared" si="22"/>
        <v>0</v>
      </c>
      <c r="AV14" s="15"/>
      <c r="AW14" s="10">
        <f t="shared" si="23"/>
        <v>0</v>
      </c>
      <c r="AX14" s="15"/>
      <c r="AY14" s="10">
        <f t="shared" si="24"/>
        <v>0</v>
      </c>
      <c r="AZ14" s="15"/>
      <c r="BA14" s="10">
        <f t="shared" si="25"/>
        <v>0</v>
      </c>
      <c r="BB14" s="15"/>
      <c r="BC14" s="10">
        <f t="shared" si="26"/>
        <v>0</v>
      </c>
      <c r="BD14" s="15"/>
      <c r="BE14" s="10">
        <f t="shared" si="27"/>
        <v>0</v>
      </c>
      <c r="BF14" s="11">
        <f t="shared" si="28"/>
        <v>0</v>
      </c>
      <c r="BG14" s="12">
        <f t="shared" si="29"/>
        <v>0</v>
      </c>
      <c r="BH14" s="15"/>
      <c r="BI14" s="10">
        <f t="shared" si="30"/>
        <v>0</v>
      </c>
      <c r="BJ14" s="15"/>
      <c r="BK14" s="10">
        <f t="shared" si="31"/>
        <v>0</v>
      </c>
      <c r="BL14" s="15"/>
      <c r="BM14" s="10">
        <f t="shared" si="32"/>
        <v>0</v>
      </c>
      <c r="BN14" s="15"/>
      <c r="BO14" s="10">
        <f t="shared" si="33"/>
        <v>0</v>
      </c>
      <c r="BP14" s="15"/>
      <c r="BQ14" s="10">
        <f t="shared" si="34"/>
        <v>0</v>
      </c>
      <c r="BR14" s="15"/>
      <c r="BS14" s="10">
        <f t="shared" si="35"/>
        <v>0</v>
      </c>
      <c r="BT14" s="15"/>
      <c r="BU14" s="10">
        <f t="shared" si="36"/>
        <v>0</v>
      </c>
      <c r="BV14" s="15"/>
      <c r="BW14" s="10">
        <f t="shared" si="37"/>
        <v>0</v>
      </c>
      <c r="BX14" s="15"/>
      <c r="BY14" s="10">
        <f t="shared" si="38"/>
        <v>0</v>
      </c>
      <c r="BZ14" s="15"/>
      <c r="CA14" s="10">
        <f t="shared" si="39"/>
        <v>0</v>
      </c>
      <c r="CB14" s="15"/>
      <c r="CC14" s="10">
        <f t="shared" si="40"/>
        <v>0</v>
      </c>
      <c r="CD14" s="15"/>
      <c r="CE14" s="10">
        <f t="shared" si="41"/>
        <v>0</v>
      </c>
      <c r="CF14" s="11">
        <f t="shared" si="42"/>
        <v>0</v>
      </c>
      <c r="CG14" s="12">
        <f t="shared" si="43"/>
        <v>0</v>
      </c>
      <c r="CH14" s="15"/>
      <c r="CI14" s="10">
        <f t="shared" si="44"/>
        <v>0</v>
      </c>
      <c r="CJ14" s="15"/>
      <c r="CK14" s="10">
        <f t="shared" si="45"/>
        <v>0</v>
      </c>
      <c r="CL14" s="15"/>
      <c r="CM14" s="10">
        <f t="shared" si="46"/>
        <v>0</v>
      </c>
      <c r="CN14" s="15"/>
      <c r="CO14" s="10">
        <f t="shared" si="47"/>
        <v>0</v>
      </c>
      <c r="CP14" s="15"/>
      <c r="CQ14" s="10">
        <f t="shared" si="48"/>
        <v>0</v>
      </c>
      <c r="CR14" s="15"/>
      <c r="CS14" s="10">
        <f t="shared" si="49"/>
        <v>0</v>
      </c>
      <c r="CT14" s="15"/>
      <c r="CU14" s="10">
        <f t="shared" si="50"/>
        <v>0</v>
      </c>
      <c r="CV14" s="15"/>
      <c r="CW14" s="10">
        <f t="shared" si="51"/>
        <v>0</v>
      </c>
      <c r="CX14" s="15"/>
      <c r="CY14" s="10">
        <f t="shared" si="52"/>
        <v>0</v>
      </c>
      <c r="CZ14" s="15"/>
      <c r="DA14" s="10">
        <f t="shared" si="53"/>
        <v>0</v>
      </c>
      <c r="DB14" s="15"/>
      <c r="DC14" s="10">
        <f t="shared" si="54"/>
        <v>0</v>
      </c>
      <c r="DD14" s="15"/>
      <c r="DE14" s="10">
        <f t="shared" si="54"/>
        <v>0</v>
      </c>
      <c r="DF14" s="231">
        <f t="shared" si="55"/>
        <v>0</v>
      </c>
      <c r="DG14" s="230">
        <f t="shared" si="56"/>
        <v>0</v>
      </c>
      <c r="DH14" s="238"/>
      <c r="DI14" s="239">
        <f>DH14*$E14</f>
        <v>0</v>
      </c>
      <c r="DJ14" s="15"/>
      <c r="DK14" s="239">
        <f>DJ14*$E14</f>
        <v>0</v>
      </c>
      <c r="DL14" s="238"/>
      <c r="DM14" s="239">
        <f>DL14*$E14</f>
        <v>0</v>
      </c>
      <c r="DN14" s="238"/>
      <c r="DO14" s="239">
        <f>DN14*$E14</f>
        <v>0</v>
      </c>
      <c r="DP14" s="238"/>
      <c r="DQ14" s="239">
        <f>DP14*$E14</f>
        <v>0</v>
      </c>
      <c r="DR14" s="238"/>
      <c r="DS14" s="239">
        <f>DR14*$E14</f>
        <v>0</v>
      </c>
      <c r="DT14" s="238"/>
      <c r="DU14" s="239">
        <f>DT14*$E14</f>
        <v>0</v>
      </c>
      <c r="DV14" s="238"/>
      <c r="DW14" s="239">
        <f>DV14*$E14</f>
        <v>0</v>
      </c>
      <c r="DX14" s="238"/>
      <c r="DY14" s="239">
        <f>DX14*$E14</f>
        <v>0</v>
      </c>
      <c r="DZ14" s="238"/>
      <c r="EA14" s="239">
        <f>DZ14*$E14</f>
        <v>0</v>
      </c>
      <c r="EB14" s="238"/>
      <c r="EC14" s="239">
        <f>EB14*$E14</f>
        <v>0</v>
      </c>
      <c r="ED14" s="238"/>
      <c r="EE14" s="239">
        <f>ED14*$E14</f>
        <v>0</v>
      </c>
      <c r="EF14" s="240">
        <f>SUM(DH14,DJ14,DL14,DN14,DP14,DR14,DT14,DV14,DX14,DZ14,EB14,ED14)</f>
        <v>0</v>
      </c>
      <c r="EG14" s="239">
        <f>SUM(DI14,DK14,DM14,DO14,DQ14,DS14,DU14,DW14,DY14,EA14,EC14,EE14)</f>
        <v>0</v>
      </c>
    </row>
    <row r="15" spans="1:137" ht="19.8">
      <c r="A15" s="225"/>
      <c r="B15" s="226"/>
      <c r="C15" s="226"/>
      <c r="D15" s="225"/>
      <c r="E15" s="225"/>
      <c r="F15" s="225"/>
      <c r="G15" s="225"/>
      <c r="H15" s="15"/>
      <c r="I15" s="10">
        <f t="shared" si="2"/>
        <v>0</v>
      </c>
      <c r="J15" s="15"/>
      <c r="K15" s="10">
        <f t="shared" si="3"/>
        <v>0</v>
      </c>
      <c r="L15" s="15"/>
      <c r="M15" s="10">
        <f t="shared" si="4"/>
        <v>0</v>
      </c>
      <c r="N15" s="15"/>
      <c r="O15" s="10">
        <f t="shared" si="5"/>
        <v>0</v>
      </c>
      <c r="P15" s="15"/>
      <c r="Q15" s="10">
        <f t="shared" si="6"/>
        <v>0</v>
      </c>
      <c r="R15" s="15"/>
      <c r="S15" s="10">
        <f t="shared" si="7"/>
        <v>0</v>
      </c>
      <c r="T15" s="15"/>
      <c r="U15" s="10">
        <f t="shared" si="8"/>
        <v>0</v>
      </c>
      <c r="V15" s="15"/>
      <c r="W15" s="10">
        <f t="shared" si="9"/>
        <v>0</v>
      </c>
      <c r="X15" s="15"/>
      <c r="Y15" s="10">
        <f t="shared" si="10"/>
        <v>0</v>
      </c>
      <c r="Z15" s="15"/>
      <c r="AA15" s="10">
        <f t="shared" si="11"/>
        <v>0</v>
      </c>
      <c r="AB15" s="15"/>
      <c r="AC15" s="10">
        <f t="shared" si="12"/>
        <v>0</v>
      </c>
      <c r="AD15" s="15"/>
      <c r="AE15" s="10">
        <f t="shared" si="13"/>
        <v>0</v>
      </c>
      <c r="AF15" s="11">
        <f t="shared" si="14"/>
        <v>0</v>
      </c>
      <c r="AG15" s="12">
        <f t="shared" si="15"/>
        <v>0</v>
      </c>
      <c r="AH15" s="15"/>
      <c r="AI15" s="10">
        <f t="shared" si="16"/>
        <v>0</v>
      </c>
      <c r="AJ15" s="15"/>
      <c r="AK15" s="10">
        <f t="shared" si="17"/>
        <v>0</v>
      </c>
      <c r="AL15" s="15"/>
      <c r="AM15" s="10">
        <f t="shared" si="18"/>
        <v>0</v>
      </c>
      <c r="AN15" s="15"/>
      <c r="AO15" s="10">
        <f t="shared" si="19"/>
        <v>0</v>
      </c>
      <c r="AP15" s="15"/>
      <c r="AQ15" s="10">
        <f t="shared" si="20"/>
        <v>0</v>
      </c>
      <c r="AR15" s="15"/>
      <c r="AS15" s="10">
        <f t="shared" si="21"/>
        <v>0</v>
      </c>
      <c r="AT15" s="15"/>
      <c r="AU15" s="10">
        <f t="shared" si="22"/>
        <v>0</v>
      </c>
      <c r="AV15" s="15"/>
      <c r="AW15" s="10">
        <f t="shared" si="23"/>
        <v>0</v>
      </c>
      <c r="AX15" s="15"/>
      <c r="AY15" s="10">
        <f t="shared" si="24"/>
        <v>0</v>
      </c>
      <c r="AZ15" s="15"/>
      <c r="BA15" s="10">
        <f t="shared" si="25"/>
        <v>0</v>
      </c>
      <c r="BB15" s="15"/>
      <c r="BC15" s="10">
        <f t="shared" si="26"/>
        <v>0</v>
      </c>
      <c r="BD15" s="15"/>
      <c r="BE15" s="10">
        <f t="shared" si="27"/>
        <v>0</v>
      </c>
      <c r="BF15" s="11">
        <f t="shared" si="28"/>
        <v>0</v>
      </c>
      <c r="BG15" s="12">
        <f t="shared" si="29"/>
        <v>0</v>
      </c>
      <c r="BH15" s="15"/>
      <c r="BI15" s="10">
        <f t="shared" si="30"/>
        <v>0</v>
      </c>
      <c r="BJ15" s="15"/>
      <c r="BK15" s="10">
        <f t="shared" si="31"/>
        <v>0</v>
      </c>
      <c r="BL15" s="15"/>
      <c r="BM15" s="10">
        <f t="shared" si="32"/>
        <v>0</v>
      </c>
      <c r="BN15" s="15"/>
      <c r="BO15" s="10">
        <f t="shared" si="33"/>
        <v>0</v>
      </c>
      <c r="BP15" s="15"/>
      <c r="BQ15" s="10">
        <f t="shared" si="34"/>
        <v>0</v>
      </c>
      <c r="BR15" s="15"/>
      <c r="BS15" s="10">
        <f t="shared" si="35"/>
        <v>0</v>
      </c>
      <c r="BT15" s="15"/>
      <c r="BU15" s="10">
        <f t="shared" si="36"/>
        <v>0</v>
      </c>
      <c r="BV15" s="15"/>
      <c r="BW15" s="10">
        <f t="shared" si="37"/>
        <v>0</v>
      </c>
      <c r="BX15" s="15"/>
      <c r="BY15" s="10">
        <f t="shared" si="38"/>
        <v>0</v>
      </c>
      <c r="BZ15" s="15"/>
      <c r="CA15" s="10">
        <f t="shared" si="39"/>
        <v>0</v>
      </c>
      <c r="CB15" s="15"/>
      <c r="CC15" s="10">
        <f t="shared" si="40"/>
        <v>0</v>
      </c>
      <c r="CD15" s="15"/>
      <c r="CE15" s="10">
        <f t="shared" si="41"/>
        <v>0</v>
      </c>
      <c r="CF15" s="11">
        <f t="shared" si="42"/>
        <v>0</v>
      </c>
      <c r="CG15" s="12">
        <f t="shared" si="43"/>
        <v>0</v>
      </c>
      <c r="CH15" s="15"/>
      <c r="CI15" s="10">
        <f t="shared" si="44"/>
        <v>0</v>
      </c>
      <c r="CJ15" s="15"/>
      <c r="CK15" s="10">
        <f t="shared" si="45"/>
        <v>0</v>
      </c>
      <c r="CL15" s="15"/>
      <c r="CM15" s="10">
        <f t="shared" si="46"/>
        <v>0</v>
      </c>
      <c r="CN15" s="15"/>
      <c r="CO15" s="10">
        <f t="shared" si="47"/>
        <v>0</v>
      </c>
      <c r="CP15" s="15"/>
      <c r="CQ15" s="10">
        <f t="shared" si="48"/>
        <v>0</v>
      </c>
      <c r="CR15" s="15"/>
      <c r="CS15" s="10">
        <f t="shared" si="49"/>
        <v>0</v>
      </c>
      <c r="CT15" s="15"/>
      <c r="CU15" s="10">
        <f t="shared" si="50"/>
        <v>0</v>
      </c>
      <c r="CV15" s="15"/>
      <c r="CW15" s="10">
        <f t="shared" si="51"/>
        <v>0</v>
      </c>
      <c r="CX15" s="15"/>
      <c r="CY15" s="10">
        <f t="shared" si="52"/>
        <v>0</v>
      </c>
      <c r="CZ15" s="15"/>
      <c r="DA15" s="10">
        <f t="shared" si="53"/>
        <v>0</v>
      </c>
      <c r="DB15" s="15"/>
      <c r="DC15" s="10">
        <f t="shared" si="54"/>
        <v>0</v>
      </c>
      <c r="DD15" s="15"/>
      <c r="DE15" s="10">
        <f t="shared" si="54"/>
        <v>0</v>
      </c>
      <c r="DF15" s="231">
        <f t="shared" si="55"/>
        <v>0</v>
      </c>
      <c r="DG15" s="230">
        <f t="shared" si="56"/>
        <v>0</v>
      </c>
      <c r="DH15" s="238"/>
      <c r="DI15" s="239"/>
      <c r="DJ15" s="15"/>
      <c r="DK15" s="239"/>
      <c r="DL15" s="238"/>
      <c r="DM15" s="239"/>
      <c r="DN15" s="238"/>
      <c r="DO15" s="239"/>
      <c r="DP15" s="238"/>
      <c r="DQ15" s="239"/>
      <c r="DR15" s="238"/>
      <c r="DS15" s="239"/>
      <c r="DT15" s="238"/>
      <c r="DU15" s="239"/>
      <c r="DV15" s="238"/>
      <c r="DW15" s="239"/>
      <c r="DX15" s="238"/>
      <c r="DY15" s="239"/>
      <c r="DZ15" s="238"/>
      <c r="EA15" s="239"/>
      <c r="EB15" s="238"/>
      <c r="EC15" s="239"/>
      <c r="ED15" s="238"/>
      <c r="EE15" s="239"/>
      <c r="EF15" s="240"/>
      <c r="EG15" s="239"/>
    </row>
    <row r="16" spans="1:137" ht="19.8">
      <c r="A16" s="225">
        <v>11</v>
      </c>
      <c r="B16" s="226" t="s">
        <v>24</v>
      </c>
      <c r="C16" s="226" t="s">
        <v>14</v>
      </c>
      <c r="D16" s="225">
        <f t="shared" ref="D16:D24" si="80">RANK(DF16,$DF$4:$DF$147)</f>
        <v>15</v>
      </c>
      <c r="E16" s="225">
        <v>1</v>
      </c>
      <c r="F16" s="225" t="s">
        <v>12</v>
      </c>
      <c r="G16" s="225">
        <v>1500</v>
      </c>
      <c r="H16" s="9">
        <v>12</v>
      </c>
      <c r="I16" s="10">
        <f t="shared" si="2"/>
        <v>12</v>
      </c>
      <c r="J16" s="9"/>
      <c r="K16" s="10">
        <f t="shared" si="3"/>
        <v>0</v>
      </c>
      <c r="L16" s="9">
        <v>48</v>
      </c>
      <c r="M16" s="10">
        <f t="shared" si="4"/>
        <v>48</v>
      </c>
      <c r="N16" s="9"/>
      <c r="O16" s="10">
        <f t="shared" si="5"/>
        <v>0</v>
      </c>
      <c r="P16" s="9"/>
      <c r="Q16" s="10">
        <f t="shared" si="6"/>
        <v>0</v>
      </c>
      <c r="R16" s="9"/>
      <c r="S16" s="10">
        <f t="shared" si="7"/>
        <v>0</v>
      </c>
      <c r="T16" s="9">
        <v>72</v>
      </c>
      <c r="U16" s="10">
        <f t="shared" si="8"/>
        <v>72</v>
      </c>
      <c r="V16" s="9">
        <v>12</v>
      </c>
      <c r="W16" s="10">
        <f t="shared" si="9"/>
        <v>12</v>
      </c>
      <c r="X16" s="9">
        <v>12</v>
      </c>
      <c r="Y16" s="10">
        <f t="shared" si="10"/>
        <v>12</v>
      </c>
      <c r="Z16" s="9">
        <v>72</v>
      </c>
      <c r="AA16" s="10">
        <f t="shared" si="11"/>
        <v>72</v>
      </c>
      <c r="AB16" s="9">
        <v>48</v>
      </c>
      <c r="AC16" s="10">
        <f t="shared" si="12"/>
        <v>48</v>
      </c>
      <c r="AD16" s="9">
        <v>36</v>
      </c>
      <c r="AE16" s="10">
        <f t="shared" si="13"/>
        <v>36</v>
      </c>
      <c r="AF16" s="11">
        <f t="shared" si="14"/>
        <v>312</v>
      </c>
      <c r="AG16" s="12">
        <f t="shared" si="15"/>
        <v>312</v>
      </c>
      <c r="AH16" s="9">
        <v>24</v>
      </c>
      <c r="AI16" s="10">
        <f t="shared" si="16"/>
        <v>24</v>
      </c>
      <c r="AJ16" s="9">
        <v>60</v>
      </c>
      <c r="AK16" s="10">
        <f t="shared" si="17"/>
        <v>60</v>
      </c>
      <c r="AL16" s="9">
        <v>12</v>
      </c>
      <c r="AM16" s="10">
        <f t="shared" si="18"/>
        <v>12</v>
      </c>
      <c r="AN16" s="9"/>
      <c r="AO16" s="10">
        <f t="shared" si="19"/>
        <v>0</v>
      </c>
      <c r="AP16" s="9"/>
      <c r="AQ16" s="10">
        <f t="shared" si="20"/>
        <v>0</v>
      </c>
      <c r="AR16" s="9"/>
      <c r="AS16" s="10">
        <f t="shared" si="21"/>
        <v>0</v>
      </c>
      <c r="AT16" s="9"/>
      <c r="AU16" s="10">
        <f t="shared" si="22"/>
        <v>0</v>
      </c>
      <c r="AV16" s="9"/>
      <c r="AW16" s="10">
        <f t="shared" si="23"/>
        <v>0</v>
      </c>
      <c r="AX16" s="9"/>
      <c r="AY16" s="10">
        <f t="shared" si="24"/>
        <v>0</v>
      </c>
      <c r="AZ16" s="9">
        <v>72</v>
      </c>
      <c r="BA16" s="10">
        <f t="shared" si="25"/>
        <v>72</v>
      </c>
      <c r="BB16" s="9">
        <v>60</v>
      </c>
      <c r="BC16" s="10">
        <f t="shared" si="26"/>
        <v>60</v>
      </c>
      <c r="BD16" s="9">
        <v>132</v>
      </c>
      <c r="BE16" s="10">
        <f t="shared" si="27"/>
        <v>132</v>
      </c>
      <c r="BF16" s="11">
        <f t="shared" si="28"/>
        <v>360</v>
      </c>
      <c r="BG16" s="12">
        <f t="shared" si="29"/>
        <v>360</v>
      </c>
      <c r="BH16" s="13">
        <v>260</v>
      </c>
      <c r="BI16" s="10">
        <f t="shared" si="30"/>
        <v>260</v>
      </c>
      <c r="BJ16" s="13">
        <v>278</v>
      </c>
      <c r="BK16" s="10">
        <f t="shared" si="31"/>
        <v>278</v>
      </c>
      <c r="BL16" s="13">
        <v>552</v>
      </c>
      <c r="BM16" s="10">
        <f t="shared" si="32"/>
        <v>552</v>
      </c>
      <c r="BN16" s="13">
        <v>348</v>
      </c>
      <c r="BO16" s="10">
        <f t="shared" si="33"/>
        <v>348</v>
      </c>
      <c r="BP16" s="13">
        <v>552</v>
      </c>
      <c r="BQ16" s="10">
        <f t="shared" si="34"/>
        <v>552</v>
      </c>
      <c r="BR16" s="13">
        <v>312</v>
      </c>
      <c r="BS16" s="10">
        <f t="shared" si="35"/>
        <v>312</v>
      </c>
      <c r="BT16" s="13">
        <v>698</v>
      </c>
      <c r="BU16" s="10">
        <f t="shared" si="36"/>
        <v>698</v>
      </c>
      <c r="BV16" s="13">
        <v>1491</v>
      </c>
      <c r="BW16" s="10">
        <f t="shared" si="37"/>
        <v>1491</v>
      </c>
      <c r="BX16" s="13">
        <v>912</v>
      </c>
      <c r="BY16" s="10">
        <f t="shared" si="38"/>
        <v>912</v>
      </c>
      <c r="BZ16" s="13">
        <v>672</v>
      </c>
      <c r="CA16" s="10">
        <f t="shared" si="39"/>
        <v>672</v>
      </c>
      <c r="CB16" s="13">
        <v>228</v>
      </c>
      <c r="CC16" s="10">
        <f t="shared" si="40"/>
        <v>228</v>
      </c>
      <c r="CD16" s="14">
        <v>648</v>
      </c>
      <c r="CE16" s="10">
        <f t="shared" si="41"/>
        <v>648</v>
      </c>
      <c r="CF16" s="11">
        <f t="shared" si="42"/>
        <v>6951</v>
      </c>
      <c r="CG16" s="12">
        <f t="shared" si="43"/>
        <v>6951</v>
      </c>
      <c r="CH16" s="15">
        <v>351</v>
      </c>
      <c r="CI16" s="10">
        <f t="shared" si="44"/>
        <v>351</v>
      </c>
      <c r="CJ16" s="15">
        <v>1072</v>
      </c>
      <c r="CK16" s="10">
        <f t="shared" si="45"/>
        <v>1072</v>
      </c>
      <c r="CL16" s="15">
        <v>1178</v>
      </c>
      <c r="CM16" s="10">
        <f t="shared" si="46"/>
        <v>1178</v>
      </c>
      <c r="CN16" s="15">
        <v>168</v>
      </c>
      <c r="CO16" s="10">
        <f t="shared" si="47"/>
        <v>168</v>
      </c>
      <c r="CP16" s="15">
        <v>432</v>
      </c>
      <c r="CQ16" s="10">
        <f t="shared" si="48"/>
        <v>432</v>
      </c>
      <c r="CR16" s="15">
        <v>3978</v>
      </c>
      <c r="CS16" s="10">
        <f t="shared" si="49"/>
        <v>3978</v>
      </c>
      <c r="CT16" s="15">
        <v>4789</v>
      </c>
      <c r="CU16" s="10">
        <f t="shared" si="50"/>
        <v>4789</v>
      </c>
      <c r="CV16" s="15">
        <v>2672</v>
      </c>
      <c r="CW16" s="10">
        <f t="shared" si="51"/>
        <v>2672</v>
      </c>
      <c r="CX16" s="15">
        <v>2233</v>
      </c>
      <c r="CY16" s="10">
        <f t="shared" si="52"/>
        <v>2233</v>
      </c>
      <c r="CZ16" s="15">
        <v>1272</v>
      </c>
      <c r="DA16" s="10">
        <f t="shared" si="53"/>
        <v>1272</v>
      </c>
      <c r="DB16" s="15">
        <v>1448</v>
      </c>
      <c r="DC16" s="10">
        <f t="shared" si="54"/>
        <v>1448</v>
      </c>
      <c r="DD16" s="15">
        <v>1224</v>
      </c>
      <c r="DE16" s="10">
        <f t="shared" si="54"/>
        <v>1224</v>
      </c>
      <c r="DF16" s="231">
        <f t="shared" si="55"/>
        <v>20817</v>
      </c>
      <c r="DG16" s="230">
        <f t="shared" si="56"/>
        <v>20817</v>
      </c>
      <c r="DH16" s="238">
        <v>1736</v>
      </c>
      <c r="DI16" s="239">
        <f t="shared" ref="DI16:DI22" si="81">DH16*$E16</f>
        <v>1736</v>
      </c>
      <c r="DJ16" s="15">
        <v>1743</v>
      </c>
      <c r="DK16" s="239">
        <f t="shared" ref="DK16:DK24" si="82">DJ16*$E16</f>
        <v>1743</v>
      </c>
      <c r="DL16" s="238"/>
      <c r="DM16" s="239">
        <f t="shared" ref="DM16:DM24" si="83">DL16*$E16</f>
        <v>0</v>
      </c>
      <c r="DN16" s="238"/>
      <c r="DO16" s="239">
        <f t="shared" ref="DO16:DO24" si="84">DN16*$E16</f>
        <v>0</v>
      </c>
      <c r="DP16" s="238"/>
      <c r="DQ16" s="239">
        <f t="shared" ref="DQ16:DQ24" si="85">DP16*$E16</f>
        <v>0</v>
      </c>
      <c r="DR16" s="238"/>
      <c r="DS16" s="239">
        <f t="shared" ref="DS16:DS24" si="86">DR16*$E16</f>
        <v>0</v>
      </c>
      <c r="DT16" s="238"/>
      <c r="DU16" s="239">
        <f t="shared" ref="DU16:DU24" si="87">DT16*$E16</f>
        <v>0</v>
      </c>
      <c r="DV16" s="238"/>
      <c r="DW16" s="239">
        <f t="shared" ref="DW16:DW24" si="88">DV16*$E16</f>
        <v>0</v>
      </c>
      <c r="DX16" s="238"/>
      <c r="DY16" s="239">
        <f t="shared" ref="DY16:DY24" si="89">DX16*$E16</f>
        <v>0</v>
      </c>
      <c r="DZ16" s="238"/>
      <c r="EA16" s="239">
        <f t="shared" ref="EA16:EA24" si="90">DZ16*$E16</f>
        <v>0</v>
      </c>
      <c r="EB16" s="238"/>
      <c r="EC16" s="239">
        <f t="shared" ref="EC16:EC24" si="91">EB16*$E16</f>
        <v>0</v>
      </c>
      <c r="ED16" s="238"/>
      <c r="EE16" s="239">
        <f t="shared" ref="EE16:EE24" si="92">ED16*$E16</f>
        <v>0</v>
      </c>
      <c r="EF16" s="240">
        <f>SUM(DH16,DJ16,DL16,DN16,DP16,DR16,DT16,DV16,DX16,DZ16,EB16,ED16)</f>
        <v>3479</v>
      </c>
      <c r="EG16" s="239">
        <f t="shared" ref="EF16:EG24" si="93">SUM(DI16,DK16,DM16,DO16,DQ16,DS16,DU16,DW16,DY16,EA16,EC16,EE16)</f>
        <v>3479</v>
      </c>
    </row>
    <row r="17" spans="1:137" ht="19.8">
      <c r="A17" s="225">
        <v>12</v>
      </c>
      <c r="B17" s="226" t="s">
        <v>25</v>
      </c>
      <c r="C17" s="226" t="s">
        <v>14</v>
      </c>
      <c r="D17" s="225">
        <f t="shared" si="80"/>
        <v>25</v>
      </c>
      <c r="E17" s="225">
        <v>1</v>
      </c>
      <c r="F17" s="225" t="s">
        <v>12</v>
      </c>
      <c r="G17" s="225">
        <v>1930</v>
      </c>
      <c r="H17" s="9"/>
      <c r="I17" s="10">
        <f t="shared" si="2"/>
        <v>0</v>
      </c>
      <c r="J17" s="9">
        <v>108</v>
      </c>
      <c r="K17" s="10">
        <f t="shared" si="3"/>
        <v>108</v>
      </c>
      <c r="L17" s="9"/>
      <c r="M17" s="10">
        <f t="shared" si="4"/>
        <v>0</v>
      </c>
      <c r="N17" s="9"/>
      <c r="O17" s="10">
        <f t="shared" si="5"/>
        <v>0</v>
      </c>
      <c r="P17" s="9"/>
      <c r="Q17" s="10">
        <f t="shared" si="6"/>
        <v>0</v>
      </c>
      <c r="R17" s="9"/>
      <c r="S17" s="10">
        <f t="shared" si="7"/>
        <v>0</v>
      </c>
      <c r="T17" s="9"/>
      <c r="U17" s="10">
        <f t="shared" si="8"/>
        <v>0</v>
      </c>
      <c r="V17" s="9"/>
      <c r="W17" s="10">
        <f t="shared" si="9"/>
        <v>0</v>
      </c>
      <c r="X17" s="9"/>
      <c r="Y17" s="10">
        <f t="shared" si="10"/>
        <v>0</v>
      </c>
      <c r="Z17" s="9"/>
      <c r="AA17" s="10">
        <f t="shared" si="11"/>
        <v>0</v>
      </c>
      <c r="AB17" s="9"/>
      <c r="AC17" s="10">
        <f t="shared" si="12"/>
        <v>0</v>
      </c>
      <c r="AD17" s="9"/>
      <c r="AE17" s="10">
        <f t="shared" si="13"/>
        <v>0</v>
      </c>
      <c r="AF17" s="11">
        <f t="shared" si="14"/>
        <v>108</v>
      </c>
      <c r="AG17" s="12">
        <f t="shared" si="15"/>
        <v>108</v>
      </c>
      <c r="AH17" s="9"/>
      <c r="AI17" s="10">
        <f t="shared" si="16"/>
        <v>0</v>
      </c>
      <c r="AJ17" s="9"/>
      <c r="AK17" s="10">
        <f t="shared" si="17"/>
        <v>0</v>
      </c>
      <c r="AL17" s="9"/>
      <c r="AM17" s="10">
        <f t="shared" si="18"/>
        <v>0</v>
      </c>
      <c r="AN17" s="9"/>
      <c r="AO17" s="10">
        <f t="shared" si="19"/>
        <v>0</v>
      </c>
      <c r="AP17" s="9"/>
      <c r="AQ17" s="10">
        <f t="shared" si="20"/>
        <v>0</v>
      </c>
      <c r="AR17" s="9"/>
      <c r="AS17" s="10">
        <f t="shared" si="21"/>
        <v>0</v>
      </c>
      <c r="AT17" s="9">
        <v>120</v>
      </c>
      <c r="AU17" s="10">
        <f t="shared" si="22"/>
        <v>120</v>
      </c>
      <c r="AV17" s="9"/>
      <c r="AW17" s="10">
        <f t="shared" si="23"/>
        <v>0</v>
      </c>
      <c r="AX17" s="9">
        <v>24</v>
      </c>
      <c r="AY17" s="10">
        <f t="shared" si="24"/>
        <v>24</v>
      </c>
      <c r="AZ17" s="9">
        <v>60</v>
      </c>
      <c r="BA17" s="10">
        <f t="shared" si="25"/>
        <v>60</v>
      </c>
      <c r="BB17" s="9">
        <v>36</v>
      </c>
      <c r="BC17" s="10">
        <f t="shared" si="26"/>
        <v>36</v>
      </c>
      <c r="BD17" s="9">
        <v>120</v>
      </c>
      <c r="BE17" s="10">
        <f t="shared" si="27"/>
        <v>120</v>
      </c>
      <c r="BF17" s="11">
        <f t="shared" si="28"/>
        <v>360</v>
      </c>
      <c r="BG17" s="12">
        <f t="shared" si="29"/>
        <v>360</v>
      </c>
      <c r="BH17" s="13">
        <v>132</v>
      </c>
      <c r="BI17" s="10">
        <f t="shared" si="30"/>
        <v>132</v>
      </c>
      <c r="BJ17" s="13">
        <v>240</v>
      </c>
      <c r="BK17" s="10">
        <f t="shared" si="31"/>
        <v>240</v>
      </c>
      <c r="BL17" s="13">
        <v>204</v>
      </c>
      <c r="BM17" s="10">
        <f t="shared" si="32"/>
        <v>204</v>
      </c>
      <c r="BN17" s="13">
        <v>300</v>
      </c>
      <c r="BO17" s="10">
        <f t="shared" si="33"/>
        <v>300</v>
      </c>
      <c r="BP17" s="13">
        <v>504</v>
      </c>
      <c r="BQ17" s="10">
        <f t="shared" si="34"/>
        <v>504</v>
      </c>
      <c r="BR17" s="13">
        <v>456</v>
      </c>
      <c r="BS17" s="10">
        <f t="shared" si="35"/>
        <v>456</v>
      </c>
      <c r="BT17" s="13">
        <v>864</v>
      </c>
      <c r="BU17" s="10">
        <f t="shared" si="36"/>
        <v>864</v>
      </c>
      <c r="BV17" s="13">
        <v>372</v>
      </c>
      <c r="BW17" s="10">
        <f t="shared" si="37"/>
        <v>372</v>
      </c>
      <c r="BX17" s="13">
        <v>540</v>
      </c>
      <c r="BY17" s="10">
        <f t="shared" si="38"/>
        <v>540</v>
      </c>
      <c r="BZ17" s="13">
        <v>192</v>
      </c>
      <c r="CA17" s="10">
        <f t="shared" si="39"/>
        <v>192</v>
      </c>
      <c r="CB17" s="13"/>
      <c r="CC17" s="10">
        <f t="shared" si="40"/>
        <v>0</v>
      </c>
      <c r="CD17" s="14">
        <v>360</v>
      </c>
      <c r="CE17" s="10">
        <f t="shared" si="41"/>
        <v>360</v>
      </c>
      <c r="CF17" s="11">
        <f t="shared" si="42"/>
        <v>4164</v>
      </c>
      <c r="CG17" s="12">
        <f t="shared" si="43"/>
        <v>4164</v>
      </c>
      <c r="CH17" s="15">
        <v>180</v>
      </c>
      <c r="CI17" s="10">
        <f t="shared" si="44"/>
        <v>180</v>
      </c>
      <c r="CJ17" s="15">
        <v>120</v>
      </c>
      <c r="CK17" s="10">
        <f t="shared" si="45"/>
        <v>120</v>
      </c>
      <c r="CL17" s="15">
        <v>60</v>
      </c>
      <c r="CM17" s="10">
        <f t="shared" si="46"/>
        <v>60</v>
      </c>
      <c r="CN17" s="15">
        <v>360</v>
      </c>
      <c r="CO17" s="10">
        <f t="shared" si="47"/>
        <v>360</v>
      </c>
      <c r="CP17" s="15">
        <v>120</v>
      </c>
      <c r="CQ17" s="10">
        <f t="shared" si="48"/>
        <v>120</v>
      </c>
      <c r="CR17" s="15">
        <v>403</v>
      </c>
      <c r="CS17" s="10">
        <f t="shared" si="49"/>
        <v>403</v>
      </c>
      <c r="CT17" s="15">
        <v>528</v>
      </c>
      <c r="CU17" s="10">
        <f t="shared" si="50"/>
        <v>528</v>
      </c>
      <c r="CV17" s="15">
        <v>252</v>
      </c>
      <c r="CW17" s="10">
        <f t="shared" si="51"/>
        <v>252</v>
      </c>
      <c r="CX17" s="15">
        <v>165</v>
      </c>
      <c r="CY17" s="10">
        <f t="shared" si="52"/>
        <v>165</v>
      </c>
      <c r="CZ17" s="15">
        <v>168</v>
      </c>
      <c r="DA17" s="10">
        <f t="shared" si="53"/>
        <v>168</v>
      </c>
      <c r="DB17" s="15">
        <v>276</v>
      </c>
      <c r="DC17" s="10">
        <f t="shared" si="54"/>
        <v>276</v>
      </c>
      <c r="DD17" s="15">
        <v>216</v>
      </c>
      <c r="DE17" s="10">
        <f t="shared" si="54"/>
        <v>216</v>
      </c>
      <c r="DF17" s="231">
        <f t="shared" si="55"/>
        <v>2848</v>
      </c>
      <c r="DG17" s="230">
        <f t="shared" si="56"/>
        <v>2848</v>
      </c>
      <c r="DH17" s="238">
        <v>228</v>
      </c>
      <c r="DI17" s="239">
        <f t="shared" si="81"/>
        <v>228</v>
      </c>
      <c r="DJ17" s="15">
        <v>240</v>
      </c>
      <c r="DK17" s="239">
        <f t="shared" si="82"/>
        <v>240</v>
      </c>
      <c r="DL17" s="238"/>
      <c r="DM17" s="239">
        <f t="shared" si="83"/>
        <v>0</v>
      </c>
      <c r="DN17" s="238"/>
      <c r="DO17" s="239">
        <f t="shared" si="84"/>
        <v>0</v>
      </c>
      <c r="DP17" s="238"/>
      <c r="DQ17" s="239">
        <f t="shared" si="85"/>
        <v>0</v>
      </c>
      <c r="DR17" s="238"/>
      <c r="DS17" s="239">
        <f t="shared" si="86"/>
        <v>0</v>
      </c>
      <c r="DT17" s="238"/>
      <c r="DU17" s="239">
        <f t="shared" si="87"/>
        <v>0</v>
      </c>
      <c r="DV17" s="238"/>
      <c r="DW17" s="239">
        <f t="shared" si="88"/>
        <v>0</v>
      </c>
      <c r="DX17" s="238"/>
      <c r="DY17" s="239">
        <f t="shared" si="89"/>
        <v>0</v>
      </c>
      <c r="DZ17" s="238"/>
      <c r="EA17" s="239">
        <f t="shared" si="90"/>
        <v>0</v>
      </c>
      <c r="EB17" s="238"/>
      <c r="EC17" s="239">
        <f t="shared" si="91"/>
        <v>0</v>
      </c>
      <c r="ED17" s="238"/>
      <c r="EE17" s="239">
        <f t="shared" si="92"/>
        <v>0</v>
      </c>
      <c r="EF17" s="240">
        <f t="shared" si="93"/>
        <v>468</v>
      </c>
      <c r="EG17" s="239">
        <f t="shared" si="93"/>
        <v>468</v>
      </c>
    </row>
    <row r="18" spans="1:137" ht="19.8">
      <c r="A18" s="225">
        <v>13</v>
      </c>
      <c r="B18" s="226" t="s">
        <v>26</v>
      </c>
      <c r="C18" s="226" t="s">
        <v>14</v>
      </c>
      <c r="D18" s="225">
        <f t="shared" si="80"/>
        <v>31</v>
      </c>
      <c r="E18" s="225">
        <v>0.6</v>
      </c>
      <c r="F18" s="225" t="s">
        <v>12</v>
      </c>
      <c r="G18" s="225">
        <v>1060</v>
      </c>
      <c r="H18" s="15"/>
      <c r="I18" s="10">
        <f t="shared" si="2"/>
        <v>0</v>
      </c>
      <c r="J18" s="15"/>
      <c r="K18" s="10">
        <f t="shared" si="3"/>
        <v>0</v>
      </c>
      <c r="L18" s="15"/>
      <c r="M18" s="10">
        <f t="shared" si="4"/>
        <v>0</v>
      </c>
      <c r="N18" s="15"/>
      <c r="O18" s="10">
        <f t="shared" si="5"/>
        <v>0</v>
      </c>
      <c r="P18" s="15"/>
      <c r="Q18" s="10">
        <f t="shared" si="6"/>
        <v>0</v>
      </c>
      <c r="R18" s="15"/>
      <c r="S18" s="10">
        <f t="shared" si="7"/>
        <v>0</v>
      </c>
      <c r="T18" s="15"/>
      <c r="U18" s="10">
        <f t="shared" si="8"/>
        <v>0</v>
      </c>
      <c r="V18" s="15"/>
      <c r="W18" s="10">
        <f t="shared" si="9"/>
        <v>0</v>
      </c>
      <c r="X18" s="15"/>
      <c r="Y18" s="10">
        <f t="shared" si="10"/>
        <v>0</v>
      </c>
      <c r="Z18" s="15"/>
      <c r="AA18" s="10">
        <f t="shared" si="11"/>
        <v>0</v>
      </c>
      <c r="AB18" s="15"/>
      <c r="AC18" s="10">
        <f t="shared" si="12"/>
        <v>0</v>
      </c>
      <c r="AD18" s="15"/>
      <c r="AE18" s="10">
        <f t="shared" si="13"/>
        <v>0</v>
      </c>
      <c r="AF18" s="11">
        <f t="shared" si="14"/>
        <v>0</v>
      </c>
      <c r="AG18" s="12">
        <f t="shared" si="15"/>
        <v>0</v>
      </c>
      <c r="AH18" s="15"/>
      <c r="AI18" s="10">
        <f t="shared" si="16"/>
        <v>0</v>
      </c>
      <c r="AJ18" s="15"/>
      <c r="AK18" s="10">
        <f t="shared" si="17"/>
        <v>0</v>
      </c>
      <c r="AL18" s="15"/>
      <c r="AM18" s="10">
        <f t="shared" si="18"/>
        <v>0</v>
      </c>
      <c r="AN18" s="15"/>
      <c r="AO18" s="10">
        <f t="shared" si="19"/>
        <v>0</v>
      </c>
      <c r="AP18" s="15"/>
      <c r="AQ18" s="10">
        <f t="shared" si="20"/>
        <v>0</v>
      </c>
      <c r="AR18" s="15"/>
      <c r="AS18" s="10">
        <f t="shared" si="21"/>
        <v>0</v>
      </c>
      <c r="AT18" s="15"/>
      <c r="AU18" s="10">
        <f t="shared" si="22"/>
        <v>0</v>
      </c>
      <c r="AV18" s="15"/>
      <c r="AW18" s="10">
        <f t="shared" si="23"/>
        <v>0</v>
      </c>
      <c r="AX18" s="15"/>
      <c r="AY18" s="10">
        <f t="shared" si="24"/>
        <v>0</v>
      </c>
      <c r="AZ18" s="15"/>
      <c r="BA18" s="10">
        <f t="shared" si="25"/>
        <v>0</v>
      </c>
      <c r="BB18" s="15"/>
      <c r="BC18" s="10">
        <f t="shared" si="26"/>
        <v>0</v>
      </c>
      <c r="BD18" s="15"/>
      <c r="BE18" s="10">
        <f t="shared" si="27"/>
        <v>0</v>
      </c>
      <c r="BF18" s="11">
        <f t="shared" si="28"/>
        <v>0</v>
      </c>
      <c r="BG18" s="12">
        <f t="shared" si="29"/>
        <v>0</v>
      </c>
      <c r="BH18" s="15"/>
      <c r="BI18" s="10">
        <f t="shared" si="30"/>
        <v>0</v>
      </c>
      <c r="BJ18" s="15"/>
      <c r="BK18" s="10">
        <f t="shared" si="31"/>
        <v>0</v>
      </c>
      <c r="BL18" s="15"/>
      <c r="BM18" s="10">
        <f t="shared" si="32"/>
        <v>0</v>
      </c>
      <c r="BN18" s="15"/>
      <c r="BO18" s="10">
        <f t="shared" si="33"/>
        <v>0</v>
      </c>
      <c r="BP18" s="15"/>
      <c r="BQ18" s="10">
        <f t="shared" si="34"/>
        <v>0</v>
      </c>
      <c r="BR18" s="15"/>
      <c r="BS18" s="10">
        <f t="shared" si="35"/>
        <v>0</v>
      </c>
      <c r="BT18" s="15"/>
      <c r="BU18" s="10">
        <f t="shared" si="36"/>
        <v>0</v>
      </c>
      <c r="BV18" s="15"/>
      <c r="BW18" s="10">
        <f t="shared" si="37"/>
        <v>0</v>
      </c>
      <c r="BX18" s="15"/>
      <c r="BY18" s="10">
        <f t="shared" si="38"/>
        <v>0</v>
      </c>
      <c r="BZ18" s="15"/>
      <c r="CA18" s="10">
        <f t="shared" si="39"/>
        <v>0</v>
      </c>
      <c r="CB18" s="15"/>
      <c r="CC18" s="10">
        <f t="shared" si="40"/>
        <v>0</v>
      </c>
      <c r="CD18" s="15"/>
      <c r="CE18" s="10">
        <f t="shared" si="41"/>
        <v>0</v>
      </c>
      <c r="CF18" s="11">
        <f t="shared" si="42"/>
        <v>0</v>
      </c>
      <c r="CG18" s="12">
        <f t="shared" si="43"/>
        <v>0</v>
      </c>
      <c r="CH18" s="15"/>
      <c r="CI18" s="10">
        <f t="shared" si="44"/>
        <v>0</v>
      </c>
      <c r="CJ18" s="15"/>
      <c r="CK18" s="10">
        <f t="shared" si="45"/>
        <v>0</v>
      </c>
      <c r="CL18" s="15"/>
      <c r="CM18" s="10">
        <f t="shared" si="46"/>
        <v>0</v>
      </c>
      <c r="CN18" s="15"/>
      <c r="CO18" s="10">
        <f t="shared" si="47"/>
        <v>0</v>
      </c>
      <c r="CP18" s="15"/>
      <c r="CQ18" s="10">
        <f t="shared" si="48"/>
        <v>0</v>
      </c>
      <c r="CR18" s="15"/>
      <c r="CS18" s="10">
        <f t="shared" si="49"/>
        <v>0</v>
      </c>
      <c r="CT18" s="15"/>
      <c r="CU18" s="10">
        <f t="shared" si="50"/>
        <v>0</v>
      </c>
      <c r="CV18" s="15"/>
      <c r="CW18" s="10">
        <f t="shared" si="51"/>
        <v>0</v>
      </c>
      <c r="CX18" s="15"/>
      <c r="CY18" s="10">
        <f t="shared" si="52"/>
        <v>0</v>
      </c>
      <c r="CZ18" s="15"/>
      <c r="DA18" s="10">
        <f t="shared" si="53"/>
        <v>0</v>
      </c>
      <c r="DB18" s="15"/>
      <c r="DC18" s="10">
        <f t="shared" si="54"/>
        <v>0</v>
      </c>
      <c r="DD18" s="15"/>
      <c r="DE18" s="10">
        <f t="shared" si="54"/>
        <v>0</v>
      </c>
      <c r="DF18" s="231">
        <f t="shared" si="55"/>
        <v>0</v>
      </c>
      <c r="DG18" s="230">
        <f t="shared" si="56"/>
        <v>0</v>
      </c>
      <c r="DH18" s="238"/>
      <c r="DI18" s="239">
        <f t="shared" si="81"/>
        <v>0</v>
      </c>
      <c r="DJ18" s="15"/>
      <c r="DK18" s="239">
        <f t="shared" si="82"/>
        <v>0</v>
      </c>
      <c r="DL18" s="238"/>
      <c r="DM18" s="239">
        <f t="shared" si="83"/>
        <v>0</v>
      </c>
      <c r="DN18" s="238"/>
      <c r="DO18" s="239">
        <f t="shared" si="84"/>
        <v>0</v>
      </c>
      <c r="DP18" s="238"/>
      <c r="DQ18" s="239">
        <f t="shared" si="85"/>
        <v>0</v>
      </c>
      <c r="DR18" s="238"/>
      <c r="DS18" s="239">
        <f t="shared" si="86"/>
        <v>0</v>
      </c>
      <c r="DT18" s="238"/>
      <c r="DU18" s="239">
        <f t="shared" si="87"/>
        <v>0</v>
      </c>
      <c r="DV18" s="238"/>
      <c r="DW18" s="239">
        <f t="shared" si="88"/>
        <v>0</v>
      </c>
      <c r="DX18" s="238"/>
      <c r="DY18" s="239">
        <f t="shared" si="89"/>
        <v>0</v>
      </c>
      <c r="DZ18" s="238"/>
      <c r="EA18" s="239">
        <f t="shared" si="90"/>
        <v>0</v>
      </c>
      <c r="EB18" s="238"/>
      <c r="EC18" s="239">
        <f t="shared" si="91"/>
        <v>0</v>
      </c>
      <c r="ED18" s="238"/>
      <c r="EE18" s="239">
        <f t="shared" si="92"/>
        <v>0</v>
      </c>
      <c r="EF18" s="240">
        <f t="shared" si="93"/>
        <v>0</v>
      </c>
      <c r="EG18" s="239">
        <f t="shared" si="93"/>
        <v>0</v>
      </c>
    </row>
    <row r="19" spans="1:137" ht="19.8">
      <c r="A19" s="7">
        <v>14</v>
      </c>
      <c r="B19" s="8" t="s">
        <v>27</v>
      </c>
      <c r="C19" s="8" t="s">
        <v>14</v>
      </c>
      <c r="D19" s="7">
        <f t="shared" si="80"/>
        <v>30</v>
      </c>
      <c r="E19" s="7">
        <v>0.6</v>
      </c>
      <c r="F19" s="7" t="s">
        <v>12</v>
      </c>
      <c r="G19" s="7">
        <v>1310</v>
      </c>
      <c r="H19" s="9">
        <v>12</v>
      </c>
      <c r="I19" s="10">
        <f t="shared" si="2"/>
        <v>7.1999999999999993</v>
      </c>
      <c r="J19" s="9"/>
      <c r="K19" s="10">
        <f t="shared" si="3"/>
        <v>0</v>
      </c>
      <c r="L19" s="9"/>
      <c r="M19" s="10">
        <f t="shared" si="4"/>
        <v>0</v>
      </c>
      <c r="N19" s="9"/>
      <c r="O19" s="10">
        <f t="shared" si="5"/>
        <v>0</v>
      </c>
      <c r="P19" s="9"/>
      <c r="Q19" s="10">
        <f t="shared" si="6"/>
        <v>0</v>
      </c>
      <c r="R19" s="9">
        <v>132</v>
      </c>
      <c r="S19" s="10">
        <f t="shared" si="7"/>
        <v>79.2</v>
      </c>
      <c r="T19" s="9"/>
      <c r="U19" s="10">
        <f t="shared" si="8"/>
        <v>0</v>
      </c>
      <c r="V19" s="9"/>
      <c r="W19" s="10">
        <f t="shared" si="9"/>
        <v>0</v>
      </c>
      <c r="X19" s="9"/>
      <c r="Y19" s="10">
        <f t="shared" si="10"/>
        <v>0</v>
      </c>
      <c r="Z19" s="9"/>
      <c r="AA19" s="10">
        <f t="shared" si="11"/>
        <v>0</v>
      </c>
      <c r="AB19" s="9"/>
      <c r="AC19" s="10">
        <f t="shared" si="12"/>
        <v>0</v>
      </c>
      <c r="AD19" s="9"/>
      <c r="AE19" s="10">
        <f t="shared" si="13"/>
        <v>0</v>
      </c>
      <c r="AF19" s="11">
        <f t="shared" si="14"/>
        <v>144</v>
      </c>
      <c r="AG19" s="12">
        <f t="shared" si="15"/>
        <v>86.399999999999991</v>
      </c>
      <c r="AH19" s="15"/>
      <c r="AI19" s="10">
        <f t="shared" si="16"/>
        <v>0</v>
      </c>
      <c r="AJ19" s="15"/>
      <c r="AK19" s="10">
        <f t="shared" si="17"/>
        <v>0</v>
      </c>
      <c r="AL19" s="15"/>
      <c r="AM19" s="10">
        <f t="shared" si="18"/>
        <v>0</v>
      </c>
      <c r="AN19" s="15"/>
      <c r="AO19" s="10">
        <f t="shared" si="19"/>
        <v>0</v>
      </c>
      <c r="AP19" s="15"/>
      <c r="AQ19" s="10">
        <f t="shared" si="20"/>
        <v>0</v>
      </c>
      <c r="AR19" s="15"/>
      <c r="AS19" s="10">
        <f t="shared" si="21"/>
        <v>0</v>
      </c>
      <c r="AT19" s="15"/>
      <c r="AU19" s="10">
        <f t="shared" si="22"/>
        <v>0</v>
      </c>
      <c r="AV19" s="15"/>
      <c r="AW19" s="10">
        <f t="shared" si="23"/>
        <v>0</v>
      </c>
      <c r="AX19" s="15"/>
      <c r="AY19" s="10">
        <f t="shared" si="24"/>
        <v>0</v>
      </c>
      <c r="AZ19" s="15"/>
      <c r="BA19" s="10">
        <f t="shared" si="25"/>
        <v>0</v>
      </c>
      <c r="BB19" s="15"/>
      <c r="BC19" s="10">
        <f t="shared" si="26"/>
        <v>0</v>
      </c>
      <c r="BD19" s="15"/>
      <c r="BE19" s="10">
        <f t="shared" si="27"/>
        <v>0</v>
      </c>
      <c r="BF19" s="11">
        <f t="shared" si="28"/>
        <v>0</v>
      </c>
      <c r="BG19" s="12">
        <f t="shared" si="29"/>
        <v>0</v>
      </c>
      <c r="BH19" s="13">
        <v>12</v>
      </c>
      <c r="BI19" s="10">
        <f t="shared" si="30"/>
        <v>7.1999999999999993</v>
      </c>
      <c r="BJ19" s="13">
        <v>0</v>
      </c>
      <c r="BK19" s="10">
        <f t="shared" si="31"/>
        <v>0</v>
      </c>
      <c r="BL19" s="13">
        <v>0</v>
      </c>
      <c r="BM19" s="10">
        <f t="shared" si="32"/>
        <v>0</v>
      </c>
      <c r="BN19" s="13">
        <v>0</v>
      </c>
      <c r="BO19" s="10">
        <f t="shared" si="33"/>
        <v>0</v>
      </c>
      <c r="BP19" s="13">
        <v>0</v>
      </c>
      <c r="BQ19" s="10">
        <f t="shared" si="34"/>
        <v>0</v>
      </c>
      <c r="BR19" s="13">
        <v>0</v>
      </c>
      <c r="BS19" s="10">
        <f t="shared" si="35"/>
        <v>0</v>
      </c>
      <c r="BT19" s="13">
        <v>0</v>
      </c>
      <c r="BU19" s="10">
        <f t="shared" si="36"/>
        <v>0</v>
      </c>
      <c r="BV19" s="13">
        <v>0</v>
      </c>
      <c r="BW19" s="10">
        <f t="shared" si="37"/>
        <v>0</v>
      </c>
      <c r="BX19" s="13">
        <v>0</v>
      </c>
      <c r="BY19" s="10">
        <f t="shared" si="38"/>
        <v>0</v>
      </c>
      <c r="BZ19" s="13"/>
      <c r="CA19" s="10">
        <f t="shared" si="39"/>
        <v>0</v>
      </c>
      <c r="CB19" s="13"/>
      <c r="CC19" s="10">
        <f t="shared" si="40"/>
        <v>0</v>
      </c>
      <c r="CD19" s="14"/>
      <c r="CE19" s="10">
        <f t="shared" si="41"/>
        <v>0</v>
      </c>
      <c r="CF19" s="11">
        <f t="shared" si="42"/>
        <v>12</v>
      </c>
      <c r="CG19" s="12">
        <f t="shared" si="43"/>
        <v>7.1999999999999993</v>
      </c>
      <c r="CH19" s="15"/>
      <c r="CI19" s="10">
        <f t="shared" si="44"/>
        <v>0</v>
      </c>
      <c r="CJ19" s="15"/>
      <c r="CK19" s="10">
        <f t="shared" si="45"/>
        <v>0</v>
      </c>
      <c r="CL19" s="15"/>
      <c r="CM19" s="10">
        <f t="shared" si="46"/>
        <v>0</v>
      </c>
      <c r="CN19" s="15"/>
      <c r="CO19" s="10">
        <f t="shared" si="47"/>
        <v>0</v>
      </c>
      <c r="CP19" s="15"/>
      <c r="CQ19" s="10">
        <f t="shared" si="48"/>
        <v>0</v>
      </c>
      <c r="CR19" s="15"/>
      <c r="CS19" s="10">
        <f t="shared" si="49"/>
        <v>0</v>
      </c>
      <c r="CT19" s="15"/>
      <c r="CU19" s="10">
        <f t="shared" si="50"/>
        <v>0</v>
      </c>
      <c r="CV19" s="15">
        <v>12</v>
      </c>
      <c r="CW19" s="10">
        <f t="shared" si="51"/>
        <v>7.1999999999999993</v>
      </c>
      <c r="CX19" s="15"/>
      <c r="CY19" s="10">
        <f t="shared" si="52"/>
        <v>0</v>
      </c>
      <c r="CZ19" s="15"/>
      <c r="DA19" s="10">
        <f t="shared" si="53"/>
        <v>0</v>
      </c>
      <c r="DB19" s="15"/>
      <c r="DC19" s="10">
        <f t="shared" si="54"/>
        <v>0</v>
      </c>
      <c r="DD19" s="15"/>
      <c r="DE19" s="10">
        <f t="shared" si="54"/>
        <v>0</v>
      </c>
      <c r="DF19" s="231">
        <f t="shared" si="55"/>
        <v>12</v>
      </c>
      <c r="DG19" s="230">
        <f t="shared" si="56"/>
        <v>7.1999999999999993</v>
      </c>
      <c r="DH19" s="238">
        <v>12</v>
      </c>
      <c r="DI19" s="239">
        <f t="shared" si="81"/>
        <v>7.1999999999999993</v>
      </c>
      <c r="DJ19" s="15"/>
      <c r="DK19" s="239">
        <f t="shared" si="82"/>
        <v>0</v>
      </c>
      <c r="DL19" s="238"/>
      <c r="DM19" s="239">
        <f t="shared" si="83"/>
        <v>0</v>
      </c>
      <c r="DN19" s="238"/>
      <c r="DO19" s="239">
        <f t="shared" si="84"/>
        <v>0</v>
      </c>
      <c r="DP19" s="238"/>
      <c r="DQ19" s="239">
        <f t="shared" si="85"/>
        <v>0</v>
      </c>
      <c r="DR19" s="238"/>
      <c r="DS19" s="239">
        <f t="shared" si="86"/>
        <v>0</v>
      </c>
      <c r="DT19" s="238"/>
      <c r="DU19" s="239">
        <f t="shared" si="87"/>
        <v>0</v>
      </c>
      <c r="DV19" s="238"/>
      <c r="DW19" s="239">
        <f t="shared" si="88"/>
        <v>0</v>
      </c>
      <c r="DX19" s="238"/>
      <c r="DY19" s="239">
        <f t="shared" si="89"/>
        <v>0</v>
      </c>
      <c r="DZ19" s="238"/>
      <c r="EA19" s="239">
        <f t="shared" si="90"/>
        <v>0</v>
      </c>
      <c r="EB19" s="238"/>
      <c r="EC19" s="239">
        <f t="shared" si="91"/>
        <v>0</v>
      </c>
      <c r="ED19" s="238"/>
      <c r="EE19" s="239">
        <f t="shared" si="92"/>
        <v>0</v>
      </c>
      <c r="EF19" s="240">
        <f t="shared" si="93"/>
        <v>12</v>
      </c>
      <c r="EG19" s="239">
        <f t="shared" si="93"/>
        <v>7.1999999999999993</v>
      </c>
    </row>
    <row r="20" spans="1:137" ht="19.8">
      <c r="A20" s="7">
        <v>15</v>
      </c>
      <c r="B20" s="8" t="s">
        <v>28</v>
      </c>
      <c r="C20" s="8" t="s">
        <v>14</v>
      </c>
      <c r="D20" s="7">
        <f t="shared" si="80"/>
        <v>31</v>
      </c>
      <c r="E20" s="7">
        <v>0.35</v>
      </c>
      <c r="F20" s="7" t="s">
        <v>18</v>
      </c>
      <c r="G20" s="7">
        <v>730</v>
      </c>
      <c r="H20" s="15"/>
      <c r="I20" s="10">
        <f t="shared" si="2"/>
        <v>0</v>
      </c>
      <c r="J20" s="15"/>
      <c r="K20" s="10">
        <f t="shared" si="3"/>
        <v>0</v>
      </c>
      <c r="L20" s="15"/>
      <c r="M20" s="10">
        <f t="shared" si="4"/>
        <v>0</v>
      </c>
      <c r="N20" s="15"/>
      <c r="O20" s="10">
        <f t="shared" si="5"/>
        <v>0</v>
      </c>
      <c r="P20" s="15"/>
      <c r="Q20" s="10">
        <f t="shared" si="6"/>
        <v>0</v>
      </c>
      <c r="R20" s="15"/>
      <c r="S20" s="10">
        <f t="shared" si="7"/>
        <v>0</v>
      </c>
      <c r="T20" s="15"/>
      <c r="U20" s="10">
        <f t="shared" si="8"/>
        <v>0</v>
      </c>
      <c r="V20" s="15"/>
      <c r="W20" s="10">
        <f t="shared" si="9"/>
        <v>0</v>
      </c>
      <c r="X20" s="15"/>
      <c r="Y20" s="10">
        <f t="shared" si="10"/>
        <v>0</v>
      </c>
      <c r="Z20" s="15"/>
      <c r="AA20" s="10">
        <f t="shared" si="11"/>
        <v>0</v>
      </c>
      <c r="AB20" s="15"/>
      <c r="AC20" s="10">
        <f t="shared" si="12"/>
        <v>0</v>
      </c>
      <c r="AD20" s="15"/>
      <c r="AE20" s="10">
        <f t="shared" si="13"/>
        <v>0</v>
      </c>
      <c r="AF20" s="11">
        <f t="shared" si="14"/>
        <v>0</v>
      </c>
      <c r="AG20" s="12">
        <f t="shared" si="15"/>
        <v>0</v>
      </c>
      <c r="AH20" s="15"/>
      <c r="AI20" s="10">
        <f t="shared" si="16"/>
        <v>0</v>
      </c>
      <c r="AJ20" s="15"/>
      <c r="AK20" s="10">
        <f t="shared" si="17"/>
        <v>0</v>
      </c>
      <c r="AL20" s="15"/>
      <c r="AM20" s="10">
        <f t="shared" si="18"/>
        <v>0</v>
      </c>
      <c r="AN20" s="15"/>
      <c r="AO20" s="10">
        <f t="shared" si="19"/>
        <v>0</v>
      </c>
      <c r="AP20" s="15"/>
      <c r="AQ20" s="10">
        <f t="shared" si="20"/>
        <v>0</v>
      </c>
      <c r="AR20" s="15"/>
      <c r="AS20" s="10">
        <f t="shared" si="21"/>
        <v>0</v>
      </c>
      <c r="AT20" s="15"/>
      <c r="AU20" s="10">
        <f t="shared" si="22"/>
        <v>0</v>
      </c>
      <c r="AV20" s="15"/>
      <c r="AW20" s="10">
        <f t="shared" si="23"/>
        <v>0</v>
      </c>
      <c r="AX20" s="15"/>
      <c r="AY20" s="10">
        <f t="shared" si="24"/>
        <v>0</v>
      </c>
      <c r="AZ20" s="15"/>
      <c r="BA20" s="10">
        <f t="shared" si="25"/>
        <v>0</v>
      </c>
      <c r="BB20" s="15"/>
      <c r="BC20" s="10">
        <f t="shared" si="26"/>
        <v>0</v>
      </c>
      <c r="BD20" s="15"/>
      <c r="BE20" s="10">
        <f t="shared" si="27"/>
        <v>0</v>
      </c>
      <c r="BF20" s="11">
        <f t="shared" si="28"/>
        <v>0</v>
      </c>
      <c r="BG20" s="12">
        <f t="shared" si="29"/>
        <v>0</v>
      </c>
      <c r="BH20" s="15"/>
      <c r="BI20" s="10">
        <f t="shared" si="30"/>
        <v>0</v>
      </c>
      <c r="BJ20" s="15"/>
      <c r="BK20" s="10">
        <f t="shared" si="31"/>
        <v>0</v>
      </c>
      <c r="BL20" s="15"/>
      <c r="BM20" s="10">
        <f t="shared" si="32"/>
        <v>0</v>
      </c>
      <c r="BN20" s="15"/>
      <c r="BO20" s="10">
        <f t="shared" si="33"/>
        <v>0</v>
      </c>
      <c r="BP20" s="15"/>
      <c r="BQ20" s="10">
        <f t="shared" si="34"/>
        <v>0</v>
      </c>
      <c r="BR20" s="15"/>
      <c r="BS20" s="10">
        <f t="shared" si="35"/>
        <v>0</v>
      </c>
      <c r="BT20" s="15"/>
      <c r="BU20" s="10">
        <f t="shared" si="36"/>
        <v>0</v>
      </c>
      <c r="BV20" s="15"/>
      <c r="BW20" s="10">
        <f t="shared" si="37"/>
        <v>0</v>
      </c>
      <c r="BX20" s="15"/>
      <c r="BY20" s="10">
        <f t="shared" si="38"/>
        <v>0</v>
      </c>
      <c r="BZ20" s="15"/>
      <c r="CA20" s="10">
        <f t="shared" si="39"/>
        <v>0</v>
      </c>
      <c r="CB20" s="15"/>
      <c r="CC20" s="10">
        <f t="shared" si="40"/>
        <v>0</v>
      </c>
      <c r="CD20" s="15"/>
      <c r="CE20" s="10">
        <f t="shared" si="41"/>
        <v>0</v>
      </c>
      <c r="CF20" s="11">
        <f t="shared" si="42"/>
        <v>0</v>
      </c>
      <c r="CG20" s="12">
        <f t="shared" si="43"/>
        <v>0</v>
      </c>
      <c r="CH20" s="15"/>
      <c r="CI20" s="10">
        <f t="shared" si="44"/>
        <v>0</v>
      </c>
      <c r="CJ20" s="15"/>
      <c r="CK20" s="10">
        <f t="shared" si="45"/>
        <v>0</v>
      </c>
      <c r="CL20" s="15"/>
      <c r="CM20" s="10">
        <f t="shared" si="46"/>
        <v>0</v>
      </c>
      <c r="CN20" s="15"/>
      <c r="CO20" s="10">
        <f t="shared" si="47"/>
        <v>0</v>
      </c>
      <c r="CP20" s="15"/>
      <c r="CQ20" s="10">
        <f t="shared" si="48"/>
        <v>0</v>
      </c>
      <c r="CR20" s="15"/>
      <c r="CS20" s="10">
        <f t="shared" si="49"/>
        <v>0</v>
      </c>
      <c r="CT20" s="15"/>
      <c r="CU20" s="10">
        <f t="shared" si="50"/>
        <v>0</v>
      </c>
      <c r="CV20" s="15"/>
      <c r="CW20" s="10">
        <f t="shared" si="51"/>
        <v>0</v>
      </c>
      <c r="CX20" s="15"/>
      <c r="CY20" s="10">
        <f t="shared" si="52"/>
        <v>0</v>
      </c>
      <c r="CZ20" s="15"/>
      <c r="DA20" s="10">
        <f t="shared" si="53"/>
        <v>0</v>
      </c>
      <c r="DB20" s="15"/>
      <c r="DC20" s="10">
        <f t="shared" si="54"/>
        <v>0</v>
      </c>
      <c r="DD20" s="15"/>
      <c r="DE20" s="10">
        <f t="shared" si="54"/>
        <v>0</v>
      </c>
      <c r="DF20" s="231">
        <f t="shared" si="55"/>
        <v>0</v>
      </c>
      <c r="DG20" s="230">
        <f t="shared" si="56"/>
        <v>0</v>
      </c>
      <c r="DH20" s="238"/>
      <c r="DI20" s="239">
        <f t="shared" si="81"/>
        <v>0</v>
      </c>
      <c r="DJ20" s="15"/>
      <c r="DK20" s="239">
        <f t="shared" si="82"/>
        <v>0</v>
      </c>
      <c r="DL20" s="238"/>
      <c r="DM20" s="239">
        <f t="shared" si="83"/>
        <v>0</v>
      </c>
      <c r="DN20" s="238"/>
      <c r="DO20" s="239">
        <f t="shared" si="84"/>
        <v>0</v>
      </c>
      <c r="DP20" s="238"/>
      <c r="DQ20" s="239">
        <f t="shared" si="85"/>
        <v>0</v>
      </c>
      <c r="DR20" s="238"/>
      <c r="DS20" s="239">
        <f t="shared" si="86"/>
        <v>0</v>
      </c>
      <c r="DT20" s="238"/>
      <c r="DU20" s="239">
        <f t="shared" si="87"/>
        <v>0</v>
      </c>
      <c r="DV20" s="238"/>
      <c r="DW20" s="239">
        <f t="shared" si="88"/>
        <v>0</v>
      </c>
      <c r="DX20" s="238"/>
      <c r="DY20" s="239">
        <f t="shared" si="89"/>
        <v>0</v>
      </c>
      <c r="DZ20" s="238"/>
      <c r="EA20" s="239">
        <f t="shared" si="90"/>
        <v>0</v>
      </c>
      <c r="EB20" s="238"/>
      <c r="EC20" s="239">
        <f t="shared" si="91"/>
        <v>0</v>
      </c>
      <c r="ED20" s="238"/>
      <c r="EE20" s="239">
        <f t="shared" si="92"/>
        <v>0</v>
      </c>
      <c r="EF20" s="240">
        <f t="shared" si="93"/>
        <v>0</v>
      </c>
      <c r="EG20" s="239">
        <f t="shared" si="93"/>
        <v>0</v>
      </c>
    </row>
    <row r="21" spans="1:137" ht="19.8">
      <c r="A21" s="7">
        <v>16</v>
      </c>
      <c r="B21" s="8" t="s">
        <v>29</v>
      </c>
      <c r="C21" s="8" t="s">
        <v>14</v>
      </c>
      <c r="D21" s="7">
        <f t="shared" si="80"/>
        <v>26</v>
      </c>
      <c r="E21" s="7">
        <v>0.35</v>
      </c>
      <c r="F21" s="7" t="s">
        <v>18</v>
      </c>
      <c r="G21" s="7">
        <v>900</v>
      </c>
      <c r="H21" s="9">
        <v>187200</v>
      </c>
      <c r="I21" s="10">
        <f t="shared" si="2"/>
        <v>65519.999999999993</v>
      </c>
      <c r="J21" s="9"/>
      <c r="K21" s="10">
        <f t="shared" si="3"/>
        <v>0</v>
      </c>
      <c r="L21" s="9"/>
      <c r="M21" s="10">
        <f t="shared" si="4"/>
        <v>0</v>
      </c>
      <c r="N21" s="9"/>
      <c r="O21" s="10">
        <f t="shared" si="5"/>
        <v>0</v>
      </c>
      <c r="P21" s="9"/>
      <c r="Q21" s="10">
        <f t="shared" si="6"/>
        <v>0</v>
      </c>
      <c r="R21" s="9"/>
      <c r="S21" s="10">
        <f t="shared" si="7"/>
        <v>0</v>
      </c>
      <c r="T21" s="9"/>
      <c r="U21" s="10">
        <f t="shared" si="8"/>
        <v>0</v>
      </c>
      <c r="V21" s="9"/>
      <c r="W21" s="10">
        <f t="shared" si="9"/>
        <v>0</v>
      </c>
      <c r="X21" s="9"/>
      <c r="Y21" s="10">
        <f t="shared" si="10"/>
        <v>0</v>
      </c>
      <c r="Z21" s="9"/>
      <c r="AA21" s="10">
        <f t="shared" si="11"/>
        <v>0</v>
      </c>
      <c r="AB21" s="9"/>
      <c r="AC21" s="10">
        <f t="shared" si="12"/>
        <v>0</v>
      </c>
      <c r="AD21" s="9"/>
      <c r="AE21" s="10">
        <f t="shared" si="13"/>
        <v>0</v>
      </c>
      <c r="AF21" s="11">
        <f t="shared" si="14"/>
        <v>187200</v>
      </c>
      <c r="AG21" s="12">
        <f t="shared" si="15"/>
        <v>65519.999999999993</v>
      </c>
      <c r="AH21" s="9"/>
      <c r="AI21" s="10">
        <f t="shared" si="16"/>
        <v>0</v>
      </c>
      <c r="AJ21" s="9"/>
      <c r="AK21" s="10">
        <f t="shared" si="17"/>
        <v>0</v>
      </c>
      <c r="AL21" s="9"/>
      <c r="AM21" s="10">
        <f t="shared" si="18"/>
        <v>0</v>
      </c>
      <c r="AN21" s="9"/>
      <c r="AO21" s="10">
        <f t="shared" si="19"/>
        <v>0</v>
      </c>
      <c r="AP21" s="9"/>
      <c r="AQ21" s="10">
        <f t="shared" si="20"/>
        <v>0</v>
      </c>
      <c r="AR21" s="9"/>
      <c r="AS21" s="10">
        <f t="shared" si="21"/>
        <v>0</v>
      </c>
      <c r="AT21" s="9">
        <v>52</v>
      </c>
      <c r="AU21" s="10">
        <f t="shared" si="22"/>
        <v>18.2</v>
      </c>
      <c r="AV21" s="9"/>
      <c r="AW21" s="10">
        <f t="shared" si="23"/>
        <v>0</v>
      </c>
      <c r="AX21" s="9"/>
      <c r="AY21" s="10">
        <f t="shared" si="24"/>
        <v>0</v>
      </c>
      <c r="AZ21" s="9"/>
      <c r="BA21" s="10">
        <f t="shared" si="25"/>
        <v>0</v>
      </c>
      <c r="BB21" s="9"/>
      <c r="BC21" s="10">
        <f t="shared" si="26"/>
        <v>0</v>
      </c>
      <c r="BD21" s="9"/>
      <c r="BE21" s="10">
        <f t="shared" si="27"/>
        <v>0</v>
      </c>
      <c r="BF21" s="11">
        <f t="shared" si="28"/>
        <v>52</v>
      </c>
      <c r="BG21" s="12">
        <f t="shared" si="29"/>
        <v>18.2</v>
      </c>
      <c r="BH21" s="15"/>
      <c r="BI21" s="10">
        <f t="shared" si="30"/>
        <v>0</v>
      </c>
      <c r="BJ21" s="15"/>
      <c r="BK21" s="10">
        <f t="shared" si="31"/>
        <v>0</v>
      </c>
      <c r="BL21" s="15"/>
      <c r="BM21" s="10">
        <f t="shared" si="32"/>
        <v>0</v>
      </c>
      <c r="BN21" s="15"/>
      <c r="BO21" s="10">
        <f t="shared" si="33"/>
        <v>0</v>
      </c>
      <c r="BP21" s="15"/>
      <c r="BQ21" s="10">
        <f t="shared" si="34"/>
        <v>0</v>
      </c>
      <c r="BR21" s="15"/>
      <c r="BS21" s="10">
        <f t="shared" si="35"/>
        <v>0</v>
      </c>
      <c r="BT21" s="15"/>
      <c r="BU21" s="10">
        <f t="shared" si="36"/>
        <v>0</v>
      </c>
      <c r="BV21" s="15"/>
      <c r="BW21" s="10">
        <f t="shared" si="37"/>
        <v>0</v>
      </c>
      <c r="BX21" s="15"/>
      <c r="BY21" s="10">
        <f t="shared" si="38"/>
        <v>0</v>
      </c>
      <c r="BZ21" s="15"/>
      <c r="CA21" s="10">
        <f t="shared" si="39"/>
        <v>0</v>
      </c>
      <c r="CB21" s="15"/>
      <c r="CC21" s="10">
        <f t="shared" si="40"/>
        <v>0</v>
      </c>
      <c r="CD21" s="15"/>
      <c r="CE21" s="10">
        <f t="shared" si="41"/>
        <v>0</v>
      </c>
      <c r="CF21" s="11">
        <f t="shared" si="42"/>
        <v>0</v>
      </c>
      <c r="CG21" s="12">
        <f t="shared" si="43"/>
        <v>0</v>
      </c>
      <c r="CH21" s="15"/>
      <c r="CI21" s="10">
        <f t="shared" si="44"/>
        <v>0</v>
      </c>
      <c r="CJ21" s="15"/>
      <c r="CK21" s="10">
        <f t="shared" si="45"/>
        <v>0</v>
      </c>
      <c r="CL21" s="15"/>
      <c r="CM21" s="10">
        <f t="shared" si="46"/>
        <v>0</v>
      </c>
      <c r="CN21" s="15"/>
      <c r="CO21" s="10">
        <f t="shared" si="47"/>
        <v>0</v>
      </c>
      <c r="CP21" s="15"/>
      <c r="CQ21" s="10">
        <f t="shared" si="48"/>
        <v>0</v>
      </c>
      <c r="CR21" s="15"/>
      <c r="CS21" s="10">
        <f t="shared" si="49"/>
        <v>0</v>
      </c>
      <c r="CT21" s="15"/>
      <c r="CU21" s="10">
        <f t="shared" si="50"/>
        <v>0</v>
      </c>
      <c r="CV21" s="15"/>
      <c r="CW21" s="10">
        <f t="shared" si="51"/>
        <v>0</v>
      </c>
      <c r="CX21" s="15"/>
      <c r="CY21" s="10">
        <f t="shared" si="52"/>
        <v>0</v>
      </c>
      <c r="CZ21" s="15">
        <v>80</v>
      </c>
      <c r="DA21" s="10">
        <f t="shared" si="53"/>
        <v>28</v>
      </c>
      <c r="DB21" s="15">
        <v>400</v>
      </c>
      <c r="DC21" s="10">
        <f t="shared" si="54"/>
        <v>140</v>
      </c>
      <c r="DD21" s="15"/>
      <c r="DE21" s="10">
        <f t="shared" si="54"/>
        <v>0</v>
      </c>
      <c r="DF21" s="231">
        <f t="shared" si="55"/>
        <v>480</v>
      </c>
      <c r="DG21" s="230">
        <f t="shared" si="56"/>
        <v>168</v>
      </c>
      <c r="DH21" s="238">
        <v>40</v>
      </c>
      <c r="DI21" s="239">
        <f t="shared" si="81"/>
        <v>14</v>
      </c>
      <c r="DJ21" s="15">
        <v>160</v>
      </c>
      <c r="DK21" s="239">
        <f t="shared" si="82"/>
        <v>56</v>
      </c>
      <c r="DL21" s="238"/>
      <c r="DM21" s="239">
        <f t="shared" si="83"/>
        <v>0</v>
      </c>
      <c r="DN21" s="238"/>
      <c r="DO21" s="239">
        <f t="shared" si="84"/>
        <v>0</v>
      </c>
      <c r="DP21" s="238"/>
      <c r="DQ21" s="239">
        <f t="shared" si="85"/>
        <v>0</v>
      </c>
      <c r="DR21" s="238"/>
      <c r="DS21" s="239">
        <f t="shared" si="86"/>
        <v>0</v>
      </c>
      <c r="DT21" s="238"/>
      <c r="DU21" s="239">
        <f t="shared" si="87"/>
        <v>0</v>
      </c>
      <c r="DV21" s="238"/>
      <c r="DW21" s="239">
        <f t="shared" si="88"/>
        <v>0</v>
      </c>
      <c r="DX21" s="238"/>
      <c r="DY21" s="239">
        <f t="shared" si="89"/>
        <v>0</v>
      </c>
      <c r="DZ21" s="238"/>
      <c r="EA21" s="239">
        <f t="shared" si="90"/>
        <v>0</v>
      </c>
      <c r="EB21" s="238"/>
      <c r="EC21" s="239">
        <f t="shared" si="91"/>
        <v>0</v>
      </c>
      <c r="ED21" s="238"/>
      <c r="EE21" s="239">
        <f t="shared" si="92"/>
        <v>0</v>
      </c>
      <c r="EF21" s="240">
        <f t="shared" si="93"/>
        <v>200</v>
      </c>
      <c r="EG21" s="239">
        <f t="shared" si="93"/>
        <v>70</v>
      </c>
    </row>
    <row r="22" spans="1:137" ht="19.8">
      <c r="A22" s="7">
        <v>17</v>
      </c>
      <c r="B22" s="8" t="s">
        <v>30</v>
      </c>
      <c r="C22" s="8" t="s">
        <v>11</v>
      </c>
      <c r="D22" s="7">
        <f t="shared" si="80"/>
        <v>31</v>
      </c>
      <c r="E22" s="7">
        <v>0.64</v>
      </c>
      <c r="F22" s="7" t="s">
        <v>22</v>
      </c>
      <c r="G22" s="7">
        <v>1350</v>
      </c>
      <c r="H22" s="15"/>
      <c r="I22" s="10">
        <f t="shared" si="2"/>
        <v>0</v>
      </c>
      <c r="J22" s="15"/>
      <c r="K22" s="10">
        <f t="shared" si="3"/>
        <v>0</v>
      </c>
      <c r="L22" s="15"/>
      <c r="M22" s="10">
        <f t="shared" si="4"/>
        <v>0</v>
      </c>
      <c r="N22" s="15"/>
      <c r="O22" s="10">
        <f t="shared" si="5"/>
        <v>0</v>
      </c>
      <c r="P22" s="15"/>
      <c r="Q22" s="10">
        <f t="shared" si="6"/>
        <v>0</v>
      </c>
      <c r="R22" s="15"/>
      <c r="S22" s="10">
        <f t="shared" si="7"/>
        <v>0</v>
      </c>
      <c r="T22" s="15"/>
      <c r="U22" s="10">
        <f t="shared" si="8"/>
        <v>0</v>
      </c>
      <c r="V22" s="15"/>
      <c r="W22" s="10">
        <f t="shared" si="9"/>
        <v>0</v>
      </c>
      <c r="X22" s="15"/>
      <c r="Y22" s="10">
        <f t="shared" si="10"/>
        <v>0</v>
      </c>
      <c r="Z22" s="15"/>
      <c r="AA22" s="10">
        <f t="shared" si="11"/>
        <v>0</v>
      </c>
      <c r="AB22" s="15"/>
      <c r="AC22" s="10">
        <f t="shared" si="12"/>
        <v>0</v>
      </c>
      <c r="AD22" s="15"/>
      <c r="AE22" s="10">
        <f t="shared" si="13"/>
        <v>0</v>
      </c>
      <c r="AF22" s="11">
        <f t="shared" si="14"/>
        <v>0</v>
      </c>
      <c r="AG22" s="12">
        <f t="shared" si="15"/>
        <v>0</v>
      </c>
      <c r="AH22" s="9"/>
      <c r="AI22" s="10">
        <f t="shared" si="16"/>
        <v>0</v>
      </c>
      <c r="AJ22" s="9"/>
      <c r="AK22" s="10">
        <f t="shared" si="17"/>
        <v>0</v>
      </c>
      <c r="AL22" s="9"/>
      <c r="AM22" s="10">
        <f t="shared" si="18"/>
        <v>0</v>
      </c>
      <c r="AN22" s="9"/>
      <c r="AO22" s="10">
        <f t="shared" si="19"/>
        <v>0</v>
      </c>
      <c r="AP22" s="9"/>
      <c r="AQ22" s="10">
        <f t="shared" si="20"/>
        <v>0</v>
      </c>
      <c r="AR22" s="9"/>
      <c r="AS22" s="10">
        <f t="shared" si="21"/>
        <v>0</v>
      </c>
      <c r="AT22" s="9"/>
      <c r="AU22" s="10">
        <f t="shared" si="22"/>
        <v>0</v>
      </c>
      <c r="AV22" s="9"/>
      <c r="AW22" s="10">
        <f t="shared" si="23"/>
        <v>0</v>
      </c>
      <c r="AX22" s="9"/>
      <c r="AY22" s="10">
        <f t="shared" si="24"/>
        <v>0</v>
      </c>
      <c r="AZ22" s="9">
        <v>14</v>
      </c>
      <c r="BA22" s="10">
        <f t="shared" si="25"/>
        <v>8.9600000000000009</v>
      </c>
      <c r="BB22" s="9"/>
      <c r="BC22" s="10">
        <f t="shared" si="26"/>
        <v>0</v>
      </c>
      <c r="BD22" s="9"/>
      <c r="BE22" s="10">
        <f t="shared" si="27"/>
        <v>0</v>
      </c>
      <c r="BF22" s="11">
        <f t="shared" si="28"/>
        <v>14</v>
      </c>
      <c r="BG22" s="12">
        <f t="shared" si="29"/>
        <v>8.9600000000000009</v>
      </c>
      <c r="BH22" s="15"/>
      <c r="BI22" s="10">
        <f t="shared" si="30"/>
        <v>0</v>
      </c>
      <c r="BJ22" s="15"/>
      <c r="BK22" s="10">
        <f t="shared" si="31"/>
        <v>0</v>
      </c>
      <c r="BL22" s="15"/>
      <c r="BM22" s="10">
        <f t="shared" si="32"/>
        <v>0</v>
      </c>
      <c r="BN22" s="15"/>
      <c r="BO22" s="10">
        <f t="shared" si="33"/>
        <v>0</v>
      </c>
      <c r="BP22" s="15"/>
      <c r="BQ22" s="10">
        <f t="shared" si="34"/>
        <v>0</v>
      </c>
      <c r="BR22" s="15"/>
      <c r="BS22" s="10">
        <f t="shared" si="35"/>
        <v>0</v>
      </c>
      <c r="BT22" s="15"/>
      <c r="BU22" s="10">
        <f t="shared" si="36"/>
        <v>0</v>
      </c>
      <c r="BV22" s="15"/>
      <c r="BW22" s="10">
        <f t="shared" si="37"/>
        <v>0</v>
      </c>
      <c r="BX22" s="15"/>
      <c r="BY22" s="10">
        <f t="shared" si="38"/>
        <v>0</v>
      </c>
      <c r="BZ22" s="15"/>
      <c r="CA22" s="10">
        <f t="shared" si="39"/>
        <v>0</v>
      </c>
      <c r="CB22" s="15"/>
      <c r="CC22" s="10">
        <f t="shared" si="40"/>
        <v>0</v>
      </c>
      <c r="CD22" s="15"/>
      <c r="CE22" s="10">
        <f t="shared" si="41"/>
        <v>0</v>
      </c>
      <c r="CF22" s="11">
        <f t="shared" si="42"/>
        <v>0</v>
      </c>
      <c r="CG22" s="12">
        <f t="shared" si="43"/>
        <v>0</v>
      </c>
      <c r="CH22" s="15"/>
      <c r="CI22" s="10">
        <f t="shared" si="44"/>
        <v>0</v>
      </c>
      <c r="CJ22" s="15"/>
      <c r="CK22" s="10">
        <f t="shared" si="45"/>
        <v>0</v>
      </c>
      <c r="CL22" s="15"/>
      <c r="CM22" s="10">
        <f t="shared" si="46"/>
        <v>0</v>
      </c>
      <c r="CN22" s="15"/>
      <c r="CO22" s="10">
        <f t="shared" si="47"/>
        <v>0</v>
      </c>
      <c r="CP22" s="15"/>
      <c r="CQ22" s="10">
        <f t="shared" si="48"/>
        <v>0</v>
      </c>
      <c r="CR22" s="15"/>
      <c r="CS22" s="10">
        <f t="shared" si="49"/>
        <v>0</v>
      </c>
      <c r="CT22" s="15"/>
      <c r="CU22" s="10">
        <f t="shared" si="50"/>
        <v>0</v>
      </c>
      <c r="CV22" s="15"/>
      <c r="CW22" s="10">
        <f t="shared" si="51"/>
        <v>0</v>
      </c>
      <c r="CX22" s="15"/>
      <c r="CY22" s="10">
        <f t="shared" si="52"/>
        <v>0</v>
      </c>
      <c r="CZ22" s="15"/>
      <c r="DA22" s="10">
        <f t="shared" si="53"/>
        <v>0</v>
      </c>
      <c r="DB22" s="15"/>
      <c r="DC22" s="10">
        <f t="shared" si="54"/>
        <v>0</v>
      </c>
      <c r="DD22" s="15"/>
      <c r="DE22" s="10">
        <f t="shared" si="54"/>
        <v>0</v>
      </c>
      <c r="DF22" s="231">
        <f t="shared" si="55"/>
        <v>0</v>
      </c>
      <c r="DG22" s="230">
        <f t="shared" si="56"/>
        <v>0</v>
      </c>
      <c r="DH22" s="238"/>
      <c r="DI22" s="239">
        <f t="shared" si="81"/>
        <v>0</v>
      </c>
      <c r="DJ22" s="15"/>
      <c r="DK22" s="239">
        <f t="shared" si="82"/>
        <v>0</v>
      </c>
      <c r="DL22" s="238"/>
      <c r="DM22" s="239">
        <f t="shared" si="83"/>
        <v>0</v>
      </c>
      <c r="DN22" s="238"/>
      <c r="DO22" s="239">
        <f t="shared" si="84"/>
        <v>0</v>
      </c>
      <c r="DP22" s="238"/>
      <c r="DQ22" s="239">
        <f t="shared" si="85"/>
        <v>0</v>
      </c>
      <c r="DR22" s="238"/>
      <c r="DS22" s="239">
        <f t="shared" si="86"/>
        <v>0</v>
      </c>
      <c r="DT22" s="238"/>
      <c r="DU22" s="239">
        <f t="shared" si="87"/>
        <v>0</v>
      </c>
      <c r="DV22" s="238"/>
      <c r="DW22" s="239">
        <f t="shared" si="88"/>
        <v>0</v>
      </c>
      <c r="DX22" s="238"/>
      <c r="DY22" s="239">
        <f t="shared" si="89"/>
        <v>0</v>
      </c>
      <c r="DZ22" s="238"/>
      <c r="EA22" s="239">
        <f t="shared" si="90"/>
        <v>0</v>
      </c>
      <c r="EB22" s="238"/>
      <c r="EC22" s="239">
        <f t="shared" si="91"/>
        <v>0</v>
      </c>
      <c r="ED22" s="238"/>
      <c r="EE22" s="239">
        <f t="shared" si="92"/>
        <v>0</v>
      </c>
      <c r="EF22" s="240">
        <f t="shared" si="93"/>
        <v>0</v>
      </c>
      <c r="EG22" s="239">
        <f t="shared" si="93"/>
        <v>0</v>
      </c>
    </row>
    <row r="23" spans="1:137" ht="19.8">
      <c r="A23" s="7">
        <v>18</v>
      </c>
      <c r="B23" s="8" t="s">
        <v>31</v>
      </c>
      <c r="C23" s="8" t="s">
        <v>11</v>
      </c>
      <c r="D23" s="7">
        <f t="shared" si="80"/>
        <v>31</v>
      </c>
      <c r="E23" s="7">
        <v>0.64</v>
      </c>
      <c r="F23" s="7" t="s">
        <v>22</v>
      </c>
      <c r="G23" s="7"/>
      <c r="H23" s="15"/>
      <c r="I23" s="10">
        <f t="shared" si="2"/>
        <v>0</v>
      </c>
      <c r="J23" s="15"/>
      <c r="K23" s="10">
        <f t="shared" si="3"/>
        <v>0</v>
      </c>
      <c r="L23" s="15"/>
      <c r="M23" s="10">
        <f t="shared" si="4"/>
        <v>0</v>
      </c>
      <c r="N23" s="15"/>
      <c r="O23" s="10">
        <f t="shared" si="5"/>
        <v>0</v>
      </c>
      <c r="P23" s="15"/>
      <c r="Q23" s="10">
        <f t="shared" si="6"/>
        <v>0</v>
      </c>
      <c r="R23" s="15"/>
      <c r="S23" s="10">
        <f t="shared" si="7"/>
        <v>0</v>
      </c>
      <c r="T23" s="15"/>
      <c r="U23" s="10">
        <f t="shared" si="8"/>
        <v>0</v>
      </c>
      <c r="V23" s="15"/>
      <c r="W23" s="10">
        <f t="shared" si="9"/>
        <v>0</v>
      </c>
      <c r="X23" s="15"/>
      <c r="Y23" s="10">
        <f t="shared" si="10"/>
        <v>0</v>
      </c>
      <c r="Z23" s="15"/>
      <c r="AA23" s="10">
        <f t="shared" si="11"/>
        <v>0</v>
      </c>
      <c r="AB23" s="15"/>
      <c r="AC23" s="10">
        <f t="shared" si="12"/>
        <v>0</v>
      </c>
      <c r="AD23" s="15"/>
      <c r="AE23" s="10">
        <f t="shared" si="13"/>
        <v>0</v>
      </c>
      <c r="AF23" s="11">
        <f t="shared" si="14"/>
        <v>0</v>
      </c>
      <c r="AG23" s="12">
        <f t="shared" si="15"/>
        <v>0</v>
      </c>
      <c r="AH23" s="15"/>
      <c r="AI23" s="10">
        <f t="shared" si="16"/>
        <v>0</v>
      </c>
      <c r="AJ23" s="15"/>
      <c r="AK23" s="10">
        <f t="shared" si="17"/>
        <v>0</v>
      </c>
      <c r="AL23" s="15"/>
      <c r="AM23" s="10">
        <f t="shared" si="18"/>
        <v>0</v>
      </c>
      <c r="AN23" s="15"/>
      <c r="AO23" s="10">
        <f t="shared" si="19"/>
        <v>0</v>
      </c>
      <c r="AP23" s="15"/>
      <c r="AQ23" s="10">
        <f t="shared" si="20"/>
        <v>0</v>
      </c>
      <c r="AR23" s="15"/>
      <c r="AS23" s="10">
        <f t="shared" si="21"/>
        <v>0</v>
      </c>
      <c r="AT23" s="15"/>
      <c r="AU23" s="10">
        <f t="shared" si="22"/>
        <v>0</v>
      </c>
      <c r="AV23" s="15"/>
      <c r="AW23" s="10">
        <f t="shared" si="23"/>
        <v>0</v>
      </c>
      <c r="AX23" s="15"/>
      <c r="AY23" s="10">
        <f t="shared" si="24"/>
        <v>0</v>
      </c>
      <c r="AZ23" s="15"/>
      <c r="BA23" s="10">
        <f t="shared" si="25"/>
        <v>0</v>
      </c>
      <c r="BB23" s="15"/>
      <c r="BC23" s="10">
        <f t="shared" si="26"/>
        <v>0</v>
      </c>
      <c r="BD23" s="15"/>
      <c r="BE23" s="10">
        <f t="shared" si="27"/>
        <v>0</v>
      </c>
      <c r="BF23" s="11">
        <f t="shared" si="28"/>
        <v>0</v>
      </c>
      <c r="BG23" s="12">
        <f t="shared" si="29"/>
        <v>0</v>
      </c>
      <c r="BH23" s="15"/>
      <c r="BI23" s="10">
        <f t="shared" si="30"/>
        <v>0</v>
      </c>
      <c r="BJ23" s="15"/>
      <c r="BK23" s="10">
        <f t="shared" si="31"/>
        <v>0</v>
      </c>
      <c r="BL23" s="15"/>
      <c r="BM23" s="10">
        <f t="shared" si="32"/>
        <v>0</v>
      </c>
      <c r="BN23" s="15"/>
      <c r="BO23" s="10">
        <f t="shared" si="33"/>
        <v>0</v>
      </c>
      <c r="BP23" s="15"/>
      <c r="BQ23" s="10">
        <f t="shared" si="34"/>
        <v>0</v>
      </c>
      <c r="BR23" s="15"/>
      <c r="BS23" s="10">
        <f t="shared" si="35"/>
        <v>0</v>
      </c>
      <c r="BT23" s="15"/>
      <c r="BU23" s="10">
        <f t="shared" si="36"/>
        <v>0</v>
      </c>
      <c r="BV23" s="15"/>
      <c r="BW23" s="10">
        <f t="shared" si="37"/>
        <v>0</v>
      </c>
      <c r="BX23" s="15"/>
      <c r="BY23" s="10">
        <f t="shared" si="38"/>
        <v>0</v>
      </c>
      <c r="BZ23" s="15"/>
      <c r="CA23" s="10">
        <f t="shared" si="39"/>
        <v>0</v>
      </c>
      <c r="CB23" s="15"/>
      <c r="CC23" s="10">
        <f t="shared" si="40"/>
        <v>0</v>
      </c>
      <c r="CD23" s="15"/>
      <c r="CE23" s="10">
        <f t="shared" si="41"/>
        <v>0</v>
      </c>
      <c r="CF23" s="11">
        <f t="shared" si="42"/>
        <v>0</v>
      </c>
      <c r="CG23" s="12">
        <f t="shared" si="43"/>
        <v>0</v>
      </c>
      <c r="CH23" s="15"/>
      <c r="CI23" s="10">
        <f t="shared" si="44"/>
        <v>0</v>
      </c>
      <c r="CJ23" s="15"/>
      <c r="CK23" s="10">
        <f t="shared" si="45"/>
        <v>0</v>
      </c>
      <c r="CL23" s="15"/>
      <c r="CM23" s="10">
        <f t="shared" si="46"/>
        <v>0</v>
      </c>
      <c r="CN23" s="15"/>
      <c r="CO23" s="10">
        <f t="shared" si="47"/>
        <v>0</v>
      </c>
      <c r="CP23" s="15"/>
      <c r="CQ23" s="10">
        <f t="shared" si="48"/>
        <v>0</v>
      </c>
      <c r="CR23" s="15"/>
      <c r="CS23" s="10">
        <f t="shared" si="49"/>
        <v>0</v>
      </c>
      <c r="CT23" s="15"/>
      <c r="CU23" s="10">
        <f t="shared" si="50"/>
        <v>0</v>
      </c>
      <c r="CV23" s="15"/>
      <c r="CW23" s="10">
        <f t="shared" si="51"/>
        <v>0</v>
      </c>
      <c r="CX23" s="15"/>
      <c r="CY23" s="10">
        <f t="shared" si="52"/>
        <v>0</v>
      </c>
      <c r="CZ23" s="15"/>
      <c r="DA23" s="10">
        <f t="shared" si="53"/>
        <v>0</v>
      </c>
      <c r="DB23" s="15"/>
      <c r="DC23" s="10">
        <f t="shared" si="54"/>
        <v>0</v>
      </c>
      <c r="DD23" s="15"/>
      <c r="DE23" s="10">
        <f t="shared" si="54"/>
        <v>0</v>
      </c>
      <c r="DF23" s="231">
        <f t="shared" si="55"/>
        <v>0</v>
      </c>
      <c r="DG23" s="230">
        <f t="shared" si="56"/>
        <v>0</v>
      </c>
      <c r="DH23" s="238"/>
      <c r="DI23" s="239">
        <f>DH23*$E23</f>
        <v>0</v>
      </c>
      <c r="DJ23" s="15"/>
      <c r="DK23" s="239">
        <f t="shared" si="82"/>
        <v>0</v>
      </c>
      <c r="DL23" s="238"/>
      <c r="DM23" s="239">
        <f t="shared" si="83"/>
        <v>0</v>
      </c>
      <c r="DN23" s="238"/>
      <c r="DO23" s="239">
        <f t="shared" si="84"/>
        <v>0</v>
      </c>
      <c r="DP23" s="238"/>
      <c r="DQ23" s="239">
        <f t="shared" si="85"/>
        <v>0</v>
      </c>
      <c r="DR23" s="238"/>
      <c r="DS23" s="239">
        <f t="shared" si="86"/>
        <v>0</v>
      </c>
      <c r="DT23" s="238"/>
      <c r="DU23" s="239">
        <f t="shared" si="87"/>
        <v>0</v>
      </c>
      <c r="DV23" s="238"/>
      <c r="DW23" s="239">
        <f t="shared" si="88"/>
        <v>0</v>
      </c>
      <c r="DX23" s="238"/>
      <c r="DY23" s="239">
        <f t="shared" si="89"/>
        <v>0</v>
      </c>
      <c r="DZ23" s="238"/>
      <c r="EA23" s="239">
        <f t="shared" si="90"/>
        <v>0</v>
      </c>
      <c r="EB23" s="238"/>
      <c r="EC23" s="239">
        <f t="shared" si="91"/>
        <v>0</v>
      </c>
      <c r="ED23" s="238"/>
      <c r="EE23" s="239">
        <f t="shared" si="92"/>
        <v>0</v>
      </c>
      <c r="EF23" s="240">
        <f t="shared" si="93"/>
        <v>0</v>
      </c>
      <c r="EG23" s="239">
        <f t="shared" si="93"/>
        <v>0</v>
      </c>
    </row>
    <row r="24" spans="1:137" ht="19.8">
      <c r="A24" s="7">
        <v>19</v>
      </c>
      <c r="B24" s="8" t="s">
        <v>32</v>
      </c>
      <c r="C24" s="8" t="s">
        <v>11</v>
      </c>
      <c r="D24" s="7">
        <f t="shared" si="80"/>
        <v>31</v>
      </c>
      <c r="E24" s="7">
        <v>0.64</v>
      </c>
      <c r="F24" s="7" t="s">
        <v>22</v>
      </c>
      <c r="G24" s="7"/>
      <c r="H24" s="15"/>
      <c r="I24" s="10">
        <f t="shared" si="2"/>
        <v>0</v>
      </c>
      <c r="J24" s="15"/>
      <c r="K24" s="10">
        <f t="shared" si="3"/>
        <v>0</v>
      </c>
      <c r="L24" s="15"/>
      <c r="M24" s="10">
        <f t="shared" si="4"/>
        <v>0</v>
      </c>
      <c r="N24" s="15"/>
      <c r="O24" s="10">
        <f t="shared" si="5"/>
        <v>0</v>
      </c>
      <c r="P24" s="15"/>
      <c r="Q24" s="10">
        <f t="shared" si="6"/>
        <v>0</v>
      </c>
      <c r="R24" s="15"/>
      <c r="S24" s="10">
        <f t="shared" si="7"/>
        <v>0</v>
      </c>
      <c r="T24" s="15"/>
      <c r="U24" s="10">
        <f t="shared" si="8"/>
        <v>0</v>
      </c>
      <c r="V24" s="15"/>
      <c r="W24" s="10">
        <f t="shared" si="9"/>
        <v>0</v>
      </c>
      <c r="X24" s="15"/>
      <c r="Y24" s="10">
        <f t="shared" si="10"/>
        <v>0</v>
      </c>
      <c r="Z24" s="15"/>
      <c r="AA24" s="10">
        <f t="shared" si="11"/>
        <v>0</v>
      </c>
      <c r="AB24" s="15"/>
      <c r="AC24" s="10">
        <f t="shared" si="12"/>
        <v>0</v>
      </c>
      <c r="AD24" s="15"/>
      <c r="AE24" s="10">
        <f t="shared" si="13"/>
        <v>0</v>
      </c>
      <c r="AF24" s="11">
        <f t="shared" si="14"/>
        <v>0</v>
      </c>
      <c r="AG24" s="12">
        <f t="shared" si="15"/>
        <v>0</v>
      </c>
      <c r="AH24" s="15"/>
      <c r="AI24" s="10">
        <f t="shared" si="16"/>
        <v>0</v>
      </c>
      <c r="AJ24" s="15"/>
      <c r="AK24" s="10">
        <f t="shared" si="17"/>
        <v>0</v>
      </c>
      <c r="AL24" s="15"/>
      <c r="AM24" s="10">
        <f t="shared" si="18"/>
        <v>0</v>
      </c>
      <c r="AN24" s="15"/>
      <c r="AO24" s="10">
        <f t="shared" si="19"/>
        <v>0</v>
      </c>
      <c r="AP24" s="15"/>
      <c r="AQ24" s="10">
        <f t="shared" si="20"/>
        <v>0</v>
      </c>
      <c r="AR24" s="15"/>
      <c r="AS24" s="10">
        <f t="shared" si="21"/>
        <v>0</v>
      </c>
      <c r="AT24" s="15"/>
      <c r="AU24" s="10">
        <f t="shared" si="22"/>
        <v>0</v>
      </c>
      <c r="AV24" s="15"/>
      <c r="AW24" s="10">
        <f t="shared" si="23"/>
        <v>0</v>
      </c>
      <c r="AX24" s="15"/>
      <c r="AY24" s="10">
        <f t="shared" si="24"/>
        <v>0</v>
      </c>
      <c r="AZ24" s="15"/>
      <c r="BA24" s="10">
        <f t="shared" si="25"/>
        <v>0</v>
      </c>
      <c r="BB24" s="15"/>
      <c r="BC24" s="10">
        <f t="shared" si="26"/>
        <v>0</v>
      </c>
      <c r="BD24" s="15"/>
      <c r="BE24" s="10">
        <f t="shared" si="27"/>
        <v>0</v>
      </c>
      <c r="BF24" s="11">
        <f t="shared" si="28"/>
        <v>0</v>
      </c>
      <c r="BG24" s="12">
        <f t="shared" si="29"/>
        <v>0</v>
      </c>
      <c r="BH24" s="15"/>
      <c r="BI24" s="10">
        <f t="shared" si="30"/>
        <v>0</v>
      </c>
      <c r="BJ24" s="15"/>
      <c r="BK24" s="10">
        <f t="shared" si="31"/>
        <v>0</v>
      </c>
      <c r="BL24" s="15"/>
      <c r="BM24" s="10">
        <f t="shared" si="32"/>
        <v>0</v>
      </c>
      <c r="BN24" s="15"/>
      <c r="BO24" s="10">
        <f t="shared" si="33"/>
        <v>0</v>
      </c>
      <c r="BP24" s="15"/>
      <c r="BQ24" s="10">
        <f t="shared" si="34"/>
        <v>0</v>
      </c>
      <c r="BR24" s="15"/>
      <c r="BS24" s="10">
        <f t="shared" si="35"/>
        <v>0</v>
      </c>
      <c r="BT24" s="15"/>
      <c r="BU24" s="10">
        <f t="shared" si="36"/>
        <v>0</v>
      </c>
      <c r="BV24" s="15"/>
      <c r="BW24" s="10">
        <f t="shared" si="37"/>
        <v>0</v>
      </c>
      <c r="BX24" s="15"/>
      <c r="BY24" s="10">
        <f t="shared" si="38"/>
        <v>0</v>
      </c>
      <c r="BZ24" s="15"/>
      <c r="CA24" s="10">
        <f t="shared" si="39"/>
        <v>0</v>
      </c>
      <c r="CB24" s="15"/>
      <c r="CC24" s="10">
        <f t="shared" si="40"/>
        <v>0</v>
      </c>
      <c r="CD24" s="15"/>
      <c r="CE24" s="10">
        <f t="shared" si="41"/>
        <v>0</v>
      </c>
      <c r="CF24" s="11">
        <f t="shared" si="42"/>
        <v>0</v>
      </c>
      <c r="CG24" s="12">
        <f t="shared" si="43"/>
        <v>0</v>
      </c>
      <c r="CH24" s="15"/>
      <c r="CI24" s="10">
        <f t="shared" si="44"/>
        <v>0</v>
      </c>
      <c r="CJ24" s="15"/>
      <c r="CK24" s="10">
        <f t="shared" si="45"/>
        <v>0</v>
      </c>
      <c r="CL24" s="15"/>
      <c r="CM24" s="10">
        <f t="shared" si="46"/>
        <v>0</v>
      </c>
      <c r="CN24" s="15"/>
      <c r="CO24" s="10">
        <f t="shared" si="47"/>
        <v>0</v>
      </c>
      <c r="CP24" s="15"/>
      <c r="CQ24" s="10">
        <f t="shared" si="48"/>
        <v>0</v>
      </c>
      <c r="CR24" s="15"/>
      <c r="CS24" s="10">
        <f t="shared" si="49"/>
        <v>0</v>
      </c>
      <c r="CT24" s="15"/>
      <c r="CU24" s="10">
        <f t="shared" si="50"/>
        <v>0</v>
      </c>
      <c r="CV24" s="15"/>
      <c r="CW24" s="10">
        <f t="shared" si="51"/>
        <v>0</v>
      </c>
      <c r="CX24" s="15"/>
      <c r="CY24" s="10">
        <f t="shared" si="52"/>
        <v>0</v>
      </c>
      <c r="CZ24" s="15"/>
      <c r="DA24" s="10">
        <f t="shared" si="53"/>
        <v>0</v>
      </c>
      <c r="DB24" s="15"/>
      <c r="DC24" s="10">
        <f t="shared" si="54"/>
        <v>0</v>
      </c>
      <c r="DD24" s="15"/>
      <c r="DE24" s="10">
        <f t="shared" si="54"/>
        <v>0</v>
      </c>
      <c r="DF24" s="231">
        <f t="shared" si="55"/>
        <v>0</v>
      </c>
      <c r="DG24" s="230">
        <f t="shared" si="56"/>
        <v>0</v>
      </c>
      <c r="DH24" s="238"/>
      <c r="DI24" s="239">
        <f t="shared" ref="DI24" si="94">DH24*$E24</f>
        <v>0</v>
      </c>
      <c r="DJ24" s="15"/>
      <c r="DK24" s="239">
        <f t="shared" si="82"/>
        <v>0</v>
      </c>
      <c r="DL24" s="238"/>
      <c r="DM24" s="239">
        <f t="shared" si="83"/>
        <v>0</v>
      </c>
      <c r="DN24" s="238"/>
      <c r="DO24" s="239">
        <f t="shared" si="84"/>
        <v>0</v>
      </c>
      <c r="DP24" s="238"/>
      <c r="DQ24" s="239">
        <f t="shared" si="85"/>
        <v>0</v>
      </c>
      <c r="DR24" s="238"/>
      <c r="DS24" s="239">
        <f t="shared" si="86"/>
        <v>0</v>
      </c>
      <c r="DT24" s="238"/>
      <c r="DU24" s="239">
        <f t="shared" si="87"/>
        <v>0</v>
      </c>
      <c r="DV24" s="238"/>
      <c r="DW24" s="239">
        <f t="shared" si="88"/>
        <v>0</v>
      </c>
      <c r="DX24" s="238"/>
      <c r="DY24" s="239">
        <f t="shared" si="89"/>
        <v>0</v>
      </c>
      <c r="DZ24" s="238"/>
      <c r="EA24" s="239">
        <f t="shared" si="90"/>
        <v>0</v>
      </c>
      <c r="EB24" s="238"/>
      <c r="EC24" s="239">
        <f t="shared" si="91"/>
        <v>0</v>
      </c>
      <c r="ED24" s="238"/>
      <c r="EE24" s="239">
        <f t="shared" si="92"/>
        <v>0</v>
      </c>
      <c r="EF24" s="240">
        <f t="shared" si="93"/>
        <v>0</v>
      </c>
      <c r="EG24" s="239">
        <f t="shared" si="93"/>
        <v>0</v>
      </c>
    </row>
    <row r="25" spans="1:137" ht="19.8">
      <c r="A25" s="7"/>
      <c r="B25" s="8"/>
      <c r="C25" s="8"/>
      <c r="D25" s="7"/>
      <c r="E25" s="7"/>
      <c r="F25" s="7"/>
      <c r="G25" s="7"/>
      <c r="H25" s="15"/>
      <c r="I25" s="10">
        <f t="shared" si="2"/>
        <v>0</v>
      </c>
      <c r="J25" s="15"/>
      <c r="K25" s="10">
        <f t="shared" si="3"/>
        <v>0</v>
      </c>
      <c r="L25" s="15"/>
      <c r="M25" s="10">
        <f t="shared" si="4"/>
        <v>0</v>
      </c>
      <c r="N25" s="15"/>
      <c r="O25" s="10">
        <f t="shared" si="5"/>
        <v>0</v>
      </c>
      <c r="P25" s="15"/>
      <c r="Q25" s="10">
        <f t="shared" si="6"/>
        <v>0</v>
      </c>
      <c r="R25" s="15"/>
      <c r="S25" s="10">
        <f t="shared" si="7"/>
        <v>0</v>
      </c>
      <c r="T25" s="15"/>
      <c r="U25" s="10">
        <f t="shared" si="8"/>
        <v>0</v>
      </c>
      <c r="V25" s="15"/>
      <c r="W25" s="10">
        <f t="shared" si="9"/>
        <v>0</v>
      </c>
      <c r="X25" s="15"/>
      <c r="Y25" s="10">
        <f t="shared" si="10"/>
        <v>0</v>
      </c>
      <c r="Z25" s="15"/>
      <c r="AA25" s="10">
        <f t="shared" si="11"/>
        <v>0</v>
      </c>
      <c r="AB25" s="15"/>
      <c r="AC25" s="10">
        <f t="shared" si="12"/>
        <v>0</v>
      </c>
      <c r="AD25" s="15"/>
      <c r="AE25" s="10">
        <f t="shared" si="13"/>
        <v>0</v>
      </c>
      <c r="AF25" s="11">
        <f t="shared" si="14"/>
        <v>0</v>
      </c>
      <c r="AG25" s="12">
        <f t="shared" si="15"/>
        <v>0</v>
      </c>
      <c r="AH25" s="15"/>
      <c r="AI25" s="10">
        <f t="shared" si="16"/>
        <v>0</v>
      </c>
      <c r="AJ25" s="15"/>
      <c r="AK25" s="10">
        <f t="shared" si="17"/>
        <v>0</v>
      </c>
      <c r="AL25" s="15"/>
      <c r="AM25" s="10">
        <f t="shared" si="18"/>
        <v>0</v>
      </c>
      <c r="AN25" s="15"/>
      <c r="AO25" s="10">
        <f t="shared" si="19"/>
        <v>0</v>
      </c>
      <c r="AP25" s="15"/>
      <c r="AQ25" s="10">
        <f t="shared" si="20"/>
        <v>0</v>
      </c>
      <c r="AR25" s="15"/>
      <c r="AS25" s="10">
        <f t="shared" si="21"/>
        <v>0</v>
      </c>
      <c r="AT25" s="15"/>
      <c r="AU25" s="10">
        <f t="shared" si="22"/>
        <v>0</v>
      </c>
      <c r="AV25" s="15"/>
      <c r="AW25" s="10">
        <f t="shared" si="23"/>
        <v>0</v>
      </c>
      <c r="AX25" s="15"/>
      <c r="AY25" s="10">
        <f t="shared" si="24"/>
        <v>0</v>
      </c>
      <c r="AZ25" s="15"/>
      <c r="BA25" s="10">
        <f t="shared" si="25"/>
        <v>0</v>
      </c>
      <c r="BB25" s="15"/>
      <c r="BC25" s="10">
        <f t="shared" si="26"/>
        <v>0</v>
      </c>
      <c r="BD25" s="15"/>
      <c r="BE25" s="10">
        <f t="shared" si="27"/>
        <v>0</v>
      </c>
      <c r="BF25" s="11">
        <f t="shared" si="28"/>
        <v>0</v>
      </c>
      <c r="BG25" s="12">
        <f t="shared" si="29"/>
        <v>0</v>
      </c>
      <c r="BH25" s="15"/>
      <c r="BI25" s="10">
        <f t="shared" si="30"/>
        <v>0</v>
      </c>
      <c r="BJ25" s="15"/>
      <c r="BK25" s="10">
        <f t="shared" si="31"/>
        <v>0</v>
      </c>
      <c r="BL25" s="15"/>
      <c r="BM25" s="10">
        <f t="shared" si="32"/>
        <v>0</v>
      </c>
      <c r="BN25" s="15"/>
      <c r="BO25" s="10">
        <f t="shared" si="33"/>
        <v>0</v>
      </c>
      <c r="BP25" s="15"/>
      <c r="BQ25" s="10">
        <f t="shared" si="34"/>
        <v>0</v>
      </c>
      <c r="BR25" s="15"/>
      <c r="BS25" s="10">
        <f t="shared" si="35"/>
        <v>0</v>
      </c>
      <c r="BT25" s="15"/>
      <c r="BU25" s="10">
        <f t="shared" si="36"/>
        <v>0</v>
      </c>
      <c r="BV25" s="15"/>
      <c r="BW25" s="10">
        <f t="shared" si="37"/>
        <v>0</v>
      </c>
      <c r="BX25" s="15"/>
      <c r="BY25" s="10">
        <f t="shared" si="38"/>
        <v>0</v>
      </c>
      <c r="BZ25" s="15"/>
      <c r="CA25" s="10">
        <f t="shared" si="39"/>
        <v>0</v>
      </c>
      <c r="CB25" s="15"/>
      <c r="CC25" s="10">
        <f t="shared" si="40"/>
        <v>0</v>
      </c>
      <c r="CD25" s="15"/>
      <c r="CE25" s="10">
        <f t="shared" si="41"/>
        <v>0</v>
      </c>
      <c r="CF25" s="11">
        <f t="shared" si="42"/>
        <v>0</v>
      </c>
      <c r="CG25" s="12">
        <f t="shared" si="43"/>
        <v>0</v>
      </c>
      <c r="CH25" s="15"/>
      <c r="CI25" s="10">
        <f t="shared" si="44"/>
        <v>0</v>
      </c>
      <c r="CJ25" s="15"/>
      <c r="CK25" s="10">
        <f t="shared" si="45"/>
        <v>0</v>
      </c>
      <c r="CL25" s="15"/>
      <c r="CM25" s="10">
        <f t="shared" si="46"/>
        <v>0</v>
      </c>
      <c r="CN25" s="15"/>
      <c r="CO25" s="10">
        <f t="shared" si="47"/>
        <v>0</v>
      </c>
      <c r="CP25" s="15"/>
      <c r="CQ25" s="10">
        <f t="shared" si="48"/>
        <v>0</v>
      </c>
      <c r="CR25" s="15"/>
      <c r="CS25" s="10">
        <f t="shared" si="49"/>
        <v>0</v>
      </c>
      <c r="CT25" s="15"/>
      <c r="CU25" s="10">
        <f t="shared" si="50"/>
        <v>0</v>
      </c>
      <c r="CV25" s="15"/>
      <c r="CW25" s="10">
        <f t="shared" si="51"/>
        <v>0</v>
      </c>
      <c r="CX25" s="15"/>
      <c r="CY25" s="10">
        <f t="shared" si="52"/>
        <v>0</v>
      </c>
      <c r="CZ25" s="15"/>
      <c r="DA25" s="10">
        <f t="shared" si="53"/>
        <v>0</v>
      </c>
      <c r="DB25" s="15"/>
      <c r="DC25" s="10">
        <f t="shared" si="54"/>
        <v>0</v>
      </c>
      <c r="DD25" s="15"/>
      <c r="DE25" s="10">
        <f t="shared" si="54"/>
        <v>0</v>
      </c>
      <c r="DF25" s="231">
        <f t="shared" si="55"/>
        <v>0</v>
      </c>
      <c r="DG25" s="230">
        <f t="shared" si="56"/>
        <v>0</v>
      </c>
      <c r="DH25" s="238"/>
      <c r="DI25" s="239"/>
      <c r="DJ25" s="15"/>
      <c r="DK25" s="239"/>
      <c r="DL25" s="238"/>
      <c r="DM25" s="239"/>
      <c r="DN25" s="238"/>
      <c r="DO25" s="239"/>
      <c r="DP25" s="238"/>
      <c r="DQ25" s="239"/>
      <c r="DR25" s="238"/>
      <c r="DS25" s="239"/>
      <c r="DT25" s="238"/>
      <c r="DU25" s="239"/>
      <c r="DV25" s="238"/>
      <c r="DW25" s="239"/>
      <c r="DX25" s="238"/>
      <c r="DY25" s="239"/>
      <c r="DZ25" s="238"/>
      <c r="EA25" s="239"/>
      <c r="EB25" s="238"/>
      <c r="EC25" s="239"/>
      <c r="ED25" s="238"/>
      <c r="EE25" s="239"/>
      <c r="EF25" s="240"/>
      <c r="EG25" s="239"/>
    </row>
    <row r="26" spans="1:137" ht="19.8">
      <c r="A26" s="7">
        <v>20</v>
      </c>
      <c r="B26" s="8" t="s">
        <v>33</v>
      </c>
      <c r="C26" s="8" t="s">
        <v>14</v>
      </c>
      <c r="D26" s="7">
        <f>RANK(DF26,$DF$4:$DF$147)</f>
        <v>31</v>
      </c>
      <c r="E26" s="7">
        <v>1</v>
      </c>
      <c r="F26" s="7" t="s">
        <v>12</v>
      </c>
      <c r="G26" s="7"/>
      <c r="H26" s="15"/>
      <c r="I26" s="10">
        <f t="shared" si="2"/>
        <v>0</v>
      </c>
      <c r="J26" s="15"/>
      <c r="K26" s="10">
        <f t="shared" si="3"/>
        <v>0</v>
      </c>
      <c r="L26" s="15"/>
      <c r="M26" s="10">
        <f t="shared" si="4"/>
        <v>0</v>
      </c>
      <c r="N26" s="15"/>
      <c r="O26" s="10">
        <f t="shared" si="5"/>
        <v>0</v>
      </c>
      <c r="P26" s="15"/>
      <c r="Q26" s="10">
        <f t="shared" si="6"/>
        <v>0</v>
      </c>
      <c r="R26" s="15"/>
      <c r="S26" s="10">
        <f t="shared" si="7"/>
        <v>0</v>
      </c>
      <c r="T26" s="15"/>
      <c r="U26" s="10">
        <f t="shared" si="8"/>
        <v>0</v>
      </c>
      <c r="V26" s="15"/>
      <c r="W26" s="10">
        <f t="shared" si="9"/>
        <v>0</v>
      </c>
      <c r="X26" s="15"/>
      <c r="Y26" s="10">
        <f t="shared" si="10"/>
        <v>0</v>
      </c>
      <c r="Z26" s="15"/>
      <c r="AA26" s="10">
        <f t="shared" si="11"/>
        <v>0</v>
      </c>
      <c r="AB26" s="15"/>
      <c r="AC26" s="10">
        <f t="shared" si="12"/>
        <v>0</v>
      </c>
      <c r="AD26" s="15"/>
      <c r="AE26" s="10">
        <f t="shared" si="13"/>
        <v>0</v>
      </c>
      <c r="AF26" s="11">
        <f t="shared" si="14"/>
        <v>0</v>
      </c>
      <c r="AG26" s="12">
        <f t="shared" si="15"/>
        <v>0</v>
      </c>
      <c r="AH26" s="15"/>
      <c r="AI26" s="10">
        <f t="shared" si="16"/>
        <v>0</v>
      </c>
      <c r="AJ26" s="15"/>
      <c r="AK26" s="10">
        <f t="shared" si="17"/>
        <v>0</v>
      </c>
      <c r="AL26" s="15"/>
      <c r="AM26" s="10">
        <f t="shared" si="18"/>
        <v>0</v>
      </c>
      <c r="AN26" s="15"/>
      <c r="AO26" s="10">
        <f t="shared" si="19"/>
        <v>0</v>
      </c>
      <c r="AP26" s="15"/>
      <c r="AQ26" s="10">
        <f t="shared" si="20"/>
        <v>0</v>
      </c>
      <c r="AR26" s="15"/>
      <c r="AS26" s="10">
        <f t="shared" si="21"/>
        <v>0</v>
      </c>
      <c r="AT26" s="15"/>
      <c r="AU26" s="10">
        <f t="shared" si="22"/>
        <v>0</v>
      </c>
      <c r="AV26" s="15"/>
      <c r="AW26" s="10">
        <f t="shared" si="23"/>
        <v>0</v>
      </c>
      <c r="AX26" s="15"/>
      <c r="AY26" s="10">
        <f t="shared" si="24"/>
        <v>0</v>
      </c>
      <c r="AZ26" s="15"/>
      <c r="BA26" s="10">
        <f t="shared" si="25"/>
        <v>0</v>
      </c>
      <c r="BB26" s="15"/>
      <c r="BC26" s="10">
        <f t="shared" si="26"/>
        <v>0</v>
      </c>
      <c r="BD26" s="15"/>
      <c r="BE26" s="10">
        <f t="shared" si="27"/>
        <v>0</v>
      </c>
      <c r="BF26" s="11">
        <f t="shared" si="28"/>
        <v>0</v>
      </c>
      <c r="BG26" s="12">
        <f t="shared" si="29"/>
        <v>0</v>
      </c>
      <c r="BH26" s="15"/>
      <c r="BI26" s="10">
        <f t="shared" si="30"/>
        <v>0</v>
      </c>
      <c r="BJ26" s="15"/>
      <c r="BK26" s="10">
        <f t="shared" si="31"/>
        <v>0</v>
      </c>
      <c r="BL26" s="15"/>
      <c r="BM26" s="10">
        <f t="shared" si="32"/>
        <v>0</v>
      </c>
      <c r="BN26" s="15"/>
      <c r="BO26" s="10">
        <f t="shared" si="33"/>
        <v>0</v>
      </c>
      <c r="BP26" s="15"/>
      <c r="BQ26" s="10">
        <f t="shared" si="34"/>
        <v>0</v>
      </c>
      <c r="BR26" s="15"/>
      <c r="BS26" s="10">
        <f t="shared" si="35"/>
        <v>0</v>
      </c>
      <c r="BT26" s="15"/>
      <c r="BU26" s="10">
        <f t="shared" si="36"/>
        <v>0</v>
      </c>
      <c r="BV26" s="15"/>
      <c r="BW26" s="10">
        <f t="shared" si="37"/>
        <v>0</v>
      </c>
      <c r="BX26" s="15"/>
      <c r="BY26" s="10">
        <f t="shared" si="38"/>
        <v>0</v>
      </c>
      <c r="BZ26" s="15"/>
      <c r="CA26" s="10">
        <f t="shared" si="39"/>
        <v>0</v>
      </c>
      <c r="CB26" s="15"/>
      <c r="CC26" s="10">
        <f t="shared" si="40"/>
        <v>0</v>
      </c>
      <c r="CD26" s="15"/>
      <c r="CE26" s="10">
        <f t="shared" si="41"/>
        <v>0</v>
      </c>
      <c r="CF26" s="11">
        <f t="shared" si="42"/>
        <v>0</v>
      </c>
      <c r="CG26" s="12">
        <f t="shared" si="43"/>
        <v>0</v>
      </c>
      <c r="CH26" s="15"/>
      <c r="CI26" s="10">
        <f t="shared" si="44"/>
        <v>0</v>
      </c>
      <c r="CJ26" s="15"/>
      <c r="CK26" s="10">
        <f t="shared" si="45"/>
        <v>0</v>
      </c>
      <c r="CL26" s="15"/>
      <c r="CM26" s="10">
        <f t="shared" si="46"/>
        <v>0</v>
      </c>
      <c r="CN26" s="15"/>
      <c r="CO26" s="10">
        <f t="shared" si="47"/>
        <v>0</v>
      </c>
      <c r="CP26" s="15"/>
      <c r="CQ26" s="10">
        <f t="shared" si="48"/>
        <v>0</v>
      </c>
      <c r="CR26" s="15"/>
      <c r="CS26" s="10">
        <f t="shared" si="49"/>
        <v>0</v>
      </c>
      <c r="CT26" s="15"/>
      <c r="CU26" s="10">
        <f t="shared" si="50"/>
        <v>0</v>
      </c>
      <c r="CV26" s="15"/>
      <c r="CW26" s="10">
        <f t="shared" si="51"/>
        <v>0</v>
      </c>
      <c r="CX26" s="15"/>
      <c r="CY26" s="10">
        <f t="shared" si="52"/>
        <v>0</v>
      </c>
      <c r="CZ26" s="15"/>
      <c r="DA26" s="10">
        <f t="shared" si="53"/>
        <v>0</v>
      </c>
      <c r="DB26" s="15"/>
      <c r="DC26" s="10">
        <f t="shared" si="54"/>
        <v>0</v>
      </c>
      <c r="DD26" s="15"/>
      <c r="DE26" s="10">
        <f t="shared" si="54"/>
        <v>0</v>
      </c>
      <c r="DF26" s="231">
        <f t="shared" si="55"/>
        <v>0</v>
      </c>
      <c r="DG26" s="230">
        <f t="shared" si="56"/>
        <v>0</v>
      </c>
      <c r="DH26" s="238"/>
      <c r="DI26" s="239">
        <f t="shared" ref="DI26:DI29" si="95">DH26*$E26</f>
        <v>0</v>
      </c>
      <c r="DJ26" s="15"/>
      <c r="DK26" s="239">
        <f t="shared" ref="DK26:DK29" si="96">DJ26*$E26</f>
        <v>0</v>
      </c>
      <c r="DL26" s="238"/>
      <c r="DM26" s="239">
        <f t="shared" ref="DM26:DM29" si="97">DL26*$E26</f>
        <v>0</v>
      </c>
      <c r="DN26" s="238"/>
      <c r="DO26" s="239">
        <f t="shared" ref="DO26:DO29" si="98">DN26*$E26</f>
        <v>0</v>
      </c>
      <c r="DP26" s="238"/>
      <c r="DQ26" s="239">
        <f t="shared" ref="DQ26:DQ29" si="99">DP26*$E26</f>
        <v>0</v>
      </c>
      <c r="DR26" s="238"/>
      <c r="DS26" s="239">
        <f t="shared" ref="DS26:DS29" si="100">DR26*$E26</f>
        <v>0</v>
      </c>
      <c r="DT26" s="238"/>
      <c r="DU26" s="239">
        <f t="shared" ref="DU26:DU29" si="101">DT26*$E26</f>
        <v>0</v>
      </c>
      <c r="DV26" s="238"/>
      <c r="DW26" s="239">
        <f t="shared" ref="DW26:DW29" si="102">DV26*$E26</f>
        <v>0</v>
      </c>
      <c r="DX26" s="238"/>
      <c r="DY26" s="239">
        <f t="shared" ref="DY26:DY29" si="103">DX26*$E26</f>
        <v>0</v>
      </c>
      <c r="DZ26" s="238"/>
      <c r="EA26" s="239">
        <f t="shared" ref="EA26:EA29" si="104">DZ26*$E26</f>
        <v>0</v>
      </c>
      <c r="EB26" s="238"/>
      <c r="EC26" s="239">
        <f t="shared" ref="EC26:EC29" si="105">EB26*$E26</f>
        <v>0</v>
      </c>
      <c r="ED26" s="238"/>
      <c r="EE26" s="239">
        <f t="shared" ref="EE26:EE29" si="106">ED26*$E26</f>
        <v>0</v>
      </c>
      <c r="EF26" s="240">
        <f t="shared" ref="EF26:EG29" si="107">SUM(DH26,DJ26,DL26,DN26,DP26,DR26,DT26,DV26,DX26,DZ26,EB26,ED26)</f>
        <v>0</v>
      </c>
      <c r="EG26" s="239">
        <f t="shared" si="107"/>
        <v>0</v>
      </c>
    </row>
    <row r="27" spans="1:137" ht="19.8">
      <c r="A27" s="7">
        <v>21</v>
      </c>
      <c r="B27" s="8" t="s">
        <v>34</v>
      </c>
      <c r="C27" s="8" t="s">
        <v>14</v>
      </c>
      <c r="D27" s="7">
        <f>RANK(DF27,$DF$4:$DF$147)</f>
        <v>31</v>
      </c>
      <c r="E27" s="7">
        <v>0.6</v>
      </c>
      <c r="F27" s="7" t="s">
        <v>35</v>
      </c>
      <c r="G27" s="7"/>
      <c r="H27" s="15"/>
      <c r="I27" s="10">
        <f t="shared" si="2"/>
        <v>0</v>
      </c>
      <c r="J27" s="15"/>
      <c r="K27" s="10">
        <f t="shared" si="3"/>
        <v>0</v>
      </c>
      <c r="L27" s="15"/>
      <c r="M27" s="10">
        <f t="shared" si="4"/>
        <v>0</v>
      </c>
      <c r="N27" s="15"/>
      <c r="O27" s="10">
        <f t="shared" si="5"/>
        <v>0</v>
      </c>
      <c r="P27" s="15"/>
      <c r="Q27" s="10">
        <f t="shared" si="6"/>
        <v>0</v>
      </c>
      <c r="R27" s="15"/>
      <c r="S27" s="10">
        <f t="shared" si="7"/>
        <v>0</v>
      </c>
      <c r="T27" s="15"/>
      <c r="U27" s="10">
        <f t="shared" si="8"/>
        <v>0</v>
      </c>
      <c r="V27" s="15"/>
      <c r="W27" s="10">
        <f t="shared" si="9"/>
        <v>0</v>
      </c>
      <c r="X27" s="15"/>
      <c r="Y27" s="10">
        <f t="shared" si="10"/>
        <v>0</v>
      </c>
      <c r="Z27" s="15"/>
      <c r="AA27" s="10">
        <f t="shared" si="11"/>
        <v>0</v>
      </c>
      <c r="AB27" s="15"/>
      <c r="AC27" s="10">
        <f t="shared" si="12"/>
        <v>0</v>
      </c>
      <c r="AD27" s="15"/>
      <c r="AE27" s="10">
        <f t="shared" si="13"/>
        <v>0</v>
      </c>
      <c r="AF27" s="11">
        <f t="shared" si="14"/>
        <v>0</v>
      </c>
      <c r="AG27" s="12">
        <f t="shared" si="15"/>
        <v>0</v>
      </c>
      <c r="AH27" s="15"/>
      <c r="AI27" s="10">
        <f t="shared" si="16"/>
        <v>0</v>
      </c>
      <c r="AJ27" s="15"/>
      <c r="AK27" s="10">
        <f t="shared" si="17"/>
        <v>0</v>
      </c>
      <c r="AL27" s="15"/>
      <c r="AM27" s="10">
        <f t="shared" si="18"/>
        <v>0</v>
      </c>
      <c r="AN27" s="15"/>
      <c r="AO27" s="10">
        <f t="shared" si="19"/>
        <v>0</v>
      </c>
      <c r="AP27" s="15"/>
      <c r="AQ27" s="10">
        <f t="shared" si="20"/>
        <v>0</v>
      </c>
      <c r="AR27" s="15"/>
      <c r="AS27" s="10">
        <f t="shared" si="21"/>
        <v>0</v>
      </c>
      <c r="AT27" s="15"/>
      <c r="AU27" s="10">
        <f t="shared" si="22"/>
        <v>0</v>
      </c>
      <c r="AV27" s="15"/>
      <c r="AW27" s="10">
        <f t="shared" si="23"/>
        <v>0</v>
      </c>
      <c r="AX27" s="15"/>
      <c r="AY27" s="10">
        <f t="shared" si="24"/>
        <v>0</v>
      </c>
      <c r="AZ27" s="15"/>
      <c r="BA27" s="10">
        <f t="shared" si="25"/>
        <v>0</v>
      </c>
      <c r="BB27" s="15"/>
      <c r="BC27" s="10">
        <f t="shared" si="26"/>
        <v>0</v>
      </c>
      <c r="BD27" s="15"/>
      <c r="BE27" s="10">
        <f t="shared" si="27"/>
        <v>0</v>
      </c>
      <c r="BF27" s="11">
        <f t="shared" si="28"/>
        <v>0</v>
      </c>
      <c r="BG27" s="12">
        <f t="shared" si="29"/>
        <v>0</v>
      </c>
      <c r="BH27" s="15"/>
      <c r="BI27" s="10">
        <f t="shared" si="30"/>
        <v>0</v>
      </c>
      <c r="BJ27" s="15"/>
      <c r="BK27" s="10">
        <f t="shared" si="31"/>
        <v>0</v>
      </c>
      <c r="BL27" s="15"/>
      <c r="BM27" s="10">
        <f t="shared" si="32"/>
        <v>0</v>
      </c>
      <c r="BN27" s="15"/>
      <c r="BO27" s="10">
        <f t="shared" si="33"/>
        <v>0</v>
      </c>
      <c r="BP27" s="15"/>
      <c r="BQ27" s="10">
        <f t="shared" si="34"/>
        <v>0</v>
      </c>
      <c r="BR27" s="15"/>
      <c r="BS27" s="10">
        <f t="shared" si="35"/>
        <v>0</v>
      </c>
      <c r="BT27" s="15"/>
      <c r="BU27" s="10">
        <f t="shared" si="36"/>
        <v>0</v>
      </c>
      <c r="BV27" s="15"/>
      <c r="BW27" s="10">
        <f t="shared" si="37"/>
        <v>0</v>
      </c>
      <c r="BX27" s="15"/>
      <c r="BY27" s="10">
        <f t="shared" si="38"/>
        <v>0</v>
      </c>
      <c r="BZ27" s="15"/>
      <c r="CA27" s="10">
        <f t="shared" si="39"/>
        <v>0</v>
      </c>
      <c r="CB27" s="15"/>
      <c r="CC27" s="10">
        <f t="shared" si="40"/>
        <v>0</v>
      </c>
      <c r="CD27" s="15"/>
      <c r="CE27" s="10">
        <f t="shared" si="41"/>
        <v>0</v>
      </c>
      <c r="CF27" s="11">
        <f t="shared" si="42"/>
        <v>0</v>
      </c>
      <c r="CG27" s="12">
        <f t="shared" si="43"/>
        <v>0</v>
      </c>
      <c r="CH27" s="17"/>
      <c r="CI27" s="10">
        <f t="shared" si="44"/>
        <v>0</v>
      </c>
      <c r="CJ27" s="15"/>
      <c r="CK27" s="10">
        <f t="shared" si="45"/>
        <v>0</v>
      </c>
      <c r="CL27" s="17"/>
      <c r="CM27" s="10">
        <f t="shared" si="46"/>
        <v>0</v>
      </c>
      <c r="CN27" s="15"/>
      <c r="CO27" s="10">
        <f t="shared" si="47"/>
        <v>0</v>
      </c>
      <c r="CP27" s="15"/>
      <c r="CQ27" s="10">
        <f t="shared" si="48"/>
        <v>0</v>
      </c>
      <c r="CR27" s="15"/>
      <c r="CS27" s="10">
        <f t="shared" si="49"/>
        <v>0</v>
      </c>
      <c r="CT27" s="15"/>
      <c r="CU27" s="10">
        <f t="shared" si="50"/>
        <v>0</v>
      </c>
      <c r="CV27" s="15"/>
      <c r="CW27" s="10">
        <f t="shared" si="51"/>
        <v>0</v>
      </c>
      <c r="CX27" s="15"/>
      <c r="CY27" s="10">
        <f t="shared" si="52"/>
        <v>0</v>
      </c>
      <c r="CZ27" s="15"/>
      <c r="DA27" s="10">
        <f t="shared" si="53"/>
        <v>0</v>
      </c>
      <c r="DB27" s="15"/>
      <c r="DC27" s="10">
        <f t="shared" si="54"/>
        <v>0</v>
      </c>
      <c r="DD27" s="15"/>
      <c r="DE27" s="10">
        <f t="shared" si="54"/>
        <v>0</v>
      </c>
      <c r="DF27" s="231">
        <f t="shared" si="55"/>
        <v>0</v>
      </c>
      <c r="DG27" s="230">
        <f t="shared" si="56"/>
        <v>0</v>
      </c>
      <c r="DH27" s="238"/>
      <c r="DI27" s="239">
        <f t="shared" si="95"/>
        <v>0</v>
      </c>
      <c r="DJ27" s="15"/>
      <c r="DK27" s="239">
        <f t="shared" si="96"/>
        <v>0</v>
      </c>
      <c r="DL27" s="238"/>
      <c r="DM27" s="239">
        <f t="shared" si="97"/>
        <v>0</v>
      </c>
      <c r="DN27" s="238"/>
      <c r="DO27" s="239">
        <f t="shared" si="98"/>
        <v>0</v>
      </c>
      <c r="DP27" s="238"/>
      <c r="DQ27" s="239">
        <f t="shared" si="99"/>
        <v>0</v>
      </c>
      <c r="DR27" s="238"/>
      <c r="DS27" s="239">
        <f t="shared" si="100"/>
        <v>0</v>
      </c>
      <c r="DT27" s="238"/>
      <c r="DU27" s="239">
        <f t="shared" si="101"/>
        <v>0</v>
      </c>
      <c r="DV27" s="238"/>
      <c r="DW27" s="239">
        <f t="shared" si="102"/>
        <v>0</v>
      </c>
      <c r="DX27" s="238"/>
      <c r="DY27" s="239">
        <f t="shared" si="103"/>
        <v>0</v>
      </c>
      <c r="DZ27" s="238"/>
      <c r="EA27" s="239">
        <f t="shared" si="104"/>
        <v>0</v>
      </c>
      <c r="EB27" s="238"/>
      <c r="EC27" s="239">
        <f t="shared" si="105"/>
        <v>0</v>
      </c>
      <c r="ED27" s="238"/>
      <c r="EE27" s="239">
        <f t="shared" si="106"/>
        <v>0</v>
      </c>
      <c r="EF27" s="240">
        <f t="shared" si="107"/>
        <v>0</v>
      </c>
      <c r="EG27" s="239">
        <f t="shared" si="107"/>
        <v>0</v>
      </c>
    </row>
    <row r="28" spans="1:137" ht="19.8">
      <c r="A28" s="7">
        <v>22</v>
      </c>
      <c r="B28" s="8" t="s">
        <v>36</v>
      </c>
      <c r="C28" s="8" t="s">
        <v>11</v>
      </c>
      <c r="D28" s="7">
        <f>RANK(DF28,$DF$4:$DF$147)</f>
        <v>12</v>
      </c>
      <c r="E28" s="7">
        <v>0.64</v>
      </c>
      <c r="F28" s="7" t="s">
        <v>22</v>
      </c>
      <c r="G28" s="7">
        <v>1700</v>
      </c>
      <c r="H28" s="9"/>
      <c r="I28" s="10">
        <f t="shared" si="2"/>
        <v>0</v>
      </c>
      <c r="J28" s="9"/>
      <c r="K28" s="10">
        <f t="shared" si="3"/>
        <v>0</v>
      </c>
      <c r="L28" s="9"/>
      <c r="M28" s="10">
        <f t="shared" si="4"/>
        <v>0</v>
      </c>
      <c r="N28" s="9"/>
      <c r="O28" s="10">
        <f t="shared" si="5"/>
        <v>0</v>
      </c>
      <c r="P28" s="9"/>
      <c r="Q28" s="10">
        <f t="shared" si="6"/>
        <v>0</v>
      </c>
      <c r="R28" s="9">
        <v>31</v>
      </c>
      <c r="S28" s="10">
        <f t="shared" si="7"/>
        <v>19.84</v>
      </c>
      <c r="T28" s="9">
        <v>4218</v>
      </c>
      <c r="U28" s="10">
        <f t="shared" si="8"/>
        <v>2699.52</v>
      </c>
      <c r="V28" s="9">
        <v>9571</v>
      </c>
      <c r="W28" s="10">
        <f t="shared" si="9"/>
        <v>6125.4400000000005</v>
      </c>
      <c r="X28" s="9">
        <v>8242</v>
      </c>
      <c r="Y28" s="10">
        <f t="shared" si="10"/>
        <v>5274.88</v>
      </c>
      <c r="Z28" s="9">
        <v>8869</v>
      </c>
      <c r="AA28" s="10">
        <f t="shared" si="11"/>
        <v>5676.16</v>
      </c>
      <c r="AB28" s="9">
        <v>8797</v>
      </c>
      <c r="AC28" s="10">
        <f t="shared" si="12"/>
        <v>5630.08</v>
      </c>
      <c r="AD28" s="9">
        <v>7237</v>
      </c>
      <c r="AE28" s="10">
        <f t="shared" si="13"/>
        <v>4631.68</v>
      </c>
      <c r="AF28" s="11">
        <f t="shared" si="14"/>
        <v>46965</v>
      </c>
      <c r="AG28" s="12">
        <f t="shared" si="15"/>
        <v>30057.600000000002</v>
      </c>
      <c r="AH28" s="9">
        <v>10530</v>
      </c>
      <c r="AI28" s="10">
        <f t="shared" si="16"/>
        <v>6739.2</v>
      </c>
      <c r="AJ28" s="9">
        <v>7611</v>
      </c>
      <c r="AK28" s="10">
        <f t="shared" si="17"/>
        <v>4871.04</v>
      </c>
      <c r="AL28" s="9">
        <v>11577</v>
      </c>
      <c r="AM28" s="10">
        <f t="shared" si="18"/>
        <v>7409.28</v>
      </c>
      <c r="AN28" s="9">
        <v>8319</v>
      </c>
      <c r="AO28" s="10">
        <f t="shared" si="19"/>
        <v>5324.16</v>
      </c>
      <c r="AP28" s="9">
        <v>7921</v>
      </c>
      <c r="AQ28" s="10">
        <f t="shared" si="20"/>
        <v>5069.4400000000005</v>
      </c>
      <c r="AR28" s="9">
        <v>8119</v>
      </c>
      <c r="AS28" s="10">
        <f t="shared" si="21"/>
        <v>5196.16</v>
      </c>
      <c r="AT28" s="9">
        <v>8247</v>
      </c>
      <c r="AU28" s="10">
        <f t="shared" si="22"/>
        <v>5278.08</v>
      </c>
      <c r="AV28" s="9">
        <v>9855</v>
      </c>
      <c r="AW28" s="10">
        <f t="shared" si="23"/>
        <v>6307.2</v>
      </c>
      <c r="AX28" s="9">
        <v>7947</v>
      </c>
      <c r="AY28" s="10">
        <f t="shared" si="24"/>
        <v>5086.08</v>
      </c>
      <c r="AZ28" s="9">
        <v>8962</v>
      </c>
      <c r="BA28" s="10">
        <f t="shared" si="25"/>
        <v>5735.68</v>
      </c>
      <c r="BB28" s="9">
        <v>7946</v>
      </c>
      <c r="BC28" s="10">
        <f t="shared" si="26"/>
        <v>5085.4400000000005</v>
      </c>
      <c r="BD28" s="9">
        <v>9399</v>
      </c>
      <c r="BE28" s="10">
        <f t="shared" si="27"/>
        <v>6015.36</v>
      </c>
      <c r="BF28" s="11">
        <f t="shared" si="28"/>
        <v>106433</v>
      </c>
      <c r="BG28" s="12">
        <f t="shared" si="29"/>
        <v>68117.119999999995</v>
      </c>
      <c r="BH28" s="13">
        <v>10490</v>
      </c>
      <c r="BI28" s="10">
        <f t="shared" si="30"/>
        <v>6713.6</v>
      </c>
      <c r="BJ28" s="13">
        <v>7994</v>
      </c>
      <c r="BK28" s="10">
        <f t="shared" si="31"/>
        <v>5116.16</v>
      </c>
      <c r="BL28" s="13">
        <v>9360</v>
      </c>
      <c r="BM28" s="10">
        <f t="shared" si="32"/>
        <v>5990.4000000000005</v>
      </c>
      <c r="BN28" s="13">
        <v>7460</v>
      </c>
      <c r="BO28" s="10">
        <f t="shared" si="33"/>
        <v>4774.4000000000005</v>
      </c>
      <c r="BP28" s="13">
        <v>6923</v>
      </c>
      <c r="BQ28" s="10">
        <f t="shared" si="34"/>
        <v>4430.72</v>
      </c>
      <c r="BR28" s="13">
        <v>9616</v>
      </c>
      <c r="BS28" s="10">
        <f t="shared" si="35"/>
        <v>6154.24</v>
      </c>
      <c r="BT28" s="13">
        <v>9208</v>
      </c>
      <c r="BU28" s="10">
        <f t="shared" si="36"/>
        <v>5893.12</v>
      </c>
      <c r="BV28" s="13">
        <v>9517</v>
      </c>
      <c r="BW28" s="10">
        <f t="shared" si="37"/>
        <v>6090.88</v>
      </c>
      <c r="BX28" s="13">
        <v>5529</v>
      </c>
      <c r="BY28" s="10">
        <f t="shared" si="38"/>
        <v>3538.56</v>
      </c>
      <c r="BZ28" s="13">
        <v>7998</v>
      </c>
      <c r="CA28" s="10">
        <f t="shared" si="39"/>
        <v>5118.72</v>
      </c>
      <c r="CB28" s="13">
        <v>8479</v>
      </c>
      <c r="CC28" s="10">
        <f t="shared" si="40"/>
        <v>5426.56</v>
      </c>
      <c r="CD28" s="14">
        <v>5482</v>
      </c>
      <c r="CE28" s="10">
        <f t="shared" si="41"/>
        <v>3508.48</v>
      </c>
      <c r="CF28" s="11">
        <f t="shared" si="42"/>
        <v>98056</v>
      </c>
      <c r="CG28" s="12">
        <f t="shared" si="43"/>
        <v>62755.840000000004</v>
      </c>
      <c r="CH28" s="15">
        <v>6017</v>
      </c>
      <c r="CI28" s="10">
        <f t="shared" si="44"/>
        <v>3850.88</v>
      </c>
      <c r="CJ28" s="15">
        <v>5548</v>
      </c>
      <c r="CK28" s="10">
        <f t="shared" si="45"/>
        <v>3550.7200000000003</v>
      </c>
      <c r="CL28" s="15">
        <v>7728</v>
      </c>
      <c r="CM28" s="10">
        <f t="shared" si="46"/>
        <v>4945.92</v>
      </c>
      <c r="CN28" s="15">
        <v>5901</v>
      </c>
      <c r="CO28" s="10">
        <f t="shared" si="47"/>
        <v>3776.64</v>
      </c>
      <c r="CP28" s="15">
        <v>4198</v>
      </c>
      <c r="CQ28" s="10">
        <f t="shared" si="48"/>
        <v>2686.7200000000003</v>
      </c>
      <c r="CR28" s="15">
        <v>4718</v>
      </c>
      <c r="CS28" s="10">
        <f t="shared" si="49"/>
        <v>3019.52</v>
      </c>
      <c r="CT28" s="15">
        <v>4284</v>
      </c>
      <c r="CU28" s="10">
        <f t="shared" si="50"/>
        <v>2741.76</v>
      </c>
      <c r="CV28" s="15">
        <v>3947</v>
      </c>
      <c r="CW28" s="10">
        <f t="shared" si="51"/>
        <v>2526.08</v>
      </c>
      <c r="CX28" s="15">
        <v>4562</v>
      </c>
      <c r="CY28" s="10">
        <f t="shared" si="52"/>
        <v>2919.68</v>
      </c>
      <c r="CZ28" s="15">
        <v>3921</v>
      </c>
      <c r="DA28" s="10">
        <f t="shared" si="53"/>
        <v>2509.44</v>
      </c>
      <c r="DB28" s="15">
        <v>4004</v>
      </c>
      <c r="DC28" s="10">
        <f t="shared" si="54"/>
        <v>2562.56</v>
      </c>
      <c r="DD28" s="15">
        <v>4004</v>
      </c>
      <c r="DE28" s="10">
        <f t="shared" si="54"/>
        <v>2562.56</v>
      </c>
      <c r="DF28" s="231">
        <f t="shared" si="55"/>
        <v>58832</v>
      </c>
      <c r="DG28" s="230">
        <f t="shared" si="56"/>
        <v>37652.480000000003</v>
      </c>
      <c r="DH28" s="238">
        <v>2898</v>
      </c>
      <c r="DI28" s="236">
        <f t="shared" si="95"/>
        <v>1854.72</v>
      </c>
      <c r="DJ28" s="15">
        <v>3556</v>
      </c>
      <c r="DK28" s="236">
        <f t="shared" si="96"/>
        <v>2275.84</v>
      </c>
      <c r="DL28" s="238"/>
      <c r="DM28" s="239">
        <f t="shared" si="97"/>
        <v>0</v>
      </c>
      <c r="DN28" s="238"/>
      <c r="DO28" s="239">
        <f t="shared" si="98"/>
        <v>0</v>
      </c>
      <c r="DP28" s="238"/>
      <c r="DQ28" s="239">
        <f t="shared" si="99"/>
        <v>0</v>
      </c>
      <c r="DR28" s="238"/>
      <c r="DS28" s="239">
        <f t="shared" si="100"/>
        <v>0</v>
      </c>
      <c r="DT28" s="238"/>
      <c r="DU28" s="239">
        <f t="shared" si="101"/>
        <v>0</v>
      </c>
      <c r="DV28" s="238"/>
      <c r="DW28" s="239">
        <f t="shared" si="102"/>
        <v>0</v>
      </c>
      <c r="DX28" s="238"/>
      <c r="DY28" s="239">
        <f t="shared" si="103"/>
        <v>0</v>
      </c>
      <c r="DZ28" s="238"/>
      <c r="EA28" s="239">
        <f t="shared" si="104"/>
        <v>0</v>
      </c>
      <c r="EB28" s="238"/>
      <c r="EC28" s="239">
        <f t="shared" si="105"/>
        <v>0</v>
      </c>
      <c r="ED28" s="238"/>
      <c r="EE28" s="239">
        <f t="shared" si="106"/>
        <v>0</v>
      </c>
      <c r="EF28" s="240">
        <f t="shared" si="107"/>
        <v>6454</v>
      </c>
      <c r="EG28" s="239">
        <f t="shared" si="107"/>
        <v>4130.5600000000004</v>
      </c>
    </row>
    <row r="29" spans="1:137" ht="19.8">
      <c r="A29" s="7">
        <v>23</v>
      </c>
      <c r="B29" s="8" t="s">
        <v>37</v>
      </c>
      <c r="C29" s="8" t="s">
        <v>11</v>
      </c>
      <c r="D29" s="7">
        <f>RANK(DF29,$DF$4:$DF$147)</f>
        <v>31</v>
      </c>
      <c r="E29" s="7">
        <v>0.64</v>
      </c>
      <c r="F29" s="7" t="s">
        <v>22</v>
      </c>
      <c r="G29" s="7"/>
      <c r="H29" s="15"/>
      <c r="I29" s="10">
        <f t="shared" si="2"/>
        <v>0</v>
      </c>
      <c r="J29" s="15"/>
      <c r="K29" s="10">
        <f t="shared" si="3"/>
        <v>0</v>
      </c>
      <c r="L29" s="15"/>
      <c r="M29" s="10">
        <f t="shared" si="4"/>
        <v>0</v>
      </c>
      <c r="N29" s="15"/>
      <c r="O29" s="10">
        <f t="shared" si="5"/>
        <v>0</v>
      </c>
      <c r="P29" s="15"/>
      <c r="Q29" s="10">
        <f t="shared" si="6"/>
        <v>0</v>
      </c>
      <c r="R29" s="15"/>
      <c r="S29" s="10">
        <f t="shared" si="7"/>
        <v>0</v>
      </c>
      <c r="T29" s="15"/>
      <c r="U29" s="10">
        <f t="shared" si="8"/>
        <v>0</v>
      </c>
      <c r="V29" s="15"/>
      <c r="W29" s="10">
        <f t="shared" si="9"/>
        <v>0</v>
      </c>
      <c r="X29" s="15"/>
      <c r="Y29" s="10">
        <f t="shared" si="10"/>
        <v>0</v>
      </c>
      <c r="Z29" s="15"/>
      <c r="AA29" s="10">
        <f t="shared" si="11"/>
        <v>0</v>
      </c>
      <c r="AB29" s="15"/>
      <c r="AC29" s="10">
        <f t="shared" si="12"/>
        <v>0</v>
      </c>
      <c r="AD29" s="15"/>
      <c r="AE29" s="10">
        <f t="shared" si="13"/>
        <v>0</v>
      </c>
      <c r="AF29" s="11">
        <f t="shared" si="14"/>
        <v>0</v>
      </c>
      <c r="AG29" s="12">
        <f t="shared" si="15"/>
        <v>0</v>
      </c>
      <c r="AH29" s="15"/>
      <c r="AI29" s="10">
        <f t="shared" si="16"/>
        <v>0</v>
      </c>
      <c r="AJ29" s="15"/>
      <c r="AK29" s="10">
        <f t="shared" si="17"/>
        <v>0</v>
      </c>
      <c r="AL29" s="15"/>
      <c r="AM29" s="10">
        <f t="shared" si="18"/>
        <v>0</v>
      </c>
      <c r="AN29" s="15"/>
      <c r="AO29" s="10">
        <f t="shared" si="19"/>
        <v>0</v>
      </c>
      <c r="AP29" s="15"/>
      <c r="AQ29" s="10">
        <f t="shared" si="20"/>
        <v>0</v>
      </c>
      <c r="AR29" s="15"/>
      <c r="AS29" s="10">
        <f t="shared" si="21"/>
        <v>0</v>
      </c>
      <c r="AT29" s="15"/>
      <c r="AU29" s="10">
        <f t="shared" si="22"/>
        <v>0</v>
      </c>
      <c r="AV29" s="15"/>
      <c r="AW29" s="10">
        <f t="shared" si="23"/>
        <v>0</v>
      </c>
      <c r="AX29" s="15"/>
      <c r="AY29" s="10">
        <f t="shared" si="24"/>
        <v>0</v>
      </c>
      <c r="AZ29" s="15"/>
      <c r="BA29" s="10">
        <f t="shared" si="25"/>
        <v>0</v>
      </c>
      <c r="BB29" s="15"/>
      <c r="BC29" s="10">
        <f t="shared" si="26"/>
        <v>0</v>
      </c>
      <c r="BD29" s="15"/>
      <c r="BE29" s="10">
        <f t="shared" si="27"/>
        <v>0</v>
      </c>
      <c r="BF29" s="11">
        <f t="shared" si="28"/>
        <v>0</v>
      </c>
      <c r="BG29" s="12">
        <f t="shared" si="29"/>
        <v>0</v>
      </c>
      <c r="BH29" s="15"/>
      <c r="BI29" s="10">
        <f t="shared" si="30"/>
        <v>0</v>
      </c>
      <c r="BJ29" s="15"/>
      <c r="BK29" s="10">
        <f t="shared" si="31"/>
        <v>0</v>
      </c>
      <c r="BL29" s="15"/>
      <c r="BM29" s="10">
        <f t="shared" si="32"/>
        <v>0</v>
      </c>
      <c r="BN29" s="15"/>
      <c r="BO29" s="10">
        <f t="shared" si="33"/>
        <v>0</v>
      </c>
      <c r="BP29" s="15"/>
      <c r="BQ29" s="10">
        <f t="shared" si="34"/>
        <v>0</v>
      </c>
      <c r="BR29" s="15"/>
      <c r="BS29" s="10">
        <f t="shared" si="35"/>
        <v>0</v>
      </c>
      <c r="BT29" s="15"/>
      <c r="BU29" s="10">
        <f t="shared" si="36"/>
        <v>0</v>
      </c>
      <c r="BV29" s="15"/>
      <c r="BW29" s="10">
        <f t="shared" si="37"/>
        <v>0</v>
      </c>
      <c r="BX29" s="15"/>
      <c r="BY29" s="10">
        <f t="shared" si="38"/>
        <v>0</v>
      </c>
      <c r="BZ29" s="15"/>
      <c r="CA29" s="10">
        <f t="shared" si="39"/>
        <v>0</v>
      </c>
      <c r="CB29" s="15"/>
      <c r="CC29" s="10">
        <f t="shared" si="40"/>
        <v>0</v>
      </c>
      <c r="CD29" s="15"/>
      <c r="CE29" s="10">
        <f t="shared" si="41"/>
        <v>0</v>
      </c>
      <c r="CF29" s="11">
        <f t="shared" si="42"/>
        <v>0</v>
      </c>
      <c r="CG29" s="12">
        <f t="shared" si="43"/>
        <v>0</v>
      </c>
      <c r="CH29" s="15"/>
      <c r="CI29" s="10">
        <f t="shared" si="44"/>
        <v>0</v>
      </c>
      <c r="CJ29" s="15"/>
      <c r="CK29" s="10">
        <f t="shared" si="45"/>
        <v>0</v>
      </c>
      <c r="CL29" s="15"/>
      <c r="CM29" s="10">
        <f t="shared" si="46"/>
        <v>0</v>
      </c>
      <c r="CN29" s="15"/>
      <c r="CO29" s="10">
        <f t="shared" si="47"/>
        <v>0</v>
      </c>
      <c r="CP29" s="15"/>
      <c r="CQ29" s="10">
        <f t="shared" si="48"/>
        <v>0</v>
      </c>
      <c r="CR29" s="15"/>
      <c r="CS29" s="10">
        <f t="shared" si="49"/>
        <v>0</v>
      </c>
      <c r="CT29" s="15"/>
      <c r="CU29" s="10">
        <f t="shared" si="50"/>
        <v>0</v>
      </c>
      <c r="CV29" s="15"/>
      <c r="CW29" s="10">
        <f t="shared" si="51"/>
        <v>0</v>
      </c>
      <c r="CX29" s="15"/>
      <c r="CY29" s="10">
        <f t="shared" si="52"/>
        <v>0</v>
      </c>
      <c r="CZ29" s="15"/>
      <c r="DA29" s="10">
        <f t="shared" si="53"/>
        <v>0</v>
      </c>
      <c r="DB29" s="15"/>
      <c r="DC29" s="10">
        <f t="shared" si="54"/>
        <v>0</v>
      </c>
      <c r="DD29" s="15"/>
      <c r="DE29" s="10">
        <f t="shared" si="54"/>
        <v>0</v>
      </c>
      <c r="DF29" s="231">
        <f t="shared" si="55"/>
        <v>0</v>
      </c>
      <c r="DG29" s="230">
        <f t="shared" si="56"/>
        <v>0</v>
      </c>
      <c r="DH29" s="238"/>
      <c r="DI29" s="239">
        <f t="shared" si="95"/>
        <v>0</v>
      </c>
      <c r="DJ29" s="15"/>
      <c r="DK29" s="239">
        <f t="shared" si="96"/>
        <v>0</v>
      </c>
      <c r="DL29" s="238"/>
      <c r="DM29" s="239">
        <f t="shared" si="97"/>
        <v>0</v>
      </c>
      <c r="DN29" s="238"/>
      <c r="DO29" s="239">
        <f t="shared" si="98"/>
        <v>0</v>
      </c>
      <c r="DP29" s="238"/>
      <c r="DQ29" s="239">
        <f t="shared" si="99"/>
        <v>0</v>
      </c>
      <c r="DR29" s="238"/>
      <c r="DS29" s="239">
        <f t="shared" si="100"/>
        <v>0</v>
      </c>
      <c r="DT29" s="238"/>
      <c r="DU29" s="239">
        <f t="shared" si="101"/>
        <v>0</v>
      </c>
      <c r="DV29" s="238"/>
      <c r="DW29" s="239">
        <f t="shared" si="102"/>
        <v>0</v>
      </c>
      <c r="DX29" s="238"/>
      <c r="DY29" s="239">
        <f t="shared" si="103"/>
        <v>0</v>
      </c>
      <c r="DZ29" s="238"/>
      <c r="EA29" s="239">
        <f t="shared" si="104"/>
        <v>0</v>
      </c>
      <c r="EB29" s="238"/>
      <c r="EC29" s="239">
        <f t="shared" si="105"/>
        <v>0</v>
      </c>
      <c r="ED29" s="238"/>
      <c r="EE29" s="239">
        <f t="shared" si="106"/>
        <v>0</v>
      </c>
      <c r="EF29" s="240">
        <f t="shared" si="107"/>
        <v>0</v>
      </c>
      <c r="EG29" s="239">
        <f t="shared" si="107"/>
        <v>0</v>
      </c>
    </row>
    <row r="30" spans="1:137" ht="19.8">
      <c r="A30" s="7"/>
      <c r="B30" s="8"/>
      <c r="C30" s="8"/>
      <c r="D30" s="7"/>
      <c r="E30" s="7"/>
      <c r="F30" s="7"/>
      <c r="G30" s="7"/>
      <c r="H30" s="15"/>
      <c r="I30" s="10">
        <f t="shared" si="2"/>
        <v>0</v>
      </c>
      <c r="J30" s="15"/>
      <c r="K30" s="10">
        <f t="shared" si="3"/>
        <v>0</v>
      </c>
      <c r="L30" s="15"/>
      <c r="M30" s="10">
        <f t="shared" si="4"/>
        <v>0</v>
      </c>
      <c r="N30" s="15"/>
      <c r="O30" s="10">
        <f t="shared" si="5"/>
        <v>0</v>
      </c>
      <c r="P30" s="15"/>
      <c r="Q30" s="10">
        <f t="shared" si="6"/>
        <v>0</v>
      </c>
      <c r="R30" s="15"/>
      <c r="S30" s="10">
        <f t="shared" si="7"/>
        <v>0</v>
      </c>
      <c r="T30" s="15"/>
      <c r="U30" s="10">
        <f t="shared" si="8"/>
        <v>0</v>
      </c>
      <c r="V30" s="15"/>
      <c r="W30" s="10">
        <f t="shared" si="9"/>
        <v>0</v>
      </c>
      <c r="X30" s="15"/>
      <c r="Y30" s="10">
        <f t="shared" si="10"/>
        <v>0</v>
      </c>
      <c r="Z30" s="15"/>
      <c r="AA30" s="10">
        <f t="shared" si="11"/>
        <v>0</v>
      </c>
      <c r="AB30" s="15"/>
      <c r="AC30" s="10">
        <f t="shared" si="12"/>
        <v>0</v>
      </c>
      <c r="AD30" s="15"/>
      <c r="AE30" s="10">
        <f t="shared" si="13"/>
        <v>0</v>
      </c>
      <c r="AF30" s="11">
        <f t="shared" si="14"/>
        <v>0</v>
      </c>
      <c r="AG30" s="12">
        <f t="shared" si="15"/>
        <v>0</v>
      </c>
      <c r="AH30" s="15"/>
      <c r="AI30" s="10">
        <f t="shared" si="16"/>
        <v>0</v>
      </c>
      <c r="AJ30" s="15"/>
      <c r="AK30" s="10">
        <f t="shared" si="17"/>
        <v>0</v>
      </c>
      <c r="AL30" s="15"/>
      <c r="AM30" s="10">
        <f t="shared" si="18"/>
        <v>0</v>
      </c>
      <c r="AN30" s="15"/>
      <c r="AO30" s="10">
        <f t="shared" si="19"/>
        <v>0</v>
      </c>
      <c r="AP30" s="15"/>
      <c r="AQ30" s="10">
        <f t="shared" si="20"/>
        <v>0</v>
      </c>
      <c r="AR30" s="15"/>
      <c r="AS30" s="10">
        <f t="shared" si="21"/>
        <v>0</v>
      </c>
      <c r="AT30" s="15"/>
      <c r="AU30" s="10">
        <f t="shared" si="22"/>
        <v>0</v>
      </c>
      <c r="AV30" s="15"/>
      <c r="AW30" s="10">
        <f t="shared" si="23"/>
        <v>0</v>
      </c>
      <c r="AX30" s="15"/>
      <c r="AY30" s="10">
        <f t="shared" si="24"/>
        <v>0</v>
      </c>
      <c r="AZ30" s="15"/>
      <c r="BA30" s="10">
        <f t="shared" si="25"/>
        <v>0</v>
      </c>
      <c r="BB30" s="15"/>
      <c r="BC30" s="10">
        <f t="shared" si="26"/>
        <v>0</v>
      </c>
      <c r="BD30" s="15"/>
      <c r="BE30" s="10">
        <f t="shared" si="27"/>
        <v>0</v>
      </c>
      <c r="BF30" s="11">
        <f t="shared" si="28"/>
        <v>0</v>
      </c>
      <c r="BG30" s="12">
        <f t="shared" si="29"/>
        <v>0</v>
      </c>
      <c r="BH30" s="15"/>
      <c r="BI30" s="10">
        <f t="shared" si="30"/>
        <v>0</v>
      </c>
      <c r="BJ30" s="15"/>
      <c r="BK30" s="10">
        <f t="shared" si="31"/>
        <v>0</v>
      </c>
      <c r="BL30" s="15"/>
      <c r="BM30" s="10">
        <f t="shared" si="32"/>
        <v>0</v>
      </c>
      <c r="BN30" s="15"/>
      <c r="BO30" s="10">
        <f t="shared" si="33"/>
        <v>0</v>
      </c>
      <c r="BP30" s="15"/>
      <c r="BQ30" s="10">
        <f t="shared" si="34"/>
        <v>0</v>
      </c>
      <c r="BR30" s="15"/>
      <c r="BS30" s="10">
        <f t="shared" si="35"/>
        <v>0</v>
      </c>
      <c r="BT30" s="15"/>
      <c r="BU30" s="10">
        <f t="shared" si="36"/>
        <v>0</v>
      </c>
      <c r="BV30" s="15"/>
      <c r="BW30" s="10">
        <f t="shared" si="37"/>
        <v>0</v>
      </c>
      <c r="BX30" s="15"/>
      <c r="BY30" s="10">
        <f t="shared" si="38"/>
        <v>0</v>
      </c>
      <c r="BZ30" s="15"/>
      <c r="CA30" s="10">
        <f t="shared" si="39"/>
        <v>0</v>
      </c>
      <c r="CB30" s="15"/>
      <c r="CC30" s="10">
        <f t="shared" si="40"/>
        <v>0</v>
      </c>
      <c r="CD30" s="15"/>
      <c r="CE30" s="10">
        <f t="shared" si="41"/>
        <v>0</v>
      </c>
      <c r="CF30" s="11">
        <f t="shared" si="42"/>
        <v>0</v>
      </c>
      <c r="CG30" s="12">
        <f t="shared" si="43"/>
        <v>0</v>
      </c>
      <c r="CH30" s="15"/>
      <c r="CI30" s="10">
        <f t="shared" si="44"/>
        <v>0</v>
      </c>
      <c r="CJ30" s="15"/>
      <c r="CK30" s="10">
        <f t="shared" si="45"/>
        <v>0</v>
      </c>
      <c r="CL30" s="15"/>
      <c r="CM30" s="10">
        <f t="shared" si="46"/>
        <v>0</v>
      </c>
      <c r="CN30" s="15"/>
      <c r="CO30" s="10">
        <f t="shared" si="47"/>
        <v>0</v>
      </c>
      <c r="CP30" s="15"/>
      <c r="CQ30" s="10">
        <f t="shared" si="48"/>
        <v>0</v>
      </c>
      <c r="CR30" s="15"/>
      <c r="CS30" s="10">
        <f t="shared" si="49"/>
        <v>0</v>
      </c>
      <c r="CT30" s="15"/>
      <c r="CU30" s="10">
        <f t="shared" si="50"/>
        <v>0</v>
      </c>
      <c r="CV30" s="15"/>
      <c r="CW30" s="10">
        <f t="shared" si="51"/>
        <v>0</v>
      </c>
      <c r="CX30" s="15"/>
      <c r="CY30" s="10">
        <f t="shared" si="52"/>
        <v>0</v>
      </c>
      <c r="CZ30" s="15"/>
      <c r="DA30" s="10">
        <f t="shared" si="53"/>
        <v>0</v>
      </c>
      <c r="DB30" s="15"/>
      <c r="DC30" s="10">
        <f t="shared" si="54"/>
        <v>0</v>
      </c>
      <c r="DD30" s="15"/>
      <c r="DE30" s="10">
        <f t="shared" si="54"/>
        <v>0</v>
      </c>
      <c r="DF30" s="231">
        <f t="shared" si="55"/>
        <v>0</v>
      </c>
      <c r="DG30" s="230">
        <f t="shared" si="56"/>
        <v>0</v>
      </c>
      <c r="DH30" s="238"/>
      <c r="DI30" s="239"/>
      <c r="DJ30" s="15"/>
      <c r="DK30" s="239"/>
      <c r="DL30" s="238"/>
      <c r="DM30" s="239"/>
      <c r="DN30" s="238"/>
      <c r="DO30" s="239"/>
      <c r="DP30" s="238"/>
      <c r="DQ30" s="239"/>
      <c r="DR30" s="238"/>
      <c r="DS30" s="239"/>
      <c r="DT30" s="238"/>
      <c r="DU30" s="239"/>
      <c r="DV30" s="238"/>
      <c r="DW30" s="239"/>
      <c r="DX30" s="238"/>
      <c r="DY30" s="239"/>
      <c r="DZ30" s="238"/>
      <c r="EA30" s="239"/>
      <c r="EB30" s="238"/>
      <c r="EC30" s="239"/>
      <c r="ED30" s="238"/>
      <c r="EE30" s="239"/>
      <c r="EF30" s="240"/>
      <c r="EG30" s="239"/>
    </row>
    <row r="31" spans="1:137" ht="19.8">
      <c r="A31" s="7">
        <v>24</v>
      </c>
      <c r="B31" s="8" t="s">
        <v>38</v>
      </c>
      <c r="C31" s="8" t="s">
        <v>14</v>
      </c>
      <c r="D31" s="7">
        <f t="shared" ref="D31:D47" si="108">RANK(DF31,$DF$4:$DF$147)</f>
        <v>29</v>
      </c>
      <c r="E31" s="7">
        <v>1</v>
      </c>
      <c r="F31" s="7" t="s">
        <v>12</v>
      </c>
      <c r="G31" s="7">
        <v>1680</v>
      </c>
      <c r="H31" s="9">
        <v>96</v>
      </c>
      <c r="I31" s="10">
        <f t="shared" si="2"/>
        <v>96</v>
      </c>
      <c r="J31" s="9">
        <v>84</v>
      </c>
      <c r="K31" s="10">
        <f t="shared" si="3"/>
        <v>84</v>
      </c>
      <c r="L31" s="9">
        <v>432</v>
      </c>
      <c r="M31" s="10">
        <f t="shared" si="4"/>
        <v>432</v>
      </c>
      <c r="N31" s="9">
        <v>60</v>
      </c>
      <c r="O31" s="10">
        <f t="shared" si="5"/>
        <v>60</v>
      </c>
      <c r="P31" s="9">
        <v>204</v>
      </c>
      <c r="Q31" s="10">
        <f t="shared" si="6"/>
        <v>204</v>
      </c>
      <c r="R31" s="9"/>
      <c r="S31" s="10">
        <f t="shared" si="7"/>
        <v>0</v>
      </c>
      <c r="T31" s="9">
        <v>216</v>
      </c>
      <c r="U31" s="10">
        <f t="shared" si="8"/>
        <v>216</v>
      </c>
      <c r="V31" s="9"/>
      <c r="W31" s="10">
        <f t="shared" si="9"/>
        <v>0</v>
      </c>
      <c r="X31" s="9"/>
      <c r="Y31" s="10">
        <f t="shared" si="10"/>
        <v>0</v>
      </c>
      <c r="Z31" s="9"/>
      <c r="AA31" s="10">
        <f t="shared" si="11"/>
        <v>0</v>
      </c>
      <c r="AB31" s="9"/>
      <c r="AC31" s="10">
        <f t="shared" si="12"/>
        <v>0</v>
      </c>
      <c r="AD31" s="9"/>
      <c r="AE31" s="10">
        <f t="shared" si="13"/>
        <v>0</v>
      </c>
      <c r="AF31" s="11">
        <f t="shared" si="14"/>
        <v>1092</v>
      </c>
      <c r="AG31" s="12">
        <f t="shared" si="15"/>
        <v>1092</v>
      </c>
      <c r="AH31" s="9"/>
      <c r="AI31" s="10">
        <f t="shared" si="16"/>
        <v>0</v>
      </c>
      <c r="AJ31" s="9"/>
      <c r="AK31" s="10">
        <f t="shared" si="17"/>
        <v>0</v>
      </c>
      <c r="AL31" s="9"/>
      <c r="AM31" s="10">
        <f t="shared" si="18"/>
        <v>0</v>
      </c>
      <c r="AN31" s="9"/>
      <c r="AO31" s="10">
        <f t="shared" si="19"/>
        <v>0</v>
      </c>
      <c r="AP31" s="9"/>
      <c r="AQ31" s="10">
        <f t="shared" si="20"/>
        <v>0</v>
      </c>
      <c r="AR31" s="9"/>
      <c r="AS31" s="10">
        <f t="shared" si="21"/>
        <v>0</v>
      </c>
      <c r="AT31" s="9"/>
      <c r="AU31" s="10">
        <f t="shared" si="22"/>
        <v>0</v>
      </c>
      <c r="AV31" s="9"/>
      <c r="AW31" s="10">
        <f t="shared" si="23"/>
        <v>0</v>
      </c>
      <c r="AX31" s="9">
        <v>36</v>
      </c>
      <c r="AY31" s="10">
        <f t="shared" si="24"/>
        <v>36</v>
      </c>
      <c r="AZ31" s="9"/>
      <c r="BA31" s="10">
        <f t="shared" si="25"/>
        <v>0</v>
      </c>
      <c r="BB31" s="9">
        <v>48</v>
      </c>
      <c r="BC31" s="10">
        <f t="shared" si="26"/>
        <v>48</v>
      </c>
      <c r="BD31" s="9"/>
      <c r="BE31" s="10">
        <f t="shared" si="27"/>
        <v>0</v>
      </c>
      <c r="BF31" s="11">
        <f t="shared" si="28"/>
        <v>84</v>
      </c>
      <c r="BG31" s="12">
        <f t="shared" si="29"/>
        <v>84</v>
      </c>
      <c r="BH31" s="13">
        <v>144</v>
      </c>
      <c r="BI31" s="10">
        <f t="shared" si="30"/>
        <v>144</v>
      </c>
      <c r="BJ31" s="13">
        <v>72</v>
      </c>
      <c r="BK31" s="10">
        <f t="shared" si="31"/>
        <v>72</v>
      </c>
      <c r="BL31" s="13">
        <v>72</v>
      </c>
      <c r="BM31" s="10">
        <f t="shared" si="32"/>
        <v>72</v>
      </c>
      <c r="BN31" s="13">
        <v>156</v>
      </c>
      <c r="BO31" s="10">
        <f t="shared" si="33"/>
        <v>156</v>
      </c>
      <c r="BP31" s="13">
        <v>96</v>
      </c>
      <c r="BQ31" s="10">
        <f t="shared" si="34"/>
        <v>96</v>
      </c>
      <c r="BR31" s="13">
        <v>120</v>
      </c>
      <c r="BS31" s="10">
        <f t="shared" si="35"/>
        <v>120</v>
      </c>
      <c r="BT31" s="13">
        <v>24</v>
      </c>
      <c r="BU31" s="10">
        <f t="shared" si="36"/>
        <v>24</v>
      </c>
      <c r="BV31" s="13">
        <v>25</v>
      </c>
      <c r="BW31" s="10">
        <f t="shared" si="37"/>
        <v>25</v>
      </c>
      <c r="BX31" s="13">
        <v>36</v>
      </c>
      <c r="BY31" s="10">
        <f t="shared" si="38"/>
        <v>36</v>
      </c>
      <c r="BZ31" s="13">
        <v>84</v>
      </c>
      <c r="CA31" s="10">
        <f t="shared" si="39"/>
        <v>84</v>
      </c>
      <c r="CB31" s="13">
        <v>84</v>
      </c>
      <c r="CC31" s="10">
        <f t="shared" si="40"/>
        <v>84</v>
      </c>
      <c r="CD31" s="14">
        <v>72</v>
      </c>
      <c r="CE31" s="10">
        <f t="shared" si="41"/>
        <v>72</v>
      </c>
      <c r="CF31" s="11">
        <f t="shared" si="42"/>
        <v>985</v>
      </c>
      <c r="CG31" s="12">
        <f t="shared" si="43"/>
        <v>985</v>
      </c>
      <c r="CH31" s="15"/>
      <c r="CI31" s="10">
        <f t="shared" si="44"/>
        <v>0</v>
      </c>
      <c r="CJ31" s="15"/>
      <c r="CK31" s="10">
        <f t="shared" si="45"/>
        <v>0</v>
      </c>
      <c r="CL31" s="15"/>
      <c r="CM31" s="10">
        <f t="shared" si="46"/>
        <v>0</v>
      </c>
      <c r="CN31" s="15"/>
      <c r="CO31" s="10">
        <f t="shared" si="47"/>
        <v>0</v>
      </c>
      <c r="CP31" s="15">
        <v>72</v>
      </c>
      <c r="CQ31" s="10">
        <f t="shared" si="48"/>
        <v>72</v>
      </c>
      <c r="CR31" s="15"/>
      <c r="CS31" s="10">
        <f t="shared" si="49"/>
        <v>0</v>
      </c>
      <c r="CT31" s="15"/>
      <c r="CU31" s="10">
        <f t="shared" si="50"/>
        <v>0</v>
      </c>
      <c r="CV31" s="15">
        <v>12</v>
      </c>
      <c r="CW31" s="10">
        <f t="shared" si="51"/>
        <v>12</v>
      </c>
      <c r="CX31" s="15"/>
      <c r="CY31" s="10">
        <f t="shared" si="52"/>
        <v>0</v>
      </c>
      <c r="CZ31" s="15"/>
      <c r="DA31" s="10">
        <f t="shared" si="53"/>
        <v>0</v>
      </c>
      <c r="DB31" s="15"/>
      <c r="DC31" s="10">
        <f t="shared" si="54"/>
        <v>0</v>
      </c>
      <c r="DD31" s="15"/>
      <c r="DE31" s="10">
        <f t="shared" si="54"/>
        <v>0</v>
      </c>
      <c r="DF31" s="231">
        <f t="shared" si="55"/>
        <v>84</v>
      </c>
      <c r="DG31" s="230">
        <f t="shared" si="56"/>
        <v>84</v>
      </c>
      <c r="DH31" s="238">
        <v>36</v>
      </c>
      <c r="DI31" s="239">
        <f t="shared" ref="DI31:DI47" si="109">DH31*$E31</f>
        <v>36</v>
      </c>
      <c r="DJ31" s="15"/>
      <c r="DK31" s="239">
        <f t="shared" ref="DK31:DK47" si="110">DJ31*$E31</f>
        <v>0</v>
      </c>
      <c r="DL31" s="238"/>
      <c r="DM31" s="239">
        <f t="shared" ref="DM31:DM47" si="111">DL31*$E31</f>
        <v>0</v>
      </c>
      <c r="DN31" s="238"/>
      <c r="DO31" s="239">
        <f t="shared" ref="DO31:DO47" si="112">DN31*$E31</f>
        <v>0</v>
      </c>
      <c r="DP31" s="238"/>
      <c r="DQ31" s="239">
        <f t="shared" ref="DQ31:DQ47" si="113">DP31*$E31</f>
        <v>0</v>
      </c>
      <c r="DR31" s="238"/>
      <c r="DS31" s="239">
        <f t="shared" ref="DS31:DS47" si="114">DR31*$E31</f>
        <v>0</v>
      </c>
      <c r="DT31" s="238"/>
      <c r="DU31" s="239">
        <f t="shared" ref="DU31:DU47" si="115">DT31*$E31</f>
        <v>0</v>
      </c>
      <c r="DV31" s="238"/>
      <c r="DW31" s="239">
        <f t="shared" ref="DW31:DW47" si="116">DV31*$E31</f>
        <v>0</v>
      </c>
      <c r="DX31" s="238"/>
      <c r="DY31" s="239">
        <f t="shared" ref="DY31:DY47" si="117">DX31*$E31</f>
        <v>0</v>
      </c>
      <c r="DZ31" s="238"/>
      <c r="EA31" s="239">
        <f t="shared" ref="EA31:EA47" si="118">DZ31*$E31</f>
        <v>0</v>
      </c>
      <c r="EB31" s="238"/>
      <c r="EC31" s="239">
        <f t="shared" ref="EC31:EC47" si="119">EB31*$E31</f>
        <v>0</v>
      </c>
      <c r="ED31" s="238"/>
      <c r="EE31" s="239">
        <f t="shared" ref="EE31:EE47" si="120">ED31*$E31</f>
        <v>0</v>
      </c>
      <c r="EF31" s="240">
        <f t="shared" ref="EF31:EG47" si="121">SUM(DH31,DJ31,DL31,DN31,DP31,DR31,DT31,DV31,DX31,DZ31,EB31,ED31)</f>
        <v>36</v>
      </c>
      <c r="EG31" s="239">
        <f t="shared" si="121"/>
        <v>36</v>
      </c>
    </row>
    <row r="32" spans="1:137" ht="19.8">
      <c r="A32" s="7">
        <v>25</v>
      </c>
      <c r="B32" s="8" t="s">
        <v>39</v>
      </c>
      <c r="C32" s="8" t="s">
        <v>14</v>
      </c>
      <c r="D32" s="7">
        <f t="shared" si="108"/>
        <v>20</v>
      </c>
      <c r="E32" s="7">
        <v>1</v>
      </c>
      <c r="F32" s="7" t="s">
        <v>12</v>
      </c>
      <c r="G32" s="7">
        <v>1930</v>
      </c>
      <c r="H32" s="9">
        <v>528</v>
      </c>
      <c r="I32" s="10">
        <f t="shared" si="2"/>
        <v>528</v>
      </c>
      <c r="J32" s="9">
        <v>552</v>
      </c>
      <c r="K32" s="10">
        <f t="shared" si="3"/>
        <v>552</v>
      </c>
      <c r="L32" s="9">
        <v>288</v>
      </c>
      <c r="M32" s="10">
        <f t="shared" si="4"/>
        <v>288</v>
      </c>
      <c r="N32" s="9">
        <v>432</v>
      </c>
      <c r="O32" s="10">
        <f t="shared" si="5"/>
        <v>432</v>
      </c>
      <c r="P32" s="9">
        <v>251</v>
      </c>
      <c r="Q32" s="10">
        <f t="shared" si="6"/>
        <v>251</v>
      </c>
      <c r="R32" s="9">
        <v>504</v>
      </c>
      <c r="S32" s="10">
        <f t="shared" si="7"/>
        <v>504</v>
      </c>
      <c r="T32" s="9">
        <v>216</v>
      </c>
      <c r="U32" s="10">
        <f t="shared" si="8"/>
        <v>216</v>
      </c>
      <c r="V32" s="9">
        <v>324</v>
      </c>
      <c r="W32" s="10">
        <f t="shared" si="9"/>
        <v>324</v>
      </c>
      <c r="X32" s="9">
        <v>480</v>
      </c>
      <c r="Y32" s="10">
        <f t="shared" si="10"/>
        <v>480</v>
      </c>
      <c r="Z32" s="9">
        <v>348</v>
      </c>
      <c r="AA32" s="10">
        <f t="shared" si="11"/>
        <v>348</v>
      </c>
      <c r="AB32" s="9">
        <v>276</v>
      </c>
      <c r="AC32" s="10">
        <f t="shared" si="12"/>
        <v>276</v>
      </c>
      <c r="AD32" s="9">
        <v>384</v>
      </c>
      <c r="AE32" s="10">
        <f t="shared" si="13"/>
        <v>384</v>
      </c>
      <c r="AF32" s="11">
        <f t="shared" si="14"/>
        <v>4583</v>
      </c>
      <c r="AG32" s="12">
        <f t="shared" si="15"/>
        <v>4583</v>
      </c>
      <c r="AH32" s="9">
        <v>264</v>
      </c>
      <c r="AI32" s="10">
        <f t="shared" si="16"/>
        <v>264</v>
      </c>
      <c r="AJ32" s="9">
        <v>300</v>
      </c>
      <c r="AK32" s="10">
        <f t="shared" si="17"/>
        <v>300</v>
      </c>
      <c r="AL32" s="9">
        <v>396</v>
      </c>
      <c r="AM32" s="10">
        <f t="shared" si="18"/>
        <v>396</v>
      </c>
      <c r="AN32" s="9">
        <v>324</v>
      </c>
      <c r="AO32" s="10">
        <f t="shared" si="19"/>
        <v>324</v>
      </c>
      <c r="AP32" s="9">
        <v>420</v>
      </c>
      <c r="AQ32" s="10">
        <f t="shared" si="20"/>
        <v>420</v>
      </c>
      <c r="AR32" s="9">
        <v>408</v>
      </c>
      <c r="AS32" s="10">
        <f t="shared" si="21"/>
        <v>408</v>
      </c>
      <c r="AT32" s="9">
        <v>216</v>
      </c>
      <c r="AU32" s="10">
        <f t="shared" si="22"/>
        <v>216</v>
      </c>
      <c r="AV32" s="9">
        <v>443</v>
      </c>
      <c r="AW32" s="10">
        <f t="shared" si="23"/>
        <v>443</v>
      </c>
      <c r="AX32" s="9">
        <v>408</v>
      </c>
      <c r="AY32" s="10">
        <f t="shared" si="24"/>
        <v>408</v>
      </c>
      <c r="AZ32" s="9">
        <v>407</v>
      </c>
      <c r="BA32" s="10">
        <f t="shared" si="25"/>
        <v>407</v>
      </c>
      <c r="BB32" s="9">
        <v>480</v>
      </c>
      <c r="BC32" s="10">
        <f t="shared" si="26"/>
        <v>480</v>
      </c>
      <c r="BD32" s="9">
        <v>348</v>
      </c>
      <c r="BE32" s="10">
        <f t="shared" si="27"/>
        <v>348</v>
      </c>
      <c r="BF32" s="11">
        <f t="shared" si="28"/>
        <v>4414</v>
      </c>
      <c r="BG32" s="12">
        <f t="shared" si="29"/>
        <v>4414</v>
      </c>
      <c r="BH32" s="13">
        <v>348</v>
      </c>
      <c r="BI32" s="10">
        <f t="shared" si="30"/>
        <v>348</v>
      </c>
      <c r="BJ32" s="13">
        <v>372</v>
      </c>
      <c r="BK32" s="10">
        <f t="shared" si="31"/>
        <v>372</v>
      </c>
      <c r="BL32" s="13">
        <v>468</v>
      </c>
      <c r="BM32" s="10">
        <f t="shared" si="32"/>
        <v>468</v>
      </c>
      <c r="BN32" s="13">
        <v>324</v>
      </c>
      <c r="BO32" s="10">
        <f t="shared" si="33"/>
        <v>324</v>
      </c>
      <c r="BP32" s="13">
        <v>384</v>
      </c>
      <c r="BQ32" s="10">
        <f t="shared" si="34"/>
        <v>384</v>
      </c>
      <c r="BR32" s="13">
        <v>504</v>
      </c>
      <c r="BS32" s="10">
        <f t="shared" si="35"/>
        <v>504</v>
      </c>
      <c r="BT32" s="13">
        <v>468</v>
      </c>
      <c r="BU32" s="10">
        <f t="shared" si="36"/>
        <v>468</v>
      </c>
      <c r="BV32" s="13">
        <v>217</v>
      </c>
      <c r="BW32" s="10">
        <f t="shared" si="37"/>
        <v>217</v>
      </c>
      <c r="BX32" s="13">
        <v>480</v>
      </c>
      <c r="BY32" s="10">
        <f t="shared" si="38"/>
        <v>480</v>
      </c>
      <c r="BZ32" s="13">
        <v>264</v>
      </c>
      <c r="CA32" s="10">
        <f t="shared" si="39"/>
        <v>264</v>
      </c>
      <c r="CB32" s="13">
        <v>564</v>
      </c>
      <c r="CC32" s="10">
        <f t="shared" si="40"/>
        <v>564</v>
      </c>
      <c r="CD32" s="14">
        <v>792</v>
      </c>
      <c r="CE32" s="10">
        <f t="shared" si="41"/>
        <v>792</v>
      </c>
      <c r="CF32" s="11">
        <f t="shared" si="42"/>
        <v>5185</v>
      </c>
      <c r="CG32" s="12">
        <f t="shared" si="43"/>
        <v>5185</v>
      </c>
      <c r="CH32" s="15">
        <v>744</v>
      </c>
      <c r="CI32" s="10">
        <f t="shared" si="44"/>
        <v>744</v>
      </c>
      <c r="CJ32" s="15">
        <v>708</v>
      </c>
      <c r="CK32" s="10">
        <f t="shared" si="45"/>
        <v>708</v>
      </c>
      <c r="CL32" s="15">
        <v>1164</v>
      </c>
      <c r="CM32" s="10">
        <f t="shared" si="46"/>
        <v>1164</v>
      </c>
      <c r="CN32" s="15">
        <v>744</v>
      </c>
      <c r="CO32" s="10">
        <f t="shared" si="47"/>
        <v>744</v>
      </c>
      <c r="CP32" s="15">
        <v>1123</v>
      </c>
      <c r="CQ32" s="10">
        <f t="shared" si="48"/>
        <v>1123</v>
      </c>
      <c r="CR32" s="15">
        <v>1032</v>
      </c>
      <c r="CS32" s="10">
        <f t="shared" si="49"/>
        <v>1032</v>
      </c>
      <c r="CT32" s="15">
        <v>924</v>
      </c>
      <c r="CU32" s="10">
        <f t="shared" si="50"/>
        <v>924</v>
      </c>
      <c r="CV32" s="15">
        <v>984</v>
      </c>
      <c r="CW32" s="10">
        <f t="shared" si="51"/>
        <v>984</v>
      </c>
      <c r="CX32" s="15">
        <v>720</v>
      </c>
      <c r="CY32" s="10">
        <f t="shared" si="52"/>
        <v>720</v>
      </c>
      <c r="CZ32" s="15">
        <v>864</v>
      </c>
      <c r="DA32" s="10">
        <f t="shared" si="53"/>
        <v>864</v>
      </c>
      <c r="DB32" s="15">
        <v>960</v>
      </c>
      <c r="DC32" s="10">
        <f t="shared" si="54"/>
        <v>960</v>
      </c>
      <c r="DD32" s="15">
        <v>948</v>
      </c>
      <c r="DE32" s="10">
        <f t="shared" si="54"/>
        <v>948</v>
      </c>
      <c r="DF32" s="231">
        <f t="shared" si="55"/>
        <v>10915</v>
      </c>
      <c r="DG32" s="230">
        <f t="shared" si="56"/>
        <v>10915</v>
      </c>
      <c r="DH32" s="238">
        <v>960</v>
      </c>
      <c r="DI32" s="239">
        <f t="shared" si="109"/>
        <v>960</v>
      </c>
      <c r="DJ32" s="15">
        <v>300</v>
      </c>
      <c r="DK32" s="239">
        <f t="shared" si="110"/>
        <v>300</v>
      </c>
      <c r="DL32" s="238"/>
      <c r="DM32" s="239">
        <f t="shared" si="111"/>
        <v>0</v>
      </c>
      <c r="DN32" s="238"/>
      <c r="DO32" s="239">
        <f t="shared" si="112"/>
        <v>0</v>
      </c>
      <c r="DP32" s="238"/>
      <c r="DQ32" s="239">
        <f t="shared" si="113"/>
        <v>0</v>
      </c>
      <c r="DR32" s="238"/>
      <c r="DS32" s="239">
        <f t="shared" si="114"/>
        <v>0</v>
      </c>
      <c r="DT32" s="238"/>
      <c r="DU32" s="239">
        <f t="shared" si="115"/>
        <v>0</v>
      </c>
      <c r="DV32" s="238"/>
      <c r="DW32" s="239">
        <f t="shared" si="116"/>
        <v>0</v>
      </c>
      <c r="DX32" s="238"/>
      <c r="DY32" s="239">
        <f t="shared" si="117"/>
        <v>0</v>
      </c>
      <c r="DZ32" s="238"/>
      <c r="EA32" s="239">
        <f t="shared" si="118"/>
        <v>0</v>
      </c>
      <c r="EB32" s="238"/>
      <c r="EC32" s="239">
        <f t="shared" si="119"/>
        <v>0</v>
      </c>
      <c r="ED32" s="238"/>
      <c r="EE32" s="239">
        <f t="shared" si="120"/>
        <v>0</v>
      </c>
      <c r="EF32" s="240">
        <f t="shared" si="121"/>
        <v>1260</v>
      </c>
      <c r="EG32" s="239">
        <f t="shared" si="121"/>
        <v>1260</v>
      </c>
    </row>
    <row r="33" spans="1:137" ht="19.8">
      <c r="A33" s="7">
        <v>26</v>
      </c>
      <c r="B33" s="8" t="s">
        <v>40</v>
      </c>
      <c r="C33" s="8" t="s">
        <v>14</v>
      </c>
      <c r="D33" s="7">
        <f t="shared" si="108"/>
        <v>31</v>
      </c>
      <c r="E33" s="7">
        <v>0.6</v>
      </c>
      <c r="F33" s="7" t="s">
        <v>12</v>
      </c>
      <c r="G33" s="7">
        <v>1110</v>
      </c>
      <c r="H33" s="15"/>
      <c r="I33" s="10">
        <f t="shared" si="2"/>
        <v>0</v>
      </c>
      <c r="J33" s="15"/>
      <c r="K33" s="10">
        <f t="shared" si="3"/>
        <v>0</v>
      </c>
      <c r="L33" s="15"/>
      <c r="M33" s="10">
        <f t="shared" si="4"/>
        <v>0</v>
      </c>
      <c r="N33" s="15"/>
      <c r="O33" s="10">
        <f t="shared" si="5"/>
        <v>0</v>
      </c>
      <c r="P33" s="15"/>
      <c r="Q33" s="10">
        <f t="shared" si="6"/>
        <v>0</v>
      </c>
      <c r="R33" s="15"/>
      <c r="S33" s="10">
        <f t="shared" si="7"/>
        <v>0</v>
      </c>
      <c r="T33" s="15"/>
      <c r="U33" s="10">
        <f t="shared" si="8"/>
        <v>0</v>
      </c>
      <c r="V33" s="15"/>
      <c r="W33" s="10">
        <f t="shared" si="9"/>
        <v>0</v>
      </c>
      <c r="X33" s="15"/>
      <c r="Y33" s="10">
        <f t="shared" si="10"/>
        <v>0</v>
      </c>
      <c r="Z33" s="15"/>
      <c r="AA33" s="10">
        <f t="shared" si="11"/>
        <v>0</v>
      </c>
      <c r="AB33" s="15"/>
      <c r="AC33" s="10">
        <f t="shared" si="12"/>
        <v>0</v>
      </c>
      <c r="AD33" s="15"/>
      <c r="AE33" s="10">
        <f t="shared" si="13"/>
        <v>0</v>
      </c>
      <c r="AF33" s="11">
        <f t="shared" si="14"/>
        <v>0</v>
      </c>
      <c r="AG33" s="12">
        <f t="shared" si="15"/>
        <v>0</v>
      </c>
      <c r="AH33" s="9"/>
      <c r="AI33" s="10">
        <f t="shared" si="16"/>
        <v>0</v>
      </c>
      <c r="AJ33" s="9"/>
      <c r="AK33" s="10">
        <f t="shared" si="17"/>
        <v>0</v>
      </c>
      <c r="AL33" s="9"/>
      <c r="AM33" s="10">
        <f t="shared" si="18"/>
        <v>0</v>
      </c>
      <c r="AN33" s="9"/>
      <c r="AO33" s="10">
        <f t="shared" si="19"/>
        <v>0</v>
      </c>
      <c r="AP33" s="9"/>
      <c r="AQ33" s="10">
        <f t="shared" si="20"/>
        <v>0</v>
      </c>
      <c r="AR33" s="9"/>
      <c r="AS33" s="10">
        <f t="shared" si="21"/>
        <v>0</v>
      </c>
      <c r="AT33" s="9"/>
      <c r="AU33" s="10">
        <f t="shared" si="22"/>
        <v>0</v>
      </c>
      <c r="AV33" s="9"/>
      <c r="AW33" s="10">
        <f t="shared" si="23"/>
        <v>0</v>
      </c>
      <c r="AX33" s="9"/>
      <c r="AY33" s="10">
        <f t="shared" si="24"/>
        <v>0</v>
      </c>
      <c r="AZ33" s="9">
        <v>36</v>
      </c>
      <c r="BA33" s="10">
        <f t="shared" si="25"/>
        <v>21.599999999999998</v>
      </c>
      <c r="BB33" s="9">
        <v>60</v>
      </c>
      <c r="BC33" s="10">
        <f t="shared" si="26"/>
        <v>36</v>
      </c>
      <c r="BD33" s="9"/>
      <c r="BE33" s="10">
        <f t="shared" si="27"/>
        <v>0</v>
      </c>
      <c r="BF33" s="11">
        <f t="shared" si="28"/>
        <v>96</v>
      </c>
      <c r="BG33" s="12">
        <f t="shared" si="29"/>
        <v>57.599999999999994</v>
      </c>
      <c r="BH33" s="13">
        <v>453</v>
      </c>
      <c r="BI33" s="10">
        <f t="shared" si="30"/>
        <v>271.8</v>
      </c>
      <c r="BJ33" s="13">
        <v>96</v>
      </c>
      <c r="BK33" s="10">
        <f t="shared" si="31"/>
        <v>57.599999999999994</v>
      </c>
      <c r="BL33" s="13">
        <v>12</v>
      </c>
      <c r="BM33" s="10">
        <f t="shared" si="32"/>
        <v>7.1999999999999993</v>
      </c>
      <c r="BN33" s="13">
        <v>0</v>
      </c>
      <c r="BO33" s="10">
        <f t="shared" si="33"/>
        <v>0</v>
      </c>
      <c r="BP33" s="13">
        <v>0</v>
      </c>
      <c r="BQ33" s="10">
        <f t="shared" si="34"/>
        <v>0</v>
      </c>
      <c r="BR33" s="13">
        <v>0</v>
      </c>
      <c r="BS33" s="10">
        <f t="shared" si="35"/>
        <v>0</v>
      </c>
      <c r="BT33" s="13">
        <v>0</v>
      </c>
      <c r="BU33" s="10">
        <f t="shared" si="36"/>
        <v>0</v>
      </c>
      <c r="BV33" s="13">
        <v>0</v>
      </c>
      <c r="BW33" s="10">
        <f t="shared" si="37"/>
        <v>0</v>
      </c>
      <c r="BX33" s="13">
        <v>0</v>
      </c>
      <c r="BY33" s="10">
        <f t="shared" si="38"/>
        <v>0</v>
      </c>
      <c r="BZ33" s="13"/>
      <c r="CA33" s="10">
        <f t="shared" si="39"/>
        <v>0</v>
      </c>
      <c r="CB33" s="13"/>
      <c r="CC33" s="10">
        <f t="shared" si="40"/>
        <v>0</v>
      </c>
      <c r="CD33" s="14"/>
      <c r="CE33" s="10">
        <f t="shared" si="41"/>
        <v>0</v>
      </c>
      <c r="CF33" s="11">
        <f t="shared" si="42"/>
        <v>561</v>
      </c>
      <c r="CG33" s="12">
        <f t="shared" si="43"/>
        <v>336.59999999999997</v>
      </c>
      <c r="CH33" s="15"/>
      <c r="CI33" s="10">
        <f t="shared" si="44"/>
        <v>0</v>
      </c>
      <c r="CJ33" s="15"/>
      <c r="CK33" s="10">
        <f t="shared" si="45"/>
        <v>0</v>
      </c>
      <c r="CL33" s="15"/>
      <c r="CM33" s="10">
        <f t="shared" si="46"/>
        <v>0</v>
      </c>
      <c r="CN33" s="15"/>
      <c r="CO33" s="10">
        <f t="shared" si="47"/>
        <v>0</v>
      </c>
      <c r="CP33" s="15"/>
      <c r="CQ33" s="10">
        <f t="shared" si="48"/>
        <v>0</v>
      </c>
      <c r="CR33" s="15"/>
      <c r="CS33" s="10">
        <f t="shared" si="49"/>
        <v>0</v>
      </c>
      <c r="CT33" s="15"/>
      <c r="CU33" s="10">
        <f t="shared" si="50"/>
        <v>0</v>
      </c>
      <c r="CV33" s="15"/>
      <c r="CW33" s="10">
        <f t="shared" si="51"/>
        <v>0</v>
      </c>
      <c r="CX33" s="15"/>
      <c r="CY33" s="10">
        <f t="shared" si="52"/>
        <v>0</v>
      </c>
      <c r="CZ33" s="15"/>
      <c r="DA33" s="10">
        <f t="shared" si="53"/>
        <v>0</v>
      </c>
      <c r="DB33" s="15"/>
      <c r="DC33" s="10">
        <f t="shared" si="54"/>
        <v>0</v>
      </c>
      <c r="DD33" s="15"/>
      <c r="DE33" s="10">
        <f t="shared" si="54"/>
        <v>0</v>
      </c>
      <c r="DF33" s="231">
        <f t="shared" si="55"/>
        <v>0</v>
      </c>
      <c r="DG33" s="230">
        <f t="shared" si="56"/>
        <v>0</v>
      </c>
      <c r="DH33" s="238"/>
      <c r="DI33" s="239">
        <f t="shared" si="109"/>
        <v>0</v>
      </c>
      <c r="DJ33" s="15"/>
      <c r="DK33" s="239">
        <f t="shared" si="110"/>
        <v>0</v>
      </c>
      <c r="DL33" s="238"/>
      <c r="DM33" s="239">
        <f t="shared" si="111"/>
        <v>0</v>
      </c>
      <c r="DN33" s="238"/>
      <c r="DO33" s="239">
        <f t="shared" si="112"/>
        <v>0</v>
      </c>
      <c r="DP33" s="238"/>
      <c r="DQ33" s="239">
        <f t="shared" si="113"/>
        <v>0</v>
      </c>
      <c r="DR33" s="238"/>
      <c r="DS33" s="239">
        <f t="shared" si="114"/>
        <v>0</v>
      </c>
      <c r="DT33" s="238"/>
      <c r="DU33" s="239">
        <f t="shared" si="115"/>
        <v>0</v>
      </c>
      <c r="DV33" s="238"/>
      <c r="DW33" s="239">
        <f t="shared" si="116"/>
        <v>0</v>
      </c>
      <c r="DX33" s="238"/>
      <c r="DY33" s="239">
        <f t="shared" si="117"/>
        <v>0</v>
      </c>
      <c r="DZ33" s="238"/>
      <c r="EA33" s="239">
        <f t="shared" si="118"/>
        <v>0</v>
      </c>
      <c r="EB33" s="238"/>
      <c r="EC33" s="239">
        <f t="shared" si="119"/>
        <v>0</v>
      </c>
      <c r="ED33" s="238"/>
      <c r="EE33" s="239">
        <f t="shared" si="120"/>
        <v>0</v>
      </c>
      <c r="EF33" s="240">
        <f t="shared" si="121"/>
        <v>0</v>
      </c>
      <c r="EG33" s="239">
        <f t="shared" si="121"/>
        <v>0</v>
      </c>
    </row>
    <row r="34" spans="1:137" ht="19.8">
      <c r="A34" s="7">
        <v>27</v>
      </c>
      <c r="B34" s="8" t="s">
        <v>41</v>
      </c>
      <c r="C34" s="8" t="s">
        <v>14</v>
      </c>
      <c r="D34" s="7">
        <f t="shared" si="108"/>
        <v>31</v>
      </c>
      <c r="E34" s="7">
        <v>0.6</v>
      </c>
      <c r="F34" s="7" t="s">
        <v>12</v>
      </c>
      <c r="G34" s="7">
        <v>1330</v>
      </c>
      <c r="H34" s="9"/>
      <c r="I34" s="10">
        <f t="shared" si="2"/>
        <v>0</v>
      </c>
      <c r="J34" s="9"/>
      <c r="K34" s="10">
        <f t="shared" si="3"/>
        <v>0</v>
      </c>
      <c r="L34" s="9"/>
      <c r="M34" s="10">
        <f t="shared" si="4"/>
        <v>0</v>
      </c>
      <c r="N34" s="9"/>
      <c r="O34" s="10">
        <f t="shared" si="5"/>
        <v>0</v>
      </c>
      <c r="P34" s="9"/>
      <c r="Q34" s="10">
        <f t="shared" si="6"/>
        <v>0</v>
      </c>
      <c r="R34" s="9"/>
      <c r="S34" s="10">
        <f t="shared" si="7"/>
        <v>0</v>
      </c>
      <c r="T34" s="9"/>
      <c r="U34" s="10">
        <f t="shared" si="8"/>
        <v>0</v>
      </c>
      <c r="V34" s="9"/>
      <c r="W34" s="10">
        <f t="shared" si="9"/>
        <v>0</v>
      </c>
      <c r="X34" s="9"/>
      <c r="Y34" s="10">
        <f t="shared" si="10"/>
        <v>0</v>
      </c>
      <c r="Z34" s="9"/>
      <c r="AA34" s="10">
        <f t="shared" si="11"/>
        <v>0</v>
      </c>
      <c r="AB34" s="9">
        <v>132</v>
      </c>
      <c r="AC34" s="10">
        <f t="shared" si="12"/>
        <v>79.2</v>
      </c>
      <c r="AD34" s="9"/>
      <c r="AE34" s="10">
        <f t="shared" si="13"/>
        <v>0</v>
      </c>
      <c r="AF34" s="11">
        <f t="shared" si="14"/>
        <v>132</v>
      </c>
      <c r="AG34" s="12">
        <f t="shared" si="15"/>
        <v>79.2</v>
      </c>
      <c r="AH34" s="15"/>
      <c r="AI34" s="10">
        <f t="shared" si="16"/>
        <v>0</v>
      </c>
      <c r="AJ34" s="15"/>
      <c r="AK34" s="10">
        <f t="shared" si="17"/>
        <v>0</v>
      </c>
      <c r="AL34" s="15"/>
      <c r="AM34" s="10">
        <f t="shared" si="18"/>
        <v>0</v>
      </c>
      <c r="AN34" s="15"/>
      <c r="AO34" s="10">
        <f t="shared" si="19"/>
        <v>0</v>
      </c>
      <c r="AP34" s="15"/>
      <c r="AQ34" s="10">
        <f t="shared" si="20"/>
        <v>0</v>
      </c>
      <c r="AR34" s="15"/>
      <c r="AS34" s="10">
        <f t="shared" si="21"/>
        <v>0</v>
      </c>
      <c r="AT34" s="15"/>
      <c r="AU34" s="10">
        <f t="shared" si="22"/>
        <v>0</v>
      </c>
      <c r="AV34" s="15"/>
      <c r="AW34" s="10">
        <f t="shared" si="23"/>
        <v>0</v>
      </c>
      <c r="AX34" s="15"/>
      <c r="AY34" s="10">
        <f t="shared" si="24"/>
        <v>0</v>
      </c>
      <c r="AZ34" s="15"/>
      <c r="BA34" s="10">
        <f t="shared" si="25"/>
        <v>0</v>
      </c>
      <c r="BB34" s="15"/>
      <c r="BC34" s="10">
        <f t="shared" si="26"/>
        <v>0</v>
      </c>
      <c r="BD34" s="15"/>
      <c r="BE34" s="10">
        <f t="shared" si="27"/>
        <v>0</v>
      </c>
      <c r="BF34" s="11">
        <f t="shared" si="28"/>
        <v>0</v>
      </c>
      <c r="BG34" s="12">
        <f t="shared" si="29"/>
        <v>0</v>
      </c>
      <c r="BH34" s="13">
        <v>0</v>
      </c>
      <c r="BI34" s="10">
        <f t="shared" si="30"/>
        <v>0</v>
      </c>
      <c r="BJ34" s="13">
        <v>0</v>
      </c>
      <c r="BK34" s="10">
        <f t="shared" si="31"/>
        <v>0</v>
      </c>
      <c r="BL34" s="13">
        <v>12</v>
      </c>
      <c r="BM34" s="10">
        <f t="shared" si="32"/>
        <v>7.1999999999999993</v>
      </c>
      <c r="BN34" s="13">
        <v>0</v>
      </c>
      <c r="BO34" s="10">
        <f t="shared" si="33"/>
        <v>0</v>
      </c>
      <c r="BP34" s="13">
        <v>0</v>
      </c>
      <c r="BQ34" s="10">
        <f t="shared" si="34"/>
        <v>0</v>
      </c>
      <c r="BR34" s="13">
        <v>0</v>
      </c>
      <c r="BS34" s="10">
        <f t="shared" si="35"/>
        <v>0</v>
      </c>
      <c r="BT34" s="13">
        <v>0</v>
      </c>
      <c r="BU34" s="10">
        <f t="shared" si="36"/>
        <v>0</v>
      </c>
      <c r="BV34" s="13">
        <v>0</v>
      </c>
      <c r="BW34" s="10">
        <f t="shared" si="37"/>
        <v>0</v>
      </c>
      <c r="BX34" s="13">
        <v>0</v>
      </c>
      <c r="BY34" s="10">
        <f t="shared" si="38"/>
        <v>0</v>
      </c>
      <c r="BZ34" s="13"/>
      <c r="CA34" s="10">
        <f t="shared" si="39"/>
        <v>0</v>
      </c>
      <c r="CB34" s="13"/>
      <c r="CC34" s="10">
        <f t="shared" si="40"/>
        <v>0</v>
      </c>
      <c r="CD34" s="14"/>
      <c r="CE34" s="10">
        <f t="shared" si="41"/>
        <v>0</v>
      </c>
      <c r="CF34" s="11">
        <f t="shared" si="42"/>
        <v>12</v>
      </c>
      <c r="CG34" s="12">
        <f t="shared" si="43"/>
        <v>7.1999999999999993</v>
      </c>
      <c r="CH34" s="15"/>
      <c r="CI34" s="10">
        <f t="shared" si="44"/>
        <v>0</v>
      </c>
      <c r="CJ34" s="15"/>
      <c r="CK34" s="10">
        <f t="shared" si="45"/>
        <v>0</v>
      </c>
      <c r="CL34" s="15"/>
      <c r="CM34" s="10">
        <f t="shared" si="46"/>
        <v>0</v>
      </c>
      <c r="CN34" s="15"/>
      <c r="CO34" s="10">
        <f t="shared" si="47"/>
        <v>0</v>
      </c>
      <c r="CP34" s="15"/>
      <c r="CQ34" s="10">
        <f t="shared" si="48"/>
        <v>0</v>
      </c>
      <c r="CR34" s="15"/>
      <c r="CS34" s="10">
        <f t="shared" si="49"/>
        <v>0</v>
      </c>
      <c r="CT34" s="15"/>
      <c r="CU34" s="10">
        <f t="shared" si="50"/>
        <v>0</v>
      </c>
      <c r="CV34" s="15"/>
      <c r="CW34" s="10">
        <f t="shared" si="51"/>
        <v>0</v>
      </c>
      <c r="CX34" s="15"/>
      <c r="CY34" s="10">
        <f t="shared" si="52"/>
        <v>0</v>
      </c>
      <c r="CZ34" s="15"/>
      <c r="DA34" s="10">
        <f t="shared" si="53"/>
        <v>0</v>
      </c>
      <c r="DB34" s="15"/>
      <c r="DC34" s="10">
        <f t="shared" si="54"/>
        <v>0</v>
      </c>
      <c r="DD34" s="15"/>
      <c r="DE34" s="10">
        <f t="shared" si="54"/>
        <v>0</v>
      </c>
      <c r="DF34" s="231">
        <f t="shared" si="55"/>
        <v>0</v>
      </c>
      <c r="DG34" s="230">
        <f t="shared" si="56"/>
        <v>0</v>
      </c>
      <c r="DH34" s="238"/>
      <c r="DI34" s="239">
        <f t="shared" si="109"/>
        <v>0</v>
      </c>
      <c r="DJ34" s="15"/>
      <c r="DK34" s="239">
        <f t="shared" si="110"/>
        <v>0</v>
      </c>
      <c r="DL34" s="238"/>
      <c r="DM34" s="239">
        <f t="shared" si="111"/>
        <v>0</v>
      </c>
      <c r="DN34" s="238"/>
      <c r="DO34" s="239">
        <f t="shared" si="112"/>
        <v>0</v>
      </c>
      <c r="DP34" s="238"/>
      <c r="DQ34" s="239">
        <f t="shared" si="113"/>
        <v>0</v>
      </c>
      <c r="DR34" s="238"/>
      <c r="DS34" s="239">
        <f t="shared" si="114"/>
        <v>0</v>
      </c>
      <c r="DT34" s="238"/>
      <c r="DU34" s="239">
        <f t="shared" si="115"/>
        <v>0</v>
      </c>
      <c r="DV34" s="238"/>
      <c r="DW34" s="239">
        <f t="shared" si="116"/>
        <v>0</v>
      </c>
      <c r="DX34" s="238"/>
      <c r="DY34" s="239">
        <f t="shared" si="117"/>
        <v>0</v>
      </c>
      <c r="DZ34" s="238"/>
      <c r="EA34" s="239">
        <f t="shared" si="118"/>
        <v>0</v>
      </c>
      <c r="EB34" s="238"/>
      <c r="EC34" s="239">
        <f t="shared" si="119"/>
        <v>0</v>
      </c>
      <c r="ED34" s="238"/>
      <c r="EE34" s="239">
        <f t="shared" si="120"/>
        <v>0</v>
      </c>
      <c r="EF34" s="240">
        <f t="shared" si="121"/>
        <v>0</v>
      </c>
      <c r="EG34" s="239">
        <f t="shared" si="121"/>
        <v>0</v>
      </c>
    </row>
    <row r="35" spans="1:137" ht="19.8">
      <c r="A35" s="7">
        <v>28</v>
      </c>
      <c r="B35" s="8" t="s">
        <v>42</v>
      </c>
      <c r="C35" s="8" t="s">
        <v>14</v>
      </c>
      <c r="D35" s="7">
        <f t="shared" si="108"/>
        <v>31</v>
      </c>
      <c r="E35" s="7">
        <v>0.35</v>
      </c>
      <c r="F35" s="7" t="s">
        <v>18</v>
      </c>
      <c r="G35" s="7">
        <v>900</v>
      </c>
      <c r="H35" s="9">
        <v>340</v>
      </c>
      <c r="I35" s="10">
        <f t="shared" si="2"/>
        <v>118.99999999999999</v>
      </c>
      <c r="J35" s="9">
        <v>260</v>
      </c>
      <c r="K35" s="10">
        <f t="shared" si="3"/>
        <v>91</v>
      </c>
      <c r="L35" s="9">
        <v>360</v>
      </c>
      <c r="M35" s="10">
        <f t="shared" si="4"/>
        <v>125.99999999999999</v>
      </c>
      <c r="N35" s="9">
        <v>280</v>
      </c>
      <c r="O35" s="10">
        <f t="shared" si="5"/>
        <v>98</v>
      </c>
      <c r="P35" s="9">
        <v>240</v>
      </c>
      <c r="Q35" s="10">
        <f t="shared" si="6"/>
        <v>84</v>
      </c>
      <c r="R35" s="9">
        <v>200</v>
      </c>
      <c r="S35" s="10">
        <f t="shared" si="7"/>
        <v>70</v>
      </c>
      <c r="T35" s="9">
        <v>240</v>
      </c>
      <c r="U35" s="10">
        <f t="shared" si="8"/>
        <v>84</v>
      </c>
      <c r="V35" s="9">
        <v>160</v>
      </c>
      <c r="W35" s="10">
        <f t="shared" si="9"/>
        <v>56</v>
      </c>
      <c r="X35" s="9">
        <v>200</v>
      </c>
      <c r="Y35" s="10">
        <f t="shared" si="10"/>
        <v>70</v>
      </c>
      <c r="Z35" s="9">
        <v>120</v>
      </c>
      <c r="AA35" s="10">
        <f t="shared" si="11"/>
        <v>42</v>
      </c>
      <c r="AB35" s="9">
        <v>160</v>
      </c>
      <c r="AC35" s="10">
        <f t="shared" si="12"/>
        <v>56</v>
      </c>
      <c r="AD35" s="9">
        <v>80</v>
      </c>
      <c r="AE35" s="10">
        <f t="shared" si="13"/>
        <v>28</v>
      </c>
      <c r="AF35" s="11">
        <f t="shared" si="14"/>
        <v>2640</v>
      </c>
      <c r="AG35" s="12">
        <f t="shared" si="15"/>
        <v>923.99999999999989</v>
      </c>
      <c r="AH35" s="9">
        <v>80</v>
      </c>
      <c r="AI35" s="10">
        <f t="shared" si="16"/>
        <v>28</v>
      </c>
      <c r="AJ35" s="9">
        <v>120</v>
      </c>
      <c r="AK35" s="10">
        <f t="shared" si="17"/>
        <v>42</v>
      </c>
      <c r="AL35" s="9">
        <v>240</v>
      </c>
      <c r="AM35" s="10">
        <f t="shared" si="18"/>
        <v>84</v>
      </c>
      <c r="AN35" s="9">
        <v>40</v>
      </c>
      <c r="AO35" s="10">
        <f t="shared" si="19"/>
        <v>14</v>
      </c>
      <c r="AP35" s="9">
        <v>160</v>
      </c>
      <c r="AQ35" s="10">
        <f t="shared" si="20"/>
        <v>56</v>
      </c>
      <c r="AR35" s="9">
        <v>100</v>
      </c>
      <c r="AS35" s="10">
        <f t="shared" si="21"/>
        <v>35</v>
      </c>
      <c r="AT35" s="9">
        <v>40</v>
      </c>
      <c r="AU35" s="10">
        <f t="shared" si="22"/>
        <v>14</v>
      </c>
      <c r="AV35" s="9">
        <v>80</v>
      </c>
      <c r="AW35" s="10">
        <f t="shared" si="23"/>
        <v>28</v>
      </c>
      <c r="AX35" s="9">
        <v>80</v>
      </c>
      <c r="AY35" s="10">
        <f t="shared" si="24"/>
        <v>28</v>
      </c>
      <c r="AZ35" s="9">
        <v>80</v>
      </c>
      <c r="BA35" s="10">
        <f t="shared" si="25"/>
        <v>28</v>
      </c>
      <c r="BB35" s="9">
        <v>120</v>
      </c>
      <c r="BC35" s="10">
        <f t="shared" si="26"/>
        <v>42</v>
      </c>
      <c r="BD35" s="9"/>
      <c r="BE35" s="10">
        <f t="shared" si="27"/>
        <v>0</v>
      </c>
      <c r="BF35" s="11">
        <f t="shared" si="28"/>
        <v>1140</v>
      </c>
      <c r="BG35" s="12">
        <f t="shared" si="29"/>
        <v>399</v>
      </c>
      <c r="BH35" s="13">
        <v>80</v>
      </c>
      <c r="BI35" s="10">
        <f t="shared" si="30"/>
        <v>28</v>
      </c>
      <c r="BJ35" s="13">
        <v>80</v>
      </c>
      <c r="BK35" s="10">
        <f t="shared" si="31"/>
        <v>28</v>
      </c>
      <c r="BL35" s="13">
        <v>200</v>
      </c>
      <c r="BM35" s="10">
        <f t="shared" si="32"/>
        <v>70</v>
      </c>
      <c r="BN35" s="13">
        <v>40</v>
      </c>
      <c r="BO35" s="10">
        <f t="shared" si="33"/>
        <v>14</v>
      </c>
      <c r="BP35" s="13">
        <v>80</v>
      </c>
      <c r="BQ35" s="10">
        <f t="shared" si="34"/>
        <v>28</v>
      </c>
      <c r="BR35" s="13">
        <v>120</v>
      </c>
      <c r="BS35" s="10">
        <f t="shared" si="35"/>
        <v>42</v>
      </c>
      <c r="BT35" s="13">
        <v>120</v>
      </c>
      <c r="BU35" s="10">
        <f t="shared" si="36"/>
        <v>42</v>
      </c>
      <c r="BV35" s="13">
        <v>120</v>
      </c>
      <c r="BW35" s="10">
        <f t="shared" si="37"/>
        <v>42</v>
      </c>
      <c r="BX35" s="13">
        <v>120</v>
      </c>
      <c r="BY35" s="10">
        <f t="shared" si="38"/>
        <v>42</v>
      </c>
      <c r="BZ35" s="13">
        <v>160</v>
      </c>
      <c r="CA35" s="10">
        <f t="shared" si="39"/>
        <v>56</v>
      </c>
      <c r="CB35" s="13">
        <v>160</v>
      </c>
      <c r="CC35" s="10">
        <f t="shared" si="40"/>
        <v>56</v>
      </c>
      <c r="CD35" s="14"/>
      <c r="CE35" s="10">
        <f t="shared" si="41"/>
        <v>0</v>
      </c>
      <c r="CF35" s="11">
        <f t="shared" si="42"/>
        <v>1280</v>
      </c>
      <c r="CG35" s="12">
        <f t="shared" si="43"/>
        <v>448</v>
      </c>
      <c r="CH35" s="15"/>
      <c r="CI35" s="10">
        <f t="shared" si="44"/>
        <v>0</v>
      </c>
      <c r="CJ35" s="15"/>
      <c r="CK35" s="10">
        <f t="shared" si="45"/>
        <v>0</v>
      </c>
      <c r="CL35" s="15"/>
      <c r="CM35" s="10">
        <f t="shared" si="46"/>
        <v>0</v>
      </c>
      <c r="CN35" s="15"/>
      <c r="CO35" s="10">
        <f t="shared" si="47"/>
        <v>0</v>
      </c>
      <c r="CP35" s="15"/>
      <c r="CQ35" s="10">
        <f t="shared" si="48"/>
        <v>0</v>
      </c>
      <c r="CR35" s="15"/>
      <c r="CS35" s="10">
        <f t="shared" si="49"/>
        <v>0</v>
      </c>
      <c r="CT35" s="15"/>
      <c r="CU35" s="10">
        <f t="shared" si="50"/>
        <v>0</v>
      </c>
      <c r="CV35" s="15"/>
      <c r="CW35" s="10">
        <f t="shared" si="51"/>
        <v>0</v>
      </c>
      <c r="CX35" s="15"/>
      <c r="CY35" s="10">
        <f t="shared" si="52"/>
        <v>0</v>
      </c>
      <c r="CZ35" s="15"/>
      <c r="DA35" s="10">
        <f t="shared" si="53"/>
        <v>0</v>
      </c>
      <c r="DB35" s="15"/>
      <c r="DC35" s="10">
        <f t="shared" si="54"/>
        <v>0</v>
      </c>
      <c r="DD35" s="15"/>
      <c r="DE35" s="10">
        <f t="shared" si="54"/>
        <v>0</v>
      </c>
      <c r="DF35" s="231">
        <f t="shared" si="55"/>
        <v>0</v>
      </c>
      <c r="DG35" s="230">
        <f t="shared" si="56"/>
        <v>0</v>
      </c>
      <c r="DH35" s="238"/>
      <c r="DI35" s="239">
        <f t="shared" si="109"/>
        <v>0</v>
      </c>
      <c r="DJ35" s="15"/>
      <c r="DK35" s="239">
        <f t="shared" si="110"/>
        <v>0</v>
      </c>
      <c r="DL35" s="238"/>
      <c r="DM35" s="239">
        <f t="shared" si="111"/>
        <v>0</v>
      </c>
      <c r="DN35" s="238"/>
      <c r="DO35" s="239">
        <f t="shared" si="112"/>
        <v>0</v>
      </c>
      <c r="DP35" s="238"/>
      <c r="DQ35" s="239">
        <f t="shared" si="113"/>
        <v>0</v>
      </c>
      <c r="DR35" s="238"/>
      <c r="DS35" s="239">
        <f t="shared" si="114"/>
        <v>0</v>
      </c>
      <c r="DT35" s="238"/>
      <c r="DU35" s="239">
        <f t="shared" si="115"/>
        <v>0</v>
      </c>
      <c r="DV35" s="238"/>
      <c r="DW35" s="239">
        <f t="shared" si="116"/>
        <v>0</v>
      </c>
      <c r="DX35" s="238"/>
      <c r="DY35" s="239">
        <f t="shared" si="117"/>
        <v>0</v>
      </c>
      <c r="DZ35" s="238"/>
      <c r="EA35" s="239">
        <f t="shared" si="118"/>
        <v>0</v>
      </c>
      <c r="EB35" s="238"/>
      <c r="EC35" s="239">
        <f t="shared" si="119"/>
        <v>0</v>
      </c>
      <c r="ED35" s="238"/>
      <c r="EE35" s="239">
        <f t="shared" si="120"/>
        <v>0</v>
      </c>
      <c r="EF35" s="240">
        <f t="shared" si="121"/>
        <v>0</v>
      </c>
      <c r="EG35" s="239">
        <f t="shared" si="121"/>
        <v>0</v>
      </c>
    </row>
    <row r="36" spans="1:137" ht="19.8">
      <c r="A36" s="7">
        <v>29</v>
      </c>
      <c r="B36" s="8" t="s">
        <v>43</v>
      </c>
      <c r="C36" s="8" t="s">
        <v>11</v>
      </c>
      <c r="D36" s="7">
        <f t="shared" si="108"/>
        <v>31</v>
      </c>
      <c r="E36" s="7">
        <v>0.7</v>
      </c>
      <c r="F36" s="7" t="s">
        <v>12</v>
      </c>
      <c r="G36" s="7"/>
      <c r="H36" s="15"/>
      <c r="I36" s="10">
        <f t="shared" si="2"/>
        <v>0</v>
      </c>
      <c r="J36" s="15"/>
      <c r="K36" s="10">
        <f t="shared" si="3"/>
        <v>0</v>
      </c>
      <c r="L36" s="15"/>
      <c r="M36" s="10">
        <f t="shared" si="4"/>
        <v>0</v>
      </c>
      <c r="N36" s="15"/>
      <c r="O36" s="10">
        <f t="shared" si="5"/>
        <v>0</v>
      </c>
      <c r="P36" s="15"/>
      <c r="Q36" s="10">
        <f t="shared" si="6"/>
        <v>0</v>
      </c>
      <c r="R36" s="15"/>
      <c r="S36" s="10">
        <f t="shared" si="7"/>
        <v>0</v>
      </c>
      <c r="T36" s="15"/>
      <c r="U36" s="10">
        <f t="shared" si="8"/>
        <v>0</v>
      </c>
      <c r="V36" s="15"/>
      <c r="W36" s="10">
        <f t="shared" si="9"/>
        <v>0</v>
      </c>
      <c r="X36" s="15"/>
      <c r="Y36" s="10">
        <f t="shared" si="10"/>
        <v>0</v>
      </c>
      <c r="Z36" s="15"/>
      <c r="AA36" s="10">
        <f t="shared" si="11"/>
        <v>0</v>
      </c>
      <c r="AB36" s="15"/>
      <c r="AC36" s="10">
        <f t="shared" si="12"/>
        <v>0</v>
      </c>
      <c r="AD36" s="15"/>
      <c r="AE36" s="10">
        <f t="shared" si="13"/>
        <v>0</v>
      </c>
      <c r="AF36" s="11">
        <f t="shared" si="14"/>
        <v>0</v>
      </c>
      <c r="AG36" s="12">
        <f t="shared" si="15"/>
        <v>0</v>
      </c>
      <c r="AH36" s="15"/>
      <c r="AI36" s="10">
        <f t="shared" si="16"/>
        <v>0</v>
      </c>
      <c r="AJ36" s="15"/>
      <c r="AK36" s="10">
        <f t="shared" si="17"/>
        <v>0</v>
      </c>
      <c r="AL36" s="15"/>
      <c r="AM36" s="10">
        <f t="shared" si="18"/>
        <v>0</v>
      </c>
      <c r="AN36" s="15"/>
      <c r="AO36" s="10">
        <f t="shared" si="19"/>
        <v>0</v>
      </c>
      <c r="AP36" s="15"/>
      <c r="AQ36" s="10">
        <f t="shared" si="20"/>
        <v>0</v>
      </c>
      <c r="AR36" s="15"/>
      <c r="AS36" s="10">
        <f t="shared" si="21"/>
        <v>0</v>
      </c>
      <c r="AT36" s="15"/>
      <c r="AU36" s="10">
        <f t="shared" si="22"/>
        <v>0</v>
      </c>
      <c r="AV36" s="15"/>
      <c r="AW36" s="10">
        <f t="shared" si="23"/>
        <v>0</v>
      </c>
      <c r="AX36" s="15"/>
      <c r="AY36" s="10">
        <f t="shared" si="24"/>
        <v>0</v>
      </c>
      <c r="AZ36" s="15"/>
      <c r="BA36" s="10">
        <f t="shared" si="25"/>
        <v>0</v>
      </c>
      <c r="BB36" s="15"/>
      <c r="BC36" s="10">
        <f t="shared" si="26"/>
        <v>0</v>
      </c>
      <c r="BD36" s="15"/>
      <c r="BE36" s="10">
        <f t="shared" si="27"/>
        <v>0</v>
      </c>
      <c r="BF36" s="11">
        <f t="shared" si="28"/>
        <v>0</v>
      </c>
      <c r="BG36" s="12">
        <f t="shared" si="29"/>
        <v>0</v>
      </c>
      <c r="BH36" s="15"/>
      <c r="BI36" s="10">
        <f t="shared" si="30"/>
        <v>0</v>
      </c>
      <c r="BJ36" s="15"/>
      <c r="BK36" s="10">
        <f t="shared" si="31"/>
        <v>0</v>
      </c>
      <c r="BL36" s="15"/>
      <c r="BM36" s="10">
        <f t="shared" si="32"/>
        <v>0</v>
      </c>
      <c r="BN36" s="15"/>
      <c r="BO36" s="10">
        <f t="shared" si="33"/>
        <v>0</v>
      </c>
      <c r="BP36" s="15"/>
      <c r="BQ36" s="10">
        <f t="shared" si="34"/>
        <v>0</v>
      </c>
      <c r="BR36" s="15"/>
      <c r="BS36" s="10">
        <f t="shared" si="35"/>
        <v>0</v>
      </c>
      <c r="BT36" s="15"/>
      <c r="BU36" s="10">
        <f t="shared" si="36"/>
        <v>0</v>
      </c>
      <c r="BV36" s="15"/>
      <c r="BW36" s="10">
        <f t="shared" si="37"/>
        <v>0</v>
      </c>
      <c r="BX36" s="15"/>
      <c r="BY36" s="10">
        <f t="shared" si="38"/>
        <v>0</v>
      </c>
      <c r="BZ36" s="15"/>
      <c r="CA36" s="10">
        <f t="shared" si="39"/>
        <v>0</v>
      </c>
      <c r="CB36" s="15"/>
      <c r="CC36" s="10">
        <f t="shared" si="40"/>
        <v>0</v>
      </c>
      <c r="CD36" s="15"/>
      <c r="CE36" s="10">
        <f t="shared" si="41"/>
        <v>0</v>
      </c>
      <c r="CF36" s="11">
        <f t="shared" si="42"/>
        <v>0</v>
      </c>
      <c r="CG36" s="12">
        <f t="shared" si="43"/>
        <v>0</v>
      </c>
      <c r="CH36" s="15"/>
      <c r="CI36" s="10">
        <f t="shared" si="44"/>
        <v>0</v>
      </c>
      <c r="CJ36" s="15"/>
      <c r="CK36" s="10">
        <f t="shared" si="45"/>
        <v>0</v>
      </c>
      <c r="CL36" s="15"/>
      <c r="CM36" s="10">
        <f t="shared" si="46"/>
        <v>0</v>
      </c>
      <c r="CN36" s="15"/>
      <c r="CO36" s="10">
        <f t="shared" si="47"/>
        <v>0</v>
      </c>
      <c r="CP36" s="15"/>
      <c r="CQ36" s="10">
        <f t="shared" si="48"/>
        <v>0</v>
      </c>
      <c r="CR36" s="15"/>
      <c r="CS36" s="10">
        <f t="shared" si="49"/>
        <v>0</v>
      </c>
      <c r="CT36" s="15"/>
      <c r="CU36" s="10">
        <f t="shared" si="50"/>
        <v>0</v>
      </c>
      <c r="CV36" s="15"/>
      <c r="CW36" s="10">
        <f t="shared" si="51"/>
        <v>0</v>
      </c>
      <c r="CX36" s="15"/>
      <c r="CY36" s="10">
        <f t="shared" si="52"/>
        <v>0</v>
      </c>
      <c r="CZ36" s="15"/>
      <c r="DA36" s="10">
        <f t="shared" si="53"/>
        <v>0</v>
      </c>
      <c r="DB36" s="15"/>
      <c r="DC36" s="10">
        <f t="shared" si="54"/>
        <v>0</v>
      </c>
      <c r="DD36" s="15"/>
      <c r="DE36" s="10">
        <f t="shared" si="54"/>
        <v>0</v>
      </c>
      <c r="DF36" s="231">
        <f t="shared" si="55"/>
        <v>0</v>
      </c>
      <c r="DG36" s="230">
        <f t="shared" si="56"/>
        <v>0</v>
      </c>
      <c r="DH36" s="238"/>
      <c r="DI36" s="239">
        <f t="shared" si="109"/>
        <v>0</v>
      </c>
      <c r="DJ36" s="15"/>
      <c r="DK36" s="239">
        <f t="shared" si="110"/>
        <v>0</v>
      </c>
      <c r="DL36" s="238"/>
      <c r="DM36" s="239">
        <f t="shared" si="111"/>
        <v>0</v>
      </c>
      <c r="DN36" s="238"/>
      <c r="DO36" s="239">
        <f t="shared" si="112"/>
        <v>0</v>
      </c>
      <c r="DP36" s="238"/>
      <c r="DQ36" s="239">
        <f t="shared" si="113"/>
        <v>0</v>
      </c>
      <c r="DR36" s="238"/>
      <c r="DS36" s="239">
        <f t="shared" si="114"/>
        <v>0</v>
      </c>
      <c r="DT36" s="238"/>
      <c r="DU36" s="239">
        <f t="shared" si="115"/>
        <v>0</v>
      </c>
      <c r="DV36" s="238"/>
      <c r="DW36" s="239">
        <f t="shared" si="116"/>
        <v>0</v>
      </c>
      <c r="DX36" s="238"/>
      <c r="DY36" s="239">
        <f t="shared" si="117"/>
        <v>0</v>
      </c>
      <c r="DZ36" s="238"/>
      <c r="EA36" s="239">
        <f t="shared" si="118"/>
        <v>0</v>
      </c>
      <c r="EB36" s="238"/>
      <c r="EC36" s="239">
        <f t="shared" si="119"/>
        <v>0</v>
      </c>
      <c r="ED36" s="238"/>
      <c r="EE36" s="239">
        <f t="shared" si="120"/>
        <v>0</v>
      </c>
      <c r="EF36" s="240">
        <f t="shared" si="121"/>
        <v>0</v>
      </c>
      <c r="EG36" s="239">
        <f t="shared" si="121"/>
        <v>0</v>
      </c>
    </row>
    <row r="37" spans="1:137" ht="19.8">
      <c r="A37" s="7">
        <v>30</v>
      </c>
      <c r="B37" s="8" t="s">
        <v>44</v>
      </c>
      <c r="C37" s="8" t="s">
        <v>11</v>
      </c>
      <c r="D37" s="7">
        <f t="shared" si="108"/>
        <v>31</v>
      </c>
      <c r="E37" s="7">
        <v>0.7</v>
      </c>
      <c r="F37" s="7" t="s">
        <v>12</v>
      </c>
      <c r="G37" s="7"/>
      <c r="H37" s="15"/>
      <c r="I37" s="10">
        <f t="shared" si="2"/>
        <v>0</v>
      </c>
      <c r="J37" s="15"/>
      <c r="K37" s="10">
        <f t="shared" si="3"/>
        <v>0</v>
      </c>
      <c r="L37" s="15"/>
      <c r="M37" s="10">
        <f t="shared" si="4"/>
        <v>0</v>
      </c>
      <c r="N37" s="15"/>
      <c r="O37" s="10">
        <f t="shared" si="5"/>
        <v>0</v>
      </c>
      <c r="P37" s="15"/>
      <c r="Q37" s="10">
        <f t="shared" si="6"/>
        <v>0</v>
      </c>
      <c r="R37" s="15"/>
      <c r="S37" s="10">
        <f t="shared" si="7"/>
        <v>0</v>
      </c>
      <c r="T37" s="15"/>
      <c r="U37" s="10">
        <f t="shared" si="8"/>
        <v>0</v>
      </c>
      <c r="V37" s="15"/>
      <c r="W37" s="10">
        <f t="shared" si="9"/>
        <v>0</v>
      </c>
      <c r="X37" s="15"/>
      <c r="Y37" s="10">
        <f t="shared" si="10"/>
        <v>0</v>
      </c>
      <c r="Z37" s="15"/>
      <c r="AA37" s="10">
        <f t="shared" si="11"/>
        <v>0</v>
      </c>
      <c r="AB37" s="15"/>
      <c r="AC37" s="10">
        <f t="shared" si="12"/>
        <v>0</v>
      </c>
      <c r="AD37" s="15"/>
      <c r="AE37" s="10">
        <f t="shared" si="13"/>
        <v>0</v>
      </c>
      <c r="AF37" s="11">
        <f t="shared" si="14"/>
        <v>0</v>
      </c>
      <c r="AG37" s="12">
        <f t="shared" si="15"/>
        <v>0</v>
      </c>
      <c r="AH37" s="15"/>
      <c r="AI37" s="10">
        <f t="shared" si="16"/>
        <v>0</v>
      </c>
      <c r="AJ37" s="15"/>
      <c r="AK37" s="10">
        <f t="shared" si="17"/>
        <v>0</v>
      </c>
      <c r="AL37" s="15"/>
      <c r="AM37" s="10">
        <f t="shared" si="18"/>
        <v>0</v>
      </c>
      <c r="AN37" s="15"/>
      <c r="AO37" s="10">
        <f t="shared" si="19"/>
        <v>0</v>
      </c>
      <c r="AP37" s="15"/>
      <c r="AQ37" s="10">
        <f t="shared" si="20"/>
        <v>0</v>
      </c>
      <c r="AR37" s="15"/>
      <c r="AS37" s="10">
        <f t="shared" si="21"/>
        <v>0</v>
      </c>
      <c r="AT37" s="15"/>
      <c r="AU37" s="10">
        <f t="shared" si="22"/>
        <v>0</v>
      </c>
      <c r="AV37" s="15"/>
      <c r="AW37" s="10">
        <f t="shared" si="23"/>
        <v>0</v>
      </c>
      <c r="AX37" s="15"/>
      <c r="AY37" s="10">
        <f t="shared" si="24"/>
        <v>0</v>
      </c>
      <c r="AZ37" s="15"/>
      <c r="BA37" s="10">
        <f t="shared" si="25"/>
        <v>0</v>
      </c>
      <c r="BB37" s="15"/>
      <c r="BC37" s="10">
        <f t="shared" si="26"/>
        <v>0</v>
      </c>
      <c r="BD37" s="15"/>
      <c r="BE37" s="10">
        <f t="shared" si="27"/>
        <v>0</v>
      </c>
      <c r="BF37" s="11">
        <f t="shared" si="28"/>
        <v>0</v>
      </c>
      <c r="BG37" s="12">
        <f t="shared" si="29"/>
        <v>0</v>
      </c>
      <c r="BH37" s="15"/>
      <c r="BI37" s="10">
        <f t="shared" si="30"/>
        <v>0</v>
      </c>
      <c r="BJ37" s="15"/>
      <c r="BK37" s="10">
        <f t="shared" si="31"/>
        <v>0</v>
      </c>
      <c r="BL37" s="15"/>
      <c r="BM37" s="10">
        <f t="shared" si="32"/>
        <v>0</v>
      </c>
      <c r="BN37" s="15"/>
      <c r="BO37" s="10">
        <f t="shared" si="33"/>
        <v>0</v>
      </c>
      <c r="BP37" s="15"/>
      <c r="BQ37" s="10">
        <f t="shared" si="34"/>
        <v>0</v>
      </c>
      <c r="BR37" s="15"/>
      <c r="BS37" s="10">
        <f t="shared" si="35"/>
        <v>0</v>
      </c>
      <c r="BT37" s="15"/>
      <c r="BU37" s="10">
        <f t="shared" si="36"/>
        <v>0</v>
      </c>
      <c r="BV37" s="15"/>
      <c r="BW37" s="10">
        <f t="shared" si="37"/>
        <v>0</v>
      </c>
      <c r="BX37" s="15"/>
      <c r="BY37" s="10">
        <f t="shared" si="38"/>
        <v>0</v>
      </c>
      <c r="BZ37" s="15"/>
      <c r="CA37" s="10">
        <f t="shared" si="39"/>
        <v>0</v>
      </c>
      <c r="CB37" s="15"/>
      <c r="CC37" s="10">
        <f t="shared" si="40"/>
        <v>0</v>
      </c>
      <c r="CD37" s="15"/>
      <c r="CE37" s="10">
        <f t="shared" si="41"/>
        <v>0</v>
      </c>
      <c r="CF37" s="11">
        <f t="shared" si="42"/>
        <v>0</v>
      </c>
      <c r="CG37" s="12">
        <f t="shared" si="43"/>
        <v>0</v>
      </c>
      <c r="CH37" s="15"/>
      <c r="CI37" s="10">
        <f t="shared" si="44"/>
        <v>0</v>
      </c>
      <c r="CJ37" s="15"/>
      <c r="CK37" s="10">
        <f t="shared" si="45"/>
        <v>0</v>
      </c>
      <c r="CL37" s="15"/>
      <c r="CM37" s="10">
        <f t="shared" si="46"/>
        <v>0</v>
      </c>
      <c r="CN37" s="15"/>
      <c r="CO37" s="10">
        <f t="shared" si="47"/>
        <v>0</v>
      </c>
      <c r="CP37" s="15"/>
      <c r="CQ37" s="10">
        <f t="shared" si="48"/>
        <v>0</v>
      </c>
      <c r="CR37" s="15"/>
      <c r="CS37" s="10">
        <f t="shared" si="49"/>
        <v>0</v>
      </c>
      <c r="CT37" s="15"/>
      <c r="CU37" s="10">
        <f t="shared" si="50"/>
        <v>0</v>
      </c>
      <c r="CV37" s="15"/>
      <c r="CW37" s="10">
        <f t="shared" si="51"/>
        <v>0</v>
      </c>
      <c r="CX37" s="15"/>
      <c r="CY37" s="10">
        <f t="shared" si="52"/>
        <v>0</v>
      </c>
      <c r="CZ37" s="15"/>
      <c r="DA37" s="10">
        <f t="shared" si="53"/>
        <v>0</v>
      </c>
      <c r="DB37" s="15"/>
      <c r="DC37" s="10">
        <f t="shared" si="54"/>
        <v>0</v>
      </c>
      <c r="DD37" s="15"/>
      <c r="DE37" s="10">
        <f t="shared" si="54"/>
        <v>0</v>
      </c>
      <c r="DF37" s="231">
        <f t="shared" si="55"/>
        <v>0</v>
      </c>
      <c r="DG37" s="230">
        <f t="shared" si="56"/>
        <v>0</v>
      </c>
      <c r="DH37" s="238"/>
      <c r="DI37" s="239">
        <f t="shared" si="109"/>
        <v>0</v>
      </c>
      <c r="DJ37" s="15"/>
      <c r="DK37" s="239">
        <f t="shared" si="110"/>
        <v>0</v>
      </c>
      <c r="DL37" s="238"/>
      <c r="DM37" s="239">
        <f t="shared" si="111"/>
        <v>0</v>
      </c>
      <c r="DN37" s="238"/>
      <c r="DO37" s="239">
        <f t="shared" si="112"/>
        <v>0</v>
      </c>
      <c r="DP37" s="238"/>
      <c r="DQ37" s="239">
        <f t="shared" si="113"/>
        <v>0</v>
      </c>
      <c r="DR37" s="238"/>
      <c r="DS37" s="239">
        <f t="shared" si="114"/>
        <v>0</v>
      </c>
      <c r="DT37" s="238"/>
      <c r="DU37" s="239">
        <f t="shared" si="115"/>
        <v>0</v>
      </c>
      <c r="DV37" s="238"/>
      <c r="DW37" s="239">
        <f t="shared" si="116"/>
        <v>0</v>
      </c>
      <c r="DX37" s="238"/>
      <c r="DY37" s="239">
        <f t="shared" si="117"/>
        <v>0</v>
      </c>
      <c r="DZ37" s="238"/>
      <c r="EA37" s="239">
        <f t="shared" si="118"/>
        <v>0</v>
      </c>
      <c r="EB37" s="238"/>
      <c r="EC37" s="239">
        <f t="shared" si="119"/>
        <v>0</v>
      </c>
      <c r="ED37" s="238"/>
      <c r="EE37" s="239">
        <f t="shared" si="120"/>
        <v>0</v>
      </c>
      <c r="EF37" s="240">
        <f t="shared" si="121"/>
        <v>0</v>
      </c>
      <c r="EG37" s="239">
        <f t="shared" si="121"/>
        <v>0</v>
      </c>
    </row>
    <row r="38" spans="1:137" ht="19.8">
      <c r="A38" s="7">
        <v>31</v>
      </c>
      <c r="B38" s="8" t="s">
        <v>45</v>
      </c>
      <c r="C38" s="8" t="s">
        <v>11</v>
      </c>
      <c r="D38" s="7">
        <f t="shared" si="108"/>
        <v>23</v>
      </c>
      <c r="E38" s="7">
        <v>0.68</v>
      </c>
      <c r="F38" s="7" t="s">
        <v>12</v>
      </c>
      <c r="G38" s="7">
        <v>1500</v>
      </c>
      <c r="H38" s="15"/>
      <c r="I38" s="10">
        <f t="shared" si="2"/>
        <v>0</v>
      </c>
      <c r="J38" s="15"/>
      <c r="K38" s="10">
        <f t="shared" si="3"/>
        <v>0</v>
      </c>
      <c r="L38" s="15"/>
      <c r="M38" s="10">
        <f t="shared" si="4"/>
        <v>0</v>
      </c>
      <c r="N38" s="15"/>
      <c r="O38" s="10">
        <f t="shared" si="5"/>
        <v>0</v>
      </c>
      <c r="P38" s="15"/>
      <c r="Q38" s="10">
        <f t="shared" si="6"/>
        <v>0</v>
      </c>
      <c r="R38" s="15"/>
      <c r="S38" s="10">
        <f t="shared" si="7"/>
        <v>0</v>
      </c>
      <c r="T38" s="15"/>
      <c r="U38" s="10">
        <f t="shared" si="8"/>
        <v>0</v>
      </c>
      <c r="V38" s="15"/>
      <c r="W38" s="10">
        <f t="shared" si="9"/>
        <v>0</v>
      </c>
      <c r="X38" s="15"/>
      <c r="Y38" s="10">
        <f t="shared" si="10"/>
        <v>0</v>
      </c>
      <c r="Z38" s="15"/>
      <c r="AA38" s="10">
        <f t="shared" si="11"/>
        <v>0</v>
      </c>
      <c r="AB38" s="15"/>
      <c r="AC38" s="10">
        <f t="shared" si="12"/>
        <v>0</v>
      </c>
      <c r="AD38" s="15"/>
      <c r="AE38" s="10">
        <f t="shared" si="13"/>
        <v>0</v>
      </c>
      <c r="AF38" s="11">
        <f t="shared" si="14"/>
        <v>0</v>
      </c>
      <c r="AG38" s="12">
        <f t="shared" si="15"/>
        <v>0</v>
      </c>
      <c r="AH38" s="9"/>
      <c r="AI38" s="10">
        <f t="shared" si="16"/>
        <v>0</v>
      </c>
      <c r="AJ38" s="9"/>
      <c r="AK38" s="10">
        <f t="shared" si="17"/>
        <v>0</v>
      </c>
      <c r="AL38" s="9">
        <v>145</v>
      </c>
      <c r="AM38" s="10">
        <f t="shared" si="18"/>
        <v>98.600000000000009</v>
      </c>
      <c r="AN38" s="9">
        <v>4206</v>
      </c>
      <c r="AO38" s="10">
        <f t="shared" si="19"/>
        <v>2860.0800000000004</v>
      </c>
      <c r="AP38" s="9">
        <v>2701</v>
      </c>
      <c r="AQ38" s="10">
        <f t="shared" si="20"/>
        <v>1836.68</v>
      </c>
      <c r="AR38" s="9">
        <v>2106</v>
      </c>
      <c r="AS38" s="10">
        <f t="shared" si="21"/>
        <v>1432.0800000000002</v>
      </c>
      <c r="AT38" s="9">
        <v>1867</v>
      </c>
      <c r="AU38" s="10">
        <f t="shared" si="22"/>
        <v>1269.5600000000002</v>
      </c>
      <c r="AV38" s="9">
        <v>682</v>
      </c>
      <c r="AW38" s="10">
        <f t="shared" si="23"/>
        <v>463.76000000000005</v>
      </c>
      <c r="AX38" s="9">
        <v>1791</v>
      </c>
      <c r="AY38" s="10">
        <f t="shared" si="24"/>
        <v>1217.8800000000001</v>
      </c>
      <c r="AZ38" s="9">
        <v>570</v>
      </c>
      <c r="BA38" s="10">
        <f t="shared" si="25"/>
        <v>387.6</v>
      </c>
      <c r="BB38" s="9"/>
      <c r="BC38" s="10">
        <f t="shared" si="26"/>
        <v>0</v>
      </c>
      <c r="BD38" s="9">
        <v>236</v>
      </c>
      <c r="BE38" s="10">
        <f t="shared" si="27"/>
        <v>160.48000000000002</v>
      </c>
      <c r="BF38" s="11">
        <f t="shared" si="28"/>
        <v>14304</v>
      </c>
      <c r="BG38" s="12">
        <f t="shared" si="29"/>
        <v>9726.7200000000012</v>
      </c>
      <c r="BH38" s="13">
        <v>1560</v>
      </c>
      <c r="BI38" s="10">
        <f t="shared" si="30"/>
        <v>1060.8000000000002</v>
      </c>
      <c r="BJ38" s="13">
        <v>1290</v>
      </c>
      <c r="BK38" s="10">
        <f t="shared" si="31"/>
        <v>877.2</v>
      </c>
      <c r="BL38" s="13">
        <v>734</v>
      </c>
      <c r="BM38" s="10">
        <f t="shared" si="32"/>
        <v>499.12000000000006</v>
      </c>
      <c r="BN38" s="13">
        <v>924</v>
      </c>
      <c r="BO38" s="10">
        <f t="shared" si="33"/>
        <v>628.32000000000005</v>
      </c>
      <c r="BP38" s="13">
        <v>816</v>
      </c>
      <c r="BQ38" s="10">
        <f t="shared" si="34"/>
        <v>554.88</v>
      </c>
      <c r="BR38" s="13">
        <v>180</v>
      </c>
      <c r="BS38" s="10">
        <f t="shared" si="35"/>
        <v>122.4</v>
      </c>
      <c r="BT38" s="13">
        <v>69</v>
      </c>
      <c r="BU38" s="10">
        <f t="shared" si="36"/>
        <v>46.92</v>
      </c>
      <c r="BV38" s="13">
        <v>756</v>
      </c>
      <c r="BW38" s="10">
        <f t="shared" si="37"/>
        <v>514.08000000000004</v>
      </c>
      <c r="BX38" s="13">
        <v>119</v>
      </c>
      <c r="BY38" s="10">
        <f t="shared" si="38"/>
        <v>80.92</v>
      </c>
      <c r="BZ38" s="13">
        <v>337</v>
      </c>
      <c r="CA38" s="10">
        <f t="shared" si="39"/>
        <v>229.16000000000003</v>
      </c>
      <c r="CB38" s="13"/>
      <c r="CC38" s="10">
        <f t="shared" si="40"/>
        <v>0</v>
      </c>
      <c r="CD38" s="14">
        <v>168</v>
      </c>
      <c r="CE38" s="10">
        <f t="shared" si="41"/>
        <v>114.24000000000001</v>
      </c>
      <c r="CF38" s="11">
        <f t="shared" si="42"/>
        <v>6953</v>
      </c>
      <c r="CG38" s="12">
        <f t="shared" si="43"/>
        <v>4728.04</v>
      </c>
      <c r="CH38" s="15">
        <v>252</v>
      </c>
      <c r="CI38" s="10">
        <f t="shared" si="44"/>
        <v>171.36</v>
      </c>
      <c r="CJ38" s="15">
        <v>444</v>
      </c>
      <c r="CK38" s="10">
        <f t="shared" si="45"/>
        <v>301.92</v>
      </c>
      <c r="CL38" s="15">
        <v>636</v>
      </c>
      <c r="CM38" s="10">
        <f t="shared" si="46"/>
        <v>432.48</v>
      </c>
      <c r="CN38" s="15">
        <v>540</v>
      </c>
      <c r="CO38" s="10">
        <f t="shared" si="47"/>
        <v>367.20000000000005</v>
      </c>
      <c r="CP38" s="15">
        <v>540</v>
      </c>
      <c r="CQ38" s="10">
        <f t="shared" si="48"/>
        <v>367.20000000000005</v>
      </c>
      <c r="CR38" s="15">
        <v>468</v>
      </c>
      <c r="CS38" s="10">
        <f t="shared" si="49"/>
        <v>318.24</v>
      </c>
      <c r="CT38" s="15">
        <v>528</v>
      </c>
      <c r="CU38" s="10">
        <f t="shared" si="50"/>
        <v>359.04</v>
      </c>
      <c r="CV38" s="15">
        <v>240</v>
      </c>
      <c r="CW38" s="10">
        <f t="shared" si="51"/>
        <v>163.20000000000002</v>
      </c>
      <c r="CX38" s="15">
        <v>408</v>
      </c>
      <c r="CY38" s="10">
        <f t="shared" si="52"/>
        <v>277.44</v>
      </c>
      <c r="CZ38" s="15">
        <v>408</v>
      </c>
      <c r="DA38" s="10">
        <f t="shared" si="53"/>
        <v>277.44</v>
      </c>
      <c r="DB38" s="15">
        <v>396</v>
      </c>
      <c r="DC38" s="10">
        <f t="shared" si="54"/>
        <v>269.28000000000003</v>
      </c>
      <c r="DD38" s="15">
        <v>504</v>
      </c>
      <c r="DE38" s="10">
        <f t="shared" si="54"/>
        <v>342.72</v>
      </c>
      <c r="DF38" s="231">
        <f t="shared" si="55"/>
        <v>5364</v>
      </c>
      <c r="DG38" s="230">
        <f t="shared" si="56"/>
        <v>3647.5200000000004</v>
      </c>
      <c r="DH38" s="238">
        <v>360</v>
      </c>
      <c r="DI38" s="239">
        <f t="shared" si="109"/>
        <v>244.8</v>
      </c>
      <c r="DJ38" s="15"/>
      <c r="DK38" s="239">
        <f t="shared" si="110"/>
        <v>0</v>
      </c>
      <c r="DL38" s="238"/>
      <c r="DM38" s="239">
        <f t="shared" si="111"/>
        <v>0</v>
      </c>
      <c r="DN38" s="238"/>
      <c r="DO38" s="239">
        <f t="shared" si="112"/>
        <v>0</v>
      </c>
      <c r="DP38" s="238"/>
      <c r="DQ38" s="239">
        <f t="shared" si="113"/>
        <v>0</v>
      </c>
      <c r="DR38" s="238"/>
      <c r="DS38" s="239">
        <f t="shared" si="114"/>
        <v>0</v>
      </c>
      <c r="DT38" s="238"/>
      <c r="DU38" s="239">
        <f t="shared" si="115"/>
        <v>0</v>
      </c>
      <c r="DV38" s="238"/>
      <c r="DW38" s="239">
        <f t="shared" si="116"/>
        <v>0</v>
      </c>
      <c r="DX38" s="238"/>
      <c r="DY38" s="239">
        <f t="shared" si="117"/>
        <v>0</v>
      </c>
      <c r="DZ38" s="238"/>
      <c r="EA38" s="239">
        <f t="shared" si="118"/>
        <v>0</v>
      </c>
      <c r="EB38" s="238"/>
      <c r="EC38" s="239">
        <f t="shared" si="119"/>
        <v>0</v>
      </c>
      <c r="ED38" s="238"/>
      <c r="EE38" s="239">
        <f t="shared" si="120"/>
        <v>0</v>
      </c>
      <c r="EF38" s="240">
        <f t="shared" si="121"/>
        <v>360</v>
      </c>
      <c r="EG38" s="239">
        <f t="shared" si="121"/>
        <v>244.8</v>
      </c>
    </row>
    <row r="39" spans="1:137" ht="19.8">
      <c r="A39" s="7">
        <v>32</v>
      </c>
      <c r="B39" s="8" t="s">
        <v>45</v>
      </c>
      <c r="C39" s="8" t="s">
        <v>11</v>
      </c>
      <c r="D39" s="7">
        <f t="shared" si="108"/>
        <v>31</v>
      </c>
      <c r="E39" s="7">
        <v>0.64</v>
      </c>
      <c r="F39" s="7" t="s">
        <v>12</v>
      </c>
      <c r="G39" s="7">
        <v>1500</v>
      </c>
      <c r="H39" s="15"/>
      <c r="I39" s="10">
        <f t="shared" si="2"/>
        <v>0</v>
      </c>
      <c r="J39" s="15"/>
      <c r="K39" s="10">
        <f t="shared" si="3"/>
        <v>0</v>
      </c>
      <c r="L39" s="15"/>
      <c r="M39" s="10">
        <f t="shared" si="4"/>
        <v>0</v>
      </c>
      <c r="N39" s="15"/>
      <c r="O39" s="10">
        <f t="shared" si="5"/>
        <v>0</v>
      </c>
      <c r="P39" s="15"/>
      <c r="Q39" s="10">
        <f t="shared" si="6"/>
        <v>0</v>
      </c>
      <c r="R39" s="15"/>
      <c r="S39" s="10">
        <f t="shared" si="7"/>
        <v>0</v>
      </c>
      <c r="T39" s="15"/>
      <c r="U39" s="10">
        <f t="shared" si="8"/>
        <v>0</v>
      </c>
      <c r="V39" s="15"/>
      <c r="W39" s="10">
        <f t="shared" si="9"/>
        <v>0</v>
      </c>
      <c r="X39" s="15"/>
      <c r="Y39" s="10">
        <f t="shared" si="10"/>
        <v>0</v>
      </c>
      <c r="Z39" s="15"/>
      <c r="AA39" s="10">
        <f t="shared" si="11"/>
        <v>0</v>
      </c>
      <c r="AB39" s="15"/>
      <c r="AC39" s="10">
        <f t="shared" si="12"/>
        <v>0</v>
      </c>
      <c r="AD39" s="15"/>
      <c r="AE39" s="10">
        <f t="shared" si="13"/>
        <v>0</v>
      </c>
      <c r="AF39" s="11">
        <f t="shared" si="14"/>
        <v>0</v>
      </c>
      <c r="AG39" s="12">
        <f t="shared" si="15"/>
        <v>0</v>
      </c>
      <c r="AH39" s="15"/>
      <c r="AI39" s="10">
        <f t="shared" si="16"/>
        <v>0</v>
      </c>
      <c r="AJ39" s="15"/>
      <c r="AK39" s="10">
        <f t="shared" si="17"/>
        <v>0</v>
      </c>
      <c r="AL39" s="15"/>
      <c r="AM39" s="10">
        <f t="shared" si="18"/>
        <v>0</v>
      </c>
      <c r="AN39" s="15"/>
      <c r="AO39" s="10">
        <f t="shared" si="19"/>
        <v>0</v>
      </c>
      <c r="AP39" s="15"/>
      <c r="AQ39" s="10">
        <f t="shared" si="20"/>
        <v>0</v>
      </c>
      <c r="AR39" s="15"/>
      <c r="AS39" s="10">
        <f t="shared" si="21"/>
        <v>0</v>
      </c>
      <c r="AT39" s="15"/>
      <c r="AU39" s="10">
        <f t="shared" si="22"/>
        <v>0</v>
      </c>
      <c r="AV39" s="15"/>
      <c r="AW39" s="10">
        <f t="shared" si="23"/>
        <v>0</v>
      </c>
      <c r="AX39" s="15"/>
      <c r="AY39" s="10">
        <f t="shared" si="24"/>
        <v>0</v>
      </c>
      <c r="AZ39" s="15"/>
      <c r="BA39" s="10">
        <f t="shared" si="25"/>
        <v>0</v>
      </c>
      <c r="BB39" s="15"/>
      <c r="BC39" s="10">
        <f t="shared" si="26"/>
        <v>0</v>
      </c>
      <c r="BD39" s="15"/>
      <c r="BE39" s="10">
        <f t="shared" si="27"/>
        <v>0</v>
      </c>
      <c r="BF39" s="11">
        <f t="shared" si="28"/>
        <v>0</v>
      </c>
      <c r="BG39" s="12">
        <f t="shared" si="29"/>
        <v>0</v>
      </c>
      <c r="BH39" s="15"/>
      <c r="BI39" s="10">
        <f t="shared" si="30"/>
        <v>0</v>
      </c>
      <c r="BJ39" s="15"/>
      <c r="BK39" s="10">
        <f t="shared" si="31"/>
        <v>0</v>
      </c>
      <c r="BL39" s="15"/>
      <c r="BM39" s="10">
        <f t="shared" si="32"/>
        <v>0</v>
      </c>
      <c r="BN39" s="15"/>
      <c r="BO39" s="10">
        <f t="shared" si="33"/>
        <v>0</v>
      </c>
      <c r="BP39" s="15"/>
      <c r="BQ39" s="10">
        <f t="shared" si="34"/>
        <v>0</v>
      </c>
      <c r="BR39" s="15"/>
      <c r="BS39" s="10">
        <f t="shared" si="35"/>
        <v>0</v>
      </c>
      <c r="BT39" s="15"/>
      <c r="BU39" s="10">
        <f t="shared" si="36"/>
        <v>0</v>
      </c>
      <c r="BV39" s="15"/>
      <c r="BW39" s="10">
        <f t="shared" si="37"/>
        <v>0</v>
      </c>
      <c r="BX39" s="15"/>
      <c r="BY39" s="10">
        <f t="shared" si="38"/>
        <v>0</v>
      </c>
      <c r="BZ39" s="15"/>
      <c r="CA39" s="10">
        <f t="shared" si="39"/>
        <v>0</v>
      </c>
      <c r="CB39" s="15"/>
      <c r="CC39" s="10">
        <f t="shared" si="40"/>
        <v>0</v>
      </c>
      <c r="CD39" s="15"/>
      <c r="CE39" s="10">
        <f t="shared" si="41"/>
        <v>0</v>
      </c>
      <c r="CF39" s="11">
        <f t="shared" si="42"/>
        <v>0</v>
      </c>
      <c r="CG39" s="12">
        <f t="shared" si="43"/>
        <v>0</v>
      </c>
      <c r="CH39" s="15"/>
      <c r="CI39" s="10">
        <f t="shared" si="44"/>
        <v>0</v>
      </c>
      <c r="CJ39" s="15"/>
      <c r="CK39" s="10">
        <f t="shared" si="45"/>
        <v>0</v>
      </c>
      <c r="CL39" s="15"/>
      <c r="CM39" s="10">
        <f t="shared" si="46"/>
        <v>0</v>
      </c>
      <c r="CN39" s="15"/>
      <c r="CO39" s="10">
        <f t="shared" si="47"/>
        <v>0</v>
      </c>
      <c r="CP39" s="15"/>
      <c r="CQ39" s="10">
        <f t="shared" si="48"/>
        <v>0</v>
      </c>
      <c r="CR39" s="15"/>
      <c r="CS39" s="10">
        <f t="shared" si="49"/>
        <v>0</v>
      </c>
      <c r="CT39" s="15"/>
      <c r="CU39" s="10">
        <f t="shared" si="50"/>
        <v>0</v>
      </c>
      <c r="CV39" s="15"/>
      <c r="CW39" s="10">
        <f t="shared" si="51"/>
        <v>0</v>
      </c>
      <c r="CX39" s="15"/>
      <c r="CY39" s="10">
        <f t="shared" si="52"/>
        <v>0</v>
      </c>
      <c r="CZ39" s="15"/>
      <c r="DA39" s="10">
        <f t="shared" si="53"/>
        <v>0</v>
      </c>
      <c r="DB39" s="15"/>
      <c r="DC39" s="10">
        <f t="shared" si="54"/>
        <v>0</v>
      </c>
      <c r="DD39" s="15"/>
      <c r="DE39" s="10">
        <f t="shared" si="54"/>
        <v>0</v>
      </c>
      <c r="DF39" s="231">
        <f t="shared" si="55"/>
        <v>0</v>
      </c>
      <c r="DG39" s="230">
        <f t="shared" si="56"/>
        <v>0</v>
      </c>
      <c r="DH39" s="238"/>
      <c r="DI39" s="239">
        <f t="shared" si="109"/>
        <v>0</v>
      </c>
      <c r="DJ39" s="15"/>
      <c r="DK39" s="239">
        <f t="shared" si="110"/>
        <v>0</v>
      </c>
      <c r="DL39" s="238"/>
      <c r="DM39" s="239">
        <f t="shared" si="111"/>
        <v>0</v>
      </c>
      <c r="DN39" s="238"/>
      <c r="DO39" s="239">
        <f t="shared" si="112"/>
        <v>0</v>
      </c>
      <c r="DP39" s="238"/>
      <c r="DQ39" s="239">
        <f t="shared" si="113"/>
        <v>0</v>
      </c>
      <c r="DR39" s="238"/>
      <c r="DS39" s="239">
        <f t="shared" si="114"/>
        <v>0</v>
      </c>
      <c r="DT39" s="238"/>
      <c r="DU39" s="239">
        <f t="shared" si="115"/>
        <v>0</v>
      </c>
      <c r="DV39" s="238"/>
      <c r="DW39" s="239">
        <f t="shared" si="116"/>
        <v>0</v>
      </c>
      <c r="DX39" s="238"/>
      <c r="DY39" s="239">
        <f t="shared" si="117"/>
        <v>0</v>
      </c>
      <c r="DZ39" s="238"/>
      <c r="EA39" s="239">
        <f t="shared" si="118"/>
        <v>0</v>
      </c>
      <c r="EB39" s="238"/>
      <c r="EC39" s="239">
        <f t="shared" si="119"/>
        <v>0</v>
      </c>
      <c r="ED39" s="238"/>
      <c r="EE39" s="239">
        <f t="shared" si="120"/>
        <v>0</v>
      </c>
      <c r="EF39" s="240">
        <f t="shared" si="121"/>
        <v>0</v>
      </c>
      <c r="EG39" s="239">
        <f t="shared" si="121"/>
        <v>0</v>
      </c>
    </row>
    <row r="40" spans="1:137" ht="19.8">
      <c r="A40" s="7">
        <v>33</v>
      </c>
      <c r="B40" s="8" t="s">
        <v>46</v>
      </c>
      <c r="C40" s="8" t="s">
        <v>11</v>
      </c>
      <c r="D40" s="7">
        <f t="shared" si="108"/>
        <v>31</v>
      </c>
      <c r="E40" s="7">
        <v>0.64</v>
      </c>
      <c r="F40" s="7" t="s">
        <v>22</v>
      </c>
      <c r="G40" s="7"/>
      <c r="H40" s="15"/>
      <c r="I40" s="10">
        <f t="shared" si="2"/>
        <v>0</v>
      </c>
      <c r="J40" s="15"/>
      <c r="K40" s="10">
        <f t="shared" si="3"/>
        <v>0</v>
      </c>
      <c r="L40" s="15"/>
      <c r="M40" s="10">
        <f t="shared" si="4"/>
        <v>0</v>
      </c>
      <c r="N40" s="15"/>
      <c r="O40" s="10">
        <f t="shared" si="5"/>
        <v>0</v>
      </c>
      <c r="P40" s="15"/>
      <c r="Q40" s="10">
        <f t="shared" si="6"/>
        <v>0</v>
      </c>
      <c r="R40" s="15"/>
      <c r="S40" s="10">
        <f t="shared" si="7"/>
        <v>0</v>
      </c>
      <c r="T40" s="15"/>
      <c r="U40" s="10">
        <f t="shared" si="8"/>
        <v>0</v>
      </c>
      <c r="V40" s="15"/>
      <c r="W40" s="10">
        <f t="shared" si="9"/>
        <v>0</v>
      </c>
      <c r="X40" s="15"/>
      <c r="Y40" s="10">
        <f t="shared" si="10"/>
        <v>0</v>
      </c>
      <c r="Z40" s="15"/>
      <c r="AA40" s="10">
        <f t="shared" si="11"/>
        <v>0</v>
      </c>
      <c r="AB40" s="15"/>
      <c r="AC40" s="10">
        <f t="shared" si="12"/>
        <v>0</v>
      </c>
      <c r="AD40" s="15"/>
      <c r="AE40" s="10">
        <f t="shared" si="13"/>
        <v>0</v>
      </c>
      <c r="AF40" s="11">
        <f t="shared" si="14"/>
        <v>0</v>
      </c>
      <c r="AG40" s="12">
        <f t="shared" si="15"/>
        <v>0</v>
      </c>
      <c r="AH40" s="15"/>
      <c r="AI40" s="10">
        <f t="shared" si="16"/>
        <v>0</v>
      </c>
      <c r="AJ40" s="15"/>
      <c r="AK40" s="10">
        <f t="shared" si="17"/>
        <v>0</v>
      </c>
      <c r="AL40" s="15"/>
      <c r="AM40" s="10">
        <f t="shared" si="18"/>
        <v>0</v>
      </c>
      <c r="AN40" s="15"/>
      <c r="AO40" s="10">
        <f t="shared" si="19"/>
        <v>0</v>
      </c>
      <c r="AP40" s="15"/>
      <c r="AQ40" s="10">
        <f t="shared" si="20"/>
        <v>0</v>
      </c>
      <c r="AR40" s="15"/>
      <c r="AS40" s="10">
        <f t="shared" si="21"/>
        <v>0</v>
      </c>
      <c r="AT40" s="15"/>
      <c r="AU40" s="10">
        <f t="shared" si="22"/>
        <v>0</v>
      </c>
      <c r="AV40" s="15"/>
      <c r="AW40" s="10">
        <f t="shared" si="23"/>
        <v>0</v>
      </c>
      <c r="AX40" s="15"/>
      <c r="AY40" s="10">
        <f t="shared" si="24"/>
        <v>0</v>
      </c>
      <c r="AZ40" s="15"/>
      <c r="BA40" s="10">
        <f t="shared" si="25"/>
        <v>0</v>
      </c>
      <c r="BB40" s="15"/>
      <c r="BC40" s="10">
        <f t="shared" si="26"/>
        <v>0</v>
      </c>
      <c r="BD40" s="15"/>
      <c r="BE40" s="10">
        <f t="shared" si="27"/>
        <v>0</v>
      </c>
      <c r="BF40" s="11">
        <f t="shared" si="28"/>
        <v>0</v>
      </c>
      <c r="BG40" s="12">
        <f t="shared" si="29"/>
        <v>0</v>
      </c>
      <c r="BH40" s="15"/>
      <c r="BI40" s="10">
        <f t="shared" si="30"/>
        <v>0</v>
      </c>
      <c r="BJ40" s="15"/>
      <c r="BK40" s="10">
        <f t="shared" si="31"/>
        <v>0</v>
      </c>
      <c r="BL40" s="15"/>
      <c r="BM40" s="10">
        <f t="shared" si="32"/>
        <v>0</v>
      </c>
      <c r="BN40" s="15"/>
      <c r="BO40" s="10">
        <f t="shared" si="33"/>
        <v>0</v>
      </c>
      <c r="BP40" s="15"/>
      <c r="BQ40" s="10">
        <f t="shared" si="34"/>
        <v>0</v>
      </c>
      <c r="BR40" s="15"/>
      <c r="BS40" s="10">
        <f t="shared" si="35"/>
        <v>0</v>
      </c>
      <c r="BT40" s="15"/>
      <c r="BU40" s="10">
        <f t="shared" si="36"/>
        <v>0</v>
      </c>
      <c r="BV40" s="15"/>
      <c r="BW40" s="10">
        <f t="shared" si="37"/>
        <v>0</v>
      </c>
      <c r="BX40" s="15"/>
      <c r="BY40" s="10">
        <f t="shared" si="38"/>
        <v>0</v>
      </c>
      <c r="BZ40" s="15"/>
      <c r="CA40" s="10">
        <f t="shared" si="39"/>
        <v>0</v>
      </c>
      <c r="CB40" s="15"/>
      <c r="CC40" s="10">
        <f t="shared" si="40"/>
        <v>0</v>
      </c>
      <c r="CD40" s="15"/>
      <c r="CE40" s="10">
        <f t="shared" si="41"/>
        <v>0</v>
      </c>
      <c r="CF40" s="11">
        <f t="shared" si="42"/>
        <v>0</v>
      </c>
      <c r="CG40" s="12">
        <f t="shared" si="43"/>
        <v>0</v>
      </c>
      <c r="CH40" s="15"/>
      <c r="CI40" s="10">
        <f t="shared" si="44"/>
        <v>0</v>
      </c>
      <c r="CJ40" s="15"/>
      <c r="CK40" s="10">
        <f t="shared" si="45"/>
        <v>0</v>
      </c>
      <c r="CL40" s="15"/>
      <c r="CM40" s="10">
        <f t="shared" si="46"/>
        <v>0</v>
      </c>
      <c r="CN40" s="15"/>
      <c r="CO40" s="10">
        <f t="shared" si="47"/>
        <v>0</v>
      </c>
      <c r="CP40" s="15"/>
      <c r="CQ40" s="10">
        <f t="shared" si="48"/>
        <v>0</v>
      </c>
      <c r="CR40" s="15"/>
      <c r="CS40" s="10">
        <f t="shared" si="49"/>
        <v>0</v>
      </c>
      <c r="CT40" s="15"/>
      <c r="CU40" s="10">
        <f t="shared" si="50"/>
        <v>0</v>
      </c>
      <c r="CV40" s="15"/>
      <c r="CW40" s="10">
        <f t="shared" si="51"/>
        <v>0</v>
      </c>
      <c r="CX40" s="15"/>
      <c r="CY40" s="10">
        <f t="shared" si="52"/>
        <v>0</v>
      </c>
      <c r="CZ40" s="15"/>
      <c r="DA40" s="10">
        <f t="shared" si="53"/>
        <v>0</v>
      </c>
      <c r="DB40" s="15"/>
      <c r="DC40" s="10">
        <f t="shared" si="54"/>
        <v>0</v>
      </c>
      <c r="DD40" s="15"/>
      <c r="DE40" s="10">
        <f t="shared" si="54"/>
        <v>0</v>
      </c>
      <c r="DF40" s="231">
        <f t="shared" si="55"/>
        <v>0</v>
      </c>
      <c r="DG40" s="230">
        <f t="shared" si="56"/>
        <v>0</v>
      </c>
      <c r="DH40" s="238"/>
      <c r="DI40" s="239">
        <f t="shared" si="109"/>
        <v>0</v>
      </c>
      <c r="DJ40" s="15"/>
      <c r="DK40" s="239">
        <f t="shared" si="110"/>
        <v>0</v>
      </c>
      <c r="DL40" s="238"/>
      <c r="DM40" s="239">
        <f t="shared" si="111"/>
        <v>0</v>
      </c>
      <c r="DN40" s="238"/>
      <c r="DO40" s="239">
        <f t="shared" si="112"/>
        <v>0</v>
      </c>
      <c r="DP40" s="238"/>
      <c r="DQ40" s="239">
        <f t="shared" si="113"/>
        <v>0</v>
      </c>
      <c r="DR40" s="238"/>
      <c r="DS40" s="239">
        <f t="shared" si="114"/>
        <v>0</v>
      </c>
      <c r="DT40" s="238"/>
      <c r="DU40" s="239">
        <f t="shared" si="115"/>
        <v>0</v>
      </c>
      <c r="DV40" s="238"/>
      <c r="DW40" s="239">
        <f t="shared" si="116"/>
        <v>0</v>
      </c>
      <c r="DX40" s="238"/>
      <c r="DY40" s="239">
        <f t="shared" si="117"/>
        <v>0</v>
      </c>
      <c r="DZ40" s="238"/>
      <c r="EA40" s="239">
        <f t="shared" si="118"/>
        <v>0</v>
      </c>
      <c r="EB40" s="238"/>
      <c r="EC40" s="239">
        <f t="shared" si="119"/>
        <v>0</v>
      </c>
      <c r="ED40" s="238"/>
      <c r="EE40" s="239">
        <f t="shared" si="120"/>
        <v>0</v>
      </c>
      <c r="EF40" s="240">
        <f t="shared" si="121"/>
        <v>0</v>
      </c>
      <c r="EG40" s="239">
        <f t="shared" si="121"/>
        <v>0</v>
      </c>
    </row>
    <row r="41" spans="1:137" ht="19.8">
      <c r="A41" s="7">
        <v>34</v>
      </c>
      <c r="B41" s="8" t="s">
        <v>44</v>
      </c>
      <c r="C41" s="8" t="s">
        <v>11</v>
      </c>
      <c r="D41" s="7">
        <f t="shared" si="108"/>
        <v>27</v>
      </c>
      <c r="E41" s="7">
        <v>0.64</v>
      </c>
      <c r="F41" s="7" t="s">
        <v>22</v>
      </c>
      <c r="G41" s="7">
        <v>1350</v>
      </c>
      <c r="H41" s="9">
        <v>70</v>
      </c>
      <c r="I41" s="10">
        <f t="shared" si="2"/>
        <v>44.800000000000004</v>
      </c>
      <c r="J41" s="9"/>
      <c r="K41" s="10">
        <f t="shared" si="3"/>
        <v>0</v>
      </c>
      <c r="L41" s="9">
        <v>210</v>
      </c>
      <c r="M41" s="10">
        <f t="shared" si="4"/>
        <v>134.4</v>
      </c>
      <c r="N41" s="9">
        <v>140</v>
      </c>
      <c r="O41" s="10">
        <f t="shared" si="5"/>
        <v>89.600000000000009</v>
      </c>
      <c r="P41" s="9"/>
      <c r="Q41" s="10">
        <f t="shared" si="6"/>
        <v>0</v>
      </c>
      <c r="R41" s="9">
        <v>70</v>
      </c>
      <c r="S41" s="10">
        <f t="shared" si="7"/>
        <v>44.800000000000004</v>
      </c>
      <c r="T41" s="9">
        <v>140</v>
      </c>
      <c r="U41" s="10">
        <f t="shared" si="8"/>
        <v>89.600000000000009</v>
      </c>
      <c r="V41" s="9">
        <v>140</v>
      </c>
      <c r="W41" s="10">
        <f t="shared" si="9"/>
        <v>89.600000000000009</v>
      </c>
      <c r="X41" s="9">
        <v>280</v>
      </c>
      <c r="Y41" s="10">
        <f t="shared" si="10"/>
        <v>179.20000000000002</v>
      </c>
      <c r="Z41" s="9">
        <v>70</v>
      </c>
      <c r="AA41" s="10">
        <f t="shared" si="11"/>
        <v>44.800000000000004</v>
      </c>
      <c r="AB41" s="9">
        <v>70</v>
      </c>
      <c r="AC41" s="10">
        <f t="shared" si="12"/>
        <v>44.800000000000004</v>
      </c>
      <c r="AD41" s="9">
        <v>182</v>
      </c>
      <c r="AE41" s="10">
        <f t="shared" si="13"/>
        <v>116.48</v>
      </c>
      <c r="AF41" s="11">
        <f t="shared" si="14"/>
        <v>1372</v>
      </c>
      <c r="AG41" s="12">
        <f t="shared" si="15"/>
        <v>878.08</v>
      </c>
      <c r="AH41" s="9">
        <v>112</v>
      </c>
      <c r="AI41" s="10">
        <f t="shared" si="16"/>
        <v>71.680000000000007</v>
      </c>
      <c r="AJ41" s="9">
        <v>210</v>
      </c>
      <c r="AK41" s="10">
        <f t="shared" si="17"/>
        <v>134.4</v>
      </c>
      <c r="AL41" s="9">
        <v>140</v>
      </c>
      <c r="AM41" s="10">
        <f t="shared" si="18"/>
        <v>89.600000000000009</v>
      </c>
      <c r="AN41" s="9">
        <v>70</v>
      </c>
      <c r="AO41" s="10">
        <f t="shared" si="19"/>
        <v>44.800000000000004</v>
      </c>
      <c r="AP41" s="9">
        <v>210</v>
      </c>
      <c r="AQ41" s="10">
        <f t="shared" si="20"/>
        <v>134.4</v>
      </c>
      <c r="AR41" s="9">
        <v>210</v>
      </c>
      <c r="AS41" s="10">
        <f t="shared" si="21"/>
        <v>134.4</v>
      </c>
      <c r="AT41" s="9">
        <v>140</v>
      </c>
      <c r="AU41" s="10">
        <f t="shared" si="22"/>
        <v>89.600000000000009</v>
      </c>
      <c r="AV41" s="9">
        <v>28</v>
      </c>
      <c r="AW41" s="10">
        <f t="shared" si="23"/>
        <v>17.920000000000002</v>
      </c>
      <c r="AX41" s="9">
        <v>140</v>
      </c>
      <c r="AY41" s="10">
        <f t="shared" si="24"/>
        <v>89.600000000000009</v>
      </c>
      <c r="AZ41" s="9">
        <v>140</v>
      </c>
      <c r="BA41" s="10">
        <f t="shared" si="25"/>
        <v>89.600000000000009</v>
      </c>
      <c r="BB41" s="9">
        <v>1853</v>
      </c>
      <c r="BC41" s="10">
        <f t="shared" si="26"/>
        <v>1185.92</v>
      </c>
      <c r="BD41" s="9">
        <v>2283</v>
      </c>
      <c r="BE41" s="10">
        <f t="shared" si="27"/>
        <v>1461.1200000000001</v>
      </c>
      <c r="BF41" s="11">
        <f t="shared" si="28"/>
        <v>5536</v>
      </c>
      <c r="BG41" s="12">
        <f t="shared" si="29"/>
        <v>3543.04</v>
      </c>
      <c r="BH41" s="13">
        <v>70</v>
      </c>
      <c r="BI41" s="10">
        <f t="shared" si="30"/>
        <v>44.800000000000004</v>
      </c>
      <c r="BJ41" s="13">
        <v>70</v>
      </c>
      <c r="BK41" s="10">
        <f t="shared" si="31"/>
        <v>44.800000000000004</v>
      </c>
      <c r="BL41" s="13">
        <v>98</v>
      </c>
      <c r="BM41" s="10">
        <f t="shared" si="32"/>
        <v>62.72</v>
      </c>
      <c r="BN41" s="13">
        <v>168</v>
      </c>
      <c r="BO41" s="10">
        <f t="shared" si="33"/>
        <v>107.52</v>
      </c>
      <c r="BP41" s="13">
        <v>0</v>
      </c>
      <c r="BQ41" s="10">
        <f t="shared" si="34"/>
        <v>0</v>
      </c>
      <c r="BR41" s="13">
        <v>56</v>
      </c>
      <c r="BS41" s="10">
        <f t="shared" si="35"/>
        <v>35.840000000000003</v>
      </c>
      <c r="BT41" s="13">
        <v>154</v>
      </c>
      <c r="BU41" s="10">
        <f t="shared" si="36"/>
        <v>98.56</v>
      </c>
      <c r="BV41" s="13">
        <v>224</v>
      </c>
      <c r="BW41" s="10">
        <f t="shared" si="37"/>
        <v>143.36000000000001</v>
      </c>
      <c r="BX41" s="13">
        <v>0</v>
      </c>
      <c r="BY41" s="10">
        <f t="shared" si="38"/>
        <v>0</v>
      </c>
      <c r="BZ41" s="13">
        <v>140</v>
      </c>
      <c r="CA41" s="10">
        <f t="shared" si="39"/>
        <v>89.600000000000009</v>
      </c>
      <c r="CB41" s="13">
        <v>252</v>
      </c>
      <c r="CC41" s="10">
        <f t="shared" si="40"/>
        <v>161.28</v>
      </c>
      <c r="CD41" s="14">
        <v>140</v>
      </c>
      <c r="CE41" s="10">
        <f t="shared" si="41"/>
        <v>89.600000000000009</v>
      </c>
      <c r="CF41" s="11">
        <f t="shared" si="42"/>
        <v>1372</v>
      </c>
      <c r="CG41" s="12">
        <f t="shared" si="43"/>
        <v>878.08</v>
      </c>
      <c r="CH41" s="15">
        <v>70</v>
      </c>
      <c r="CI41" s="10">
        <f t="shared" si="44"/>
        <v>44.800000000000004</v>
      </c>
      <c r="CJ41" s="15"/>
      <c r="CK41" s="10">
        <f t="shared" si="45"/>
        <v>0</v>
      </c>
      <c r="CL41" s="15">
        <v>70</v>
      </c>
      <c r="CM41" s="10">
        <f t="shared" si="46"/>
        <v>44.800000000000004</v>
      </c>
      <c r="CN41" s="15">
        <v>70</v>
      </c>
      <c r="CO41" s="10">
        <f t="shared" si="47"/>
        <v>44.800000000000004</v>
      </c>
      <c r="CP41" s="15"/>
      <c r="CQ41" s="10">
        <f t="shared" si="48"/>
        <v>0</v>
      </c>
      <c r="CR41" s="15"/>
      <c r="CS41" s="10">
        <f t="shared" si="49"/>
        <v>0</v>
      </c>
      <c r="CT41" s="15">
        <v>28</v>
      </c>
      <c r="CU41" s="10">
        <f t="shared" si="50"/>
        <v>17.920000000000002</v>
      </c>
      <c r="CV41" s="15">
        <v>28</v>
      </c>
      <c r="CW41" s="10">
        <f t="shared" si="51"/>
        <v>17.920000000000002</v>
      </c>
      <c r="CX41" s="15">
        <v>28</v>
      </c>
      <c r="CY41" s="10">
        <f t="shared" si="52"/>
        <v>17.920000000000002</v>
      </c>
      <c r="CZ41" s="15"/>
      <c r="DA41" s="10">
        <f t="shared" si="53"/>
        <v>0</v>
      </c>
      <c r="DB41" s="15">
        <v>28</v>
      </c>
      <c r="DC41" s="10">
        <f t="shared" si="54"/>
        <v>17.920000000000002</v>
      </c>
      <c r="DD41" s="15"/>
      <c r="DE41" s="10">
        <f t="shared" si="54"/>
        <v>0</v>
      </c>
      <c r="DF41" s="231">
        <f t="shared" si="55"/>
        <v>322</v>
      </c>
      <c r="DG41" s="230">
        <f t="shared" si="56"/>
        <v>206.08</v>
      </c>
      <c r="DH41" s="238">
        <v>84</v>
      </c>
      <c r="DI41" s="239">
        <f t="shared" si="109"/>
        <v>53.76</v>
      </c>
      <c r="DJ41" s="15"/>
      <c r="DK41" s="239">
        <f t="shared" si="110"/>
        <v>0</v>
      </c>
      <c r="DL41" s="238"/>
      <c r="DM41" s="239">
        <f t="shared" si="111"/>
        <v>0</v>
      </c>
      <c r="DN41" s="238"/>
      <c r="DO41" s="239">
        <f t="shared" si="112"/>
        <v>0</v>
      </c>
      <c r="DP41" s="238"/>
      <c r="DQ41" s="239">
        <f t="shared" si="113"/>
        <v>0</v>
      </c>
      <c r="DR41" s="238"/>
      <c r="DS41" s="239">
        <f t="shared" si="114"/>
        <v>0</v>
      </c>
      <c r="DT41" s="238"/>
      <c r="DU41" s="239">
        <f t="shared" si="115"/>
        <v>0</v>
      </c>
      <c r="DV41" s="238"/>
      <c r="DW41" s="239">
        <f t="shared" si="116"/>
        <v>0</v>
      </c>
      <c r="DX41" s="238"/>
      <c r="DY41" s="239">
        <f t="shared" si="117"/>
        <v>0</v>
      </c>
      <c r="DZ41" s="238"/>
      <c r="EA41" s="239">
        <f t="shared" si="118"/>
        <v>0</v>
      </c>
      <c r="EB41" s="238"/>
      <c r="EC41" s="239">
        <f t="shared" si="119"/>
        <v>0</v>
      </c>
      <c r="ED41" s="238"/>
      <c r="EE41" s="239">
        <f t="shared" si="120"/>
        <v>0</v>
      </c>
      <c r="EF41" s="240">
        <f t="shared" si="121"/>
        <v>84</v>
      </c>
      <c r="EG41" s="239">
        <f t="shared" si="121"/>
        <v>53.76</v>
      </c>
    </row>
    <row r="42" spans="1:137" ht="19.8">
      <c r="A42" s="7">
        <v>35</v>
      </c>
      <c r="B42" s="8" t="s">
        <v>44</v>
      </c>
      <c r="C42" s="8" t="s">
        <v>11</v>
      </c>
      <c r="D42" s="7">
        <f t="shared" si="108"/>
        <v>31</v>
      </c>
      <c r="E42" s="7">
        <v>0.64</v>
      </c>
      <c r="F42" s="7" t="s">
        <v>20</v>
      </c>
      <c r="G42" s="7"/>
      <c r="H42" s="15"/>
      <c r="I42" s="10">
        <f t="shared" si="2"/>
        <v>0</v>
      </c>
      <c r="J42" s="15"/>
      <c r="K42" s="10">
        <f t="shared" si="3"/>
        <v>0</v>
      </c>
      <c r="L42" s="15"/>
      <c r="M42" s="10">
        <f t="shared" si="4"/>
        <v>0</v>
      </c>
      <c r="N42" s="15"/>
      <c r="O42" s="10">
        <f t="shared" si="5"/>
        <v>0</v>
      </c>
      <c r="P42" s="15"/>
      <c r="Q42" s="10">
        <f t="shared" si="6"/>
        <v>0</v>
      </c>
      <c r="R42" s="15"/>
      <c r="S42" s="10">
        <f t="shared" si="7"/>
        <v>0</v>
      </c>
      <c r="T42" s="15"/>
      <c r="U42" s="10">
        <f t="shared" si="8"/>
        <v>0</v>
      </c>
      <c r="V42" s="15"/>
      <c r="W42" s="10">
        <f t="shared" si="9"/>
        <v>0</v>
      </c>
      <c r="X42" s="15"/>
      <c r="Y42" s="10">
        <f t="shared" si="10"/>
        <v>0</v>
      </c>
      <c r="Z42" s="15"/>
      <c r="AA42" s="10">
        <f t="shared" si="11"/>
        <v>0</v>
      </c>
      <c r="AB42" s="15"/>
      <c r="AC42" s="10">
        <f t="shared" si="12"/>
        <v>0</v>
      </c>
      <c r="AD42" s="15"/>
      <c r="AE42" s="10">
        <f t="shared" si="13"/>
        <v>0</v>
      </c>
      <c r="AF42" s="11">
        <f t="shared" si="14"/>
        <v>0</v>
      </c>
      <c r="AG42" s="12">
        <f t="shared" si="15"/>
        <v>0</v>
      </c>
      <c r="AH42" s="15"/>
      <c r="AI42" s="10">
        <f t="shared" si="16"/>
        <v>0</v>
      </c>
      <c r="AJ42" s="15"/>
      <c r="AK42" s="10">
        <f t="shared" si="17"/>
        <v>0</v>
      </c>
      <c r="AL42" s="15"/>
      <c r="AM42" s="10">
        <f t="shared" si="18"/>
        <v>0</v>
      </c>
      <c r="AN42" s="15"/>
      <c r="AO42" s="10">
        <f t="shared" si="19"/>
        <v>0</v>
      </c>
      <c r="AP42" s="15"/>
      <c r="AQ42" s="10">
        <f t="shared" si="20"/>
        <v>0</v>
      </c>
      <c r="AR42" s="15"/>
      <c r="AS42" s="10">
        <f t="shared" si="21"/>
        <v>0</v>
      </c>
      <c r="AT42" s="15"/>
      <c r="AU42" s="10">
        <f t="shared" si="22"/>
        <v>0</v>
      </c>
      <c r="AV42" s="15"/>
      <c r="AW42" s="10">
        <f t="shared" si="23"/>
        <v>0</v>
      </c>
      <c r="AX42" s="15"/>
      <c r="AY42" s="10">
        <f t="shared" si="24"/>
        <v>0</v>
      </c>
      <c r="AZ42" s="15"/>
      <c r="BA42" s="10">
        <f t="shared" si="25"/>
        <v>0</v>
      </c>
      <c r="BB42" s="15"/>
      <c r="BC42" s="10">
        <f t="shared" si="26"/>
        <v>0</v>
      </c>
      <c r="BD42" s="15"/>
      <c r="BE42" s="10">
        <f t="shared" si="27"/>
        <v>0</v>
      </c>
      <c r="BF42" s="11">
        <f t="shared" si="28"/>
        <v>0</v>
      </c>
      <c r="BG42" s="12">
        <f t="shared" si="29"/>
        <v>0</v>
      </c>
      <c r="BH42" s="15"/>
      <c r="BI42" s="10">
        <f t="shared" si="30"/>
        <v>0</v>
      </c>
      <c r="BJ42" s="15"/>
      <c r="BK42" s="10">
        <f t="shared" si="31"/>
        <v>0</v>
      </c>
      <c r="BL42" s="15"/>
      <c r="BM42" s="10">
        <f t="shared" si="32"/>
        <v>0</v>
      </c>
      <c r="BN42" s="15"/>
      <c r="BO42" s="10">
        <f t="shared" si="33"/>
        <v>0</v>
      </c>
      <c r="BP42" s="15"/>
      <c r="BQ42" s="10">
        <f t="shared" si="34"/>
        <v>0</v>
      </c>
      <c r="BR42" s="15"/>
      <c r="BS42" s="10">
        <f t="shared" si="35"/>
        <v>0</v>
      </c>
      <c r="BT42" s="15"/>
      <c r="BU42" s="10">
        <f t="shared" si="36"/>
        <v>0</v>
      </c>
      <c r="BV42" s="15"/>
      <c r="BW42" s="10">
        <f t="shared" si="37"/>
        <v>0</v>
      </c>
      <c r="BX42" s="15"/>
      <c r="BY42" s="10">
        <f t="shared" si="38"/>
        <v>0</v>
      </c>
      <c r="BZ42" s="15"/>
      <c r="CA42" s="10">
        <f t="shared" si="39"/>
        <v>0</v>
      </c>
      <c r="CB42" s="15"/>
      <c r="CC42" s="10">
        <f t="shared" si="40"/>
        <v>0</v>
      </c>
      <c r="CD42" s="15"/>
      <c r="CE42" s="10">
        <f t="shared" si="41"/>
        <v>0</v>
      </c>
      <c r="CF42" s="11">
        <f t="shared" si="42"/>
        <v>0</v>
      </c>
      <c r="CG42" s="12">
        <f t="shared" si="43"/>
        <v>0</v>
      </c>
      <c r="CH42" s="15"/>
      <c r="CI42" s="10">
        <f t="shared" si="44"/>
        <v>0</v>
      </c>
      <c r="CJ42" s="15"/>
      <c r="CK42" s="10">
        <f t="shared" si="45"/>
        <v>0</v>
      </c>
      <c r="CL42" s="15"/>
      <c r="CM42" s="10">
        <f t="shared" si="46"/>
        <v>0</v>
      </c>
      <c r="CN42" s="15"/>
      <c r="CO42" s="10">
        <f t="shared" si="47"/>
        <v>0</v>
      </c>
      <c r="CP42" s="15"/>
      <c r="CQ42" s="10">
        <f t="shared" si="48"/>
        <v>0</v>
      </c>
      <c r="CR42" s="15"/>
      <c r="CS42" s="10">
        <f t="shared" si="49"/>
        <v>0</v>
      </c>
      <c r="CT42" s="15"/>
      <c r="CU42" s="10">
        <f t="shared" si="50"/>
        <v>0</v>
      </c>
      <c r="CV42" s="15"/>
      <c r="CW42" s="10">
        <f t="shared" si="51"/>
        <v>0</v>
      </c>
      <c r="CX42" s="15"/>
      <c r="CY42" s="10">
        <f t="shared" si="52"/>
        <v>0</v>
      </c>
      <c r="CZ42" s="15"/>
      <c r="DA42" s="10">
        <f t="shared" si="53"/>
        <v>0</v>
      </c>
      <c r="DB42" s="15"/>
      <c r="DC42" s="10">
        <f t="shared" si="54"/>
        <v>0</v>
      </c>
      <c r="DD42" s="15"/>
      <c r="DE42" s="10">
        <f t="shared" si="54"/>
        <v>0</v>
      </c>
      <c r="DF42" s="231">
        <f t="shared" si="55"/>
        <v>0</v>
      </c>
      <c r="DG42" s="230">
        <f t="shared" si="56"/>
        <v>0</v>
      </c>
      <c r="DH42" s="238"/>
      <c r="DI42" s="239">
        <f t="shared" si="109"/>
        <v>0</v>
      </c>
      <c r="DJ42" s="15"/>
      <c r="DK42" s="239">
        <f t="shared" si="110"/>
        <v>0</v>
      </c>
      <c r="DL42" s="238"/>
      <c r="DM42" s="239">
        <f t="shared" si="111"/>
        <v>0</v>
      </c>
      <c r="DN42" s="238"/>
      <c r="DO42" s="239">
        <f t="shared" si="112"/>
        <v>0</v>
      </c>
      <c r="DP42" s="238"/>
      <c r="DQ42" s="239">
        <f t="shared" si="113"/>
        <v>0</v>
      </c>
      <c r="DR42" s="238"/>
      <c r="DS42" s="239">
        <f t="shared" si="114"/>
        <v>0</v>
      </c>
      <c r="DT42" s="238"/>
      <c r="DU42" s="239">
        <f t="shared" si="115"/>
        <v>0</v>
      </c>
      <c r="DV42" s="238"/>
      <c r="DW42" s="239">
        <f t="shared" si="116"/>
        <v>0</v>
      </c>
      <c r="DX42" s="238"/>
      <c r="DY42" s="239">
        <f t="shared" si="117"/>
        <v>0</v>
      </c>
      <c r="DZ42" s="238"/>
      <c r="EA42" s="239">
        <f t="shared" si="118"/>
        <v>0</v>
      </c>
      <c r="EB42" s="238"/>
      <c r="EC42" s="239">
        <f t="shared" si="119"/>
        <v>0</v>
      </c>
      <c r="ED42" s="238"/>
      <c r="EE42" s="239">
        <f t="shared" si="120"/>
        <v>0</v>
      </c>
      <c r="EF42" s="240">
        <f t="shared" si="121"/>
        <v>0</v>
      </c>
      <c r="EG42" s="239">
        <f t="shared" si="121"/>
        <v>0</v>
      </c>
    </row>
    <row r="43" spans="1:137" ht="19.8">
      <c r="A43" s="7">
        <v>36</v>
      </c>
      <c r="B43" s="8" t="s">
        <v>47</v>
      </c>
      <c r="C43" s="8" t="s">
        <v>11</v>
      </c>
      <c r="D43" s="7">
        <f t="shared" si="108"/>
        <v>31</v>
      </c>
      <c r="E43" s="7">
        <v>0.68</v>
      </c>
      <c r="F43" s="7" t="s">
        <v>48</v>
      </c>
      <c r="G43" s="7"/>
      <c r="H43" s="15"/>
      <c r="I43" s="10">
        <f t="shared" si="2"/>
        <v>0</v>
      </c>
      <c r="J43" s="15"/>
      <c r="K43" s="10">
        <f t="shared" si="3"/>
        <v>0</v>
      </c>
      <c r="L43" s="15"/>
      <c r="M43" s="10">
        <f t="shared" si="4"/>
        <v>0</v>
      </c>
      <c r="N43" s="15"/>
      <c r="O43" s="10">
        <f t="shared" si="5"/>
        <v>0</v>
      </c>
      <c r="P43" s="15"/>
      <c r="Q43" s="10">
        <f t="shared" si="6"/>
        <v>0</v>
      </c>
      <c r="R43" s="15"/>
      <c r="S43" s="10">
        <f t="shared" si="7"/>
        <v>0</v>
      </c>
      <c r="T43" s="15"/>
      <c r="U43" s="10">
        <f t="shared" si="8"/>
        <v>0</v>
      </c>
      <c r="V43" s="15"/>
      <c r="W43" s="10">
        <f t="shared" si="9"/>
        <v>0</v>
      </c>
      <c r="X43" s="15"/>
      <c r="Y43" s="10">
        <f t="shared" si="10"/>
        <v>0</v>
      </c>
      <c r="Z43" s="15"/>
      <c r="AA43" s="10">
        <f t="shared" si="11"/>
        <v>0</v>
      </c>
      <c r="AB43" s="15"/>
      <c r="AC43" s="10">
        <f t="shared" si="12"/>
        <v>0</v>
      </c>
      <c r="AD43" s="15"/>
      <c r="AE43" s="10">
        <f t="shared" si="13"/>
        <v>0</v>
      </c>
      <c r="AF43" s="11">
        <f t="shared" si="14"/>
        <v>0</v>
      </c>
      <c r="AG43" s="12">
        <f t="shared" si="15"/>
        <v>0</v>
      </c>
      <c r="AH43" s="15"/>
      <c r="AI43" s="10">
        <f t="shared" si="16"/>
        <v>0</v>
      </c>
      <c r="AJ43" s="15"/>
      <c r="AK43" s="10">
        <f t="shared" si="17"/>
        <v>0</v>
      </c>
      <c r="AL43" s="15"/>
      <c r="AM43" s="10">
        <f t="shared" si="18"/>
        <v>0</v>
      </c>
      <c r="AN43" s="15"/>
      <c r="AO43" s="10">
        <f t="shared" si="19"/>
        <v>0</v>
      </c>
      <c r="AP43" s="15"/>
      <c r="AQ43" s="10">
        <f t="shared" si="20"/>
        <v>0</v>
      </c>
      <c r="AR43" s="15"/>
      <c r="AS43" s="10">
        <f t="shared" si="21"/>
        <v>0</v>
      </c>
      <c r="AT43" s="15"/>
      <c r="AU43" s="10">
        <f t="shared" si="22"/>
        <v>0</v>
      </c>
      <c r="AV43" s="15"/>
      <c r="AW43" s="10">
        <f t="shared" si="23"/>
        <v>0</v>
      </c>
      <c r="AX43" s="15"/>
      <c r="AY43" s="10">
        <f t="shared" si="24"/>
        <v>0</v>
      </c>
      <c r="AZ43" s="15"/>
      <c r="BA43" s="10">
        <f t="shared" si="25"/>
        <v>0</v>
      </c>
      <c r="BB43" s="15"/>
      <c r="BC43" s="10">
        <f t="shared" si="26"/>
        <v>0</v>
      </c>
      <c r="BD43" s="15"/>
      <c r="BE43" s="10">
        <f t="shared" si="27"/>
        <v>0</v>
      </c>
      <c r="BF43" s="11">
        <f t="shared" si="28"/>
        <v>0</v>
      </c>
      <c r="BG43" s="12">
        <f t="shared" si="29"/>
        <v>0</v>
      </c>
      <c r="BH43" s="15"/>
      <c r="BI43" s="10">
        <f t="shared" si="30"/>
        <v>0</v>
      </c>
      <c r="BJ43" s="15"/>
      <c r="BK43" s="10">
        <f t="shared" si="31"/>
        <v>0</v>
      </c>
      <c r="BL43" s="15"/>
      <c r="BM43" s="10">
        <f t="shared" si="32"/>
        <v>0</v>
      </c>
      <c r="BN43" s="15"/>
      <c r="BO43" s="10">
        <f t="shared" si="33"/>
        <v>0</v>
      </c>
      <c r="BP43" s="15"/>
      <c r="BQ43" s="10">
        <f t="shared" si="34"/>
        <v>0</v>
      </c>
      <c r="BR43" s="15"/>
      <c r="BS43" s="10">
        <f t="shared" si="35"/>
        <v>0</v>
      </c>
      <c r="BT43" s="15"/>
      <c r="BU43" s="10">
        <f t="shared" si="36"/>
        <v>0</v>
      </c>
      <c r="BV43" s="15"/>
      <c r="BW43" s="10">
        <f t="shared" si="37"/>
        <v>0</v>
      </c>
      <c r="BX43" s="15"/>
      <c r="BY43" s="10">
        <f t="shared" si="38"/>
        <v>0</v>
      </c>
      <c r="BZ43" s="15"/>
      <c r="CA43" s="10">
        <f t="shared" si="39"/>
        <v>0</v>
      </c>
      <c r="CB43" s="15"/>
      <c r="CC43" s="10">
        <f t="shared" si="40"/>
        <v>0</v>
      </c>
      <c r="CD43" s="15"/>
      <c r="CE43" s="10">
        <f t="shared" si="41"/>
        <v>0</v>
      </c>
      <c r="CF43" s="11">
        <f t="shared" si="42"/>
        <v>0</v>
      </c>
      <c r="CG43" s="12">
        <f t="shared" si="43"/>
        <v>0</v>
      </c>
      <c r="CH43" s="15"/>
      <c r="CI43" s="10">
        <f t="shared" si="44"/>
        <v>0</v>
      </c>
      <c r="CJ43" s="15"/>
      <c r="CK43" s="10">
        <f t="shared" si="45"/>
        <v>0</v>
      </c>
      <c r="CL43" s="15"/>
      <c r="CM43" s="10">
        <f t="shared" si="46"/>
        <v>0</v>
      </c>
      <c r="CN43" s="15"/>
      <c r="CO43" s="10">
        <f t="shared" si="47"/>
        <v>0</v>
      </c>
      <c r="CP43" s="15"/>
      <c r="CQ43" s="10">
        <f t="shared" si="48"/>
        <v>0</v>
      </c>
      <c r="CR43" s="15"/>
      <c r="CS43" s="10">
        <f t="shared" si="49"/>
        <v>0</v>
      </c>
      <c r="CT43" s="15"/>
      <c r="CU43" s="10">
        <f t="shared" si="50"/>
        <v>0</v>
      </c>
      <c r="CV43" s="15"/>
      <c r="CW43" s="10">
        <f t="shared" si="51"/>
        <v>0</v>
      </c>
      <c r="CX43" s="15"/>
      <c r="CY43" s="10">
        <f t="shared" si="52"/>
        <v>0</v>
      </c>
      <c r="CZ43" s="15"/>
      <c r="DA43" s="10">
        <f t="shared" si="53"/>
        <v>0</v>
      </c>
      <c r="DB43" s="15"/>
      <c r="DC43" s="10">
        <f t="shared" si="54"/>
        <v>0</v>
      </c>
      <c r="DD43" s="15"/>
      <c r="DE43" s="10">
        <f t="shared" si="54"/>
        <v>0</v>
      </c>
      <c r="DF43" s="231">
        <f t="shared" si="55"/>
        <v>0</v>
      </c>
      <c r="DG43" s="230">
        <f t="shared" si="56"/>
        <v>0</v>
      </c>
      <c r="DH43" s="238"/>
      <c r="DI43" s="239">
        <f t="shared" si="109"/>
        <v>0</v>
      </c>
      <c r="DJ43" s="15"/>
      <c r="DK43" s="239">
        <f t="shared" si="110"/>
        <v>0</v>
      </c>
      <c r="DL43" s="238"/>
      <c r="DM43" s="239">
        <f t="shared" si="111"/>
        <v>0</v>
      </c>
      <c r="DN43" s="238"/>
      <c r="DO43" s="239">
        <f t="shared" si="112"/>
        <v>0</v>
      </c>
      <c r="DP43" s="238"/>
      <c r="DQ43" s="239">
        <f t="shared" si="113"/>
        <v>0</v>
      </c>
      <c r="DR43" s="238"/>
      <c r="DS43" s="239">
        <f t="shared" si="114"/>
        <v>0</v>
      </c>
      <c r="DT43" s="238"/>
      <c r="DU43" s="239">
        <f t="shared" si="115"/>
        <v>0</v>
      </c>
      <c r="DV43" s="238"/>
      <c r="DW43" s="239">
        <f t="shared" si="116"/>
        <v>0</v>
      </c>
      <c r="DX43" s="238"/>
      <c r="DY43" s="239">
        <f t="shared" si="117"/>
        <v>0</v>
      </c>
      <c r="DZ43" s="238"/>
      <c r="EA43" s="239">
        <f t="shared" si="118"/>
        <v>0</v>
      </c>
      <c r="EB43" s="238"/>
      <c r="EC43" s="239">
        <f t="shared" si="119"/>
        <v>0</v>
      </c>
      <c r="ED43" s="238"/>
      <c r="EE43" s="239">
        <f t="shared" si="120"/>
        <v>0</v>
      </c>
      <c r="EF43" s="240">
        <f t="shared" si="121"/>
        <v>0</v>
      </c>
      <c r="EG43" s="239">
        <f t="shared" si="121"/>
        <v>0</v>
      </c>
    </row>
    <row r="44" spans="1:137" ht="19.8">
      <c r="A44" s="7">
        <v>37</v>
      </c>
      <c r="B44" s="8" t="s">
        <v>47</v>
      </c>
      <c r="C44" s="8" t="s">
        <v>11</v>
      </c>
      <c r="D44" s="7">
        <f t="shared" si="108"/>
        <v>31</v>
      </c>
      <c r="E44" s="7">
        <v>0.64</v>
      </c>
      <c r="F44" s="7" t="s">
        <v>22</v>
      </c>
      <c r="G44" s="7"/>
      <c r="H44" s="15"/>
      <c r="I44" s="10">
        <f t="shared" si="2"/>
        <v>0</v>
      </c>
      <c r="J44" s="15"/>
      <c r="K44" s="10">
        <f t="shared" si="3"/>
        <v>0</v>
      </c>
      <c r="L44" s="15"/>
      <c r="M44" s="10">
        <f t="shared" si="4"/>
        <v>0</v>
      </c>
      <c r="N44" s="15"/>
      <c r="O44" s="10">
        <f t="shared" si="5"/>
        <v>0</v>
      </c>
      <c r="P44" s="15"/>
      <c r="Q44" s="10">
        <f t="shared" si="6"/>
        <v>0</v>
      </c>
      <c r="R44" s="15"/>
      <c r="S44" s="10">
        <f t="shared" si="7"/>
        <v>0</v>
      </c>
      <c r="T44" s="15"/>
      <c r="U44" s="10">
        <f t="shared" si="8"/>
        <v>0</v>
      </c>
      <c r="V44" s="15"/>
      <c r="W44" s="10">
        <f t="shared" si="9"/>
        <v>0</v>
      </c>
      <c r="X44" s="15"/>
      <c r="Y44" s="10">
        <f t="shared" si="10"/>
        <v>0</v>
      </c>
      <c r="Z44" s="15"/>
      <c r="AA44" s="10">
        <f t="shared" si="11"/>
        <v>0</v>
      </c>
      <c r="AB44" s="15"/>
      <c r="AC44" s="10">
        <f t="shared" si="12"/>
        <v>0</v>
      </c>
      <c r="AD44" s="15"/>
      <c r="AE44" s="10">
        <f t="shared" si="13"/>
        <v>0</v>
      </c>
      <c r="AF44" s="11">
        <f t="shared" si="14"/>
        <v>0</v>
      </c>
      <c r="AG44" s="12">
        <f t="shared" si="15"/>
        <v>0</v>
      </c>
      <c r="AH44" s="15"/>
      <c r="AI44" s="10">
        <f t="shared" si="16"/>
        <v>0</v>
      </c>
      <c r="AJ44" s="15"/>
      <c r="AK44" s="10">
        <f t="shared" si="17"/>
        <v>0</v>
      </c>
      <c r="AL44" s="15"/>
      <c r="AM44" s="10">
        <f t="shared" si="18"/>
        <v>0</v>
      </c>
      <c r="AN44" s="15"/>
      <c r="AO44" s="10">
        <f t="shared" si="19"/>
        <v>0</v>
      </c>
      <c r="AP44" s="15"/>
      <c r="AQ44" s="10">
        <f t="shared" si="20"/>
        <v>0</v>
      </c>
      <c r="AR44" s="15"/>
      <c r="AS44" s="10">
        <f t="shared" si="21"/>
        <v>0</v>
      </c>
      <c r="AT44" s="15"/>
      <c r="AU44" s="10">
        <f t="shared" si="22"/>
        <v>0</v>
      </c>
      <c r="AV44" s="15"/>
      <c r="AW44" s="10">
        <f t="shared" si="23"/>
        <v>0</v>
      </c>
      <c r="AX44" s="15"/>
      <c r="AY44" s="10">
        <f t="shared" si="24"/>
        <v>0</v>
      </c>
      <c r="AZ44" s="15"/>
      <c r="BA44" s="10">
        <f t="shared" si="25"/>
        <v>0</v>
      </c>
      <c r="BB44" s="15"/>
      <c r="BC44" s="10">
        <f t="shared" si="26"/>
        <v>0</v>
      </c>
      <c r="BD44" s="15"/>
      <c r="BE44" s="10">
        <f t="shared" si="27"/>
        <v>0</v>
      </c>
      <c r="BF44" s="11">
        <f t="shared" si="28"/>
        <v>0</v>
      </c>
      <c r="BG44" s="12">
        <f t="shared" si="29"/>
        <v>0</v>
      </c>
      <c r="BH44" s="15"/>
      <c r="BI44" s="10">
        <f t="shared" si="30"/>
        <v>0</v>
      </c>
      <c r="BJ44" s="15"/>
      <c r="BK44" s="10">
        <f t="shared" si="31"/>
        <v>0</v>
      </c>
      <c r="BL44" s="15"/>
      <c r="BM44" s="10">
        <f t="shared" si="32"/>
        <v>0</v>
      </c>
      <c r="BN44" s="15"/>
      <c r="BO44" s="10">
        <f t="shared" si="33"/>
        <v>0</v>
      </c>
      <c r="BP44" s="15"/>
      <c r="BQ44" s="10">
        <f t="shared" si="34"/>
        <v>0</v>
      </c>
      <c r="BR44" s="15"/>
      <c r="BS44" s="10">
        <f t="shared" si="35"/>
        <v>0</v>
      </c>
      <c r="BT44" s="15"/>
      <c r="BU44" s="10">
        <f t="shared" si="36"/>
        <v>0</v>
      </c>
      <c r="BV44" s="15"/>
      <c r="BW44" s="10">
        <f t="shared" si="37"/>
        <v>0</v>
      </c>
      <c r="BX44" s="15"/>
      <c r="BY44" s="10">
        <f t="shared" si="38"/>
        <v>0</v>
      </c>
      <c r="BZ44" s="15"/>
      <c r="CA44" s="10">
        <f t="shared" si="39"/>
        <v>0</v>
      </c>
      <c r="CB44" s="15"/>
      <c r="CC44" s="10">
        <f t="shared" si="40"/>
        <v>0</v>
      </c>
      <c r="CD44" s="15"/>
      <c r="CE44" s="10">
        <f t="shared" si="41"/>
        <v>0</v>
      </c>
      <c r="CF44" s="11">
        <f t="shared" si="42"/>
        <v>0</v>
      </c>
      <c r="CG44" s="12">
        <f t="shared" si="43"/>
        <v>0</v>
      </c>
      <c r="CH44" s="15"/>
      <c r="CI44" s="10">
        <f t="shared" si="44"/>
        <v>0</v>
      </c>
      <c r="CJ44" s="15"/>
      <c r="CK44" s="10">
        <f t="shared" si="45"/>
        <v>0</v>
      </c>
      <c r="CL44" s="15"/>
      <c r="CM44" s="10">
        <f t="shared" si="46"/>
        <v>0</v>
      </c>
      <c r="CN44" s="15"/>
      <c r="CO44" s="10">
        <f t="shared" si="47"/>
        <v>0</v>
      </c>
      <c r="CP44" s="15"/>
      <c r="CQ44" s="10">
        <f t="shared" si="48"/>
        <v>0</v>
      </c>
      <c r="CR44" s="15"/>
      <c r="CS44" s="10">
        <f t="shared" si="49"/>
        <v>0</v>
      </c>
      <c r="CT44" s="15"/>
      <c r="CU44" s="10">
        <f t="shared" si="50"/>
        <v>0</v>
      </c>
      <c r="CV44" s="15"/>
      <c r="CW44" s="10">
        <f t="shared" si="51"/>
        <v>0</v>
      </c>
      <c r="CX44" s="15"/>
      <c r="CY44" s="10">
        <f t="shared" si="52"/>
        <v>0</v>
      </c>
      <c r="CZ44" s="15"/>
      <c r="DA44" s="10">
        <f t="shared" si="53"/>
        <v>0</v>
      </c>
      <c r="DB44" s="15"/>
      <c r="DC44" s="10">
        <f t="shared" si="54"/>
        <v>0</v>
      </c>
      <c r="DD44" s="15"/>
      <c r="DE44" s="10">
        <f t="shared" si="54"/>
        <v>0</v>
      </c>
      <c r="DF44" s="231">
        <f t="shared" si="55"/>
        <v>0</v>
      </c>
      <c r="DG44" s="230">
        <f t="shared" si="56"/>
        <v>0</v>
      </c>
      <c r="DH44" s="238"/>
      <c r="DI44" s="239">
        <f t="shared" si="109"/>
        <v>0</v>
      </c>
      <c r="DJ44" s="15"/>
      <c r="DK44" s="239">
        <f t="shared" si="110"/>
        <v>0</v>
      </c>
      <c r="DL44" s="238"/>
      <c r="DM44" s="239">
        <f t="shared" si="111"/>
        <v>0</v>
      </c>
      <c r="DN44" s="238"/>
      <c r="DO44" s="239">
        <f t="shared" si="112"/>
        <v>0</v>
      </c>
      <c r="DP44" s="238"/>
      <c r="DQ44" s="239">
        <f t="shared" si="113"/>
        <v>0</v>
      </c>
      <c r="DR44" s="238"/>
      <c r="DS44" s="239">
        <f t="shared" si="114"/>
        <v>0</v>
      </c>
      <c r="DT44" s="238"/>
      <c r="DU44" s="239">
        <f t="shared" si="115"/>
        <v>0</v>
      </c>
      <c r="DV44" s="238"/>
      <c r="DW44" s="239">
        <f t="shared" si="116"/>
        <v>0</v>
      </c>
      <c r="DX44" s="238"/>
      <c r="DY44" s="239">
        <f t="shared" si="117"/>
        <v>0</v>
      </c>
      <c r="DZ44" s="238"/>
      <c r="EA44" s="239">
        <f t="shared" si="118"/>
        <v>0</v>
      </c>
      <c r="EB44" s="238"/>
      <c r="EC44" s="239">
        <f t="shared" si="119"/>
        <v>0</v>
      </c>
      <c r="ED44" s="238"/>
      <c r="EE44" s="239">
        <f t="shared" si="120"/>
        <v>0</v>
      </c>
      <c r="EF44" s="240">
        <f t="shared" si="121"/>
        <v>0</v>
      </c>
      <c r="EG44" s="239">
        <f t="shared" si="121"/>
        <v>0</v>
      </c>
    </row>
    <row r="45" spans="1:137" ht="19.8">
      <c r="A45" s="7">
        <v>38</v>
      </c>
      <c r="B45" s="8" t="s">
        <v>49</v>
      </c>
      <c r="C45" s="8" t="s">
        <v>11</v>
      </c>
      <c r="D45" s="7">
        <f t="shared" si="108"/>
        <v>31</v>
      </c>
      <c r="E45" s="7">
        <v>0.64</v>
      </c>
      <c r="F45" s="7" t="s">
        <v>22</v>
      </c>
      <c r="G45" s="7"/>
      <c r="H45" s="15"/>
      <c r="I45" s="10">
        <f t="shared" si="2"/>
        <v>0</v>
      </c>
      <c r="J45" s="15"/>
      <c r="K45" s="10">
        <f t="shared" si="3"/>
        <v>0</v>
      </c>
      <c r="L45" s="15"/>
      <c r="M45" s="10">
        <f t="shared" si="4"/>
        <v>0</v>
      </c>
      <c r="N45" s="15"/>
      <c r="O45" s="10">
        <f t="shared" si="5"/>
        <v>0</v>
      </c>
      <c r="P45" s="15"/>
      <c r="Q45" s="10">
        <f t="shared" si="6"/>
        <v>0</v>
      </c>
      <c r="R45" s="15"/>
      <c r="S45" s="10">
        <f t="shared" si="7"/>
        <v>0</v>
      </c>
      <c r="T45" s="15"/>
      <c r="U45" s="10">
        <f t="shared" si="8"/>
        <v>0</v>
      </c>
      <c r="V45" s="15"/>
      <c r="W45" s="10">
        <f t="shared" si="9"/>
        <v>0</v>
      </c>
      <c r="X45" s="15"/>
      <c r="Y45" s="10">
        <f t="shared" si="10"/>
        <v>0</v>
      </c>
      <c r="Z45" s="15"/>
      <c r="AA45" s="10">
        <f t="shared" si="11"/>
        <v>0</v>
      </c>
      <c r="AB45" s="15"/>
      <c r="AC45" s="10">
        <f t="shared" si="12"/>
        <v>0</v>
      </c>
      <c r="AD45" s="15"/>
      <c r="AE45" s="10">
        <f t="shared" si="13"/>
        <v>0</v>
      </c>
      <c r="AF45" s="11">
        <f t="shared" si="14"/>
        <v>0</v>
      </c>
      <c r="AG45" s="12">
        <f t="shared" si="15"/>
        <v>0</v>
      </c>
      <c r="AH45" s="15"/>
      <c r="AI45" s="10">
        <f t="shared" si="16"/>
        <v>0</v>
      </c>
      <c r="AJ45" s="15"/>
      <c r="AK45" s="10">
        <f t="shared" si="17"/>
        <v>0</v>
      </c>
      <c r="AL45" s="15"/>
      <c r="AM45" s="10">
        <f t="shared" si="18"/>
        <v>0</v>
      </c>
      <c r="AN45" s="15"/>
      <c r="AO45" s="10">
        <f t="shared" si="19"/>
        <v>0</v>
      </c>
      <c r="AP45" s="15"/>
      <c r="AQ45" s="10">
        <f t="shared" si="20"/>
        <v>0</v>
      </c>
      <c r="AR45" s="15"/>
      <c r="AS45" s="10">
        <f t="shared" si="21"/>
        <v>0</v>
      </c>
      <c r="AT45" s="15"/>
      <c r="AU45" s="10">
        <f t="shared" si="22"/>
        <v>0</v>
      </c>
      <c r="AV45" s="15"/>
      <c r="AW45" s="10">
        <f t="shared" si="23"/>
        <v>0</v>
      </c>
      <c r="AX45" s="15"/>
      <c r="AY45" s="10">
        <f t="shared" si="24"/>
        <v>0</v>
      </c>
      <c r="AZ45" s="15"/>
      <c r="BA45" s="10">
        <f t="shared" si="25"/>
        <v>0</v>
      </c>
      <c r="BB45" s="15"/>
      <c r="BC45" s="10">
        <f t="shared" si="26"/>
        <v>0</v>
      </c>
      <c r="BD45" s="15"/>
      <c r="BE45" s="10">
        <f t="shared" si="27"/>
        <v>0</v>
      </c>
      <c r="BF45" s="11">
        <f t="shared" si="28"/>
        <v>0</v>
      </c>
      <c r="BG45" s="12">
        <f t="shared" si="29"/>
        <v>0</v>
      </c>
      <c r="BH45" s="15"/>
      <c r="BI45" s="10">
        <f t="shared" si="30"/>
        <v>0</v>
      </c>
      <c r="BJ45" s="15"/>
      <c r="BK45" s="10">
        <f t="shared" si="31"/>
        <v>0</v>
      </c>
      <c r="BL45" s="15"/>
      <c r="BM45" s="10">
        <f t="shared" si="32"/>
        <v>0</v>
      </c>
      <c r="BN45" s="15"/>
      <c r="BO45" s="10">
        <f t="shared" si="33"/>
        <v>0</v>
      </c>
      <c r="BP45" s="15"/>
      <c r="BQ45" s="10">
        <f t="shared" si="34"/>
        <v>0</v>
      </c>
      <c r="BR45" s="15"/>
      <c r="BS45" s="10">
        <f t="shared" si="35"/>
        <v>0</v>
      </c>
      <c r="BT45" s="15"/>
      <c r="BU45" s="10">
        <f t="shared" si="36"/>
        <v>0</v>
      </c>
      <c r="BV45" s="15"/>
      <c r="BW45" s="10">
        <f t="shared" si="37"/>
        <v>0</v>
      </c>
      <c r="BX45" s="15"/>
      <c r="BY45" s="10">
        <f t="shared" si="38"/>
        <v>0</v>
      </c>
      <c r="BZ45" s="15"/>
      <c r="CA45" s="10">
        <f t="shared" si="39"/>
        <v>0</v>
      </c>
      <c r="CB45" s="15"/>
      <c r="CC45" s="10">
        <f t="shared" si="40"/>
        <v>0</v>
      </c>
      <c r="CD45" s="15"/>
      <c r="CE45" s="10">
        <f t="shared" si="41"/>
        <v>0</v>
      </c>
      <c r="CF45" s="11">
        <f t="shared" si="42"/>
        <v>0</v>
      </c>
      <c r="CG45" s="12">
        <f t="shared" si="43"/>
        <v>0</v>
      </c>
      <c r="CH45" s="15"/>
      <c r="CI45" s="10">
        <f t="shared" si="44"/>
        <v>0</v>
      </c>
      <c r="CJ45" s="15"/>
      <c r="CK45" s="10">
        <f t="shared" si="45"/>
        <v>0</v>
      </c>
      <c r="CL45" s="15"/>
      <c r="CM45" s="10">
        <f t="shared" si="46"/>
        <v>0</v>
      </c>
      <c r="CN45" s="15"/>
      <c r="CO45" s="10">
        <f t="shared" si="47"/>
        <v>0</v>
      </c>
      <c r="CP45" s="15"/>
      <c r="CQ45" s="10">
        <f t="shared" si="48"/>
        <v>0</v>
      </c>
      <c r="CR45" s="15"/>
      <c r="CS45" s="10">
        <f t="shared" si="49"/>
        <v>0</v>
      </c>
      <c r="CT45" s="15"/>
      <c r="CU45" s="10">
        <f t="shared" si="50"/>
        <v>0</v>
      </c>
      <c r="CV45" s="15"/>
      <c r="CW45" s="10">
        <f t="shared" si="51"/>
        <v>0</v>
      </c>
      <c r="CX45" s="15"/>
      <c r="CY45" s="10">
        <f t="shared" si="52"/>
        <v>0</v>
      </c>
      <c r="CZ45" s="15"/>
      <c r="DA45" s="10">
        <f t="shared" si="53"/>
        <v>0</v>
      </c>
      <c r="DB45" s="15"/>
      <c r="DC45" s="10">
        <f t="shared" si="54"/>
        <v>0</v>
      </c>
      <c r="DD45" s="15"/>
      <c r="DE45" s="10">
        <f t="shared" si="54"/>
        <v>0</v>
      </c>
      <c r="DF45" s="231">
        <f t="shared" si="55"/>
        <v>0</v>
      </c>
      <c r="DG45" s="230">
        <f t="shared" si="56"/>
        <v>0</v>
      </c>
      <c r="DH45" s="238"/>
      <c r="DI45" s="239">
        <f t="shared" si="109"/>
        <v>0</v>
      </c>
      <c r="DJ45" s="15"/>
      <c r="DK45" s="239">
        <f t="shared" si="110"/>
        <v>0</v>
      </c>
      <c r="DL45" s="238"/>
      <c r="DM45" s="239">
        <f t="shared" si="111"/>
        <v>0</v>
      </c>
      <c r="DN45" s="238"/>
      <c r="DO45" s="239">
        <f t="shared" si="112"/>
        <v>0</v>
      </c>
      <c r="DP45" s="238"/>
      <c r="DQ45" s="239">
        <f t="shared" si="113"/>
        <v>0</v>
      </c>
      <c r="DR45" s="238"/>
      <c r="DS45" s="239">
        <f t="shared" si="114"/>
        <v>0</v>
      </c>
      <c r="DT45" s="238"/>
      <c r="DU45" s="239">
        <f t="shared" si="115"/>
        <v>0</v>
      </c>
      <c r="DV45" s="238"/>
      <c r="DW45" s="239">
        <f t="shared" si="116"/>
        <v>0</v>
      </c>
      <c r="DX45" s="238"/>
      <c r="DY45" s="239">
        <f t="shared" si="117"/>
        <v>0</v>
      </c>
      <c r="DZ45" s="238"/>
      <c r="EA45" s="239">
        <f t="shared" si="118"/>
        <v>0</v>
      </c>
      <c r="EB45" s="238"/>
      <c r="EC45" s="239">
        <f t="shared" si="119"/>
        <v>0</v>
      </c>
      <c r="ED45" s="238"/>
      <c r="EE45" s="239">
        <f t="shared" si="120"/>
        <v>0</v>
      </c>
      <c r="EF45" s="240">
        <f t="shared" si="121"/>
        <v>0</v>
      </c>
      <c r="EG45" s="239">
        <f t="shared" si="121"/>
        <v>0</v>
      </c>
    </row>
    <row r="46" spans="1:137" ht="19.8">
      <c r="A46" s="7">
        <v>39</v>
      </c>
      <c r="B46" s="8" t="s">
        <v>49</v>
      </c>
      <c r="C46" s="8" t="s">
        <v>11</v>
      </c>
      <c r="D46" s="7">
        <f t="shared" si="108"/>
        <v>31</v>
      </c>
      <c r="E46" s="7">
        <v>0.64</v>
      </c>
      <c r="F46" s="7" t="s">
        <v>22</v>
      </c>
      <c r="G46" s="7"/>
      <c r="H46" s="15"/>
      <c r="I46" s="10">
        <f t="shared" si="2"/>
        <v>0</v>
      </c>
      <c r="J46" s="15"/>
      <c r="K46" s="10">
        <f t="shared" si="3"/>
        <v>0</v>
      </c>
      <c r="L46" s="15"/>
      <c r="M46" s="10">
        <f t="shared" si="4"/>
        <v>0</v>
      </c>
      <c r="N46" s="15"/>
      <c r="O46" s="10">
        <f t="shared" si="5"/>
        <v>0</v>
      </c>
      <c r="P46" s="15"/>
      <c r="Q46" s="10">
        <f t="shared" si="6"/>
        <v>0</v>
      </c>
      <c r="R46" s="15"/>
      <c r="S46" s="10">
        <f t="shared" si="7"/>
        <v>0</v>
      </c>
      <c r="T46" s="15"/>
      <c r="U46" s="10">
        <f t="shared" si="8"/>
        <v>0</v>
      </c>
      <c r="V46" s="15"/>
      <c r="W46" s="10">
        <f t="shared" si="9"/>
        <v>0</v>
      </c>
      <c r="X46" s="15"/>
      <c r="Y46" s="10">
        <f t="shared" si="10"/>
        <v>0</v>
      </c>
      <c r="Z46" s="15"/>
      <c r="AA46" s="10">
        <f t="shared" si="11"/>
        <v>0</v>
      </c>
      <c r="AB46" s="15"/>
      <c r="AC46" s="10">
        <f t="shared" si="12"/>
        <v>0</v>
      </c>
      <c r="AD46" s="15"/>
      <c r="AE46" s="10">
        <f t="shared" si="13"/>
        <v>0</v>
      </c>
      <c r="AF46" s="11">
        <f t="shared" si="14"/>
        <v>0</v>
      </c>
      <c r="AG46" s="12">
        <f t="shared" si="15"/>
        <v>0</v>
      </c>
      <c r="AH46" s="15"/>
      <c r="AI46" s="10">
        <f t="shared" si="16"/>
        <v>0</v>
      </c>
      <c r="AJ46" s="15"/>
      <c r="AK46" s="10">
        <f t="shared" si="17"/>
        <v>0</v>
      </c>
      <c r="AL46" s="15"/>
      <c r="AM46" s="10">
        <f t="shared" si="18"/>
        <v>0</v>
      </c>
      <c r="AN46" s="15"/>
      <c r="AO46" s="10">
        <f t="shared" si="19"/>
        <v>0</v>
      </c>
      <c r="AP46" s="15"/>
      <c r="AQ46" s="10">
        <f t="shared" si="20"/>
        <v>0</v>
      </c>
      <c r="AR46" s="15"/>
      <c r="AS46" s="10">
        <f t="shared" si="21"/>
        <v>0</v>
      </c>
      <c r="AT46" s="15"/>
      <c r="AU46" s="10">
        <f t="shared" si="22"/>
        <v>0</v>
      </c>
      <c r="AV46" s="15"/>
      <c r="AW46" s="10">
        <f t="shared" si="23"/>
        <v>0</v>
      </c>
      <c r="AX46" s="15"/>
      <c r="AY46" s="10">
        <f t="shared" si="24"/>
        <v>0</v>
      </c>
      <c r="AZ46" s="15"/>
      <c r="BA46" s="10">
        <f t="shared" si="25"/>
        <v>0</v>
      </c>
      <c r="BB46" s="15"/>
      <c r="BC46" s="10">
        <f t="shared" si="26"/>
        <v>0</v>
      </c>
      <c r="BD46" s="15"/>
      <c r="BE46" s="10">
        <f t="shared" si="27"/>
        <v>0</v>
      </c>
      <c r="BF46" s="11">
        <f t="shared" si="28"/>
        <v>0</v>
      </c>
      <c r="BG46" s="12">
        <f t="shared" si="29"/>
        <v>0</v>
      </c>
      <c r="BH46" s="15"/>
      <c r="BI46" s="10">
        <f t="shared" si="30"/>
        <v>0</v>
      </c>
      <c r="BJ46" s="15"/>
      <c r="BK46" s="10">
        <f t="shared" si="31"/>
        <v>0</v>
      </c>
      <c r="BL46" s="15"/>
      <c r="BM46" s="10">
        <f t="shared" si="32"/>
        <v>0</v>
      </c>
      <c r="BN46" s="15"/>
      <c r="BO46" s="10">
        <f t="shared" si="33"/>
        <v>0</v>
      </c>
      <c r="BP46" s="15"/>
      <c r="BQ46" s="10">
        <f t="shared" si="34"/>
        <v>0</v>
      </c>
      <c r="BR46" s="15"/>
      <c r="BS46" s="10">
        <f t="shared" si="35"/>
        <v>0</v>
      </c>
      <c r="BT46" s="15"/>
      <c r="BU46" s="10">
        <f t="shared" si="36"/>
        <v>0</v>
      </c>
      <c r="BV46" s="15"/>
      <c r="BW46" s="10">
        <f t="shared" si="37"/>
        <v>0</v>
      </c>
      <c r="BX46" s="15"/>
      <c r="BY46" s="10">
        <f t="shared" si="38"/>
        <v>0</v>
      </c>
      <c r="BZ46" s="15"/>
      <c r="CA46" s="10">
        <f t="shared" si="39"/>
        <v>0</v>
      </c>
      <c r="CB46" s="15"/>
      <c r="CC46" s="10">
        <f t="shared" si="40"/>
        <v>0</v>
      </c>
      <c r="CD46" s="15"/>
      <c r="CE46" s="10">
        <f t="shared" si="41"/>
        <v>0</v>
      </c>
      <c r="CF46" s="11">
        <f t="shared" si="42"/>
        <v>0</v>
      </c>
      <c r="CG46" s="12">
        <f t="shared" si="43"/>
        <v>0</v>
      </c>
      <c r="CH46" s="15"/>
      <c r="CI46" s="10">
        <f t="shared" si="44"/>
        <v>0</v>
      </c>
      <c r="CJ46" s="15"/>
      <c r="CK46" s="10">
        <f t="shared" si="45"/>
        <v>0</v>
      </c>
      <c r="CL46" s="15"/>
      <c r="CM46" s="10">
        <f t="shared" si="46"/>
        <v>0</v>
      </c>
      <c r="CN46" s="15"/>
      <c r="CO46" s="10">
        <f t="shared" si="47"/>
        <v>0</v>
      </c>
      <c r="CP46" s="15"/>
      <c r="CQ46" s="10">
        <f t="shared" si="48"/>
        <v>0</v>
      </c>
      <c r="CR46" s="15"/>
      <c r="CS46" s="10">
        <f t="shared" si="49"/>
        <v>0</v>
      </c>
      <c r="CT46" s="15"/>
      <c r="CU46" s="10">
        <f t="shared" si="50"/>
        <v>0</v>
      </c>
      <c r="CV46" s="15"/>
      <c r="CW46" s="10">
        <f t="shared" si="51"/>
        <v>0</v>
      </c>
      <c r="CX46" s="15"/>
      <c r="CY46" s="10">
        <f t="shared" si="52"/>
        <v>0</v>
      </c>
      <c r="CZ46" s="15"/>
      <c r="DA46" s="10">
        <f t="shared" si="53"/>
        <v>0</v>
      </c>
      <c r="DB46" s="15"/>
      <c r="DC46" s="10">
        <f t="shared" si="54"/>
        <v>0</v>
      </c>
      <c r="DD46" s="15"/>
      <c r="DE46" s="10">
        <f t="shared" si="54"/>
        <v>0</v>
      </c>
      <c r="DF46" s="231">
        <f t="shared" si="55"/>
        <v>0</v>
      </c>
      <c r="DG46" s="230">
        <f t="shared" si="56"/>
        <v>0</v>
      </c>
      <c r="DH46" s="238"/>
      <c r="DI46" s="239">
        <f t="shared" si="109"/>
        <v>0</v>
      </c>
      <c r="DJ46" s="15"/>
      <c r="DK46" s="239">
        <f t="shared" si="110"/>
        <v>0</v>
      </c>
      <c r="DL46" s="238"/>
      <c r="DM46" s="239">
        <f t="shared" si="111"/>
        <v>0</v>
      </c>
      <c r="DN46" s="238"/>
      <c r="DO46" s="239">
        <f t="shared" si="112"/>
        <v>0</v>
      </c>
      <c r="DP46" s="238"/>
      <c r="DQ46" s="239">
        <f t="shared" si="113"/>
        <v>0</v>
      </c>
      <c r="DR46" s="238"/>
      <c r="DS46" s="239">
        <f t="shared" si="114"/>
        <v>0</v>
      </c>
      <c r="DT46" s="238"/>
      <c r="DU46" s="239">
        <f t="shared" si="115"/>
        <v>0</v>
      </c>
      <c r="DV46" s="238"/>
      <c r="DW46" s="239">
        <f t="shared" si="116"/>
        <v>0</v>
      </c>
      <c r="DX46" s="238"/>
      <c r="DY46" s="239">
        <f t="shared" si="117"/>
        <v>0</v>
      </c>
      <c r="DZ46" s="238"/>
      <c r="EA46" s="239">
        <f t="shared" si="118"/>
        <v>0</v>
      </c>
      <c r="EB46" s="238"/>
      <c r="EC46" s="239">
        <f t="shared" si="119"/>
        <v>0</v>
      </c>
      <c r="ED46" s="238"/>
      <c r="EE46" s="239">
        <f t="shared" si="120"/>
        <v>0</v>
      </c>
      <c r="EF46" s="240">
        <f t="shared" si="121"/>
        <v>0</v>
      </c>
      <c r="EG46" s="239">
        <f t="shared" si="121"/>
        <v>0</v>
      </c>
    </row>
    <row r="47" spans="1:137" ht="19.8">
      <c r="A47" s="7">
        <v>40</v>
      </c>
      <c r="B47" s="8" t="s">
        <v>49</v>
      </c>
      <c r="C47" s="8" t="s">
        <v>11</v>
      </c>
      <c r="D47" s="7">
        <f t="shared" si="108"/>
        <v>31</v>
      </c>
      <c r="E47" s="7">
        <v>0.64</v>
      </c>
      <c r="F47" s="7" t="s">
        <v>22</v>
      </c>
      <c r="G47" s="7"/>
      <c r="H47" s="15"/>
      <c r="I47" s="10">
        <f t="shared" si="2"/>
        <v>0</v>
      </c>
      <c r="J47" s="15"/>
      <c r="K47" s="10">
        <f t="shared" si="3"/>
        <v>0</v>
      </c>
      <c r="L47" s="15"/>
      <c r="M47" s="10">
        <f t="shared" si="4"/>
        <v>0</v>
      </c>
      <c r="N47" s="15"/>
      <c r="O47" s="10">
        <f t="shared" si="5"/>
        <v>0</v>
      </c>
      <c r="P47" s="15"/>
      <c r="Q47" s="10">
        <f t="shared" si="6"/>
        <v>0</v>
      </c>
      <c r="R47" s="15"/>
      <c r="S47" s="10">
        <f t="shared" si="7"/>
        <v>0</v>
      </c>
      <c r="T47" s="15"/>
      <c r="U47" s="10">
        <f t="shared" si="8"/>
        <v>0</v>
      </c>
      <c r="V47" s="15"/>
      <c r="W47" s="10">
        <f t="shared" si="9"/>
        <v>0</v>
      </c>
      <c r="X47" s="15"/>
      <c r="Y47" s="10">
        <f t="shared" si="10"/>
        <v>0</v>
      </c>
      <c r="Z47" s="15"/>
      <c r="AA47" s="10">
        <f t="shared" si="11"/>
        <v>0</v>
      </c>
      <c r="AB47" s="15"/>
      <c r="AC47" s="10">
        <f t="shared" si="12"/>
        <v>0</v>
      </c>
      <c r="AD47" s="15"/>
      <c r="AE47" s="10">
        <f t="shared" si="13"/>
        <v>0</v>
      </c>
      <c r="AF47" s="11">
        <f t="shared" si="14"/>
        <v>0</v>
      </c>
      <c r="AG47" s="12">
        <f t="shared" si="15"/>
        <v>0</v>
      </c>
      <c r="AH47" s="15"/>
      <c r="AI47" s="10">
        <f t="shared" si="16"/>
        <v>0</v>
      </c>
      <c r="AJ47" s="15"/>
      <c r="AK47" s="10">
        <f t="shared" si="17"/>
        <v>0</v>
      </c>
      <c r="AL47" s="15"/>
      <c r="AM47" s="10">
        <f t="shared" si="18"/>
        <v>0</v>
      </c>
      <c r="AN47" s="15"/>
      <c r="AO47" s="10">
        <f t="shared" si="19"/>
        <v>0</v>
      </c>
      <c r="AP47" s="15"/>
      <c r="AQ47" s="10">
        <f t="shared" si="20"/>
        <v>0</v>
      </c>
      <c r="AR47" s="15"/>
      <c r="AS47" s="10">
        <f t="shared" si="21"/>
        <v>0</v>
      </c>
      <c r="AT47" s="15"/>
      <c r="AU47" s="10">
        <f t="shared" si="22"/>
        <v>0</v>
      </c>
      <c r="AV47" s="15"/>
      <c r="AW47" s="10">
        <f t="shared" si="23"/>
        <v>0</v>
      </c>
      <c r="AX47" s="15"/>
      <c r="AY47" s="10">
        <f t="shared" si="24"/>
        <v>0</v>
      </c>
      <c r="AZ47" s="15"/>
      <c r="BA47" s="10">
        <f t="shared" si="25"/>
        <v>0</v>
      </c>
      <c r="BB47" s="15"/>
      <c r="BC47" s="10">
        <f t="shared" si="26"/>
        <v>0</v>
      </c>
      <c r="BD47" s="15"/>
      <c r="BE47" s="10">
        <f t="shared" si="27"/>
        <v>0</v>
      </c>
      <c r="BF47" s="11">
        <f t="shared" si="28"/>
        <v>0</v>
      </c>
      <c r="BG47" s="12">
        <f t="shared" si="29"/>
        <v>0</v>
      </c>
      <c r="BH47" s="15"/>
      <c r="BI47" s="10">
        <f t="shared" si="30"/>
        <v>0</v>
      </c>
      <c r="BJ47" s="15"/>
      <c r="BK47" s="10">
        <f t="shared" si="31"/>
        <v>0</v>
      </c>
      <c r="BL47" s="15"/>
      <c r="BM47" s="10">
        <f t="shared" si="32"/>
        <v>0</v>
      </c>
      <c r="BN47" s="15"/>
      <c r="BO47" s="10">
        <f t="shared" si="33"/>
        <v>0</v>
      </c>
      <c r="BP47" s="15"/>
      <c r="BQ47" s="10">
        <f t="shared" si="34"/>
        <v>0</v>
      </c>
      <c r="BR47" s="15"/>
      <c r="BS47" s="10">
        <f t="shared" si="35"/>
        <v>0</v>
      </c>
      <c r="BT47" s="15"/>
      <c r="BU47" s="10">
        <f t="shared" si="36"/>
        <v>0</v>
      </c>
      <c r="BV47" s="15"/>
      <c r="BW47" s="10">
        <f t="shared" si="37"/>
        <v>0</v>
      </c>
      <c r="BX47" s="15"/>
      <c r="BY47" s="10">
        <f t="shared" si="38"/>
        <v>0</v>
      </c>
      <c r="BZ47" s="15"/>
      <c r="CA47" s="10">
        <f t="shared" si="39"/>
        <v>0</v>
      </c>
      <c r="CB47" s="15"/>
      <c r="CC47" s="10">
        <f t="shared" si="40"/>
        <v>0</v>
      </c>
      <c r="CD47" s="15"/>
      <c r="CE47" s="10">
        <f t="shared" si="41"/>
        <v>0</v>
      </c>
      <c r="CF47" s="11">
        <f t="shared" si="42"/>
        <v>0</v>
      </c>
      <c r="CG47" s="12">
        <f t="shared" si="43"/>
        <v>0</v>
      </c>
      <c r="CH47" s="15"/>
      <c r="CI47" s="10">
        <f t="shared" si="44"/>
        <v>0</v>
      </c>
      <c r="CJ47" s="15"/>
      <c r="CK47" s="10">
        <f t="shared" si="45"/>
        <v>0</v>
      </c>
      <c r="CL47" s="15"/>
      <c r="CM47" s="10">
        <f t="shared" si="46"/>
        <v>0</v>
      </c>
      <c r="CN47" s="15"/>
      <c r="CO47" s="10">
        <f t="shared" si="47"/>
        <v>0</v>
      </c>
      <c r="CP47" s="15"/>
      <c r="CQ47" s="10">
        <f t="shared" si="48"/>
        <v>0</v>
      </c>
      <c r="CR47" s="15"/>
      <c r="CS47" s="10">
        <f t="shared" si="49"/>
        <v>0</v>
      </c>
      <c r="CT47" s="15"/>
      <c r="CU47" s="10">
        <f t="shared" si="50"/>
        <v>0</v>
      </c>
      <c r="CV47" s="15"/>
      <c r="CW47" s="10">
        <f t="shared" si="51"/>
        <v>0</v>
      </c>
      <c r="CX47" s="15"/>
      <c r="CY47" s="10">
        <f t="shared" si="52"/>
        <v>0</v>
      </c>
      <c r="CZ47" s="15"/>
      <c r="DA47" s="10">
        <f t="shared" si="53"/>
        <v>0</v>
      </c>
      <c r="DB47" s="15"/>
      <c r="DC47" s="10">
        <f t="shared" si="54"/>
        <v>0</v>
      </c>
      <c r="DD47" s="15"/>
      <c r="DE47" s="10">
        <f t="shared" si="54"/>
        <v>0</v>
      </c>
      <c r="DF47" s="231">
        <f t="shared" si="55"/>
        <v>0</v>
      </c>
      <c r="DG47" s="230">
        <f t="shared" si="56"/>
        <v>0</v>
      </c>
      <c r="DH47" s="238"/>
      <c r="DI47" s="239">
        <f t="shared" si="109"/>
        <v>0</v>
      </c>
      <c r="DJ47" s="15"/>
      <c r="DK47" s="239">
        <f t="shared" si="110"/>
        <v>0</v>
      </c>
      <c r="DL47" s="238"/>
      <c r="DM47" s="239">
        <f t="shared" si="111"/>
        <v>0</v>
      </c>
      <c r="DN47" s="238"/>
      <c r="DO47" s="239">
        <f t="shared" si="112"/>
        <v>0</v>
      </c>
      <c r="DP47" s="238"/>
      <c r="DQ47" s="239">
        <f t="shared" si="113"/>
        <v>0</v>
      </c>
      <c r="DR47" s="238"/>
      <c r="DS47" s="239">
        <f t="shared" si="114"/>
        <v>0</v>
      </c>
      <c r="DT47" s="238"/>
      <c r="DU47" s="239">
        <f t="shared" si="115"/>
        <v>0</v>
      </c>
      <c r="DV47" s="238"/>
      <c r="DW47" s="239">
        <f t="shared" si="116"/>
        <v>0</v>
      </c>
      <c r="DX47" s="238"/>
      <c r="DY47" s="239">
        <f t="shared" si="117"/>
        <v>0</v>
      </c>
      <c r="DZ47" s="238"/>
      <c r="EA47" s="239">
        <f t="shared" si="118"/>
        <v>0</v>
      </c>
      <c r="EB47" s="238"/>
      <c r="EC47" s="239">
        <f t="shared" si="119"/>
        <v>0</v>
      </c>
      <c r="ED47" s="238"/>
      <c r="EE47" s="239">
        <f t="shared" si="120"/>
        <v>0</v>
      </c>
      <c r="EF47" s="240">
        <f t="shared" si="121"/>
        <v>0</v>
      </c>
      <c r="EG47" s="239">
        <f t="shared" si="121"/>
        <v>0</v>
      </c>
    </row>
    <row r="48" spans="1:137" ht="19.8">
      <c r="A48" s="7"/>
      <c r="B48" s="8"/>
      <c r="C48" s="8"/>
      <c r="D48" s="7"/>
      <c r="E48" s="7"/>
      <c r="F48" s="7"/>
      <c r="G48" s="7"/>
      <c r="H48" s="15"/>
      <c r="I48" s="10">
        <f t="shared" si="2"/>
        <v>0</v>
      </c>
      <c r="J48" s="15"/>
      <c r="K48" s="10">
        <f t="shared" si="3"/>
        <v>0</v>
      </c>
      <c r="L48" s="15"/>
      <c r="M48" s="10">
        <f t="shared" si="4"/>
        <v>0</v>
      </c>
      <c r="N48" s="15"/>
      <c r="O48" s="10">
        <f t="shared" si="5"/>
        <v>0</v>
      </c>
      <c r="P48" s="15"/>
      <c r="Q48" s="10">
        <f t="shared" si="6"/>
        <v>0</v>
      </c>
      <c r="R48" s="15"/>
      <c r="S48" s="10">
        <f t="shared" si="7"/>
        <v>0</v>
      </c>
      <c r="T48" s="15"/>
      <c r="U48" s="10">
        <f t="shared" si="8"/>
        <v>0</v>
      </c>
      <c r="V48" s="15"/>
      <c r="W48" s="10">
        <f t="shared" si="9"/>
        <v>0</v>
      </c>
      <c r="X48" s="15"/>
      <c r="Y48" s="10">
        <f t="shared" si="10"/>
        <v>0</v>
      </c>
      <c r="Z48" s="15"/>
      <c r="AA48" s="10">
        <f t="shared" si="11"/>
        <v>0</v>
      </c>
      <c r="AB48" s="15"/>
      <c r="AC48" s="10">
        <f t="shared" si="12"/>
        <v>0</v>
      </c>
      <c r="AD48" s="15"/>
      <c r="AE48" s="10">
        <f t="shared" si="13"/>
        <v>0</v>
      </c>
      <c r="AF48" s="11">
        <f t="shared" si="14"/>
        <v>0</v>
      </c>
      <c r="AG48" s="12">
        <f t="shared" si="15"/>
        <v>0</v>
      </c>
      <c r="AH48" s="15"/>
      <c r="AI48" s="10">
        <f t="shared" si="16"/>
        <v>0</v>
      </c>
      <c r="AJ48" s="15"/>
      <c r="AK48" s="10">
        <f t="shared" si="17"/>
        <v>0</v>
      </c>
      <c r="AL48" s="15"/>
      <c r="AM48" s="10">
        <f t="shared" si="18"/>
        <v>0</v>
      </c>
      <c r="AN48" s="15"/>
      <c r="AO48" s="10">
        <f t="shared" si="19"/>
        <v>0</v>
      </c>
      <c r="AP48" s="15"/>
      <c r="AQ48" s="10">
        <f t="shared" si="20"/>
        <v>0</v>
      </c>
      <c r="AR48" s="15"/>
      <c r="AS48" s="10">
        <f t="shared" si="21"/>
        <v>0</v>
      </c>
      <c r="AT48" s="15"/>
      <c r="AU48" s="10">
        <f t="shared" si="22"/>
        <v>0</v>
      </c>
      <c r="AV48" s="15"/>
      <c r="AW48" s="10">
        <f t="shared" si="23"/>
        <v>0</v>
      </c>
      <c r="AX48" s="15"/>
      <c r="AY48" s="10">
        <f t="shared" si="24"/>
        <v>0</v>
      </c>
      <c r="AZ48" s="15"/>
      <c r="BA48" s="10">
        <f t="shared" si="25"/>
        <v>0</v>
      </c>
      <c r="BB48" s="15"/>
      <c r="BC48" s="10">
        <f t="shared" si="26"/>
        <v>0</v>
      </c>
      <c r="BD48" s="15"/>
      <c r="BE48" s="10">
        <f t="shared" si="27"/>
        <v>0</v>
      </c>
      <c r="BF48" s="11">
        <f t="shared" si="28"/>
        <v>0</v>
      </c>
      <c r="BG48" s="12">
        <f t="shared" si="29"/>
        <v>0</v>
      </c>
      <c r="BH48" s="15"/>
      <c r="BI48" s="10">
        <f t="shared" si="30"/>
        <v>0</v>
      </c>
      <c r="BJ48" s="15"/>
      <c r="BK48" s="10">
        <f t="shared" si="31"/>
        <v>0</v>
      </c>
      <c r="BL48" s="15"/>
      <c r="BM48" s="10">
        <f t="shared" si="32"/>
        <v>0</v>
      </c>
      <c r="BN48" s="15"/>
      <c r="BO48" s="10">
        <f t="shared" si="33"/>
        <v>0</v>
      </c>
      <c r="BP48" s="15"/>
      <c r="BQ48" s="10">
        <f t="shared" si="34"/>
        <v>0</v>
      </c>
      <c r="BR48" s="15"/>
      <c r="BS48" s="10">
        <f t="shared" si="35"/>
        <v>0</v>
      </c>
      <c r="BT48" s="15"/>
      <c r="BU48" s="10">
        <f t="shared" si="36"/>
        <v>0</v>
      </c>
      <c r="BV48" s="15"/>
      <c r="BW48" s="10">
        <f t="shared" si="37"/>
        <v>0</v>
      </c>
      <c r="BX48" s="15"/>
      <c r="BY48" s="10">
        <f t="shared" si="38"/>
        <v>0</v>
      </c>
      <c r="BZ48" s="15"/>
      <c r="CA48" s="10">
        <f t="shared" si="39"/>
        <v>0</v>
      </c>
      <c r="CB48" s="15"/>
      <c r="CC48" s="10">
        <f t="shared" si="40"/>
        <v>0</v>
      </c>
      <c r="CD48" s="15"/>
      <c r="CE48" s="10">
        <f t="shared" si="41"/>
        <v>0</v>
      </c>
      <c r="CF48" s="11">
        <f t="shared" si="42"/>
        <v>0</v>
      </c>
      <c r="CG48" s="12">
        <f t="shared" si="43"/>
        <v>0</v>
      </c>
      <c r="CH48" s="15"/>
      <c r="CI48" s="10">
        <f t="shared" si="44"/>
        <v>0</v>
      </c>
      <c r="CJ48" s="15"/>
      <c r="CK48" s="10">
        <f t="shared" si="45"/>
        <v>0</v>
      </c>
      <c r="CL48" s="15"/>
      <c r="CM48" s="10">
        <f t="shared" si="46"/>
        <v>0</v>
      </c>
      <c r="CN48" s="15"/>
      <c r="CO48" s="10">
        <f t="shared" si="47"/>
        <v>0</v>
      </c>
      <c r="CP48" s="15"/>
      <c r="CQ48" s="10">
        <f t="shared" si="48"/>
        <v>0</v>
      </c>
      <c r="CR48" s="15"/>
      <c r="CS48" s="10">
        <f t="shared" si="49"/>
        <v>0</v>
      </c>
      <c r="CT48" s="15"/>
      <c r="CU48" s="10">
        <f t="shared" si="50"/>
        <v>0</v>
      </c>
      <c r="CV48" s="15"/>
      <c r="CW48" s="10">
        <f t="shared" si="51"/>
        <v>0</v>
      </c>
      <c r="CX48" s="15"/>
      <c r="CY48" s="10">
        <f t="shared" si="52"/>
        <v>0</v>
      </c>
      <c r="CZ48" s="15"/>
      <c r="DA48" s="10">
        <f t="shared" si="53"/>
        <v>0</v>
      </c>
      <c r="DB48" s="15"/>
      <c r="DC48" s="10">
        <f t="shared" si="54"/>
        <v>0</v>
      </c>
      <c r="DD48" s="15"/>
      <c r="DE48" s="10">
        <f t="shared" si="54"/>
        <v>0</v>
      </c>
      <c r="DF48" s="231">
        <f t="shared" si="55"/>
        <v>0</v>
      </c>
      <c r="DG48" s="230">
        <f t="shared" si="56"/>
        <v>0</v>
      </c>
      <c r="DH48" s="238"/>
      <c r="DI48" s="239"/>
      <c r="DJ48" s="15"/>
      <c r="DK48" s="239"/>
      <c r="DL48" s="238"/>
      <c r="DM48" s="239"/>
      <c r="DN48" s="238"/>
      <c r="DO48" s="239"/>
      <c r="DP48" s="238"/>
      <c r="DQ48" s="239"/>
      <c r="DR48" s="238"/>
      <c r="DS48" s="239"/>
      <c r="DT48" s="238"/>
      <c r="DU48" s="239"/>
      <c r="DV48" s="238"/>
      <c r="DW48" s="239"/>
      <c r="DX48" s="238"/>
      <c r="DY48" s="239"/>
      <c r="DZ48" s="238"/>
      <c r="EA48" s="239"/>
      <c r="EB48" s="238"/>
      <c r="EC48" s="239"/>
      <c r="ED48" s="238"/>
      <c r="EE48" s="239"/>
      <c r="EF48" s="240"/>
      <c r="EG48" s="239"/>
    </row>
    <row r="49" spans="1:137" ht="19.8">
      <c r="A49" s="7">
        <v>41</v>
      </c>
      <c r="B49" s="8" t="s">
        <v>50</v>
      </c>
      <c r="C49" s="8" t="s">
        <v>14</v>
      </c>
      <c r="D49" s="7">
        <f>RANK(DF49,$DF$4:$DF$147)</f>
        <v>31</v>
      </c>
      <c r="E49" s="7">
        <v>1</v>
      </c>
      <c r="F49" s="7" t="s">
        <v>12</v>
      </c>
      <c r="G49" s="7"/>
      <c r="H49" s="15"/>
      <c r="I49" s="10">
        <f t="shared" si="2"/>
        <v>0</v>
      </c>
      <c r="J49" s="15"/>
      <c r="K49" s="10">
        <f t="shared" si="3"/>
        <v>0</v>
      </c>
      <c r="L49" s="15"/>
      <c r="M49" s="10">
        <f t="shared" si="4"/>
        <v>0</v>
      </c>
      <c r="N49" s="15"/>
      <c r="O49" s="10">
        <f t="shared" si="5"/>
        <v>0</v>
      </c>
      <c r="P49" s="15"/>
      <c r="Q49" s="10">
        <f t="shared" si="6"/>
        <v>0</v>
      </c>
      <c r="R49" s="15"/>
      <c r="S49" s="10">
        <f t="shared" si="7"/>
        <v>0</v>
      </c>
      <c r="T49" s="15"/>
      <c r="U49" s="10">
        <f t="shared" si="8"/>
        <v>0</v>
      </c>
      <c r="V49" s="15"/>
      <c r="W49" s="10">
        <f t="shared" si="9"/>
        <v>0</v>
      </c>
      <c r="X49" s="15"/>
      <c r="Y49" s="10">
        <f t="shared" si="10"/>
        <v>0</v>
      </c>
      <c r="Z49" s="15"/>
      <c r="AA49" s="10">
        <f t="shared" si="11"/>
        <v>0</v>
      </c>
      <c r="AB49" s="15"/>
      <c r="AC49" s="10">
        <f t="shared" si="12"/>
        <v>0</v>
      </c>
      <c r="AD49" s="15"/>
      <c r="AE49" s="10">
        <f t="shared" si="13"/>
        <v>0</v>
      </c>
      <c r="AF49" s="11">
        <f t="shared" si="14"/>
        <v>0</v>
      </c>
      <c r="AG49" s="12">
        <f t="shared" si="15"/>
        <v>0</v>
      </c>
      <c r="AH49" s="15"/>
      <c r="AI49" s="10">
        <f t="shared" si="16"/>
        <v>0</v>
      </c>
      <c r="AJ49" s="15"/>
      <c r="AK49" s="10">
        <f t="shared" si="17"/>
        <v>0</v>
      </c>
      <c r="AL49" s="15"/>
      <c r="AM49" s="10">
        <f t="shared" si="18"/>
        <v>0</v>
      </c>
      <c r="AN49" s="15"/>
      <c r="AO49" s="10">
        <f t="shared" si="19"/>
        <v>0</v>
      </c>
      <c r="AP49" s="15"/>
      <c r="AQ49" s="10">
        <f t="shared" si="20"/>
        <v>0</v>
      </c>
      <c r="AR49" s="15"/>
      <c r="AS49" s="10">
        <f t="shared" si="21"/>
        <v>0</v>
      </c>
      <c r="AT49" s="15"/>
      <c r="AU49" s="10">
        <f t="shared" si="22"/>
        <v>0</v>
      </c>
      <c r="AV49" s="15"/>
      <c r="AW49" s="10">
        <f t="shared" si="23"/>
        <v>0</v>
      </c>
      <c r="AX49" s="15"/>
      <c r="AY49" s="10">
        <f t="shared" si="24"/>
        <v>0</v>
      </c>
      <c r="AZ49" s="15"/>
      <c r="BA49" s="10">
        <f t="shared" si="25"/>
        <v>0</v>
      </c>
      <c r="BB49" s="15"/>
      <c r="BC49" s="10">
        <f t="shared" si="26"/>
        <v>0</v>
      </c>
      <c r="BD49" s="15"/>
      <c r="BE49" s="10">
        <f t="shared" si="27"/>
        <v>0</v>
      </c>
      <c r="BF49" s="11">
        <f t="shared" si="28"/>
        <v>0</v>
      </c>
      <c r="BG49" s="12">
        <f t="shared" si="29"/>
        <v>0</v>
      </c>
      <c r="BH49" s="15"/>
      <c r="BI49" s="10">
        <f t="shared" si="30"/>
        <v>0</v>
      </c>
      <c r="BJ49" s="15"/>
      <c r="BK49" s="10">
        <f t="shared" si="31"/>
        <v>0</v>
      </c>
      <c r="BL49" s="15"/>
      <c r="BM49" s="10">
        <f t="shared" si="32"/>
        <v>0</v>
      </c>
      <c r="BN49" s="15"/>
      <c r="BO49" s="10">
        <f t="shared" si="33"/>
        <v>0</v>
      </c>
      <c r="BP49" s="15"/>
      <c r="BQ49" s="10">
        <f t="shared" si="34"/>
        <v>0</v>
      </c>
      <c r="BR49" s="15"/>
      <c r="BS49" s="10">
        <f t="shared" si="35"/>
        <v>0</v>
      </c>
      <c r="BT49" s="15"/>
      <c r="BU49" s="10">
        <f t="shared" si="36"/>
        <v>0</v>
      </c>
      <c r="BV49" s="15"/>
      <c r="BW49" s="10">
        <f t="shared" si="37"/>
        <v>0</v>
      </c>
      <c r="BX49" s="15"/>
      <c r="BY49" s="10">
        <f t="shared" si="38"/>
        <v>0</v>
      </c>
      <c r="BZ49" s="15"/>
      <c r="CA49" s="10">
        <f t="shared" si="39"/>
        <v>0</v>
      </c>
      <c r="CB49" s="15"/>
      <c r="CC49" s="10">
        <f t="shared" si="40"/>
        <v>0</v>
      </c>
      <c r="CD49" s="15"/>
      <c r="CE49" s="10">
        <f t="shared" si="41"/>
        <v>0</v>
      </c>
      <c r="CF49" s="11">
        <f t="shared" si="42"/>
        <v>0</v>
      </c>
      <c r="CG49" s="12">
        <f t="shared" si="43"/>
        <v>0</v>
      </c>
      <c r="CH49" s="15"/>
      <c r="CI49" s="10">
        <f t="shared" si="44"/>
        <v>0</v>
      </c>
      <c r="CJ49" s="15"/>
      <c r="CK49" s="10">
        <f t="shared" si="45"/>
        <v>0</v>
      </c>
      <c r="CL49" s="15"/>
      <c r="CM49" s="10">
        <f t="shared" si="46"/>
        <v>0</v>
      </c>
      <c r="CN49" s="15"/>
      <c r="CO49" s="10">
        <f t="shared" si="47"/>
        <v>0</v>
      </c>
      <c r="CP49" s="15"/>
      <c r="CQ49" s="10">
        <f t="shared" si="48"/>
        <v>0</v>
      </c>
      <c r="CR49" s="15"/>
      <c r="CS49" s="10">
        <f t="shared" si="49"/>
        <v>0</v>
      </c>
      <c r="CT49" s="15"/>
      <c r="CU49" s="10">
        <f t="shared" si="50"/>
        <v>0</v>
      </c>
      <c r="CV49" s="15"/>
      <c r="CW49" s="10">
        <f t="shared" si="51"/>
        <v>0</v>
      </c>
      <c r="CX49" s="15"/>
      <c r="CY49" s="10">
        <f t="shared" si="52"/>
        <v>0</v>
      </c>
      <c r="CZ49" s="15"/>
      <c r="DA49" s="10">
        <f t="shared" si="53"/>
        <v>0</v>
      </c>
      <c r="DB49" s="15"/>
      <c r="DC49" s="10">
        <f t="shared" si="54"/>
        <v>0</v>
      </c>
      <c r="DD49" s="15"/>
      <c r="DE49" s="10">
        <f t="shared" si="54"/>
        <v>0</v>
      </c>
      <c r="DF49" s="231">
        <f t="shared" si="55"/>
        <v>0</v>
      </c>
      <c r="DG49" s="230">
        <f t="shared" si="56"/>
        <v>0</v>
      </c>
      <c r="DH49" s="238"/>
      <c r="DI49" s="239">
        <f t="shared" ref="DI49:DI52" si="122">DH49*$E49</f>
        <v>0</v>
      </c>
      <c r="DJ49" s="15"/>
      <c r="DK49" s="239">
        <f t="shared" ref="DK49:DK52" si="123">DJ49*$E49</f>
        <v>0</v>
      </c>
      <c r="DL49" s="238"/>
      <c r="DM49" s="239">
        <f t="shared" ref="DM49:DM52" si="124">DL49*$E49</f>
        <v>0</v>
      </c>
      <c r="DN49" s="238"/>
      <c r="DO49" s="239">
        <f t="shared" ref="DO49:DO52" si="125">DN49*$E49</f>
        <v>0</v>
      </c>
      <c r="DP49" s="238"/>
      <c r="DQ49" s="239">
        <f t="shared" ref="DQ49:DQ52" si="126">DP49*$E49</f>
        <v>0</v>
      </c>
      <c r="DR49" s="238"/>
      <c r="DS49" s="239">
        <f t="shared" ref="DS49:DS52" si="127">DR49*$E49</f>
        <v>0</v>
      </c>
      <c r="DT49" s="238"/>
      <c r="DU49" s="239">
        <f t="shared" ref="DU49:DU52" si="128">DT49*$E49</f>
        <v>0</v>
      </c>
      <c r="DV49" s="238"/>
      <c r="DW49" s="239">
        <f t="shared" ref="DW49:DW52" si="129">DV49*$E49</f>
        <v>0</v>
      </c>
      <c r="DX49" s="238"/>
      <c r="DY49" s="239">
        <f t="shared" ref="DY49:DY52" si="130">DX49*$E49</f>
        <v>0</v>
      </c>
      <c r="DZ49" s="238"/>
      <c r="EA49" s="239">
        <f t="shared" ref="EA49:EA52" si="131">DZ49*$E49</f>
        <v>0</v>
      </c>
      <c r="EB49" s="238"/>
      <c r="EC49" s="239">
        <f t="shared" ref="EC49:EC52" si="132">EB49*$E49</f>
        <v>0</v>
      </c>
      <c r="ED49" s="238"/>
      <c r="EE49" s="239">
        <f t="shared" ref="EE49:EE52" si="133">ED49*$E49</f>
        <v>0</v>
      </c>
      <c r="EF49" s="240">
        <f t="shared" ref="EF49:EG52" si="134">SUM(DH49,DJ49,DL49,DN49,DP49,DR49,DT49,DV49,DX49,DZ49,EB49,ED49)</f>
        <v>0</v>
      </c>
      <c r="EG49" s="239">
        <f t="shared" si="134"/>
        <v>0</v>
      </c>
    </row>
    <row r="50" spans="1:137" ht="19.8">
      <c r="A50" s="7">
        <v>42</v>
      </c>
      <c r="B50" s="8" t="s">
        <v>50</v>
      </c>
      <c r="C50" s="8" t="s">
        <v>14</v>
      </c>
      <c r="D50" s="7">
        <f>RANK(DF50,$DF$4:$DF$147)</f>
        <v>31</v>
      </c>
      <c r="E50" s="7">
        <v>1</v>
      </c>
      <c r="F50" s="7" t="s">
        <v>20</v>
      </c>
      <c r="G50" s="7"/>
      <c r="H50" s="15"/>
      <c r="I50" s="10">
        <f t="shared" si="2"/>
        <v>0</v>
      </c>
      <c r="J50" s="15"/>
      <c r="K50" s="10">
        <f t="shared" si="3"/>
        <v>0</v>
      </c>
      <c r="L50" s="15"/>
      <c r="M50" s="10">
        <f t="shared" si="4"/>
        <v>0</v>
      </c>
      <c r="N50" s="15"/>
      <c r="O50" s="10">
        <f t="shared" si="5"/>
        <v>0</v>
      </c>
      <c r="P50" s="15"/>
      <c r="Q50" s="10">
        <f t="shared" si="6"/>
        <v>0</v>
      </c>
      <c r="R50" s="15"/>
      <c r="S50" s="10">
        <f t="shared" si="7"/>
        <v>0</v>
      </c>
      <c r="T50" s="15"/>
      <c r="U50" s="10">
        <f t="shared" si="8"/>
        <v>0</v>
      </c>
      <c r="V50" s="15"/>
      <c r="W50" s="10">
        <f t="shared" si="9"/>
        <v>0</v>
      </c>
      <c r="X50" s="15"/>
      <c r="Y50" s="10">
        <f t="shared" si="10"/>
        <v>0</v>
      </c>
      <c r="Z50" s="15"/>
      <c r="AA50" s="10">
        <f t="shared" si="11"/>
        <v>0</v>
      </c>
      <c r="AB50" s="15"/>
      <c r="AC50" s="10">
        <f t="shared" si="12"/>
        <v>0</v>
      </c>
      <c r="AD50" s="15"/>
      <c r="AE50" s="10">
        <f t="shared" si="13"/>
        <v>0</v>
      </c>
      <c r="AF50" s="11">
        <f t="shared" si="14"/>
        <v>0</v>
      </c>
      <c r="AG50" s="12">
        <f t="shared" si="15"/>
        <v>0</v>
      </c>
      <c r="AH50" s="15"/>
      <c r="AI50" s="10">
        <f t="shared" si="16"/>
        <v>0</v>
      </c>
      <c r="AJ50" s="15"/>
      <c r="AK50" s="10">
        <f t="shared" si="17"/>
        <v>0</v>
      </c>
      <c r="AL50" s="15"/>
      <c r="AM50" s="10">
        <f t="shared" si="18"/>
        <v>0</v>
      </c>
      <c r="AN50" s="15"/>
      <c r="AO50" s="10">
        <f t="shared" si="19"/>
        <v>0</v>
      </c>
      <c r="AP50" s="15"/>
      <c r="AQ50" s="10">
        <f t="shared" si="20"/>
        <v>0</v>
      </c>
      <c r="AR50" s="15"/>
      <c r="AS50" s="10">
        <f t="shared" si="21"/>
        <v>0</v>
      </c>
      <c r="AT50" s="15"/>
      <c r="AU50" s="10">
        <f t="shared" si="22"/>
        <v>0</v>
      </c>
      <c r="AV50" s="15"/>
      <c r="AW50" s="10">
        <f t="shared" si="23"/>
        <v>0</v>
      </c>
      <c r="AX50" s="15"/>
      <c r="AY50" s="10">
        <f t="shared" si="24"/>
        <v>0</v>
      </c>
      <c r="AZ50" s="15"/>
      <c r="BA50" s="10">
        <f t="shared" si="25"/>
        <v>0</v>
      </c>
      <c r="BB50" s="15"/>
      <c r="BC50" s="10">
        <f t="shared" si="26"/>
        <v>0</v>
      </c>
      <c r="BD50" s="15"/>
      <c r="BE50" s="10">
        <f t="shared" si="27"/>
        <v>0</v>
      </c>
      <c r="BF50" s="11">
        <f t="shared" si="28"/>
        <v>0</v>
      </c>
      <c r="BG50" s="12">
        <f t="shared" si="29"/>
        <v>0</v>
      </c>
      <c r="BH50" s="15"/>
      <c r="BI50" s="10">
        <f t="shared" si="30"/>
        <v>0</v>
      </c>
      <c r="BJ50" s="15"/>
      <c r="BK50" s="10">
        <f t="shared" si="31"/>
        <v>0</v>
      </c>
      <c r="BL50" s="15"/>
      <c r="BM50" s="10">
        <f t="shared" si="32"/>
        <v>0</v>
      </c>
      <c r="BN50" s="15"/>
      <c r="BO50" s="10">
        <f t="shared" si="33"/>
        <v>0</v>
      </c>
      <c r="BP50" s="15"/>
      <c r="BQ50" s="10">
        <f t="shared" si="34"/>
        <v>0</v>
      </c>
      <c r="BR50" s="15"/>
      <c r="BS50" s="10">
        <f t="shared" si="35"/>
        <v>0</v>
      </c>
      <c r="BT50" s="15"/>
      <c r="BU50" s="10">
        <f t="shared" si="36"/>
        <v>0</v>
      </c>
      <c r="BV50" s="15"/>
      <c r="BW50" s="10">
        <f t="shared" si="37"/>
        <v>0</v>
      </c>
      <c r="BX50" s="15"/>
      <c r="BY50" s="10">
        <f t="shared" si="38"/>
        <v>0</v>
      </c>
      <c r="BZ50" s="15"/>
      <c r="CA50" s="10">
        <f t="shared" si="39"/>
        <v>0</v>
      </c>
      <c r="CB50" s="15"/>
      <c r="CC50" s="10">
        <f t="shared" si="40"/>
        <v>0</v>
      </c>
      <c r="CD50" s="15"/>
      <c r="CE50" s="10">
        <f t="shared" si="41"/>
        <v>0</v>
      </c>
      <c r="CF50" s="11">
        <f t="shared" si="42"/>
        <v>0</v>
      </c>
      <c r="CG50" s="12">
        <f t="shared" si="43"/>
        <v>0</v>
      </c>
      <c r="CH50" s="15"/>
      <c r="CI50" s="10">
        <f t="shared" si="44"/>
        <v>0</v>
      </c>
      <c r="CJ50" s="15"/>
      <c r="CK50" s="10">
        <f t="shared" si="45"/>
        <v>0</v>
      </c>
      <c r="CL50" s="15"/>
      <c r="CM50" s="10">
        <f t="shared" si="46"/>
        <v>0</v>
      </c>
      <c r="CN50" s="15"/>
      <c r="CO50" s="10">
        <f t="shared" si="47"/>
        <v>0</v>
      </c>
      <c r="CP50" s="15"/>
      <c r="CQ50" s="10">
        <f t="shared" si="48"/>
        <v>0</v>
      </c>
      <c r="CR50" s="15"/>
      <c r="CS50" s="10">
        <f t="shared" si="49"/>
        <v>0</v>
      </c>
      <c r="CT50" s="15"/>
      <c r="CU50" s="10">
        <f t="shared" si="50"/>
        <v>0</v>
      </c>
      <c r="CV50" s="15"/>
      <c r="CW50" s="10">
        <f t="shared" si="51"/>
        <v>0</v>
      </c>
      <c r="CX50" s="15"/>
      <c r="CY50" s="10">
        <f t="shared" si="52"/>
        <v>0</v>
      </c>
      <c r="CZ50" s="15"/>
      <c r="DA50" s="10">
        <f t="shared" si="53"/>
        <v>0</v>
      </c>
      <c r="DB50" s="15"/>
      <c r="DC50" s="10">
        <f t="shared" si="54"/>
        <v>0</v>
      </c>
      <c r="DD50" s="15"/>
      <c r="DE50" s="10">
        <f t="shared" si="54"/>
        <v>0</v>
      </c>
      <c r="DF50" s="231">
        <f t="shared" si="55"/>
        <v>0</v>
      </c>
      <c r="DG50" s="230">
        <f t="shared" si="56"/>
        <v>0</v>
      </c>
      <c r="DH50" s="238"/>
      <c r="DI50" s="239">
        <f t="shared" si="122"/>
        <v>0</v>
      </c>
      <c r="DJ50" s="15"/>
      <c r="DK50" s="239">
        <f t="shared" si="123"/>
        <v>0</v>
      </c>
      <c r="DL50" s="238"/>
      <c r="DM50" s="239">
        <f t="shared" si="124"/>
        <v>0</v>
      </c>
      <c r="DN50" s="238"/>
      <c r="DO50" s="239">
        <f t="shared" si="125"/>
        <v>0</v>
      </c>
      <c r="DP50" s="238"/>
      <c r="DQ50" s="239">
        <f t="shared" si="126"/>
        <v>0</v>
      </c>
      <c r="DR50" s="238"/>
      <c r="DS50" s="239">
        <f t="shared" si="127"/>
        <v>0</v>
      </c>
      <c r="DT50" s="238"/>
      <c r="DU50" s="239">
        <f t="shared" si="128"/>
        <v>0</v>
      </c>
      <c r="DV50" s="238"/>
      <c r="DW50" s="239">
        <f t="shared" si="129"/>
        <v>0</v>
      </c>
      <c r="DX50" s="238"/>
      <c r="DY50" s="239">
        <f t="shared" si="130"/>
        <v>0</v>
      </c>
      <c r="DZ50" s="238"/>
      <c r="EA50" s="239">
        <f t="shared" si="131"/>
        <v>0</v>
      </c>
      <c r="EB50" s="238"/>
      <c r="EC50" s="239">
        <f t="shared" si="132"/>
        <v>0</v>
      </c>
      <c r="ED50" s="238"/>
      <c r="EE50" s="239">
        <f t="shared" si="133"/>
        <v>0</v>
      </c>
      <c r="EF50" s="240">
        <f t="shared" si="134"/>
        <v>0</v>
      </c>
      <c r="EG50" s="239">
        <f t="shared" si="134"/>
        <v>0</v>
      </c>
    </row>
    <row r="51" spans="1:137" ht="19.8">
      <c r="A51" s="7">
        <v>43</v>
      </c>
      <c r="B51" s="8" t="s">
        <v>51</v>
      </c>
      <c r="C51" s="8" t="s">
        <v>11</v>
      </c>
      <c r="D51" s="7">
        <f>RANK(DF51,$DF$4:$DF$147)</f>
        <v>31</v>
      </c>
      <c r="E51" s="7">
        <v>0.64</v>
      </c>
      <c r="F51" s="7" t="s">
        <v>22</v>
      </c>
      <c r="G51" s="7"/>
      <c r="H51" s="15"/>
      <c r="I51" s="10">
        <f t="shared" si="2"/>
        <v>0</v>
      </c>
      <c r="J51" s="15"/>
      <c r="K51" s="10">
        <f t="shared" si="3"/>
        <v>0</v>
      </c>
      <c r="L51" s="15"/>
      <c r="M51" s="10">
        <f t="shared" si="4"/>
        <v>0</v>
      </c>
      <c r="N51" s="15"/>
      <c r="O51" s="10">
        <f t="shared" si="5"/>
        <v>0</v>
      </c>
      <c r="P51" s="15"/>
      <c r="Q51" s="10">
        <f t="shared" si="6"/>
        <v>0</v>
      </c>
      <c r="R51" s="15"/>
      <c r="S51" s="10">
        <f t="shared" si="7"/>
        <v>0</v>
      </c>
      <c r="T51" s="15"/>
      <c r="U51" s="10">
        <f t="shared" si="8"/>
        <v>0</v>
      </c>
      <c r="V51" s="15"/>
      <c r="W51" s="10">
        <f t="shared" si="9"/>
        <v>0</v>
      </c>
      <c r="X51" s="15"/>
      <c r="Y51" s="10">
        <f t="shared" si="10"/>
        <v>0</v>
      </c>
      <c r="Z51" s="15"/>
      <c r="AA51" s="10">
        <f t="shared" si="11"/>
        <v>0</v>
      </c>
      <c r="AB51" s="15"/>
      <c r="AC51" s="10">
        <f t="shared" si="12"/>
        <v>0</v>
      </c>
      <c r="AD51" s="15"/>
      <c r="AE51" s="10">
        <f t="shared" si="13"/>
        <v>0</v>
      </c>
      <c r="AF51" s="11">
        <f t="shared" si="14"/>
        <v>0</v>
      </c>
      <c r="AG51" s="12">
        <f t="shared" si="15"/>
        <v>0</v>
      </c>
      <c r="AH51" s="15"/>
      <c r="AI51" s="10">
        <f t="shared" si="16"/>
        <v>0</v>
      </c>
      <c r="AJ51" s="15"/>
      <c r="AK51" s="10">
        <f t="shared" si="17"/>
        <v>0</v>
      </c>
      <c r="AL51" s="15"/>
      <c r="AM51" s="10">
        <f t="shared" si="18"/>
        <v>0</v>
      </c>
      <c r="AN51" s="15"/>
      <c r="AO51" s="10">
        <f t="shared" si="19"/>
        <v>0</v>
      </c>
      <c r="AP51" s="15"/>
      <c r="AQ51" s="10">
        <f t="shared" si="20"/>
        <v>0</v>
      </c>
      <c r="AR51" s="15"/>
      <c r="AS51" s="10">
        <f t="shared" si="21"/>
        <v>0</v>
      </c>
      <c r="AT51" s="15"/>
      <c r="AU51" s="10">
        <f t="shared" si="22"/>
        <v>0</v>
      </c>
      <c r="AV51" s="15"/>
      <c r="AW51" s="10">
        <f t="shared" si="23"/>
        <v>0</v>
      </c>
      <c r="AX51" s="15"/>
      <c r="AY51" s="10">
        <f t="shared" si="24"/>
        <v>0</v>
      </c>
      <c r="AZ51" s="15"/>
      <c r="BA51" s="10">
        <f t="shared" si="25"/>
        <v>0</v>
      </c>
      <c r="BB51" s="15"/>
      <c r="BC51" s="10">
        <f t="shared" si="26"/>
        <v>0</v>
      </c>
      <c r="BD51" s="15"/>
      <c r="BE51" s="10">
        <f t="shared" si="27"/>
        <v>0</v>
      </c>
      <c r="BF51" s="11">
        <f t="shared" si="28"/>
        <v>0</v>
      </c>
      <c r="BG51" s="12">
        <f t="shared" si="29"/>
        <v>0</v>
      </c>
      <c r="BH51" s="15"/>
      <c r="BI51" s="10">
        <f t="shared" si="30"/>
        <v>0</v>
      </c>
      <c r="BJ51" s="15"/>
      <c r="BK51" s="10">
        <f t="shared" si="31"/>
        <v>0</v>
      </c>
      <c r="BL51" s="15"/>
      <c r="BM51" s="10">
        <f t="shared" si="32"/>
        <v>0</v>
      </c>
      <c r="BN51" s="15"/>
      <c r="BO51" s="10">
        <f t="shared" si="33"/>
        <v>0</v>
      </c>
      <c r="BP51" s="15"/>
      <c r="BQ51" s="10">
        <f t="shared" si="34"/>
        <v>0</v>
      </c>
      <c r="BR51" s="15"/>
      <c r="BS51" s="10">
        <f t="shared" si="35"/>
        <v>0</v>
      </c>
      <c r="BT51" s="15"/>
      <c r="BU51" s="10">
        <f t="shared" si="36"/>
        <v>0</v>
      </c>
      <c r="BV51" s="15"/>
      <c r="BW51" s="10">
        <f t="shared" si="37"/>
        <v>0</v>
      </c>
      <c r="BX51" s="15"/>
      <c r="BY51" s="10">
        <f t="shared" si="38"/>
        <v>0</v>
      </c>
      <c r="BZ51" s="15"/>
      <c r="CA51" s="10">
        <f t="shared" si="39"/>
        <v>0</v>
      </c>
      <c r="CB51" s="15"/>
      <c r="CC51" s="10">
        <f t="shared" si="40"/>
        <v>0</v>
      </c>
      <c r="CD51" s="15"/>
      <c r="CE51" s="10">
        <f t="shared" si="41"/>
        <v>0</v>
      </c>
      <c r="CF51" s="11">
        <f t="shared" si="42"/>
        <v>0</v>
      </c>
      <c r="CG51" s="12">
        <f t="shared" si="43"/>
        <v>0</v>
      </c>
      <c r="CH51" s="15"/>
      <c r="CI51" s="10">
        <f t="shared" si="44"/>
        <v>0</v>
      </c>
      <c r="CJ51" s="15"/>
      <c r="CK51" s="10">
        <f t="shared" si="45"/>
        <v>0</v>
      </c>
      <c r="CL51" s="15"/>
      <c r="CM51" s="10">
        <f t="shared" si="46"/>
        <v>0</v>
      </c>
      <c r="CN51" s="15"/>
      <c r="CO51" s="10">
        <f t="shared" si="47"/>
        <v>0</v>
      </c>
      <c r="CP51" s="15"/>
      <c r="CQ51" s="10">
        <f t="shared" si="48"/>
        <v>0</v>
      </c>
      <c r="CR51" s="15"/>
      <c r="CS51" s="10">
        <f t="shared" si="49"/>
        <v>0</v>
      </c>
      <c r="CT51" s="15"/>
      <c r="CU51" s="10">
        <f t="shared" si="50"/>
        <v>0</v>
      </c>
      <c r="CV51" s="15"/>
      <c r="CW51" s="10">
        <f t="shared" si="51"/>
        <v>0</v>
      </c>
      <c r="CX51" s="15"/>
      <c r="CY51" s="10">
        <f t="shared" si="52"/>
        <v>0</v>
      </c>
      <c r="CZ51" s="15"/>
      <c r="DA51" s="10">
        <f t="shared" si="53"/>
        <v>0</v>
      </c>
      <c r="DB51" s="15"/>
      <c r="DC51" s="10">
        <f t="shared" si="54"/>
        <v>0</v>
      </c>
      <c r="DD51" s="15"/>
      <c r="DE51" s="10">
        <f t="shared" si="54"/>
        <v>0</v>
      </c>
      <c r="DF51" s="231">
        <f t="shared" si="55"/>
        <v>0</v>
      </c>
      <c r="DG51" s="230">
        <f t="shared" si="56"/>
        <v>0</v>
      </c>
      <c r="DH51" s="238"/>
      <c r="DI51" s="239">
        <f t="shared" si="122"/>
        <v>0</v>
      </c>
      <c r="DJ51" s="15"/>
      <c r="DK51" s="239">
        <f t="shared" si="123"/>
        <v>0</v>
      </c>
      <c r="DL51" s="238"/>
      <c r="DM51" s="239">
        <f t="shared" si="124"/>
        <v>0</v>
      </c>
      <c r="DN51" s="238"/>
      <c r="DO51" s="239">
        <f t="shared" si="125"/>
        <v>0</v>
      </c>
      <c r="DP51" s="238"/>
      <c r="DQ51" s="239">
        <f t="shared" si="126"/>
        <v>0</v>
      </c>
      <c r="DR51" s="238"/>
      <c r="DS51" s="239">
        <f t="shared" si="127"/>
        <v>0</v>
      </c>
      <c r="DT51" s="238"/>
      <c r="DU51" s="239">
        <f t="shared" si="128"/>
        <v>0</v>
      </c>
      <c r="DV51" s="238"/>
      <c r="DW51" s="239">
        <f t="shared" si="129"/>
        <v>0</v>
      </c>
      <c r="DX51" s="238"/>
      <c r="DY51" s="239">
        <f t="shared" si="130"/>
        <v>0</v>
      </c>
      <c r="DZ51" s="238"/>
      <c r="EA51" s="239">
        <f t="shared" si="131"/>
        <v>0</v>
      </c>
      <c r="EB51" s="238"/>
      <c r="EC51" s="239">
        <f t="shared" si="132"/>
        <v>0</v>
      </c>
      <c r="ED51" s="238"/>
      <c r="EE51" s="239">
        <f t="shared" si="133"/>
        <v>0</v>
      </c>
      <c r="EF51" s="240">
        <f t="shared" si="134"/>
        <v>0</v>
      </c>
      <c r="EG51" s="239">
        <f t="shared" si="134"/>
        <v>0</v>
      </c>
    </row>
    <row r="52" spans="1:137" ht="19.8">
      <c r="A52" s="7">
        <v>44</v>
      </c>
      <c r="B52" s="8" t="s">
        <v>51</v>
      </c>
      <c r="C52" s="8" t="s">
        <v>11</v>
      </c>
      <c r="D52" s="7">
        <f>RANK(DF52,$DF$4:$DF$147)</f>
        <v>31</v>
      </c>
      <c r="E52" s="7">
        <v>0.64</v>
      </c>
      <c r="F52" s="7" t="s">
        <v>20</v>
      </c>
      <c r="G52" s="7"/>
      <c r="H52" s="15"/>
      <c r="I52" s="10">
        <f t="shared" si="2"/>
        <v>0</v>
      </c>
      <c r="J52" s="15"/>
      <c r="K52" s="10">
        <f t="shared" si="3"/>
        <v>0</v>
      </c>
      <c r="L52" s="15"/>
      <c r="M52" s="10">
        <f t="shared" si="4"/>
        <v>0</v>
      </c>
      <c r="N52" s="15"/>
      <c r="O52" s="10">
        <f t="shared" si="5"/>
        <v>0</v>
      </c>
      <c r="P52" s="15"/>
      <c r="Q52" s="10">
        <f t="shared" si="6"/>
        <v>0</v>
      </c>
      <c r="R52" s="15"/>
      <c r="S52" s="10">
        <f t="shared" si="7"/>
        <v>0</v>
      </c>
      <c r="T52" s="15"/>
      <c r="U52" s="10">
        <f t="shared" si="8"/>
        <v>0</v>
      </c>
      <c r="V52" s="15"/>
      <c r="W52" s="10">
        <f t="shared" si="9"/>
        <v>0</v>
      </c>
      <c r="X52" s="15"/>
      <c r="Y52" s="10">
        <f t="shared" si="10"/>
        <v>0</v>
      </c>
      <c r="Z52" s="15"/>
      <c r="AA52" s="10">
        <f t="shared" si="11"/>
        <v>0</v>
      </c>
      <c r="AB52" s="15"/>
      <c r="AC52" s="10">
        <f t="shared" si="12"/>
        <v>0</v>
      </c>
      <c r="AD52" s="15"/>
      <c r="AE52" s="10">
        <f t="shared" si="13"/>
        <v>0</v>
      </c>
      <c r="AF52" s="11">
        <f t="shared" si="14"/>
        <v>0</v>
      </c>
      <c r="AG52" s="12">
        <f t="shared" si="15"/>
        <v>0</v>
      </c>
      <c r="AH52" s="15"/>
      <c r="AI52" s="10">
        <f t="shared" si="16"/>
        <v>0</v>
      </c>
      <c r="AJ52" s="15"/>
      <c r="AK52" s="10">
        <f t="shared" si="17"/>
        <v>0</v>
      </c>
      <c r="AL52" s="15"/>
      <c r="AM52" s="10">
        <f t="shared" si="18"/>
        <v>0</v>
      </c>
      <c r="AN52" s="15"/>
      <c r="AO52" s="10">
        <f t="shared" si="19"/>
        <v>0</v>
      </c>
      <c r="AP52" s="15"/>
      <c r="AQ52" s="10">
        <f t="shared" si="20"/>
        <v>0</v>
      </c>
      <c r="AR52" s="15"/>
      <c r="AS52" s="10">
        <f t="shared" si="21"/>
        <v>0</v>
      </c>
      <c r="AT52" s="15"/>
      <c r="AU52" s="10">
        <f t="shared" si="22"/>
        <v>0</v>
      </c>
      <c r="AV52" s="15"/>
      <c r="AW52" s="10">
        <f t="shared" si="23"/>
        <v>0</v>
      </c>
      <c r="AX52" s="15"/>
      <c r="AY52" s="10">
        <f t="shared" si="24"/>
        <v>0</v>
      </c>
      <c r="AZ52" s="15"/>
      <c r="BA52" s="10">
        <f t="shared" si="25"/>
        <v>0</v>
      </c>
      <c r="BB52" s="15"/>
      <c r="BC52" s="10">
        <f t="shared" si="26"/>
        <v>0</v>
      </c>
      <c r="BD52" s="15"/>
      <c r="BE52" s="10">
        <f t="shared" si="27"/>
        <v>0</v>
      </c>
      <c r="BF52" s="11">
        <f t="shared" si="28"/>
        <v>0</v>
      </c>
      <c r="BG52" s="12">
        <f t="shared" si="29"/>
        <v>0</v>
      </c>
      <c r="BH52" s="15"/>
      <c r="BI52" s="10">
        <f t="shared" si="30"/>
        <v>0</v>
      </c>
      <c r="BJ52" s="15"/>
      <c r="BK52" s="10">
        <f t="shared" si="31"/>
        <v>0</v>
      </c>
      <c r="BL52" s="15"/>
      <c r="BM52" s="10">
        <f t="shared" si="32"/>
        <v>0</v>
      </c>
      <c r="BN52" s="15"/>
      <c r="BO52" s="10">
        <f t="shared" si="33"/>
        <v>0</v>
      </c>
      <c r="BP52" s="15"/>
      <c r="BQ52" s="10">
        <f t="shared" si="34"/>
        <v>0</v>
      </c>
      <c r="BR52" s="15"/>
      <c r="BS52" s="10">
        <f t="shared" si="35"/>
        <v>0</v>
      </c>
      <c r="BT52" s="15"/>
      <c r="BU52" s="10">
        <f t="shared" si="36"/>
        <v>0</v>
      </c>
      <c r="BV52" s="15"/>
      <c r="BW52" s="10">
        <f t="shared" si="37"/>
        <v>0</v>
      </c>
      <c r="BX52" s="15"/>
      <c r="BY52" s="10">
        <f t="shared" si="38"/>
        <v>0</v>
      </c>
      <c r="BZ52" s="15"/>
      <c r="CA52" s="10">
        <f t="shared" si="39"/>
        <v>0</v>
      </c>
      <c r="CB52" s="15"/>
      <c r="CC52" s="10">
        <f t="shared" si="40"/>
        <v>0</v>
      </c>
      <c r="CD52" s="15"/>
      <c r="CE52" s="10">
        <f t="shared" si="41"/>
        <v>0</v>
      </c>
      <c r="CF52" s="11">
        <f t="shared" si="42"/>
        <v>0</v>
      </c>
      <c r="CG52" s="12">
        <f t="shared" si="43"/>
        <v>0</v>
      </c>
      <c r="CH52" s="15"/>
      <c r="CI52" s="10">
        <f t="shared" si="44"/>
        <v>0</v>
      </c>
      <c r="CJ52" s="15"/>
      <c r="CK52" s="10">
        <f t="shared" si="45"/>
        <v>0</v>
      </c>
      <c r="CL52" s="15"/>
      <c r="CM52" s="10">
        <f t="shared" si="46"/>
        <v>0</v>
      </c>
      <c r="CN52" s="15"/>
      <c r="CO52" s="10">
        <f t="shared" si="47"/>
        <v>0</v>
      </c>
      <c r="CP52" s="15"/>
      <c r="CQ52" s="10">
        <f t="shared" si="48"/>
        <v>0</v>
      </c>
      <c r="CR52" s="15"/>
      <c r="CS52" s="10">
        <f t="shared" si="49"/>
        <v>0</v>
      </c>
      <c r="CT52" s="15"/>
      <c r="CU52" s="10">
        <f t="shared" si="50"/>
        <v>0</v>
      </c>
      <c r="CV52" s="15"/>
      <c r="CW52" s="10">
        <f t="shared" si="51"/>
        <v>0</v>
      </c>
      <c r="CX52" s="15"/>
      <c r="CY52" s="10">
        <f t="shared" si="52"/>
        <v>0</v>
      </c>
      <c r="CZ52" s="15"/>
      <c r="DA52" s="10">
        <f t="shared" si="53"/>
        <v>0</v>
      </c>
      <c r="DB52" s="15"/>
      <c r="DC52" s="10">
        <f t="shared" si="54"/>
        <v>0</v>
      </c>
      <c r="DD52" s="15"/>
      <c r="DE52" s="10">
        <f t="shared" si="54"/>
        <v>0</v>
      </c>
      <c r="DF52" s="231">
        <f t="shared" si="55"/>
        <v>0</v>
      </c>
      <c r="DG52" s="230">
        <f t="shared" si="56"/>
        <v>0</v>
      </c>
      <c r="DH52" s="238"/>
      <c r="DI52" s="239">
        <f t="shared" si="122"/>
        <v>0</v>
      </c>
      <c r="DJ52" s="15"/>
      <c r="DK52" s="239">
        <f t="shared" si="123"/>
        <v>0</v>
      </c>
      <c r="DL52" s="238"/>
      <c r="DM52" s="239">
        <f t="shared" si="124"/>
        <v>0</v>
      </c>
      <c r="DN52" s="238"/>
      <c r="DO52" s="239">
        <f t="shared" si="125"/>
        <v>0</v>
      </c>
      <c r="DP52" s="238"/>
      <c r="DQ52" s="239">
        <f t="shared" si="126"/>
        <v>0</v>
      </c>
      <c r="DR52" s="238"/>
      <c r="DS52" s="239">
        <f t="shared" si="127"/>
        <v>0</v>
      </c>
      <c r="DT52" s="238"/>
      <c r="DU52" s="239">
        <f t="shared" si="128"/>
        <v>0</v>
      </c>
      <c r="DV52" s="238"/>
      <c r="DW52" s="239">
        <f t="shared" si="129"/>
        <v>0</v>
      </c>
      <c r="DX52" s="238"/>
      <c r="DY52" s="239">
        <f t="shared" si="130"/>
        <v>0</v>
      </c>
      <c r="DZ52" s="238"/>
      <c r="EA52" s="239">
        <f t="shared" si="131"/>
        <v>0</v>
      </c>
      <c r="EB52" s="238"/>
      <c r="EC52" s="239">
        <f t="shared" si="132"/>
        <v>0</v>
      </c>
      <c r="ED52" s="238"/>
      <c r="EE52" s="239">
        <f t="shared" si="133"/>
        <v>0</v>
      </c>
      <c r="EF52" s="240">
        <f t="shared" si="134"/>
        <v>0</v>
      </c>
      <c r="EG52" s="239">
        <f t="shared" si="134"/>
        <v>0</v>
      </c>
    </row>
    <row r="53" spans="1:137" ht="19.8">
      <c r="A53" s="7"/>
      <c r="B53" s="8"/>
      <c r="C53" s="8"/>
      <c r="D53" s="7"/>
      <c r="E53" s="7"/>
      <c r="F53" s="7"/>
      <c r="G53" s="7"/>
      <c r="H53" s="15"/>
      <c r="I53" s="10">
        <f t="shared" si="2"/>
        <v>0</v>
      </c>
      <c r="J53" s="15"/>
      <c r="K53" s="10">
        <f t="shared" si="3"/>
        <v>0</v>
      </c>
      <c r="L53" s="15"/>
      <c r="M53" s="10">
        <f t="shared" si="4"/>
        <v>0</v>
      </c>
      <c r="N53" s="15"/>
      <c r="O53" s="10">
        <f t="shared" si="5"/>
        <v>0</v>
      </c>
      <c r="P53" s="15"/>
      <c r="Q53" s="10">
        <f t="shared" si="6"/>
        <v>0</v>
      </c>
      <c r="R53" s="15"/>
      <c r="S53" s="10">
        <f t="shared" si="7"/>
        <v>0</v>
      </c>
      <c r="T53" s="15"/>
      <c r="U53" s="10">
        <f t="shared" si="8"/>
        <v>0</v>
      </c>
      <c r="V53" s="15"/>
      <c r="W53" s="10">
        <f t="shared" si="9"/>
        <v>0</v>
      </c>
      <c r="X53" s="15"/>
      <c r="Y53" s="10">
        <f t="shared" si="10"/>
        <v>0</v>
      </c>
      <c r="Z53" s="15"/>
      <c r="AA53" s="10">
        <f t="shared" si="11"/>
        <v>0</v>
      </c>
      <c r="AB53" s="15"/>
      <c r="AC53" s="10">
        <f t="shared" si="12"/>
        <v>0</v>
      </c>
      <c r="AD53" s="15"/>
      <c r="AE53" s="10">
        <f t="shared" si="13"/>
        <v>0</v>
      </c>
      <c r="AF53" s="11">
        <f t="shared" si="14"/>
        <v>0</v>
      </c>
      <c r="AG53" s="12">
        <f t="shared" si="15"/>
        <v>0</v>
      </c>
      <c r="AH53" s="15"/>
      <c r="AI53" s="10">
        <f t="shared" si="16"/>
        <v>0</v>
      </c>
      <c r="AJ53" s="15"/>
      <c r="AK53" s="10">
        <f t="shared" si="17"/>
        <v>0</v>
      </c>
      <c r="AL53" s="15"/>
      <c r="AM53" s="10">
        <f t="shared" si="18"/>
        <v>0</v>
      </c>
      <c r="AN53" s="15"/>
      <c r="AO53" s="10">
        <f t="shared" si="19"/>
        <v>0</v>
      </c>
      <c r="AP53" s="15"/>
      <c r="AQ53" s="10">
        <f t="shared" si="20"/>
        <v>0</v>
      </c>
      <c r="AR53" s="15"/>
      <c r="AS53" s="10">
        <f t="shared" si="21"/>
        <v>0</v>
      </c>
      <c r="AT53" s="15"/>
      <c r="AU53" s="10">
        <f t="shared" si="22"/>
        <v>0</v>
      </c>
      <c r="AV53" s="15"/>
      <c r="AW53" s="10">
        <f t="shared" si="23"/>
        <v>0</v>
      </c>
      <c r="AX53" s="15"/>
      <c r="AY53" s="10">
        <f t="shared" si="24"/>
        <v>0</v>
      </c>
      <c r="AZ53" s="15"/>
      <c r="BA53" s="10">
        <f t="shared" si="25"/>
        <v>0</v>
      </c>
      <c r="BB53" s="15"/>
      <c r="BC53" s="10">
        <f t="shared" si="26"/>
        <v>0</v>
      </c>
      <c r="BD53" s="15"/>
      <c r="BE53" s="10">
        <f t="shared" si="27"/>
        <v>0</v>
      </c>
      <c r="BF53" s="11">
        <f t="shared" si="28"/>
        <v>0</v>
      </c>
      <c r="BG53" s="12">
        <f t="shared" si="29"/>
        <v>0</v>
      </c>
      <c r="BH53" s="15"/>
      <c r="BI53" s="10">
        <f t="shared" si="30"/>
        <v>0</v>
      </c>
      <c r="BJ53" s="15"/>
      <c r="BK53" s="10">
        <f t="shared" si="31"/>
        <v>0</v>
      </c>
      <c r="BL53" s="15"/>
      <c r="BM53" s="10">
        <f t="shared" si="32"/>
        <v>0</v>
      </c>
      <c r="BN53" s="15"/>
      <c r="BO53" s="10">
        <f t="shared" si="33"/>
        <v>0</v>
      </c>
      <c r="BP53" s="15"/>
      <c r="BQ53" s="10">
        <f t="shared" si="34"/>
        <v>0</v>
      </c>
      <c r="BR53" s="15"/>
      <c r="BS53" s="10">
        <f t="shared" si="35"/>
        <v>0</v>
      </c>
      <c r="BT53" s="15"/>
      <c r="BU53" s="10">
        <f t="shared" si="36"/>
        <v>0</v>
      </c>
      <c r="BV53" s="15"/>
      <c r="BW53" s="10">
        <f t="shared" si="37"/>
        <v>0</v>
      </c>
      <c r="BX53" s="15"/>
      <c r="BY53" s="10">
        <f t="shared" si="38"/>
        <v>0</v>
      </c>
      <c r="BZ53" s="15"/>
      <c r="CA53" s="10">
        <f t="shared" si="39"/>
        <v>0</v>
      </c>
      <c r="CB53" s="15"/>
      <c r="CC53" s="10">
        <f t="shared" si="40"/>
        <v>0</v>
      </c>
      <c r="CD53" s="15"/>
      <c r="CE53" s="10">
        <f t="shared" si="41"/>
        <v>0</v>
      </c>
      <c r="CF53" s="11">
        <f t="shared" si="42"/>
        <v>0</v>
      </c>
      <c r="CG53" s="12">
        <f t="shared" si="43"/>
        <v>0</v>
      </c>
      <c r="CH53" s="15"/>
      <c r="CI53" s="10">
        <f t="shared" si="44"/>
        <v>0</v>
      </c>
      <c r="CJ53" s="15"/>
      <c r="CK53" s="10">
        <f t="shared" si="45"/>
        <v>0</v>
      </c>
      <c r="CL53" s="15"/>
      <c r="CM53" s="10">
        <f t="shared" si="46"/>
        <v>0</v>
      </c>
      <c r="CN53" s="15"/>
      <c r="CO53" s="10">
        <f t="shared" si="47"/>
        <v>0</v>
      </c>
      <c r="CP53" s="15"/>
      <c r="CQ53" s="10">
        <f t="shared" si="48"/>
        <v>0</v>
      </c>
      <c r="CR53" s="15"/>
      <c r="CS53" s="10">
        <f t="shared" si="49"/>
        <v>0</v>
      </c>
      <c r="CT53" s="15"/>
      <c r="CU53" s="10">
        <f t="shared" si="50"/>
        <v>0</v>
      </c>
      <c r="CV53" s="15"/>
      <c r="CW53" s="10">
        <f t="shared" si="51"/>
        <v>0</v>
      </c>
      <c r="CX53" s="15"/>
      <c r="CY53" s="10">
        <f t="shared" si="52"/>
        <v>0</v>
      </c>
      <c r="CZ53" s="15"/>
      <c r="DA53" s="10">
        <f t="shared" si="53"/>
        <v>0</v>
      </c>
      <c r="DB53" s="15"/>
      <c r="DC53" s="10">
        <f t="shared" si="54"/>
        <v>0</v>
      </c>
      <c r="DD53" s="15"/>
      <c r="DE53" s="10">
        <f t="shared" si="54"/>
        <v>0</v>
      </c>
      <c r="DF53" s="231">
        <f t="shared" si="55"/>
        <v>0</v>
      </c>
      <c r="DG53" s="230">
        <f t="shared" si="56"/>
        <v>0</v>
      </c>
      <c r="DH53" s="238"/>
      <c r="DI53" s="239"/>
      <c r="DJ53" s="15"/>
      <c r="DK53" s="239"/>
      <c r="DL53" s="238"/>
      <c r="DM53" s="239"/>
      <c r="DN53" s="238"/>
      <c r="DO53" s="239"/>
      <c r="DP53" s="238"/>
      <c r="DQ53" s="239"/>
      <c r="DR53" s="238"/>
      <c r="DS53" s="239"/>
      <c r="DT53" s="238"/>
      <c r="DU53" s="239"/>
      <c r="DV53" s="238"/>
      <c r="DW53" s="239"/>
      <c r="DX53" s="238"/>
      <c r="DY53" s="239"/>
      <c r="DZ53" s="238"/>
      <c r="EA53" s="239"/>
      <c r="EB53" s="238"/>
      <c r="EC53" s="239"/>
      <c r="ED53" s="238"/>
      <c r="EE53" s="239"/>
      <c r="EF53" s="240"/>
      <c r="EG53" s="239"/>
    </row>
    <row r="54" spans="1:137" ht="19.8">
      <c r="A54" s="7"/>
      <c r="B54" s="8"/>
      <c r="C54" s="8"/>
      <c r="D54" s="7"/>
      <c r="E54" s="7"/>
      <c r="F54" s="7"/>
      <c r="G54" s="7"/>
      <c r="H54" s="15"/>
      <c r="I54" s="10">
        <f t="shared" si="2"/>
        <v>0</v>
      </c>
      <c r="J54" s="15"/>
      <c r="K54" s="10">
        <f t="shared" si="3"/>
        <v>0</v>
      </c>
      <c r="L54" s="15"/>
      <c r="M54" s="10">
        <f t="shared" si="4"/>
        <v>0</v>
      </c>
      <c r="N54" s="15"/>
      <c r="O54" s="10">
        <f t="shared" si="5"/>
        <v>0</v>
      </c>
      <c r="P54" s="15"/>
      <c r="Q54" s="10">
        <f t="shared" si="6"/>
        <v>0</v>
      </c>
      <c r="R54" s="15"/>
      <c r="S54" s="10">
        <f t="shared" si="7"/>
        <v>0</v>
      </c>
      <c r="T54" s="15"/>
      <c r="U54" s="10">
        <f t="shared" si="8"/>
        <v>0</v>
      </c>
      <c r="V54" s="15"/>
      <c r="W54" s="10">
        <f t="shared" si="9"/>
        <v>0</v>
      </c>
      <c r="X54" s="15"/>
      <c r="Y54" s="10">
        <f t="shared" si="10"/>
        <v>0</v>
      </c>
      <c r="Z54" s="15"/>
      <c r="AA54" s="10">
        <f t="shared" si="11"/>
        <v>0</v>
      </c>
      <c r="AB54" s="15"/>
      <c r="AC54" s="10">
        <f t="shared" si="12"/>
        <v>0</v>
      </c>
      <c r="AD54" s="15"/>
      <c r="AE54" s="10">
        <f t="shared" si="13"/>
        <v>0</v>
      </c>
      <c r="AF54" s="11">
        <f t="shared" si="14"/>
        <v>0</v>
      </c>
      <c r="AG54" s="12">
        <f t="shared" si="15"/>
        <v>0</v>
      </c>
      <c r="AH54" s="15"/>
      <c r="AI54" s="10">
        <f t="shared" si="16"/>
        <v>0</v>
      </c>
      <c r="AJ54" s="15"/>
      <c r="AK54" s="10">
        <f t="shared" si="17"/>
        <v>0</v>
      </c>
      <c r="AL54" s="15"/>
      <c r="AM54" s="10">
        <f t="shared" si="18"/>
        <v>0</v>
      </c>
      <c r="AN54" s="15"/>
      <c r="AO54" s="10">
        <f t="shared" si="19"/>
        <v>0</v>
      </c>
      <c r="AP54" s="15"/>
      <c r="AQ54" s="10">
        <f t="shared" si="20"/>
        <v>0</v>
      </c>
      <c r="AR54" s="15"/>
      <c r="AS54" s="10">
        <f t="shared" si="21"/>
        <v>0</v>
      </c>
      <c r="AT54" s="15"/>
      <c r="AU54" s="10">
        <f t="shared" si="22"/>
        <v>0</v>
      </c>
      <c r="AV54" s="15"/>
      <c r="AW54" s="10">
        <f t="shared" si="23"/>
        <v>0</v>
      </c>
      <c r="AX54" s="15"/>
      <c r="AY54" s="10">
        <f t="shared" si="24"/>
        <v>0</v>
      </c>
      <c r="AZ54" s="15"/>
      <c r="BA54" s="10">
        <f t="shared" si="25"/>
        <v>0</v>
      </c>
      <c r="BB54" s="15"/>
      <c r="BC54" s="10">
        <f t="shared" si="26"/>
        <v>0</v>
      </c>
      <c r="BD54" s="15"/>
      <c r="BE54" s="10">
        <f t="shared" si="27"/>
        <v>0</v>
      </c>
      <c r="BF54" s="11">
        <f t="shared" si="28"/>
        <v>0</v>
      </c>
      <c r="BG54" s="12">
        <f t="shared" si="29"/>
        <v>0</v>
      </c>
      <c r="BH54" s="15"/>
      <c r="BI54" s="10">
        <f t="shared" si="30"/>
        <v>0</v>
      </c>
      <c r="BJ54" s="15"/>
      <c r="BK54" s="10">
        <f t="shared" si="31"/>
        <v>0</v>
      </c>
      <c r="BL54" s="15"/>
      <c r="BM54" s="10">
        <f t="shared" si="32"/>
        <v>0</v>
      </c>
      <c r="BN54" s="15"/>
      <c r="BO54" s="10">
        <f t="shared" si="33"/>
        <v>0</v>
      </c>
      <c r="BP54" s="15"/>
      <c r="BQ54" s="10">
        <f t="shared" si="34"/>
        <v>0</v>
      </c>
      <c r="BR54" s="15"/>
      <c r="BS54" s="10">
        <f t="shared" si="35"/>
        <v>0</v>
      </c>
      <c r="BT54" s="15"/>
      <c r="BU54" s="10">
        <f t="shared" si="36"/>
        <v>0</v>
      </c>
      <c r="BV54" s="15"/>
      <c r="BW54" s="10">
        <f t="shared" si="37"/>
        <v>0</v>
      </c>
      <c r="BX54" s="15"/>
      <c r="BY54" s="10">
        <f t="shared" si="38"/>
        <v>0</v>
      </c>
      <c r="BZ54" s="15"/>
      <c r="CA54" s="10">
        <f t="shared" si="39"/>
        <v>0</v>
      </c>
      <c r="CB54" s="15"/>
      <c r="CC54" s="10">
        <f t="shared" si="40"/>
        <v>0</v>
      </c>
      <c r="CD54" s="15"/>
      <c r="CE54" s="10">
        <f t="shared" si="41"/>
        <v>0</v>
      </c>
      <c r="CF54" s="11">
        <f t="shared" si="42"/>
        <v>0</v>
      </c>
      <c r="CG54" s="12">
        <f t="shared" si="43"/>
        <v>0</v>
      </c>
      <c r="CH54" s="15"/>
      <c r="CI54" s="10">
        <f t="shared" si="44"/>
        <v>0</v>
      </c>
      <c r="CJ54" s="15"/>
      <c r="CK54" s="10">
        <f t="shared" si="45"/>
        <v>0</v>
      </c>
      <c r="CL54" s="15"/>
      <c r="CM54" s="10">
        <f t="shared" si="46"/>
        <v>0</v>
      </c>
      <c r="CN54" s="15"/>
      <c r="CO54" s="10">
        <f t="shared" si="47"/>
        <v>0</v>
      </c>
      <c r="CP54" s="15"/>
      <c r="CQ54" s="10">
        <f t="shared" si="48"/>
        <v>0</v>
      </c>
      <c r="CR54" s="15"/>
      <c r="CS54" s="10">
        <f t="shared" si="49"/>
        <v>0</v>
      </c>
      <c r="CT54" s="15"/>
      <c r="CU54" s="10">
        <f t="shared" si="50"/>
        <v>0</v>
      </c>
      <c r="CV54" s="15"/>
      <c r="CW54" s="10">
        <f t="shared" si="51"/>
        <v>0</v>
      </c>
      <c r="CX54" s="15"/>
      <c r="CY54" s="10">
        <f t="shared" si="52"/>
        <v>0</v>
      </c>
      <c r="CZ54" s="15"/>
      <c r="DA54" s="10">
        <f t="shared" si="53"/>
        <v>0</v>
      </c>
      <c r="DB54" s="15"/>
      <c r="DC54" s="10">
        <f t="shared" si="54"/>
        <v>0</v>
      </c>
      <c r="DD54" s="15"/>
      <c r="DE54" s="10">
        <f t="shared" si="54"/>
        <v>0</v>
      </c>
      <c r="DF54" s="231">
        <f t="shared" si="55"/>
        <v>0</v>
      </c>
      <c r="DG54" s="230">
        <f t="shared" si="56"/>
        <v>0</v>
      </c>
      <c r="DH54" s="238"/>
      <c r="DI54" s="239"/>
      <c r="DJ54" s="15"/>
      <c r="DK54" s="239"/>
      <c r="DL54" s="238"/>
      <c r="DM54" s="239"/>
      <c r="DN54" s="238"/>
      <c r="DO54" s="239"/>
      <c r="DP54" s="238"/>
      <c r="DQ54" s="239"/>
      <c r="DR54" s="238"/>
      <c r="DS54" s="239"/>
      <c r="DT54" s="238"/>
      <c r="DU54" s="239"/>
      <c r="DV54" s="238"/>
      <c r="DW54" s="239"/>
      <c r="DX54" s="238"/>
      <c r="DY54" s="239"/>
      <c r="DZ54" s="238"/>
      <c r="EA54" s="239"/>
      <c r="EB54" s="238"/>
      <c r="EC54" s="239"/>
      <c r="ED54" s="238"/>
      <c r="EE54" s="239"/>
      <c r="EF54" s="240"/>
      <c r="EG54" s="239"/>
    </row>
    <row r="55" spans="1:137" ht="19.8">
      <c r="A55" s="7">
        <v>45</v>
      </c>
      <c r="B55" s="8" t="s">
        <v>52</v>
      </c>
      <c r="C55" s="8" t="s">
        <v>14</v>
      </c>
      <c r="D55" s="7">
        <f>RANK(DF55,$DF$4:$DF$147)</f>
        <v>31</v>
      </c>
      <c r="E55" s="7">
        <v>1</v>
      </c>
      <c r="F55" s="7" t="s">
        <v>12</v>
      </c>
      <c r="G55" s="7"/>
      <c r="H55" s="15"/>
      <c r="I55" s="10">
        <f t="shared" si="2"/>
        <v>0</v>
      </c>
      <c r="J55" s="15"/>
      <c r="K55" s="10">
        <f t="shared" si="3"/>
        <v>0</v>
      </c>
      <c r="L55" s="15"/>
      <c r="M55" s="10">
        <f t="shared" si="4"/>
        <v>0</v>
      </c>
      <c r="N55" s="15"/>
      <c r="O55" s="10">
        <f t="shared" si="5"/>
        <v>0</v>
      </c>
      <c r="P55" s="15"/>
      <c r="Q55" s="10">
        <f t="shared" si="6"/>
        <v>0</v>
      </c>
      <c r="R55" s="15"/>
      <c r="S55" s="10">
        <f t="shared" si="7"/>
        <v>0</v>
      </c>
      <c r="T55" s="15"/>
      <c r="U55" s="10">
        <f t="shared" si="8"/>
        <v>0</v>
      </c>
      <c r="V55" s="15"/>
      <c r="W55" s="10">
        <f t="shared" si="9"/>
        <v>0</v>
      </c>
      <c r="X55" s="15"/>
      <c r="Y55" s="10">
        <f t="shared" si="10"/>
        <v>0</v>
      </c>
      <c r="Z55" s="15"/>
      <c r="AA55" s="10">
        <f t="shared" si="11"/>
        <v>0</v>
      </c>
      <c r="AB55" s="15"/>
      <c r="AC55" s="10">
        <f t="shared" si="12"/>
        <v>0</v>
      </c>
      <c r="AD55" s="15"/>
      <c r="AE55" s="10">
        <f t="shared" si="13"/>
        <v>0</v>
      </c>
      <c r="AF55" s="11">
        <f t="shared" si="14"/>
        <v>0</v>
      </c>
      <c r="AG55" s="12">
        <f t="shared" si="15"/>
        <v>0</v>
      </c>
      <c r="AH55" s="15"/>
      <c r="AI55" s="10">
        <f t="shared" si="16"/>
        <v>0</v>
      </c>
      <c r="AJ55" s="15"/>
      <c r="AK55" s="10">
        <f t="shared" si="17"/>
        <v>0</v>
      </c>
      <c r="AL55" s="15"/>
      <c r="AM55" s="10">
        <f t="shared" si="18"/>
        <v>0</v>
      </c>
      <c r="AN55" s="15"/>
      <c r="AO55" s="10">
        <f t="shared" si="19"/>
        <v>0</v>
      </c>
      <c r="AP55" s="15"/>
      <c r="AQ55" s="10">
        <f t="shared" si="20"/>
        <v>0</v>
      </c>
      <c r="AR55" s="15"/>
      <c r="AS55" s="10">
        <f t="shared" si="21"/>
        <v>0</v>
      </c>
      <c r="AT55" s="15"/>
      <c r="AU55" s="10">
        <f t="shared" si="22"/>
        <v>0</v>
      </c>
      <c r="AV55" s="15"/>
      <c r="AW55" s="10">
        <f t="shared" si="23"/>
        <v>0</v>
      </c>
      <c r="AX55" s="15"/>
      <c r="AY55" s="10">
        <f t="shared" si="24"/>
        <v>0</v>
      </c>
      <c r="AZ55" s="15"/>
      <c r="BA55" s="10">
        <f t="shared" si="25"/>
        <v>0</v>
      </c>
      <c r="BB55" s="15"/>
      <c r="BC55" s="10">
        <f t="shared" si="26"/>
        <v>0</v>
      </c>
      <c r="BD55" s="15"/>
      <c r="BE55" s="10">
        <f t="shared" si="27"/>
        <v>0</v>
      </c>
      <c r="BF55" s="11">
        <f t="shared" si="28"/>
        <v>0</v>
      </c>
      <c r="BG55" s="12">
        <f t="shared" si="29"/>
        <v>0</v>
      </c>
      <c r="BH55" s="15"/>
      <c r="BI55" s="10">
        <f t="shared" si="30"/>
        <v>0</v>
      </c>
      <c r="BJ55" s="15"/>
      <c r="BK55" s="10">
        <f t="shared" si="31"/>
        <v>0</v>
      </c>
      <c r="BL55" s="15"/>
      <c r="BM55" s="10">
        <f t="shared" si="32"/>
        <v>0</v>
      </c>
      <c r="BN55" s="15"/>
      <c r="BO55" s="10">
        <f t="shared" si="33"/>
        <v>0</v>
      </c>
      <c r="BP55" s="15"/>
      <c r="BQ55" s="10">
        <f t="shared" si="34"/>
        <v>0</v>
      </c>
      <c r="BR55" s="15"/>
      <c r="BS55" s="10">
        <f t="shared" si="35"/>
        <v>0</v>
      </c>
      <c r="BT55" s="15"/>
      <c r="BU55" s="10">
        <f t="shared" si="36"/>
        <v>0</v>
      </c>
      <c r="BV55" s="15"/>
      <c r="BW55" s="10">
        <f t="shared" si="37"/>
        <v>0</v>
      </c>
      <c r="BX55" s="15"/>
      <c r="BY55" s="10">
        <f t="shared" si="38"/>
        <v>0</v>
      </c>
      <c r="BZ55" s="15"/>
      <c r="CA55" s="10">
        <f t="shared" si="39"/>
        <v>0</v>
      </c>
      <c r="CB55" s="15"/>
      <c r="CC55" s="10">
        <f t="shared" si="40"/>
        <v>0</v>
      </c>
      <c r="CD55" s="15"/>
      <c r="CE55" s="10">
        <f t="shared" si="41"/>
        <v>0</v>
      </c>
      <c r="CF55" s="11">
        <f t="shared" si="42"/>
        <v>0</v>
      </c>
      <c r="CG55" s="12">
        <f t="shared" si="43"/>
        <v>0</v>
      </c>
      <c r="CH55" s="15"/>
      <c r="CI55" s="10">
        <f t="shared" si="44"/>
        <v>0</v>
      </c>
      <c r="CJ55" s="15"/>
      <c r="CK55" s="10">
        <f t="shared" si="45"/>
        <v>0</v>
      </c>
      <c r="CL55" s="15"/>
      <c r="CM55" s="10">
        <f t="shared" si="46"/>
        <v>0</v>
      </c>
      <c r="CN55" s="15"/>
      <c r="CO55" s="10">
        <f t="shared" si="47"/>
        <v>0</v>
      </c>
      <c r="CP55" s="15"/>
      <c r="CQ55" s="10">
        <f t="shared" si="48"/>
        <v>0</v>
      </c>
      <c r="CR55" s="15"/>
      <c r="CS55" s="10">
        <f t="shared" si="49"/>
        <v>0</v>
      </c>
      <c r="CT55" s="15"/>
      <c r="CU55" s="10">
        <f t="shared" si="50"/>
        <v>0</v>
      </c>
      <c r="CV55" s="15"/>
      <c r="CW55" s="10">
        <f t="shared" si="51"/>
        <v>0</v>
      </c>
      <c r="CX55" s="15"/>
      <c r="CY55" s="10">
        <f t="shared" si="52"/>
        <v>0</v>
      </c>
      <c r="CZ55" s="15"/>
      <c r="DA55" s="10">
        <f t="shared" si="53"/>
        <v>0</v>
      </c>
      <c r="DB55" s="15"/>
      <c r="DC55" s="10">
        <f t="shared" si="54"/>
        <v>0</v>
      </c>
      <c r="DD55" s="15"/>
      <c r="DE55" s="10">
        <f t="shared" si="54"/>
        <v>0</v>
      </c>
      <c r="DF55" s="231">
        <f t="shared" si="55"/>
        <v>0</v>
      </c>
      <c r="DG55" s="230">
        <f t="shared" si="56"/>
        <v>0</v>
      </c>
      <c r="DH55" s="238"/>
      <c r="DI55" s="239">
        <f t="shared" ref="DI55:DI58" si="135">DH55*$E55</f>
        <v>0</v>
      </c>
      <c r="DJ55" s="15"/>
      <c r="DK55" s="239">
        <f t="shared" ref="DK55:DK58" si="136">DJ55*$E55</f>
        <v>0</v>
      </c>
      <c r="DL55" s="238"/>
      <c r="DM55" s="239">
        <f t="shared" ref="DM55:DM58" si="137">DL55*$E55</f>
        <v>0</v>
      </c>
      <c r="DN55" s="238"/>
      <c r="DO55" s="239">
        <f t="shared" ref="DO55:DO58" si="138">DN55*$E55</f>
        <v>0</v>
      </c>
      <c r="DP55" s="238"/>
      <c r="DQ55" s="239">
        <f t="shared" ref="DQ55:DQ58" si="139">DP55*$E55</f>
        <v>0</v>
      </c>
      <c r="DR55" s="238"/>
      <c r="DS55" s="239">
        <f t="shared" ref="DS55:DS58" si="140">DR55*$E55</f>
        <v>0</v>
      </c>
      <c r="DT55" s="238"/>
      <c r="DU55" s="239">
        <f t="shared" ref="DU55:DU58" si="141">DT55*$E55</f>
        <v>0</v>
      </c>
      <c r="DV55" s="238"/>
      <c r="DW55" s="239">
        <f t="shared" ref="DW55:DW58" si="142">DV55*$E55</f>
        <v>0</v>
      </c>
      <c r="DX55" s="238"/>
      <c r="DY55" s="239">
        <f t="shared" ref="DY55:DY58" si="143">DX55*$E55</f>
        <v>0</v>
      </c>
      <c r="DZ55" s="238"/>
      <c r="EA55" s="239">
        <f t="shared" ref="EA55:EA58" si="144">DZ55*$E55</f>
        <v>0</v>
      </c>
      <c r="EB55" s="238"/>
      <c r="EC55" s="239">
        <f t="shared" ref="EC55:EC58" si="145">EB55*$E55</f>
        <v>0</v>
      </c>
      <c r="ED55" s="238"/>
      <c r="EE55" s="239">
        <f t="shared" ref="EE55:EE58" si="146">ED55*$E55</f>
        <v>0</v>
      </c>
      <c r="EF55" s="240">
        <f t="shared" ref="EF55:EG58" si="147">SUM(DH55,DJ55,DL55,DN55,DP55,DR55,DT55,DV55,DX55,DZ55,EB55,ED55)</f>
        <v>0</v>
      </c>
      <c r="EG55" s="239">
        <f t="shared" si="147"/>
        <v>0</v>
      </c>
    </row>
    <row r="56" spans="1:137" ht="19.8">
      <c r="A56" s="7">
        <v>46</v>
      </c>
      <c r="B56" s="8" t="s">
        <v>53</v>
      </c>
      <c r="C56" s="8" t="s">
        <v>14</v>
      </c>
      <c r="D56" s="7">
        <f>RANK(DF56,$DF$4:$DF$147)</f>
        <v>31</v>
      </c>
      <c r="E56" s="7">
        <v>0.6</v>
      </c>
      <c r="F56" s="7" t="s">
        <v>12</v>
      </c>
      <c r="G56" s="7"/>
      <c r="H56" s="15"/>
      <c r="I56" s="10">
        <f t="shared" si="2"/>
        <v>0</v>
      </c>
      <c r="J56" s="15"/>
      <c r="K56" s="10">
        <f t="shared" si="3"/>
        <v>0</v>
      </c>
      <c r="L56" s="15"/>
      <c r="M56" s="10">
        <f t="shared" si="4"/>
        <v>0</v>
      </c>
      <c r="N56" s="15"/>
      <c r="O56" s="10">
        <f t="shared" si="5"/>
        <v>0</v>
      </c>
      <c r="P56" s="15"/>
      <c r="Q56" s="10">
        <f t="shared" si="6"/>
        <v>0</v>
      </c>
      <c r="R56" s="15"/>
      <c r="S56" s="10">
        <f t="shared" si="7"/>
        <v>0</v>
      </c>
      <c r="T56" s="15"/>
      <c r="U56" s="10">
        <f t="shared" si="8"/>
        <v>0</v>
      </c>
      <c r="V56" s="15"/>
      <c r="W56" s="10">
        <f t="shared" si="9"/>
        <v>0</v>
      </c>
      <c r="X56" s="15"/>
      <c r="Y56" s="10">
        <f t="shared" si="10"/>
        <v>0</v>
      </c>
      <c r="Z56" s="15"/>
      <c r="AA56" s="10">
        <f t="shared" si="11"/>
        <v>0</v>
      </c>
      <c r="AB56" s="15"/>
      <c r="AC56" s="10">
        <f t="shared" si="12"/>
        <v>0</v>
      </c>
      <c r="AD56" s="15"/>
      <c r="AE56" s="10">
        <f t="shared" si="13"/>
        <v>0</v>
      </c>
      <c r="AF56" s="11">
        <f t="shared" si="14"/>
        <v>0</v>
      </c>
      <c r="AG56" s="12">
        <f t="shared" si="15"/>
        <v>0</v>
      </c>
      <c r="AH56" s="15"/>
      <c r="AI56" s="10">
        <f t="shared" si="16"/>
        <v>0</v>
      </c>
      <c r="AJ56" s="15"/>
      <c r="AK56" s="10">
        <f t="shared" si="17"/>
        <v>0</v>
      </c>
      <c r="AL56" s="15"/>
      <c r="AM56" s="10">
        <f t="shared" si="18"/>
        <v>0</v>
      </c>
      <c r="AN56" s="15"/>
      <c r="AO56" s="10">
        <f t="shared" si="19"/>
        <v>0</v>
      </c>
      <c r="AP56" s="15"/>
      <c r="AQ56" s="10">
        <f t="shared" si="20"/>
        <v>0</v>
      </c>
      <c r="AR56" s="15"/>
      <c r="AS56" s="10">
        <f t="shared" si="21"/>
        <v>0</v>
      </c>
      <c r="AT56" s="15"/>
      <c r="AU56" s="10">
        <f t="shared" si="22"/>
        <v>0</v>
      </c>
      <c r="AV56" s="15"/>
      <c r="AW56" s="10">
        <f t="shared" si="23"/>
        <v>0</v>
      </c>
      <c r="AX56" s="15"/>
      <c r="AY56" s="10">
        <f t="shared" si="24"/>
        <v>0</v>
      </c>
      <c r="AZ56" s="15"/>
      <c r="BA56" s="10">
        <f t="shared" si="25"/>
        <v>0</v>
      </c>
      <c r="BB56" s="15"/>
      <c r="BC56" s="10">
        <f t="shared" si="26"/>
        <v>0</v>
      </c>
      <c r="BD56" s="15"/>
      <c r="BE56" s="10">
        <f t="shared" si="27"/>
        <v>0</v>
      </c>
      <c r="BF56" s="11">
        <f t="shared" si="28"/>
        <v>0</v>
      </c>
      <c r="BG56" s="12">
        <f t="shared" si="29"/>
        <v>0</v>
      </c>
      <c r="BH56" s="15"/>
      <c r="BI56" s="10">
        <f t="shared" si="30"/>
        <v>0</v>
      </c>
      <c r="BJ56" s="15"/>
      <c r="BK56" s="10">
        <f t="shared" si="31"/>
        <v>0</v>
      </c>
      <c r="BL56" s="15"/>
      <c r="BM56" s="10">
        <f t="shared" si="32"/>
        <v>0</v>
      </c>
      <c r="BN56" s="15"/>
      <c r="BO56" s="10">
        <f t="shared" si="33"/>
        <v>0</v>
      </c>
      <c r="BP56" s="15"/>
      <c r="BQ56" s="10">
        <f t="shared" si="34"/>
        <v>0</v>
      </c>
      <c r="BR56" s="15"/>
      <c r="BS56" s="10">
        <f t="shared" si="35"/>
        <v>0</v>
      </c>
      <c r="BT56" s="15"/>
      <c r="BU56" s="10">
        <f t="shared" si="36"/>
        <v>0</v>
      </c>
      <c r="BV56" s="15"/>
      <c r="BW56" s="10">
        <f t="shared" si="37"/>
        <v>0</v>
      </c>
      <c r="BX56" s="15"/>
      <c r="BY56" s="10">
        <f t="shared" si="38"/>
        <v>0</v>
      </c>
      <c r="BZ56" s="15"/>
      <c r="CA56" s="10">
        <f t="shared" si="39"/>
        <v>0</v>
      </c>
      <c r="CB56" s="15"/>
      <c r="CC56" s="10">
        <f t="shared" si="40"/>
        <v>0</v>
      </c>
      <c r="CD56" s="15"/>
      <c r="CE56" s="10">
        <f t="shared" si="41"/>
        <v>0</v>
      </c>
      <c r="CF56" s="11">
        <f t="shared" si="42"/>
        <v>0</v>
      </c>
      <c r="CG56" s="12">
        <f t="shared" si="43"/>
        <v>0</v>
      </c>
      <c r="CH56" s="15"/>
      <c r="CI56" s="10">
        <f t="shared" si="44"/>
        <v>0</v>
      </c>
      <c r="CJ56" s="15"/>
      <c r="CK56" s="10">
        <f t="shared" si="45"/>
        <v>0</v>
      </c>
      <c r="CL56" s="15"/>
      <c r="CM56" s="10">
        <f t="shared" si="46"/>
        <v>0</v>
      </c>
      <c r="CN56" s="15"/>
      <c r="CO56" s="10">
        <f t="shared" si="47"/>
        <v>0</v>
      </c>
      <c r="CP56" s="15"/>
      <c r="CQ56" s="10">
        <f t="shared" si="48"/>
        <v>0</v>
      </c>
      <c r="CR56" s="15"/>
      <c r="CS56" s="10">
        <f t="shared" si="49"/>
        <v>0</v>
      </c>
      <c r="CT56" s="15"/>
      <c r="CU56" s="10">
        <f t="shared" si="50"/>
        <v>0</v>
      </c>
      <c r="CV56" s="15"/>
      <c r="CW56" s="10">
        <f t="shared" si="51"/>
        <v>0</v>
      </c>
      <c r="CX56" s="15"/>
      <c r="CY56" s="10">
        <f t="shared" si="52"/>
        <v>0</v>
      </c>
      <c r="CZ56" s="15"/>
      <c r="DA56" s="10">
        <f t="shared" si="53"/>
        <v>0</v>
      </c>
      <c r="DB56" s="15"/>
      <c r="DC56" s="10">
        <f t="shared" si="54"/>
        <v>0</v>
      </c>
      <c r="DD56" s="15"/>
      <c r="DE56" s="10">
        <f t="shared" si="54"/>
        <v>0</v>
      </c>
      <c r="DF56" s="231">
        <f t="shared" si="55"/>
        <v>0</v>
      </c>
      <c r="DG56" s="230">
        <f t="shared" si="56"/>
        <v>0</v>
      </c>
      <c r="DH56" s="238"/>
      <c r="DI56" s="239">
        <f t="shared" si="135"/>
        <v>0</v>
      </c>
      <c r="DJ56" s="15"/>
      <c r="DK56" s="239">
        <f t="shared" si="136"/>
        <v>0</v>
      </c>
      <c r="DL56" s="238"/>
      <c r="DM56" s="239">
        <f t="shared" si="137"/>
        <v>0</v>
      </c>
      <c r="DN56" s="238"/>
      <c r="DO56" s="239">
        <f t="shared" si="138"/>
        <v>0</v>
      </c>
      <c r="DP56" s="238"/>
      <c r="DQ56" s="239">
        <f t="shared" si="139"/>
        <v>0</v>
      </c>
      <c r="DR56" s="238"/>
      <c r="DS56" s="239">
        <f t="shared" si="140"/>
        <v>0</v>
      </c>
      <c r="DT56" s="238"/>
      <c r="DU56" s="239">
        <f t="shared" si="141"/>
        <v>0</v>
      </c>
      <c r="DV56" s="238"/>
      <c r="DW56" s="239">
        <f t="shared" si="142"/>
        <v>0</v>
      </c>
      <c r="DX56" s="238"/>
      <c r="DY56" s="239">
        <f t="shared" si="143"/>
        <v>0</v>
      </c>
      <c r="DZ56" s="238"/>
      <c r="EA56" s="239">
        <f t="shared" si="144"/>
        <v>0</v>
      </c>
      <c r="EB56" s="238"/>
      <c r="EC56" s="239">
        <f t="shared" si="145"/>
        <v>0</v>
      </c>
      <c r="ED56" s="238"/>
      <c r="EE56" s="239">
        <f t="shared" si="146"/>
        <v>0</v>
      </c>
      <c r="EF56" s="240">
        <f t="shared" si="147"/>
        <v>0</v>
      </c>
      <c r="EG56" s="239">
        <f t="shared" si="147"/>
        <v>0</v>
      </c>
    </row>
    <row r="57" spans="1:137" ht="19.8">
      <c r="A57" s="7">
        <v>47</v>
      </c>
      <c r="B57" s="8" t="s">
        <v>313</v>
      </c>
      <c r="C57" s="8" t="s">
        <v>11</v>
      </c>
      <c r="D57" s="7">
        <f>RANK(DF57,$DF$4:$DF$147)</f>
        <v>31</v>
      </c>
      <c r="E57" s="7">
        <v>0.64</v>
      </c>
      <c r="F57" s="7" t="s">
        <v>22</v>
      </c>
      <c r="G57" s="7">
        <v>1350</v>
      </c>
      <c r="H57" s="9">
        <v>1414</v>
      </c>
      <c r="I57" s="10">
        <f t="shared" si="2"/>
        <v>904.96</v>
      </c>
      <c r="J57" s="9">
        <v>1358</v>
      </c>
      <c r="K57" s="10">
        <f t="shared" si="3"/>
        <v>869.12</v>
      </c>
      <c r="L57" s="9">
        <v>1638</v>
      </c>
      <c r="M57" s="10">
        <f t="shared" si="4"/>
        <v>1048.32</v>
      </c>
      <c r="N57" s="9">
        <v>2170</v>
      </c>
      <c r="O57" s="10">
        <f t="shared" si="5"/>
        <v>1388.8</v>
      </c>
      <c r="P57" s="9">
        <v>658</v>
      </c>
      <c r="Q57" s="10">
        <f t="shared" si="6"/>
        <v>421.12</v>
      </c>
      <c r="R57" s="9">
        <v>364</v>
      </c>
      <c r="S57" s="10">
        <f t="shared" si="7"/>
        <v>232.96</v>
      </c>
      <c r="T57" s="9">
        <v>490</v>
      </c>
      <c r="U57" s="10">
        <f t="shared" si="8"/>
        <v>313.60000000000002</v>
      </c>
      <c r="V57" s="9">
        <v>700</v>
      </c>
      <c r="W57" s="10">
        <f t="shared" si="9"/>
        <v>448</v>
      </c>
      <c r="X57" s="9">
        <v>1162</v>
      </c>
      <c r="Y57" s="10">
        <f t="shared" si="10"/>
        <v>743.68000000000006</v>
      </c>
      <c r="Z57" s="9">
        <v>882</v>
      </c>
      <c r="AA57" s="10">
        <f t="shared" si="11"/>
        <v>564.48</v>
      </c>
      <c r="AB57" s="9">
        <v>882</v>
      </c>
      <c r="AC57" s="10">
        <f t="shared" si="12"/>
        <v>564.48</v>
      </c>
      <c r="AD57" s="9"/>
      <c r="AE57" s="10">
        <f t="shared" si="13"/>
        <v>0</v>
      </c>
      <c r="AF57" s="11">
        <f t="shared" si="14"/>
        <v>11718</v>
      </c>
      <c r="AG57" s="12">
        <f t="shared" si="15"/>
        <v>7499.52</v>
      </c>
      <c r="AH57" s="9">
        <v>532</v>
      </c>
      <c r="AI57" s="10">
        <f t="shared" si="16"/>
        <v>340.48</v>
      </c>
      <c r="AJ57" s="9">
        <v>700</v>
      </c>
      <c r="AK57" s="10">
        <f t="shared" si="17"/>
        <v>448</v>
      </c>
      <c r="AL57" s="9">
        <v>140</v>
      </c>
      <c r="AM57" s="10">
        <f t="shared" si="18"/>
        <v>89.600000000000009</v>
      </c>
      <c r="AN57" s="9">
        <v>938</v>
      </c>
      <c r="AO57" s="10">
        <f t="shared" si="19"/>
        <v>600.32000000000005</v>
      </c>
      <c r="AP57" s="9">
        <v>840</v>
      </c>
      <c r="AQ57" s="10">
        <f t="shared" si="20"/>
        <v>537.6</v>
      </c>
      <c r="AR57" s="9">
        <v>910</v>
      </c>
      <c r="AS57" s="10">
        <f t="shared" si="21"/>
        <v>582.4</v>
      </c>
      <c r="AT57" s="9">
        <v>140</v>
      </c>
      <c r="AU57" s="10">
        <f t="shared" si="22"/>
        <v>89.600000000000009</v>
      </c>
      <c r="AV57" s="9">
        <v>70</v>
      </c>
      <c r="AW57" s="10">
        <f t="shared" si="23"/>
        <v>44.800000000000004</v>
      </c>
      <c r="AX57" s="9"/>
      <c r="AY57" s="10">
        <f t="shared" si="24"/>
        <v>0</v>
      </c>
      <c r="AZ57" s="9"/>
      <c r="BA57" s="10">
        <f t="shared" si="25"/>
        <v>0</v>
      </c>
      <c r="BB57" s="9"/>
      <c r="BC57" s="10">
        <f t="shared" si="26"/>
        <v>0</v>
      </c>
      <c r="BD57" s="9">
        <v>70</v>
      </c>
      <c r="BE57" s="10">
        <f t="shared" si="27"/>
        <v>44.800000000000004</v>
      </c>
      <c r="BF57" s="11">
        <f t="shared" si="28"/>
        <v>4340</v>
      </c>
      <c r="BG57" s="12">
        <f t="shared" si="29"/>
        <v>2777.6</v>
      </c>
      <c r="BH57" s="13">
        <v>420</v>
      </c>
      <c r="BI57" s="10">
        <f t="shared" si="30"/>
        <v>268.8</v>
      </c>
      <c r="BJ57" s="13">
        <v>70</v>
      </c>
      <c r="BK57" s="10">
        <f t="shared" si="31"/>
        <v>44.800000000000004</v>
      </c>
      <c r="BL57" s="13">
        <v>0</v>
      </c>
      <c r="BM57" s="10">
        <f t="shared" si="32"/>
        <v>0</v>
      </c>
      <c r="BN57" s="13">
        <v>70</v>
      </c>
      <c r="BO57" s="10">
        <f t="shared" si="33"/>
        <v>44.800000000000004</v>
      </c>
      <c r="BP57" s="13">
        <v>0</v>
      </c>
      <c r="BQ57" s="10">
        <f t="shared" si="34"/>
        <v>0</v>
      </c>
      <c r="BR57" s="13">
        <v>70</v>
      </c>
      <c r="BS57" s="10">
        <f t="shared" si="35"/>
        <v>44.800000000000004</v>
      </c>
      <c r="BT57" s="13">
        <v>70</v>
      </c>
      <c r="BU57" s="10">
        <f t="shared" si="36"/>
        <v>44.800000000000004</v>
      </c>
      <c r="BV57" s="13">
        <v>70</v>
      </c>
      <c r="BW57" s="10">
        <f t="shared" si="37"/>
        <v>44.800000000000004</v>
      </c>
      <c r="BX57" s="13">
        <v>70</v>
      </c>
      <c r="BY57" s="10">
        <f t="shared" si="38"/>
        <v>44.800000000000004</v>
      </c>
      <c r="BZ57" s="13">
        <v>70</v>
      </c>
      <c r="CA57" s="10">
        <f t="shared" si="39"/>
        <v>44.800000000000004</v>
      </c>
      <c r="CB57" s="13">
        <v>168</v>
      </c>
      <c r="CC57" s="10">
        <f t="shared" si="40"/>
        <v>107.52</v>
      </c>
      <c r="CD57" s="14"/>
      <c r="CE57" s="10">
        <f t="shared" si="41"/>
        <v>0</v>
      </c>
      <c r="CF57" s="11">
        <f t="shared" si="42"/>
        <v>1078</v>
      </c>
      <c r="CG57" s="12">
        <f t="shared" si="43"/>
        <v>689.92</v>
      </c>
      <c r="CH57" s="15"/>
      <c r="CI57" s="10">
        <f t="shared" si="44"/>
        <v>0</v>
      </c>
      <c r="CJ57" s="15"/>
      <c r="CK57" s="10">
        <f t="shared" si="45"/>
        <v>0</v>
      </c>
      <c r="CL57" s="15"/>
      <c r="CM57" s="10">
        <f t="shared" si="46"/>
        <v>0</v>
      </c>
      <c r="CN57" s="15"/>
      <c r="CO57" s="10">
        <f t="shared" si="47"/>
        <v>0</v>
      </c>
      <c r="CP57" s="15"/>
      <c r="CQ57" s="10">
        <f t="shared" si="48"/>
        <v>0</v>
      </c>
      <c r="CR57" s="15"/>
      <c r="CS57" s="10">
        <f t="shared" si="49"/>
        <v>0</v>
      </c>
      <c r="CT57" s="15"/>
      <c r="CU57" s="10">
        <f t="shared" si="50"/>
        <v>0</v>
      </c>
      <c r="CV57" s="15"/>
      <c r="CW57" s="10">
        <f t="shared" si="51"/>
        <v>0</v>
      </c>
      <c r="CX57" s="15"/>
      <c r="CY57" s="10">
        <f t="shared" si="52"/>
        <v>0</v>
      </c>
      <c r="CZ57" s="15"/>
      <c r="DA57" s="10">
        <f t="shared" si="53"/>
        <v>0</v>
      </c>
      <c r="DB57" s="15"/>
      <c r="DC57" s="10">
        <f t="shared" si="54"/>
        <v>0</v>
      </c>
      <c r="DD57" s="15"/>
      <c r="DE57" s="10">
        <f t="shared" si="54"/>
        <v>0</v>
      </c>
      <c r="DF57" s="231">
        <f t="shared" si="55"/>
        <v>0</v>
      </c>
      <c r="DG57" s="230">
        <f t="shared" si="56"/>
        <v>0</v>
      </c>
      <c r="DH57" s="238"/>
      <c r="DI57" s="239">
        <f t="shared" si="135"/>
        <v>0</v>
      </c>
      <c r="DJ57" s="15"/>
      <c r="DK57" s="239">
        <f t="shared" si="136"/>
        <v>0</v>
      </c>
      <c r="DL57" s="238"/>
      <c r="DM57" s="239">
        <f t="shared" si="137"/>
        <v>0</v>
      </c>
      <c r="DN57" s="238"/>
      <c r="DO57" s="239">
        <f t="shared" si="138"/>
        <v>0</v>
      </c>
      <c r="DP57" s="238"/>
      <c r="DQ57" s="239">
        <f t="shared" si="139"/>
        <v>0</v>
      </c>
      <c r="DR57" s="238"/>
      <c r="DS57" s="239">
        <f t="shared" si="140"/>
        <v>0</v>
      </c>
      <c r="DT57" s="238"/>
      <c r="DU57" s="239">
        <f t="shared" si="141"/>
        <v>0</v>
      </c>
      <c r="DV57" s="238"/>
      <c r="DW57" s="239">
        <f t="shared" si="142"/>
        <v>0</v>
      </c>
      <c r="DX57" s="238"/>
      <c r="DY57" s="239">
        <f t="shared" si="143"/>
        <v>0</v>
      </c>
      <c r="DZ57" s="238"/>
      <c r="EA57" s="239">
        <f t="shared" si="144"/>
        <v>0</v>
      </c>
      <c r="EB57" s="238"/>
      <c r="EC57" s="239">
        <f t="shared" si="145"/>
        <v>0</v>
      </c>
      <c r="ED57" s="238"/>
      <c r="EE57" s="239">
        <f t="shared" si="146"/>
        <v>0</v>
      </c>
      <c r="EF57" s="240">
        <f t="shared" si="147"/>
        <v>0</v>
      </c>
      <c r="EG57" s="239">
        <f t="shared" si="147"/>
        <v>0</v>
      </c>
    </row>
    <row r="58" spans="1:137" ht="19.8">
      <c r="A58" s="7">
        <v>48</v>
      </c>
      <c r="B58" s="8" t="s">
        <v>313</v>
      </c>
      <c r="C58" s="8" t="s">
        <v>11</v>
      </c>
      <c r="D58" s="7">
        <f>RANK(DF58,$DF$4:$DF$147)</f>
        <v>31</v>
      </c>
      <c r="E58" s="7">
        <v>0.64</v>
      </c>
      <c r="F58" s="7" t="s">
        <v>20</v>
      </c>
      <c r="G58" s="7"/>
      <c r="H58" s="15"/>
      <c r="I58" s="10">
        <f t="shared" si="2"/>
        <v>0</v>
      </c>
      <c r="J58" s="15"/>
      <c r="K58" s="10">
        <f t="shared" si="3"/>
        <v>0</v>
      </c>
      <c r="L58" s="15"/>
      <c r="M58" s="10">
        <f t="shared" si="4"/>
        <v>0</v>
      </c>
      <c r="N58" s="15"/>
      <c r="O58" s="10">
        <f t="shared" si="5"/>
        <v>0</v>
      </c>
      <c r="P58" s="15"/>
      <c r="Q58" s="10">
        <f t="shared" si="6"/>
        <v>0</v>
      </c>
      <c r="R58" s="15"/>
      <c r="S58" s="10">
        <f t="shared" si="7"/>
        <v>0</v>
      </c>
      <c r="T58" s="15"/>
      <c r="U58" s="10">
        <f t="shared" si="8"/>
        <v>0</v>
      </c>
      <c r="V58" s="15"/>
      <c r="W58" s="10">
        <f t="shared" si="9"/>
        <v>0</v>
      </c>
      <c r="X58" s="15"/>
      <c r="Y58" s="10">
        <f t="shared" si="10"/>
        <v>0</v>
      </c>
      <c r="Z58" s="15"/>
      <c r="AA58" s="10">
        <f t="shared" si="11"/>
        <v>0</v>
      </c>
      <c r="AB58" s="15"/>
      <c r="AC58" s="10">
        <f t="shared" si="12"/>
        <v>0</v>
      </c>
      <c r="AD58" s="15"/>
      <c r="AE58" s="10">
        <f t="shared" si="13"/>
        <v>0</v>
      </c>
      <c r="AF58" s="11">
        <f t="shared" si="14"/>
        <v>0</v>
      </c>
      <c r="AG58" s="12">
        <f t="shared" si="15"/>
        <v>0</v>
      </c>
      <c r="AH58" s="15"/>
      <c r="AI58" s="10">
        <f t="shared" si="16"/>
        <v>0</v>
      </c>
      <c r="AJ58" s="15"/>
      <c r="AK58" s="10">
        <f t="shared" si="17"/>
        <v>0</v>
      </c>
      <c r="AL58" s="15"/>
      <c r="AM58" s="10">
        <f t="shared" si="18"/>
        <v>0</v>
      </c>
      <c r="AN58" s="15"/>
      <c r="AO58" s="10">
        <f t="shared" si="19"/>
        <v>0</v>
      </c>
      <c r="AP58" s="15"/>
      <c r="AQ58" s="10">
        <f t="shared" si="20"/>
        <v>0</v>
      </c>
      <c r="AR58" s="15"/>
      <c r="AS58" s="10">
        <f t="shared" si="21"/>
        <v>0</v>
      </c>
      <c r="AT58" s="15"/>
      <c r="AU58" s="10">
        <f t="shared" si="22"/>
        <v>0</v>
      </c>
      <c r="AV58" s="15"/>
      <c r="AW58" s="10">
        <f t="shared" si="23"/>
        <v>0</v>
      </c>
      <c r="AX58" s="15"/>
      <c r="AY58" s="10">
        <f t="shared" si="24"/>
        <v>0</v>
      </c>
      <c r="AZ58" s="15"/>
      <c r="BA58" s="10">
        <f t="shared" si="25"/>
        <v>0</v>
      </c>
      <c r="BB58" s="15"/>
      <c r="BC58" s="10">
        <f t="shared" si="26"/>
        <v>0</v>
      </c>
      <c r="BD58" s="15"/>
      <c r="BE58" s="10">
        <f t="shared" si="27"/>
        <v>0</v>
      </c>
      <c r="BF58" s="11">
        <f t="shared" si="28"/>
        <v>0</v>
      </c>
      <c r="BG58" s="12">
        <f t="shared" si="29"/>
        <v>0</v>
      </c>
      <c r="BH58" s="15"/>
      <c r="BI58" s="10">
        <f t="shared" si="30"/>
        <v>0</v>
      </c>
      <c r="BJ58" s="15"/>
      <c r="BK58" s="10">
        <f t="shared" si="31"/>
        <v>0</v>
      </c>
      <c r="BL58" s="15"/>
      <c r="BM58" s="10">
        <f t="shared" si="32"/>
        <v>0</v>
      </c>
      <c r="BN58" s="15"/>
      <c r="BO58" s="10">
        <f t="shared" si="33"/>
        <v>0</v>
      </c>
      <c r="BP58" s="15"/>
      <c r="BQ58" s="10">
        <f t="shared" si="34"/>
        <v>0</v>
      </c>
      <c r="BR58" s="15"/>
      <c r="BS58" s="10">
        <f t="shared" si="35"/>
        <v>0</v>
      </c>
      <c r="BT58" s="15"/>
      <c r="BU58" s="10">
        <f t="shared" si="36"/>
        <v>0</v>
      </c>
      <c r="BV58" s="15"/>
      <c r="BW58" s="10">
        <f t="shared" si="37"/>
        <v>0</v>
      </c>
      <c r="BX58" s="15"/>
      <c r="BY58" s="10">
        <f t="shared" si="38"/>
        <v>0</v>
      </c>
      <c r="BZ58" s="15"/>
      <c r="CA58" s="10">
        <f t="shared" si="39"/>
        <v>0</v>
      </c>
      <c r="CB58" s="15"/>
      <c r="CC58" s="10">
        <f t="shared" si="40"/>
        <v>0</v>
      </c>
      <c r="CD58" s="15"/>
      <c r="CE58" s="10">
        <f t="shared" si="41"/>
        <v>0</v>
      </c>
      <c r="CF58" s="11">
        <f t="shared" si="42"/>
        <v>0</v>
      </c>
      <c r="CG58" s="12">
        <f t="shared" si="43"/>
        <v>0</v>
      </c>
      <c r="CH58" s="15"/>
      <c r="CI58" s="10">
        <f t="shared" si="44"/>
        <v>0</v>
      </c>
      <c r="CJ58" s="15"/>
      <c r="CK58" s="10">
        <f t="shared" si="45"/>
        <v>0</v>
      </c>
      <c r="CL58" s="15"/>
      <c r="CM58" s="10">
        <f t="shared" si="46"/>
        <v>0</v>
      </c>
      <c r="CN58" s="15"/>
      <c r="CO58" s="10">
        <f t="shared" si="47"/>
        <v>0</v>
      </c>
      <c r="CP58" s="15"/>
      <c r="CQ58" s="10">
        <f t="shared" si="48"/>
        <v>0</v>
      </c>
      <c r="CR58" s="15"/>
      <c r="CS58" s="10">
        <f t="shared" si="49"/>
        <v>0</v>
      </c>
      <c r="CT58" s="15"/>
      <c r="CU58" s="10">
        <f t="shared" si="50"/>
        <v>0</v>
      </c>
      <c r="CV58" s="15"/>
      <c r="CW58" s="10">
        <f t="shared" si="51"/>
        <v>0</v>
      </c>
      <c r="CX58" s="15"/>
      <c r="CY58" s="10">
        <f t="shared" si="52"/>
        <v>0</v>
      </c>
      <c r="CZ58" s="15"/>
      <c r="DA58" s="10">
        <f t="shared" si="53"/>
        <v>0</v>
      </c>
      <c r="DB58" s="15"/>
      <c r="DC58" s="10">
        <f t="shared" si="54"/>
        <v>0</v>
      </c>
      <c r="DD58" s="15"/>
      <c r="DE58" s="10">
        <f t="shared" si="54"/>
        <v>0</v>
      </c>
      <c r="DF58" s="231">
        <f t="shared" si="55"/>
        <v>0</v>
      </c>
      <c r="DG58" s="230">
        <f t="shared" si="56"/>
        <v>0</v>
      </c>
      <c r="DH58" s="238"/>
      <c r="DI58" s="239">
        <f t="shared" si="135"/>
        <v>0</v>
      </c>
      <c r="DJ58" s="15"/>
      <c r="DK58" s="239">
        <f t="shared" si="136"/>
        <v>0</v>
      </c>
      <c r="DL58" s="238"/>
      <c r="DM58" s="239">
        <f t="shared" si="137"/>
        <v>0</v>
      </c>
      <c r="DN58" s="238"/>
      <c r="DO58" s="239">
        <f t="shared" si="138"/>
        <v>0</v>
      </c>
      <c r="DP58" s="238"/>
      <c r="DQ58" s="239">
        <f t="shared" si="139"/>
        <v>0</v>
      </c>
      <c r="DR58" s="238"/>
      <c r="DS58" s="239">
        <f t="shared" si="140"/>
        <v>0</v>
      </c>
      <c r="DT58" s="238"/>
      <c r="DU58" s="239">
        <f t="shared" si="141"/>
        <v>0</v>
      </c>
      <c r="DV58" s="238"/>
      <c r="DW58" s="239">
        <f t="shared" si="142"/>
        <v>0</v>
      </c>
      <c r="DX58" s="238"/>
      <c r="DY58" s="239">
        <f t="shared" si="143"/>
        <v>0</v>
      </c>
      <c r="DZ58" s="238"/>
      <c r="EA58" s="239">
        <f t="shared" si="144"/>
        <v>0</v>
      </c>
      <c r="EB58" s="238"/>
      <c r="EC58" s="239">
        <f t="shared" si="145"/>
        <v>0</v>
      </c>
      <c r="ED58" s="238"/>
      <c r="EE58" s="239">
        <f t="shared" si="146"/>
        <v>0</v>
      </c>
      <c r="EF58" s="240">
        <f t="shared" si="147"/>
        <v>0</v>
      </c>
      <c r="EG58" s="239">
        <f t="shared" si="147"/>
        <v>0</v>
      </c>
    </row>
    <row r="59" spans="1:137" ht="19.8">
      <c r="A59" s="7"/>
      <c r="B59" s="8"/>
      <c r="C59" s="8"/>
      <c r="D59" s="7"/>
      <c r="E59" s="7"/>
      <c r="F59" s="7"/>
      <c r="G59" s="7"/>
      <c r="H59" s="15"/>
      <c r="I59" s="10">
        <f t="shared" si="2"/>
        <v>0</v>
      </c>
      <c r="J59" s="15"/>
      <c r="K59" s="10">
        <f t="shared" si="3"/>
        <v>0</v>
      </c>
      <c r="L59" s="15"/>
      <c r="M59" s="10">
        <f t="shared" si="4"/>
        <v>0</v>
      </c>
      <c r="N59" s="15"/>
      <c r="O59" s="10">
        <f t="shared" si="5"/>
        <v>0</v>
      </c>
      <c r="P59" s="15"/>
      <c r="Q59" s="10">
        <f t="shared" si="6"/>
        <v>0</v>
      </c>
      <c r="R59" s="15"/>
      <c r="S59" s="10">
        <f t="shared" si="7"/>
        <v>0</v>
      </c>
      <c r="T59" s="15"/>
      <c r="U59" s="10">
        <f t="shared" si="8"/>
        <v>0</v>
      </c>
      <c r="V59" s="15"/>
      <c r="W59" s="10">
        <f t="shared" si="9"/>
        <v>0</v>
      </c>
      <c r="X59" s="15"/>
      <c r="Y59" s="10">
        <f t="shared" si="10"/>
        <v>0</v>
      </c>
      <c r="Z59" s="15"/>
      <c r="AA59" s="10">
        <f t="shared" si="11"/>
        <v>0</v>
      </c>
      <c r="AB59" s="15"/>
      <c r="AC59" s="10">
        <f t="shared" si="12"/>
        <v>0</v>
      </c>
      <c r="AD59" s="15"/>
      <c r="AE59" s="10">
        <f t="shared" si="13"/>
        <v>0</v>
      </c>
      <c r="AF59" s="11">
        <f t="shared" si="14"/>
        <v>0</v>
      </c>
      <c r="AG59" s="12">
        <f t="shared" si="15"/>
        <v>0</v>
      </c>
      <c r="AH59" s="15"/>
      <c r="AI59" s="10">
        <f t="shared" si="16"/>
        <v>0</v>
      </c>
      <c r="AJ59" s="15"/>
      <c r="AK59" s="10">
        <f t="shared" si="17"/>
        <v>0</v>
      </c>
      <c r="AL59" s="15"/>
      <c r="AM59" s="10">
        <f t="shared" si="18"/>
        <v>0</v>
      </c>
      <c r="AN59" s="15"/>
      <c r="AO59" s="10">
        <f t="shared" si="19"/>
        <v>0</v>
      </c>
      <c r="AP59" s="15"/>
      <c r="AQ59" s="10">
        <f t="shared" si="20"/>
        <v>0</v>
      </c>
      <c r="AR59" s="15"/>
      <c r="AS59" s="10">
        <f t="shared" si="21"/>
        <v>0</v>
      </c>
      <c r="AT59" s="15"/>
      <c r="AU59" s="10">
        <f t="shared" si="22"/>
        <v>0</v>
      </c>
      <c r="AV59" s="15"/>
      <c r="AW59" s="10">
        <f t="shared" si="23"/>
        <v>0</v>
      </c>
      <c r="AX59" s="15"/>
      <c r="AY59" s="10">
        <f t="shared" si="24"/>
        <v>0</v>
      </c>
      <c r="AZ59" s="15"/>
      <c r="BA59" s="10">
        <f t="shared" si="25"/>
        <v>0</v>
      </c>
      <c r="BB59" s="15"/>
      <c r="BC59" s="10">
        <f t="shared" si="26"/>
        <v>0</v>
      </c>
      <c r="BD59" s="15"/>
      <c r="BE59" s="10">
        <f t="shared" si="27"/>
        <v>0</v>
      </c>
      <c r="BF59" s="11">
        <f t="shared" si="28"/>
        <v>0</v>
      </c>
      <c r="BG59" s="12">
        <f t="shared" si="29"/>
        <v>0</v>
      </c>
      <c r="BH59" s="15"/>
      <c r="BI59" s="10">
        <f t="shared" si="30"/>
        <v>0</v>
      </c>
      <c r="BJ59" s="15"/>
      <c r="BK59" s="10">
        <f t="shared" si="31"/>
        <v>0</v>
      </c>
      <c r="BL59" s="15"/>
      <c r="BM59" s="10">
        <f t="shared" si="32"/>
        <v>0</v>
      </c>
      <c r="BN59" s="15"/>
      <c r="BO59" s="10">
        <f t="shared" si="33"/>
        <v>0</v>
      </c>
      <c r="BP59" s="15"/>
      <c r="BQ59" s="10">
        <f t="shared" si="34"/>
        <v>0</v>
      </c>
      <c r="BR59" s="15"/>
      <c r="BS59" s="10">
        <f t="shared" si="35"/>
        <v>0</v>
      </c>
      <c r="BT59" s="15"/>
      <c r="BU59" s="10">
        <f t="shared" si="36"/>
        <v>0</v>
      </c>
      <c r="BV59" s="15"/>
      <c r="BW59" s="10">
        <f t="shared" si="37"/>
        <v>0</v>
      </c>
      <c r="BX59" s="15"/>
      <c r="BY59" s="10">
        <f t="shared" si="38"/>
        <v>0</v>
      </c>
      <c r="BZ59" s="15"/>
      <c r="CA59" s="10">
        <f t="shared" si="39"/>
        <v>0</v>
      </c>
      <c r="CB59" s="15"/>
      <c r="CC59" s="10">
        <f t="shared" si="40"/>
        <v>0</v>
      </c>
      <c r="CD59" s="15"/>
      <c r="CE59" s="10">
        <f t="shared" si="41"/>
        <v>0</v>
      </c>
      <c r="CF59" s="11">
        <f t="shared" si="42"/>
        <v>0</v>
      </c>
      <c r="CG59" s="12">
        <f t="shared" si="43"/>
        <v>0</v>
      </c>
      <c r="CH59" s="15"/>
      <c r="CI59" s="10">
        <f t="shared" si="44"/>
        <v>0</v>
      </c>
      <c r="CJ59" s="15"/>
      <c r="CK59" s="10">
        <f t="shared" si="45"/>
        <v>0</v>
      </c>
      <c r="CL59" s="15"/>
      <c r="CM59" s="10">
        <f t="shared" si="46"/>
        <v>0</v>
      </c>
      <c r="CN59" s="15"/>
      <c r="CO59" s="10">
        <f t="shared" si="47"/>
        <v>0</v>
      </c>
      <c r="CP59" s="15"/>
      <c r="CQ59" s="10">
        <f t="shared" si="48"/>
        <v>0</v>
      </c>
      <c r="CR59" s="15"/>
      <c r="CS59" s="10">
        <f t="shared" si="49"/>
        <v>0</v>
      </c>
      <c r="CT59" s="15"/>
      <c r="CU59" s="10">
        <f t="shared" si="50"/>
        <v>0</v>
      </c>
      <c r="CV59" s="15"/>
      <c r="CW59" s="10">
        <f t="shared" si="51"/>
        <v>0</v>
      </c>
      <c r="CX59" s="15"/>
      <c r="CY59" s="10">
        <f t="shared" si="52"/>
        <v>0</v>
      </c>
      <c r="CZ59" s="15"/>
      <c r="DA59" s="10">
        <f t="shared" si="53"/>
        <v>0</v>
      </c>
      <c r="DB59" s="15"/>
      <c r="DC59" s="10">
        <f t="shared" si="54"/>
        <v>0</v>
      </c>
      <c r="DD59" s="15"/>
      <c r="DE59" s="10">
        <f t="shared" si="54"/>
        <v>0</v>
      </c>
      <c r="DF59" s="231">
        <f t="shared" si="55"/>
        <v>0</v>
      </c>
      <c r="DG59" s="230">
        <f t="shared" si="56"/>
        <v>0</v>
      </c>
      <c r="DH59" s="238"/>
      <c r="DI59" s="239"/>
      <c r="DJ59" s="15"/>
      <c r="DK59" s="239"/>
      <c r="DL59" s="238"/>
      <c r="DM59" s="239"/>
      <c r="DN59" s="238"/>
      <c r="DO59" s="239"/>
      <c r="DP59" s="238"/>
      <c r="DQ59" s="239"/>
      <c r="DR59" s="238"/>
      <c r="DS59" s="239"/>
      <c r="DT59" s="238"/>
      <c r="DU59" s="239"/>
      <c r="DV59" s="238"/>
      <c r="DW59" s="239"/>
      <c r="DX59" s="238"/>
      <c r="DY59" s="239"/>
      <c r="DZ59" s="238"/>
      <c r="EA59" s="239"/>
      <c r="EB59" s="238"/>
      <c r="EC59" s="239"/>
      <c r="ED59" s="238"/>
      <c r="EE59" s="239"/>
      <c r="EF59" s="240"/>
      <c r="EG59" s="239"/>
    </row>
    <row r="60" spans="1:137" ht="19.8">
      <c r="A60" s="7">
        <v>49</v>
      </c>
      <c r="B60" s="8" t="s">
        <v>55</v>
      </c>
      <c r="C60" s="8" t="s">
        <v>14</v>
      </c>
      <c r="D60" s="7">
        <f>RANK(DF60,$DF$4:$DF$147)</f>
        <v>5</v>
      </c>
      <c r="E60" s="7">
        <v>1</v>
      </c>
      <c r="F60" s="7" t="s">
        <v>12</v>
      </c>
      <c r="G60" s="7">
        <v>1550</v>
      </c>
      <c r="H60" s="9">
        <v>101124</v>
      </c>
      <c r="I60" s="10">
        <f t="shared" si="2"/>
        <v>101124</v>
      </c>
      <c r="J60" s="9">
        <v>86940</v>
      </c>
      <c r="K60" s="10">
        <f t="shared" si="3"/>
        <v>86940</v>
      </c>
      <c r="L60" s="9">
        <v>127787</v>
      </c>
      <c r="M60" s="10">
        <f t="shared" si="4"/>
        <v>127787</v>
      </c>
      <c r="N60" s="9">
        <v>143969</v>
      </c>
      <c r="O60" s="10">
        <f t="shared" si="5"/>
        <v>143969</v>
      </c>
      <c r="P60" s="9">
        <v>145128</v>
      </c>
      <c r="Q60" s="10">
        <f t="shared" si="6"/>
        <v>145128</v>
      </c>
      <c r="R60" s="9">
        <v>155568</v>
      </c>
      <c r="S60" s="10">
        <f t="shared" si="7"/>
        <v>155568</v>
      </c>
      <c r="T60" s="9">
        <v>77882</v>
      </c>
      <c r="U60" s="10">
        <f t="shared" si="8"/>
        <v>77882</v>
      </c>
      <c r="V60" s="9">
        <v>160728</v>
      </c>
      <c r="W60" s="10">
        <f t="shared" si="9"/>
        <v>160728</v>
      </c>
      <c r="X60" s="9">
        <v>138852</v>
      </c>
      <c r="Y60" s="10">
        <f t="shared" si="10"/>
        <v>138852</v>
      </c>
      <c r="Z60" s="9">
        <v>136908</v>
      </c>
      <c r="AA60" s="10">
        <f t="shared" si="11"/>
        <v>136908</v>
      </c>
      <c r="AB60" s="9">
        <v>136680</v>
      </c>
      <c r="AC60" s="10">
        <f t="shared" si="12"/>
        <v>136680</v>
      </c>
      <c r="AD60" s="9">
        <v>152110</v>
      </c>
      <c r="AE60" s="10">
        <f t="shared" si="13"/>
        <v>152110</v>
      </c>
      <c r="AF60" s="11">
        <f t="shared" si="14"/>
        <v>1563676</v>
      </c>
      <c r="AG60" s="12">
        <f t="shared" si="15"/>
        <v>1563676</v>
      </c>
      <c r="AH60" s="9">
        <v>166078</v>
      </c>
      <c r="AI60" s="10">
        <f t="shared" si="16"/>
        <v>166078</v>
      </c>
      <c r="AJ60" s="9">
        <v>150696</v>
      </c>
      <c r="AK60" s="10">
        <f t="shared" si="17"/>
        <v>150696</v>
      </c>
      <c r="AL60" s="9">
        <v>187716</v>
      </c>
      <c r="AM60" s="10">
        <f t="shared" si="18"/>
        <v>187716</v>
      </c>
      <c r="AN60" s="9">
        <v>166056</v>
      </c>
      <c r="AO60" s="10">
        <f t="shared" si="19"/>
        <v>166056</v>
      </c>
      <c r="AP60" s="9">
        <v>218136</v>
      </c>
      <c r="AQ60" s="10">
        <f t="shared" si="20"/>
        <v>218136</v>
      </c>
      <c r="AR60" s="9">
        <v>184836</v>
      </c>
      <c r="AS60" s="10">
        <f t="shared" si="21"/>
        <v>184836</v>
      </c>
      <c r="AT60" s="9">
        <v>194098</v>
      </c>
      <c r="AU60" s="10">
        <f t="shared" si="22"/>
        <v>194098</v>
      </c>
      <c r="AV60" s="9">
        <v>223103</v>
      </c>
      <c r="AW60" s="10">
        <f t="shared" si="23"/>
        <v>223103</v>
      </c>
      <c r="AX60" s="9">
        <v>162348</v>
      </c>
      <c r="AY60" s="10">
        <f t="shared" si="24"/>
        <v>162348</v>
      </c>
      <c r="AZ60" s="9">
        <v>174576</v>
      </c>
      <c r="BA60" s="10">
        <f t="shared" si="25"/>
        <v>174576</v>
      </c>
      <c r="BB60" s="9">
        <v>177420</v>
      </c>
      <c r="BC60" s="10">
        <f t="shared" si="26"/>
        <v>177420</v>
      </c>
      <c r="BD60" s="9">
        <v>194253</v>
      </c>
      <c r="BE60" s="10">
        <f t="shared" si="27"/>
        <v>194253</v>
      </c>
      <c r="BF60" s="11">
        <f t="shared" si="28"/>
        <v>2199316</v>
      </c>
      <c r="BG60" s="12">
        <f t="shared" si="29"/>
        <v>2199316</v>
      </c>
      <c r="BH60" s="13">
        <v>198435</v>
      </c>
      <c r="BI60" s="10">
        <f t="shared" si="30"/>
        <v>198435</v>
      </c>
      <c r="BJ60" s="13">
        <v>183036</v>
      </c>
      <c r="BK60" s="10">
        <f t="shared" si="31"/>
        <v>183036</v>
      </c>
      <c r="BL60" s="13">
        <v>205571</v>
      </c>
      <c r="BM60" s="10">
        <f t="shared" si="32"/>
        <v>205571</v>
      </c>
      <c r="BN60" s="13">
        <v>200031</v>
      </c>
      <c r="BO60" s="10">
        <f t="shared" si="33"/>
        <v>200031</v>
      </c>
      <c r="BP60" s="13">
        <v>228443</v>
      </c>
      <c r="BQ60" s="10">
        <f t="shared" si="34"/>
        <v>228443</v>
      </c>
      <c r="BR60" s="13">
        <v>253787</v>
      </c>
      <c r="BS60" s="10">
        <f t="shared" si="35"/>
        <v>253787</v>
      </c>
      <c r="BT60" s="13">
        <v>252140</v>
      </c>
      <c r="BU60" s="10">
        <f t="shared" si="36"/>
        <v>252140</v>
      </c>
      <c r="BV60" s="13">
        <v>243502</v>
      </c>
      <c r="BW60" s="10">
        <f t="shared" si="37"/>
        <v>243502</v>
      </c>
      <c r="BX60" s="13">
        <v>249191</v>
      </c>
      <c r="BY60" s="10">
        <f t="shared" si="38"/>
        <v>249191</v>
      </c>
      <c r="BZ60" s="13">
        <v>262468</v>
      </c>
      <c r="CA60" s="10">
        <f t="shared" si="39"/>
        <v>262468</v>
      </c>
      <c r="CB60" s="13">
        <v>205915</v>
      </c>
      <c r="CC60" s="10">
        <f t="shared" si="40"/>
        <v>205915</v>
      </c>
      <c r="CD60" s="14">
        <v>215415</v>
      </c>
      <c r="CE60" s="10">
        <f t="shared" si="41"/>
        <v>215415</v>
      </c>
      <c r="CF60" s="11">
        <f t="shared" si="42"/>
        <v>2697934</v>
      </c>
      <c r="CG60" s="12">
        <f t="shared" si="43"/>
        <v>2697934</v>
      </c>
      <c r="CH60" s="15">
        <v>197344</v>
      </c>
      <c r="CI60" s="10">
        <f t="shared" si="44"/>
        <v>197344</v>
      </c>
      <c r="CJ60" s="15">
        <v>192155</v>
      </c>
      <c r="CK60" s="10">
        <f t="shared" si="45"/>
        <v>192155</v>
      </c>
      <c r="CL60" s="15">
        <v>292789</v>
      </c>
      <c r="CM60" s="10">
        <f t="shared" si="46"/>
        <v>292789</v>
      </c>
      <c r="CN60" s="15">
        <v>152519</v>
      </c>
      <c r="CO60" s="10">
        <f t="shared" si="47"/>
        <v>152519</v>
      </c>
      <c r="CP60" s="15">
        <v>220709</v>
      </c>
      <c r="CQ60" s="10">
        <f t="shared" si="48"/>
        <v>220709</v>
      </c>
      <c r="CR60" s="15">
        <v>227132</v>
      </c>
      <c r="CS60" s="10">
        <f t="shared" si="49"/>
        <v>227132</v>
      </c>
      <c r="CT60" s="15">
        <v>228371</v>
      </c>
      <c r="CU60" s="10">
        <f t="shared" si="50"/>
        <v>228371</v>
      </c>
      <c r="CV60" s="15">
        <v>221024</v>
      </c>
      <c r="CW60" s="10">
        <f t="shared" si="51"/>
        <v>221024</v>
      </c>
      <c r="CX60" s="15">
        <v>207343</v>
      </c>
      <c r="CY60" s="10">
        <f t="shared" si="52"/>
        <v>207343</v>
      </c>
      <c r="CZ60" s="15">
        <v>219687</v>
      </c>
      <c r="DA60" s="10">
        <f t="shared" si="53"/>
        <v>219687</v>
      </c>
      <c r="DB60" s="15">
        <v>187324</v>
      </c>
      <c r="DC60" s="10">
        <f t="shared" si="54"/>
        <v>187324</v>
      </c>
      <c r="DD60" s="15">
        <v>217864</v>
      </c>
      <c r="DE60" s="10">
        <f t="shared" si="54"/>
        <v>217864</v>
      </c>
      <c r="DF60" s="231">
        <f t="shared" si="55"/>
        <v>2564261</v>
      </c>
      <c r="DG60" s="230">
        <f t="shared" si="56"/>
        <v>2564261</v>
      </c>
      <c r="DH60" s="235">
        <v>197347</v>
      </c>
      <c r="DI60" s="236">
        <f t="shared" ref="DI60" si="148">DH60*$E60</f>
        <v>197347</v>
      </c>
      <c r="DJ60" s="15">
        <v>182860</v>
      </c>
      <c r="DK60" s="239">
        <f t="shared" ref="DK60" si="149">DJ60*$E60</f>
        <v>182860</v>
      </c>
      <c r="DL60" s="238"/>
      <c r="DM60" s="239">
        <f t="shared" ref="DM60" si="150">DL60*$E60</f>
        <v>0</v>
      </c>
      <c r="DN60" s="238"/>
      <c r="DO60" s="239">
        <f t="shared" ref="DO60" si="151">DN60*$E60</f>
        <v>0</v>
      </c>
      <c r="DP60" s="238"/>
      <c r="DQ60" s="239">
        <f t="shared" ref="DQ60" si="152">DP60*$E60</f>
        <v>0</v>
      </c>
      <c r="DR60" s="238"/>
      <c r="DS60" s="239">
        <f t="shared" ref="DS60" si="153">DR60*$E60</f>
        <v>0</v>
      </c>
      <c r="DT60" s="238"/>
      <c r="DU60" s="239">
        <f t="shared" ref="DU60" si="154">DT60*$E60</f>
        <v>0</v>
      </c>
      <c r="DV60" s="238"/>
      <c r="DW60" s="239">
        <f t="shared" ref="DW60" si="155">DV60*$E60</f>
        <v>0</v>
      </c>
      <c r="DX60" s="238"/>
      <c r="DY60" s="239">
        <f t="shared" ref="DY60" si="156">DX60*$E60</f>
        <v>0</v>
      </c>
      <c r="DZ60" s="238"/>
      <c r="EA60" s="239">
        <f t="shared" ref="EA60" si="157">DZ60*$E60</f>
        <v>0</v>
      </c>
      <c r="EB60" s="238"/>
      <c r="EC60" s="239">
        <f t="shared" ref="EC60" si="158">EB60*$E60</f>
        <v>0</v>
      </c>
      <c r="ED60" s="238"/>
      <c r="EE60" s="239">
        <f t="shared" ref="EE60" si="159">ED60*$E60</f>
        <v>0</v>
      </c>
      <c r="EF60" s="240">
        <f t="shared" ref="EF60:EG60" si="160">SUM(DH60,DJ60,DL60,DN60,DP60,DR60,DT60,DV60,DX60,DZ60,EB60,ED60)</f>
        <v>380207</v>
      </c>
      <c r="EG60" s="239">
        <f t="shared" si="160"/>
        <v>380207</v>
      </c>
    </row>
    <row r="61" spans="1:137" ht="19.8">
      <c r="A61" s="7">
        <v>50</v>
      </c>
      <c r="B61" s="18" t="s">
        <v>56</v>
      </c>
      <c r="C61" s="8" t="s">
        <v>14</v>
      </c>
      <c r="D61" s="7">
        <f>RANK(DF61,$DF$4:$DF$147)</f>
        <v>31</v>
      </c>
      <c r="E61" s="7">
        <v>0.6</v>
      </c>
      <c r="F61" s="7" t="s">
        <v>35</v>
      </c>
      <c r="G61" s="7">
        <v>1060</v>
      </c>
      <c r="H61" s="9"/>
      <c r="I61" s="10">
        <f>H61*$E61</f>
        <v>0</v>
      </c>
      <c r="J61" s="9"/>
      <c r="K61" s="10">
        <f>J61*$E61</f>
        <v>0</v>
      </c>
      <c r="L61" s="9"/>
      <c r="M61" s="10">
        <f>L61*$E61</f>
        <v>0</v>
      </c>
      <c r="N61" s="9"/>
      <c r="O61" s="10">
        <f>N61*$E61</f>
        <v>0</v>
      </c>
      <c r="P61" s="9">
        <v>3372</v>
      </c>
      <c r="Q61" s="10">
        <f>P61*$E61</f>
        <v>2023.1999999999998</v>
      </c>
      <c r="R61" s="9">
        <v>1032</v>
      </c>
      <c r="S61" s="10">
        <f t="shared" si="7"/>
        <v>619.19999999999993</v>
      </c>
      <c r="T61" s="9">
        <v>70476</v>
      </c>
      <c r="U61" s="10">
        <f>T61*$E61</f>
        <v>42285.599999999999</v>
      </c>
      <c r="V61" s="9">
        <v>1356</v>
      </c>
      <c r="W61" s="10">
        <f>V61*$E61</f>
        <v>813.6</v>
      </c>
      <c r="X61" s="9">
        <v>984</v>
      </c>
      <c r="Y61" s="10">
        <f>X61*$E61</f>
        <v>590.4</v>
      </c>
      <c r="Z61" s="9">
        <v>372</v>
      </c>
      <c r="AA61" s="10">
        <f>Z61*$E61</f>
        <v>223.2</v>
      </c>
      <c r="AB61" s="9">
        <v>756</v>
      </c>
      <c r="AC61" s="10">
        <f>AB61*$E61</f>
        <v>453.59999999999997</v>
      </c>
      <c r="AD61" s="9">
        <v>672</v>
      </c>
      <c r="AE61" s="10">
        <f>AD61*$E61</f>
        <v>403.2</v>
      </c>
      <c r="AF61" s="11">
        <f t="shared" si="14"/>
        <v>79020</v>
      </c>
      <c r="AG61" s="12">
        <f t="shared" si="15"/>
        <v>47412</v>
      </c>
      <c r="AH61" s="9">
        <v>1392</v>
      </c>
      <c r="AI61" s="10">
        <f>AH61*$E61</f>
        <v>835.19999999999993</v>
      </c>
      <c r="AJ61" s="9">
        <v>1380</v>
      </c>
      <c r="AK61" s="10">
        <f>AJ61*$E61</f>
        <v>828</v>
      </c>
      <c r="AL61" s="9">
        <v>1284</v>
      </c>
      <c r="AM61" s="10">
        <f>AL61*$E61</f>
        <v>770.4</v>
      </c>
      <c r="AN61" s="9">
        <v>1356</v>
      </c>
      <c r="AO61" s="10">
        <f>AN61*$E61</f>
        <v>813.6</v>
      </c>
      <c r="AP61" s="9">
        <v>2748</v>
      </c>
      <c r="AQ61" s="10">
        <f>AP61*$E61</f>
        <v>1648.8</v>
      </c>
      <c r="AR61" s="9">
        <v>1668</v>
      </c>
      <c r="AS61" s="10">
        <f>AR61*$E61</f>
        <v>1000.8</v>
      </c>
      <c r="AT61" s="9"/>
      <c r="AU61" s="10">
        <f>AT61*$E61</f>
        <v>0</v>
      </c>
      <c r="AV61" s="9"/>
      <c r="AW61" s="10">
        <f>AV61*$E61</f>
        <v>0</v>
      </c>
      <c r="AX61" s="9"/>
      <c r="AY61" s="10">
        <f>AX61*$E61</f>
        <v>0</v>
      </c>
      <c r="AZ61" s="9"/>
      <c r="BA61" s="10">
        <f>AZ61*$E61</f>
        <v>0</v>
      </c>
      <c r="BB61" s="9"/>
      <c r="BC61" s="10">
        <f>BB61*$E61</f>
        <v>0</v>
      </c>
      <c r="BD61" s="9"/>
      <c r="BE61" s="10">
        <f>BD61*$E61</f>
        <v>0</v>
      </c>
      <c r="BF61" s="11">
        <f t="shared" si="28"/>
        <v>9828</v>
      </c>
      <c r="BG61" s="12">
        <f t="shared" si="29"/>
        <v>5896.8</v>
      </c>
      <c r="BH61" s="15"/>
      <c r="BI61" s="10">
        <f>BH61*$E61</f>
        <v>0</v>
      </c>
      <c r="BJ61" s="15"/>
      <c r="BK61" s="10">
        <f>BJ61*$E61</f>
        <v>0</v>
      </c>
      <c r="BL61" s="15"/>
      <c r="BM61" s="10">
        <f>BL61*$E61</f>
        <v>0</v>
      </c>
      <c r="BN61" s="15"/>
      <c r="BO61" s="10">
        <f>BN61*$E61</f>
        <v>0</v>
      </c>
      <c r="BP61" s="15"/>
      <c r="BQ61" s="10">
        <f>BP61*$E61</f>
        <v>0</v>
      </c>
      <c r="BR61" s="15"/>
      <c r="BS61" s="10">
        <f>BR61*$E61</f>
        <v>0</v>
      </c>
      <c r="BT61" s="15"/>
      <c r="BU61" s="10">
        <f>BT61*$E61</f>
        <v>0</v>
      </c>
      <c r="BV61" s="15"/>
      <c r="BW61" s="10">
        <f>BV61*$E61</f>
        <v>0</v>
      </c>
      <c r="BX61" s="15"/>
      <c r="BY61" s="10">
        <f>BX61*$E61</f>
        <v>0</v>
      </c>
      <c r="BZ61" s="15"/>
      <c r="CA61" s="10">
        <f>BZ61*$E61</f>
        <v>0</v>
      </c>
      <c r="CB61" s="15"/>
      <c r="CC61" s="10">
        <f>CB61*$E61</f>
        <v>0</v>
      </c>
      <c r="CD61" s="15"/>
      <c r="CE61" s="10">
        <f>CD61*$E61</f>
        <v>0</v>
      </c>
      <c r="CF61" s="11">
        <f t="shared" si="42"/>
        <v>0</v>
      </c>
      <c r="CG61" s="12">
        <f t="shared" si="43"/>
        <v>0</v>
      </c>
      <c r="CH61" s="15"/>
      <c r="CI61" s="10">
        <f t="shared" si="44"/>
        <v>0</v>
      </c>
      <c r="CJ61" s="15"/>
      <c r="CK61" s="10">
        <f t="shared" si="45"/>
        <v>0</v>
      </c>
      <c r="CL61" s="15"/>
      <c r="CM61" s="10">
        <f t="shared" si="46"/>
        <v>0</v>
      </c>
      <c r="CN61" s="15"/>
      <c r="CO61" s="10">
        <f t="shared" si="47"/>
        <v>0</v>
      </c>
      <c r="CP61" s="15"/>
      <c r="CQ61" s="10">
        <f t="shared" si="48"/>
        <v>0</v>
      </c>
      <c r="CR61" s="15"/>
      <c r="CS61" s="10">
        <f t="shared" si="49"/>
        <v>0</v>
      </c>
      <c r="CT61" s="15"/>
      <c r="CU61" s="10">
        <f t="shared" si="50"/>
        <v>0</v>
      </c>
      <c r="CV61" s="15"/>
      <c r="CW61" s="10">
        <f t="shared" si="51"/>
        <v>0</v>
      </c>
      <c r="CX61" s="15"/>
      <c r="CY61" s="10">
        <f t="shared" si="52"/>
        <v>0</v>
      </c>
      <c r="CZ61" s="15"/>
      <c r="DA61" s="10">
        <f t="shared" si="53"/>
        <v>0</v>
      </c>
      <c r="DB61" s="15"/>
      <c r="DC61" s="10">
        <f t="shared" si="54"/>
        <v>0</v>
      </c>
      <c r="DD61" s="15"/>
      <c r="DE61" s="10">
        <f t="shared" si="54"/>
        <v>0</v>
      </c>
      <c r="DF61" s="231">
        <f t="shared" si="55"/>
        <v>0</v>
      </c>
      <c r="DG61" s="230">
        <f t="shared" si="56"/>
        <v>0</v>
      </c>
      <c r="DH61" s="235"/>
      <c r="DI61" s="236"/>
      <c r="DJ61" s="15"/>
      <c r="DK61" s="239"/>
      <c r="DL61" s="238"/>
      <c r="DM61" s="239"/>
      <c r="DN61" s="238"/>
      <c r="DO61" s="239"/>
      <c r="DP61" s="238"/>
      <c r="DQ61" s="239"/>
      <c r="DR61" s="238"/>
      <c r="DS61" s="239"/>
      <c r="DT61" s="238"/>
      <c r="DU61" s="239"/>
      <c r="DV61" s="238"/>
      <c r="DW61" s="239"/>
      <c r="DX61" s="238"/>
      <c r="DY61" s="239"/>
      <c r="DZ61" s="238"/>
      <c r="EA61" s="239"/>
      <c r="EB61" s="238"/>
      <c r="EC61" s="239"/>
      <c r="ED61" s="238"/>
      <c r="EE61" s="239"/>
      <c r="EF61" s="240"/>
      <c r="EG61" s="239"/>
    </row>
    <row r="62" spans="1:137" ht="19.8">
      <c r="A62" s="7">
        <v>51</v>
      </c>
      <c r="B62" s="8" t="s">
        <v>57</v>
      </c>
      <c r="C62" s="8" t="s">
        <v>14</v>
      </c>
      <c r="D62" s="7">
        <f>RANK(DF62,$DF$4:$DF$147)</f>
        <v>7</v>
      </c>
      <c r="E62" s="7">
        <v>0.35</v>
      </c>
      <c r="F62" s="7" t="s">
        <v>18</v>
      </c>
      <c r="G62" s="7">
        <v>700</v>
      </c>
      <c r="H62" s="15"/>
      <c r="I62" s="10">
        <f t="shared" si="2"/>
        <v>0</v>
      </c>
      <c r="J62" s="15"/>
      <c r="K62" s="10">
        <f t="shared" si="3"/>
        <v>0</v>
      </c>
      <c r="L62" s="15"/>
      <c r="M62" s="10">
        <f t="shared" si="4"/>
        <v>0</v>
      </c>
      <c r="N62" s="15"/>
      <c r="O62" s="10">
        <f t="shared" si="5"/>
        <v>0</v>
      </c>
      <c r="P62" s="15"/>
      <c r="Q62" s="10">
        <f t="shared" si="6"/>
        <v>0</v>
      </c>
      <c r="R62" s="15"/>
      <c r="S62" s="10">
        <f t="shared" si="7"/>
        <v>0</v>
      </c>
      <c r="T62" s="15"/>
      <c r="U62" s="10">
        <f t="shared" si="8"/>
        <v>0</v>
      </c>
      <c r="V62" s="15"/>
      <c r="W62" s="10">
        <f t="shared" si="9"/>
        <v>0</v>
      </c>
      <c r="X62" s="15"/>
      <c r="Y62" s="10">
        <f t="shared" si="10"/>
        <v>0</v>
      </c>
      <c r="Z62" s="15"/>
      <c r="AA62" s="10">
        <f t="shared" si="11"/>
        <v>0</v>
      </c>
      <c r="AB62" s="15"/>
      <c r="AC62" s="10">
        <f t="shared" si="12"/>
        <v>0</v>
      </c>
      <c r="AD62" s="15"/>
      <c r="AE62" s="10">
        <f t="shared" si="13"/>
        <v>0</v>
      </c>
      <c r="AF62" s="11">
        <f t="shared" si="14"/>
        <v>0</v>
      </c>
      <c r="AG62" s="12">
        <f t="shared" si="15"/>
        <v>0</v>
      </c>
      <c r="AH62" s="9"/>
      <c r="AI62" s="10">
        <f t="shared" si="16"/>
        <v>0</v>
      </c>
      <c r="AJ62" s="9"/>
      <c r="AK62" s="10">
        <f t="shared" si="17"/>
        <v>0</v>
      </c>
      <c r="AL62" s="9"/>
      <c r="AM62" s="10">
        <f t="shared" si="18"/>
        <v>0</v>
      </c>
      <c r="AN62" s="9"/>
      <c r="AO62" s="10">
        <f t="shared" si="19"/>
        <v>0</v>
      </c>
      <c r="AP62" s="9"/>
      <c r="AQ62" s="10">
        <f t="shared" si="20"/>
        <v>0</v>
      </c>
      <c r="AR62" s="9"/>
      <c r="AS62" s="10">
        <f t="shared" si="21"/>
        <v>0</v>
      </c>
      <c r="AT62" s="9"/>
      <c r="AU62" s="10">
        <f t="shared" si="22"/>
        <v>0</v>
      </c>
      <c r="AV62" s="9"/>
      <c r="AW62" s="10">
        <f t="shared" si="23"/>
        <v>0</v>
      </c>
      <c r="AX62" s="9"/>
      <c r="AY62" s="10">
        <f t="shared" si="24"/>
        <v>0</v>
      </c>
      <c r="AZ62" s="9">
        <v>18340</v>
      </c>
      <c r="BA62" s="10">
        <f t="shared" si="25"/>
        <v>6419</v>
      </c>
      <c r="BB62" s="9"/>
      <c r="BC62" s="10">
        <f t="shared" si="26"/>
        <v>0</v>
      </c>
      <c r="BD62" s="9">
        <v>10412</v>
      </c>
      <c r="BE62" s="10">
        <f t="shared" si="27"/>
        <v>3644.2</v>
      </c>
      <c r="BF62" s="11">
        <f t="shared" si="28"/>
        <v>28752</v>
      </c>
      <c r="BG62" s="12">
        <f t="shared" si="29"/>
        <v>10063.199999999999</v>
      </c>
      <c r="BH62" s="13">
        <v>15447</v>
      </c>
      <c r="BI62" s="10">
        <f t="shared" si="30"/>
        <v>5406.45</v>
      </c>
      <c r="BJ62" s="13">
        <v>14872</v>
      </c>
      <c r="BK62" s="10">
        <f t="shared" si="31"/>
        <v>5205.2</v>
      </c>
      <c r="BL62" s="13">
        <v>14299</v>
      </c>
      <c r="BM62" s="10">
        <f t="shared" si="32"/>
        <v>5004.6499999999996</v>
      </c>
      <c r="BN62" s="13">
        <v>13955</v>
      </c>
      <c r="BO62" s="10">
        <f t="shared" si="33"/>
        <v>4884.25</v>
      </c>
      <c r="BP62" s="13">
        <v>17783</v>
      </c>
      <c r="BQ62" s="10">
        <f t="shared" si="34"/>
        <v>6224.0499999999993</v>
      </c>
      <c r="BR62" s="13">
        <v>22392</v>
      </c>
      <c r="BS62" s="10">
        <f t="shared" si="35"/>
        <v>7837.2</v>
      </c>
      <c r="BT62" s="13">
        <v>29940</v>
      </c>
      <c r="BU62" s="10">
        <f t="shared" si="36"/>
        <v>10479</v>
      </c>
      <c r="BV62" s="13">
        <v>30400</v>
      </c>
      <c r="BW62" s="10">
        <f t="shared" si="37"/>
        <v>10640</v>
      </c>
      <c r="BX62" s="13">
        <v>35586</v>
      </c>
      <c r="BY62" s="10">
        <f t="shared" si="38"/>
        <v>12455.099999999999</v>
      </c>
      <c r="BZ62" s="13">
        <v>37744</v>
      </c>
      <c r="CA62" s="10">
        <f t="shared" si="39"/>
        <v>13210.4</v>
      </c>
      <c r="CB62" s="13">
        <v>44055</v>
      </c>
      <c r="CC62" s="10">
        <f t="shared" si="40"/>
        <v>15419.249999999998</v>
      </c>
      <c r="CD62" s="14">
        <v>50985</v>
      </c>
      <c r="CE62" s="10">
        <f t="shared" si="41"/>
        <v>17844.75</v>
      </c>
      <c r="CF62" s="11">
        <f t="shared" si="42"/>
        <v>327458</v>
      </c>
      <c r="CG62" s="12">
        <f t="shared" si="43"/>
        <v>114610.29999999999</v>
      </c>
      <c r="CH62" s="15">
        <v>42471</v>
      </c>
      <c r="CI62" s="10">
        <f t="shared" si="44"/>
        <v>14864.849999999999</v>
      </c>
      <c r="CJ62" s="15">
        <v>37902</v>
      </c>
      <c r="CK62" s="10">
        <f t="shared" si="45"/>
        <v>13265.699999999999</v>
      </c>
      <c r="CL62" s="15">
        <v>81994</v>
      </c>
      <c r="CM62" s="10">
        <f t="shared" si="46"/>
        <v>28697.899999999998</v>
      </c>
      <c r="CN62" s="15">
        <v>46904</v>
      </c>
      <c r="CO62" s="10">
        <f t="shared" si="47"/>
        <v>16416.399999999998</v>
      </c>
      <c r="CP62" s="15">
        <v>75480</v>
      </c>
      <c r="CQ62" s="10">
        <f t="shared" si="48"/>
        <v>26418</v>
      </c>
      <c r="CR62" s="15">
        <v>60684</v>
      </c>
      <c r="CS62" s="10">
        <f t="shared" si="49"/>
        <v>21239.399999999998</v>
      </c>
      <c r="CT62" s="15">
        <v>73325</v>
      </c>
      <c r="CU62" s="10">
        <f t="shared" si="50"/>
        <v>25663.75</v>
      </c>
      <c r="CV62" s="15">
        <v>81734</v>
      </c>
      <c r="CW62" s="10">
        <f t="shared" si="51"/>
        <v>28606.899999999998</v>
      </c>
      <c r="CX62" s="15">
        <v>78746</v>
      </c>
      <c r="CY62" s="10">
        <f t="shared" si="52"/>
        <v>27561.1</v>
      </c>
      <c r="CZ62" s="15">
        <v>88290</v>
      </c>
      <c r="DA62" s="10">
        <f t="shared" si="53"/>
        <v>30901.499999999996</v>
      </c>
      <c r="DB62" s="15">
        <v>78920</v>
      </c>
      <c r="DC62" s="10">
        <f t="shared" si="54"/>
        <v>27622</v>
      </c>
      <c r="DD62" s="15">
        <v>89860</v>
      </c>
      <c r="DE62" s="10">
        <f t="shared" si="54"/>
        <v>31450.999999999996</v>
      </c>
      <c r="DF62" s="231">
        <f t="shared" si="55"/>
        <v>836310</v>
      </c>
      <c r="DG62" s="230">
        <f t="shared" si="56"/>
        <v>292708.5</v>
      </c>
      <c r="DH62" s="235">
        <v>90240</v>
      </c>
      <c r="DI62" s="236">
        <f t="shared" ref="DI62:DI64" si="161">DH62*$E62</f>
        <v>31583.999999999996</v>
      </c>
      <c r="DJ62" s="15">
        <v>73200</v>
      </c>
      <c r="DK62" s="239">
        <f t="shared" ref="DK62:DK64" si="162">DJ62*$E62</f>
        <v>25620</v>
      </c>
      <c r="DL62" s="238"/>
      <c r="DM62" s="239">
        <f t="shared" ref="DM62:DM64" si="163">DL62*$E62</f>
        <v>0</v>
      </c>
      <c r="DN62" s="238"/>
      <c r="DO62" s="239">
        <f t="shared" ref="DO62:DO64" si="164">DN62*$E62</f>
        <v>0</v>
      </c>
      <c r="DP62" s="238"/>
      <c r="DQ62" s="239">
        <f t="shared" ref="DQ62:DQ64" si="165">DP62*$E62</f>
        <v>0</v>
      </c>
      <c r="DR62" s="238"/>
      <c r="DS62" s="239">
        <f t="shared" ref="DS62:DS64" si="166">DR62*$E62</f>
        <v>0</v>
      </c>
      <c r="DT62" s="238"/>
      <c r="DU62" s="239">
        <f t="shared" ref="DU62:DU64" si="167">DT62*$E62</f>
        <v>0</v>
      </c>
      <c r="DV62" s="238"/>
      <c r="DW62" s="239">
        <f t="shared" ref="DW62:DW64" si="168">DV62*$E62</f>
        <v>0</v>
      </c>
      <c r="DX62" s="238"/>
      <c r="DY62" s="239">
        <f t="shared" ref="DY62:DY64" si="169">DX62*$E62</f>
        <v>0</v>
      </c>
      <c r="DZ62" s="238"/>
      <c r="EA62" s="239">
        <f t="shared" ref="EA62:EA64" si="170">DZ62*$E62</f>
        <v>0</v>
      </c>
      <c r="EB62" s="238"/>
      <c r="EC62" s="239">
        <f t="shared" ref="EC62:EC64" si="171">EB62*$E62</f>
        <v>0</v>
      </c>
      <c r="ED62" s="238"/>
      <c r="EE62" s="239">
        <f t="shared" ref="EE62:EE64" si="172">ED62*$E62</f>
        <v>0</v>
      </c>
      <c r="EF62" s="240">
        <f t="shared" ref="EF62:EG64" si="173">SUM(DH62,DJ62,DL62,DN62,DP62,DR62,DT62,DV62,DX62,DZ62,EB62,ED62)</f>
        <v>163440</v>
      </c>
      <c r="EG62" s="239">
        <f t="shared" si="173"/>
        <v>57204</v>
      </c>
    </row>
    <row r="63" spans="1:137" ht="19.8">
      <c r="A63" s="7">
        <v>52</v>
      </c>
      <c r="B63" s="8" t="s">
        <v>58</v>
      </c>
      <c r="C63" s="8" t="s">
        <v>11</v>
      </c>
      <c r="D63" s="7">
        <f>RANK(DF63,$DF$4:$DF$147)</f>
        <v>31</v>
      </c>
      <c r="E63" s="7">
        <v>0.64</v>
      </c>
      <c r="F63" s="7" t="s">
        <v>22</v>
      </c>
      <c r="G63" s="7"/>
      <c r="H63" s="15"/>
      <c r="I63" s="10">
        <f t="shared" si="2"/>
        <v>0</v>
      </c>
      <c r="J63" s="15"/>
      <c r="K63" s="10">
        <f t="shared" si="3"/>
        <v>0</v>
      </c>
      <c r="L63" s="15"/>
      <c r="M63" s="10">
        <f t="shared" si="4"/>
        <v>0</v>
      </c>
      <c r="N63" s="15"/>
      <c r="O63" s="10">
        <f t="shared" si="5"/>
        <v>0</v>
      </c>
      <c r="P63" s="15"/>
      <c r="Q63" s="10">
        <f t="shared" si="6"/>
        <v>0</v>
      </c>
      <c r="R63" s="15"/>
      <c r="S63" s="10">
        <f t="shared" si="7"/>
        <v>0</v>
      </c>
      <c r="T63" s="15"/>
      <c r="U63" s="10">
        <f t="shared" si="8"/>
        <v>0</v>
      </c>
      <c r="V63" s="15"/>
      <c r="W63" s="10">
        <f t="shared" si="9"/>
        <v>0</v>
      </c>
      <c r="X63" s="15"/>
      <c r="Y63" s="10">
        <f t="shared" si="10"/>
        <v>0</v>
      </c>
      <c r="Z63" s="15"/>
      <c r="AA63" s="10">
        <f t="shared" si="11"/>
        <v>0</v>
      </c>
      <c r="AB63" s="15"/>
      <c r="AC63" s="10">
        <f t="shared" si="12"/>
        <v>0</v>
      </c>
      <c r="AD63" s="15"/>
      <c r="AE63" s="10">
        <f t="shared" si="13"/>
        <v>0</v>
      </c>
      <c r="AF63" s="11">
        <f t="shared" si="14"/>
        <v>0</v>
      </c>
      <c r="AG63" s="12">
        <f t="shared" si="15"/>
        <v>0</v>
      </c>
      <c r="AH63" s="15"/>
      <c r="AI63" s="10">
        <f t="shared" si="16"/>
        <v>0</v>
      </c>
      <c r="AJ63" s="15"/>
      <c r="AK63" s="10">
        <f t="shared" si="17"/>
        <v>0</v>
      </c>
      <c r="AL63" s="15"/>
      <c r="AM63" s="10">
        <f t="shared" si="18"/>
        <v>0</v>
      </c>
      <c r="AN63" s="15"/>
      <c r="AO63" s="10">
        <f t="shared" si="19"/>
        <v>0</v>
      </c>
      <c r="AP63" s="15"/>
      <c r="AQ63" s="10">
        <f t="shared" si="20"/>
        <v>0</v>
      </c>
      <c r="AR63" s="15"/>
      <c r="AS63" s="10">
        <f t="shared" si="21"/>
        <v>0</v>
      </c>
      <c r="AT63" s="15"/>
      <c r="AU63" s="10">
        <f t="shared" si="22"/>
        <v>0</v>
      </c>
      <c r="AV63" s="15"/>
      <c r="AW63" s="10">
        <f t="shared" si="23"/>
        <v>0</v>
      </c>
      <c r="AX63" s="15"/>
      <c r="AY63" s="10">
        <f t="shared" si="24"/>
        <v>0</v>
      </c>
      <c r="AZ63" s="15"/>
      <c r="BA63" s="10">
        <f t="shared" si="25"/>
        <v>0</v>
      </c>
      <c r="BB63" s="15"/>
      <c r="BC63" s="10">
        <f t="shared" si="26"/>
        <v>0</v>
      </c>
      <c r="BD63" s="15"/>
      <c r="BE63" s="10">
        <f t="shared" si="27"/>
        <v>0</v>
      </c>
      <c r="BF63" s="11">
        <f t="shared" si="28"/>
        <v>0</v>
      </c>
      <c r="BG63" s="12">
        <f t="shared" si="29"/>
        <v>0</v>
      </c>
      <c r="BH63" s="15"/>
      <c r="BI63" s="10">
        <f t="shared" si="30"/>
        <v>0</v>
      </c>
      <c r="BJ63" s="15"/>
      <c r="BK63" s="10">
        <f t="shared" si="31"/>
        <v>0</v>
      </c>
      <c r="BL63" s="15"/>
      <c r="BM63" s="10">
        <f t="shared" si="32"/>
        <v>0</v>
      </c>
      <c r="BN63" s="15"/>
      <c r="BO63" s="10">
        <f t="shared" si="33"/>
        <v>0</v>
      </c>
      <c r="BP63" s="15"/>
      <c r="BQ63" s="10">
        <f t="shared" si="34"/>
        <v>0</v>
      </c>
      <c r="BR63" s="15"/>
      <c r="BS63" s="10">
        <f t="shared" si="35"/>
        <v>0</v>
      </c>
      <c r="BT63" s="15"/>
      <c r="BU63" s="10">
        <f t="shared" si="36"/>
        <v>0</v>
      </c>
      <c r="BV63" s="15"/>
      <c r="BW63" s="10">
        <f t="shared" si="37"/>
        <v>0</v>
      </c>
      <c r="BX63" s="15"/>
      <c r="BY63" s="10">
        <f t="shared" si="38"/>
        <v>0</v>
      </c>
      <c r="BZ63" s="15"/>
      <c r="CA63" s="10">
        <f t="shared" si="39"/>
        <v>0</v>
      </c>
      <c r="CB63" s="15"/>
      <c r="CC63" s="10">
        <f t="shared" si="40"/>
        <v>0</v>
      </c>
      <c r="CD63" s="15"/>
      <c r="CE63" s="10">
        <f t="shared" si="41"/>
        <v>0</v>
      </c>
      <c r="CF63" s="11">
        <f t="shared" si="42"/>
        <v>0</v>
      </c>
      <c r="CG63" s="12">
        <f t="shared" si="43"/>
        <v>0</v>
      </c>
      <c r="CH63" s="15"/>
      <c r="CI63" s="10">
        <f t="shared" si="44"/>
        <v>0</v>
      </c>
      <c r="CJ63" s="15"/>
      <c r="CK63" s="10">
        <f t="shared" si="45"/>
        <v>0</v>
      </c>
      <c r="CL63" s="15"/>
      <c r="CM63" s="10">
        <f t="shared" si="46"/>
        <v>0</v>
      </c>
      <c r="CN63" s="15"/>
      <c r="CO63" s="10">
        <f t="shared" si="47"/>
        <v>0</v>
      </c>
      <c r="CP63" s="15"/>
      <c r="CQ63" s="10">
        <f t="shared" si="48"/>
        <v>0</v>
      </c>
      <c r="CR63" s="15"/>
      <c r="CS63" s="10">
        <f t="shared" si="49"/>
        <v>0</v>
      </c>
      <c r="CT63" s="15"/>
      <c r="CU63" s="10">
        <f t="shared" si="50"/>
        <v>0</v>
      </c>
      <c r="CV63" s="15"/>
      <c r="CW63" s="10">
        <f t="shared" si="51"/>
        <v>0</v>
      </c>
      <c r="CX63" s="15"/>
      <c r="CY63" s="10">
        <f t="shared" si="52"/>
        <v>0</v>
      </c>
      <c r="CZ63" s="15"/>
      <c r="DA63" s="10">
        <f t="shared" si="53"/>
        <v>0</v>
      </c>
      <c r="DB63" s="15"/>
      <c r="DC63" s="10">
        <f t="shared" si="54"/>
        <v>0</v>
      </c>
      <c r="DD63" s="15"/>
      <c r="DE63" s="10">
        <f t="shared" si="54"/>
        <v>0</v>
      </c>
      <c r="DF63" s="231">
        <f t="shared" si="55"/>
        <v>0</v>
      </c>
      <c r="DG63" s="230">
        <f t="shared" si="56"/>
        <v>0</v>
      </c>
      <c r="DH63" s="238"/>
      <c r="DI63" s="239">
        <f t="shared" si="161"/>
        <v>0</v>
      </c>
      <c r="DJ63" s="15"/>
      <c r="DK63" s="239">
        <f t="shared" si="162"/>
        <v>0</v>
      </c>
      <c r="DL63" s="238"/>
      <c r="DM63" s="239">
        <f t="shared" si="163"/>
        <v>0</v>
      </c>
      <c r="DN63" s="238"/>
      <c r="DO63" s="239">
        <f t="shared" si="164"/>
        <v>0</v>
      </c>
      <c r="DP63" s="238"/>
      <c r="DQ63" s="239">
        <f t="shared" si="165"/>
        <v>0</v>
      </c>
      <c r="DR63" s="238"/>
      <c r="DS63" s="239">
        <f t="shared" si="166"/>
        <v>0</v>
      </c>
      <c r="DT63" s="238"/>
      <c r="DU63" s="239">
        <f t="shared" si="167"/>
        <v>0</v>
      </c>
      <c r="DV63" s="238"/>
      <c r="DW63" s="239">
        <f t="shared" si="168"/>
        <v>0</v>
      </c>
      <c r="DX63" s="238"/>
      <c r="DY63" s="239">
        <f t="shared" si="169"/>
        <v>0</v>
      </c>
      <c r="DZ63" s="238"/>
      <c r="EA63" s="239">
        <f t="shared" si="170"/>
        <v>0</v>
      </c>
      <c r="EB63" s="238"/>
      <c r="EC63" s="239">
        <f t="shared" si="171"/>
        <v>0</v>
      </c>
      <c r="ED63" s="238"/>
      <c r="EE63" s="239">
        <f t="shared" si="172"/>
        <v>0</v>
      </c>
      <c r="EF63" s="240">
        <f t="shared" si="173"/>
        <v>0</v>
      </c>
      <c r="EG63" s="239">
        <f t="shared" si="173"/>
        <v>0</v>
      </c>
    </row>
    <row r="64" spans="1:137" ht="19.8">
      <c r="A64" s="7">
        <v>53</v>
      </c>
      <c r="B64" s="8" t="s">
        <v>59</v>
      </c>
      <c r="C64" s="8" t="s">
        <v>11</v>
      </c>
      <c r="D64" s="7">
        <f>RANK(DF64,$DF$4:$DF$147)</f>
        <v>16</v>
      </c>
      <c r="E64" s="7">
        <v>0.64</v>
      </c>
      <c r="F64" s="7" t="s">
        <v>22</v>
      </c>
      <c r="G64" s="7">
        <v>1350</v>
      </c>
      <c r="H64" s="9">
        <v>5488</v>
      </c>
      <c r="I64" s="10">
        <f t="shared" si="2"/>
        <v>3512.32</v>
      </c>
      <c r="J64" s="9">
        <v>5082</v>
      </c>
      <c r="K64" s="10">
        <f t="shared" si="3"/>
        <v>3252.48</v>
      </c>
      <c r="L64" s="9">
        <v>7970</v>
      </c>
      <c r="M64" s="10">
        <f t="shared" si="4"/>
        <v>5100.8</v>
      </c>
      <c r="N64" s="9">
        <v>5152</v>
      </c>
      <c r="O64" s="10">
        <f t="shared" si="5"/>
        <v>3297.28</v>
      </c>
      <c r="P64" s="9">
        <v>5614</v>
      </c>
      <c r="Q64" s="10">
        <f t="shared" si="6"/>
        <v>3592.96</v>
      </c>
      <c r="R64" s="9">
        <v>5334</v>
      </c>
      <c r="S64" s="10">
        <f t="shared" si="7"/>
        <v>3413.76</v>
      </c>
      <c r="T64" s="9">
        <v>5899</v>
      </c>
      <c r="U64" s="10">
        <f t="shared" si="8"/>
        <v>3775.36</v>
      </c>
      <c r="V64" s="9">
        <v>4564</v>
      </c>
      <c r="W64" s="10">
        <f t="shared" si="9"/>
        <v>2920.96</v>
      </c>
      <c r="X64" s="9">
        <v>4830</v>
      </c>
      <c r="Y64" s="10">
        <f t="shared" si="10"/>
        <v>3091.2000000000003</v>
      </c>
      <c r="Z64" s="9">
        <v>6062</v>
      </c>
      <c r="AA64" s="10">
        <f t="shared" si="11"/>
        <v>3879.6800000000003</v>
      </c>
      <c r="AB64" s="9">
        <v>4074</v>
      </c>
      <c r="AC64" s="10">
        <f t="shared" si="12"/>
        <v>2607.36</v>
      </c>
      <c r="AD64" s="9">
        <v>5376</v>
      </c>
      <c r="AE64" s="10">
        <f t="shared" si="13"/>
        <v>3440.64</v>
      </c>
      <c r="AF64" s="11">
        <f t="shared" si="14"/>
        <v>65445</v>
      </c>
      <c r="AG64" s="12">
        <f t="shared" si="15"/>
        <v>41884.800000000003</v>
      </c>
      <c r="AH64" s="9">
        <v>5936</v>
      </c>
      <c r="AI64" s="10">
        <f t="shared" si="16"/>
        <v>3799.04</v>
      </c>
      <c r="AJ64" s="9">
        <v>2478</v>
      </c>
      <c r="AK64" s="10">
        <f t="shared" si="17"/>
        <v>1585.92</v>
      </c>
      <c r="AL64" s="9">
        <v>4396</v>
      </c>
      <c r="AM64" s="10">
        <f t="shared" si="18"/>
        <v>2813.44</v>
      </c>
      <c r="AN64" s="9">
        <v>1932</v>
      </c>
      <c r="AO64" s="10">
        <f t="shared" si="19"/>
        <v>1236.48</v>
      </c>
      <c r="AP64" s="9">
        <v>3542</v>
      </c>
      <c r="AQ64" s="10">
        <f t="shared" si="20"/>
        <v>2266.88</v>
      </c>
      <c r="AR64" s="9">
        <v>4718</v>
      </c>
      <c r="AS64" s="10">
        <f t="shared" si="21"/>
        <v>3019.52</v>
      </c>
      <c r="AT64" s="9">
        <v>2366</v>
      </c>
      <c r="AU64" s="10">
        <f t="shared" si="22"/>
        <v>1514.24</v>
      </c>
      <c r="AV64" s="9">
        <v>5698</v>
      </c>
      <c r="AW64" s="10">
        <f t="shared" si="23"/>
        <v>3646.7200000000003</v>
      </c>
      <c r="AX64" s="9">
        <v>2520</v>
      </c>
      <c r="AY64" s="10">
        <f t="shared" si="24"/>
        <v>1612.8</v>
      </c>
      <c r="AZ64" s="9">
        <v>2758</v>
      </c>
      <c r="BA64" s="10">
        <f t="shared" si="25"/>
        <v>1765.1200000000001</v>
      </c>
      <c r="BB64" s="9">
        <v>1554</v>
      </c>
      <c r="BC64" s="10">
        <f t="shared" si="26"/>
        <v>994.56000000000006</v>
      </c>
      <c r="BD64" s="9">
        <v>2492</v>
      </c>
      <c r="BE64" s="10">
        <f t="shared" si="27"/>
        <v>1594.88</v>
      </c>
      <c r="BF64" s="11">
        <f t="shared" si="28"/>
        <v>40390</v>
      </c>
      <c r="BG64" s="12">
        <f t="shared" si="29"/>
        <v>25849.600000000002</v>
      </c>
      <c r="BH64" s="13">
        <v>2940</v>
      </c>
      <c r="BI64" s="10">
        <f t="shared" si="30"/>
        <v>1881.6000000000001</v>
      </c>
      <c r="BJ64" s="13">
        <v>1932</v>
      </c>
      <c r="BK64" s="10">
        <f t="shared" si="31"/>
        <v>1236.48</v>
      </c>
      <c r="BL64" s="13">
        <v>3192</v>
      </c>
      <c r="BM64" s="10">
        <f t="shared" si="32"/>
        <v>2042.88</v>
      </c>
      <c r="BN64" s="13">
        <v>2240</v>
      </c>
      <c r="BO64" s="10">
        <f t="shared" si="33"/>
        <v>1433.6000000000001</v>
      </c>
      <c r="BP64" s="13">
        <v>2660</v>
      </c>
      <c r="BQ64" s="10">
        <f t="shared" si="34"/>
        <v>1702.4</v>
      </c>
      <c r="BR64" s="13">
        <v>3865</v>
      </c>
      <c r="BS64" s="10">
        <f t="shared" si="35"/>
        <v>2473.6</v>
      </c>
      <c r="BT64" s="13">
        <v>1919</v>
      </c>
      <c r="BU64" s="10">
        <f t="shared" si="36"/>
        <v>1228.1600000000001</v>
      </c>
      <c r="BV64" s="13">
        <v>2507</v>
      </c>
      <c r="BW64" s="10">
        <f t="shared" si="37"/>
        <v>1604.48</v>
      </c>
      <c r="BX64" s="13">
        <v>840</v>
      </c>
      <c r="BY64" s="10">
        <f t="shared" si="38"/>
        <v>537.6</v>
      </c>
      <c r="BZ64" s="13">
        <v>974</v>
      </c>
      <c r="CA64" s="10">
        <f t="shared" si="39"/>
        <v>623.36</v>
      </c>
      <c r="CB64" s="13"/>
      <c r="CC64" s="10">
        <f t="shared" si="40"/>
        <v>0</v>
      </c>
      <c r="CD64" s="14">
        <v>98</v>
      </c>
      <c r="CE64" s="10">
        <f t="shared" si="41"/>
        <v>62.72</v>
      </c>
      <c r="CF64" s="11">
        <f t="shared" si="42"/>
        <v>23167</v>
      </c>
      <c r="CG64" s="12">
        <f t="shared" si="43"/>
        <v>14826.880000000001</v>
      </c>
      <c r="CH64" s="15">
        <v>770</v>
      </c>
      <c r="CI64" s="10">
        <f t="shared" si="44"/>
        <v>492.8</v>
      </c>
      <c r="CJ64" s="15">
        <v>1344</v>
      </c>
      <c r="CK64" s="10">
        <f t="shared" si="45"/>
        <v>860.16</v>
      </c>
      <c r="CL64" s="15">
        <v>2828</v>
      </c>
      <c r="CM64" s="10">
        <f t="shared" si="46"/>
        <v>1809.92</v>
      </c>
      <c r="CN64" s="15">
        <v>630</v>
      </c>
      <c r="CO64" s="10">
        <f t="shared" si="47"/>
        <v>403.2</v>
      </c>
      <c r="CP64" s="15">
        <v>1666</v>
      </c>
      <c r="CQ64" s="10">
        <f t="shared" si="48"/>
        <v>1066.24</v>
      </c>
      <c r="CR64" s="15">
        <v>1246</v>
      </c>
      <c r="CS64" s="10">
        <f t="shared" si="49"/>
        <v>797.44</v>
      </c>
      <c r="CT64" s="15">
        <v>2982</v>
      </c>
      <c r="CU64" s="10">
        <f t="shared" si="50"/>
        <v>1908.48</v>
      </c>
      <c r="CV64" s="15">
        <v>2044</v>
      </c>
      <c r="CW64" s="10">
        <f t="shared" si="51"/>
        <v>1308.1600000000001</v>
      </c>
      <c r="CX64" s="15">
        <v>2576</v>
      </c>
      <c r="CY64" s="10">
        <f t="shared" si="52"/>
        <v>1648.64</v>
      </c>
      <c r="CZ64" s="15">
        <v>2044</v>
      </c>
      <c r="DA64" s="10">
        <f t="shared" si="53"/>
        <v>1308.1600000000001</v>
      </c>
      <c r="DB64" s="15">
        <v>980</v>
      </c>
      <c r="DC64" s="10">
        <f t="shared" si="54"/>
        <v>627.20000000000005</v>
      </c>
      <c r="DD64" s="15">
        <v>1414</v>
      </c>
      <c r="DE64" s="10">
        <f t="shared" si="54"/>
        <v>904.96</v>
      </c>
      <c r="DF64" s="231">
        <f t="shared" si="55"/>
        <v>20524</v>
      </c>
      <c r="DG64" s="230">
        <f t="shared" si="56"/>
        <v>13135.36</v>
      </c>
      <c r="DH64" s="238">
        <v>1610</v>
      </c>
      <c r="DI64" s="239">
        <f t="shared" si="161"/>
        <v>1030.4000000000001</v>
      </c>
      <c r="DJ64" s="15">
        <v>1330</v>
      </c>
      <c r="DK64" s="239">
        <f t="shared" si="162"/>
        <v>851.2</v>
      </c>
      <c r="DL64" s="238"/>
      <c r="DM64" s="239">
        <f t="shared" si="163"/>
        <v>0</v>
      </c>
      <c r="DN64" s="238"/>
      <c r="DO64" s="239">
        <f t="shared" si="164"/>
        <v>0</v>
      </c>
      <c r="DP64" s="238"/>
      <c r="DQ64" s="239">
        <f t="shared" si="165"/>
        <v>0</v>
      </c>
      <c r="DR64" s="238"/>
      <c r="DS64" s="239">
        <f t="shared" si="166"/>
        <v>0</v>
      </c>
      <c r="DT64" s="238"/>
      <c r="DU64" s="239">
        <f t="shared" si="167"/>
        <v>0</v>
      </c>
      <c r="DV64" s="238"/>
      <c r="DW64" s="239">
        <f t="shared" si="168"/>
        <v>0</v>
      </c>
      <c r="DX64" s="238"/>
      <c r="DY64" s="239">
        <f t="shared" si="169"/>
        <v>0</v>
      </c>
      <c r="DZ64" s="238"/>
      <c r="EA64" s="239">
        <f t="shared" si="170"/>
        <v>0</v>
      </c>
      <c r="EB64" s="238"/>
      <c r="EC64" s="239">
        <f t="shared" si="171"/>
        <v>0</v>
      </c>
      <c r="ED64" s="238"/>
      <c r="EE64" s="239">
        <f t="shared" si="172"/>
        <v>0</v>
      </c>
      <c r="EF64" s="240">
        <f t="shared" si="173"/>
        <v>2940</v>
      </c>
      <c r="EG64" s="239">
        <f t="shared" si="173"/>
        <v>1881.6000000000001</v>
      </c>
    </row>
    <row r="65" spans="1:137" ht="19.8">
      <c r="A65" s="7"/>
      <c r="B65" s="19"/>
      <c r="C65" s="19"/>
      <c r="D65" s="19"/>
      <c r="E65" s="7"/>
      <c r="F65" s="7"/>
      <c r="G65" s="7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>
        <f>R65*$E65</f>
        <v>0</v>
      </c>
      <c r="T65" s="9"/>
      <c r="U65" s="10"/>
      <c r="V65" s="9"/>
      <c r="W65" s="10"/>
      <c r="X65" s="9"/>
      <c r="Y65" s="10"/>
      <c r="Z65" s="9"/>
      <c r="AA65" s="10"/>
      <c r="AB65" s="9"/>
      <c r="AC65" s="10"/>
      <c r="AD65" s="9"/>
      <c r="AE65" s="10"/>
      <c r="AF65" s="11">
        <f>(AD65+AB65+Z65+X65+V65+T65+R65+P65+N65+L65+J65+H65)/1</f>
        <v>0</v>
      </c>
      <c r="AG65" s="12">
        <f t="shared" si="15"/>
        <v>0</v>
      </c>
      <c r="AH65" s="9"/>
      <c r="AI65" s="10"/>
      <c r="AJ65" s="9"/>
      <c r="AK65" s="10"/>
      <c r="AL65" s="9"/>
      <c r="AM65" s="10"/>
      <c r="AN65" s="9"/>
      <c r="AO65" s="10"/>
      <c r="AP65" s="9"/>
      <c r="AQ65" s="10"/>
      <c r="AR65" s="9"/>
      <c r="AS65" s="10"/>
      <c r="AT65" s="9"/>
      <c r="AU65" s="10"/>
      <c r="AV65" s="9"/>
      <c r="AW65" s="10"/>
      <c r="AX65" s="9"/>
      <c r="AY65" s="10"/>
      <c r="AZ65" s="9"/>
      <c r="BA65" s="10"/>
      <c r="BB65" s="9"/>
      <c r="BC65" s="10"/>
      <c r="BD65" s="9"/>
      <c r="BE65" s="10"/>
      <c r="BF65" s="11">
        <f t="shared" si="28"/>
        <v>0</v>
      </c>
      <c r="BG65" s="12">
        <f t="shared" si="29"/>
        <v>0</v>
      </c>
      <c r="BH65" s="15"/>
      <c r="BI65" s="10"/>
      <c r="BJ65" s="15"/>
      <c r="BK65" s="10"/>
      <c r="BL65" s="15"/>
      <c r="BM65" s="10"/>
      <c r="BN65" s="15"/>
      <c r="BO65" s="10"/>
      <c r="BP65" s="15"/>
      <c r="BQ65" s="10"/>
      <c r="BR65" s="15"/>
      <c r="BS65" s="10"/>
      <c r="BT65" s="15"/>
      <c r="BU65" s="10"/>
      <c r="BV65" s="15"/>
      <c r="BW65" s="10"/>
      <c r="BX65" s="15"/>
      <c r="BY65" s="10"/>
      <c r="BZ65" s="15"/>
      <c r="CA65" s="10"/>
      <c r="CB65" s="15"/>
      <c r="CC65" s="10"/>
      <c r="CD65" s="15"/>
      <c r="CE65" s="10"/>
      <c r="CF65" s="11">
        <f t="shared" si="42"/>
        <v>0</v>
      </c>
      <c r="CG65" s="12">
        <f t="shared" si="43"/>
        <v>0</v>
      </c>
      <c r="CH65" s="15"/>
      <c r="CI65" s="10">
        <f t="shared" si="44"/>
        <v>0</v>
      </c>
      <c r="CJ65" s="15"/>
      <c r="CK65" s="10">
        <f t="shared" si="45"/>
        <v>0</v>
      </c>
      <c r="CL65" s="15"/>
      <c r="CM65" s="10">
        <f t="shared" si="46"/>
        <v>0</v>
      </c>
      <c r="CN65" s="15"/>
      <c r="CO65" s="10">
        <f t="shared" si="47"/>
        <v>0</v>
      </c>
      <c r="CP65" s="15"/>
      <c r="CQ65" s="10">
        <f t="shared" si="48"/>
        <v>0</v>
      </c>
      <c r="CR65" s="15"/>
      <c r="CS65" s="10">
        <f t="shared" si="49"/>
        <v>0</v>
      </c>
      <c r="CT65" s="15"/>
      <c r="CU65" s="10">
        <f t="shared" si="50"/>
        <v>0</v>
      </c>
      <c r="CV65" s="15"/>
      <c r="CW65" s="10">
        <f t="shared" si="51"/>
        <v>0</v>
      </c>
      <c r="CX65" s="15"/>
      <c r="CY65" s="10">
        <f t="shared" si="52"/>
        <v>0</v>
      </c>
      <c r="CZ65" s="15"/>
      <c r="DA65" s="10">
        <f t="shared" si="53"/>
        <v>0</v>
      </c>
      <c r="DB65" s="15"/>
      <c r="DC65" s="10">
        <f t="shared" si="54"/>
        <v>0</v>
      </c>
      <c r="DD65" s="15"/>
      <c r="DE65" s="10">
        <f t="shared" si="54"/>
        <v>0</v>
      </c>
      <c r="DF65" s="231">
        <f t="shared" si="55"/>
        <v>0</v>
      </c>
      <c r="DG65" s="230">
        <f t="shared" si="56"/>
        <v>0</v>
      </c>
      <c r="DH65" s="238"/>
      <c r="DI65" s="239"/>
      <c r="DJ65" s="15"/>
      <c r="DK65" s="239"/>
      <c r="DL65" s="238"/>
      <c r="DM65" s="239"/>
      <c r="DN65" s="238"/>
      <c r="DO65" s="239"/>
      <c r="DP65" s="238"/>
      <c r="DQ65" s="239"/>
      <c r="DR65" s="238"/>
      <c r="DS65" s="239"/>
      <c r="DT65" s="238"/>
      <c r="DU65" s="239"/>
      <c r="DV65" s="238"/>
      <c r="DW65" s="239"/>
      <c r="DX65" s="238"/>
      <c r="DY65" s="239"/>
      <c r="DZ65" s="238"/>
      <c r="EA65" s="239"/>
      <c r="EB65" s="238"/>
      <c r="EC65" s="239"/>
      <c r="ED65" s="238"/>
      <c r="EE65" s="239"/>
      <c r="EF65" s="240"/>
      <c r="EG65" s="239"/>
    </row>
    <row r="66" spans="1:137" ht="19.8">
      <c r="A66" s="7">
        <v>54</v>
      </c>
      <c r="B66" s="8" t="s">
        <v>60</v>
      </c>
      <c r="C66" s="8" t="s">
        <v>14</v>
      </c>
      <c r="D66" s="7">
        <f>RANK(DF66,$DF$4:$DF$147)</f>
        <v>31</v>
      </c>
      <c r="E66" s="7">
        <v>1</v>
      </c>
      <c r="F66" s="7" t="s">
        <v>12</v>
      </c>
      <c r="G66" s="7"/>
      <c r="H66" s="15"/>
      <c r="I66" s="10">
        <f t="shared" si="2"/>
        <v>0</v>
      </c>
      <c r="J66" s="15"/>
      <c r="K66" s="10">
        <f t="shared" si="3"/>
        <v>0</v>
      </c>
      <c r="L66" s="15"/>
      <c r="M66" s="10">
        <f t="shared" si="4"/>
        <v>0</v>
      </c>
      <c r="N66" s="15"/>
      <c r="O66" s="10">
        <f t="shared" si="5"/>
        <v>0</v>
      </c>
      <c r="P66" s="15"/>
      <c r="Q66" s="10">
        <f t="shared" si="6"/>
        <v>0</v>
      </c>
      <c r="R66" s="15"/>
      <c r="S66" s="10">
        <f t="shared" ref="S66:S76" si="174">R66*$E66</f>
        <v>0</v>
      </c>
      <c r="T66" s="15"/>
      <c r="U66" s="10">
        <f t="shared" si="8"/>
        <v>0</v>
      </c>
      <c r="V66" s="15"/>
      <c r="W66" s="10">
        <f t="shared" si="9"/>
        <v>0</v>
      </c>
      <c r="X66" s="15"/>
      <c r="Y66" s="10">
        <f t="shared" si="10"/>
        <v>0</v>
      </c>
      <c r="Z66" s="15"/>
      <c r="AA66" s="10">
        <f t="shared" si="11"/>
        <v>0</v>
      </c>
      <c r="AB66" s="15"/>
      <c r="AC66" s="10">
        <f t="shared" si="12"/>
        <v>0</v>
      </c>
      <c r="AD66" s="15"/>
      <c r="AE66" s="10">
        <f t="shared" si="13"/>
        <v>0</v>
      </c>
      <c r="AF66" s="11">
        <f t="shared" si="14"/>
        <v>0</v>
      </c>
      <c r="AG66" s="12">
        <f t="shared" si="15"/>
        <v>0</v>
      </c>
      <c r="AH66" s="15"/>
      <c r="AI66" s="10">
        <f t="shared" si="16"/>
        <v>0</v>
      </c>
      <c r="AJ66" s="15"/>
      <c r="AK66" s="10">
        <f t="shared" si="17"/>
        <v>0</v>
      </c>
      <c r="AL66" s="15"/>
      <c r="AM66" s="10">
        <f t="shared" si="18"/>
        <v>0</v>
      </c>
      <c r="AN66" s="15"/>
      <c r="AO66" s="10">
        <f t="shared" si="19"/>
        <v>0</v>
      </c>
      <c r="AP66" s="15"/>
      <c r="AQ66" s="10">
        <f t="shared" si="20"/>
        <v>0</v>
      </c>
      <c r="AR66" s="15"/>
      <c r="AS66" s="10">
        <f t="shared" si="21"/>
        <v>0</v>
      </c>
      <c r="AT66" s="15"/>
      <c r="AU66" s="10">
        <f t="shared" si="22"/>
        <v>0</v>
      </c>
      <c r="AV66" s="15"/>
      <c r="AW66" s="10">
        <f t="shared" si="23"/>
        <v>0</v>
      </c>
      <c r="AX66" s="15"/>
      <c r="AY66" s="10">
        <f t="shared" si="24"/>
        <v>0</v>
      </c>
      <c r="AZ66" s="15"/>
      <c r="BA66" s="10">
        <f t="shared" si="25"/>
        <v>0</v>
      </c>
      <c r="BB66" s="15"/>
      <c r="BC66" s="10">
        <f t="shared" si="26"/>
        <v>0</v>
      </c>
      <c r="BD66" s="15"/>
      <c r="BE66" s="10">
        <f t="shared" si="27"/>
        <v>0</v>
      </c>
      <c r="BF66" s="11">
        <f t="shared" si="28"/>
        <v>0</v>
      </c>
      <c r="BG66" s="12">
        <f t="shared" si="29"/>
        <v>0</v>
      </c>
      <c r="BH66" s="15"/>
      <c r="BI66" s="10">
        <f t="shared" si="30"/>
        <v>0</v>
      </c>
      <c r="BJ66" s="15"/>
      <c r="BK66" s="10">
        <f t="shared" si="31"/>
        <v>0</v>
      </c>
      <c r="BL66" s="15"/>
      <c r="BM66" s="10">
        <f t="shared" si="32"/>
        <v>0</v>
      </c>
      <c r="BN66" s="15"/>
      <c r="BO66" s="10">
        <f t="shared" si="33"/>
        <v>0</v>
      </c>
      <c r="BP66" s="15"/>
      <c r="BQ66" s="10">
        <f t="shared" si="34"/>
        <v>0</v>
      </c>
      <c r="BR66" s="15"/>
      <c r="BS66" s="10">
        <f t="shared" si="35"/>
        <v>0</v>
      </c>
      <c r="BT66" s="15"/>
      <c r="BU66" s="10">
        <f t="shared" si="36"/>
        <v>0</v>
      </c>
      <c r="BV66" s="15"/>
      <c r="BW66" s="10">
        <f t="shared" si="37"/>
        <v>0</v>
      </c>
      <c r="BX66" s="15"/>
      <c r="BY66" s="10">
        <f t="shared" si="38"/>
        <v>0</v>
      </c>
      <c r="BZ66" s="15"/>
      <c r="CA66" s="10">
        <f t="shared" si="39"/>
        <v>0</v>
      </c>
      <c r="CB66" s="15"/>
      <c r="CC66" s="10">
        <f t="shared" si="40"/>
        <v>0</v>
      </c>
      <c r="CD66" s="15"/>
      <c r="CE66" s="10">
        <f t="shared" si="41"/>
        <v>0</v>
      </c>
      <c r="CF66" s="11">
        <f t="shared" si="42"/>
        <v>0</v>
      </c>
      <c r="CG66" s="12">
        <f t="shared" si="43"/>
        <v>0</v>
      </c>
      <c r="CH66" s="15"/>
      <c r="CI66" s="10">
        <f t="shared" si="44"/>
        <v>0</v>
      </c>
      <c r="CJ66" s="15"/>
      <c r="CK66" s="10">
        <f t="shared" si="45"/>
        <v>0</v>
      </c>
      <c r="CL66" s="15"/>
      <c r="CM66" s="10">
        <f t="shared" si="46"/>
        <v>0</v>
      </c>
      <c r="CN66" s="15"/>
      <c r="CO66" s="10">
        <f t="shared" si="47"/>
        <v>0</v>
      </c>
      <c r="CP66" s="15"/>
      <c r="CQ66" s="10">
        <f t="shared" si="48"/>
        <v>0</v>
      </c>
      <c r="CR66" s="15"/>
      <c r="CS66" s="10">
        <f t="shared" si="49"/>
        <v>0</v>
      </c>
      <c r="CT66" s="15"/>
      <c r="CU66" s="10">
        <f t="shared" si="50"/>
        <v>0</v>
      </c>
      <c r="CV66" s="15"/>
      <c r="CW66" s="10">
        <f t="shared" si="51"/>
        <v>0</v>
      </c>
      <c r="CX66" s="15"/>
      <c r="CY66" s="10">
        <f t="shared" si="52"/>
        <v>0</v>
      </c>
      <c r="CZ66" s="15"/>
      <c r="DA66" s="10">
        <f t="shared" si="53"/>
        <v>0</v>
      </c>
      <c r="DB66" s="15"/>
      <c r="DC66" s="10">
        <f t="shared" si="54"/>
        <v>0</v>
      </c>
      <c r="DD66" s="15"/>
      <c r="DE66" s="10">
        <f t="shared" si="54"/>
        <v>0</v>
      </c>
      <c r="DF66" s="231">
        <f t="shared" si="55"/>
        <v>0</v>
      </c>
      <c r="DG66" s="230">
        <f t="shared" si="56"/>
        <v>0</v>
      </c>
      <c r="DH66" s="238"/>
      <c r="DI66" s="239">
        <f t="shared" ref="DI66:DI68" si="175">DH66*$E66</f>
        <v>0</v>
      </c>
      <c r="DJ66" s="15"/>
      <c r="DK66" s="239">
        <f t="shared" ref="DK66:DK68" si="176">DJ66*$E66</f>
        <v>0</v>
      </c>
      <c r="DL66" s="238"/>
      <c r="DM66" s="239">
        <f t="shared" ref="DM66:DM68" si="177">DL66*$E66</f>
        <v>0</v>
      </c>
      <c r="DN66" s="238"/>
      <c r="DO66" s="239">
        <f t="shared" ref="DO66:DO68" si="178">DN66*$E66</f>
        <v>0</v>
      </c>
      <c r="DP66" s="238"/>
      <c r="DQ66" s="239">
        <f t="shared" ref="DQ66:DQ68" si="179">DP66*$E66</f>
        <v>0</v>
      </c>
      <c r="DR66" s="238"/>
      <c r="DS66" s="239">
        <f t="shared" ref="DS66:DS68" si="180">DR66*$E66</f>
        <v>0</v>
      </c>
      <c r="DT66" s="238"/>
      <c r="DU66" s="239">
        <f t="shared" ref="DU66:DU68" si="181">DT66*$E66</f>
        <v>0</v>
      </c>
      <c r="DV66" s="238"/>
      <c r="DW66" s="239">
        <f t="shared" ref="DW66:DW68" si="182">DV66*$E66</f>
        <v>0</v>
      </c>
      <c r="DX66" s="238"/>
      <c r="DY66" s="239">
        <f t="shared" ref="DY66:DY68" si="183">DX66*$E66</f>
        <v>0</v>
      </c>
      <c r="DZ66" s="238"/>
      <c r="EA66" s="239">
        <f t="shared" ref="EA66:EA68" si="184">DZ66*$E66</f>
        <v>0</v>
      </c>
      <c r="EB66" s="238"/>
      <c r="EC66" s="239">
        <f t="shared" ref="EC66:EC68" si="185">EB66*$E66</f>
        <v>0</v>
      </c>
      <c r="ED66" s="238"/>
      <c r="EE66" s="239">
        <f t="shared" ref="EE66:EE68" si="186">ED66*$E66</f>
        <v>0</v>
      </c>
      <c r="EF66" s="240">
        <f t="shared" ref="EF66:EG68" si="187">SUM(DH66,DJ66,DL66,DN66,DP66,DR66,DT66,DV66,DX66,DZ66,EB66,ED66)</f>
        <v>0</v>
      </c>
      <c r="EG66" s="239">
        <f t="shared" si="187"/>
        <v>0</v>
      </c>
    </row>
    <row r="67" spans="1:137" ht="19.8">
      <c r="A67" s="7">
        <v>55</v>
      </c>
      <c r="B67" s="8" t="s">
        <v>61</v>
      </c>
      <c r="C67" s="8" t="s">
        <v>14</v>
      </c>
      <c r="D67" s="7">
        <f>RANK(DF67,$DF$4:$DF$147)</f>
        <v>31</v>
      </c>
      <c r="E67" s="7">
        <v>0.6</v>
      </c>
      <c r="F67" s="7" t="s">
        <v>12</v>
      </c>
      <c r="G67" s="7"/>
      <c r="H67" s="15"/>
      <c r="I67" s="10">
        <f t="shared" si="2"/>
        <v>0</v>
      </c>
      <c r="J67" s="15"/>
      <c r="K67" s="10">
        <f t="shared" si="3"/>
        <v>0</v>
      </c>
      <c r="L67" s="15"/>
      <c r="M67" s="10">
        <f t="shared" si="4"/>
        <v>0</v>
      </c>
      <c r="N67" s="15"/>
      <c r="O67" s="10">
        <f t="shared" si="5"/>
        <v>0</v>
      </c>
      <c r="P67" s="15"/>
      <c r="Q67" s="10">
        <f t="shared" si="6"/>
        <v>0</v>
      </c>
      <c r="R67" s="15"/>
      <c r="S67" s="10">
        <f t="shared" si="174"/>
        <v>0</v>
      </c>
      <c r="T67" s="15"/>
      <c r="U67" s="10">
        <f t="shared" si="8"/>
        <v>0</v>
      </c>
      <c r="V67" s="15"/>
      <c r="W67" s="10">
        <f t="shared" si="9"/>
        <v>0</v>
      </c>
      <c r="X67" s="15"/>
      <c r="Y67" s="10">
        <f t="shared" si="10"/>
        <v>0</v>
      </c>
      <c r="Z67" s="15"/>
      <c r="AA67" s="10">
        <f t="shared" si="11"/>
        <v>0</v>
      </c>
      <c r="AB67" s="15"/>
      <c r="AC67" s="10">
        <f t="shared" si="12"/>
        <v>0</v>
      </c>
      <c r="AD67" s="15"/>
      <c r="AE67" s="10">
        <f t="shared" si="13"/>
        <v>0</v>
      </c>
      <c r="AF67" s="11">
        <f t="shared" si="14"/>
        <v>0</v>
      </c>
      <c r="AG67" s="12">
        <f t="shared" si="15"/>
        <v>0</v>
      </c>
      <c r="AH67" s="15"/>
      <c r="AI67" s="10">
        <f t="shared" si="16"/>
        <v>0</v>
      </c>
      <c r="AJ67" s="15"/>
      <c r="AK67" s="10">
        <f t="shared" si="17"/>
        <v>0</v>
      </c>
      <c r="AL67" s="15"/>
      <c r="AM67" s="10">
        <f t="shared" si="18"/>
        <v>0</v>
      </c>
      <c r="AN67" s="15"/>
      <c r="AO67" s="10">
        <f t="shared" si="19"/>
        <v>0</v>
      </c>
      <c r="AP67" s="15"/>
      <c r="AQ67" s="10">
        <f t="shared" si="20"/>
        <v>0</v>
      </c>
      <c r="AR67" s="15"/>
      <c r="AS67" s="10">
        <f t="shared" si="21"/>
        <v>0</v>
      </c>
      <c r="AT67" s="15"/>
      <c r="AU67" s="10">
        <f t="shared" si="22"/>
        <v>0</v>
      </c>
      <c r="AV67" s="15"/>
      <c r="AW67" s="10">
        <f t="shared" si="23"/>
        <v>0</v>
      </c>
      <c r="AX67" s="15"/>
      <c r="AY67" s="10">
        <f t="shared" si="24"/>
        <v>0</v>
      </c>
      <c r="AZ67" s="15"/>
      <c r="BA67" s="10">
        <f t="shared" si="25"/>
        <v>0</v>
      </c>
      <c r="BB67" s="15"/>
      <c r="BC67" s="10">
        <f t="shared" si="26"/>
        <v>0</v>
      </c>
      <c r="BD67" s="15"/>
      <c r="BE67" s="10">
        <f t="shared" si="27"/>
        <v>0</v>
      </c>
      <c r="BF67" s="11">
        <f t="shared" si="28"/>
        <v>0</v>
      </c>
      <c r="BG67" s="12">
        <f t="shared" si="29"/>
        <v>0</v>
      </c>
      <c r="BH67" s="15"/>
      <c r="BI67" s="10">
        <f t="shared" si="30"/>
        <v>0</v>
      </c>
      <c r="BJ67" s="15"/>
      <c r="BK67" s="10">
        <f t="shared" si="31"/>
        <v>0</v>
      </c>
      <c r="BL67" s="15"/>
      <c r="BM67" s="10">
        <f t="shared" si="32"/>
        <v>0</v>
      </c>
      <c r="BN67" s="15"/>
      <c r="BO67" s="10">
        <f t="shared" si="33"/>
        <v>0</v>
      </c>
      <c r="BP67" s="15"/>
      <c r="BQ67" s="10">
        <f t="shared" si="34"/>
        <v>0</v>
      </c>
      <c r="BR67" s="15"/>
      <c r="BS67" s="10">
        <f t="shared" si="35"/>
        <v>0</v>
      </c>
      <c r="BT67" s="15"/>
      <c r="BU67" s="10">
        <f t="shared" si="36"/>
        <v>0</v>
      </c>
      <c r="BV67" s="15"/>
      <c r="BW67" s="10">
        <f t="shared" si="37"/>
        <v>0</v>
      </c>
      <c r="BX67" s="15"/>
      <c r="BY67" s="10">
        <f t="shared" si="38"/>
        <v>0</v>
      </c>
      <c r="BZ67" s="15"/>
      <c r="CA67" s="10">
        <f t="shared" si="39"/>
        <v>0</v>
      </c>
      <c r="CB67" s="15"/>
      <c r="CC67" s="10">
        <f t="shared" si="40"/>
        <v>0</v>
      </c>
      <c r="CD67" s="15"/>
      <c r="CE67" s="10">
        <f t="shared" si="41"/>
        <v>0</v>
      </c>
      <c r="CF67" s="11">
        <f t="shared" si="42"/>
        <v>0</v>
      </c>
      <c r="CG67" s="12">
        <f t="shared" si="43"/>
        <v>0</v>
      </c>
      <c r="CH67" s="15"/>
      <c r="CI67" s="10">
        <f t="shared" si="44"/>
        <v>0</v>
      </c>
      <c r="CJ67" s="15"/>
      <c r="CK67" s="10">
        <f t="shared" si="45"/>
        <v>0</v>
      </c>
      <c r="CL67" s="15"/>
      <c r="CM67" s="10">
        <f t="shared" si="46"/>
        <v>0</v>
      </c>
      <c r="CN67" s="15"/>
      <c r="CO67" s="10">
        <f t="shared" si="47"/>
        <v>0</v>
      </c>
      <c r="CP67" s="15"/>
      <c r="CQ67" s="10">
        <f t="shared" si="48"/>
        <v>0</v>
      </c>
      <c r="CR67" s="15"/>
      <c r="CS67" s="10">
        <f t="shared" si="49"/>
        <v>0</v>
      </c>
      <c r="CT67" s="15"/>
      <c r="CU67" s="10">
        <f t="shared" si="50"/>
        <v>0</v>
      </c>
      <c r="CV67" s="15"/>
      <c r="CW67" s="10">
        <f t="shared" si="51"/>
        <v>0</v>
      </c>
      <c r="CX67" s="15"/>
      <c r="CY67" s="10">
        <f t="shared" si="52"/>
        <v>0</v>
      </c>
      <c r="CZ67" s="15"/>
      <c r="DA67" s="10">
        <f t="shared" si="53"/>
        <v>0</v>
      </c>
      <c r="DB67" s="15"/>
      <c r="DC67" s="10">
        <f t="shared" si="54"/>
        <v>0</v>
      </c>
      <c r="DD67" s="15"/>
      <c r="DE67" s="10">
        <f t="shared" si="54"/>
        <v>0</v>
      </c>
      <c r="DF67" s="231">
        <f t="shared" si="55"/>
        <v>0</v>
      </c>
      <c r="DG67" s="230">
        <f t="shared" si="56"/>
        <v>0</v>
      </c>
      <c r="DH67" s="238"/>
      <c r="DI67" s="239">
        <f t="shared" si="175"/>
        <v>0</v>
      </c>
      <c r="DJ67" s="15"/>
      <c r="DK67" s="239">
        <f t="shared" si="176"/>
        <v>0</v>
      </c>
      <c r="DL67" s="238"/>
      <c r="DM67" s="239">
        <f t="shared" si="177"/>
        <v>0</v>
      </c>
      <c r="DN67" s="238"/>
      <c r="DO67" s="239">
        <f t="shared" si="178"/>
        <v>0</v>
      </c>
      <c r="DP67" s="238"/>
      <c r="DQ67" s="239">
        <f t="shared" si="179"/>
        <v>0</v>
      </c>
      <c r="DR67" s="238"/>
      <c r="DS67" s="239">
        <f t="shared" si="180"/>
        <v>0</v>
      </c>
      <c r="DT67" s="238"/>
      <c r="DU67" s="239">
        <f t="shared" si="181"/>
        <v>0</v>
      </c>
      <c r="DV67" s="238"/>
      <c r="DW67" s="239">
        <f t="shared" si="182"/>
        <v>0</v>
      </c>
      <c r="DX67" s="238"/>
      <c r="DY67" s="239">
        <f t="shared" si="183"/>
        <v>0</v>
      </c>
      <c r="DZ67" s="238"/>
      <c r="EA67" s="239">
        <f t="shared" si="184"/>
        <v>0</v>
      </c>
      <c r="EB67" s="238"/>
      <c r="EC67" s="239">
        <f t="shared" si="185"/>
        <v>0</v>
      </c>
      <c r="ED67" s="238"/>
      <c r="EE67" s="239">
        <f t="shared" si="186"/>
        <v>0</v>
      </c>
      <c r="EF67" s="240">
        <f t="shared" si="187"/>
        <v>0</v>
      </c>
      <c r="EG67" s="239">
        <f t="shared" si="187"/>
        <v>0</v>
      </c>
    </row>
    <row r="68" spans="1:137" ht="19.8">
      <c r="A68" s="7">
        <v>56</v>
      </c>
      <c r="B68" s="8" t="s">
        <v>62</v>
      </c>
      <c r="C68" s="8" t="s">
        <v>11</v>
      </c>
      <c r="D68" s="7">
        <f>RANK(DF68,$DF$4:$DF$147)</f>
        <v>31</v>
      </c>
      <c r="E68" s="7">
        <v>0.64</v>
      </c>
      <c r="F68" s="7" t="s">
        <v>22</v>
      </c>
      <c r="G68" s="7"/>
      <c r="H68" s="15"/>
      <c r="I68" s="10">
        <f t="shared" si="2"/>
        <v>0</v>
      </c>
      <c r="J68" s="15"/>
      <c r="K68" s="10">
        <f t="shared" si="3"/>
        <v>0</v>
      </c>
      <c r="L68" s="15"/>
      <c r="M68" s="10">
        <f t="shared" si="4"/>
        <v>0</v>
      </c>
      <c r="N68" s="15"/>
      <c r="O68" s="10">
        <f t="shared" si="5"/>
        <v>0</v>
      </c>
      <c r="P68" s="15"/>
      <c r="Q68" s="10">
        <f t="shared" si="6"/>
        <v>0</v>
      </c>
      <c r="R68" s="15"/>
      <c r="S68" s="10">
        <f t="shared" si="174"/>
        <v>0</v>
      </c>
      <c r="T68" s="15"/>
      <c r="U68" s="10">
        <f t="shared" si="8"/>
        <v>0</v>
      </c>
      <c r="V68" s="15"/>
      <c r="W68" s="10">
        <f t="shared" si="9"/>
        <v>0</v>
      </c>
      <c r="X68" s="15"/>
      <c r="Y68" s="10">
        <f t="shared" si="10"/>
        <v>0</v>
      </c>
      <c r="Z68" s="15"/>
      <c r="AA68" s="10">
        <f t="shared" si="11"/>
        <v>0</v>
      </c>
      <c r="AB68" s="15"/>
      <c r="AC68" s="10">
        <f t="shared" si="12"/>
        <v>0</v>
      </c>
      <c r="AD68" s="15"/>
      <c r="AE68" s="10">
        <f t="shared" si="13"/>
        <v>0</v>
      </c>
      <c r="AF68" s="11">
        <f t="shared" si="14"/>
        <v>0</v>
      </c>
      <c r="AG68" s="12">
        <f t="shared" si="15"/>
        <v>0</v>
      </c>
      <c r="AH68" s="15"/>
      <c r="AI68" s="10">
        <f t="shared" si="16"/>
        <v>0</v>
      </c>
      <c r="AJ68" s="15"/>
      <c r="AK68" s="10">
        <f t="shared" si="17"/>
        <v>0</v>
      </c>
      <c r="AL68" s="15"/>
      <c r="AM68" s="10">
        <f t="shared" si="18"/>
        <v>0</v>
      </c>
      <c r="AN68" s="15"/>
      <c r="AO68" s="10">
        <f t="shared" si="19"/>
        <v>0</v>
      </c>
      <c r="AP68" s="15"/>
      <c r="AQ68" s="10">
        <f t="shared" si="20"/>
        <v>0</v>
      </c>
      <c r="AR68" s="15"/>
      <c r="AS68" s="10">
        <f t="shared" si="21"/>
        <v>0</v>
      </c>
      <c r="AT68" s="15"/>
      <c r="AU68" s="10">
        <f t="shared" si="22"/>
        <v>0</v>
      </c>
      <c r="AV68" s="15"/>
      <c r="AW68" s="10">
        <f t="shared" si="23"/>
        <v>0</v>
      </c>
      <c r="AX68" s="15"/>
      <c r="AY68" s="10">
        <f t="shared" si="24"/>
        <v>0</v>
      </c>
      <c r="AZ68" s="15"/>
      <c r="BA68" s="10">
        <f t="shared" si="25"/>
        <v>0</v>
      </c>
      <c r="BB68" s="15"/>
      <c r="BC68" s="10">
        <f t="shared" si="26"/>
        <v>0</v>
      </c>
      <c r="BD68" s="15"/>
      <c r="BE68" s="10">
        <f t="shared" si="27"/>
        <v>0</v>
      </c>
      <c r="BF68" s="11">
        <f t="shared" si="28"/>
        <v>0</v>
      </c>
      <c r="BG68" s="12">
        <f t="shared" si="29"/>
        <v>0</v>
      </c>
      <c r="BH68" s="15"/>
      <c r="BI68" s="10">
        <f t="shared" si="30"/>
        <v>0</v>
      </c>
      <c r="BJ68" s="15"/>
      <c r="BK68" s="10">
        <f t="shared" si="31"/>
        <v>0</v>
      </c>
      <c r="BL68" s="15"/>
      <c r="BM68" s="10">
        <f t="shared" si="32"/>
        <v>0</v>
      </c>
      <c r="BN68" s="15"/>
      <c r="BO68" s="10">
        <f t="shared" si="33"/>
        <v>0</v>
      </c>
      <c r="BP68" s="15"/>
      <c r="BQ68" s="10">
        <f t="shared" si="34"/>
        <v>0</v>
      </c>
      <c r="BR68" s="15"/>
      <c r="BS68" s="10">
        <f t="shared" si="35"/>
        <v>0</v>
      </c>
      <c r="BT68" s="15"/>
      <c r="BU68" s="10">
        <f t="shared" si="36"/>
        <v>0</v>
      </c>
      <c r="BV68" s="15"/>
      <c r="BW68" s="10">
        <f t="shared" si="37"/>
        <v>0</v>
      </c>
      <c r="BX68" s="15"/>
      <c r="BY68" s="10">
        <f t="shared" si="38"/>
        <v>0</v>
      </c>
      <c r="BZ68" s="15"/>
      <c r="CA68" s="10">
        <f t="shared" si="39"/>
        <v>0</v>
      </c>
      <c r="CB68" s="15"/>
      <c r="CC68" s="10">
        <f t="shared" si="40"/>
        <v>0</v>
      </c>
      <c r="CD68" s="15"/>
      <c r="CE68" s="10">
        <f t="shared" si="41"/>
        <v>0</v>
      </c>
      <c r="CF68" s="11">
        <f t="shared" si="42"/>
        <v>0</v>
      </c>
      <c r="CG68" s="12">
        <f t="shared" si="43"/>
        <v>0</v>
      </c>
      <c r="CH68" s="15"/>
      <c r="CI68" s="10">
        <f t="shared" si="44"/>
        <v>0</v>
      </c>
      <c r="CJ68" s="15"/>
      <c r="CK68" s="10">
        <f t="shared" si="45"/>
        <v>0</v>
      </c>
      <c r="CL68" s="15"/>
      <c r="CM68" s="10">
        <f t="shared" si="46"/>
        <v>0</v>
      </c>
      <c r="CN68" s="15"/>
      <c r="CO68" s="10">
        <f t="shared" si="47"/>
        <v>0</v>
      </c>
      <c r="CP68" s="15"/>
      <c r="CQ68" s="10">
        <f t="shared" si="48"/>
        <v>0</v>
      </c>
      <c r="CR68" s="15"/>
      <c r="CS68" s="10">
        <f t="shared" si="49"/>
        <v>0</v>
      </c>
      <c r="CT68" s="15"/>
      <c r="CU68" s="10">
        <f t="shared" si="50"/>
        <v>0</v>
      </c>
      <c r="CV68" s="15"/>
      <c r="CW68" s="10">
        <f t="shared" si="51"/>
        <v>0</v>
      </c>
      <c r="CX68" s="15"/>
      <c r="CY68" s="10">
        <f t="shared" si="52"/>
        <v>0</v>
      </c>
      <c r="CZ68" s="15"/>
      <c r="DA68" s="10">
        <f t="shared" si="53"/>
        <v>0</v>
      </c>
      <c r="DB68" s="15"/>
      <c r="DC68" s="10">
        <f t="shared" si="54"/>
        <v>0</v>
      </c>
      <c r="DD68" s="15"/>
      <c r="DE68" s="10">
        <f t="shared" si="54"/>
        <v>0</v>
      </c>
      <c r="DF68" s="231">
        <f t="shared" si="55"/>
        <v>0</v>
      </c>
      <c r="DG68" s="230">
        <f t="shared" si="56"/>
        <v>0</v>
      </c>
      <c r="DH68" s="238"/>
      <c r="DI68" s="239">
        <f t="shared" si="175"/>
        <v>0</v>
      </c>
      <c r="DJ68" s="15"/>
      <c r="DK68" s="239">
        <f t="shared" si="176"/>
        <v>0</v>
      </c>
      <c r="DL68" s="238"/>
      <c r="DM68" s="239">
        <f t="shared" si="177"/>
        <v>0</v>
      </c>
      <c r="DN68" s="238"/>
      <c r="DO68" s="239">
        <f t="shared" si="178"/>
        <v>0</v>
      </c>
      <c r="DP68" s="238"/>
      <c r="DQ68" s="239">
        <f t="shared" si="179"/>
        <v>0</v>
      </c>
      <c r="DR68" s="238"/>
      <c r="DS68" s="239">
        <f t="shared" si="180"/>
        <v>0</v>
      </c>
      <c r="DT68" s="238"/>
      <c r="DU68" s="239">
        <f t="shared" si="181"/>
        <v>0</v>
      </c>
      <c r="DV68" s="238"/>
      <c r="DW68" s="239">
        <f t="shared" si="182"/>
        <v>0</v>
      </c>
      <c r="DX68" s="238"/>
      <c r="DY68" s="239">
        <f t="shared" si="183"/>
        <v>0</v>
      </c>
      <c r="DZ68" s="238"/>
      <c r="EA68" s="239">
        <f t="shared" si="184"/>
        <v>0</v>
      </c>
      <c r="EB68" s="238"/>
      <c r="EC68" s="239">
        <f t="shared" si="185"/>
        <v>0</v>
      </c>
      <c r="ED68" s="238"/>
      <c r="EE68" s="239">
        <f t="shared" si="186"/>
        <v>0</v>
      </c>
      <c r="EF68" s="240">
        <f t="shared" si="187"/>
        <v>0</v>
      </c>
      <c r="EG68" s="239">
        <f t="shared" si="187"/>
        <v>0</v>
      </c>
    </row>
    <row r="69" spans="1:137" ht="19.8">
      <c r="A69" s="7"/>
      <c r="B69" s="19"/>
      <c r="C69" s="8"/>
      <c r="D69" s="7"/>
      <c r="E69" s="7"/>
      <c r="F69" s="7"/>
      <c r="G69" s="7"/>
      <c r="H69" s="15"/>
      <c r="I69" s="10">
        <f t="shared" si="2"/>
        <v>0</v>
      </c>
      <c r="J69" s="15"/>
      <c r="K69" s="10">
        <f t="shared" si="3"/>
        <v>0</v>
      </c>
      <c r="L69" s="15"/>
      <c r="M69" s="10">
        <f t="shared" si="4"/>
        <v>0</v>
      </c>
      <c r="N69" s="15"/>
      <c r="O69" s="10">
        <f t="shared" si="5"/>
        <v>0</v>
      </c>
      <c r="P69" s="15"/>
      <c r="Q69" s="10">
        <f t="shared" si="6"/>
        <v>0</v>
      </c>
      <c r="R69" s="15"/>
      <c r="S69" s="10">
        <f t="shared" si="174"/>
        <v>0</v>
      </c>
      <c r="T69" s="15"/>
      <c r="U69" s="10">
        <f t="shared" si="8"/>
        <v>0</v>
      </c>
      <c r="V69" s="15"/>
      <c r="W69" s="10">
        <f t="shared" si="9"/>
        <v>0</v>
      </c>
      <c r="X69" s="15"/>
      <c r="Y69" s="10">
        <f t="shared" si="10"/>
        <v>0</v>
      </c>
      <c r="Z69" s="15"/>
      <c r="AA69" s="10">
        <f t="shared" si="11"/>
        <v>0</v>
      </c>
      <c r="AB69" s="15"/>
      <c r="AC69" s="10">
        <f t="shared" si="12"/>
        <v>0</v>
      </c>
      <c r="AD69" s="15"/>
      <c r="AE69" s="10">
        <f t="shared" si="13"/>
        <v>0</v>
      </c>
      <c r="AF69" s="11">
        <f t="shared" ref="AF69:AF75" si="188">(AD69+AB69+Z69+X69+V69+T69+R69+P69+N69+L69+J69+H69)/1</f>
        <v>0</v>
      </c>
      <c r="AG69" s="12">
        <f t="shared" ref="AG69:AG143" si="189">AF69*$E69</f>
        <v>0</v>
      </c>
      <c r="AH69" s="15"/>
      <c r="AI69" s="10">
        <f t="shared" si="16"/>
        <v>0</v>
      </c>
      <c r="AJ69" s="15"/>
      <c r="AK69" s="10">
        <f t="shared" si="17"/>
        <v>0</v>
      </c>
      <c r="AL69" s="15"/>
      <c r="AM69" s="10">
        <f t="shared" si="18"/>
        <v>0</v>
      </c>
      <c r="AN69" s="15"/>
      <c r="AO69" s="10">
        <f t="shared" si="19"/>
        <v>0</v>
      </c>
      <c r="AP69" s="15"/>
      <c r="AQ69" s="10">
        <f t="shared" si="20"/>
        <v>0</v>
      </c>
      <c r="AR69" s="15"/>
      <c r="AS69" s="10">
        <f t="shared" si="21"/>
        <v>0</v>
      </c>
      <c r="AT69" s="15"/>
      <c r="AU69" s="10">
        <f t="shared" si="22"/>
        <v>0</v>
      </c>
      <c r="AV69" s="15"/>
      <c r="AW69" s="10">
        <f t="shared" si="23"/>
        <v>0</v>
      </c>
      <c r="AX69" s="15"/>
      <c r="AY69" s="10">
        <f t="shared" si="24"/>
        <v>0</v>
      </c>
      <c r="AZ69" s="15"/>
      <c r="BA69" s="10">
        <f t="shared" si="25"/>
        <v>0</v>
      </c>
      <c r="BB69" s="15"/>
      <c r="BC69" s="10">
        <f t="shared" si="26"/>
        <v>0</v>
      </c>
      <c r="BD69" s="9"/>
      <c r="BE69" s="10">
        <f t="shared" si="27"/>
        <v>0</v>
      </c>
      <c r="BF69" s="11">
        <f t="shared" ref="BF69:BF143" si="190">(BD69+BB69+AZ69+AX69+AV69+AT69+AR69+AP69+AN69+AL69+AJ69+AH69)/1</f>
        <v>0</v>
      </c>
      <c r="BG69" s="12">
        <f t="shared" ref="BG69:BG143" si="191">BF69*$E69</f>
        <v>0</v>
      </c>
      <c r="BH69" s="15"/>
      <c r="BI69" s="10">
        <f t="shared" si="30"/>
        <v>0</v>
      </c>
      <c r="BJ69" s="15"/>
      <c r="BK69" s="10">
        <f t="shared" si="31"/>
        <v>0</v>
      </c>
      <c r="BL69" s="15"/>
      <c r="BM69" s="10">
        <f t="shared" si="32"/>
        <v>0</v>
      </c>
      <c r="BN69" s="15"/>
      <c r="BO69" s="10">
        <f t="shared" si="33"/>
        <v>0</v>
      </c>
      <c r="BP69" s="15"/>
      <c r="BQ69" s="10">
        <f t="shared" si="34"/>
        <v>0</v>
      </c>
      <c r="BR69" s="15"/>
      <c r="BS69" s="10">
        <f t="shared" si="35"/>
        <v>0</v>
      </c>
      <c r="BT69" s="15"/>
      <c r="BU69" s="10">
        <f t="shared" si="36"/>
        <v>0</v>
      </c>
      <c r="BV69" s="15"/>
      <c r="BW69" s="10">
        <f t="shared" si="37"/>
        <v>0</v>
      </c>
      <c r="BX69" s="15"/>
      <c r="BY69" s="10">
        <f t="shared" si="38"/>
        <v>0</v>
      </c>
      <c r="BZ69" s="15"/>
      <c r="CA69" s="10">
        <f t="shared" si="39"/>
        <v>0</v>
      </c>
      <c r="CB69" s="15"/>
      <c r="CC69" s="10">
        <f t="shared" si="40"/>
        <v>0</v>
      </c>
      <c r="CD69" s="15"/>
      <c r="CE69" s="10">
        <f t="shared" si="41"/>
        <v>0</v>
      </c>
      <c r="CF69" s="11">
        <f t="shared" ref="CF69:CF143" si="192">(CD69+CB69+BZ69+BX69+BV69+BT69+BR69+BP69+BN69+BL69+BJ69+BH69)/1</f>
        <v>0</v>
      </c>
      <c r="CG69" s="12">
        <f t="shared" ref="CG69:CG143" si="193">CF69*$E69</f>
        <v>0</v>
      </c>
      <c r="CH69" s="15"/>
      <c r="CI69" s="10">
        <f t="shared" ref="CI69:CI115" si="194">CH69*$E69</f>
        <v>0</v>
      </c>
      <c r="CJ69" s="15"/>
      <c r="CK69" s="10">
        <f t="shared" ref="CK69:CK115" si="195">CJ69*$E69</f>
        <v>0</v>
      </c>
      <c r="CL69" s="15"/>
      <c r="CM69" s="10">
        <f t="shared" ref="CM69:CM115" si="196">CL69*$E69</f>
        <v>0</v>
      </c>
      <c r="CN69" s="15"/>
      <c r="CO69" s="10">
        <f t="shared" ref="CO69:CO115" si="197">CN69*$E69</f>
        <v>0</v>
      </c>
      <c r="CP69" s="15"/>
      <c r="CQ69" s="10">
        <f t="shared" ref="CQ69:CQ115" si="198">CP69*$E69</f>
        <v>0</v>
      </c>
      <c r="CR69" s="15"/>
      <c r="CS69" s="10">
        <f t="shared" ref="CS69:CS115" si="199">CR69*$E69</f>
        <v>0</v>
      </c>
      <c r="CT69" s="15"/>
      <c r="CU69" s="10">
        <f t="shared" ref="CU69:CU115" si="200">CT69*$E69</f>
        <v>0</v>
      </c>
      <c r="CV69" s="15"/>
      <c r="CW69" s="10">
        <f t="shared" ref="CW69:CW115" si="201">CV69*$E69</f>
        <v>0</v>
      </c>
      <c r="CX69" s="15"/>
      <c r="CY69" s="10">
        <f t="shared" ref="CY69:CY115" si="202">CX69*$E69</f>
        <v>0</v>
      </c>
      <c r="CZ69" s="15"/>
      <c r="DA69" s="10">
        <f t="shared" ref="DA69:DA115" si="203">CZ69*$E69</f>
        <v>0</v>
      </c>
      <c r="DB69" s="15"/>
      <c r="DC69" s="10">
        <f t="shared" ref="DC69:DE115" si="204">DB69*$E69</f>
        <v>0</v>
      </c>
      <c r="DD69" s="15"/>
      <c r="DE69" s="10">
        <f t="shared" si="204"/>
        <v>0</v>
      </c>
      <c r="DF69" s="231">
        <f t="shared" ref="DF69:DF134" si="205">SUM(CH69,CJ69,CL69,CN69,CP69,CR69,CT69,CV69,CX69,CZ69,DB69,DD69)/1</f>
        <v>0</v>
      </c>
      <c r="DG69" s="230">
        <f t="shared" ref="DG69:DG115" si="206">DF69*$E69</f>
        <v>0</v>
      </c>
      <c r="DH69" s="238"/>
      <c r="DI69" s="239"/>
      <c r="DJ69" s="15"/>
      <c r="DK69" s="239"/>
      <c r="DL69" s="238"/>
      <c r="DM69" s="239"/>
      <c r="DN69" s="238"/>
      <c r="DO69" s="239"/>
      <c r="DP69" s="238"/>
      <c r="DQ69" s="239"/>
      <c r="DR69" s="238"/>
      <c r="DS69" s="239"/>
      <c r="DT69" s="238"/>
      <c r="DU69" s="239"/>
      <c r="DV69" s="238"/>
      <c r="DW69" s="239"/>
      <c r="DX69" s="238"/>
      <c r="DY69" s="239"/>
      <c r="DZ69" s="238"/>
      <c r="EA69" s="239"/>
      <c r="EB69" s="238"/>
      <c r="EC69" s="239"/>
      <c r="ED69" s="238"/>
      <c r="EE69" s="239"/>
      <c r="EF69" s="240"/>
      <c r="EG69" s="239"/>
    </row>
    <row r="70" spans="1:137" ht="19.8">
      <c r="A70" s="7">
        <v>57</v>
      </c>
      <c r="B70" s="8" t="s">
        <v>63</v>
      </c>
      <c r="C70" s="8" t="s">
        <v>14</v>
      </c>
      <c r="D70" s="7">
        <f>RANK(DF70,$DF$4:$DF$147)</f>
        <v>31</v>
      </c>
      <c r="E70" s="7">
        <v>1</v>
      </c>
      <c r="F70" s="7" t="s">
        <v>12</v>
      </c>
      <c r="G70" s="7"/>
      <c r="H70" s="15"/>
      <c r="I70" s="10">
        <f t="shared" si="2"/>
        <v>0</v>
      </c>
      <c r="J70" s="15"/>
      <c r="K70" s="10">
        <f t="shared" si="3"/>
        <v>0</v>
      </c>
      <c r="L70" s="15"/>
      <c r="M70" s="10">
        <f t="shared" si="4"/>
        <v>0</v>
      </c>
      <c r="N70" s="15"/>
      <c r="O70" s="10">
        <f t="shared" si="5"/>
        <v>0</v>
      </c>
      <c r="P70" s="15"/>
      <c r="Q70" s="10">
        <f t="shared" si="6"/>
        <v>0</v>
      </c>
      <c r="R70" s="15"/>
      <c r="S70" s="10">
        <f t="shared" si="174"/>
        <v>0</v>
      </c>
      <c r="T70" s="15"/>
      <c r="U70" s="10">
        <f t="shared" si="8"/>
        <v>0</v>
      </c>
      <c r="V70" s="15"/>
      <c r="W70" s="10">
        <f t="shared" si="9"/>
        <v>0</v>
      </c>
      <c r="X70" s="15"/>
      <c r="Y70" s="10">
        <f t="shared" si="10"/>
        <v>0</v>
      </c>
      <c r="Z70" s="15"/>
      <c r="AA70" s="10">
        <f t="shared" si="11"/>
        <v>0</v>
      </c>
      <c r="AB70" s="15"/>
      <c r="AC70" s="10">
        <f t="shared" si="12"/>
        <v>0</v>
      </c>
      <c r="AD70" s="15"/>
      <c r="AE70" s="10">
        <f t="shared" si="13"/>
        <v>0</v>
      </c>
      <c r="AF70" s="11">
        <f t="shared" si="188"/>
        <v>0</v>
      </c>
      <c r="AG70" s="12">
        <f t="shared" si="189"/>
        <v>0</v>
      </c>
      <c r="AH70" s="15"/>
      <c r="AI70" s="10">
        <f t="shared" si="16"/>
        <v>0</v>
      </c>
      <c r="AJ70" s="15"/>
      <c r="AK70" s="10">
        <f t="shared" si="17"/>
        <v>0</v>
      </c>
      <c r="AL70" s="15"/>
      <c r="AM70" s="10">
        <f t="shared" si="18"/>
        <v>0</v>
      </c>
      <c r="AN70" s="15"/>
      <c r="AO70" s="10">
        <f t="shared" si="19"/>
        <v>0</v>
      </c>
      <c r="AP70" s="15"/>
      <c r="AQ70" s="10">
        <f t="shared" si="20"/>
        <v>0</v>
      </c>
      <c r="AR70" s="15"/>
      <c r="AS70" s="10">
        <f t="shared" si="21"/>
        <v>0</v>
      </c>
      <c r="AT70" s="15"/>
      <c r="AU70" s="10">
        <f t="shared" si="22"/>
        <v>0</v>
      </c>
      <c r="AV70" s="15"/>
      <c r="AW70" s="10">
        <f t="shared" si="23"/>
        <v>0</v>
      </c>
      <c r="AX70" s="15"/>
      <c r="AY70" s="10">
        <f t="shared" si="24"/>
        <v>0</v>
      </c>
      <c r="AZ70" s="15"/>
      <c r="BA70" s="10">
        <f t="shared" si="25"/>
        <v>0</v>
      </c>
      <c r="BB70" s="15"/>
      <c r="BC70" s="10">
        <f t="shared" si="26"/>
        <v>0</v>
      </c>
      <c r="BD70" s="15"/>
      <c r="BE70" s="10">
        <f t="shared" si="27"/>
        <v>0</v>
      </c>
      <c r="BF70" s="11">
        <f t="shared" si="190"/>
        <v>0</v>
      </c>
      <c r="BG70" s="12">
        <f t="shared" si="191"/>
        <v>0</v>
      </c>
      <c r="BH70" s="15"/>
      <c r="BI70" s="10">
        <f t="shared" si="30"/>
        <v>0</v>
      </c>
      <c r="BJ70" s="15"/>
      <c r="BK70" s="10">
        <f t="shared" si="31"/>
        <v>0</v>
      </c>
      <c r="BL70" s="15"/>
      <c r="BM70" s="10">
        <f t="shared" si="32"/>
        <v>0</v>
      </c>
      <c r="BN70" s="15"/>
      <c r="BO70" s="10">
        <f t="shared" si="33"/>
        <v>0</v>
      </c>
      <c r="BP70" s="15"/>
      <c r="BQ70" s="10">
        <f t="shared" si="34"/>
        <v>0</v>
      </c>
      <c r="BR70" s="15"/>
      <c r="BS70" s="10">
        <f t="shared" si="35"/>
        <v>0</v>
      </c>
      <c r="BT70" s="15"/>
      <c r="BU70" s="10">
        <f t="shared" si="36"/>
        <v>0</v>
      </c>
      <c r="BV70" s="15"/>
      <c r="BW70" s="10">
        <f t="shared" si="37"/>
        <v>0</v>
      </c>
      <c r="BX70" s="15"/>
      <c r="BY70" s="10">
        <f t="shared" si="38"/>
        <v>0</v>
      </c>
      <c r="BZ70" s="15"/>
      <c r="CA70" s="10">
        <f t="shared" si="39"/>
        <v>0</v>
      </c>
      <c r="CB70" s="15"/>
      <c r="CC70" s="10">
        <f t="shared" si="40"/>
        <v>0</v>
      </c>
      <c r="CD70" s="15"/>
      <c r="CE70" s="10">
        <f t="shared" si="41"/>
        <v>0</v>
      </c>
      <c r="CF70" s="11">
        <f t="shared" si="192"/>
        <v>0</v>
      </c>
      <c r="CG70" s="12">
        <f t="shared" si="193"/>
        <v>0</v>
      </c>
      <c r="CH70" s="15"/>
      <c r="CI70" s="10">
        <f t="shared" si="194"/>
        <v>0</v>
      </c>
      <c r="CJ70" s="15"/>
      <c r="CK70" s="10">
        <f t="shared" si="195"/>
        <v>0</v>
      </c>
      <c r="CL70" s="15"/>
      <c r="CM70" s="10">
        <f t="shared" si="196"/>
        <v>0</v>
      </c>
      <c r="CN70" s="15"/>
      <c r="CO70" s="10">
        <f t="shared" si="197"/>
        <v>0</v>
      </c>
      <c r="CP70" s="15"/>
      <c r="CQ70" s="10">
        <f t="shared" si="198"/>
        <v>0</v>
      </c>
      <c r="CR70" s="15"/>
      <c r="CS70" s="10">
        <f t="shared" si="199"/>
        <v>0</v>
      </c>
      <c r="CT70" s="15"/>
      <c r="CU70" s="10">
        <f t="shared" si="200"/>
        <v>0</v>
      </c>
      <c r="CV70" s="15"/>
      <c r="CW70" s="10">
        <f t="shared" si="201"/>
        <v>0</v>
      </c>
      <c r="CX70" s="15"/>
      <c r="CY70" s="10">
        <f t="shared" si="202"/>
        <v>0</v>
      </c>
      <c r="CZ70" s="15"/>
      <c r="DA70" s="10">
        <f t="shared" si="203"/>
        <v>0</v>
      </c>
      <c r="DB70" s="15"/>
      <c r="DC70" s="10">
        <f t="shared" si="204"/>
        <v>0</v>
      </c>
      <c r="DD70" s="15"/>
      <c r="DE70" s="10">
        <f t="shared" si="204"/>
        <v>0</v>
      </c>
      <c r="DF70" s="231">
        <f t="shared" si="205"/>
        <v>0</v>
      </c>
      <c r="DG70" s="230">
        <f t="shared" si="206"/>
        <v>0</v>
      </c>
      <c r="DH70" s="238"/>
      <c r="DI70" s="239">
        <f t="shared" ref="DI70:DK114" si="207">DH70*$E70</f>
        <v>0</v>
      </c>
      <c r="DJ70" s="15"/>
      <c r="DK70" s="239">
        <f t="shared" ref="DK70:DK72" si="208">DJ70*$E70</f>
        <v>0</v>
      </c>
      <c r="DL70" s="238"/>
      <c r="DM70" s="239">
        <f t="shared" ref="DM70:DM72" si="209">DL70*$E70</f>
        <v>0</v>
      </c>
      <c r="DN70" s="238"/>
      <c r="DO70" s="239">
        <f t="shared" ref="DO70:DO72" si="210">DN70*$E70</f>
        <v>0</v>
      </c>
      <c r="DP70" s="238"/>
      <c r="DQ70" s="239">
        <f t="shared" ref="DQ70:DQ72" si="211">DP70*$E70</f>
        <v>0</v>
      </c>
      <c r="DR70" s="238"/>
      <c r="DS70" s="239">
        <f t="shared" ref="DS70:DS72" si="212">DR70*$E70</f>
        <v>0</v>
      </c>
      <c r="DT70" s="238"/>
      <c r="DU70" s="239">
        <f t="shared" ref="DU70:DU72" si="213">DT70*$E70</f>
        <v>0</v>
      </c>
      <c r="DV70" s="238"/>
      <c r="DW70" s="239">
        <f t="shared" ref="DW70:DW72" si="214">DV70*$E70</f>
        <v>0</v>
      </c>
      <c r="DX70" s="238"/>
      <c r="DY70" s="239">
        <f t="shared" ref="DY70:DY72" si="215">DX70*$E70</f>
        <v>0</v>
      </c>
      <c r="DZ70" s="238"/>
      <c r="EA70" s="239">
        <f t="shared" ref="EA70:EA72" si="216">DZ70*$E70</f>
        <v>0</v>
      </c>
      <c r="EB70" s="238"/>
      <c r="EC70" s="239">
        <f t="shared" ref="EC70:EC72" si="217">EB70*$E70</f>
        <v>0</v>
      </c>
      <c r="ED70" s="238"/>
      <c r="EE70" s="239">
        <f t="shared" ref="EE70:EE72" si="218">ED70*$E70</f>
        <v>0</v>
      </c>
      <c r="EF70" s="240">
        <f t="shared" ref="EF70:EG72" si="219">SUM(DH70,DJ70,DL70,DN70,DP70,DR70,DT70,DV70,DX70,DZ70,EB70,ED70)</f>
        <v>0</v>
      </c>
      <c r="EG70" s="239">
        <f t="shared" si="219"/>
        <v>0</v>
      </c>
    </row>
    <row r="71" spans="1:137" ht="19.8">
      <c r="A71" s="7">
        <v>58</v>
      </c>
      <c r="B71" s="8" t="s">
        <v>64</v>
      </c>
      <c r="C71" s="8" t="s">
        <v>14</v>
      </c>
      <c r="D71" s="7">
        <f>RANK(DF71,$DF$4:$DF$147)</f>
        <v>31</v>
      </c>
      <c r="E71" s="7">
        <v>0.6</v>
      </c>
      <c r="F71" s="7" t="s">
        <v>12</v>
      </c>
      <c r="G71" s="7"/>
      <c r="H71" s="15"/>
      <c r="I71" s="10">
        <f t="shared" si="2"/>
        <v>0</v>
      </c>
      <c r="J71" s="15"/>
      <c r="K71" s="10">
        <f t="shared" si="3"/>
        <v>0</v>
      </c>
      <c r="L71" s="15"/>
      <c r="M71" s="10">
        <f t="shared" si="4"/>
        <v>0</v>
      </c>
      <c r="N71" s="15"/>
      <c r="O71" s="10">
        <f t="shared" si="5"/>
        <v>0</v>
      </c>
      <c r="P71" s="15"/>
      <c r="Q71" s="10">
        <f t="shared" si="6"/>
        <v>0</v>
      </c>
      <c r="R71" s="15"/>
      <c r="S71" s="10">
        <f t="shared" si="174"/>
        <v>0</v>
      </c>
      <c r="T71" s="15"/>
      <c r="U71" s="10">
        <f t="shared" si="8"/>
        <v>0</v>
      </c>
      <c r="V71" s="15"/>
      <c r="W71" s="10">
        <f t="shared" si="9"/>
        <v>0</v>
      </c>
      <c r="X71" s="15"/>
      <c r="Y71" s="10">
        <f t="shared" si="10"/>
        <v>0</v>
      </c>
      <c r="Z71" s="15"/>
      <c r="AA71" s="10">
        <f t="shared" si="11"/>
        <v>0</v>
      </c>
      <c r="AB71" s="15"/>
      <c r="AC71" s="10">
        <f t="shared" si="12"/>
        <v>0</v>
      </c>
      <c r="AD71" s="15"/>
      <c r="AE71" s="10">
        <f t="shared" si="13"/>
        <v>0</v>
      </c>
      <c r="AF71" s="11">
        <f t="shared" si="188"/>
        <v>0</v>
      </c>
      <c r="AG71" s="12">
        <f t="shared" si="189"/>
        <v>0</v>
      </c>
      <c r="AH71" s="15"/>
      <c r="AI71" s="10">
        <f t="shared" si="16"/>
        <v>0</v>
      </c>
      <c r="AJ71" s="15"/>
      <c r="AK71" s="10">
        <f t="shared" si="17"/>
        <v>0</v>
      </c>
      <c r="AL71" s="15"/>
      <c r="AM71" s="10">
        <f t="shared" si="18"/>
        <v>0</v>
      </c>
      <c r="AN71" s="15"/>
      <c r="AO71" s="10">
        <f t="shared" si="19"/>
        <v>0</v>
      </c>
      <c r="AP71" s="15"/>
      <c r="AQ71" s="10">
        <f t="shared" si="20"/>
        <v>0</v>
      </c>
      <c r="AR71" s="15"/>
      <c r="AS71" s="10">
        <f t="shared" si="21"/>
        <v>0</v>
      </c>
      <c r="AT71" s="15"/>
      <c r="AU71" s="10">
        <f t="shared" si="22"/>
        <v>0</v>
      </c>
      <c r="AV71" s="15"/>
      <c r="AW71" s="10">
        <f t="shared" si="23"/>
        <v>0</v>
      </c>
      <c r="AX71" s="15"/>
      <c r="AY71" s="10">
        <f t="shared" si="24"/>
        <v>0</v>
      </c>
      <c r="AZ71" s="15"/>
      <c r="BA71" s="10">
        <f t="shared" si="25"/>
        <v>0</v>
      </c>
      <c r="BB71" s="15"/>
      <c r="BC71" s="10">
        <f t="shared" si="26"/>
        <v>0</v>
      </c>
      <c r="BD71" s="15"/>
      <c r="BE71" s="10">
        <f t="shared" si="27"/>
        <v>0</v>
      </c>
      <c r="BF71" s="11">
        <f t="shared" si="190"/>
        <v>0</v>
      </c>
      <c r="BG71" s="12">
        <f t="shared" si="191"/>
        <v>0</v>
      </c>
      <c r="BH71" s="15"/>
      <c r="BI71" s="10">
        <f t="shared" si="30"/>
        <v>0</v>
      </c>
      <c r="BJ71" s="15"/>
      <c r="BK71" s="10">
        <f t="shared" si="31"/>
        <v>0</v>
      </c>
      <c r="BL71" s="15"/>
      <c r="BM71" s="10">
        <f t="shared" si="32"/>
        <v>0</v>
      </c>
      <c r="BN71" s="15"/>
      <c r="BO71" s="10">
        <f t="shared" si="33"/>
        <v>0</v>
      </c>
      <c r="BP71" s="15"/>
      <c r="BQ71" s="10">
        <f t="shared" si="34"/>
        <v>0</v>
      </c>
      <c r="BR71" s="15"/>
      <c r="BS71" s="10">
        <f t="shared" si="35"/>
        <v>0</v>
      </c>
      <c r="BT71" s="15"/>
      <c r="BU71" s="10">
        <f t="shared" si="36"/>
        <v>0</v>
      </c>
      <c r="BV71" s="15"/>
      <c r="BW71" s="10">
        <f t="shared" si="37"/>
        <v>0</v>
      </c>
      <c r="BX71" s="15"/>
      <c r="BY71" s="10">
        <f t="shared" si="38"/>
        <v>0</v>
      </c>
      <c r="BZ71" s="15"/>
      <c r="CA71" s="10">
        <f t="shared" si="39"/>
        <v>0</v>
      </c>
      <c r="CB71" s="15"/>
      <c r="CC71" s="10">
        <f t="shared" si="40"/>
        <v>0</v>
      </c>
      <c r="CD71" s="15"/>
      <c r="CE71" s="10">
        <f t="shared" si="41"/>
        <v>0</v>
      </c>
      <c r="CF71" s="11">
        <f t="shared" si="192"/>
        <v>0</v>
      </c>
      <c r="CG71" s="12">
        <f t="shared" si="193"/>
        <v>0</v>
      </c>
      <c r="CH71" s="15"/>
      <c r="CI71" s="10">
        <f t="shared" si="194"/>
        <v>0</v>
      </c>
      <c r="CJ71" s="15"/>
      <c r="CK71" s="10">
        <f t="shared" si="195"/>
        <v>0</v>
      </c>
      <c r="CL71" s="15"/>
      <c r="CM71" s="10">
        <f t="shared" si="196"/>
        <v>0</v>
      </c>
      <c r="CN71" s="15"/>
      <c r="CO71" s="10">
        <f t="shared" si="197"/>
        <v>0</v>
      </c>
      <c r="CP71" s="15"/>
      <c r="CQ71" s="10">
        <f t="shared" si="198"/>
        <v>0</v>
      </c>
      <c r="CR71" s="15"/>
      <c r="CS71" s="10">
        <f t="shared" si="199"/>
        <v>0</v>
      </c>
      <c r="CT71" s="15"/>
      <c r="CU71" s="10">
        <f t="shared" si="200"/>
        <v>0</v>
      </c>
      <c r="CV71" s="15"/>
      <c r="CW71" s="10">
        <f t="shared" si="201"/>
        <v>0</v>
      </c>
      <c r="CX71" s="15"/>
      <c r="CY71" s="10">
        <f t="shared" si="202"/>
        <v>0</v>
      </c>
      <c r="CZ71" s="15"/>
      <c r="DA71" s="10">
        <f t="shared" si="203"/>
        <v>0</v>
      </c>
      <c r="DB71" s="15"/>
      <c r="DC71" s="10">
        <f t="shared" si="204"/>
        <v>0</v>
      </c>
      <c r="DD71" s="15"/>
      <c r="DE71" s="10">
        <f t="shared" si="204"/>
        <v>0</v>
      </c>
      <c r="DF71" s="231">
        <f t="shared" si="205"/>
        <v>0</v>
      </c>
      <c r="DG71" s="230">
        <f t="shared" si="206"/>
        <v>0</v>
      </c>
      <c r="DH71" s="238"/>
      <c r="DI71" s="239">
        <f t="shared" si="207"/>
        <v>0</v>
      </c>
      <c r="DJ71" s="15"/>
      <c r="DK71" s="239">
        <f t="shared" si="208"/>
        <v>0</v>
      </c>
      <c r="DL71" s="238"/>
      <c r="DM71" s="239">
        <f t="shared" si="209"/>
        <v>0</v>
      </c>
      <c r="DN71" s="238"/>
      <c r="DO71" s="239">
        <f t="shared" si="210"/>
        <v>0</v>
      </c>
      <c r="DP71" s="238"/>
      <c r="DQ71" s="239">
        <f t="shared" si="211"/>
        <v>0</v>
      </c>
      <c r="DR71" s="238"/>
      <c r="DS71" s="239">
        <f t="shared" si="212"/>
        <v>0</v>
      </c>
      <c r="DT71" s="238"/>
      <c r="DU71" s="239">
        <f t="shared" si="213"/>
        <v>0</v>
      </c>
      <c r="DV71" s="238"/>
      <c r="DW71" s="239">
        <f t="shared" si="214"/>
        <v>0</v>
      </c>
      <c r="DX71" s="238"/>
      <c r="DY71" s="239">
        <f t="shared" si="215"/>
        <v>0</v>
      </c>
      <c r="DZ71" s="238"/>
      <c r="EA71" s="239">
        <f t="shared" si="216"/>
        <v>0</v>
      </c>
      <c r="EB71" s="238"/>
      <c r="EC71" s="239">
        <f t="shared" si="217"/>
        <v>0</v>
      </c>
      <c r="ED71" s="238"/>
      <c r="EE71" s="239">
        <f t="shared" si="218"/>
        <v>0</v>
      </c>
      <c r="EF71" s="240">
        <f t="shared" si="219"/>
        <v>0</v>
      </c>
      <c r="EG71" s="239">
        <f t="shared" si="219"/>
        <v>0</v>
      </c>
    </row>
    <row r="72" spans="1:137" ht="19.8">
      <c r="A72" s="7">
        <v>59</v>
      </c>
      <c r="B72" s="8" t="s">
        <v>65</v>
      </c>
      <c r="C72" s="8" t="s">
        <v>11</v>
      </c>
      <c r="D72" s="7">
        <f>RANK(DF72,$DF$4:$DF$147)</f>
        <v>31</v>
      </c>
      <c r="E72" s="7">
        <v>0.64</v>
      </c>
      <c r="F72" s="7" t="s">
        <v>22</v>
      </c>
      <c r="G72" s="7"/>
      <c r="H72" s="15"/>
      <c r="I72" s="10">
        <f t="shared" si="2"/>
        <v>0</v>
      </c>
      <c r="J72" s="15"/>
      <c r="K72" s="10">
        <f t="shared" si="3"/>
        <v>0</v>
      </c>
      <c r="L72" s="15"/>
      <c r="M72" s="10">
        <f t="shared" si="4"/>
        <v>0</v>
      </c>
      <c r="N72" s="15"/>
      <c r="O72" s="10">
        <f t="shared" si="5"/>
        <v>0</v>
      </c>
      <c r="P72" s="15"/>
      <c r="Q72" s="10">
        <f t="shared" si="6"/>
        <v>0</v>
      </c>
      <c r="R72" s="15"/>
      <c r="S72" s="10">
        <f t="shared" si="174"/>
        <v>0</v>
      </c>
      <c r="T72" s="15"/>
      <c r="U72" s="10">
        <f t="shared" si="8"/>
        <v>0</v>
      </c>
      <c r="V72" s="15"/>
      <c r="W72" s="10">
        <f t="shared" si="9"/>
        <v>0</v>
      </c>
      <c r="X72" s="15"/>
      <c r="Y72" s="10">
        <f t="shared" si="10"/>
        <v>0</v>
      </c>
      <c r="Z72" s="15"/>
      <c r="AA72" s="10">
        <f t="shared" si="11"/>
        <v>0</v>
      </c>
      <c r="AB72" s="15"/>
      <c r="AC72" s="10">
        <f t="shared" si="12"/>
        <v>0</v>
      </c>
      <c r="AD72" s="15"/>
      <c r="AE72" s="10">
        <f t="shared" si="13"/>
        <v>0</v>
      </c>
      <c r="AF72" s="11">
        <f t="shared" si="188"/>
        <v>0</v>
      </c>
      <c r="AG72" s="12">
        <f t="shared" si="189"/>
        <v>0</v>
      </c>
      <c r="AH72" s="15"/>
      <c r="AI72" s="10">
        <f t="shared" si="16"/>
        <v>0</v>
      </c>
      <c r="AJ72" s="15"/>
      <c r="AK72" s="10">
        <f t="shared" si="17"/>
        <v>0</v>
      </c>
      <c r="AL72" s="15"/>
      <c r="AM72" s="10">
        <f t="shared" si="18"/>
        <v>0</v>
      </c>
      <c r="AN72" s="15"/>
      <c r="AO72" s="10">
        <f t="shared" si="19"/>
        <v>0</v>
      </c>
      <c r="AP72" s="15"/>
      <c r="AQ72" s="10">
        <f t="shared" si="20"/>
        <v>0</v>
      </c>
      <c r="AR72" s="15"/>
      <c r="AS72" s="10">
        <f t="shared" si="21"/>
        <v>0</v>
      </c>
      <c r="AT72" s="15"/>
      <c r="AU72" s="10">
        <f t="shared" si="22"/>
        <v>0</v>
      </c>
      <c r="AV72" s="15"/>
      <c r="AW72" s="10">
        <f t="shared" si="23"/>
        <v>0</v>
      </c>
      <c r="AX72" s="15"/>
      <c r="AY72" s="10">
        <f t="shared" si="24"/>
        <v>0</v>
      </c>
      <c r="AZ72" s="15"/>
      <c r="BA72" s="10">
        <f t="shared" si="25"/>
        <v>0</v>
      </c>
      <c r="BB72" s="15"/>
      <c r="BC72" s="10">
        <f t="shared" si="26"/>
        <v>0</v>
      </c>
      <c r="BD72" s="15"/>
      <c r="BE72" s="10">
        <f t="shared" si="27"/>
        <v>0</v>
      </c>
      <c r="BF72" s="11">
        <f t="shared" si="190"/>
        <v>0</v>
      </c>
      <c r="BG72" s="12">
        <f t="shared" si="191"/>
        <v>0</v>
      </c>
      <c r="BH72" s="15"/>
      <c r="BI72" s="10">
        <f t="shared" si="30"/>
        <v>0</v>
      </c>
      <c r="BJ72" s="15"/>
      <c r="BK72" s="10">
        <f t="shared" si="31"/>
        <v>0</v>
      </c>
      <c r="BL72" s="15"/>
      <c r="BM72" s="10">
        <f t="shared" si="32"/>
        <v>0</v>
      </c>
      <c r="BN72" s="15"/>
      <c r="BO72" s="10">
        <f t="shared" si="33"/>
        <v>0</v>
      </c>
      <c r="BP72" s="15"/>
      <c r="BQ72" s="10">
        <f t="shared" si="34"/>
        <v>0</v>
      </c>
      <c r="BR72" s="15"/>
      <c r="BS72" s="10">
        <f t="shared" si="35"/>
        <v>0</v>
      </c>
      <c r="BT72" s="15"/>
      <c r="BU72" s="10">
        <f t="shared" si="36"/>
        <v>0</v>
      </c>
      <c r="BV72" s="15"/>
      <c r="BW72" s="10">
        <f t="shared" si="37"/>
        <v>0</v>
      </c>
      <c r="BX72" s="15"/>
      <c r="BY72" s="10">
        <f t="shared" si="38"/>
        <v>0</v>
      </c>
      <c r="BZ72" s="15"/>
      <c r="CA72" s="10">
        <f t="shared" si="39"/>
        <v>0</v>
      </c>
      <c r="CB72" s="15"/>
      <c r="CC72" s="10">
        <f t="shared" si="40"/>
        <v>0</v>
      </c>
      <c r="CD72" s="15"/>
      <c r="CE72" s="10">
        <f t="shared" si="41"/>
        <v>0</v>
      </c>
      <c r="CF72" s="11">
        <f t="shared" si="192"/>
        <v>0</v>
      </c>
      <c r="CG72" s="12">
        <f t="shared" si="193"/>
        <v>0</v>
      </c>
      <c r="CH72" s="15"/>
      <c r="CI72" s="10">
        <f t="shared" si="194"/>
        <v>0</v>
      </c>
      <c r="CJ72" s="15"/>
      <c r="CK72" s="10">
        <f t="shared" si="195"/>
        <v>0</v>
      </c>
      <c r="CL72" s="15"/>
      <c r="CM72" s="10">
        <f t="shared" si="196"/>
        <v>0</v>
      </c>
      <c r="CN72" s="15"/>
      <c r="CO72" s="10">
        <f t="shared" si="197"/>
        <v>0</v>
      </c>
      <c r="CP72" s="15"/>
      <c r="CQ72" s="10">
        <f t="shared" si="198"/>
        <v>0</v>
      </c>
      <c r="CR72" s="15"/>
      <c r="CS72" s="10">
        <f t="shared" si="199"/>
        <v>0</v>
      </c>
      <c r="CT72" s="15"/>
      <c r="CU72" s="10">
        <f t="shared" si="200"/>
        <v>0</v>
      </c>
      <c r="CV72" s="15"/>
      <c r="CW72" s="10">
        <f t="shared" si="201"/>
        <v>0</v>
      </c>
      <c r="CX72" s="15"/>
      <c r="CY72" s="10">
        <f t="shared" si="202"/>
        <v>0</v>
      </c>
      <c r="CZ72" s="15"/>
      <c r="DA72" s="10">
        <f t="shared" si="203"/>
        <v>0</v>
      </c>
      <c r="DB72" s="15"/>
      <c r="DC72" s="10">
        <f t="shared" si="204"/>
        <v>0</v>
      </c>
      <c r="DD72" s="15"/>
      <c r="DE72" s="10">
        <f t="shared" si="204"/>
        <v>0</v>
      </c>
      <c r="DF72" s="231">
        <f t="shared" si="205"/>
        <v>0</v>
      </c>
      <c r="DG72" s="230">
        <f t="shared" si="206"/>
        <v>0</v>
      </c>
      <c r="DH72" s="238"/>
      <c r="DI72" s="239">
        <f t="shared" si="207"/>
        <v>0</v>
      </c>
      <c r="DJ72" s="15"/>
      <c r="DK72" s="239">
        <f t="shared" si="208"/>
        <v>0</v>
      </c>
      <c r="DL72" s="238"/>
      <c r="DM72" s="239">
        <f t="shared" si="209"/>
        <v>0</v>
      </c>
      <c r="DN72" s="238"/>
      <c r="DO72" s="239">
        <f t="shared" si="210"/>
        <v>0</v>
      </c>
      <c r="DP72" s="238"/>
      <c r="DQ72" s="239">
        <f t="shared" si="211"/>
        <v>0</v>
      </c>
      <c r="DR72" s="238"/>
      <c r="DS72" s="239">
        <f t="shared" si="212"/>
        <v>0</v>
      </c>
      <c r="DT72" s="238"/>
      <c r="DU72" s="239">
        <f t="shared" si="213"/>
        <v>0</v>
      </c>
      <c r="DV72" s="238"/>
      <c r="DW72" s="239">
        <f t="shared" si="214"/>
        <v>0</v>
      </c>
      <c r="DX72" s="238"/>
      <c r="DY72" s="239">
        <f t="shared" si="215"/>
        <v>0</v>
      </c>
      <c r="DZ72" s="238"/>
      <c r="EA72" s="239">
        <f t="shared" si="216"/>
        <v>0</v>
      </c>
      <c r="EB72" s="238"/>
      <c r="EC72" s="239">
        <f t="shared" si="217"/>
        <v>0</v>
      </c>
      <c r="ED72" s="238"/>
      <c r="EE72" s="239">
        <f t="shared" si="218"/>
        <v>0</v>
      </c>
      <c r="EF72" s="240">
        <f t="shared" si="219"/>
        <v>0</v>
      </c>
      <c r="EG72" s="239">
        <f t="shared" si="219"/>
        <v>0</v>
      </c>
    </row>
    <row r="73" spans="1:137" ht="19.8">
      <c r="A73" s="7"/>
      <c r="B73" s="8"/>
      <c r="C73" s="8"/>
      <c r="D73" s="7"/>
      <c r="E73" s="7"/>
      <c r="F73" s="7"/>
      <c r="G73" s="7"/>
      <c r="H73" s="15"/>
      <c r="I73" s="10">
        <f t="shared" si="2"/>
        <v>0</v>
      </c>
      <c r="J73" s="15"/>
      <c r="K73" s="10">
        <f t="shared" si="3"/>
        <v>0</v>
      </c>
      <c r="L73" s="15"/>
      <c r="M73" s="10">
        <f t="shared" si="4"/>
        <v>0</v>
      </c>
      <c r="N73" s="15"/>
      <c r="O73" s="10">
        <f t="shared" si="5"/>
        <v>0</v>
      </c>
      <c r="P73" s="15"/>
      <c r="Q73" s="10">
        <f t="shared" si="6"/>
        <v>0</v>
      </c>
      <c r="R73" s="15"/>
      <c r="S73" s="10">
        <f t="shared" si="174"/>
        <v>0</v>
      </c>
      <c r="T73" s="15"/>
      <c r="U73" s="10">
        <f t="shared" si="8"/>
        <v>0</v>
      </c>
      <c r="V73" s="15"/>
      <c r="W73" s="10">
        <f t="shared" si="9"/>
        <v>0</v>
      </c>
      <c r="X73" s="15"/>
      <c r="Y73" s="10">
        <f t="shared" si="10"/>
        <v>0</v>
      </c>
      <c r="Z73" s="15"/>
      <c r="AA73" s="10">
        <f t="shared" si="11"/>
        <v>0</v>
      </c>
      <c r="AB73" s="15"/>
      <c r="AC73" s="10">
        <f t="shared" si="12"/>
        <v>0</v>
      </c>
      <c r="AD73" s="15"/>
      <c r="AE73" s="10">
        <f t="shared" si="13"/>
        <v>0</v>
      </c>
      <c r="AF73" s="11">
        <f t="shared" si="188"/>
        <v>0</v>
      </c>
      <c r="AG73" s="12">
        <f t="shared" si="189"/>
        <v>0</v>
      </c>
      <c r="AH73" s="15"/>
      <c r="AI73" s="10">
        <f t="shared" si="16"/>
        <v>0</v>
      </c>
      <c r="AJ73" s="15"/>
      <c r="AK73" s="10">
        <f t="shared" si="17"/>
        <v>0</v>
      </c>
      <c r="AL73" s="15"/>
      <c r="AM73" s="10">
        <f t="shared" si="18"/>
        <v>0</v>
      </c>
      <c r="AN73" s="15"/>
      <c r="AO73" s="10">
        <f t="shared" si="19"/>
        <v>0</v>
      </c>
      <c r="AP73" s="15"/>
      <c r="AQ73" s="10">
        <f t="shared" si="20"/>
        <v>0</v>
      </c>
      <c r="AR73" s="15"/>
      <c r="AS73" s="10">
        <f t="shared" si="21"/>
        <v>0</v>
      </c>
      <c r="AT73" s="15"/>
      <c r="AU73" s="10">
        <f t="shared" si="22"/>
        <v>0</v>
      </c>
      <c r="AV73" s="15"/>
      <c r="AW73" s="10">
        <f t="shared" si="23"/>
        <v>0</v>
      </c>
      <c r="AX73" s="15"/>
      <c r="AY73" s="10">
        <f t="shared" si="24"/>
        <v>0</v>
      </c>
      <c r="AZ73" s="15"/>
      <c r="BA73" s="10">
        <f t="shared" si="25"/>
        <v>0</v>
      </c>
      <c r="BB73" s="15"/>
      <c r="BC73" s="10">
        <f t="shared" si="26"/>
        <v>0</v>
      </c>
      <c r="BD73" s="15"/>
      <c r="BE73" s="10">
        <f t="shared" si="27"/>
        <v>0</v>
      </c>
      <c r="BF73" s="11">
        <f t="shared" si="190"/>
        <v>0</v>
      </c>
      <c r="BG73" s="12">
        <f t="shared" si="191"/>
        <v>0</v>
      </c>
      <c r="BH73" s="15"/>
      <c r="BI73" s="10">
        <f t="shared" si="30"/>
        <v>0</v>
      </c>
      <c r="BJ73" s="15"/>
      <c r="BK73" s="10">
        <f t="shared" si="31"/>
        <v>0</v>
      </c>
      <c r="BL73" s="15"/>
      <c r="BM73" s="10">
        <f t="shared" si="32"/>
        <v>0</v>
      </c>
      <c r="BN73" s="15"/>
      <c r="BO73" s="10">
        <f t="shared" si="33"/>
        <v>0</v>
      </c>
      <c r="BP73" s="15"/>
      <c r="BQ73" s="10">
        <f t="shared" si="34"/>
        <v>0</v>
      </c>
      <c r="BR73" s="15"/>
      <c r="BS73" s="10">
        <f t="shared" si="35"/>
        <v>0</v>
      </c>
      <c r="BT73" s="15"/>
      <c r="BU73" s="10">
        <f t="shared" si="36"/>
        <v>0</v>
      </c>
      <c r="BV73" s="15"/>
      <c r="BW73" s="10">
        <f t="shared" si="37"/>
        <v>0</v>
      </c>
      <c r="BX73" s="15"/>
      <c r="BY73" s="10">
        <f t="shared" si="38"/>
        <v>0</v>
      </c>
      <c r="BZ73" s="15"/>
      <c r="CA73" s="10">
        <f t="shared" si="39"/>
        <v>0</v>
      </c>
      <c r="CB73" s="15"/>
      <c r="CC73" s="10">
        <f t="shared" si="40"/>
        <v>0</v>
      </c>
      <c r="CD73" s="15"/>
      <c r="CE73" s="10">
        <f t="shared" si="41"/>
        <v>0</v>
      </c>
      <c r="CF73" s="11">
        <f t="shared" si="192"/>
        <v>0</v>
      </c>
      <c r="CG73" s="12">
        <f t="shared" si="193"/>
        <v>0</v>
      </c>
      <c r="CH73" s="15"/>
      <c r="CI73" s="10">
        <f t="shared" si="194"/>
        <v>0</v>
      </c>
      <c r="CJ73" s="15"/>
      <c r="CK73" s="10">
        <f t="shared" si="195"/>
        <v>0</v>
      </c>
      <c r="CL73" s="15"/>
      <c r="CM73" s="10">
        <f t="shared" si="196"/>
        <v>0</v>
      </c>
      <c r="CN73" s="15"/>
      <c r="CO73" s="10">
        <f t="shared" si="197"/>
        <v>0</v>
      </c>
      <c r="CP73" s="15"/>
      <c r="CQ73" s="10">
        <f t="shared" si="198"/>
        <v>0</v>
      </c>
      <c r="CR73" s="15"/>
      <c r="CS73" s="10">
        <f t="shared" si="199"/>
        <v>0</v>
      </c>
      <c r="CT73" s="15"/>
      <c r="CU73" s="10">
        <f t="shared" si="200"/>
        <v>0</v>
      </c>
      <c r="CV73" s="15"/>
      <c r="CW73" s="10">
        <f t="shared" si="201"/>
        <v>0</v>
      </c>
      <c r="CX73" s="15"/>
      <c r="CY73" s="10">
        <f t="shared" si="202"/>
        <v>0</v>
      </c>
      <c r="CZ73" s="15"/>
      <c r="DA73" s="10">
        <f t="shared" si="203"/>
        <v>0</v>
      </c>
      <c r="DB73" s="15"/>
      <c r="DC73" s="10">
        <f t="shared" si="204"/>
        <v>0</v>
      </c>
      <c r="DD73" s="15"/>
      <c r="DE73" s="10">
        <f t="shared" si="204"/>
        <v>0</v>
      </c>
      <c r="DF73" s="231">
        <f t="shared" si="205"/>
        <v>0</v>
      </c>
      <c r="DG73" s="230">
        <f t="shared" si="206"/>
        <v>0</v>
      </c>
      <c r="DH73" s="238"/>
      <c r="DI73" s="239"/>
      <c r="DJ73" s="15"/>
      <c r="DK73" s="239"/>
      <c r="DL73" s="238"/>
      <c r="DM73" s="239"/>
      <c r="DN73" s="238"/>
      <c r="DO73" s="239"/>
      <c r="DP73" s="238"/>
      <c r="DQ73" s="239"/>
      <c r="DR73" s="238"/>
      <c r="DS73" s="239"/>
      <c r="DT73" s="238"/>
      <c r="DU73" s="239"/>
      <c r="DV73" s="238"/>
      <c r="DW73" s="239"/>
      <c r="DX73" s="238"/>
      <c r="DY73" s="239"/>
      <c r="DZ73" s="238"/>
      <c r="EA73" s="239"/>
      <c r="EB73" s="238"/>
      <c r="EC73" s="239"/>
      <c r="ED73" s="238"/>
      <c r="EE73" s="239"/>
      <c r="EF73" s="240"/>
      <c r="EG73" s="239"/>
    </row>
    <row r="74" spans="1:137" ht="19.8">
      <c r="A74" s="7">
        <v>60</v>
      </c>
      <c r="B74" s="8" t="s">
        <v>66</v>
      </c>
      <c r="C74" s="8" t="s">
        <v>11</v>
      </c>
      <c r="D74" s="7">
        <f>RANK(DF74,$DF$4:$DF$147)</f>
        <v>10</v>
      </c>
      <c r="E74" s="7">
        <v>0.64</v>
      </c>
      <c r="F74" s="7" t="s">
        <v>22</v>
      </c>
      <c r="G74" s="7">
        <v>1350</v>
      </c>
      <c r="H74" s="9">
        <v>57302</v>
      </c>
      <c r="I74" s="10">
        <f t="shared" ref="I74:I139" si="220">H74*$E74</f>
        <v>36673.279999999999</v>
      </c>
      <c r="J74" s="9">
        <v>54600</v>
      </c>
      <c r="K74" s="10">
        <f t="shared" ref="K74:K139" si="221">J74*$E74</f>
        <v>34944</v>
      </c>
      <c r="L74" s="9">
        <v>71554</v>
      </c>
      <c r="M74" s="10">
        <f t="shared" ref="M74:M139" si="222">L74*$E74</f>
        <v>45794.559999999998</v>
      </c>
      <c r="N74" s="9">
        <v>66080</v>
      </c>
      <c r="O74" s="10">
        <f t="shared" ref="O74:O139" si="223">N74*$E74</f>
        <v>42291.200000000004</v>
      </c>
      <c r="P74" s="9">
        <v>50946</v>
      </c>
      <c r="Q74" s="10">
        <f t="shared" ref="Q74:Q139" si="224">P74*$E74</f>
        <v>32605.440000000002</v>
      </c>
      <c r="R74" s="9">
        <v>54348</v>
      </c>
      <c r="S74" s="10">
        <f t="shared" si="174"/>
        <v>34782.720000000001</v>
      </c>
      <c r="T74" s="9">
        <v>23548</v>
      </c>
      <c r="U74" s="10">
        <f t="shared" ref="U74:U139" si="225">T74*$E74</f>
        <v>15070.720000000001</v>
      </c>
      <c r="V74" s="9">
        <v>53312</v>
      </c>
      <c r="W74" s="10">
        <f t="shared" ref="W74:W139" si="226">V74*$E74</f>
        <v>34119.68</v>
      </c>
      <c r="X74" s="9">
        <v>48664</v>
      </c>
      <c r="Y74" s="10">
        <f t="shared" ref="Y74:Y139" si="227">X74*$E74</f>
        <v>31144.959999999999</v>
      </c>
      <c r="Z74" s="9">
        <v>46704</v>
      </c>
      <c r="AA74" s="10">
        <f t="shared" ref="AA74:AA139" si="228">Z74*$E74</f>
        <v>29890.560000000001</v>
      </c>
      <c r="AB74" s="9">
        <v>43736</v>
      </c>
      <c r="AC74" s="10">
        <f t="shared" ref="AC74:AC139" si="229">AB74*$E74</f>
        <v>27991.040000000001</v>
      </c>
      <c r="AD74" s="9">
        <v>47320</v>
      </c>
      <c r="AE74" s="10">
        <f t="shared" ref="AE74:AE139" si="230">AD74*$E74</f>
        <v>30284.799999999999</v>
      </c>
      <c r="AF74" s="11">
        <f t="shared" si="188"/>
        <v>618114</v>
      </c>
      <c r="AG74" s="12">
        <f t="shared" si="189"/>
        <v>395592.96000000002</v>
      </c>
      <c r="AH74" s="9">
        <v>38318</v>
      </c>
      <c r="AI74" s="10">
        <f t="shared" ref="AI74:AI139" si="231">AH74*$E74</f>
        <v>24523.52</v>
      </c>
      <c r="AJ74" s="9">
        <v>42616</v>
      </c>
      <c r="AK74" s="10">
        <f t="shared" ref="AK74:AK139" si="232">AJ74*$E74</f>
        <v>27274.240000000002</v>
      </c>
      <c r="AL74" s="9">
        <v>46298</v>
      </c>
      <c r="AM74" s="10">
        <f t="shared" ref="AM74:AM139" si="233">AL74*$E74</f>
        <v>29630.720000000001</v>
      </c>
      <c r="AN74" s="9">
        <v>40642</v>
      </c>
      <c r="AO74" s="10">
        <f t="shared" ref="AO74:AO139" si="234">AN74*$E74</f>
        <v>26010.880000000001</v>
      </c>
      <c r="AP74" s="9">
        <v>38808</v>
      </c>
      <c r="AQ74" s="10">
        <f t="shared" ref="AQ74:AQ139" si="235">AP74*$E74</f>
        <v>24837.119999999999</v>
      </c>
      <c r="AR74" s="9">
        <v>33852</v>
      </c>
      <c r="AS74" s="10">
        <f t="shared" ref="AS74:AS139" si="236">AR74*$E74</f>
        <v>21665.279999999999</v>
      </c>
      <c r="AT74" s="9">
        <v>38374</v>
      </c>
      <c r="AU74" s="10">
        <f t="shared" ref="AU74:AU139" si="237">AT74*$E74</f>
        <v>24559.360000000001</v>
      </c>
      <c r="AV74" s="9">
        <v>38934</v>
      </c>
      <c r="AW74" s="10">
        <f t="shared" ref="AW74:AW139" si="238">AV74*$E74</f>
        <v>24917.760000000002</v>
      </c>
      <c r="AX74" s="9">
        <v>31178</v>
      </c>
      <c r="AY74" s="10">
        <f t="shared" ref="AY74:AY139" si="239">AX74*$E74</f>
        <v>19953.920000000002</v>
      </c>
      <c r="AZ74" s="9">
        <v>33096</v>
      </c>
      <c r="BA74" s="10">
        <f t="shared" ref="BA74:BA139" si="240">AZ74*$E74</f>
        <v>21181.439999999999</v>
      </c>
      <c r="BB74" s="9">
        <v>31150</v>
      </c>
      <c r="BC74" s="10">
        <f t="shared" ref="BC74:BC139" si="241">BB74*$E74</f>
        <v>19936</v>
      </c>
      <c r="BD74" s="9">
        <v>33782</v>
      </c>
      <c r="BE74" s="10">
        <f t="shared" ref="BE74:BE139" si="242">BD74*$E74</f>
        <v>21620.48</v>
      </c>
      <c r="BF74" s="11">
        <f t="shared" si="190"/>
        <v>447048</v>
      </c>
      <c r="BG74" s="12">
        <f t="shared" si="191"/>
        <v>286110.72000000003</v>
      </c>
      <c r="BH74" s="13">
        <v>37632</v>
      </c>
      <c r="BI74" s="10">
        <f t="shared" ref="BI74:BI139" si="243">BH74*$E74</f>
        <v>24084.48</v>
      </c>
      <c r="BJ74" s="13">
        <v>28126</v>
      </c>
      <c r="BK74" s="10">
        <f t="shared" ref="BK74:BK139" si="244">BJ74*$E74</f>
        <v>18000.64</v>
      </c>
      <c r="BL74" s="13">
        <v>33992</v>
      </c>
      <c r="BM74" s="10">
        <f t="shared" ref="BM74:BM139" si="245">BL74*$E74</f>
        <v>21754.880000000001</v>
      </c>
      <c r="BN74" s="13">
        <v>33390</v>
      </c>
      <c r="BO74" s="10">
        <f t="shared" ref="BO74:BO139" si="246">BN74*$E74</f>
        <v>21369.600000000002</v>
      </c>
      <c r="BP74" s="13">
        <v>26824</v>
      </c>
      <c r="BQ74" s="10">
        <f t="shared" ref="BQ74:BQ139" si="247">BP74*$E74</f>
        <v>17167.36</v>
      </c>
      <c r="BR74" s="13"/>
      <c r="BS74" s="10">
        <f t="shared" ref="BS74:BS139" si="248">BR74*$E74</f>
        <v>0</v>
      </c>
      <c r="BT74" s="13">
        <v>33883</v>
      </c>
      <c r="BU74" s="10">
        <f t="shared" ref="BU74:BU139" si="249">BT74*$E74</f>
        <v>21685.119999999999</v>
      </c>
      <c r="BV74" s="13">
        <v>27385</v>
      </c>
      <c r="BW74" s="10">
        <f t="shared" ref="BW74:BW139" si="250">BV74*$E74</f>
        <v>17526.400000000001</v>
      </c>
      <c r="BX74" s="13">
        <v>25313</v>
      </c>
      <c r="BY74" s="10">
        <f t="shared" ref="BY74:BY139" si="251">BX74*$E74</f>
        <v>16200.32</v>
      </c>
      <c r="BZ74" s="13">
        <v>29820</v>
      </c>
      <c r="CA74" s="10">
        <f t="shared" ref="CA74:CA139" si="252">BZ74*$E74</f>
        <v>19084.8</v>
      </c>
      <c r="CB74" s="13">
        <v>21307</v>
      </c>
      <c r="CC74" s="10">
        <f t="shared" ref="CC74:CC139" si="253">CB74*$E74</f>
        <v>13636.48</v>
      </c>
      <c r="CD74" s="14">
        <v>27160</v>
      </c>
      <c r="CE74" s="10">
        <f t="shared" ref="CE74:CE139" si="254">CD74*$E74</f>
        <v>17382.400000000001</v>
      </c>
      <c r="CF74" s="11">
        <f t="shared" si="192"/>
        <v>324832</v>
      </c>
      <c r="CG74" s="12">
        <f t="shared" si="193"/>
        <v>207892.48000000001</v>
      </c>
      <c r="CH74" s="15">
        <v>26222</v>
      </c>
      <c r="CI74" s="10">
        <f t="shared" si="194"/>
        <v>16782.080000000002</v>
      </c>
      <c r="CJ74" s="15">
        <v>21545</v>
      </c>
      <c r="CK74" s="10">
        <f t="shared" si="195"/>
        <v>13788.800000000001</v>
      </c>
      <c r="CL74" s="15">
        <v>22904</v>
      </c>
      <c r="CM74" s="10">
        <f t="shared" si="196"/>
        <v>14658.56</v>
      </c>
      <c r="CN74" s="15">
        <v>30198</v>
      </c>
      <c r="CO74" s="10">
        <f t="shared" si="197"/>
        <v>19326.72</v>
      </c>
      <c r="CP74" s="15">
        <v>23562</v>
      </c>
      <c r="CQ74" s="10">
        <f t="shared" si="198"/>
        <v>15079.68</v>
      </c>
      <c r="CR74" s="15">
        <v>20916</v>
      </c>
      <c r="CS74" s="10">
        <f t="shared" si="199"/>
        <v>13386.24</v>
      </c>
      <c r="CT74" s="15">
        <v>22456</v>
      </c>
      <c r="CU74" s="10">
        <f t="shared" si="200"/>
        <v>14371.84</v>
      </c>
      <c r="CV74" s="15">
        <v>21700</v>
      </c>
      <c r="CW74" s="10">
        <f t="shared" si="201"/>
        <v>13888</v>
      </c>
      <c r="CX74" s="15">
        <v>18340</v>
      </c>
      <c r="CY74" s="10">
        <f t="shared" si="202"/>
        <v>11737.6</v>
      </c>
      <c r="CZ74" s="15">
        <v>23226</v>
      </c>
      <c r="DA74" s="10">
        <f t="shared" si="203"/>
        <v>14864.64</v>
      </c>
      <c r="DB74" s="15">
        <v>20328</v>
      </c>
      <c r="DC74" s="10">
        <f t="shared" si="204"/>
        <v>13009.92</v>
      </c>
      <c r="DD74" s="15">
        <v>20160</v>
      </c>
      <c r="DE74" s="10">
        <f t="shared" si="204"/>
        <v>12902.4</v>
      </c>
      <c r="DF74" s="231">
        <f t="shared" si="205"/>
        <v>271557</v>
      </c>
      <c r="DG74" s="230">
        <f t="shared" si="206"/>
        <v>173796.48000000001</v>
      </c>
      <c r="DH74" s="238">
        <v>22302</v>
      </c>
      <c r="DI74" s="239">
        <f t="shared" si="207"/>
        <v>14273.28</v>
      </c>
      <c r="DJ74" s="15">
        <v>18522</v>
      </c>
      <c r="DK74" s="239">
        <f t="shared" si="207"/>
        <v>11854.08</v>
      </c>
      <c r="DL74" s="238"/>
      <c r="DM74" s="239">
        <f t="shared" ref="DM74:DM75" si="255">DL74*$E74</f>
        <v>0</v>
      </c>
      <c r="DN74" s="238"/>
      <c r="DO74" s="239">
        <f t="shared" ref="DO74:DO75" si="256">DN74*$E74</f>
        <v>0</v>
      </c>
      <c r="DP74" s="238"/>
      <c r="DQ74" s="239">
        <f t="shared" ref="DQ74:DQ75" si="257">DP74*$E74</f>
        <v>0</v>
      </c>
      <c r="DR74" s="238"/>
      <c r="DS74" s="239">
        <f t="shared" ref="DS74:DS75" si="258">DR74*$E74</f>
        <v>0</v>
      </c>
      <c r="DT74" s="238"/>
      <c r="DU74" s="239">
        <f t="shared" ref="DU74:DU75" si="259">DT74*$E74</f>
        <v>0</v>
      </c>
      <c r="DV74" s="238"/>
      <c r="DW74" s="239">
        <f t="shared" ref="DW74:DW75" si="260">DV74*$E74</f>
        <v>0</v>
      </c>
      <c r="DX74" s="238"/>
      <c r="DY74" s="239">
        <f t="shared" ref="DY74:DY75" si="261">DX74*$E74</f>
        <v>0</v>
      </c>
      <c r="DZ74" s="238"/>
      <c r="EA74" s="239">
        <f t="shared" ref="EA74:EA75" si="262">DZ74*$E74</f>
        <v>0</v>
      </c>
      <c r="EB74" s="238"/>
      <c r="EC74" s="239">
        <f t="shared" ref="EC74:EC75" si="263">EB74*$E74</f>
        <v>0</v>
      </c>
      <c r="ED74" s="238"/>
      <c r="EE74" s="239">
        <f t="shared" ref="EE74:EE75" si="264">ED74*$E74</f>
        <v>0</v>
      </c>
      <c r="EF74" s="240">
        <f t="shared" ref="EF74:EG75" si="265">SUM(DH74,DJ74,DL74,DN74,DP74,DR74,DT74,DV74,DX74,DZ74,EB74,ED74)</f>
        <v>40824</v>
      </c>
      <c r="EG74" s="239">
        <f t="shared" si="265"/>
        <v>26127.360000000001</v>
      </c>
    </row>
    <row r="75" spans="1:137" ht="19.8">
      <c r="A75" s="7">
        <v>61</v>
      </c>
      <c r="B75" s="8" t="s">
        <v>66</v>
      </c>
      <c r="C75" s="8" t="s">
        <v>11</v>
      </c>
      <c r="D75" s="7">
        <f>RANK(DF75,$DF$4:$DF$147)</f>
        <v>31</v>
      </c>
      <c r="E75" s="7">
        <v>0.64</v>
      </c>
      <c r="F75" s="7" t="s">
        <v>20</v>
      </c>
      <c r="G75" s="7"/>
      <c r="H75" s="15"/>
      <c r="I75" s="10">
        <f t="shared" si="220"/>
        <v>0</v>
      </c>
      <c r="J75" s="15"/>
      <c r="K75" s="10">
        <f t="shared" si="221"/>
        <v>0</v>
      </c>
      <c r="L75" s="15"/>
      <c r="M75" s="10">
        <f t="shared" si="222"/>
        <v>0</v>
      </c>
      <c r="N75" s="15"/>
      <c r="O75" s="10">
        <f t="shared" si="223"/>
        <v>0</v>
      </c>
      <c r="P75" s="15"/>
      <c r="Q75" s="10">
        <f t="shared" si="224"/>
        <v>0</v>
      </c>
      <c r="R75" s="15"/>
      <c r="S75" s="10">
        <f t="shared" si="174"/>
        <v>0</v>
      </c>
      <c r="T75" s="15"/>
      <c r="U75" s="10">
        <f t="shared" si="225"/>
        <v>0</v>
      </c>
      <c r="V75" s="15"/>
      <c r="W75" s="10">
        <f t="shared" si="226"/>
        <v>0</v>
      </c>
      <c r="X75" s="15"/>
      <c r="Y75" s="10">
        <f t="shared" si="227"/>
        <v>0</v>
      </c>
      <c r="Z75" s="15"/>
      <c r="AA75" s="10">
        <f t="shared" si="228"/>
        <v>0</v>
      </c>
      <c r="AB75" s="15"/>
      <c r="AC75" s="10">
        <f t="shared" si="229"/>
        <v>0</v>
      </c>
      <c r="AD75" s="15"/>
      <c r="AE75" s="10">
        <f t="shared" si="230"/>
        <v>0</v>
      </c>
      <c r="AF75" s="11">
        <f t="shared" si="188"/>
        <v>0</v>
      </c>
      <c r="AG75" s="12">
        <f t="shared" si="189"/>
        <v>0</v>
      </c>
      <c r="AH75" s="15"/>
      <c r="AI75" s="10">
        <f t="shared" si="231"/>
        <v>0</v>
      </c>
      <c r="AJ75" s="15"/>
      <c r="AK75" s="10">
        <f t="shared" si="232"/>
        <v>0</v>
      </c>
      <c r="AL75" s="15"/>
      <c r="AM75" s="10">
        <f t="shared" si="233"/>
        <v>0</v>
      </c>
      <c r="AN75" s="15"/>
      <c r="AO75" s="10">
        <f t="shared" si="234"/>
        <v>0</v>
      </c>
      <c r="AP75" s="15"/>
      <c r="AQ75" s="10">
        <f t="shared" si="235"/>
        <v>0</v>
      </c>
      <c r="AR75" s="15"/>
      <c r="AS75" s="10">
        <f t="shared" si="236"/>
        <v>0</v>
      </c>
      <c r="AT75" s="15"/>
      <c r="AU75" s="10">
        <f t="shared" si="237"/>
        <v>0</v>
      </c>
      <c r="AV75" s="15"/>
      <c r="AW75" s="10">
        <f t="shared" si="238"/>
        <v>0</v>
      </c>
      <c r="AX75" s="15"/>
      <c r="AY75" s="10">
        <f t="shared" si="239"/>
        <v>0</v>
      </c>
      <c r="AZ75" s="15"/>
      <c r="BA75" s="10">
        <f t="shared" si="240"/>
        <v>0</v>
      </c>
      <c r="BB75" s="15"/>
      <c r="BC75" s="10">
        <f t="shared" si="241"/>
        <v>0</v>
      </c>
      <c r="BD75" s="15"/>
      <c r="BE75" s="10">
        <f t="shared" si="242"/>
        <v>0</v>
      </c>
      <c r="BF75" s="11">
        <f t="shared" si="190"/>
        <v>0</v>
      </c>
      <c r="BG75" s="12">
        <f t="shared" si="191"/>
        <v>0</v>
      </c>
      <c r="BH75" s="15"/>
      <c r="BI75" s="10">
        <f t="shared" si="243"/>
        <v>0</v>
      </c>
      <c r="BJ75" s="15"/>
      <c r="BK75" s="10">
        <f t="shared" si="244"/>
        <v>0</v>
      </c>
      <c r="BL75" s="15"/>
      <c r="BM75" s="10">
        <f t="shared" si="245"/>
        <v>0</v>
      </c>
      <c r="BN75" s="15"/>
      <c r="BO75" s="10">
        <f t="shared" si="246"/>
        <v>0</v>
      </c>
      <c r="BP75" s="15"/>
      <c r="BQ75" s="10">
        <f t="shared" si="247"/>
        <v>0</v>
      </c>
      <c r="BR75" s="15"/>
      <c r="BS75" s="10">
        <f t="shared" si="248"/>
        <v>0</v>
      </c>
      <c r="BT75" s="15"/>
      <c r="BU75" s="10">
        <f t="shared" si="249"/>
        <v>0</v>
      </c>
      <c r="BV75" s="15"/>
      <c r="BW75" s="10">
        <f t="shared" si="250"/>
        <v>0</v>
      </c>
      <c r="BX75" s="15"/>
      <c r="BY75" s="10">
        <f t="shared" si="251"/>
        <v>0</v>
      </c>
      <c r="BZ75" s="15"/>
      <c r="CA75" s="10">
        <f t="shared" si="252"/>
        <v>0</v>
      </c>
      <c r="CB75" s="15"/>
      <c r="CC75" s="10">
        <f t="shared" si="253"/>
        <v>0</v>
      </c>
      <c r="CD75" s="15"/>
      <c r="CE75" s="10">
        <f t="shared" si="254"/>
        <v>0</v>
      </c>
      <c r="CF75" s="11">
        <f t="shared" si="192"/>
        <v>0</v>
      </c>
      <c r="CG75" s="12">
        <f t="shared" si="193"/>
        <v>0</v>
      </c>
      <c r="CH75" s="15"/>
      <c r="CI75" s="10">
        <f t="shared" si="194"/>
        <v>0</v>
      </c>
      <c r="CJ75" s="15"/>
      <c r="CK75" s="10">
        <f t="shared" si="195"/>
        <v>0</v>
      </c>
      <c r="CL75" s="15"/>
      <c r="CM75" s="10">
        <f t="shared" si="196"/>
        <v>0</v>
      </c>
      <c r="CN75" s="15"/>
      <c r="CO75" s="10">
        <f t="shared" si="197"/>
        <v>0</v>
      </c>
      <c r="CP75" s="15"/>
      <c r="CQ75" s="10">
        <f t="shared" si="198"/>
        <v>0</v>
      </c>
      <c r="CR75" s="15"/>
      <c r="CS75" s="10">
        <f t="shared" si="199"/>
        <v>0</v>
      </c>
      <c r="CT75" s="15"/>
      <c r="CU75" s="10">
        <f t="shared" si="200"/>
        <v>0</v>
      </c>
      <c r="CV75" s="15"/>
      <c r="CW75" s="10">
        <f t="shared" si="201"/>
        <v>0</v>
      </c>
      <c r="CX75" s="15"/>
      <c r="CY75" s="10">
        <f t="shared" si="202"/>
        <v>0</v>
      </c>
      <c r="CZ75" s="15"/>
      <c r="DA75" s="10">
        <f t="shared" si="203"/>
        <v>0</v>
      </c>
      <c r="DB75" s="15"/>
      <c r="DC75" s="10">
        <f t="shared" si="204"/>
        <v>0</v>
      </c>
      <c r="DD75" s="15"/>
      <c r="DE75" s="10">
        <f t="shared" si="204"/>
        <v>0</v>
      </c>
      <c r="DF75" s="231">
        <f t="shared" si="205"/>
        <v>0</v>
      </c>
      <c r="DG75" s="230">
        <f t="shared" si="206"/>
        <v>0</v>
      </c>
      <c r="DH75" s="238"/>
      <c r="DI75" s="239">
        <f t="shared" si="207"/>
        <v>0</v>
      </c>
      <c r="DJ75" s="15"/>
      <c r="DK75" s="239">
        <f t="shared" si="207"/>
        <v>0</v>
      </c>
      <c r="DL75" s="238"/>
      <c r="DM75" s="239">
        <f t="shared" si="255"/>
        <v>0</v>
      </c>
      <c r="DN75" s="238"/>
      <c r="DO75" s="239">
        <f t="shared" si="256"/>
        <v>0</v>
      </c>
      <c r="DP75" s="238"/>
      <c r="DQ75" s="239">
        <f t="shared" si="257"/>
        <v>0</v>
      </c>
      <c r="DR75" s="238"/>
      <c r="DS75" s="239">
        <f t="shared" si="258"/>
        <v>0</v>
      </c>
      <c r="DT75" s="238"/>
      <c r="DU75" s="239">
        <f t="shared" si="259"/>
        <v>0</v>
      </c>
      <c r="DV75" s="238"/>
      <c r="DW75" s="239">
        <f t="shared" si="260"/>
        <v>0</v>
      </c>
      <c r="DX75" s="238"/>
      <c r="DY75" s="239">
        <f t="shared" si="261"/>
        <v>0</v>
      </c>
      <c r="DZ75" s="238"/>
      <c r="EA75" s="239">
        <f t="shared" si="262"/>
        <v>0</v>
      </c>
      <c r="EB75" s="238"/>
      <c r="EC75" s="239">
        <f t="shared" si="263"/>
        <v>0</v>
      </c>
      <c r="ED75" s="238"/>
      <c r="EE75" s="239">
        <f t="shared" si="264"/>
        <v>0</v>
      </c>
      <c r="EF75" s="240">
        <f t="shared" si="265"/>
        <v>0</v>
      </c>
      <c r="EG75" s="239">
        <f t="shared" si="265"/>
        <v>0</v>
      </c>
    </row>
    <row r="76" spans="1:137" ht="19.8">
      <c r="A76" s="7"/>
      <c r="B76" s="8"/>
      <c r="C76" s="8"/>
      <c r="D76" s="7"/>
      <c r="E76" s="7"/>
      <c r="F76" s="7"/>
      <c r="G76" s="7"/>
      <c r="H76" s="15"/>
      <c r="I76" s="10">
        <f t="shared" si="220"/>
        <v>0</v>
      </c>
      <c r="J76" s="15"/>
      <c r="K76" s="10">
        <f t="shared" si="221"/>
        <v>0</v>
      </c>
      <c r="L76" s="15"/>
      <c r="M76" s="10">
        <f t="shared" si="222"/>
        <v>0</v>
      </c>
      <c r="N76" s="15"/>
      <c r="O76" s="10">
        <f t="shared" si="223"/>
        <v>0</v>
      </c>
      <c r="P76" s="15"/>
      <c r="Q76" s="10">
        <f t="shared" si="224"/>
        <v>0</v>
      </c>
      <c r="R76" s="15"/>
      <c r="S76" s="10">
        <f t="shared" si="174"/>
        <v>0</v>
      </c>
      <c r="T76" s="15"/>
      <c r="U76" s="10">
        <f t="shared" si="225"/>
        <v>0</v>
      </c>
      <c r="V76" s="15"/>
      <c r="W76" s="10">
        <f t="shared" si="226"/>
        <v>0</v>
      </c>
      <c r="X76" s="15"/>
      <c r="Y76" s="10">
        <f t="shared" si="227"/>
        <v>0</v>
      </c>
      <c r="Z76" s="15"/>
      <c r="AA76" s="10">
        <f t="shared" si="228"/>
        <v>0</v>
      </c>
      <c r="AB76" s="15"/>
      <c r="AC76" s="10">
        <f t="shared" si="229"/>
        <v>0</v>
      </c>
      <c r="AD76" s="15"/>
      <c r="AE76" s="10">
        <f t="shared" si="230"/>
        <v>0</v>
      </c>
      <c r="AF76" s="11">
        <f>(AD76+AB76+Z76+X76+V76+T76+R76+P76+N76+L76+J76+H76)/1</f>
        <v>0</v>
      </c>
      <c r="AG76" s="12">
        <f t="shared" si="189"/>
        <v>0</v>
      </c>
      <c r="AH76" s="15"/>
      <c r="AI76" s="10">
        <f t="shared" si="231"/>
        <v>0</v>
      </c>
      <c r="AJ76" s="15"/>
      <c r="AK76" s="10">
        <f t="shared" si="232"/>
        <v>0</v>
      </c>
      <c r="AL76" s="15"/>
      <c r="AM76" s="10">
        <f t="shared" si="233"/>
        <v>0</v>
      </c>
      <c r="AN76" s="15"/>
      <c r="AO76" s="10">
        <f t="shared" si="234"/>
        <v>0</v>
      </c>
      <c r="AP76" s="15"/>
      <c r="AQ76" s="10">
        <f t="shared" si="235"/>
        <v>0</v>
      </c>
      <c r="AR76" s="15"/>
      <c r="AS76" s="10">
        <f t="shared" si="236"/>
        <v>0</v>
      </c>
      <c r="AT76" s="15"/>
      <c r="AU76" s="10">
        <f t="shared" si="237"/>
        <v>0</v>
      </c>
      <c r="AV76" s="15"/>
      <c r="AW76" s="10">
        <f t="shared" si="238"/>
        <v>0</v>
      </c>
      <c r="AX76" s="15"/>
      <c r="AY76" s="10">
        <f t="shared" si="239"/>
        <v>0</v>
      </c>
      <c r="AZ76" s="15"/>
      <c r="BA76" s="10">
        <f t="shared" si="240"/>
        <v>0</v>
      </c>
      <c r="BB76" s="15"/>
      <c r="BC76" s="10">
        <f t="shared" si="241"/>
        <v>0</v>
      </c>
      <c r="BD76" s="15"/>
      <c r="BE76" s="10">
        <f t="shared" si="242"/>
        <v>0</v>
      </c>
      <c r="BF76" s="11">
        <f t="shared" si="190"/>
        <v>0</v>
      </c>
      <c r="BG76" s="12">
        <f t="shared" si="191"/>
        <v>0</v>
      </c>
      <c r="BH76" s="15"/>
      <c r="BI76" s="10">
        <f t="shared" si="243"/>
        <v>0</v>
      </c>
      <c r="BJ76" s="15"/>
      <c r="BK76" s="10">
        <f t="shared" si="244"/>
        <v>0</v>
      </c>
      <c r="BL76" s="15"/>
      <c r="BM76" s="10">
        <f t="shared" si="245"/>
        <v>0</v>
      </c>
      <c r="BN76" s="15"/>
      <c r="BO76" s="10">
        <f t="shared" si="246"/>
        <v>0</v>
      </c>
      <c r="BP76" s="15"/>
      <c r="BQ76" s="10">
        <f t="shared" si="247"/>
        <v>0</v>
      </c>
      <c r="BR76" s="15"/>
      <c r="BS76" s="10">
        <f t="shared" si="248"/>
        <v>0</v>
      </c>
      <c r="BT76" s="15"/>
      <c r="BU76" s="10">
        <f t="shared" si="249"/>
        <v>0</v>
      </c>
      <c r="BV76" s="15"/>
      <c r="BW76" s="10">
        <f t="shared" si="250"/>
        <v>0</v>
      </c>
      <c r="BX76" s="15"/>
      <c r="BY76" s="10">
        <f t="shared" si="251"/>
        <v>0</v>
      </c>
      <c r="BZ76" s="15"/>
      <c r="CA76" s="10">
        <f t="shared" si="252"/>
        <v>0</v>
      </c>
      <c r="CB76" s="15"/>
      <c r="CC76" s="10">
        <f t="shared" si="253"/>
        <v>0</v>
      </c>
      <c r="CD76" s="15"/>
      <c r="CE76" s="10">
        <f t="shared" si="254"/>
        <v>0</v>
      </c>
      <c r="CF76" s="11">
        <f t="shared" si="192"/>
        <v>0</v>
      </c>
      <c r="CG76" s="12">
        <f t="shared" si="193"/>
        <v>0</v>
      </c>
      <c r="CH76" s="15"/>
      <c r="CI76" s="10">
        <f t="shared" si="194"/>
        <v>0</v>
      </c>
      <c r="CJ76" s="15"/>
      <c r="CK76" s="10">
        <f t="shared" si="195"/>
        <v>0</v>
      </c>
      <c r="CL76" s="15"/>
      <c r="CM76" s="10">
        <f t="shared" si="196"/>
        <v>0</v>
      </c>
      <c r="CN76" s="15"/>
      <c r="CO76" s="10">
        <f t="shared" si="197"/>
        <v>0</v>
      </c>
      <c r="CP76" s="15"/>
      <c r="CQ76" s="10">
        <f t="shared" si="198"/>
        <v>0</v>
      </c>
      <c r="CR76" s="15"/>
      <c r="CS76" s="10">
        <f t="shared" si="199"/>
        <v>0</v>
      </c>
      <c r="CT76" s="15"/>
      <c r="CU76" s="10">
        <f t="shared" si="200"/>
        <v>0</v>
      </c>
      <c r="CV76" s="15"/>
      <c r="CW76" s="10">
        <f t="shared" si="201"/>
        <v>0</v>
      </c>
      <c r="CX76" s="15"/>
      <c r="CY76" s="10">
        <f t="shared" si="202"/>
        <v>0</v>
      </c>
      <c r="CZ76" s="15"/>
      <c r="DA76" s="10">
        <f t="shared" si="203"/>
        <v>0</v>
      </c>
      <c r="DB76" s="15"/>
      <c r="DC76" s="10">
        <f t="shared" si="204"/>
        <v>0</v>
      </c>
      <c r="DD76" s="15"/>
      <c r="DE76" s="10">
        <f t="shared" si="204"/>
        <v>0</v>
      </c>
      <c r="DF76" s="231">
        <f t="shared" si="205"/>
        <v>0</v>
      </c>
      <c r="DG76" s="230">
        <f t="shared" si="206"/>
        <v>0</v>
      </c>
      <c r="DH76" s="238"/>
      <c r="DI76" s="239"/>
      <c r="DJ76" s="15"/>
      <c r="DK76" s="239"/>
      <c r="DL76" s="238"/>
      <c r="DM76" s="239"/>
      <c r="DN76" s="238"/>
      <c r="DO76" s="239"/>
      <c r="DP76" s="238"/>
      <c r="DQ76" s="239"/>
      <c r="DR76" s="238"/>
      <c r="DS76" s="239"/>
      <c r="DT76" s="238"/>
      <c r="DU76" s="239"/>
      <c r="DV76" s="238"/>
      <c r="DW76" s="239"/>
      <c r="DX76" s="238"/>
      <c r="DY76" s="239"/>
      <c r="DZ76" s="238"/>
      <c r="EA76" s="239"/>
      <c r="EB76" s="238"/>
      <c r="EC76" s="239"/>
      <c r="ED76" s="238"/>
      <c r="EE76" s="239"/>
      <c r="EF76" s="240"/>
      <c r="EG76" s="239"/>
    </row>
    <row r="77" spans="1:137" ht="19.8">
      <c r="A77" s="7">
        <v>62</v>
      </c>
      <c r="B77" s="8" t="s">
        <v>67</v>
      </c>
      <c r="C77" s="8" t="s">
        <v>11</v>
      </c>
      <c r="D77" s="7">
        <f>RANK(DF77,$DF$4:$DF$147)</f>
        <v>6</v>
      </c>
      <c r="E77" s="7">
        <v>0.64</v>
      </c>
      <c r="F77" s="7" t="s">
        <v>22</v>
      </c>
      <c r="G77" s="7">
        <v>1350</v>
      </c>
      <c r="H77" s="9">
        <v>90650</v>
      </c>
      <c r="I77" s="10">
        <f t="shared" si="220"/>
        <v>58016</v>
      </c>
      <c r="J77" s="9">
        <v>74998</v>
      </c>
      <c r="K77" s="10">
        <f t="shared" si="221"/>
        <v>47998.720000000001</v>
      </c>
      <c r="L77" s="9">
        <v>140658</v>
      </c>
      <c r="M77" s="10">
        <f t="shared" si="222"/>
        <v>90021.119999999995</v>
      </c>
      <c r="N77" s="9">
        <v>104580</v>
      </c>
      <c r="O77" s="10">
        <f t="shared" si="223"/>
        <v>66931.199999999997</v>
      </c>
      <c r="P77" s="9">
        <v>97034</v>
      </c>
      <c r="Q77" s="10">
        <f t="shared" si="224"/>
        <v>62101.760000000002</v>
      </c>
      <c r="R77" s="9">
        <v>86618</v>
      </c>
      <c r="S77" s="10">
        <f>R77*$E77</f>
        <v>55435.520000000004</v>
      </c>
      <c r="T77" s="9">
        <v>87990</v>
      </c>
      <c r="U77" s="10">
        <f t="shared" si="225"/>
        <v>56313.599999999999</v>
      </c>
      <c r="V77" s="9">
        <v>96250</v>
      </c>
      <c r="W77" s="10">
        <f t="shared" si="226"/>
        <v>61600</v>
      </c>
      <c r="X77" s="9">
        <v>74480</v>
      </c>
      <c r="Y77" s="10">
        <f t="shared" si="227"/>
        <v>47667.200000000004</v>
      </c>
      <c r="Z77" s="9">
        <v>77910</v>
      </c>
      <c r="AA77" s="10">
        <f t="shared" si="228"/>
        <v>49862.400000000001</v>
      </c>
      <c r="AB77" s="9">
        <v>88550</v>
      </c>
      <c r="AC77" s="10">
        <f t="shared" si="229"/>
        <v>56672</v>
      </c>
      <c r="AD77" s="9">
        <v>93866</v>
      </c>
      <c r="AE77" s="10">
        <f t="shared" si="230"/>
        <v>60074.239999999998</v>
      </c>
      <c r="AF77" s="11">
        <f t="shared" ref="AF77:AF146" si="266">(AD77+AB77+Z77+X77+V77+T77+R77+P77+N77+L77+J77+H77)/1</f>
        <v>1113584</v>
      </c>
      <c r="AG77" s="12">
        <f t="shared" si="189"/>
        <v>712693.76000000001</v>
      </c>
      <c r="AH77" s="9">
        <v>84168</v>
      </c>
      <c r="AI77" s="10">
        <f t="shared" si="231"/>
        <v>53867.520000000004</v>
      </c>
      <c r="AJ77" s="9">
        <v>107520</v>
      </c>
      <c r="AK77" s="10">
        <f t="shared" si="232"/>
        <v>68812.800000000003</v>
      </c>
      <c r="AL77" s="9">
        <v>112126</v>
      </c>
      <c r="AM77" s="10">
        <f t="shared" si="233"/>
        <v>71760.639999999999</v>
      </c>
      <c r="AN77" s="9">
        <v>69020</v>
      </c>
      <c r="AO77" s="10">
        <f t="shared" si="234"/>
        <v>44172.800000000003</v>
      </c>
      <c r="AP77" s="9">
        <v>103810</v>
      </c>
      <c r="AQ77" s="10">
        <f t="shared" si="235"/>
        <v>66438.399999999994</v>
      </c>
      <c r="AR77" s="9">
        <v>73710</v>
      </c>
      <c r="AS77" s="10">
        <f t="shared" si="236"/>
        <v>47174.400000000001</v>
      </c>
      <c r="AT77" s="9">
        <v>98560</v>
      </c>
      <c r="AU77" s="10">
        <f t="shared" si="237"/>
        <v>63078.400000000001</v>
      </c>
      <c r="AV77" s="9">
        <v>82334</v>
      </c>
      <c r="AW77" s="10">
        <f t="shared" si="238"/>
        <v>52693.760000000002</v>
      </c>
      <c r="AX77" s="9">
        <v>66710</v>
      </c>
      <c r="AY77" s="10">
        <f t="shared" si="239"/>
        <v>42694.400000000001</v>
      </c>
      <c r="AZ77" s="9">
        <v>76930</v>
      </c>
      <c r="BA77" s="10">
        <f t="shared" si="240"/>
        <v>49235.200000000004</v>
      </c>
      <c r="BB77" s="9">
        <v>81690</v>
      </c>
      <c r="BC77" s="10">
        <f t="shared" si="241"/>
        <v>52281.599999999999</v>
      </c>
      <c r="BD77" s="9">
        <v>89040</v>
      </c>
      <c r="BE77" s="10">
        <f t="shared" si="242"/>
        <v>56985.599999999999</v>
      </c>
      <c r="BF77" s="11">
        <f t="shared" si="190"/>
        <v>1045618</v>
      </c>
      <c r="BG77" s="12">
        <f t="shared" si="191"/>
        <v>669195.52000000002</v>
      </c>
      <c r="BH77" s="13">
        <v>107044</v>
      </c>
      <c r="BI77" s="10">
        <f t="shared" si="243"/>
        <v>68508.160000000003</v>
      </c>
      <c r="BJ77" s="13">
        <v>66780</v>
      </c>
      <c r="BK77" s="10">
        <f t="shared" si="244"/>
        <v>42739.200000000004</v>
      </c>
      <c r="BL77" s="13">
        <v>81508</v>
      </c>
      <c r="BM77" s="10">
        <f t="shared" si="245"/>
        <v>52165.120000000003</v>
      </c>
      <c r="BN77" s="13">
        <v>90160</v>
      </c>
      <c r="BO77" s="10">
        <f t="shared" si="246"/>
        <v>57702.400000000001</v>
      </c>
      <c r="BP77" s="13">
        <v>86366</v>
      </c>
      <c r="BQ77" s="10">
        <f t="shared" si="247"/>
        <v>55274.239999999998</v>
      </c>
      <c r="BR77" s="13">
        <v>94080</v>
      </c>
      <c r="BS77" s="10">
        <f t="shared" si="248"/>
        <v>60211.200000000004</v>
      </c>
      <c r="BT77" s="13">
        <v>75067</v>
      </c>
      <c r="BU77" s="10">
        <f t="shared" si="249"/>
        <v>48042.879999999997</v>
      </c>
      <c r="BV77" s="13">
        <v>74872</v>
      </c>
      <c r="BW77" s="10">
        <f t="shared" si="250"/>
        <v>47918.080000000002</v>
      </c>
      <c r="BX77" s="13">
        <v>63378</v>
      </c>
      <c r="BY77" s="10">
        <f t="shared" si="251"/>
        <v>40561.919999999998</v>
      </c>
      <c r="BZ77" s="13">
        <v>82180</v>
      </c>
      <c r="CA77" s="10">
        <f t="shared" si="252"/>
        <v>52595.200000000004</v>
      </c>
      <c r="CB77" s="13">
        <v>85008</v>
      </c>
      <c r="CC77" s="10">
        <f t="shared" si="253"/>
        <v>54405.120000000003</v>
      </c>
      <c r="CD77" s="14">
        <v>66178</v>
      </c>
      <c r="CE77" s="10">
        <f t="shared" si="254"/>
        <v>42353.919999999998</v>
      </c>
      <c r="CF77" s="11">
        <f t="shared" si="192"/>
        <v>972621</v>
      </c>
      <c r="CG77" s="12">
        <f t="shared" si="193"/>
        <v>622477.44000000006</v>
      </c>
      <c r="CH77" s="15">
        <v>67074</v>
      </c>
      <c r="CI77" s="10">
        <f t="shared" si="194"/>
        <v>42927.360000000001</v>
      </c>
      <c r="CJ77" s="15">
        <v>77838</v>
      </c>
      <c r="CK77" s="10">
        <f t="shared" si="195"/>
        <v>49816.32</v>
      </c>
      <c r="CL77" s="15">
        <v>91182</v>
      </c>
      <c r="CM77" s="10">
        <f t="shared" si="196"/>
        <v>58356.480000000003</v>
      </c>
      <c r="CN77" s="15">
        <v>88578</v>
      </c>
      <c r="CO77" s="10">
        <f t="shared" si="197"/>
        <v>56689.919999999998</v>
      </c>
      <c r="CP77" s="15">
        <v>79590</v>
      </c>
      <c r="CQ77" s="10">
        <f t="shared" si="198"/>
        <v>50937.599999999999</v>
      </c>
      <c r="CR77" s="15">
        <v>88200</v>
      </c>
      <c r="CS77" s="10">
        <f t="shared" si="199"/>
        <v>56448</v>
      </c>
      <c r="CT77" s="15">
        <v>78218</v>
      </c>
      <c r="CU77" s="10">
        <f t="shared" si="200"/>
        <v>50059.520000000004</v>
      </c>
      <c r="CV77" s="15">
        <v>73304</v>
      </c>
      <c r="CW77" s="10">
        <f t="shared" si="201"/>
        <v>46914.559999999998</v>
      </c>
      <c r="CX77" s="15">
        <v>70753</v>
      </c>
      <c r="CY77" s="10">
        <f t="shared" si="202"/>
        <v>45281.919999999998</v>
      </c>
      <c r="CZ77" s="15">
        <v>74200</v>
      </c>
      <c r="DA77" s="10">
        <f t="shared" si="203"/>
        <v>47488</v>
      </c>
      <c r="DB77" s="15">
        <v>73948</v>
      </c>
      <c r="DC77" s="10">
        <f t="shared" si="204"/>
        <v>47326.720000000001</v>
      </c>
      <c r="DD77" s="15">
        <v>90440</v>
      </c>
      <c r="DE77" s="10">
        <f t="shared" si="204"/>
        <v>57881.599999999999</v>
      </c>
      <c r="DF77" s="231">
        <f t="shared" si="205"/>
        <v>953325</v>
      </c>
      <c r="DG77" s="230">
        <f t="shared" si="206"/>
        <v>610128</v>
      </c>
      <c r="DH77" s="238">
        <v>83272</v>
      </c>
      <c r="DI77" s="239">
        <f t="shared" ref="DI77:DI78" si="267">DH77*$E77</f>
        <v>53294.080000000002</v>
      </c>
      <c r="DJ77" s="15">
        <v>76986</v>
      </c>
      <c r="DK77" s="239">
        <f t="shared" ref="DK77:DK78" si="268">DJ77*$E77</f>
        <v>49271.040000000001</v>
      </c>
      <c r="DL77" s="238"/>
      <c r="DM77" s="239">
        <f t="shared" ref="DM77:DM78" si="269">DL77*$E77</f>
        <v>0</v>
      </c>
      <c r="DN77" s="238"/>
      <c r="DO77" s="239">
        <f t="shared" ref="DO77:DO78" si="270">DN77*$E77</f>
        <v>0</v>
      </c>
      <c r="DP77" s="238"/>
      <c r="DQ77" s="239">
        <f t="shared" ref="DQ77:DQ78" si="271">DP77*$E77</f>
        <v>0</v>
      </c>
      <c r="DR77" s="238"/>
      <c r="DS77" s="239">
        <f t="shared" ref="DS77:DS78" si="272">DR77*$E77</f>
        <v>0</v>
      </c>
      <c r="DT77" s="238"/>
      <c r="DU77" s="239">
        <f t="shared" ref="DU77:DU78" si="273">DT77*$E77</f>
        <v>0</v>
      </c>
      <c r="DV77" s="238"/>
      <c r="DW77" s="239">
        <f t="shared" ref="DW77:DW78" si="274">DV77*$E77</f>
        <v>0</v>
      </c>
      <c r="DX77" s="238"/>
      <c r="DY77" s="239">
        <f t="shared" ref="DY77:DY78" si="275">DX77*$E77</f>
        <v>0</v>
      </c>
      <c r="DZ77" s="238"/>
      <c r="EA77" s="239">
        <f t="shared" ref="EA77:EA78" si="276">DZ77*$E77</f>
        <v>0</v>
      </c>
      <c r="EB77" s="238"/>
      <c r="EC77" s="239">
        <f t="shared" ref="EC77:EC78" si="277">EB77*$E77</f>
        <v>0</v>
      </c>
      <c r="ED77" s="238"/>
      <c r="EE77" s="239">
        <f t="shared" ref="EE77:EE78" si="278">ED77*$E77</f>
        <v>0</v>
      </c>
      <c r="EF77" s="240">
        <f t="shared" ref="EF77:EG78" si="279">SUM(DH77,DJ77,DL77,DN77,DP77,DR77,DT77,DV77,DX77,DZ77,EB77,ED77)</f>
        <v>160258</v>
      </c>
      <c r="EG77" s="239">
        <f t="shared" si="279"/>
        <v>102565.12</v>
      </c>
    </row>
    <row r="78" spans="1:137" ht="19.8">
      <c r="A78" s="7">
        <v>63</v>
      </c>
      <c r="B78" s="8" t="s">
        <v>67</v>
      </c>
      <c r="C78" s="8" t="s">
        <v>11</v>
      </c>
      <c r="D78" s="7">
        <f>RANK(DF78,$DF$4:$DF$147)</f>
        <v>31</v>
      </c>
      <c r="E78" s="7">
        <v>0.64</v>
      </c>
      <c r="F78" s="7" t="s">
        <v>20</v>
      </c>
      <c r="G78" s="7">
        <v>1250</v>
      </c>
      <c r="H78" s="9">
        <v>240</v>
      </c>
      <c r="I78" s="10">
        <f t="shared" si="220"/>
        <v>153.6</v>
      </c>
      <c r="J78" s="9"/>
      <c r="K78" s="10">
        <f t="shared" si="221"/>
        <v>0</v>
      </c>
      <c r="L78" s="9"/>
      <c r="M78" s="10">
        <f t="shared" si="222"/>
        <v>0</v>
      </c>
      <c r="N78" s="9"/>
      <c r="O78" s="10">
        <f t="shared" si="223"/>
        <v>0</v>
      </c>
      <c r="P78" s="9">
        <v>480</v>
      </c>
      <c r="Q78" s="10">
        <f t="shared" si="224"/>
        <v>307.2</v>
      </c>
      <c r="R78" s="9"/>
      <c r="S78" s="10">
        <f t="shared" ref="S78:S95" si="280">R78*$E78</f>
        <v>0</v>
      </c>
      <c r="T78" s="9"/>
      <c r="U78" s="10">
        <f t="shared" si="225"/>
        <v>0</v>
      </c>
      <c r="V78" s="9"/>
      <c r="W78" s="10">
        <f t="shared" si="226"/>
        <v>0</v>
      </c>
      <c r="X78" s="9"/>
      <c r="Y78" s="10">
        <f t="shared" si="227"/>
        <v>0</v>
      </c>
      <c r="Z78" s="9"/>
      <c r="AA78" s="10">
        <f t="shared" si="228"/>
        <v>0</v>
      </c>
      <c r="AB78" s="9"/>
      <c r="AC78" s="10">
        <f t="shared" si="229"/>
        <v>0</v>
      </c>
      <c r="AD78" s="9"/>
      <c r="AE78" s="10">
        <f t="shared" si="230"/>
        <v>0</v>
      </c>
      <c r="AF78" s="11">
        <f t="shared" si="266"/>
        <v>720</v>
      </c>
      <c r="AG78" s="12">
        <f t="shared" si="189"/>
        <v>460.8</v>
      </c>
      <c r="AH78" s="9"/>
      <c r="AI78" s="10">
        <f t="shared" si="231"/>
        <v>0</v>
      </c>
      <c r="AJ78" s="9">
        <v>720</v>
      </c>
      <c r="AK78" s="10">
        <f t="shared" si="232"/>
        <v>460.8</v>
      </c>
      <c r="AL78" s="9">
        <v>720</v>
      </c>
      <c r="AM78" s="10">
        <f t="shared" si="233"/>
        <v>460.8</v>
      </c>
      <c r="AN78" s="9"/>
      <c r="AO78" s="10">
        <f t="shared" si="234"/>
        <v>0</v>
      </c>
      <c r="AP78" s="9">
        <v>480</v>
      </c>
      <c r="AQ78" s="10">
        <f t="shared" si="235"/>
        <v>307.2</v>
      </c>
      <c r="AR78" s="9"/>
      <c r="AS78" s="10">
        <f t="shared" si="236"/>
        <v>0</v>
      </c>
      <c r="AT78" s="9"/>
      <c r="AU78" s="10">
        <f t="shared" si="237"/>
        <v>0</v>
      </c>
      <c r="AV78" s="9"/>
      <c r="AW78" s="10">
        <f t="shared" si="238"/>
        <v>0</v>
      </c>
      <c r="AX78" s="9">
        <v>480</v>
      </c>
      <c r="AY78" s="10">
        <f t="shared" si="239"/>
        <v>307.2</v>
      </c>
      <c r="AZ78" s="9"/>
      <c r="BA78" s="10">
        <f t="shared" si="240"/>
        <v>0</v>
      </c>
      <c r="BB78" s="9"/>
      <c r="BC78" s="10">
        <f t="shared" si="241"/>
        <v>0</v>
      </c>
      <c r="BD78" s="9">
        <v>480</v>
      </c>
      <c r="BE78" s="10">
        <f t="shared" si="242"/>
        <v>307.2</v>
      </c>
      <c r="BF78" s="11">
        <f t="shared" si="190"/>
        <v>2880</v>
      </c>
      <c r="BG78" s="12">
        <f t="shared" si="191"/>
        <v>1843.2</v>
      </c>
      <c r="BH78" s="15"/>
      <c r="BI78" s="10">
        <f t="shared" si="243"/>
        <v>0</v>
      </c>
      <c r="BJ78" s="15"/>
      <c r="BK78" s="10">
        <f t="shared" si="244"/>
        <v>0</v>
      </c>
      <c r="BL78" s="15"/>
      <c r="BM78" s="10">
        <f t="shared" si="245"/>
        <v>0</v>
      </c>
      <c r="BN78" s="15"/>
      <c r="BO78" s="10">
        <f t="shared" si="246"/>
        <v>0</v>
      </c>
      <c r="BP78" s="15"/>
      <c r="BQ78" s="10">
        <f t="shared" si="247"/>
        <v>0</v>
      </c>
      <c r="BR78" s="15"/>
      <c r="BS78" s="10">
        <f t="shared" si="248"/>
        <v>0</v>
      </c>
      <c r="BT78" s="15"/>
      <c r="BU78" s="10">
        <f t="shared" si="249"/>
        <v>0</v>
      </c>
      <c r="BV78" s="15"/>
      <c r="BW78" s="10">
        <f t="shared" si="250"/>
        <v>0</v>
      </c>
      <c r="BX78" s="15"/>
      <c r="BY78" s="10">
        <f t="shared" si="251"/>
        <v>0</v>
      </c>
      <c r="BZ78" s="15"/>
      <c r="CA78" s="10">
        <f t="shared" si="252"/>
        <v>0</v>
      </c>
      <c r="CB78" s="15"/>
      <c r="CC78" s="10">
        <f t="shared" si="253"/>
        <v>0</v>
      </c>
      <c r="CD78" s="15"/>
      <c r="CE78" s="10">
        <f t="shared" si="254"/>
        <v>0</v>
      </c>
      <c r="CF78" s="11">
        <f t="shared" si="192"/>
        <v>0</v>
      </c>
      <c r="CG78" s="12">
        <f t="shared" si="193"/>
        <v>0</v>
      </c>
      <c r="CH78" s="15"/>
      <c r="CI78" s="10">
        <f t="shared" si="194"/>
        <v>0</v>
      </c>
      <c r="CJ78" s="15"/>
      <c r="CK78" s="10">
        <f t="shared" si="195"/>
        <v>0</v>
      </c>
      <c r="CL78" s="15"/>
      <c r="CM78" s="10">
        <f t="shared" si="196"/>
        <v>0</v>
      </c>
      <c r="CN78" s="15"/>
      <c r="CO78" s="10">
        <f t="shared" si="197"/>
        <v>0</v>
      </c>
      <c r="CP78" s="15"/>
      <c r="CQ78" s="10">
        <f t="shared" si="198"/>
        <v>0</v>
      </c>
      <c r="CR78" s="15"/>
      <c r="CS78" s="10">
        <f t="shared" si="199"/>
        <v>0</v>
      </c>
      <c r="CT78" s="15"/>
      <c r="CU78" s="10">
        <f t="shared" si="200"/>
        <v>0</v>
      </c>
      <c r="CV78" s="15"/>
      <c r="CW78" s="10">
        <f t="shared" si="201"/>
        <v>0</v>
      </c>
      <c r="CX78" s="15"/>
      <c r="CY78" s="10">
        <f t="shared" si="202"/>
        <v>0</v>
      </c>
      <c r="CZ78" s="15"/>
      <c r="DA78" s="10">
        <f t="shared" si="203"/>
        <v>0</v>
      </c>
      <c r="DB78" s="15"/>
      <c r="DC78" s="10">
        <f t="shared" si="204"/>
        <v>0</v>
      </c>
      <c r="DD78" s="15"/>
      <c r="DE78" s="10">
        <f t="shared" si="204"/>
        <v>0</v>
      </c>
      <c r="DF78" s="231">
        <f t="shared" si="205"/>
        <v>0</v>
      </c>
      <c r="DG78" s="230">
        <f t="shared" si="206"/>
        <v>0</v>
      </c>
      <c r="DH78" s="238"/>
      <c r="DI78" s="239">
        <f t="shared" si="267"/>
        <v>0</v>
      </c>
      <c r="DJ78" s="15"/>
      <c r="DK78" s="239">
        <f t="shared" si="268"/>
        <v>0</v>
      </c>
      <c r="DL78" s="238"/>
      <c r="DM78" s="239">
        <f t="shared" si="269"/>
        <v>0</v>
      </c>
      <c r="DN78" s="238"/>
      <c r="DO78" s="239">
        <f t="shared" si="270"/>
        <v>0</v>
      </c>
      <c r="DP78" s="238"/>
      <c r="DQ78" s="239">
        <f t="shared" si="271"/>
        <v>0</v>
      </c>
      <c r="DR78" s="238"/>
      <c r="DS78" s="239">
        <f t="shared" si="272"/>
        <v>0</v>
      </c>
      <c r="DT78" s="238"/>
      <c r="DU78" s="239">
        <f t="shared" si="273"/>
        <v>0</v>
      </c>
      <c r="DV78" s="238"/>
      <c r="DW78" s="239">
        <f t="shared" si="274"/>
        <v>0</v>
      </c>
      <c r="DX78" s="238"/>
      <c r="DY78" s="239">
        <f t="shared" si="275"/>
        <v>0</v>
      </c>
      <c r="DZ78" s="238"/>
      <c r="EA78" s="239">
        <f t="shared" si="276"/>
        <v>0</v>
      </c>
      <c r="EB78" s="238"/>
      <c r="EC78" s="239">
        <f t="shared" si="277"/>
        <v>0</v>
      </c>
      <c r="ED78" s="238"/>
      <c r="EE78" s="239">
        <f t="shared" si="278"/>
        <v>0</v>
      </c>
      <c r="EF78" s="240">
        <f t="shared" si="279"/>
        <v>0</v>
      </c>
      <c r="EG78" s="239">
        <f t="shared" si="279"/>
        <v>0</v>
      </c>
    </row>
    <row r="79" spans="1:137" ht="19.8">
      <c r="A79" s="7"/>
      <c r="B79" s="8"/>
      <c r="C79" s="8"/>
      <c r="D79" s="7"/>
      <c r="E79" s="7"/>
      <c r="F79" s="7"/>
      <c r="G79" s="7"/>
      <c r="H79" s="15"/>
      <c r="I79" s="10">
        <f t="shared" si="220"/>
        <v>0</v>
      </c>
      <c r="J79" s="15"/>
      <c r="K79" s="10">
        <f t="shared" si="221"/>
        <v>0</v>
      </c>
      <c r="L79" s="15"/>
      <c r="M79" s="10">
        <f t="shared" si="222"/>
        <v>0</v>
      </c>
      <c r="N79" s="15"/>
      <c r="O79" s="10">
        <f t="shared" si="223"/>
        <v>0</v>
      </c>
      <c r="P79" s="15"/>
      <c r="Q79" s="10">
        <f t="shared" si="224"/>
        <v>0</v>
      </c>
      <c r="R79" s="15"/>
      <c r="S79" s="10">
        <f t="shared" si="280"/>
        <v>0</v>
      </c>
      <c r="T79" s="15"/>
      <c r="U79" s="10">
        <f t="shared" si="225"/>
        <v>0</v>
      </c>
      <c r="V79" s="15"/>
      <c r="W79" s="10">
        <f t="shared" si="226"/>
        <v>0</v>
      </c>
      <c r="X79" s="15"/>
      <c r="Y79" s="10">
        <f t="shared" si="227"/>
        <v>0</v>
      </c>
      <c r="Z79" s="15"/>
      <c r="AA79" s="10">
        <f t="shared" si="228"/>
        <v>0</v>
      </c>
      <c r="AB79" s="15"/>
      <c r="AC79" s="10">
        <f t="shared" si="229"/>
        <v>0</v>
      </c>
      <c r="AD79" s="15"/>
      <c r="AE79" s="10">
        <f t="shared" si="230"/>
        <v>0</v>
      </c>
      <c r="AF79" s="11">
        <f t="shared" si="266"/>
        <v>0</v>
      </c>
      <c r="AG79" s="12">
        <f t="shared" si="189"/>
        <v>0</v>
      </c>
      <c r="AH79" s="15"/>
      <c r="AI79" s="10">
        <f t="shared" si="231"/>
        <v>0</v>
      </c>
      <c r="AJ79" s="15"/>
      <c r="AK79" s="10">
        <f t="shared" si="232"/>
        <v>0</v>
      </c>
      <c r="AL79" s="15"/>
      <c r="AM79" s="10">
        <f t="shared" si="233"/>
        <v>0</v>
      </c>
      <c r="AN79" s="15"/>
      <c r="AO79" s="10">
        <f t="shared" si="234"/>
        <v>0</v>
      </c>
      <c r="AP79" s="15"/>
      <c r="AQ79" s="10">
        <f t="shared" si="235"/>
        <v>0</v>
      </c>
      <c r="AR79" s="15"/>
      <c r="AS79" s="10">
        <f t="shared" si="236"/>
        <v>0</v>
      </c>
      <c r="AT79" s="15"/>
      <c r="AU79" s="10">
        <f t="shared" si="237"/>
        <v>0</v>
      </c>
      <c r="AV79" s="15"/>
      <c r="AW79" s="10">
        <f t="shared" si="238"/>
        <v>0</v>
      </c>
      <c r="AX79" s="15"/>
      <c r="AY79" s="10">
        <f t="shared" si="239"/>
        <v>0</v>
      </c>
      <c r="AZ79" s="15"/>
      <c r="BA79" s="10">
        <f t="shared" si="240"/>
        <v>0</v>
      </c>
      <c r="BB79" s="15"/>
      <c r="BC79" s="10">
        <f t="shared" si="241"/>
        <v>0</v>
      </c>
      <c r="BD79" s="15"/>
      <c r="BE79" s="10">
        <f t="shared" si="242"/>
        <v>0</v>
      </c>
      <c r="BF79" s="11">
        <f t="shared" si="190"/>
        <v>0</v>
      </c>
      <c r="BG79" s="12">
        <f t="shared" si="191"/>
        <v>0</v>
      </c>
      <c r="BH79" s="15"/>
      <c r="BI79" s="10">
        <f t="shared" si="243"/>
        <v>0</v>
      </c>
      <c r="BJ79" s="15"/>
      <c r="BK79" s="10">
        <f t="shared" si="244"/>
        <v>0</v>
      </c>
      <c r="BL79" s="15"/>
      <c r="BM79" s="10">
        <f t="shared" si="245"/>
        <v>0</v>
      </c>
      <c r="BN79" s="15"/>
      <c r="BO79" s="10">
        <f t="shared" si="246"/>
        <v>0</v>
      </c>
      <c r="BP79" s="15"/>
      <c r="BQ79" s="10">
        <f t="shared" si="247"/>
        <v>0</v>
      </c>
      <c r="BR79" s="15"/>
      <c r="BS79" s="10">
        <f t="shared" si="248"/>
        <v>0</v>
      </c>
      <c r="BT79" s="15"/>
      <c r="BU79" s="10">
        <f t="shared" si="249"/>
        <v>0</v>
      </c>
      <c r="BV79" s="15"/>
      <c r="BW79" s="10">
        <f t="shared" si="250"/>
        <v>0</v>
      </c>
      <c r="BX79" s="15"/>
      <c r="BY79" s="10">
        <f t="shared" si="251"/>
        <v>0</v>
      </c>
      <c r="BZ79" s="15"/>
      <c r="CA79" s="10">
        <f t="shared" si="252"/>
        <v>0</v>
      </c>
      <c r="CB79" s="15"/>
      <c r="CC79" s="10">
        <f t="shared" si="253"/>
        <v>0</v>
      </c>
      <c r="CD79" s="15"/>
      <c r="CE79" s="10">
        <f t="shared" si="254"/>
        <v>0</v>
      </c>
      <c r="CF79" s="11">
        <f t="shared" si="192"/>
        <v>0</v>
      </c>
      <c r="CG79" s="12">
        <f t="shared" si="193"/>
        <v>0</v>
      </c>
      <c r="CH79" s="15"/>
      <c r="CI79" s="10">
        <f t="shared" si="194"/>
        <v>0</v>
      </c>
      <c r="CJ79" s="15"/>
      <c r="CK79" s="10">
        <f t="shared" si="195"/>
        <v>0</v>
      </c>
      <c r="CL79" s="15"/>
      <c r="CM79" s="10">
        <f t="shared" si="196"/>
        <v>0</v>
      </c>
      <c r="CN79" s="15"/>
      <c r="CO79" s="10">
        <f t="shared" si="197"/>
        <v>0</v>
      </c>
      <c r="CP79" s="15"/>
      <c r="CQ79" s="10">
        <f t="shared" si="198"/>
        <v>0</v>
      </c>
      <c r="CR79" s="15"/>
      <c r="CS79" s="10">
        <f t="shared" si="199"/>
        <v>0</v>
      </c>
      <c r="CT79" s="15"/>
      <c r="CU79" s="10">
        <f t="shared" si="200"/>
        <v>0</v>
      </c>
      <c r="CV79" s="15"/>
      <c r="CW79" s="10">
        <f t="shared" si="201"/>
        <v>0</v>
      </c>
      <c r="CX79" s="15"/>
      <c r="CY79" s="10">
        <f t="shared" si="202"/>
        <v>0</v>
      </c>
      <c r="CZ79" s="15"/>
      <c r="DA79" s="10">
        <f t="shared" si="203"/>
        <v>0</v>
      </c>
      <c r="DB79" s="15"/>
      <c r="DC79" s="10">
        <f t="shared" si="204"/>
        <v>0</v>
      </c>
      <c r="DD79" s="15"/>
      <c r="DE79" s="10">
        <f t="shared" si="204"/>
        <v>0</v>
      </c>
      <c r="DF79" s="231">
        <f t="shared" si="205"/>
        <v>0</v>
      </c>
      <c r="DG79" s="230">
        <f t="shared" si="206"/>
        <v>0</v>
      </c>
      <c r="DH79" s="238"/>
      <c r="DI79" s="239"/>
      <c r="DJ79" s="15"/>
      <c r="DK79" s="239"/>
      <c r="DL79" s="238"/>
      <c r="DM79" s="239"/>
      <c r="DN79" s="238"/>
      <c r="DO79" s="239"/>
      <c r="DP79" s="238"/>
      <c r="DQ79" s="239"/>
      <c r="DR79" s="238"/>
      <c r="DS79" s="239"/>
      <c r="DT79" s="238"/>
      <c r="DU79" s="239"/>
      <c r="DV79" s="238"/>
      <c r="DW79" s="239"/>
      <c r="DX79" s="238"/>
      <c r="DY79" s="239"/>
      <c r="DZ79" s="238"/>
      <c r="EA79" s="239"/>
      <c r="EB79" s="238"/>
      <c r="EC79" s="239"/>
      <c r="ED79" s="238"/>
      <c r="EE79" s="239"/>
      <c r="EF79" s="240"/>
      <c r="EG79" s="239"/>
    </row>
    <row r="80" spans="1:137" ht="19.8">
      <c r="A80" s="7">
        <v>64</v>
      </c>
      <c r="B80" s="8" t="s">
        <v>68</v>
      </c>
      <c r="C80" s="8" t="s">
        <v>11</v>
      </c>
      <c r="D80" s="7">
        <f>RANK(DF80,$DF$4:$DF$147)</f>
        <v>31</v>
      </c>
      <c r="E80" s="7">
        <v>0.64</v>
      </c>
      <c r="F80" s="7" t="s">
        <v>20</v>
      </c>
      <c r="G80" s="7"/>
      <c r="H80" s="15"/>
      <c r="I80" s="10">
        <f t="shared" si="220"/>
        <v>0</v>
      </c>
      <c r="J80" s="15"/>
      <c r="K80" s="10">
        <f t="shared" si="221"/>
        <v>0</v>
      </c>
      <c r="L80" s="15"/>
      <c r="M80" s="10">
        <f t="shared" si="222"/>
        <v>0</v>
      </c>
      <c r="N80" s="15"/>
      <c r="O80" s="10">
        <f t="shared" si="223"/>
        <v>0</v>
      </c>
      <c r="P80" s="15"/>
      <c r="Q80" s="10">
        <f t="shared" si="224"/>
        <v>0</v>
      </c>
      <c r="R80" s="15"/>
      <c r="S80" s="10">
        <f t="shared" si="280"/>
        <v>0</v>
      </c>
      <c r="T80" s="15"/>
      <c r="U80" s="10">
        <f t="shared" si="225"/>
        <v>0</v>
      </c>
      <c r="V80" s="15"/>
      <c r="W80" s="10">
        <f t="shared" si="226"/>
        <v>0</v>
      </c>
      <c r="X80" s="15"/>
      <c r="Y80" s="10">
        <f t="shared" si="227"/>
        <v>0</v>
      </c>
      <c r="Z80" s="15"/>
      <c r="AA80" s="10">
        <f t="shared" si="228"/>
        <v>0</v>
      </c>
      <c r="AB80" s="15"/>
      <c r="AC80" s="10">
        <f t="shared" si="229"/>
        <v>0</v>
      </c>
      <c r="AD80" s="15"/>
      <c r="AE80" s="10">
        <f t="shared" si="230"/>
        <v>0</v>
      </c>
      <c r="AF80" s="11">
        <f t="shared" si="266"/>
        <v>0</v>
      </c>
      <c r="AG80" s="12">
        <f t="shared" si="189"/>
        <v>0</v>
      </c>
      <c r="AH80" s="15"/>
      <c r="AI80" s="10">
        <f t="shared" si="231"/>
        <v>0</v>
      </c>
      <c r="AJ80" s="15"/>
      <c r="AK80" s="10">
        <f t="shared" si="232"/>
        <v>0</v>
      </c>
      <c r="AL80" s="15"/>
      <c r="AM80" s="10">
        <f t="shared" si="233"/>
        <v>0</v>
      </c>
      <c r="AN80" s="15"/>
      <c r="AO80" s="10">
        <f t="shared" si="234"/>
        <v>0</v>
      </c>
      <c r="AP80" s="15"/>
      <c r="AQ80" s="10">
        <f t="shared" si="235"/>
        <v>0</v>
      </c>
      <c r="AR80" s="15"/>
      <c r="AS80" s="10">
        <f t="shared" si="236"/>
        <v>0</v>
      </c>
      <c r="AT80" s="15"/>
      <c r="AU80" s="10">
        <f t="shared" si="237"/>
        <v>0</v>
      </c>
      <c r="AV80" s="15"/>
      <c r="AW80" s="10">
        <f t="shared" si="238"/>
        <v>0</v>
      </c>
      <c r="AX80" s="15"/>
      <c r="AY80" s="10">
        <f t="shared" si="239"/>
        <v>0</v>
      </c>
      <c r="AZ80" s="15"/>
      <c r="BA80" s="10">
        <f t="shared" si="240"/>
        <v>0</v>
      </c>
      <c r="BB80" s="15"/>
      <c r="BC80" s="10">
        <f t="shared" si="241"/>
        <v>0</v>
      </c>
      <c r="BD80" s="15"/>
      <c r="BE80" s="10">
        <f t="shared" si="242"/>
        <v>0</v>
      </c>
      <c r="BF80" s="11">
        <f t="shared" si="190"/>
        <v>0</v>
      </c>
      <c r="BG80" s="12">
        <f t="shared" si="191"/>
        <v>0</v>
      </c>
      <c r="BH80" s="15"/>
      <c r="BI80" s="10">
        <f t="shared" si="243"/>
        <v>0</v>
      </c>
      <c r="BJ80" s="15"/>
      <c r="BK80" s="10">
        <f t="shared" si="244"/>
        <v>0</v>
      </c>
      <c r="BL80" s="15"/>
      <c r="BM80" s="10">
        <f t="shared" si="245"/>
        <v>0</v>
      </c>
      <c r="BN80" s="15"/>
      <c r="BO80" s="10">
        <f t="shared" si="246"/>
        <v>0</v>
      </c>
      <c r="BP80" s="15"/>
      <c r="BQ80" s="10">
        <f t="shared" si="247"/>
        <v>0</v>
      </c>
      <c r="BR80" s="15"/>
      <c r="BS80" s="10">
        <f t="shared" si="248"/>
        <v>0</v>
      </c>
      <c r="BT80" s="15"/>
      <c r="BU80" s="10">
        <f t="shared" si="249"/>
        <v>0</v>
      </c>
      <c r="BV80" s="15"/>
      <c r="BW80" s="10">
        <f t="shared" si="250"/>
        <v>0</v>
      </c>
      <c r="BX80" s="15"/>
      <c r="BY80" s="10">
        <f t="shared" si="251"/>
        <v>0</v>
      </c>
      <c r="BZ80" s="15"/>
      <c r="CA80" s="10">
        <f t="shared" si="252"/>
        <v>0</v>
      </c>
      <c r="CB80" s="15"/>
      <c r="CC80" s="10">
        <f t="shared" si="253"/>
        <v>0</v>
      </c>
      <c r="CD80" s="15"/>
      <c r="CE80" s="10">
        <f t="shared" si="254"/>
        <v>0</v>
      </c>
      <c r="CF80" s="11">
        <f t="shared" si="192"/>
        <v>0</v>
      </c>
      <c r="CG80" s="12">
        <f t="shared" si="193"/>
        <v>0</v>
      </c>
      <c r="CH80" s="15"/>
      <c r="CI80" s="10">
        <f t="shared" si="194"/>
        <v>0</v>
      </c>
      <c r="CJ80" s="15"/>
      <c r="CK80" s="10">
        <f t="shared" si="195"/>
        <v>0</v>
      </c>
      <c r="CL80" s="15"/>
      <c r="CM80" s="10">
        <f t="shared" si="196"/>
        <v>0</v>
      </c>
      <c r="CN80" s="15"/>
      <c r="CO80" s="10">
        <f t="shared" si="197"/>
        <v>0</v>
      </c>
      <c r="CP80" s="15"/>
      <c r="CQ80" s="10">
        <f t="shared" si="198"/>
        <v>0</v>
      </c>
      <c r="CR80" s="15"/>
      <c r="CS80" s="10">
        <f t="shared" si="199"/>
        <v>0</v>
      </c>
      <c r="CT80" s="15"/>
      <c r="CU80" s="10">
        <f t="shared" si="200"/>
        <v>0</v>
      </c>
      <c r="CV80" s="15"/>
      <c r="CW80" s="10">
        <f t="shared" si="201"/>
        <v>0</v>
      </c>
      <c r="CX80" s="15"/>
      <c r="CY80" s="10">
        <f t="shared" si="202"/>
        <v>0</v>
      </c>
      <c r="CZ80" s="15"/>
      <c r="DA80" s="10">
        <f t="shared" si="203"/>
        <v>0</v>
      </c>
      <c r="DB80" s="15"/>
      <c r="DC80" s="10">
        <f t="shared" si="204"/>
        <v>0</v>
      </c>
      <c r="DD80" s="15"/>
      <c r="DE80" s="10">
        <f t="shared" si="204"/>
        <v>0</v>
      </c>
      <c r="DF80" s="231">
        <f t="shared" si="205"/>
        <v>0</v>
      </c>
      <c r="DG80" s="230">
        <f t="shared" si="206"/>
        <v>0</v>
      </c>
      <c r="DH80" s="238"/>
      <c r="DI80" s="239">
        <f t="shared" ref="DI80:DI81" si="281">DH80*$E80</f>
        <v>0</v>
      </c>
      <c r="DJ80" s="15"/>
      <c r="DK80" s="239">
        <f t="shared" ref="DK80:DK81" si="282">DJ80*$E80</f>
        <v>0</v>
      </c>
      <c r="DL80" s="238"/>
      <c r="DM80" s="239">
        <f t="shared" ref="DM80:DM81" si="283">DL80*$E80</f>
        <v>0</v>
      </c>
      <c r="DN80" s="238"/>
      <c r="DO80" s="239">
        <f t="shared" ref="DO80:DO81" si="284">DN80*$E80</f>
        <v>0</v>
      </c>
      <c r="DP80" s="238"/>
      <c r="DQ80" s="239">
        <f t="shared" ref="DQ80:DQ81" si="285">DP80*$E80</f>
        <v>0</v>
      </c>
      <c r="DR80" s="238"/>
      <c r="DS80" s="239">
        <f t="shared" ref="DS80:DS81" si="286">DR80*$E80</f>
        <v>0</v>
      </c>
      <c r="DT80" s="238"/>
      <c r="DU80" s="239">
        <f t="shared" ref="DU80:DU81" si="287">DT80*$E80</f>
        <v>0</v>
      </c>
      <c r="DV80" s="238"/>
      <c r="DW80" s="239">
        <f t="shared" ref="DW80:DW81" si="288">DV80*$E80</f>
        <v>0</v>
      </c>
      <c r="DX80" s="238"/>
      <c r="DY80" s="239">
        <f t="shared" ref="DY80:DY81" si="289">DX80*$E80</f>
        <v>0</v>
      </c>
      <c r="DZ80" s="238"/>
      <c r="EA80" s="239">
        <f t="shared" ref="EA80:EA81" si="290">DZ80*$E80</f>
        <v>0</v>
      </c>
      <c r="EB80" s="238"/>
      <c r="EC80" s="239">
        <f t="shared" ref="EC80:EC81" si="291">EB80*$E80</f>
        <v>0</v>
      </c>
      <c r="ED80" s="238"/>
      <c r="EE80" s="239">
        <f t="shared" ref="EE80:EE81" si="292">ED80*$E80</f>
        <v>0</v>
      </c>
      <c r="EF80" s="240">
        <f t="shared" ref="EF80:EG81" si="293">SUM(DH80,DJ80,DL80,DN80,DP80,DR80,DT80,DV80,DX80,DZ80,EB80,ED80)</f>
        <v>0</v>
      </c>
      <c r="EG80" s="239">
        <f t="shared" si="293"/>
        <v>0</v>
      </c>
    </row>
    <row r="81" spans="1:137" ht="19.8">
      <c r="A81" s="7">
        <v>65</v>
      </c>
      <c r="B81" s="8" t="s">
        <v>69</v>
      </c>
      <c r="C81" s="8" t="s">
        <v>11</v>
      </c>
      <c r="D81" s="7">
        <f>RANK(DF81,$DF$4:$DF$147)</f>
        <v>31</v>
      </c>
      <c r="E81" s="7">
        <v>0.64</v>
      </c>
      <c r="F81" s="7" t="s">
        <v>12</v>
      </c>
      <c r="G81" s="7"/>
      <c r="H81" s="15"/>
      <c r="I81" s="10">
        <f t="shared" si="220"/>
        <v>0</v>
      </c>
      <c r="J81" s="15"/>
      <c r="K81" s="10">
        <f t="shared" si="221"/>
        <v>0</v>
      </c>
      <c r="L81" s="15"/>
      <c r="M81" s="10">
        <f t="shared" si="222"/>
        <v>0</v>
      </c>
      <c r="N81" s="15"/>
      <c r="O81" s="10">
        <f t="shared" si="223"/>
        <v>0</v>
      </c>
      <c r="P81" s="15"/>
      <c r="Q81" s="10">
        <f t="shared" si="224"/>
        <v>0</v>
      </c>
      <c r="R81" s="15"/>
      <c r="S81" s="10">
        <f t="shared" si="280"/>
        <v>0</v>
      </c>
      <c r="T81" s="15"/>
      <c r="U81" s="10">
        <f t="shared" si="225"/>
        <v>0</v>
      </c>
      <c r="V81" s="15"/>
      <c r="W81" s="10">
        <f t="shared" si="226"/>
        <v>0</v>
      </c>
      <c r="X81" s="15"/>
      <c r="Y81" s="10">
        <f t="shared" si="227"/>
        <v>0</v>
      </c>
      <c r="Z81" s="15"/>
      <c r="AA81" s="10">
        <f t="shared" si="228"/>
        <v>0</v>
      </c>
      <c r="AB81" s="15"/>
      <c r="AC81" s="10">
        <f t="shared" si="229"/>
        <v>0</v>
      </c>
      <c r="AD81" s="15"/>
      <c r="AE81" s="10">
        <f t="shared" si="230"/>
        <v>0</v>
      </c>
      <c r="AF81" s="11">
        <f t="shared" si="266"/>
        <v>0</v>
      </c>
      <c r="AG81" s="12">
        <f t="shared" si="189"/>
        <v>0</v>
      </c>
      <c r="AH81" s="15"/>
      <c r="AI81" s="10">
        <f t="shared" si="231"/>
        <v>0</v>
      </c>
      <c r="AJ81" s="15"/>
      <c r="AK81" s="10">
        <f t="shared" si="232"/>
        <v>0</v>
      </c>
      <c r="AL81" s="15"/>
      <c r="AM81" s="10">
        <f t="shared" si="233"/>
        <v>0</v>
      </c>
      <c r="AN81" s="15"/>
      <c r="AO81" s="10">
        <f t="shared" si="234"/>
        <v>0</v>
      </c>
      <c r="AP81" s="15"/>
      <c r="AQ81" s="10">
        <f t="shared" si="235"/>
        <v>0</v>
      </c>
      <c r="AR81" s="15"/>
      <c r="AS81" s="10">
        <f t="shared" si="236"/>
        <v>0</v>
      </c>
      <c r="AT81" s="15"/>
      <c r="AU81" s="10">
        <f t="shared" si="237"/>
        <v>0</v>
      </c>
      <c r="AV81" s="15"/>
      <c r="AW81" s="10">
        <f t="shared" si="238"/>
        <v>0</v>
      </c>
      <c r="AX81" s="15"/>
      <c r="AY81" s="10">
        <f t="shared" si="239"/>
        <v>0</v>
      </c>
      <c r="AZ81" s="15"/>
      <c r="BA81" s="10">
        <f t="shared" si="240"/>
        <v>0</v>
      </c>
      <c r="BB81" s="15"/>
      <c r="BC81" s="10">
        <f t="shared" si="241"/>
        <v>0</v>
      </c>
      <c r="BD81" s="15"/>
      <c r="BE81" s="10">
        <f t="shared" si="242"/>
        <v>0</v>
      </c>
      <c r="BF81" s="11">
        <f t="shared" si="190"/>
        <v>0</v>
      </c>
      <c r="BG81" s="12">
        <f t="shared" si="191"/>
        <v>0</v>
      </c>
      <c r="BH81" s="15"/>
      <c r="BI81" s="10">
        <f t="shared" si="243"/>
        <v>0</v>
      </c>
      <c r="BJ81" s="15"/>
      <c r="BK81" s="10">
        <f t="shared" si="244"/>
        <v>0</v>
      </c>
      <c r="BL81" s="15"/>
      <c r="BM81" s="10">
        <f t="shared" si="245"/>
        <v>0</v>
      </c>
      <c r="BN81" s="15"/>
      <c r="BO81" s="10">
        <f t="shared" si="246"/>
        <v>0</v>
      </c>
      <c r="BP81" s="15"/>
      <c r="BQ81" s="10">
        <f t="shared" si="247"/>
        <v>0</v>
      </c>
      <c r="BR81" s="15"/>
      <c r="BS81" s="10">
        <f t="shared" si="248"/>
        <v>0</v>
      </c>
      <c r="BT81" s="15"/>
      <c r="BU81" s="10">
        <f t="shared" si="249"/>
        <v>0</v>
      </c>
      <c r="BV81" s="15"/>
      <c r="BW81" s="10">
        <f t="shared" si="250"/>
        <v>0</v>
      </c>
      <c r="BX81" s="15"/>
      <c r="BY81" s="10">
        <f t="shared" si="251"/>
        <v>0</v>
      </c>
      <c r="BZ81" s="15"/>
      <c r="CA81" s="10">
        <f t="shared" si="252"/>
        <v>0</v>
      </c>
      <c r="CB81" s="15"/>
      <c r="CC81" s="10">
        <f t="shared" si="253"/>
        <v>0</v>
      </c>
      <c r="CD81" s="15"/>
      <c r="CE81" s="10">
        <f t="shared" si="254"/>
        <v>0</v>
      </c>
      <c r="CF81" s="11">
        <f t="shared" si="192"/>
        <v>0</v>
      </c>
      <c r="CG81" s="12">
        <f t="shared" si="193"/>
        <v>0</v>
      </c>
      <c r="CH81" s="15"/>
      <c r="CI81" s="10">
        <f t="shared" si="194"/>
        <v>0</v>
      </c>
      <c r="CJ81" s="15"/>
      <c r="CK81" s="10">
        <f t="shared" si="195"/>
        <v>0</v>
      </c>
      <c r="CL81" s="15"/>
      <c r="CM81" s="10">
        <f t="shared" si="196"/>
        <v>0</v>
      </c>
      <c r="CN81" s="15"/>
      <c r="CO81" s="10">
        <f t="shared" si="197"/>
        <v>0</v>
      </c>
      <c r="CP81" s="15"/>
      <c r="CQ81" s="10">
        <f t="shared" si="198"/>
        <v>0</v>
      </c>
      <c r="CR81" s="15"/>
      <c r="CS81" s="10">
        <f t="shared" si="199"/>
        <v>0</v>
      </c>
      <c r="CT81" s="15"/>
      <c r="CU81" s="10">
        <f t="shared" si="200"/>
        <v>0</v>
      </c>
      <c r="CV81" s="15"/>
      <c r="CW81" s="10">
        <f t="shared" si="201"/>
        <v>0</v>
      </c>
      <c r="CX81" s="15"/>
      <c r="CY81" s="10">
        <f t="shared" si="202"/>
        <v>0</v>
      </c>
      <c r="CZ81" s="15"/>
      <c r="DA81" s="10">
        <f t="shared" si="203"/>
        <v>0</v>
      </c>
      <c r="DB81" s="15"/>
      <c r="DC81" s="10">
        <f t="shared" si="204"/>
        <v>0</v>
      </c>
      <c r="DD81" s="15"/>
      <c r="DE81" s="10">
        <f t="shared" si="204"/>
        <v>0</v>
      </c>
      <c r="DF81" s="231">
        <f t="shared" si="205"/>
        <v>0</v>
      </c>
      <c r="DG81" s="230">
        <f t="shared" si="206"/>
        <v>0</v>
      </c>
      <c r="DH81" s="238"/>
      <c r="DI81" s="239">
        <f t="shared" si="281"/>
        <v>0</v>
      </c>
      <c r="DJ81" s="15"/>
      <c r="DK81" s="239">
        <f t="shared" si="282"/>
        <v>0</v>
      </c>
      <c r="DL81" s="238"/>
      <c r="DM81" s="239">
        <f t="shared" si="283"/>
        <v>0</v>
      </c>
      <c r="DN81" s="238"/>
      <c r="DO81" s="239">
        <f t="shared" si="284"/>
        <v>0</v>
      </c>
      <c r="DP81" s="238"/>
      <c r="DQ81" s="239">
        <f t="shared" si="285"/>
        <v>0</v>
      </c>
      <c r="DR81" s="238"/>
      <c r="DS81" s="239">
        <f t="shared" si="286"/>
        <v>0</v>
      </c>
      <c r="DT81" s="238"/>
      <c r="DU81" s="239">
        <f t="shared" si="287"/>
        <v>0</v>
      </c>
      <c r="DV81" s="238"/>
      <c r="DW81" s="239">
        <f t="shared" si="288"/>
        <v>0</v>
      </c>
      <c r="DX81" s="238"/>
      <c r="DY81" s="239">
        <f t="shared" si="289"/>
        <v>0</v>
      </c>
      <c r="DZ81" s="238"/>
      <c r="EA81" s="239">
        <f t="shared" si="290"/>
        <v>0</v>
      </c>
      <c r="EB81" s="238"/>
      <c r="EC81" s="239">
        <f t="shared" si="291"/>
        <v>0</v>
      </c>
      <c r="ED81" s="238"/>
      <c r="EE81" s="239">
        <f t="shared" si="292"/>
        <v>0</v>
      </c>
      <c r="EF81" s="240">
        <f t="shared" si="293"/>
        <v>0</v>
      </c>
      <c r="EG81" s="239">
        <f t="shared" si="293"/>
        <v>0</v>
      </c>
    </row>
    <row r="82" spans="1:137" ht="19.8">
      <c r="A82" s="7">
        <v>66</v>
      </c>
      <c r="B82" s="8" t="s">
        <v>314</v>
      </c>
      <c r="C82" s="8" t="s">
        <v>11</v>
      </c>
      <c r="D82" s="7">
        <f>RANK(DF82,$DF$4:$DF$147)</f>
        <v>31</v>
      </c>
      <c r="E82" s="7">
        <v>0.64</v>
      </c>
      <c r="F82" s="7" t="s">
        <v>22</v>
      </c>
      <c r="G82" s="7"/>
      <c r="H82" s="15"/>
      <c r="I82" s="10"/>
      <c r="J82" s="15"/>
      <c r="K82" s="10"/>
      <c r="L82" s="15"/>
      <c r="M82" s="10"/>
      <c r="N82" s="15"/>
      <c r="O82" s="10"/>
      <c r="P82" s="15"/>
      <c r="Q82" s="10"/>
      <c r="R82" s="15"/>
      <c r="S82" s="10"/>
      <c r="T82" s="15"/>
      <c r="U82" s="10"/>
      <c r="V82" s="15"/>
      <c r="W82" s="10"/>
      <c r="X82" s="15"/>
      <c r="Y82" s="10"/>
      <c r="Z82" s="15"/>
      <c r="AA82" s="10"/>
      <c r="AB82" s="15"/>
      <c r="AC82" s="10"/>
      <c r="AD82" s="15"/>
      <c r="AE82" s="10"/>
      <c r="AF82" s="11">
        <f t="shared" si="266"/>
        <v>0</v>
      </c>
      <c r="AG82" s="12">
        <f t="shared" si="189"/>
        <v>0</v>
      </c>
      <c r="AH82" s="15"/>
      <c r="AI82" s="10"/>
      <c r="AJ82" s="15"/>
      <c r="AK82" s="10"/>
      <c r="AL82" s="15"/>
      <c r="AM82" s="10"/>
      <c r="AN82" s="15"/>
      <c r="AO82" s="10"/>
      <c r="AP82" s="15"/>
      <c r="AQ82" s="10"/>
      <c r="AR82" s="15"/>
      <c r="AS82" s="10"/>
      <c r="AT82" s="15"/>
      <c r="AU82" s="10"/>
      <c r="AV82" s="15"/>
      <c r="AW82" s="10"/>
      <c r="AX82" s="15"/>
      <c r="AY82" s="10"/>
      <c r="AZ82" s="15"/>
      <c r="BA82" s="10"/>
      <c r="BB82" s="15"/>
      <c r="BC82" s="10"/>
      <c r="BD82" s="15"/>
      <c r="BE82" s="10"/>
      <c r="BF82" s="11">
        <f t="shared" si="190"/>
        <v>0</v>
      </c>
      <c r="BG82" s="12">
        <f t="shared" si="191"/>
        <v>0</v>
      </c>
      <c r="BH82" s="15"/>
      <c r="BI82" s="10"/>
      <c r="BJ82" s="15"/>
      <c r="BK82" s="10"/>
      <c r="BL82" s="15"/>
      <c r="BM82" s="10"/>
      <c r="BN82" s="15"/>
      <c r="BO82" s="10"/>
      <c r="BP82" s="15"/>
      <c r="BQ82" s="10"/>
      <c r="BR82" s="15"/>
      <c r="BS82" s="10"/>
      <c r="BT82" s="15"/>
      <c r="BU82" s="10"/>
      <c r="BV82" s="15"/>
      <c r="BW82" s="10"/>
      <c r="BX82" s="15"/>
      <c r="BY82" s="10"/>
      <c r="BZ82" s="15"/>
      <c r="CA82" s="10"/>
      <c r="CB82" s="15"/>
      <c r="CC82" s="10"/>
      <c r="CD82" s="15"/>
      <c r="CE82" s="10"/>
      <c r="CF82" s="11">
        <f t="shared" si="192"/>
        <v>0</v>
      </c>
      <c r="CG82" s="12">
        <f t="shared" si="193"/>
        <v>0</v>
      </c>
      <c r="CH82" s="15"/>
      <c r="CI82" s="10">
        <f t="shared" si="194"/>
        <v>0</v>
      </c>
      <c r="CJ82" s="15"/>
      <c r="CK82" s="10">
        <f t="shared" si="195"/>
        <v>0</v>
      </c>
      <c r="CL82" s="15"/>
      <c r="CM82" s="10">
        <f t="shared" si="196"/>
        <v>0</v>
      </c>
      <c r="CN82" s="15"/>
      <c r="CO82" s="10">
        <f t="shared" si="197"/>
        <v>0</v>
      </c>
      <c r="CP82" s="15"/>
      <c r="CQ82" s="10">
        <f t="shared" si="198"/>
        <v>0</v>
      </c>
      <c r="CR82" s="15"/>
      <c r="CS82" s="10">
        <f t="shared" si="199"/>
        <v>0</v>
      </c>
      <c r="CT82" s="15"/>
      <c r="CU82" s="10">
        <f t="shared" si="200"/>
        <v>0</v>
      </c>
      <c r="CV82" s="15"/>
      <c r="CW82" s="10">
        <f t="shared" si="201"/>
        <v>0</v>
      </c>
      <c r="CX82" s="15"/>
      <c r="CY82" s="10">
        <f t="shared" si="202"/>
        <v>0</v>
      </c>
      <c r="CZ82" s="15"/>
      <c r="DA82" s="10">
        <f t="shared" si="203"/>
        <v>0</v>
      </c>
      <c r="DB82" s="15"/>
      <c r="DC82" s="10">
        <f t="shared" si="204"/>
        <v>0</v>
      </c>
      <c r="DD82" s="15"/>
      <c r="DE82" s="10">
        <f t="shared" si="204"/>
        <v>0</v>
      </c>
      <c r="DF82" s="231">
        <f t="shared" si="205"/>
        <v>0</v>
      </c>
      <c r="DG82" s="230">
        <f t="shared" si="206"/>
        <v>0</v>
      </c>
      <c r="DH82" s="238"/>
      <c r="DI82" s="239"/>
      <c r="DJ82" s="15"/>
      <c r="DK82" s="239"/>
      <c r="DL82" s="238"/>
      <c r="DM82" s="239"/>
      <c r="DN82" s="238"/>
      <c r="DO82" s="239"/>
      <c r="DP82" s="238"/>
      <c r="DQ82" s="239"/>
      <c r="DR82" s="238"/>
      <c r="DS82" s="239"/>
      <c r="DT82" s="238"/>
      <c r="DU82" s="239"/>
      <c r="DV82" s="238"/>
      <c r="DW82" s="239"/>
      <c r="DX82" s="238"/>
      <c r="DY82" s="239"/>
      <c r="DZ82" s="238"/>
      <c r="EA82" s="239"/>
      <c r="EB82" s="238"/>
      <c r="EC82" s="239"/>
      <c r="ED82" s="238"/>
      <c r="EE82" s="239"/>
      <c r="EF82" s="240"/>
      <c r="EG82" s="239"/>
    </row>
    <row r="83" spans="1:137" ht="19.8">
      <c r="A83" s="7">
        <v>67</v>
      </c>
      <c r="B83" s="8" t="s">
        <v>314</v>
      </c>
      <c r="C83" s="8" t="s">
        <v>14</v>
      </c>
      <c r="D83" s="7">
        <f>RANK(DF83,$DF$4:$DF$147)</f>
        <v>31</v>
      </c>
      <c r="E83" s="7">
        <v>1</v>
      </c>
      <c r="F83" s="7" t="s">
        <v>12</v>
      </c>
      <c r="G83" s="7"/>
      <c r="H83" s="15"/>
      <c r="I83" s="10"/>
      <c r="J83" s="15"/>
      <c r="K83" s="10"/>
      <c r="L83" s="15"/>
      <c r="M83" s="10"/>
      <c r="N83" s="15"/>
      <c r="O83" s="10"/>
      <c r="P83" s="15"/>
      <c r="Q83" s="10"/>
      <c r="R83" s="15"/>
      <c r="S83" s="10"/>
      <c r="T83" s="15"/>
      <c r="U83" s="10"/>
      <c r="V83" s="15"/>
      <c r="W83" s="10"/>
      <c r="X83" s="15"/>
      <c r="Y83" s="10"/>
      <c r="Z83" s="15"/>
      <c r="AA83" s="10"/>
      <c r="AB83" s="15"/>
      <c r="AC83" s="10"/>
      <c r="AD83" s="15"/>
      <c r="AE83" s="10"/>
      <c r="AF83" s="11">
        <f t="shared" si="266"/>
        <v>0</v>
      </c>
      <c r="AG83" s="12">
        <f t="shared" si="189"/>
        <v>0</v>
      </c>
      <c r="AH83" s="15"/>
      <c r="AI83" s="10"/>
      <c r="AJ83" s="15"/>
      <c r="AK83" s="10"/>
      <c r="AL83" s="15"/>
      <c r="AM83" s="10"/>
      <c r="AN83" s="15"/>
      <c r="AO83" s="10"/>
      <c r="AP83" s="15"/>
      <c r="AQ83" s="10"/>
      <c r="AR83" s="15"/>
      <c r="AS83" s="10"/>
      <c r="AT83" s="15"/>
      <c r="AU83" s="10"/>
      <c r="AV83" s="15"/>
      <c r="AW83" s="10"/>
      <c r="AX83" s="15"/>
      <c r="AY83" s="10"/>
      <c r="AZ83" s="15"/>
      <c r="BA83" s="10"/>
      <c r="BB83" s="15"/>
      <c r="BC83" s="10"/>
      <c r="BD83" s="15"/>
      <c r="BE83" s="10"/>
      <c r="BF83" s="11">
        <f t="shared" si="190"/>
        <v>0</v>
      </c>
      <c r="BG83" s="12">
        <f t="shared" si="191"/>
        <v>0</v>
      </c>
      <c r="BH83" s="15"/>
      <c r="BI83" s="10"/>
      <c r="BJ83" s="15"/>
      <c r="BK83" s="10"/>
      <c r="BL83" s="15"/>
      <c r="BM83" s="10"/>
      <c r="BN83" s="15"/>
      <c r="BO83" s="10"/>
      <c r="BP83" s="15"/>
      <c r="BQ83" s="10"/>
      <c r="BR83" s="15"/>
      <c r="BS83" s="10"/>
      <c r="BT83" s="15"/>
      <c r="BU83" s="10"/>
      <c r="BV83" s="15"/>
      <c r="BW83" s="10"/>
      <c r="BX83" s="15"/>
      <c r="BY83" s="10"/>
      <c r="BZ83" s="15"/>
      <c r="CA83" s="10"/>
      <c r="CB83" s="15"/>
      <c r="CC83" s="10"/>
      <c r="CD83" s="15"/>
      <c r="CE83" s="10"/>
      <c r="CF83" s="11">
        <f t="shared" si="192"/>
        <v>0</v>
      </c>
      <c r="CG83" s="12">
        <f t="shared" si="193"/>
        <v>0</v>
      </c>
      <c r="CH83" s="15"/>
      <c r="CI83" s="10">
        <f t="shared" si="194"/>
        <v>0</v>
      </c>
      <c r="CJ83" s="15"/>
      <c r="CK83" s="10">
        <f t="shared" si="195"/>
        <v>0</v>
      </c>
      <c r="CL83" s="15"/>
      <c r="CM83" s="10">
        <f t="shared" si="196"/>
        <v>0</v>
      </c>
      <c r="CN83" s="15"/>
      <c r="CO83" s="10">
        <f t="shared" si="197"/>
        <v>0</v>
      </c>
      <c r="CP83" s="15"/>
      <c r="CQ83" s="10">
        <f t="shared" si="198"/>
        <v>0</v>
      </c>
      <c r="CR83" s="15"/>
      <c r="CS83" s="10">
        <f t="shared" si="199"/>
        <v>0</v>
      </c>
      <c r="CT83" s="15"/>
      <c r="CU83" s="10">
        <f t="shared" si="200"/>
        <v>0</v>
      </c>
      <c r="CV83" s="15"/>
      <c r="CW83" s="10">
        <f t="shared" si="201"/>
        <v>0</v>
      </c>
      <c r="CX83" s="15"/>
      <c r="CY83" s="10">
        <f t="shared" si="202"/>
        <v>0</v>
      </c>
      <c r="CZ83" s="15"/>
      <c r="DA83" s="10">
        <f t="shared" si="203"/>
        <v>0</v>
      </c>
      <c r="DB83" s="15"/>
      <c r="DC83" s="10">
        <f t="shared" si="204"/>
        <v>0</v>
      </c>
      <c r="DD83" s="15"/>
      <c r="DE83" s="10">
        <f t="shared" si="204"/>
        <v>0</v>
      </c>
      <c r="DF83" s="231">
        <f t="shared" si="205"/>
        <v>0</v>
      </c>
      <c r="DG83" s="230">
        <f t="shared" si="206"/>
        <v>0</v>
      </c>
      <c r="DH83" s="238"/>
      <c r="DI83" s="239"/>
      <c r="DJ83" s="15"/>
      <c r="DK83" s="239"/>
      <c r="DL83" s="238"/>
      <c r="DM83" s="239"/>
      <c r="DN83" s="238"/>
      <c r="DO83" s="239"/>
      <c r="DP83" s="238"/>
      <c r="DQ83" s="239"/>
      <c r="DR83" s="238"/>
      <c r="DS83" s="239"/>
      <c r="DT83" s="238"/>
      <c r="DU83" s="239"/>
      <c r="DV83" s="238"/>
      <c r="DW83" s="239"/>
      <c r="DX83" s="238"/>
      <c r="DY83" s="239"/>
      <c r="DZ83" s="238"/>
      <c r="EA83" s="239"/>
      <c r="EB83" s="238"/>
      <c r="EC83" s="239"/>
      <c r="ED83" s="238"/>
      <c r="EE83" s="239"/>
      <c r="EF83" s="240"/>
      <c r="EG83" s="239"/>
    </row>
    <row r="84" spans="1:137" ht="19.8">
      <c r="A84" s="7">
        <v>68</v>
      </c>
      <c r="B84" s="8" t="s">
        <v>86</v>
      </c>
      <c r="C84" s="8" t="s">
        <v>14</v>
      </c>
      <c r="D84" s="7">
        <f>RANK(DF84,$DF$4:$DF$147)</f>
        <v>14</v>
      </c>
      <c r="E84" s="7">
        <v>1</v>
      </c>
      <c r="F84" s="7" t="s">
        <v>12</v>
      </c>
      <c r="G84" s="7">
        <v>2200</v>
      </c>
      <c r="H84" s="15"/>
      <c r="I84" s="10">
        <f>H84*$E84</f>
        <v>0</v>
      </c>
      <c r="J84" s="15"/>
      <c r="K84" s="10">
        <f>J84*$E84</f>
        <v>0</v>
      </c>
      <c r="L84" s="15"/>
      <c r="M84" s="10">
        <f>L84*$E84</f>
        <v>0</v>
      </c>
      <c r="N84" s="15"/>
      <c r="O84" s="10">
        <f>N84*$E84</f>
        <v>0</v>
      </c>
      <c r="P84" s="15"/>
      <c r="Q84" s="10">
        <f>P84*$E84</f>
        <v>0</v>
      </c>
      <c r="R84" s="15"/>
      <c r="S84" s="10">
        <f>R84*$E84</f>
        <v>0</v>
      </c>
      <c r="T84" s="15"/>
      <c r="U84" s="10">
        <f>T84*$E84</f>
        <v>0</v>
      </c>
      <c r="V84" s="15"/>
      <c r="W84" s="10">
        <f>V84*$E84</f>
        <v>0</v>
      </c>
      <c r="X84" s="15"/>
      <c r="Y84" s="10">
        <f>X84*$E84</f>
        <v>0</v>
      </c>
      <c r="Z84" s="15"/>
      <c r="AA84" s="10">
        <f>Z84*$E84</f>
        <v>0</v>
      </c>
      <c r="AB84" s="15"/>
      <c r="AC84" s="10">
        <f>AB84*$E84</f>
        <v>0</v>
      </c>
      <c r="AD84" s="15"/>
      <c r="AE84" s="10">
        <f>AD84*$E84</f>
        <v>0</v>
      </c>
      <c r="AF84" s="11">
        <f t="shared" si="266"/>
        <v>0</v>
      </c>
      <c r="AG84" s="12">
        <f t="shared" si="189"/>
        <v>0</v>
      </c>
      <c r="AH84" s="15"/>
      <c r="AI84" s="10">
        <f>AH84*$E84</f>
        <v>0</v>
      </c>
      <c r="AJ84" s="15"/>
      <c r="AK84" s="10">
        <f>AJ84*$E84</f>
        <v>0</v>
      </c>
      <c r="AL84" s="15"/>
      <c r="AM84" s="10">
        <f>AL84*$E84</f>
        <v>0</v>
      </c>
      <c r="AN84" s="15"/>
      <c r="AO84" s="10">
        <f>AN84*$E84</f>
        <v>0</v>
      </c>
      <c r="AP84" s="15"/>
      <c r="AQ84" s="10">
        <f>AP84*$E84</f>
        <v>0</v>
      </c>
      <c r="AR84" s="15"/>
      <c r="AS84" s="10">
        <f>AR84*$E84</f>
        <v>0</v>
      </c>
      <c r="AT84" s="15"/>
      <c r="AU84" s="10">
        <f>AT84*$E84</f>
        <v>0</v>
      </c>
      <c r="AV84" s="15"/>
      <c r="AW84" s="10">
        <f>AV84*$E84</f>
        <v>0</v>
      </c>
      <c r="AX84" s="15"/>
      <c r="AY84" s="10">
        <f>AX84*$E84</f>
        <v>0</v>
      </c>
      <c r="AZ84" s="15"/>
      <c r="BA84" s="10">
        <f>AZ84*$E84</f>
        <v>0</v>
      </c>
      <c r="BB84" s="15"/>
      <c r="BC84" s="10">
        <f>BB84*$E84</f>
        <v>0</v>
      </c>
      <c r="BD84" s="15"/>
      <c r="BE84" s="10">
        <f>BD84*$E84</f>
        <v>0</v>
      </c>
      <c r="BF84" s="11">
        <f t="shared" si="190"/>
        <v>0</v>
      </c>
      <c r="BG84" s="12">
        <f t="shared" si="191"/>
        <v>0</v>
      </c>
      <c r="BH84" s="13">
        <v>0</v>
      </c>
      <c r="BI84" s="10">
        <f>BH84*$E84</f>
        <v>0</v>
      </c>
      <c r="BJ84" s="13"/>
      <c r="BK84" s="10">
        <f>BJ84*$E84</f>
        <v>0</v>
      </c>
      <c r="BL84" s="13">
        <v>1440</v>
      </c>
      <c r="BM84" s="10">
        <f>BL84*$E84</f>
        <v>1440</v>
      </c>
      <c r="BN84" s="13">
        <v>3372</v>
      </c>
      <c r="BO84" s="10">
        <f>BN84*$E84</f>
        <v>3372</v>
      </c>
      <c r="BP84" s="13">
        <v>1176</v>
      </c>
      <c r="BQ84" s="10">
        <f>BP84*$E84</f>
        <v>1176</v>
      </c>
      <c r="BR84" s="13">
        <v>2150</v>
      </c>
      <c r="BS84" s="10">
        <f>BR84*$E84</f>
        <v>2150</v>
      </c>
      <c r="BT84" s="13">
        <v>3774</v>
      </c>
      <c r="BU84" s="10">
        <f>BT84*$E84</f>
        <v>3774</v>
      </c>
      <c r="BV84" s="13">
        <v>2550</v>
      </c>
      <c r="BW84" s="10">
        <f>BV84*$E84</f>
        <v>2550</v>
      </c>
      <c r="BX84" s="13">
        <v>3341</v>
      </c>
      <c r="BY84" s="10">
        <f>BX84*$E84</f>
        <v>3341</v>
      </c>
      <c r="BZ84" s="13">
        <v>4800</v>
      </c>
      <c r="CA84" s="10">
        <f>BZ84*$E84</f>
        <v>4800</v>
      </c>
      <c r="CB84" s="13">
        <v>1080</v>
      </c>
      <c r="CC84" s="10">
        <f>CB84*$E84</f>
        <v>1080</v>
      </c>
      <c r="CD84" s="14">
        <v>2460</v>
      </c>
      <c r="CE84" s="10">
        <f>CD84*$E84</f>
        <v>2460</v>
      </c>
      <c r="CF84" s="11">
        <f t="shared" si="192"/>
        <v>26143</v>
      </c>
      <c r="CG84" s="12">
        <f t="shared" si="193"/>
        <v>26143</v>
      </c>
      <c r="CH84" s="15">
        <v>2304</v>
      </c>
      <c r="CI84" s="10">
        <f t="shared" si="194"/>
        <v>2304</v>
      </c>
      <c r="CJ84" s="15">
        <v>2592</v>
      </c>
      <c r="CK84" s="10">
        <f t="shared" si="195"/>
        <v>2592</v>
      </c>
      <c r="CL84" s="15">
        <v>3492</v>
      </c>
      <c r="CM84" s="10">
        <f t="shared" si="196"/>
        <v>3492</v>
      </c>
      <c r="CN84" s="15">
        <v>1356</v>
      </c>
      <c r="CO84" s="10">
        <f t="shared" si="197"/>
        <v>1356</v>
      </c>
      <c r="CP84" s="15">
        <v>1560</v>
      </c>
      <c r="CQ84" s="10">
        <f t="shared" si="198"/>
        <v>1560</v>
      </c>
      <c r="CR84" s="15">
        <v>3012</v>
      </c>
      <c r="CS84" s="10">
        <f t="shared" si="199"/>
        <v>3012</v>
      </c>
      <c r="CT84" s="15">
        <v>2592</v>
      </c>
      <c r="CU84" s="10">
        <f t="shared" si="200"/>
        <v>2592</v>
      </c>
      <c r="CV84" s="15">
        <v>2880</v>
      </c>
      <c r="CW84" s="10">
        <f t="shared" si="201"/>
        <v>2880</v>
      </c>
      <c r="CX84" s="15">
        <v>2196</v>
      </c>
      <c r="CY84" s="10">
        <f t="shared" si="202"/>
        <v>2196</v>
      </c>
      <c r="CZ84" s="15">
        <v>2808</v>
      </c>
      <c r="DA84" s="10">
        <f t="shared" si="203"/>
        <v>2808</v>
      </c>
      <c r="DB84" s="15">
        <v>1919</v>
      </c>
      <c r="DC84" s="10">
        <f t="shared" si="204"/>
        <v>1919</v>
      </c>
      <c r="DD84" s="15">
        <v>2016</v>
      </c>
      <c r="DE84" s="10">
        <f t="shared" si="204"/>
        <v>2016</v>
      </c>
      <c r="DF84" s="231">
        <f t="shared" si="205"/>
        <v>28727</v>
      </c>
      <c r="DG84" s="230">
        <f t="shared" si="206"/>
        <v>28727</v>
      </c>
      <c r="DH84" s="238">
        <v>2736</v>
      </c>
      <c r="DI84" s="239">
        <f t="shared" ref="DI84" si="294">DH84*$E84</f>
        <v>2736</v>
      </c>
      <c r="DJ84" s="15">
        <v>2568</v>
      </c>
      <c r="DK84" s="239">
        <f t="shared" ref="DK84" si="295">DJ84*$E84</f>
        <v>2568</v>
      </c>
      <c r="DL84" s="238"/>
      <c r="DM84" s="239">
        <f t="shared" ref="DM84" si="296">DL84*$E84</f>
        <v>0</v>
      </c>
      <c r="DN84" s="238"/>
      <c r="DO84" s="239">
        <f t="shared" ref="DO84" si="297">DN84*$E84</f>
        <v>0</v>
      </c>
      <c r="DP84" s="238"/>
      <c r="DQ84" s="239">
        <f t="shared" ref="DQ84" si="298">DP84*$E84</f>
        <v>0</v>
      </c>
      <c r="DR84" s="238"/>
      <c r="DS84" s="239">
        <f t="shared" ref="DS84" si="299">DR84*$E84</f>
        <v>0</v>
      </c>
      <c r="DT84" s="238"/>
      <c r="DU84" s="239">
        <f t="shared" ref="DU84" si="300">DT84*$E84</f>
        <v>0</v>
      </c>
      <c r="DV84" s="238"/>
      <c r="DW84" s="239">
        <f t="shared" ref="DW84" si="301">DV84*$E84</f>
        <v>0</v>
      </c>
      <c r="DX84" s="238"/>
      <c r="DY84" s="239">
        <f t="shared" ref="DY84" si="302">DX84*$E84</f>
        <v>0</v>
      </c>
      <c r="DZ84" s="238"/>
      <c r="EA84" s="239">
        <f t="shared" ref="EA84" si="303">DZ84*$E84</f>
        <v>0</v>
      </c>
      <c r="EB84" s="238"/>
      <c r="EC84" s="239">
        <f t="shared" ref="EC84" si="304">EB84*$E84</f>
        <v>0</v>
      </c>
      <c r="ED84" s="238"/>
      <c r="EE84" s="239">
        <f t="shared" ref="EE84" si="305">ED84*$E84</f>
        <v>0</v>
      </c>
      <c r="EF84" s="240">
        <f t="shared" ref="EF84:EG84" si="306">SUM(DH84,DJ84,DL84,DN84,DP84,DR84,DT84,DV84,DX84,DZ84,EB84,ED84)</f>
        <v>5304</v>
      </c>
      <c r="EG84" s="239">
        <f t="shared" si="306"/>
        <v>5304</v>
      </c>
    </row>
    <row r="85" spans="1:137" ht="19.8">
      <c r="A85" s="7"/>
      <c r="B85" s="8"/>
      <c r="C85" s="8"/>
      <c r="D85" s="7"/>
      <c r="E85" s="7"/>
      <c r="F85" s="7"/>
      <c r="G85" s="7"/>
      <c r="H85" s="15"/>
      <c r="I85" s="10">
        <f t="shared" si="220"/>
        <v>0</v>
      </c>
      <c r="J85" s="15"/>
      <c r="K85" s="10">
        <f t="shared" si="221"/>
        <v>0</v>
      </c>
      <c r="L85" s="15"/>
      <c r="M85" s="10">
        <f t="shared" si="222"/>
        <v>0</v>
      </c>
      <c r="N85" s="15"/>
      <c r="O85" s="10">
        <f t="shared" si="223"/>
        <v>0</v>
      </c>
      <c r="P85" s="15"/>
      <c r="Q85" s="10">
        <f t="shared" si="224"/>
        <v>0</v>
      </c>
      <c r="R85" s="15"/>
      <c r="S85" s="10">
        <f t="shared" si="280"/>
        <v>0</v>
      </c>
      <c r="T85" s="15"/>
      <c r="U85" s="10">
        <f t="shared" si="225"/>
        <v>0</v>
      </c>
      <c r="V85" s="15"/>
      <c r="W85" s="10">
        <f t="shared" si="226"/>
        <v>0</v>
      </c>
      <c r="X85" s="15"/>
      <c r="Y85" s="10">
        <f t="shared" si="227"/>
        <v>0</v>
      </c>
      <c r="Z85" s="15"/>
      <c r="AA85" s="10">
        <f t="shared" si="228"/>
        <v>0</v>
      </c>
      <c r="AB85" s="15"/>
      <c r="AC85" s="10">
        <f t="shared" si="229"/>
        <v>0</v>
      </c>
      <c r="AD85" s="15"/>
      <c r="AE85" s="10">
        <f t="shared" si="230"/>
        <v>0</v>
      </c>
      <c r="AF85" s="11">
        <f t="shared" si="266"/>
        <v>0</v>
      </c>
      <c r="AG85" s="12">
        <f t="shared" si="189"/>
        <v>0</v>
      </c>
      <c r="AH85" s="15"/>
      <c r="AI85" s="10">
        <f t="shared" si="231"/>
        <v>0</v>
      </c>
      <c r="AJ85" s="15"/>
      <c r="AK85" s="10">
        <f t="shared" si="232"/>
        <v>0</v>
      </c>
      <c r="AL85" s="15"/>
      <c r="AM85" s="10">
        <f t="shared" si="233"/>
        <v>0</v>
      </c>
      <c r="AN85" s="15"/>
      <c r="AO85" s="10">
        <f t="shared" si="234"/>
        <v>0</v>
      </c>
      <c r="AP85" s="15"/>
      <c r="AQ85" s="10">
        <f t="shared" si="235"/>
        <v>0</v>
      </c>
      <c r="AR85" s="15"/>
      <c r="AS85" s="10">
        <f t="shared" si="236"/>
        <v>0</v>
      </c>
      <c r="AT85" s="15"/>
      <c r="AU85" s="10">
        <f t="shared" si="237"/>
        <v>0</v>
      </c>
      <c r="AV85" s="15"/>
      <c r="AW85" s="10">
        <f t="shared" si="238"/>
        <v>0</v>
      </c>
      <c r="AX85" s="15"/>
      <c r="AY85" s="10">
        <f t="shared" si="239"/>
        <v>0</v>
      </c>
      <c r="AZ85" s="15"/>
      <c r="BA85" s="10">
        <f t="shared" si="240"/>
        <v>0</v>
      </c>
      <c r="BB85" s="15"/>
      <c r="BC85" s="10">
        <f t="shared" si="241"/>
        <v>0</v>
      </c>
      <c r="BD85" s="15"/>
      <c r="BE85" s="10">
        <f t="shared" si="242"/>
        <v>0</v>
      </c>
      <c r="BF85" s="11">
        <f t="shared" si="190"/>
        <v>0</v>
      </c>
      <c r="BG85" s="12">
        <f t="shared" si="191"/>
        <v>0</v>
      </c>
      <c r="BH85" s="15"/>
      <c r="BI85" s="10">
        <f t="shared" si="243"/>
        <v>0</v>
      </c>
      <c r="BJ85" s="15"/>
      <c r="BK85" s="10">
        <f t="shared" si="244"/>
        <v>0</v>
      </c>
      <c r="BL85" s="15"/>
      <c r="BM85" s="10">
        <f t="shared" si="245"/>
        <v>0</v>
      </c>
      <c r="BN85" s="15"/>
      <c r="BO85" s="10">
        <f t="shared" si="246"/>
        <v>0</v>
      </c>
      <c r="BP85" s="15"/>
      <c r="BQ85" s="10">
        <f t="shared" si="247"/>
        <v>0</v>
      </c>
      <c r="BR85" s="15"/>
      <c r="BS85" s="10">
        <f t="shared" si="248"/>
        <v>0</v>
      </c>
      <c r="BT85" s="15"/>
      <c r="BU85" s="10">
        <f t="shared" si="249"/>
        <v>0</v>
      </c>
      <c r="BV85" s="15"/>
      <c r="BW85" s="10">
        <f t="shared" si="250"/>
        <v>0</v>
      </c>
      <c r="BX85" s="15"/>
      <c r="BY85" s="10">
        <f t="shared" si="251"/>
        <v>0</v>
      </c>
      <c r="BZ85" s="15"/>
      <c r="CA85" s="10">
        <f t="shared" si="252"/>
        <v>0</v>
      </c>
      <c r="CB85" s="15"/>
      <c r="CC85" s="10">
        <f t="shared" si="253"/>
        <v>0</v>
      </c>
      <c r="CD85" s="15"/>
      <c r="CE85" s="10">
        <f t="shared" si="254"/>
        <v>0</v>
      </c>
      <c r="CF85" s="11">
        <f t="shared" si="192"/>
        <v>0</v>
      </c>
      <c r="CG85" s="12">
        <f t="shared" si="193"/>
        <v>0</v>
      </c>
      <c r="CH85" s="15"/>
      <c r="CI85" s="10">
        <f t="shared" si="194"/>
        <v>0</v>
      </c>
      <c r="CJ85" s="15"/>
      <c r="CK85" s="10">
        <f t="shared" si="195"/>
        <v>0</v>
      </c>
      <c r="CL85" s="15"/>
      <c r="CM85" s="10">
        <f t="shared" si="196"/>
        <v>0</v>
      </c>
      <c r="CN85" s="15"/>
      <c r="CO85" s="10">
        <f t="shared" si="197"/>
        <v>0</v>
      </c>
      <c r="CP85" s="15"/>
      <c r="CQ85" s="10">
        <f t="shared" si="198"/>
        <v>0</v>
      </c>
      <c r="CR85" s="15"/>
      <c r="CS85" s="10">
        <f t="shared" si="199"/>
        <v>0</v>
      </c>
      <c r="CT85" s="15"/>
      <c r="CU85" s="10">
        <f t="shared" si="200"/>
        <v>0</v>
      </c>
      <c r="CV85" s="15"/>
      <c r="CW85" s="10">
        <f t="shared" si="201"/>
        <v>0</v>
      </c>
      <c r="CX85" s="15"/>
      <c r="CY85" s="10">
        <f t="shared" si="202"/>
        <v>0</v>
      </c>
      <c r="CZ85" s="15"/>
      <c r="DA85" s="10">
        <f t="shared" si="203"/>
        <v>0</v>
      </c>
      <c r="DB85" s="15"/>
      <c r="DC85" s="10">
        <f t="shared" si="204"/>
        <v>0</v>
      </c>
      <c r="DD85" s="15"/>
      <c r="DE85" s="10">
        <f t="shared" si="204"/>
        <v>0</v>
      </c>
      <c r="DF85" s="231">
        <f t="shared" si="205"/>
        <v>0</v>
      </c>
      <c r="DG85" s="230">
        <f t="shared" si="206"/>
        <v>0</v>
      </c>
      <c r="DH85" s="238"/>
      <c r="DI85" s="239"/>
      <c r="DJ85" s="15"/>
      <c r="DK85" s="239"/>
      <c r="DL85" s="238"/>
      <c r="DM85" s="239"/>
      <c r="DN85" s="238"/>
      <c r="DO85" s="239"/>
      <c r="DP85" s="238"/>
      <c r="DQ85" s="239"/>
      <c r="DR85" s="238"/>
      <c r="DS85" s="239"/>
      <c r="DT85" s="238"/>
      <c r="DU85" s="239"/>
      <c r="DV85" s="238"/>
      <c r="DW85" s="239"/>
      <c r="DX85" s="238"/>
      <c r="DY85" s="239"/>
      <c r="DZ85" s="238"/>
      <c r="EA85" s="239"/>
      <c r="EB85" s="238"/>
      <c r="EC85" s="239"/>
      <c r="ED85" s="238"/>
      <c r="EE85" s="239"/>
      <c r="EF85" s="240"/>
      <c r="EG85" s="239"/>
    </row>
    <row r="86" spans="1:137" ht="19.8">
      <c r="A86" s="7">
        <v>69</v>
      </c>
      <c r="B86" s="8" t="s">
        <v>70</v>
      </c>
      <c r="C86" s="8" t="s">
        <v>14</v>
      </c>
      <c r="D86" s="7">
        <f>RANK(DF86,$DF$4:$DF$147)</f>
        <v>31</v>
      </c>
      <c r="E86" s="7">
        <v>1</v>
      </c>
      <c r="F86" s="7" t="s">
        <v>20</v>
      </c>
      <c r="G86" s="7"/>
      <c r="H86" s="15"/>
      <c r="I86" s="10">
        <f t="shared" si="220"/>
        <v>0</v>
      </c>
      <c r="J86" s="15"/>
      <c r="K86" s="10">
        <f t="shared" si="221"/>
        <v>0</v>
      </c>
      <c r="L86" s="15"/>
      <c r="M86" s="10">
        <f t="shared" si="222"/>
        <v>0</v>
      </c>
      <c r="N86" s="15"/>
      <c r="O86" s="10">
        <f t="shared" si="223"/>
        <v>0</v>
      </c>
      <c r="P86" s="15"/>
      <c r="Q86" s="10">
        <f t="shared" si="224"/>
        <v>0</v>
      </c>
      <c r="R86" s="15"/>
      <c r="S86" s="10">
        <f t="shared" si="280"/>
        <v>0</v>
      </c>
      <c r="T86" s="15"/>
      <c r="U86" s="10">
        <f t="shared" si="225"/>
        <v>0</v>
      </c>
      <c r="V86" s="15"/>
      <c r="W86" s="10">
        <f t="shared" si="226"/>
        <v>0</v>
      </c>
      <c r="X86" s="15"/>
      <c r="Y86" s="10">
        <f t="shared" si="227"/>
        <v>0</v>
      </c>
      <c r="Z86" s="15"/>
      <c r="AA86" s="10">
        <f t="shared" si="228"/>
        <v>0</v>
      </c>
      <c r="AB86" s="15"/>
      <c r="AC86" s="10">
        <f t="shared" si="229"/>
        <v>0</v>
      </c>
      <c r="AD86" s="15"/>
      <c r="AE86" s="10">
        <f t="shared" si="230"/>
        <v>0</v>
      </c>
      <c r="AF86" s="11">
        <f t="shared" si="266"/>
        <v>0</v>
      </c>
      <c r="AG86" s="12">
        <f t="shared" si="189"/>
        <v>0</v>
      </c>
      <c r="AH86" s="15"/>
      <c r="AI86" s="10">
        <f t="shared" si="231"/>
        <v>0</v>
      </c>
      <c r="AJ86" s="15"/>
      <c r="AK86" s="10">
        <f t="shared" si="232"/>
        <v>0</v>
      </c>
      <c r="AL86" s="15"/>
      <c r="AM86" s="10">
        <f t="shared" si="233"/>
        <v>0</v>
      </c>
      <c r="AN86" s="15"/>
      <c r="AO86" s="10">
        <f t="shared" si="234"/>
        <v>0</v>
      </c>
      <c r="AP86" s="15"/>
      <c r="AQ86" s="10">
        <f t="shared" si="235"/>
        <v>0</v>
      </c>
      <c r="AR86" s="15"/>
      <c r="AS86" s="10">
        <f t="shared" si="236"/>
        <v>0</v>
      </c>
      <c r="AT86" s="15"/>
      <c r="AU86" s="10">
        <f t="shared" si="237"/>
        <v>0</v>
      </c>
      <c r="AV86" s="15"/>
      <c r="AW86" s="10">
        <f t="shared" si="238"/>
        <v>0</v>
      </c>
      <c r="AX86" s="15"/>
      <c r="AY86" s="10">
        <f t="shared" si="239"/>
        <v>0</v>
      </c>
      <c r="AZ86" s="15"/>
      <c r="BA86" s="10">
        <f t="shared" si="240"/>
        <v>0</v>
      </c>
      <c r="BB86" s="15"/>
      <c r="BC86" s="10">
        <f t="shared" si="241"/>
        <v>0</v>
      </c>
      <c r="BD86" s="15"/>
      <c r="BE86" s="10">
        <f t="shared" si="242"/>
        <v>0</v>
      </c>
      <c r="BF86" s="11">
        <f t="shared" si="190"/>
        <v>0</v>
      </c>
      <c r="BG86" s="12">
        <f t="shared" si="191"/>
        <v>0</v>
      </c>
      <c r="BH86" s="15"/>
      <c r="BI86" s="10">
        <f t="shared" si="243"/>
        <v>0</v>
      </c>
      <c r="BJ86" s="15"/>
      <c r="BK86" s="10">
        <f t="shared" si="244"/>
        <v>0</v>
      </c>
      <c r="BL86" s="15"/>
      <c r="BM86" s="10">
        <f t="shared" si="245"/>
        <v>0</v>
      </c>
      <c r="BN86" s="15"/>
      <c r="BO86" s="10">
        <f t="shared" si="246"/>
        <v>0</v>
      </c>
      <c r="BP86" s="15"/>
      <c r="BQ86" s="10">
        <f t="shared" si="247"/>
        <v>0</v>
      </c>
      <c r="BR86" s="15"/>
      <c r="BS86" s="10">
        <f t="shared" si="248"/>
        <v>0</v>
      </c>
      <c r="BT86" s="15"/>
      <c r="BU86" s="10">
        <f t="shared" si="249"/>
        <v>0</v>
      </c>
      <c r="BV86" s="15"/>
      <c r="BW86" s="10">
        <f t="shared" si="250"/>
        <v>0</v>
      </c>
      <c r="BX86" s="15"/>
      <c r="BY86" s="10">
        <f t="shared" si="251"/>
        <v>0</v>
      </c>
      <c r="BZ86" s="15"/>
      <c r="CA86" s="10">
        <f t="shared" si="252"/>
        <v>0</v>
      </c>
      <c r="CB86" s="15"/>
      <c r="CC86" s="10">
        <f t="shared" si="253"/>
        <v>0</v>
      </c>
      <c r="CD86" s="15"/>
      <c r="CE86" s="10">
        <f t="shared" si="254"/>
        <v>0</v>
      </c>
      <c r="CF86" s="11">
        <f t="shared" si="192"/>
        <v>0</v>
      </c>
      <c r="CG86" s="12">
        <f t="shared" si="193"/>
        <v>0</v>
      </c>
      <c r="CH86" s="15"/>
      <c r="CI86" s="10">
        <f t="shared" si="194"/>
        <v>0</v>
      </c>
      <c r="CJ86" s="15"/>
      <c r="CK86" s="10">
        <f t="shared" si="195"/>
        <v>0</v>
      </c>
      <c r="CL86" s="15"/>
      <c r="CM86" s="10">
        <f t="shared" si="196"/>
        <v>0</v>
      </c>
      <c r="CN86" s="15"/>
      <c r="CO86" s="10">
        <f t="shared" si="197"/>
        <v>0</v>
      </c>
      <c r="CP86" s="15"/>
      <c r="CQ86" s="10">
        <f t="shared" si="198"/>
        <v>0</v>
      </c>
      <c r="CR86" s="15"/>
      <c r="CS86" s="10">
        <f t="shared" si="199"/>
        <v>0</v>
      </c>
      <c r="CT86" s="15"/>
      <c r="CU86" s="10">
        <f t="shared" si="200"/>
        <v>0</v>
      </c>
      <c r="CV86" s="15"/>
      <c r="CW86" s="10">
        <f t="shared" si="201"/>
        <v>0</v>
      </c>
      <c r="CX86" s="15"/>
      <c r="CY86" s="10">
        <f t="shared" si="202"/>
        <v>0</v>
      </c>
      <c r="CZ86" s="15"/>
      <c r="DA86" s="10">
        <f t="shared" si="203"/>
        <v>0</v>
      </c>
      <c r="DB86" s="15"/>
      <c r="DC86" s="10">
        <f t="shared" si="204"/>
        <v>0</v>
      </c>
      <c r="DD86" s="15"/>
      <c r="DE86" s="10">
        <f t="shared" si="204"/>
        <v>0</v>
      </c>
      <c r="DF86" s="231">
        <f t="shared" si="205"/>
        <v>0</v>
      </c>
      <c r="DG86" s="230">
        <f t="shared" si="206"/>
        <v>0</v>
      </c>
      <c r="DH86" s="238"/>
      <c r="DI86" s="239">
        <f t="shared" ref="DI86:DI90" si="307">DH86*$E86</f>
        <v>0</v>
      </c>
      <c r="DJ86" s="15"/>
      <c r="DK86" s="239">
        <f t="shared" ref="DK86:DK90" si="308">DJ86*$E86</f>
        <v>0</v>
      </c>
      <c r="DL86" s="238"/>
      <c r="DM86" s="239">
        <f t="shared" ref="DM86:DM90" si="309">DL86*$E86</f>
        <v>0</v>
      </c>
      <c r="DN86" s="238"/>
      <c r="DO86" s="239">
        <f t="shared" ref="DO86:DO90" si="310">DN86*$E86</f>
        <v>0</v>
      </c>
      <c r="DP86" s="238"/>
      <c r="DQ86" s="239">
        <f t="shared" ref="DQ86:DQ90" si="311">DP86*$E86</f>
        <v>0</v>
      </c>
      <c r="DR86" s="238"/>
      <c r="DS86" s="239">
        <f t="shared" ref="DS86:DS90" si="312">DR86*$E86</f>
        <v>0</v>
      </c>
      <c r="DT86" s="238"/>
      <c r="DU86" s="239">
        <f t="shared" ref="DU86:DU90" si="313">DT86*$E86</f>
        <v>0</v>
      </c>
      <c r="DV86" s="238"/>
      <c r="DW86" s="239">
        <f t="shared" ref="DW86:DW90" si="314">DV86*$E86</f>
        <v>0</v>
      </c>
      <c r="DX86" s="238"/>
      <c r="DY86" s="239">
        <f t="shared" ref="DY86:DY90" si="315">DX86*$E86</f>
        <v>0</v>
      </c>
      <c r="DZ86" s="238"/>
      <c r="EA86" s="239">
        <f t="shared" ref="EA86:EA90" si="316">DZ86*$E86</f>
        <v>0</v>
      </c>
      <c r="EB86" s="238"/>
      <c r="EC86" s="239">
        <f t="shared" ref="EC86:EC90" si="317">EB86*$E86</f>
        <v>0</v>
      </c>
      <c r="ED86" s="238"/>
      <c r="EE86" s="239">
        <f t="shared" ref="EE86:EE90" si="318">ED86*$E86</f>
        <v>0</v>
      </c>
      <c r="EF86" s="240">
        <f t="shared" ref="EF86:EG90" si="319">SUM(DH86,DJ86,DL86,DN86,DP86,DR86,DT86,DV86,DX86,DZ86,EB86,ED86)</f>
        <v>0</v>
      </c>
      <c r="EG86" s="239">
        <f t="shared" si="319"/>
        <v>0</v>
      </c>
    </row>
    <row r="87" spans="1:137" ht="19.8">
      <c r="A87" s="7">
        <v>70</v>
      </c>
      <c r="B87" s="8" t="s">
        <v>71</v>
      </c>
      <c r="C87" s="8" t="s">
        <v>14</v>
      </c>
      <c r="D87" s="7">
        <f>RANK(DF87,$DF$4:$DF$147)</f>
        <v>31</v>
      </c>
      <c r="E87" s="7">
        <v>1</v>
      </c>
      <c r="F87" s="7" t="s">
        <v>20</v>
      </c>
      <c r="G87" s="7"/>
      <c r="H87" s="15"/>
      <c r="I87" s="10">
        <f t="shared" si="220"/>
        <v>0</v>
      </c>
      <c r="J87" s="15"/>
      <c r="K87" s="10">
        <f t="shared" si="221"/>
        <v>0</v>
      </c>
      <c r="L87" s="15"/>
      <c r="M87" s="10">
        <f t="shared" si="222"/>
        <v>0</v>
      </c>
      <c r="N87" s="15"/>
      <c r="O87" s="10">
        <f t="shared" si="223"/>
        <v>0</v>
      </c>
      <c r="P87" s="15"/>
      <c r="Q87" s="10">
        <f t="shared" si="224"/>
        <v>0</v>
      </c>
      <c r="R87" s="15"/>
      <c r="S87" s="10">
        <f t="shared" si="280"/>
        <v>0</v>
      </c>
      <c r="T87" s="15"/>
      <c r="U87" s="10">
        <f t="shared" si="225"/>
        <v>0</v>
      </c>
      <c r="V87" s="15"/>
      <c r="W87" s="10">
        <f t="shared" si="226"/>
        <v>0</v>
      </c>
      <c r="X87" s="15"/>
      <c r="Y87" s="10">
        <f t="shared" si="227"/>
        <v>0</v>
      </c>
      <c r="Z87" s="15"/>
      <c r="AA87" s="10">
        <f t="shared" si="228"/>
        <v>0</v>
      </c>
      <c r="AB87" s="15"/>
      <c r="AC87" s="10">
        <f t="shared" si="229"/>
        <v>0</v>
      </c>
      <c r="AD87" s="15"/>
      <c r="AE87" s="10">
        <f t="shared" si="230"/>
        <v>0</v>
      </c>
      <c r="AF87" s="11">
        <f t="shared" si="266"/>
        <v>0</v>
      </c>
      <c r="AG87" s="12">
        <f t="shared" si="189"/>
        <v>0</v>
      </c>
      <c r="AH87" s="15"/>
      <c r="AI87" s="10">
        <f t="shared" si="231"/>
        <v>0</v>
      </c>
      <c r="AJ87" s="15"/>
      <c r="AK87" s="10">
        <f t="shared" si="232"/>
        <v>0</v>
      </c>
      <c r="AL87" s="15"/>
      <c r="AM87" s="10">
        <f t="shared" si="233"/>
        <v>0</v>
      </c>
      <c r="AN87" s="15"/>
      <c r="AO87" s="10">
        <f t="shared" si="234"/>
        <v>0</v>
      </c>
      <c r="AP87" s="15"/>
      <c r="AQ87" s="10">
        <f t="shared" si="235"/>
        <v>0</v>
      </c>
      <c r="AR87" s="15"/>
      <c r="AS87" s="10">
        <f t="shared" si="236"/>
        <v>0</v>
      </c>
      <c r="AT87" s="15"/>
      <c r="AU87" s="10">
        <f t="shared" si="237"/>
        <v>0</v>
      </c>
      <c r="AV87" s="15"/>
      <c r="AW87" s="10">
        <f t="shared" si="238"/>
        <v>0</v>
      </c>
      <c r="AX87" s="15"/>
      <c r="AY87" s="10">
        <f t="shared" si="239"/>
        <v>0</v>
      </c>
      <c r="AZ87" s="15"/>
      <c r="BA87" s="10">
        <f t="shared" si="240"/>
        <v>0</v>
      </c>
      <c r="BB87" s="15"/>
      <c r="BC87" s="10">
        <f t="shared" si="241"/>
        <v>0</v>
      </c>
      <c r="BD87" s="15"/>
      <c r="BE87" s="10">
        <f t="shared" si="242"/>
        <v>0</v>
      </c>
      <c r="BF87" s="11">
        <f t="shared" si="190"/>
        <v>0</v>
      </c>
      <c r="BG87" s="12">
        <f t="shared" si="191"/>
        <v>0</v>
      </c>
      <c r="BH87" s="15"/>
      <c r="BI87" s="10">
        <f t="shared" si="243"/>
        <v>0</v>
      </c>
      <c r="BJ87" s="15"/>
      <c r="BK87" s="10">
        <f t="shared" si="244"/>
        <v>0</v>
      </c>
      <c r="BL87" s="15"/>
      <c r="BM87" s="10">
        <f t="shared" si="245"/>
        <v>0</v>
      </c>
      <c r="BN87" s="15"/>
      <c r="BO87" s="10">
        <f t="shared" si="246"/>
        <v>0</v>
      </c>
      <c r="BP87" s="15"/>
      <c r="BQ87" s="10">
        <f t="shared" si="247"/>
        <v>0</v>
      </c>
      <c r="BR87" s="15"/>
      <c r="BS87" s="10">
        <f t="shared" si="248"/>
        <v>0</v>
      </c>
      <c r="BT87" s="15"/>
      <c r="BU87" s="10">
        <f t="shared" si="249"/>
        <v>0</v>
      </c>
      <c r="BV87" s="15"/>
      <c r="BW87" s="10">
        <f t="shared" si="250"/>
        <v>0</v>
      </c>
      <c r="BX87" s="15"/>
      <c r="BY87" s="10">
        <f t="shared" si="251"/>
        <v>0</v>
      </c>
      <c r="BZ87" s="15"/>
      <c r="CA87" s="10">
        <f t="shared" si="252"/>
        <v>0</v>
      </c>
      <c r="CB87" s="15"/>
      <c r="CC87" s="10">
        <f t="shared" si="253"/>
        <v>0</v>
      </c>
      <c r="CD87" s="15"/>
      <c r="CE87" s="10">
        <f t="shared" si="254"/>
        <v>0</v>
      </c>
      <c r="CF87" s="11">
        <f t="shared" si="192"/>
        <v>0</v>
      </c>
      <c r="CG87" s="12">
        <f t="shared" si="193"/>
        <v>0</v>
      </c>
      <c r="CH87" s="15"/>
      <c r="CI87" s="10">
        <f t="shared" si="194"/>
        <v>0</v>
      </c>
      <c r="CJ87" s="15"/>
      <c r="CK87" s="10">
        <f t="shared" si="195"/>
        <v>0</v>
      </c>
      <c r="CL87" s="15"/>
      <c r="CM87" s="10">
        <f t="shared" si="196"/>
        <v>0</v>
      </c>
      <c r="CN87" s="15"/>
      <c r="CO87" s="10">
        <f t="shared" si="197"/>
        <v>0</v>
      </c>
      <c r="CP87" s="15"/>
      <c r="CQ87" s="10">
        <f t="shared" si="198"/>
        <v>0</v>
      </c>
      <c r="CR87" s="15"/>
      <c r="CS87" s="10">
        <f t="shared" si="199"/>
        <v>0</v>
      </c>
      <c r="CT87" s="15"/>
      <c r="CU87" s="10">
        <f t="shared" si="200"/>
        <v>0</v>
      </c>
      <c r="CV87" s="15"/>
      <c r="CW87" s="10">
        <f t="shared" si="201"/>
        <v>0</v>
      </c>
      <c r="CX87" s="15"/>
      <c r="CY87" s="10">
        <f t="shared" si="202"/>
        <v>0</v>
      </c>
      <c r="CZ87" s="15"/>
      <c r="DA87" s="10">
        <f t="shared" si="203"/>
        <v>0</v>
      </c>
      <c r="DB87" s="15"/>
      <c r="DC87" s="10">
        <f t="shared" si="204"/>
        <v>0</v>
      </c>
      <c r="DD87" s="15"/>
      <c r="DE87" s="10">
        <f t="shared" si="204"/>
        <v>0</v>
      </c>
      <c r="DF87" s="231">
        <f t="shared" si="205"/>
        <v>0</v>
      </c>
      <c r="DG87" s="230">
        <f t="shared" si="206"/>
        <v>0</v>
      </c>
      <c r="DH87" s="238"/>
      <c r="DI87" s="239">
        <f t="shared" si="307"/>
        <v>0</v>
      </c>
      <c r="DJ87" s="15"/>
      <c r="DK87" s="239">
        <f t="shared" si="308"/>
        <v>0</v>
      </c>
      <c r="DL87" s="238"/>
      <c r="DM87" s="239">
        <f t="shared" si="309"/>
        <v>0</v>
      </c>
      <c r="DN87" s="238"/>
      <c r="DO87" s="239">
        <f t="shared" si="310"/>
        <v>0</v>
      </c>
      <c r="DP87" s="238"/>
      <c r="DQ87" s="239">
        <f t="shared" si="311"/>
        <v>0</v>
      </c>
      <c r="DR87" s="238"/>
      <c r="DS87" s="239">
        <f t="shared" si="312"/>
        <v>0</v>
      </c>
      <c r="DT87" s="238"/>
      <c r="DU87" s="239">
        <f t="shared" si="313"/>
        <v>0</v>
      </c>
      <c r="DV87" s="238"/>
      <c r="DW87" s="239">
        <f t="shared" si="314"/>
        <v>0</v>
      </c>
      <c r="DX87" s="238"/>
      <c r="DY87" s="239">
        <f t="shared" si="315"/>
        <v>0</v>
      </c>
      <c r="DZ87" s="238"/>
      <c r="EA87" s="239">
        <f t="shared" si="316"/>
        <v>0</v>
      </c>
      <c r="EB87" s="238"/>
      <c r="EC87" s="239">
        <f t="shared" si="317"/>
        <v>0</v>
      </c>
      <c r="ED87" s="238"/>
      <c r="EE87" s="239">
        <f t="shared" si="318"/>
        <v>0</v>
      </c>
      <c r="EF87" s="240">
        <f t="shared" si="319"/>
        <v>0</v>
      </c>
      <c r="EG87" s="239">
        <f t="shared" si="319"/>
        <v>0</v>
      </c>
    </row>
    <row r="88" spans="1:137" ht="19.8">
      <c r="A88" s="7">
        <v>71</v>
      </c>
      <c r="B88" s="8" t="s">
        <v>72</v>
      </c>
      <c r="C88" s="8" t="s">
        <v>14</v>
      </c>
      <c r="D88" s="7">
        <f>RANK(DF88,$DF$4:$DF$147)</f>
        <v>31</v>
      </c>
      <c r="E88" s="7">
        <v>1</v>
      </c>
      <c r="F88" s="7" t="s">
        <v>12</v>
      </c>
      <c r="G88" s="7"/>
      <c r="H88" s="15"/>
      <c r="I88" s="10">
        <f t="shared" si="220"/>
        <v>0</v>
      </c>
      <c r="J88" s="15"/>
      <c r="K88" s="10">
        <f t="shared" si="221"/>
        <v>0</v>
      </c>
      <c r="L88" s="15"/>
      <c r="M88" s="10">
        <f t="shared" si="222"/>
        <v>0</v>
      </c>
      <c r="N88" s="15"/>
      <c r="O88" s="10">
        <f t="shared" si="223"/>
        <v>0</v>
      </c>
      <c r="P88" s="15"/>
      <c r="Q88" s="10">
        <f t="shared" si="224"/>
        <v>0</v>
      </c>
      <c r="R88" s="15"/>
      <c r="S88" s="10">
        <f t="shared" si="280"/>
        <v>0</v>
      </c>
      <c r="T88" s="15"/>
      <c r="U88" s="10">
        <f t="shared" si="225"/>
        <v>0</v>
      </c>
      <c r="V88" s="15"/>
      <c r="W88" s="10">
        <f t="shared" si="226"/>
        <v>0</v>
      </c>
      <c r="X88" s="15"/>
      <c r="Y88" s="10">
        <f t="shared" si="227"/>
        <v>0</v>
      </c>
      <c r="Z88" s="15"/>
      <c r="AA88" s="10">
        <f t="shared" si="228"/>
        <v>0</v>
      </c>
      <c r="AB88" s="15"/>
      <c r="AC88" s="10">
        <f t="shared" si="229"/>
        <v>0</v>
      </c>
      <c r="AD88" s="15"/>
      <c r="AE88" s="10">
        <f t="shared" si="230"/>
        <v>0</v>
      </c>
      <c r="AF88" s="11">
        <f t="shared" si="266"/>
        <v>0</v>
      </c>
      <c r="AG88" s="12">
        <f t="shared" si="189"/>
        <v>0</v>
      </c>
      <c r="AH88" s="15"/>
      <c r="AI88" s="10">
        <f t="shared" si="231"/>
        <v>0</v>
      </c>
      <c r="AJ88" s="15"/>
      <c r="AK88" s="10">
        <f t="shared" si="232"/>
        <v>0</v>
      </c>
      <c r="AL88" s="15"/>
      <c r="AM88" s="10">
        <f t="shared" si="233"/>
        <v>0</v>
      </c>
      <c r="AN88" s="15"/>
      <c r="AO88" s="10">
        <f t="shared" si="234"/>
        <v>0</v>
      </c>
      <c r="AP88" s="15"/>
      <c r="AQ88" s="10">
        <f t="shared" si="235"/>
        <v>0</v>
      </c>
      <c r="AR88" s="15"/>
      <c r="AS88" s="10">
        <f t="shared" si="236"/>
        <v>0</v>
      </c>
      <c r="AT88" s="15"/>
      <c r="AU88" s="10">
        <f t="shared" si="237"/>
        <v>0</v>
      </c>
      <c r="AV88" s="15"/>
      <c r="AW88" s="10">
        <f t="shared" si="238"/>
        <v>0</v>
      </c>
      <c r="AX88" s="15"/>
      <c r="AY88" s="10">
        <f t="shared" si="239"/>
        <v>0</v>
      </c>
      <c r="AZ88" s="15"/>
      <c r="BA88" s="10">
        <f t="shared" si="240"/>
        <v>0</v>
      </c>
      <c r="BB88" s="15"/>
      <c r="BC88" s="10">
        <f t="shared" si="241"/>
        <v>0</v>
      </c>
      <c r="BD88" s="15"/>
      <c r="BE88" s="10">
        <f t="shared" si="242"/>
        <v>0</v>
      </c>
      <c r="BF88" s="11">
        <f t="shared" si="190"/>
        <v>0</v>
      </c>
      <c r="BG88" s="12">
        <f t="shared" si="191"/>
        <v>0</v>
      </c>
      <c r="BH88" s="15"/>
      <c r="BI88" s="10">
        <f t="shared" si="243"/>
        <v>0</v>
      </c>
      <c r="BJ88" s="15"/>
      <c r="BK88" s="10">
        <f t="shared" si="244"/>
        <v>0</v>
      </c>
      <c r="BL88" s="15"/>
      <c r="BM88" s="10">
        <f t="shared" si="245"/>
        <v>0</v>
      </c>
      <c r="BN88" s="15"/>
      <c r="BO88" s="10">
        <f t="shared" si="246"/>
        <v>0</v>
      </c>
      <c r="BP88" s="15"/>
      <c r="BQ88" s="10">
        <f t="shared" si="247"/>
        <v>0</v>
      </c>
      <c r="BR88" s="15"/>
      <c r="BS88" s="10">
        <f t="shared" si="248"/>
        <v>0</v>
      </c>
      <c r="BT88" s="15"/>
      <c r="BU88" s="10">
        <f t="shared" si="249"/>
        <v>0</v>
      </c>
      <c r="BV88" s="15"/>
      <c r="BW88" s="10">
        <f t="shared" si="250"/>
        <v>0</v>
      </c>
      <c r="BX88" s="15"/>
      <c r="BY88" s="10">
        <f t="shared" si="251"/>
        <v>0</v>
      </c>
      <c r="BZ88" s="15"/>
      <c r="CA88" s="10">
        <f t="shared" si="252"/>
        <v>0</v>
      </c>
      <c r="CB88" s="15"/>
      <c r="CC88" s="10">
        <f t="shared" si="253"/>
        <v>0</v>
      </c>
      <c r="CD88" s="15"/>
      <c r="CE88" s="10">
        <f t="shared" si="254"/>
        <v>0</v>
      </c>
      <c r="CF88" s="11">
        <f t="shared" si="192"/>
        <v>0</v>
      </c>
      <c r="CG88" s="12">
        <f t="shared" si="193"/>
        <v>0</v>
      </c>
      <c r="CH88" s="15"/>
      <c r="CI88" s="10">
        <f t="shared" si="194"/>
        <v>0</v>
      </c>
      <c r="CJ88" s="15"/>
      <c r="CK88" s="10">
        <f t="shared" si="195"/>
        <v>0</v>
      </c>
      <c r="CL88" s="15"/>
      <c r="CM88" s="10">
        <f t="shared" si="196"/>
        <v>0</v>
      </c>
      <c r="CN88" s="15"/>
      <c r="CO88" s="10">
        <f t="shared" si="197"/>
        <v>0</v>
      </c>
      <c r="CP88" s="15"/>
      <c r="CQ88" s="10">
        <f t="shared" si="198"/>
        <v>0</v>
      </c>
      <c r="CR88" s="15"/>
      <c r="CS88" s="10">
        <f t="shared" si="199"/>
        <v>0</v>
      </c>
      <c r="CT88" s="15"/>
      <c r="CU88" s="10">
        <f t="shared" si="200"/>
        <v>0</v>
      </c>
      <c r="CV88" s="15"/>
      <c r="CW88" s="10">
        <f t="shared" si="201"/>
        <v>0</v>
      </c>
      <c r="CX88" s="15"/>
      <c r="CY88" s="10">
        <f t="shared" si="202"/>
        <v>0</v>
      </c>
      <c r="CZ88" s="15"/>
      <c r="DA88" s="10">
        <f t="shared" si="203"/>
        <v>0</v>
      </c>
      <c r="DB88" s="15"/>
      <c r="DC88" s="10">
        <f t="shared" si="204"/>
        <v>0</v>
      </c>
      <c r="DD88" s="15"/>
      <c r="DE88" s="10">
        <f t="shared" si="204"/>
        <v>0</v>
      </c>
      <c r="DF88" s="231">
        <f t="shared" si="205"/>
        <v>0</v>
      </c>
      <c r="DG88" s="230">
        <f t="shared" si="206"/>
        <v>0</v>
      </c>
      <c r="DH88" s="238"/>
      <c r="DI88" s="239">
        <f t="shared" si="307"/>
        <v>0</v>
      </c>
      <c r="DJ88" s="15"/>
      <c r="DK88" s="239">
        <f t="shared" si="308"/>
        <v>0</v>
      </c>
      <c r="DL88" s="238"/>
      <c r="DM88" s="239">
        <f t="shared" si="309"/>
        <v>0</v>
      </c>
      <c r="DN88" s="238"/>
      <c r="DO88" s="239">
        <f t="shared" si="310"/>
        <v>0</v>
      </c>
      <c r="DP88" s="238"/>
      <c r="DQ88" s="239">
        <f t="shared" si="311"/>
        <v>0</v>
      </c>
      <c r="DR88" s="238"/>
      <c r="DS88" s="239">
        <f t="shared" si="312"/>
        <v>0</v>
      </c>
      <c r="DT88" s="238"/>
      <c r="DU88" s="239">
        <f t="shared" si="313"/>
        <v>0</v>
      </c>
      <c r="DV88" s="238"/>
      <c r="DW88" s="239">
        <f t="shared" si="314"/>
        <v>0</v>
      </c>
      <c r="DX88" s="238"/>
      <c r="DY88" s="239">
        <f t="shared" si="315"/>
        <v>0</v>
      </c>
      <c r="DZ88" s="238"/>
      <c r="EA88" s="239">
        <f t="shared" si="316"/>
        <v>0</v>
      </c>
      <c r="EB88" s="238"/>
      <c r="EC88" s="239">
        <f t="shared" si="317"/>
        <v>0</v>
      </c>
      <c r="ED88" s="238"/>
      <c r="EE88" s="239">
        <f t="shared" si="318"/>
        <v>0</v>
      </c>
      <c r="EF88" s="240">
        <f t="shared" si="319"/>
        <v>0</v>
      </c>
      <c r="EG88" s="239">
        <f t="shared" si="319"/>
        <v>0</v>
      </c>
    </row>
    <row r="89" spans="1:137" ht="19.8">
      <c r="A89" s="7">
        <v>72</v>
      </c>
      <c r="B89" s="8" t="s">
        <v>73</v>
      </c>
      <c r="C89" s="8" t="s">
        <v>14</v>
      </c>
      <c r="D89" s="7">
        <f>RANK(DF89,$DF$4:$DF$147)</f>
        <v>31</v>
      </c>
      <c r="E89" s="7">
        <v>0.6</v>
      </c>
      <c r="F89" s="7" t="s">
        <v>20</v>
      </c>
      <c r="G89" s="7"/>
      <c r="H89" s="15"/>
      <c r="I89" s="10">
        <f t="shared" si="220"/>
        <v>0</v>
      </c>
      <c r="J89" s="15"/>
      <c r="K89" s="10">
        <f t="shared" si="221"/>
        <v>0</v>
      </c>
      <c r="L89" s="15"/>
      <c r="M89" s="10">
        <f t="shared" si="222"/>
        <v>0</v>
      </c>
      <c r="N89" s="15"/>
      <c r="O89" s="10">
        <f t="shared" si="223"/>
        <v>0</v>
      </c>
      <c r="P89" s="15"/>
      <c r="Q89" s="10">
        <f t="shared" si="224"/>
        <v>0</v>
      </c>
      <c r="R89" s="15"/>
      <c r="S89" s="10">
        <f t="shared" si="280"/>
        <v>0</v>
      </c>
      <c r="T89" s="15"/>
      <c r="U89" s="10">
        <f t="shared" si="225"/>
        <v>0</v>
      </c>
      <c r="V89" s="15"/>
      <c r="W89" s="10">
        <f t="shared" si="226"/>
        <v>0</v>
      </c>
      <c r="X89" s="15"/>
      <c r="Y89" s="10">
        <f t="shared" si="227"/>
        <v>0</v>
      </c>
      <c r="Z89" s="15"/>
      <c r="AA89" s="10">
        <f t="shared" si="228"/>
        <v>0</v>
      </c>
      <c r="AB89" s="15"/>
      <c r="AC89" s="10">
        <f t="shared" si="229"/>
        <v>0</v>
      </c>
      <c r="AD89" s="15"/>
      <c r="AE89" s="10">
        <f t="shared" si="230"/>
        <v>0</v>
      </c>
      <c r="AF89" s="11">
        <f t="shared" si="266"/>
        <v>0</v>
      </c>
      <c r="AG89" s="12">
        <f t="shared" si="189"/>
        <v>0</v>
      </c>
      <c r="AH89" s="15"/>
      <c r="AI89" s="10">
        <f t="shared" si="231"/>
        <v>0</v>
      </c>
      <c r="AJ89" s="15"/>
      <c r="AK89" s="10">
        <f t="shared" si="232"/>
        <v>0</v>
      </c>
      <c r="AL89" s="15"/>
      <c r="AM89" s="10">
        <f t="shared" si="233"/>
        <v>0</v>
      </c>
      <c r="AN89" s="15"/>
      <c r="AO89" s="10">
        <f t="shared" si="234"/>
        <v>0</v>
      </c>
      <c r="AP89" s="15"/>
      <c r="AQ89" s="10">
        <f t="shared" si="235"/>
        <v>0</v>
      </c>
      <c r="AR89" s="15"/>
      <c r="AS89" s="10">
        <f t="shared" si="236"/>
        <v>0</v>
      </c>
      <c r="AT89" s="15"/>
      <c r="AU89" s="10">
        <f t="shared" si="237"/>
        <v>0</v>
      </c>
      <c r="AV89" s="15"/>
      <c r="AW89" s="10">
        <f t="shared" si="238"/>
        <v>0</v>
      </c>
      <c r="AX89" s="15"/>
      <c r="AY89" s="10">
        <f t="shared" si="239"/>
        <v>0</v>
      </c>
      <c r="AZ89" s="15"/>
      <c r="BA89" s="10">
        <f t="shared" si="240"/>
        <v>0</v>
      </c>
      <c r="BB89" s="15"/>
      <c r="BC89" s="10">
        <f t="shared" si="241"/>
        <v>0</v>
      </c>
      <c r="BD89" s="15"/>
      <c r="BE89" s="10">
        <f t="shared" si="242"/>
        <v>0</v>
      </c>
      <c r="BF89" s="11">
        <f t="shared" si="190"/>
        <v>0</v>
      </c>
      <c r="BG89" s="12">
        <f t="shared" si="191"/>
        <v>0</v>
      </c>
      <c r="BH89" s="15"/>
      <c r="BI89" s="10">
        <f t="shared" si="243"/>
        <v>0</v>
      </c>
      <c r="BJ89" s="15"/>
      <c r="BK89" s="10">
        <f t="shared" si="244"/>
        <v>0</v>
      </c>
      <c r="BL89" s="15"/>
      <c r="BM89" s="10">
        <f t="shared" si="245"/>
        <v>0</v>
      </c>
      <c r="BN89" s="15"/>
      <c r="BO89" s="10">
        <f t="shared" si="246"/>
        <v>0</v>
      </c>
      <c r="BP89" s="15"/>
      <c r="BQ89" s="10">
        <f t="shared" si="247"/>
        <v>0</v>
      </c>
      <c r="BR89" s="15"/>
      <c r="BS89" s="10">
        <f t="shared" si="248"/>
        <v>0</v>
      </c>
      <c r="BT89" s="15"/>
      <c r="BU89" s="10">
        <f t="shared" si="249"/>
        <v>0</v>
      </c>
      <c r="BV89" s="15"/>
      <c r="BW89" s="10">
        <f t="shared" si="250"/>
        <v>0</v>
      </c>
      <c r="BX89" s="15"/>
      <c r="BY89" s="10">
        <f t="shared" si="251"/>
        <v>0</v>
      </c>
      <c r="BZ89" s="15"/>
      <c r="CA89" s="10">
        <f t="shared" si="252"/>
        <v>0</v>
      </c>
      <c r="CB89" s="15"/>
      <c r="CC89" s="10">
        <f t="shared" si="253"/>
        <v>0</v>
      </c>
      <c r="CD89" s="15"/>
      <c r="CE89" s="10">
        <f t="shared" si="254"/>
        <v>0</v>
      </c>
      <c r="CF89" s="11">
        <f t="shared" si="192"/>
        <v>0</v>
      </c>
      <c r="CG89" s="12">
        <f t="shared" si="193"/>
        <v>0</v>
      </c>
      <c r="CH89" s="15"/>
      <c r="CI89" s="10">
        <f t="shared" si="194"/>
        <v>0</v>
      </c>
      <c r="CJ89" s="15"/>
      <c r="CK89" s="10">
        <f t="shared" si="195"/>
        <v>0</v>
      </c>
      <c r="CL89" s="15"/>
      <c r="CM89" s="10">
        <f t="shared" si="196"/>
        <v>0</v>
      </c>
      <c r="CN89" s="15"/>
      <c r="CO89" s="10">
        <f t="shared" si="197"/>
        <v>0</v>
      </c>
      <c r="CP89" s="15"/>
      <c r="CQ89" s="10">
        <f t="shared" si="198"/>
        <v>0</v>
      </c>
      <c r="CR89" s="15"/>
      <c r="CS89" s="10">
        <f t="shared" si="199"/>
        <v>0</v>
      </c>
      <c r="CT89" s="15"/>
      <c r="CU89" s="10">
        <f t="shared" si="200"/>
        <v>0</v>
      </c>
      <c r="CV89" s="15"/>
      <c r="CW89" s="10">
        <f t="shared" si="201"/>
        <v>0</v>
      </c>
      <c r="CX89" s="15"/>
      <c r="CY89" s="10">
        <f t="shared" si="202"/>
        <v>0</v>
      </c>
      <c r="CZ89" s="15"/>
      <c r="DA89" s="10">
        <f t="shared" si="203"/>
        <v>0</v>
      </c>
      <c r="DB89" s="15"/>
      <c r="DC89" s="10">
        <f t="shared" si="204"/>
        <v>0</v>
      </c>
      <c r="DD89" s="15"/>
      <c r="DE89" s="10">
        <f t="shared" si="204"/>
        <v>0</v>
      </c>
      <c r="DF89" s="231">
        <f t="shared" si="205"/>
        <v>0</v>
      </c>
      <c r="DG89" s="230">
        <f t="shared" si="206"/>
        <v>0</v>
      </c>
      <c r="DH89" s="238"/>
      <c r="DI89" s="239">
        <f t="shared" si="307"/>
        <v>0</v>
      </c>
      <c r="DJ89" s="15"/>
      <c r="DK89" s="239">
        <f t="shared" si="308"/>
        <v>0</v>
      </c>
      <c r="DL89" s="238"/>
      <c r="DM89" s="239">
        <f t="shared" si="309"/>
        <v>0</v>
      </c>
      <c r="DN89" s="238"/>
      <c r="DO89" s="239">
        <f t="shared" si="310"/>
        <v>0</v>
      </c>
      <c r="DP89" s="238"/>
      <c r="DQ89" s="239">
        <f t="shared" si="311"/>
        <v>0</v>
      </c>
      <c r="DR89" s="238"/>
      <c r="DS89" s="239">
        <f t="shared" si="312"/>
        <v>0</v>
      </c>
      <c r="DT89" s="238"/>
      <c r="DU89" s="239">
        <f t="shared" si="313"/>
        <v>0</v>
      </c>
      <c r="DV89" s="238"/>
      <c r="DW89" s="239">
        <f t="shared" si="314"/>
        <v>0</v>
      </c>
      <c r="DX89" s="238"/>
      <c r="DY89" s="239">
        <f t="shared" si="315"/>
        <v>0</v>
      </c>
      <c r="DZ89" s="238"/>
      <c r="EA89" s="239">
        <f t="shared" si="316"/>
        <v>0</v>
      </c>
      <c r="EB89" s="238"/>
      <c r="EC89" s="239">
        <f t="shared" si="317"/>
        <v>0</v>
      </c>
      <c r="ED89" s="238"/>
      <c r="EE89" s="239">
        <f t="shared" si="318"/>
        <v>0</v>
      </c>
      <c r="EF89" s="240">
        <f t="shared" si="319"/>
        <v>0</v>
      </c>
      <c r="EG89" s="239">
        <f t="shared" si="319"/>
        <v>0</v>
      </c>
    </row>
    <row r="90" spans="1:137" ht="19.8">
      <c r="A90" s="7">
        <v>73</v>
      </c>
      <c r="B90" s="8" t="s">
        <v>74</v>
      </c>
      <c r="C90" s="8" t="s">
        <v>11</v>
      </c>
      <c r="D90" s="7">
        <f>RANK(DF90,$DF$4:$DF$147)</f>
        <v>31</v>
      </c>
      <c r="E90" s="7">
        <v>0.64</v>
      </c>
      <c r="F90" s="7" t="s">
        <v>22</v>
      </c>
      <c r="G90" s="7"/>
      <c r="H90" s="15"/>
      <c r="I90" s="10">
        <f t="shared" si="220"/>
        <v>0</v>
      </c>
      <c r="J90" s="15"/>
      <c r="K90" s="10">
        <f t="shared" si="221"/>
        <v>0</v>
      </c>
      <c r="L90" s="15"/>
      <c r="M90" s="10">
        <f t="shared" si="222"/>
        <v>0</v>
      </c>
      <c r="N90" s="15"/>
      <c r="O90" s="10">
        <f t="shared" si="223"/>
        <v>0</v>
      </c>
      <c r="P90" s="15"/>
      <c r="Q90" s="10">
        <f t="shared" si="224"/>
        <v>0</v>
      </c>
      <c r="R90" s="15"/>
      <c r="S90" s="10">
        <f t="shared" si="280"/>
        <v>0</v>
      </c>
      <c r="T90" s="15"/>
      <c r="U90" s="10">
        <f t="shared" si="225"/>
        <v>0</v>
      </c>
      <c r="V90" s="15"/>
      <c r="W90" s="10">
        <f t="shared" si="226"/>
        <v>0</v>
      </c>
      <c r="X90" s="15"/>
      <c r="Y90" s="10">
        <f t="shared" si="227"/>
        <v>0</v>
      </c>
      <c r="Z90" s="15"/>
      <c r="AA90" s="10">
        <f t="shared" si="228"/>
        <v>0</v>
      </c>
      <c r="AB90" s="15"/>
      <c r="AC90" s="10">
        <f t="shared" si="229"/>
        <v>0</v>
      </c>
      <c r="AD90" s="15"/>
      <c r="AE90" s="10">
        <f t="shared" si="230"/>
        <v>0</v>
      </c>
      <c r="AF90" s="11">
        <f t="shared" si="266"/>
        <v>0</v>
      </c>
      <c r="AG90" s="12">
        <f t="shared" si="189"/>
        <v>0</v>
      </c>
      <c r="AH90" s="15"/>
      <c r="AI90" s="10">
        <f t="shared" si="231"/>
        <v>0</v>
      </c>
      <c r="AJ90" s="15"/>
      <c r="AK90" s="10">
        <f t="shared" si="232"/>
        <v>0</v>
      </c>
      <c r="AL90" s="15"/>
      <c r="AM90" s="10">
        <f t="shared" si="233"/>
        <v>0</v>
      </c>
      <c r="AN90" s="15"/>
      <c r="AO90" s="10">
        <f t="shared" si="234"/>
        <v>0</v>
      </c>
      <c r="AP90" s="15"/>
      <c r="AQ90" s="10">
        <f t="shared" si="235"/>
        <v>0</v>
      </c>
      <c r="AR90" s="15"/>
      <c r="AS90" s="10">
        <f t="shared" si="236"/>
        <v>0</v>
      </c>
      <c r="AT90" s="15"/>
      <c r="AU90" s="10">
        <f t="shared" si="237"/>
        <v>0</v>
      </c>
      <c r="AV90" s="15"/>
      <c r="AW90" s="10">
        <f t="shared" si="238"/>
        <v>0</v>
      </c>
      <c r="AX90" s="15"/>
      <c r="AY90" s="10">
        <f t="shared" si="239"/>
        <v>0</v>
      </c>
      <c r="AZ90" s="15"/>
      <c r="BA90" s="10">
        <f t="shared" si="240"/>
        <v>0</v>
      </c>
      <c r="BB90" s="15"/>
      <c r="BC90" s="10">
        <f t="shared" si="241"/>
        <v>0</v>
      </c>
      <c r="BD90" s="15"/>
      <c r="BE90" s="10">
        <f t="shared" si="242"/>
        <v>0</v>
      </c>
      <c r="BF90" s="11">
        <f t="shared" si="190"/>
        <v>0</v>
      </c>
      <c r="BG90" s="12">
        <f t="shared" si="191"/>
        <v>0</v>
      </c>
      <c r="BH90" s="15"/>
      <c r="BI90" s="10">
        <f t="shared" si="243"/>
        <v>0</v>
      </c>
      <c r="BJ90" s="15"/>
      <c r="BK90" s="10">
        <f t="shared" si="244"/>
        <v>0</v>
      </c>
      <c r="BL90" s="15"/>
      <c r="BM90" s="10">
        <f t="shared" si="245"/>
        <v>0</v>
      </c>
      <c r="BN90" s="15"/>
      <c r="BO90" s="10">
        <f t="shared" si="246"/>
        <v>0</v>
      </c>
      <c r="BP90" s="15"/>
      <c r="BQ90" s="10">
        <f t="shared" si="247"/>
        <v>0</v>
      </c>
      <c r="BR90" s="15"/>
      <c r="BS90" s="10">
        <f t="shared" si="248"/>
        <v>0</v>
      </c>
      <c r="BT90" s="15"/>
      <c r="BU90" s="10">
        <f t="shared" si="249"/>
        <v>0</v>
      </c>
      <c r="BV90" s="15"/>
      <c r="BW90" s="10">
        <f t="shared" si="250"/>
        <v>0</v>
      </c>
      <c r="BX90" s="15"/>
      <c r="BY90" s="10">
        <f t="shared" si="251"/>
        <v>0</v>
      </c>
      <c r="BZ90" s="15"/>
      <c r="CA90" s="10">
        <f t="shared" si="252"/>
        <v>0</v>
      </c>
      <c r="CB90" s="15"/>
      <c r="CC90" s="10">
        <f t="shared" si="253"/>
        <v>0</v>
      </c>
      <c r="CD90" s="15"/>
      <c r="CE90" s="10">
        <f t="shared" si="254"/>
        <v>0</v>
      </c>
      <c r="CF90" s="11">
        <f t="shared" si="192"/>
        <v>0</v>
      </c>
      <c r="CG90" s="12">
        <f t="shared" si="193"/>
        <v>0</v>
      </c>
      <c r="CH90" s="15"/>
      <c r="CI90" s="10">
        <f t="shared" si="194"/>
        <v>0</v>
      </c>
      <c r="CJ90" s="15"/>
      <c r="CK90" s="10">
        <f t="shared" si="195"/>
        <v>0</v>
      </c>
      <c r="CL90" s="15"/>
      <c r="CM90" s="10">
        <f t="shared" si="196"/>
        <v>0</v>
      </c>
      <c r="CN90" s="15"/>
      <c r="CO90" s="10">
        <f t="shared" si="197"/>
        <v>0</v>
      </c>
      <c r="CP90" s="15"/>
      <c r="CQ90" s="10">
        <f t="shared" si="198"/>
        <v>0</v>
      </c>
      <c r="CR90" s="15"/>
      <c r="CS90" s="10">
        <f t="shared" si="199"/>
        <v>0</v>
      </c>
      <c r="CT90" s="15"/>
      <c r="CU90" s="10">
        <f t="shared" si="200"/>
        <v>0</v>
      </c>
      <c r="CV90" s="15"/>
      <c r="CW90" s="10">
        <f t="shared" si="201"/>
        <v>0</v>
      </c>
      <c r="CX90" s="15"/>
      <c r="CY90" s="10">
        <f t="shared" si="202"/>
        <v>0</v>
      </c>
      <c r="CZ90" s="15"/>
      <c r="DA90" s="10">
        <f t="shared" si="203"/>
        <v>0</v>
      </c>
      <c r="DB90" s="15"/>
      <c r="DC90" s="10">
        <f t="shared" si="204"/>
        <v>0</v>
      </c>
      <c r="DD90" s="15"/>
      <c r="DE90" s="10">
        <f t="shared" si="204"/>
        <v>0</v>
      </c>
      <c r="DF90" s="231">
        <f t="shared" si="205"/>
        <v>0</v>
      </c>
      <c r="DG90" s="230">
        <f t="shared" si="206"/>
        <v>0</v>
      </c>
      <c r="DH90" s="238"/>
      <c r="DI90" s="239">
        <f t="shared" si="307"/>
        <v>0</v>
      </c>
      <c r="DJ90" s="15"/>
      <c r="DK90" s="239">
        <f t="shared" si="308"/>
        <v>0</v>
      </c>
      <c r="DL90" s="238"/>
      <c r="DM90" s="239">
        <f t="shared" si="309"/>
        <v>0</v>
      </c>
      <c r="DN90" s="238"/>
      <c r="DO90" s="239">
        <f t="shared" si="310"/>
        <v>0</v>
      </c>
      <c r="DP90" s="238"/>
      <c r="DQ90" s="239">
        <f t="shared" si="311"/>
        <v>0</v>
      </c>
      <c r="DR90" s="238"/>
      <c r="DS90" s="239">
        <f t="shared" si="312"/>
        <v>0</v>
      </c>
      <c r="DT90" s="238"/>
      <c r="DU90" s="239">
        <f t="shared" si="313"/>
        <v>0</v>
      </c>
      <c r="DV90" s="238"/>
      <c r="DW90" s="239">
        <f t="shared" si="314"/>
        <v>0</v>
      </c>
      <c r="DX90" s="238"/>
      <c r="DY90" s="239">
        <f t="shared" si="315"/>
        <v>0</v>
      </c>
      <c r="DZ90" s="238"/>
      <c r="EA90" s="239">
        <f t="shared" si="316"/>
        <v>0</v>
      </c>
      <c r="EB90" s="238"/>
      <c r="EC90" s="239">
        <f t="shared" si="317"/>
        <v>0</v>
      </c>
      <c r="ED90" s="238"/>
      <c r="EE90" s="239">
        <f t="shared" si="318"/>
        <v>0</v>
      </c>
      <c r="EF90" s="240">
        <f t="shared" si="319"/>
        <v>0</v>
      </c>
      <c r="EG90" s="239">
        <f t="shared" si="319"/>
        <v>0</v>
      </c>
    </row>
    <row r="91" spans="1:137" ht="19.8">
      <c r="A91" s="7"/>
      <c r="B91" s="8"/>
      <c r="C91" s="8"/>
      <c r="D91" s="7"/>
      <c r="E91" s="7"/>
      <c r="F91" s="7"/>
      <c r="G91" s="7"/>
      <c r="H91" s="15"/>
      <c r="I91" s="10">
        <f t="shared" si="220"/>
        <v>0</v>
      </c>
      <c r="J91" s="15"/>
      <c r="K91" s="10">
        <f t="shared" si="221"/>
        <v>0</v>
      </c>
      <c r="L91" s="15"/>
      <c r="M91" s="10">
        <f t="shared" si="222"/>
        <v>0</v>
      </c>
      <c r="N91" s="15"/>
      <c r="O91" s="10">
        <f t="shared" si="223"/>
        <v>0</v>
      </c>
      <c r="P91" s="15"/>
      <c r="Q91" s="10">
        <f t="shared" si="224"/>
        <v>0</v>
      </c>
      <c r="R91" s="15"/>
      <c r="S91" s="10">
        <f t="shared" si="280"/>
        <v>0</v>
      </c>
      <c r="T91" s="15"/>
      <c r="U91" s="10">
        <f t="shared" si="225"/>
        <v>0</v>
      </c>
      <c r="V91" s="15"/>
      <c r="W91" s="10">
        <f t="shared" si="226"/>
        <v>0</v>
      </c>
      <c r="X91" s="15"/>
      <c r="Y91" s="10">
        <f t="shared" si="227"/>
        <v>0</v>
      </c>
      <c r="Z91" s="15"/>
      <c r="AA91" s="10">
        <f t="shared" si="228"/>
        <v>0</v>
      </c>
      <c r="AB91" s="15"/>
      <c r="AC91" s="10">
        <f t="shared" si="229"/>
        <v>0</v>
      </c>
      <c r="AD91" s="15"/>
      <c r="AE91" s="10">
        <f t="shared" si="230"/>
        <v>0</v>
      </c>
      <c r="AF91" s="11">
        <f t="shared" si="266"/>
        <v>0</v>
      </c>
      <c r="AG91" s="12">
        <f t="shared" si="189"/>
        <v>0</v>
      </c>
      <c r="AH91" s="15"/>
      <c r="AI91" s="10">
        <f t="shared" si="231"/>
        <v>0</v>
      </c>
      <c r="AJ91" s="15"/>
      <c r="AK91" s="10">
        <f t="shared" si="232"/>
        <v>0</v>
      </c>
      <c r="AL91" s="15"/>
      <c r="AM91" s="10">
        <f t="shared" si="233"/>
        <v>0</v>
      </c>
      <c r="AN91" s="15"/>
      <c r="AO91" s="10">
        <f t="shared" si="234"/>
        <v>0</v>
      </c>
      <c r="AP91" s="15"/>
      <c r="AQ91" s="10">
        <f t="shared" si="235"/>
        <v>0</v>
      </c>
      <c r="AR91" s="15"/>
      <c r="AS91" s="10">
        <f t="shared" si="236"/>
        <v>0</v>
      </c>
      <c r="AT91" s="15"/>
      <c r="AU91" s="10">
        <f t="shared" si="237"/>
        <v>0</v>
      </c>
      <c r="AV91" s="15"/>
      <c r="AW91" s="10">
        <f t="shared" si="238"/>
        <v>0</v>
      </c>
      <c r="AX91" s="15"/>
      <c r="AY91" s="10">
        <f t="shared" si="239"/>
        <v>0</v>
      </c>
      <c r="AZ91" s="15"/>
      <c r="BA91" s="10">
        <f t="shared" si="240"/>
        <v>0</v>
      </c>
      <c r="BB91" s="15"/>
      <c r="BC91" s="10">
        <f t="shared" si="241"/>
        <v>0</v>
      </c>
      <c r="BD91" s="15"/>
      <c r="BE91" s="10">
        <f t="shared" si="242"/>
        <v>0</v>
      </c>
      <c r="BF91" s="11">
        <f t="shared" si="190"/>
        <v>0</v>
      </c>
      <c r="BG91" s="12">
        <f t="shared" si="191"/>
        <v>0</v>
      </c>
      <c r="BH91" s="15"/>
      <c r="BI91" s="10">
        <f t="shared" si="243"/>
        <v>0</v>
      </c>
      <c r="BJ91" s="15"/>
      <c r="BK91" s="10">
        <f t="shared" si="244"/>
        <v>0</v>
      </c>
      <c r="BL91" s="15"/>
      <c r="BM91" s="10">
        <f t="shared" si="245"/>
        <v>0</v>
      </c>
      <c r="BN91" s="15"/>
      <c r="BO91" s="10">
        <f t="shared" si="246"/>
        <v>0</v>
      </c>
      <c r="BP91" s="15"/>
      <c r="BQ91" s="10">
        <f t="shared" si="247"/>
        <v>0</v>
      </c>
      <c r="BR91" s="15"/>
      <c r="BS91" s="10">
        <f t="shared" si="248"/>
        <v>0</v>
      </c>
      <c r="BT91" s="15"/>
      <c r="BU91" s="10">
        <f t="shared" si="249"/>
        <v>0</v>
      </c>
      <c r="BV91" s="15"/>
      <c r="BW91" s="10">
        <f t="shared" si="250"/>
        <v>0</v>
      </c>
      <c r="BX91" s="15"/>
      <c r="BY91" s="10">
        <f t="shared" si="251"/>
        <v>0</v>
      </c>
      <c r="BZ91" s="15"/>
      <c r="CA91" s="10">
        <f t="shared" si="252"/>
        <v>0</v>
      </c>
      <c r="CB91" s="15"/>
      <c r="CC91" s="10">
        <f t="shared" si="253"/>
        <v>0</v>
      </c>
      <c r="CD91" s="15"/>
      <c r="CE91" s="10">
        <f t="shared" si="254"/>
        <v>0</v>
      </c>
      <c r="CF91" s="11">
        <f t="shared" si="192"/>
        <v>0</v>
      </c>
      <c r="CG91" s="12">
        <f t="shared" si="193"/>
        <v>0</v>
      </c>
      <c r="CH91" s="15"/>
      <c r="CI91" s="10">
        <f t="shared" si="194"/>
        <v>0</v>
      </c>
      <c r="CJ91" s="15"/>
      <c r="CK91" s="10">
        <f t="shared" si="195"/>
        <v>0</v>
      </c>
      <c r="CL91" s="15"/>
      <c r="CM91" s="10">
        <f t="shared" si="196"/>
        <v>0</v>
      </c>
      <c r="CN91" s="15"/>
      <c r="CO91" s="10">
        <f t="shared" si="197"/>
        <v>0</v>
      </c>
      <c r="CP91" s="15"/>
      <c r="CQ91" s="10">
        <f t="shared" si="198"/>
        <v>0</v>
      </c>
      <c r="CR91" s="15"/>
      <c r="CS91" s="10">
        <f t="shared" si="199"/>
        <v>0</v>
      </c>
      <c r="CT91" s="15"/>
      <c r="CU91" s="10">
        <f t="shared" si="200"/>
        <v>0</v>
      </c>
      <c r="CV91" s="15"/>
      <c r="CW91" s="10">
        <f t="shared" si="201"/>
        <v>0</v>
      </c>
      <c r="CX91" s="15"/>
      <c r="CY91" s="10">
        <f t="shared" si="202"/>
        <v>0</v>
      </c>
      <c r="CZ91" s="15"/>
      <c r="DA91" s="10">
        <f t="shared" si="203"/>
        <v>0</v>
      </c>
      <c r="DB91" s="15"/>
      <c r="DC91" s="10">
        <f t="shared" si="204"/>
        <v>0</v>
      </c>
      <c r="DD91" s="15"/>
      <c r="DE91" s="10">
        <f t="shared" si="204"/>
        <v>0</v>
      </c>
      <c r="DF91" s="231">
        <f t="shared" si="205"/>
        <v>0</v>
      </c>
      <c r="DG91" s="230">
        <f t="shared" si="206"/>
        <v>0</v>
      </c>
      <c r="DH91" s="238"/>
      <c r="DI91" s="239"/>
      <c r="DJ91" s="15"/>
      <c r="DK91" s="239"/>
      <c r="DL91" s="238"/>
      <c r="DM91" s="239"/>
      <c r="DN91" s="238"/>
      <c r="DO91" s="239"/>
      <c r="DP91" s="238"/>
      <c r="DQ91" s="239"/>
      <c r="DR91" s="238"/>
      <c r="DS91" s="239"/>
      <c r="DT91" s="238"/>
      <c r="DU91" s="239"/>
      <c r="DV91" s="238"/>
      <c r="DW91" s="239"/>
      <c r="DX91" s="238"/>
      <c r="DY91" s="239"/>
      <c r="DZ91" s="238"/>
      <c r="EA91" s="239"/>
      <c r="EB91" s="238"/>
      <c r="EC91" s="239"/>
      <c r="ED91" s="238"/>
      <c r="EE91" s="239"/>
      <c r="EF91" s="240"/>
      <c r="EG91" s="239"/>
    </row>
    <row r="92" spans="1:137" ht="19.8">
      <c r="A92" s="7">
        <v>74</v>
      </c>
      <c r="B92" s="8" t="s">
        <v>75</v>
      </c>
      <c r="C92" s="8" t="s">
        <v>14</v>
      </c>
      <c r="D92" s="7">
        <f>RANK(DF92,$DF$4:$DF$147)</f>
        <v>31</v>
      </c>
      <c r="E92" s="7">
        <v>1</v>
      </c>
      <c r="F92" s="7" t="s">
        <v>20</v>
      </c>
      <c r="G92" s="7"/>
      <c r="H92" s="15"/>
      <c r="I92" s="10">
        <f t="shared" si="220"/>
        <v>0</v>
      </c>
      <c r="J92" s="15"/>
      <c r="K92" s="10">
        <f t="shared" si="221"/>
        <v>0</v>
      </c>
      <c r="L92" s="15"/>
      <c r="M92" s="10">
        <f t="shared" si="222"/>
        <v>0</v>
      </c>
      <c r="N92" s="15"/>
      <c r="O92" s="10">
        <f t="shared" si="223"/>
        <v>0</v>
      </c>
      <c r="P92" s="15"/>
      <c r="Q92" s="10">
        <f t="shared" si="224"/>
        <v>0</v>
      </c>
      <c r="R92" s="15"/>
      <c r="S92" s="10">
        <f t="shared" si="280"/>
        <v>0</v>
      </c>
      <c r="T92" s="15"/>
      <c r="U92" s="10">
        <f t="shared" si="225"/>
        <v>0</v>
      </c>
      <c r="V92" s="15"/>
      <c r="W92" s="10">
        <f t="shared" si="226"/>
        <v>0</v>
      </c>
      <c r="X92" s="15"/>
      <c r="Y92" s="10">
        <f t="shared" si="227"/>
        <v>0</v>
      </c>
      <c r="Z92" s="15"/>
      <c r="AA92" s="10">
        <f t="shared" si="228"/>
        <v>0</v>
      </c>
      <c r="AB92" s="15"/>
      <c r="AC92" s="10">
        <f t="shared" si="229"/>
        <v>0</v>
      </c>
      <c r="AD92" s="15"/>
      <c r="AE92" s="10">
        <f t="shared" si="230"/>
        <v>0</v>
      </c>
      <c r="AF92" s="11">
        <f t="shared" si="266"/>
        <v>0</v>
      </c>
      <c r="AG92" s="12">
        <f t="shared" si="189"/>
        <v>0</v>
      </c>
      <c r="AH92" s="15"/>
      <c r="AI92" s="10">
        <f t="shared" si="231"/>
        <v>0</v>
      </c>
      <c r="AJ92" s="15"/>
      <c r="AK92" s="10">
        <f t="shared" si="232"/>
        <v>0</v>
      </c>
      <c r="AL92" s="15"/>
      <c r="AM92" s="10">
        <f t="shared" si="233"/>
        <v>0</v>
      </c>
      <c r="AN92" s="15"/>
      <c r="AO92" s="10">
        <f t="shared" si="234"/>
        <v>0</v>
      </c>
      <c r="AP92" s="15"/>
      <c r="AQ92" s="10">
        <f t="shared" si="235"/>
        <v>0</v>
      </c>
      <c r="AR92" s="15"/>
      <c r="AS92" s="10">
        <f t="shared" si="236"/>
        <v>0</v>
      </c>
      <c r="AT92" s="15"/>
      <c r="AU92" s="10">
        <f t="shared" si="237"/>
        <v>0</v>
      </c>
      <c r="AV92" s="15"/>
      <c r="AW92" s="10">
        <f t="shared" si="238"/>
        <v>0</v>
      </c>
      <c r="AX92" s="15"/>
      <c r="AY92" s="10">
        <f t="shared" si="239"/>
        <v>0</v>
      </c>
      <c r="AZ92" s="15"/>
      <c r="BA92" s="10">
        <f t="shared" si="240"/>
        <v>0</v>
      </c>
      <c r="BB92" s="15"/>
      <c r="BC92" s="10">
        <f t="shared" si="241"/>
        <v>0</v>
      </c>
      <c r="BD92" s="15"/>
      <c r="BE92" s="10">
        <f t="shared" si="242"/>
        <v>0</v>
      </c>
      <c r="BF92" s="11">
        <f t="shared" si="190"/>
        <v>0</v>
      </c>
      <c r="BG92" s="12">
        <f t="shared" si="191"/>
        <v>0</v>
      </c>
      <c r="BH92" s="15"/>
      <c r="BI92" s="10">
        <f t="shared" si="243"/>
        <v>0</v>
      </c>
      <c r="BJ92" s="15"/>
      <c r="BK92" s="10">
        <f t="shared" si="244"/>
        <v>0</v>
      </c>
      <c r="BL92" s="15"/>
      <c r="BM92" s="10">
        <f t="shared" si="245"/>
        <v>0</v>
      </c>
      <c r="BN92" s="15"/>
      <c r="BO92" s="10">
        <f t="shared" si="246"/>
        <v>0</v>
      </c>
      <c r="BP92" s="15"/>
      <c r="BQ92" s="10">
        <f t="shared" si="247"/>
        <v>0</v>
      </c>
      <c r="BR92" s="15"/>
      <c r="BS92" s="10">
        <f t="shared" si="248"/>
        <v>0</v>
      </c>
      <c r="BT92" s="15"/>
      <c r="BU92" s="10">
        <f t="shared" si="249"/>
        <v>0</v>
      </c>
      <c r="BV92" s="15"/>
      <c r="BW92" s="10">
        <f t="shared" si="250"/>
        <v>0</v>
      </c>
      <c r="BX92" s="15"/>
      <c r="BY92" s="10">
        <f t="shared" si="251"/>
        <v>0</v>
      </c>
      <c r="BZ92" s="15"/>
      <c r="CA92" s="10">
        <f t="shared" si="252"/>
        <v>0</v>
      </c>
      <c r="CB92" s="15"/>
      <c r="CC92" s="10">
        <f t="shared" si="253"/>
        <v>0</v>
      </c>
      <c r="CD92" s="15"/>
      <c r="CE92" s="10">
        <f t="shared" si="254"/>
        <v>0</v>
      </c>
      <c r="CF92" s="11">
        <f t="shared" si="192"/>
        <v>0</v>
      </c>
      <c r="CG92" s="12">
        <f t="shared" si="193"/>
        <v>0</v>
      </c>
      <c r="CH92" s="15"/>
      <c r="CI92" s="10">
        <f t="shared" si="194"/>
        <v>0</v>
      </c>
      <c r="CJ92" s="15"/>
      <c r="CK92" s="10">
        <f t="shared" si="195"/>
        <v>0</v>
      </c>
      <c r="CL92" s="15"/>
      <c r="CM92" s="10">
        <f t="shared" si="196"/>
        <v>0</v>
      </c>
      <c r="CN92" s="15"/>
      <c r="CO92" s="10">
        <f t="shared" si="197"/>
        <v>0</v>
      </c>
      <c r="CP92" s="15"/>
      <c r="CQ92" s="10">
        <f t="shared" si="198"/>
        <v>0</v>
      </c>
      <c r="CR92" s="15"/>
      <c r="CS92" s="10">
        <f t="shared" si="199"/>
        <v>0</v>
      </c>
      <c r="CT92" s="15"/>
      <c r="CU92" s="10">
        <f t="shared" si="200"/>
        <v>0</v>
      </c>
      <c r="CV92" s="15"/>
      <c r="CW92" s="10">
        <f t="shared" si="201"/>
        <v>0</v>
      </c>
      <c r="CX92" s="15"/>
      <c r="CY92" s="10">
        <f t="shared" si="202"/>
        <v>0</v>
      </c>
      <c r="CZ92" s="15"/>
      <c r="DA92" s="10">
        <f t="shared" si="203"/>
        <v>0</v>
      </c>
      <c r="DB92" s="15"/>
      <c r="DC92" s="10">
        <f t="shared" si="204"/>
        <v>0</v>
      </c>
      <c r="DD92" s="15"/>
      <c r="DE92" s="10">
        <f t="shared" si="204"/>
        <v>0</v>
      </c>
      <c r="DF92" s="231">
        <f t="shared" si="205"/>
        <v>0</v>
      </c>
      <c r="DG92" s="230">
        <f t="shared" si="206"/>
        <v>0</v>
      </c>
      <c r="DH92" s="238"/>
      <c r="DI92" s="239">
        <f t="shared" ref="DI92:DI95" si="320">DH92*$E92</f>
        <v>0</v>
      </c>
      <c r="DJ92" s="15"/>
      <c r="DK92" s="239">
        <f t="shared" ref="DK92:DK95" si="321">DJ92*$E92</f>
        <v>0</v>
      </c>
      <c r="DL92" s="238"/>
      <c r="DM92" s="239">
        <f t="shared" ref="DM92:DM95" si="322">DL92*$E92</f>
        <v>0</v>
      </c>
      <c r="DN92" s="238"/>
      <c r="DO92" s="239">
        <f t="shared" ref="DO92:DO95" si="323">DN92*$E92</f>
        <v>0</v>
      </c>
      <c r="DP92" s="238"/>
      <c r="DQ92" s="239">
        <f t="shared" ref="DQ92:DQ95" si="324">DP92*$E92</f>
        <v>0</v>
      </c>
      <c r="DR92" s="238"/>
      <c r="DS92" s="239">
        <f t="shared" ref="DS92:DS95" si="325">DR92*$E92</f>
        <v>0</v>
      </c>
      <c r="DT92" s="238"/>
      <c r="DU92" s="239">
        <f t="shared" ref="DU92:DU95" si="326">DT92*$E92</f>
        <v>0</v>
      </c>
      <c r="DV92" s="238"/>
      <c r="DW92" s="239">
        <f t="shared" ref="DW92:DW95" si="327">DV92*$E92</f>
        <v>0</v>
      </c>
      <c r="DX92" s="238"/>
      <c r="DY92" s="239">
        <f t="shared" ref="DY92:DY95" si="328">DX92*$E92</f>
        <v>0</v>
      </c>
      <c r="DZ92" s="238"/>
      <c r="EA92" s="239">
        <f t="shared" ref="EA92:EA95" si="329">DZ92*$E92</f>
        <v>0</v>
      </c>
      <c r="EB92" s="238"/>
      <c r="EC92" s="239">
        <f t="shared" ref="EC92:EC95" si="330">EB92*$E92</f>
        <v>0</v>
      </c>
      <c r="ED92" s="238"/>
      <c r="EE92" s="239">
        <f t="shared" ref="EE92:EE95" si="331">ED92*$E92</f>
        <v>0</v>
      </c>
      <c r="EF92" s="240">
        <f t="shared" ref="EF92:EG118" si="332">SUM(DH92,DJ92,DL92,DN92,DP92,DR92,DT92,DV92,DX92,DZ92,EB92,ED92)</f>
        <v>0</v>
      </c>
      <c r="EG92" s="239">
        <f t="shared" si="332"/>
        <v>0</v>
      </c>
    </row>
    <row r="93" spans="1:137" ht="19.8">
      <c r="A93" s="7">
        <v>75</v>
      </c>
      <c r="B93" s="8" t="s">
        <v>75</v>
      </c>
      <c r="C93" s="8" t="s">
        <v>14</v>
      </c>
      <c r="D93" s="7">
        <f>RANK(DF93,$DF$4:$DF$147)</f>
        <v>31</v>
      </c>
      <c r="E93" s="7">
        <v>1</v>
      </c>
      <c r="F93" s="7" t="s">
        <v>12</v>
      </c>
      <c r="G93" s="7"/>
      <c r="H93" s="15"/>
      <c r="I93" s="10">
        <f t="shared" si="220"/>
        <v>0</v>
      </c>
      <c r="J93" s="15"/>
      <c r="K93" s="10">
        <f t="shared" si="221"/>
        <v>0</v>
      </c>
      <c r="L93" s="15"/>
      <c r="M93" s="10">
        <f t="shared" si="222"/>
        <v>0</v>
      </c>
      <c r="N93" s="15"/>
      <c r="O93" s="10">
        <f t="shared" si="223"/>
        <v>0</v>
      </c>
      <c r="P93" s="15"/>
      <c r="Q93" s="10">
        <f t="shared" si="224"/>
        <v>0</v>
      </c>
      <c r="R93" s="15"/>
      <c r="S93" s="10">
        <f t="shared" si="280"/>
        <v>0</v>
      </c>
      <c r="T93" s="15"/>
      <c r="U93" s="10">
        <f t="shared" si="225"/>
        <v>0</v>
      </c>
      <c r="V93" s="15"/>
      <c r="W93" s="10">
        <f t="shared" si="226"/>
        <v>0</v>
      </c>
      <c r="X93" s="15"/>
      <c r="Y93" s="10">
        <f t="shared" si="227"/>
        <v>0</v>
      </c>
      <c r="Z93" s="15"/>
      <c r="AA93" s="10">
        <f t="shared" si="228"/>
        <v>0</v>
      </c>
      <c r="AB93" s="15"/>
      <c r="AC93" s="10">
        <f t="shared" si="229"/>
        <v>0</v>
      </c>
      <c r="AD93" s="15"/>
      <c r="AE93" s="10">
        <f t="shared" si="230"/>
        <v>0</v>
      </c>
      <c r="AF93" s="11">
        <f t="shared" si="266"/>
        <v>0</v>
      </c>
      <c r="AG93" s="12">
        <f t="shared" si="189"/>
        <v>0</v>
      </c>
      <c r="AH93" s="15"/>
      <c r="AI93" s="10">
        <f t="shared" si="231"/>
        <v>0</v>
      </c>
      <c r="AJ93" s="15"/>
      <c r="AK93" s="10">
        <f t="shared" si="232"/>
        <v>0</v>
      </c>
      <c r="AL93" s="15"/>
      <c r="AM93" s="10">
        <f t="shared" si="233"/>
        <v>0</v>
      </c>
      <c r="AN93" s="15"/>
      <c r="AO93" s="10">
        <f t="shared" si="234"/>
        <v>0</v>
      </c>
      <c r="AP93" s="15"/>
      <c r="AQ93" s="10">
        <f t="shared" si="235"/>
        <v>0</v>
      </c>
      <c r="AR93" s="15"/>
      <c r="AS93" s="10">
        <f t="shared" si="236"/>
        <v>0</v>
      </c>
      <c r="AT93" s="15"/>
      <c r="AU93" s="10">
        <f t="shared" si="237"/>
        <v>0</v>
      </c>
      <c r="AV93" s="15"/>
      <c r="AW93" s="10">
        <f t="shared" si="238"/>
        <v>0</v>
      </c>
      <c r="AX93" s="15"/>
      <c r="AY93" s="10">
        <f t="shared" si="239"/>
        <v>0</v>
      </c>
      <c r="AZ93" s="15"/>
      <c r="BA93" s="10">
        <f t="shared" si="240"/>
        <v>0</v>
      </c>
      <c r="BB93" s="15"/>
      <c r="BC93" s="10">
        <f t="shared" si="241"/>
        <v>0</v>
      </c>
      <c r="BD93" s="15"/>
      <c r="BE93" s="10">
        <f t="shared" si="242"/>
        <v>0</v>
      </c>
      <c r="BF93" s="11">
        <f t="shared" si="190"/>
        <v>0</v>
      </c>
      <c r="BG93" s="12">
        <f t="shared" si="191"/>
        <v>0</v>
      </c>
      <c r="BH93" s="15"/>
      <c r="BI93" s="10">
        <f t="shared" si="243"/>
        <v>0</v>
      </c>
      <c r="BJ93" s="15"/>
      <c r="BK93" s="10">
        <f t="shared" si="244"/>
        <v>0</v>
      </c>
      <c r="BL93" s="15"/>
      <c r="BM93" s="10">
        <f t="shared" si="245"/>
        <v>0</v>
      </c>
      <c r="BN93" s="15"/>
      <c r="BO93" s="10">
        <f t="shared" si="246"/>
        <v>0</v>
      </c>
      <c r="BP93" s="15"/>
      <c r="BQ93" s="10">
        <f t="shared" si="247"/>
        <v>0</v>
      </c>
      <c r="BR93" s="15"/>
      <c r="BS93" s="10">
        <f t="shared" si="248"/>
        <v>0</v>
      </c>
      <c r="BT93" s="15"/>
      <c r="BU93" s="10">
        <f t="shared" si="249"/>
        <v>0</v>
      </c>
      <c r="BV93" s="15"/>
      <c r="BW93" s="10">
        <f t="shared" si="250"/>
        <v>0</v>
      </c>
      <c r="BX93" s="15"/>
      <c r="BY93" s="10">
        <f t="shared" si="251"/>
        <v>0</v>
      </c>
      <c r="BZ93" s="15"/>
      <c r="CA93" s="10">
        <f t="shared" si="252"/>
        <v>0</v>
      </c>
      <c r="CB93" s="15"/>
      <c r="CC93" s="10">
        <f t="shared" si="253"/>
        <v>0</v>
      </c>
      <c r="CD93" s="15"/>
      <c r="CE93" s="10">
        <f t="shared" si="254"/>
        <v>0</v>
      </c>
      <c r="CF93" s="11">
        <f t="shared" si="192"/>
        <v>0</v>
      </c>
      <c r="CG93" s="12">
        <f t="shared" si="193"/>
        <v>0</v>
      </c>
      <c r="CH93" s="15"/>
      <c r="CI93" s="10">
        <f t="shared" si="194"/>
        <v>0</v>
      </c>
      <c r="CJ93" s="15"/>
      <c r="CK93" s="10">
        <f t="shared" si="195"/>
        <v>0</v>
      </c>
      <c r="CL93" s="15"/>
      <c r="CM93" s="10">
        <f t="shared" si="196"/>
        <v>0</v>
      </c>
      <c r="CN93" s="15"/>
      <c r="CO93" s="10">
        <f t="shared" si="197"/>
        <v>0</v>
      </c>
      <c r="CP93" s="15"/>
      <c r="CQ93" s="10">
        <f t="shared" si="198"/>
        <v>0</v>
      </c>
      <c r="CR93" s="15"/>
      <c r="CS93" s="10">
        <f t="shared" si="199"/>
        <v>0</v>
      </c>
      <c r="CT93" s="15"/>
      <c r="CU93" s="10">
        <f t="shared" si="200"/>
        <v>0</v>
      </c>
      <c r="CV93" s="15"/>
      <c r="CW93" s="10">
        <f t="shared" si="201"/>
        <v>0</v>
      </c>
      <c r="CX93" s="15"/>
      <c r="CY93" s="10">
        <f t="shared" si="202"/>
        <v>0</v>
      </c>
      <c r="CZ93" s="15"/>
      <c r="DA93" s="10">
        <f t="shared" si="203"/>
        <v>0</v>
      </c>
      <c r="DB93" s="15"/>
      <c r="DC93" s="10">
        <f t="shared" si="204"/>
        <v>0</v>
      </c>
      <c r="DD93" s="15"/>
      <c r="DE93" s="10">
        <f t="shared" si="204"/>
        <v>0</v>
      </c>
      <c r="DF93" s="231">
        <f t="shared" si="205"/>
        <v>0</v>
      </c>
      <c r="DG93" s="230">
        <f t="shared" si="206"/>
        <v>0</v>
      </c>
      <c r="DH93" s="238"/>
      <c r="DI93" s="239">
        <f t="shared" si="320"/>
        <v>0</v>
      </c>
      <c r="DJ93" s="15"/>
      <c r="DK93" s="239">
        <f t="shared" si="321"/>
        <v>0</v>
      </c>
      <c r="DL93" s="238"/>
      <c r="DM93" s="239">
        <f t="shared" si="322"/>
        <v>0</v>
      </c>
      <c r="DN93" s="238"/>
      <c r="DO93" s="239">
        <f t="shared" si="323"/>
        <v>0</v>
      </c>
      <c r="DP93" s="238"/>
      <c r="DQ93" s="239">
        <f t="shared" si="324"/>
        <v>0</v>
      </c>
      <c r="DR93" s="238"/>
      <c r="DS93" s="239">
        <f t="shared" si="325"/>
        <v>0</v>
      </c>
      <c r="DT93" s="238"/>
      <c r="DU93" s="239">
        <f t="shared" si="326"/>
        <v>0</v>
      </c>
      <c r="DV93" s="238"/>
      <c r="DW93" s="239">
        <f t="shared" si="327"/>
        <v>0</v>
      </c>
      <c r="DX93" s="238"/>
      <c r="DY93" s="239">
        <f t="shared" si="328"/>
        <v>0</v>
      </c>
      <c r="DZ93" s="238"/>
      <c r="EA93" s="239">
        <f t="shared" si="329"/>
        <v>0</v>
      </c>
      <c r="EB93" s="238"/>
      <c r="EC93" s="239">
        <f t="shared" si="330"/>
        <v>0</v>
      </c>
      <c r="ED93" s="238"/>
      <c r="EE93" s="239">
        <f t="shared" si="331"/>
        <v>0</v>
      </c>
      <c r="EF93" s="240">
        <f t="shared" si="332"/>
        <v>0</v>
      </c>
      <c r="EG93" s="239">
        <f t="shared" si="332"/>
        <v>0</v>
      </c>
    </row>
    <row r="94" spans="1:137" ht="19.8">
      <c r="A94" s="7">
        <v>76</v>
      </c>
      <c r="B94" s="8" t="s">
        <v>76</v>
      </c>
      <c r="C94" s="8" t="s">
        <v>14</v>
      </c>
      <c r="D94" s="7">
        <f>RANK(DF94,$DF$4:$DF$147)</f>
        <v>31</v>
      </c>
      <c r="E94" s="7">
        <v>0.6</v>
      </c>
      <c r="F94" s="7" t="s">
        <v>20</v>
      </c>
      <c r="G94" s="7"/>
      <c r="H94" s="15"/>
      <c r="I94" s="10">
        <f t="shared" si="220"/>
        <v>0</v>
      </c>
      <c r="J94" s="15"/>
      <c r="K94" s="10">
        <f t="shared" si="221"/>
        <v>0</v>
      </c>
      <c r="L94" s="15"/>
      <c r="M94" s="10">
        <f t="shared" si="222"/>
        <v>0</v>
      </c>
      <c r="N94" s="15"/>
      <c r="O94" s="10">
        <f t="shared" si="223"/>
        <v>0</v>
      </c>
      <c r="P94" s="15"/>
      <c r="Q94" s="10">
        <f t="shared" si="224"/>
        <v>0</v>
      </c>
      <c r="R94" s="15"/>
      <c r="S94" s="10">
        <f t="shared" si="280"/>
        <v>0</v>
      </c>
      <c r="T94" s="15"/>
      <c r="U94" s="10">
        <f t="shared" si="225"/>
        <v>0</v>
      </c>
      <c r="V94" s="15"/>
      <c r="W94" s="10">
        <f t="shared" si="226"/>
        <v>0</v>
      </c>
      <c r="X94" s="15"/>
      <c r="Y94" s="10">
        <f t="shared" si="227"/>
        <v>0</v>
      </c>
      <c r="Z94" s="15"/>
      <c r="AA94" s="10">
        <f t="shared" si="228"/>
        <v>0</v>
      </c>
      <c r="AB94" s="15"/>
      <c r="AC94" s="10">
        <f t="shared" si="229"/>
        <v>0</v>
      </c>
      <c r="AD94" s="15"/>
      <c r="AE94" s="10">
        <f t="shared" si="230"/>
        <v>0</v>
      </c>
      <c r="AF94" s="11">
        <f t="shared" si="266"/>
        <v>0</v>
      </c>
      <c r="AG94" s="12">
        <f t="shared" si="189"/>
        <v>0</v>
      </c>
      <c r="AH94" s="15"/>
      <c r="AI94" s="10">
        <f t="shared" si="231"/>
        <v>0</v>
      </c>
      <c r="AJ94" s="15"/>
      <c r="AK94" s="10">
        <f t="shared" si="232"/>
        <v>0</v>
      </c>
      <c r="AL94" s="15"/>
      <c r="AM94" s="10">
        <f t="shared" si="233"/>
        <v>0</v>
      </c>
      <c r="AN94" s="15"/>
      <c r="AO94" s="10">
        <f t="shared" si="234"/>
        <v>0</v>
      </c>
      <c r="AP94" s="15"/>
      <c r="AQ94" s="10">
        <f t="shared" si="235"/>
        <v>0</v>
      </c>
      <c r="AR94" s="15"/>
      <c r="AS94" s="10">
        <f t="shared" si="236"/>
        <v>0</v>
      </c>
      <c r="AT94" s="15"/>
      <c r="AU94" s="10">
        <f t="shared" si="237"/>
        <v>0</v>
      </c>
      <c r="AV94" s="15"/>
      <c r="AW94" s="10">
        <f t="shared" si="238"/>
        <v>0</v>
      </c>
      <c r="AX94" s="15"/>
      <c r="AY94" s="10">
        <f t="shared" si="239"/>
        <v>0</v>
      </c>
      <c r="AZ94" s="15"/>
      <c r="BA94" s="10">
        <f t="shared" si="240"/>
        <v>0</v>
      </c>
      <c r="BB94" s="15"/>
      <c r="BC94" s="10">
        <f t="shared" si="241"/>
        <v>0</v>
      </c>
      <c r="BD94" s="15"/>
      <c r="BE94" s="10">
        <f t="shared" si="242"/>
        <v>0</v>
      </c>
      <c r="BF94" s="11">
        <f t="shared" si="190"/>
        <v>0</v>
      </c>
      <c r="BG94" s="12">
        <f t="shared" si="191"/>
        <v>0</v>
      </c>
      <c r="BH94" s="15"/>
      <c r="BI94" s="10">
        <f t="shared" si="243"/>
        <v>0</v>
      </c>
      <c r="BJ94" s="15"/>
      <c r="BK94" s="10">
        <f t="shared" si="244"/>
        <v>0</v>
      </c>
      <c r="BL94" s="15"/>
      <c r="BM94" s="10">
        <f t="shared" si="245"/>
        <v>0</v>
      </c>
      <c r="BN94" s="15"/>
      <c r="BO94" s="10">
        <f t="shared" si="246"/>
        <v>0</v>
      </c>
      <c r="BP94" s="15"/>
      <c r="BQ94" s="10">
        <f t="shared" si="247"/>
        <v>0</v>
      </c>
      <c r="BR94" s="15"/>
      <c r="BS94" s="10">
        <f t="shared" si="248"/>
        <v>0</v>
      </c>
      <c r="BT94" s="15"/>
      <c r="BU94" s="10">
        <f t="shared" si="249"/>
        <v>0</v>
      </c>
      <c r="BV94" s="15"/>
      <c r="BW94" s="10">
        <f t="shared" si="250"/>
        <v>0</v>
      </c>
      <c r="BX94" s="15"/>
      <c r="BY94" s="10">
        <f t="shared" si="251"/>
        <v>0</v>
      </c>
      <c r="BZ94" s="15"/>
      <c r="CA94" s="10">
        <f t="shared" si="252"/>
        <v>0</v>
      </c>
      <c r="CB94" s="15"/>
      <c r="CC94" s="10">
        <f t="shared" si="253"/>
        <v>0</v>
      </c>
      <c r="CD94" s="15"/>
      <c r="CE94" s="10">
        <f t="shared" si="254"/>
        <v>0</v>
      </c>
      <c r="CF94" s="11">
        <f t="shared" si="192"/>
        <v>0</v>
      </c>
      <c r="CG94" s="12">
        <f t="shared" si="193"/>
        <v>0</v>
      </c>
      <c r="CH94" s="15"/>
      <c r="CI94" s="10">
        <f t="shared" si="194"/>
        <v>0</v>
      </c>
      <c r="CJ94" s="15"/>
      <c r="CK94" s="10">
        <f t="shared" si="195"/>
        <v>0</v>
      </c>
      <c r="CL94" s="15"/>
      <c r="CM94" s="10">
        <f t="shared" si="196"/>
        <v>0</v>
      </c>
      <c r="CN94" s="15"/>
      <c r="CO94" s="10">
        <f t="shared" si="197"/>
        <v>0</v>
      </c>
      <c r="CP94" s="15"/>
      <c r="CQ94" s="10">
        <f t="shared" si="198"/>
        <v>0</v>
      </c>
      <c r="CR94" s="15"/>
      <c r="CS94" s="10">
        <f t="shared" si="199"/>
        <v>0</v>
      </c>
      <c r="CT94" s="15"/>
      <c r="CU94" s="10">
        <f t="shared" si="200"/>
        <v>0</v>
      </c>
      <c r="CV94" s="15"/>
      <c r="CW94" s="10">
        <f t="shared" si="201"/>
        <v>0</v>
      </c>
      <c r="CX94" s="15"/>
      <c r="CY94" s="10">
        <f t="shared" si="202"/>
        <v>0</v>
      </c>
      <c r="CZ94" s="15"/>
      <c r="DA94" s="10">
        <f t="shared" si="203"/>
        <v>0</v>
      </c>
      <c r="DB94" s="15"/>
      <c r="DC94" s="10">
        <f t="shared" si="204"/>
        <v>0</v>
      </c>
      <c r="DD94" s="15"/>
      <c r="DE94" s="10">
        <f t="shared" si="204"/>
        <v>0</v>
      </c>
      <c r="DF94" s="231">
        <f t="shared" si="205"/>
        <v>0</v>
      </c>
      <c r="DG94" s="230">
        <f t="shared" si="206"/>
        <v>0</v>
      </c>
      <c r="DH94" s="238"/>
      <c r="DI94" s="239">
        <f t="shared" si="320"/>
        <v>0</v>
      </c>
      <c r="DJ94" s="15"/>
      <c r="DK94" s="239">
        <f t="shared" si="321"/>
        <v>0</v>
      </c>
      <c r="DL94" s="238"/>
      <c r="DM94" s="239">
        <f t="shared" si="322"/>
        <v>0</v>
      </c>
      <c r="DN94" s="238"/>
      <c r="DO94" s="239">
        <f t="shared" si="323"/>
        <v>0</v>
      </c>
      <c r="DP94" s="238"/>
      <c r="DQ94" s="239">
        <f t="shared" si="324"/>
        <v>0</v>
      </c>
      <c r="DR94" s="238"/>
      <c r="DS94" s="239">
        <f t="shared" si="325"/>
        <v>0</v>
      </c>
      <c r="DT94" s="238"/>
      <c r="DU94" s="239">
        <f t="shared" si="326"/>
        <v>0</v>
      </c>
      <c r="DV94" s="238"/>
      <c r="DW94" s="239">
        <f t="shared" si="327"/>
        <v>0</v>
      </c>
      <c r="DX94" s="238"/>
      <c r="DY94" s="239">
        <f t="shared" si="328"/>
        <v>0</v>
      </c>
      <c r="DZ94" s="238"/>
      <c r="EA94" s="239">
        <f t="shared" si="329"/>
        <v>0</v>
      </c>
      <c r="EB94" s="238"/>
      <c r="EC94" s="239">
        <f t="shared" si="330"/>
        <v>0</v>
      </c>
      <c r="ED94" s="238"/>
      <c r="EE94" s="239">
        <f t="shared" si="331"/>
        <v>0</v>
      </c>
      <c r="EF94" s="240">
        <f t="shared" si="332"/>
        <v>0</v>
      </c>
      <c r="EG94" s="239">
        <f t="shared" si="332"/>
        <v>0</v>
      </c>
    </row>
    <row r="95" spans="1:137" ht="19.8">
      <c r="A95" s="7">
        <v>77</v>
      </c>
      <c r="B95" s="8" t="s">
        <v>77</v>
      </c>
      <c r="C95" s="8" t="s">
        <v>11</v>
      </c>
      <c r="D95" s="7">
        <f>RANK(DF95,$DF$4:$DF$147)</f>
        <v>31</v>
      </c>
      <c r="E95" s="7">
        <v>0.64</v>
      </c>
      <c r="F95" s="7" t="s">
        <v>22</v>
      </c>
      <c r="G95" s="7"/>
      <c r="H95" s="15"/>
      <c r="I95" s="10">
        <f t="shared" si="220"/>
        <v>0</v>
      </c>
      <c r="J95" s="15"/>
      <c r="K95" s="10">
        <f t="shared" si="221"/>
        <v>0</v>
      </c>
      <c r="L95" s="15"/>
      <c r="M95" s="10">
        <f t="shared" si="222"/>
        <v>0</v>
      </c>
      <c r="N95" s="15"/>
      <c r="O95" s="10">
        <f t="shared" si="223"/>
        <v>0</v>
      </c>
      <c r="P95" s="15"/>
      <c r="Q95" s="10">
        <f t="shared" si="224"/>
        <v>0</v>
      </c>
      <c r="R95" s="15"/>
      <c r="S95" s="10">
        <f t="shared" si="280"/>
        <v>0</v>
      </c>
      <c r="T95" s="15"/>
      <c r="U95" s="10">
        <f t="shared" si="225"/>
        <v>0</v>
      </c>
      <c r="V95" s="15"/>
      <c r="W95" s="10">
        <f t="shared" si="226"/>
        <v>0</v>
      </c>
      <c r="X95" s="15"/>
      <c r="Y95" s="10">
        <f t="shared" si="227"/>
        <v>0</v>
      </c>
      <c r="Z95" s="15"/>
      <c r="AA95" s="10">
        <f t="shared" si="228"/>
        <v>0</v>
      </c>
      <c r="AB95" s="15"/>
      <c r="AC95" s="10">
        <f t="shared" si="229"/>
        <v>0</v>
      </c>
      <c r="AD95" s="15"/>
      <c r="AE95" s="10">
        <f t="shared" si="230"/>
        <v>0</v>
      </c>
      <c r="AF95" s="11">
        <f t="shared" si="266"/>
        <v>0</v>
      </c>
      <c r="AG95" s="12">
        <f t="shared" si="189"/>
        <v>0</v>
      </c>
      <c r="AH95" s="15"/>
      <c r="AI95" s="10">
        <f t="shared" si="231"/>
        <v>0</v>
      </c>
      <c r="AJ95" s="15"/>
      <c r="AK95" s="10">
        <f t="shared" si="232"/>
        <v>0</v>
      </c>
      <c r="AL95" s="15"/>
      <c r="AM95" s="10">
        <f t="shared" si="233"/>
        <v>0</v>
      </c>
      <c r="AN95" s="15"/>
      <c r="AO95" s="10">
        <f t="shared" si="234"/>
        <v>0</v>
      </c>
      <c r="AP95" s="15"/>
      <c r="AQ95" s="10">
        <f t="shared" si="235"/>
        <v>0</v>
      </c>
      <c r="AR95" s="15"/>
      <c r="AS95" s="10">
        <f t="shared" si="236"/>
        <v>0</v>
      </c>
      <c r="AT95" s="15"/>
      <c r="AU95" s="10">
        <f t="shared" si="237"/>
        <v>0</v>
      </c>
      <c r="AV95" s="15"/>
      <c r="AW95" s="10">
        <f t="shared" si="238"/>
        <v>0</v>
      </c>
      <c r="AX95" s="15"/>
      <c r="AY95" s="10">
        <f t="shared" si="239"/>
        <v>0</v>
      </c>
      <c r="AZ95" s="15"/>
      <c r="BA95" s="10">
        <f t="shared" si="240"/>
        <v>0</v>
      </c>
      <c r="BB95" s="15"/>
      <c r="BC95" s="10">
        <f t="shared" si="241"/>
        <v>0</v>
      </c>
      <c r="BD95" s="15"/>
      <c r="BE95" s="10">
        <f t="shared" si="242"/>
        <v>0</v>
      </c>
      <c r="BF95" s="11">
        <f t="shared" si="190"/>
        <v>0</v>
      </c>
      <c r="BG95" s="12">
        <f t="shared" si="191"/>
        <v>0</v>
      </c>
      <c r="BH95" s="15"/>
      <c r="BI95" s="10">
        <f t="shared" si="243"/>
        <v>0</v>
      </c>
      <c r="BJ95" s="15"/>
      <c r="BK95" s="10">
        <f t="shared" si="244"/>
        <v>0</v>
      </c>
      <c r="BL95" s="15"/>
      <c r="BM95" s="10">
        <f t="shared" si="245"/>
        <v>0</v>
      </c>
      <c r="BN95" s="15"/>
      <c r="BO95" s="10">
        <f t="shared" si="246"/>
        <v>0</v>
      </c>
      <c r="BP95" s="15"/>
      <c r="BQ95" s="10">
        <f t="shared" si="247"/>
        <v>0</v>
      </c>
      <c r="BR95" s="15"/>
      <c r="BS95" s="10">
        <f t="shared" si="248"/>
        <v>0</v>
      </c>
      <c r="BT95" s="15"/>
      <c r="BU95" s="10">
        <f t="shared" si="249"/>
        <v>0</v>
      </c>
      <c r="BV95" s="15"/>
      <c r="BW95" s="10">
        <f t="shared" si="250"/>
        <v>0</v>
      </c>
      <c r="BX95" s="15"/>
      <c r="BY95" s="10">
        <f t="shared" si="251"/>
        <v>0</v>
      </c>
      <c r="BZ95" s="15"/>
      <c r="CA95" s="10">
        <f t="shared" si="252"/>
        <v>0</v>
      </c>
      <c r="CB95" s="15"/>
      <c r="CC95" s="10">
        <f t="shared" si="253"/>
        <v>0</v>
      </c>
      <c r="CD95" s="15"/>
      <c r="CE95" s="10">
        <f t="shared" si="254"/>
        <v>0</v>
      </c>
      <c r="CF95" s="11">
        <f t="shared" si="192"/>
        <v>0</v>
      </c>
      <c r="CG95" s="12">
        <f t="shared" si="193"/>
        <v>0</v>
      </c>
      <c r="CH95" s="15"/>
      <c r="CI95" s="10">
        <f t="shared" si="194"/>
        <v>0</v>
      </c>
      <c r="CJ95" s="15"/>
      <c r="CK95" s="10">
        <f t="shared" si="195"/>
        <v>0</v>
      </c>
      <c r="CL95" s="15"/>
      <c r="CM95" s="10">
        <f t="shared" si="196"/>
        <v>0</v>
      </c>
      <c r="CN95" s="15"/>
      <c r="CO95" s="10">
        <f t="shared" si="197"/>
        <v>0</v>
      </c>
      <c r="CP95" s="15"/>
      <c r="CQ95" s="10">
        <f t="shared" si="198"/>
        <v>0</v>
      </c>
      <c r="CR95" s="15"/>
      <c r="CS95" s="10">
        <f t="shared" si="199"/>
        <v>0</v>
      </c>
      <c r="CT95" s="15"/>
      <c r="CU95" s="10">
        <f t="shared" si="200"/>
        <v>0</v>
      </c>
      <c r="CV95" s="15"/>
      <c r="CW95" s="10">
        <f t="shared" si="201"/>
        <v>0</v>
      </c>
      <c r="CX95" s="15"/>
      <c r="CY95" s="10">
        <f t="shared" si="202"/>
        <v>0</v>
      </c>
      <c r="CZ95" s="15"/>
      <c r="DA95" s="10">
        <f t="shared" si="203"/>
        <v>0</v>
      </c>
      <c r="DB95" s="15"/>
      <c r="DC95" s="10">
        <f t="shared" si="204"/>
        <v>0</v>
      </c>
      <c r="DD95" s="15"/>
      <c r="DE95" s="10">
        <f t="shared" si="204"/>
        <v>0</v>
      </c>
      <c r="DF95" s="231">
        <f t="shared" si="205"/>
        <v>0</v>
      </c>
      <c r="DG95" s="230">
        <f t="shared" si="206"/>
        <v>0</v>
      </c>
      <c r="DH95" s="238"/>
      <c r="DI95" s="239">
        <f t="shared" si="320"/>
        <v>0</v>
      </c>
      <c r="DJ95" s="15"/>
      <c r="DK95" s="239">
        <f t="shared" si="321"/>
        <v>0</v>
      </c>
      <c r="DL95" s="238"/>
      <c r="DM95" s="239">
        <f t="shared" si="322"/>
        <v>0</v>
      </c>
      <c r="DN95" s="238"/>
      <c r="DO95" s="239">
        <f t="shared" si="323"/>
        <v>0</v>
      </c>
      <c r="DP95" s="238"/>
      <c r="DQ95" s="239">
        <f t="shared" si="324"/>
        <v>0</v>
      </c>
      <c r="DR95" s="238"/>
      <c r="DS95" s="239">
        <f t="shared" si="325"/>
        <v>0</v>
      </c>
      <c r="DT95" s="238"/>
      <c r="DU95" s="239">
        <f t="shared" si="326"/>
        <v>0</v>
      </c>
      <c r="DV95" s="238"/>
      <c r="DW95" s="239">
        <f t="shared" si="327"/>
        <v>0</v>
      </c>
      <c r="DX95" s="238"/>
      <c r="DY95" s="239">
        <f t="shared" si="328"/>
        <v>0</v>
      </c>
      <c r="DZ95" s="238"/>
      <c r="EA95" s="239">
        <f t="shared" si="329"/>
        <v>0</v>
      </c>
      <c r="EB95" s="238"/>
      <c r="EC95" s="239">
        <f t="shared" si="330"/>
        <v>0</v>
      </c>
      <c r="ED95" s="238"/>
      <c r="EE95" s="239">
        <f t="shared" si="331"/>
        <v>0</v>
      </c>
      <c r="EF95" s="240">
        <f t="shared" si="332"/>
        <v>0</v>
      </c>
      <c r="EG95" s="239">
        <f t="shared" si="332"/>
        <v>0</v>
      </c>
    </row>
    <row r="96" spans="1:137" ht="19.8">
      <c r="A96" s="7"/>
      <c r="B96" s="8"/>
      <c r="C96" s="8"/>
      <c r="D96" s="7"/>
      <c r="E96" s="7"/>
      <c r="F96" s="7"/>
      <c r="G96" s="7"/>
      <c r="H96" s="15"/>
      <c r="I96" s="10"/>
      <c r="J96" s="15"/>
      <c r="K96" s="10"/>
      <c r="L96" s="15"/>
      <c r="M96" s="10"/>
      <c r="N96" s="15"/>
      <c r="O96" s="10"/>
      <c r="P96" s="15"/>
      <c r="Q96" s="10"/>
      <c r="R96" s="15"/>
      <c r="S96" s="10">
        <f>R96*$E96</f>
        <v>0</v>
      </c>
      <c r="T96" s="15"/>
      <c r="U96" s="10"/>
      <c r="V96" s="15"/>
      <c r="W96" s="10"/>
      <c r="X96" s="15"/>
      <c r="Y96" s="10"/>
      <c r="Z96" s="15"/>
      <c r="AA96" s="10"/>
      <c r="AB96" s="15"/>
      <c r="AC96" s="10"/>
      <c r="AD96" s="15"/>
      <c r="AE96" s="10"/>
      <c r="AF96" s="11">
        <f t="shared" si="266"/>
        <v>0</v>
      </c>
      <c r="AG96" s="12">
        <f t="shared" si="189"/>
        <v>0</v>
      </c>
      <c r="AH96" s="15"/>
      <c r="AI96" s="10"/>
      <c r="AJ96" s="15"/>
      <c r="AK96" s="10"/>
      <c r="AL96" s="15"/>
      <c r="AM96" s="10"/>
      <c r="AN96" s="15"/>
      <c r="AO96" s="10"/>
      <c r="AP96" s="15"/>
      <c r="AQ96" s="10"/>
      <c r="AR96" s="15"/>
      <c r="AS96" s="10"/>
      <c r="AT96" s="15"/>
      <c r="AU96" s="10"/>
      <c r="AV96" s="15"/>
      <c r="AW96" s="10"/>
      <c r="AX96" s="15"/>
      <c r="AY96" s="10"/>
      <c r="AZ96" s="15"/>
      <c r="BA96" s="10"/>
      <c r="BB96" s="15"/>
      <c r="BC96" s="10"/>
      <c r="BD96" s="15"/>
      <c r="BE96" s="10"/>
      <c r="BF96" s="11">
        <f t="shared" si="190"/>
        <v>0</v>
      </c>
      <c r="BG96" s="12">
        <f t="shared" si="191"/>
        <v>0</v>
      </c>
      <c r="BH96" s="15"/>
      <c r="BI96" s="10"/>
      <c r="BJ96" s="15"/>
      <c r="BK96" s="10"/>
      <c r="BL96" s="15"/>
      <c r="BM96" s="10"/>
      <c r="BN96" s="15"/>
      <c r="BO96" s="10"/>
      <c r="BP96" s="15"/>
      <c r="BQ96" s="10"/>
      <c r="BR96" s="15"/>
      <c r="BS96" s="10"/>
      <c r="BT96" s="15"/>
      <c r="BU96" s="10"/>
      <c r="BV96" s="15"/>
      <c r="BW96" s="10"/>
      <c r="BX96" s="15"/>
      <c r="BY96" s="10"/>
      <c r="BZ96" s="15"/>
      <c r="CA96" s="10"/>
      <c r="CB96" s="15"/>
      <c r="CC96" s="10"/>
      <c r="CD96" s="15"/>
      <c r="CE96" s="10"/>
      <c r="CF96" s="11">
        <f t="shared" si="192"/>
        <v>0</v>
      </c>
      <c r="CG96" s="12">
        <f t="shared" si="193"/>
        <v>0</v>
      </c>
      <c r="CH96" s="15"/>
      <c r="CI96" s="10">
        <f t="shared" si="194"/>
        <v>0</v>
      </c>
      <c r="CJ96" s="15"/>
      <c r="CK96" s="10">
        <f t="shared" si="195"/>
        <v>0</v>
      </c>
      <c r="CL96" s="15"/>
      <c r="CM96" s="10">
        <f t="shared" si="196"/>
        <v>0</v>
      </c>
      <c r="CN96" s="15"/>
      <c r="CO96" s="10">
        <f t="shared" si="197"/>
        <v>0</v>
      </c>
      <c r="CP96" s="15"/>
      <c r="CQ96" s="10">
        <f t="shared" si="198"/>
        <v>0</v>
      </c>
      <c r="CR96" s="15"/>
      <c r="CS96" s="10">
        <f t="shared" si="199"/>
        <v>0</v>
      </c>
      <c r="CT96" s="15"/>
      <c r="CU96" s="10">
        <f t="shared" si="200"/>
        <v>0</v>
      </c>
      <c r="CV96" s="15"/>
      <c r="CW96" s="10">
        <f t="shared" si="201"/>
        <v>0</v>
      </c>
      <c r="CX96" s="15"/>
      <c r="CY96" s="10">
        <f t="shared" si="202"/>
        <v>0</v>
      </c>
      <c r="CZ96" s="15"/>
      <c r="DA96" s="10">
        <f t="shared" si="203"/>
        <v>0</v>
      </c>
      <c r="DB96" s="15"/>
      <c r="DC96" s="10">
        <f t="shared" si="204"/>
        <v>0</v>
      </c>
      <c r="DD96" s="15"/>
      <c r="DE96" s="10">
        <f t="shared" si="204"/>
        <v>0</v>
      </c>
      <c r="DF96" s="231">
        <f t="shared" si="205"/>
        <v>0</v>
      </c>
      <c r="DG96" s="230">
        <f t="shared" si="206"/>
        <v>0</v>
      </c>
      <c r="DH96" s="238"/>
      <c r="DI96" s="239"/>
      <c r="DJ96" s="15"/>
      <c r="DK96" s="239"/>
      <c r="DL96" s="238"/>
      <c r="DM96" s="239"/>
      <c r="DN96" s="238"/>
      <c r="DO96" s="239"/>
      <c r="DP96" s="238"/>
      <c r="DQ96" s="239"/>
      <c r="DR96" s="238"/>
      <c r="DS96" s="239"/>
      <c r="DT96" s="238"/>
      <c r="DU96" s="239"/>
      <c r="DV96" s="238"/>
      <c r="DW96" s="239"/>
      <c r="DX96" s="238"/>
      <c r="DY96" s="239"/>
      <c r="DZ96" s="238"/>
      <c r="EA96" s="239"/>
      <c r="EB96" s="238"/>
      <c r="EC96" s="239"/>
      <c r="ED96" s="238"/>
      <c r="EE96" s="239"/>
      <c r="EF96" s="240">
        <f t="shared" si="332"/>
        <v>0</v>
      </c>
      <c r="EG96" s="239">
        <f t="shared" si="332"/>
        <v>0</v>
      </c>
    </row>
    <row r="97" spans="1:137" ht="19.8">
      <c r="A97" s="7">
        <v>78</v>
      </c>
      <c r="B97" s="8" t="s">
        <v>78</v>
      </c>
      <c r="C97" s="8" t="s">
        <v>14</v>
      </c>
      <c r="D97" s="7">
        <f>RANK(DF97,$DF$4:$DF$147)</f>
        <v>31</v>
      </c>
      <c r="E97" s="7">
        <v>0.75</v>
      </c>
      <c r="F97" s="7" t="s">
        <v>35</v>
      </c>
      <c r="G97" s="7"/>
      <c r="H97" s="15"/>
      <c r="I97" s="10"/>
      <c r="J97" s="15"/>
      <c r="K97" s="10"/>
      <c r="L97" s="15"/>
      <c r="M97" s="10"/>
      <c r="N97" s="15"/>
      <c r="O97" s="10"/>
      <c r="P97" s="15"/>
      <c r="Q97" s="10"/>
      <c r="R97" s="15"/>
      <c r="S97" s="10">
        <f t="shared" ref="S97:S113" si="333">R97*$E97</f>
        <v>0</v>
      </c>
      <c r="T97" s="15"/>
      <c r="U97" s="10"/>
      <c r="V97" s="15"/>
      <c r="W97" s="10"/>
      <c r="X97" s="15"/>
      <c r="Y97" s="10"/>
      <c r="Z97" s="15"/>
      <c r="AA97" s="10"/>
      <c r="AB97" s="15"/>
      <c r="AC97" s="10"/>
      <c r="AD97" s="15"/>
      <c r="AE97" s="10"/>
      <c r="AF97" s="11">
        <f t="shared" si="266"/>
        <v>0</v>
      </c>
      <c r="AG97" s="12">
        <f t="shared" si="189"/>
        <v>0</v>
      </c>
      <c r="AH97" s="15"/>
      <c r="AI97" s="10"/>
      <c r="AJ97" s="15"/>
      <c r="AK97" s="10"/>
      <c r="AL97" s="15"/>
      <c r="AM97" s="10"/>
      <c r="AN97" s="15"/>
      <c r="AO97" s="10"/>
      <c r="AP97" s="15"/>
      <c r="AQ97" s="10"/>
      <c r="AR97" s="15"/>
      <c r="AS97" s="10"/>
      <c r="AT97" s="15"/>
      <c r="AU97" s="10"/>
      <c r="AV97" s="15"/>
      <c r="AW97" s="10"/>
      <c r="AX97" s="15"/>
      <c r="AY97" s="10"/>
      <c r="AZ97" s="15"/>
      <c r="BA97" s="10"/>
      <c r="BB97" s="15"/>
      <c r="BC97" s="10"/>
      <c r="BD97" s="15"/>
      <c r="BE97" s="10"/>
      <c r="BF97" s="11">
        <f t="shared" si="190"/>
        <v>0</v>
      </c>
      <c r="BG97" s="12">
        <f t="shared" si="191"/>
        <v>0</v>
      </c>
      <c r="BH97" s="15"/>
      <c r="BI97" s="10"/>
      <c r="BJ97" s="15"/>
      <c r="BK97" s="10"/>
      <c r="BL97" s="15"/>
      <c r="BM97" s="10"/>
      <c r="BN97" s="15"/>
      <c r="BO97" s="10"/>
      <c r="BP97" s="15"/>
      <c r="BQ97" s="10"/>
      <c r="BR97" s="15"/>
      <c r="BS97" s="10"/>
      <c r="BT97" s="15"/>
      <c r="BU97" s="10"/>
      <c r="BV97" s="15"/>
      <c r="BW97" s="10"/>
      <c r="BX97" s="15"/>
      <c r="BY97" s="10"/>
      <c r="BZ97" s="15"/>
      <c r="CA97" s="10"/>
      <c r="CB97" s="15"/>
      <c r="CC97" s="10"/>
      <c r="CD97" s="15"/>
      <c r="CE97" s="10"/>
      <c r="CF97" s="11">
        <f t="shared" si="192"/>
        <v>0</v>
      </c>
      <c r="CG97" s="12">
        <f t="shared" si="193"/>
        <v>0</v>
      </c>
      <c r="CH97" s="15"/>
      <c r="CI97" s="10">
        <f t="shared" si="194"/>
        <v>0</v>
      </c>
      <c r="CJ97" s="15"/>
      <c r="CK97" s="10">
        <f t="shared" si="195"/>
        <v>0</v>
      </c>
      <c r="CL97" s="15"/>
      <c r="CM97" s="10">
        <f t="shared" si="196"/>
        <v>0</v>
      </c>
      <c r="CN97" s="15"/>
      <c r="CO97" s="10">
        <f t="shared" si="197"/>
        <v>0</v>
      </c>
      <c r="CP97" s="15"/>
      <c r="CQ97" s="10">
        <f t="shared" si="198"/>
        <v>0</v>
      </c>
      <c r="CR97" s="15"/>
      <c r="CS97" s="10">
        <f t="shared" si="199"/>
        <v>0</v>
      </c>
      <c r="CT97" s="15"/>
      <c r="CU97" s="10">
        <f t="shared" si="200"/>
        <v>0</v>
      </c>
      <c r="CV97" s="15"/>
      <c r="CW97" s="10">
        <f t="shared" si="201"/>
        <v>0</v>
      </c>
      <c r="CX97" s="15"/>
      <c r="CY97" s="10">
        <f t="shared" si="202"/>
        <v>0</v>
      </c>
      <c r="CZ97" s="15"/>
      <c r="DA97" s="10">
        <f t="shared" si="203"/>
        <v>0</v>
      </c>
      <c r="DB97" s="15"/>
      <c r="DC97" s="10">
        <f t="shared" si="204"/>
        <v>0</v>
      </c>
      <c r="DD97" s="15"/>
      <c r="DE97" s="10">
        <f t="shared" si="204"/>
        <v>0</v>
      </c>
      <c r="DF97" s="231">
        <f t="shared" si="205"/>
        <v>0</v>
      </c>
      <c r="DG97" s="230">
        <f t="shared" si="206"/>
        <v>0</v>
      </c>
      <c r="DH97" s="238"/>
      <c r="DI97" s="239"/>
      <c r="DJ97" s="15"/>
      <c r="DK97" s="239"/>
      <c r="DL97" s="238"/>
      <c r="DM97" s="239"/>
      <c r="DN97" s="238"/>
      <c r="DO97" s="239"/>
      <c r="DP97" s="238"/>
      <c r="DQ97" s="239"/>
      <c r="DR97" s="238"/>
      <c r="DS97" s="239"/>
      <c r="DT97" s="238"/>
      <c r="DU97" s="239"/>
      <c r="DV97" s="238"/>
      <c r="DW97" s="239"/>
      <c r="DX97" s="238"/>
      <c r="DY97" s="239"/>
      <c r="DZ97" s="238"/>
      <c r="EA97" s="239"/>
      <c r="EB97" s="238"/>
      <c r="EC97" s="239"/>
      <c r="ED97" s="238"/>
      <c r="EE97" s="239"/>
      <c r="EF97" s="240">
        <f t="shared" si="332"/>
        <v>0</v>
      </c>
      <c r="EG97" s="239">
        <f t="shared" si="332"/>
        <v>0</v>
      </c>
    </row>
    <row r="98" spans="1:137" ht="19.8">
      <c r="A98" s="7">
        <v>79</v>
      </c>
      <c r="B98" s="8" t="s">
        <v>78</v>
      </c>
      <c r="C98" s="8" t="s">
        <v>11</v>
      </c>
      <c r="D98" s="7">
        <f>RANK(DF98,$DF$4:$DF$147)</f>
        <v>31</v>
      </c>
      <c r="E98" s="7">
        <v>0.6</v>
      </c>
      <c r="F98" s="7" t="s">
        <v>35</v>
      </c>
      <c r="G98" s="7"/>
      <c r="H98" s="15"/>
      <c r="I98" s="10"/>
      <c r="J98" s="15"/>
      <c r="K98" s="10"/>
      <c r="L98" s="15"/>
      <c r="M98" s="10"/>
      <c r="N98" s="15"/>
      <c r="O98" s="10"/>
      <c r="P98" s="15"/>
      <c r="Q98" s="10"/>
      <c r="R98" s="15"/>
      <c r="S98" s="10">
        <f t="shared" si="333"/>
        <v>0</v>
      </c>
      <c r="T98" s="15"/>
      <c r="U98" s="10"/>
      <c r="V98" s="15"/>
      <c r="W98" s="10"/>
      <c r="X98" s="15"/>
      <c r="Y98" s="10"/>
      <c r="Z98" s="15"/>
      <c r="AA98" s="10"/>
      <c r="AB98" s="15"/>
      <c r="AC98" s="10"/>
      <c r="AD98" s="15"/>
      <c r="AE98" s="10"/>
      <c r="AF98" s="11">
        <f t="shared" si="266"/>
        <v>0</v>
      </c>
      <c r="AG98" s="12">
        <f t="shared" si="189"/>
        <v>0</v>
      </c>
      <c r="AH98" s="9"/>
      <c r="AI98" s="10"/>
      <c r="AJ98" s="9"/>
      <c r="AK98" s="10"/>
      <c r="AL98" s="9"/>
      <c r="AM98" s="10"/>
      <c r="AN98" s="9"/>
      <c r="AO98" s="10"/>
      <c r="AP98" s="9"/>
      <c r="AQ98" s="10"/>
      <c r="AR98" s="9"/>
      <c r="AS98" s="10"/>
      <c r="AT98" s="15"/>
      <c r="AU98" s="10"/>
      <c r="AV98" s="15"/>
      <c r="AW98" s="10"/>
      <c r="AX98" s="15"/>
      <c r="AY98" s="10"/>
      <c r="AZ98" s="15"/>
      <c r="BA98" s="10"/>
      <c r="BB98" s="15"/>
      <c r="BC98" s="10"/>
      <c r="BD98" s="15"/>
      <c r="BE98" s="10"/>
      <c r="BF98" s="11">
        <f t="shared" si="190"/>
        <v>0</v>
      </c>
      <c r="BG98" s="12">
        <f t="shared" si="191"/>
        <v>0</v>
      </c>
      <c r="BH98" s="15"/>
      <c r="BI98" s="10"/>
      <c r="BJ98" s="15"/>
      <c r="BK98" s="10"/>
      <c r="BL98" s="15"/>
      <c r="BM98" s="10"/>
      <c r="BN98" s="15"/>
      <c r="BO98" s="10"/>
      <c r="BP98" s="15"/>
      <c r="BQ98" s="10"/>
      <c r="BR98" s="15"/>
      <c r="BS98" s="10"/>
      <c r="BT98" s="15"/>
      <c r="BU98" s="10"/>
      <c r="BV98" s="15"/>
      <c r="BW98" s="10"/>
      <c r="BX98" s="15"/>
      <c r="BY98" s="10"/>
      <c r="BZ98" s="15"/>
      <c r="CA98" s="10"/>
      <c r="CB98" s="15"/>
      <c r="CC98" s="10"/>
      <c r="CD98" s="15"/>
      <c r="CE98" s="10"/>
      <c r="CF98" s="11">
        <f t="shared" si="192"/>
        <v>0</v>
      </c>
      <c r="CG98" s="12">
        <f t="shared" si="193"/>
        <v>0</v>
      </c>
      <c r="CH98" s="15"/>
      <c r="CI98" s="10">
        <f t="shared" si="194"/>
        <v>0</v>
      </c>
      <c r="CJ98" s="15"/>
      <c r="CK98" s="10">
        <f t="shared" si="195"/>
        <v>0</v>
      </c>
      <c r="CL98" s="15"/>
      <c r="CM98" s="10">
        <f t="shared" si="196"/>
        <v>0</v>
      </c>
      <c r="CN98" s="15"/>
      <c r="CO98" s="10">
        <f t="shared" si="197"/>
        <v>0</v>
      </c>
      <c r="CP98" s="15"/>
      <c r="CQ98" s="10">
        <f t="shared" si="198"/>
        <v>0</v>
      </c>
      <c r="CR98" s="15"/>
      <c r="CS98" s="10">
        <f t="shared" si="199"/>
        <v>0</v>
      </c>
      <c r="CT98" s="15"/>
      <c r="CU98" s="10">
        <f t="shared" si="200"/>
        <v>0</v>
      </c>
      <c r="CV98" s="15"/>
      <c r="CW98" s="10">
        <f t="shared" si="201"/>
        <v>0</v>
      </c>
      <c r="CX98" s="15"/>
      <c r="CY98" s="10">
        <f t="shared" si="202"/>
        <v>0</v>
      </c>
      <c r="CZ98" s="15"/>
      <c r="DA98" s="10">
        <f t="shared" si="203"/>
        <v>0</v>
      </c>
      <c r="DB98" s="15"/>
      <c r="DC98" s="10">
        <f t="shared" si="204"/>
        <v>0</v>
      </c>
      <c r="DD98" s="15"/>
      <c r="DE98" s="10">
        <f t="shared" si="204"/>
        <v>0</v>
      </c>
      <c r="DF98" s="231">
        <f t="shared" si="205"/>
        <v>0</v>
      </c>
      <c r="DG98" s="230">
        <f t="shared" si="206"/>
        <v>0</v>
      </c>
      <c r="DH98" s="238"/>
      <c r="DI98" s="239"/>
      <c r="DJ98" s="15"/>
      <c r="DK98" s="239"/>
      <c r="DL98" s="238"/>
      <c r="DM98" s="239"/>
      <c r="DN98" s="238"/>
      <c r="DO98" s="239"/>
      <c r="DP98" s="238"/>
      <c r="DQ98" s="239"/>
      <c r="DR98" s="238"/>
      <c r="DS98" s="239"/>
      <c r="DT98" s="238"/>
      <c r="DU98" s="239"/>
      <c r="DV98" s="238"/>
      <c r="DW98" s="239"/>
      <c r="DX98" s="238"/>
      <c r="DY98" s="239"/>
      <c r="DZ98" s="238"/>
      <c r="EA98" s="239"/>
      <c r="EB98" s="238"/>
      <c r="EC98" s="239"/>
      <c r="ED98" s="238"/>
      <c r="EE98" s="239"/>
      <c r="EF98" s="240">
        <f t="shared" si="332"/>
        <v>0</v>
      </c>
      <c r="EG98" s="239">
        <f t="shared" si="332"/>
        <v>0</v>
      </c>
    </row>
    <row r="99" spans="1:137" ht="19.8">
      <c r="A99" s="7">
        <v>80</v>
      </c>
      <c r="B99" s="8" t="s">
        <v>78</v>
      </c>
      <c r="C99" s="8" t="s">
        <v>11</v>
      </c>
      <c r="D99" s="7">
        <f>RANK(DF99,$DF$4:$DF$147)</f>
        <v>31</v>
      </c>
      <c r="E99" s="7">
        <v>0.64</v>
      </c>
      <c r="F99" s="7" t="s">
        <v>22</v>
      </c>
      <c r="G99" s="7">
        <v>600</v>
      </c>
      <c r="H99" s="15"/>
      <c r="I99" s="10">
        <f>H99*$E99</f>
        <v>0</v>
      </c>
      <c r="J99" s="15"/>
      <c r="K99" s="10">
        <f>J99*$E99</f>
        <v>0</v>
      </c>
      <c r="L99" s="15"/>
      <c r="M99" s="10">
        <f>L99*$E99</f>
        <v>0</v>
      </c>
      <c r="N99" s="15"/>
      <c r="O99" s="10">
        <f>N99*$E99</f>
        <v>0</v>
      </c>
      <c r="P99" s="15"/>
      <c r="Q99" s="10">
        <f>P99*$E99</f>
        <v>0</v>
      </c>
      <c r="R99" s="15"/>
      <c r="S99" s="10">
        <f t="shared" si="333"/>
        <v>0</v>
      </c>
      <c r="T99" s="15"/>
      <c r="U99" s="10">
        <f>T99*$E99</f>
        <v>0</v>
      </c>
      <c r="V99" s="15"/>
      <c r="W99" s="10">
        <f>V99*$E99</f>
        <v>0</v>
      </c>
      <c r="X99" s="15"/>
      <c r="Y99" s="10">
        <f>X99*$E99</f>
        <v>0</v>
      </c>
      <c r="Z99" s="15"/>
      <c r="AA99" s="10">
        <f>Z99*$E99</f>
        <v>0</v>
      </c>
      <c r="AB99" s="15"/>
      <c r="AC99" s="10">
        <f>AB99*$E99</f>
        <v>0</v>
      </c>
      <c r="AD99" s="15"/>
      <c r="AE99" s="10">
        <f>AD99*$E99</f>
        <v>0</v>
      </c>
      <c r="AF99" s="11">
        <f t="shared" si="266"/>
        <v>0</v>
      </c>
      <c r="AG99" s="12">
        <f t="shared" si="189"/>
        <v>0</v>
      </c>
      <c r="AH99" s="9">
        <v>420</v>
      </c>
      <c r="AI99" s="10">
        <f>AH99*$E99</f>
        <v>268.8</v>
      </c>
      <c r="AJ99" s="9">
        <v>13293</v>
      </c>
      <c r="AK99" s="10">
        <f>AJ99*$E99</f>
        <v>8507.52</v>
      </c>
      <c r="AL99" s="9">
        <v>49845</v>
      </c>
      <c r="AM99" s="10">
        <f>AL99*$E99</f>
        <v>31900.799999999999</v>
      </c>
      <c r="AN99" s="9">
        <v>54</v>
      </c>
      <c r="AO99" s="10">
        <f>AN99*$E99</f>
        <v>34.56</v>
      </c>
      <c r="AP99" s="9">
        <v>36</v>
      </c>
      <c r="AQ99" s="10">
        <f>AP99*$E99</f>
        <v>23.04</v>
      </c>
      <c r="AR99" s="9"/>
      <c r="AS99" s="10">
        <f>AR99*$E99</f>
        <v>0</v>
      </c>
      <c r="AT99" s="15"/>
      <c r="AU99" s="10">
        <f>AT99*$E99</f>
        <v>0</v>
      </c>
      <c r="AV99" s="15"/>
      <c r="AW99" s="10">
        <f>AV99*$E99</f>
        <v>0</v>
      </c>
      <c r="AX99" s="15"/>
      <c r="AY99" s="10">
        <f>AX99*$E99</f>
        <v>0</v>
      </c>
      <c r="AZ99" s="15"/>
      <c r="BA99" s="10">
        <f>AZ99*$E99</f>
        <v>0</v>
      </c>
      <c r="BB99" s="15"/>
      <c r="BC99" s="10">
        <f>BB99*$E99</f>
        <v>0</v>
      </c>
      <c r="BD99" s="15"/>
      <c r="BE99" s="10">
        <f>BD99*$E99</f>
        <v>0</v>
      </c>
      <c r="BF99" s="11">
        <f t="shared" si="190"/>
        <v>63648</v>
      </c>
      <c r="BG99" s="12">
        <f t="shared" si="191"/>
        <v>40734.720000000001</v>
      </c>
      <c r="BH99" s="15"/>
      <c r="BI99" s="10">
        <f>BH99*$E99</f>
        <v>0</v>
      </c>
      <c r="BJ99" s="15"/>
      <c r="BK99" s="10">
        <f>BJ99*$E99</f>
        <v>0</v>
      </c>
      <c r="BL99" s="15"/>
      <c r="BM99" s="10">
        <f>BL99*$E99</f>
        <v>0</v>
      </c>
      <c r="BN99" s="15"/>
      <c r="BO99" s="10">
        <f>BN99*$E99</f>
        <v>0</v>
      </c>
      <c r="BP99" s="15"/>
      <c r="BQ99" s="10">
        <f>BP99*$E99</f>
        <v>0</v>
      </c>
      <c r="BR99" s="15"/>
      <c r="BS99" s="10">
        <f>BR99*$E99</f>
        <v>0</v>
      </c>
      <c r="BT99" s="15"/>
      <c r="BU99" s="10">
        <f>BT99*$E99</f>
        <v>0</v>
      </c>
      <c r="BV99" s="15"/>
      <c r="BW99" s="10">
        <f>BV99*$E99</f>
        <v>0</v>
      </c>
      <c r="BX99" s="15"/>
      <c r="BY99" s="10">
        <f>BX99*$E99</f>
        <v>0</v>
      </c>
      <c r="BZ99" s="15"/>
      <c r="CA99" s="10">
        <f>BZ99*$E99</f>
        <v>0</v>
      </c>
      <c r="CB99" s="15"/>
      <c r="CC99" s="10">
        <f>CB99*$E99</f>
        <v>0</v>
      </c>
      <c r="CD99" s="15"/>
      <c r="CE99" s="10">
        <f>CD99*$E99</f>
        <v>0</v>
      </c>
      <c r="CF99" s="11">
        <f t="shared" si="192"/>
        <v>0</v>
      </c>
      <c r="CG99" s="12">
        <f t="shared" si="193"/>
        <v>0</v>
      </c>
      <c r="CH99" s="15"/>
      <c r="CI99" s="10">
        <f t="shared" si="194"/>
        <v>0</v>
      </c>
      <c r="CJ99" s="15"/>
      <c r="CK99" s="10">
        <f t="shared" si="195"/>
        <v>0</v>
      </c>
      <c r="CL99" s="15"/>
      <c r="CM99" s="10">
        <f t="shared" si="196"/>
        <v>0</v>
      </c>
      <c r="CN99" s="15"/>
      <c r="CO99" s="10">
        <f t="shared" si="197"/>
        <v>0</v>
      </c>
      <c r="CP99" s="15"/>
      <c r="CQ99" s="10">
        <f t="shared" si="198"/>
        <v>0</v>
      </c>
      <c r="CR99" s="15"/>
      <c r="CS99" s="10">
        <f t="shared" si="199"/>
        <v>0</v>
      </c>
      <c r="CT99" s="15"/>
      <c r="CU99" s="10">
        <f t="shared" si="200"/>
        <v>0</v>
      </c>
      <c r="CV99" s="15"/>
      <c r="CW99" s="10">
        <f t="shared" si="201"/>
        <v>0</v>
      </c>
      <c r="CX99" s="15"/>
      <c r="CY99" s="10">
        <f t="shared" si="202"/>
        <v>0</v>
      </c>
      <c r="CZ99" s="15"/>
      <c r="DA99" s="10">
        <f t="shared" si="203"/>
        <v>0</v>
      </c>
      <c r="DB99" s="15"/>
      <c r="DC99" s="10">
        <f t="shared" si="204"/>
        <v>0</v>
      </c>
      <c r="DD99" s="15"/>
      <c r="DE99" s="10">
        <f t="shared" si="204"/>
        <v>0</v>
      </c>
      <c r="DF99" s="231">
        <f t="shared" si="205"/>
        <v>0</v>
      </c>
      <c r="DG99" s="230">
        <f t="shared" si="206"/>
        <v>0</v>
      </c>
      <c r="DH99" s="238"/>
      <c r="DI99" s="239"/>
      <c r="DJ99" s="15"/>
      <c r="DK99" s="239"/>
      <c r="DL99" s="238"/>
      <c r="DM99" s="239"/>
      <c r="DN99" s="238"/>
      <c r="DO99" s="239"/>
      <c r="DP99" s="238"/>
      <c r="DQ99" s="239"/>
      <c r="DR99" s="238"/>
      <c r="DS99" s="239"/>
      <c r="DT99" s="238"/>
      <c r="DU99" s="239"/>
      <c r="DV99" s="238"/>
      <c r="DW99" s="239"/>
      <c r="DX99" s="238"/>
      <c r="DY99" s="239"/>
      <c r="DZ99" s="238"/>
      <c r="EA99" s="239"/>
      <c r="EB99" s="238"/>
      <c r="EC99" s="239"/>
      <c r="ED99" s="238"/>
      <c r="EE99" s="239"/>
      <c r="EF99" s="240">
        <f t="shared" si="332"/>
        <v>0</v>
      </c>
      <c r="EG99" s="239">
        <f t="shared" si="332"/>
        <v>0</v>
      </c>
    </row>
    <row r="100" spans="1:137" ht="19.8">
      <c r="A100" s="7"/>
      <c r="B100" s="8"/>
      <c r="C100" s="8"/>
      <c r="D100" s="7"/>
      <c r="E100" s="7"/>
      <c r="F100" s="7"/>
      <c r="G100" s="7"/>
      <c r="H100" s="15"/>
      <c r="I100" s="10"/>
      <c r="J100" s="15"/>
      <c r="K100" s="10"/>
      <c r="L100" s="15"/>
      <c r="M100" s="10"/>
      <c r="N100" s="15"/>
      <c r="O100" s="10"/>
      <c r="P100" s="15"/>
      <c r="Q100" s="10"/>
      <c r="R100" s="15"/>
      <c r="S100" s="10">
        <f t="shared" si="333"/>
        <v>0</v>
      </c>
      <c r="T100" s="15"/>
      <c r="U100" s="10"/>
      <c r="V100" s="15"/>
      <c r="W100" s="10"/>
      <c r="X100" s="15"/>
      <c r="Y100" s="10"/>
      <c r="Z100" s="15"/>
      <c r="AA100" s="10"/>
      <c r="AB100" s="15"/>
      <c r="AC100" s="10"/>
      <c r="AD100" s="15"/>
      <c r="AE100" s="10"/>
      <c r="AF100" s="11">
        <f t="shared" si="266"/>
        <v>0</v>
      </c>
      <c r="AG100" s="12">
        <f t="shared" si="189"/>
        <v>0</v>
      </c>
      <c r="AH100" s="9"/>
      <c r="AI100" s="10"/>
      <c r="AJ100" s="9"/>
      <c r="AK100" s="10"/>
      <c r="AL100" s="9"/>
      <c r="AM100" s="10"/>
      <c r="AN100" s="9"/>
      <c r="AO100" s="10"/>
      <c r="AP100" s="9"/>
      <c r="AQ100" s="10"/>
      <c r="AR100" s="9"/>
      <c r="AS100" s="10"/>
      <c r="AT100" s="15"/>
      <c r="AU100" s="10"/>
      <c r="AV100" s="15"/>
      <c r="AW100" s="10"/>
      <c r="AX100" s="15"/>
      <c r="AY100" s="10"/>
      <c r="AZ100" s="15"/>
      <c r="BA100" s="10"/>
      <c r="BB100" s="15"/>
      <c r="BC100" s="10"/>
      <c r="BD100" s="15"/>
      <c r="BE100" s="10"/>
      <c r="BF100" s="11">
        <f t="shared" si="190"/>
        <v>0</v>
      </c>
      <c r="BG100" s="12">
        <f t="shared" si="191"/>
        <v>0</v>
      </c>
      <c r="BH100" s="15"/>
      <c r="BI100" s="10"/>
      <c r="BJ100" s="15"/>
      <c r="BK100" s="10"/>
      <c r="BL100" s="15"/>
      <c r="BM100" s="10"/>
      <c r="BN100" s="15"/>
      <c r="BO100" s="10"/>
      <c r="BP100" s="15"/>
      <c r="BQ100" s="10"/>
      <c r="BR100" s="15"/>
      <c r="BS100" s="10"/>
      <c r="BT100" s="15"/>
      <c r="BU100" s="10"/>
      <c r="BV100" s="15"/>
      <c r="BW100" s="10"/>
      <c r="BX100" s="15"/>
      <c r="BY100" s="10"/>
      <c r="BZ100" s="15"/>
      <c r="CA100" s="10"/>
      <c r="CB100" s="15"/>
      <c r="CC100" s="10"/>
      <c r="CD100" s="15"/>
      <c r="CE100" s="10"/>
      <c r="CF100" s="11">
        <f t="shared" si="192"/>
        <v>0</v>
      </c>
      <c r="CG100" s="12">
        <f t="shared" si="193"/>
        <v>0</v>
      </c>
      <c r="CH100" s="15"/>
      <c r="CI100" s="10">
        <f t="shared" si="194"/>
        <v>0</v>
      </c>
      <c r="CJ100" s="15"/>
      <c r="CK100" s="10">
        <f t="shared" si="195"/>
        <v>0</v>
      </c>
      <c r="CL100" s="15"/>
      <c r="CM100" s="10">
        <f t="shared" si="196"/>
        <v>0</v>
      </c>
      <c r="CN100" s="15"/>
      <c r="CO100" s="10">
        <f t="shared" si="197"/>
        <v>0</v>
      </c>
      <c r="CP100" s="15"/>
      <c r="CQ100" s="10">
        <f t="shared" si="198"/>
        <v>0</v>
      </c>
      <c r="CR100" s="15"/>
      <c r="CS100" s="10">
        <f t="shared" si="199"/>
        <v>0</v>
      </c>
      <c r="CT100" s="15"/>
      <c r="CU100" s="10">
        <f t="shared" si="200"/>
        <v>0</v>
      </c>
      <c r="CV100" s="15"/>
      <c r="CW100" s="10">
        <f t="shared" si="201"/>
        <v>0</v>
      </c>
      <c r="CX100" s="15"/>
      <c r="CY100" s="10">
        <f t="shared" si="202"/>
        <v>0</v>
      </c>
      <c r="CZ100" s="15"/>
      <c r="DA100" s="10">
        <f t="shared" si="203"/>
        <v>0</v>
      </c>
      <c r="DB100" s="15"/>
      <c r="DC100" s="10">
        <f t="shared" si="204"/>
        <v>0</v>
      </c>
      <c r="DD100" s="15"/>
      <c r="DE100" s="10">
        <f t="shared" si="204"/>
        <v>0</v>
      </c>
      <c r="DF100" s="231">
        <f t="shared" si="205"/>
        <v>0</v>
      </c>
      <c r="DG100" s="230">
        <f t="shared" si="206"/>
        <v>0</v>
      </c>
      <c r="DH100" s="238"/>
      <c r="DI100" s="239"/>
      <c r="DJ100" s="15"/>
      <c r="DK100" s="239"/>
      <c r="DL100" s="238"/>
      <c r="DM100" s="239"/>
      <c r="DN100" s="238"/>
      <c r="DO100" s="239"/>
      <c r="DP100" s="238"/>
      <c r="DQ100" s="239"/>
      <c r="DR100" s="238"/>
      <c r="DS100" s="239"/>
      <c r="DT100" s="238"/>
      <c r="DU100" s="239"/>
      <c r="DV100" s="238"/>
      <c r="DW100" s="239"/>
      <c r="DX100" s="238"/>
      <c r="DY100" s="239"/>
      <c r="DZ100" s="238"/>
      <c r="EA100" s="239"/>
      <c r="EB100" s="238"/>
      <c r="EC100" s="239"/>
      <c r="ED100" s="238"/>
      <c r="EE100" s="239"/>
      <c r="EF100" s="240">
        <f t="shared" si="332"/>
        <v>0</v>
      </c>
      <c r="EG100" s="239">
        <f t="shared" si="332"/>
        <v>0</v>
      </c>
    </row>
    <row r="101" spans="1:137" ht="19.8">
      <c r="A101" s="7">
        <v>81</v>
      </c>
      <c r="B101" s="8" t="s">
        <v>79</v>
      </c>
      <c r="C101" s="8" t="s">
        <v>11</v>
      </c>
      <c r="D101" s="7">
        <f>RANK(DF101,$DF$4:$DF$147)</f>
        <v>31</v>
      </c>
      <c r="E101" s="7">
        <v>0.64</v>
      </c>
      <c r="F101" s="7" t="s">
        <v>80</v>
      </c>
      <c r="G101" s="7"/>
      <c r="H101" s="15"/>
      <c r="I101" s="10">
        <f>H101*$E101</f>
        <v>0</v>
      </c>
      <c r="J101" s="15"/>
      <c r="K101" s="10">
        <f>J101*$E101</f>
        <v>0</v>
      </c>
      <c r="L101" s="15"/>
      <c r="M101" s="10">
        <f>L101*$E101</f>
        <v>0</v>
      </c>
      <c r="N101" s="15"/>
      <c r="O101" s="10">
        <f>N101*$E101</f>
        <v>0</v>
      </c>
      <c r="P101" s="15"/>
      <c r="Q101" s="10">
        <f>P101*$E101</f>
        <v>0</v>
      </c>
      <c r="R101" s="15"/>
      <c r="S101" s="10">
        <f t="shared" si="333"/>
        <v>0</v>
      </c>
      <c r="T101" s="15"/>
      <c r="U101" s="10">
        <f>T101*$E101</f>
        <v>0</v>
      </c>
      <c r="V101" s="15"/>
      <c r="W101" s="10">
        <f>V101*$E101</f>
        <v>0</v>
      </c>
      <c r="X101" s="15"/>
      <c r="Y101" s="10">
        <f>X101*$E101</f>
        <v>0</v>
      </c>
      <c r="Z101" s="15"/>
      <c r="AA101" s="10">
        <f>Z101*$E101</f>
        <v>0</v>
      </c>
      <c r="AB101" s="15"/>
      <c r="AC101" s="10">
        <f>AB101*$E101</f>
        <v>0</v>
      </c>
      <c r="AD101" s="15"/>
      <c r="AE101" s="10">
        <f>AD101*$E101</f>
        <v>0</v>
      </c>
      <c r="AF101" s="11">
        <f t="shared" si="266"/>
        <v>0</v>
      </c>
      <c r="AG101" s="12">
        <f t="shared" si="189"/>
        <v>0</v>
      </c>
      <c r="AH101" s="15"/>
      <c r="AI101" s="10">
        <f>AH101*$E101</f>
        <v>0</v>
      </c>
      <c r="AJ101" s="15"/>
      <c r="AK101" s="10">
        <f>AJ101*$E101</f>
        <v>0</v>
      </c>
      <c r="AL101" s="15"/>
      <c r="AM101" s="10">
        <f>AL101*$E101</f>
        <v>0</v>
      </c>
      <c r="AN101" s="15"/>
      <c r="AO101" s="10">
        <f>AN101*$E101</f>
        <v>0</v>
      </c>
      <c r="AP101" s="15"/>
      <c r="AQ101" s="10">
        <f>AP101*$E101</f>
        <v>0</v>
      </c>
      <c r="AR101" s="15"/>
      <c r="AS101" s="10">
        <f>AR101*$E101</f>
        <v>0</v>
      </c>
      <c r="AT101" s="15"/>
      <c r="AU101" s="10">
        <f>AT101*$E101</f>
        <v>0</v>
      </c>
      <c r="AV101" s="15"/>
      <c r="AW101" s="10">
        <f>AV101*$E101</f>
        <v>0</v>
      </c>
      <c r="AX101" s="15"/>
      <c r="AY101" s="10">
        <f>AX101*$E101</f>
        <v>0</v>
      </c>
      <c r="AZ101" s="15"/>
      <c r="BA101" s="10">
        <f>AZ101*$E101</f>
        <v>0</v>
      </c>
      <c r="BB101" s="15"/>
      <c r="BC101" s="10">
        <f>BB101*$E101</f>
        <v>0</v>
      </c>
      <c r="BD101" s="15"/>
      <c r="BE101" s="10">
        <f>BD101*$E101</f>
        <v>0</v>
      </c>
      <c r="BF101" s="11">
        <f t="shared" si="190"/>
        <v>0</v>
      </c>
      <c r="BG101" s="12">
        <f t="shared" si="191"/>
        <v>0</v>
      </c>
      <c r="BH101" s="15"/>
      <c r="BI101" s="10">
        <f>BH101*$E101</f>
        <v>0</v>
      </c>
      <c r="BJ101" s="15"/>
      <c r="BK101" s="10">
        <f>BJ101*$E101</f>
        <v>0</v>
      </c>
      <c r="BL101" s="15"/>
      <c r="BM101" s="10">
        <f>BL101*$E101</f>
        <v>0</v>
      </c>
      <c r="BN101" s="15"/>
      <c r="BO101" s="10">
        <f>BN101*$E101</f>
        <v>0</v>
      </c>
      <c r="BP101" s="15"/>
      <c r="BQ101" s="10">
        <f>BP101*$E101</f>
        <v>0</v>
      </c>
      <c r="BR101" s="15"/>
      <c r="BS101" s="10">
        <f>BR101*$E101</f>
        <v>0</v>
      </c>
      <c r="BT101" s="15"/>
      <c r="BU101" s="10">
        <f>BT101*$E101</f>
        <v>0</v>
      </c>
      <c r="BV101" s="15"/>
      <c r="BW101" s="10">
        <f>BV101*$E101</f>
        <v>0</v>
      </c>
      <c r="BX101" s="15"/>
      <c r="BY101" s="10">
        <f>BX101*$E101</f>
        <v>0</v>
      </c>
      <c r="BZ101" s="15"/>
      <c r="CA101" s="10">
        <f>BZ101*$E101</f>
        <v>0</v>
      </c>
      <c r="CB101" s="15"/>
      <c r="CC101" s="10">
        <f>CB101*$E101</f>
        <v>0</v>
      </c>
      <c r="CD101" s="15"/>
      <c r="CE101" s="10">
        <f>CD101*$E101</f>
        <v>0</v>
      </c>
      <c r="CF101" s="11">
        <f t="shared" si="192"/>
        <v>0</v>
      </c>
      <c r="CG101" s="12">
        <f t="shared" si="193"/>
        <v>0</v>
      </c>
      <c r="CH101" s="15"/>
      <c r="CI101" s="10">
        <f t="shared" si="194"/>
        <v>0</v>
      </c>
      <c r="CJ101" s="15"/>
      <c r="CK101" s="10">
        <f t="shared" si="195"/>
        <v>0</v>
      </c>
      <c r="CL101" s="15"/>
      <c r="CM101" s="10">
        <f t="shared" si="196"/>
        <v>0</v>
      </c>
      <c r="CN101" s="15"/>
      <c r="CO101" s="10">
        <f t="shared" si="197"/>
        <v>0</v>
      </c>
      <c r="CP101" s="15"/>
      <c r="CQ101" s="10">
        <f t="shared" si="198"/>
        <v>0</v>
      </c>
      <c r="CR101" s="15"/>
      <c r="CS101" s="10">
        <f t="shared" si="199"/>
        <v>0</v>
      </c>
      <c r="CT101" s="15"/>
      <c r="CU101" s="10">
        <f t="shared" si="200"/>
        <v>0</v>
      </c>
      <c r="CV101" s="15"/>
      <c r="CW101" s="10">
        <f t="shared" si="201"/>
        <v>0</v>
      </c>
      <c r="CX101" s="15"/>
      <c r="CY101" s="10">
        <f t="shared" si="202"/>
        <v>0</v>
      </c>
      <c r="CZ101" s="15"/>
      <c r="DA101" s="10">
        <f t="shared" si="203"/>
        <v>0</v>
      </c>
      <c r="DB101" s="15"/>
      <c r="DC101" s="10">
        <f t="shared" si="204"/>
        <v>0</v>
      </c>
      <c r="DD101" s="15"/>
      <c r="DE101" s="10">
        <f t="shared" si="204"/>
        <v>0</v>
      </c>
      <c r="DF101" s="231">
        <f t="shared" si="205"/>
        <v>0</v>
      </c>
      <c r="DG101" s="230">
        <f t="shared" si="206"/>
        <v>0</v>
      </c>
      <c r="DH101" s="238"/>
      <c r="DI101" s="239"/>
      <c r="DJ101" s="15"/>
      <c r="DK101" s="239"/>
      <c r="DL101" s="238"/>
      <c r="DM101" s="239"/>
      <c r="DN101" s="238"/>
      <c r="DO101" s="239"/>
      <c r="DP101" s="238"/>
      <c r="DQ101" s="239"/>
      <c r="DR101" s="238"/>
      <c r="DS101" s="239"/>
      <c r="DT101" s="238"/>
      <c r="DU101" s="239"/>
      <c r="DV101" s="238"/>
      <c r="DW101" s="239"/>
      <c r="DX101" s="238"/>
      <c r="DY101" s="239"/>
      <c r="DZ101" s="238"/>
      <c r="EA101" s="239"/>
      <c r="EB101" s="238"/>
      <c r="EC101" s="239"/>
      <c r="ED101" s="238"/>
      <c r="EE101" s="239"/>
      <c r="EF101" s="240">
        <f t="shared" si="332"/>
        <v>0</v>
      </c>
      <c r="EG101" s="239">
        <f t="shared" si="332"/>
        <v>0</v>
      </c>
    </row>
    <row r="102" spans="1:137" ht="19.8">
      <c r="A102" s="7">
        <v>82</v>
      </c>
      <c r="B102" s="8" t="s">
        <v>81</v>
      </c>
      <c r="C102" s="8" t="s">
        <v>14</v>
      </c>
      <c r="D102" s="7">
        <f>RANK(DF102,$DF$4:$DF$147)</f>
        <v>31</v>
      </c>
      <c r="E102" s="7">
        <v>1</v>
      </c>
      <c r="F102" s="7" t="s">
        <v>35</v>
      </c>
      <c r="G102" s="7"/>
      <c r="H102" s="15"/>
      <c r="I102" s="10"/>
      <c r="J102" s="15"/>
      <c r="K102" s="10"/>
      <c r="L102" s="15"/>
      <c r="M102" s="10"/>
      <c r="N102" s="15"/>
      <c r="O102" s="10"/>
      <c r="P102" s="15"/>
      <c r="Q102" s="10"/>
      <c r="R102" s="15"/>
      <c r="S102" s="10">
        <f t="shared" si="333"/>
        <v>0</v>
      </c>
      <c r="T102" s="15"/>
      <c r="U102" s="10"/>
      <c r="V102" s="15"/>
      <c r="W102" s="10"/>
      <c r="X102" s="15"/>
      <c r="Y102" s="10"/>
      <c r="Z102" s="15"/>
      <c r="AA102" s="10"/>
      <c r="AB102" s="15"/>
      <c r="AC102" s="10"/>
      <c r="AD102" s="15"/>
      <c r="AE102" s="10"/>
      <c r="AF102" s="11">
        <f t="shared" si="266"/>
        <v>0</v>
      </c>
      <c r="AG102" s="12">
        <f t="shared" si="189"/>
        <v>0</v>
      </c>
      <c r="AH102" s="15"/>
      <c r="AI102" s="10"/>
      <c r="AJ102" s="15"/>
      <c r="AK102" s="10"/>
      <c r="AL102" s="15"/>
      <c r="AM102" s="10"/>
      <c r="AN102" s="15"/>
      <c r="AO102" s="10"/>
      <c r="AP102" s="15"/>
      <c r="AQ102" s="10"/>
      <c r="AR102" s="15"/>
      <c r="AS102" s="10"/>
      <c r="AT102" s="15"/>
      <c r="AU102" s="10"/>
      <c r="AV102" s="15"/>
      <c r="AW102" s="10"/>
      <c r="AX102" s="15"/>
      <c r="AY102" s="10"/>
      <c r="AZ102" s="15"/>
      <c r="BA102" s="10"/>
      <c r="BB102" s="15"/>
      <c r="BC102" s="10"/>
      <c r="BD102" s="15"/>
      <c r="BE102" s="10"/>
      <c r="BF102" s="11">
        <f t="shared" si="190"/>
        <v>0</v>
      </c>
      <c r="BG102" s="12">
        <f t="shared" si="191"/>
        <v>0</v>
      </c>
      <c r="BH102" s="15"/>
      <c r="BI102" s="10"/>
      <c r="BJ102" s="15"/>
      <c r="BK102" s="10"/>
      <c r="BL102" s="15"/>
      <c r="BM102" s="10"/>
      <c r="BN102" s="15"/>
      <c r="BO102" s="10"/>
      <c r="BP102" s="15"/>
      <c r="BQ102" s="10"/>
      <c r="BR102" s="15"/>
      <c r="BS102" s="10"/>
      <c r="BT102" s="15"/>
      <c r="BU102" s="10"/>
      <c r="BV102" s="15"/>
      <c r="BW102" s="10"/>
      <c r="BX102" s="15"/>
      <c r="BY102" s="10"/>
      <c r="BZ102" s="15"/>
      <c r="CA102" s="10"/>
      <c r="CB102" s="15"/>
      <c r="CC102" s="10"/>
      <c r="CD102" s="15"/>
      <c r="CE102" s="10"/>
      <c r="CF102" s="11">
        <f t="shared" si="192"/>
        <v>0</v>
      </c>
      <c r="CG102" s="12">
        <f t="shared" si="193"/>
        <v>0</v>
      </c>
      <c r="CH102" s="17"/>
      <c r="CI102" s="10">
        <f t="shared" si="194"/>
        <v>0</v>
      </c>
      <c r="CJ102" s="15"/>
      <c r="CK102" s="10">
        <f t="shared" si="195"/>
        <v>0</v>
      </c>
      <c r="CL102" s="17"/>
      <c r="CM102" s="10">
        <f t="shared" si="196"/>
        <v>0</v>
      </c>
      <c r="CN102" s="15"/>
      <c r="CO102" s="10">
        <f t="shared" si="197"/>
        <v>0</v>
      </c>
      <c r="CP102" s="15"/>
      <c r="CQ102" s="10">
        <f t="shared" si="198"/>
        <v>0</v>
      </c>
      <c r="CR102" s="15"/>
      <c r="CS102" s="10">
        <f t="shared" si="199"/>
        <v>0</v>
      </c>
      <c r="CT102" s="15"/>
      <c r="CU102" s="10">
        <f t="shared" si="200"/>
        <v>0</v>
      </c>
      <c r="CV102" s="15"/>
      <c r="CW102" s="10">
        <f t="shared" si="201"/>
        <v>0</v>
      </c>
      <c r="CX102" s="15"/>
      <c r="CY102" s="10">
        <f t="shared" si="202"/>
        <v>0</v>
      </c>
      <c r="CZ102" s="15"/>
      <c r="DA102" s="10">
        <f t="shared" si="203"/>
        <v>0</v>
      </c>
      <c r="DB102" s="15"/>
      <c r="DC102" s="10">
        <f t="shared" si="204"/>
        <v>0</v>
      </c>
      <c r="DD102" s="15"/>
      <c r="DE102" s="10">
        <f t="shared" si="204"/>
        <v>0</v>
      </c>
      <c r="DF102" s="231">
        <f t="shared" si="205"/>
        <v>0</v>
      </c>
      <c r="DG102" s="230">
        <f t="shared" si="206"/>
        <v>0</v>
      </c>
      <c r="DH102" s="238"/>
      <c r="DI102" s="239"/>
      <c r="DJ102" s="15"/>
      <c r="DK102" s="239"/>
      <c r="DL102" s="238"/>
      <c r="DM102" s="239"/>
      <c r="DN102" s="238"/>
      <c r="DO102" s="239"/>
      <c r="DP102" s="238"/>
      <c r="DQ102" s="239"/>
      <c r="DR102" s="238"/>
      <c r="DS102" s="239"/>
      <c r="DT102" s="238"/>
      <c r="DU102" s="239"/>
      <c r="DV102" s="238"/>
      <c r="DW102" s="239"/>
      <c r="DX102" s="238"/>
      <c r="DY102" s="239"/>
      <c r="DZ102" s="238"/>
      <c r="EA102" s="239"/>
      <c r="EB102" s="238"/>
      <c r="EC102" s="239"/>
      <c r="ED102" s="238"/>
      <c r="EE102" s="239"/>
      <c r="EF102" s="240">
        <f t="shared" si="332"/>
        <v>0</v>
      </c>
      <c r="EG102" s="239">
        <f t="shared" si="332"/>
        <v>0</v>
      </c>
    </row>
    <row r="103" spans="1:137" ht="19.8">
      <c r="A103" s="7">
        <v>83</v>
      </c>
      <c r="B103" s="8" t="s">
        <v>81</v>
      </c>
      <c r="C103" s="8" t="s">
        <v>14</v>
      </c>
      <c r="D103" s="7">
        <f>RANK(DF103,$DF$4:$DF$147)</f>
        <v>31</v>
      </c>
      <c r="E103" s="7">
        <v>0.6</v>
      </c>
      <c r="F103" s="7" t="s">
        <v>35</v>
      </c>
      <c r="G103" s="7"/>
      <c r="H103" s="15"/>
      <c r="I103" s="10"/>
      <c r="J103" s="15"/>
      <c r="K103" s="10"/>
      <c r="L103" s="15"/>
      <c r="M103" s="10"/>
      <c r="N103" s="15"/>
      <c r="O103" s="10"/>
      <c r="P103" s="15"/>
      <c r="Q103" s="10"/>
      <c r="R103" s="15"/>
      <c r="S103" s="10">
        <f t="shared" si="333"/>
        <v>0</v>
      </c>
      <c r="T103" s="15"/>
      <c r="U103" s="10"/>
      <c r="V103" s="15"/>
      <c r="W103" s="10"/>
      <c r="X103" s="15"/>
      <c r="Y103" s="10"/>
      <c r="Z103" s="15"/>
      <c r="AA103" s="10"/>
      <c r="AB103" s="15"/>
      <c r="AC103" s="10"/>
      <c r="AD103" s="15"/>
      <c r="AE103" s="10"/>
      <c r="AF103" s="11">
        <f t="shared" si="266"/>
        <v>0</v>
      </c>
      <c r="AG103" s="12">
        <f t="shared" si="189"/>
        <v>0</v>
      </c>
      <c r="AH103" s="15"/>
      <c r="AI103" s="10"/>
      <c r="AJ103" s="15"/>
      <c r="AK103" s="10"/>
      <c r="AL103" s="15"/>
      <c r="AM103" s="10"/>
      <c r="AN103" s="15"/>
      <c r="AO103" s="10"/>
      <c r="AP103" s="15"/>
      <c r="AQ103" s="10"/>
      <c r="AR103" s="15"/>
      <c r="AS103" s="10"/>
      <c r="AT103" s="15"/>
      <c r="AU103" s="10"/>
      <c r="AV103" s="15"/>
      <c r="AW103" s="10"/>
      <c r="AX103" s="15"/>
      <c r="AY103" s="10"/>
      <c r="AZ103" s="15"/>
      <c r="BA103" s="10"/>
      <c r="BB103" s="15"/>
      <c r="BC103" s="10"/>
      <c r="BD103" s="15"/>
      <c r="BE103" s="10"/>
      <c r="BF103" s="11">
        <f t="shared" si="190"/>
        <v>0</v>
      </c>
      <c r="BG103" s="12">
        <f t="shared" si="191"/>
        <v>0</v>
      </c>
      <c r="BH103" s="15"/>
      <c r="BI103" s="10"/>
      <c r="BJ103" s="15"/>
      <c r="BK103" s="10"/>
      <c r="BL103" s="15"/>
      <c r="BM103" s="10"/>
      <c r="BN103" s="15"/>
      <c r="BO103" s="10"/>
      <c r="BP103" s="15"/>
      <c r="BQ103" s="10"/>
      <c r="BR103" s="15"/>
      <c r="BS103" s="10"/>
      <c r="BT103" s="15"/>
      <c r="BU103" s="10"/>
      <c r="BV103" s="15"/>
      <c r="BW103" s="10"/>
      <c r="BX103" s="15"/>
      <c r="BY103" s="10"/>
      <c r="BZ103" s="15"/>
      <c r="CA103" s="10"/>
      <c r="CB103" s="15"/>
      <c r="CC103" s="10"/>
      <c r="CD103" s="15"/>
      <c r="CE103" s="10"/>
      <c r="CF103" s="11">
        <f t="shared" si="192"/>
        <v>0</v>
      </c>
      <c r="CG103" s="12">
        <f t="shared" si="193"/>
        <v>0</v>
      </c>
      <c r="CH103" s="17"/>
      <c r="CI103" s="10">
        <f t="shared" si="194"/>
        <v>0</v>
      </c>
      <c r="CJ103" s="15"/>
      <c r="CK103" s="10">
        <f t="shared" si="195"/>
        <v>0</v>
      </c>
      <c r="CL103" s="17"/>
      <c r="CM103" s="10">
        <f t="shared" si="196"/>
        <v>0</v>
      </c>
      <c r="CN103" s="15"/>
      <c r="CO103" s="10">
        <f t="shared" si="197"/>
        <v>0</v>
      </c>
      <c r="CP103" s="15"/>
      <c r="CQ103" s="10">
        <f t="shared" si="198"/>
        <v>0</v>
      </c>
      <c r="CR103" s="15"/>
      <c r="CS103" s="10">
        <f t="shared" si="199"/>
        <v>0</v>
      </c>
      <c r="CT103" s="15"/>
      <c r="CU103" s="10">
        <f t="shared" si="200"/>
        <v>0</v>
      </c>
      <c r="CV103" s="15"/>
      <c r="CW103" s="10">
        <f t="shared" si="201"/>
        <v>0</v>
      </c>
      <c r="CX103" s="15"/>
      <c r="CY103" s="10">
        <f t="shared" si="202"/>
        <v>0</v>
      </c>
      <c r="CZ103" s="15"/>
      <c r="DA103" s="10">
        <f t="shared" si="203"/>
        <v>0</v>
      </c>
      <c r="DB103" s="15"/>
      <c r="DC103" s="10">
        <f t="shared" si="204"/>
        <v>0</v>
      </c>
      <c r="DD103" s="15"/>
      <c r="DE103" s="10">
        <f t="shared" si="204"/>
        <v>0</v>
      </c>
      <c r="DF103" s="231">
        <f t="shared" si="205"/>
        <v>0</v>
      </c>
      <c r="DG103" s="230">
        <f t="shared" si="206"/>
        <v>0</v>
      </c>
      <c r="DH103" s="238"/>
      <c r="DI103" s="239"/>
      <c r="DJ103" s="15"/>
      <c r="DK103" s="239"/>
      <c r="DL103" s="238"/>
      <c r="DM103" s="239"/>
      <c r="DN103" s="238"/>
      <c r="DO103" s="239"/>
      <c r="DP103" s="238"/>
      <c r="DQ103" s="239"/>
      <c r="DR103" s="238"/>
      <c r="DS103" s="239"/>
      <c r="DT103" s="238"/>
      <c r="DU103" s="239"/>
      <c r="DV103" s="238"/>
      <c r="DW103" s="239"/>
      <c r="DX103" s="238"/>
      <c r="DY103" s="239"/>
      <c r="DZ103" s="238"/>
      <c r="EA103" s="239"/>
      <c r="EB103" s="238"/>
      <c r="EC103" s="239"/>
      <c r="ED103" s="238"/>
      <c r="EE103" s="239"/>
      <c r="EF103" s="240">
        <f t="shared" si="332"/>
        <v>0</v>
      </c>
      <c r="EG103" s="239">
        <f t="shared" si="332"/>
        <v>0</v>
      </c>
    </row>
    <row r="104" spans="1:137" ht="19.8">
      <c r="A104" s="7"/>
      <c r="B104" s="8"/>
      <c r="C104" s="8"/>
      <c r="D104" s="7"/>
      <c r="E104" s="7"/>
      <c r="F104" s="7"/>
      <c r="G104" s="7"/>
      <c r="H104" s="15"/>
      <c r="I104" s="10"/>
      <c r="J104" s="15"/>
      <c r="K104" s="10"/>
      <c r="L104" s="15"/>
      <c r="M104" s="10"/>
      <c r="N104" s="15"/>
      <c r="O104" s="10"/>
      <c r="P104" s="15"/>
      <c r="Q104" s="10"/>
      <c r="R104" s="15"/>
      <c r="S104" s="10"/>
      <c r="T104" s="15"/>
      <c r="U104" s="10"/>
      <c r="V104" s="15"/>
      <c r="W104" s="10"/>
      <c r="X104" s="15"/>
      <c r="Y104" s="10"/>
      <c r="Z104" s="15"/>
      <c r="AA104" s="10"/>
      <c r="AB104" s="15"/>
      <c r="AC104" s="10"/>
      <c r="AD104" s="15"/>
      <c r="AE104" s="10"/>
      <c r="AF104" s="11">
        <f t="shared" si="266"/>
        <v>0</v>
      </c>
      <c r="AG104" s="12">
        <f t="shared" si="189"/>
        <v>0</v>
      </c>
      <c r="AH104" s="15"/>
      <c r="AI104" s="10"/>
      <c r="AJ104" s="15"/>
      <c r="AK104" s="10"/>
      <c r="AL104" s="15"/>
      <c r="AM104" s="10"/>
      <c r="AN104" s="15"/>
      <c r="AO104" s="10"/>
      <c r="AP104" s="15"/>
      <c r="AQ104" s="10"/>
      <c r="AR104" s="15"/>
      <c r="AS104" s="10"/>
      <c r="AT104" s="15"/>
      <c r="AU104" s="10"/>
      <c r="AV104" s="15"/>
      <c r="AW104" s="10"/>
      <c r="AX104" s="15"/>
      <c r="AY104" s="10"/>
      <c r="AZ104" s="15"/>
      <c r="BA104" s="10"/>
      <c r="BB104" s="15"/>
      <c r="BC104" s="10"/>
      <c r="BD104" s="15"/>
      <c r="BE104" s="10"/>
      <c r="BF104" s="11">
        <f t="shared" si="190"/>
        <v>0</v>
      </c>
      <c r="BG104" s="12">
        <f t="shared" si="191"/>
        <v>0</v>
      </c>
      <c r="BH104" s="15"/>
      <c r="BI104" s="10"/>
      <c r="BJ104" s="15"/>
      <c r="BK104" s="10"/>
      <c r="BL104" s="15"/>
      <c r="BM104" s="10"/>
      <c r="BN104" s="15"/>
      <c r="BO104" s="10"/>
      <c r="BP104" s="15"/>
      <c r="BQ104" s="10"/>
      <c r="BR104" s="15"/>
      <c r="BS104" s="10"/>
      <c r="BT104" s="15"/>
      <c r="BU104" s="10"/>
      <c r="BV104" s="15"/>
      <c r="BW104" s="10"/>
      <c r="BX104" s="15"/>
      <c r="BY104" s="10"/>
      <c r="BZ104" s="15"/>
      <c r="CA104" s="10"/>
      <c r="CB104" s="15"/>
      <c r="CC104" s="10"/>
      <c r="CD104" s="15"/>
      <c r="CE104" s="10"/>
      <c r="CF104" s="11">
        <f t="shared" si="192"/>
        <v>0</v>
      </c>
      <c r="CG104" s="12">
        <f t="shared" si="193"/>
        <v>0</v>
      </c>
      <c r="CH104" s="17"/>
      <c r="CI104" s="10">
        <f t="shared" si="194"/>
        <v>0</v>
      </c>
      <c r="CJ104" s="15"/>
      <c r="CK104" s="10">
        <f t="shared" si="195"/>
        <v>0</v>
      </c>
      <c r="CL104" s="17"/>
      <c r="CM104" s="10">
        <f t="shared" si="196"/>
        <v>0</v>
      </c>
      <c r="CN104" s="15"/>
      <c r="CO104" s="10">
        <f t="shared" si="197"/>
        <v>0</v>
      </c>
      <c r="CP104" s="15"/>
      <c r="CQ104" s="10">
        <f t="shared" si="198"/>
        <v>0</v>
      </c>
      <c r="CR104" s="15"/>
      <c r="CS104" s="10">
        <f t="shared" si="199"/>
        <v>0</v>
      </c>
      <c r="CT104" s="15"/>
      <c r="CU104" s="10">
        <f t="shared" si="200"/>
        <v>0</v>
      </c>
      <c r="CV104" s="15"/>
      <c r="CW104" s="10">
        <f t="shared" si="201"/>
        <v>0</v>
      </c>
      <c r="CX104" s="15"/>
      <c r="CY104" s="10">
        <f t="shared" si="202"/>
        <v>0</v>
      </c>
      <c r="CZ104" s="15"/>
      <c r="DA104" s="10">
        <f t="shared" si="203"/>
        <v>0</v>
      </c>
      <c r="DB104" s="15"/>
      <c r="DC104" s="10">
        <f t="shared" si="204"/>
        <v>0</v>
      </c>
      <c r="DD104" s="15"/>
      <c r="DE104" s="10">
        <f t="shared" si="204"/>
        <v>0</v>
      </c>
      <c r="DF104" s="231">
        <f t="shared" si="205"/>
        <v>0</v>
      </c>
      <c r="DG104" s="230">
        <f t="shared" si="206"/>
        <v>0</v>
      </c>
      <c r="DH104" s="238"/>
      <c r="DI104" s="239"/>
      <c r="DJ104" s="15"/>
      <c r="DK104" s="239"/>
      <c r="DL104" s="238"/>
      <c r="DM104" s="239"/>
      <c r="DN104" s="238"/>
      <c r="DO104" s="239"/>
      <c r="DP104" s="238"/>
      <c r="DQ104" s="239"/>
      <c r="DR104" s="238"/>
      <c r="DS104" s="239"/>
      <c r="DT104" s="238"/>
      <c r="DU104" s="239"/>
      <c r="DV104" s="238"/>
      <c r="DW104" s="239"/>
      <c r="DX104" s="238"/>
      <c r="DY104" s="239"/>
      <c r="DZ104" s="238"/>
      <c r="EA104" s="239"/>
      <c r="EB104" s="238"/>
      <c r="EC104" s="239"/>
      <c r="ED104" s="238"/>
      <c r="EE104" s="239"/>
      <c r="EF104" s="240">
        <f t="shared" si="332"/>
        <v>0</v>
      </c>
      <c r="EG104" s="239">
        <f t="shared" si="332"/>
        <v>0</v>
      </c>
    </row>
    <row r="105" spans="1:137" ht="19.8">
      <c r="A105" s="7">
        <v>84</v>
      </c>
      <c r="B105" s="8" t="s">
        <v>82</v>
      </c>
      <c r="C105" s="8" t="s">
        <v>14</v>
      </c>
      <c r="D105" s="7">
        <f>RANK(DF105,$DF$4:$DF$147)</f>
        <v>31</v>
      </c>
      <c r="E105" s="7">
        <v>1</v>
      </c>
      <c r="F105" s="7" t="s">
        <v>35</v>
      </c>
      <c r="G105" s="7"/>
      <c r="H105" s="15"/>
      <c r="I105" s="10"/>
      <c r="J105" s="15"/>
      <c r="K105" s="10"/>
      <c r="L105" s="15"/>
      <c r="M105" s="10"/>
      <c r="N105" s="15"/>
      <c r="O105" s="10"/>
      <c r="P105" s="15"/>
      <c r="Q105" s="10"/>
      <c r="R105" s="15"/>
      <c r="S105" s="10">
        <f t="shared" si="333"/>
        <v>0</v>
      </c>
      <c r="T105" s="15"/>
      <c r="U105" s="10"/>
      <c r="V105" s="15"/>
      <c r="W105" s="10"/>
      <c r="X105" s="15"/>
      <c r="Y105" s="10"/>
      <c r="Z105" s="15"/>
      <c r="AA105" s="10"/>
      <c r="AB105" s="15"/>
      <c r="AC105" s="10"/>
      <c r="AD105" s="15"/>
      <c r="AE105" s="10"/>
      <c r="AF105" s="11">
        <f t="shared" si="266"/>
        <v>0</v>
      </c>
      <c r="AG105" s="12">
        <f t="shared" si="189"/>
        <v>0</v>
      </c>
      <c r="AH105" s="15"/>
      <c r="AI105" s="10"/>
      <c r="AJ105" s="15"/>
      <c r="AK105" s="10"/>
      <c r="AL105" s="15"/>
      <c r="AM105" s="10"/>
      <c r="AN105" s="15"/>
      <c r="AO105" s="10"/>
      <c r="AP105" s="15"/>
      <c r="AQ105" s="10"/>
      <c r="AR105" s="15"/>
      <c r="AS105" s="10"/>
      <c r="AT105" s="15"/>
      <c r="AU105" s="10"/>
      <c r="AV105" s="15"/>
      <c r="AW105" s="10"/>
      <c r="AX105" s="15"/>
      <c r="AY105" s="10"/>
      <c r="AZ105" s="15"/>
      <c r="BA105" s="10"/>
      <c r="BB105" s="15"/>
      <c r="BC105" s="10"/>
      <c r="BD105" s="15"/>
      <c r="BE105" s="10"/>
      <c r="BF105" s="11">
        <f t="shared" si="190"/>
        <v>0</v>
      </c>
      <c r="BG105" s="12">
        <f t="shared" si="191"/>
        <v>0</v>
      </c>
      <c r="BH105" s="15"/>
      <c r="BI105" s="10"/>
      <c r="BJ105" s="15"/>
      <c r="BK105" s="10"/>
      <c r="BL105" s="15"/>
      <c r="BM105" s="10"/>
      <c r="BN105" s="15"/>
      <c r="BO105" s="10"/>
      <c r="BP105" s="15"/>
      <c r="BQ105" s="10"/>
      <c r="BR105" s="15"/>
      <c r="BS105" s="10"/>
      <c r="BT105" s="15"/>
      <c r="BU105" s="10"/>
      <c r="BV105" s="15"/>
      <c r="BW105" s="10"/>
      <c r="BX105" s="15"/>
      <c r="BY105" s="10"/>
      <c r="BZ105" s="15"/>
      <c r="CA105" s="10"/>
      <c r="CB105" s="15"/>
      <c r="CC105" s="10"/>
      <c r="CD105" s="15"/>
      <c r="CE105" s="10"/>
      <c r="CF105" s="11">
        <f t="shared" si="192"/>
        <v>0</v>
      </c>
      <c r="CG105" s="12">
        <f t="shared" si="193"/>
        <v>0</v>
      </c>
      <c r="CH105" s="15"/>
      <c r="CI105" s="10">
        <f t="shared" si="194"/>
        <v>0</v>
      </c>
      <c r="CJ105" s="15"/>
      <c r="CK105" s="10">
        <f t="shared" si="195"/>
        <v>0</v>
      </c>
      <c r="CL105" s="15"/>
      <c r="CM105" s="10">
        <f t="shared" si="196"/>
        <v>0</v>
      </c>
      <c r="CN105" s="15"/>
      <c r="CO105" s="10">
        <f t="shared" si="197"/>
        <v>0</v>
      </c>
      <c r="CP105" s="15"/>
      <c r="CQ105" s="10">
        <f t="shared" si="198"/>
        <v>0</v>
      </c>
      <c r="CR105" s="15"/>
      <c r="CS105" s="10">
        <f t="shared" si="199"/>
        <v>0</v>
      </c>
      <c r="CT105" s="15"/>
      <c r="CU105" s="10">
        <f t="shared" si="200"/>
        <v>0</v>
      </c>
      <c r="CV105" s="15"/>
      <c r="CW105" s="10">
        <f t="shared" si="201"/>
        <v>0</v>
      </c>
      <c r="CX105" s="15"/>
      <c r="CY105" s="10">
        <f t="shared" si="202"/>
        <v>0</v>
      </c>
      <c r="CZ105" s="15"/>
      <c r="DA105" s="10">
        <f t="shared" si="203"/>
        <v>0</v>
      </c>
      <c r="DB105" s="15"/>
      <c r="DC105" s="10">
        <f t="shared" si="204"/>
        <v>0</v>
      </c>
      <c r="DD105" s="15"/>
      <c r="DE105" s="10">
        <f t="shared" si="204"/>
        <v>0</v>
      </c>
      <c r="DF105" s="231">
        <f t="shared" si="205"/>
        <v>0</v>
      </c>
      <c r="DG105" s="230">
        <f t="shared" si="206"/>
        <v>0</v>
      </c>
      <c r="DH105" s="238"/>
      <c r="DI105" s="239"/>
      <c r="DJ105" s="15"/>
      <c r="DK105" s="239"/>
      <c r="DL105" s="238"/>
      <c r="DM105" s="239"/>
      <c r="DN105" s="238"/>
      <c r="DO105" s="239"/>
      <c r="DP105" s="238"/>
      <c r="DQ105" s="239"/>
      <c r="DR105" s="238"/>
      <c r="DS105" s="239"/>
      <c r="DT105" s="238"/>
      <c r="DU105" s="239"/>
      <c r="DV105" s="238"/>
      <c r="DW105" s="239"/>
      <c r="DX105" s="238"/>
      <c r="DY105" s="239"/>
      <c r="DZ105" s="238"/>
      <c r="EA105" s="239"/>
      <c r="EB105" s="238"/>
      <c r="EC105" s="239"/>
      <c r="ED105" s="238"/>
      <c r="EE105" s="239"/>
      <c r="EF105" s="240">
        <f t="shared" si="332"/>
        <v>0</v>
      </c>
      <c r="EG105" s="239">
        <f t="shared" si="332"/>
        <v>0</v>
      </c>
    </row>
    <row r="106" spans="1:137" ht="19.8">
      <c r="A106" s="7">
        <v>85</v>
      </c>
      <c r="B106" s="8" t="s">
        <v>82</v>
      </c>
      <c r="C106" s="8" t="s">
        <v>11</v>
      </c>
      <c r="D106" s="7">
        <f>RANK(DF106,$DF$4:$DF$147)</f>
        <v>31</v>
      </c>
      <c r="E106" s="7">
        <v>0.64</v>
      </c>
      <c r="F106" s="7" t="s">
        <v>22</v>
      </c>
      <c r="G106" s="7"/>
      <c r="H106" s="15"/>
      <c r="I106" s="10">
        <f>H106*$E106</f>
        <v>0</v>
      </c>
      <c r="J106" s="15"/>
      <c r="K106" s="10">
        <f>J106*$E106</f>
        <v>0</v>
      </c>
      <c r="L106" s="15"/>
      <c r="M106" s="10">
        <f>L106*$E106</f>
        <v>0</v>
      </c>
      <c r="N106" s="15"/>
      <c r="O106" s="10">
        <f>N106*$E106</f>
        <v>0</v>
      </c>
      <c r="P106" s="15"/>
      <c r="Q106" s="10">
        <f>P106*$E106</f>
        <v>0</v>
      </c>
      <c r="R106" s="15"/>
      <c r="S106" s="10">
        <f t="shared" si="333"/>
        <v>0</v>
      </c>
      <c r="T106" s="15"/>
      <c r="U106" s="10">
        <f>T106*$E106</f>
        <v>0</v>
      </c>
      <c r="V106" s="15"/>
      <c r="W106" s="10">
        <f>V106*$E106</f>
        <v>0</v>
      </c>
      <c r="X106" s="15"/>
      <c r="Y106" s="10">
        <f>X106*$E106</f>
        <v>0</v>
      </c>
      <c r="Z106" s="15"/>
      <c r="AA106" s="10">
        <f>Z106*$E106</f>
        <v>0</v>
      </c>
      <c r="AB106" s="15"/>
      <c r="AC106" s="10">
        <f>AB106*$E106</f>
        <v>0</v>
      </c>
      <c r="AD106" s="15"/>
      <c r="AE106" s="10">
        <f>AD106*$E106</f>
        <v>0</v>
      </c>
      <c r="AF106" s="11">
        <f t="shared" si="266"/>
        <v>0</v>
      </c>
      <c r="AG106" s="12">
        <f t="shared" si="189"/>
        <v>0</v>
      </c>
      <c r="AH106" s="15"/>
      <c r="AI106" s="10">
        <f>AH106*$E106</f>
        <v>0</v>
      </c>
      <c r="AJ106" s="15"/>
      <c r="AK106" s="10">
        <f>AJ106*$E106</f>
        <v>0</v>
      </c>
      <c r="AL106" s="15"/>
      <c r="AM106" s="10">
        <f>AL106*$E106</f>
        <v>0</v>
      </c>
      <c r="AN106" s="15"/>
      <c r="AO106" s="10">
        <f>AN106*$E106</f>
        <v>0</v>
      </c>
      <c r="AP106" s="15"/>
      <c r="AQ106" s="10">
        <f>AP106*$E106</f>
        <v>0</v>
      </c>
      <c r="AR106" s="15"/>
      <c r="AS106" s="10">
        <f>AR106*$E106</f>
        <v>0</v>
      </c>
      <c r="AT106" s="15"/>
      <c r="AU106" s="10">
        <f>AT106*$E106</f>
        <v>0</v>
      </c>
      <c r="AV106" s="15"/>
      <c r="AW106" s="10">
        <f>AV106*$E106</f>
        <v>0</v>
      </c>
      <c r="AX106" s="15"/>
      <c r="AY106" s="10">
        <f>AX106*$E106</f>
        <v>0</v>
      </c>
      <c r="AZ106" s="15"/>
      <c r="BA106" s="10">
        <f>AZ106*$E106</f>
        <v>0</v>
      </c>
      <c r="BB106" s="15"/>
      <c r="BC106" s="10">
        <f>BB106*$E106</f>
        <v>0</v>
      </c>
      <c r="BD106" s="15"/>
      <c r="BE106" s="10">
        <f>BD106*$E106</f>
        <v>0</v>
      </c>
      <c r="BF106" s="11">
        <f t="shared" si="190"/>
        <v>0</v>
      </c>
      <c r="BG106" s="12">
        <f t="shared" si="191"/>
        <v>0</v>
      </c>
      <c r="BH106" s="15"/>
      <c r="BI106" s="10">
        <f>BH106*$E106</f>
        <v>0</v>
      </c>
      <c r="BJ106" s="15"/>
      <c r="BK106" s="10">
        <f>BJ106*$E106</f>
        <v>0</v>
      </c>
      <c r="BL106" s="15"/>
      <c r="BM106" s="10">
        <f>BL106*$E106</f>
        <v>0</v>
      </c>
      <c r="BN106" s="15"/>
      <c r="BO106" s="10">
        <f>BN106*$E106</f>
        <v>0</v>
      </c>
      <c r="BP106" s="15"/>
      <c r="BQ106" s="10">
        <f>BP106*$E106</f>
        <v>0</v>
      </c>
      <c r="BR106" s="15"/>
      <c r="BS106" s="10">
        <f>BR106*$E106</f>
        <v>0</v>
      </c>
      <c r="BT106" s="15"/>
      <c r="BU106" s="10">
        <f>BT106*$E106</f>
        <v>0</v>
      </c>
      <c r="BV106" s="15"/>
      <c r="BW106" s="10">
        <f>BV106*$E106</f>
        <v>0</v>
      </c>
      <c r="BX106" s="15"/>
      <c r="BY106" s="10">
        <f>BX106*$E106</f>
        <v>0</v>
      </c>
      <c r="BZ106" s="15"/>
      <c r="CA106" s="10">
        <f>BZ106*$E106</f>
        <v>0</v>
      </c>
      <c r="CB106" s="15"/>
      <c r="CC106" s="10">
        <f>CB106*$E106</f>
        <v>0</v>
      </c>
      <c r="CD106" s="15"/>
      <c r="CE106" s="10">
        <f>CD106*$E106</f>
        <v>0</v>
      </c>
      <c r="CF106" s="11">
        <f t="shared" si="192"/>
        <v>0</v>
      </c>
      <c r="CG106" s="12">
        <f t="shared" si="193"/>
        <v>0</v>
      </c>
      <c r="CH106" s="15"/>
      <c r="CI106" s="10">
        <f t="shared" si="194"/>
        <v>0</v>
      </c>
      <c r="CJ106" s="15"/>
      <c r="CK106" s="10">
        <f t="shared" si="195"/>
        <v>0</v>
      </c>
      <c r="CL106" s="15"/>
      <c r="CM106" s="10">
        <f t="shared" si="196"/>
        <v>0</v>
      </c>
      <c r="CN106" s="15"/>
      <c r="CO106" s="10">
        <f t="shared" si="197"/>
        <v>0</v>
      </c>
      <c r="CP106" s="15"/>
      <c r="CQ106" s="10">
        <f t="shared" si="198"/>
        <v>0</v>
      </c>
      <c r="CR106" s="15"/>
      <c r="CS106" s="10">
        <f t="shared" si="199"/>
        <v>0</v>
      </c>
      <c r="CT106" s="15"/>
      <c r="CU106" s="10">
        <f t="shared" si="200"/>
        <v>0</v>
      </c>
      <c r="CV106" s="15"/>
      <c r="CW106" s="10">
        <f t="shared" si="201"/>
        <v>0</v>
      </c>
      <c r="CX106" s="15"/>
      <c r="CY106" s="10">
        <f t="shared" si="202"/>
        <v>0</v>
      </c>
      <c r="CZ106" s="15"/>
      <c r="DA106" s="10">
        <f t="shared" si="203"/>
        <v>0</v>
      </c>
      <c r="DB106" s="15"/>
      <c r="DC106" s="10">
        <f t="shared" si="204"/>
        <v>0</v>
      </c>
      <c r="DD106" s="15"/>
      <c r="DE106" s="10">
        <f t="shared" si="204"/>
        <v>0</v>
      </c>
      <c r="DF106" s="231">
        <f t="shared" si="205"/>
        <v>0</v>
      </c>
      <c r="DG106" s="230">
        <f t="shared" si="206"/>
        <v>0</v>
      </c>
      <c r="DH106" s="238"/>
      <c r="DI106" s="239"/>
      <c r="DJ106" s="15"/>
      <c r="DK106" s="239"/>
      <c r="DL106" s="238"/>
      <c r="DM106" s="239"/>
      <c r="DN106" s="238"/>
      <c r="DO106" s="239"/>
      <c r="DP106" s="238"/>
      <c r="DQ106" s="239"/>
      <c r="DR106" s="238"/>
      <c r="DS106" s="239"/>
      <c r="DT106" s="238"/>
      <c r="DU106" s="239"/>
      <c r="DV106" s="238"/>
      <c r="DW106" s="239"/>
      <c r="DX106" s="238"/>
      <c r="DY106" s="239"/>
      <c r="DZ106" s="238"/>
      <c r="EA106" s="239"/>
      <c r="EB106" s="238"/>
      <c r="EC106" s="239"/>
      <c r="ED106" s="238"/>
      <c r="EE106" s="239"/>
      <c r="EF106" s="240">
        <f t="shared" si="332"/>
        <v>0</v>
      </c>
      <c r="EG106" s="239">
        <f t="shared" si="332"/>
        <v>0</v>
      </c>
    </row>
    <row r="107" spans="1:137" ht="19.8">
      <c r="A107" s="7">
        <v>86</v>
      </c>
      <c r="B107" s="8" t="s">
        <v>82</v>
      </c>
      <c r="C107" s="8" t="s">
        <v>14</v>
      </c>
      <c r="D107" s="7">
        <f>RANK(DF107,$DF$4:$DF$147)</f>
        <v>31</v>
      </c>
      <c r="E107" s="7">
        <v>0.6</v>
      </c>
      <c r="F107" s="7" t="s">
        <v>35</v>
      </c>
      <c r="G107" s="7"/>
      <c r="H107" s="15"/>
      <c r="I107" s="10"/>
      <c r="J107" s="15"/>
      <c r="K107" s="10"/>
      <c r="L107" s="15"/>
      <c r="M107" s="10"/>
      <c r="N107" s="15"/>
      <c r="O107" s="10"/>
      <c r="P107" s="15"/>
      <c r="Q107" s="10"/>
      <c r="R107" s="15"/>
      <c r="S107" s="10">
        <f t="shared" si="333"/>
        <v>0</v>
      </c>
      <c r="T107" s="15"/>
      <c r="U107" s="10"/>
      <c r="V107" s="15"/>
      <c r="W107" s="10"/>
      <c r="X107" s="15"/>
      <c r="Y107" s="10"/>
      <c r="Z107" s="15"/>
      <c r="AA107" s="10"/>
      <c r="AB107" s="15"/>
      <c r="AC107" s="10"/>
      <c r="AD107" s="15"/>
      <c r="AE107" s="10"/>
      <c r="AF107" s="11">
        <f t="shared" si="266"/>
        <v>0</v>
      </c>
      <c r="AG107" s="12">
        <f t="shared" si="189"/>
        <v>0</v>
      </c>
      <c r="AH107" s="15"/>
      <c r="AI107" s="10"/>
      <c r="AJ107" s="15"/>
      <c r="AK107" s="10"/>
      <c r="AL107" s="15"/>
      <c r="AM107" s="10"/>
      <c r="AN107" s="15"/>
      <c r="AO107" s="10"/>
      <c r="AP107" s="15"/>
      <c r="AQ107" s="10"/>
      <c r="AR107" s="15"/>
      <c r="AS107" s="10"/>
      <c r="AT107" s="15"/>
      <c r="AU107" s="10"/>
      <c r="AV107" s="15"/>
      <c r="AW107" s="10"/>
      <c r="AX107" s="15"/>
      <c r="AY107" s="10"/>
      <c r="AZ107" s="15"/>
      <c r="BA107" s="10"/>
      <c r="BB107" s="15"/>
      <c r="BC107" s="10"/>
      <c r="BD107" s="15"/>
      <c r="BE107" s="10"/>
      <c r="BF107" s="11">
        <f t="shared" si="190"/>
        <v>0</v>
      </c>
      <c r="BG107" s="12">
        <f t="shared" si="191"/>
        <v>0</v>
      </c>
      <c r="BH107" s="15"/>
      <c r="BI107" s="10"/>
      <c r="BJ107" s="15"/>
      <c r="BK107" s="10"/>
      <c r="BL107" s="15"/>
      <c r="BM107" s="10"/>
      <c r="BN107" s="15"/>
      <c r="BO107" s="10"/>
      <c r="BP107" s="15"/>
      <c r="BQ107" s="10"/>
      <c r="BR107" s="15"/>
      <c r="BS107" s="10"/>
      <c r="BT107" s="15"/>
      <c r="BU107" s="10"/>
      <c r="BV107" s="15"/>
      <c r="BW107" s="10"/>
      <c r="BX107" s="15"/>
      <c r="BY107" s="10"/>
      <c r="BZ107" s="15"/>
      <c r="CA107" s="10"/>
      <c r="CB107" s="15"/>
      <c r="CC107" s="10"/>
      <c r="CD107" s="15"/>
      <c r="CE107" s="10"/>
      <c r="CF107" s="11">
        <f t="shared" si="192"/>
        <v>0</v>
      </c>
      <c r="CG107" s="12">
        <f t="shared" si="193"/>
        <v>0</v>
      </c>
      <c r="CH107" s="17"/>
      <c r="CI107" s="10">
        <f t="shared" si="194"/>
        <v>0</v>
      </c>
      <c r="CJ107" s="15"/>
      <c r="CK107" s="10">
        <f t="shared" si="195"/>
        <v>0</v>
      </c>
      <c r="CL107" s="17"/>
      <c r="CM107" s="10">
        <f t="shared" si="196"/>
        <v>0</v>
      </c>
      <c r="CN107" s="15"/>
      <c r="CO107" s="10">
        <f t="shared" si="197"/>
        <v>0</v>
      </c>
      <c r="CP107" s="15"/>
      <c r="CQ107" s="10">
        <f t="shared" si="198"/>
        <v>0</v>
      </c>
      <c r="CR107" s="15"/>
      <c r="CS107" s="10">
        <f t="shared" si="199"/>
        <v>0</v>
      </c>
      <c r="CT107" s="15"/>
      <c r="CU107" s="10">
        <f t="shared" si="200"/>
        <v>0</v>
      </c>
      <c r="CV107" s="15"/>
      <c r="CW107" s="10">
        <f t="shared" si="201"/>
        <v>0</v>
      </c>
      <c r="CX107" s="15"/>
      <c r="CY107" s="10">
        <f t="shared" si="202"/>
        <v>0</v>
      </c>
      <c r="CZ107" s="15"/>
      <c r="DA107" s="10">
        <f t="shared" si="203"/>
        <v>0</v>
      </c>
      <c r="DB107" s="15"/>
      <c r="DC107" s="10">
        <f t="shared" si="204"/>
        <v>0</v>
      </c>
      <c r="DD107" s="15"/>
      <c r="DE107" s="10">
        <f t="shared" si="204"/>
        <v>0</v>
      </c>
      <c r="DF107" s="231">
        <f t="shared" si="205"/>
        <v>0</v>
      </c>
      <c r="DG107" s="230">
        <f t="shared" si="206"/>
        <v>0</v>
      </c>
      <c r="DH107" s="238"/>
      <c r="DI107" s="239"/>
      <c r="DJ107" s="15"/>
      <c r="DK107" s="239"/>
      <c r="DL107" s="238"/>
      <c r="DM107" s="239"/>
      <c r="DN107" s="238"/>
      <c r="DO107" s="239"/>
      <c r="DP107" s="238"/>
      <c r="DQ107" s="239"/>
      <c r="DR107" s="238"/>
      <c r="DS107" s="239"/>
      <c r="DT107" s="238"/>
      <c r="DU107" s="239"/>
      <c r="DV107" s="238"/>
      <c r="DW107" s="239"/>
      <c r="DX107" s="238"/>
      <c r="DY107" s="239"/>
      <c r="DZ107" s="238"/>
      <c r="EA107" s="239"/>
      <c r="EB107" s="238"/>
      <c r="EC107" s="239"/>
      <c r="ED107" s="238"/>
      <c r="EE107" s="239"/>
      <c r="EF107" s="240">
        <f t="shared" si="332"/>
        <v>0</v>
      </c>
      <c r="EG107" s="239">
        <f t="shared" si="332"/>
        <v>0</v>
      </c>
    </row>
    <row r="108" spans="1:137" ht="19.8">
      <c r="A108" s="7"/>
      <c r="B108" s="8"/>
      <c r="C108" s="8"/>
      <c r="D108" s="7"/>
      <c r="E108" s="7"/>
      <c r="F108" s="7"/>
      <c r="G108" s="7"/>
      <c r="H108" s="15"/>
      <c r="I108" s="10"/>
      <c r="J108" s="15"/>
      <c r="K108" s="10"/>
      <c r="L108" s="15"/>
      <c r="M108" s="10"/>
      <c r="N108" s="15"/>
      <c r="O108" s="10"/>
      <c r="P108" s="15"/>
      <c r="Q108" s="10"/>
      <c r="R108" s="15"/>
      <c r="S108" s="10"/>
      <c r="T108" s="15"/>
      <c r="U108" s="10"/>
      <c r="V108" s="15"/>
      <c r="W108" s="10"/>
      <c r="X108" s="15"/>
      <c r="Y108" s="10"/>
      <c r="Z108" s="15"/>
      <c r="AA108" s="10"/>
      <c r="AB108" s="15"/>
      <c r="AC108" s="10"/>
      <c r="AD108" s="15"/>
      <c r="AE108" s="10"/>
      <c r="AF108" s="11">
        <f t="shared" si="266"/>
        <v>0</v>
      </c>
      <c r="AG108" s="12">
        <f t="shared" si="189"/>
        <v>0</v>
      </c>
      <c r="AH108" s="15"/>
      <c r="AI108" s="10"/>
      <c r="AJ108" s="15"/>
      <c r="AK108" s="10"/>
      <c r="AL108" s="15"/>
      <c r="AM108" s="10"/>
      <c r="AN108" s="15"/>
      <c r="AO108" s="10"/>
      <c r="AP108" s="15"/>
      <c r="AQ108" s="10"/>
      <c r="AR108" s="15"/>
      <c r="AS108" s="10"/>
      <c r="AT108" s="15"/>
      <c r="AU108" s="10"/>
      <c r="AV108" s="15"/>
      <c r="AW108" s="10"/>
      <c r="AX108" s="15"/>
      <c r="AY108" s="10"/>
      <c r="AZ108" s="15"/>
      <c r="BA108" s="10"/>
      <c r="BB108" s="15"/>
      <c r="BC108" s="10"/>
      <c r="BD108" s="15"/>
      <c r="BE108" s="10"/>
      <c r="BF108" s="11">
        <f t="shared" si="190"/>
        <v>0</v>
      </c>
      <c r="BG108" s="12">
        <f t="shared" si="191"/>
        <v>0</v>
      </c>
      <c r="BH108" s="15"/>
      <c r="BI108" s="10"/>
      <c r="BJ108" s="15"/>
      <c r="BK108" s="10"/>
      <c r="BL108" s="15"/>
      <c r="BM108" s="10"/>
      <c r="BN108" s="15"/>
      <c r="BO108" s="10"/>
      <c r="BP108" s="15"/>
      <c r="BQ108" s="10"/>
      <c r="BR108" s="15"/>
      <c r="BS108" s="10"/>
      <c r="BT108" s="15"/>
      <c r="BU108" s="10"/>
      <c r="BV108" s="15"/>
      <c r="BW108" s="10"/>
      <c r="BX108" s="15"/>
      <c r="BY108" s="10"/>
      <c r="BZ108" s="15"/>
      <c r="CA108" s="10"/>
      <c r="CB108" s="15"/>
      <c r="CC108" s="10"/>
      <c r="CD108" s="15"/>
      <c r="CE108" s="10"/>
      <c r="CF108" s="11">
        <f t="shared" si="192"/>
        <v>0</v>
      </c>
      <c r="CG108" s="12">
        <f t="shared" si="193"/>
        <v>0</v>
      </c>
      <c r="CH108" s="17"/>
      <c r="CI108" s="10">
        <f t="shared" si="194"/>
        <v>0</v>
      </c>
      <c r="CJ108" s="15"/>
      <c r="CK108" s="10">
        <f t="shared" si="195"/>
        <v>0</v>
      </c>
      <c r="CL108" s="17"/>
      <c r="CM108" s="10">
        <f t="shared" si="196"/>
        <v>0</v>
      </c>
      <c r="CN108" s="15"/>
      <c r="CO108" s="10">
        <f t="shared" si="197"/>
        <v>0</v>
      </c>
      <c r="CP108" s="15"/>
      <c r="CQ108" s="10">
        <f t="shared" si="198"/>
        <v>0</v>
      </c>
      <c r="CR108" s="15"/>
      <c r="CS108" s="10">
        <f t="shared" si="199"/>
        <v>0</v>
      </c>
      <c r="CT108" s="15"/>
      <c r="CU108" s="10">
        <f t="shared" si="200"/>
        <v>0</v>
      </c>
      <c r="CV108" s="15"/>
      <c r="CW108" s="10">
        <f t="shared" si="201"/>
        <v>0</v>
      </c>
      <c r="CX108" s="15"/>
      <c r="CY108" s="10">
        <f t="shared" si="202"/>
        <v>0</v>
      </c>
      <c r="CZ108" s="15"/>
      <c r="DA108" s="10">
        <f t="shared" si="203"/>
        <v>0</v>
      </c>
      <c r="DB108" s="15"/>
      <c r="DC108" s="10">
        <f t="shared" si="204"/>
        <v>0</v>
      </c>
      <c r="DD108" s="15"/>
      <c r="DE108" s="10">
        <f t="shared" si="204"/>
        <v>0</v>
      </c>
      <c r="DF108" s="231">
        <f t="shared" si="205"/>
        <v>0</v>
      </c>
      <c r="DG108" s="230">
        <f t="shared" si="206"/>
        <v>0</v>
      </c>
      <c r="DH108" s="238"/>
      <c r="DI108" s="239"/>
      <c r="DJ108" s="15"/>
      <c r="DK108" s="239"/>
      <c r="DL108" s="238"/>
      <c r="DM108" s="239"/>
      <c r="DN108" s="238"/>
      <c r="DO108" s="239"/>
      <c r="DP108" s="238"/>
      <c r="DQ108" s="239"/>
      <c r="DR108" s="238"/>
      <c r="DS108" s="239"/>
      <c r="DT108" s="238"/>
      <c r="DU108" s="239"/>
      <c r="DV108" s="238"/>
      <c r="DW108" s="239"/>
      <c r="DX108" s="238"/>
      <c r="DY108" s="239"/>
      <c r="DZ108" s="238"/>
      <c r="EA108" s="239"/>
      <c r="EB108" s="238"/>
      <c r="EC108" s="239"/>
      <c r="ED108" s="238"/>
      <c r="EE108" s="239"/>
      <c r="EF108" s="240">
        <f t="shared" si="332"/>
        <v>0</v>
      </c>
      <c r="EG108" s="239">
        <f t="shared" si="332"/>
        <v>0</v>
      </c>
    </row>
    <row r="109" spans="1:137" ht="19.8">
      <c r="A109" s="7">
        <v>87</v>
      </c>
      <c r="B109" s="8" t="s">
        <v>83</v>
      </c>
      <c r="C109" s="8" t="s">
        <v>14</v>
      </c>
      <c r="D109" s="7">
        <f>RANK(DF109,$DF$4:$DF$147)</f>
        <v>31</v>
      </c>
      <c r="E109" s="7">
        <v>0.6</v>
      </c>
      <c r="F109" s="7" t="s">
        <v>35</v>
      </c>
      <c r="G109" s="7"/>
      <c r="H109" s="15"/>
      <c r="I109" s="10"/>
      <c r="J109" s="15"/>
      <c r="K109" s="10"/>
      <c r="L109" s="15"/>
      <c r="M109" s="10"/>
      <c r="N109" s="15"/>
      <c r="O109" s="10"/>
      <c r="P109" s="15"/>
      <c r="Q109" s="10"/>
      <c r="R109" s="15"/>
      <c r="S109" s="10">
        <f t="shared" si="333"/>
        <v>0</v>
      </c>
      <c r="T109" s="15"/>
      <c r="U109" s="10"/>
      <c r="V109" s="15"/>
      <c r="W109" s="10"/>
      <c r="X109" s="15"/>
      <c r="Y109" s="10"/>
      <c r="Z109" s="15"/>
      <c r="AA109" s="10"/>
      <c r="AB109" s="15"/>
      <c r="AC109" s="10"/>
      <c r="AD109" s="15"/>
      <c r="AE109" s="10"/>
      <c r="AF109" s="11">
        <f t="shared" si="266"/>
        <v>0</v>
      </c>
      <c r="AG109" s="12">
        <f t="shared" si="189"/>
        <v>0</v>
      </c>
      <c r="AH109" s="15"/>
      <c r="AI109" s="10"/>
      <c r="AJ109" s="15"/>
      <c r="AK109" s="10"/>
      <c r="AL109" s="15"/>
      <c r="AM109" s="10"/>
      <c r="AN109" s="15"/>
      <c r="AO109" s="10"/>
      <c r="AP109" s="15"/>
      <c r="AQ109" s="10"/>
      <c r="AR109" s="15"/>
      <c r="AS109" s="10"/>
      <c r="AT109" s="15"/>
      <c r="AU109" s="10"/>
      <c r="AV109" s="15"/>
      <c r="AW109" s="10"/>
      <c r="AX109" s="15"/>
      <c r="AY109" s="10"/>
      <c r="AZ109" s="15"/>
      <c r="BA109" s="10"/>
      <c r="BB109" s="15"/>
      <c r="BC109" s="10"/>
      <c r="BD109" s="15"/>
      <c r="BE109" s="10"/>
      <c r="BF109" s="11">
        <f t="shared" si="190"/>
        <v>0</v>
      </c>
      <c r="BG109" s="12">
        <f t="shared" si="191"/>
        <v>0</v>
      </c>
      <c r="BH109" s="15"/>
      <c r="BI109" s="10"/>
      <c r="BJ109" s="15"/>
      <c r="BK109" s="10"/>
      <c r="BL109" s="15"/>
      <c r="BM109" s="10"/>
      <c r="BN109" s="15"/>
      <c r="BO109" s="10"/>
      <c r="BP109" s="15"/>
      <c r="BQ109" s="10"/>
      <c r="BR109" s="15"/>
      <c r="BS109" s="10"/>
      <c r="BT109" s="15"/>
      <c r="BU109" s="10"/>
      <c r="BV109" s="15"/>
      <c r="BW109" s="10"/>
      <c r="BX109" s="15"/>
      <c r="BY109" s="10"/>
      <c r="BZ109" s="15"/>
      <c r="CA109" s="10"/>
      <c r="CB109" s="15"/>
      <c r="CC109" s="10"/>
      <c r="CD109" s="15"/>
      <c r="CE109" s="10"/>
      <c r="CF109" s="11">
        <f t="shared" si="192"/>
        <v>0</v>
      </c>
      <c r="CG109" s="12">
        <f t="shared" si="193"/>
        <v>0</v>
      </c>
      <c r="CH109" s="17"/>
      <c r="CI109" s="10">
        <f t="shared" si="194"/>
        <v>0</v>
      </c>
      <c r="CJ109" s="15"/>
      <c r="CK109" s="10">
        <f t="shared" si="195"/>
        <v>0</v>
      </c>
      <c r="CL109" s="17"/>
      <c r="CM109" s="10">
        <f t="shared" si="196"/>
        <v>0</v>
      </c>
      <c r="CN109" s="15"/>
      <c r="CO109" s="10">
        <f t="shared" si="197"/>
        <v>0</v>
      </c>
      <c r="CP109" s="15"/>
      <c r="CQ109" s="10">
        <f t="shared" si="198"/>
        <v>0</v>
      </c>
      <c r="CR109" s="15"/>
      <c r="CS109" s="10">
        <f t="shared" si="199"/>
        <v>0</v>
      </c>
      <c r="CT109" s="15"/>
      <c r="CU109" s="10">
        <f t="shared" si="200"/>
        <v>0</v>
      </c>
      <c r="CV109" s="15"/>
      <c r="CW109" s="10">
        <f t="shared" si="201"/>
        <v>0</v>
      </c>
      <c r="CX109" s="15"/>
      <c r="CY109" s="10">
        <f t="shared" si="202"/>
        <v>0</v>
      </c>
      <c r="CZ109" s="15"/>
      <c r="DA109" s="10">
        <f t="shared" si="203"/>
        <v>0</v>
      </c>
      <c r="DB109" s="15"/>
      <c r="DC109" s="10">
        <f t="shared" si="204"/>
        <v>0</v>
      </c>
      <c r="DD109" s="15"/>
      <c r="DE109" s="10">
        <f t="shared" si="204"/>
        <v>0</v>
      </c>
      <c r="DF109" s="231">
        <f t="shared" si="205"/>
        <v>0</v>
      </c>
      <c r="DG109" s="230">
        <f t="shared" si="206"/>
        <v>0</v>
      </c>
      <c r="DH109" s="238"/>
      <c r="DI109" s="239"/>
      <c r="DJ109" s="15"/>
      <c r="DK109" s="239"/>
      <c r="DL109" s="238"/>
      <c r="DM109" s="239"/>
      <c r="DN109" s="238"/>
      <c r="DO109" s="239"/>
      <c r="DP109" s="238"/>
      <c r="DQ109" s="239"/>
      <c r="DR109" s="238"/>
      <c r="DS109" s="239"/>
      <c r="DT109" s="238"/>
      <c r="DU109" s="239"/>
      <c r="DV109" s="238"/>
      <c r="DW109" s="239"/>
      <c r="DX109" s="238"/>
      <c r="DY109" s="239"/>
      <c r="DZ109" s="238"/>
      <c r="EA109" s="239"/>
      <c r="EB109" s="238"/>
      <c r="EC109" s="239"/>
      <c r="ED109" s="238"/>
      <c r="EE109" s="239"/>
      <c r="EF109" s="240">
        <f t="shared" si="332"/>
        <v>0</v>
      </c>
      <c r="EG109" s="239">
        <f t="shared" si="332"/>
        <v>0</v>
      </c>
    </row>
    <row r="110" spans="1:137" ht="19.8">
      <c r="A110" s="7">
        <v>88</v>
      </c>
      <c r="B110" s="8" t="s">
        <v>83</v>
      </c>
      <c r="C110" s="8" t="s">
        <v>14</v>
      </c>
      <c r="D110" s="7">
        <f>RANK(DF110,$DF$4:$DF$147)</f>
        <v>31</v>
      </c>
      <c r="E110" s="7">
        <v>1</v>
      </c>
      <c r="F110" s="7" t="s">
        <v>35</v>
      </c>
      <c r="G110" s="7"/>
      <c r="H110" s="15"/>
      <c r="I110" s="10"/>
      <c r="J110" s="15"/>
      <c r="K110" s="10"/>
      <c r="L110" s="15"/>
      <c r="M110" s="10"/>
      <c r="N110" s="15"/>
      <c r="O110" s="10"/>
      <c r="P110" s="15"/>
      <c r="Q110" s="10"/>
      <c r="R110" s="15"/>
      <c r="S110" s="10">
        <f t="shared" si="333"/>
        <v>0</v>
      </c>
      <c r="T110" s="15"/>
      <c r="U110" s="10"/>
      <c r="V110" s="15"/>
      <c r="W110" s="10"/>
      <c r="X110" s="15"/>
      <c r="Y110" s="10"/>
      <c r="Z110" s="15"/>
      <c r="AA110" s="10"/>
      <c r="AB110" s="15"/>
      <c r="AC110" s="10"/>
      <c r="AD110" s="15"/>
      <c r="AE110" s="10"/>
      <c r="AF110" s="11">
        <f t="shared" si="266"/>
        <v>0</v>
      </c>
      <c r="AG110" s="12">
        <f t="shared" si="189"/>
        <v>0</v>
      </c>
      <c r="AH110" s="15"/>
      <c r="AI110" s="10"/>
      <c r="AJ110" s="15"/>
      <c r="AK110" s="10"/>
      <c r="AL110" s="15"/>
      <c r="AM110" s="10"/>
      <c r="AN110" s="15"/>
      <c r="AO110" s="10"/>
      <c r="AP110" s="15"/>
      <c r="AQ110" s="10"/>
      <c r="AR110" s="15"/>
      <c r="AS110" s="10"/>
      <c r="AT110" s="15"/>
      <c r="AU110" s="10"/>
      <c r="AV110" s="15"/>
      <c r="AW110" s="10"/>
      <c r="AX110" s="15"/>
      <c r="AY110" s="10"/>
      <c r="AZ110" s="15"/>
      <c r="BA110" s="10"/>
      <c r="BB110" s="15"/>
      <c r="BC110" s="10"/>
      <c r="BD110" s="15"/>
      <c r="BE110" s="10"/>
      <c r="BF110" s="11">
        <f t="shared" si="190"/>
        <v>0</v>
      </c>
      <c r="BG110" s="12">
        <f t="shared" si="191"/>
        <v>0</v>
      </c>
      <c r="BH110" s="15"/>
      <c r="BI110" s="10"/>
      <c r="BJ110" s="15"/>
      <c r="BK110" s="10"/>
      <c r="BL110" s="15"/>
      <c r="BM110" s="10"/>
      <c r="BN110" s="15"/>
      <c r="BO110" s="10"/>
      <c r="BP110" s="15"/>
      <c r="BQ110" s="10"/>
      <c r="BR110" s="15"/>
      <c r="BS110" s="10"/>
      <c r="BT110" s="15"/>
      <c r="BU110" s="10"/>
      <c r="BV110" s="15"/>
      <c r="BW110" s="10"/>
      <c r="BX110" s="15"/>
      <c r="BY110" s="10"/>
      <c r="BZ110" s="15"/>
      <c r="CA110" s="10"/>
      <c r="CB110" s="15"/>
      <c r="CC110" s="10"/>
      <c r="CD110" s="15"/>
      <c r="CE110" s="10"/>
      <c r="CF110" s="11">
        <f t="shared" si="192"/>
        <v>0</v>
      </c>
      <c r="CG110" s="12">
        <f t="shared" si="193"/>
        <v>0</v>
      </c>
      <c r="CH110" s="17"/>
      <c r="CI110" s="10">
        <f t="shared" si="194"/>
        <v>0</v>
      </c>
      <c r="CJ110" s="15"/>
      <c r="CK110" s="10">
        <f t="shared" si="195"/>
        <v>0</v>
      </c>
      <c r="CL110" s="17"/>
      <c r="CM110" s="10">
        <f t="shared" si="196"/>
        <v>0</v>
      </c>
      <c r="CN110" s="15"/>
      <c r="CO110" s="10">
        <f t="shared" si="197"/>
        <v>0</v>
      </c>
      <c r="CP110" s="15"/>
      <c r="CQ110" s="10">
        <f t="shared" si="198"/>
        <v>0</v>
      </c>
      <c r="CR110" s="15"/>
      <c r="CS110" s="10">
        <f t="shared" si="199"/>
        <v>0</v>
      </c>
      <c r="CT110" s="15"/>
      <c r="CU110" s="10">
        <f t="shared" si="200"/>
        <v>0</v>
      </c>
      <c r="CV110" s="15"/>
      <c r="CW110" s="10">
        <f t="shared" si="201"/>
        <v>0</v>
      </c>
      <c r="CX110" s="15"/>
      <c r="CY110" s="10">
        <f t="shared" si="202"/>
        <v>0</v>
      </c>
      <c r="CZ110" s="15"/>
      <c r="DA110" s="10">
        <f t="shared" si="203"/>
        <v>0</v>
      </c>
      <c r="DB110" s="15"/>
      <c r="DC110" s="10">
        <f t="shared" si="204"/>
        <v>0</v>
      </c>
      <c r="DD110" s="15"/>
      <c r="DE110" s="10">
        <f t="shared" si="204"/>
        <v>0</v>
      </c>
      <c r="DF110" s="231">
        <f t="shared" si="205"/>
        <v>0</v>
      </c>
      <c r="DG110" s="230">
        <f t="shared" si="206"/>
        <v>0</v>
      </c>
      <c r="DH110" s="238"/>
      <c r="DI110" s="239"/>
      <c r="DJ110" s="15"/>
      <c r="DK110" s="239"/>
      <c r="DL110" s="238"/>
      <c r="DM110" s="239"/>
      <c r="DN110" s="238"/>
      <c r="DO110" s="239"/>
      <c r="DP110" s="238"/>
      <c r="DQ110" s="239"/>
      <c r="DR110" s="238"/>
      <c r="DS110" s="239"/>
      <c r="DT110" s="238"/>
      <c r="DU110" s="239"/>
      <c r="DV110" s="238"/>
      <c r="DW110" s="239"/>
      <c r="DX110" s="238"/>
      <c r="DY110" s="239"/>
      <c r="DZ110" s="238"/>
      <c r="EA110" s="239"/>
      <c r="EB110" s="238"/>
      <c r="EC110" s="239"/>
      <c r="ED110" s="238"/>
      <c r="EE110" s="239"/>
      <c r="EF110" s="240">
        <f t="shared" si="332"/>
        <v>0</v>
      </c>
      <c r="EG110" s="239">
        <f t="shared" si="332"/>
        <v>0</v>
      </c>
    </row>
    <row r="111" spans="1:137" ht="19.8">
      <c r="A111" s="7">
        <v>89</v>
      </c>
      <c r="B111" s="8" t="s">
        <v>83</v>
      </c>
      <c r="C111" s="8" t="s">
        <v>11</v>
      </c>
      <c r="D111" s="7">
        <f>RANK(DF111,$DF$4:$DF$147)</f>
        <v>31</v>
      </c>
      <c r="E111" s="7">
        <v>0.64</v>
      </c>
      <c r="F111" s="7" t="s">
        <v>22</v>
      </c>
      <c r="G111" s="7"/>
      <c r="H111" s="15"/>
      <c r="I111" s="10">
        <f>H111*$E111</f>
        <v>0</v>
      </c>
      <c r="J111" s="15"/>
      <c r="K111" s="10">
        <f>J111*$E111</f>
        <v>0</v>
      </c>
      <c r="L111" s="15"/>
      <c r="M111" s="10">
        <f>L111*$E111</f>
        <v>0</v>
      </c>
      <c r="N111" s="15"/>
      <c r="O111" s="10">
        <f>N111*$E111</f>
        <v>0</v>
      </c>
      <c r="P111" s="15"/>
      <c r="Q111" s="10">
        <f>P111*$E111</f>
        <v>0</v>
      </c>
      <c r="R111" s="15"/>
      <c r="S111" s="10">
        <f t="shared" si="333"/>
        <v>0</v>
      </c>
      <c r="T111" s="15"/>
      <c r="U111" s="10">
        <f>T111*$E111</f>
        <v>0</v>
      </c>
      <c r="V111" s="15"/>
      <c r="W111" s="10">
        <f>V111*$E111</f>
        <v>0</v>
      </c>
      <c r="X111" s="15"/>
      <c r="Y111" s="10">
        <f>X111*$E111</f>
        <v>0</v>
      </c>
      <c r="Z111" s="15"/>
      <c r="AA111" s="10">
        <f>Z111*$E111</f>
        <v>0</v>
      </c>
      <c r="AB111" s="15"/>
      <c r="AC111" s="10">
        <f>AB111*$E111</f>
        <v>0</v>
      </c>
      <c r="AD111" s="15"/>
      <c r="AE111" s="10">
        <f>AD111*$E111</f>
        <v>0</v>
      </c>
      <c r="AF111" s="11">
        <f t="shared" si="266"/>
        <v>0</v>
      </c>
      <c r="AG111" s="12">
        <f t="shared" si="189"/>
        <v>0</v>
      </c>
      <c r="AH111" s="15"/>
      <c r="AI111" s="10">
        <f>AH111*$E111</f>
        <v>0</v>
      </c>
      <c r="AJ111" s="15"/>
      <c r="AK111" s="10">
        <f>AJ111*$E111</f>
        <v>0</v>
      </c>
      <c r="AL111" s="15"/>
      <c r="AM111" s="10">
        <f>AL111*$E111</f>
        <v>0</v>
      </c>
      <c r="AN111" s="15"/>
      <c r="AO111" s="10">
        <f>AN111*$E111</f>
        <v>0</v>
      </c>
      <c r="AP111" s="15"/>
      <c r="AQ111" s="10">
        <f>AP111*$E111</f>
        <v>0</v>
      </c>
      <c r="AR111" s="15"/>
      <c r="AS111" s="10">
        <f>AR111*$E111</f>
        <v>0</v>
      </c>
      <c r="AT111" s="15"/>
      <c r="AU111" s="10">
        <f>AT111*$E111</f>
        <v>0</v>
      </c>
      <c r="AV111" s="15"/>
      <c r="AW111" s="10">
        <f>AV111*$E111</f>
        <v>0</v>
      </c>
      <c r="AX111" s="15"/>
      <c r="AY111" s="10">
        <f>AX111*$E111</f>
        <v>0</v>
      </c>
      <c r="AZ111" s="15"/>
      <c r="BA111" s="10">
        <f>AZ111*$E111</f>
        <v>0</v>
      </c>
      <c r="BB111" s="15"/>
      <c r="BC111" s="10">
        <f>BB111*$E111</f>
        <v>0</v>
      </c>
      <c r="BD111" s="15"/>
      <c r="BE111" s="10">
        <f>BD111*$E111</f>
        <v>0</v>
      </c>
      <c r="BF111" s="11">
        <f t="shared" si="190"/>
        <v>0</v>
      </c>
      <c r="BG111" s="12">
        <f t="shared" si="191"/>
        <v>0</v>
      </c>
      <c r="BH111" s="15"/>
      <c r="BI111" s="10">
        <f>BH111*$E111</f>
        <v>0</v>
      </c>
      <c r="BJ111" s="15"/>
      <c r="BK111" s="10">
        <f>BJ111*$E111</f>
        <v>0</v>
      </c>
      <c r="BL111" s="15"/>
      <c r="BM111" s="10">
        <f>BL111*$E111</f>
        <v>0</v>
      </c>
      <c r="BN111" s="15"/>
      <c r="BO111" s="10">
        <f>BN111*$E111</f>
        <v>0</v>
      </c>
      <c r="BP111" s="15"/>
      <c r="BQ111" s="10">
        <f>BP111*$E111</f>
        <v>0</v>
      </c>
      <c r="BR111" s="15"/>
      <c r="BS111" s="10">
        <f>BR111*$E111</f>
        <v>0</v>
      </c>
      <c r="BT111" s="15"/>
      <c r="BU111" s="10">
        <f>BT111*$E111</f>
        <v>0</v>
      </c>
      <c r="BV111" s="15"/>
      <c r="BW111" s="10">
        <f>BV111*$E111</f>
        <v>0</v>
      </c>
      <c r="BX111" s="15"/>
      <c r="BY111" s="10">
        <f>BX111*$E111</f>
        <v>0</v>
      </c>
      <c r="BZ111" s="15"/>
      <c r="CA111" s="10">
        <f>BZ111*$E111</f>
        <v>0</v>
      </c>
      <c r="CB111" s="15"/>
      <c r="CC111" s="10">
        <f>CB111*$E111</f>
        <v>0</v>
      </c>
      <c r="CD111" s="15"/>
      <c r="CE111" s="10">
        <f>CD111*$E111</f>
        <v>0</v>
      </c>
      <c r="CF111" s="11">
        <f t="shared" si="192"/>
        <v>0</v>
      </c>
      <c r="CG111" s="12">
        <f t="shared" si="193"/>
        <v>0</v>
      </c>
      <c r="CH111" s="15"/>
      <c r="CI111" s="10">
        <f t="shared" si="194"/>
        <v>0</v>
      </c>
      <c r="CJ111" s="15"/>
      <c r="CK111" s="10">
        <f t="shared" si="195"/>
        <v>0</v>
      </c>
      <c r="CL111" s="15"/>
      <c r="CM111" s="10">
        <f t="shared" si="196"/>
        <v>0</v>
      </c>
      <c r="CN111" s="15"/>
      <c r="CO111" s="10">
        <f t="shared" si="197"/>
        <v>0</v>
      </c>
      <c r="CP111" s="15"/>
      <c r="CQ111" s="10">
        <f t="shared" si="198"/>
        <v>0</v>
      </c>
      <c r="CR111" s="15"/>
      <c r="CS111" s="10">
        <f t="shared" si="199"/>
        <v>0</v>
      </c>
      <c r="CT111" s="15"/>
      <c r="CU111" s="10">
        <f t="shared" si="200"/>
        <v>0</v>
      </c>
      <c r="CV111" s="15"/>
      <c r="CW111" s="10">
        <f t="shared" si="201"/>
        <v>0</v>
      </c>
      <c r="CX111" s="15"/>
      <c r="CY111" s="10">
        <f t="shared" si="202"/>
        <v>0</v>
      </c>
      <c r="CZ111" s="15"/>
      <c r="DA111" s="10">
        <f t="shared" si="203"/>
        <v>0</v>
      </c>
      <c r="DB111" s="15"/>
      <c r="DC111" s="10">
        <f t="shared" si="204"/>
        <v>0</v>
      </c>
      <c r="DD111" s="15"/>
      <c r="DE111" s="10">
        <f t="shared" si="204"/>
        <v>0</v>
      </c>
      <c r="DF111" s="231">
        <f t="shared" si="205"/>
        <v>0</v>
      </c>
      <c r="DG111" s="230">
        <f t="shared" si="206"/>
        <v>0</v>
      </c>
      <c r="DH111" s="238"/>
      <c r="DI111" s="239"/>
      <c r="DJ111" s="15"/>
      <c r="DK111" s="239"/>
      <c r="DL111" s="238"/>
      <c r="DM111" s="239"/>
      <c r="DN111" s="238"/>
      <c r="DO111" s="239"/>
      <c r="DP111" s="238"/>
      <c r="DQ111" s="239"/>
      <c r="DR111" s="238"/>
      <c r="DS111" s="239"/>
      <c r="DT111" s="238"/>
      <c r="DU111" s="239"/>
      <c r="DV111" s="238"/>
      <c r="DW111" s="239"/>
      <c r="DX111" s="238"/>
      <c r="DY111" s="239"/>
      <c r="DZ111" s="238"/>
      <c r="EA111" s="239"/>
      <c r="EB111" s="238"/>
      <c r="EC111" s="239"/>
      <c r="ED111" s="238"/>
      <c r="EE111" s="239"/>
      <c r="EF111" s="240">
        <f t="shared" si="332"/>
        <v>0</v>
      </c>
      <c r="EG111" s="239">
        <f t="shared" si="332"/>
        <v>0</v>
      </c>
    </row>
    <row r="112" spans="1:137" ht="19.8">
      <c r="A112" s="7"/>
      <c r="B112" s="8"/>
      <c r="C112" s="8"/>
      <c r="D112" s="7"/>
      <c r="E112" s="7"/>
      <c r="F112" s="7"/>
      <c r="G112" s="7"/>
      <c r="H112" s="15"/>
      <c r="I112" s="10"/>
      <c r="J112" s="15"/>
      <c r="K112" s="10"/>
      <c r="L112" s="15"/>
      <c r="M112" s="10"/>
      <c r="N112" s="15"/>
      <c r="O112" s="10"/>
      <c r="P112" s="15"/>
      <c r="Q112" s="10"/>
      <c r="R112" s="15"/>
      <c r="S112" s="10">
        <f t="shared" si="333"/>
        <v>0</v>
      </c>
      <c r="T112" s="15"/>
      <c r="U112" s="10"/>
      <c r="V112" s="15"/>
      <c r="W112" s="10"/>
      <c r="X112" s="15"/>
      <c r="Y112" s="10"/>
      <c r="Z112" s="15"/>
      <c r="AA112" s="10"/>
      <c r="AB112" s="15"/>
      <c r="AC112" s="10"/>
      <c r="AD112" s="15"/>
      <c r="AE112" s="10"/>
      <c r="AF112" s="11">
        <f t="shared" si="266"/>
        <v>0</v>
      </c>
      <c r="AG112" s="12">
        <f t="shared" si="189"/>
        <v>0</v>
      </c>
      <c r="AH112" s="15"/>
      <c r="AI112" s="10"/>
      <c r="AJ112" s="15"/>
      <c r="AK112" s="10"/>
      <c r="AL112" s="15"/>
      <c r="AM112" s="10"/>
      <c r="AN112" s="15"/>
      <c r="AO112" s="10"/>
      <c r="AP112" s="15"/>
      <c r="AQ112" s="10"/>
      <c r="AR112" s="15"/>
      <c r="AS112" s="10"/>
      <c r="AT112" s="15"/>
      <c r="AU112" s="10"/>
      <c r="AV112" s="15"/>
      <c r="AW112" s="10"/>
      <c r="AX112" s="15"/>
      <c r="AY112" s="10"/>
      <c r="AZ112" s="15"/>
      <c r="BA112" s="10"/>
      <c r="BB112" s="15"/>
      <c r="BC112" s="10"/>
      <c r="BD112" s="15"/>
      <c r="BE112" s="10"/>
      <c r="BF112" s="11">
        <f t="shared" si="190"/>
        <v>0</v>
      </c>
      <c r="BG112" s="12">
        <f t="shared" si="191"/>
        <v>0</v>
      </c>
      <c r="BH112" s="15"/>
      <c r="BI112" s="10"/>
      <c r="BJ112" s="15"/>
      <c r="BK112" s="10"/>
      <c r="BL112" s="15"/>
      <c r="BM112" s="10"/>
      <c r="BN112" s="15"/>
      <c r="BO112" s="10"/>
      <c r="BP112" s="15"/>
      <c r="BQ112" s="10"/>
      <c r="BR112" s="15"/>
      <c r="BS112" s="10"/>
      <c r="BT112" s="15"/>
      <c r="BU112" s="10"/>
      <c r="BV112" s="15"/>
      <c r="BW112" s="10"/>
      <c r="BX112" s="15"/>
      <c r="BY112" s="10"/>
      <c r="BZ112" s="15"/>
      <c r="CA112" s="10"/>
      <c r="CB112" s="15"/>
      <c r="CC112" s="10"/>
      <c r="CD112" s="15"/>
      <c r="CE112" s="10"/>
      <c r="CF112" s="11">
        <f t="shared" si="192"/>
        <v>0</v>
      </c>
      <c r="CG112" s="12">
        <f t="shared" si="193"/>
        <v>0</v>
      </c>
      <c r="CH112" s="17"/>
      <c r="CI112" s="10">
        <f t="shared" si="194"/>
        <v>0</v>
      </c>
      <c r="CJ112" s="15"/>
      <c r="CK112" s="10">
        <f t="shared" si="195"/>
        <v>0</v>
      </c>
      <c r="CL112" s="17"/>
      <c r="CM112" s="10">
        <f t="shared" si="196"/>
        <v>0</v>
      </c>
      <c r="CN112" s="15"/>
      <c r="CO112" s="10">
        <f t="shared" si="197"/>
        <v>0</v>
      </c>
      <c r="CP112" s="15"/>
      <c r="CQ112" s="10">
        <f t="shared" si="198"/>
        <v>0</v>
      </c>
      <c r="CR112" s="15"/>
      <c r="CS112" s="10">
        <f t="shared" si="199"/>
        <v>0</v>
      </c>
      <c r="CT112" s="15"/>
      <c r="CU112" s="10">
        <f t="shared" si="200"/>
        <v>0</v>
      </c>
      <c r="CV112" s="15"/>
      <c r="CW112" s="10">
        <f t="shared" si="201"/>
        <v>0</v>
      </c>
      <c r="CX112" s="15"/>
      <c r="CY112" s="10">
        <f t="shared" si="202"/>
        <v>0</v>
      </c>
      <c r="CZ112" s="15"/>
      <c r="DA112" s="10">
        <f t="shared" si="203"/>
        <v>0</v>
      </c>
      <c r="DB112" s="15"/>
      <c r="DC112" s="10">
        <f t="shared" si="204"/>
        <v>0</v>
      </c>
      <c r="DD112" s="15"/>
      <c r="DE112" s="10">
        <f t="shared" si="204"/>
        <v>0</v>
      </c>
      <c r="DF112" s="231">
        <f t="shared" si="205"/>
        <v>0</v>
      </c>
      <c r="DG112" s="230">
        <f t="shared" si="206"/>
        <v>0</v>
      </c>
      <c r="DH112" s="238"/>
      <c r="DI112" s="239"/>
      <c r="DJ112" s="15"/>
      <c r="DK112" s="239"/>
      <c r="DL112" s="238"/>
      <c r="DM112" s="239"/>
      <c r="DN112" s="238"/>
      <c r="DO112" s="239"/>
      <c r="DP112" s="238"/>
      <c r="DQ112" s="239"/>
      <c r="DR112" s="238"/>
      <c r="DS112" s="239"/>
      <c r="DT112" s="238"/>
      <c r="DU112" s="239"/>
      <c r="DV112" s="238"/>
      <c r="DW112" s="239"/>
      <c r="DX112" s="238"/>
      <c r="DY112" s="239"/>
      <c r="DZ112" s="238"/>
      <c r="EA112" s="239"/>
      <c r="EB112" s="238"/>
      <c r="EC112" s="239"/>
      <c r="ED112" s="238"/>
      <c r="EE112" s="239"/>
      <c r="EF112" s="240">
        <f t="shared" si="332"/>
        <v>0</v>
      </c>
      <c r="EG112" s="239">
        <f t="shared" si="332"/>
        <v>0</v>
      </c>
    </row>
    <row r="113" spans="1:137" ht="19.8">
      <c r="A113" s="7">
        <v>90</v>
      </c>
      <c r="B113" s="8" t="s">
        <v>84</v>
      </c>
      <c r="C113" s="8" t="s">
        <v>11</v>
      </c>
      <c r="D113" s="7">
        <f>RANK(DF113,$DF$4:$DF$147)</f>
        <v>24</v>
      </c>
      <c r="E113" s="7">
        <v>0.7</v>
      </c>
      <c r="F113" s="7" t="s">
        <v>12</v>
      </c>
      <c r="G113" s="7">
        <v>3600</v>
      </c>
      <c r="H113" s="9">
        <v>600</v>
      </c>
      <c r="I113" s="10">
        <f>H113*$E113</f>
        <v>420</v>
      </c>
      <c r="J113" s="9">
        <v>504</v>
      </c>
      <c r="K113" s="10">
        <f>J113*$E113</f>
        <v>352.79999999999995</v>
      </c>
      <c r="L113" s="9">
        <v>480</v>
      </c>
      <c r="M113" s="10">
        <f>L113*$E113</f>
        <v>336</v>
      </c>
      <c r="N113" s="9">
        <v>480</v>
      </c>
      <c r="O113" s="10">
        <f>N113*$E113</f>
        <v>336</v>
      </c>
      <c r="P113" s="9">
        <v>558</v>
      </c>
      <c r="Q113" s="10">
        <f>P113*$E113</f>
        <v>390.59999999999997</v>
      </c>
      <c r="R113" s="9">
        <v>540</v>
      </c>
      <c r="S113" s="10">
        <f t="shared" si="333"/>
        <v>378</v>
      </c>
      <c r="T113" s="9">
        <v>573</v>
      </c>
      <c r="U113" s="10">
        <f>T113*$E113</f>
        <v>401.09999999999997</v>
      </c>
      <c r="V113" s="9">
        <v>432</v>
      </c>
      <c r="W113" s="10">
        <f>V113*$E113</f>
        <v>302.39999999999998</v>
      </c>
      <c r="X113" s="9">
        <v>1245</v>
      </c>
      <c r="Y113" s="10">
        <f>X113*$E113</f>
        <v>871.5</v>
      </c>
      <c r="Z113" s="9">
        <v>1558</v>
      </c>
      <c r="AA113" s="10">
        <f>Z113*$E113</f>
        <v>1090.5999999999999</v>
      </c>
      <c r="AB113" s="9">
        <v>1204</v>
      </c>
      <c r="AC113" s="10">
        <f>AB113*$E113</f>
        <v>842.8</v>
      </c>
      <c r="AD113" s="9">
        <v>2439</v>
      </c>
      <c r="AE113" s="10">
        <f>AD113*$E113</f>
        <v>1707.3</v>
      </c>
      <c r="AF113" s="11">
        <f t="shared" si="266"/>
        <v>10613</v>
      </c>
      <c r="AG113" s="12">
        <f t="shared" si="189"/>
        <v>7429.0999999999995</v>
      </c>
      <c r="AH113" s="9">
        <v>1022</v>
      </c>
      <c r="AI113" s="10">
        <f>AH113*$E113</f>
        <v>715.4</v>
      </c>
      <c r="AJ113" s="9">
        <v>813</v>
      </c>
      <c r="AK113" s="10">
        <f>AJ113*$E113</f>
        <v>569.09999999999991</v>
      </c>
      <c r="AL113" s="9">
        <v>983</v>
      </c>
      <c r="AM113" s="10">
        <f>AL113*$E113</f>
        <v>688.09999999999991</v>
      </c>
      <c r="AN113" s="9">
        <v>888</v>
      </c>
      <c r="AO113" s="10">
        <f>AN113*$E113</f>
        <v>621.59999999999991</v>
      </c>
      <c r="AP113" s="9">
        <v>1153</v>
      </c>
      <c r="AQ113" s="10">
        <f>AP113*$E113</f>
        <v>807.09999999999991</v>
      </c>
      <c r="AR113" s="9">
        <v>1151</v>
      </c>
      <c r="AS113" s="10">
        <f>AR113*$E113</f>
        <v>805.69999999999993</v>
      </c>
      <c r="AT113" s="9">
        <v>1384</v>
      </c>
      <c r="AU113" s="10">
        <f>AT113*$E113</f>
        <v>968.8</v>
      </c>
      <c r="AV113" s="9">
        <v>1265</v>
      </c>
      <c r="AW113" s="10">
        <f>AV113*$E113</f>
        <v>885.5</v>
      </c>
      <c r="AX113" s="9">
        <v>1112</v>
      </c>
      <c r="AY113" s="10">
        <f>AX113*$E113</f>
        <v>778.4</v>
      </c>
      <c r="AZ113" s="9">
        <v>1030</v>
      </c>
      <c r="BA113" s="10">
        <f>AZ113*$E113</f>
        <v>721</v>
      </c>
      <c r="BB113" s="9">
        <v>978</v>
      </c>
      <c r="BC113" s="10">
        <f>BB113*$E113</f>
        <v>684.59999999999991</v>
      </c>
      <c r="BD113" s="9">
        <v>1079</v>
      </c>
      <c r="BE113" s="10">
        <f>BD113*$E113</f>
        <v>755.3</v>
      </c>
      <c r="BF113" s="11">
        <f t="shared" si="190"/>
        <v>12858</v>
      </c>
      <c r="BG113" s="12">
        <f t="shared" si="191"/>
        <v>9000.5999999999985</v>
      </c>
      <c r="BH113" s="13">
        <v>1358</v>
      </c>
      <c r="BI113" s="10">
        <f>BH113*$E113</f>
        <v>950.59999999999991</v>
      </c>
      <c r="BJ113" s="13">
        <v>1566</v>
      </c>
      <c r="BK113" s="10">
        <f>BJ113*$E113</f>
        <v>1096.1999999999998</v>
      </c>
      <c r="BL113" s="13">
        <v>973</v>
      </c>
      <c r="BM113" s="10">
        <f>BL113*$E113</f>
        <v>681.09999999999991</v>
      </c>
      <c r="BN113" s="13">
        <v>1170</v>
      </c>
      <c r="BO113" s="10">
        <f>BN113*$E113</f>
        <v>819</v>
      </c>
      <c r="BP113" s="13">
        <v>1104</v>
      </c>
      <c r="BQ113" s="10">
        <f>BP113*$E113</f>
        <v>772.8</v>
      </c>
      <c r="BR113" s="13">
        <v>1209</v>
      </c>
      <c r="BS113" s="10">
        <f>BR113*$E113</f>
        <v>846.3</v>
      </c>
      <c r="BT113" s="13">
        <v>1513</v>
      </c>
      <c r="BU113" s="10">
        <f>BT113*$E113</f>
        <v>1059.0999999999999</v>
      </c>
      <c r="BV113" s="13">
        <v>1153</v>
      </c>
      <c r="BW113" s="10">
        <f>BV113*$E113</f>
        <v>807.09999999999991</v>
      </c>
      <c r="BX113" s="13">
        <v>618</v>
      </c>
      <c r="BY113" s="10">
        <f>BX113*$E113</f>
        <v>432.59999999999997</v>
      </c>
      <c r="BZ113" s="13">
        <v>673</v>
      </c>
      <c r="CA113" s="10">
        <f>BZ113*$E113</f>
        <v>471.09999999999997</v>
      </c>
      <c r="CB113" s="13">
        <v>649</v>
      </c>
      <c r="CC113" s="10">
        <f>CB113*$E113</f>
        <v>454.29999999999995</v>
      </c>
      <c r="CD113" s="13">
        <v>544</v>
      </c>
      <c r="CE113" s="10">
        <f>CD113*$E113</f>
        <v>380.79999999999995</v>
      </c>
      <c r="CF113" s="11">
        <f t="shared" si="192"/>
        <v>12530</v>
      </c>
      <c r="CG113" s="12">
        <f t="shared" si="193"/>
        <v>8771</v>
      </c>
      <c r="CH113" s="15">
        <v>485</v>
      </c>
      <c r="CI113" s="10">
        <f t="shared" si="194"/>
        <v>339.5</v>
      </c>
      <c r="CJ113" s="15">
        <v>346</v>
      </c>
      <c r="CK113" s="10">
        <f t="shared" si="195"/>
        <v>242.2</v>
      </c>
      <c r="CL113" s="15">
        <v>415</v>
      </c>
      <c r="CM113" s="10">
        <f t="shared" si="196"/>
        <v>290.5</v>
      </c>
      <c r="CN113" s="15">
        <v>254</v>
      </c>
      <c r="CO113" s="10">
        <f t="shared" si="197"/>
        <v>177.79999999999998</v>
      </c>
      <c r="CP113" s="15">
        <v>557</v>
      </c>
      <c r="CQ113" s="10">
        <f t="shared" si="198"/>
        <v>389.9</v>
      </c>
      <c r="CR113" s="15">
        <v>265</v>
      </c>
      <c r="CS113" s="10">
        <f t="shared" si="199"/>
        <v>185.5</v>
      </c>
      <c r="CT113" s="15">
        <v>207</v>
      </c>
      <c r="CU113" s="10">
        <f t="shared" si="200"/>
        <v>144.89999999999998</v>
      </c>
      <c r="CV113" s="15">
        <v>284</v>
      </c>
      <c r="CW113" s="10">
        <f t="shared" si="201"/>
        <v>198.79999999999998</v>
      </c>
      <c r="CX113" s="15">
        <v>235</v>
      </c>
      <c r="CY113" s="10">
        <f t="shared" si="202"/>
        <v>164.5</v>
      </c>
      <c r="CZ113" s="15">
        <v>86</v>
      </c>
      <c r="DA113" s="10">
        <f t="shared" si="203"/>
        <v>60.199999999999996</v>
      </c>
      <c r="DB113" s="15">
        <v>73</v>
      </c>
      <c r="DC113" s="10">
        <f t="shared" si="204"/>
        <v>51.099999999999994</v>
      </c>
      <c r="DD113" s="15">
        <v>165</v>
      </c>
      <c r="DE113" s="10">
        <f t="shared" si="204"/>
        <v>115.49999999999999</v>
      </c>
      <c r="DF113" s="231">
        <f t="shared" si="205"/>
        <v>3372</v>
      </c>
      <c r="DG113" s="230">
        <f t="shared" si="206"/>
        <v>2360.3999999999996</v>
      </c>
      <c r="DH113" s="235">
        <v>188</v>
      </c>
      <c r="DI113" s="241">
        <f t="shared" ref="DI113:DI114" si="334">DH113*$E113</f>
        <v>131.6</v>
      </c>
      <c r="DJ113" s="15">
        <v>219</v>
      </c>
      <c r="DK113" s="239">
        <f t="shared" si="207"/>
        <v>153.29999999999998</v>
      </c>
      <c r="DL113" s="238"/>
      <c r="DM113" s="239">
        <f>DL113*$E113</f>
        <v>0</v>
      </c>
      <c r="DN113" s="238"/>
      <c r="DO113" s="239">
        <f>DN113*$E113</f>
        <v>0</v>
      </c>
      <c r="DP113" s="238"/>
      <c r="DQ113" s="239">
        <f>DP113*$E113</f>
        <v>0</v>
      </c>
      <c r="DR113" s="238"/>
      <c r="DS113" s="239">
        <f>DR113*$E113</f>
        <v>0</v>
      </c>
      <c r="DT113" s="238"/>
      <c r="DU113" s="239">
        <f>DT113*$E113</f>
        <v>0</v>
      </c>
      <c r="DV113" s="238"/>
      <c r="DW113" s="239">
        <f>DV113*$E113</f>
        <v>0</v>
      </c>
      <c r="DX113" s="238"/>
      <c r="DY113" s="239">
        <f>DX113*$E113</f>
        <v>0</v>
      </c>
      <c r="DZ113" s="238"/>
      <c r="EA113" s="239">
        <f>DZ113*$E113</f>
        <v>0</v>
      </c>
      <c r="EB113" s="238"/>
      <c r="EC113" s="239">
        <f>EB113*$E113</f>
        <v>0</v>
      </c>
      <c r="ED113" s="238"/>
      <c r="EE113" s="239">
        <f>ED113*$E113</f>
        <v>0</v>
      </c>
      <c r="EF113" s="240">
        <f t="shared" si="332"/>
        <v>407</v>
      </c>
      <c r="EG113" s="239">
        <f t="shared" si="332"/>
        <v>284.89999999999998</v>
      </c>
    </row>
    <row r="114" spans="1:137" ht="19.8">
      <c r="A114" s="7">
        <v>91</v>
      </c>
      <c r="B114" s="8" t="s">
        <v>85</v>
      </c>
      <c r="C114" s="8" t="s">
        <v>11</v>
      </c>
      <c r="D114" s="7">
        <f>RANK(DF114,$DF$4:$DF$147)</f>
        <v>17</v>
      </c>
      <c r="E114" s="7">
        <v>0.35</v>
      </c>
      <c r="F114" s="7" t="s">
        <v>20</v>
      </c>
      <c r="G114" s="7">
        <v>2100</v>
      </c>
      <c r="H114" s="9">
        <v>24</v>
      </c>
      <c r="I114" s="10">
        <f>H114*$E114</f>
        <v>8.3999999999999986</v>
      </c>
      <c r="J114" s="9"/>
      <c r="K114" s="10">
        <f>J114*$E114</f>
        <v>0</v>
      </c>
      <c r="L114" s="9"/>
      <c r="M114" s="10">
        <f>L114*$E114</f>
        <v>0</v>
      </c>
      <c r="N114" s="9"/>
      <c r="O114" s="10">
        <f>N114*$E114</f>
        <v>0</v>
      </c>
      <c r="P114" s="9"/>
      <c r="Q114" s="10">
        <f>P114*$E114</f>
        <v>0</v>
      </c>
      <c r="R114" s="9"/>
      <c r="S114" s="10">
        <f>R114*$E114</f>
        <v>0</v>
      </c>
      <c r="T114" s="9"/>
      <c r="U114" s="10">
        <f>T114*$E114</f>
        <v>0</v>
      </c>
      <c r="V114" s="9"/>
      <c r="W114" s="10">
        <f>V114*$E114</f>
        <v>0</v>
      </c>
      <c r="X114" s="9">
        <v>1003</v>
      </c>
      <c r="Y114" s="10">
        <f>X114*$E114</f>
        <v>351.04999999999995</v>
      </c>
      <c r="Z114" s="9">
        <v>1485</v>
      </c>
      <c r="AA114" s="10">
        <f>Z114*$E114</f>
        <v>519.75</v>
      </c>
      <c r="AB114" s="9">
        <v>770</v>
      </c>
      <c r="AC114" s="10">
        <f>AB114*$E114</f>
        <v>269.5</v>
      </c>
      <c r="AD114" s="9">
        <v>2649</v>
      </c>
      <c r="AE114" s="10">
        <f>AD114*$E114</f>
        <v>927.15</v>
      </c>
      <c r="AF114" s="11">
        <f t="shared" si="266"/>
        <v>5931</v>
      </c>
      <c r="AG114" s="12">
        <f t="shared" si="189"/>
        <v>2075.85</v>
      </c>
      <c r="AH114" s="9">
        <v>1204</v>
      </c>
      <c r="AI114" s="10">
        <f>AH114*$E114</f>
        <v>421.4</v>
      </c>
      <c r="AJ114" s="9">
        <v>1024</v>
      </c>
      <c r="AK114" s="10">
        <f>AJ114*$E114</f>
        <v>358.4</v>
      </c>
      <c r="AL114" s="9">
        <v>1216</v>
      </c>
      <c r="AM114" s="10">
        <f>AL114*$E114</f>
        <v>425.59999999999997</v>
      </c>
      <c r="AN114" s="9">
        <v>920</v>
      </c>
      <c r="AO114" s="10">
        <f>AN114*$E114</f>
        <v>322</v>
      </c>
      <c r="AP114" s="9">
        <v>1155</v>
      </c>
      <c r="AQ114" s="10">
        <f>AP114*$E114</f>
        <v>404.25</v>
      </c>
      <c r="AR114" s="9">
        <v>1149</v>
      </c>
      <c r="AS114" s="10">
        <f>AR114*$E114</f>
        <v>402.15</v>
      </c>
      <c r="AT114" s="9">
        <v>1210</v>
      </c>
      <c r="AU114" s="10">
        <f>AT114*$E114</f>
        <v>423.5</v>
      </c>
      <c r="AV114" s="9">
        <v>1214</v>
      </c>
      <c r="AW114" s="10">
        <f>AV114*$E114</f>
        <v>424.9</v>
      </c>
      <c r="AX114" s="9">
        <v>1133</v>
      </c>
      <c r="AY114" s="10">
        <f>AX114*$E114</f>
        <v>396.54999999999995</v>
      </c>
      <c r="AZ114" s="9">
        <v>1400</v>
      </c>
      <c r="BA114" s="10">
        <f>AZ114*$E114</f>
        <v>489.99999999999994</v>
      </c>
      <c r="BB114" s="9">
        <v>1162</v>
      </c>
      <c r="BC114" s="10">
        <f>BB114*$E114</f>
        <v>406.7</v>
      </c>
      <c r="BD114" s="9">
        <v>1331</v>
      </c>
      <c r="BE114" s="10">
        <f>BD114*$E114</f>
        <v>465.84999999999997</v>
      </c>
      <c r="BF114" s="11">
        <f t="shared" si="190"/>
        <v>14118</v>
      </c>
      <c r="BG114" s="12">
        <f t="shared" si="191"/>
        <v>4941.2999999999993</v>
      </c>
      <c r="BH114" s="13">
        <v>1743</v>
      </c>
      <c r="BI114" s="10">
        <f>BH114*$E114</f>
        <v>610.04999999999995</v>
      </c>
      <c r="BJ114" s="13">
        <v>1963</v>
      </c>
      <c r="BK114" s="10">
        <f>BJ114*$E114</f>
        <v>687.05</v>
      </c>
      <c r="BL114" s="13">
        <v>1582</v>
      </c>
      <c r="BM114" s="10">
        <f>BL114*$E114</f>
        <v>553.69999999999993</v>
      </c>
      <c r="BN114" s="13">
        <v>2070</v>
      </c>
      <c r="BO114" s="10">
        <f>BN114*$E114</f>
        <v>724.5</v>
      </c>
      <c r="BP114" s="13">
        <v>2727</v>
      </c>
      <c r="BQ114" s="10">
        <f>BP114*$E114</f>
        <v>954.44999999999993</v>
      </c>
      <c r="BR114" s="13">
        <v>3824</v>
      </c>
      <c r="BS114" s="10">
        <f>BR114*$E114</f>
        <v>1338.3999999999999</v>
      </c>
      <c r="BT114" s="13">
        <v>4828</v>
      </c>
      <c r="BU114" s="10">
        <f>BT114*$E114</f>
        <v>1689.8</v>
      </c>
      <c r="BV114" s="13">
        <v>3804</v>
      </c>
      <c r="BW114" s="10">
        <f>BV114*$E114</f>
        <v>1331.3999999999999</v>
      </c>
      <c r="BX114" s="13">
        <v>2042</v>
      </c>
      <c r="BY114" s="10">
        <f>BX114*$E114</f>
        <v>714.69999999999993</v>
      </c>
      <c r="BZ114" s="13">
        <v>1718</v>
      </c>
      <c r="CA114" s="10">
        <f>BZ114*$E114</f>
        <v>601.29999999999995</v>
      </c>
      <c r="CB114" s="13">
        <v>1323</v>
      </c>
      <c r="CC114" s="10">
        <f>CB114*$E114</f>
        <v>463.04999999999995</v>
      </c>
      <c r="CD114" s="13">
        <v>1893</v>
      </c>
      <c r="CE114" s="10">
        <f>CD114*$E114</f>
        <v>662.55</v>
      </c>
      <c r="CF114" s="11">
        <f t="shared" si="192"/>
        <v>29517</v>
      </c>
      <c r="CG114" s="12">
        <f t="shared" si="193"/>
        <v>10330.949999999999</v>
      </c>
      <c r="CH114" s="15">
        <v>2876</v>
      </c>
      <c r="CI114" s="10">
        <f t="shared" si="194"/>
        <v>1006.5999999999999</v>
      </c>
      <c r="CJ114" s="15">
        <v>1892</v>
      </c>
      <c r="CK114" s="10">
        <f t="shared" si="195"/>
        <v>662.19999999999993</v>
      </c>
      <c r="CL114" s="15">
        <v>2293</v>
      </c>
      <c r="CM114" s="10">
        <f t="shared" si="196"/>
        <v>802.55</v>
      </c>
      <c r="CN114" s="15">
        <v>1522</v>
      </c>
      <c r="CO114" s="10">
        <f t="shared" si="197"/>
        <v>532.69999999999993</v>
      </c>
      <c r="CP114" s="15">
        <v>1624</v>
      </c>
      <c r="CQ114" s="10">
        <f t="shared" si="198"/>
        <v>568.4</v>
      </c>
      <c r="CR114" s="15">
        <v>1716</v>
      </c>
      <c r="CS114" s="10">
        <f t="shared" si="199"/>
        <v>600.59999999999991</v>
      </c>
      <c r="CT114" s="15">
        <v>1514</v>
      </c>
      <c r="CU114" s="10">
        <f t="shared" si="200"/>
        <v>529.9</v>
      </c>
      <c r="CV114" s="15">
        <v>974</v>
      </c>
      <c r="CW114" s="10">
        <f t="shared" si="201"/>
        <v>340.9</v>
      </c>
      <c r="CX114" s="15">
        <v>196</v>
      </c>
      <c r="CY114" s="10">
        <f t="shared" si="202"/>
        <v>68.599999999999994</v>
      </c>
      <c r="CZ114" s="15">
        <v>120</v>
      </c>
      <c r="DA114" s="10">
        <f t="shared" si="203"/>
        <v>42</v>
      </c>
      <c r="DB114" s="15">
        <v>126</v>
      </c>
      <c r="DC114" s="10">
        <f t="shared" si="204"/>
        <v>44.099999999999994</v>
      </c>
      <c r="DD114" s="15">
        <v>874</v>
      </c>
      <c r="DE114" s="10">
        <f t="shared" si="204"/>
        <v>305.89999999999998</v>
      </c>
      <c r="DF114" s="231">
        <f t="shared" si="205"/>
        <v>15727</v>
      </c>
      <c r="DG114" s="230">
        <f t="shared" si="206"/>
        <v>5504.45</v>
      </c>
      <c r="DH114" s="235">
        <v>1052</v>
      </c>
      <c r="DI114" s="236">
        <f t="shared" si="334"/>
        <v>368.2</v>
      </c>
      <c r="DJ114" s="15">
        <v>625</v>
      </c>
      <c r="DK114" s="239">
        <f t="shared" si="207"/>
        <v>218.75</v>
      </c>
      <c r="DL114" s="238"/>
      <c r="DM114" s="239">
        <f>DL114*$E114</f>
        <v>0</v>
      </c>
      <c r="DN114" s="238"/>
      <c r="DO114" s="239">
        <f>DN114*$E114</f>
        <v>0</v>
      </c>
      <c r="DP114" s="238"/>
      <c r="DQ114" s="239">
        <f>DP114*$E114</f>
        <v>0</v>
      </c>
      <c r="DR114" s="238"/>
      <c r="DS114" s="239">
        <f>DR114*$E114</f>
        <v>0</v>
      </c>
      <c r="DT114" s="238"/>
      <c r="DU114" s="239">
        <f>DT114*$E114</f>
        <v>0</v>
      </c>
      <c r="DV114" s="238"/>
      <c r="DW114" s="239">
        <f>DV114*$E114</f>
        <v>0</v>
      </c>
      <c r="DX114" s="238"/>
      <c r="DY114" s="239">
        <f>DX114*$E114</f>
        <v>0</v>
      </c>
      <c r="DZ114" s="238"/>
      <c r="EA114" s="239">
        <f>DZ114*$E114</f>
        <v>0</v>
      </c>
      <c r="EB114" s="238"/>
      <c r="EC114" s="239">
        <f>EB114*$E114</f>
        <v>0</v>
      </c>
      <c r="ED114" s="238"/>
      <c r="EE114" s="239">
        <f>ED114*$E114</f>
        <v>0</v>
      </c>
      <c r="EF114" s="240">
        <f t="shared" si="332"/>
        <v>1677</v>
      </c>
      <c r="EG114" s="239">
        <f t="shared" si="332"/>
        <v>586.95000000000005</v>
      </c>
    </row>
    <row r="115" spans="1:137" ht="19.8">
      <c r="A115" s="7"/>
      <c r="B115" s="8"/>
      <c r="C115" s="8"/>
      <c r="D115" s="7"/>
      <c r="E115" s="7"/>
      <c r="F115" s="7"/>
      <c r="G115" s="7"/>
      <c r="H115" s="15"/>
      <c r="I115" s="10">
        <f t="shared" si="220"/>
        <v>0</v>
      </c>
      <c r="J115" s="15"/>
      <c r="K115" s="10">
        <f t="shared" si="221"/>
        <v>0</v>
      </c>
      <c r="L115" s="15"/>
      <c r="M115" s="10">
        <f t="shared" si="222"/>
        <v>0</v>
      </c>
      <c r="N115" s="15"/>
      <c r="O115" s="10">
        <f t="shared" si="223"/>
        <v>0</v>
      </c>
      <c r="P115" s="15"/>
      <c r="Q115" s="10">
        <f t="shared" si="224"/>
        <v>0</v>
      </c>
      <c r="R115" s="15"/>
      <c r="S115" s="10">
        <f t="shared" ref="S115:S146" si="335">R115*$E115</f>
        <v>0</v>
      </c>
      <c r="T115" s="15"/>
      <c r="U115" s="10">
        <f t="shared" si="225"/>
        <v>0</v>
      </c>
      <c r="V115" s="15"/>
      <c r="W115" s="10">
        <f t="shared" si="226"/>
        <v>0</v>
      </c>
      <c r="X115" s="15"/>
      <c r="Y115" s="10">
        <f t="shared" si="227"/>
        <v>0</v>
      </c>
      <c r="Z115" s="15"/>
      <c r="AA115" s="10">
        <f t="shared" si="228"/>
        <v>0</v>
      </c>
      <c r="AB115" s="15"/>
      <c r="AC115" s="10">
        <f t="shared" si="229"/>
        <v>0</v>
      </c>
      <c r="AD115" s="15"/>
      <c r="AE115" s="10">
        <f t="shared" si="230"/>
        <v>0</v>
      </c>
      <c r="AF115" s="11">
        <f t="shared" si="266"/>
        <v>0</v>
      </c>
      <c r="AG115" s="12">
        <f t="shared" si="189"/>
        <v>0</v>
      </c>
      <c r="AH115" s="15"/>
      <c r="AI115" s="10">
        <f t="shared" si="231"/>
        <v>0</v>
      </c>
      <c r="AJ115" s="15"/>
      <c r="AK115" s="10">
        <f t="shared" si="232"/>
        <v>0</v>
      </c>
      <c r="AL115" s="15"/>
      <c r="AM115" s="10">
        <f t="shared" si="233"/>
        <v>0</v>
      </c>
      <c r="AN115" s="15"/>
      <c r="AO115" s="10">
        <f t="shared" si="234"/>
        <v>0</v>
      </c>
      <c r="AP115" s="15"/>
      <c r="AQ115" s="10">
        <f t="shared" si="235"/>
        <v>0</v>
      </c>
      <c r="AR115" s="15"/>
      <c r="AS115" s="10">
        <f t="shared" si="236"/>
        <v>0</v>
      </c>
      <c r="AT115" s="15"/>
      <c r="AU115" s="10">
        <f t="shared" si="237"/>
        <v>0</v>
      </c>
      <c r="AV115" s="15"/>
      <c r="AW115" s="10">
        <f t="shared" si="238"/>
        <v>0</v>
      </c>
      <c r="AX115" s="15"/>
      <c r="AY115" s="10">
        <f t="shared" si="239"/>
        <v>0</v>
      </c>
      <c r="AZ115" s="15"/>
      <c r="BA115" s="10">
        <f t="shared" si="240"/>
        <v>0</v>
      </c>
      <c r="BB115" s="15"/>
      <c r="BC115" s="10">
        <f t="shared" si="241"/>
        <v>0</v>
      </c>
      <c r="BD115" s="15"/>
      <c r="BE115" s="10">
        <f t="shared" si="242"/>
        <v>0</v>
      </c>
      <c r="BF115" s="11">
        <f t="shared" si="190"/>
        <v>0</v>
      </c>
      <c r="BG115" s="12">
        <f t="shared" si="191"/>
        <v>0</v>
      </c>
      <c r="BH115" s="15"/>
      <c r="BI115" s="10">
        <f t="shared" si="243"/>
        <v>0</v>
      </c>
      <c r="BJ115" s="15"/>
      <c r="BK115" s="10">
        <f t="shared" si="244"/>
        <v>0</v>
      </c>
      <c r="BL115" s="15"/>
      <c r="BM115" s="10">
        <f t="shared" si="245"/>
        <v>0</v>
      </c>
      <c r="BN115" s="15"/>
      <c r="BO115" s="10">
        <f t="shared" si="246"/>
        <v>0</v>
      </c>
      <c r="BP115" s="15"/>
      <c r="BQ115" s="10">
        <f t="shared" si="247"/>
        <v>0</v>
      </c>
      <c r="BR115" s="15"/>
      <c r="BS115" s="10">
        <f t="shared" si="248"/>
        <v>0</v>
      </c>
      <c r="BT115" s="15"/>
      <c r="BU115" s="10">
        <f t="shared" si="249"/>
        <v>0</v>
      </c>
      <c r="BV115" s="15"/>
      <c r="BW115" s="10">
        <f t="shared" si="250"/>
        <v>0</v>
      </c>
      <c r="BX115" s="15"/>
      <c r="BY115" s="10">
        <f t="shared" si="251"/>
        <v>0</v>
      </c>
      <c r="BZ115" s="15"/>
      <c r="CA115" s="10">
        <f t="shared" si="252"/>
        <v>0</v>
      </c>
      <c r="CB115" s="15"/>
      <c r="CC115" s="10">
        <f t="shared" si="253"/>
        <v>0</v>
      </c>
      <c r="CD115" s="15"/>
      <c r="CE115" s="10">
        <f t="shared" si="254"/>
        <v>0</v>
      </c>
      <c r="CF115" s="11">
        <f t="shared" si="192"/>
        <v>0</v>
      </c>
      <c r="CG115" s="12">
        <f t="shared" si="193"/>
        <v>0</v>
      </c>
      <c r="CH115" s="15"/>
      <c r="CI115" s="10">
        <f t="shared" si="194"/>
        <v>0</v>
      </c>
      <c r="CJ115" s="15"/>
      <c r="CK115" s="10">
        <f t="shared" si="195"/>
        <v>0</v>
      </c>
      <c r="CL115" s="15"/>
      <c r="CM115" s="10">
        <f t="shared" si="196"/>
        <v>0</v>
      </c>
      <c r="CN115" s="15"/>
      <c r="CO115" s="10">
        <f t="shared" si="197"/>
        <v>0</v>
      </c>
      <c r="CP115" s="15"/>
      <c r="CQ115" s="10">
        <f t="shared" si="198"/>
        <v>0</v>
      </c>
      <c r="CR115" s="15"/>
      <c r="CS115" s="10">
        <f t="shared" si="199"/>
        <v>0</v>
      </c>
      <c r="CT115" s="15"/>
      <c r="CU115" s="10">
        <f t="shared" si="200"/>
        <v>0</v>
      </c>
      <c r="CV115" s="15"/>
      <c r="CW115" s="10">
        <f t="shared" si="201"/>
        <v>0</v>
      </c>
      <c r="CX115" s="15"/>
      <c r="CY115" s="10">
        <f t="shared" si="202"/>
        <v>0</v>
      </c>
      <c r="CZ115" s="15"/>
      <c r="DA115" s="10">
        <f t="shared" si="203"/>
        <v>0</v>
      </c>
      <c r="DB115" s="15"/>
      <c r="DC115" s="10">
        <f t="shared" si="204"/>
        <v>0</v>
      </c>
      <c r="DD115" s="15"/>
      <c r="DE115" s="10">
        <f t="shared" si="204"/>
        <v>0</v>
      </c>
      <c r="DF115" s="231">
        <f t="shared" si="205"/>
        <v>0</v>
      </c>
      <c r="DG115" s="230">
        <f t="shared" si="206"/>
        <v>0</v>
      </c>
      <c r="DH115" s="238"/>
      <c r="DI115" s="239"/>
      <c r="DJ115" s="15"/>
      <c r="DK115" s="239"/>
      <c r="DL115" s="238"/>
      <c r="DM115" s="239"/>
      <c r="DN115" s="238"/>
      <c r="DO115" s="239"/>
      <c r="DP115" s="238"/>
      <c r="DQ115" s="239"/>
      <c r="DR115" s="238"/>
      <c r="DS115" s="239"/>
      <c r="DT115" s="238"/>
      <c r="DU115" s="239"/>
      <c r="DV115" s="238"/>
      <c r="DW115" s="239"/>
      <c r="DX115" s="238"/>
      <c r="DY115" s="239"/>
      <c r="DZ115" s="238"/>
      <c r="EA115" s="239"/>
      <c r="EB115" s="238"/>
      <c r="EC115" s="239"/>
      <c r="ED115" s="238"/>
      <c r="EE115" s="239"/>
      <c r="EF115" s="240">
        <f t="shared" si="332"/>
        <v>0</v>
      </c>
      <c r="EG115" s="239">
        <f t="shared" si="332"/>
        <v>0</v>
      </c>
    </row>
    <row r="116" spans="1:137" ht="19.8">
      <c r="A116" s="7">
        <v>92</v>
      </c>
      <c r="B116" s="8" t="s">
        <v>321</v>
      </c>
      <c r="C116" s="8" t="s">
        <v>14</v>
      </c>
      <c r="D116" s="7">
        <f>RANK(DF116,$DF$4:$DF$147)</f>
        <v>31</v>
      </c>
      <c r="E116" s="7">
        <v>0.75</v>
      </c>
      <c r="F116" s="7" t="s">
        <v>12</v>
      </c>
      <c r="G116" s="7"/>
      <c r="H116" s="15"/>
      <c r="I116" s="10"/>
      <c r="J116" s="15"/>
      <c r="K116" s="10"/>
      <c r="L116" s="15"/>
      <c r="M116" s="10"/>
      <c r="N116" s="15"/>
      <c r="O116" s="10"/>
      <c r="P116" s="15"/>
      <c r="Q116" s="10"/>
      <c r="R116" s="15"/>
      <c r="S116" s="10"/>
      <c r="T116" s="15"/>
      <c r="U116" s="10"/>
      <c r="V116" s="15"/>
      <c r="W116" s="10"/>
      <c r="X116" s="15"/>
      <c r="Y116" s="10"/>
      <c r="Z116" s="15"/>
      <c r="AA116" s="10"/>
      <c r="AB116" s="15"/>
      <c r="AC116" s="10"/>
      <c r="AD116" s="15"/>
      <c r="AE116" s="10"/>
      <c r="AF116" s="11">
        <f t="shared" si="266"/>
        <v>0</v>
      </c>
      <c r="AG116" s="12">
        <f t="shared" si="189"/>
        <v>0</v>
      </c>
      <c r="AH116" s="15"/>
      <c r="AI116" s="10"/>
      <c r="AJ116" s="15"/>
      <c r="AK116" s="10"/>
      <c r="AL116" s="15"/>
      <c r="AM116" s="10"/>
      <c r="AN116" s="15"/>
      <c r="AO116" s="10"/>
      <c r="AP116" s="15"/>
      <c r="AQ116" s="10"/>
      <c r="AR116" s="15"/>
      <c r="AS116" s="10"/>
      <c r="AT116" s="15"/>
      <c r="AU116" s="10"/>
      <c r="AV116" s="15"/>
      <c r="AW116" s="10"/>
      <c r="AX116" s="15"/>
      <c r="AY116" s="10"/>
      <c r="AZ116" s="15"/>
      <c r="BA116" s="10"/>
      <c r="BB116" s="15"/>
      <c r="BC116" s="10"/>
      <c r="BD116" s="15"/>
      <c r="BE116" s="10"/>
      <c r="BF116" s="11">
        <f t="shared" si="190"/>
        <v>0</v>
      </c>
      <c r="BG116" s="12">
        <f t="shared" si="191"/>
        <v>0</v>
      </c>
      <c r="BH116" s="15"/>
      <c r="BI116" s="10"/>
      <c r="BJ116" s="15"/>
      <c r="BK116" s="10"/>
      <c r="BL116" s="15"/>
      <c r="BM116" s="10"/>
      <c r="BN116" s="15"/>
      <c r="BO116" s="10"/>
      <c r="BP116" s="15"/>
      <c r="BQ116" s="10"/>
      <c r="BR116" s="15"/>
      <c r="BS116" s="10"/>
      <c r="BT116" s="15"/>
      <c r="BU116" s="10"/>
      <c r="BV116" s="15"/>
      <c r="BW116" s="10"/>
      <c r="BX116" s="15"/>
      <c r="BY116" s="10"/>
      <c r="BZ116" s="15"/>
      <c r="CA116" s="10"/>
      <c r="CB116" s="15"/>
      <c r="CC116" s="10"/>
      <c r="CD116" s="15"/>
      <c r="CE116" s="10"/>
      <c r="CF116" s="11">
        <f t="shared" si="192"/>
        <v>0</v>
      </c>
      <c r="CG116" s="12">
        <f t="shared" si="193"/>
        <v>0</v>
      </c>
      <c r="CH116" s="15"/>
      <c r="CI116" s="10">
        <f>CH116*$E116</f>
        <v>0</v>
      </c>
      <c r="CJ116" s="15"/>
      <c r="CK116" s="10">
        <f>CJ116*$E116</f>
        <v>0</v>
      </c>
      <c r="CL116" s="15"/>
      <c r="CM116" s="10">
        <f>CL116*$E116</f>
        <v>0</v>
      </c>
      <c r="CN116" s="15"/>
      <c r="CO116" s="10">
        <f>CN116*$E116</f>
        <v>0</v>
      </c>
      <c r="CP116" s="15"/>
      <c r="CQ116" s="10">
        <f>CP116*$E116</f>
        <v>0</v>
      </c>
      <c r="CR116" s="15"/>
      <c r="CS116" s="10">
        <f>CR116*$E116</f>
        <v>0</v>
      </c>
      <c r="CT116" s="15"/>
      <c r="CU116" s="10">
        <f>CT116*$E116</f>
        <v>0</v>
      </c>
      <c r="CV116" s="15"/>
      <c r="CW116" s="10">
        <f>CV116*$E116</f>
        <v>0</v>
      </c>
      <c r="CX116" s="15"/>
      <c r="CY116" s="10">
        <f>CX116*$E116</f>
        <v>0</v>
      </c>
      <c r="CZ116" s="15"/>
      <c r="DA116" s="10">
        <f>CZ116*$E116</f>
        <v>0</v>
      </c>
      <c r="DB116" s="15"/>
      <c r="DC116" s="10">
        <f>DB116*$E116</f>
        <v>0</v>
      </c>
      <c r="DD116" s="15"/>
      <c r="DE116" s="10">
        <f>DD116*$E116</f>
        <v>0</v>
      </c>
      <c r="DF116" s="231">
        <f t="shared" si="205"/>
        <v>0</v>
      </c>
      <c r="DG116" s="230">
        <f>DF116*$E116</f>
        <v>0</v>
      </c>
      <c r="DH116" s="238"/>
      <c r="DI116" s="239"/>
      <c r="DJ116" s="15"/>
      <c r="DK116" s="239"/>
      <c r="DL116" s="238"/>
      <c r="DM116" s="239"/>
      <c r="DN116" s="238"/>
      <c r="DO116" s="239"/>
      <c r="DP116" s="238"/>
      <c r="DQ116" s="239"/>
      <c r="DR116" s="238"/>
      <c r="DS116" s="239"/>
      <c r="DT116" s="238"/>
      <c r="DU116" s="239"/>
      <c r="DV116" s="238"/>
      <c r="DW116" s="239"/>
      <c r="DX116" s="238"/>
      <c r="DY116" s="239"/>
      <c r="DZ116" s="238"/>
      <c r="EA116" s="239"/>
      <c r="EB116" s="238"/>
      <c r="EC116" s="239"/>
      <c r="ED116" s="238"/>
      <c r="EE116" s="239"/>
      <c r="EF116" s="240">
        <f t="shared" si="332"/>
        <v>0</v>
      </c>
      <c r="EG116" s="239">
        <f t="shared" si="332"/>
        <v>0</v>
      </c>
    </row>
    <row r="117" spans="1:137" ht="19.8">
      <c r="A117" s="7">
        <v>93</v>
      </c>
      <c r="B117" s="8" t="s">
        <v>321</v>
      </c>
      <c r="C117" s="8" t="s">
        <v>322</v>
      </c>
      <c r="D117" s="7">
        <f>RANK(DF117,$DF$4:$DF$147)</f>
        <v>31</v>
      </c>
      <c r="E117" s="7">
        <v>0.6</v>
      </c>
      <c r="F117" s="7" t="s">
        <v>12</v>
      </c>
      <c r="G117" s="7">
        <v>835</v>
      </c>
      <c r="H117" s="15"/>
      <c r="I117" s="10"/>
      <c r="J117" s="15"/>
      <c r="K117" s="10"/>
      <c r="L117" s="15"/>
      <c r="M117" s="10"/>
      <c r="N117" s="15"/>
      <c r="O117" s="10"/>
      <c r="P117" s="15"/>
      <c r="Q117" s="10"/>
      <c r="R117" s="15"/>
      <c r="S117" s="10"/>
      <c r="T117" s="15"/>
      <c r="U117" s="10"/>
      <c r="V117" s="15"/>
      <c r="W117" s="10"/>
      <c r="X117" s="15"/>
      <c r="Y117" s="10"/>
      <c r="Z117" s="15"/>
      <c r="AA117" s="10"/>
      <c r="AB117" s="15"/>
      <c r="AC117" s="10"/>
      <c r="AD117" s="15"/>
      <c r="AE117" s="10"/>
      <c r="AF117" s="11">
        <f t="shared" si="266"/>
        <v>0</v>
      </c>
      <c r="AG117" s="12">
        <f t="shared" si="189"/>
        <v>0</v>
      </c>
      <c r="AH117" s="15"/>
      <c r="AI117" s="10"/>
      <c r="AJ117" s="15"/>
      <c r="AK117" s="10"/>
      <c r="AL117" s="15"/>
      <c r="AM117" s="10"/>
      <c r="AN117" s="15"/>
      <c r="AO117" s="10"/>
      <c r="AP117" s="15"/>
      <c r="AQ117" s="10"/>
      <c r="AR117" s="15"/>
      <c r="AS117" s="10"/>
      <c r="AT117" s="15"/>
      <c r="AU117" s="10"/>
      <c r="AV117" s="15"/>
      <c r="AW117" s="10"/>
      <c r="AX117" s="15"/>
      <c r="AY117" s="10"/>
      <c r="AZ117" s="15"/>
      <c r="BA117" s="10"/>
      <c r="BB117" s="15"/>
      <c r="BC117" s="10"/>
      <c r="BD117" s="15"/>
      <c r="BE117" s="10"/>
      <c r="BF117" s="11">
        <f t="shared" si="190"/>
        <v>0</v>
      </c>
      <c r="BG117" s="12">
        <f t="shared" si="191"/>
        <v>0</v>
      </c>
      <c r="BH117" s="15"/>
      <c r="BI117" s="10"/>
      <c r="BJ117" s="15"/>
      <c r="BK117" s="10"/>
      <c r="BL117" s="15"/>
      <c r="BM117" s="10"/>
      <c r="BN117" s="15"/>
      <c r="BO117" s="10"/>
      <c r="BP117" s="15"/>
      <c r="BQ117" s="10"/>
      <c r="BR117" s="15"/>
      <c r="BS117" s="10"/>
      <c r="BT117" s="15"/>
      <c r="BU117" s="10"/>
      <c r="BV117" s="15"/>
      <c r="BW117" s="10"/>
      <c r="BX117" s="15"/>
      <c r="BY117" s="10"/>
      <c r="BZ117" s="15"/>
      <c r="CA117" s="10"/>
      <c r="CB117" s="15"/>
      <c r="CC117" s="10"/>
      <c r="CD117" s="15"/>
      <c r="CE117" s="10"/>
      <c r="CF117" s="11">
        <f t="shared" si="192"/>
        <v>0</v>
      </c>
      <c r="CG117" s="12">
        <f t="shared" si="193"/>
        <v>0</v>
      </c>
      <c r="CH117" s="15"/>
      <c r="CI117" s="10">
        <f t="shared" ref="CI117:CI147" si="336">CH117*$E117</f>
        <v>0</v>
      </c>
      <c r="CJ117" s="15"/>
      <c r="CK117" s="10">
        <f t="shared" ref="CK117:CK147" si="337">CJ117*$E117</f>
        <v>0</v>
      </c>
      <c r="CL117" s="15"/>
      <c r="CM117" s="10">
        <f t="shared" ref="CM117:CM147" si="338">CL117*$E117</f>
        <v>0</v>
      </c>
      <c r="CN117" s="15"/>
      <c r="CO117" s="10">
        <f t="shared" ref="CO117:CO147" si="339">CN117*$E117</f>
        <v>0</v>
      </c>
      <c r="CP117" s="15"/>
      <c r="CQ117" s="10">
        <f t="shared" ref="CQ117:CQ147" si="340">CP117*$E117</f>
        <v>0</v>
      </c>
      <c r="CR117" s="15"/>
      <c r="CS117" s="10">
        <f t="shared" ref="CS117:CS147" si="341">CR117*$E117</f>
        <v>0</v>
      </c>
      <c r="CT117" s="15"/>
      <c r="CU117" s="10">
        <f t="shared" ref="CU117:CU147" si="342">CT117*$E117</f>
        <v>0</v>
      </c>
      <c r="CV117" s="15"/>
      <c r="CW117" s="10">
        <f t="shared" ref="CW117:CW147" si="343">CV117*$E117</f>
        <v>0</v>
      </c>
      <c r="CX117" s="15"/>
      <c r="CY117" s="10">
        <f t="shared" ref="CY117:CY147" si="344">CX117*$E117</f>
        <v>0</v>
      </c>
      <c r="CZ117" s="15"/>
      <c r="DA117" s="10">
        <f t="shared" ref="DA117:DA147" si="345">CZ117*$E117</f>
        <v>0</v>
      </c>
      <c r="DB117" s="15"/>
      <c r="DC117" s="10">
        <f t="shared" ref="DC117:DE147" si="346">DB117*$E117</f>
        <v>0</v>
      </c>
      <c r="DD117" s="15"/>
      <c r="DE117" s="10">
        <f t="shared" si="346"/>
        <v>0</v>
      </c>
      <c r="DF117" s="231">
        <f t="shared" si="205"/>
        <v>0</v>
      </c>
      <c r="DG117" s="230">
        <f t="shared" ref="DG117:DG147" si="347">DF117*$E117</f>
        <v>0</v>
      </c>
      <c r="DH117" s="238"/>
      <c r="DI117" s="239"/>
      <c r="DJ117" s="15"/>
      <c r="DK117" s="239"/>
      <c r="DL117" s="238"/>
      <c r="DM117" s="239"/>
      <c r="DN117" s="238"/>
      <c r="DO117" s="239"/>
      <c r="DP117" s="238"/>
      <c r="DQ117" s="239"/>
      <c r="DR117" s="238"/>
      <c r="DS117" s="239"/>
      <c r="DT117" s="238"/>
      <c r="DU117" s="239"/>
      <c r="DV117" s="238"/>
      <c r="DW117" s="239"/>
      <c r="DX117" s="238"/>
      <c r="DY117" s="239"/>
      <c r="DZ117" s="238"/>
      <c r="EA117" s="239"/>
      <c r="EB117" s="238"/>
      <c r="EC117" s="239"/>
      <c r="ED117" s="238"/>
      <c r="EE117" s="239"/>
      <c r="EF117" s="240">
        <f t="shared" si="332"/>
        <v>0</v>
      </c>
      <c r="EG117" s="239">
        <f t="shared" si="332"/>
        <v>0</v>
      </c>
    </row>
    <row r="118" spans="1:137" ht="19.8">
      <c r="A118" s="7">
        <v>94</v>
      </c>
      <c r="B118" s="8" t="s">
        <v>321</v>
      </c>
      <c r="C118" s="8" t="s">
        <v>11</v>
      </c>
      <c r="D118" s="7">
        <f>RANK(DF118,$DF$4:$DF$147)</f>
        <v>31</v>
      </c>
      <c r="E118" s="7">
        <v>0.64</v>
      </c>
      <c r="F118" s="7" t="s">
        <v>323</v>
      </c>
      <c r="G118" s="7"/>
      <c r="H118" s="15"/>
      <c r="I118" s="10"/>
      <c r="J118" s="15"/>
      <c r="K118" s="10"/>
      <c r="L118" s="15"/>
      <c r="M118" s="10"/>
      <c r="N118" s="15"/>
      <c r="O118" s="10"/>
      <c r="P118" s="15"/>
      <c r="Q118" s="10"/>
      <c r="R118" s="15"/>
      <c r="S118" s="10"/>
      <c r="T118" s="15"/>
      <c r="U118" s="10"/>
      <c r="V118" s="15"/>
      <c r="W118" s="10"/>
      <c r="X118" s="15"/>
      <c r="Y118" s="10"/>
      <c r="Z118" s="15"/>
      <c r="AA118" s="10"/>
      <c r="AB118" s="15"/>
      <c r="AC118" s="10"/>
      <c r="AD118" s="15"/>
      <c r="AE118" s="10"/>
      <c r="AF118" s="11">
        <f t="shared" si="266"/>
        <v>0</v>
      </c>
      <c r="AG118" s="12">
        <f t="shared" si="189"/>
        <v>0</v>
      </c>
      <c r="AH118" s="15"/>
      <c r="AI118" s="10"/>
      <c r="AJ118" s="15"/>
      <c r="AK118" s="10"/>
      <c r="AL118" s="15"/>
      <c r="AM118" s="10"/>
      <c r="AN118" s="15"/>
      <c r="AO118" s="10"/>
      <c r="AP118" s="15"/>
      <c r="AQ118" s="10"/>
      <c r="AR118" s="15"/>
      <c r="AS118" s="10"/>
      <c r="AT118" s="15"/>
      <c r="AU118" s="10"/>
      <c r="AV118" s="15"/>
      <c r="AW118" s="10"/>
      <c r="AX118" s="15"/>
      <c r="AY118" s="10"/>
      <c r="AZ118" s="15"/>
      <c r="BA118" s="10"/>
      <c r="BB118" s="15"/>
      <c r="BC118" s="10"/>
      <c r="BD118" s="15"/>
      <c r="BE118" s="10"/>
      <c r="BF118" s="11">
        <f t="shared" si="190"/>
        <v>0</v>
      </c>
      <c r="BG118" s="12">
        <f t="shared" si="191"/>
        <v>0</v>
      </c>
      <c r="BH118" s="15"/>
      <c r="BI118" s="10"/>
      <c r="BJ118" s="15"/>
      <c r="BK118" s="10"/>
      <c r="BL118" s="15"/>
      <c r="BM118" s="10"/>
      <c r="BN118" s="15"/>
      <c r="BO118" s="10"/>
      <c r="BP118" s="15"/>
      <c r="BQ118" s="10"/>
      <c r="BR118" s="15"/>
      <c r="BS118" s="10"/>
      <c r="BT118" s="15"/>
      <c r="BU118" s="10"/>
      <c r="BV118" s="15"/>
      <c r="BW118" s="10"/>
      <c r="BX118" s="15"/>
      <c r="BY118" s="10"/>
      <c r="BZ118" s="15"/>
      <c r="CA118" s="10"/>
      <c r="CB118" s="15"/>
      <c r="CC118" s="10"/>
      <c r="CD118" s="15"/>
      <c r="CE118" s="10"/>
      <c r="CF118" s="11">
        <f t="shared" si="192"/>
        <v>0</v>
      </c>
      <c r="CG118" s="12">
        <f t="shared" si="193"/>
        <v>0</v>
      </c>
      <c r="CH118" s="15"/>
      <c r="CI118" s="10">
        <f t="shared" si="336"/>
        <v>0</v>
      </c>
      <c r="CJ118" s="15"/>
      <c r="CK118" s="10">
        <f t="shared" si="337"/>
        <v>0</v>
      </c>
      <c r="CL118" s="15"/>
      <c r="CM118" s="10">
        <f t="shared" si="338"/>
        <v>0</v>
      </c>
      <c r="CN118" s="15"/>
      <c r="CO118" s="10">
        <f t="shared" si="339"/>
        <v>0</v>
      </c>
      <c r="CP118" s="15"/>
      <c r="CQ118" s="10">
        <f t="shared" si="340"/>
        <v>0</v>
      </c>
      <c r="CR118" s="15"/>
      <c r="CS118" s="10">
        <f t="shared" si="341"/>
        <v>0</v>
      </c>
      <c r="CT118" s="15"/>
      <c r="CU118" s="10">
        <f t="shared" si="342"/>
        <v>0</v>
      </c>
      <c r="CV118" s="15"/>
      <c r="CW118" s="10">
        <f t="shared" si="343"/>
        <v>0</v>
      </c>
      <c r="CX118" s="15"/>
      <c r="CY118" s="10">
        <f t="shared" si="344"/>
        <v>0</v>
      </c>
      <c r="CZ118" s="15"/>
      <c r="DA118" s="10">
        <f t="shared" si="345"/>
        <v>0</v>
      </c>
      <c r="DB118" s="15"/>
      <c r="DC118" s="10">
        <f t="shared" si="346"/>
        <v>0</v>
      </c>
      <c r="DD118" s="15"/>
      <c r="DE118" s="10">
        <f t="shared" si="346"/>
        <v>0</v>
      </c>
      <c r="DF118" s="231">
        <f t="shared" si="205"/>
        <v>0</v>
      </c>
      <c r="DG118" s="230">
        <f t="shared" si="347"/>
        <v>0</v>
      </c>
      <c r="DH118" s="238"/>
      <c r="DI118" s="239"/>
      <c r="DJ118" s="15"/>
      <c r="DK118" s="239"/>
      <c r="DL118" s="238"/>
      <c r="DM118" s="239"/>
      <c r="DN118" s="238"/>
      <c r="DO118" s="239"/>
      <c r="DP118" s="238"/>
      <c r="DQ118" s="239"/>
      <c r="DR118" s="238"/>
      <c r="DS118" s="239"/>
      <c r="DT118" s="238"/>
      <c r="DU118" s="239"/>
      <c r="DV118" s="238"/>
      <c r="DW118" s="239"/>
      <c r="DX118" s="238"/>
      <c r="DY118" s="239"/>
      <c r="DZ118" s="238"/>
      <c r="EA118" s="239"/>
      <c r="EB118" s="238"/>
      <c r="EC118" s="239"/>
      <c r="ED118" s="238"/>
      <c r="EE118" s="239"/>
      <c r="EF118" s="240">
        <f t="shared" si="332"/>
        <v>0</v>
      </c>
      <c r="EG118" s="239">
        <f t="shared" si="332"/>
        <v>0</v>
      </c>
    </row>
    <row r="119" spans="1:137" ht="19.8">
      <c r="A119" s="7"/>
      <c r="B119" s="8"/>
      <c r="C119" s="8"/>
      <c r="D119" s="7"/>
      <c r="E119" s="7"/>
      <c r="F119" s="7"/>
      <c r="G119" s="7"/>
      <c r="H119" s="15"/>
      <c r="I119" s="10"/>
      <c r="J119" s="15"/>
      <c r="K119" s="10"/>
      <c r="L119" s="15"/>
      <c r="M119" s="10"/>
      <c r="N119" s="15"/>
      <c r="O119" s="10"/>
      <c r="P119" s="15"/>
      <c r="Q119" s="10"/>
      <c r="R119" s="15"/>
      <c r="S119" s="10"/>
      <c r="T119" s="15"/>
      <c r="U119" s="10"/>
      <c r="V119" s="15"/>
      <c r="W119" s="10"/>
      <c r="X119" s="15"/>
      <c r="Y119" s="10"/>
      <c r="Z119" s="15"/>
      <c r="AA119" s="10"/>
      <c r="AB119" s="15"/>
      <c r="AC119" s="10"/>
      <c r="AD119" s="15"/>
      <c r="AE119" s="10"/>
      <c r="AF119" s="11"/>
      <c r="AG119" s="12"/>
      <c r="AH119" s="15"/>
      <c r="AI119" s="10"/>
      <c r="AJ119" s="15"/>
      <c r="AK119" s="10"/>
      <c r="AL119" s="15"/>
      <c r="AM119" s="10"/>
      <c r="AN119" s="15"/>
      <c r="AO119" s="10"/>
      <c r="AP119" s="15"/>
      <c r="AQ119" s="10"/>
      <c r="AR119" s="15"/>
      <c r="AS119" s="10"/>
      <c r="AT119" s="15"/>
      <c r="AU119" s="10"/>
      <c r="AV119" s="15"/>
      <c r="AW119" s="10"/>
      <c r="AX119" s="15"/>
      <c r="AY119" s="10"/>
      <c r="AZ119" s="15"/>
      <c r="BA119" s="10"/>
      <c r="BB119" s="15"/>
      <c r="BC119" s="10"/>
      <c r="BD119" s="15"/>
      <c r="BE119" s="10"/>
      <c r="BF119" s="11"/>
      <c r="BG119" s="12"/>
      <c r="BH119" s="15"/>
      <c r="BI119" s="10"/>
      <c r="BJ119" s="15"/>
      <c r="BK119" s="10"/>
      <c r="BL119" s="15"/>
      <c r="BM119" s="10"/>
      <c r="BN119" s="15"/>
      <c r="BO119" s="10"/>
      <c r="BP119" s="15"/>
      <c r="BQ119" s="10"/>
      <c r="BR119" s="15"/>
      <c r="BS119" s="10"/>
      <c r="BT119" s="15"/>
      <c r="BU119" s="10"/>
      <c r="BV119" s="15"/>
      <c r="BW119" s="10"/>
      <c r="BX119" s="15"/>
      <c r="BY119" s="10"/>
      <c r="BZ119" s="15"/>
      <c r="CA119" s="10"/>
      <c r="CB119" s="15"/>
      <c r="CC119" s="10"/>
      <c r="CD119" s="15"/>
      <c r="CE119" s="10"/>
      <c r="CF119" s="11"/>
      <c r="CG119" s="12"/>
      <c r="CH119" s="15"/>
      <c r="CI119" s="10"/>
      <c r="CJ119" s="15"/>
      <c r="CK119" s="10"/>
      <c r="CL119" s="15"/>
      <c r="CM119" s="10"/>
      <c r="CN119" s="15"/>
      <c r="CO119" s="10"/>
      <c r="CP119" s="15"/>
      <c r="CQ119" s="10"/>
      <c r="CR119" s="15"/>
      <c r="CS119" s="10"/>
      <c r="CT119" s="15"/>
      <c r="CU119" s="10"/>
      <c r="CV119" s="15"/>
      <c r="CW119" s="10"/>
      <c r="CX119" s="15"/>
      <c r="CY119" s="10"/>
      <c r="CZ119" s="15"/>
      <c r="DA119" s="10"/>
      <c r="DB119" s="15"/>
      <c r="DC119" s="10"/>
      <c r="DD119" s="15"/>
      <c r="DE119" s="10"/>
      <c r="DF119" s="231">
        <f t="shared" si="205"/>
        <v>0</v>
      </c>
      <c r="DG119" s="230"/>
      <c r="DH119" s="238"/>
      <c r="DI119" s="239"/>
      <c r="DJ119" s="15"/>
      <c r="DK119" s="239"/>
      <c r="DL119" s="238"/>
      <c r="DM119" s="239"/>
      <c r="DN119" s="238"/>
      <c r="DO119" s="239"/>
      <c r="DP119" s="238"/>
      <c r="DQ119" s="239"/>
      <c r="DR119" s="238"/>
      <c r="DS119" s="239"/>
      <c r="DT119" s="238"/>
      <c r="DU119" s="239"/>
      <c r="DV119" s="238"/>
      <c r="DW119" s="239"/>
      <c r="DX119" s="238"/>
      <c r="DY119" s="239"/>
      <c r="DZ119" s="238"/>
      <c r="EA119" s="239"/>
      <c r="EB119" s="238"/>
      <c r="EC119" s="239"/>
      <c r="ED119" s="238"/>
      <c r="EE119" s="239"/>
      <c r="EF119" s="240"/>
      <c r="EG119" s="239"/>
    </row>
    <row r="120" spans="1:137" ht="19.8">
      <c r="A120" s="7">
        <v>95</v>
      </c>
      <c r="B120" s="8" t="s">
        <v>91</v>
      </c>
      <c r="C120" s="8" t="s">
        <v>11</v>
      </c>
      <c r="D120" s="7">
        <f>RANK(DF120,$DF$4:$DF$147)</f>
        <v>21</v>
      </c>
      <c r="E120" s="7">
        <v>0.64</v>
      </c>
      <c r="F120" s="7" t="s">
        <v>22</v>
      </c>
      <c r="G120" s="7">
        <v>1350</v>
      </c>
      <c r="H120" s="9">
        <v>980</v>
      </c>
      <c r="I120" s="10">
        <f>H120*$E120</f>
        <v>627.20000000000005</v>
      </c>
      <c r="J120" s="9"/>
      <c r="K120" s="10">
        <f>J120*$E120</f>
        <v>0</v>
      </c>
      <c r="L120" s="9">
        <v>350</v>
      </c>
      <c r="M120" s="10">
        <f>L120*$E120</f>
        <v>224</v>
      </c>
      <c r="N120" s="9">
        <v>2520</v>
      </c>
      <c r="O120" s="10">
        <f>N120*$E120</f>
        <v>1612.8</v>
      </c>
      <c r="P120" s="9"/>
      <c r="Q120" s="10">
        <f>P120*$E120</f>
        <v>0</v>
      </c>
      <c r="R120" s="9">
        <v>280</v>
      </c>
      <c r="S120" s="10">
        <f>R120*$E120</f>
        <v>179.20000000000002</v>
      </c>
      <c r="T120" s="9">
        <v>22078</v>
      </c>
      <c r="U120" s="10">
        <f>T120*$E120</f>
        <v>14129.92</v>
      </c>
      <c r="V120" s="9">
        <v>140</v>
      </c>
      <c r="W120" s="10">
        <f>V120*$E120</f>
        <v>89.600000000000009</v>
      </c>
      <c r="X120" s="9">
        <v>420</v>
      </c>
      <c r="Y120" s="10">
        <f>X120*$E120</f>
        <v>268.8</v>
      </c>
      <c r="Z120" s="9">
        <v>420</v>
      </c>
      <c r="AA120" s="10">
        <f>Z120*$E120</f>
        <v>268.8</v>
      </c>
      <c r="AB120" s="9">
        <v>1820</v>
      </c>
      <c r="AC120" s="10">
        <f>AB120*$E120</f>
        <v>1164.8</v>
      </c>
      <c r="AD120" s="9"/>
      <c r="AE120" s="10">
        <f>AD120*$E120</f>
        <v>0</v>
      </c>
      <c r="AF120" s="11">
        <f>(AD120+AB120+Z120+X120+V120+T120+R120+P120+N120+L120+J120+H120)/1</f>
        <v>29008</v>
      </c>
      <c r="AG120" s="12">
        <f>AF120*$E120</f>
        <v>18565.12</v>
      </c>
      <c r="AH120" s="9">
        <v>1050</v>
      </c>
      <c r="AI120" s="10">
        <f>AH120*$E120</f>
        <v>672</v>
      </c>
      <c r="AJ120" s="9"/>
      <c r="AK120" s="10">
        <f>AJ120*$E120</f>
        <v>0</v>
      </c>
      <c r="AL120" s="9"/>
      <c r="AM120" s="10">
        <f>AL120*$E120</f>
        <v>0</v>
      </c>
      <c r="AN120" s="9">
        <v>280</v>
      </c>
      <c r="AO120" s="10">
        <f>AN120*$E120</f>
        <v>179.20000000000002</v>
      </c>
      <c r="AP120" s="9">
        <v>280</v>
      </c>
      <c r="AQ120" s="10">
        <f>AP120*$E120</f>
        <v>179.20000000000002</v>
      </c>
      <c r="AR120" s="9"/>
      <c r="AS120" s="10">
        <f>AR120*$E120</f>
        <v>0</v>
      </c>
      <c r="AT120" s="9">
        <v>840</v>
      </c>
      <c r="AU120" s="10">
        <f>AT120*$E120</f>
        <v>537.6</v>
      </c>
      <c r="AV120" s="9">
        <v>420</v>
      </c>
      <c r="AW120" s="10">
        <f>AV120*$E120</f>
        <v>268.8</v>
      </c>
      <c r="AX120" s="9"/>
      <c r="AY120" s="10">
        <f>AX120*$E120</f>
        <v>0</v>
      </c>
      <c r="AZ120" s="9">
        <v>1120</v>
      </c>
      <c r="BA120" s="10">
        <f>AZ120*$E120</f>
        <v>716.80000000000007</v>
      </c>
      <c r="BB120" s="9">
        <v>420</v>
      </c>
      <c r="BC120" s="10">
        <f>BB120*$E120</f>
        <v>268.8</v>
      </c>
      <c r="BD120" s="9">
        <v>280</v>
      </c>
      <c r="BE120" s="10">
        <f>BD120*$E120</f>
        <v>179.20000000000002</v>
      </c>
      <c r="BF120" s="11">
        <f>(BD120+BB120+AZ120+AX120+AV120+AT120+AR120+AP120+AN120+AL120+AJ120+AH120)/1</f>
        <v>4690</v>
      </c>
      <c r="BG120" s="12">
        <f>BF120*$E120</f>
        <v>3001.6</v>
      </c>
      <c r="BH120" s="13">
        <v>574</v>
      </c>
      <c r="BI120" s="10">
        <f>BH120*$E120</f>
        <v>367.36</v>
      </c>
      <c r="BJ120" s="13">
        <v>0</v>
      </c>
      <c r="BK120" s="10">
        <f>BJ120*$E120</f>
        <v>0</v>
      </c>
      <c r="BL120" s="13">
        <v>980</v>
      </c>
      <c r="BM120" s="10">
        <f>BL120*$E120</f>
        <v>627.20000000000005</v>
      </c>
      <c r="BN120" s="13">
        <v>280</v>
      </c>
      <c r="BO120" s="10">
        <f>BN120*$E120</f>
        <v>179.20000000000002</v>
      </c>
      <c r="BP120" s="13">
        <v>280</v>
      </c>
      <c r="BQ120" s="10">
        <f>BP120*$E120</f>
        <v>179.20000000000002</v>
      </c>
      <c r="BR120" s="13">
        <v>33950</v>
      </c>
      <c r="BS120" s="10">
        <f>BR120*$E120</f>
        <v>21728</v>
      </c>
      <c r="BT120" s="13">
        <v>420</v>
      </c>
      <c r="BU120" s="10">
        <f>BT120*$E120</f>
        <v>268.8</v>
      </c>
      <c r="BV120" s="13">
        <v>280</v>
      </c>
      <c r="BW120" s="10">
        <f>BV120*$E120</f>
        <v>179.20000000000002</v>
      </c>
      <c r="BX120" s="13">
        <v>420</v>
      </c>
      <c r="BY120" s="10">
        <f>BX120*$E120</f>
        <v>268.8</v>
      </c>
      <c r="BZ120" s="13">
        <v>1260</v>
      </c>
      <c r="CA120" s="10">
        <f>BZ120*$E120</f>
        <v>806.4</v>
      </c>
      <c r="CB120" s="13">
        <v>1136</v>
      </c>
      <c r="CC120" s="10">
        <f>CB120*$E120</f>
        <v>727.04</v>
      </c>
      <c r="CD120" s="14">
        <v>168</v>
      </c>
      <c r="CE120" s="10">
        <f>CD120*$E120</f>
        <v>107.52</v>
      </c>
      <c r="CF120" s="11">
        <f>(CD120+CB120+BZ120+BX120+BV120+BT120+BR120+BP120+BN120+BL120+BJ120+BH120)/1</f>
        <v>39748</v>
      </c>
      <c r="CG120" s="12">
        <f>CF120*$E120</f>
        <v>25438.720000000001</v>
      </c>
      <c r="CH120" s="15">
        <v>1120</v>
      </c>
      <c r="CI120" s="10">
        <f>CH120*$E120</f>
        <v>716.80000000000007</v>
      </c>
      <c r="CJ120" s="15">
        <v>420</v>
      </c>
      <c r="CK120" s="10">
        <f>CJ120*$E120</f>
        <v>268.8</v>
      </c>
      <c r="CL120" s="15">
        <v>420</v>
      </c>
      <c r="CM120" s="10">
        <f>CL120*$E120</f>
        <v>268.8</v>
      </c>
      <c r="CN120" s="15"/>
      <c r="CO120" s="10">
        <f>CN120*$E120</f>
        <v>0</v>
      </c>
      <c r="CP120" s="15">
        <v>280</v>
      </c>
      <c r="CQ120" s="10">
        <f>CP120*$E120</f>
        <v>179.20000000000002</v>
      </c>
      <c r="CR120" s="15">
        <v>280</v>
      </c>
      <c r="CS120" s="10">
        <f>CR120*$E120</f>
        <v>179.20000000000002</v>
      </c>
      <c r="CT120" s="15">
        <v>420</v>
      </c>
      <c r="CU120" s="10">
        <f>CT120*$E120</f>
        <v>268.8</v>
      </c>
      <c r="CV120" s="15">
        <v>420</v>
      </c>
      <c r="CW120" s="10">
        <f>CV120*$E120</f>
        <v>268.8</v>
      </c>
      <c r="CX120" s="15"/>
      <c r="CY120" s="10">
        <f>CX120*$E120</f>
        <v>0</v>
      </c>
      <c r="CZ120" s="15">
        <v>700</v>
      </c>
      <c r="DA120" s="10">
        <f>CZ120*$E120</f>
        <v>448</v>
      </c>
      <c r="DB120" s="15">
        <v>700</v>
      </c>
      <c r="DC120" s="10">
        <f>DB120*$E120</f>
        <v>448</v>
      </c>
      <c r="DD120" s="15">
        <v>840</v>
      </c>
      <c r="DE120" s="10">
        <f>DD120*$E120</f>
        <v>537.6</v>
      </c>
      <c r="DF120" s="231">
        <f t="shared" si="205"/>
        <v>5600</v>
      </c>
      <c r="DG120" s="230">
        <f>DF120*$E120</f>
        <v>3584</v>
      </c>
      <c r="DH120" s="238">
        <v>420</v>
      </c>
      <c r="DI120" s="239">
        <f>DH120*$E120</f>
        <v>268.8</v>
      </c>
      <c r="DJ120" s="15">
        <v>140</v>
      </c>
      <c r="DK120" s="239">
        <f>DJ120*$E120</f>
        <v>89.600000000000009</v>
      </c>
      <c r="DL120" s="238"/>
      <c r="DM120" s="239">
        <f>DL120*$E120</f>
        <v>0</v>
      </c>
      <c r="DN120" s="238"/>
      <c r="DO120" s="239">
        <f>DN120*$E120</f>
        <v>0</v>
      </c>
      <c r="DP120" s="238"/>
      <c r="DQ120" s="239">
        <f>DP120*$E120</f>
        <v>0</v>
      </c>
      <c r="DR120" s="238"/>
      <c r="DS120" s="239">
        <f>DR120*$E120</f>
        <v>0</v>
      </c>
      <c r="DT120" s="238"/>
      <c r="DU120" s="239">
        <f>DT120*$E120</f>
        <v>0</v>
      </c>
      <c r="DV120" s="238"/>
      <c r="DW120" s="239">
        <f>DV120*$E120</f>
        <v>0</v>
      </c>
      <c r="DX120" s="238"/>
      <c r="DY120" s="239">
        <f>DX120*$E120</f>
        <v>0</v>
      </c>
      <c r="DZ120" s="238"/>
      <c r="EA120" s="239">
        <f>DZ120*$E120</f>
        <v>0</v>
      </c>
      <c r="EB120" s="238"/>
      <c r="EC120" s="239">
        <f>EB120*$E120</f>
        <v>0</v>
      </c>
      <c r="ED120" s="238"/>
      <c r="EE120" s="239">
        <f>ED120*$E120</f>
        <v>0</v>
      </c>
      <c r="EF120" s="240">
        <f>SUM(DH120,DJ120,DL120,DN120,DP120,DR120,DT120,DV120,DX120,DZ120,EB120,ED120)</f>
        <v>560</v>
      </c>
      <c r="EG120" s="239">
        <f>SUM(DI120,DK120,DM120,DO120,DQ120,DS120,DU120,DW120,DY120,EA120,EC120,EE120)</f>
        <v>358.40000000000003</v>
      </c>
    </row>
    <row r="121" spans="1:137" ht="19.8">
      <c r="A121" s="7">
        <v>96</v>
      </c>
      <c r="B121" s="8" t="s">
        <v>91</v>
      </c>
      <c r="C121" s="8" t="s">
        <v>322</v>
      </c>
      <c r="D121" s="7">
        <v>31</v>
      </c>
      <c r="E121" s="7">
        <v>1</v>
      </c>
      <c r="F121" s="7" t="s">
        <v>35</v>
      </c>
      <c r="G121" s="7"/>
      <c r="H121" s="15"/>
      <c r="I121" s="10"/>
      <c r="J121" s="15"/>
      <c r="K121" s="10"/>
      <c r="L121" s="15"/>
      <c r="M121" s="10"/>
      <c r="N121" s="15"/>
      <c r="O121" s="10"/>
      <c r="P121" s="15"/>
      <c r="Q121" s="10"/>
      <c r="R121" s="15"/>
      <c r="S121" s="10"/>
      <c r="T121" s="15"/>
      <c r="U121" s="10"/>
      <c r="V121" s="15"/>
      <c r="W121" s="10"/>
      <c r="X121" s="15"/>
      <c r="Y121" s="10"/>
      <c r="Z121" s="15"/>
      <c r="AA121" s="10"/>
      <c r="AB121" s="15"/>
      <c r="AC121" s="10"/>
      <c r="AD121" s="15"/>
      <c r="AE121" s="10"/>
      <c r="AF121" s="11"/>
      <c r="AG121" s="12"/>
      <c r="AH121" s="15"/>
      <c r="AI121" s="10"/>
      <c r="AJ121" s="15"/>
      <c r="AK121" s="10"/>
      <c r="AL121" s="15"/>
      <c r="AM121" s="10"/>
      <c r="AN121" s="15"/>
      <c r="AO121" s="10"/>
      <c r="AP121" s="15"/>
      <c r="AQ121" s="10"/>
      <c r="AR121" s="15"/>
      <c r="AS121" s="10"/>
      <c r="AT121" s="15"/>
      <c r="AU121" s="10"/>
      <c r="AV121" s="15"/>
      <c r="AW121" s="10"/>
      <c r="AX121" s="15"/>
      <c r="AY121" s="10"/>
      <c r="AZ121" s="15"/>
      <c r="BA121" s="10"/>
      <c r="BB121" s="15"/>
      <c r="BC121" s="10"/>
      <c r="BD121" s="15"/>
      <c r="BE121" s="10"/>
      <c r="BF121" s="11"/>
      <c r="BG121" s="12"/>
      <c r="BH121" s="15"/>
      <c r="BI121" s="10"/>
      <c r="BJ121" s="15"/>
      <c r="BK121" s="10"/>
      <c r="BL121" s="15"/>
      <c r="BM121" s="10"/>
      <c r="BN121" s="15"/>
      <c r="BO121" s="10"/>
      <c r="BP121" s="15"/>
      <c r="BQ121" s="10"/>
      <c r="BR121" s="15"/>
      <c r="BS121" s="10"/>
      <c r="BT121" s="15"/>
      <c r="BU121" s="10"/>
      <c r="BV121" s="15"/>
      <c r="BW121" s="10"/>
      <c r="BX121" s="15"/>
      <c r="BY121" s="10"/>
      <c r="BZ121" s="15"/>
      <c r="CA121" s="10"/>
      <c r="CB121" s="15"/>
      <c r="CC121" s="10"/>
      <c r="CD121" s="15"/>
      <c r="CE121" s="10"/>
      <c r="CF121" s="11"/>
      <c r="CG121" s="12"/>
      <c r="CH121" s="15"/>
      <c r="CI121" s="10"/>
      <c r="CJ121" s="15"/>
      <c r="CK121" s="10"/>
      <c r="CL121" s="15"/>
      <c r="CM121" s="10"/>
      <c r="CN121" s="15"/>
      <c r="CO121" s="10">
        <v>0</v>
      </c>
      <c r="CP121" s="15"/>
      <c r="CQ121" s="10"/>
      <c r="CR121" s="15"/>
      <c r="CS121" s="10"/>
      <c r="CT121" s="15"/>
      <c r="CU121" s="10"/>
      <c r="CV121" s="15"/>
      <c r="CW121" s="10"/>
      <c r="CX121" s="15"/>
      <c r="CY121" s="10">
        <v>0</v>
      </c>
      <c r="CZ121" s="15"/>
      <c r="DA121" s="10"/>
      <c r="DB121" s="15"/>
      <c r="DC121" s="10"/>
      <c r="DD121" s="15"/>
      <c r="DE121" s="10"/>
      <c r="DF121" s="231">
        <f t="shared" si="205"/>
        <v>0</v>
      </c>
      <c r="DG121" s="230"/>
      <c r="DH121" s="238"/>
      <c r="DI121" s="239"/>
      <c r="DJ121" s="15"/>
      <c r="DK121" s="239"/>
      <c r="DL121" s="238"/>
      <c r="DM121" s="239"/>
      <c r="DN121" s="238"/>
      <c r="DO121" s="239"/>
      <c r="DP121" s="238"/>
      <c r="DQ121" s="239"/>
      <c r="DR121" s="238"/>
      <c r="DS121" s="239"/>
      <c r="DT121" s="238"/>
      <c r="DU121" s="239"/>
      <c r="DV121" s="238"/>
      <c r="DW121" s="239"/>
      <c r="DX121" s="238"/>
      <c r="DY121" s="239"/>
      <c r="DZ121" s="238"/>
      <c r="EA121" s="239"/>
      <c r="EB121" s="238"/>
      <c r="EC121" s="239"/>
      <c r="ED121" s="238"/>
      <c r="EE121" s="239"/>
      <c r="EF121" s="240"/>
      <c r="EG121" s="239"/>
    </row>
    <row r="122" spans="1:137" ht="19.8">
      <c r="A122" s="7"/>
      <c r="B122" s="8"/>
      <c r="C122" s="8"/>
      <c r="D122" s="7"/>
      <c r="E122" s="7"/>
      <c r="F122" s="7"/>
      <c r="G122" s="7"/>
      <c r="H122" s="15"/>
      <c r="I122" s="10"/>
      <c r="J122" s="15"/>
      <c r="K122" s="10"/>
      <c r="L122" s="15"/>
      <c r="M122" s="10"/>
      <c r="N122" s="15"/>
      <c r="O122" s="10"/>
      <c r="P122" s="15"/>
      <c r="Q122" s="10"/>
      <c r="R122" s="15"/>
      <c r="S122" s="10"/>
      <c r="T122" s="15"/>
      <c r="U122" s="10"/>
      <c r="V122" s="15"/>
      <c r="W122" s="10"/>
      <c r="X122" s="15"/>
      <c r="Y122" s="10"/>
      <c r="Z122" s="15"/>
      <c r="AA122" s="10"/>
      <c r="AB122" s="15"/>
      <c r="AC122" s="10"/>
      <c r="AD122" s="15"/>
      <c r="AE122" s="10"/>
      <c r="AF122" s="11"/>
      <c r="AG122" s="12"/>
      <c r="AH122" s="15"/>
      <c r="AI122" s="10"/>
      <c r="AJ122" s="15"/>
      <c r="AK122" s="10"/>
      <c r="AL122" s="15"/>
      <c r="AM122" s="10"/>
      <c r="AN122" s="15"/>
      <c r="AO122" s="10"/>
      <c r="AP122" s="15"/>
      <c r="AQ122" s="10"/>
      <c r="AR122" s="15"/>
      <c r="AS122" s="10"/>
      <c r="AT122" s="15"/>
      <c r="AU122" s="10"/>
      <c r="AV122" s="15"/>
      <c r="AW122" s="10"/>
      <c r="AX122" s="15"/>
      <c r="AY122" s="10"/>
      <c r="AZ122" s="15"/>
      <c r="BA122" s="10"/>
      <c r="BB122" s="15"/>
      <c r="BC122" s="10"/>
      <c r="BD122" s="15"/>
      <c r="BE122" s="10"/>
      <c r="BF122" s="11"/>
      <c r="BG122" s="12"/>
      <c r="BH122" s="15"/>
      <c r="BI122" s="10"/>
      <c r="BJ122" s="15"/>
      <c r="BK122" s="10"/>
      <c r="BL122" s="15"/>
      <c r="BM122" s="10"/>
      <c r="BN122" s="15"/>
      <c r="BO122" s="10"/>
      <c r="BP122" s="15"/>
      <c r="BQ122" s="10"/>
      <c r="BR122" s="15"/>
      <c r="BS122" s="10"/>
      <c r="BT122" s="15"/>
      <c r="BU122" s="10"/>
      <c r="BV122" s="15"/>
      <c r="BW122" s="10"/>
      <c r="BX122" s="15"/>
      <c r="BY122" s="10"/>
      <c r="BZ122" s="15"/>
      <c r="CA122" s="10"/>
      <c r="CB122" s="15"/>
      <c r="CC122" s="10"/>
      <c r="CD122" s="15"/>
      <c r="CE122" s="10"/>
      <c r="CF122" s="11"/>
      <c r="CG122" s="12"/>
      <c r="CH122" s="15"/>
      <c r="CI122" s="10"/>
      <c r="CJ122" s="15"/>
      <c r="CK122" s="10"/>
      <c r="CL122" s="15"/>
      <c r="CM122" s="10"/>
      <c r="CN122" s="15"/>
      <c r="CO122" s="10"/>
      <c r="CP122" s="15"/>
      <c r="CQ122" s="10"/>
      <c r="CR122" s="15"/>
      <c r="CS122" s="10"/>
      <c r="CT122" s="15"/>
      <c r="CU122" s="10"/>
      <c r="CV122" s="15"/>
      <c r="CW122" s="10"/>
      <c r="CX122" s="15"/>
      <c r="CY122" s="10"/>
      <c r="CZ122" s="15"/>
      <c r="DA122" s="10"/>
      <c r="DB122" s="15"/>
      <c r="DC122" s="10"/>
      <c r="DD122" s="15"/>
      <c r="DE122" s="10"/>
      <c r="DF122" s="231">
        <f t="shared" si="205"/>
        <v>0</v>
      </c>
      <c r="DG122" s="230"/>
      <c r="DH122" s="238"/>
      <c r="DI122" s="239"/>
      <c r="DJ122" s="15"/>
      <c r="DK122" s="239"/>
      <c r="DL122" s="238"/>
      <c r="DM122" s="239"/>
      <c r="DN122" s="238"/>
      <c r="DO122" s="239"/>
      <c r="DP122" s="238"/>
      <c r="DQ122" s="239"/>
      <c r="DR122" s="238"/>
      <c r="DS122" s="239"/>
      <c r="DT122" s="238"/>
      <c r="DU122" s="239"/>
      <c r="DV122" s="238"/>
      <c r="DW122" s="239"/>
      <c r="DX122" s="238"/>
      <c r="DY122" s="239"/>
      <c r="DZ122" s="238"/>
      <c r="EA122" s="239"/>
      <c r="EB122" s="238"/>
      <c r="EC122" s="239"/>
      <c r="ED122" s="238"/>
      <c r="EE122" s="239"/>
      <c r="EF122" s="240"/>
      <c r="EG122" s="239"/>
    </row>
    <row r="123" spans="1:137" ht="19.8">
      <c r="A123" s="7">
        <v>97</v>
      </c>
      <c r="B123" s="8" t="s">
        <v>324</v>
      </c>
      <c r="C123" s="8" t="s">
        <v>322</v>
      </c>
      <c r="D123" s="7">
        <f>RANK(DF123,$DF$4:$DF$147)</f>
        <v>31</v>
      </c>
      <c r="E123" s="7">
        <v>1</v>
      </c>
      <c r="F123" s="7" t="s">
        <v>149</v>
      </c>
      <c r="G123" s="7">
        <v>2170</v>
      </c>
      <c r="H123" s="15"/>
      <c r="I123" s="10"/>
      <c r="J123" s="15"/>
      <c r="K123" s="10"/>
      <c r="L123" s="15"/>
      <c r="M123" s="10"/>
      <c r="N123" s="15"/>
      <c r="O123" s="10"/>
      <c r="P123" s="15"/>
      <c r="Q123" s="10"/>
      <c r="R123" s="15"/>
      <c r="S123" s="10"/>
      <c r="T123" s="15"/>
      <c r="U123" s="10"/>
      <c r="V123" s="15"/>
      <c r="W123" s="10"/>
      <c r="X123" s="15"/>
      <c r="Y123" s="10"/>
      <c r="Z123" s="15"/>
      <c r="AA123" s="10"/>
      <c r="AB123" s="15"/>
      <c r="AC123" s="10"/>
      <c r="AD123" s="15"/>
      <c r="AE123" s="10"/>
      <c r="AF123" s="11"/>
      <c r="AG123" s="12"/>
      <c r="AH123" s="15"/>
      <c r="AI123" s="10"/>
      <c r="AJ123" s="15"/>
      <c r="AK123" s="10"/>
      <c r="AL123" s="15"/>
      <c r="AM123" s="10"/>
      <c r="AN123" s="15"/>
      <c r="AO123" s="10"/>
      <c r="AP123" s="15"/>
      <c r="AQ123" s="10"/>
      <c r="AR123" s="15"/>
      <c r="AS123" s="10"/>
      <c r="AT123" s="15"/>
      <c r="AU123" s="10"/>
      <c r="AV123" s="15"/>
      <c r="AW123" s="10"/>
      <c r="AX123" s="15"/>
      <c r="AY123" s="10"/>
      <c r="AZ123" s="15"/>
      <c r="BA123" s="10"/>
      <c r="BB123" s="15"/>
      <c r="BC123" s="10"/>
      <c r="BD123" s="15"/>
      <c r="BE123" s="10"/>
      <c r="BF123" s="11"/>
      <c r="BG123" s="12"/>
      <c r="BH123" s="15"/>
      <c r="BI123" s="10"/>
      <c r="BJ123" s="15"/>
      <c r="BK123" s="10"/>
      <c r="BL123" s="15"/>
      <c r="BM123" s="10"/>
      <c r="BN123" s="15"/>
      <c r="BO123" s="10"/>
      <c r="BP123" s="15"/>
      <c r="BQ123" s="10"/>
      <c r="BR123" s="15"/>
      <c r="BS123" s="10"/>
      <c r="BT123" s="15"/>
      <c r="BU123" s="10"/>
      <c r="BV123" s="15"/>
      <c r="BW123" s="10"/>
      <c r="BX123" s="15"/>
      <c r="BY123" s="10"/>
      <c r="BZ123" s="15"/>
      <c r="CA123" s="10"/>
      <c r="CB123" s="15"/>
      <c r="CC123" s="10"/>
      <c r="CD123" s="15"/>
      <c r="CE123" s="10"/>
      <c r="CF123" s="11"/>
      <c r="CG123" s="12"/>
      <c r="CH123" s="15"/>
      <c r="CI123" s="10">
        <f t="shared" si="336"/>
        <v>0</v>
      </c>
      <c r="CJ123" s="15"/>
      <c r="CK123" s="10">
        <f t="shared" si="337"/>
        <v>0</v>
      </c>
      <c r="CL123" s="15"/>
      <c r="CM123" s="10">
        <f t="shared" si="338"/>
        <v>0</v>
      </c>
      <c r="CN123" s="15"/>
      <c r="CO123" s="10">
        <f t="shared" ref="CO123:CO129" si="348">CN123*$E123</f>
        <v>0</v>
      </c>
      <c r="CP123" s="15"/>
      <c r="CQ123" s="10">
        <f t="shared" ref="CQ123:CQ129" si="349">CP123*$E123</f>
        <v>0</v>
      </c>
      <c r="CR123" s="15"/>
      <c r="CS123" s="10">
        <f t="shared" ref="CS123:CS129" si="350">CR123*$E123</f>
        <v>0</v>
      </c>
      <c r="CT123" s="15"/>
      <c r="CU123" s="10">
        <f t="shared" ref="CU123:CU129" si="351">CT123*$E123</f>
        <v>0</v>
      </c>
      <c r="CV123" s="15"/>
      <c r="CW123" s="10">
        <f t="shared" ref="CW123:CW129" si="352">CV123*$E123</f>
        <v>0</v>
      </c>
      <c r="CX123" s="15"/>
      <c r="CY123" s="10">
        <f t="shared" ref="CY123:CY129" si="353">CX123*$E123</f>
        <v>0</v>
      </c>
      <c r="CZ123" s="15"/>
      <c r="DA123" s="10">
        <f t="shared" ref="DA123:DA129" si="354">CZ123*$E123</f>
        <v>0</v>
      </c>
      <c r="DB123" s="15"/>
      <c r="DC123" s="10">
        <f t="shared" ref="DC123:DC129" si="355">DB123*$E123</f>
        <v>0</v>
      </c>
      <c r="DD123" s="15"/>
      <c r="DE123" s="10">
        <f t="shared" ref="DE123:DE129" si="356">DD123*$E123</f>
        <v>0</v>
      </c>
      <c r="DF123" s="231">
        <f t="shared" si="205"/>
        <v>0</v>
      </c>
      <c r="DG123" s="230">
        <f t="shared" ref="DG123:DG129" si="357">DF123*$E123</f>
        <v>0</v>
      </c>
      <c r="DH123" s="238"/>
      <c r="DI123" s="239"/>
      <c r="DJ123" s="15"/>
      <c r="DK123" s="239"/>
      <c r="DL123" s="238"/>
      <c r="DM123" s="239"/>
      <c r="DN123" s="238"/>
      <c r="DO123" s="239"/>
      <c r="DP123" s="238"/>
      <c r="DQ123" s="239"/>
      <c r="DR123" s="238"/>
      <c r="DS123" s="239"/>
      <c r="DT123" s="238"/>
      <c r="DU123" s="239"/>
      <c r="DV123" s="238"/>
      <c r="DW123" s="239">
        <f t="shared" ref="DW123:DW128" si="358">DV123*$E123</f>
        <v>0</v>
      </c>
      <c r="DX123" s="238"/>
      <c r="DY123" s="239"/>
      <c r="DZ123" s="238"/>
      <c r="EA123" s="239"/>
      <c r="EB123" s="238"/>
      <c r="EC123" s="239"/>
      <c r="ED123" s="238"/>
      <c r="EE123" s="239"/>
      <c r="EF123" s="240">
        <f t="shared" ref="EF123:EG146" si="359">SUM(DH123,DJ123,DL123,DN123,DP123,DR123,DT123,DV123,DX123,DZ123,EB123,ED123)</f>
        <v>0</v>
      </c>
      <c r="EG123" s="239">
        <f t="shared" si="359"/>
        <v>0</v>
      </c>
    </row>
    <row r="124" spans="1:137" ht="19.8">
      <c r="A124" s="7">
        <v>98</v>
      </c>
      <c r="B124" s="8" t="s">
        <v>326</v>
      </c>
      <c r="C124" s="8" t="s">
        <v>322</v>
      </c>
      <c r="D124" s="7">
        <f>RANK(DF124,$DF$4:$DF$147)</f>
        <v>31</v>
      </c>
      <c r="E124" s="7">
        <v>1</v>
      </c>
      <c r="F124" s="7" t="s">
        <v>149</v>
      </c>
      <c r="G124" s="7"/>
      <c r="H124" s="15"/>
      <c r="I124" s="10"/>
      <c r="J124" s="15"/>
      <c r="K124" s="10"/>
      <c r="L124" s="15"/>
      <c r="M124" s="10"/>
      <c r="N124" s="15"/>
      <c r="O124" s="10"/>
      <c r="P124" s="15"/>
      <c r="Q124" s="10"/>
      <c r="R124" s="15"/>
      <c r="S124" s="10"/>
      <c r="T124" s="15"/>
      <c r="U124" s="10"/>
      <c r="V124" s="15"/>
      <c r="W124" s="10"/>
      <c r="X124" s="15"/>
      <c r="Y124" s="10"/>
      <c r="Z124" s="15"/>
      <c r="AA124" s="10"/>
      <c r="AB124" s="15"/>
      <c r="AC124" s="10"/>
      <c r="AD124" s="15"/>
      <c r="AE124" s="10"/>
      <c r="AF124" s="11"/>
      <c r="AG124" s="12"/>
      <c r="AH124" s="15"/>
      <c r="AI124" s="10"/>
      <c r="AJ124" s="15"/>
      <c r="AK124" s="10"/>
      <c r="AL124" s="15"/>
      <c r="AM124" s="10"/>
      <c r="AN124" s="15"/>
      <c r="AO124" s="10"/>
      <c r="AP124" s="15"/>
      <c r="AQ124" s="10"/>
      <c r="AR124" s="15"/>
      <c r="AS124" s="10"/>
      <c r="AT124" s="15"/>
      <c r="AU124" s="10"/>
      <c r="AV124" s="15"/>
      <c r="AW124" s="10"/>
      <c r="AX124" s="15"/>
      <c r="AY124" s="10"/>
      <c r="AZ124" s="15"/>
      <c r="BA124" s="10"/>
      <c r="BB124" s="15"/>
      <c r="BC124" s="10"/>
      <c r="BD124" s="15"/>
      <c r="BE124" s="10"/>
      <c r="BF124" s="11"/>
      <c r="BG124" s="12"/>
      <c r="BH124" s="15"/>
      <c r="BI124" s="10"/>
      <c r="BJ124" s="15"/>
      <c r="BK124" s="10"/>
      <c r="BL124" s="15"/>
      <c r="BM124" s="10"/>
      <c r="BN124" s="15"/>
      <c r="BO124" s="10"/>
      <c r="BP124" s="15"/>
      <c r="BQ124" s="10"/>
      <c r="BR124" s="15"/>
      <c r="BS124" s="10"/>
      <c r="BT124" s="15"/>
      <c r="BU124" s="10"/>
      <c r="BV124" s="15"/>
      <c r="BW124" s="10"/>
      <c r="BX124" s="15"/>
      <c r="BY124" s="10"/>
      <c r="BZ124" s="15"/>
      <c r="CA124" s="10"/>
      <c r="CB124" s="15"/>
      <c r="CC124" s="10"/>
      <c r="CD124" s="15"/>
      <c r="CE124" s="10"/>
      <c r="CF124" s="11"/>
      <c r="CG124" s="12"/>
      <c r="CH124" s="15"/>
      <c r="CI124" s="10">
        <f t="shared" si="336"/>
        <v>0</v>
      </c>
      <c r="CJ124" s="15"/>
      <c r="CK124" s="10">
        <f t="shared" si="337"/>
        <v>0</v>
      </c>
      <c r="CL124" s="15"/>
      <c r="CM124" s="10">
        <f t="shared" si="338"/>
        <v>0</v>
      </c>
      <c r="CN124" s="15"/>
      <c r="CO124" s="10">
        <f t="shared" si="348"/>
        <v>0</v>
      </c>
      <c r="CP124" s="15"/>
      <c r="CQ124" s="10">
        <f t="shared" si="349"/>
        <v>0</v>
      </c>
      <c r="CR124" s="15"/>
      <c r="CS124" s="10">
        <f t="shared" si="350"/>
        <v>0</v>
      </c>
      <c r="CT124" s="15"/>
      <c r="CU124" s="10">
        <f t="shared" si="351"/>
        <v>0</v>
      </c>
      <c r="CV124" s="15"/>
      <c r="CW124" s="10">
        <f t="shared" si="352"/>
        <v>0</v>
      </c>
      <c r="CX124" s="15"/>
      <c r="CY124" s="10">
        <f t="shared" si="353"/>
        <v>0</v>
      </c>
      <c r="CZ124" s="15"/>
      <c r="DA124" s="10">
        <f t="shared" si="354"/>
        <v>0</v>
      </c>
      <c r="DB124" s="15"/>
      <c r="DC124" s="10">
        <f t="shared" si="355"/>
        <v>0</v>
      </c>
      <c r="DD124" s="15"/>
      <c r="DE124" s="10">
        <f t="shared" si="356"/>
        <v>0</v>
      </c>
      <c r="DF124" s="231">
        <f t="shared" si="205"/>
        <v>0</v>
      </c>
      <c r="DG124" s="230">
        <f t="shared" si="357"/>
        <v>0</v>
      </c>
      <c r="DH124" s="238"/>
      <c r="DI124" s="239">
        <f t="shared" ref="DI124:DI137" si="360">DH124*$E124</f>
        <v>0</v>
      </c>
      <c r="DJ124" s="15"/>
      <c r="DK124" s="239"/>
      <c r="DL124" s="238"/>
      <c r="DM124" s="239"/>
      <c r="DN124" s="238"/>
      <c r="DO124" s="239"/>
      <c r="DP124" s="238"/>
      <c r="DQ124" s="239"/>
      <c r="DR124" s="238"/>
      <c r="DS124" s="239"/>
      <c r="DT124" s="238"/>
      <c r="DU124" s="239"/>
      <c r="DV124" s="238"/>
      <c r="DW124" s="239">
        <f t="shared" si="358"/>
        <v>0</v>
      </c>
      <c r="DX124" s="238"/>
      <c r="DY124" s="239"/>
      <c r="DZ124" s="238"/>
      <c r="EA124" s="239"/>
      <c r="EB124" s="238"/>
      <c r="EC124" s="239"/>
      <c r="ED124" s="238"/>
      <c r="EE124" s="239"/>
      <c r="EF124" s="240">
        <f t="shared" si="359"/>
        <v>0</v>
      </c>
      <c r="EG124" s="239">
        <f t="shared" si="359"/>
        <v>0</v>
      </c>
    </row>
    <row r="125" spans="1:137" ht="19.8">
      <c r="A125" s="7">
        <v>99</v>
      </c>
      <c r="B125" s="8" t="s">
        <v>332</v>
      </c>
      <c r="C125" s="8"/>
      <c r="D125" s="7">
        <f t="shared" ref="D125:D126" si="361">RANK(DF125,$DF$4:$DF$147)</f>
        <v>31</v>
      </c>
      <c r="E125" s="7"/>
      <c r="F125" s="7"/>
      <c r="G125" s="7"/>
      <c r="H125" s="15"/>
      <c r="I125" s="10"/>
      <c r="J125" s="15"/>
      <c r="K125" s="10"/>
      <c r="L125" s="15"/>
      <c r="M125" s="10"/>
      <c r="N125" s="15"/>
      <c r="O125" s="10"/>
      <c r="P125" s="15"/>
      <c r="Q125" s="10"/>
      <c r="R125" s="15"/>
      <c r="S125" s="10"/>
      <c r="T125" s="15"/>
      <c r="U125" s="10"/>
      <c r="V125" s="15"/>
      <c r="W125" s="10"/>
      <c r="X125" s="15"/>
      <c r="Y125" s="10"/>
      <c r="Z125" s="15"/>
      <c r="AA125" s="10"/>
      <c r="AB125" s="15"/>
      <c r="AC125" s="10"/>
      <c r="AD125" s="15"/>
      <c r="AE125" s="10"/>
      <c r="AF125" s="11"/>
      <c r="AG125" s="12"/>
      <c r="AH125" s="15"/>
      <c r="AI125" s="10"/>
      <c r="AJ125" s="15"/>
      <c r="AK125" s="10"/>
      <c r="AL125" s="15"/>
      <c r="AM125" s="10"/>
      <c r="AN125" s="15"/>
      <c r="AO125" s="10"/>
      <c r="AP125" s="15"/>
      <c r="AQ125" s="10"/>
      <c r="AR125" s="15"/>
      <c r="AS125" s="10"/>
      <c r="AT125" s="15"/>
      <c r="AU125" s="10"/>
      <c r="AV125" s="15"/>
      <c r="AW125" s="10"/>
      <c r="AX125" s="15"/>
      <c r="AY125" s="10"/>
      <c r="AZ125" s="15"/>
      <c r="BA125" s="10"/>
      <c r="BB125" s="15"/>
      <c r="BC125" s="10"/>
      <c r="BD125" s="15"/>
      <c r="BE125" s="10"/>
      <c r="BF125" s="11"/>
      <c r="BG125" s="12"/>
      <c r="BH125" s="15"/>
      <c r="BI125" s="10"/>
      <c r="BJ125" s="15"/>
      <c r="BK125" s="10"/>
      <c r="BL125" s="15"/>
      <c r="BM125" s="10"/>
      <c r="BN125" s="15"/>
      <c r="BO125" s="10"/>
      <c r="BP125" s="15"/>
      <c r="BQ125" s="10"/>
      <c r="BR125" s="15"/>
      <c r="BS125" s="10"/>
      <c r="BT125" s="15"/>
      <c r="BU125" s="10"/>
      <c r="BV125" s="15"/>
      <c r="BW125" s="10"/>
      <c r="BX125" s="15"/>
      <c r="BY125" s="10"/>
      <c r="BZ125" s="15"/>
      <c r="CA125" s="10"/>
      <c r="CB125" s="15"/>
      <c r="CC125" s="10"/>
      <c r="CD125" s="15"/>
      <c r="CE125" s="10"/>
      <c r="CF125" s="11"/>
      <c r="CG125" s="12"/>
      <c r="CH125" s="15"/>
      <c r="CI125" s="10"/>
      <c r="CJ125" s="15"/>
      <c r="CK125" s="10"/>
      <c r="CL125" s="15"/>
      <c r="CM125" s="10"/>
      <c r="CN125" s="15"/>
      <c r="CO125" s="10"/>
      <c r="CP125" s="15"/>
      <c r="CQ125" s="10"/>
      <c r="CR125" s="15"/>
      <c r="CS125" s="10"/>
      <c r="CT125" s="15"/>
      <c r="CU125" s="10"/>
      <c r="CV125" s="15"/>
      <c r="CW125" s="10"/>
      <c r="CX125" s="15"/>
      <c r="CY125" s="10"/>
      <c r="CZ125" s="15"/>
      <c r="DA125" s="10"/>
      <c r="DB125" s="15"/>
      <c r="DC125" s="10"/>
      <c r="DD125" s="15"/>
      <c r="DE125" s="10"/>
      <c r="DF125" s="231"/>
      <c r="DG125" s="230"/>
      <c r="DH125" s="238"/>
      <c r="DI125" s="239"/>
      <c r="DJ125" s="15"/>
      <c r="DK125" s="239"/>
      <c r="DL125" s="238"/>
      <c r="DM125" s="239"/>
      <c r="DN125" s="238"/>
      <c r="DO125" s="239"/>
      <c r="DP125" s="238"/>
      <c r="DQ125" s="239"/>
      <c r="DR125" s="238"/>
      <c r="DS125" s="239"/>
      <c r="DT125" s="238"/>
      <c r="DU125" s="239"/>
      <c r="DV125" s="238"/>
      <c r="DW125" s="239"/>
      <c r="DX125" s="238"/>
      <c r="DY125" s="239"/>
      <c r="DZ125" s="238"/>
      <c r="EA125" s="239"/>
      <c r="EB125" s="238"/>
      <c r="EC125" s="239"/>
      <c r="ED125" s="238"/>
      <c r="EE125" s="239"/>
      <c r="EF125" s="240"/>
      <c r="EG125" s="239"/>
    </row>
    <row r="126" spans="1:137" ht="19.8">
      <c r="A126" s="7">
        <v>100</v>
      </c>
      <c r="B126" s="8" t="s">
        <v>333</v>
      </c>
      <c r="C126" s="8"/>
      <c r="D126" s="7">
        <f t="shared" si="361"/>
        <v>31</v>
      </c>
      <c r="E126" s="7"/>
      <c r="F126" s="7"/>
      <c r="G126" s="7"/>
      <c r="H126" s="15"/>
      <c r="I126" s="10"/>
      <c r="J126" s="15"/>
      <c r="K126" s="10"/>
      <c r="L126" s="15"/>
      <c r="M126" s="10"/>
      <c r="N126" s="15"/>
      <c r="O126" s="10"/>
      <c r="P126" s="15"/>
      <c r="Q126" s="10"/>
      <c r="R126" s="15"/>
      <c r="S126" s="10"/>
      <c r="T126" s="15"/>
      <c r="U126" s="10"/>
      <c r="V126" s="15"/>
      <c r="W126" s="10"/>
      <c r="X126" s="15"/>
      <c r="Y126" s="10"/>
      <c r="Z126" s="15"/>
      <c r="AA126" s="10"/>
      <c r="AB126" s="15"/>
      <c r="AC126" s="10"/>
      <c r="AD126" s="15"/>
      <c r="AE126" s="10"/>
      <c r="AF126" s="11"/>
      <c r="AG126" s="12"/>
      <c r="AH126" s="15"/>
      <c r="AI126" s="10"/>
      <c r="AJ126" s="15"/>
      <c r="AK126" s="10"/>
      <c r="AL126" s="15"/>
      <c r="AM126" s="10"/>
      <c r="AN126" s="15"/>
      <c r="AO126" s="10"/>
      <c r="AP126" s="15"/>
      <c r="AQ126" s="10"/>
      <c r="AR126" s="15"/>
      <c r="AS126" s="10"/>
      <c r="AT126" s="15"/>
      <c r="AU126" s="10"/>
      <c r="AV126" s="15"/>
      <c r="AW126" s="10"/>
      <c r="AX126" s="15"/>
      <c r="AY126" s="10"/>
      <c r="AZ126" s="15"/>
      <c r="BA126" s="10"/>
      <c r="BB126" s="15"/>
      <c r="BC126" s="10"/>
      <c r="BD126" s="15"/>
      <c r="BE126" s="10"/>
      <c r="BF126" s="11"/>
      <c r="BG126" s="12"/>
      <c r="BH126" s="15"/>
      <c r="BI126" s="10"/>
      <c r="BJ126" s="15"/>
      <c r="BK126" s="10"/>
      <c r="BL126" s="15"/>
      <c r="BM126" s="10"/>
      <c r="BN126" s="15"/>
      <c r="BO126" s="10"/>
      <c r="BP126" s="15"/>
      <c r="BQ126" s="10"/>
      <c r="BR126" s="15"/>
      <c r="BS126" s="10"/>
      <c r="BT126" s="15"/>
      <c r="BU126" s="10"/>
      <c r="BV126" s="15"/>
      <c r="BW126" s="10"/>
      <c r="BX126" s="15"/>
      <c r="BY126" s="10"/>
      <c r="BZ126" s="15"/>
      <c r="CA126" s="10"/>
      <c r="CB126" s="15"/>
      <c r="CC126" s="10"/>
      <c r="CD126" s="15"/>
      <c r="CE126" s="10"/>
      <c r="CF126" s="11"/>
      <c r="CG126" s="12"/>
      <c r="CH126" s="15"/>
      <c r="CI126" s="10"/>
      <c r="CJ126" s="15"/>
      <c r="CK126" s="10"/>
      <c r="CL126" s="15"/>
      <c r="CM126" s="10"/>
      <c r="CN126" s="15"/>
      <c r="CO126" s="10"/>
      <c r="CP126" s="15"/>
      <c r="CQ126" s="10"/>
      <c r="CR126" s="15"/>
      <c r="CS126" s="10"/>
      <c r="CT126" s="15"/>
      <c r="CU126" s="10"/>
      <c r="CV126" s="15"/>
      <c r="CW126" s="10"/>
      <c r="CX126" s="15"/>
      <c r="CY126" s="10"/>
      <c r="CZ126" s="15"/>
      <c r="DA126" s="10"/>
      <c r="DB126" s="15"/>
      <c r="DC126" s="10"/>
      <c r="DD126" s="15"/>
      <c r="DE126" s="10"/>
      <c r="DF126" s="231"/>
      <c r="DG126" s="230"/>
      <c r="DH126" s="238"/>
      <c r="DI126" s="239"/>
      <c r="DJ126" s="15"/>
      <c r="DK126" s="239"/>
      <c r="DL126" s="238"/>
      <c r="DM126" s="239"/>
      <c r="DN126" s="238"/>
      <c r="DO126" s="239"/>
      <c r="DP126" s="238"/>
      <c r="DQ126" s="239"/>
      <c r="DR126" s="238"/>
      <c r="DS126" s="239"/>
      <c r="DT126" s="238"/>
      <c r="DU126" s="239"/>
      <c r="DV126" s="238"/>
      <c r="DW126" s="239"/>
      <c r="DX126" s="238"/>
      <c r="DY126" s="239"/>
      <c r="DZ126" s="238"/>
      <c r="EA126" s="239"/>
      <c r="EB126" s="238"/>
      <c r="EC126" s="239"/>
      <c r="ED126" s="238"/>
      <c r="EE126" s="239"/>
      <c r="EF126" s="240"/>
      <c r="EG126" s="239"/>
    </row>
    <row r="127" spans="1:137" ht="19.8">
      <c r="A127" s="7">
        <v>101</v>
      </c>
      <c r="B127" s="8" t="s">
        <v>325</v>
      </c>
      <c r="C127" s="8" t="s">
        <v>322</v>
      </c>
      <c r="D127" s="7">
        <f t="shared" ref="D127:D139" si="362">RANK(DF127,$DF$4:$DF$147)</f>
        <v>22</v>
      </c>
      <c r="E127" s="7">
        <v>1</v>
      </c>
      <c r="F127" s="7" t="s">
        <v>138</v>
      </c>
      <c r="G127" s="7">
        <v>1850</v>
      </c>
      <c r="H127" s="15"/>
      <c r="I127" s="10"/>
      <c r="J127" s="15"/>
      <c r="K127" s="10"/>
      <c r="L127" s="15"/>
      <c r="M127" s="10"/>
      <c r="N127" s="15"/>
      <c r="O127" s="10"/>
      <c r="P127" s="15"/>
      <c r="Q127" s="10"/>
      <c r="R127" s="15"/>
      <c r="S127" s="10"/>
      <c r="T127" s="15"/>
      <c r="U127" s="10"/>
      <c r="V127" s="15"/>
      <c r="W127" s="10"/>
      <c r="X127" s="15"/>
      <c r="Y127" s="10"/>
      <c r="Z127" s="15"/>
      <c r="AA127" s="10"/>
      <c r="AB127" s="15"/>
      <c r="AC127" s="10"/>
      <c r="AD127" s="15"/>
      <c r="AE127" s="10"/>
      <c r="AF127" s="11"/>
      <c r="AG127" s="12"/>
      <c r="AH127" s="15"/>
      <c r="AI127" s="10"/>
      <c r="AJ127" s="15"/>
      <c r="AK127" s="10"/>
      <c r="AL127" s="15"/>
      <c r="AM127" s="10"/>
      <c r="AN127" s="15"/>
      <c r="AO127" s="10"/>
      <c r="AP127" s="15"/>
      <c r="AQ127" s="10"/>
      <c r="AR127" s="15"/>
      <c r="AS127" s="10"/>
      <c r="AT127" s="15"/>
      <c r="AU127" s="10"/>
      <c r="AV127" s="15"/>
      <c r="AW127" s="10"/>
      <c r="AX127" s="15"/>
      <c r="AY127" s="10"/>
      <c r="AZ127" s="15"/>
      <c r="BA127" s="10"/>
      <c r="BB127" s="15"/>
      <c r="BC127" s="10"/>
      <c r="BD127" s="15"/>
      <c r="BE127" s="10"/>
      <c r="BF127" s="11"/>
      <c r="BG127" s="12"/>
      <c r="BH127" s="15"/>
      <c r="BI127" s="10"/>
      <c r="BJ127" s="15"/>
      <c r="BK127" s="10"/>
      <c r="BL127" s="15"/>
      <c r="BM127" s="10"/>
      <c r="BN127" s="15"/>
      <c r="BO127" s="10"/>
      <c r="BP127" s="15"/>
      <c r="BQ127" s="10"/>
      <c r="BR127" s="15"/>
      <c r="BS127" s="10"/>
      <c r="BT127" s="15"/>
      <c r="BU127" s="10"/>
      <c r="BV127" s="15"/>
      <c r="BW127" s="10"/>
      <c r="BX127" s="15"/>
      <c r="BY127" s="10"/>
      <c r="BZ127" s="15"/>
      <c r="CA127" s="10"/>
      <c r="CB127" s="15"/>
      <c r="CC127" s="10"/>
      <c r="CD127" s="15"/>
      <c r="CE127" s="10"/>
      <c r="CF127" s="11"/>
      <c r="CG127" s="12"/>
      <c r="CH127" s="15"/>
      <c r="CI127" s="10">
        <f t="shared" si="336"/>
        <v>0</v>
      </c>
      <c r="CJ127" s="15"/>
      <c r="CK127" s="10">
        <f t="shared" si="337"/>
        <v>0</v>
      </c>
      <c r="CL127" s="15"/>
      <c r="CM127" s="10">
        <f t="shared" si="338"/>
        <v>0</v>
      </c>
      <c r="CN127" s="15"/>
      <c r="CO127" s="10">
        <f t="shared" si="348"/>
        <v>0</v>
      </c>
      <c r="CP127" s="15"/>
      <c r="CQ127" s="10">
        <f t="shared" si="349"/>
        <v>0</v>
      </c>
      <c r="CR127" s="15"/>
      <c r="CS127" s="10">
        <f t="shared" si="350"/>
        <v>0</v>
      </c>
      <c r="CT127" s="15"/>
      <c r="CU127" s="10">
        <f t="shared" si="351"/>
        <v>0</v>
      </c>
      <c r="CV127" s="15">
        <v>67</v>
      </c>
      <c r="CW127" s="10">
        <f t="shared" si="352"/>
        <v>67</v>
      </c>
      <c r="CX127" s="15">
        <v>1473</v>
      </c>
      <c r="CY127" s="10">
        <f t="shared" si="353"/>
        <v>1473</v>
      </c>
      <c r="CZ127" s="15">
        <v>1898</v>
      </c>
      <c r="DA127" s="10">
        <f t="shared" si="354"/>
        <v>1898</v>
      </c>
      <c r="DB127" s="15">
        <v>1113</v>
      </c>
      <c r="DC127" s="10">
        <f t="shared" si="355"/>
        <v>1113</v>
      </c>
      <c r="DD127" s="15">
        <v>938</v>
      </c>
      <c r="DE127" s="10">
        <f t="shared" si="356"/>
        <v>938</v>
      </c>
      <c r="DF127" s="231">
        <f t="shared" si="205"/>
        <v>5489</v>
      </c>
      <c r="DG127" s="230">
        <f t="shared" si="357"/>
        <v>5489</v>
      </c>
      <c r="DH127" s="238">
        <v>934</v>
      </c>
      <c r="DI127" s="239">
        <f t="shared" si="360"/>
        <v>934</v>
      </c>
      <c r="DJ127" s="15">
        <v>1172</v>
      </c>
      <c r="DK127" s="239">
        <f t="shared" ref="DK127:DK129" si="363">DJ127*$E127</f>
        <v>1172</v>
      </c>
      <c r="DL127" s="238"/>
      <c r="DM127" s="239"/>
      <c r="DN127" s="238"/>
      <c r="DO127" s="239"/>
      <c r="DP127" s="238"/>
      <c r="DQ127" s="239"/>
      <c r="DR127" s="238"/>
      <c r="DS127" s="239"/>
      <c r="DT127" s="238"/>
      <c r="DU127" s="239"/>
      <c r="DV127" s="238"/>
      <c r="DW127" s="239">
        <f t="shared" si="358"/>
        <v>0</v>
      </c>
      <c r="DX127" s="238"/>
      <c r="DY127" s="239"/>
      <c r="DZ127" s="238"/>
      <c r="EA127" s="239"/>
      <c r="EB127" s="238"/>
      <c r="EC127" s="239"/>
      <c r="ED127" s="238"/>
      <c r="EE127" s="239"/>
      <c r="EF127" s="240">
        <f t="shared" si="359"/>
        <v>2106</v>
      </c>
      <c r="EG127" s="239">
        <f t="shared" si="359"/>
        <v>2106</v>
      </c>
    </row>
    <row r="128" spans="1:137" ht="19.8">
      <c r="A128" s="7">
        <v>102</v>
      </c>
      <c r="B128" s="8" t="s">
        <v>325</v>
      </c>
      <c r="C128" s="8" t="s">
        <v>11</v>
      </c>
      <c r="D128" s="7">
        <f t="shared" si="362"/>
        <v>19</v>
      </c>
      <c r="E128" s="7">
        <v>0.68</v>
      </c>
      <c r="F128" s="7" t="s">
        <v>138</v>
      </c>
      <c r="G128" s="7">
        <v>1800</v>
      </c>
      <c r="H128" s="15"/>
      <c r="I128" s="10"/>
      <c r="J128" s="15"/>
      <c r="K128" s="10"/>
      <c r="L128" s="15"/>
      <c r="M128" s="10"/>
      <c r="N128" s="15"/>
      <c r="O128" s="10"/>
      <c r="P128" s="15"/>
      <c r="Q128" s="10"/>
      <c r="R128" s="15"/>
      <c r="S128" s="10"/>
      <c r="T128" s="15"/>
      <c r="U128" s="10"/>
      <c r="V128" s="15"/>
      <c r="W128" s="10"/>
      <c r="X128" s="15"/>
      <c r="Y128" s="10"/>
      <c r="Z128" s="15"/>
      <c r="AA128" s="10"/>
      <c r="AB128" s="15"/>
      <c r="AC128" s="10"/>
      <c r="AD128" s="15"/>
      <c r="AE128" s="10"/>
      <c r="AF128" s="11"/>
      <c r="AG128" s="12"/>
      <c r="AH128" s="15"/>
      <c r="AI128" s="10"/>
      <c r="AJ128" s="15"/>
      <c r="AK128" s="10"/>
      <c r="AL128" s="15"/>
      <c r="AM128" s="10"/>
      <c r="AN128" s="15"/>
      <c r="AO128" s="10"/>
      <c r="AP128" s="15"/>
      <c r="AQ128" s="10"/>
      <c r="AR128" s="15"/>
      <c r="AS128" s="10"/>
      <c r="AT128" s="15"/>
      <c r="AU128" s="10"/>
      <c r="AV128" s="15"/>
      <c r="AW128" s="10"/>
      <c r="AX128" s="15"/>
      <c r="AY128" s="10"/>
      <c r="AZ128" s="15"/>
      <c r="BA128" s="10"/>
      <c r="BB128" s="15"/>
      <c r="BC128" s="10"/>
      <c r="BD128" s="15"/>
      <c r="BE128" s="10"/>
      <c r="BF128" s="11"/>
      <c r="BG128" s="12"/>
      <c r="BH128" s="15"/>
      <c r="BI128" s="10"/>
      <c r="BJ128" s="15"/>
      <c r="BK128" s="10"/>
      <c r="BL128" s="15"/>
      <c r="BM128" s="10"/>
      <c r="BN128" s="15"/>
      <c r="BO128" s="10"/>
      <c r="BP128" s="15"/>
      <c r="BQ128" s="10"/>
      <c r="BR128" s="15"/>
      <c r="BS128" s="10"/>
      <c r="BT128" s="15"/>
      <c r="BU128" s="10"/>
      <c r="BV128" s="15"/>
      <c r="BW128" s="10"/>
      <c r="BX128" s="15"/>
      <c r="BY128" s="10"/>
      <c r="BZ128" s="15"/>
      <c r="CA128" s="10"/>
      <c r="CB128" s="15"/>
      <c r="CC128" s="10"/>
      <c r="CD128" s="15"/>
      <c r="CE128" s="10"/>
      <c r="CF128" s="11"/>
      <c r="CG128" s="12"/>
      <c r="CH128" s="15"/>
      <c r="CI128" s="10">
        <f t="shared" si="336"/>
        <v>0</v>
      </c>
      <c r="CJ128" s="15"/>
      <c r="CK128" s="10">
        <f t="shared" si="337"/>
        <v>0</v>
      </c>
      <c r="CL128" s="15"/>
      <c r="CM128" s="10">
        <f t="shared" si="338"/>
        <v>0</v>
      </c>
      <c r="CN128" s="15"/>
      <c r="CO128" s="10">
        <f t="shared" si="348"/>
        <v>0</v>
      </c>
      <c r="CP128" s="15"/>
      <c r="CQ128" s="10">
        <f t="shared" si="349"/>
        <v>0</v>
      </c>
      <c r="CR128" s="15"/>
      <c r="CS128" s="10">
        <f t="shared" si="350"/>
        <v>0</v>
      </c>
      <c r="CT128" s="15"/>
      <c r="CU128" s="10">
        <f t="shared" si="351"/>
        <v>0</v>
      </c>
      <c r="CV128" s="15">
        <v>5510</v>
      </c>
      <c r="CW128" s="10">
        <f t="shared" si="352"/>
        <v>3746.8</v>
      </c>
      <c r="CX128" s="15">
        <v>3422</v>
      </c>
      <c r="CY128" s="10">
        <f t="shared" si="353"/>
        <v>2326.96</v>
      </c>
      <c r="CZ128" s="15">
        <v>2175</v>
      </c>
      <c r="DA128" s="10">
        <f t="shared" si="354"/>
        <v>1479</v>
      </c>
      <c r="DB128" s="15">
        <v>1377</v>
      </c>
      <c r="DC128" s="10">
        <f t="shared" si="355"/>
        <v>936.36</v>
      </c>
      <c r="DD128" s="15">
        <v>1170</v>
      </c>
      <c r="DE128" s="10">
        <f t="shared" si="356"/>
        <v>795.6</v>
      </c>
      <c r="DF128" s="231">
        <f t="shared" si="205"/>
        <v>13654</v>
      </c>
      <c r="DG128" s="230">
        <f t="shared" si="357"/>
        <v>9284.7200000000012</v>
      </c>
      <c r="DH128" s="238">
        <v>863</v>
      </c>
      <c r="DI128" s="239">
        <f t="shared" si="360"/>
        <v>586.84</v>
      </c>
      <c r="DJ128" s="15">
        <v>235</v>
      </c>
      <c r="DK128" s="239">
        <f t="shared" si="363"/>
        <v>159.80000000000001</v>
      </c>
      <c r="DL128" s="238"/>
      <c r="DM128" s="239"/>
      <c r="DN128" s="238"/>
      <c r="DO128" s="239"/>
      <c r="DP128" s="238"/>
      <c r="DQ128" s="239"/>
      <c r="DR128" s="238"/>
      <c r="DS128" s="239"/>
      <c r="DT128" s="238"/>
      <c r="DU128" s="239"/>
      <c r="DV128" s="238"/>
      <c r="DW128" s="239">
        <f t="shared" si="358"/>
        <v>0</v>
      </c>
      <c r="DX128" s="238"/>
      <c r="DY128" s="239">
        <f t="shared" ref="DY128" si="364">DX128*$E128</f>
        <v>0</v>
      </c>
      <c r="DZ128" s="238"/>
      <c r="EA128" s="239">
        <f t="shared" ref="EA128" si="365">DZ128*$E128</f>
        <v>0</v>
      </c>
      <c r="EB128" s="238"/>
      <c r="EC128" s="239"/>
      <c r="ED128" s="238"/>
      <c r="EE128" s="239"/>
      <c r="EF128" s="240">
        <f t="shared" si="359"/>
        <v>1098</v>
      </c>
      <c r="EG128" s="239">
        <f t="shared" si="359"/>
        <v>746.6400000000001</v>
      </c>
    </row>
    <row r="129" spans="1:137" ht="19.8">
      <c r="A129" s="7">
        <v>103</v>
      </c>
      <c r="B129" s="8" t="s">
        <v>325</v>
      </c>
      <c r="C129" s="8" t="s">
        <v>11</v>
      </c>
      <c r="D129" s="7">
        <f t="shared" si="362"/>
        <v>31</v>
      </c>
      <c r="E129" s="7">
        <v>0.64</v>
      </c>
      <c r="F129" s="7" t="s">
        <v>323</v>
      </c>
      <c r="G129" s="7">
        <v>1800</v>
      </c>
      <c r="H129" s="15"/>
      <c r="I129" s="10"/>
      <c r="J129" s="15"/>
      <c r="K129" s="10"/>
      <c r="L129" s="15"/>
      <c r="M129" s="10"/>
      <c r="N129" s="15"/>
      <c r="O129" s="10"/>
      <c r="P129" s="15"/>
      <c r="Q129" s="10"/>
      <c r="R129" s="15"/>
      <c r="S129" s="10"/>
      <c r="T129" s="15"/>
      <c r="U129" s="10"/>
      <c r="V129" s="15"/>
      <c r="W129" s="10"/>
      <c r="X129" s="15"/>
      <c r="Y129" s="10"/>
      <c r="Z129" s="15"/>
      <c r="AA129" s="10"/>
      <c r="AB129" s="15"/>
      <c r="AC129" s="10"/>
      <c r="AD129" s="15"/>
      <c r="AE129" s="10"/>
      <c r="AF129" s="11">
        <f t="shared" ref="AF129" si="366">(AD129+AB129+Z129+X129+V129+T129+R129+P129+N129+L129+J129+H129)/1</f>
        <v>0</v>
      </c>
      <c r="AG129" s="12">
        <f t="shared" ref="AG129" si="367">AF129*$E129</f>
        <v>0</v>
      </c>
      <c r="AH129" s="15"/>
      <c r="AI129" s="10"/>
      <c r="AJ129" s="15"/>
      <c r="AK129" s="10"/>
      <c r="AL129" s="15"/>
      <c r="AM129" s="10"/>
      <c r="AN129" s="15"/>
      <c r="AO129" s="10"/>
      <c r="AP129" s="15"/>
      <c r="AQ129" s="10"/>
      <c r="AR129" s="15"/>
      <c r="AS129" s="10"/>
      <c r="AT129" s="15"/>
      <c r="AU129" s="10"/>
      <c r="AV129" s="15"/>
      <c r="AW129" s="10"/>
      <c r="AX129" s="15"/>
      <c r="AY129" s="10"/>
      <c r="AZ129" s="15"/>
      <c r="BA129" s="10"/>
      <c r="BB129" s="15"/>
      <c r="BC129" s="10"/>
      <c r="BD129" s="15"/>
      <c r="BE129" s="10"/>
      <c r="BF129" s="11">
        <f t="shared" ref="BF129" si="368">(BD129+BB129+AZ129+AX129+AV129+AT129+AR129+AP129+AN129+AL129+AJ129+AH129)/1</f>
        <v>0</v>
      </c>
      <c r="BG129" s="12">
        <f t="shared" ref="BG129" si="369">BF129*$E129</f>
        <v>0</v>
      </c>
      <c r="BH129" s="15"/>
      <c r="BI129" s="10"/>
      <c r="BJ129" s="15"/>
      <c r="BK129" s="10"/>
      <c r="BL129" s="15"/>
      <c r="BM129" s="10"/>
      <c r="BN129" s="15"/>
      <c r="BO129" s="10"/>
      <c r="BP129" s="15"/>
      <c r="BQ129" s="10"/>
      <c r="BR129" s="15"/>
      <c r="BS129" s="10"/>
      <c r="BT129" s="15"/>
      <c r="BU129" s="10"/>
      <c r="BV129" s="15"/>
      <c r="BW129" s="10"/>
      <c r="BX129" s="15"/>
      <c r="BY129" s="10"/>
      <c r="BZ129" s="15"/>
      <c r="CA129" s="10"/>
      <c r="CB129" s="15"/>
      <c r="CC129" s="10"/>
      <c r="CD129" s="15"/>
      <c r="CE129" s="10"/>
      <c r="CF129" s="11">
        <f t="shared" ref="CF129" si="370">(CD129+CB129+BZ129+BX129+BV129+BT129+BR129+BP129+BN129+BL129+BJ129+BH129)/1</f>
        <v>0</v>
      </c>
      <c r="CG129" s="12">
        <f t="shared" ref="CG129" si="371">CF129*$E129</f>
        <v>0</v>
      </c>
      <c r="CH129" s="15"/>
      <c r="CI129" s="10">
        <f t="shared" si="336"/>
        <v>0</v>
      </c>
      <c r="CJ129" s="15"/>
      <c r="CK129" s="10">
        <f t="shared" si="337"/>
        <v>0</v>
      </c>
      <c r="CL129" s="15"/>
      <c r="CM129" s="10">
        <f t="shared" si="338"/>
        <v>0</v>
      </c>
      <c r="CN129" s="15"/>
      <c r="CO129" s="10">
        <f t="shared" si="348"/>
        <v>0</v>
      </c>
      <c r="CP129" s="15"/>
      <c r="CQ129" s="10">
        <f t="shared" si="349"/>
        <v>0</v>
      </c>
      <c r="CR129" s="15"/>
      <c r="CS129" s="10">
        <f t="shared" si="350"/>
        <v>0</v>
      </c>
      <c r="CT129" s="15"/>
      <c r="CU129" s="10">
        <f t="shared" si="351"/>
        <v>0</v>
      </c>
      <c r="CV129" s="15"/>
      <c r="CW129" s="10">
        <f t="shared" si="352"/>
        <v>0</v>
      </c>
      <c r="CX129" s="15"/>
      <c r="CY129" s="10">
        <f t="shared" si="353"/>
        <v>0</v>
      </c>
      <c r="CZ129" s="15"/>
      <c r="DA129" s="10">
        <f t="shared" si="354"/>
        <v>0</v>
      </c>
      <c r="DB129" s="15"/>
      <c r="DC129" s="10">
        <f t="shared" si="355"/>
        <v>0</v>
      </c>
      <c r="DD129" s="15"/>
      <c r="DE129" s="10">
        <f t="shared" si="356"/>
        <v>0</v>
      </c>
      <c r="DF129" s="231">
        <f t="shared" si="205"/>
        <v>0</v>
      </c>
      <c r="DG129" s="230">
        <f t="shared" si="357"/>
        <v>0</v>
      </c>
      <c r="DH129" s="238"/>
      <c r="DI129" s="239">
        <f t="shared" si="360"/>
        <v>0</v>
      </c>
      <c r="DJ129" s="15"/>
      <c r="DK129" s="239">
        <f t="shared" si="363"/>
        <v>0</v>
      </c>
      <c r="DL129" s="238"/>
      <c r="DM129" s="239"/>
      <c r="DN129" s="238"/>
      <c r="DO129" s="239"/>
      <c r="DP129" s="238"/>
      <c r="DQ129" s="239"/>
      <c r="DR129" s="238"/>
      <c r="DS129" s="239"/>
      <c r="DT129" s="238"/>
      <c r="DU129" s="239"/>
      <c r="DV129" s="238"/>
      <c r="DW129" s="239"/>
      <c r="DX129" s="238"/>
      <c r="DY129" s="239"/>
      <c r="DZ129" s="238"/>
      <c r="EA129" s="239"/>
      <c r="EB129" s="238"/>
      <c r="EC129" s="239"/>
      <c r="ED129" s="238"/>
      <c r="EE129" s="239"/>
      <c r="EF129" s="240">
        <f t="shared" si="359"/>
        <v>0</v>
      </c>
      <c r="EG129" s="239">
        <f t="shared" si="359"/>
        <v>0</v>
      </c>
    </row>
    <row r="130" spans="1:137" ht="19.8">
      <c r="A130" s="7">
        <v>104</v>
      </c>
      <c r="B130" s="8" t="s">
        <v>87</v>
      </c>
      <c r="C130" s="8" t="s">
        <v>14</v>
      </c>
      <c r="D130" s="7">
        <f t="shared" si="362"/>
        <v>13</v>
      </c>
      <c r="E130" s="7">
        <v>1</v>
      </c>
      <c r="F130" s="7" t="s">
        <v>88</v>
      </c>
      <c r="G130" s="7">
        <v>2100</v>
      </c>
      <c r="H130" s="15"/>
      <c r="I130" s="10">
        <f t="shared" si="220"/>
        <v>0</v>
      </c>
      <c r="J130" s="15"/>
      <c r="K130" s="10">
        <f t="shared" si="221"/>
        <v>0</v>
      </c>
      <c r="L130" s="15"/>
      <c r="M130" s="10">
        <f t="shared" si="222"/>
        <v>0</v>
      </c>
      <c r="N130" s="15"/>
      <c r="O130" s="10">
        <f t="shared" si="223"/>
        <v>0</v>
      </c>
      <c r="P130" s="15"/>
      <c r="Q130" s="10">
        <f t="shared" si="224"/>
        <v>0</v>
      </c>
      <c r="R130" s="15"/>
      <c r="S130" s="10">
        <f t="shared" si="335"/>
        <v>0</v>
      </c>
      <c r="T130" s="15"/>
      <c r="U130" s="10">
        <f t="shared" si="225"/>
        <v>0</v>
      </c>
      <c r="V130" s="15"/>
      <c r="W130" s="10">
        <f t="shared" si="226"/>
        <v>0</v>
      </c>
      <c r="X130" s="15"/>
      <c r="Y130" s="10">
        <f t="shared" si="227"/>
        <v>0</v>
      </c>
      <c r="Z130" s="15"/>
      <c r="AA130" s="10">
        <f t="shared" si="228"/>
        <v>0</v>
      </c>
      <c r="AB130" s="15"/>
      <c r="AC130" s="10">
        <f t="shared" si="229"/>
        <v>0</v>
      </c>
      <c r="AD130" s="15"/>
      <c r="AE130" s="10">
        <f t="shared" si="230"/>
        <v>0</v>
      </c>
      <c r="AF130" s="11">
        <f t="shared" si="266"/>
        <v>0</v>
      </c>
      <c r="AG130" s="12">
        <f t="shared" si="189"/>
        <v>0</v>
      </c>
      <c r="AH130" s="9"/>
      <c r="AI130" s="10">
        <f t="shared" si="231"/>
        <v>0</v>
      </c>
      <c r="AJ130" s="9"/>
      <c r="AK130" s="10">
        <f t="shared" si="232"/>
        <v>0</v>
      </c>
      <c r="AL130" s="9"/>
      <c r="AM130" s="10">
        <f t="shared" si="233"/>
        <v>0</v>
      </c>
      <c r="AN130" s="9"/>
      <c r="AO130" s="10">
        <f t="shared" si="234"/>
        <v>0</v>
      </c>
      <c r="AP130" s="9"/>
      <c r="AQ130" s="10">
        <f t="shared" si="235"/>
        <v>0</v>
      </c>
      <c r="AR130" s="9"/>
      <c r="AS130" s="10">
        <f t="shared" si="236"/>
        <v>0</v>
      </c>
      <c r="AT130" s="9"/>
      <c r="AU130" s="10">
        <f t="shared" si="237"/>
        <v>0</v>
      </c>
      <c r="AV130" s="9"/>
      <c r="AW130" s="10">
        <f t="shared" si="238"/>
        <v>0</v>
      </c>
      <c r="AX130" s="9"/>
      <c r="AY130" s="10">
        <f t="shared" si="239"/>
        <v>0</v>
      </c>
      <c r="AZ130" s="9"/>
      <c r="BA130" s="10">
        <f t="shared" si="240"/>
        <v>0</v>
      </c>
      <c r="BB130" s="9"/>
      <c r="BC130" s="10">
        <f t="shared" si="241"/>
        <v>0</v>
      </c>
      <c r="BD130" s="9">
        <v>80</v>
      </c>
      <c r="BE130" s="10">
        <f t="shared" si="242"/>
        <v>80</v>
      </c>
      <c r="BF130" s="11">
        <f t="shared" si="190"/>
        <v>80</v>
      </c>
      <c r="BG130" s="12">
        <f t="shared" si="191"/>
        <v>80</v>
      </c>
      <c r="BH130" s="13">
        <v>385</v>
      </c>
      <c r="BI130" s="10">
        <f t="shared" si="243"/>
        <v>385</v>
      </c>
      <c r="BJ130" s="13">
        <v>1045</v>
      </c>
      <c r="BK130" s="10">
        <f t="shared" si="244"/>
        <v>1045</v>
      </c>
      <c r="BL130" s="13">
        <v>405</v>
      </c>
      <c r="BM130" s="10">
        <f t="shared" si="245"/>
        <v>405</v>
      </c>
      <c r="BN130" s="13">
        <v>444</v>
      </c>
      <c r="BO130" s="10">
        <f t="shared" si="246"/>
        <v>444</v>
      </c>
      <c r="BP130" s="13">
        <v>766</v>
      </c>
      <c r="BQ130" s="10">
        <f t="shared" si="247"/>
        <v>766</v>
      </c>
      <c r="BR130" s="13">
        <v>815</v>
      </c>
      <c r="BS130" s="10">
        <f t="shared" si="248"/>
        <v>815</v>
      </c>
      <c r="BT130" s="13">
        <v>1724</v>
      </c>
      <c r="BU130" s="10">
        <f t="shared" si="249"/>
        <v>1724</v>
      </c>
      <c r="BV130" s="13">
        <v>1266</v>
      </c>
      <c r="BW130" s="10">
        <f t="shared" si="250"/>
        <v>1266</v>
      </c>
      <c r="BX130" s="13">
        <v>1440</v>
      </c>
      <c r="BY130" s="10">
        <f t="shared" si="251"/>
        <v>1440</v>
      </c>
      <c r="BZ130" s="13">
        <v>1870</v>
      </c>
      <c r="CA130" s="10">
        <f t="shared" si="252"/>
        <v>1870</v>
      </c>
      <c r="CB130" s="13">
        <v>809</v>
      </c>
      <c r="CC130" s="10">
        <f t="shared" si="253"/>
        <v>809</v>
      </c>
      <c r="CD130" s="14">
        <v>2180</v>
      </c>
      <c r="CE130" s="10">
        <f t="shared" si="254"/>
        <v>2180</v>
      </c>
      <c r="CF130" s="11">
        <f t="shared" si="192"/>
        <v>13149</v>
      </c>
      <c r="CG130" s="12">
        <f t="shared" si="193"/>
        <v>13149</v>
      </c>
      <c r="CH130" s="15">
        <v>2045</v>
      </c>
      <c r="CI130" s="10">
        <f t="shared" si="336"/>
        <v>2045</v>
      </c>
      <c r="CJ130" s="15">
        <v>1427</v>
      </c>
      <c r="CK130" s="10">
        <f t="shared" si="337"/>
        <v>1427</v>
      </c>
      <c r="CL130" s="15">
        <v>3090</v>
      </c>
      <c r="CM130" s="10">
        <f t="shared" si="338"/>
        <v>3090</v>
      </c>
      <c r="CN130" s="15">
        <v>1340</v>
      </c>
      <c r="CO130" s="10">
        <f t="shared" si="339"/>
        <v>1340</v>
      </c>
      <c r="CP130" s="15">
        <v>2520</v>
      </c>
      <c r="CQ130" s="10">
        <f t="shared" si="340"/>
        <v>2520</v>
      </c>
      <c r="CR130" s="15">
        <v>2206</v>
      </c>
      <c r="CS130" s="10">
        <f t="shared" si="341"/>
        <v>2206</v>
      </c>
      <c r="CT130" s="15">
        <v>2460</v>
      </c>
      <c r="CU130" s="10">
        <f t="shared" si="342"/>
        <v>2460</v>
      </c>
      <c r="CV130" s="15">
        <v>2680</v>
      </c>
      <c r="CW130" s="10">
        <f t="shared" si="343"/>
        <v>2680</v>
      </c>
      <c r="CX130" s="15">
        <v>2280</v>
      </c>
      <c r="CY130" s="10">
        <f t="shared" si="344"/>
        <v>2280</v>
      </c>
      <c r="CZ130" s="15">
        <v>2880</v>
      </c>
      <c r="DA130" s="10">
        <f t="shared" si="345"/>
        <v>2880</v>
      </c>
      <c r="DB130" s="15">
        <v>3100</v>
      </c>
      <c r="DC130" s="10">
        <f t="shared" si="346"/>
        <v>3100</v>
      </c>
      <c r="DD130" s="15">
        <v>4560</v>
      </c>
      <c r="DE130" s="10">
        <f t="shared" si="346"/>
        <v>4560</v>
      </c>
      <c r="DF130" s="231">
        <f t="shared" si="205"/>
        <v>30588</v>
      </c>
      <c r="DG130" s="230">
        <f t="shared" si="347"/>
        <v>30588</v>
      </c>
      <c r="DH130" s="235">
        <v>4720</v>
      </c>
      <c r="DI130" s="236">
        <f t="shared" si="360"/>
        <v>4720</v>
      </c>
      <c r="DJ130" s="15">
        <v>2760</v>
      </c>
      <c r="DK130" s="239">
        <f t="shared" ref="DK130:DK137" si="372">DJ130*$E130</f>
        <v>2760</v>
      </c>
      <c r="DL130" s="238"/>
      <c r="DM130" s="239">
        <f t="shared" ref="DM130:DM137" si="373">DL130*$E130</f>
        <v>0</v>
      </c>
      <c r="DN130" s="238"/>
      <c r="DO130" s="239">
        <f t="shared" ref="DO130:DO137" si="374">DN130*$E130</f>
        <v>0</v>
      </c>
      <c r="DP130" s="238"/>
      <c r="DQ130" s="239">
        <f t="shared" ref="DQ130:DQ137" si="375">DP130*$E130</f>
        <v>0</v>
      </c>
      <c r="DR130" s="238"/>
      <c r="DS130" s="239">
        <f t="shared" ref="DS130:DS137" si="376">DR130*$E130</f>
        <v>0</v>
      </c>
      <c r="DT130" s="238"/>
      <c r="DU130" s="239">
        <f t="shared" ref="DU130:DU137" si="377">DT130*$E130</f>
        <v>0</v>
      </c>
      <c r="DV130" s="238"/>
      <c r="DW130" s="239">
        <f t="shared" ref="DW130:DW137" si="378">DV130*$E130</f>
        <v>0</v>
      </c>
      <c r="DX130" s="238"/>
      <c r="DY130" s="239">
        <f t="shared" ref="DY130:DY137" si="379">DX130*$E130</f>
        <v>0</v>
      </c>
      <c r="DZ130" s="238"/>
      <c r="EA130" s="239">
        <f t="shared" ref="EA130:EA137" si="380">DZ130*$E130</f>
        <v>0</v>
      </c>
      <c r="EB130" s="238"/>
      <c r="EC130" s="239">
        <f t="shared" ref="EC130:EC137" si="381">EB130*$E130</f>
        <v>0</v>
      </c>
      <c r="ED130" s="238"/>
      <c r="EE130" s="239">
        <f t="shared" ref="EE130:EE137" si="382">ED130*$E130</f>
        <v>0</v>
      </c>
      <c r="EF130" s="240">
        <f t="shared" si="359"/>
        <v>7480</v>
      </c>
      <c r="EG130" s="239">
        <f t="shared" si="359"/>
        <v>7480</v>
      </c>
    </row>
    <row r="131" spans="1:137" ht="19.8">
      <c r="A131" s="7">
        <v>105</v>
      </c>
      <c r="B131" s="8" t="s">
        <v>89</v>
      </c>
      <c r="C131" s="8" t="s">
        <v>14</v>
      </c>
      <c r="D131" s="7">
        <f t="shared" si="362"/>
        <v>31</v>
      </c>
      <c r="E131" s="7">
        <v>1</v>
      </c>
      <c r="F131" s="7" t="s">
        <v>20</v>
      </c>
      <c r="G131" s="7"/>
      <c r="H131" s="15"/>
      <c r="I131" s="10">
        <f t="shared" si="220"/>
        <v>0</v>
      </c>
      <c r="J131" s="15"/>
      <c r="K131" s="10">
        <f t="shared" si="221"/>
        <v>0</v>
      </c>
      <c r="L131" s="15"/>
      <c r="M131" s="10">
        <f t="shared" si="222"/>
        <v>0</v>
      </c>
      <c r="N131" s="15"/>
      <c r="O131" s="10">
        <f t="shared" si="223"/>
        <v>0</v>
      </c>
      <c r="P131" s="15"/>
      <c r="Q131" s="10">
        <f t="shared" si="224"/>
        <v>0</v>
      </c>
      <c r="R131" s="15"/>
      <c r="S131" s="10">
        <f t="shared" si="335"/>
        <v>0</v>
      </c>
      <c r="T131" s="15"/>
      <c r="U131" s="10">
        <f t="shared" si="225"/>
        <v>0</v>
      </c>
      <c r="V131" s="15"/>
      <c r="W131" s="10">
        <f t="shared" si="226"/>
        <v>0</v>
      </c>
      <c r="X131" s="15"/>
      <c r="Y131" s="10">
        <f t="shared" si="227"/>
        <v>0</v>
      </c>
      <c r="Z131" s="15"/>
      <c r="AA131" s="10">
        <f t="shared" si="228"/>
        <v>0</v>
      </c>
      <c r="AB131" s="15"/>
      <c r="AC131" s="10">
        <f t="shared" si="229"/>
        <v>0</v>
      </c>
      <c r="AD131" s="15"/>
      <c r="AE131" s="10">
        <f t="shared" si="230"/>
        <v>0</v>
      </c>
      <c r="AF131" s="11">
        <f t="shared" si="266"/>
        <v>0</v>
      </c>
      <c r="AG131" s="12">
        <f t="shared" si="189"/>
        <v>0</v>
      </c>
      <c r="AH131" s="15"/>
      <c r="AI131" s="10">
        <f t="shared" si="231"/>
        <v>0</v>
      </c>
      <c r="AJ131" s="15"/>
      <c r="AK131" s="10">
        <f t="shared" si="232"/>
        <v>0</v>
      </c>
      <c r="AL131" s="15"/>
      <c r="AM131" s="10">
        <f t="shared" si="233"/>
        <v>0</v>
      </c>
      <c r="AN131" s="15"/>
      <c r="AO131" s="10">
        <f t="shared" si="234"/>
        <v>0</v>
      </c>
      <c r="AP131" s="15"/>
      <c r="AQ131" s="10">
        <f t="shared" si="235"/>
        <v>0</v>
      </c>
      <c r="AR131" s="15"/>
      <c r="AS131" s="10">
        <f t="shared" si="236"/>
        <v>0</v>
      </c>
      <c r="AT131" s="15"/>
      <c r="AU131" s="10">
        <f t="shared" si="237"/>
        <v>0</v>
      </c>
      <c r="AV131" s="15"/>
      <c r="AW131" s="10">
        <f t="shared" si="238"/>
        <v>0</v>
      </c>
      <c r="AX131" s="15"/>
      <c r="AY131" s="10">
        <f t="shared" si="239"/>
        <v>0</v>
      </c>
      <c r="AZ131" s="15"/>
      <c r="BA131" s="10">
        <f t="shared" si="240"/>
        <v>0</v>
      </c>
      <c r="BB131" s="15"/>
      <c r="BC131" s="10">
        <f t="shared" si="241"/>
        <v>0</v>
      </c>
      <c r="BD131" s="15"/>
      <c r="BE131" s="10">
        <f t="shared" si="242"/>
        <v>0</v>
      </c>
      <c r="BF131" s="11">
        <f t="shared" si="190"/>
        <v>0</v>
      </c>
      <c r="BG131" s="12">
        <f t="shared" si="191"/>
        <v>0</v>
      </c>
      <c r="BH131" s="15"/>
      <c r="BI131" s="10">
        <f t="shared" si="243"/>
        <v>0</v>
      </c>
      <c r="BJ131" s="15"/>
      <c r="BK131" s="10">
        <f t="shared" si="244"/>
        <v>0</v>
      </c>
      <c r="BL131" s="15"/>
      <c r="BM131" s="10">
        <f t="shared" si="245"/>
        <v>0</v>
      </c>
      <c r="BN131" s="15"/>
      <c r="BO131" s="10">
        <f t="shared" si="246"/>
        <v>0</v>
      </c>
      <c r="BP131" s="15"/>
      <c r="BQ131" s="10">
        <f t="shared" si="247"/>
        <v>0</v>
      </c>
      <c r="BR131" s="15"/>
      <c r="BS131" s="10">
        <f t="shared" si="248"/>
        <v>0</v>
      </c>
      <c r="BT131" s="15"/>
      <c r="BU131" s="10">
        <f t="shared" si="249"/>
        <v>0</v>
      </c>
      <c r="BV131" s="15"/>
      <c r="BW131" s="10">
        <f t="shared" si="250"/>
        <v>0</v>
      </c>
      <c r="BX131" s="15"/>
      <c r="BY131" s="10">
        <f t="shared" si="251"/>
        <v>0</v>
      </c>
      <c r="BZ131" s="15"/>
      <c r="CA131" s="10">
        <f t="shared" si="252"/>
        <v>0</v>
      </c>
      <c r="CB131" s="15"/>
      <c r="CC131" s="10">
        <f t="shared" si="253"/>
        <v>0</v>
      </c>
      <c r="CD131" s="15"/>
      <c r="CE131" s="10">
        <f t="shared" si="254"/>
        <v>0</v>
      </c>
      <c r="CF131" s="11">
        <f t="shared" si="192"/>
        <v>0</v>
      </c>
      <c r="CG131" s="12">
        <f t="shared" si="193"/>
        <v>0</v>
      </c>
      <c r="CH131" s="15"/>
      <c r="CI131" s="10">
        <f t="shared" si="336"/>
        <v>0</v>
      </c>
      <c r="CJ131" s="15"/>
      <c r="CK131" s="10">
        <f t="shared" si="337"/>
        <v>0</v>
      </c>
      <c r="CL131" s="15"/>
      <c r="CM131" s="10">
        <f t="shared" si="338"/>
        <v>0</v>
      </c>
      <c r="CN131" s="15"/>
      <c r="CO131" s="10">
        <f t="shared" si="339"/>
        <v>0</v>
      </c>
      <c r="CP131" s="15"/>
      <c r="CQ131" s="10">
        <f t="shared" si="340"/>
        <v>0</v>
      </c>
      <c r="CR131" s="15"/>
      <c r="CS131" s="10">
        <f t="shared" si="341"/>
        <v>0</v>
      </c>
      <c r="CT131" s="15"/>
      <c r="CU131" s="10">
        <f t="shared" si="342"/>
        <v>0</v>
      </c>
      <c r="CV131" s="15"/>
      <c r="CW131" s="10">
        <f t="shared" si="343"/>
        <v>0</v>
      </c>
      <c r="CX131" s="15"/>
      <c r="CY131" s="10">
        <f t="shared" si="344"/>
        <v>0</v>
      </c>
      <c r="CZ131" s="15"/>
      <c r="DA131" s="10">
        <f t="shared" si="345"/>
        <v>0</v>
      </c>
      <c r="DB131" s="15"/>
      <c r="DC131" s="10">
        <f t="shared" si="346"/>
        <v>0</v>
      </c>
      <c r="DD131" s="15"/>
      <c r="DE131" s="10">
        <f t="shared" si="346"/>
        <v>0</v>
      </c>
      <c r="DF131" s="231">
        <f t="shared" si="205"/>
        <v>0</v>
      </c>
      <c r="DG131" s="230">
        <f t="shared" si="347"/>
        <v>0</v>
      </c>
      <c r="DH131" s="238"/>
      <c r="DI131" s="239">
        <f t="shared" si="360"/>
        <v>0</v>
      </c>
      <c r="DJ131" s="15"/>
      <c r="DK131" s="239">
        <f t="shared" si="372"/>
        <v>0</v>
      </c>
      <c r="DL131" s="238"/>
      <c r="DM131" s="239">
        <f t="shared" si="373"/>
        <v>0</v>
      </c>
      <c r="DN131" s="238"/>
      <c r="DO131" s="239">
        <f t="shared" si="374"/>
        <v>0</v>
      </c>
      <c r="DP131" s="238"/>
      <c r="DQ131" s="239">
        <f t="shared" si="375"/>
        <v>0</v>
      </c>
      <c r="DR131" s="238"/>
      <c r="DS131" s="239">
        <f t="shared" si="376"/>
        <v>0</v>
      </c>
      <c r="DT131" s="238"/>
      <c r="DU131" s="239">
        <f t="shared" si="377"/>
        <v>0</v>
      </c>
      <c r="DV131" s="238"/>
      <c r="DW131" s="239">
        <f t="shared" si="378"/>
        <v>0</v>
      </c>
      <c r="DX131" s="238"/>
      <c r="DY131" s="239">
        <f t="shared" si="379"/>
        <v>0</v>
      </c>
      <c r="DZ131" s="238"/>
      <c r="EA131" s="239">
        <f t="shared" si="380"/>
        <v>0</v>
      </c>
      <c r="EB131" s="238"/>
      <c r="EC131" s="239">
        <f t="shared" si="381"/>
        <v>0</v>
      </c>
      <c r="ED131" s="238"/>
      <c r="EE131" s="239">
        <f t="shared" si="382"/>
        <v>0</v>
      </c>
      <c r="EF131" s="240">
        <f t="shared" si="359"/>
        <v>0</v>
      </c>
      <c r="EG131" s="239">
        <f t="shared" si="359"/>
        <v>0</v>
      </c>
    </row>
    <row r="132" spans="1:137" ht="19.8">
      <c r="A132" s="7">
        <v>106</v>
      </c>
      <c r="B132" s="8" t="s">
        <v>90</v>
      </c>
      <c r="C132" s="8" t="s">
        <v>11</v>
      </c>
      <c r="D132" s="7">
        <f t="shared" si="362"/>
        <v>31</v>
      </c>
      <c r="E132" s="7">
        <v>0.64</v>
      </c>
      <c r="F132" s="7" t="s">
        <v>22</v>
      </c>
      <c r="G132" s="7">
        <v>1350</v>
      </c>
      <c r="H132" s="9"/>
      <c r="I132" s="10">
        <f t="shared" si="220"/>
        <v>0</v>
      </c>
      <c r="J132" s="9">
        <v>196</v>
      </c>
      <c r="K132" s="10">
        <f t="shared" si="221"/>
        <v>125.44</v>
      </c>
      <c r="L132" s="9"/>
      <c r="M132" s="10">
        <f t="shared" si="222"/>
        <v>0</v>
      </c>
      <c r="N132" s="9">
        <v>420</v>
      </c>
      <c r="O132" s="10">
        <f t="shared" si="223"/>
        <v>268.8</v>
      </c>
      <c r="P132" s="9"/>
      <c r="Q132" s="10">
        <f t="shared" si="224"/>
        <v>0</v>
      </c>
      <c r="R132" s="9"/>
      <c r="S132" s="10">
        <f t="shared" si="335"/>
        <v>0</v>
      </c>
      <c r="T132" s="9"/>
      <c r="U132" s="10">
        <f t="shared" si="225"/>
        <v>0</v>
      </c>
      <c r="V132" s="9">
        <v>280</v>
      </c>
      <c r="W132" s="10">
        <f t="shared" si="226"/>
        <v>179.20000000000002</v>
      </c>
      <c r="X132" s="9"/>
      <c r="Y132" s="10">
        <f t="shared" si="227"/>
        <v>0</v>
      </c>
      <c r="Z132" s="9"/>
      <c r="AA132" s="10">
        <f t="shared" si="228"/>
        <v>0</v>
      </c>
      <c r="AB132" s="9"/>
      <c r="AC132" s="10">
        <f t="shared" si="229"/>
        <v>0</v>
      </c>
      <c r="AD132" s="9">
        <v>420</v>
      </c>
      <c r="AE132" s="10">
        <f t="shared" si="230"/>
        <v>268.8</v>
      </c>
      <c r="AF132" s="11">
        <f t="shared" si="266"/>
        <v>1316</v>
      </c>
      <c r="AG132" s="12">
        <f t="shared" si="189"/>
        <v>842.24</v>
      </c>
      <c r="AH132" s="9"/>
      <c r="AI132" s="10">
        <f t="shared" si="231"/>
        <v>0</v>
      </c>
      <c r="AJ132" s="9"/>
      <c r="AK132" s="10">
        <f t="shared" si="232"/>
        <v>0</v>
      </c>
      <c r="AL132" s="9"/>
      <c r="AM132" s="10">
        <f t="shared" si="233"/>
        <v>0</v>
      </c>
      <c r="AN132" s="9"/>
      <c r="AO132" s="10">
        <f t="shared" si="234"/>
        <v>0</v>
      </c>
      <c r="AP132" s="9">
        <v>140</v>
      </c>
      <c r="AQ132" s="10">
        <f t="shared" si="235"/>
        <v>89.600000000000009</v>
      </c>
      <c r="AR132" s="9"/>
      <c r="AS132" s="10">
        <f t="shared" si="236"/>
        <v>0</v>
      </c>
      <c r="AT132" s="9"/>
      <c r="AU132" s="10">
        <f t="shared" si="237"/>
        <v>0</v>
      </c>
      <c r="AV132" s="9"/>
      <c r="AW132" s="10">
        <f t="shared" si="238"/>
        <v>0</v>
      </c>
      <c r="AX132" s="9"/>
      <c r="AY132" s="10">
        <f t="shared" si="239"/>
        <v>0</v>
      </c>
      <c r="AZ132" s="9"/>
      <c r="BA132" s="10">
        <f t="shared" si="240"/>
        <v>0</v>
      </c>
      <c r="BB132" s="9"/>
      <c r="BC132" s="10">
        <f t="shared" si="241"/>
        <v>0</v>
      </c>
      <c r="BD132" s="9"/>
      <c r="BE132" s="10">
        <f t="shared" si="242"/>
        <v>0</v>
      </c>
      <c r="BF132" s="11">
        <f t="shared" si="190"/>
        <v>140</v>
      </c>
      <c r="BG132" s="12">
        <f t="shared" si="191"/>
        <v>89.600000000000009</v>
      </c>
      <c r="BH132" s="15"/>
      <c r="BI132" s="10">
        <f t="shared" si="243"/>
        <v>0</v>
      </c>
      <c r="BJ132" s="15"/>
      <c r="BK132" s="10">
        <f t="shared" si="244"/>
        <v>0</v>
      </c>
      <c r="BL132" s="15"/>
      <c r="BM132" s="10">
        <f t="shared" si="245"/>
        <v>0</v>
      </c>
      <c r="BN132" s="15"/>
      <c r="BO132" s="10">
        <f t="shared" si="246"/>
        <v>0</v>
      </c>
      <c r="BP132" s="15"/>
      <c r="BQ132" s="10">
        <f t="shared" si="247"/>
        <v>0</v>
      </c>
      <c r="BR132" s="15"/>
      <c r="BS132" s="10">
        <f t="shared" si="248"/>
        <v>0</v>
      </c>
      <c r="BT132" s="15"/>
      <c r="BU132" s="10">
        <f t="shared" si="249"/>
        <v>0</v>
      </c>
      <c r="BV132" s="15"/>
      <c r="BW132" s="10">
        <f t="shared" si="250"/>
        <v>0</v>
      </c>
      <c r="BX132" s="15"/>
      <c r="BY132" s="10">
        <f t="shared" si="251"/>
        <v>0</v>
      </c>
      <c r="BZ132" s="15"/>
      <c r="CA132" s="10">
        <f t="shared" si="252"/>
        <v>0</v>
      </c>
      <c r="CB132" s="15"/>
      <c r="CC132" s="10">
        <f t="shared" si="253"/>
        <v>0</v>
      </c>
      <c r="CD132" s="15"/>
      <c r="CE132" s="10">
        <f t="shared" si="254"/>
        <v>0</v>
      </c>
      <c r="CF132" s="11">
        <f t="shared" si="192"/>
        <v>0</v>
      </c>
      <c r="CG132" s="12">
        <f t="shared" si="193"/>
        <v>0</v>
      </c>
      <c r="CH132" s="15"/>
      <c r="CI132" s="10">
        <f t="shared" si="336"/>
        <v>0</v>
      </c>
      <c r="CJ132" s="15"/>
      <c r="CK132" s="10">
        <f t="shared" si="337"/>
        <v>0</v>
      </c>
      <c r="CL132" s="15"/>
      <c r="CM132" s="10">
        <f t="shared" si="338"/>
        <v>0</v>
      </c>
      <c r="CN132" s="15"/>
      <c r="CO132" s="10">
        <f t="shared" si="339"/>
        <v>0</v>
      </c>
      <c r="CP132" s="15"/>
      <c r="CQ132" s="10">
        <f t="shared" si="340"/>
        <v>0</v>
      </c>
      <c r="CR132" s="15"/>
      <c r="CS132" s="10">
        <f t="shared" si="341"/>
        <v>0</v>
      </c>
      <c r="CT132" s="15"/>
      <c r="CU132" s="10">
        <f t="shared" si="342"/>
        <v>0</v>
      </c>
      <c r="CV132" s="15"/>
      <c r="CW132" s="10">
        <f t="shared" si="343"/>
        <v>0</v>
      </c>
      <c r="CX132" s="15"/>
      <c r="CY132" s="10">
        <f t="shared" si="344"/>
        <v>0</v>
      </c>
      <c r="CZ132" s="15"/>
      <c r="DA132" s="10">
        <f t="shared" si="345"/>
        <v>0</v>
      </c>
      <c r="DB132" s="15"/>
      <c r="DC132" s="10">
        <f t="shared" si="346"/>
        <v>0</v>
      </c>
      <c r="DD132" s="15"/>
      <c r="DE132" s="10">
        <f t="shared" si="346"/>
        <v>0</v>
      </c>
      <c r="DF132" s="231">
        <f t="shared" si="205"/>
        <v>0</v>
      </c>
      <c r="DG132" s="230">
        <f t="shared" si="347"/>
        <v>0</v>
      </c>
      <c r="DH132" s="238"/>
      <c r="DI132" s="239">
        <f t="shared" si="360"/>
        <v>0</v>
      </c>
      <c r="DJ132" s="15"/>
      <c r="DK132" s="239">
        <f t="shared" si="372"/>
        <v>0</v>
      </c>
      <c r="DL132" s="238"/>
      <c r="DM132" s="239">
        <f t="shared" si="373"/>
        <v>0</v>
      </c>
      <c r="DN132" s="238"/>
      <c r="DO132" s="239">
        <f t="shared" si="374"/>
        <v>0</v>
      </c>
      <c r="DP132" s="238"/>
      <c r="DQ132" s="239">
        <f t="shared" si="375"/>
        <v>0</v>
      </c>
      <c r="DR132" s="238"/>
      <c r="DS132" s="239">
        <f t="shared" si="376"/>
        <v>0</v>
      </c>
      <c r="DT132" s="238"/>
      <c r="DU132" s="239">
        <f t="shared" si="377"/>
        <v>0</v>
      </c>
      <c r="DV132" s="238"/>
      <c r="DW132" s="239">
        <f t="shared" si="378"/>
        <v>0</v>
      </c>
      <c r="DX132" s="238"/>
      <c r="DY132" s="239">
        <f t="shared" si="379"/>
        <v>0</v>
      </c>
      <c r="DZ132" s="238"/>
      <c r="EA132" s="239">
        <f t="shared" si="380"/>
        <v>0</v>
      </c>
      <c r="EB132" s="238"/>
      <c r="EC132" s="239">
        <f t="shared" si="381"/>
        <v>0</v>
      </c>
      <c r="ED132" s="238"/>
      <c r="EE132" s="239">
        <f t="shared" si="382"/>
        <v>0</v>
      </c>
      <c r="EF132" s="240">
        <f t="shared" si="359"/>
        <v>0</v>
      </c>
      <c r="EG132" s="239">
        <f t="shared" si="359"/>
        <v>0</v>
      </c>
    </row>
    <row r="133" spans="1:137" ht="19.8">
      <c r="A133" s="7">
        <v>107</v>
      </c>
      <c r="B133" s="8" t="s">
        <v>92</v>
      </c>
      <c r="C133" s="8" t="s">
        <v>11</v>
      </c>
      <c r="D133" s="7">
        <f t="shared" si="362"/>
        <v>31</v>
      </c>
      <c r="E133" s="7">
        <v>0.64</v>
      </c>
      <c r="F133" s="7" t="s">
        <v>22</v>
      </c>
      <c r="G133" s="7"/>
      <c r="H133" s="15"/>
      <c r="I133" s="10">
        <f t="shared" si="220"/>
        <v>0</v>
      </c>
      <c r="J133" s="15"/>
      <c r="K133" s="10">
        <f t="shared" si="221"/>
        <v>0</v>
      </c>
      <c r="L133" s="15"/>
      <c r="M133" s="10">
        <f t="shared" si="222"/>
        <v>0</v>
      </c>
      <c r="N133" s="15"/>
      <c r="O133" s="10">
        <f t="shared" si="223"/>
        <v>0</v>
      </c>
      <c r="P133" s="15"/>
      <c r="Q133" s="10">
        <f t="shared" si="224"/>
        <v>0</v>
      </c>
      <c r="R133" s="15"/>
      <c r="S133" s="10">
        <f t="shared" si="335"/>
        <v>0</v>
      </c>
      <c r="T133" s="15"/>
      <c r="U133" s="10">
        <f t="shared" si="225"/>
        <v>0</v>
      </c>
      <c r="V133" s="15"/>
      <c r="W133" s="10">
        <f t="shared" si="226"/>
        <v>0</v>
      </c>
      <c r="X133" s="15"/>
      <c r="Y133" s="10">
        <f t="shared" si="227"/>
        <v>0</v>
      </c>
      <c r="Z133" s="15"/>
      <c r="AA133" s="10">
        <f t="shared" si="228"/>
        <v>0</v>
      </c>
      <c r="AB133" s="15"/>
      <c r="AC133" s="10">
        <f t="shared" si="229"/>
        <v>0</v>
      </c>
      <c r="AD133" s="15"/>
      <c r="AE133" s="10">
        <f t="shared" si="230"/>
        <v>0</v>
      </c>
      <c r="AF133" s="11">
        <f t="shared" si="266"/>
        <v>0</v>
      </c>
      <c r="AG133" s="12">
        <f t="shared" si="189"/>
        <v>0</v>
      </c>
      <c r="AH133" s="15"/>
      <c r="AI133" s="10">
        <f t="shared" si="231"/>
        <v>0</v>
      </c>
      <c r="AJ133" s="15"/>
      <c r="AK133" s="10">
        <f t="shared" si="232"/>
        <v>0</v>
      </c>
      <c r="AL133" s="15"/>
      <c r="AM133" s="10">
        <f t="shared" si="233"/>
        <v>0</v>
      </c>
      <c r="AN133" s="15"/>
      <c r="AO133" s="10">
        <f t="shared" si="234"/>
        <v>0</v>
      </c>
      <c r="AP133" s="15"/>
      <c r="AQ133" s="10">
        <f t="shared" si="235"/>
        <v>0</v>
      </c>
      <c r="AR133" s="15"/>
      <c r="AS133" s="10">
        <f t="shared" si="236"/>
        <v>0</v>
      </c>
      <c r="AT133" s="15"/>
      <c r="AU133" s="10">
        <f t="shared" si="237"/>
        <v>0</v>
      </c>
      <c r="AV133" s="15"/>
      <c r="AW133" s="10">
        <f t="shared" si="238"/>
        <v>0</v>
      </c>
      <c r="AX133" s="15"/>
      <c r="AY133" s="10">
        <f t="shared" si="239"/>
        <v>0</v>
      </c>
      <c r="AZ133" s="15"/>
      <c r="BA133" s="10">
        <f t="shared" si="240"/>
        <v>0</v>
      </c>
      <c r="BB133" s="15"/>
      <c r="BC133" s="10">
        <f t="shared" si="241"/>
        <v>0</v>
      </c>
      <c r="BD133" s="15"/>
      <c r="BE133" s="10">
        <f t="shared" si="242"/>
        <v>0</v>
      </c>
      <c r="BF133" s="11">
        <f t="shared" si="190"/>
        <v>0</v>
      </c>
      <c r="BG133" s="12">
        <f t="shared" si="191"/>
        <v>0</v>
      </c>
      <c r="BH133" s="15"/>
      <c r="BI133" s="10">
        <f t="shared" si="243"/>
        <v>0</v>
      </c>
      <c r="BJ133" s="15"/>
      <c r="BK133" s="10">
        <f t="shared" si="244"/>
        <v>0</v>
      </c>
      <c r="BL133" s="15"/>
      <c r="BM133" s="10">
        <f t="shared" si="245"/>
        <v>0</v>
      </c>
      <c r="BN133" s="15"/>
      <c r="BO133" s="10">
        <f t="shared" si="246"/>
        <v>0</v>
      </c>
      <c r="BP133" s="15"/>
      <c r="BQ133" s="10">
        <f t="shared" si="247"/>
        <v>0</v>
      </c>
      <c r="BR133" s="15"/>
      <c r="BS133" s="10">
        <f t="shared" si="248"/>
        <v>0</v>
      </c>
      <c r="BT133" s="15"/>
      <c r="BU133" s="10">
        <f t="shared" si="249"/>
        <v>0</v>
      </c>
      <c r="BV133" s="15"/>
      <c r="BW133" s="10">
        <f t="shared" si="250"/>
        <v>0</v>
      </c>
      <c r="BX133" s="15"/>
      <c r="BY133" s="10">
        <f t="shared" si="251"/>
        <v>0</v>
      </c>
      <c r="BZ133" s="15"/>
      <c r="CA133" s="10">
        <f t="shared" si="252"/>
        <v>0</v>
      </c>
      <c r="CB133" s="15"/>
      <c r="CC133" s="10">
        <f t="shared" si="253"/>
        <v>0</v>
      </c>
      <c r="CD133" s="15"/>
      <c r="CE133" s="10">
        <f t="shared" si="254"/>
        <v>0</v>
      </c>
      <c r="CF133" s="11">
        <f t="shared" si="192"/>
        <v>0</v>
      </c>
      <c r="CG133" s="12">
        <f t="shared" si="193"/>
        <v>0</v>
      </c>
      <c r="CH133" s="15"/>
      <c r="CI133" s="10">
        <f t="shared" si="336"/>
        <v>0</v>
      </c>
      <c r="CJ133" s="15"/>
      <c r="CK133" s="10">
        <f t="shared" si="337"/>
        <v>0</v>
      </c>
      <c r="CL133" s="15"/>
      <c r="CM133" s="10">
        <f t="shared" si="338"/>
        <v>0</v>
      </c>
      <c r="CN133" s="15"/>
      <c r="CO133" s="10">
        <f t="shared" si="339"/>
        <v>0</v>
      </c>
      <c r="CP133" s="15"/>
      <c r="CQ133" s="10">
        <f t="shared" si="340"/>
        <v>0</v>
      </c>
      <c r="CR133" s="15"/>
      <c r="CS133" s="10">
        <f t="shared" si="341"/>
        <v>0</v>
      </c>
      <c r="CT133" s="15"/>
      <c r="CU133" s="10">
        <f t="shared" si="342"/>
        <v>0</v>
      </c>
      <c r="CV133" s="15"/>
      <c r="CW133" s="10">
        <f t="shared" si="343"/>
        <v>0</v>
      </c>
      <c r="CX133" s="15"/>
      <c r="CY133" s="10">
        <f t="shared" si="344"/>
        <v>0</v>
      </c>
      <c r="CZ133" s="15"/>
      <c r="DA133" s="10">
        <f t="shared" si="345"/>
        <v>0</v>
      </c>
      <c r="DB133" s="15"/>
      <c r="DC133" s="10">
        <f t="shared" si="346"/>
        <v>0</v>
      </c>
      <c r="DD133" s="15"/>
      <c r="DE133" s="10">
        <f t="shared" si="346"/>
        <v>0</v>
      </c>
      <c r="DF133" s="231">
        <f t="shared" si="205"/>
        <v>0</v>
      </c>
      <c r="DG133" s="230">
        <f t="shared" si="347"/>
        <v>0</v>
      </c>
      <c r="DH133" s="238"/>
      <c r="DI133" s="239">
        <f t="shared" si="360"/>
        <v>0</v>
      </c>
      <c r="DJ133" s="15"/>
      <c r="DK133" s="239">
        <f t="shared" si="372"/>
        <v>0</v>
      </c>
      <c r="DL133" s="238"/>
      <c r="DM133" s="239">
        <f t="shared" si="373"/>
        <v>0</v>
      </c>
      <c r="DN133" s="238"/>
      <c r="DO133" s="239">
        <f t="shared" si="374"/>
        <v>0</v>
      </c>
      <c r="DP133" s="238"/>
      <c r="DQ133" s="239">
        <f t="shared" si="375"/>
        <v>0</v>
      </c>
      <c r="DR133" s="238"/>
      <c r="DS133" s="239">
        <f t="shared" si="376"/>
        <v>0</v>
      </c>
      <c r="DT133" s="238"/>
      <c r="DU133" s="239">
        <f t="shared" si="377"/>
        <v>0</v>
      </c>
      <c r="DV133" s="238"/>
      <c r="DW133" s="239">
        <f t="shared" si="378"/>
        <v>0</v>
      </c>
      <c r="DX133" s="238"/>
      <c r="DY133" s="239">
        <f t="shared" si="379"/>
        <v>0</v>
      </c>
      <c r="DZ133" s="238"/>
      <c r="EA133" s="239">
        <f t="shared" si="380"/>
        <v>0</v>
      </c>
      <c r="EB133" s="238"/>
      <c r="EC133" s="239">
        <f t="shared" si="381"/>
        <v>0</v>
      </c>
      <c r="ED133" s="238"/>
      <c r="EE133" s="239">
        <f t="shared" si="382"/>
        <v>0</v>
      </c>
      <c r="EF133" s="240">
        <f t="shared" si="359"/>
        <v>0</v>
      </c>
      <c r="EG133" s="239">
        <f t="shared" si="359"/>
        <v>0</v>
      </c>
    </row>
    <row r="134" spans="1:137" ht="19.8">
      <c r="A134" s="7">
        <v>108</v>
      </c>
      <c r="B134" s="8" t="s">
        <v>93</v>
      </c>
      <c r="C134" s="8" t="s">
        <v>11</v>
      </c>
      <c r="D134" s="7">
        <f t="shared" si="362"/>
        <v>31</v>
      </c>
      <c r="E134" s="7">
        <v>0.64</v>
      </c>
      <c r="F134" s="7" t="s">
        <v>22</v>
      </c>
      <c r="G134" s="7"/>
      <c r="H134" s="15"/>
      <c r="I134" s="10">
        <f t="shared" si="220"/>
        <v>0</v>
      </c>
      <c r="J134" s="15"/>
      <c r="K134" s="10">
        <f t="shared" si="221"/>
        <v>0</v>
      </c>
      <c r="L134" s="15"/>
      <c r="M134" s="10">
        <f t="shared" si="222"/>
        <v>0</v>
      </c>
      <c r="N134" s="15"/>
      <c r="O134" s="10">
        <f t="shared" si="223"/>
        <v>0</v>
      </c>
      <c r="P134" s="15"/>
      <c r="Q134" s="10">
        <f t="shared" si="224"/>
        <v>0</v>
      </c>
      <c r="R134" s="15"/>
      <c r="S134" s="10">
        <f t="shared" si="335"/>
        <v>0</v>
      </c>
      <c r="T134" s="15"/>
      <c r="U134" s="10">
        <f t="shared" si="225"/>
        <v>0</v>
      </c>
      <c r="V134" s="15"/>
      <c r="W134" s="10">
        <f t="shared" si="226"/>
        <v>0</v>
      </c>
      <c r="X134" s="15"/>
      <c r="Y134" s="10">
        <f t="shared" si="227"/>
        <v>0</v>
      </c>
      <c r="Z134" s="15"/>
      <c r="AA134" s="10">
        <f t="shared" si="228"/>
        <v>0</v>
      </c>
      <c r="AB134" s="15"/>
      <c r="AC134" s="10">
        <f t="shared" si="229"/>
        <v>0</v>
      </c>
      <c r="AD134" s="15"/>
      <c r="AE134" s="10">
        <f t="shared" si="230"/>
        <v>0</v>
      </c>
      <c r="AF134" s="11">
        <f t="shared" si="266"/>
        <v>0</v>
      </c>
      <c r="AG134" s="12">
        <f t="shared" si="189"/>
        <v>0</v>
      </c>
      <c r="AH134" s="15"/>
      <c r="AI134" s="10">
        <f t="shared" si="231"/>
        <v>0</v>
      </c>
      <c r="AJ134" s="15"/>
      <c r="AK134" s="10">
        <f t="shared" si="232"/>
        <v>0</v>
      </c>
      <c r="AL134" s="15"/>
      <c r="AM134" s="10">
        <f t="shared" si="233"/>
        <v>0</v>
      </c>
      <c r="AN134" s="15"/>
      <c r="AO134" s="10">
        <f t="shared" si="234"/>
        <v>0</v>
      </c>
      <c r="AP134" s="15"/>
      <c r="AQ134" s="10">
        <f t="shared" si="235"/>
        <v>0</v>
      </c>
      <c r="AR134" s="15"/>
      <c r="AS134" s="10">
        <f t="shared" si="236"/>
        <v>0</v>
      </c>
      <c r="AT134" s="15"/>
      <c r="AU134" s="10">
        <f t="shared" si="237"/>
        <v>0</v>
      </c>
      <c r="AV134" s="15"/>
      <c r="AW134" s="10">
        <f t="shared" si="238"/>
        <v>0</v>
      </c>
      <c r="AX134" s="15"/>
      <c r="AY134" s="10">
        <f t="shared" si="239"/>
        <v>0</v>
      </c>
      <c r="AZ134" s="15"/>
      <c r="BA134" s="10">
        <f t="shared" si="240"/>
        <v>0</v>
      </c>
      <c r="BB134" s="15"/>
      <c r="BC134" s="10">
        <f t="shared" si="241"/>
        <v>0</v>
      </c>
      <c r="BD134" s="15"/>
      <c r="BE134" s="10">
        <f t="shared" si="242"/>
        <v>0</v>
      </c>
      <c r="BF134" s="11">
        <f t="shared" si="190"/>
        <v>0</v>
      </c>
      <c r="BG134" s="12">
        <f t="shared" si="191"/>
        <v>0</v>
      </c>
      <c r="BH134" s="15"/>
      <c r="BI134" s="10">
        <f t="shared" si="243"/>
        <v>0</v>
      </c>
      <c r="BJ134" s="15"/>
      <c r="BK134" s="10">
        <f t="shared" si="244"/>
        <v>0</v>
      </c>
      <c r="BL134" s="15"/>
      <c r="BM134" s="10">
        <f t="shared" si="245"/>
        <v>0</v>
      </c>
      <c r="BN134" s="15"/>
      <c r="BO134" s="10">
        <f t="shared" si="246"/>
        <v>0</v>
      </c>
      <c r="BP134" s="15"/>
      <c r="BQ134" s="10">
        <f t="shared" si="247"/>
        <v>0</v>
      </c>
      <c r="BR134" s="15"/>
      <c r="BS134" s="10">
        <f t="shared" si="248"/>
        <v>0</v>
      </c>
      <c r="BT134" s="15"/>
      <c r="BU134" s="10">
        <f t="shared" si="249"/>
        <v>0</v>
      </c>
      <c r="BV134" s="15"/>
      <c r="BW134" s="10">
        <f t="shared" si="250"/>
        <v>0</v>
      </c>
      <c r="BX134" s="15"/>
      <c r="BY134" s="10">
        <f t="shared" si="251"/>
        <v>0</v>
      </c>
      <c r="BZ134" s="15"/>
      <c r="CA134" s="10">
        <f t="shared" si="252"/>
        <v>0</v>
      </c>
      <c r="CB134" s="15"/>
      <c r="CC134" s="10">
        <f t="shared" si="253"/>
        <v>0</v>
      </c>
      <c r="CD134" s="15"/>
      <c r="CE134" s="10">
        <f t="shared" si="254"/>
        <v>0</v>
      </c>
      <c r="CF134" s="11">
        <f t="shared" si="192"/>
        <v>0</v>
      </c>
      <c r="CG134" s="12">
        <f t="shared" si="193"/>
        <v>0</v>
      </c>
      <c r="CH134" s="15"/>
      <c r="CI134" s="10">
        <f t="shared" si="336"/>
        <v>0</v>
      </c>
      <c r="CJ134" s="15"/>
      <c r="CK134" s="10">
        <f t="shared" si="337"/>
        <v>0</v>
      </c>
      <c r="CL134" s="15"/>
      <c r="CM134" s="10">
        <f t="shared" si="338"/>
        <v>0</v>
      </c>
      <c r="CN134" s="15"/>
      <c r="CO134" s="10">
        <f t="shared" si="339"/>
        <v>0</v>
      </c>
      <c r="CP134" s="15"/>
      <c r="CQ134" s="10">
        <f t="shared" si="340"/>
        <v>0</v>
      </c>
      <c r="CR134" s="15"/>
      <c r="CS134" s="10">
        <f t="shared" si="341"/>
        <v>0</v>
      </c>
      <c r="CT134" s="15"/>
      <c r="CU134" s="10">
        <f t="shared" si="342"/>
        <v>0</v>
      </c>
      <c r="CV134" s="15"/>
      <c r="CW134" s="10">
        <f t="shared" si="343"/>
        <v>0</v>
      </c>
      <c r="CX134" s="15"/>
      <c r="CY134" s="10">
        <f t="shared" si="344"/>
        <v>0</v>
      </c>
      <c r="CZ134" s="15"/>
      <c r="DA134" s="10">
        <f t="shared" si="345"/>
        <v>0</v>
      </c>
      <c r="DB134" s="15"/>
      <c r="DC134" s="10">
        <f t="shared" si="346"/>
        <v>0</v>
      </c>
      <c r="DD134" s="15"/>
      <c r="DE134" s="10">
        <f t="shared" si="346"/>
        <v>0</v>
      </c>
      <c r="DF134" s="231">
        <f t="shared" si="205"/>
        <v>0</v>
      </c>
      <c r="DG134" s="230">
        <f t="shared" si="347"/>
        <v>0</v>
      </c>
      <c r="DH134" s="238"/>
      <c r="DI134" s="239">
        <f t="shared" si="360"/>
        <v>0</v>
      </c>
      <c r="DJ134" s="15"/>
      <c r="DK134" s="239">
        <f t="shared" si="372"/>
        <v>0</v>
      </c>
      <c r="DL134" s="238"/>
      <c r="DM134" s="239">
        <f t="shared" si="373"/>
        <v>0</v>
      </c>
      <c r="DN134" s="238"/>
      <c r="DO134" s="239">
        <f t="shared" si="374"/>
        <v>0</v>
      </c>
      <c r="DP134" s="238"/>
      <c r="DQ134" s="239">
        <f t="shared" si="375"/>
        <v>0</v>
      </c>
      <c r="DR134" s="238"/>
      <c r="DS134" s="239">
        <f t="shared" si="376"/>
        <v>0</v>
      </c>
      <c r="DT134" s="238"/>
      <c r="DU134" s="239">
        <f t="shared" si="377"/>
        <v>0</v>
      </c>
      <c r="DV134" s="238"/>
      <c r="DW134" s="239">
        <f t="shared" si="378"/>
        <v>0</v>
      </c>
      <c r="DX134" s="238"/>
      <c r="DY134" s="239">
        <f t="shared" si="379"/>
        <v>0</v>
      </c>
      <c r="DZ134" s="238"/>
      <c r="EA134" s="239">
        <f t="shared" si="380"/>
        <v>0</v>
      </c>
      <c r="EB134" s="238"/>
      <c r="EC134" s="239">
        <f t="shared" si="381"/>
        <v>0</v>
      </c>
      <c r="ED134" s="238"/>
      <c r="EE134" s="239">
        <f t="shared" si="382"/>
        <v>0</v>
      </c>
      <c r="EF134" s="240">
        <f t="shared" si="359"/>
        <v>0</v>
      </c>
      <c r="EG134" s="239">
        <f t="shared" si="359"/>
        <v>0</v>
      </c>
    </row>
    <row r="135" spans="1:137" ht="19.8">
      <c r="A135" s="7">
        <v>109</v>
      </c>
      <c r="B135" s="8" t="s">
        <v>94</v>
      </c>
      <c r="C135" s="8" t="s">
        <v>11</v>
      </c>
      <c r="D135" s="7">
        <f t="shared" si="362"/>
        <v>28</v>
      </c>
      <c r="E135" s="7">
        <v>0.64</v>
      </c>
      <c r="F135" s="7" t="s">
        <v>22</v>
      </c>
      <c r="G135" s="7">
        <v>1900</v>
      </c>
      <c r="H135" s="15"/>
      <c r="I135" s="10">
        <f t="shared" si="220"/>
        <v>0</v>
      </c>
      <c r="J135" s="15"/>
      <c r="K135" s="10">
        <f t="shared" si="221"/>
        <v>0</v>
      </c>
      <c r="L135" s="15"/>
      <c r="M135" s="10">
        <f t="shared" si="222"/>
        <v>0</v>
      </c>
      <c r="N135" s="15"/>
      <c r="O135" s="10">
        <f t="shared" si="223"/>
        <v>0</v>
      </c>
      <c r="P135" s="15"/>
      <c r="Q135" s="10">
        <f t="shared" si="224"/>
        <v>0</v>
      </c>
      <c r="R135" s="15"/>
      <c r="S135" s="10">
        <f t="shared" si="335"/>
        <v>0</v>
      </c>
      <c r="T135" s="15"/>
      <c r="U135" s="10">
        <f t="shared" si="225"/>
        <v>0</v>
      </c>
      <c r="V135" s="15"/>
      <c r="W135" s="10">
        <f t="shared" si="226"/>
        <v>0</v>
      </c>
      <c r="X135" s="15"/>
      <c r="Y135" s="10">
        <f t="shared" si="227"/>
        <v>0</v>
      </c>
      <c r="Z135" s="15"/>
      <c r="AA135" s="10">
        <f t="shared" si="228"/>
        <v>0</v>
      </c>
      <c r="AB135" s="15"/>
      <c r="AC135" s="10">
        <f t="shared" si="229"/>
        <v>0</v>
      </c>
      <c r="AD135" s="15"/>
      <c r="AE135" s="10">
        <f t="shared" si="230"/>
        <v>0</v>
      </c>
      <c r="AF135" s="11">
        <f t="shared" si="266"/>
        <v>0</v>
      </c>
      <c r="AG135" s="12">
        <f t="shared" si="189"/>
        <v>0</v>
      </c>
      <c r="AH135" s="15"/>
      <c r="AI135" s="10">
        <f t="shared" si="231"/>
        <v>0</v>
      </c>
      <c r="AJ135" s="15"/>
      <c r="AK135" s="10">
        <f t="shared" si="232"/>
        <v>0</v>
      </c>
      <c r="AL135" s="15"/>
      <c r="AM135" s="10">
        <f t="shared" si="233"/>
        <v>0</v>
      </c>
      <c r="AN135" s="15"/>
      <c r="AO135" s="10">
        <f t="shared" si="234"/>
        <v>0</v>
      </c>
      <c r="AP135" s="15"/>
      <c r="AQ135" s="10">
        <f t="shared" si="235"/>
        <v>0</v>
      </c>
      <c r="AR135" s="15"/>
      <c r="AS135" s="10">
        <f t="shared" si="236"/>
        <v>0</v>
      </c>
      <c r="AT135" s="15"/>
      <c r="AU135" s="10">
        <f t="shared" si="237"/>
        <v>0</v>
      </c>
      <c r="AV135" s="15"/>
      <c r="AW135" s="10">
        <f t="shared" si="238"/>
        <v>0</v>
      </c>
      <c r="AX135" s="15"/>
      <c r="AY135" s="10">
        <f t="shared" si="239"/>
        <v>0</v>
      </c>
      <c r="AZ135" s="15"/>
      <c r="BA135" s="10">
        <f t="shared" si="240"/>
        <v>0</v>
      </c>
      <c r="BB135" s="15"/>
      <c r="BC135" s="10">
        <f t="shared" si="241"/>
        <v>0</v>
      </c>
      <c r="BD135" s="15"/>
      <c r="BE135" s="10">
        <f t="shared" si="242"/>
        <v>0</v>
      </c>
      <c r="BF135" s="11">
        <f t="shared" si="190"/>
        <v>0</v>
      </c>
      <c r="BG135" s="12">
        <f t="shared" si="191"/>
        <v>0</v>
      </c>
      <c r="BH135" s="13">
        <v>0</v>
      </c>
      <c r="BI135" s="10">
        <f t="shared" si="243"/>
        <v>0</v>
      </c>
      <c r="BJ135" s="13">
        <v>0</v>
      </c>
      <c r="BK135" s="10">
        <f t="shared" si="244"/>
        <v>0</v>
      </c>
      <c r="BL135" s="13">
        <v>0</v>
      </c>
      <c r="BM135" s="10">
        <f t="shared" si="245"/>
        <v>0</v>
      </c>
      <c r="BN135" s="13">
        <v>0</v>
      </c>
      <c r="BO135" s="10">
        <f t="shared" si="246"/>
        <v>0</v>
      </c>
      <c r="BP135" s="13">
        <v>0</v>
      </c>
      <c r="BQ135" s="10">
        <f t="shared" si="247"/>
        <v>0</v>
      </c>
      <c r="BR135" s="13">
        <v>1419</v>
      </c>
      <c r="BS135" s="10">
        <f t="shared" si="248"/>
        <v>908.16</v>
      </c>
      <c r="BT135" s="13">
        <v>598</v>
      </c>
      <c r="BU135" s="10">
        <f t="shared" si="249"/>
        <v>382.72</v>
      </c>
      <c r="BV135" s="13">
        <v>109</v>
      </c>
      <c r="BW135" s="10">
        <f t="shared" si="250"/>
        <v>69.760000000000005</v>
      </c>
      <c r="BX135" s="13">
        <v>0</v>
      </c>
      <c r="BY135" s="10">
        <f t="shared" si="251"/>
        <v>0</v>
      </c>
      <c r="BZ135" s="13">
        <v>70</v>
      </c>
      <c r="CA135" s="10">
        <f t="shared" si="252"/>
        <v>44.800000000000004</v>
      </c>
      <c r="CB135" s="13">
        <v>70</v>
      </c>
      <c r="CC135" s="10">
        <f t="shared" si="253"/>
        <v>44.800000000000004</v>
      </c>
      <c r="CD135" s="14"/>
      <c r="CE135" s="10">
        <f t="shared" si="254"/>
        <v>0</v>
      </c>
      <c r="CF135" s="11">
        <f t="shared" si="192"/>
        <v>2266</v>
      </c>
      <c r="CG135" s="12">
        <f t="shared" si="193"/>
        <v>1450.24</v>
      </c>
      <c r="CH135" s="15">
        <v>140</v>
      </c>
      <c r="CI135" s="10">
        <f t="shared" si="336"/>
        <v>89.600000000000009</v>
      </c>
      <c r="CJ135" s="15"/>
      <c r="CK135" s="10">
        <f t="shared" si="337"/>
        <v>0</v>
      </c>
      <c r="CL135" s="15">
        <v>140</v>
      </c>
      <c r="CM135" s="10">
        <f t="shared" si="338"/>
        <v>89.600000000000009</v>
      </c>
      <c r="CN135" s="15"/>
      <c r="CO135" s="10">
        <f t="shared" si="339"/>
        <v>0</v>
      </c>
      <c r="CP135" s="15"/>
      <c r="CQ135" s="10">
        <f t="shared" si="340"/>
        <v>0</v>
      </c>
      <c r="CR135" s="15"/>
      <c r="CS135" s="10">
        <f t="shared" si="341"/>
        <v>0</v>
      </c>
      <c r="CT135" s="15"/>
      <c r="CU135" s="10">
        <f t="shared" si="342"/>
        <v>0</v>
      </c>
      <c r="CV135" s="15"/>
      <c r="CW135" s="10">
        <f t="shared" si="343"/>
        <v>0</v>
      </c>
      <c r="CX135" s="15"/>
      <c r="CY135" s="10">
        <f t="shared" si="344"/>
        <v>0</v>
      </c>
      <c r="CZ135" s="15"/>
      <c r="DA135" s="10">
        <f t="shared" si="345"/>
        <v>0</v>
      </c>
      <c r="DB135" s="15"/>
      <c r="DC135" s="10">
        <f t="shared" si="346"/>
        <v>0</v>
      </c>
      <c r="DD135" s="15"/>
      <c r="DE135" s="10">
        <f t="shared" si="346"/>
        <v>0</v>
      </c>
      <c r="DF135" s="231">
        <f t="shared" ref="DF135:DF147" si="383">SUM(CH135,CJ135,CL135,CN135,CP135,CR135,CT135,CV135,CX135,CZ135,DB135,DD135)/1</f>
        <v>280</v>
      </c>
      <c r="DG135" s="230">
        <f t="shared" si="347"/>
        <v>179.20000000000002</v>
      </c>
      <c r="DH135" s="238"/>
      <c r="DI135" s="239">
        <f t="shared" si="360"/>
        <v>0</v>
      </c>
      <c r="DJ135" s="15"/>
      <c r="DK135" s="239">
        <f t="shared" si="372"/>
        <v>0</v>
      </c>
      <c r="DL135" s="238"/>
      <c r="DM135" s="239">
        <f t="shared" si="373"/>
        <v>0</v>
      </c>
      <c r="DN135" s="238"/>
      <c r="DO135" s="239">
        <f t="shared" si="374"/>
        <v>0</v>
      </c>
      <c r="DP135" s="238"/>
      <c r="DQ135" s="239">
        <f t="shared" si="375"/>
        <v>0</v>
      </c>
      <c r="DR135" s="238"/>
      <c r="DS135" s="239">
        <f t="shared" si="376"/>
        <v>0</v>
      </c>
      <c r="DT135" s="238"/>
      <c r="DU135" s="239">
        <f t="shared" si="377"/>
        <v>0</v>
      </c>
      <c r="DV135" s="238"/>
      <c r="DW135" s="239">
        <f t="shared" si="378"/>
        <v>0</v>
      </c>
      <c r="DX135" s="238"/>
      <c r="DY135" s="239">
        <f t="shared" si="379"/>
        <v>0</v>
      </c>
      <c r="DZ135" s="238"/>
      <c r="EA135" s="239">
        <f t="shared" si="380"/>
        <v>0</v>
      </c>
      <c r="EB135" s="238"/>
      <c r="EC135" s="239">
        <f t="shared" si="381"/>
        <v>0</v>
      </c>
      <c r="ED135" s="238"/>
      <c r="EE135" s="239">
        <f t="shared" si="382"/>
        <v>0</v>
      </c>
      <c r="EF135" s="240">
        <f t="shared" si="359"/>
        <v>0</v>
      </c>
      <c r="EG135" s="239">
        <f t="shared" si="359"/>
        <v>0</v>
      </c>
    </row>
    <row r="136" spans="1:137" ht="19.8">
      <c r="A136" s="7">
        <v>110</v>
      </c>
      <c r="B136" s="8" t="s">
        <v>95</v>
      </c>
      <c r="C136" s="8" t="s">
        <v>11</v>
      </c>
      <c r="D136" s="7">
        <f t="shared" si="362"/>
        <v>31</v>
      </c>
      <c r="E136" s="7">
        <v>0.64</v>
      </c>
      <c r="F136" s="7" t="s">
        <v>22</v>
      </c>
      <c r="G136" s="7">
        <v>1850</v>
      </c>
      <c r="H136" s="15"/>
      <c r="I136" s="10">
        <f t="shared" si="220"/>
        <v>0</v>
      </c>
      <c r="J136" s="15"/>
      <c r="K136" s="10">
        <f t="shared" si="221"/>
        <v>0</v>
      </c>
      <c r="L136" s="15"/>
      <c r="M136" s="10">
        <f t="shared" si="222"/>
        <v>0</v>
      </c>
      <c r="N136" s="15"/>
      <c r="O136" s="10">
        <f t="shared" si="223"/>
        <v>0</v>
      </c>
      <c r="P136" s="15"/>
      <c r="Q136" s="10">
        <f t="shared" si="224"/>
        <v>0</v>
      </c>
      <c r="R136" s="15"/>
      <c r="S136" s="10">
        <f t="shared" si="335"/>
        <v>0</v>
      </c>
      <c r="T136" s="15"/>
      <c r="U136" s="10">
        <f t="shared" si="225"/>
        <v>0</v>
      </c>
      <c r="V136" s="15"/>
      <c r="W136" s="10">
        <f t="shared" si="226"/>
        <v>0</v>
      </c>
      <c r="X136" s="15"/>
      <c r="Y136" s="10">
        <f t="shared" si="227"/>
        <v>0</v>
      </c>
      <c r="Z136" s="15"/>
      <c r="AA136" s="10">
        <f t="shared" si="228"/>
        <v>0</v>
      </c>
      <c r="AB136" s="15"/>
      <c r="AC136" s="10">
        <f t="shared" si="229"/>
        <v>0</v>
      </c>
      <c r="AD136" s="15"/>
      <c r="AE136" s="10">
        <f t="shared" si="230"/>
        <v>0</v>
      </c>
      <c r="AF136" s="11">
        <f t="shared" si="266"/>
        <v>0</v>
      </c>
      <c r="AG136" s="12">
        <f t="shared" si="189"/>
        <v>0</v>
      </c>
      <c r="AH136" s="15"/>
      <c r="AI136" s="10">
        <f t="shared" si="231"/>
        <v>0</v>
      </c>
      <c r="AJ136" s="15"/>
      <c r="AK136" s="10">
        <f t="shared" si="232"/>
        <v>0</v>
      </c>
      <c r="AL136" s="15"/>
      <c r="AM136" s="10">
        <f t="shared" si="233"/>
        <v>0</v>
      </c>
      <c r="AN136" s="15"/>
      <c r="AO136" s="10">
        <f t="shared" si="234"/>
        <v>0</v>
      </c>
      <c r="AP136" s="15"/>
      <c r="AQ136" s="10">
        <f t="shared" si="235"/>
        <v>0</v>
      </c>
      <c r="AR136" s="15"/>
      <c r="AS136" s="10">
        <f t="shared" si="236"/>
        <v>0</v>
      </c>
      <c r="AT136" s="15"/>
      <c r="AU136" s="10">
        <f t="shared" si="237"/>
        <v>0</v>
      </c>
      <c r="AV136" s="15"/>
      <c r="AW136" s="10">
        <f t="shared" si="238"/>
        <v>0</v>
      </c>
      <c r="AX136" s="15"/>
      <c r="AY136" s="10">
        <f t="shared" si="239"/>
        <v>0</v>
      </c>
      <c r="AZ136" s="15"/>
      <c r="BA136" s="10">
        <f t="shared" si="240"/>
        <v>0</v>
      </c>
      <c r="BB136" s="15"/>
      <c r="BC136" s="10">
        <f t="shared" si="241"/>
        <v>0</v>
      </c>
      <c r="BD136" s="15"/>
      <c r="BE136" s="10">
        <f t="shared" si="242"/>
        <v>0</v>
      </c>
      <c r="BF136" s="11">
        <f t="shared" si="190"/>
        <v>0</v>
      </c>
      <c r="BG136" s="12">
        <f t="shared" si="191"/>
        <v>0</v>
      </c>
      <c r="BH136" s="13">
        <v>0</v>
      </c>
      <c r="BI136" s="10">
        <f t="shared" si="243"/>
        <v>0</v>
      </c>
      <c r="BJ136" s="13">
        <v>0</v>
      </c>
      <c r="BK136" s="10">
        <f t="shared" si="244"/>
        <v>0</v>
      </c>
      <c r="BL136" s="13">
        <v>0</v>
      </c>
      <c r="BM136" s="10">
        <f t="shared" si="245"/>
        <v>0</v>
      </c>
      <c r="BN136" s="13">
        <v>0</v>
      </c>
      <c r="BO136" s="10">
        <f t="shared" si="246"/>
        <v>0</v>
      </c>
      <c r="BP136" s="13">
        <v>0</v>
      </c>
      <c r="BQ136" s="10">
        <f t="shared" si="247"/>
        <v>0</v>
      </c>
      <c r="BR136" s="13">
        <v>150</v>
      </c>
      <c r="BS136" s="10">
        <f t="shared" si="248"/>
        <v>96</v>
      </c>
      <c r="BT136" s="13">
        <v>14</v>
      </c>
      <c r="BU136" s="10">
        <f t="shared" si="249"/>
        <v>8.9600000000000009</v>
      </c>
      <c r="BV136" s="13">
        <v>0</v>
      </c>
      <c r="BW136" s="10">
        <f t="shared" si="250"/>
        <v>0</v>
      </c>
      <c r="BX136" s="13">
        <v>0</v>
      </c>
      <c r="BY136" s="10">
        <f t="shared" si="251"/>
        <v>0</v>
      </c>
      <c r="BZ136" s="13"/>
      <c r="CA136" s="10">
        <f t="shared" si="252"/>
        <v>0</v>
      </c>
      <c r="CB136" s="13"/>
      <c r="CC136" s="10">
        <f t="shared" si="253"/>
        <v>0</v>
      </c>
      <c r="CD136" s="14">
        <v>42</v>
      </c>
      <c r="CE136" s="10">
        <f t="shared" si="254"/>
        <v>26.88</v>
      </c>
      <c r="CF136" s="11">
        <f t="shared" si="192"/>
        <v>206</v>
      </c>
      <c r="CG136" s="12">
        <f t="shared" si="193"/>
        <v>131.84</v>
      </c>
      <c r="CH136" s="15">
        <v>0</v>
      </c>
      <c r="CI136" s="10">
        <f t="shared" si="336"/>
        <v>0</v>
      </c>
      <c r="CJ136" s="15"/>
      <c r="CK136" s="10">
        <f t="shared" si="337"/>
        <v>0</v>
      </c>
      <c r="CL136" s="15"/>
      <c r="CM136" s="10">
        <f t="shared" si="338"/>
        <v>0</v>
      </c>
      <c r="CN136" s="15"/>
      <c r="CO136" s="10">
        <f t="shared" si="339"/>
        <v>0</v>
      </c>
      <c r="CP136" s="15"/>
      <c r="CQ136" s="10">
        <f t="shared" si="340"/>
        <v>0</v>
      </c>
      <c r="CR136" s="15"/>
      <c r="CS136" s="10">
        <f t="shared" si="341"/>
        <v>0</v>
      </c>
      <c r="CT136" s="15"/>
      <c r="CU136" s="10">
        <f t="shared" si="342"/>
        <v>0</v>
      </c>
      <c r="CV136" s="15"/>
      <c r="CW136" s="10">
        <f t="shared" si="343"/>
        <v>0</v>
      </c>
      <c r="CX136" s="15"/>
      <c r="CY136" s="10">
        <f t="shared" si="344"/>
        <v>0</v>
      </c>
      <c r="CZ136" s="15"/>
      <c r="DA136" s="10">
        <f t="shared" si="345"/>
        <v>0</v>
      </c>
      <c r="DB136" s="15"/>
      <c r="DC136" s="10">
        <f t="shared" si="346"/>
        <v>0</v>
      </c>
      <c r="DD136" s="15"/>
      <c r="DE136" s="10">
        <f t="shared" si="346"/>
        <v>0</v>
      </c>
      <c r="DF136" s="231">
        <f t="shared" si="383"/>
        <v>0</v>
      </c>
      <c r="DG136" s="230">
        <f t="shared" si="347"/>
        <v>0</v>
      </c>
      <c r="DH136" s="238"/>
      <c r="DI136" s="239">
        <f t="shared" si="360"/>
        <v>0</v>
      </c>
      <c r="DJ136" s="15"/>
      <c r="DK136" s="239">
        <f t="shared" si="372"/>
        <v>0</v>
      </c>
      <c r="DL136" s="238"/>
      <c r="DM136" s="239">
        <f t="shared" si="373"/>
        <v>0</v>
      </c>
      <c r="DN136" s="238"/>
      <c r="DO136" s="239">
        <f t="shared" si="374"/>
        <v>0</v>
      </c>
      <c r="DP136" s="238"/>
      <c r="DQ136" s="239">
        <f t="shared" si="375"/>
        <v>0</v>
      </c>
      <c r="DR136" s="238"/>
      <c r="DS136" s="239">
        <f t="shared" si="376"/>
        <v>0</v>
      </c>
      <c r="DT136" s="238"/>
      <c r="DU136" s="239">
        <f t="shared" si="377"/>
        <v>0</v>
      </c>
      <c r="DV136" s="238"/>
      <c r="DW136" s="239">
        <f t="shared" si="378"/>
        <v>0</v>
      </c>
      <c r="DX136" s="238"/>
      <c r="DY136" s="239">
        <f t="shared" si="379"/>
        <v>0</v>
      </c>
      <c r="DZ136" s="238"/>
      <c r="EA136" s="239">
        <f t="shared" si="380"/>
        <v>0</v>
      </c>
      <c r="EB136" s="238"/>
      <c r="EC136" s="239">
        <f t="shared" si="381"/>
        <v>0</v>
      </c>
      <c r="ED136" s="238"/>
      <c r="EE136" s="239">
        <f t="shared" si="382"/>
        <v>0</v>
      </c>
      <c r="EF136" s="240">
        <f t="shared" si="359"/>
        <v>0</v>
      </c>
      <c r="EG136" s="239">
        <f t="shared" si="359"/>
        <v>0</v>
      </c>
    </row>
    <row r="137" spans="1:137" ht="19.8">
      <c r="A137" s="7">
        <v>111</v>
      </c>
      <c r="B137" s="8" t="s">
        <v>96</v>
      </c>
      <c r="C137" s="8" t="s">
        <v>11</v>
      </c>
      <c r="D137" s="7">
        <f t="shared" si="362"/>
        <v>31</v>
      </c>
      <c r="E137" s="7">
        <v>0.64</v>
      </c>
      <c r="F137" s="7" t="s">
        <v>20</v>
      </c>
      <c r="G137" s="7"/>
      <c r="H137" s="15"/>
      <c r="I137" s="10">
        <f t="shared" si="220"/>
        <v>0</v>
      </c>
      <c r="J137" s="15"/>
      <c r="K137" s="10">
        <f t="shared" si="221"/>
        <v>0</v>
      </c>
      <c r="L137" s="15"/>
      <c r="M137" s="10">
        <f t="shared" si="222"/>
        <v>0</v>
      </c>
      <c r="N137" s="15"/>
      <c r="O137" s="10">
        <f t="shared" si="223"/>
        <v>0</v>
      </c>
      <c r="P137" s="15"/>
      <c r="Q137" s="10">
        <f t="shared" si="224"/>
        <v>0</v>
      </c>
      <c r="R137" s="15"/>
      <c r="S137" s="10">
        <f t="shared" si="335"/>
        <v>0</v>
      </c>
      <c r="T137" s="15"/>
      <c r="U137" s="10">
        <f t="shared" si="225"/>
        <v>0</v>
      </c>
      <c r="V137" s="15"/>
      <c r="W137" s="10">
        <f t="shared" si="226"/>
        <v>0</v>
      </c>
      <c r="X137" s="15"/>
      <c r="Y137" s="10">
        <f t="shared" si="227"/>
        <v>0</v>
      </c>
      <c r="Z137" s="15"/>
      <c r="AA137" s="10">
        <f t="shared" si="228"/>
        <v>0</v>
      </c>
      <c r="AB137" s="15"/>
      <c r="AC137" s="10">
        <f t="shared" si="229"/>
        <v>0</v>
      </c>
      <c r="AD137" s="15"/>
      <c r="AE137" s="10">
        <f t="shared" si="230"/>
        <v>0</v>
      </c>
      <c r="AF137" s="11">
        <f t="shared" si="266"/>
        <v>0</v>
      </c>
      <c r="AG137" s="12">
        <f t="shared" si="189"/>
        <v>0</v>
      </c>
      <c r="AH137" s="15"/>
      <c r="AI137" s="10">
        <f t="shared" si="231"/>
        <v>0</v>
      </c>
      <c r="AJ137" s="15"/>
      <c r="AK137" s="10">
        <f t="shared" si="232"/>
        <v>0</v>
      </c>
      <c r="AL137" s="15"/>
      <c r="AM137" s="10">
        <f t="shared" si="233"/>
        <v>0</v>
      </c>
      <c r="AN137" s="15"/>
      <c r="AO137" s="10">
        <f t="shared" si="234"/>
        <v>0</v>
      </c>
      <c r="AP137" s="15"/>
      <c r="AQ137" s="10">
        <f t="shared" si="235"/>
        <v>0</v>
      </c>
      <c r="AR137" s="15"/>
      <c r="AS137" s="10">
        <f t="shared" si="236"/>
        <v>0</v>
      </c>
      <c r="AT137" s="15"/>
      <c r="AU137" s="10">
        <f t="shared" si="237"/>
        <v>0</v>
      </c>
      <c r="AV137" s="15"/>
      <c r="AW137" s="10">
        <f t="shared" si="238"/>
        <v>0</v>
      </c>
      <c r="AX137" s="15"/>
      <c r="AY137" s="10">
        <f t="shared" si="239"/>
        <v>0</v>
      </c>
      <c r="AZ137" s="15"/>
      <c r="BA137" s="10">
        <f t="shared" si="240"/>
        <v>0</v>
      </c>
      <c r="BB137" s="15"/>
      <c r="BC137" s="10">
        <f t="shared" si="241"/>
        <v>0</v>
      </c>
      <c r="BD137" s="15"/>
      <c r="BE137" s="10">
        <f t="shared" si="242"/>
        <v>0</v>
      </c>
      <c r="BF137" s="11">
        <f t="shared" si="190"/>
        <v>0</v>
      </c>
      <c r="BG137" s="12">
        <f t="shared" si="191"/>
        <v>0</v>
      </c>
      <c r="BH137" s="15"/>
      <c r="BI137" s="10">
        <f t="shared" si="243"/>
        <v>0</v>
      </c>
      <c r="BJ137" s="15"/>
      <c r="BK137" s="10">
        <f t="shared" si="244"/>
        <v>0</v>
      </c>
      <c r="BL137" s="15"/>
      <c r="BM137" s="10">
        <f t="shared" si="245"/>
        <v>0</v>
      </c>
      <c r="BN137" s="15"/>
      <c r="BO137" s="10">
        <f t="shared" si="246"/>
        <v>0</v>
      </c>
      <c r="BP137" s="15"/>
      <c r="BQ137" s="10">
        <f t="shared" si="247"/>
        <v>0</v>
      </c>
      <c r="BR137" s="15"/>
      <c r="BS137" s="10">
        <f t="shared" si="248"/>
        <v>0</v>
      </c>
      <c r="BT137" s="15"/>
      <c r="BU137" s="10">
        <f t="shared" si="249"/>
        <v>0</v>
      </c>
      <c r="BV137" s="15"/>
      <c r="BW137" s="10">
        <f t="shared" si="250"/>
        <v>0</v>
      </c>
      <c r="BX137" s="15"/>
      <c r="BY137" s="10">
        <f t="shared" si="251"/>
        <v>0</v>
      </c>
      <c r="BZ137" s="15"/>
      <c r="CA137" s="10">
        <f t="shared" si="252"/>
        <v>0</v>
      </c>
      <c r="CB137" s="15"/>
      <c r="CC137" s="10">
        <f t="shared" si="253"/>
        <v>0</v>
      </c>
      <c r="CD137" s="15"/>
      <c r="CE137" s="10">
        <f t="shared" si="254"/>
        <v>0</v>
      </c>
      <c r="CF137" s="11">
        <f t="shared" si="192"/>
        <v>0</v>
      </c>
      <c r="CG137" s="12">
        <f t="shared" si="193"/>
        <v>0</v>
      </c>
      <c r="CH137" s="15"/>
      <c r="CI137" s="10">
        <f t="shared" si="336"/>
        <v>0</v>
      </c>
      <c r="CJ137" s="15"/>
      <c r="CK137" s="10">
        <f t="shared" si="337"/>
        <v>0</v>
      </c>
      <c r="CL137" s="15"/>
      <c r="CM137" s="10">
        <f t="shared" si="338"/>
        <v>0</v>
      </c>
      <c r="CN137" s="15"/>
      <c r="CO137" s="10">
        <f t="shared" si="339"/>
        <v>0</v>
      </c>
      <c r="CP137" s="15"/>
      <c r="CQ137" s="10">
        <f t="shared" si="340"/>
        <v>0</v>
      </c>
      <c r="CR137" s="15"/>
      <c r="CS137" s="10">
        <f t="shared" si="341"/>
        <v>0</v>
      </c>
      <c r="CT137" s="15"/>
      <c r="CU137" s="10">
        <f t="shared" si="342"/>
        <v>0</v>
      </c>
      <c r="CV137" s="15"/>
      <c r="CW137" s="10">
        <f t="shared" si="343"/>
        <v>0</v>
      </c>
      <c r="CX137" s="15"/>
      <c r="CY137" s="10">
        <f t="shared" si="344"/>
        <v>0</v>
      </c>
      <c r="CZ137" s="15"/>
      <c r="DA137" s="10">
        <f t="shared" si="345"/>
        <v>0</v>
      </c>
      <c r="DB137" s="15"/>
      <c r="DC137" s="10">
        <f t="shared" si="346"/>
        <v>0</v>
      </c>
      <c r="DD137" s="15"/>
      <c r="DE137" s="10">
        <f t="shared" si="346"/>
        <v>0</v>
      </c>
      <c r="DF137" s="231">
        <f t="shared" si="383"/>
        <v>0</v>
      </c>
      <c r="DG137" s="230">
        <f t="shared" si="347"/>
        <v>0</v>
      </c>
      <c r="DH137" s="238"/>
      <c r="DI137" s="239">
        <f t="shared" si="360"/>
        <v>0</v>
      </c>
      <c r="DJ137" s="15"/>
      <c r="DK137" s="239">
        <f t="shared" si="372"/>
        <v>0</v>
      </c>
      <c r="DL137" s="238"/>
      <c r="DM137" s="239">
        <f t="shared" si="373"/>
        <v>0</v>
      </c>
      <c r="DN137" s="238"/>
      <c r="DO137" s="239">
        <f t="shared" si="374"/>
        <v>0</v>
      </c>
      <c r="DP137" s="238"/>
      <c r="DQ137" s="239">
        <f t="shared" si="375"/>
        <v>0</v>
      </c>
      <c r="DR137" s="238"/>
      <c r="DS137" s="239">
        <f t="shared" si="376"/>
        <v>0</v>
      </c>
      <c r="DT137" s="238"/>
      <c r="DU137" s="239">
        <f t="shared" si="377"/>
        <v>0</v>
      </c>
      <c r="DV137" s="238"/>
      <c r="DW137" s="239">
        <f t="shared" si="378"/>
        <v>0</v>
      </c>
      <c r="DX137" s="238"/>
      <c r="DY137" s="239">
        <f t="shared" si="379"/>
        <v>0</v>
      </c>
      <c r="DZ137" s="238"/>
      <c r="EA137" s="239">
        <f t="shared" si="380"/>
        <v>0</v>
      </c>
      <c r="EB137" s="238"/>
      <c r="EC137" s="239">
        <f t="shared" si="381"/>
        <v>0</v>
      </c>
      <c r="ED137" s="238"/>
      <c r="EE137" s="239">
        <f t="shared" si="382"/>
        <v>0</v>
      </c>
      <c r="EF137" s="240">
        <f t="shared" si="359"/>
        <v>0</v>
      </c>
      <c r="EG137" s="239">
        <f t="shared" si="359"/>
        <v>0</v>
      </c>
    </row>
    <row r="138" spans="1:137" ht="19.8">
      <c r="A138" s="7">
        <v>112</v>
      </c>
      <c r="B138" s="8" t="s">
        <v>97</v>
      </c>
      <c r="C138" s="8"/>
      <c r="D138" s="7">
        <f t="shared" si="362"/>
        <v>31</v>
      </c>
      <c r="E138" s="7">
        <v>0.64</v>
      </c>
      <c r="F138" s="7"/>
      <c r="G138" s="7"/>
      <c r="H138" s="15"/>
      <c r="I138" s="10"/>
      <c r="J138" s="15"/>
      <c r="K138" s="10"/>
      <c r="L138" s="15"/>
      <c r="M138" s="10"/>
      <c r="N138" s="15"/>
      <c r="O138" s="10"/>
      <c r="P138" s="15"/>
      <c r="Q138" s="10"/>
      <c r="R138" s="15"/>
      <c r="S138" s="10">
        <f t="shared" si="335"/>
        <v>0</v>
      </c>
      <c r="T138" s="15"/>
      <c r="U138" s="10"/>
      <c r="V138" s="15"/>
      <c r="W138" s="10"/>
      <c r="X138" s="15"/>
      <c r="Y138" s="10"/>
      <c r="Z138" s="15"/>
      <c r="AA138" s="10"/>
      <c r="AB138" s="15"/>
      <c r="AC138" s="10"/>
      <c r="AD138" s="15"/>
      <c r="AE138" s="10"/>
      <c r="AF138" s="11">
        <f t="shared" si="266"/>
        <v>0</v>
      </c>
      <c r="AG138" s="12">
        <f t="shared" si="189"/>
        <v>0</v>
      </c>
      <c r="AH138" s="15"/>
      <c r="AI138" s="10"/>
      <c r="AJ138" s="15"/>
      <c r="AK138" s="10"/>
      <c r="AL138" s="15"/>
      <c r="AM138" s="10"/>
      <c r="AN138" s="15"/>
      <c r="AO138" s="10"/>
      <c r="AP138" s="15"/>
      <c r="AQ138" s="10"/>
      <c r="AR138" s="15"/>
      <c r="AS138" s="10"/>
      <c r="AT138" s="15"/>
      <c r="AU138" s="10"/>
      <c r="AV138" s="15"/>
      <c r="AW138" s="10"/>
      <c r="AX138" s="15"/>
      <c r="AY138" s="10"/>
      <c r="AZ138" s="15"/>
      <c r="BA138" s="10"/>
      <c r="BB138" s="15"/>
      <c r="BC138" s="10"/>
      <c r="BD138" s="15"/>
      <c r="BE138" s="10"/>
      <c r="BF138" s="11">
        <f t="shared" si="190"/>
        <v>0</v>
      </c>
      <c r="BG138" s="12">
        <f t="shared" si="191"/>
        <v>0</v>
      </c>
      <c r="BH138" s="15"/>
      <c r="BI138" s="10"/>
      <c r="BJ138" s="15"/>
      <c r="BK138" s="10"/>
      <c r="BL138" s="15"/>
      <c r="BM138" s="10"/>
      <c r="BN138" s="15"/>
      <c r="BO138" s="10"/>
      <c r="BP138" s="15"/>
      <c r="BQ138" s="10"/>
      <c r="BR138" s="15"/>
      <c r="BS138" s="10"/>
      <c r="BT138" s="15"/>
      <c r="BU138" s="10"/>
      <c r="BV138" s="15"/>
      <c r="BW138" s="10"/>
      <c r="BX138" s="15"/>
      <c r="BY138" s="10"/>
      <c r="BZ138" s="15"/>
      <c r="CA138" s="10"/>
      <c r="CB138" s="15"/>
      <c r="CC138" s="10"/>
      <c r="CD138" s="15"/>
      <c r="CE138" s="10"/>
      <c r="CF138" s="11">
        <f t="shared" si="192"/>
        <v>0</v>
      </c>
      <c r="CG138" s="12">
        <f t="shared" si="193"/>
        <v>0</v>
      </c>
      <c r="CH138" s="17"/>
      <c r="CI138" s="10">
        <f t="shared" si="336"/>
        <v>0</v>
      </c>
      <c r="CJ138" s="15"/>
      <c r="CK138" s="10">
        <f t="shared" si="337"/>
        <v>0</v>
      </c>
      <c r="CL138" s="17"/>
      <c r="CM138" s="10">
        <f t="shared" si="338"/>
        <v>0</v>
      </c>
      <c r="CN138" s="15"/>
      <c r="CO138" s="10">
        <f t="shared" si="339"/>
        <v>0</v>
      </c>
      <c r="CP138" s="15"/>
      <c r="CQ138" s="10">
        <f t="shared" si="340"/>
        <v>0</v>
      </c>
      <c r="CR138" s="15"/>
      <c r="CS138" s="10">
        <f t="shared" si="341"/>
        <v>0</v>
      </c>
      <c r="CT138" s="15"/>
      <c r="CU138" s="10">
        <f t="shared" si="342"/>
        <v>0</v>
      </c>
      <c r="CV138" s="15"/>
      <c r="CW138" s="10">
        <f t="shared" si="343"/>
        <v>0</v>
      </c>
      <c r="CX138" s="15"/>
      <c r="CY138" s="10">
        <f t="shared" si="344"/>
        <v>0</v>
      </c>
      <c r="CZ138" s="15"/>
      <c r="DA138" s="10">
        <f t="shared" si="345"/>
        <v>0</v>
      </c>
      <c r="DB138" s="15"/>
      <c r="DC138" s="10">
        <f t="shared" si="346"/>
        <v>0</v>
      </c>
      <c r="DD138" s="15"/>
      <c r="DE138" s="10">
        <f t="shared" si="346"/>
        <v>0</v>
      </c>
      <c r="DF138" s="231">
        <f t="shared" si="383"/>
        <v>0</v>
      </c>
      <c r="DG138" s="230">
        <f t="shared" si="347"/>
        <v>0</v>
      </c>
      <c r="DH138" s="238"/>
      <c r="DI138" s="239"/>
      <c r="DJ138" s="15"/>
      <c r="DK138" s="239"/>
      <c r="DL138" s="238"/>
      <c r="DM138" s="239"/>
      <c r="DN138" s="238"/>
      <c r="DO138" s="239"/>
      <c r="DP138" s="238"/>
      <c r="DQ138" s="239"/>
      <c r="DR138" s="238"/>
      <c r="DS138" s="239"/>
      <c r="DT138" s="238"/>
      <c r="DU138" s="239"/>
      <c r="DV138" s="238"/>
      <c r="DW138" s="239"/>
      <c r="DX138" s="238"/>
      <c r="DY138" s="239"/>
      <c r="DZ138" s="238"/>
      <c r="EA138" s="239"/>
      <c r="EB138" s="238"/>
      <c r="EC138" s="239"/>
      <c r="ED138" s="238"/>
      <c r="EE138" s="239"/>
      <c r="EF138" s="240">
        <f t="shared" si="359"/>
        <v>0</v>
      </c>
      <c r="EG138" s="239">
        <f t="shared" si="359"/>
        <v>0</v>
      </c>
    </row>
    <row r="139" spans="1:137" ht="19.8">
      <c r="A139" s="7">
        <v>113</v>
      </c>
      <c r="B139" s="8" t="s">
        <v>98</v>
      </c>
      <c r="C139" s="8"/>
      <c r="D139" s="7">
        <f t="shared" si="362"/>
        <v>31</v>
      </c>
      <c r="E139" s="7">
        <v>0.64</v>
      </c>
      <c r="F139" s="7" t="s">
        <v>99</v>
      </c>
      <c r="G139" s="7"/>
      <c r="H139" s="15"/>
      <c r="I139" s="10">
        <f t="shared" si="220"/>
        <v>0</v>
      </c>
      <c r="J139" s="15"/>
      <c r="K139" s="10">
        <f t="shared" si="221"/>
        <v>0</v>
      </c>
      <c r="L139" s="15"/>
      <c r="M139" s="10">
        <f t="shared" si="222"/>
        <v>0</v>
      </c>
      <c r="N139" s="15"/>
      <c r="O139" s="10">
        <f t="shared" si="223"/>
        <v>0</v>
      </c>
      <c r="P139" s="15"/>
      <c r="Q139" s="10">
        <f t="shared" si="224"/>
        <v>0</v>
      </c>
      <c r="R139" s="15"/>
      <c r="S139" s="10">
        <f t="shared" si="335"/>
        <v>0</v>
      </c>
      <c r="T139" s="15"/>
      <c r="U139" s="10">
        <f t="shared" si="225"/>
        <v>0</v>
      </c>
      <c r="V139" s="15"/>
      <c r="W139" s="10">
        <f t="shared" si="226"/>
        <v>0</v>
      </c>
      <c r="X139" s="15"/>
      <c r="Y139" s="10">
        <f t="shared" si="227"/>
        <v>0</v>
      </c>
      <c r="Z139" s="15"/>
      <c r="AA139" s="10">
        <f t="shared" si="228"/>
        <v>0</v>
      </c>
      <c r="AB139" s="15"/>
      <c r="AC139" s="10">
        <f t="shared" si="229"/>
        <v>0</v>
      </c>
      <c r="AD139" s="15"/>
      <c r="AE139" s="10">
        <f t="shared" si="230"/>
        <v>0</v>
      </c>
      <c r="AF139" s="11">
        <f t="shared" si="266"/>
        <v>0</v>
      </c>
      <c r="AG139" s="12">
        <f t="shared" si="189"/>
        <v>0</v>
      </c>
      <c r="AH139" s="15"/>
      <c r="AI139" s="10">
        <f t="shared" si="231"/>
        <v>0</v>
      </c>
      <c r="AJ139" s="15"/>
      <c r="AK139" s="10">
        <f t="shared" si="232"/>
        <v>0</v>
      </c>
      <c r="AL139" s="15"/>
      <c r="AM139" s="10">
        <f t="shared" si="233"/>
        <v>0</v>
      </c>
      <c r="AN139" s="15"/>
      <c r="AO139" s="10">
        <f t="shared" si="234"/>
        <v>0</v>
      </c>
      <c r="AP139" s="15"/>
      <c r="AQ139" s="10">
        <f t="shared" si="235"/>
        <v>0</v>
      </c>
      <c r="AR139" s="15"/>
      <c r="AS139" s="10">
        <f t="shared" si="236"/>
        <v>0</v>
      </c>
      <c r="AT139" s="15"/>
      <c r="AU139" s="10">
        <f t="shared" si="237"/>
        <v>0</v>
      </c>
      <c r="AV139" s="15"/>
      <c r="AW139" s="10">
        <f t="shared" si="238"/>
        <v>0</v>
      </c>
      <c r="AX139" s="15"/>
      <c r="AY139" s="10">
        <f t="shared" si="239"/>
        <v>0</v>
      </c>
      <c r="AZ139" s="15"/>
      <c r="BA139" s="10">
        <f t="shared" si="240"/>
        <v>0</v>
      </c>
      <c r="BB139" s="15"/>
      <c r="BC139" s="10">
        <f t="shared" si="241"/>
        <v>0</v>
      </c>
      <c r="BD139" s="15"/>
      <c r="BE139" s="10">
        <f t="shared" si="242"/>
        <v>0</v>
      </c>
      <c r="BF139" s="11">
        <f t="shared" si="190"/>
        <v>0</v>
      </c>
      <c r="BG139" s="12">
        <f t="shared" si="191"/>
        <v>0</v>
      </c>
      <c r="BH139" s="15"/>
      <c r="BI139" s="10">
        <f t="shared" si="243"/>
        <v>0</v>
      </c>
      <c r="BJ139" s="15"/>
      <c r="BK139" s="10">
        <f t="shared" si="244"/>
        <v>0</v>
      </c>
      <c r="BL139" s="15"/>
      <c r="BM139" s="10">
        <f t="shared" si="245"/>
        <v>0</v>
      </c>
      <c r="BN139" s="15"/>
      <c r="BO139" s="10">
        <f t="shared" si="246"/>
        <v>0</v>
      </c>
      <c r="BP139" s="15"/>
      <c r="BQ139" s="10">
        <f t="shared" si="247"/>
        <v>0</v>
      </c>
      <c r="BR139" s="15"/>
      <c r="BS139" s="10">
        <f t="shared" si="248"/>
        <v>0</v>
      </c>
      <c r="BT139" s="15"/>
      <c r="BU139" s="10">
        <f t="shared" si="249"/>
        <v>0</v>
      </c>
      <c r="BV139" s="15"/>
      <c r="BW139" s="10">
        <f t="shared" si="250"/>
        <v>0</v>
      </c>
      <c r="BX139" s="15"/>
      <c r="BY139" s="10">
        <f t="shared" si="251"/>
        <v>0</v>
      </c>
      <c r="BZ139" s="15"/>
      <c r="CA139" s="10">
        <f t="shared" si="252"/>
        <v>0</v>
      </c>
      <c r="CB139" s="15"/>
      <c r="CC139" s="10">
        <f t="shared" si="253"/>
        <v>0</v>
      </c>
      <c r="CD139" s="15"/>
      <c r="CE139" s="10">
        <f t="shared" si="254"/>
        <v>0</v>
      </c>
      <c r="CF139" s="11">
        <f t="shared" si="192"/>
        <v>0</v>
      </c>
      <c r="CG139" s="12">
        <f t="shared" si="193"/>
        <v>0</v>
      </c>
      <c r="CH139" s="17"/>
      <c r="CI139" s="10">
        <f t="shared" si="336"/>
        <v>0</v>
      </c>
      <c r="CJ139" s="15"/>
      <c r="CK139" s="10">
        <f t="shared" si="337"/>
        <v>0</v>
      </c>
      <c r="CL139" s="17"/>
      <c r="CM139" s="10">
        <f t="shared" si="338"/>
        <v>0</v>
      </c>
      <c r="CN139" s="15"/>
      <c r="CO139" s="10">
        <f t="shared" si="339"/>
        <v>0</v>
      </c>
      <c r="CP139" s="15"/>
      <c r="CQ139" s="10">
        <f t="shared" si="340"/>
        <v>0</v>
      </c>
      <c r="CR139" s="15"/>
      <c r="CS139" s="10">
        <f t="shared" si="341"/>
        <v>0</v>
      </c>
      <c r="CT139" s="15"/>
      <c r="CU139" s="10">
        <f t="shared" si="342"/>
        <v>0</v>
      </c>
      <c r="CV139" s="15"/>
      <c r="CW139" s="10">
        <f t="shared" si="343"/>
        <v>0</v>
      </c>
      <c r="CX139" s="15"/>
      <c r="CY139" s="10">
        <f t="shared" si="344"/>
        <v>0</v>
      </c>
      <c r="CZ139" s="15"/>
      <c r="DA139" s="10">
        <f t="shared" si="345"/>
        <v>0</v>
      </c>
      <c r="DB139" s="15"/>
      <c r="DC139" s="10">
        <f t="shared" si="346"/>
        <v>0</v>
      </c>
      <c r="DD139" s="15"/>
      <c r="DE139" s="10">
        <f t="shared" si="346"/>
        <v>0</v>
      </c>
      <c r="DF139" s="231">
        <f t="shared" si="383"/>
        <v>0</v>
      </c>
      <c r="DG139" s="230">
        <f t="shared" si="347"/>
        <v>0</v>
      </c>
      <c r="DH139" s="238"/>
      <c r="DI139" s="239">
        <f t="shared" ref="DI139" si="384">DH139*$E139</f>
        <v>0</v>
      </c>
      <c r="DJ139" s="15"/>
      <c r="DK139" s="239">
        <f t="shared" ref="DK139" si="385">DJ139*$E139</f>
        <v>0</v>
      </c>
      <c r="DL139" s="238"/>
      <c r="DM139" s="239">
        <f t="shared" ref="DM139" si="386">DL139*$E139</f>
        <v>0</v>
      </c>
      <c r="DN139" s="238"/>
      <c r="DO139" s="239">
        <f t="shared" ref="DO139" si="387">DN139*$E139</f>
        <v>0</v>
      </c>
      <c r="DP139" s="238"/>
      <c r="DQ139" s="239">
        <f t="shared" ref="DQ139" si="388">DP139*$E139</f>
        <v>0</v>
      </c>
      <c r="DR139" s="238"/>
      <c r="DS139" s="239">
        <f t="shared" ref="DS139" si="389">DR139*$E139</f>
        <v>0</v>
      </c>
      <c r="DT139" s="238"/>
      <c r="DU139" s="239">
        <f t="shared" ref="DU139" si="390">DT139*$E139</f>
        <v>0</v>
      </c>
      <c r="DV139" s="238"/>
      <c r="DW139" s="239">
        <f t="shared" ref="DW139" si="391">DV139*$E139</f>
        <v>0</v>
      </c>
      <c r="DX139" s="238"/>
      <c r="DY139" s="239">
        <f t="shared" ref="DY139" si="392">DX139*$E139</f>
        <v>0</v>
      </c>
      <c r="DZ139" s="238"/>
      <c r="EA139" s="239">
        <f t="shared" ref="EA139" si="393">DZ139*$E139</f>
        <v>0</v>
      </c>
      <c r="EB139" s="238"/>
      <c r="EC139" s="239">
        <f t="shared" ref="EC139" si="394">EB139*$E139</f>
        <v>0</v>
      </c>
      <c r="ED139" s="238"/>
      <c r="EE139" s="239">
        <f t="shared" ref="EE139" si="395">ED139*$E139</f>
        <v>0</v>
      </c>
      <c r="EF139" s="240">
        <f t="shared" si="359"/>
        <v>0</v>
      </c>
      <c r="EG139" s="239">
        <f t="shared" si="359"/>
        <v>0</v>
      </c>
    </row>
    <row r="140" spans="1:137" ht="19.8">
      <c r="A140" s="7">
        <v>114</v>
      </c>
      <c r="B140" s="8" t="s">
        <v>334</v>
      </c>
      <c r="C140" s="8"/>
      <c r="D140" s="7">
        <f t="shared" ref="D140:D141" si="396">RANK(DF140,$DF$4:$DF$147)</f>
        <v>31</v>
      </c>
      <c r="E140" s="7"/>
      <c r="F140" s="7"/>
      <c r="G140" s="7"/>
      <c r="H140" s="15"/>
      <c r="I140" s="10"/>
      <c r="J140" s="15"/>
      <c r="K140" s="10"/>
      <c r="L140" s="15"/>
      <c r="M140" s="10"/>
      <c r="N140" s="15"/>
      <c r="O140" s="10"/>
      <c r="P140" s="15"/>
      <c r="Q140" s="10"/>
      <c r="R140" s="15"/>
      <c r="S140" s="10"/>
      <c r="T140" s="15"/>
      <c r="U140" s="10"/>
      <c r="V140" s="15"/>
      <c r="W140" s="10"/>
      <c r="X140" s="15"/>
      <c r="Y140" s="10"/>
      <c r="Z140" s="15"/>
      <c r="AA140" s="10"/>
      <c r="AB140" s="15"/>
      <c r="AC140" s="10"/>
      <c r="AD140" s="15"/>
      <c r="AE140" s="10"/>
      <c r="AF140" s="11"/>
      <c r="AG140" s="12"/>
      <c r="AH140" s="15"/>
      <c r="AI140" s="10"/>
      <c r="AJ140" s="15"/>
      <c r="AK140" s="10"/>
      <c r="AL140" s="15"/>
      <c r="AM140" s="10"/>
      <c r="AN140" s="15"/>
      <c r="AO140" s="10"/>
      <c r="AP140" s="15"/>
      <c r="AQ140" s="10"/>
      <c r="AR140" s="15"/>
      <c r="AS140" s="10"/>
      <c r="AT140" s="15"/>
      <c r="AU140" s="10"/>
      <c r="AV140" s="15"/>
      <c r="AW140" s="10"/>
      <c r="AX140" s="15"/>
      <c r="AY140" s="10"/>
      <c r="AZ140" s="15"/>
      <c r="BA140" s="10"/>
      <c r="BB140" s="15"/>
      <c r="BC140" s="10"/>
      <c r="BD140" s="15"/>
      <c r="BE140" s="10"/>
      <c r="BF140" s="11"/>
      <c r="BG140" s="12"/>
      <c r="BH140" s="15"/>
      <c r="BI140" s="10"/>
      <c r="BJ140" s="15"/>
      <c r="BK140" s="10"/>
      <c r="BL140" s="15"/>
      <c r="BM140" s="10"/>
      <c r="BN140" s="15"/>
      <c r="BO140" s="10"/>
      <c r="BP140" s="15"/>
      <c r="BQ140" s="10"/>
      <c r="BR140" s="15"/>
      <c r="BS140" s="10"/>
      <c r="BT140" s="15"/>
      <c r="BU140" s="10"/>
      <c r="BV140" s="15"/>
      <c r="BW140" s="10"/>
      <c r="BX140" s="15"/>
      <c r="BY140" s="10"/>
      <c r="BZ140" s="15"/>
      <c r="CA140" s="10"/>
      <c r="CB140" s="15"/>
      <c r="CC140" s="10"/>
      <c r="CD140" s="15"/>
      <c r="CE140" s="10"/>
      <c r="CF140" s="11"/>
      <c r="CG140" s="12"/>
      <c r="CH140" s="17"/>
      <c r="CI140" s="10"/>
      <c r="CJ140" s="15"/>
      <c r="CK140" s="10"/>
      <c r="CL140" s="17"/>
      <c r="CM140" s="10"/>
      <c r="CN140" s="15"/>
      <c r="CO140" s="10"/>
      <c r="CP140" s="15"/>
      <c r="CQ140" s="10"/>
      <c r="CR140" s="15"/>
      <c r="CS140" s="10"/>
      <c r="CT140" s="15"/>
      <c r="CU140" s="10"/>
      <c r="CV140" s="15"/>
      <c r="CW140" s="10"/>
      <c r="CX140" s="15"/>
      <c r="CY140" s="10"/>
      <c r="CZ140" s="15"/>
      <c r="DA140" s="10"/>
      <c r="DB140" s="15"/>
      <c r="DC140" s="10"/>
      <c r="DD140" s="15"/>
      <c r="DE140" s="10"/>
      <c r="DF140" s="231"/>
      <c r="DG140" s="230"/>
      <c r="DH140" s="238"/>
      <c r="DI140" s="239"/>
      <c r="DJ140" s="15"/>
      <c r="DK140" s="239"/>
      <c r="DL140" s="238"/>
      <c r="DM140" s="239"/>
      <c r="DN140" s="238"/>
      <c r="DO140" s="239"/>
      <c r="DP140" s="238"/>
      <c r="DQ140" s="239"/>
      <c r="DR140" s="238"/>
      <c r="DS140" s="239"/>
      <c r="DT140" s="238"/>
      <c r="DU140" s="239"/>
      <c r="DV140" s="238"/>
      <c r="DW140" s="239"/>
      <c r="DX140" s="238"/>
      <c r="DY140" s="239"/>
      <c r="DZ140" s="238"/>
      <c r="EA140" s="239"/>
      <c r="EB140" s="238"/>
      <c r="EC140" s="239"/>
      <c r="ED140" s="238"/>
      <c r="EE140" s="239"/>
      <c r="EF140" s="240"/>
      <c r="EG140" s="239"/>
    </row>
    <row r="141" spans="1:137" ht="19.8">
      <c r="A141" s="7">
        <v>115</v>
      </c>
      <c r="B141" s="8" t="s">
        <v>335</v>
      </c>
      <c r="C141" s="8"/>
      <c r="D141" s="7">
        <f t="shared" si="396"/>
        <v>31</v>
      </c>
      <c r="E141" s="7"/>
      <c r="F141" s="7"/>
      <c r="G141" s="7"/>
      <c r="H141" s="15"/>
      <c r="I141" s="10"/>
      <c r="J141" s="15"/>
      <c r="K141" s="10"/>
      <c r="L141" s="15"/>
      <c r="M141" s="10"/>
      <c r="N141" s="15"/>
      <c r="O141" s="10"/>
      <c r="P141" s="15"/>
      <c r="Q141" s="10"/>
      <c r="R141" s="15"/>
      <c r="S141" s="10"/>
      <c r="T141" s="15"/>
      <c r="U141" s="10"/>
      <c r="V141" s="15"/>
      <c r="W141" s="10"/>
      <c r="X141" s="15"/>
      <c r="Y141" s="10"/>
      <c r="Z141" s="15"/>
      <c r="AA141" s="10"/>
      <c r="AB141" s="15"/>
      <c r="AC141" s="10"/>
      <c r="AD141" s="15"/>
      <c r="AE141" s="10"/>
      <c r="AF141" s="11"/>
      <c r="AG141" s="12"/>
      <c r="AH141" s="15"/>
      <c r="AI141" s="10"/>
      <c r="AJ141" s="15"/>
      <c r="AK141" s="10"/>
      <c r="AL141" s="15"/>
      <c r="AM141" s="10"/>
      <c r="AN141" s="15"/>
      <c r="AO141" s="10"/>
      <c r="AP141" s="15"/>
      <c r="AQ141" s="10"/>
      <c r="AR141" s="15"/>
      <c r="AS141" s="10"/>
      <c r="AT141" s="15"/>
      <c r="AU141" s="10"/>
      <c r="AV141" s="15"/>
      <c r="AW141" s="10"/>
      <c r="AX141" s="15"/>
      <c r="AY141" s="10"/>
      <c r="AZ141" s="15"/>
      <c r="BA141" s="10"/>
      <c r="BB141" s="15"/>
      <c r="BC141" s="10"/>
      <c r="BD141" s="15"/>
      <c r="BE141" s="10"/>
      <c r="BF141" s="11"/>
      <c r="BG141" s="12"/>
      <c r="BH141" s="15"/>
      <c r="BI141" s="10"/>
      <c r="BJ141" s="15"/>
      <c r="BK141" s="10"/>
      <c r="BL141" s="15"/>
      <c r="BM141" s="10"/>
      <c r="BN141" s="15"/>
      <c r="BO141" s="10"/>
      <c r="BP141" s="15"/>
      <c r="BQ141" s="10"/>
      <c r="BR141" s="15"/>
      <c r="BS141" s="10"/>
      <c r="BT141" s="15"/>
      <c r="BU141" s="10"/>
      <c r="BV141" s="15"/>
      <c r="BW141" s="10"/>
      <c r="BX141" s="15"/>
      <c r="BY141" s="10"/>
      <c r="BZ141" s="15"/>
      <c r="CA141" s="10"/>
      <c r="CB141" s="15"/>
      <c r="CC141" s="10"/>
      <c r="CD141" s="15"/>
      <c r="CE141" s="10"/>
      <c r="CF141" s="11"/>
      <c r="CG141" s="12"/>
      <c r="CH141" s="17"/>
      <c r="CI141" s="10"/>
      <c r="CJ141" s="15"/>
      <c r="CK141" s="10"/>
      <c r="CL141" s="17"/>
      <c r="CM141" s="10"/>
      <c r="CN141" s="15"/>
      <c r="CO141" s="10"/>
      <c r="CP141" s="15"/>
      <c r="CQ141" s="10"/>
      <c r="CR141" s="15"/>
      <c r="CS141" s="10"/>
      <c r="CT141" s="15"/>
      <c r="CU141" s="10"/>
      <c r="CV141" s="15"/>
      <c r="CW141" s="10"/>
      <c r="CX141" s="15"/>
      <c r="CY141" s="10"/>
      <c r="CZ141" s="15"/>
      <c r="DA141" s="10"/>
      <c r="DB141" s="15"/>
      <c r="DC141" s="10"/>
      <c r="DD141" s="15"/>
      <c r="DE141" s="10"/>
      <c r="DF141" s="231"/>
      <c r="DG141" s="230"/>
      <c r="DH141" s="238"/>
      <c r="DI141" s="239"/>
      <c r="DJ141" s="15"/>
      <c r="DK141" s="239"/>
      <c r="DL141" s="238"/>
      <c r="DM141" s="239"/>
      <c r="DN141" s="238"/>
      <c r="DO141" s="239"/>
      <c r="DP141" s="238"/>
      <c r="DQ141" s="239"/>
      <c r="DR141" s="238"/>
      <c r="DS141" s="239"/>
      <c r="DT141" s="238"/>
      <c r="DU141" s="239"/>
      <c r="DV141" s="238"/>
      <c r="DW141" s="239"/>
      <c r="DX141" s="238"/>
      <c r="DY141" s="239"/>
      <c r="DZ141" s="238"/>
      <c r="EA141" s="239"/>
      <c r="EB141" s="238"/>
      <c r="EC141" s="239"/>
      <c r="ED141" s="238"/>
      <c r="EE141" s="239"/>
      <c r="EF141" s="240"/>
      <c r="EG141" s="239"/>
    </row>
    <row r="142" spans="1:137" ht="19.8">
      <c r="A142" s="7"/>
      <c r="B142" s="8"/>
      <c r="C142" s="8"/>
      <c r="D142" s="7"/>
      <c r="E142" s="7"/>
      <c r="F142" s="7"/>
      <c r="G142" s="7"/>
      <c r="H142" s="15"/>
      <c r="I142" s="10"/>
      <c r="J142" s="15"/>
      <c r="K142" s="10"/>
      <c r="L142" s="15"/>
      <c r="M142" s="10"/>
      <c r="N142" s="15"/>
      <c r="O142" s="10"/>
      <c r="P142" s="15"/>
      <c r="Q142" s="10"/>
      <c r="R142" s="15"/>
      <c r="S142" s="10">
        <f t="shared" si="335"/>
        <v>0</v>
      </c>
      <c r="T142" s="15"/>
      <c r="U142" s="10"/>
      <c r="V142" s="15"/>
      <c r="W142" s="10"/>
      <c r="X142" s="15"/>
      <c r="Y142" s="10"/>
      <c r="Z142" s="15"/>
      <c r="AA142" s="10"/>
      <c r="AB142" s="15"/>
      <c r="AC142" s="10"/>
      <c r="AD142" s="15"/>
      <c r="AE142" s="10"/>
      <c r="AF142" s="11">
        <f t="shared" si="266"/>
        <v>0</v>
      </c>
      <c r="AG142" s="12">
        <f t="shared" si="189"/>
        <v>0</v>
      </c>
      <c r="AH142" s="15"/>
      <c r="AI142" s="10"/>
      <c r="AJ142" s="15"/>
      <c r="AK142" s="10"/>
      <c r="AL142" s="15"/>
      <c r="AM142" s="10"/>
      <c r="AN142" s="15"/>
      <c r="AO142" s="10"/>
      <c r="AP142" s="15"/>
      <c r="AQ142" s="10"/>
      <c r="AR142" s="15"/>
      <c r="AS142" s="10"/>
      <c r="AT142" s="15"/>
      <c r="AU142" s="10"/>
      <c r="AV142" s="15"/>
      <c r="AW142" s="10"/>
      <c r="AX142" s="15"/>
      <c r="AY142" s="10"/>
      <c r="AZ142" s="15"/>
      <c r="BA142" s="10"/>
      <c r="BB142" s="15"/>
      <c r="BC142" s="10"/>
      <c r="BD142" s="15"/>
      <c r="BE142" s="10"/>
      <c r="BF142" s="11">
        <f t="shared" si="190"/>
        <v>0</v>
      </c>
      <c r="BG142" s="12">
        <f t="shared" si="191"/>
        <v>0</v>
      </c>
      <c r="BH142" s="15"/>
      <c r="BI142" s="10"/>
      <c r="BJ142" s="15"/>
      <c r="BK142" s="10"/>
      <c r="BL142" s="15"/>
      <c r="BM142" s="10"/>
      <c r="BN142" s="15"/>
      <c r="BO142" s="10"/>
      <c r="BP142" s="15"/>
      <c r="BQ142" s="10"/>
      <c r="BR142" s="15"/>
      <c r="BS142" s="10"/>
      <c r="BT142" s="15"/>
      <c r="BU142" s="10"/>
      <c r="BV142" s="15"/>
      <c r="BW142" s="10"/>
      <c r="BX142" s="15"/>
      <c r="BY142" s="10"/>
      <c r="BZ142" s="15"/>
      <c r="CA142" s="10"/>
      <c r="CB142" s="15"/>
      <c r="CC142" s="10"/>
      <c r="CD142" s="15"/>
      <c r="CE142" s="10"/>
      <c r="CF142" s="11">
        <f t="shared" si="192"/>
        <v>0</v>
      </c>
      <c r="CG142" s="12">
        <f t="shared" si="193"/>
        <v>0</v>
      </c>
      <c r="CH142" s="17"/>
      <c r="CI142" s="10">
        <f t="shared" si="336"/>
        <v>0</v>
      </c>
      <c r="CJ142" s="15"/>
      <c r="CK142" s="10">
        <f t="shared" si="337"/>
        <v>0</v>
      </c>
      <c r="CL142" s="17"/>
      <c r="CM142" s="10">
        <f t="shared" si="338"/>
        <v>0</v>
      </c>
      <c r="CN142" s="15"/>
      <c r="CO142" s="10">
        <f t="shared" si="339"/>
        <v>0</v>
      </c>
      <c r="CP142" s="15"/>
      <c r="CQ142" s="10">
        <f t="shared" si="340"/>
        <v>0</v>
      </c>
      <c r="CR142" s="15"/>
      <c r="CS142" s="10">
        <f t="shared" si="341"/>
        <v>0</v>
      </c>
      <c r="CT142" s="15"/>
      <c r="CU142" s="10">
        <f t="shared" si="342"/>
        <v>0</v>
      </c>
      <c r="CV142" s="15"/>
      <c r="CW142" s="10">
        <f t="shared" si="343"/>
        <v>0</v>
      </c>
      <c r="CX142" s="15"/>
      <c r="CY142" s="10">
        <f t="shared" si="344"/>
        <v>0</v>
      </c>
      <c r="CZ142" s="15"/>
      <c r="DA142" s="10">
        <f t="shared" si="345"/>
        <v>0</v>
      </c>
      <c r="DB142" s="15"/>
      <c r="DC142" s="10">
        <f t="shared" si="346"/>
        <v>0</v>
      </c>
      <c r="DD142" s="15"/>
      <c r="DE142" s="10">
        <f t="shared" si="346"/>
        <v>0</v>
      </c>
      <c r="DF142" s="231">
        <f t="shared" si="383"/>
        <v>0</v>
      </c>
      <c r="DG142" s="230">
        <f t="shared" si="347"/>
        <v>0</v>
      </c>
      <c r="DH142" s="238"/>
      <c r="DI142" s="239"/>
      <c r="DJ142" s="15"/>
      <c r="DK142" s="239"/>
      <c r="DL142" s="238"/>
      <c r="DM142" s="239"/>
      <c r="DN142" s="238"/>
      <c r="DO142" s="239"/>
      <c r="DP142" s="238"/>
      <c r="DQ142" s="239"/>
      <c r="DR142" s="238"/>
      <c r="DS142" s="239"/>
      <c r="DT142" s="238"/>
      <c r="DU142" s="239"/>
      <c r="DV142" s="238"/>
      <c r="DW142" s="239"/>
      <c r="DX142" s="238"/>
      <c r="DY142" s="239"/>
      <c r="DZ142" s="238"/>
      <c r="EA142" s="239"/>
      <c r="EB142" s="238"/>
      <c r="EC142" s="239"/>
      <c r="ED142" s="238"/>
      <c r="EE142" s="239"/>
      <c r="EF142" s="240">
        <f t="shared" si="359"/>
        <v>0</v>
      </c>
      <c r="EG142" s="239">
        <f t="shared" si="359"/>
        <v>0</v>
      </c>
    </row>
    <row r="143" spans="1:137" ht="19.8">
      <c r="A143" s="7">
        <v>116</v>
      </c>
      <c r="B143" s="8" t="s">
        <v>100</v>
      </c>
      <c r="C143" s="8" t="s">
        <v>11</v>
      </c>
      <c r="D143" s="7">
        <f>RANK(DF143,$DF$4:$DF$147)</f>
        <v>31</v>
      </c>
      <c r="E143" s="7">
        <v>0.7</v>
      </c>
      <c r="F143" s="7" t="s">
        <v>12</v>
      </c>
      <c r="G143" s="7"/>
      <c r="H143" s="15"/>
      <c r="I143" s="10">
        <f t="shared" ref="I143:I144" si="397">H143*$E143</f>
        <v>0</v>
      </c>
      <c r="J143" s="15"/>
      <c r="K143" s="10">
        <f t="shared" ref="K143:K144" si="398">J143*$E143</f>
        <v>0</v>
      </c>
      <c r="L143" s="15"/>
      <c r="M143" s="10">
        <f t="shared" ref="M143:M144" si="399">L143*$E143</f>
        <v>0</v>
      </c>
      <c r="N143" s="15"/>
      <c r="O143" s="10">
        <f t="shared" ref="O143:O144" si="400">N143*$E143</f>
        <v>0</v>
      </c>
      <c r="P143" s="15"/>
      <c r="Q143" s="10">
        <f t="shared" ref="Q143:Q144" si="401">P143*$E143</f>
        <v>0</v>
      </c>
      <c r="R143" s="15"/>
      <c r="S143" s="10">
        <f t="shared" si="335"/>
        <v>0</v>
      </c>
      <c r="T143" s="15"/>
      <c r="U143" s="10">
        <f t="shared" ref="U143:U144" si="402">T143*$E143</f>
        <v>0</v>
      </c>
      <c r="V143" s="15"/>
      <c r="W143" s="10">
        <f t="shared" ref="W143:W144" si="403">V143*$E143</f>
        <v>0</v>
      </c>
      <c r="X143" s="15"/>
      <c r="Y143" s="10">
        <f t="shared" ref="Y143:Y144" si="404">X143*$E143</f>
        <v>0</v>
      </c>
      <c r="Z143" s="15"/>
      <c r="AA143" s="10">
        <f t="shared" ref="AA143:AA144" si="405">Z143*$E143</f>
        <v>0</v>
      </c>
      <c r="AB143" s="15"/>
      <c r="AC143" s="10">
        <f t="shared" ref="AC143:AC144" si="406">AB143*$E143</f>
        <v>0</v>
      </c>
      <c r="AD143" s="15"/>
      <c r="AE143" s="10">
        <f t="shared" ref="AE143:AE144" si="407">AD143*$E143</f>
        <v>0</v>
      </c>
      <c r="AF143" s="11">
        <f t="shared" si="266"/>
        <v>0</v>
      </c>
      <c r="AG143" s="12">
        <f t="shared" si="189"/>
        <v>0</v>
      </c>
      <c r="AH143" s="15"/>
      <c r="AI143" s="10">
        <f t="shared" ref="AI143:AI144" si="408">AH143*$E143</f>
        <v>0</v>
      </c>
      <c r="AJ143" s="15"/>
      <c r="AK143" s="10">
        <f t="shared" ref="AK143:AK144" si="409">AJ143*$E143</f>
        <v>0</v>
      </c>
      <c r="AL143" s="15"/>
      <c r="AM143" s="10">
        <f t="shared" ref="AM143:AM144" si="410">AL143*$E143</f>
        <v>0</v>
      </c>
      <c r="AN143" s="15"/>
      <c r="AO143" s="10">
        <f t="shared" ref="AO143:AO144" si="411">AN143*$E143</f>
        <v>0</v>
      </c>
      <c r="AP143" s="15"/>
      <c r="AQ143" s="10">
        <f t="shared" ref="AQ143:AQ144" si="412">AP143*$E143</f>
        <v>0</v>
      </c>
      <c r="AR143" s="15"/>
      <c r="AS143" s="10">
        <f t="shared" ref="AS143:AS144" si="413">AR143*$E143</f>
        <v>0</v>
      </c>
      <c r="AT143" s="15"/>
      <c r="AU143" s="10">
        <f t="shared" ref="AU143:AU144" si="414">AT143*$E143</f>
        <v>0</v>
      </c>
      <c r="AV143" s="15"/>
      <c r="AW143" s="10">
        <f t="shared" ref="AW143:AW144" si="415">AV143*$E143</f>
        <v>0</v>
      </c>
      <c r="AX143" s="15"/>
      <c r="AY143" s="10">
        <f t="shared" ref="AY143:AY144" si="416">AX143*$E143</f>
        <v>0</v>
      </c>
      <c r="AZ143" s="15"/>
      <c r="BA143" s="10">
        <f t="shared" ref="BA143:BA144" si="417">AZ143*$E143</f>
        <v>0</v>
      </c>
      <c r="BB143" s="15"/>
      <c r="BC143" s="10">
        <f t="shared" ref="BC143:BC144" si="418">BB143*$E143</f>
        <v>0</v>
      </c>
      <c r="BD143" s="15"/>
      <c r="BE143" s="10">
        <f t="shared" ref="BE143:BE144" si="419">BD143*$E143</f>
        <v>0</v>
      </c>
      <c r="BF143" s="11">
        <f t="shared" si="190"/>
        <v>0</v>
      </c>
      <c r="BG143" s="12">
        <f t="shared" si="191"/>
        <v>0</v>
      </c>
      <c r="BH143" s="15"/>
      <c r="BI143" s="10">
        <f t="shared" ref="BI143:BI144" si="420">BH143*$E143</f>
        <v>0</v>
      </c>
      <c r="BJ143" s="15"/>
      <c r="BK143" s="10">
        <f t="shared" ref="BK143:BK144" si="421">BJ143*$E143</f>
        <v>0</v>
      </c>
      <c r="BL143" s="15"/>
      <c r="BM143" s="10">
        <f t="shared" ref="BM143:BM144" si="422">BL143*$E143</f>
        <v>0</v>
      </c>
      <c r="BN143" s="15"/>
      <c r="BO143" s="10">
        <f t="shared" ref="BO143:BO144" si="423">BN143*$E143</f>
        <v>0</v>
      </c>
      <c r="BP143" s="15"/>
      <c r="BQ143" s="10">
        <f t="shared" ref="BQ143:BQ144" si="424">BP143*$E143</f>
        <v>0</v>
      </c>
      <c r="BR143" s="15"/>
      <c r="BS143" s="10">
        <f t="shared" ref="BS143:BS144" si="425">BR143*$E143</f>
        <v>0</v>
      </c>
      <c r="BT143" s="15"/>
      <c r="BU143" s="10">
        <f t="shared" ref="BU143:BU144" si="426">BT143*$E143</f>
        <v>0</v>
      </c>
      <c r="BV143" s="15"/>
      <c r="BW143" s="10">
        <f t="shared" ref="BW143:BW144" si="427">BV143*$E143</f>
        <v>0</v>
      </c>
      <c r="BX143" s="15"/>
      <c r="BY143" s="10">
        <f t="shared" ref="BY143:BY144" si="428">BX143*$E143</f>
        <v>0</v>
      </c>
      <c r="BZ143" s="15"/>
      <c r="CA143" s="10">
        <f t="shared" ref="CA143:CA144" si="429">BZ143*$E143</f>
        <v>0</v>
      </c>
      <c r="CB143" s="15"/>
      <c r="CC143" s="10">
        <f t="shared" ref="CC143:CC144" si="430">CB143*$E143</f>
        <v>0</v>
      </c>
      <c r="CD143" s="15"/>
      <c r="CE143" s="10">
        <f t="shared" ref="CE143:CE144" si="431">CD143*$E143</f>
        <v>0</v>
      </c>
      <c r="CF143" s="11">
        <f t="shared" si="192"/>
        <v>0</v>
      </c>
      <c r="CG143" s="12">
        <f t="shared" si="193"/>
        <v>0</v>
      </c>
      <c r="CH143" s="17"/>
      <c r="CI143" s="10">
        <f t="shared" si="336"/>
        <v>0</v>
      </c>
      <c r="CJ143" s="15"/>
      <c r="CK143" s="10">
        <f t="shared" si="337"/>
        <v>0</v>
      </c>
      <c r="CL143" s="17"/>
      <c r="CM143" s="10">
        <f t="shared" si="338"/>
        <v>0</v>
      </c>
      <c r="CN143" s="15"/>
      <c r="CO143" s="10">
        <f t="shared" si="339"/>
        <v>0</v>
      </c>
      <c r="CP143" s="15"/>
      <c r="CQ143" s="10">
        <f t="shared" si="340"/>
        <v>0</v>
      </c>
      <c r="CR143" s="15"/>
      <c r="CS143" s="10">
        <f t="shared" si="341"/>
        <v>0</v>
      </c>
      <c r="CT143" s="15"/>
      <c r="CU143" s="10">
        <f t="shared" si="342"/>
        <v>0</v>
      </c>
      <c r="CV143" s="15"/>
      <c r="CW143" s="10">
        <f t="shared" si="343"/>
        <v>0</v>
      </c>
      <c r="CX143" s="15"/>
      <c r="CY143" s="10">
        <f t="shared" si="344"/>
        <v>0</v>
      </c>
      <c r="CZ143" s="15"/>
      <c r="DA143" s="10">
        <f t="shared" si="345"/>
        <v>0</v>
      </c>
      <c r="DB143" s="15"/>
      <c r="DC143" s="10">
        <f t="shared" si="346"/>
        <v>0</v>
      </c>
      <c r="DD143" s="15"/>
      <c r="DE143" s="10">
        <f t="shared" si="346"/>
        <v>0</v>
      </c>
      <c r="DF143" s="231">
        <f t="shared" si="383"/>
        <v>0</v>
      </c>
      <c r="DG143" s="230">
        <f t="shared" si="347"/>
        <v>0</v>
      </c>
      <c r="DH143" s="238"/>
      <c r="DI143" s="239">
        <f t="shared" ref="DI143:DI144" si="432">DH143*$E143</f>
        <v>0</v>
      </c>
      <c r="DJ143" s="15"/>
      <c r="DK143" s="239">
        <f t="shared" ref="DK143:DK144" si="433">DJ143*$E143</f>
        <v>0</v>
      </c>
      <c r="DL143" s="238"/>
      <c r="DM143" s="239">
        <f t="shared" ref="DM143:DM144" si="434">DL143*$E143</f>
        <v>0</v>
      </c>
      <c r="DN143" s="238"/>
      <c r="DO143" s="239">
        <f t="shared" ref="DO143:DO144" si="435">DN143*$E143</f>
        <v>0</v>
      </c>
      <c r="DP143" s="238"/>
      <c r="DQ143" s="239">
        <f t="shared" ref="DQ143:DQ144" si="436">DP143*$E143</f>
        <v>0</v>
      </c>
      <c r="DR143" s="238"/>
      <c r="DS143" s="239">
        <f t="shared" ref="DS143:DS144" si="437">DR143*$E143</f>
        <v>0</v>
      </c>
      <c r="DT143" s="238"/>
      <c r="DU143" s="239">
        <f t="shared" ref="DU143:DU144" si="438">DT143*$E143</f>
        <v>0</v>
      </c>
      <c r="DV143" s="238"/>
      <c r="DW143" s="239">
        <f t="shared" ref="DW143:DW144" si="439">DV143*$E143</f>
        <v>0</v>
      </c>
      <c r="DX143" s="238"/>
      <c r="DY143" s="239">
        <f t="shared" ref="DY143:DY144" si="440">DX143*$E143</f>
        <v>0</v>
      </c>
      <c r="DZ143" s="238"/>
      <c r="EA143" s="239">
        <f t="shared" ref="EA143:EA144" si="441">DZ143*$E143</f>
        <v>0</v>
      </c>
      <c r="EB143" s="238"/>
      <c r="EC143" s="239">
        <f t="shared" ref="EC143:EC144" si="442">EB143*$E143</f>
        <v>0</v>
      </c>
      <c r="ED143" s="238"/>
      <c r="EE143" s="239">
        <f t="shared" ref="EE143:EE144" si="443">ED143*$E143</f>
        <v>0</v>
      </c>
      <c r="EF143" s="240">
        <f t="shared" si="359"/>
        <v>0</v>
      </c>
      <c r="EG143" s="239">
        <f t="shared" si="359"/>
        <v>0</v>
      </c>
    </row>
    <row r="144" spans="1:137" ht="19.8">
      <c r="A144" s="7">
        <v>117</v>
      </c>
      <c r="B144" s="8" t="s">
        <v>101</v>
      </c>
      <c r="C144" s="8"/>
      <c r="D144" s="7">
        <f>RANK(DF144,$DF$4:$DF$147)</f>
        <v>31</v>
      </c>
      <c r="E144" s="7">
        <v>20</v>
      </c>
      <c r="F144" s="7">
        <v>1</v>
      </c>
      <c r="G144" s="7"/>
      <c r="H144" s="15"/>
      <c r="I144" s="10">
        <f t="shared" si="397"/>
        <v>0</v>
      </c>
      <c r="J144" s="15"/>
      <c r="K144" s="10">
        <f t="shared" si="398"/>
        <v>0</v>
      </c>
      <c r="L144" s="15"/>
      <c r="M144" s="10">
        <f t="shared" si="399"/>
        <v>0</v>
      </c>
      <c r="N144" s="15"/>
      <c r="O144" s="10">
        <f t="shared" si="400"/>
        <v>0</v>
      </c>
      <c r="P144" s="15"/>
      <c r="Q144" s="10">
        <f t="shared" si="401"/>
        <v>0</v>
      </c>
      <c r="R144" s="15"/>
      <c r="S144" s="10">
        <f t="shared" si="335"/>
        <v>0</v>
      </c>
      <c r="T144" s="15"/>
      <c r="U144" s="10">
        <f t="shared" si="402"/>
        <v>0</v>
      </c>
      <c r="V144" s="15"/>
      <c r="W144" s="10">
        <f t="shared" si="403"/>
        <v>0</v>
      </c>
      <c r="X144" s="15"/>
      <c r="Y144" s="10">
        <f t="shared" si="404"/>
        <v>0</v>
      </c>
      <c r="Z144" s="15"/>
      <c r="AA144" s="10">
        <f t="shared" si="405"/>
        <v>0</v>
      </c>
      <c r="AB144" s="15"/>
      <c r="AC144" s="10">
        <f t="shared" si="406"/>
        <v>0</v>
      </c>
      <c r="AD144" s="15"/>
      <c r="AE144" s="10">
        <f t="shared" si="407"/>
        <v>0</v>
      </c>
      <c r="AF144" s="11">
        <f t="shared" si="266"/>
        <v>0</v>
      </c>
      <c r="AG144" s="12">
        <f t="shared" ref="AG144:AG146" si="444">AF144*$E144</f>
        <v>0</v>
      </c>
      <c r="AH144" s="15"/>
      <c r="AI144" s="10">
        <f t="shared" si="408"/>
        <v>0</v>
      </c>
      <c r="AJ144" s="15"/>
      <c r="AK144" s="10">
        <f t="shared" si="409"/>
        <v>0</v>
      </c>
      <c r="AL144" s="15"/>
      <c r="AM144" s="10">
        <f t="shared" si="410"/>
        <v>0</v>
      </c>
      <c r="AN144" s="15"/>
      <c r="AO144" s="10">
        <f t="shared" si="411"/>
        <v>0</v>
      </c>
      <c r="AP144" s="15"/>
      <c r="AQ144" s="10">
        <f t="shared" si="412"/>
        <v>0</v>
      </c>
      <c r="AR144" s="15"/>
      <c r="AS144" s="10">
        <f t="shared" si="413"/>
        <v>0</v>
      </c>
      <c r="AT144" s="15"/>
      <c r="AU144" s="10">
        <f t="shared" si="414"/>
        <v>0</v>
      </c>
      <c r="AV144" s="15"/>
      <c r="AW144" s="10">
        <f t="shared" si="415"/>
        <v>0</v>
      </c>
      <c r="AX144" s="15"/>
      <c r="AY144" s="10">
        <f t="shared" si="416"/>
        <v>0</v>
      </c>
      <c r="AZ144" s="15"/>
      <c r="BA144" s="10">
        <f t="shared" si="417"/>
        <v>0</v>
      </c>
      <c r="BB144" s="15"/>
      <c r="BC144" s="10">
        <f t="shared" si="418"/>
        <v>0</v>
      </c>
      <c r="BD144" s="15"/>
      <c r="BE144" s="10">
        <f t="shared" si="419"/>
        <v>0</v>
      </c>
      <c r="BF144" s="11">
        <f t="shared" ref="BF144:BF146" si="445">(BD144+BB144+AZ144+AX144+AV144+AT144+AR144+AP144+AN144+AL144+AJ144+AH144)/1</f>
        <v>0</v>
      </c>
      <c r="BG144" s="12">
        <f t="shared" ref="BG144:BG146" si="446">BF144*$E144</f>
        <v>0</v>
      </c>
      <c r="BH144" s="15"/>
      <c r="BI144" s="10">
        <f t="shared" si="420"/>
        <v>0</v>
      </c>
      <c r="BJ144" s="15"/>
      <c r="BK144" s="10">
        <f t="shared" si="421"/>
        <v>0</v>
      </c>
      <c r="BL144" s="15"/>
      <c r="BM144" s="10">
        <f t="shared" si="422"/>
        <v>0</v>
      </c>
      <c r="BN144" s="15"/>
      <c r="BO144" s="10">
        <f t="shared" si="423"/>
        <v>0</v>
      </c>
      <c r="BP144" s="15"/>
      <c r="BQ144" s="10">
        <f t="shared" si="424"/>
        <v>0</v>
      </c>
      <c r="BR144" s="15"/>
      <c r="BS144" s="10">
        <f t="shared" si="425"/>
        <v>0</v>
      </c>
      <c r="BT144" s="15"/>
      <c r="BU144" s="10">
        <f t="shared" si="426"/>
        <v>0</v>
      </c>
      <c r="BV144" s="15"/>
      <c r="BW144" s="10">
        <f t="shared" si="427"/>
        <v>0</v>
      </c>
      <c r="BX144" s="15"/>
      <c r="BY144" s="10">
        <f t="shared" si="428"/>
        <v>0</v>
      </c>
      <c r="BZ144" s="15"/>
      <c r="CA144" s="10">
        <f t="shared" si="429"/>
        <v>0</v>
      </c>
      <c r="CB144" s="15"/>
      <c r="CC144" s="10">
        <f t="shared" si="430"/>
        <v>0</v>
      </c>
      <c r="CD144" s="15"/>
      <c r="CE144" s="10">
        <f t="shared" si="431"/>
        <v>0</v>
      </c>
      <c r="CF144" s="11">
        <f t="shared" ref="CF144:CF146" si="447">(CD144+CB144+BZ144+BX144+BV144+BT144+BR144+BP144+BN144+BL144+BJ144+BH144)/1</f>
        <v>0</v>
      </c>
      <c r="CG144" s="12">
        <f t="shared" ref="CG144:CG146" si="448">CF144*$E144</f>
        <v>0</v>
      </c>
      <c r="CH144" s="17"/>
      <c r="CI144" s="10">
        <f t="shared" si="336"/>
        <v>0</v>
      </c>
      <c r="CJ144" s="15"/>
      <c r="CK144" s="10">
        <f t="shared" si="337"/>
        <v>0</v>
      </c>
      <c r="CL144" s="17"/>
      <c r="CM144" s="10">
        <f t="shared" si="338"/>
        <v>0</v>
      </c>
      <c r="CN144" s="15"/>
      <c r="CO144" s="10">
        <f t="shared" si="339"/>
        <v>0</v>
      </c>
      <c r="CP144" s="15"/>
      <c r="CQ144" s="10">
        <f t="shared" si="340"/>
        <v>0</v>
      </c>
      <c r="CR144" s="15"/>
      <c r="CS144" s="10">
        <f t="shared" si="341"/>
        <v>0</v>
      </c>
      <c r="CT144" s="15"/>
      <c r="CU144" s="10">
        <f t="shared" si="342"/>
        <v>0</v>
      </c>
      <c r="CV144" s="15"/>
      <c r="CW144" s="10">
        <f t="shared" si="343"/>
        <v>0</v>
      </c>
      <c r="CX144" s="15"/>
      <c r="CY144" s="10">
        <f t="shared" si="344"/>
        <v>0</v>
      </c>
      <c r="CZ144" s="15"/>
      <c r="DA144" s="10">
        <f t="shared" si="345"/>
        <v>0</v>
      </c>
      <c r="DB144" s="15"/>
      <c r="DC144" s="10">
        <f t="shared" si="346"/>
        <v>0</v>
      </c>
      <c r="DD144" s="15"/>
      <c r="DE144" s="10">
        <f t="shared" si="346"/>
        <v>0</v>
      </c>
      <c r="DF144" s="231">
        <f t="shared" si="383"/>
        <v>0</v>
      </c>
      <c r="DG144" s="230">
        <f t="shared" si="347"/>
        <v>0</v>
      </c>
      <c r="DH144" s="238"/>
      <c r="DI144" s="239">
        <f t="shared" si="432"/>
        <v>0</v>
      </c>
      <c r="DJ144" s="15"/>
      <c r="DK144" s="239">
        <f t="shared" si="433"/>
        <v>0</v>
      </c>
      <c r="DL144" s="238"/>
      <c r="DM144" s="239">
        <f t="shared" si="434"/>
        <v>0</v>
      </c>
      <c r="DN144" s="238"/>
      <c r="DO144" s="239">
        <f t="shared" si="435"/>
        <v>0</v>
      </c>
      <c r="DP144" s="238"/>
      <c r="DQ144" s="239">
        <f t="shared" si="436"/>
        <v>0</v>
      </c>
      <c r="DR144" s="238"/>
      <c r="DS144" s="239">
        <f t="shared" si="437"/>
        <v>0</v>
      </c>
      <c r="DT144" s="238"/>
      <c r="DU144" s="239">
        <f t="shared" si="438"/>
        <v>0</v>
      </c>
      <c r="DV144" s="238"/>
      <c r="DW144" s="239">
        <f t="shared" si="439"/>
        <v>0</v>
      </c>
      <c r="DX144" s="238"/>
      <c r="DY144" s="239">
        <f t="shared" si="440"/>
        <v>0</v>
      </c>
      <c r="DZ144" s="238"/>
      <c r="EA144" s="239">
        <f t="shared" si="441"/>
        <v>0</v>
      </c>
      <c r="EB144" s="238"/>
      <c r="EC144" s="239">
        <f t="shared" si="442"/>
        <v>0</v>
      </c>
      <c r="ED144" s="238"/>
      <c r="EE144" s="239">
        <f t="shared" si="443"/>
        <v>0</v>
      </c>
      <c r="EF144" s="240">
        <f t="shared" si="359"/>
        <v>0</v>
      </c>
      <c r="EG144" s="239">
        <f t="shared" si="359"/>
        <v>0</v>
      </c>
    </row>
    <row r="145" spans="1:137" ht="19.8">
      <c r="A145" s="7">
        <v>118</v>
      </c>
      <c r="B145" s="8" t="s">
        <v>329</v>
      </c>
      <c r="C145" s="8"/>
      <c r="D145" s="7"/>
      <c r="E145" s="7"/>
      <c r="F145" s="7"/>
      <c r="G145" s="7"/>
      <c r="H145" s="15"/>
      <c r="I145" s="10"/>
      <c r="J145" s="15"/>
      <c r="K145" s="10"/>
      <c r="L145" s="15"/>
      <c r="M145" s="10"/>
      <c r="N145" s="15"/>
      <c r="O145" s="10"/>
      <c r="P145" s="15"/>
      <c r="Q145" s="10"/>
      <c r="R145" s="15"/>
      <c r="S145" s="10">
        <v>0</v>
      </c>
      <c r="T145" s="15"/>
      <c r="U145" s="10"/>
      <c r="V145" s="15"/>
      <c r="W145" s="10"/>
      <c r="X145" s="15"/>
      <c r="Y145" s="10"/>
      <c r="Z145" s="15"/>
      <c r="AA145" s="10"/>
      <c r="AB145" s="15"/>
      <c r="AC145" s="10"/>
      <c r="AD145" s="15"/>
      <c r="AE145" s="10"/>
      <c r="AF145" s="11"/>
      <c r="AG145" s="12"/>
      <c r="AH145" s="15"/>
      <c r="AI145" s="10"/>
      <c r="AJ145" s="15"/>
      <c r="AK145" s="10"/>
      <c r="AL145" s="15"/>
      <c r="AM145" s="10"/>
      <c r="AN145" s="15"/>
      <c r="AO145" s="10"/>
      <c r="AP145" s="15"/>
      <c r="AQ145" s="10"/>
      <c r="AR145" s="15"/>
      <c r="AS145" s="10"/>
      <c r="AT145" s="15"/>
      <c r="AU145" s="10"/>
      <c r="AV145" s="15"/>
      <c r="AW145" s="10"/>
      <c r="AX145" s="15"/>
      <c r="AY145" s="10"/>
      <c r="AZ145" s="15"/>
      <c r="BA145" s="10"/>
      <c r="BB145" s="15"/>
      <c r="BC145" s="10"/>
      <c r="BD145" s="15"/>
      <c r="BE145" s="10"/>
      <c r="BF145" s="11"/>
      <c r="BG145" s="12"/>
      <c r="BH145" s="15"/>
      <c r="BI145" s="10"/>
      <c r="BJ145" s="15"/>
      <c r="BK145" s="10"/>
      <c r="BL145" s="15"/>
      <c r="BM145" s="10"/>
      <c r="BN145" s="15"/>
      <c r="BO145" s="10"/>
      <c r="BP145" s="15"/>
      <c r="BQ145" s="10"/>
      <c r="BR145" s="15"/>
      <c r="BS145" s="10"/>
      <c r="BT145" s="15"/>
      <c r="BU145" s="10"/>
      <c r="BV145" s="15"/>
      <c r="BW145" s="10"/>
      <c r="BX145" s="15"/>
      <c r="BY145" s="10"/>
      <c r="BZ145" s="15"/>
      <c r="CA145" s="10"/>
      <c r="CB145" s="15"/>
      <c r="CC145" s="10"/>
      <c r="CD145" s="15"/>
      <c r="CE145" s="10"/>
      <c r="CF145" s="11"/>
      <c r="CG145" s="12"/>
      <c r="CH145" s="17"/>
      <c r="CI145" s="10">
        <v>0</v>
      </c>
      <c r="CJ145" s="15"/>
      <c r="CK145" s="10">
        <v>0</v>
      </c>
      <c r="CL145" s="17"/>
      <c r="CM145" s="10">
        <v>0</v>
      </c>
      <c r="CN145" s="15"/>
      <c r="CO145" s="10">
        <v>0</v>
      </c>
      <c r="CP145" s="15"/>
      <c r="CQ145" s="10">
        <v>0</v>
      </c>
      <c r="CR145" s="15"/>
      <c r="CS145" s="10">
        <v>0</v>
      </c>
      <c r="CT145" s="15"/>
      <c r="CU145" s="10">
        <v>0</v>
      </c>
      <c r="CV145" s="15"/>
      <c r="CW145" s="10">
        <v>0</v>
      </c>
      <c r="CX145" s="15"/>
      <c r="CY145" s="10">
        <v>0</v>
      </c>
      <c r="CZ145" s="15"/>
      <c r="DA145" s="10">
        <v>0</v>
      </c>
      <c r="DB145" s="15"/>
      <c r="DC145" s="10">
        <v>0</v>
      </c>
      <c r="DD145" s="15"/>
      <c r="DE145" s="10">
        <v>0</v>
      </c>
      <c r="DF145" s="231">
        <f t="shared" si="383"/>
        <v>0</v>
      </c>
      <c r="DG145" s="230">
        <v>0</v>
      </c>
      <c r="DH145" s="238"/>
      <c r="DI145" s="239"/>
      <c r="DJ145" s="15"/>
      <c r="DK145" s="239"/>
      <c r="DL145" s="238"/>
      <c r="DM145" s="239"/>
      <c r="DN145" s="238"/>
      <c r="DO145" s="239"/>
      <c r="DP145" s="238"/>
      <c r="DQ145" s="239"/>
      <c r="DR145" s="238"/>
      <c r="DS145" s="239"/>
      <c r="DT145" s="238"/>
      <c r="DU145" s="239"/>
      <c r="DV145" s="238"/>
      <c r="DW145" s="239"/>
      <c r="DX145" s="238"/>
      <c r="DY145" s="239"/>
      <c r="DZ145" s="238"/>
      <c r="EA145" s="239"/>
      <c r="EB145" s="238"/>
      <c r="EC145" s="239"/>
      <c r="ED145" s="238"/>
      <c r="EE145" s="239"/>
      <c r="EF145" s="240"/>
      <c r="EG145" s="239"/>
    </row>
    <row r="146" spans="1:137" ht="19.8">
      <c r="A146" s="7"/>
      <c r="B146" s="8"/>
      <c r="C146" s="8"/>
      <c r="D146" s="7"/>
      <c r="E146" s="7"/>
      <c r="F146" s="7"/>
      <c r="G146" s="7"/>
      <c r="H146" s="15"/>
      <c r="I146" s="10"/>
      <c r="J146" s="15"/>
      <c r="K146" s="10"/>
      <c r="L146" s="15"/>
      <c r="M146" s="10"/>
      <c r="N146" s="15"/>
      <c r="O146" s="10"/>
      <c r="P146" s="15"/>
      <c r="Q146" s="10"/>
      <c r="R146" s="15"/>
      <c r="S146" s="10">
        <f t="shared" si="335"/>
        <v>0</v>
      </c>
      <c r="T146" s="15"/>
      <c r="U146" s="10"/>
      <c r="V146" s="15"/>
      <c r="W146" s="10"/>
      <c r="X146" s="15"/>
      <c r="Y146" s="10"/>
      <c r="Z146" s="15"/>
      <c r="AA146" s="10"/>
      <c r="AB146" s="15"/>
      <c r="AC146" s="10"/>
      <c r="AD146" s="15"/>
      <c r="AE146" s="10"/>
      <c r="AF146" s="11">
        <f t="shared" si="266"/>
        <v>0</v>
      </c>
      <c r="AG146" s="12">
        <f t="shared" si="444"/>
        <v>0</v>
      </c>
      <c r="AH146" s="15"/>
      <c r="AI146" s="10"/>
      <c r="AJ146" s="15"/>
      <c r="AK146" s="10"/>
      <c r="AL146" s="15"/>
      <c r="AM146" s="10"/>
      <c r="AN146" s="15"/>
      <c r="AO146" s="10"/>
      <c r="AP146" s="15"/>
      <c r="AQ146" s="10"/>
      <c r="AR146" s="15"/>
      <c r="AS146" s="10"/>
      <c r="AT146" s="15"/>
      <c r="AU146" s="10"/>
      <c r="AV146" s="15"/>
      <c r="AW146" s="10"/>
      <c r="AX146" s="15"/>
      <c r="AY146" s="10"/>
      <c r="AZ146" s="15"/>
      <c r="BA146" s="10"/>
      <c r="BB146" s="15"/>
      <c r="BC146" s="10"/>
      <c r="BD146" s="15"/>
      <c r="BE146" s="10"/>
      <c r="BF146" s="11">
        <f t="shared" si="445"/>
        <v>0</v>
      </c>
      <c r="BG146" s="12">
        <f t="shared" si="446"/>
        <v>0</v>
      </c>
      <c r="BH146" s="15"/>
      <c r="BI146" s="10"/>
      <c r="BJ146" s="15"/>
      <c r="BK146" s="10"/>
      <c r="BL146" s="15"/>
      <c r="BM146" s="10"/>
      <c r="BN146" s="15"/>
      <c r="BO146" s="10"/>
      <c r="BP146" s="15"/>
      <c r="BQ146" s="10"/>
      <c r="BR146" s="15"/>
      <c r="BS146" s="10"/>
      <c r="BT146" s="15"/>
      <c r="BU146" s="10"/>
      <c r="BV146" s="15"/>
      <c r="BW146" s="10"/>
      <c r="BX146" s="15"/>
      <c r="BY146" s="10"/>
      <c r="BZ146" s="15"/>
      <c r="CA146" s="10"/>
      <c r="CB146" s="15"/>
      <c r="CC146" s="10"/>
      <c r="CD146" s="15"/>
      <c r="CE146" s="10"/>
      <c r="CF146" s="11">
        <f t="shared" si="447"/>
        <v>0</v>
      </c>
      <c r="CG146" s="12">
        <f t="shared" si="448"/>
        <v>0</v>
      </c>
      <c r="CH146" s="17"/>
      <c r="CI146" s="10">
        <f t="shared" si="336"/>
        <v>0</v>
      </c>
      <c r="CJ146" s="15"/>
      <c r="CK146" s="10">
        <f t="shared" si="337"/>
        <v>0</v>
      </c>
      <c r="CL146" s="17"/>
      <c r="CM146" s="10">
        <f t="shared" si="338"/>
        <v>0</v>
      </c>
      <c r="CN146" s="15"/>
      <c r="CO146" s="10">
        <f t="shared" si="339"/>
        <v>0</v>
      </c>
      <c r="CP146" s="15"/>
      <c r="CQ146" s="10">
        <f t="shared" si="340"/>
        <v>0</v>
      </c>
      <c r="CR146" s="15"/>
      <c r="CS146" s="10">
        <f t="shared" si="341"/>
        <v>0</v>
      </c>
      <c r="CT146" s="15"/>
      <c r="CU146" s="10">
        <f t="shared" si="342"/>
        <v>0</v>
      </c>
      <c r="CV146" s="15"/>
      <c r="CW146" s="10">
        <f t="shared" si="343"/>
        <v>0</v>
      </c>
      <c r="CX146" s="15"/>
      <c r="CY146" s="10">
        <f t="shared" si="344"/>
        <v>0</v>
      </c>
      <c r="CZ146" s="15"/>
      <c r="DA146" s="10">
        <f t="shared" si="345"/>
        <v>0</v>
      </c>
      <c r="DB146" s="15"/>
      <c r="DC146" s="10">
        <f t="shared" si="346"/>
        <v>0</v>
      </c>
      <c r="DD146" s="15"/>
      <c r="DE146" s="10">
        <f t="shared" si="346"/>
        <v>0</v>
      </c>
      <c r="DF146" s="231">
        <f t="shared" si="383"/>
        <v>0</v>
      </c>
      <c r="DG146" s="230">
        <f t="shared" si="347"/>
        <v>0</v>
      </c>
      <c r="DH146" s="238"/>
      <c r="DI146" s="239"/>
      <c r="DJ146" s="15"/>
      <c r="DK146" s="239"/>
      <c r="DL146" s="238"/>
      <c r="DM146" s="239"/>
      <c r="DN146" s="238"/>
      <c r="DO146" s="239"/>
      <c r="DP146" s="238"/>
      <c r="DQ146" s="239"/>
      <c r="DR146" s="238"/>
      <c r="DS146" s="239"/>
      <c r="DT146" s="238"/>
      <c r="DU146" s="239"/>
      <c r="DV146" s="238"/>
      <c r="DW146" s="239"/>
      <c r="DX146" s="238"/>
      <c r="DY146" s="239"/>
      <c r="DZ146" s="238"/>
      <c r="EA146" s="239"/>
      <c r="EB146" s="238"/>
      <c r="EC146" s="239"/>
      <c r="ED146" s="238"/>
      <c r="EE146" s="239"/>
      <c r="EF146" s="240">
        <f t="shared" si="359"/>
        <v>0</v>
      </c>
      <c r="EG146" s="239">
        <f t="shared" si="359"/>
        <v>0</v>
      </c>
    </row>
    <row r="147" spans="1:137" ht="19.8">
      <c r="A147" s="7"/>
      <c r="B147" s="20"/>
      <c r="C147" s="20"/>
      <c r="D147" s="7"/>
      <c r="E147" s="7"/>
      <c r="F147" s="21"/>
      <c r="G147" s="21"/>
      <c r="H147" s="15"/>
      <c r="I147" s="10"/>
      <c r="J147" s="15"/>
      <c r="K147" s="10"/>
      <c r="L147" s="15"/>
      <c r="M147" s="10"/>
      <c r="N147" s="15"/>
      <c r="O147" s="10"/>
      <c r="P147" s="15"/>
      <c r="Q147" s="10"/>
      <c r="R147" s="15"/>
      <c r="S147" s="10"/>
      <c r="T147" s="15"/>
      <c r="U147" s="10"/>
      <c r="V147" s="15"/>
      <c r="W147" s="10"/>
      <c r="X147" s="15"/>
      <c r="Y147" s="10"/>
      <c r="Z147" s="15"/>
      <c r="AA147" s="10"/>
      <c r="AB147" s="15"/>
      <c r="AC147" s="10"/>
      <c r="AD147" s="15"/>
      <c r="AE147" s="10"/>
      <c r="AF147" s="11"/>
      <c r="AG147" s="12"/>
      <c r="AH147" s="15"/>
      <c r="AI147" s="10"/>
      <c r="AJ147" s="15"/>
      <c r="AK147" s="10"/>
      <c r="AL147" s="15"/>
      <c r="AM147" s="10"/>
      <c r="AN147" s="15"/>
      <c r="AO147" s="10"/>
      <c r="AP147" s="15"/>
      <c r="AQ147" s="10"/>
      <c r="AR147" s="15"/>
      <c r="AS147" s="10"/>
      <c r="AT147" s="15"/>
      <c r="AU147" s="10"/>
      <c r="AV147" s="15"/>
      <c r="AW147" s="10"/>
      <c r="AX147" s="15"/>
      <c r="AY147" s="10"/>
      <c r="AZ147" s="15"/>
      <c r="BA147" s="10"/>
      <c r="BB147" s="15"/>
      <c r="BC147" s="10"/>
      <c r="BD147" s="15"/>
      <c r="BE147" s="10"/>
      <c r="BF147" s="11"/>
      <c r="BG147" s="12"/>
      <c r="BH147" s="15"/>
      <c r="BI147" s="10"/>
      <c r="BJ147" s="15"/>
      <c r="BK147" s="10"/>
      <c r="BL147" s="15"/>
      <c r="BM147" s="10"/>
      <c r="BN147" s="15"/>
      <c r="BO147" s="10"/>
      <c r="BP147" s="15"/>
      <c r="BQ147" s="10"/>
      <c r="BR147" s="15"/>
      <c r="BS147" s="10"/>
      <c r="BT147" s="15"/>
      <c r="BU147" s="10"/>
      <c r="BV147" s="15"/>
      <c r="BW147" s="10"/>
      <c r="BX147" s="15"/>
      <c r="BY147" s="10"/>
      <c r="BZ147" s="15"/>
      <c r="CA147" s="10"/>
      <c r="CB147" s="15"/>
      <c r="CC147" s="10"/>
      <c r="CD147" s="15"/>
      <c r="CE147" s="10"/>
      <c r="CF147" s="11"/>
      <c r="CG147" s="12"/>
      <c r="CH147" s="15"/>
      <c r="CI147" s="10">
        <f t="shared" si="336"/>
        <v>0</v>
      </c>
      <c r="CJ147" s="15"/>
      <c r="CK147" s="10">
        <f t="shared" si="337"/>
        <v>0</v>
      </c>
      <c r="CL147" s="15"/>
      <c r="CM147" s="10">
        <f t="shared" si="338"/>
        <v>0</v>
      </c>
      <c r="CN147" s="15"/>
      <c r="CO147" s="10">
        <f t="shared" si="339"/>
        <v>0</v>
      </c>
      <c r="CP147" s="15"/>
      <c r="CQ147" s="10">
        <f t="shared" si="340"/>
        <v>0</v>
      </c>
      <c r="CR147" s="15"/>
      <c r="CS147" s="10">
        <f t="shared" si="341"/>
        <v>0</v>
      </c>
      <c r="CT147" s="15"/>
      <c r="CU147" s="10">
        <f t="shared" si="342"/>
        <v>0</v>
      </c>
      <c r="CV147" s="15"/>
      <c r="CW147" s="10">
        <f t="shared" si="343"/>
        <v>0</v>
      </c>
      <c r="CX147" s="15"/>
      <c r="CY147" s="10">
        <f t="shared" si="344"/>
        <v>0</v>
      </c>
      <c r="CZ147" s="15"/>
      <c r="DA147" s="10">
        <f t="shared" si="345"/>
        <v>0</v>
      </c>
      <c r="DB147" s="15"/>
      <c r="DC147" s="10">
        <f t="shared" si="346"/>
        <v>0</v>
      </c>
      <c r="DD147" s="15"/>
      <c r="DE147" s="10">
        <f t="shared" si="346"/>
        <v>0</v>
      </c>
      <c r="DF147" s="231">
        <f t="shared" si="383"/>
        <v>0</v>
      </c>
      <c r="DG147" s="230">
        <f t="shared" si="347"/>
        <v>0</v>
      </c>
      <c r="DH147" s="238"/>
      <c r="DI147" s="239"/>
      <c r="DJ147" s="15"/>
      <c r="DK147" s="239"/>
      <c r="DL147" s="238"/>
      <c r="DM147" s="239"/>
      <c r="DN147" s="238"/>
      <c r="DO147" s="239"/>
      <c r="DP147" s="238"/>
      <c r="DQ147" s="239"/>
      <c r="DR147" s="238"/>
      <c r="DS147" s="239"/>
      <c r="DT147" s="238"/>
      <c r="DU147" s="239"/>
      <c r="DV147" s="238"/>
      <c r="DW147" s="239"/>
      <c r="DX147" s="238"/>
      <c r="DY147" s="239"/>
      <c r="DZ147" s="238"/>
      <c r="EA147" s="239"/>
      <c r="EB147" s="238"/>
      <c r="EC147" s="239"/>
      <c r="ED147" s="238"/>
      <c r="EE147" s="239"/>
      <c r="EF147" s="240"/>
      <c r="EG147" s="239"/>
    </row>
    <row r="148" spans="1:137" ht="20.399999999999999">
      <c r="A148" s="22"/>
      <c r="B148" s="23" t="s">
        <v>102</v>
      </c>
      <c r="C148" s="23"/>
      <c r="D148" s="23"/>
      <c r="E148" s="24"/>
      <c r="F148" s="25"/>
      <c r="G148" s="25"/>
      <c r="H148" s="26">
        <f t="shared" ref="H148:AM148" si="449">SUM(H4:H147)</f>
        <v>2905396</v>
      </c>
      <c r="I148" s="27">
        <f t="shared" si="449"/>
        <v>1973831.34</v>
      </c>
      <c r="J148" s="26">
        <f t="shared" si="449"/>
        <v>2675328</v>
      </c>
      <c r="K148" s="27">
        <f t="shared" si="449"/>
        <v>1821908.28</v>
      </c>
      <c r="L148" s="26">
        <f t="shared" si="449"/>
        <v>4002433</v>
      </c>
      <c r="M148" s="27">
        <f t="shared" si="449"/>
        <v>2701832.36</v>
      </c>
      <c r="N148" s="26">
        <f t="shared" si="449"/>
        <v>3026203</v>
      </c>
      <c r="O148" s="27">
        <f t="shared" si="449"/>
        <v>2085945.7200000002</v>
      </c>
      <c r="P148" s="26">
        <f t="shared" si="449"/>
        <v>2887735</v>
      </c>
      <c r="Q148" s="27">
        <f t="shared" si="449"/>
        <v>2006991.9600000002</v>
      </c>
      <c r="R148" s="26">
        <f t="shared" si="449"/>
        <v>3003194</v>
      </c>
      <c r="S148" s="27">
        <f t="shared" si="449"/>
        <v>2087997.16</v>
      </c>
      <c r="T148" s="26">
        <f t="shared" si="449"/>
        <v>2836346</v>
      </c>
      <c r="U148" s="27">
        <f t="shared" si="449"/>
        <v>1943349.4200000004</v>
      </c>
      <c r="V148" s="26">
        <f t="shared" si="449"/>
        <v>3483097</v>
      </c>
      <c r="W148" s="27">
        <f t="shared" si="449"/>
        <v>2426535.9200000004</v>
      </c>
      <c r="X148" s="26">
        <f t="shared" si="449"/>
        <v>2436131</v>
      </c>
      <c r="Y148" s="27">
        <f t="shared" si="449"/>
        <v>1694399.2099999997</v>
      </c>
      <c r="Z148" s="26">
        <f t="shared" si="449"/>
        <v>2508180</v>
      </c>
      <c r="AA148" s="27">
        <f t="shared" si="449"/>
        <v>1734445.03</v>
      </c>
      <c r="AB148" s="26">
        <f t="shared" si="449"/>
        <v>2588009</v>
      </c>
      <c r="AC148" s="27">
        <f t="shared" si="449"/>
        <v>1783502.0200000003</v>
      </c>
      <c r="AD148" s="26">
        <f t="shared" si="449"/>
        <v>2863648</v>
      </c>
      <c r="AE148" s="27">
        <f t="shared" si="449"/>
        <v>1992385.91</v>
      </c>
      <c r="AF148" s="26">
        <f t="shared" si="449"/>
        <v>35215700</v>
      </c>
      <c r="AG148" s="27">
        <f t="shared" si="449"/>
        <v>24253124.330000002</v>
      </c>
      <c r="AH148" s="26">
        <f t="shared" si="449"/>
        <v>3028281</v>
      </c>
      <c r="AI148" s="27">
        <f t="shared" si="449"/>
        <v>2123061.1799999992</v>
      </c>
      <c r="AJ148" s="26">
        <f t="shared" si="449"/>
        <v>2480575</v>
      </c>
      <c r="AK148" s="27">
        <f t="shared" si="449"/>
        <v>1732604.3</v>
      </c>
      <c r="AL148" s="26">
        <f t="shared" si="449"/>
        <v>3273071</v>
      </c>
      <c r="AM148" s="27">
        <f t="shared" si="449"/>
        <v>2282645.66</v>
      </c>
      <c r="AN148" s="26">
        <f t="shared" ref="AN148:BS148" si="450">SUM(AN4:AN147)</f>
        <v>2609941</v>
      </c>
      <c r="AO148" s="27">
        <f t="shared" si="450"/>
        <v>1851666.2400000005</v>
      </c>
      <c r="AP148" s="26">
        <f t="shared" si="450"/>
        <v>2590552</v>
      </c>
      <c r="AQ148" s="27">
        <f t="shared" si="450"/>
        <v>1891759.9900000002</v>
      </c>
      <c r="AR148" s="26">
        <f t="shared" si="450"/>
        <v>2454565</v>
      </c>
      <c r="AS148" s="27">
        <f t="shared" si="450"/>
        <v>1825451.0099999998</v>
      </c>
      <c r="AT148" s="26">
        <f t="shared" si="450"/>
        <v>2779248</v>
      </c>
      <c r="AU148" s="27">
        <f t="shared" si="450"/>
        <v>2016338.0600000005</v>
      </c>
      <c r="AV148" s="26">
        <f t="shared" si="450"/>
        <v>2940873</v>
      </c>
      <c r="AW148" s="27">
        <f t="shared" si="450"/>
        <v>2133100.3799999994</v>
      </c>
      <c r="AX148" s="26">
        <f t="shared" si="450"/>
        <v>2038669</v>
      </c>
      <c r="AY148" s="27">
        <f t="shared" si="450"/>
        <v>1465445.6299999997</v>
      </c>
      <c r="AZ148" s="26">
        <f t="shared" si="450"/>
        <v>2321631</v>
      </c>
      <c r="BA148" s="27">
        <f t="shared" si="450"/>
        <v>1686561.7200000004</v>
      </c>
      <c r="BB148" s="26">
        <f t="shared" si="450"/>
        <v>2357171</v>
      </c>
      <c r="BC148" s="27">
        <f t="shared" si="450"/>
        <v>1724714.1800000002</v>
      </c>
      <c r="BD148" s="26">
        <f t="shared" si="450"/>
        <v>2553960</v>
      </c>
      <c r="BE148" s="27">
        <f t="shared" si="450"/>
        <v>1871502.6900000002</v>
      </c>
      <c r="BF148" s="26">
        <f t="shared" si="450"/>
        <v>31428537</v>
      </c>
      <c r="BG148" s="27">
        <f t="shared" si="450"/>
        <v>22604851.040000007</v>
      </c>
      <c r="BH148" s="26">
        <f t="shared" si="450"/>
        <v>2635501</v>
      </c>
      <c r="BI148" s="27">
        <f t="shared" si="450"/>
        <v>1945479.7600000005</v>
      </c>
      <c r="BJ148" s="26">
        <f t="shared" si="450"/>
        <v>2188605</v>
      </c>
      <c r="BK148" s="27">
        <f t="shared" si="450"/>
        <v>1613415.4899999998</v>
      </c>
      <c r="BL148" s="26">
        <f t="shared" si="450"/>
        <v>2467561</v>
      </c>
      <c r="BM148" s="27">
        <f t="shared" si="450"/>
        <v>1832925.2299999997</v>
      </c>
      <c r="BN148" s="26">
        <f t="shared" si="450"/>
        <v>2441256</v>
      </c>
      <c r="BO148" s="27">
        <f t="shared" si="450"/>
        <v>1823736.19</v>
      </c>
      <c r="BP148" s="26">
        <f t="shared" si="450"/>
        <v>2524506</v>
      </c>
      <c r="BQ148" s="27">
        <f t="shared" si="450"/>
        <v>1876603.94</v>
      </c>
      <c r="BR148" s="26">
        <f t="shared" si="450"/>
        <v>2791984</v>
      </c>
      <c r="BS148" s="27">
        <f t="shared" si="450"/>
        <v>2093949.46</v>
      </c>
      <c r="BT148" s="26">
        <f t="shared" ref="BT148:CY148" si="451">SUM(BT4:BT147)</f>
        <v>2562242</v>
      </c>
      <c r="BU148" s="27">
        <f t="shared" si="451"/>
        <v>1929114.5200000003</v>
      </c>
      <c r="BV148" s="26">
        <f t="shared" si="451"/>
        <v>2263539</v>
      </c>
      <c r="BW148" s="27">
        <f t="shared" si="451"/>
        <v>1696048.9000000001</v>
      </c>
      <c r="BX148" s="26">
        <f t="shared" si="451"/>
        <v>2144607</v>
      </c>
      <c r="BY148" s="27">
        <f t="shared" si="451"/>
        <v>1615266.0200000005</v>
      </c>
      <c r="BZ148" s="26">
        <f t="shared" si="451"/>
        <v>2505567</v>
      </c>
      <c r="CA148" s="27">
        <f t="shared" si="451"/>
        <v>1884903.3399999999</v>
      </c>
      <c r="CB148" s="26">
        <f t="shared" si="451"/>
        <v>2317593</v>
      </c>
      <c r="CC148" s="27">
        <f t="shared" si="451"/>
        <v>1714170.4600000007</v>
      </c>
      <c r="CD148" s="26">
        <f t="shared" si="451"/>
        <v>2218222</v>
      </c>
      <c r="CE148" s="27">
        <f t="shared" si="451"/>
        <v>1646715.5799999996</v>
      </c>
      <c r="CF148" s="26">
        <f t="shared" si="451"/>
        <v>29061183</v>
      </c>
      <c r="CG148" s="27">
        <f t="shared" si="451"/>
        <v>21672328.889999997</v>
      </c>
      <c r="CH148" s="26">
        <f t="shared" si="451"/>
        <v>2088118</v>
      </c>
      <c r="CI148" s="27">
        <f t="shared" si="451"/>
        <v>1573223.2000000004</v>
      </c>
      <c r="CJ148" s="26">
        <f t="shared" si="451"/>
        <v>2119137</v>
      </c>
      <c r="CK148" s="27">
        <f t="shared" si="451"/>
        <v>1588117.29</v>
      </c>
      <c r="CL148" s="26">
        <f t="shared" si="451"/>
        <v>3118431</v>
      </c>
      <c r="CM148" s="27">
        <f t="shared" si="451"/>
        <v>2360939.59</v>
      </c>
      <c r="CN148" s="26">
        <f t="shared" si="451"/>
        <v>1794739</v>
      </c>
      <c r="CO148" s="27">
        <f t="shared" si="451"/>
        <v>1331643.8799999997</v>
      </c>
      <c r="CP148" s="26">
        <f t="shared" si="451"/>
        <v>2221723</v>
      </c>
      <c r="CQ148" s="27">
        <f t="shared" si="451"/>
        <v>1682932.2199999995</v>
      </c>
      <c r="CR148" s="26">
        <f t="shared" si="451"/>
        <v>2279600</v>
      </c>
      <c r="CS148" s="27">
        <f t="shared" si="451"/>
        <v>1732105.38</v>
      </c>
      <c r="CT148" s="26">
        <f t="shared" si="451"/>
        <v>2251328</v>
      </c>
      <c r="CU148" s="27">
        <f t="shared" si="451"/>
        <v>1699256.87</v>
      </c>
      <c r="CV148" s="26">
        <f t="shared" si="451"/>
        <v>2239523</v>
      </c>
      <c r="CW148" s="27">
        <f t="shared" si="451"/>
        <v>1689285.95</v>
      </c>
      <c r="CX148" s="26">
        <f t="shared" si="451"/>
        <v>2124541</v>
      </c>
      <c r="CY148" s="27">
        <f t="shared" si="451"/>
        <v>1606217.7</v>
      </c>
      <c r="CZ148" s="26">
        <f t="shared" ref="CZ148:DG148" si="452">SUM(CZ4:CZ147)</f>
        <v>2219563</v>
      </c>
      <c r="DA148" s="27">
        <f t="shared" si="452"/>
        <v>1676170.2599999998</v>
      </c>
      <c r="DB148" s="26">
        <f t="shared" si="452"/>
        <v>2095754</v>
      </c>
      <c r="DC148" s="27">
        <f t="shared" si="452"/>
        <v>1580591.2600000002</v>
      </c>
      <c r="DD148" s="26">
        <f t="shared" si="452"/>
        <v>2252568</v>
      </c>
      <c r="DE148" s="27">
        <f t="shared" si="452"/>
        <v>1706072.0200000003</v>
      </c>
      <c r="DF148" s="26">
        <f t="shared" si="452"/>
        <v>26805025</v>
      </c>
      <c r="DG148" s="27">
        <f t="shared" si="452"/>
        <v>20226555.619999994</v>
      </c>
      <c r="DH148" s="242">
        <f t="shared" ref="DH148:EG148" si="453">SUM(DH4:DH147)</f>
        <v>2170348</v>
      </c>
      <c r="DI148" s="243">
        <f t="shared" si="453"/>
        <v>1642001.3200000003</v>
      </c>
      <c r="DJ148" s="242">
        <f t="shared" si="453"/>
        <v>1964569</v>
      </c>
      <c r="DK148" s="243">
        <f t="shared" si="453"/>
        <v>1494502.3900000004</v>
      </c>
      <c r="DL148" s="242">
        <f t="shared" si="453"/>
        <v>0</v>
      </c>
      <c r="DM148" s="243">
        <f t="shared" si="453"/>
        <v>0</v>
      </c>
      <c r="DN148" s="242">
        <f t="shared" si="453"/>
        <v>0</v>
      </c>
      <c r="DO148" s="243">
        <f t="shared" si="453"/>
        <v>0</v>
      </c>
      <c r="DP148" s="242">
        <f t="shared" si="453"/>
        <v>0</v>
      </c>
      <c r="DQ148" s="243">
        <f t="shared" si="453"/>
        <v>0</v>
      </c>
      <c r="DR148" s="242">
        <f t="shared" si="453"/>
        <v>0</v>
      </c>
      <c r="DS148" s="243">
        <f t="shared" si="453"/>
        <v>0</v>
      </c>
      <c r="DT148" s="242">
        <f t="shared" si="453"/>
        <v>0</v>
      </c>
      <c r="DU148" s="243">
        <f t="shared" si="453"/>
        <v>0</v>
      </c>
      <c r="DV148" s="242">
        <f t="shared" si="453"/>
        <v>0</v>
      </c>
      <c r="DW148" s="243">
        <f t="shared" si="453"/>
        <v>0</v>
      </c>
      <c r="DX148" s="242">
        <f t="shared" si="453"/>
        <v>0</v>
      </c>
      <c r="DY148" s="243">
        <f t="shared" si="453"/>
        <v>0</v>
      </c>
      <c r="DZ148" s="242">
        <f t="shared" si="453"/>
        <v>0</v>
      </c>
      <c r="EA148" s="243">
        <f t="shared" si="453"/>
        <v>0</v>
      </c>
      <c r="EB148" s="242">
        <f t="shared" si="453"/>
        <v>0</v>
      </c>
      <c r="EC148" s="243">
        <f t="shared" si="453"/>
        <v>0</v>
      </c>
      <c r="ED148" s="242">
        <f t="shared" si="453"/>
        <v>0</v>
      </c>
      <c r="EE148" s="243">
        <f t="shared" si="453"/>
        <v>0</v>
      </c>
      <c r="EF148" s="242">
        <f t="shared" si="453"/>
        <v>4134917</v>
      </c>
      <c r="EG148" s="243">
        <f t="shared" si="453"/>
        <v>3136503.7100000004</v>
      </c>
    </row>
    <row r="149" spans="1:137" ht="19.8">
      <c r="A149" s="28"/>
      <c r="B149" s="20"/>
      <c r="C149" s="20"/>
      <c r="D149" s="20"/>
      <c r="E149" s="20"/>
      <c r="F149" s="21"/>
      <c r="G149" s="21"/>
      <c r="H149" s="15"/>
      <c r="I149" s="10"/>
      <c r="J149" s="15"/>
      <c r="K149" s="10"/>
      <c r="L149" s="15"/>
      <c r="M149" s="10"/>
      <c r="N149" s="15"/>
      <c r="O149" s="10"/>
      <c r="P149" s="15"/>
      <c r="Q149" s="10"/>
      <c r="R149" s="15"/>
      <c r="S149" s="10"/>
      <c r="T149" s="15"/>
      <c r="U149" s="10"/>
      <c r="V149" s="15"/>
      <c r="W149" s="10"/>
      <c r="X149" s="15"/>
      <c r="Y149" s="10"/>
      <c r="Z149" s="15"/>
      <c r="AA149" s="10"/>
      <c r="AB149" s="15"/>
      <c r="AC149" s="10"/>
      <c r="AD149" s="15"/>
      <c r="AE149" s="10"/>
      <c r="AF149" s="11"/>
      <c r="AG149" s="12"/>
      <c r="AH149" s="15"/>
      <c r="AI149" s="10"/>
      <c r="AJ149" s="15"/>
      <c r="AK149" s="10"/>
      <c r="AL149" s="15"/>
      <c r="AM149" s="10"/>
      <c r="AN149" s="15"/>
      <c r="AO149" s="10"/>
      <c r="AP149" s="15"/>
      <c r="AQ149" s="10"/>
      <c r="AR149" s="15"/>
      <c r="AS149" s="10"/>
      <c r="AT149" s="15"/>
      <c r="AU149" s="10"/>
      <c r="AV149" s="15"/>
      <c r="AW149" s="10"/>
      <c r="AX149" s="15"/>
      <c r="AY149" s="10"/>
      <c r="AZ149" s="15"/>
      <c r="BA149" s="10"/>
      <c r="BB149" s="15"/>
      <c r="BC149" s="10"/>
      <c r="BD149" s="15"/>
      <c r="BE149" s="10"/>
      <c r="BF149" s="11"/>
      <c r="BG149" s="12"/>
      <c r="BH149" s="15"/>
      <c r="BI149" s="10"/>
      <c r="BJ149" s="15"/>
      <c r="BK149" s="10"/>
      <c r="BL149" s="15"/>
      <c r="BM149" s="10"/>
      <c r="BN149" s="15"/>
      <c r="BO149" s="10"/>
      <c r="BP149" s="15"/>
      <c r="BQ149" s="10"/>
      <c r="BR149" s="15"/>
      <c r="BS149" s="10"/>
      <c r="BT149" s="15"/>
      <c r="BU149" s="10"/>
      <c r="BV149" s="15"/>
      <c r="BW149" s="10"/>
      <c r="BX149" s="15"/>
      <c r="BY149" s="10"/>
      <c r="BZ149" s="15"/>
      <c r="CA149" s="10"/>
      <c r="CB149" s="15"/>
      <c r="CC149" s="10"/>
      <c r="CD149" s="15"/>
      <c r="CE149" s="10"/>
      <c r="CF149" s="11"/>
      <c r="CG149" s="12"/>
      <c r="CH149" s="15"/>
      <c r="CI149" s="10"/>
      <c r="CJ149" s="15"/>
      <c r="CK149" s="10"/>
      <c r="CL149" s="15"/>
      <c r="CM149" s="10"/>
      <c r="CN149" s="15"/>
      <c r="CO149" s="10"/>
      <c r="CP149" s="15"/>
      <c r="CQ149" s="10"/>
      <c r="CR149" s="15"/>
      <c r="CS149" s="10"/>
      <c r="CT149" s="15"/>
      <c r="CU149" s="10"/>
      <c r="CV149" s="15"/>
      <c r="CW149" s="10"/>
      <c r="CX149" s="15"/>
      <c r="CY149" s="10"/>
      <c r="CZ149" s="15"/>
      <c r="DA149" s="10"/>
      <c r="DB149" s="15"/>
      <c r="DC149" s="10"/>
      <c r="DD149" s="15"/>
      <c r="DE149" s="10"/>
      <c r="DF149" s="231"/>
      <c r="DG149" s="12"/>
      <c r="DH149" s="238"/>
      <c r="DI149" s="239"/>
      <c r="DJ149" s="238"/>
      <c r="DK149" s="239"/>
      <c r="DL149" s="238"/>
      <c r="DM149" s="239"/>
      <c r="DN149" s="238"/>
      <c r="DO149" s="239"/>
      <c r="DP149" s="238"/>
      <c r="DQ149" s="239"/>
      <c r="DR149" s="238"/>
      <c r="DS149" s="239"/>
      <c r="DT149" s="238"/>
      <c r="DU149" s="239"/>
      <c r="DV149" s="238"/>
      <c r="DW149" s="239"/>
      <c r="DX149" s="238"/>
      <c r="DY149" s="239"/>
      <c r="DZ149" s="238"/>
      <c r="EA149" s="239"/>
      <c r="EB149" s="238"/>
      <c r="EC149" s="239"/>
      <c r="ED149" s="238"/>
      <c r="EE149" s="239"/>
      <c r="EF149" s="240"/>
      <c r="EG149" s="239"/>
    </row>
    <row r="150" spans="1:137" ht="19.8">
      <c r="A150" s="7">
        <v>119</v>
      </c>
      <c r="B150" s="8" t="s">
        <v>103</v>
      </c>
      <c r="C150" s="8" t="s">
        <v>11</v>
      </c>
      <c r="D150" s="7">
        <f t="shared" ref="D150:D158" si="454">RANK(DF150,$DF$149:$DF$164)</f>
        <v>5</v>
      </c>
      <c r="E150" s="7">
        <v>0.7</v>
      </c>
      <c r="F150" s="7" t="s">
        <v>12</v>
      </c>
      <c r="G150" s="7">
        <v>4500</v>
      </c>
      <c r="H150" s="9">
        <v>866</v>
      </c>
      <c r="I150" s="10">
        <f t="shared" ref="I150:I163" si="455">H150*$E150</f>
        <v>606.19999999999993</v>
      </c>
      <c r="J150" s="9">
        <v>1254</v>
      </c>
      <c r="K150" s="10">
        <f t="shared" ref="K150:K163" si="456">J150*$E150</f>
        <v>877.8</v>
      </c>
      <c r="L150" s="9">
        <v>1529</v>
      </c>
      <c r="M150" s="10">
        <f t="shared" ref="M150:M163" si="457">L150*$E150</f>
        <v>1070.3</v>
      </c>
      <c r="N150" s="9">
        <v>1699</v>
      </c>
      <c r="O150" s="10">
        <f t="shared" ref="O150:O163" si="458">N150*$E150</f>
        <v>1189.3</v>
      </c>
      <c r="P150" s="9">
        <v>1809</v>
      </c>
      <c r="Q150" s="10">
        <f t="shared" ref="Q150:Q163" si="459">P150*$E150</f>
        <v>1266.3</v>
      </c>
      <c r="R150" s="9">
        <v>2315</v>
      </c>
      <c r="S150" s="10">
        <f t="shared" ref="S150:S163" si="460">R150*$E150</f>
        <v>1620.5</v>
      </c>
      <c r="T150" s="9">
        <v>1491</v>
      </c>
      <c r="U150" s="10">
        <f t="shared" ref="U150:U163" si="461">T150*$E150</f>
        <v>1043.7</v>
      </c>
      <c r="V150" s="9">
        <v>1991</v>
      </c>
      <c r="W150" s="10">
        <f t="shared" ref="W150:W163" si="462">V150*$E150</f>
        <v>1393.6999999999998</v>
      </c>
      <c r="X150" s="9">
        <v>864</v>
      </c>
      <c r="Y150" s="10">
        <f t="shared" ref="Y150:Y163" si="463">X150*$E150</f>
        <v>604.79999999999995</v>
      </c>
      <c r="Z150" s="9">
        <v>782</v>
      </c>
      <c r="AA150" s="10">
        <f t="shared" ref="AA150:AA163" si="464">Z150*$E150</f>
        <v>547.4</v>
      </c>
      <c r="AB150" s="9">
        <v>927</v>
      </c>
      <c r="AC150" s="10">
        <f t="shared" ref="AC150:AC163" si="465">AB150*$E150</f>
        <v>648.9</v>
      </c>
      <c r="AD150" s="9">
        <v>425</v>
      </c>
      <c r="AE150" s="10">
        <f t="shared" ref="AE150:AE163" si="466">AD150*$E150</f>
        <v>297.5</v>
      </c>
      <c r="AF150" s="11">
        <f t="shared" ref="AF150:AF163" si="467">(AD150+AB150+Z150+X150+V150+T150+R150+P150+N150+L150+J150+H150)/1</f>
        <v>15952</v>
      </c>
      <c r="AG150" s="12">
        <f t="shared" ref="AG150:AG163" si="468">AF150*$E150</f>
        <v>11166.4</v>
      </c>
      <c r="AH150" s="9">
        <f>776+70</f>
        <v>846</v>
      </c>
      <c r="AI150" s="10">
        <f t="shared" ref="AI150:AI163" si="469">AH150*$E150</f>
        <v>592.19999999999993</v>
      </c>
      <c r="AJ150" s="9">
        <v>531</v>
      </c>
      <c r="AK150" s="10">
        <f t="shared" ref="AK150:AK163" si="470">AJ150*$E150</f>
        <v>371.7</v>
      </c>
      <c r="AL150" s="9">
        <f>24+731</f>
        <v>755</v>
      </c>
      <c r="AM150" s="10">
        <f t="shared" ref="AM150:AM163" si="471">AL150*$E150</f>
        <v>528.5</v>
      </c>
      <c r="AN150" s="9">
        <v>554</v>
      </c>
      <c r="AO150" s="10">
        <f t="shared" ref="AO150:AO163" si="472">AN150*$E150</f>
        <v>387.79999999999995</v>
      </c>
      <c r="AP150" s="9">
        <f>96+276</f>
        <v>372</v>
      </c>
      <c r="AQ150" s="10">
        <f t="shared" ref="AQ150:AQ163" si="473">AP150*$E150</f>
        <v>260.39999999999998</v>
      </c>
      <c r="AR150" s="9">
        <f>12+144</f>
        <v>156</v>
      </c>
      <c r="AS150" s="10">
        <f t="shared" ref="AS150:AS163" si="474">AR150*$E150</f>
        <v>109.19999999999999</v>
      </c>
      <c r="AT150" s="9">
        <v>168</v>
      </c>
      <c r="AU150" s="10">
        <f t="shared" ref="AU150:AU163" si="475">AT150*$E150</f>
        <v>117.6</v>
      </c>
      <c r="AV150" s="9">
        <v>131</v>
      </c>
      <c r="AW150" s="10">
        <f t="shared" ref="AW150:AW163" si="476">AV150*$E150</f>
        <v>91.699999999999989</v>
      </c>
      <c r="AX150" s="9">
        <v>72</v>
      </c>
      <c r="AY150" s="10">
        <f t="shared" ref="AY150:AY163" si="477">AX150*$E150</f>
        <v>50.4</v>
      </c>
      <c r="AZ150" s="9">
        <v>60</v>
      </c>
      <c r="BA150" s="10">
        <f t="shared" ref="BA150:BA163" si="478">AZ150*$E150</f>
        <v>42</v>
      </c>
      <c r="BB150" s="9">
        <v>29</v>
      </c>
      <c r="BC150" s="10">
        <f t="shared" ref="BC150:BC163" si="479">BB150*$E150</f>
        <v>20.299999999999997</v>
      </c>
      <c r="BD150" s="9">
        <v>72</v>
      </c>
      <c r="BE150" s="10">
        <f t="shared" ref="BE150:BE163" si="480">BD150*$E150</f>
        <v>50.4</v>
      </c>
      <c r="BF150" s="11">
        <f t="shared" ref="BF150:BF163" si="481">(BD150+BB150+AZ150+AX150+AV150+AT150+AR150+AP150+AN150+AL150+AJ150+AH150)/1</f>
        <v>3746</v>
      </c>
      <c r="BG150" s="12">
        <f t="shared" ref="BG150:BG163" si="482">BF150*$E150</f>
        <v>2622.2</v>
      </c>
      <c r="BH150" s="13">
        <v>119</v>
      </c>
      <c r="BI150" s="10">
        <f t="shared" ref="BI150:BI163" si="483">BH150*$E150</f>
        <v>83.3</v>
      </c>
      <c r="BJ150" s="13">
        <v>46</v>
      </c>
      <c r="BK150" s="10">
        <f t="shared" ref="BK150:BK163" si="484">BJ150*$E150</f>
        <v>32.199999999999996</v>
      </c>
      <c r="BL150" s="13">
        <v>108</v>
      </c>
      <c r="BM150" s="10">
        <f t="shared" ref="BM150:BM163" si="485">BL150*$E150</f>
        <v>75.599999999999994</v>
      </c>
      <c r="BN150" s="13">
        <v>124</v>
      </c>
      <c r="BO150" s="10">
        <f t="shared" ref="BO150:BO163" si="486">BN150*$E150</f>
        <v>86.8</v>
      </c>
      <c r="BP150" s="13">
        <v>285</v>
      </c>
      <c r="BQ150" s="10">
        <f t="shared" ref="BQ150:BQ163" si="487">BP150*$E150</f>
        <v>199.5</v>
      </c>
      <c r="BR150" s="13">
        <v>240</v>
      </c>
      <c r="BS150" s="10">
        <f t="shared" ref="BS150:BS163" si="488">BR150*$E150</f>
        <v>168</v>
      </c>
      <c r="BT150" s="13">
        <v>372</v>
      </c>
      <c r="BU150" s="10">
        <f t="shared" ref="BU150:BU163" si="489">BT150*$E150</f>
        <v>260.39999999999998</v>
      </c>
      <c r="BV150" s="13">
        <v>216</v>
      </c>
      <c r="BW150" s="10">
        <f t="shared" ref="BW150:BW163" si="490">BV150*$E150</f>
        <v>151.19999999999999</v>
      </c>
      <c r="BX150" s="13">
        <v>216</v>
      </c>
      <c r="BY150" s="10">
        <f t="shared" ref="BY150:BY163" si="491">BX150*$E150</f>
        <v>151.19999999999999</v>
      </c>
      <c r="BZ150" s="13">
        <v>456</v>
      </c>
      <c r="CA150" s="10">
        <f t="shared" ref="CA150:CA163" si="492">BZ150*$E150</f>
        <v>319.2</v>
      </c>
      <c r="CB150" s="13"/>
      <c r="CC150" s="10">
        <f t="shared" ref="CC150:CC163" si="493">CB150*$E150</f>
        <v>0</v>
      </c>
      <c r="CD150" s="13">
        <v>12</v>
      </c>
      <c r="CE150" s="10">
        <f t="shared" ref="CE150:CE163" si="494">CD150*$E150</f>
        <v>8.3999999999999986</v>
      </c>
      <c r="CF150" s="11">
        <f t="shared" ref="CF150:CF163" si="495">(CD150+CB150+BZ150+BX150+BV150+BT150+BR150+BP150+BN150+BL150+BJ150+BH150)/1</f>
        <v>2194</v>
      </c>
      <c r="CG150" s="12">
        <f t="shared" ref="CG150:CG163" si="496">CF150*$E150</f>
        <v>1535.8</v>
      </c>
      <c r="CH150" s="15">
        <v>156</v>
      </c>
      <c r="CI150" s="10">
        <f t="shared" ref="CI150:CI164" si="497">CH150*$E150</f>
        <v>109.19999999999999</v>
      </c>
      <c r="CJ150" s="15">
        <v>108</v>
      </c>
      <c r="CK150" s="10">
        <f t="shared" ref="CK150:CK164" si="498">CJ150*$E150</f>
        <v>75.599999999999994</v>
      </c>
      <c r="CL150" s="15">
        <v>84</v>
      </c>
      <c r="CM150" s="10">
        <f t="shared" ref="CM150:CM164" si="499">CL150*$E150</f>
        <v>58.8</v>
      </c>
      <c r="CN150" s="15">
        <v>48</v>
      </c>
      <c r="CO150" s="10">
        <f t="shared" ref="CO150:CO164" si="500">CN150*$E150</f>
        <v>33.599999999999994</v>
      </c>
      <c r="CP150" s="15">
        <v>60</v>
      </c>
      <c r="CQ150" s="10">
        <f t="shared" ref="CQ150:CQ164" si="501">CP150*$E150</f>
        <v>42</v>
      </c>
      <c r="CR150" s="15">
        <v>96</v>
      </c>
      <c r="CS150" s="10">
        <f t="shared" ref="CS150:CS164" si="502">CR150*$E150</f>
        <v>67.199999999999989</v>
      </c>
      <c r="CT150" s="15">
        <v>168</v>
      </c>
      <c r="CU150" s="10">
        <f t="shared" ref="CU150:CU164" si="503">CT150*$E150</f>
        <v>117.6</v>
      </c>
      <c r="CV150" s="15">
        <v>60</v>
      </c>
      <c r="CW150" s="10">
        <f t="shared" ref="CW150:CW164" si="504">CV150*$E150</f>
        <v>42</v>
      </c>
      <c r="CX150" s="15">
        <v>72</v>
      </c>
      <c r="CY150" s="10">
        <f t="shared" ref="CY150:CY164" si="505">CX150*$E150</f>
        <v>50.4</v>
      </c>
      <c r="CZ150" s="15">
        <v>72</v>
      </c>
      <c r="DA150" s="10">
        <f t="shared" ref="DA150:DA164" si="506">CZ150*$E150</f>
        <v>50.4</v>
      </c>
      <c r="DB150" s="15">
        <v>48</v>
      </c>
      <c r="DC150" s="10">
        <f t="shared" ref="DC150:DE164" si="507">DB150*$E150</f>
        <v>33.599999999999994</v>
      </c>
      <c r="DD150" s="15">
        <v>72</v>
      </c>
      <c r="DE150" s="10">
        <f t="shared" si="507"/>
        <v>50.4</v>
      </c>
      <c r="DF150" s="231">
        <f>SUM(CH150,CJ150,CL150,CN150,CP150,CR150,CT150,CV150,CX150,CZ150,DB150,DD150)/1</f>
        <v>1044</v>
      </c>
      <c r="DG150" s="230">
        <f t="shared" ref="DG150:DG164" si="508">DF150*$E150</f>
        <v>730.8</v>
      </c>
      <c r="DH150" s="238">
        <v>72</v>
      </c>
      <c r="DI150" s="239">
        <f t="shared" ref="DI150:DI156" si="509">DH150*$E150</f>
        <v>50.4</v>
      </c>
      <c r="DJ150" s="238">
        <v>72</v>
      </c>
      <c r="DK150" s="239">
        <f t="shared" ref="DK150:DK156" si="510">DJ150*$E150</f>
        <v>50.4</v>
      </c>
      <c r="DL150" s="238"/>
      <c r="DM150" s="239">
        <f t="shared" ref="DM150:DM156" si="511">DL150*$E150</f>
        <v>0</v>
      </c>
      <c r="DN150" s="238"/>
      <c r="DO150" s="239">
        <f t="shared" ref="DO150:DO156" si="512">DN150*$E150</f>
        <v>0</v>
      </c>
      <c r="DP150" s="238"/>
      <c r="DQ150" s="239">
        <f t="shared" ref="DQ150:DQ156" si="513">DP150*$E150</f>
        <v>0</v>
      </c>
      <c r="DR150" s="238"/>
      <c r="DS150" s="239">
        <f t="shared" ref="DS150:DS156" si="514">DR150*$E150</f>
        <v>0</v>
      </c>
      <c r="DT150" s="238"/>
      <c r="DU150" s="239">
        <f t="shared" ref="DU150:DU156" si="515">DT150*$E150</f>
        <v>0</v>
      </c>
      <c r="DV150" s="238"/>
      <c r="DW150" s="239">
        <f t="shared" ref="DW150:DW156" si="516">DV150*$E150</f>
        <v>0</v>
      </c>
      <c r="DX150" s="238"/>
      <c r="DY150" s="239">
        <f t="shared" ref="DY150:DY156" si="517">DX150*$E150</f>
        <v>0</v>
      </c>
      <c r="DZ150" s="238"/>
      <c r="EA150" s="239">
        <f t="shared" ref="EA150:EA156" si="518">DZ150*$E150</f>
        <v>0</v>
      </c>
      <c r="EB150" s="238"/>
      <c r="EC150" s="239">
        <f t="shared" ref="EC150:EC156" si="519">EB150*$E150</f>
        <v>0</v>
      </c>
      <c r="ED150" s="238"/>
      <c r="EE150" s="239">
        <f t="shared" ref="EE150:EE156" si="520">ED150*$E150</f>
        <v>0</v>
      </c>
      <c r="EF150" s="240">
        <f t="shared" ref="EF150:EG156" si="521">SUM(DH150,DJ150,DL150,DN150,DP150,DR150,DT150,DV150,DX150,DZ150,EB150,ED150)</f>
        <v>144</v>
      </c>
      <c r="EG150" s="239">
        <f t="shared" si="521"/>
        <v>100.8</v>
      </c>
    </row>
    <row r="151" spans="1:137" ht="19.8">
      <c r="A151" s="7">
        <v>120</v>
      </c>
      <c r="B151" s="8" t="s">
        <v>104</v>
      </c>
      <c r="C151" s="8" t="s">
        <v>11</v>
      </c>
      <c r="D151" s="7">
        <f t="shared" si="454"/>
        <v>6</v>
      </c>
      <c r="E151" s="7">
        <v>0.35</v>
      </c>
      <c r="F151" s="7" t="s">
        <v>20</v>
      </c>
      <c r="G151" s="7">
        <v>2300</v>
      </c>
      <c r="H151" s="9">
        <v>133</v>
      </c>
      <c r="I151" s="10">
        <f t="shared" si="455"/>
        <v>46.55</v>
      </c>
      <c r="J151" s="9">
        <v>254</v>
      </c>
      <c r="K151" s="10">
        <f t="shared" si="456"/>
        <v>88.899999999999991</v>
      </c>
      <c r="L151" s="9">
        <v>234</v>
      </c>
      <c r="M151" s="10">
        <f t="shared" si="457"/>
        <v>81.899999999999991</v>
      </c>
      <c r="N151" s="9">
        <v>230</v>
      </c>
      <c r="O151" s="10">
        <f t="shared" si="458"/>
        <v>80.5</v>
      </c>
      <c r="P151" s="9">
        <v>255</v>
      </c>
      <c r="Q151" s="10">
        <f t="shared" si="459"/>
        <v>89.25</v>
      </c>
      <c r="R151" s="9">
        <v>216</v>
      </c>
      <c r="S151" s="10">
        <f t="shared" si="460"/>
        <v>75.599999999999994</v>
      </c>
      <c r="T151" s="9">
        <v>144</v>
      </c>
      <c r="U151" s="10">
        <f t="shared" si="461"/>
        <v>50.4</v>
      </c>
      <c r="V151" s="9">
        <v>108</v>
      </c>
      <c r="W151" s="10">
        <f t="shared" si="462"/>
        <v>37.799999999999997</v>
      </c>
      <c r="X151" s="9">
        <v>84</v>
      </c>
      <c r="Y151" s="10">
        <f t="shared" si="463"/>
        <v>29.4</v>
      </c>
      <c r="Z151" s="9">
        <v>166</v>
      </c>
      <c r="AA151" s="10">
        <f t="shared" si="464"/>
        <v>58.099999999999994</v>
      </c>
      <c r="AB151" s="9">
        <v>96</v>
      </c>
      <c r="AC151" s="10">
        <f t="shared" si="465"/>
        <v>33.599999999999994</v>
      </c>
      <c r="AD151" s="9">
        <v>72</v>
      </c>
      <c r="AE151" s="10">
        <f t="shared" si="466"/>
        <v>25.2</v>
      </c>
      <c r="AF151" s="11">
        <f t="shared" si="467"/>
        <v>1992</v>
      </c>
      <c r="AG151" s="12">
        <f t="shared" si="468"/>
        <v>697.19999999999993</v>
      </c>
      <c r="AH151" s="9"/>
      <c r="AI151" s="10">
        <f t="shared" si="469"/>
        <v>0</v>
      </c>
      <c r="AJ151" s="9">
        <v>96</v>
      </c>
      <c r="AK151" s="10">
        <f t="shared" si="470"/>
        <v>33.599999999999994</v>
      </c>
      <c r="AL151" s="9">
        <f>48</f>
        <v>48</v>
      </c>
      <c r="AM151" s="10">
        <f t="shared" si="471"/>
        <v>16.799999999999997</v>
      </c>
      <c r="AN151" s="9">
        <v>12</v>
      </c>
      <c r="AO151" s="10">
        <f t="shared" si="472"/>
        <v>4.1999999999999993</v>
      </c>
      <c r="AP151" s="9">
        <v>108</v>
      </c>
      <c r="AQ151" s="10">
        <f t="shared" si="473"/>
        <v>37.799999999999997</v>
      </c>
      <c r="AR151" s="9"/>
      <c r="AS151" s="10">
        <f t="shared" si="474"/>
        <v>0</v>
      </c>
      <c r="AT151" s="9">
        <v>24</v>
      </c>
      <c r="AU151" s="10">
        <f t="shared" si="475"/>
        <v>8.3999999999999986</v>
      </c>
      <c r="AV151" s="9">
        <v>48</v>
      </c>
      <c r="AW151" s="10">
        <f t="shared" si="476"/>
        <v>16.799999999999997</v>
      </c>
      <c r="AX151" s="9">
        <v>24</v>
      </c>
      <c r="AY151" s="10">
        <f t="shared" si="477"/>
        <v>8.3999999999999986</v>
      </c>
      <c r="AZ151" s="9"/>
      <c r="BA151" s="10">
        <f t="shared" si="478"/>
        <v>0</v>
      </c>
      <c r="BB151" s="9">
        <v>48</v>
      </c>
      <c r="BC151" s="10">
        <f t="shared" si="479"/>
        <v>16.799999999999997</v>
      </c>
      <c r="BD151" s="9">
        <v>96</v>
      </c>
      <c r="BE151" s="10">
        <f t="shared" si="480"/>
        <v>33.599999999999994</v>
      </c>
      <c r="BF151" s="11">
        <f t="shared" si="481"/>
        <v>504</v>
      </c>
      <c r="BG151" s="12">
        <f t="shared" si="482"/>
        <v>176.39999999999998</v>
      </c>
      <c r="BH151" s="13">
        <v>168</v>
      </c>
      <c r="BI151" s="10">
        <f t="shared" si="483"/>
        <v>58.8</v>
      </c>
      <c r="BJ151" s="13">
        <v>0</v>
      </c>
      <c r="BK151" s="10">
        <f t="shared" si="484"/>
        <v>0</v>
      </c>
      <c r="BL151" s="13">
        <v>24</v>
      </c>
      <c r="BM151" s="10">
        <f t="shared" si="485"/>
        <v>8.3999999999999986</v>
      </c>
      <c r="BN151" s="13">
        <v>24</v>
      </c>
      <c r="BO151" s="10">
        <f t="shared" si="486"/>
        <v>8.3999999999999986</v>
      </c>
      <c r="BP151" s="13">
        <v>0</v>
      </c>
      <c r="BQ151" s="10">
        <f t="shared" si="487"/>
        <v>0</v>
      </c>
      <c r="BR151" s="13">
        <v>48</v>
      </c>
      <c r="BS151" s="10">
        <f t="shared" si="488"/>
        <v>16.799999999999997</v>
      </c>
      <c r="BT151" s="13">
        <v>24</v>
      </c>
      <c r="BU151" s="10">
        <f t="shared" si="489"/>
        <v>8.3999999999999986</v>
      </c>
      <c r="BV151" s="13">
        <v>96</v>
      </c>
      <c r="BW151" s="10">
        <f t="shared" si="490"/>
        <v>33.599999999999994</v>
      </c>
      <c r="BX151" s="13">
        <v>48</v>
      </c>
      <c r="BY151" s="10">
        <f t="shared" si="491"/>
        <v>16.799999999999997</v>
      </c>
      <c r="BZ151" s="13">
        <v>48</v>
      </c>
      <c r="CA151" s="10">
        <f t="shared" si="492"/>
        <v>16.799999999999997</v>
      </c>
      <c r="CB151" s="13">
        <f>108+99</f>
        <v>207</v>
      </c>
      <c r="CC151" s="10">
        <f t="shared" si="493"/>
        <v>72.449999999999989</v>
      </c>
      <c r="CD151" s="13">
        <v>24</v>
      </c>
      <c r="CE151" s="10">
        <f t="shared" si="494"/>
        <v>8.3999999999999986</v>
      </c>
      <c r="CF151" s="11">
        <f t="shared" si="495"/>
        <v>711</v>
      </c>
      <c r="CG151" s="12">
        <f t="shared" si="496"/>
        <v>248.85</v>
      </c>
      <c r="CH151" s="15">
        <v>96</v>
      </c>
      <c r="CI151" s="10">
        <f t="shared" si="497"/>
        <v>33.599999999999994</v>
      </c>
      <c r="CJ151" s="15">
        <v>120</v>
      </c>
      <c r="CK151" s="10">
        <f t="shared" si="498"/>
        <v>42</v>
      </c>
      <c r="CL151" s="15">
        <v>48</v>
      </c>
      <c r="CM151" s="10">
        <f t="shared" si="499"/>
        <v>16.799999999999997</v>
      </c>
      <c r="CN151" s="15"/>
      <c r="CO151" s="10">
        <f t="shared" si="500"/>
        <v>0</v>
      </c>
      <c r="CP151" s="15">
        <v>48</v>
      </c>
      <c r="CQ151" s="10">
        <f t="shared" si="501"/>
        <v>16.799999999999997</v>
      </c>
      <c r="CR151" s="15">
        <v>48</v>
      </c>
      <c r="CS151" s="10">
        <f t="shared" si="502"/>
        <v>16.799999999999997</v>
      </c>
      <c r="CT151" s="15"/>
      <c r="CU151" s="10">
        <f t="shared" si="503"/>
        <v>0</v>
      </c>
      <c r="CV151" s="15"/>
      <c r="CW151" s="10">
        <f t="shared" si="504"/>
        <v>0</v>
      </c>
      <c r="CX151" s="15">
        <v>24</v>
      </c>
      <c r="CY151" s="10">
        <f t="shared" si="505"/>
        <v>8.3999999999999986</v>
      </c>
      <c r="CZ151" s="15"/>
      <c r="DA151" s="10">
        <f t="shared" si="506"/>
        <v>0</v>
      </c>
      <c r="DB151" s="15">
        <v>144</v>
      </c>
      <c r="DC151" s="10">
        <f t="shared" si="507"/>
        <v>50.4</v>
      </c>
      <c r="DD151" s="15"/>
      <c r="DE151" s="10">
        <f t="shared" si="507"/>
        <v>0</v>
      </c>
      <c r="DF151" s="231">
        <f t="shared" ref="DF151:DF164" si="522">SUM(CH151,CJ151,CL151,CN151,CP151,CR151,CT151,CV151,CX151,CZ151,DB151,DD151)/1</f>
        <v>528</v>
      </c>
      <c r="DG151" s="230">
        <f t="shared" si="508"/>
        <v>184.79999999999998</v>
      </c>
      <c r="DH151" s="238"/>
      <c r="DI151" s="239">
        <f t="shared" si="509"/>
        <v>0</v>
      </c>
      <c r="DJ151" s="238"/>
      <c r="DK151" s="239">
        <f t="shared" si="510"/>
        <v>0</v>
      </c>
      <c r="DL151" s="238"/>
      <c r="DM151" s="239">
        <f t="shared" si="511"/>
        <v>0</v>
      </c>
      <c r="DN151" s="238"/>
      <c r="DO151" s="239">
        <f t="shared" si="512"/>
        <v>0</v>
      </c>
      <c r="DP151" s="238"/>
      <c r="DQ151" s="239">
        <f t="shared" si="513"/>
        <v>0</v>
      </c>
      <c r="DR151" s="238"/>
      <c r="DS151" s="239">
        <f t="shared" si="514"/>
        <v>0</v>
      </c>
      <c r="DT151" s="238"/>
      <c r="DU151" s="239">
        <f t="shared" si="515"/>
        <v>0</v>
      </c>
      <c r="DV151" s="238"/>
      <c r="DW151" s="239">
        <f t="shared" si="516"/>
        <v>0</v>
      </c>
      <c r="DX151" s="238"/>
      <c r="DY151" s="239">
        <f t="shared" si="517"/>
        <v>0</v>
      </c>
      <c r="DZ151" s="238"/>
      <c r="EA151" s="239">
        <f t="shared" si="518"/>
        <v>0</v>
      </c>
      <c r="EB151" s="238"/>
      <c r="EC151" s="239">
        <f t="shared" si="519"/>
        <v>0</v>
      </c>
      <c r="ED151" s="238"/>
      <c r="EE151" s="239">
        <f t="shared" si="520"/>
        <v>0</v>
      </c>
      <c r="EF151" s="240">
        <f t="shared" si="521"/>
        <v>0</v>
      </c>
      <c r="EG151" s="239">
        <f t="shared" si="521"/>
        <v>0</v>
      </c>
    </row>
    <row r="152" spans="1:137" ht="19.8">
      <c r="A152" s="7">
        <v>121</v>
      </c>
      <c r="B152" s="8" t="s">
        <v>105</v>
      </c>
      <c r="C152" s="8" t="s">
        <v>11</v>
      </c>
      <c r="D152" s="7">
        <f t="shared" si="454"/>
        <v>7</v>
      </c>
      <c r="E152" s="7">
        <v>0.17499999999999999</v>
      </c>
      <c r="F152" s="7" t="s">
        <v>106</v>
      </c>
      <c r="G152" s="7">
        <v>1300</v>
      </c>
      <c r="H152" s="9">
        <v>13</v>
      </c>
      <c r="I152" s="10">
        <f t="shared" si="455"/>
        <v>2.2749999999999999</v>
      </c>
      <c r="J152" s="9">
        <v>344</v>
      </c>
      <c r="K152" s="10">
        <f t="shared" si="456"/>
        <v>60.199999999999996</v>
      </c>
      <c r="L152" s="9">
        <v>324</v>
      </c>
      <c r="M152" s="10">
        <f t="shared" si="457"/>
        <v>56.699999999999996</v>
      </c>
      <c r="N152" s="9">
        <v>176</v>
      </c>
      <c r="O152" s="10">
        <f t="shared" si="458"/>
        <v>30.799999999999997</v>
      </c>
      <c r="P152" s="9">
        <v>372</v>
      </c>
      <c r="Q152" s="10">
        <f t="shared" si="459"/>
        <v>65.099999999999994</v>
      </c>
      <c r="R152" s="9">
        <v>198</v>
      </c>
      <c r="S152" s="10">
        <f t="shared" si="460"/>
        <v>34.65</v>
      </c>
      <c r="T152" s="9">
        <v>288</v>
      </c>
      <c r="U152" s="10">
        <f t="shared" si="461"/>
        <v>50.4</v>
      </c>
      <c r="V152" s="9">
        <v>222</v>
      </c>
      <c r="W152" s="10">
        <f t="shared" si="462"/>
        <v>38.849999999999994</v>
      </c>
      <c r="X152" s="9">
        <v>96</v>
      </c>
      <c r="Y152" s="10">
        <f t="shared" si="463"/>
        <v>16.799999999999997</v>
      </c>
      <c r="Z152" s="9">
        <v>216</v>
      </c>
      <c r="AA152" s="10">
        <f t="shared" si="464"/>
        <v>37.799999999999997</v>
      </c>
      <c r="AB152" s="9">
        <v>144</v>
      </c>
      <c r="AC152" s="10">
        <f t="shared" si="465"/>
        <v>25.2</v>
      </c>
      <c r="AD152" s="9">
        <v>1392</v>
      </c>
      <c r="AE152" s="10">
        <f t="shared" si="466"/>
        <v>243.6</v>
      </c>
      <c r="AF152" s="11">
        <f t="shared" si="467"/>
        <v>3785</v>
      </c>
      <c r="AG152" s="12">
        <f t="shared" si="468"/>
        <v>662.375</v>
      </c>
      <c r="AH152" s="9">
        <v>96</v>
      </c>
      <c r="AI152" s="10">
        <f t="shared" si="469"/>
        <v>16.799999999999997</v>
      </c>
      <c r="AJ152" s="9">
        <v>48</v>
      </c>
      <c r="AK152" s="10">
        <f t="shared" si="470"/>
        <v>8.3999999999999986</v>
      </c>
      <c r="AL152" s="9">
        <v>144</v>
      </c>
      <c r="AM152" s="10">
        <f t="shared" si="471"/>
        <v>25.2</v>
      </c>
      <c r="AN152" s="9">
        <v>96</v>
      </c>
      <c r="AO152" s="10">
        <f t="shared" si="472"/>
        <v>16.799999999999997</v>
      </c>
      <c r="AP152" s="9">
        <v>96</v>
      </c>
      <c r="AQ152" s="10">
        <f t="shared" si="473"/>
        <v>16.799999999999997</v>
      </c>
      <c r="AR152" s="9">
        <v>96</v>
      </c>
      <c r="AS152" s="10">
        <f t="shared" si="474"/>
        <v>16.799999999999997</v>
      </c>
      <c r="AT152" s="9">
        <v>72</v>
      </c>
      <c r="AU152" s="10">
        <f t="shared" si="475"/>
        <v>12.6</v>
      </c>
      <c r="AV152" s="9">
        <v>96</v>
      </c>
      <c r="AW152" s="10">
        <f t="shared" si="476"/>
        <v>16.799999999999997</v>
      </c>
      <c r="AX152" s="9">
        <v>192</v>
      </c>
      <c r="AY152" s="10">
        <f t="shared" si="477"/>
        <v>33.599999999999994</v>
      </c>
      <c r="AZ152" s="9"/>
      <c r="BA152" s="10">
        <f t="shared" si="478"/>
        <v>0</v>
      </c>
      <c r="BB152" s="9"/>
      <c r="BC152" s="10">
        <f t="shared" si="479"/>
        <v>0</v>
      </c>
      <c r="BD152" s="9"/>
      <c r="BE152" s="10">
        <f t="shared" si="480"/>
        <v>0</v>
      </c>
      <c r="BF152" s="11">
        <f t="shared" si="481"/>
        <v>936</v>
      </c>
      <c r="BG152" s="12">
        <f t="shared" si="482"/>
        <v>163.79999999999998</v>
      </c>
      <c r="BH152" s="13">
        <v>0</v>
      </c>
      <c r="BI152" s="10">
        <f t="shared" si="483"/>
        <v>0</v>
      </c>
      <c r="BJ152" s="13">
        <v>0</v>
      </c>
      <c r="BK152" s="10">
        <f t="shared" si="484"/>
        <v>0</v>
      </c>
      <c r="BL152" s="13">
        <v>0</v>
      </c>
      <c r="BM152" s="10">
        <f t="shared" si="485"/>
        <v>0</v>
      </c>
      <c r="BN152" s="13">
        <v>0</v>
      </c>
      <c r="BO152" s="10">
        <f t="shared" si="486"/>
        <v>0</v>
      </c>
      <c r="BP152" s="13">
        <v>0</v>
      </c>
      <c r="BQ152" s="10">
        <f t="shared" si="487"/>
        <v>0</v>
      </c>
      <c r="BR152" s="13">
        <v>0</v>
      </c>
      <c r="BS152" s="10">
        <f t="shared" si="488"/>
        <v>0</v>
      </c>
      <c r="BT152" s="13">
        <v>0</v>
      </c>
      <c r="BU152" s="10">
        <f t="shared" si="489"/>
        <v>0</v>
      </c>
      <c r="BV152" s="13">
        <v>0</v>
      </c>
      <c r="BW152" s="10">
        <f t="shared" si="490"/>
        <v>0</v>
      </c>
      <c r="BX152" s="13">
        <v>0</v>
      </c>
      <c r="BY152" s="10">
        <f t="shared" si="491"/>
        <v>0</v>
      </c>
      <c r="BZ152" s="13"/>
      <c r="CA152" s="10">
        <f t="shared" si="492"/>
        <v>0</v>
      </c>
      <c r="CB152" s="13"/>
      <c r="CC152" s="10">
        <f t="shared" si="493"/>
        <v>0</v>
      </c>
      <c r="CD152" s="13"/>
      <c r="CE152" s="10">
        <f t="shared" si="494"/>
        <v>0</v>
      </c>
      <c r="CF152" s="11">
        <f t="shared" si="495"/>
        <v>0</v>
      </c>
      <c r="CG152" s="12">
        <f t="shared" si="496"/>
        <v>0</v>
      </c>
      <c r="CH152" s="15"/>
      <c r="CI152" s="10">
        <f t="shared" si="497"/>
        <v>0</v>
      </c>
      <c r="CJ152" s="15"/>
      <c r="CK152" s="10">
        <f t="shared" si="498"/>
        <v>0</v>
      </c>
      <c r="CL152" s="15"/>
      <c r="CM152" s="10">
        <f t="shared" si="499"/>
        <v>0</v>
      </c>
      <c r="CN152" s="15"/>
      <c r="CO152" s="10">
        <f t="shared" si="500"/>
        <v>0</v>
      </c>
      <c r="CP152" s="15"/>
      <c r="CQ152" s="10">
        <f t="shared" si="501"/>
        <v>0</v>
      </c>
      <c r="CR152" s="15"/>
      <c r="CS152" s="10">
        <f t="shared" si="502"/>
        <v>0</v>
      </c>
      <c r="CT152" s="15"/>
      <c r="CU152" s="10">
        <f t="shared" si="503"/>
        <v>0</v>
      </c>
      <c r="CV152" s="15"/>
      <c r="CW152" s="10">
        <f t="shared" si="504"/>
        <v>0</v>
      </c>
      <c r="CX152" s="15"/>
      <c r="CY152" s="10">
        <f t="shared" si="505"/>
        <v>0</v>
      </c>
      <c r="CZ152" s="15"/>
      <c r="DA152" s="10">
        <f t="shared" si="506"/>
        <v>0</v>
      </c>
      <c r="DB152" s="15"/>
      <c r="DC152" s="10">
        <f t="shared" si="507"/>
        <v>0</v>
      </c>
      <c r="DD152" s="15"/>
      <c r="DE152" s="10">
        <f t="shared" si="507"/>
        <v>0</v>
      </c>
      <c r="DF152" s="231">
        <f t="shared" si="522"/>
        <v>0</v>
      </c>
      <c r="DG152" s="230">
        <f t="shared" si="508"/>
        <v>0</v>
      </c>
      <c r="DH152" s="238"/>
      <c r="DI152" s="239">
        <f t="shared" si="509"/>
        <v>0</v>
      </c>
      <c r="DJ152" s="238"/>
      <c r="DK152" s="239">
        <f t="shared" si="510"/>
        <v>0</v>
      </c>
      <c r="DL152" s="238"/>
      <c r="DM152" s="239">
        <f t="shared" si="511"/>
        <v>0</v>
      </c>
      <c r="DN152" s="238"/>
      <c r="DO152" s="239">
        <f t="shared" si="512"/>
        <v>0</v>
      </c>
      <c r="DP152" s="238"/>
      <c r="DQ152" s="239">
        <f t="shared" si="513"/>
        <v>0</v>
      </c>
      <c r="DR152" s="238"/>
      <c r="DS152" s="239">
        <f t="shared" si="514"/>
        <v>0</v>
      </c>
      <c r="DT152" s="238"/>
      <c r="DU152" s="239">
        <f t="shared" si="515"/>
        <v>0</v>
      </c>
      <c r="DV152" s="238"/>
      <c r="DW152" s="239">
        <f t="shared" si="516"/>
        <v>0</v>
      </c>
      <c r="DX152" s="238"/>
      <c r="DY152" s="239">
        <f t="shared" si="517"/>
        <v>0</v>
      </c>
      <c r="DZ152" s="238"/>
      <c r="EA152" s="239">
        <f t="shared" si="518"/>
        <v>0</v>
      </c>
      <c r="EB152" s="238"/>
      <c r="EC152" s="239">
        <f t="shared" si="519"/>
        <v>0</v>
      </c>
      <c r="ED152" s="238"/>
      <c r="EE152" s="239">
        <f t="shared" si="520"/>
        <v>0</v>
      </c>
      <c r="EF152" s="240">
        <f t="shared" si="521"/>
        <v>0</v>
      </c>
      <c r="EG152" s="239">
        <f t="shared" si="521"/>
        <v>0</v>
      </c>
    </row>
    <row r="153" spans="1:137" ht="19.8">
      <c r="A153" s="7">
        <v>122</v>
      </c>
      <c r="B153" s="8" t="s">
        <v>107</v>
      </c>
      <c r="C153" s="8" t="s">
        <v>11</v>
      </c>
      <c r="D153" s="7">
        <f t="shared" si="454"/>
        <v>2</v>
      </c>
      <c r="E153" s="7">
        <v>0.7</v>
      </c>
      <c r="F153" s="7" t="s">
        <v>12</v>
      </c>
      <c r="G153" s="7">
        <v>5200</v>
      </c>
      <c r="H153" s="9">
        <v>7402</v>
      </c>
      <c r="I153" s="10">
        <f t="shared" si="455"/>
        <v>5181.3999999999996</v>
      </c>
      <c r="J153" s="9">
        <v>11055</v>
      </c>
      <c r="K153" s="10">
        <f t="shared" si="456"/>
        <v>7738.4999999999991</v>
      </c>
      <c r="L153" s="9">
        <v>11648</v>
      </c>
      <c r="M153" s="10">
        <f t="shared" si="457"/>
        <v>8153.5999999999995</v>
      </c>
      <c r="N153" s="9">
        <v>12520</v>
      </c>
      <c r="O153" s="10">
        <f t="shared" si="458"/>
        <v>8764</v>
      </c>
      <c r="P153" s="9">
        <v>12320</v>
      </c>
      <c r="Q153" s="10">
        <f t="shared" si="459"/>
        <v>8624</v>
      </c>
      <c r="R153" s="9">
        <v>10488</v>
      </c>
      <c r="S153" s="10">
        <f t="shared" si="460"/>
        <v>7341.5999999999995</v>
      </c>
      <c r="T153" s="9">
        <v>9390</v>
      </c>
      <c r="U153" s="10">
        <f t="shared" si="461"/>
        <v>6573</v>
      </c>
      <c r="V153" s="9">
        <v>13776</v>
      </c>
      <c r="W153" s="10">
        <f t="shared" si="462"/>
        <v>9643.1999999999989</v>
      </c>
      <c r="X153" s="9">
        <v>4693</v>
      </c>
      <c r="Y153" s="10">
        <f t="shared" si="463"/>
        <v>3285.1</v>
      </c>
      <c r="Z153" s="9">
        <v>7533</v>
      </c>
      <c r="AA153" s="10">
        <f t="shared" si="464"/>
        <v>5273.0999999999995</v>
      </c>
      <c r="AB153" s="9">
        <v>8850</v>
      </c>
      <c r="AC153" s="10">
        <f t="shared" si="465"/>
        <v>6195</v>
      </c>
      <c r="AD153" s="9">
        <v>9882</v>
      </c>
      <c r="AE153" s="10">
        <f t="shared" si="466"/>
        <v>6917.4</v>
      </c>
      <c r="AF153" s="11">
        <f t="shared" si="467"/>
        <v>119557</v>
      </c>
      <c r="AG153" s="12">
        <f t="shared" si="468"/>
        <v>83689.899999999994</v>
      </c>
      <c r="AH153" s="9">
        <v>9662</v>
      </c>
      <c r="AI153" s="10">
        <f t="shared" si="469"/>
        <v>6763.4</v>
      </c>
      <c r="AJ153" s="9">
        <v>6552</v>
      </c>
      <c r="AK153" s="10">
        <f t="shared" si="470"/>
        <v>4586.3999999999996</v>
      </c>
      <c r="AL153" s="9">
        <v>9452</v>
      </c>
      <c r="AM153" s="10">
        <f t="shared" si="471"/>
        <v>6616.4</v>
      </c>
      <c r="AN153" s="9">
        <v>6922</v>
      </c>
      <c r="AO153" s="10">
        <f t="shared" si="472"/>
        <v>4845.3999999999996</v>
      </c>
      <c r="AP153" s="9">
        <v>8922</v>
      </c>
      <c r="AQ153" s="10">
        <f t="shared" si="473"/>
        <v>6245.4</v>
      </c>
      <c r="AR153" s="9">
        <v>6258</v>
      </c>
      <c r="AS153" s="10">
        <f t="shared" si="474"/>
        <v>4380.5999999999995</v>
      </c>
      <c r="AT153" s="9">
        <v>5916</v>
      </c>
      <c r="AU153" s="10">
        <f t="shared" si="475"/>
        <v>4141.2</v>
      </c>
      <c r="AV153" s="9">
        <v>6037</v>
      </c>
      <c r="AW153" s="10">
        <f t="shared" si="476"/>
        <v>4225.8999999999996</v>
      </c>
      <c r="AX153" s="9">
        <v>6241</v>
      </c>
      <c r="AY153" s="10">
        <f t="shared" si="477"/>
        <v>4368.7</v>
      </c>
      <c r="AZ153" s="9">
        <v>6434</v>
      </c>
      <c r="BA153" s="10">
        <f t="shared" si="478"/>
        <v>4503.7999999999993</v>
      </c>
      <c r="BB153" s="9">
        <v>5255</v>
      </c>
      <c r="BC153" s="10">
        <f t="shared" si="479"/>
        <v>3678.4999999999995</v>
      </c>
      <c r="BD153" s="9">
        <v>5500</v>
      </c>
      <c r="BE153" s="10">
        <f t="shared" si="480"/>
        <v>3849.9999999999995</v>
      </c>
      <c r="BF153" s="11">
        <f t="shared" si="481"/>
        <v>83151</v>
      </c>
      <c r="BG153" s="12">
        <f t="shared" si="482"/>
        <v>58205.7</v>
      </c>
      <c r="BH153" s="13">
        <v>7632</v>
      </c>
      <c r="BI153" s="10">
        <f t="shared" si="483"/>
        <v>5342.4</v>
      </c>
      <c r="BJ153" s="13">
        <v>6530</v>
      </c>
      <c r="BK153" s="10">
        <f t="shared" si="484"/>
        <v>4571</v>
      </c>
      <c r="BL153" s="13">
        <v>9151</v>
      </c>
      <c r="BM153" s="10">
        <f t="shared" si="485"/>
        <v>6405.7</v>
      </c>
      <c r="BN153" s="13">
        <v>1481</v>
      </c>
      <c r="BO153" s="10">
        <f t="shared" si="486"/>
        <v>1036.7</v>
      </c>
      <c r="BP153" s="13">
        <v>2415</v>
      </c>
      <c r="BQ153" s="10">
        <f t="shared" si="487"/>
        <v>1690.5</v>
      </c>
      <c r="BR153" s="13">
        <v>2415</v>
      </c>
      <c r="BS153" s="10">
        <f t="shared" si="488"/>
        <v>1690.5</v>
      </c>
      <c r="BT153" s="13">
        <v>2162</v>
      </c>
      <c r="BU153" s="10">
        <f t="shared" si="489"/>
        <v>1513.3999999999999</v>
      </c>
      <c r="BV153" s="13">
        <v>2054</v>
      </c>
      <c r="BW153" s="10">
        <f t="shared" si="490"/>
        <v>1437.8</v>
      </c>
      <c r="BX153" s="13">
        <v>2387</v>
      </c>
      <c r="BY153" s="10">
        <f t="shared" si="491"/>
        <v>1670.8999999999999</v>
      </c>
      <c r="BZ153" s="13">
        <v>1865</v>
      </c>
      <c r="CA153" s="10">
        <f t="shared" si="492"/>
        <v>1305.5</v>
      </c>
      <c r="CB153" s="13">
        <v>2262</v>
      </c>
      <c r="CC153" s="10">
        <f t="shared" si="493"/>
        <v>1583.3999999999999</v>
      </c>
      <c r="CD153" s="13">
        <v>1354</v>
      </c>
      <c r="CE153" s="10">
        <f t="shared" si="494"/>
        <v>947.8</v>
      </c>
      <c r="CF153" s="11">
        <f t="shared" si="495"/>
        <v>41708</v>
      </c>
      <c r="CG153" s="12">
        <f t="shared" si="496"/>
        <v>29195.599999999999</v>
      </c>
      <c r="CH153" s="15">
        <v>974</v>
      </c>
      <c r="CI153" s="10">
        <f t="shared" si="497"/>
        <v>681.8</v>
      </c>
      <c r="CJ153" s="15">
        <v>1257</v>
      </c>
      <c r="CK153" s="10">
        <f t="shared" si="498"/>
        <v>879.9</v>
      </c>
      <c r="CL153" s="15">
        <v>984</v>
      </c>
      <c r="CM153" s="10">
        <f t="shared" si="499"/>
        <v>688.8</v>
      </c>
      <c r="CN153" s="15">
        <v>732</v>
      </c>
      <c r="CO153" s="10">
        <f t="shared" si="500"/>
        <v>512.4</v>
      </c>
      <c r="CP153" s="15">
        <v>884</v>
      </c>
      <c r="CQ153" s="10">
        <f t="shared" si="501"/>
        <v>618.79999999999995</v>
      </c>
      <c r="CR153" s="15">
        <v>740</v>
      </c>
      <c r="CS153" s="10">
        <f t="shared" si="502"/>
        <v>518</v>
      </c>
      <c r="CT153" s="15">
        <v>1057</v>
      </c>
      <c r="CU153" s="10">
        <f t="shared" si="503"/>
        <v>739.9</v>
      </c>
      <c r="CV153" s="15">
        <v>926</v>
      </c>
      <c r="CW153" s="10">
        <f t="shared" si="504"/>
        <v>648.19999999999993</v>
      </c>
      <c r="CX153" s="15">
        <v>842</v>
      </c>
      <c r="CY153" s="10">
        <f t="shared" si="505"/>
        <v>589.4</v>
      </c>
      <c r="CZ153" s="15">
        <v>828</v>
      </c>
      <c r="DA153" s="10">
        <f t="shared" si="506"/>
        <v>579.59999999999991</v>
      </c>
      <c r="DB153" s="15">
        <v>668</v>
      </c>
      <c r="DC153" s="10">
        <f t="shared" si="507"/>
        <v>467.59999999999997</v>
      </c>
      <c r="DD153" s="15">
        <v>721</v>
      </c>
      <c r="DE153" s="10">
        <f t="shared" si="507"/>
        <v>504.7</v>
      </c>
      <c r="DF153" s="231">
        <f t="shared" si="522"/>
        <v>10613</v>
      </c>
      <c r="DG153" s="230">
        <f t="shared" si="508"/>
        <v>7429.0999999999995</v>
      </c>
      <c r="DH153" s="235">
        <v>221</v>
      </c>
      <c r="DI153" s="241">
        <f t="shared" si="509"/>
        <v>154.69999999999999</v>
      </c>
      <c r="DJ153" s="237">
        <v>630</v>
      </c>
      <c r="DK153" s="241">
        <f t="shared" si="510"/>
        <v>441</v>
      </c>
      <c r="DL153" s="238"/>
      <c r="DM153" s="239">
        <f t="shared" si="511"/>
        <v>0</v>
      </c>
      <c r="DN153" s="238"/>
      <c r="DO153" s="239">
        <f t="shared" si="512"/>
        <v>0</v>
      </c>
      <c r="DP153" s="238"/>
      <c r="DQ153" s="239">
        <f t="shared" si="513"/>
        <v>0</v>
      </c>
      <c r="DR153" s="238"/>
      <c r="DS153" s="239">
        <f t="shared" si="514"/>
        <v>0</v>
      </c>
      <c r="DT153" s="238"/>
      <c r="DU153" s="239">
        <f t="shared" si="515"/>
        <v>0</v>
      </c>
      <c r="DV153" s="238"/>
      <c r="DW153" s="239">
        <f t="shared" si="516"/>
        <v>0</v>
      </c>
      <c r="DX153" s="238"/>
      <c r="DY153" s="239">
        <f t="shared" si="517"/>
        <v>0</v>
      </c>
      <c r="DZ153" s="238"/>
      <c r="EA153" s="239">
        <f t="shared" si="518"/>
        <v>0</v>
      </c>
      <c r="EB153" s="238"/>
      <c r="EC153" s="239">
        <f t="shared" si="519"/>
        <v>0</v>
      </c>
      <c r="ED153" s="238"/>
      <c r="EE153" s="239">
        <f t="shared" si="520"/>
        <v>0</v>
      </c>
      <c r="EF153" s="240">
        <f t="shared" si="521"/>
        <v>851</v>
      </c>
      <c r="EG153" s="239">
        <f t="shared" si="521"/>
        <v>595.70000000000005</v>
      </c>
    </row>
    <row r="154" spans="1:137" ht="19.8">
      <c r="A154" s="7">
        <v>123</v>
      </c>
      <c r="B154" s="8" t="s">
        <v>108</v>
      </c>
      <c r="C154" s="8" t="s">
        <v>11</v>
      </c>
      <c r="D154" s="7">
        <f t="shared" si="454"/>
        <v>1</v>
      </c>
      <c r="E154" s="7">
        <v>0.35</v>
      </c>
      <c r="F154" s="7" t="s">
        <v>20</v>
      </c>
      <c r="G154" s="7">
        <v>2600</v>
      </c>
      <c r="H154" s="9">
        <v>10676</v>
      </c>
      <c r="I154" s="10">
        <f t="shared" si="455"/>
        <v>3736.6</v>
      </c>
      <c r="J154" s="9">
        <v>22944</v>
      </c>
      <c r="K154" s="10">
        <f t="shared" si="456"/>
        <v>8030.4</v>
      </c>
      <c r="L154" s="9">
        <v>25390</v>
      </c>
      <c r="M154" s="10">
        <f t="shared" si="457"/>
        <v>8886.5</v>
      </c>
      <c r="N154" s="9">
        <v>23640</v>
      </c>
      <c r="O154" s="10">
        <f t="shared" si="458"/>
        <v>8274</v>
      </c>
      <c r="P154" s="9">
        <v>25414</v>
      </c>
      <c r="Q154" s="10">
        <f t="shared" si="459"/>
        <v>8894.9</v>
      </c>
      <c r="R154" s="9">
        <v>24173</v>
      </c>
      <c r="S154" s="10">
        <f t="shared" si="460"/>
        <v>8460.5499999999993</v>
      </c>
      <c r="T154" s="9">
        <v>23254</v>
      </c>
      <c r="U154" s="10">
        <f t="shared" si="461"/>
        <v>8138.9</v>
      </c>
      <c r="V154" s="9">
        <v>34164</v>
      </c>
      <c r="W154" s="10">
        <f t="shared" si="462"/>
        <v>11957.4</v>
      </c>
      <c r="X154" s="9">
        <v>11580</v>
      </c>
      <c r="Y154" s="10">
        <f t="shared" si="463"/>
        <v>4052.9999999999995</v>
      </c>
      <c r="Z154" s="9">
        <v>16810</v>
      </c>
      <c r="AA154" s="10">
        <f t="shared" si="464"/>
        <v>5883.5</v>
      </c>
      <c r="AB154" s="9">
        <v>23152</v>
      </c>
      <c r="AC154" s="10">
        <f t="shared" si="465"/>
        <v>8103.2</v>
      </c>
      <c r="AD154" s="9">
        <v>26454</v>
      </c>
      <c r="AE154" s="10">
        <f t="shared" si="466"/>
        <v>9258.9</v>
      </c>
      <c r="AF154" s="11">
        <f t="shared" si="467"/>
        <v>267651</v>
      </c>
      <c r="AG154" s="12">
        <f t="shared" si="468"/>
        <v>93677.849999999991</v>
      </c>
      <c r="AH154" s="9">
        <v>25907</v>
      </c>
      <c r="AI154" s="10">
        <f t="shared" si="469"/>
        <v>9067.4499999999989</v>
      </c>
      <c r="AJ154" s="9">
        <v>19144</v>
      </c>
      <c r="AK154" s="10">
        <f t="shared" si="470"/>
        <v>6700.4</v>
      </c>
      <c r="AL154" s="9">
        <v>26930</v>
      </c>
      <c r="AM154" s="10">
        <f t="shared" si="471"/>
        <v>9425.5</v>
      </c>
      <c r="AN154" s="9">
        <v>20023</v>
      </c>
      <c r="AO154" s="10">
        <f t="shared" si="472"/>
        <v>7008.0499999999993</v>
      </c>
      <c r="AP154" s="9">
        <v>28732</v>
      </c>
      <c r="AQ154" s="10">
        <f t="shared" si="473"/>
        <v>10056.199999999999</v>
      </c>
      <c r="AR154" s="9">
        <v>21905</v>
      </c>
      <c r="AS154" s="10">
        <f t="shared" si="474"/>
        <v>7666.7499999999991</v>
      </c>
      <c r="AT154" s="9">
        <v>23886</v>
      </c>
      <c r="AU154" s="10">
        <f t="shared" si="475"/>
        <v>8360.1</v>
      </c>
      <c r="AV154" s="9">
        <v>24116</v>
      </c>
      <c r="AW154" s="10">
        <f t="shared" si="476"/>
        <v>8440.6</v>
      </c>
      <c r="AX154" s="9">
        <v>26951</v>
      </c>
      <c r="AY154" s="10">
        <f t="shared" si="477"/>
        <v>9432.8499999999985</v>
      </c>
      <c r="AZ154" s="9">
        <v>26371</v>
      </c>
      <c r="BA154" s="10">
        <f t="shared" si="478"/>
        <v>9229.8499999999985</v>
      </c>
      <c r="BB154" s="9">
        <v>16907</v>
      </c>
      <c r="BC154" s="10">
        <f t="shared" si="479"/>
        <v>5917.45</v>
      </c>
      <c r="BD154" s="9">
        <v>16940</v>
      </c>
      <c r="BE154" s="10">
        <f t="shared" si="480"/>
        <v>5929</v>
      </c>
      <c r="BF154" s="11">
        <f t="shared" si="481"/>
        <v>277812</v>
      </c>
      <c r="BG154" s="12">
        <f t="shared" si="482"/>
        <v>97234.2</v>
      </c>
      <c r="BH154" s="13">
        <v>20807</v>
      </c>
      <c r="BI154" s="10">
        <f t="shared" si="483"/>
        <v>7282.45</v>
      </c>
      <c r="BJ154" s="13">
        <v>18974</v>
      </c>
      <c r="BK154" s="10">
        <f t="shared" si="484"/>
        <v>6640.9</v>
      </c>
      <c r="BL154" s="13">
        <v>26022</v>
      </c>
      <c r="BM154" s="10">
        <f t="shared" si="485"/>
        <v>9107.6999999999989</v>
      </c>
      <c r="BN154" s="13">
        <v>4244</v>
      </c>
      <c r="BO154" s="10">
        <f t="shared" si="486"/>
        <v>1485.3999999999999</v>
      </c>
      <c r="BP154" s="13">
        <v>4869</v>
      </c>
      <c r="BQ154" s="10">
        <f t="shared" si="487"/>
        <v>1704.1499999999999</v>
      </c>
      <c r="BR154" s="13">
        <v>4099</v>
      </c>
      <c r="BS154" s="10">
        <f t="shared" si="488"/>
        <v>1434.6499999999999</v>
      </c>
      <c r="BT154" s="13">
        <v>4195</v>
      </c>
      <c r="BU154" s="10">
        <f t="shared" si="489"/>
        <v>1468.25</v>
      </c>
      <c r="BV154" s="13">
        <v>4245</v>
      </c>
      <c r="BW154" s="10">
        <f t="shared" si="490"/>
        <v>1485.75</v>
      </c>
      <c r="BX154" s="13">
        <v>3857</v>
      </c>
      <c r="BY154" s="10">
        <f t="shared" si="491"/>
        <v>1349.9499999999998</v>
      </c>
      <c r="BZ154" s="13">
        <v>3481</v>
      </c>
      <c r="CA154" s="10">
        <f t="shared" si="492"/>
        <v>1218.3499999999999</v>
      </c>
      <c r="CB154" s="13">
        <v>3768</v>
      </c>
      <c r="CC154" s="10">
        <f t="shared" si="493"/>
        <v>1318.8</v>
      </c>
      <c r="CD154" s="13">
        <v>2045</v>
      </c>
      <c r="CE154" s="10">
        <f t="shared" si="494"/>
        <v>715.75</v>
      </c>
      <c r="CF154" s="11">
        <f t="shared" si="495"/>
        <v>100606</v>
      </c>
      <c r="CG154" s="12">
        <f t="shared" si="496"/>
        <v>35212.1</v>
      </c>
      <c r="CH154" s="15">
        <v>3434</v>
      </c>
      <c r="CI154" s="10">
        <f t="shared" si="497"/>
        <v>1201.8999999999999</v>
      </c>
      <c r="CJ154" s="15">
        <v>2289</v>
      </c>
      <c r="CK154" s="10">
        <f t="shared" si="498"/>
        <v>801.15</v>
      </c>
      <c r="CL154" s="15">
        <v>2835</v>
      </c>
      <c r="CM154" s="10">
        <f t="shared" si="499"/>
        <v>992.24999999999989</v>
      </c>
      <c r="CN154" s="15">
        <v>1442</v>
      </c>
      <c r="CO154" s="10">
        <f t="shared" si="500"/>
        <v>504.7</v>
      </c>
      <c r="CP154" s="15">
        <v>2280</v>
      </c>
      <c r="CQ154" s="10">
        <f t="shared" si="501"/>
        <v>798</v>
      </c>
      <c r="CR154" s="15">
        <v>1769</v>
      </c>
      <c r="CS154" s="10">
        <f t="shared" si="502"/>
        <v>619.15</v>
      </c>
      <c r="CT154" s="15">
        <v>1222</v>
      </c>
      <c r="CU154" s="10">
        <f t="shared" si="503"/>
        <v>427.7</v>
      </c>
      <c r="CV154" s="15">
        <v>1263</v>
      </c>
      <c r="CW154" s="10">
        <f t="shared" si="504"/>
        <v>442.04999999999995</v>
      </c>
      <c r="CX154" s="15">
        <v>352</v>
      </c>
      <c r="CY154" s="10">
        <f t="shared" si="505"/>
        <v>123.19999999999999</v>
      </c>
      <c r="CZ154" s="15">
        <v>354</v>
      </c>
      <c r="DA154" s="10">
        <f t="shared" si="506"/>
        <v>123.89999999999999</v>
      </c>
      <c r="DB154" s="15">
        <v>125</v>
      </c>
      <c r="DC154" s="10">
        <f t="shared" si="507"/>
        <v>43.75</v>
      </c>
      <c r="DD154" s="15">
        <v>2010</v>
      </c>
      <c r="DE154" s="10">
        <f t="shared" si="507"/>
        <v>703.5</v>
      </c>
      <c r="DF154" s="231">
        <f t="shared" si="522"/>
        <v>19375</v>
      </c>
      <c r="DG154" s="230">
        <f t="shared" si="508"/>
        <v>6781.25</v>
      </c>
      <c r="DH154" s="235">
        <v>1535</v>
      </c>
      <c r="DI154" s="241">
        <f t="shared" si="509"/>
        <v>537.25</v>
      </c>
      <c r="DJ154" s="237">
        <v>592</v>
      </c>
      <c r="DK154" s="241">
        <f t="shared" si="510"/>
        <v>207.2</v>
      </c>
      <c r="DL154" s="238"/>
      <c r="DM154" s="239">
        <f t="shared" si="511"/>
        <v>0</v>
      </c>
      <c r="DN154" s="238"/>
      <c r="DO154" s="239">
        <f t="shared" si="512"/>
        <v>0</v>
      </c>
      <c r="DP154" s="238"/>
      <c r="DQ154" s="239">
        <f t="shared" si="513"/>
        <v>0</v>
      </c>
      <c r="DR154" s="238"/>
      <c r="DS154" s="239">
        <f t="shared" si="514"/>
        <v>0</v>
      </c>
      <c r="DT154" s="238"/>
      <c r="DU154" s="239">
        <f t="shared" si="515"/>
        <v>0</v>
      </c>
      <c r="DV154" s="238"/>
      <c r="DW154" s="239">
        <f t="shared" si="516"/>
        <v>0</v>
      </c>
      <c r="DX154" s="238"/>
      <c r="DY154" s="239">
        <f t="shared" si="517"/>
        <v>0</v>
      </c>
      <c r="DZ154" s="238"/>
      <c r="EA154" s="239">
        <f t="shared" si="518"/>
        <v>0</v>
      </c>
      <c r="EB154" s="238"/>
      <c r="EC154" s="239">
        <f t="shared" si="519"/>
        <v>0</v>
      </c>
      <c r="ED154" s="238"/>
      <c r="EE154" s="239">
        <f t="shared" si="520"/>
        <v>0</v>
      </c>
      <c r="EF154" s="240">
        <f t="shared" si="521"/>
        <v>2127</v>
      </c>
      <c r="EG154" s="239">
        <f t="shared" si="521"/>
        <v>744.45</v>
      </c>
    </row>
    <row r="155" spans="1:137" ht="19.8">
      <c r="A155" s="7">
        <v>124</v>
      </c>
      <c r="B155" s="8" t="s">
        <v>109</v>
      </c>
      <c r="C155" s="8" t="s">
        <v>11</v>
      </c>
      <c r="D155" s="7">
        <f t="shared" si="454"/>
        <v>3</v>
      </c>
      <c r="E155" s="7">
        <v>0.17499999999999999</v>
      </c>
      <c r="F155" s="7" t="s">
        <v>106</v>
      </c>
      <c r="G155" s="7">
        <v>1450</v>
      </c>
      <c r="H155" s="9">
        <v>3168</v>
      </c>
      <c r="I155" s="10">
        <f t="shared" si="455"/>
        <v>554.4</v>
      </c>
      <c r="J155" s="9">
        <v>4733</v>
      </c>
      <c r="K155" s="10">
        <f t="shared" si="456"/>
        <v>828.27499999999998</v>
      </c>
      <c r="L155" s="9">
        <v>5359</v>
      </c>
      <c r="M155" s="10">
        <f t="shared" si="457"/>
        <v>937.82499999999993</v>
      </c>
      <c r="N155" s="9">
        <v>6037</v>
      </c>
      <c r="O155" s="10">
        <f t="shared" si="458"/>
        <v>1056.4749999999999</v>
      </c>
      <c r="P155" s="9">
        <v>8314</v>
      </c>
      <c r="Q155" s="10">
        <f t="shared" si="459"/>
        <v>1454.9499999999998</v>
      </c>
      <c r="R155" s="9">
        <v>9693</v>
      </c>
      <c r="S155" s="10">
        <f t="shared" si="460"/>
        <v>1696.2749999999999</v>
      </c>
      <c r="T155" s="9">
        <v>7736</v>
      </c>
      <c r="U155" s="10">
        <f t="shared" si="461"/>
        <v>1353.8</v>
      </c>
      <c r="V155" s="9">
        <v>9341</v>
      </c>
      <c r="W155" s="10">
        <f t="shared" si="462"/>
        <v>1634.675</v>
      </c>
      <c r="X155" s="9">
        <v>551</v>
      </c>
      <c r="Y155" s="10">
        <f t="shared" si="463"/>
        <v>96.424999999999997</v>
      </c>
      <c r="Z155" s="9">
        <v>7484</v>
      </c>
      <c r="AA155" s="10">
        <f t="shared" si="464"/>
        <v>1309.6999999999998</v>
      </c>
      <c r="AB155" s="9">
        <v>6880</v>
      </c>
      <c r="AC155" s="10">
        <f t="shared" si="465"/>
        <v>1204</v>
      </c>
      <c r="AD155" s="9">
        <v>8846</v>
      </c>
      <c r="AE155" s="10">
        <f t="shared" si="466"/>
        <v>1548.05</v>
      </c>
      <c r="AF155" s="11">
        <f t="shared" si="467"/>
        <v>78142</v>
      </c>
      <c r="AG155" s="12">
        <f t="shared" si="468"/>
        <v>13674.849999999999</v>
      </c>
      <c r="AH155" s="9">
        <v>7254</v>
      </c>
      <c r="AI155" s="10">
        <f t="shared" si="469"/>
        <v>1269.4499999999998</v>
      </c>
      <c r="AJ155" s="9">
        <v>3996</v>
      </c>
      <c r="AK155" s="10">
        <f t="shared" si="470"/>
        <v>699.3</v>
      </c>
      <c r="AL155" s="9">
        <v>8038</v>
      </c>
      <c r="AM155" s="10">
        <f t="shared" si="471"/>
        <v>1406.6499999999999</v>
      </c>
      <c r="AN155" s="9">
        <v>5730</v>
      </c>
      <c r="AO155" s="10">
        <f t="shared" si="472"/>
        <v>1002.7499999999999</v>
      </c>
      <c r="AP155" s="9">
        <v>8728</v>
      </c>
      <c r="AQ155" s="10">
        <f t="shared" si="473"/>
        <v>1527.3999999999999</v>
      </c>
      <c r="AR155" s="9">
        <v>5694</v>
      </c>
      <c r="AS155" s="10">
        <f t="shared" si="474"/>
        <v>996.44999999999993</v>
      </c>
      <c r="AT155" s="9">
        <v>6941</v>
      </c>
      <c r="AU155" s="10">
        <f t="shared" si="475"/>
        <v>1214.675</v>
      </c>
      <c r="AV155" s="9">
        <v>6251</v>
      </c>
      <c r="AW155" s="10">
        <f t="shared" si="476"/>
        <v>1093.925</v>
      </c>
      <c r="AX155" s="9">
        <v>6584</v>
      </c>
      <c r="AY155" s="10">
        <f t="shared" si="477"/>
        <v>1152.1999999999998</v>
      </c>
      <c r="AZ155" s="9">
        <v>7414</v>
      </c>
      <c r="BA155" s="10">
        <f t="shared" si="478"/>
        <v>1297.4499999999998</v>
      </c>
      <c r="BB155" s="9">
        <v>5779</v>
      </c>
      <c r="BC155" s="10">
        <f t="shared" si="479"/>
        <v>1011.3249999999999</v>
      </c>
      <c r="BD155" s="9">
        <v>6799</v>
      </c>
      <c r="BE155" s="10">
        <f t="shared" si="480"/>
        <v>1189.8249999999998</v>
      </c>
      <c r="BF155" s="11">
        <f t="shared" si="481"/>
        <v>79208</v>
      </c>
      <c r="BG155" s="12">
        <f t="shared" si="482"/>
        <v>13861.4</v>
      </c>
      <c r="BH155" s="13">
        <v>9557</v>
      </c>
      <c r="BI155" s="10">
        <f t="shared" si="483"/>
        <v>1672.4749999999999</v>
      </c>
      <c r="BJ155" s="13">
        <v>9813</v>
      </c>
      <c r="BK155" s="10">
        <f t="shared" si="484"/>
        <v>1717.2749999999999</v>
      </c>
      <c r="BL155" s="13">
        <v>10578</v>
      </c>
      <c r="BM155" s="10">
        <f t="shared" si="485"/>
        <v>1851.1499999999999</v>
      </c>
      <c r="BN155" s="13">
        <v>2770</v>
      </c>
      <c r="BO155" s="10">
        <f t="shared" si="486"/>
        <v>484.74999999999994</v>
      </c>
      <c r="BP155" s="13">
        <v>3749</v>
      </c>
      <c r="BQ155" s="10">
        <f t="shared" si="487"/>
        <v>656.07499999999993</v>
      </c>
      <c r="BR155" s="13">
        <v>3179</v>
      </c>
      <c r="BS155" s="10">
        <f t="shared" si="488"/>
        <v>556.32499999999993</v>
      </c>
      <c r="BT155" s="13">
        <v>3132</v>
      </c>
      <c r="BU155" s="10">
        <f t="shared" si="489"/>
        <v>548.09999999999991</v>
      </c>
      <c r="BV155" s="13">
        <v>2529</v>
      </c>
      <c r="BW155" s="10">
        <f t="shared" si="490"/>
        <v>442.57499999999999</v>
      </c>
      <c r="BX155" s="13">
        <v>1678</v>
      </c>
      <c r="BY155" s="10">
        <f t="shared" si="491"/>
        <v>293.64999999999998</v>
      </c>
      <c r="BZ155" s="13">
        <v>1718</v>
      </c>
      <c r="CA155" s="10">
        <f t="shared" si="492"/>
        <v>300.64999999999998</v>
      </c>
      <c r="CB155" s="13">
        <v>475</v>
      </c>
      <c r="CC155" s="10">
        <f t="shared" si="493"/>
        <v>83.125</v>
      </c>
      <c r="CD155" s="13">
        <v>24</v>
      </c>
      <c r="CE155" s="10">
        <f t="shared" si="494"/>
        <v>4.1999999999999993</v>
      </c>
      <c r="CF155" s="11">
        <f t="shared" si="495"/>
        <v>49202</v>
      </c>
      <c r="CG155" s="12">
        <f t="shared" si="496"/>
        <v>8610.3499999999985</v>
      </c>
      <c r="CH155" s="15">
        <v>0</v>
      </c>
      <c r="CI155" s="10">
        <f t="shared" si="497"/>
        <v>0</v>
      </c>
      <c r="CJ155" s="15">
        <v>755</v>
      </c>
      <c r="CK155" s="10">
        <f t="shared" si="498"/>
        <v>132.125</v>
      </c>
      <c r="CL155" s="15">
        <v>695</v>
      </c>
      <c r="CM155" s="10">
        <f t="shared" si="499"/>
        <v>121.62499999999999</v>
      </c>
      <c r="CN155" s="15"/>
      <c r="CO155" s="10">
        <f t="shared" si="500"/>
        <v>0</v>
      </c>
      <c r="CP155" s="15">
        <v>86</v>
      </c>
      <c r="CQ155" s="10">
        <f t="shared" si="501"/>
        <v>15.049999999999999</v>
      </c>
      <c r="CR155" s="15">
        <v>72</v>
      </c>
      <c r="CS155" s="10">
        <f t="shared" si="502"/>
        <v>12.6</v>
      </c>
      <c r="CT155" s="15">
        <v>431</v>
      </c>
      <c r="CU155" s="10">
        <f t="shared" si="503"/>
        <v>75.424999999999997</v>
      </c>
      <c r="CV155" s="15">
        <v>215</v>
      </c>
      <c r="CW155" s="10">
        <f t="shared" si="504"/>
        <v>37.625</v>
      </c>
      <c r="CX155" s="15"/>
      <c r="CY155" s="10">
        <f t="shared" si="505"/>
        <v>0</v>
      </c>
      <c r="CZ155" s="15"/>
      <c r="DA155" s="10">
        <f t="shared" si="506"/>
        <v>0</v>
      </c>
      <c r="DB155" s="15"/>
      <c r="DC155" s="10">
        <f t="shared" si="507"/>
        <v>0</v>
      </c>
      <c r="DD155" s="15"/>
      <c r="DE155" s="10">
        <f t="shared" si="507"/>
        <v>0</v>
      </c>
      <c r="DF155" s="231">
        <f t="shared" si="522"/>
        <v>2254</v>
      </c>
      <c r="DG155" s="230">
        <f t="shared" si="508"/>
        <v>394.45</v>
      </c>
      <c r="DH155" s="235"/>
      <c r="DI155" s="241">
        <f t="shared" si="509"/>
        <v>0</v>
      </c>
      <c r="DJ155" s="237"/>
      <c r="DK155" s="241">
        <f t="shared" si="510"/>
        <v>0</v>
      </c>
      <c r="DL155" s="238"/>
      <c r="DM155" s="239">
        <f t="shared" si="511"/>
        <v>0</v>
      </c>
      <c r="DN155" s="238"/>
      <c r="DO155" s="239">
        <f t="shared" si="512"/>
        <v>0</v>
      </c>
      <c r="DP155" s="238"/>
      <c r="DQ155" s="239">
        <f t="shared" si="513"/>
        <v>0</v>
      </c>
      <c r="DR155" s="238"/>
      <c r="DS155" s="239">
        <f t="shared" si="514"/>
        <v>0</v>
      </c>
      <c r="DT155" s="238"/>
      <c r="DU155" s="239">
        <f t="shared" si="515"/>
        <v>0</v>
      </c>
      <c r="DV155" s="238"/>
      <c r="DW155" s="239">
        <f t="shared" si="516"/>
        <v>0</v>
      </c>
      <c r="DX155" s="238"/>
      <c r="DY155" s="239">
        <f t="shared" si="517"/>
        <v>0</v>
      </c>
      <c r="DZ155" s="238"/>
      <c r="EA155" s="239">
        <f t="shared" si="518"/>
        <v>0</v>
      </c>
      <c r="EB155" s="238"/>
      <c r="EC155" s="239">
        <f t="shared" si="519"/>
        <v>0</v>
      </c>
      <c r="ED155" s="238"/>
      <c r="EE155" s="239">
        <f t="shared" si="520"/>
        <v>0</v>
      </c>
      <c r="EF155" s="240">
        <f t="shared" si="521"/>
        <v>0</v>
      </c>
      <c r="EG155" s="239">
        <f t="shared" si="521"/>
        <v>0</v>
      </c>
    </row>
    <row r="156" spans="1:137" ht="19.8">
      <c r="A156" s="7">
        <v>125</v>
      </c>
      <c r="B156" s="8" t="s">
        <v>110</v>
      </c>
      <c r="C156" s="8" t="s">
        <v>11</v>
      </c>
      <c r="D156" s="7">
        <f t="shared" si="454"/>
        <v>7</v>
      </c>
      <c r="E156" s="7">
        <v>0.7</v>
      </c>
      <c r="F156" s="7" t="s">
        <v>12</v>
      </c>
      <c r="G156" s="7">
        <v>1650</v>
      </c>
      <c r="H156" s="9">
        <v>516</v>
      </c>
      <c r="I156" s="10">
        <f t="shared" si="455"/>
        <v>361.2</v>
      </c>
      <c r="J156" s="9">
        <v>1130</v>
      </c>
      <c r="K156" s="10">
        <f t="shared" si="456"/>
        <v>791</v>
      </c>
      <c r="L156" s="9">
        <v>1104</v>
      </c>
      <c r="M156" s="10">
        <f t="shared" si="457"/>
        <v>772.8</v>
      </c>
      <c r="N156" s="9">
        <v>1296</v>
      </c>
      <c r="O156" s="10">
        <f t="shared" si="458"/>
        <v>907.19999999999993</v>
      </c>
      <c r="P156" s="9">
        <v>912</v>
      </c>
      <c r="Q156" s="10">
        <f t="shared" si="459"/>
        <v>638.4</v>
      </c>
      <c r="R156" s="9">
        <v>924</v>
      </c>
      <c r="S156" s="10">
        <f t="shared" si="460"/>
        <v>646.79999999999995</v>
      </c>
      <c r="T156" s="9">
        <v>360</v>
      </c>
      <c r="U156" s="10">
        <f t="shared" si="461"/>
        <v>251.99999999999997</v>
      </c>
      <c r="V156" s="9">
        <v>504</v>
      </c>
      <c r="W156" s="10">
        <f t="shared" si="462"/>
        <v>352.79999999999995</v>
      </c>
      <c r="X156" s="9">
        <v>132</v>
      </c>
      <c r="Y156" s="10">
        <f t="shared" si="463"/>
        <v>92.399999999999991</v>
      </c>
      <c r="Z156" s="9">
        <v>60</v>
      </c>
      <c r="AA156" s="10">
        <f t="shared" si="464"/>
        <v>42</v>
      </c>
      <c r="AB156" s="9"/>
      <c r="AC156" s="10">
        <f t="shared" si="465"/>
        <v>0</v>
      </c>
      <c r="AD156" s="9"/>
      <c r="AE156" s="10">
        <f t="shared" si="466"/>
        <v>0</v>
      </c>
      <c r="AF156" s="11">
        <f t="shared" si="467"/>
        <v>6938</v>
      </c>
      <c r="AG156" s="12">
        <f t="shared" si="468"/>
        <v>4856.5999999999995</v>
      </c>
      <c r="AH156" s="15"/>
      <c r="AI156" s="10">
        <f t="shared" si="469"/>
        <v>0</v>
      </c>
      <c r="AJ156" s="15"/>
      <c r="AK156" s="10">
        <f t="shared" si="470"/>
        <v>0</v>
      </c>
      <c r="AL156" s="15"/>
      <c r="AM156" s="10">
        <f t="shared" si="471"/>
        <v>0</v>
      </c>
      <c r="AN156" s="15"/>
      <c r="AO156" s="10">
        <f t="shared" si="472"/>
        <v>0</v>
      </c>
      <c r="AP156" s="15"/>
      <c r="AQ156" s="10">
        <f t="shared" si="473"/>
        <v>0</v>
      </c>
      <c r="AR156" s="15"/>
      <c r="AS156" s="10">
        <f t="shared" si="474"/>
        <v>0</v>
      </c>
      <c r="AT156" s="15"/>
      <c r="AU156" s="10">
        <f t="shared" si="475"/>
        <v>0</v>
      </c>
      <c r="AV156" s="15"/>
      <c r="AW156" s="10">
        <f t="shared" si="476"/>
        <v>0</v>
      </c>
      <c r="AX156" s="15"/>
      <c r="AY156" s="10">
        <f t="shared" si="477"/>
        <v>0</v>
      </c>
      <c r="AZ156" s="15"/>
      <c r="BA156" s="10">
        <f t="shared" si="478"/>
        <v>0</v>
      </c>
      <c r="BB156" s="15"/>
      <c r="BC156" s="10">
        <f t="shared" si="479"/>
        <v>0</v>
      </c>
      <c r="BD156" s="15"/>
      <c r="BE156" s="10">
        <f t="shared" si="480"/>
        <v>0</v>
      </c>
      <c r="BF156" s="11">
        <f t="shared" si="481"/>
        <v>0</v>
      </c>
      <c r="BG156" s="12">
        <f t="shared" si="482"/>
        <v>0</v>
      </c>
      <c r="BH156" s="15"/>
      <c r="BI156" s="10">
        <f t="shared" si="483"/>
        <v>0</v>
      </c>
      <c r="BJ156" s="15"/>
      <c r="BK156" s="10">
        <f t="shared" si="484"/>
        <v>0</v>
      </c>
      <c r="BL156" s="15"/>
      <c r="BM156" s="10">
        <f t="shared" si="485"/>
        <v>0</v>
      </c>
      <c r="BN156" s="15"/>
      <c r="BO156" s="10">
        <f t="shared" si="486"/>
        <v>0</v>
      </c>
      <c r="BP156" s="15"/>
      <c r="BQ156" s="10">
        <f t="shared" si="487"/>
        <v>0</v>
      </c>
      <c r="BR156" s="15"/>
      <c r="BS156" s="10">
        <f t="shared" si="488"/>
        <v>0</v>
      </c>
      <c r="BT156" s="15"/>
      <c r="BU156" s="10">
        <f t="shared" si="489"/>
        <v>0</v>
      </c>
      <c r="BV156" s="15"/>
      <c r="BW156" s="10">
        <f t="shared" si="490"/>
        <v>0</v>
      </c>
      <c r="BX156" s="15"/>
      <c r="BY156" s="10">
        <f t="shared" si="491"/>
        <v>0</v>
      </c>
      <c r="BZ156" s="15"/>
      <c r="CA156" s="10">
        <f t="shared" si="492"/>
        <v>0</v>
      </c>
      <c r="CB156" s="15"/>
      <c r="CC156" s="10">
        <f t="shared" si="493"/>
        <v>0</v>
      </c>
      <c r="CD156" s="15"/>
      <c r="CE156" s="10">
        <f t="shared" si="494"/>
        <v>0</v>
      </c>
      <c r="CF156" s="11">
        <f t="shared" si="495"/>
        <v>0</v>
      </c>
      <c r="CG156" s="12">
        <f t="shared" si="496"/>
        <v>0</v>
      </c>
      <c r="CH156" s="15"/>
      <c r="CI156" s="10">
        <f t="shared" si="497"/>
        <v>0</v>
      </c>
      <c r="CJ156" s="15"/>
      <c r="CK156" s="10">
        <f t="shared" si="498"/>
        <v>0</v>
      </c>
      <c r="CL156" s="15"/>
      <c r="CM156" s="10">
        <f t="shared" si="499"/>
        <v>0</v>
      </c>
      <c r="CN156" s="15"/>
      <c r="CO156" s="10">
        <f t="shared" si="500"/>
        <v>0</v>
      </c>
      <c r="CP156" s="15"/>
      <c r="CQ156" s="10">
        <f t="shared" si="501"/>
        <v>0</v>
      </c>
      <c r="CR156" s="15"/>
      <c r="CS156" s="10">
        <f t="shared" si="502"/>
        <v>0</v>
      </c>
      <c r="CT156" s="15"/>
      <c r="CU156" s="10">
        <f t="shared" si="503"/>
        <v>0</v>
      </c>
      <c r="CV156" s="15"/>
      <c r="CW156" s="10">
        <f t="shared" si="504"/>
        <v>0</v>
      </c>
      <c r="CX156" s="15"/>
      <c r="CY156" s="10">
        <f t="shared" si="505"/>
        <v>0</v>
      </c>
      <c r="CZ156" s="15"/>
      <c r="DA156" s="10">
        <f t="shared" si="506"/>
        <v>0</v>
      </c>
      <c r="DB156" s="15"/>
      <c r="DC156" s="10">
        <f t="shared" si="507"/>
        <v>0</v>
      </c>
      <c r="DD156" s="15"/>
      <c r="DE156" s="10">
        <f t="shared" si="507"/>
        <v>0</v>
      </c>
      <c r="DF156" s="231">
        <f t="shared" si="522"/>
        <v>0</v>
      </c>
      <c r="DG156" s="230">
        <f t="shared" si="508"/>
        <v>0</v>
      </c>
      <c r="DH156" s="238"/>
      <c r="DI156" s="239">
        <f t="shared" si="509"/>
        <v>0</v>
      </c>
      <c r="DJ156" s="238"/>
      <c r="DK156" s="239">
        <f t="shared" si="510"/>
        <v>0</v>
      </c>
      <c r="DL156" s="238"/>
      <c r="DM156" s="239">
        <f t="shared" si="511"/>
        <v>0</v>
      </c>
      <c r="DN156" s="238"/>
      <c r="DO156" s="239">
        <f t="shared" si="512"/>
        <v>0</v>
      </c>
      <c r="DP156" s="238"/>
      <c r="DQ156" s="239">
        <f t="shared" si="513"/>
        <v>0</v>
      </c>
      <c r="DR156" s="238"/>
      <c r="DS156" s="239">
        <f t="shared" si="514"/>
        <v>0</v>
      </c>
      <c r="DT156" s="238"/>
      <c r="DU156" s="239">
        <f t="shared" si="515"/>
        <v>0</v>
      </c>
      <c r="DV156" s="238"/>
      <c r="DW156" s="239">
        <f t="shared" si="516"/>
        <v>0</v>
      </c>
      <c r="DX156" s="238"/>
      <c r="DY156" s="239">
        <f t="shared" si="517"/>
        <v>0</v>
      </c>
      <c r="DZ156" s="238"/>
      <c r="EA156" s="239">
        <f t="shared" si="518"/>
        <v>0</v>
      </c>
      <c r="EB156" s="238"/>
      <c r="EC156" s="239">
        <f t="shared" si="519"/>
        <v>0</v>
      </c>
      <c r="ED156" s="238"/>
      <c r="EE156" s="239">
        <f t="shared" si="520"/>
        <v>0</v>
      </c>
      <c r="EF156" s="240">
        <f t="shared" si="521"/>
        <v>0</v>
      </c>
      <c r="EG156" s="239">
        <f t="shared" si="521"/>
        <v>0</v>
      </c>
    </row>
    <row r="157" spans="1:137" ht="19.8">
      <c r="A157" s="7">
        <v>126</v>
      </c>
      <c r="B157" s="8" t="s">
        <v>318</v>
      </c>
      <c r="C157" s="8" t="s">
        <v>11</v>
      </c>
      <c r="D157" s="7">
        <f t="shared" si="454"/>
        <v>7</v>
      </c>
      <c r="E157" s="7">
        <v>0.7</v>
      </c>
      <c r="F157" s="7" t="s">
        <v>12</v>
      </c>
      <c r="G157" s="7"/>
      <c r="H157" s="9"/>
      <c r="I157" s="10"/>
      <c r="J157" s="9"/>
      <c r="K157" s="10"/>
      <c r="L157" s="9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9"/>
      <c r="AC157" s="10"/>
      <c r="AD157" s="9"/>
      <c r="AE157" s="10"/>
      <c r="AF157" s="11"/>
      <c r="AG157" s="12">
        <f t="shared" si="468"/>
        <v>0</v>
      </c>
      <c r="AH157" s="15"/>
      <c r="AI157" s="10"/>
      <c r="AJ157" s="15"/>
      <c r="AK157" s="10"/>
      <c r="AL157" s="15"/>
      <c r="AM157" s="10"/>
      <c r="AN157" s="15"/>
      <c r="AO157" s="10"/>
      <c r="AP157" s="15"/>
      <c r="AQ157" s="10"/>
      <c r="AR157" s="15"/>
      <c r="AS157" s="10"/>
      <c r="AT157" s="15"/>
      <c r="AU157" s="10"/>
      <c r="AV157" s="15"/>
      <c r="AW157" s="10"/>
      <c r="AX157" s="15"/>
      <c r="AY157" s="10"/>
      <c r="AZ157" s="15"/>
      <c r="BA157" s="10"/>
      <c r="BB157" s="15"/>
      <c r="BC157" s="10"/>
      <c r="BD157" s="15"/>
      <c r="BE157" s="10"/>
      <c r="BF157" s="11"/>
      <c r="BG157" s="12">
        <f t="shared" si="482"/>
        <v>0</v>
      </c>
      <c r="BH157" s="15"/>
      <c r="BI157" s="10"/>
      <c r="BJ157" s="15"/>
      <c r="BK157" s="10"/>
      <c r="BL157" s="15"/>
      <c r="BM157" s="10"/>
      <c r="BN157" s="15"/>
      <c r="BO157" s="10"/>
      <c r="BP157" s="15"/>
      <c r="BQ157" s="10"/>
      <c r="BR157" s="15"/>
      <c r="BS157" s="10"/>
      <c r="BT157" s="15"/>
      <c r="BU157" s="10"/>
      <c r="BV157" s="15"/>
      <c r="BW157" s="10"/>
      <c r="BX157" s="15"/>
      <c r="BY157" s="10"/>
      <c r="BZ157" s="15"/>
      <c r="CA157" s="10"/>
      <c r="CB157" s="15"/>
      <c r="CC157" s="10"/>
      <c r="CD157" s="15"/>
      <c r="CE157" s="10"/>
      <c r="CF157" s="11"/>
      <c r="CG157" s="12">
        <f t="shared" si="496"/>
        <v>0</v>
      </c>
      <c r="CH157" s="15"/>
      <c r="CI157" s="10">
        <f t="shared" si="497"/>
        <v>0</v>
      </c>
      <c r="CJ157" s="15"/>
      <c r="CK157" s="10">
        <f t="shared" si="498"/>
        <v>0</v>
      </c>
      <c r="CL157" s="15"/>
      <c r="CM157" s="10">
        <f t="shared" si="499"/>
        <v>0</v>
      </c>
      <c r="CN157" s="15"/>
      <c r="CO157" s="10">
        <f t="shared" si="500"/>
        <v>0</v>
      </c>
      <c r="CP157" s="15"/>
      <c r="CQ157" s="10">
        <f t="shared" si="501"/>
        <v>0</v>
      </c>
      <c r="CR157" s="15"/>
      <c r="CS157" s="10">
        <f t="shared" si="502"/>
        <v>0</v>
      </c>
      <c r="CT157" s="15"/>
      <c r="CU157" s="10">
        <f t="shared" si="503"/>
        <v>0</v>
      </c>
      <c r="CV157" s="15"/>
      <c r="CW157" s="10"/>
      <c r="CX157" s="15"/>
      <c r="CY157" s="10"/>
      <c r="CZ157" s="15"/>
      <c r="DA157" s="10"/>
      <c r="DB157" s="15"/>
      <c r="DC157" s="10"/>
      <c r="DD157" s="15"/>
      <c r="DE157" s="10"/>
      <c r="DF157" s="231">
        <f t="shared" si="522"/>
        <v>0</v>
      </c>
      <c r="DG157" s="230">
        <f t="shared" si="508"/>
        <v>0</v>
      </c>
      <c r="DH157" s="238"/>
      <c r="DI157" s="239"/>
      <c r="DJ157" s="238"/>
      <c r="DK157" s="239"/>
      <c r="DL157" s="238"/>
      <c r="DM157" s="239"/>
      <c r="DN157" s="238"/>
      <c r="DO157" s="239"/>
      <c r="DP157" s="238"/>
      <c r="DQ157" s="239"/>
      <c r="DR157" s="238"/>
      <c r="DS157" s="239"/>
      <c r="DT157" s="238"/>
      <c r="DU157" s="239"/>
      <c r="DV157" s="238"/>
      <c r="DW157" s="239"/>
      <c r="DX157" s="238"/>
      <c r="DY157" s="239"/>
      <c r="DZ157" s="238"/>
      <c r="EA157" s="239"/>
      <c r="EB157" s="238"/>
      <c r="EC157" s="239"/>
      <c r="ED157" s="238"/>
      <c r="EE157" s="239"/>
      <c r="EF157" s="240"/>
      <c r="EG157" s="239"/>
    </row>
    <row r="158" spans="1:137" ht="19.8">
      <c r="A158" s="7">
        <v>127</v>
      </c>
      <c r="B158" s="8" t="s">
        <v>320</v>
      </c>
      <c r="C158" s="8"/>
      <c r="D158" s="7">
        <f t="shared" si="454"/>
        <v>7</v>
      </c>
      <c r="E158" s="7"/>
      <c r="F158" s="7"/>
      <c r="G158" s="7"/>
      <c r="H158" s="9"/>
      <c r="I158" s="10"/>
      <c r="J158" s="9"/>
      <c r="K158" s="10"/>
      <c r="L158" s="9"/>
      <c r="M158" s="10"/>
      <c r="N158" s="9"/>
      <c r="O158" s="10"/>
      <c r="P158" s="9"/>
      <c r="Q158" s="10"/>
      <c r="R158" s="9"/>
      <c r="S158" s="10"/>
      <c r="T158" s="9"/>
      <c r="U158" s="10"/>
      <c r="V158" s="9"/>
      <c r="W158" s="10"/>
      <c r="X158" s="9"/>
      <c r="Y158" s="10"/>
      <c r="Z158" s="9"/>
      <c r="AA158" s="10"/>
      <c r="AB158" s="9"/>
      <c r="AC158" s="10"/>
      <c r="AD158" s="9"/>
      <c r="AE158" s="10"/>
      <c r="AF158" s="11"/>
      <c r="AG158" s="12"/>
      <c r="AH158" s="15"/>
      <c r="AI158" s="10"/>
      <c r="AJ158" s="15"/>
      <c r="AK158" s="10"/>
      <c r="AL158" s="15"/>
      <c r="AM158" s="10"/>
      <c r="AN158" s="15"/>
      <c r="AO158" s="10"/>
      <c r="AP158" s="15"/>
      <c r="AQ158" s="10"/>
      <c r="AR158" s="15"/>
      <c r="AS158" s="10"/>
      <c r="AT158" s="15"/>
      <c r="AU158" s="10"/>
      <c r="AV158" s="15"/>
      <c r="AW158" s="10"/>
      <c r="AX158" s="15"/>
      <c r="AY158" s="10"/>
      <c r="AZ158" s="15"/>
      <c r="BA158" s="10"/>
      <c r="BB158" s="15"/>
      <c r="BC158" s="10"/>
      <c r="BD158" s="15"/>
      <c r="BE158" s="10"/>
      <c r="BF158" s="11"/>
      <c r="BG158" s="12"/>
      <c r="BH158" s="15"/>
      <c r="BI158" s="10"/>
      <c r="BJ158" s="15"/>
      <c r="BK158" s="10"/>
      <c r="BL158" s="15"/>
      <c r="BM158" s="10"/>
      <c r="BN158" s="15"/>
      <c r="BO158" s="10"/>
      <c r="BP158" s="15"/>
      <c r="BQ158" s="10"/>
      <c r="BR158" s="15"/>
      <c r="BS158" s="10"/>
      <c r="BT158" s="15"/>
      <c r="BU158" s="10"/>
      <c r="BV158" s="15"/>
      <c r="BW158" s="10"/>
      <c r="BX158" s="15"/>
      <c r="BY158" s="10"/>
      <c r="BZ158" s="15"/>
      <c r="CA158" s="10"/>
      <c r="CB158" s="15"/>
      <c r="CC158" s="10"/>
      <c r="CD158" s="15"/>
      <c r="CE158" s="10"/>
      <c r="CF158" s="11"/>
      <c r="CG158" s="12"/>
      <c r="CH158" s="15"/>
      <c r="CI158" s="10"/>
      <c r="CJ158" s="15"/>
      <c r="CK158" s="10"/>
      <c r="CL158" s="15"/>
      <c r="CM158" s="10"/>
      <c r="CN158" s="15"/>
      <c r="CO158" s="10"/>
      <c r="CP158" s="15"/>
      <c r="CQ158" s="10"/>
      <c r="CR158" s="15"/>
      <c r="CS158" s="10"/>
      <c r="CT158" s="15"/>
      <c r="CU158" s="10"/>
      <c r="CV158" s="15"/>
      <c r="CW158" s="10"/>
      <c r="CX158" s="15"/>
      <c r="CY158" s="10"/>
      <c r="CZ158" s="15"/>
      <c r="DA158" s="10"/>
      <c r="DB158" s="15"/>
      <c r="DC158" s="10"/>
      <c r="DD158" s="15"/>
      <c r="DE158" s="10"/>
      <c r="DF158" s="231">
        <f t="shared" si="522"/>
        <v>0</v>
      </c>
      <c r="DG158" s="230"/>
      <c r="DH158" s="238"/>
      <c r="DI158" s="239"/>
      <c r="DJ158" s="238"/>
      <c r="DK158" s="239"/>
      <c r="DL158" s="238"/>
      <c r="DM158" s="239"/>
      <c r="DN158" s="238"/>
      <c r="DO158" s="239"/>
      <c r="DP158" s="238"/>
      <c r="DQ158" s="239"/>
      <c r="DR158" s="238"/>
      <c r="DS158" s="239"/>
      <c r="DT158" s="238"/>
      <c r="DU158" s="239"/>
      <c r="DV158" s="238"/>
      <c r="DW158" s="239"/>
      <c r="DX158" s="238"/>
      <c r="DY158" s="239"/>
      <c r="DZ158" s="238"/>
      <c r="EA158" s="239"/>
      <c r="EB158" s="238"/>
      <c r="EC158" s="239"/>
      <c r="ED158" s="238"/>
      <c r="EE158" s="239"/>
      <c r="EF158" s="240"/>
      <c r="EG158" s="239"/>
    </row>
    <row r="159" spans="1:137" ht="19.8">
      <c r="A159" s="7">
        <v>128</v>
      </c>
      <c r="B159" s="8" t="s">
        <v>111</v>
      </c>
      <c r="C159" s="8" t="s">
        <v>11</v>
      </c>
      <c r="D159" s="7">
        <f>RANK(DF159,$DF$149:$DF$164)</f>
        <v>7</v>
      </c>
      <c r="E159" s="7">
        <v>0.7</v>
      </c>
      <c r="F159" s="7" t="s">
        <v>12</v>
      </c>
      <c r="G159" s="7"/>
      <c r="H159" s="15"/>
      <c r="I159" s="10">
        <f t="shared" si="455"/>
        <v>0</v>
      </c>
      <c r="J159" s="15"/>
      <c r="K159" s="10">
        <f t="shared" si="456"/>
        <v>0</v>
      </c>
      <c r="L159" s="15"/>
      <c r="M159" s="10">
        <f t="shared" si="457"/>
        <v>0</v>
      </c>
      <c r="N159" s="15"/>
      <c r="O159" s="10">
        <f t="shared" si="458"/>
        <v>0</v>
      </c>
      <c r="P159" s="15"/>
      <c r="Q159" s="10">
        <f t="shared" si="459"/>
        <v>0</v>
      </c>
      <c r="R159" s="15"/>
      <c r="S159" s="10">
        <f t="shared" si="460"/>
        <v>0</v>
      </c>
      <c r="T159" s="15"/>
      <c r="U159" s="10">
        <f t="shared" si="461"/>
        <v>0</v>
      </c>
      <c r="V159" s="15"/>
      <c r="W159" s="10">
        <f t="shared" si="462"/>
        <v>0</v>
      </c>
      <c r="X159" s="15"/>
      <c r="Y159" s="10">
        <f t="shared" si="463"/>
        <v>0</v>
      </c>
      <c r="Z159" s="15"/>
      <c r="AA159" s="10">
        <f t="shared" si="464"/>
        <v>0</v>
      </c>
      <c r="AB159" s="15"/>
      <c r="AC159" s="10">
        <f t="shared" si="465"/>
        <v>0</v>
      </c>
      <c r="AD159" s="15"/>
      <c r="AE159" s="10">
        <f t="shared" si="466"/>
        <v>0</v>
      </c>
      <c r="AF159" s="11">
        <f t="shared" si="467"/>
        <v>0</v>
      </c>
      <c r="AG159" s="12">
        <f t="shared" si="468"/>
        <v>0</v>
      </c>
      <c r="AH159" s="15"/>
      <c r="AI159" s="10">
        <f t="shared" si="469"/>
        <v>0</v>
      </c>
      <c r="AJ159" s="15"/>
      <c r="AK159" s="10">
        <f t="shared" si="470"/>
        <v>0</v>
      </c>
      <c r="AL159" s="15"/>
      <c r="AM159" s="10">
        <f t="shared" si="471"/>
        <v>0</v>
      </c>
      <c r="AN159" s="15"/>
      <c r="AO159" s="10">
        <f t="shared" si="472"/>
        <v>0</v>
      </c>
      <c r="AP159" s="15"/>
      <c r="AQ159" s="10">
        <f t="shared" si="473"/>
        <v>0</v>
      </c>
      <c r="AR159" s="15"/>
      <c r="AS159" s="10">
        <f t="shared" si="474"/>
        <v>0</v>
      </c>
      <c r="AT159" s="15"/>
      <c r="AU159" s="10">
        <f t="shared" si="475"/>
        <v>0</v>
      </c>
      <c r="AV159" s="15"/>
      <c r="AW159" s="10">
        <f t="shared" si="476"/>
        <v>0</v>
      </c>
      <c r="AX159" s="15"/>
      <c r="AY159" s="10">
        <f t="shared" si="477"/>
        <v>0</v>
      </c>
      <c r="AZ159" s="15"/>
      <c r="BA159" s="10">
        <f t="shared" si="478"/>
        <v>0</v>
      </c>
      <c r="BB159" s="15"/>
      <c r="BC159" s="10">
        <f t="shared" si="479"/>
        <v>0</v>
      </c>
      <c r="BD159" s="15"/>
      <c r="BE159" s="10">
        <f t="shared" si="480"/>
        <v>0</v>
      </c>
      <c r="BF159" s="11">
        <f t="shared" si="481"/>
        <v>0</v>
      </c>
      <c r="BG159" s="12">
        <f t="shared" si="482"/>
        <v>0</v>
      </c>
      <c r="BH159" s="15"/>
      <c r="BI159" s="10">
        <f t="shared" si="483"/>
        <v>0</v>
      </c>
      <c r="BJ159" s="15"/>
      <c r="BK159" s="10">
        <f t="shared" si="484"/>
        <v>0</v>
      </c>
      <c r="BL159" s="15"/>
      <c r="BM159" s="10">
        <f t="shared" si="485"/>
        <v>0</v>
      </c>
      <c r="BN159" s="15"/>
      <c r="BO159" s="10">
        <f t="shared" si="486"/>
        <v>0</v>
      </c>
      <c r="BP159" s="15"/>
      <c r="BQ159" s="10">
        <f t="shared" si="487"/>
        <v>0</v>
      </c>
      <c r="BR159" s="15"/>
      <c r="BS159" s="10">
        <f t="shared" si="488"/>
        <v>0</v>
      </c>
      <c r="BT159" s="15"/>
      <c r="BU159" s="10">
        <f t="shared" si="489"/>
        <v>0</v>
      </c>
      <c r="BV159" s="15"/>
      <c r="BW159" s="10">
        <f t="shared" si="490"/>
        <v>0</v>
      </c>
      <c r="BX159" s="15"/>
      <c r="BY159" s="10">
        <f t="shared" si="491"/>
        <v>0</v>
      </c>
      <c r="BZ159" s="15"/>
      <c r="CA159" s="10">
        <f t="shared" si="492"/>
        <v>0</v>
      </c>
      <c r="CB159" s="15"/>
      <c r="CC159" s="10">
        <f t="shared" si="493"/>
        <v>0</v>
      </c>
      <c r="CD159" s="15"/>
      <c r="CE159" s="10">
        <f t="shared" si="494"/>
        <v>0</v>
      </c>
      <c r="CF159" s="11">
        <f t="shared" si="495"/>
        <v>0</v>
      </c>
      <c r="CG159" s="12">
        <f t="shared" si="496"/>
        <v>0</v>
      </c>
      <c r="CH159" s="15"/>
      <c r="CI159" s="10">
        <f t="shared" si="497"/>
        <v>0</v>
      </c>
      <c r="CJ159" s="15"/>
      <c r="CK159" s="10">
        <f t="shared" si="498"/>
        <v>0</v>
      </c>
      <c r="CL159" s="15"/>
      <c r="CM159" s="10">
        <f t="shared" si="499"/>
        <v>0</v>
      </c>
      <c r="CN159" s="15"/>
      <c r="CO159" s="10">
        <f t="shared" si="500"/>
        <v>0</v>
      </c>
      <c r="CP159" s="15"/>
      <c r="CQ159" s="10">
        <f t="shared" si="501"/>
        <v>0</v>
      </c>
      <c r="CR159" s="15"/>
      <c r="CS159" s="10">
        <f t="shared" si="502"/>
        <v>0</v>
      </c>
      <c r="CT159" s="15"/>
      <c r="CU159" s="10">
        <f t="shared" si="503"/>
        <v>0</v>
      </c>
      <c r="CV159" s="15"/>
      <c r="CW159" s="10">
        <f t="shared" si="504"/>
        <v>0</v>
      </c>
      <c r="CX159" s="15"/>
      <c r="CY159" s="10">
        <f t="shared" si="505"/>
        <v>0</v>
      </c>
      <c r="CZ159" s="15"/>
      <c r="DA159" s="10">
        <f t="shared" si="506"/>
        <v>0</v>
      </c>
      <c r="DB159" s="15"/>
      <c r="DC159" s="10">
        <f t="shared" si="507"/>
        <v>0</v>
      </c>
      <c r="DD159" s="15"/>
      <c r="DE159" s="10">
        <f t="shared" si="507"/>
        <v>0</v>
      </c>
      <c r="DF159" s="231">
        <f t="shared" si="522"/>
        <v>0</v>
      </c>
      <c r="DG159" s="230">
        <f t="shared" si="508"/>
        <v>0</v>
      </c>
      <c r="DH159" s="238"/>
      <c r="DI159" s="239">
        <f t="shared" ref="DI159:DI163" si="523">DH159*$E159</f>
        <v>0</v>
      </c>
      <c r="DJ159" s="238"/>
      <c r="DK159" s="239">
        <f t="shared" ref="DK159:DK163" si="524">DJ159*$E159</f>
        <v>0</v>
      </c>
      <c r="DL159" s="238"/>
      <c r="DM159" s="239">
        <f t="shared" ref="DM159:DM163" si="525">DL159*$E159</f>
        <v>0</v>
      </c>
      <c r="DN159" s="238"/>
      <c r="DO159" s="239">
        <f t="shared" ref="DO159:DO163" si="526">DN159*$E159</f>
        <v>0</v>
      </c>
      <c r="DP159" s="238"/>
      <c r="DQ159" s="239">
        <f t="shared" ref="DQ159:DQ163" si="527">DP159*$E159</f>
        <v>0</v>
      </c>
      <c r="DR159" s="238"/>
      <c r="DS159" s="239">
        <f t="shared" ref="DS159:DS163" si="528">DR159*$E159</f>
        <v>0</v>
      </c>
      <c r="DT159" s="238"/>
      <c r="DU159" s="239">
        <f t="shared" ref="DU159:DU163" si="529">DT159*$E159</f>
        <v>0</v>
      </c>
      <c r="DV159" s="238"/>
      <c r="DW159" s="239">
        <f t="shared" ref="DW159:DW163" si="530">DV159*$E159</f>
        <v>0</v>
      </c>
      <c r="DX159" s="238"/>
      <c r="DY159" s="239">
        <f t="shared" ref="DY159:DY163" si="531">DX159*$E159</f>
        <v>0</v>
      </c>
      <c r="DZ159" s="238"/>
      <c r="EA159" s="239">
        <f t="shared" ref="EA159:EA163" si="532">DZ159*$E159</f>
        <v>0</v>
      </c>
      <c r="EB159" s="238"/>
      <c r="EC159" s="239">
        <f t="shared" ref="EC159:EC163" si="533">EB159*$E159</f>
        <v>0</v>
      </c>
      <c r="ED159" s="238"/>
      <c r="EE159" s="239">
        <f t="shared" ref="EE159:EE163" si="534">ED159*$E159</f>
        <v>0</v>
      </c>
      <c r="EF159" s="240">
        <f t="shared" ref="EF159:EG163" si="535">SUM(DH159,DJ159,DL159,DN159,DP159,DR159,DT159,DV159,DX159,DZ159,EB159,ED159)</f>
        <v>0</v>
      </c>
      <c r="EG159" s="239">
        <f t="shared" si="535"/>
        <v>0</v>
      </c>
    </row>
    <row r="160" spans="1:137" ht="19.8">
      <c r="A160" s="7">
        <v>129</v>
      </c>
      <c r="B160" s="8" t="s">
        <v>112</v>
      </c>
      <c r="C160" s="8" t="s">
        <v>11</v>
      </c>
      <c r="D160" s="7">
        <f>RANK(DF160,$DF$149:$DF$164)</f>
        <v>7</v>
      </c>
      <c r="E160" s="7">
        <v>0.35</v>
      </c>
      <c r="F160" s="7" t="s">
        <v>20</v>
      </c>
      <c r="G160" s="7"/>
      <c r="H160" s="15"/>
      <c r="I160" s="10">
        <f t="shared" si="455"/>
        <v>0</v>
      </c>
      <c r="J160" s="15"/>
      <c r="K160" s="10">
        <f t="shared" si="456"/>
        <v>0</v>
      </c>
      <c r="L160" s="15"/>
      <c r="M160" s="10">
        <f t="shared" si="457"/>
        <v>0</v>
      </c>
      <c r="N160" s="15"/>
      <c r="O160" s="10">
        <f t="shared" si="458"/>
        <v>0</v>
      </c>
      <c r="P160" s="15"/>
      <c r="Q160" s="10">
        <f t="shared" si="459"/>
        <v>0</v>
      </c>
      <c r="R160" s="15"/>
      <c r="S160" s="10">
        <f t="shared" si="460"/>
        <v>0</v>
      </c>
      <c r="T160" s="15"/>
      <c r="U160" s="10">
        <f t="shared" si="461"/>
        <v>0</v>
      </c>
      <c r="V160" s="15"/>
      <c r="W160" s="10">
        <f t="shared" si="462"/>
        <v>0</v>
      </c>
      <c r="X160" s="15"/>
      <c r="Y160" s="10">
        <f t="shared" si="463"/>
        <v>0</v>
      </c>
      <c r="Z160" s="15"/>
      <c r="AA160" s="10">
        <f t="shared" si="464"/>
        <v>0</v>
      </c>
      <c r="AB160" s="15"/>
      <c r="AC160" s="10">
        <f t="shared" si="465"/>
        <v>0</v>
      </c>
      <c r="AD160" s="15"/>
      <c r="AE160" s="10">
        <f t="shared" si="466"/>
        <v>0</v>
      </c>
      <c r="AF160" s="11">
        <f t="shared" si="467"/>
        <v>0</v>
      </c>
      <c r="AG160" s="12">
        <f t="shared" si="468"/>
        <v>0</v>
      </c>
      <c r="AH160" s="15"/>
      <c r="AI160" s="10">
        <f t="shared" si="469"/>
        <v>0</v>
      </c>
      <c r="AJ160" s="15"/>
      <c r="AK160" s="10">
        <f t="shared" si="470"/>
        <v>0</v>
      </c>
      <c r="AL160" s="15"/>
      <c r="AM160" s="10">
        <f t="shared" si="471"/>
        <v>0</v>
      </c>
      <c r="AN160" s="15"/>
      <c r="AO160" s="10">
        <f t="shared" si="472"/>
        <v>0</v>
      </c>
      <c r="AP160" s="15"/>
      <c r="AQ160" s="10">
        <f t="shared" si="473"/>
        <v>0</v>
      </c>
      <c r="AR160" s="15"/>
      <c r="AS160" s="10">
        <f t="shared" si="474"/>
        <v>0</v>
      </c>
      <c r="AT160" s="15"/>
      <c r="AU160" s="10">
        <f t="shared" si="475"/>
        <v>0</v>
      </c>
      <c r="AV160" s="15"/>
      <c r="AW160" s="10">
        <f t="shared" si="476"/>
        <v>0</v>
      </c>
      <c r="AX160" s="15"/>
      <c r="AY160" s="10">
        <f t="shared" si="477"/>
        <v>0</v>
      </c>
      <c r="AZ160" s="15"/>
      <c r="BA160" s="10">
        <f t="shared" si="478"/>
        <v>0</v>
      </c>
      <c r="BB160" s="15"/>
      <c r="BC160" s="10">
        <f t="shared" si="479"/>
        <v>0</v>
      </c>
      <c r="BD160" s="15"/>
      <c r="BE160" s="10">
        <f t="shared" si="480"/>
        <v>0</v>
      </c>
      <c r="BF160" s="11">
        <f t="shared" si="481"/>
        <v>0</v>
      </c>
      <c r="BG160" s="12">
        <f t="shared" si="482"/>
        <v>0</v>
      </c>
      <c r="BH160" s="15"/>
      <c r="BI160" s="10">
        <f t="shared" si="483"/>
        <v>0</v>
      </c>
      <c r="BJ160" s="15"/>
      <c r="BK160" s="10">
        <f t="shared" si="484"/>
        <v>0</v>
      </c>
      <c r="BL160" s="15"/>
      <c r="BM160" s="10">
        <f t="shared" si="485"/>
        <v>0</v>
      </c>
      <c r="BN160" s="15"/>
      <c r="BO160" s="10">
        <f t="shared" si="486"/>
        <v>0</v>
      </c>
      <c r="BP160" s="15"/>
      <c r="BQ160" s="10">
        <f t="shared" si="487"/>
        <v>0</v>
      </c>
      <c r="BR160" s="15"/>
      <c r="BS160" s="10">
        <f t="shared" si="488"/>
        <v>0</v>
      </c>
      <c r="BT160" s="15"/>
      <c r="BU160" s="10">
        <f t="shared" si="489"/>
        <v>0</v>
      </c>
      <c r="BV160" s="15"/>
      <c r="BW160" s="10">
        <f t="shared" si="490"/>
        <v>0</v>
      </c>
      <c r="BX160" s="15"/>
      <c r="BY160" s="10">
        <f t="shared" si="491"/>
        <v>0</v>
      </c>
      <c r="BZ160" s="15"/>
      <c r="CA160" s="10">
        <f t="shared" si="492"/>
        <v>0</v>
      </c>
      <c r="CB160" s="15"/>
      <c r="CC160" s="10">
        <f t="shared" si="493"/>
        <v>0</v>
      </c>
      <c r="CD160" s="15"/>
      <c r="CE160" s="10">
        <f t="shared" si="494"/>
        <v>0</v>
      </c>
      <c r="CF160" s="11">
        <f t="shared" si="495"/>
        <v>0</v>
      </c>
      <c r="CG160" s="12">
        <f t="shared" si="496"/>
        <v>0</v>
      </c>
      <c r="CH160" s="15"/>
      <c r="CI160" s="10">
        <f t="shared" si="497"/>
        <v>0</v>
      </c>
      <c r="CJ160" s="15"/>
      <c r="CK160" s="10">
        <f t="shared" si="498"/>
        <v>0</v>
      </c>
      <c r="CL160" s="15"/>
      <c r="CM160" s="10">
        <f t="shared" si="499"/>
        <v>0</v>
      </c>
      <c r="CN160" s="15"/>
      <c r="CO160" s="10">
        <f t="shared" si="500"/>
        <v>0</v>
      </c>
      <c r="CP160" s="15"/>
      <c r="CQ160" s="10">
        <f t="shared" si="501"/>
        <v>0</v>
      </c>
      <c r="CR160" s="15"/>
      <c r="CS160" s="10">
        <f t="shared" si="502"/>
        <v>0</v>
      </c>
      <c r="CT160" s="15"/>
      <c r="CU160" s="10">
        <f t="shared" si="503"/>
        <v>0</v>
      </c>
      <c r="CV160" s="15"/>
      <c r="CW160" s="10">
        <f t="shared" si="504"/>
        <v>0</v>
      </c>
      <c r="CX160" s="15"/>
      <c r="CY160" s="10">
        <f t="shared" si="505"/>
        <v>0</v>
      </c>
      <c r="CZ160" s="15"/>
      <c r="DA160" s="10">
        <f t="shared" si="506"/>
        <v>0</v>
      </c>
      <c r="DB160" s="15"/>
      <c r="DC160" s="10">
        <f t="shared" si="507"/>
        <v>0</v>
      </c>
      <c r="DD160" s="15"/>
      <c r="DE160" s="10">
        <f t="shared" si="507"/>
        <v>0</v>
      </c>
      <c r="DF160" s="231">
        <f t="shared" si="522"/>
        <v>0</v>
      </c>
      <c r="DG160" s="230">
        <f t="shared" si="508"/>
        <v>0</v>
      </c>
      <c r="DH160" s="238"/>
      <c r="DI160" s="239">
        <f t="shared" si="523"/>
        <v>0</v>
      </c>
      <c r="DJ160" s="238"/>
      <c r="DK160" s="239">
        <f t="shared" si="524"/>
        <v>0</v>
      </c>
      <c r="DL160" s="238"/>
      <c r="DM160" s="239">
        <f t="shared" si="525"/>
        <v>0</v>
      </c>
      <c r="DN160" s="238"/>
      <c r="DO160" s="239">
        <f t="shared" si="526"/>
        <v>0</v>
      </c>
      <c r="DP160" s="238"/>
      <c r="DQ160" s="239">
        <f t="shared" si="527"/>
        <v>0</v>
      </c>
      <c r="DR160" s="238"/>
      <c r="DS160" s="239">
        <f t="shared" si="528"/>
        <v>0</v>
      </c>
      <c r="DT160" s="238"/>
      <c r="DU160" s="239">
        <f t="shared" si="529"/>
        <v>0</v>
      </c>
      <c r="DV160" s="238"/>
      <c r="DW160" s="239">
        <f t="shared" si="530"/>
        <v>0</v>
      </c>
      <c r="DX160" s="238"/>
      <c r="DY160" s="239">
        <f t="shared" si="531"/>
        <v>0</v>
      </c>
      <c r="DZ160" s="238"/>
      <c r="EA160" s="239">
        <f t="shared" si="532"/>
        <v>0</v>
      </c>
      <c r="EB160" s="238"/>
      <c r="EC160" s="239">
        <f t="shared" si="533"/>
        <v>0</v>
      </c>
      <c r="ED160" s="238"/>
      <c r="EE160" s="239">
        <f t="shared" si="534"/>
        <v>0</v>
      </c>
      <c r="EF160" s="240">
        <f t="shared" si="535"/>
        <v>0</v>
      </c>
      <c r="EG160" s="239">
        <f t="shared" si="535"/>
        <v>0</v>
      </c>
    </row>
    <row r="161" spans="1:137" ht="19.8">
      <c r="A161" s="7">
        <v>130</v>
      </c>
      <c r="B161" s="8" t="s">
        <v>113</v>
      </c>
      <c r="C161" s="8" t="s">
        <v>11</v>
      </c>
      <c r="D161" s="7">
        <f>RANK(DF161,$DF$149:$DF$164)</f>
        <v>7</v>
      </c>
      <c r="E161" s="7">
        <v>0.7</v>
      </c>
      <c r="F161" s="7" t="s">
        <v>12</v>
      </c>
      <c r="G161" s="7"/>
      <c r="H161" s="15"/>
      <c r="I161" s="10">
        <f t="shared" si="455"/>
        <v>0</v>
      </c>
      <c r="J161" s="15"/>
      <c r="K161" s="10">
        <f t="shared" si="456"/>
        <v>0</v>
      </c>
      <c r="L161" s="15"/>
      <c r="M161" s="10">
        <f t="shared" si="457"/>
        <v>0</v>
      </c>
      <c r="N161" s="15"/>
      <c r="O161" s="10">
        <f t="shared" si="458"/>
        <v>0</v>
      </c>
      <c r="P161" s="15"/>
      <c r="Q161" s="10">
        <f t="shared" si="459"/>
        <v>0</v>
      </c>
      <c r="R161" s="15"/>
      <c r="S161" s="10">
        <f t="shared" si="460"/>
        <v>0</v>
      </c>
      <c r="T161" s="15"/>
      <c r="U161" s="10">
        <f t="shared" si="461"/>
        <v>0</v>
      </c>
      <c r="V161" s="15"/>
      <c r="W161" s="10">
        <f t="shared" si="462"/>
        <v>0</v>
      </c>
      <c r="X161" s="15"/>
      <c r="Y161" s="10">
        <f t="shared" si="463"/>
        <v>0</v>
      </c>
      <c r="Z161" s="15"/>
      <c r="AA161" s="10">
        <f t="shared" si="464"/>
        <v>0</v>
      </c>
      <c r="AB161" s="15"/>
      <c r="AC161" s="10">
        <f t="shared" si="465"/>
        <v>0</v>
      </c>
      <c r="AD161" s="15"/>
      <c r="AE161" s="10">
        <f t="shared" si="466"/>
        <v>0</v>
      </c>
      <c r="AF161" s="11">
        <f t="shared" si="467"/>
        <v>0</v>
      </c>
      <c r="AG161" s="12">
        <f t="shared" si="468"/>
        <v>0</v>
      </c>
      <c r="AH161" s="15"/>
      <c r="AI161" s="10">
        <f t="shared" si="469"/>
        <v>0</v>
      </c>
      <c r="AJ161" s="15"/>
      <c r="AK161" s="10">
        <f t="shared" si="470"/>
        <v>0</v>
      </c>
      <c r="AL161" s="15"/>
      <c r="AM161" s="10">
        <f t="shared" si="471"/>
        <v>0</v>
      </c>
      <c r="AN161" s="15"/>
      <c r="AO161" s="10">
        <f t="shared" si="472"/>
        <v>0</v>
      </c>
      <c r="AP161" s="15"/>
      <c r="AQ161" s="10">
        <f t="shared" si="473"/>
        <v>0</v>
      </c>
      <c r="AR161" s="15"/>
      <c r="AS161" s="10">
        <f t="shared" si="474"/>
        <v>0</v>
      </c>
      <c r="AT161" s="15"/>
      <c r="AU161" s="10">
        <f t="shared" si="475"/>
        <v>0</v>
      </c>
      <c r="AV161" s="15"/>
      <c r="AW161" s="10">
        <f t="shared" si="476"/>
        <v>0</v>
      </c>
      <c r="AX161" s="15"/>
      <c r="AY161" s="10">
        <f t="shared" si="477"/>
        <v>0</v>
      </c>
      <c r="AZ161" s="15"/>
      <c r="BA161" s="10">
        <f t="shared" si="478"/>
        <v>0</v>
      </c>
      <c r="BB161" s="15"/>
      <c r="BC161" s="10">
        <f t="shared" si="479"/>
        <v>0</v>
      </c>
      <c r="BD161" s="15"/>
      <c r="BE161" s="10">
        <f t="shared" si="480"/>
        <v>0</v>
      </c>
      <c r="BF161" s="11">
        <f t="shared" si="481"/>
        <v>0</v>
      </c>
      <c r="BG161" s="12">
        <f t="shared" si="482"/>
        <v>0</v>
      </c>
      <c r="BH161" s="15"/>
      <c r="BI161" s="10">
        <f t="shared" si="483"/>
        <v>0</v>
      </c>
      <c r="BJ161" s="15"/>
      <c r="BK161" s="10">
        <f t="shared" si="484"/>
        <v>0</v>
      </c>
      <c r="BL161" s="15"/>
      <c r="BM161" s="10">
        <f t="shared" si="485"/>
        <v>0</v>
      </c>
      <c r="BN161" s="15"/>
      <c r="BO161" s="10">
        <f t="shared" si="486"/>
        <v>0</v>
      </c>
      <c r="BP161" s="15"/>
      <c r="BQ161" s="10">
        <f t="shared" si="487"/>
        <v>0</v>
      </c>
      <c r="BR161" s="15"/>
      <c r="BS161" s="10">
        <f t="shared" si="488"/>
        <v>0</v>
      </c>
      <c r="BT161" s="15"/>
      <c r="BU161" s="10">
        <f t="shared" si="489"/>
        <v>0</v>
      </c>
      <c r="BV161" s="15"/>
      <c r="BW161" s="10">
        <f t="shared" si="490"/>
        <v>0</v>
      </c>
      <c r="BX161" s="15"/>
      <c r="BY161" s="10">
        <f t="shared" si="491"/>
        <v>0</v>
      </c>
      <c r="BZ161" s="15"/>
      <c r="CA161" s="10">
        <f t="shared" si="492"/>
        <v>0</v>
      </c>
      <c r="CB161" s="15"/>
      <c r="CC161" s="10">
        <f t="shared" si="493"/>
        <v>0</v>
      </c>
      <c r="CD161" s="15"/>
      <c r="CE161" s="10">
        <f t="shared" si="494"/>
        <v>0</v>
      </c>
      <c r="CF161" s="11">
        <f t="shared" si="495"/>
        <v>0</v>
      </c>
      <c r="CG161" s="12">
        <f t="shared" si="496"/>
        <v>0</v>
      </c>
      <c r="CH161" s="15"/>
      <c r="CI161" s="10">
        <f t="shared" si="497"/>
        <v>0</v>
      </c>
      <c r="CJ161" s="15"/>
      <c r="CK161" s="10">
        <f t="shared" si="498"/>
        <v>0</v>
      </c>
      <c r="CL161" s="15"/>
      <c r="CM161" s="10">
        <f t="shared" si="499"/>
        <v>0</v>
      </c>
      <c r="CN161" s="15"/>
      <c r="CO161" s="10">
        <f t="shared" si="500"/>
        <v>0</v>
      </c>
      <c r="CP161" s="15"/>
      <c r="CQ161" s="10">
        <f t="shared" si="501"/>
        <v>0</v>
      </c>
      <c r="CR161" s="15"/>
      <c r="CS161" s="10">
        <f t="shared" si="502"/>
        <v>0</v>
      </c>
      <c r="CT161" s="15"/>
      <c r="CU161" s="10">
        <f t="shared" si="503"/>
        <v>0</v>
      </c>
      <c r="CV161" s="15"/>
      <c r="CW161" s="10">
        <f t="shared" si="504"/>
        <v>0</v>
      </c>
      <c r="CX161" s="15"/>
      <c r="CY161" s="10">
        <f t="shared" si="505"/>
        <v>0</v>
      </c>
      <c r="CZ161" s="15"/>
      <c r="DA161" s="10">
        <f t="shared" si="506"/>
        <v>0</v>
      </c>
      <c r="DB161" s="15"/>
      <c r="DC161" s="10">
        <f t="shared" si="507"/>
        <v>0</v>
      </c>
      <c r="DD161" s="15"/>
      <c r="DE161" s="10">
        <f t="shared" si="507"/>
        <v>0</v>
      </c>
      <c r="DF161" s="231">
        <f t="shared" si="522"/>
        <v>0</v>
      </c>
      <c r="DG161" s="230">
        <f t="shared" si="508"/>
        <v>0</v>
      </c>
      <c r="DH161" s="238"/>
      <c r="DI161" s="239">
        <f t="shared" si="523"/>
        <v>0</v>
      </c>
      <c r="DJ161" s="238"/>
      <c r="DK161" s="239">
        <f t="shared" si="524"/>
        <v>0</v>
      </c>
      <c r="DL161" s="238"/>
      <c r="DM161" s="239">
        <f t="shared" si="525"/>
        <v>0</v>
      </c>
      <c r="DN161" s="238"/>
      <c r="DO161" s="239">
        <f t="shared" si="526"/>
        <v>0</v>
      </c>
      <c r="DP161" s="238"/>
      <c r="DQ161" s="239">
        <f t="shared" si="527"/>
        <v>0</v>
      </c>
      <c r="DR161" s="238"/>
      <c r="DS161" s="239">
        <f t="shared" si="528"/>
        <v>0</v>
      </c>
      <c r="DT161" s="238"/>
      <c r="DU161" s="239">
        <f t="shared" si="529"/>
        <v>0</v>
      </c>
      <c r="DV161" s="238"/>
      <c r="DW161" s="239">
        <f t="shared" si="530"/>
        <v>0</v>
      </c>
      <c r="DX161" s="238"/>
      <c r="DY161" s="239">
        <f t="shared" si="531"/>
        <v>0</v>
      </c>
      <c r="DZ161" s="238"/>
      <c r="EA161" s="239">
        <f t="shared" si="532"/>
        <v>0</v>
      </c>
      <c r="EB161" s="238"/>
      <c r="EC161" s="239">
        <f t="shared" si="533"/>
        <v>0</v>
      </c>
      <c r="ED161" s="238"/>
      <c r="EE161" s="239">
        <f t="shared" si="534"/>
        <v>0</v>
      </c>
      <c r="EF161" s="240">
        <f t="shared" si="535"/>
        <v>0</v>
      </c>
      <c r="EG161" s="239">
        <f t="shared" si="535"/>
        <v>0</v>
      </c>
    </row>
    <row r="162" spans="1:137" ht="19.8">
      <c r="A162" s="7">
        <v>131</v>
      </c>
      <c r="B162" s="8" t="s">
        <v>114</v>
      </c>
      <c r="C162" s="8" t="s">
        <v>11</v>
      </c>
      <c r="D162" s="7">
        <f>RANK(DF162,$DF$149:$DF$164)</f>
        <v>7</v>
      </c>
      <c r="E162" s="7">
        <v>0.35</v>
      </c>
      <c r="F162" s="7" t="s">
        <v>20</v>
      </c>
      <c r="G162" s="7"/>
      <c r="H162" s="15"/>
      <c r="I162" s="10">
        <f t="shared" si="455"/>
        <v>0</v>
      </c>
      <c r="J162" s="15"/>
      <c r="K162" s="10">
        <f t="shared" si="456"/>
        <v>0</v>
      </c>
      <c r="L162" s="15"/>
      <c r="M162" s="10">
        <f t="shared" si="457"/>
        <v>0</v>
      </c>
      <c r="N162" s="15"/>
      <c r="O162" s="10">
        <f t="shared" si="458"/>
        <v>0</v>
      </c>
      <c r="P162" s="15"/>
      <c r="Q162" s="10">
        <f t="shared" si="459"/>
        <v>0</v>
      </c>
      <c r="R162" s="15"/>
      <c r="S162" s="10">
        <f t="shared" si="460"/>
        <v>0</v>
      </c>
      <c r="T162" s="15"/>
      <c r="U162" s="10">
        <f t="shared" si="461"/>
        <v>0</v>
      </c>
      <c r="V162" s="15"/>
      <c r="W162" s="10">
        <f t="shared" si="462"/>
        <v>0</v>
      </c>
      <c r="X162" s="15"/>
      <c r="Y162" s="10">
        <f t="shared" si="463"/>
        <v>0</v>
      </c>
      <c r="Z162" s="15"/>
      <c r="AA162" s="10">
        <f t="shared" si="464"/>
        <v>0</v>
      </c>
      <c r="AB162" s="15"/>
      <c r="AC162" s="10">
        <f t="shared" si="465"/>
        <v>0</v>
      </c>
      <c r="AD162" s="15"/>
      <c r="AE162" s="10">
        <f t="shared" si="466"/>
        <v>0</v>
      </c>
      <c r="AF162" s="11">
        <f t="shared" si="467"/>
        <v>0</v>
      </c>
      <c r="AG162" s="12">
        <f t="shared" si="468"/>
        <v>0</v>
      </c>
      <c r="AH162" s="15"/>
      <c r="AI162" s="10">
        <f t="shared" si="469"/>
        <v>0</v>
      </c>
      <c r="AJ162" s="15"/>
      <c r="AK162" s="10">
        <f t="shared" si="470"/>
        <v>0</v>
      </c>
      <c r="AL162" s="15"/>
      <c r="AM162" s="10">
        <f t="shared" si="471"/>
        <v>0</v>
      </c>
      <c r="AN162" s="15"/>
      <c r="AO162" s="10">
        <f t="shared" si="472"/>
        <v>0</v>
      </c>
      <c r="AP162" s="15"/>
      <c r="AQ162" s="10">
        <f t="shared" si="473"/>
        <v>0</v>
      </c>
      <c r="AR162" s="15"/>
      <c r="AS162" s="10">
        <f t="shared" si="474"/>
        <v>0</v>
      </c>
      <c r="AT162" s="15"/>
      <c r="AU162" s="10">
        <f t="shared" si="475"/>
        <v>0</v>
      </c>
      <c r="AV162" s="15"/>
      <c r="AW162" s="10">
        <f t="shared" si="476"/>
        <v>0</v>
      </c>
      <c r="AX162" s="15"/>
      <c r="AY162" s="10">
        <f t="shared" si="477"/>
        <v>0</v>
      </c>
      <c r="AZ162" s="15"/>
      <c r="BA162" s="10">
        <f t="shared" si="478"/>
        <v>0</v>
      </c>
      <c r="BB162" s="15"/>
      <c r="BC162" s="10">
        <f t="shared" si="479"/>
        <v>0</v>
      </c>
      <c r="BD162" s="15"/>
      <c r="BE162" s="10">
        <f t="shared" si="480"/>
        <v>0</v>
      </c>
      <c r="BF162" s="11">
        <f t="shared" si="481"/>
        <v>0</v>
      </c>
      <c r="BG162" s="12">
        <f t="shared" si="482"/>
        <v>0</v>
      </c>
      <c r="BH162" s="15"/>
      <c r="BI162" s="10">
        <f t="shared" si="483"/>
        <v>0</v>
      </c>
      <c r="BJ162" s="15"/>
      <c r="BK162" s="10">
        <f t="shared" si="484"/>
        <v>0</v>
      </c>
      <c r="BL162" s="15"/>
      <c r="BM162" s="10">
        <f t="shared" si="485"/>
        <v>0</v>
      </c>
      <c r="BN162" s="15"/>
      <c r="BO162" s="10">
        <f t="shared" si="486"/>
        <v>0</v>
      </c>
      <c r="BP162" s="15"/>
      <c r="BQ162" s="10">
        <f t="shared" si="487"/>
        <v>0</v>
      </c>
      <c r="BR162" s="15"/>
      <c r="BS162" s="10">
        <f t="shared" si="488"/>
        <v>0</v>
      </c>
      <c r="BT162" s="15"/>
      <c r="BU162" s="10">
        <f t="shared" si="489"/>
        <v>0</v>
      </c>
      <c r="BV162" s="15"/>
      <c r="BW162" s="10">
        <f t="shared" si="490"/>
        <v>0</v>
      </c>
      <c r="BX162" s="15"/>
      <c r="BY162" s="10">
        <f t="shared" si="491"/>
        <v>0</v>
      </c>
      <c r="BZ162" s="15"/>
      <c r="CA162" s="10">
        <f t="shared" si="492"/>
        <v>0</v>
      </c>
      <c r="CB162" s="15"/>
      <c r="CC162" s="10">
        <f t="shared" si="493"/>
        <v>0</v>
      </c>
      <c r="CD162" s="15"/>
      <c r="CE162" s="10">
        <f t="shared" si="494"/>
        <v>0</v>
      </c>
      <c r="CF162" s="11">
        <f t="shared" si="495"/>
        <v>0</v>
      </c>
      <c r="CG162" s="12">
        <f t="shared" si="496"/>
        <v>0</v>
      </c>
      <c r="CH162" s="15"/>
      <c r="CI162" s="10">
        <f t="shared" si="497"/>
        <v>0</v>
      </c>
      <c r="CJ162" s="15"/>
      <c r="CK162" s="10">
        <f t="shared" si="498"/>
        <v>0</v>
      </c>
      <c r="CL162" s="15"/>
      <c r="CM162" s="10">
        <f t="shared" si="499"/>
        <v>0</v>
      </c>
      <c r="CN162" s="15"/>
      <c r="CO162" s="10">
        <f t="shared" si="500"/>
        <v>0</v>
      </c>
      <c r="CP162" s="15"/>
      <c r="CQ162" s="10">
        <f t="shared" si="501"/>
        <v>0</v>
      </c>
      <c r="CR162" s="15"/>
      <c r="CS162" s="10">
        <f t="shared" si="502"/>
        <v>0</v>
      </c>
      <c r="CT162" s="15"/>
      <c r="CU162" s="10">
        <f t="shared" si="503"/>
        <v>0</v>
      </c>
      <c r="CV162" s="15"/>
      <c r="CW162" s="10">
        <f t="shared" si="504"/>
        <v>0</v>
      </c>
      <c r="CX162" s="15"/>
      <c r="CY162" s="10">
        <f t="shared" si="505"/>
        <v>0</v>
      </c>
      <c r="CZ162" s="15"/>
      <c r="DA162" s="10">
        <f t="shared" si="506"/>
        <v>0</v>
      </c>
      <c r="DB162" s="15"/>
      <c r="DC162" s="10">
        <f t="shared" si="507"/>
        <v>0</v>
      </c>
      <c r="DD162" s="15"/>
      <c r="DE162" s="10">
        <f t="shared" si="507"/>
        <v>0</v>
      </c>
      <c r="DF162" s="231">
        <f t="shared" si="522"/>
        <v>0</v>
      </c>
      <c r="DG162" s="230">
        <f t="shared" si="508"/>
        <v>0</v>
      </c>
      <c r="DH162" s="238"/>
      <c r="DI162" s="239">
        <f t="shared" si="523"/>
        <v>0</v>
      </c>
      <c r="DJ162" s="238"/>
      <c r="DK162" s="239">
        <f t="shared" si="524"/>
        <v>0</v>
      </c>
      <c r="DL162" s="238"/>
      <c r="DM162" s="239">
        <f t="shared" si="525"/>
        <v>0</v>
      </c>
      <c r="DN162" s="238"/>
      <c r="DO162" s="239">
        <f t="shared" si="526"/>
        <v>0</v>
      </c>
      <c r="DP162" s="238"/>
      <c r="DQ162" s="239">
        <f t="shared" si="527"/>
        <v>0</v>
      </c>
      <c r="DR162" s="238"/>
      <c r="DS162" s="239">
        <f t="shared" si="528"/>
        <v>0</v>
      </c>
      <c r="DT162" s="238"/>
      <c r="DU162" s="239">
        <f t="shared" si="529"/>
        <v>0</v>
      </c>
      <c r="DV162" s="238"/>
      <c r="DW162" s="239">
        <f t="shared" si="530"/>
        <v>0</v>
      </c>
      <c r="DX162" s="238"/>
      <c r="DY162" s="239">
        <f t="shared" si="531"/>
        <v>0</v>
      </c>
      <c r="DZ162" s="238"/>
      <c r="EA162" s="239">
        <f t="shared" si="532"/>
        <v>0</v>
      </c>
      <c r="EB162" s="238"/>
      <c r="EC162" s="239">
        <f t="shared" si="533"/>
        <v>0</v>
      </c>
      <c r="ED162" s="238"/>
      <c r="EE162" s="239">
        <f t="shared" si="534"/>
        <v>0</v>
      </c>
      <c r="EF162" s="240">
        <f t="shared" si="535"/>
        <v>0</v>
      </c>
      <c r="EG162" s="239">
        <f t="shared" si="535"/>
        <v>0</v>
      </c>
    </row>
    <row r="163" spans="1:137" ht="19.8">
      <c r="A163" s="7">
        <v>132</v>
      </c>
      <c r="B163" s="20" t="s">
        <v>115</v>
      </c>
      <c r="C163" s="20" t="s">
        <v>11</v>
      </c>
      <c r="D163" s="7">
        <f>RANK(DF163,$DF$149:$DF$164)</f>
        <v>4</v>
      </c>
      <c r="E163" s="7">
        <v>0.7</v>
      </c>
      <c r="F163" s="21" t="s">
        <v>116</v>
      </c>
      <c r="G163" s="7">
        <v>25000</v>
      </c>
      <c r="H163" s="15"/>
      <c r="I163" s="10">
        <f t="shared" si="455"/>
        <v>0</v>
      </c>
      <c r="J163" s="15"/>
      <c r="K163" s="10">
        <f t="shared" si="456"/>
        <v>0</v>
      </c>
      <c r="L163" s="15"/>
      <c r="M163" s="10">
        <f t="shared" si="457"/>
        <v>0</v>
      </c>
      <c r="N163" s="15"/>
      <c r="O163" s="10">
        <f t="shared" si="458"/>
        <v>0</v>
      </c>
      <c r="P163" s="15"/>
      <c r="Q163" s="10">
        <f t="shared" si="459"/>
        <v>0</v>
      </c>
      <c r="R163" s="15"/>
      <c r="S163" s="10">
        <f t="shared" si="460"/>
        <v>0</v>
      </c>
      <c r="T163" s="15"/>
      <c r="U163" s="10">
        <f t="shared" si="461"/>
        <v>0</v>
      </c>
      <c r="V163" s="15"/>
      <c r="W163" s="10">
        <f t="shared" si="462"/>
        <v>0</v>
      </c>
      <c r="X163" s="15"/>
      <c r="Y163" s="10">
        <f t="shared" si="463"/>
        <v>0</v>
      </c>
      <c r="Z163" s="15"/>
      <c r="AA163" s="10">
        <f t="shared" si="464"/>
        <v>0</v>
      </c>
      <c r="AB163" s="15"/>
      <c r="AC163" s="10">
        <f t="shared" si="465"/>
        <v>0</v>
      </c>
      <c r="AD163" s="15"/>
      <c r="AE163" s="10">
        <f t="shared" si="466"/>
        <v>0</v>
      </c>
      <c r="AF163" s="11">
        <f t="shared" si="467"/>
        <v>0</v>
      </c>
      <c r="AG163" s="12">
        <f t="shared" si="468"/>
        <v>0</v>
      </c>
      <c r="AH163" s="9"/>
      <c r="AI163" s="10">
        <f t="shared" si="469"/>
        <v>0</v>
      </c>
      <c r="AJ163" s="9"/>
      <c r="AK163" s="10">
        <f t="shared" si="470"/>
        <v>0</v>
      </c>
      <c r="AL163" s="9"/>
      <c r="AM163" s="10">
        <f t="shared" si="471"/>
        <v>0</v>
      </c>
      <c r="AN163" s="9"/>
      <c r="AO163" s="10">
        <f t="shared" si="472"/>
        <v>0</v>
      </c>
      <c r="AP163" s="9"/>
      <c r="AQ163" s="10">
        <f t="shared" si="473"/>
        <v>0</v>
      </c>
      <c r="AR163" s="9"/>
      <c r="AS163" s="10">
        <f t="shared" si="474"/>
        <v>0</v>
      </c>
      <c r="AT163" s="9"/>
      <c r="AU163" s="10">
        <f t="shared" si="475"/>
        <v>0</v>
      </c>
      <c r="AV163" s="9"/>
      <c r="AW163" s="10">
        <f t="shared" si="476"/>
        <v>0</v>
      </c>
      <c r="AX163" s="9"/>
      <c r="AY163" s="10">
        <f t="shared" si="477"/>
        <v>0</v>
      </c>
      <c r="AZ163" s="9"/>
      <c r="BA163" s="10">
        <f t="shared" si="478"/>
        <v>0</v>
      </c>
      <c r="BB163" s="9">
        <v>948</v>
      </c>
      <c r="BC163" s="10">
        <f t="shared" si="479"/>
        <v>663.59999999999991</v>
      </c>
      <c r="BD163" s="9">
        <v>900</v>
      </c>
      <c r="BE163" s="10">
        <f t="shared" si="480"/>
        <v>630</v>
      </c>
      <c r="BF163" s="11">
        <f t="shared" si="481"/>
        <v>1848</v>
      </c>
      <c r="BG163" s="12">
        <f t="shared" si="482"/>
        <v>1293.5999999999999</v>
      </c>
      <c r="BH163" s="15"/>
      <c r="BI163" s="10">
        <f t="shared" si="483"/>
        <v>0</v>
      </c>
      <c r="BJ163" s="15"/>
      <c r="BK163" s="10">
        <f t="shared" si="484"/>
        <v>0</v>
      </c>
      <c r="BL163" s="15"/>
      <c r="BM163" s="10">
        <f t="shared" si="485"/>
        <v>0</v>
      </c>
      <c r="BN163" s="15"/>
      <c r="BO163" s="10">
        <f t="shared" si="486"/>
        <v>0</v>
      </c>
      <c r="BP163" s="15"/>
      <c r="BQ163" s="10">
        <f t="shared" si="487"/>
        <v>0</v>
      </c>
      <c r="BR163" s="15"/>
      <c r="BS163" s="10">
        <f t="shared" si="488"/>
        <v>0</v>
      </c>
      <c r="BT163" s="15"/>
      <c r="BU163" s="10">
        <f t="shared" si="489"/>
        <v>0</v>
      </c>
      <c r="BV163" s="15"/>
      <c r="BW163" s="10">
        <f t="shared" si="490"/>
        <v>0</v>
      </c>
      <c r="BX163" s="15"/>
      <c r="BY163" s="10">
        <f t="shared" si="491"/>
        <v>0</v>
      </c>
      <c r="BZ163" s="15"/>
      <c r="CA163" s="10">
        <f t="shared" si="492"/>
        <v>0</v>
      </c>
      <c r="CB163" s="15"/>
      <c r="CC163" s="10">
        <f t="shared" si="493"/>
        <v>0</v>
      </c>
      <c r="CD163" s="15"/>
      <c r="CE163" s="10">
        <f t="shared" si="494"/>
        <v>0</v>
      </c>
      <c r="CF163" s="11">
        <f t="shared" si="495"/>
        <v>0</v>
      </c>
      <c r="CG163" s="12">
        <f t="shared" si="496"/>
        <v>0</v>
      </c>
      <c r="CH163" s="15"/>
      <c r="CI163" s="10">
        <f t="shared" si="497"/>
        <v>0</v>
      </c>
      <c r="CJ163" s="15">
        <v>6</v>
      </c>
      <c r="CK163" s="10">
        <f t="shared" si="498"/>
        <v>4.1999999999999993</v>
      </c>
      <c r="CL163" s="15">
        <v>600</v>
      </c>
      <c r="CM163" s="10">
        <f t="shared" si="499"/>
        <v>420</v>
      </c>
      <c r="CN163" s="15"/>
      <c r="CO163" s="10">
        <f t="shared" si="500"/>
        <v>0</v>
      </c>
      <c r="CP163" s="15">
        <v>600</v>
      </c>
      <c r="CQ163" s="10">
        <f t="shared" si="501"/>
        <v>420</v>
      </c>
      <c r="CR163" s="15"/>
      <c r="CS163" s="10">
        <f t="shared" si="502"/>
        <v>0</v>
      </c>
      <c r="CT163" s="15"/>
      <c r="CU163" s="10">
        <f t="shared" si="503"/>
        <v>0</v>
      </c>
      <c r="CV163" s="15">
        <v>600</v>
      </c>
      <c r="CW163" s="10">
        <f t="shared" si="504"/>
        <v>420</v>
      </c>
      <c r="CX163" s="15"/>
      <c r="CY163" s="10">
        <f t="shared" si="505"/>
        <v>0</v>
      </c>
      <c r="CZ163" s="15"/>
      <c r="DA163" s="10">
        <f t="shared" si="506"/>
        <v>0</v>
      </c>
      <c r="DB163" s="15"/>
      <c r="DC163" s="10">
        <f t="shared" si="507"/>
        <v>0</v>
      </c>
      <c r="DD163" s="15"/>
      <c r="DE163" s="10">
        <f t="shared" si="507"/>
        <v>0</v>
      </c>
      <c r="DF163" s="231">
        <f t="shared" si="522"/>
        <v>1806</v>
      </c>
      <c r="DG163" s="230">
        <f t="shared" si="508"/>
        <v>1264.1999999999998</v>
      </c>
      <c r="DH163" s="238">
        <v>900</v>
      </c>
      <c r="DI163" s="239">
        <f t="shared" si="523"/>
        <v>630</v>
      </c>
      <c r="DJ163" s="238"/>
      <c r="DK163" s="239">
        <f t="shared" si="524"/>
        <v>0</v>
      </c>
      <c r="DL163" s="238"/>
      <c r="DM163" s="239">
        <f t="shared" si="525"/>
        <v>0</v>
      </c>
      <c r="DN163" s="238"/>
      <c r="DO163" s="239">
        <f t="shared" si="526"/>
        <v>0</v>
      </c>
      <c r="DP163" s="238"/>
      <c r="DQ163" s="239">
        <f t="shared" si="527"/>
        <v>0</v>
      </c>
      <c r="DR163" s="238"/>
      <c r="DS163" s="239">
        <f t="shared" si="528"/>
        <v>0</v>
      </c>
      <c r="DT163" s="238"/>
      <c r="DU163" s="239">
        <f t="shared" si="529"/>
        <v>0</v>
      </c>
      <c r="DV163" s="238"/>
      <c r="DW163" s="239">
        <f t="shared" si="530"/>
        <v>0</v>
      </c>
      <c r="DX163" s="238"/>
      <c r="DY163" s="239">
        <f t="shared" si="531"/>
        <v>0</v>
      </c>
      <c r="DZ163" s="238"/>
      <c r="EA163" s="239">
        <f t="shared" si="532"/>
        <v>0</v>
      </c>
      <c r="EB163" s="238"/>
      <c r="EC163" s="239">
        <f t="shared" si="533"/>
        <v>0</v>
      </c>
      <c r="ED163" s="238"/>
      <c r="EE163" s="239">
        <f t="shared" si="534"/>
        <v>0</v>
      </c>
      <c r="EF163" s="240">
        <f t="shared" si="535"/>
        <v>900</v>
      </c>
      <c r="EG163" s="239">
        <f t="shared" si="535"/>
        <v>630</v>
      </c>
    </row>
    <row r="164" spans="1:137" ht="19.8">
      <c r="A164" s="29"/>
      <c r="B164" s="30"/>
      <c r="C164" s="30"/>
      <c r="D164" s="30"/>
      <c r="E164" s="30"/>
      <c r="F164" s="31"/>
      <c r="G164" s="31"/>
      <c r="H164" s="15"/>
      <c r="I164" s="10"/>
      <c r="J164" s="15"/>
      <c r="K164" s="10"/>
      <c r="L164" s="15"/>
      <c r="M164" s="10"/>
      <c r="N164" s="15"/>
      <c r="O164" s="10"/>
      <c r="P164" s="15"/>
      <c r="Q164" s="10"/>
      <c r="R164" s="15"/>
      <c r="S164" s="10"/>
      <c r="T164" s="15"/>
      <c r="U164" s="10"/>
      <c r="V164" s="15"/>
      <c r="W164" s="10"/>
      <c r="X164" s="15"/>
      <c r="Y164" s="10"/>
      <c r="Z164" s="15"/>
      <c r="AA164" s="10"/>
      <c r="AB164" s="15"/>
      <c r="AC164" s="10"/>
      <c r="AD164" s="15"/>
      <c r="AE164" s="10"/>
      <c r="AF164" s="11"/>
      <c r="AG164" s="12"/>
      <c r="AH164" s="15"/>
      <c r="AI164" s="10"/>
      <c r="AJ164" s="15"/>
      <c r="AK164" s="10"/>
      <c r="AL164" s="15"/>
      <c r="AM164" s="10"/>
      <c r="AN164" s="15"/>
      <c r="AO164" s="10"/>
      <c r="AP164" s="15"/>
      <c r="AQ164" s="10"/>
      <c r="AR164" s="15"/>
      <c r="AS164" s="10"/>
      <c r="AT164" s="15"/>
      <c r="AU164" s="10"/>
      <c r="AV164" s="15"/>
      <c r="AW164" s="10"/>
      <c r="AX164" s="15"/>
      <c r="AY164" s="10"/>
      <c r="AZ164" s="15"/>
      <c r="BA164" s="10"/>
      <c r="BB164" s="15"/>
      <c r="BC164" s="10"/>
      <c r="BD164" s="15"/>
      <c r="BE164" s="10"/>
      <c r="BF164" s="11"/>
      <c r="BG164" s="12"/>
      <c r="BH164" s="15"/>
      <c r="BI164" s="10"/>
      <c r="BJ164" s="15"/>
      <c r="BK164" s="10"/>
      <c r="BL164" s="15"/>
      <c r="BM164" s="10"/>
      <c r="BN164" s="15"/>
      <c r="BO164" s="10"/>
      <c r="BP164" s="15"/>
      <c r="BQ164" s="10"/>
      <c r="BR164" s="15"/>
      <c r="BS164" s="10"/>
      <c r="BT164" s="15"/>
      <c r="BU164" s="10"/>
      <c r="BV164" s="15"/>
      <c r="BW164" s="10"/>
      <c r="BX164" s="15"/>
      <c r="BY164" s="10"/>
      <c r="BZ164" s="15"/>
      <c r="CA164" s="10"/>
      <c r="CB164" s="15"/>
      <c r="CC164" s="10"/>
      <c r="CD164" s="15"/>
      <c r="CE164" s="10"/>
      <c r="CF164" s="11"/>
      <c r="CG164" s="12"/>
      <c r="CH164" s="15"/>
      <c r="CI164" s="10">
        <f t="shared" si="497"/>
        <v>0</v>
      </c>
      <c r="CJ164" s="15"/>
      <c r="CK164" s="10">
        <f t="shared" si="498"/>
        <v>0</v>
      </c>
      <c r="CL164" s="15"/>
      <c r="CM164" s="10">
        <f t="shared" si="499"/>
        <v>0</v>
      </c>
      <c r="CN164" s="15"/>
      <c r="CO164" s="10">
        <f t="shared" si="500"/>
        <v>0</v>
      </c>
      <c r="CP164" s="15"/>
      <c r="CQ164" s="10">
        <f t="shared" si="501"/>
        <v>0</v>
      </c>
      <c r="CR164" s="15"/>
      <c r="CS164" s="10">
        <f t="shared" si="502"/>
        <v>0</v>
      </c>
      <c r="CT164" s="15"/>
      <c r="CU164" s="10">
        <f t="shared" si="503"/>
        <v>0</v>
      </c>
      <c r="CV164" s="15"/>
      <c r="CW164" s="10">
        <f t="shared" si="504"/>
        <v>0</v>
      </c>
      <c r="CX164" s="15"/>
      <c r="CY164" s="10">
        <f t="shared" si="505"/>
        <v>0</v>
      </c>
      <c r="CZ164" s="15"/>
      <c r="DA164" s="10">
        <f t="shared" si="506"/>
        <v>0</v>
      </c>
      <c r="DB164" s="15"/>
      <c r="DC164" s="10">
        <f t="shared" si="507"/>
        <v>0</v>
      </c>
      <c r="DD164" s="15"/>
      <c r="DE164" s="10">
        <f t="shared" si="507"/>
        <v>0</v>
      </c>
      <c r="DF164" s="231">
        <f t="shared" si="522"/>
        <v>0</v>
      </c>
      <c r="DG164" s="230">
        <f t="shared" si="508"/>
        <v>0</v>
      </c>
      <c r="DH164" s="238"/>
      <c r="DI164" s="239"/>
      <c r="DJ164" s="238"/>
      <c r="DK164" s="239"/>
      <c r="DL164" s="238"/>
      <c r="DM164" s="239"/>
      <c r="DN164" s="238"/>
      <c r="DO164" s="239"/>
      <c r="DP164" s="238"/>
      <c r="DQ164" s="239"/>
      <c r="DR164" s="238"/>
      <c r="DS164" s="239"/>
      <c r="DT164" s="238"/>
      <c r="DU164" s="239"/>
      <c r="DV164" s="238"/>
      <c r="DW164" s="239"/>
      <c r="DX164" s="238"/>
      <c r="DY164" s="239"/>
      <c r="DZ164" s="238"/>
      <c r="EA164" s="239"/>
      <c r="EB164" s="238"/>
      <c r="EC164" s="239"/>
      <c r="ED164" s="238"/>
      <c r="EE164" s="239"/>
      <c r="EF164" s="240"/>
      <c r="EG164" s="239"/>
    </row>
    <row r="165" spans="1:137" ht="20.399999999999999">
      <c r="A165" s="32"/>
      <c r="B165" s="23" t="s">
        <v>117</v>
      </c>
      <c r="C165" s="23"/>
      <c r="D165" s="23"/>
      <c r="E165" s="23"/>
      <c r="F165" s="25"/>
      <c r="G165" s="25"/>
      <c r="H165" s="26">
        <f t="shared" ref="H165:BS165" si="536">SUM(H149:H164)</f>
        <v>22774</v>
      </c>
      <c r="I165" s="27">
        <f t="shared" si="536"/>
        <v>10488.625</v>
      </c>
      <c r="J165" s="26">
        <f t="shared" si="536"/>
        <v>41714</v>
      </c>
      <c r="K165" s="27">
        <f t="shared" si="536"/>
        <v>18415.075000000001</v>
      </c>
      <c r="L165" s="26">
        <f t="shared" si="536"/>
        <v>45588</v>
      </c>
      <c r="M165" s="27">
        <f t="shared" si="536"/>
        <v>19959.625</v>
      </c>
      <c r="N165" s="26">
        <f t="shared" si="536"/>
        <v>45598</v>
      </c>
      <c r="O165" s="27">
        <f t="shared" si="536"/>
        <v>20302.274999999998</v>
      </c>
      <c r="P165" s="26">
        <f t="shared" si="536"/>
        <v>49396</v>
      </c>
      <c r="Q165" s="27">
        <f t="shared" si="536"/>
        <v>21032.9</v>
      </c>
      <c r="R165" s="26">
        <f t="shared" si="536"/>
        <v>48007</v>
      </c>
      <c r="S165" s="27">
        <f t="shared" si="536"/>
        <v>19875.974999999999</v>
      </c>
      <c r="T165" s="26">
        <f t="shared" si="536"/>
        <v>42663</v>
      </c>
      <c r="U165" s="27">
        <f t="shared" si="536"/>
        <v>17462.2</v>
      </c>
      <c r="V165" s="26">
        <f t="shared" si="536"/>
        <v>60106</v>
      </c>
      <c r="W165" s="27">
        <f t="shared" si="536"/>
        <v>25058.424999999996</v>
      </c>
      <c r="X165" s="26">
        <f t="shared" si="536"/>
        <v>18000</v>
      </c>
      <c r="Y165" s="27">
        <f t="shared" si="536"/>
        <v>8177.9249999999993</v>
      </c>
      <c r="Z165" s="26">
        <f t="shared" si="536"/>
        <v>33051</v>
      </c>
      <c r="AA165" s="27">
        <f t="shared" si="536"/>
        <v>13151.599999999999</v>
      </c>
      <c r="AB165" s="26">
        <f t="shared" si="536"/>
        <v>40049</v>
      </c>
      <c r="AC165" s="27">
        <f t="shared" si="536"/>
        <v>16209.9</v>
      </c>
      <c r="AD165" s="26">
        <f t="shared" si="536"/>
        <v>47071</v>
      </c>
      <c r="AE165" s="27">
        <f t="shared" si="536"/>
        <v>18290.649999999998</v>
      </c>
      <c r="AF165" s="26">
        <f t="shared" si="536"/>
        <v>494017</v>
      </c>
      <c r="AG165" s="27">
        <f t="shared" si="536"/>
        <v>208425.17499999999</v>
      </c>
      <c r="AH165" s="26">
        <f t="shared" si="536"/>
        <v>43765</v>
      </c>
      <c r="AI165" s="27">
        <f t="shared" si="536"/>
        <v>17709.3</v>
      </c>
      <c r="AJ165" s="26">
        <f t="shared" si="536"/>
        <v>30367</v>
      </c>
      <c r="AK165" s="27">
        <f t="shared" si="536"/>
        <v>12399.8</v>
      </c>
      <c r="AL165" s="26">
        <f t="shared" si="536"/>
        <v>45367</v>
      </c>
      <c r="AM165" s="27">
        <f t="shared" si="536"/>
        <v>18019.050000000003</v>
      </c>
      <c r="AN165" s="26">
        <f t="shared" si="536"/>
        <v>33337</v>
      </c>
      <c r="AO165" s="27">
        <f t="shared" si="536"/>
        <v>13265</v>
      </c>
      <c r="AP165" s="26">
        <f t="shared" si="536"/>
        <v>46958</v>
      </c>
      <c r="AQ165" s="27">
        <f t="shared" si="536"/>
        <v>18144</v>
      </c>
      <c r="AR165" s="26">
        <f t="shared" si="536"/>
        <v>34109</v>
      </c>
      <c r="AS165" s="27">
        <f t="shared" si="536"/>
        <v>13169.8</v>
      </c>
      <c r="AT165" s="26">
        <f t="shared" si="536"/>
        <v>37007</v>
      </c>
      <c r="AU165" s="27">
        <f t="shared" si="536"/>
        <v>13854.575000000001</v>
      </c>
      <c r="AV165" s="26">
        <f t="shared" si="536"/>
        <v>36679</v>
      </c>
      <c r="AW165" s="27">
        <f t="shared" si="536"/>
        <v>13885.724999999999</v>
      </c>
      <c r="AX165" s="26">
        <f t="shared" si="536"/>
        <v>40064</v>
      </c>
      <c r="AY165" s="27">
        <f t="shared" si="536"/>
        <v>15046.149999999998</v>
      </c>
      <c r="AZ165" s="26">
        <f t="shared" si="536"/>
        <v>40279</v>
      </c>
      <c r="BA165" s="27">
        <f t="shared" si="536"/>
        <v>15073.099999999999</v>
      </c>
      <c r="BB165" s="26">
        <f t="shared" si="536"/>
        <v>28966</v>
      </c>
      <c r="BC165" s="27">
        <f t="shared" si="536"/>
        <v>11307.975</v>
      </c>
      <c r="BD165" s="26">
        <f t="shared" si="536"/>
        <v>30307</v>
      </c>
      <c r="BE165" s="27">
        <f t="shared" si="536"/>
        <v>11682.825000000001</v>
      </c>
      <c r="BF165" s="26">
        <f t="shared" si="536"/>
        <v>447205</v>
      </c>
      <c r="BG165" s="27">
        <f t="shared" si="536"/>
        <v>173557.3</v>
      </c>
      <c r="BH165" s="26">
        <f t="shared" si="536"/>
        <v>38283</v>
      </c>
      <c r="BI165" s="27">
        <f t="shared" si="536"/>
        <v>14439.425000000001</v>
      </c>
      <c r="BJ165" s="26">
        <f t="shared" si="536"/>
        <v>35363</v>
      </c>
      <c r="BK165" s="27">
        <f t="shared" si="536"/>
        <v>12961.374999999998</v>
      </c>
      <c r="BL165" s="26">
        <f t="shared" si="536"/>
        <v>45883</v>
      </c>
      <c r="BM165" s="27">
        <f t="shared" si="536"/>
        <v>17448.55</v>
      </c>
      <c r="BN165" s="26">
        <f t="shared" si="536"/>
        <v>8643</v>
      </c>
      <c r="BO165" s="27">
        <f t="shared" si="536"/>
        <v>3102.05</v>
      </c>
      <c r="BP165" s="26">
        <f t="shared" si="536"/>
        <v>11318</v>
      </c>
      <c r="BQ165" s="27">
        <f t="shared" si="536"/>
        <v>4250.2249999999995</v>
      </c>
      <c r="BR165" s="26">
        <f t="shared" si="536"/>
        <v>9981</v>
      </c>
      <c r="BS165" s="27">
        <f t="shared" si="536"/>
        <v>3866.2749999999996</v>
      </c>
      <c r="BT165" s="26">
        <f t="shared" ref="BT165:EE165" si="537">SUM(BT149:BT164)</f>
        <v>9885</v>
      </c>
      <c r="BU165" s="27">
        <f t="shared" si="537"/>
        <v>3798.5499999999997</v>
      </c>
      <c r="BV165" s="26">
        <f t="shared" si="537"/>
        <v>9140</v>
      </c>
      <c r="BW165" s="27">
        <f t="shared" si="537"/>
        <v>3550.9249999999997</v>
      </c>
      <c r="BX165" s="26">
        <f t="shared" si="537"/>
        <v>8186</v>
      </c>
      <c r="BY165" s="27">
        <f t="shared" si="537"/>
        <v>3482.4999999999995</v>
      </c>
      <c r="BZ165" s="26">
        <f t="shared" si="537"/>
        <v>7568</v>
      </c>
      <c r="CA165" s="27">
        <f t="shared" si="537"/>
        <v>3160.5</v>
      </c>
      <c r="CB165" s="26">
        <f t="shared" si="537"/>
        <v>6712</v>
      </c>
      <c r="CC165" s="27">
        <f t="shared" si="537"/>
        <v>3057.7749999999996</v>
      </c>
      <c r="CD165" s="26">
        <f t="shared" si="537"/>
        <v>3459</v>
      </c>
      <c r="CE165" s="27">
        <f t="shared" si="537"/>
        <v>1684.55</v>
      </c>
      <c r="CF165" s="26">
        <f t="shared" si="537"/>
        <v>194421</v>
      </c>
      <c r="CG165" s="27">
        <f t="shared" si="537"/>
        <v>74802.700000000012</v>
      </c>
      <c r="CH165" s="26">
        <f t="shared" si="537"/>
        <v>4660</v>
      </c>
      <c r="CI165" s="27">
        <f t="shared" si="537"/>
        <v>2026.4999999999998</v>
      </c>
      <c r="CJ165" s="26">
        <f t="shared" si="537"/>
        <v>4535</v>
      </c>
      <c r="CK165" s="27">
        <f t="shared" si="537"/>
        <v>1934.9750000000001</v>
      </c>
      <c r="CL165" s="26">
        <f t="shared" si="537"/>
        <v>5246</v>
      </c>
      <c r="CM165" s="27">
        <f t="shared" si="537"/>
        <v>2298.2749999999996</v>
      </c>
      <c r="CN165" s="26">
        <f t="shared" si="537"/>
        <v>2222</v>
      </c>
      <c r="CO165" s="27">
        <f t="shared" si="537"/>
        <v>1050.7</v>
      </c>
      <c r="CP165" s="26">
        <f t="shared" si="537"/>
        <v>3958</v>
      </c>
      <c r="CQ165" s="27">
        <f t="shared" si="537"/>
        <v>1910.6499999999999</v>
      </c>
      <c r="CR165" s="26">
        <f t="shared" si="537"/>
        <v>2725</v>
      </c>
      <c r="CS165" s="27">
        <f t="shared" si="537"/>
        <v>1233.75</v>
      </c>
      <c r="CT165" s="26">
        <f t="shared" si="537"/>
        <v>2878</v>
      </c>
      <c r="CU165" s="27">
        <f t="shared" si="537"/>
        <v>1360.625</v>
      </c>
      <c r="CV165" s="26">
        <f t="shared" si="537"/>
        <v>3064</v>
      </c>
      <c r="CW165" s="27">
        <f t="shared" si="537"/>
        <v>1589.875</v>
      </c>
      <c r="CX165" s="26">
        <f t="shared" si="537"/>
        <v>1290</v>
      </c>
      <c r="CY165" s="27">
        <f t="shared" si="537"/>
        <v>771.39999999999986</v>
      </c>
      <c r="CZ165" s="26">
        <f t="shared" si="537"/>
        <v>1254</v>
      </c>
      <c r="DA165" s="27">
        <f t="shared" si="537"/>
        <v>753.89999999999986</v>
      </c>
      <c r="DB165" s="26">
        <f t="shared" si="537"/>
        <v>985</v>
      </c>
      <c r="DC165" s="27">
        <f t="shared" si="537"/>
        <v>595.34999999999991</v>
      </c>
      <c r="DD165" s="26">
        <f t="shared" si="537"/>
        <v>2803</v>
      </c>
      <c r="DE165" s="27">
        <f t="shared" si="537"/>
        <v>1258.5999999999999</v>
      </c>
      <c r="DF165" s="26">
        <f>SUM(DF149:DF164)</f>
        <v>35620</v>
      </c>
      <c r="DG165" s="27">
        <f t="shared" si="537"/>
        <v>16784.599999999999</v>
      </c>
      <c r="DH165" s="242">
        <f t="shared" si="537"/>
        <v>2728</v>
      </c>
      <c r="DI165" s="243">
        <f t="shared" si="537"/>
        <v>1372.35</v>
      </c>
      <c r="DJ165" s="242">
        <f t="shared" si="537"/>
        <v>1294</v>
      </c>
      <c r="DK165" s="243">
        <f t="shared" si="537"/>
        <v>698.59999999999991</v>
      </c>
      <c r="DL165" s="242">
        <f t="shared" si="537"/>
        <v>0</v>
      </c>
      <c r="DM165" s="243">
        <f t="shared" si="537"/>
        <v>0</v>
      </c>
      <c r="DN165" s="242">
        <f t="shared" si="537"/>
        <v>0</v>
      </c>
      <c r="DO165" s="243">
        <f t="shared" si="537"/>
        <v>0</v>
      </c>
      <c r="DP165" s="242">
        <f t="shared" si="537"/>
        <v>0</v>
      </c>
      <c r="DQ165" s="243">
        <f t="shared" si="537"/>
        <v>0</v>
      </c>
      <c r="DR165" s="242">
        <f t="shared" si="537"/>
        <v>0</v>
      </c>
      <c r="DS165" s="243">
        <f t="shared" si="537"/>
        <v>0</v>
      </c>
      <c r="DT165" s="242">
        <f t="shared" si="537"/>
        <v>0</v>
      </c>
      <c r="DU165" s="243">
        <f t="shared" si="537"/>
        <v>0</v>
      </c>
      <c r="DV165" s="242">
        <f t="shared" si="537"/>
        <v>0</v>
      </c>
      <c r="DW165" s="243">
        <f t="shared" si="537"/>
        <v>0</v>
      </c>
      <c r="DX165" s="242">
        <f t="shared" si="537"/>
        <v>0</v>
      </c>
      <c r="DY165" s="243">
        <f t="shared" si="537"/>
        <v>0</v>
      </c>
      <c r="DZ165" s="242">
        <f t="shared" si="537"/>
        <v>0</v>
      </c>
      <c r="EA165" s="243">
        <f t="shared" si="537"/>
        <v>0</v>
      </c>
      <c r="EB165" s="242">
        <f t="shared" si="537"/>
        <v>0</v>
      </c>
      <c r="EC165" s="243">
        <f t="shared" si="537"/>
        <v>0</v>
      </c>
      <c r="ED165" s="242">
        <f t="shared" si="537"/>
        <v>0</v>
      </c>
      <c r="EE165" s="243">
        <f t="shared" si="537"/>
        <v>0</v>
      </c>
      <c r="EF165" s="242">
        <f t="shared" ref="EF165:EG165" si="538">SUM(EF149:EF164)</f>
        <v>4022</v>
      </c>
      <c r="EG165" s="243">
        <f t="shared" si="538"/>
        <v>2070.9499999999998</v>
      </c>
    </row>
    <row r="166" spans="1:137" ht="20.399999999999999">
      <c r="A166" s="33"/>
      <c r="B166" s="34" t="s">
        <v>118</v>
      </c>
      <c r="C166" s="34"/>
      <c r="D166" s="34"/>
      <c r="E166" s="34"/>
      <c r="F166" s="34"/>
      <c r="G166" s="34"/>
      <c r="H166" s="35">
        <f t="shared" ref="H166:BS166" si="539">+H148+H165</f>
        <v>2928170</v>
      </c>
      <c r="I166" s="36">
        <f t="shared" si="539"/>
        <v>1984319.9650000001</v>
      </c>
      <c r="J166" s="35">
        <f t="shared" si="539"/>
        <v>2717042</v>
      </c>
      <c r="K166" s="36">
        <f t="shared" si="539"/>
        <v>1840323.355</v>
      </c>
      <c r="L166" s="35">
        <f t="shared" si="539"/>
        <v>4048021</v>
      </c>
      <c r="M166" s="36">
        <f t="shared" si="539"/>
        <v>2721791.9849999999</v>
      </c>
      <c r="N166" s="35">
        <f t="shared" si="539"/>
        <v>3071801</v>
      </c>
      <c r="O166" s="36">
        <f t="shared" si="539"/>
        <v>2106247.9950000001</v>
      </c>
      <c r="P166" s="35">
        <f t="shared" si="539"/>
        <v>2937131</v>
      </c>
      <c r="Q166" s="36">
        <f t="shared" si="539"/>
        <v>2028024.86</v>
      </c>
      <c r="R166" s="35">
        <f t="shared" si="539"/>
        <v>3051201</v>
      </c>
      <c r="S166" s="36">
        <f t="shared" si="539"/>
        <v>2107873.1349999998</v>
      </c>
      <c r="T166" s="35">
        <f t="shared" si="539"/>
        <v>2879009</v>
      </c>
      <c r="U166" s="36">
        <f t="shared" si="539"/>
        <v>1960811.6200000003</v>
      </c>
      <c r="V166" s="35">
        <f t="shared" si="539"/>
        <v>3543203</v>
      </c>
      <c r="W166" s="36">
        <f t="shared" si="539"/>
        <v>2451594.3450000002</v>
      </c>
      <c r="X166" s="35">
        <f t="shared" si="539"/>
        <v>2454131</v>
      </c>
      <c r="Y166" s="36">
        <f t="shared" si="539"/>
        <v>1702577.1349999998</v>
      </c>
      <c r="Z166" s="35">
        <f t="shared" si="539"/>
        <v>2541231</v>
      </c>
      <c r="AA166" s="36">
        <f t="shared" si="539"/>
        <v>1747596.6300000001</v>
      </c>
      <c r="AB166" s="35">
        <f t="shared" si="539"/>
        <v>2628058</v>
      </c>
      <c r="AC166" s="36">
        <f t="shared" si="539"/>
        <v>1799711.9200000002</v>
      </c>
      <c r="AD166" s="35">
        <f t="shared" si="539"/>
        <v>2910719</v>
      </c>
      <c r="AE166" s="36">
        <f t="shared" si="539"/>
        <v>2010676.5599999998</v>
      </c>
      <c r="AF166" s="35">
        <f t="shared" si="539"/>
        <v>35709717</v>
      </c>
      <c r="AG166" s="36">
        <f t="shared" si="539"/>
        <v>24461549.505000003</v>
      </c>
      <c r="AH166" s="35">
        <f t="shared" si="539"/>
        <v>3072046</v>
      </c>
      <c r="AI166" s="36">
        <f t="shared" si="539"/>
        <v>2140770.4799999991</v>
      </c>
      <c r="AJ166" s="35">
        <f t="shared" si="539"/>
        <v>2510942</v>
      </c>
      <c r="AK166" s="36">
        <f t="shared" si="539"/>
        <v>1745004.1</v>
      </c>
      <c r="AL166" s="35">
        <f t="shared" si="539"/>
        <v>3318438</v>
      </c>
      <c r="AM166" s="36">
        <f t="shared" si="539"/>
        <v>2300664.71</v>
      </c>
      <c r="AN166" s="35">
        <f t="shared" si="539"/>
        <v>2643278</v>
      </c>
      <c r="AO166" s="36">
        <f t="shared" si="539"/>
        <v>1864931.2400000005</v>
      </c>
      <c r="AP166" s="35">
        <f t="shared" si="539"/>
        <v>2637510</v>
      </c>
      <c r="AQ166" s="36">
        <f t="shared" si="539"/>
        <v>1909903.9900000002</v>
      </c>
      <c r="AR166" s="35">
        <f t="shared" si="539"/>
        <v>2488674</v>
      </c>
      <c r="AS166" s="36">
        <f t="shared" si="539"/>
        <v>1838620.8099999998</v>
      </c>
      <c r="AT166" s="35">
        <f t="shared" si="539"/>
        <v>2816255</v>
      </c>
      <c r="AU166" s="36">
        <f t="shared" si="539"/>
        <v>2030192.6350000005</v>
      </c>
      <c r="AV166" s="35">
        <f t="shared" si="539"/>
        <v>2977552</v>
      </c>
      <c r="AW166" s="36">
        <f t="shared" si="539"/>
        <v>2146986.1049999995</v>
      </c>
      <c r="AX166" s="35">
        <f t="shared" si="539"/>
        <v>2078733</v>
      </c>
      <c r="AY166" s="36">
        <f t="shared" si="539"/>
        <v>1480491.7799999996</v>
      </c>
      <c r="AZ166" s="35">
        <f t="shared" si="539"/>
        <v>2361910</v>
      </c>
      <c r="BA166" s="36">
        <f t="shared" si="539"/>
        <v>1701634.8200000005</v>
      </c>
      <c r="BB166" s="35">
        <f t="shared" si="539"/>
        <v>2386137</v>
      </c>
      <c r="BC166" s="36">
        <f t="shared" si="539"/>
        <v>1736022.1550000003</v>
      </c>
      <c r="BD166" s="35">
        <f t="shared" si="539"/>
        <v>2584267</v>
      </c>
      <c r="BE166" s="36">
        <f t="shared" si="539"/>
        <v>1883185.5150000001</v>
      </c>
      <c r="BF166" s="35">
        <f t="shared" si="539"/>
        <v>31875742</v>
      </c>
      <c r="BG166" s="36">
        <f t="shared" si="539"/>
        <v>22778408.340000007</v>
      </c>
      <c r="BH166" s="35">
        <f t="shared" si="539"/>
        <v>2673784</v>
      </c>
      <c r="BI166" s="36">
        <f t="shared" si="539"/>
        <v>1959919.1850000005</v>
      </c>
      <c r="BJ166" s="35">
        <f t="shared" si="539"/>
        <v>2223968</v>
      </c>
      <c r="BK166" s="36">
        <f t="shared" si="539"/>
        <v>1626376.8649999998</v>
      </c>
      <c r="BL166" s="35">
        <f t="shared" si="539"/>
        <v>2513444</v>
      </c>
      <c r="BM166" s="36">
        <f t="shared" si="539"/>
        <v>1850373.7799999998</v>
      </c>
      <c r="BN166" s="35">
        <f t="shared" si="539"/>
        <v>2449899</v>
      </c>
      <c r="BO166" s="36">
        <f t="shared" si="539"/>
        <v>1826838.24</v>
      </c>
      <c r="BP166" s="35">
        <f t="shared" si="539"/>
        <v>2535824</v>
      </c>
      <c r="BQ166" s="36">
        <f t="shared" si="539"/>
        <v>1880854.165</v>
      </c>
      <c r="BR166" s="35">
        <f t="shared" si="539"/>
        <v>2801965</v>
      </c>
      <c r="BS166" s="36">
        <f t="shared" si="539"/>
        <v>2097815.7349999999</v>
      </c>
      <c r="BT166" s="35">
        <f t="shared" ref="BT166:EE166" si="540">+BT148+BT165</f>
        <v>2572127</v>
      </c>
      <c r="BU166" s="36">
        <f t="shared" si="540"/>
        <v>1932913.0700000003</v>
      </c>
      <c r="BV166" s="35">
        <f t="shared" si="540"/>
        <v>2272679</v>
      </c>
      <c r="BW166" s="36">
        <f t="shared" si="540"/>
        <v>1699599.8250000002</v>
      </c>
      <c r="BX166" s="35">
        <f t="shared" si="540"/>
        <v>2152793</v>
      </c>
      <c r="BY166" s="36">
        <f t="shared" si="540"/>
        <v>1618748.5200000005</v>
      </c>
      <c r="BZ166" s="35">
        <f t="shared" si="540"/>
        <v>2513135</v>
      </c>
      <c r="CA166" s="36">
        <f t="shared" si="540"/>
        <v>1888063.8399999999</v>
      </c>
      <c r="CB166" s="35">
        <f t="shared" si="540"/>
        <v>2324305</v>
      </c>
      <c r="CC166" s="36">
        <f t="shared" si="540"/>
        <v>1717228.2350000006</v>
      </c>
      <c r="CD166" s="35">
        <f t="shared" si="540"/>
        <v>2221681</v>
      </c>
      <c r="CE166" s="36">
        <f t="shared" si="540"/>
        <v>1648400.1299999997</v>
      </c>
      <c r="CF166" s="35">
        <f t="shared" si="540"/>
        <v>29255604</v>
      </c>
      <c r="CG166" s="36">
        <f t="shared" si="540"/>
        <v>21747131.589999996</v>
      </c>
      <c r="CH166" s="35">
        <f t="shared" si="540"/>
        <v>2092778</v>
      </c>
      <c r="CI166" s="36">
        <f t="shared" si="540"/>
        <v>1575249.7000000004</v>
      </c>
      <c r="CJ166" s="35">
        <f t="shared" si="540"/>
        <v>2123672</v>
      </c>
      <c r="CK166" s="36">
        <f t="shared" si="540"/>
        <v>1590052.2650000001</v>
      </c>
      <c r="CL166" s="35">
        <f t="shared" si="540"/>
        <v>3123677</v>
      </c>
      <c r="CM166" s="36">
        <f t="shared" si="540"/>
        <v>2363237.8649999998</v>
      </c>
      <c r="CN166" s="35">
        <f t="shared" si="540"/>
        <v>1796961</v>
      </c>
      <c r="CO166" s="36">
        <f t="shared" si="540"/>
        <v>1332694.5799999996</v>
      </c>
      <c r="CP166" s="35">
        <f t="shared" si="540"/>
        <v>2225681</v>
      </c>
      <c r="CQ166" s="36">
        <f t="shared" si="540"/>
        <v>1684842.8699999994</v>
      </c>
      <c r="CR166" s="35">
        <f t="shared" si="540"/>
        <v>2282325</v>
      </c>
      <c r="CS166" s="36">
        <f t="shared" si="540"/>
        <v>1733339.13</v>
      </c>
      <c r="CT166" s="35">
        <f t="shared" si="540"/>
        <v>2254206</v>
      </c>
      <c r="CU166" s="36">
        <f t="shared" si="540"/>
        <v>1700617.4950000001</v>
      </c>
      <c r="CV166" s="35">
        <f t="shared" si="540"/>
        <v>2242587</v>
      </c>
      <c r="CW166" s="36">
        <f t="shared" si="540"/>
        <v>1690875.825</v>
      </c>
      <c r="CX166" s="35">
        <f t="shared" si="540"/>
        <v>2125831</v>
      </c>
      <c r="CY166" s="36">
        <f t="shared" si="540"/>
        <v>1606989.0999999999</v>
      </c>
      <c r="CZ166" s="35">
        <f t="shared" si="540"/>
        <v>2220817</v>
      </c>
      <c r="DA166" s="36">
        <f t="shared" si="540"/>
        <v>1676924.1599999997</v>
      </c>
      <c r="DB166" s="35">
        <f t="shared" si="540"/>
        <v>2096739</v>
      </c>
      <c r="DC166" s="36">
        <f t="shared" si="540"/>
        <v>1581186.6100000003</v>
      </c>
      <c r="DD166" s="35">
        <f t="shared" si="540"/>
        <v>2255371</v>
      </c>
      <c r="DE166" s="36">
        <f t="shared" si="540"/>
        <v>1707330.6200000003</v>
      </c>
      <c r="DF166" s="35">
        <f>+DF148+DF165</f>
        <v>26840645</v>
      </c>
      <c r="DG166" s="245">
        <f t="shared" si="540"/>
        <v>20243340.219999995</v>
      </c>
      <c r="DH166" s="246">
        <f t="shared" si="540"/>
        <v>2173076</v>
      </c>
      <c r="DI166" s="247">
        <f t="shared" si="540"/>
        <v>1643373.6700000004</v>
      </c>
      <c r="DJ166" s="246">
        <f t="shared" si="540"/>
        <v>1965863</v>
      </c>
      <c r="DK166" s="247">
        <f t="shared" si="540"/>
        <v>1495200.9900000005</v>
      </c>
      <c r="DL166" s="246">
        <f t="shared" si="540"/>
        <v>0</v>
      </c>
      <c r="DM166" s="247">
        <f t="shared" si="540"/>
        <v>0</v>
      </c>
      <c r="DN166" s="246">
        <f t="shared" si="540"/>
        <v>0</v>
      </c>
      <c r="DO166" s="247">
        <f t="shared" si="540"/>
        <v>0</v>
      </c>
      <c r="DP166" s="246">
        <f t="shared" si="540"/>
        <v>0</v>
      </c>
      <c r="DQ166" s="247">
        <f t="shared" si="540"/>
        <v>0</v>
      </c>
      <c r="DR166" s="246">
        <f t="shared" si="540"/>
        <v>0</v>
      </c>
      <c r="DS166" s="247">
        <f t="shared" si="540"/>
        <v>0</v>
      </c>
      <c r="DT166" s="246">
        <f t="shared" si="540"/>
        <v>0</v>
      </c>
      <c r="DU166" s="247">
        <f t="shared" si="540"/>
        <v>0</v>
      </c>
      <c r="DV166" s="246">
        <f t="shared" si="540"/>
        <v>0</v>
      </c>
      <c r="DW166" s="247">
        <f t="shared" si="540"/>
        <v>0</v>
      </c>
      <c r="DX166" s="246">
        <f t="shared" si="540"/>
        <v>0</v>
      </c>
      <c r="DY166" s="247">
        <f t="shared" si="540"/>
        <v>0</v>
      </c>
      <c r="DZ166" s="246">
        <f t="shared" si="540"/>
        <v>0</v>
      </c>
      <c r="EA166" s="247">
        <f t="shared" si="540"/>
        <v>0</v>
      </c>
      <c r="EB166" s="246">
        <f t="shared" si="540"/>
        <v>0</v>
      </c>
      <c r="EC166" s="247">
        <f t="shared" si="540"/>
        <v>0</v>
      </c>
      <c r="ED166" s="246">
        <f t="shared" si="540"/>
        <v>0</v>
      </c>
      <c r="EE166" s="247">
        <f t="shared" si="540"/>
        <v>0</v>
      </c>
      <c r="EF166" s="246">
        <f t="shared" ref="EF166:EG166" si="541">+EF148+EF165</f>
        <v>4138939</v>
      </c>
      <c r="EG166" s="247">
        <f t="shared" si="541"/>
        <v>3138574.6600000006</v>
      </c>
    </row>
    <row r="169" spans="1:137">
      <c r="CH169" s="39"/>
      <c r="CI169" s="39"/>
      <c r="CJ169" s="39"/>
      <c r="CK169" s="39"/>
      <c r="CL169" s="39"/>
      <c r="CM169" s="40"/>
      <c r="CN169" s="39"/>
      <c r="CO169" s="40"/>
      <c r="CP169" s="39"/>
      <c r="CQ169" s="40"/>
      <c r="CT169" s="41"/>
      <c r="CU169" s="42"/>
      <c r="CV169" s="39"/>
      <c r="CW169" s="40"/>
    </row>
    <row r="170" spans="1:137" ht="18.75" customHeight="1">
      <c r="A170" s="264" t="s">
        <v>1</v>
      </c>
      <c r="B170" s="264" t="s">
        <v>2</v>
      </c>
      <c r="C170" s="264"/>
      <c r="D170" s="262" t="s">
        <v>3</v>
      </c>
      <c r="E170" s="262" t="s">
        <v>4</v>
      </c>
      <c r="F170" s="262" t="s">
        <v>5</v>
      </c>
      <c r="G170" s="264" t="s">
        <v>6</v>
      </c>
      <c r="H170" s="256">
        <v>44562</v>
      </c>
      <c r="I170" s="257"/>
      <c r="J170" s="256">
        <v>44593</v>
      </c>
      <c r="K170" s="257"/>
      <c r="L170" s="256">
        <v>44621</v>
      </c>
      <c r="M170" s="257"/>
      <c r="N170" s="256">
        <v>44652</v>
      </c>
      <c r="O170" s="257"/>
      <c r="P170" s="256">
        <v>44682</v>
      </c>
      <c r="Q170" s="257"/>
      <c r="R170" s="256">
        <v>44713</v>
      </c>
      <c r="S170" s="257"/>
      <c r="T170" s="256">
        <v>44743</v>
      </c>
      <c r="U170" s="257"/>
      <c r="V170" s="256">
        <v>44774</v>
      </c>
      <c r="W170" s="257"/>
      <c r="X170" s="256">
        <v>44805</v>
      </c>
      <c r="Y170" s="257"/>
      <c r="Z170" s="256">
        <v>44835</v>
      </c>
      <c r="AA170" s="257"/>
      <c r="AB170" s="256">
        <v>44866</v>
      </c>
      <c r="AC170" s="257"/>
      <c r="AD170" s="256">
        <v>44896</v>
      </c>
      <c r="AE170" s="257"/>
      <c r="AF170" s="260" t="s">
        <v>315</v>
      </c>
      <c r="AG170" s="261"/>
      <c r="AH170" s="256">
        <v>44927</v>
      </c>
      <c r="AI170" s="257"/>
      <c r="AJ170" s="256">
        <v>44958</v>
      </c>
      <c r="AK170" s="257"/>
      <c r="AL170" s="256">
        <v>44986</v>
      </c>
      <c r="AM170" s="257"/>
      <c r="AN170" s="256">
        <v>45017</v>
      </c>
      <c r="AO170" s="257"/>
      <c r="AP170" s="256">
        <v>45047</v>
      </c>
      <c r="AQ170" s="257"/>
      <c r="AR170" s="256">
        <v>45078</v>
      </c>
      <c r="AS170" s="257"/>
      <c r="AT170" s="256">
        <v>45108</v>
      </c>
      <c r="AU170" s="257"/>
      <c r="AV170" s="256">
        <v>45139</v>
      </c>
      <c r="AW170" s="257"/>
      <c r="AX170" s="256">
        <v>45170</v>
      </c>
      <c r="AY170" s="257"/>
      <c r="AZ170" s="256">
        <v>45200</v>
      </c>
      <c r="BA170" s="257"/>
      <c r="BB170" s="256">
        <v>45231</v>
      </c>
      <c r="BC170" s="257"/>
      <c r="BD170" s="256">
        <v>45261</v>
      </c>
      <c r="BE170" s="257"/>
      <c r="BF170" s="260" t="s">
        <v>316</v>
      </c>
      <c r="BG170" s="261"/>
      <c r="BH170" s="256">
        <v>45292</v>
      </c>
      <c r="BI170" s="257"/>
      <c r="BJ170" s="256">
        <v>45323</v>
      </c>
      <c r="BK170" s="257"/>
      <c r="BL170" s="256">
        <v>45352</v>
      </c>
      <c r="BM170" s="257"/>
      <c r="BN170" s="256">
        <v>45383</v>
      </c>
      <c r="BO170" s="257"/>
      <c r="BP170" s="256">
        <v>45413</v>
      </c>
      <c r="BQ170" s="257"/>
      <c r="BR170" s="256">
        <v>45444</v>
      </c>
      <c r="BS170" s="257"/>
      <c r="BT170" s="256">
        <v>45474</v>
      </c>
      <c r="BU170" s="257"/>
      <c r="BV170" s="256">
        <v>45505</v>
      </c>
      <c r="BW170" s="257"/>
      <c r="BX170" s="256">
        <v>45536</v>
      </c>
      <c r="BY170" s="257"/>
      <c r="BZ170" s="256">
        <v>45566</v>
      </c>
      <c r="CA170" s="257"/>
      <c r="CB170" s="256">
        <v>45597</v>
      </c>
      <c r="CC170" s="257"/>
      <c r="CD170" s="256">
        <v>45627</v>
      </c>
      <c r="CE170" s="257"/>
      <c r="CF170" s="260" t="s">
        <v>317</v>
      </c>
      <c r="CG170" s="261"/>
      <c r="CH170" s="256">
        <v>45658</v>
      </c>
      <c r="CI170" s="257"/>
      <c r="CJ170" s="256">
        <v>45689</v>
      </c>
      <c r="CK170" s="257"/>
      <c r="CL170" s="256">
        <v>45717</v>
      </c>
      <c r="CM170" s="257"/>
      <c r="CN170" s="256">
        <v>45748</v>
      </c>
      <c r="CO170" s="257"/>
      <c r="CP170" s="256">
        <v>45778</v>
      </c>
      <c r="CQ170" s="257"/>
      <c r="CR170" s="256">
        <v>45809</v>
      </c>
      <c r="CS170" s="257"/>
      <c r="CT170" s="256">
        <v>45839</v>
      </c>
      <c r="CU170" s="257"/>
      <c r="CV170" s="256">
        <v>45870</v>
      </c>
      <c r="CW170" s="257"/>
      <c r="CX170" s="256">
        <v>45901</v>
      </c>
      <c r="CY170" s="257"/>
      <c r="CZ170" s="256">
        <v>45931</v>
      </c>
      <c r="DA170" s="257"/>
      <c r="DB170" s="256">
        <v>45962</v>
      </c>
      <c r="DC170" s="257"/>
      <c r="DD170" s="256">
        <v>45992</v>
      </c>
      <c r="DE170" s="257"/>
      <c r="DF170" s="258" t="s">
        <v>7</v>
      </c>
      <c r="DG170" s="259"/>
      <c r="DH170" s="256">
        <v>46023</v>
      </c>
      <c r="DI170" s="257"/>
      <c r="DJ170" s="256">
        <v>46054</v>
      </c>
      <c r="DK170" s="257"/>
      <c r="DL170" s="256">
        <v>46082</v>
      </c>
      <c r="DM170" s="257"/>
      <c r="DN170" s="256">
        <v>46113</v>
      </c>
      <c r="DO170" s="257"/>
      <c r="DP170" s="256">
        <v>46143</v>
      </c>
      <c r="DQ170" s="257"/>
      <c r="DR170" s="256">
        <v>46174</v>
      </c>
      <c r="DS170" s="257"/>
      <c r="DT170" s="256">
        <v>46204</v>
      </c>
      <c r="DU170" s="257"/>
      <c r="DV170" s="256">
        <v>46235</v>
      </c>
      <c r="DW170" s="257"/>
      <c r="DX170" s="256">
        <v>46266</v>
      </c>
      <c r="DY170" s="257"/>
      <c r="DZ170" s="256">
        <v>46296</v>
      </c>
      <c r="EA170" s="257"/>
      <c r="EB170" s="256">
        <v>46327</v>
      </c>
      <c r="EC170" s="257"/>
      <c r="ED170" s="256">
        <v>46357</v>
      </c>
      <c r="EE170" s="257"/>
      <c r="EF170" s="258" t="s">
        <v>328</v>
      </c>
      <c r="EG170" s="259"/>
    </row>
    <row r="171" spans="1:137" ht="18.75" customHeight="1">
      <c r="A171" s="269"/>
      <c r="B171" s="269"/>
      <c r="C171" s="269"/>
      <c r="D171" s="263"/>
      <c r="E171" s="263"/>
      <c r="F171" s="263"/>
      <c r="G171" s="263"/>
      <c r="H171" s="3" t="s">
        <v>8</v>
      </c>
      <c r="I171" s="4" t="s">
        <v>9</v>
      </c>
      <c r="J171" s="3" t="s">
        <v>8</v>
      </c>
      <c r="K171" s="4" t="s">
        <v>9</v>
      </c>
      <c r="L171" s="3" t="s">
        <v>8</v>
      </c>
      <c r="M171" s="4" t="s">
        <v>9</v>
      </c>
      <c r="N171" s="3" t="s">
        <v>8</v>
      </c>
      <c r="O171" s="4" t="s">
        <v>9</v>
      </c>
      <c r="P171" s="3" t="s">
        <v>8</v>
      </c>
      <c r="Q171" s="4" t="s">
        <v>9</v>
      </c>
      <c r="R171" s="3" t="s">
        <v>8</v>
      </c>
      <c r="S171" s="4" t="s">
        <v>9</v>
      </c>
      <c r="T171" s="3" t="s">
        <v>8</v>
      </c>
      <c r="U171" s="4" t="s">
        <v>9</v>
      </c>
      <c r="V171" s="3" t="s">
        <v>8</v>
      </c>
      <c r="W171" s="4" t="s">
        <v>9</v>
      </c>
      <c r="X171" s="3" t="s">
        <v>8</v>
      </c>
      <c r="Y171" s="4" t="s">
        <v>9</v>
      </c>
      <c r="Z171" s="3" t="s">
        <v>8</v>
      </c>
      <c r="AA171" s="4" t="s">
        <v>9</v>
      </c>
      <c r="AB171" s="3" t="s">
        <v>8</v>
      </c>
      <c r="AC171" s="4" t="s">
        <v>9</v>
      </c>
      <c r="AD171" s="3" t="s">
        <v>8</v>
      </c>
      <c r="AE171" s="4" t="s">
        <v>9</v>
      </c>
      <c r="AF171" s="5" t="s">
        <v>8</v>
      </c>
      <c r="AG171" s="6" t="s">
        <v>9</v>
      </c>
      <c r="AH171" s="3" t="s">
        <v>8</v>
      </c>
      <c r="AI171" s="4" t="s">
        <v>9</v>
      </c>
      <c r="AJ171" s="3" t="s">
        <v>8</v>
      </c>
      <c r="AK171" s="4" t="s">
        <v>9</v>
      </c>
      <c r="AL171" s="3" t="s">
        <v>8</v>
      </c>
      <c r="AM171" s="4" t="s">
        <v>9</v>
      </c>
      <c r="AN171" s="3" t="s">
        <v>8</v>
      </c>
      <c r="AO171" s="4" t="s">
        <v>9</v>
      </c>
      <c r="AP171" s="3" t="s">
        <v>8</v>
      </c>
      <c r="AQ171" s="4" t="s">
        <v>9</v>
      </c>
      <c r="AR171" s="3" t="s">
        <v>8</v>
      </c>
      <c r="AS171" s="4" t="s">
        <v>9</v>
      </c>
      <c r="AT171" s="3" t="s">
        <v>8</v>
      </c>
      <c r="AU171" s="4" t="s">
        <v>9</v>
      </c>
      <c r="AV171" s="3" t="s">
        <v>8</v>
      </c>
      <c r="AW171" s="4" t="s">
        <v>9</v>
      </c>
      <c r="AX171" s="3" t="s">
        <v>8</v>
      </c>
      <c r="AY171" s="4" t="s">
        <v>9</v>
      </c>
      <c r="AZ171" s="3" t="s">
        <v>8</v>
      </c>
      <c r="BA171" s="4" t="s">
        <v>9</v>
      </c>
      <c r="BB171" s="3" t="s">
        <v>8</v>
      </c>
      <c r="BC171" s="4" t="s">
        <v>9</v>
      </c>
      <c r="BD171" s="3" t="s">
        <v>8</v>
      </c>
      <c r="BE171" s="4" t="s">
        <v>9</v>
      </c>
      <c r="BF171" s="5" t="s">
        <v>8</v>
      </c>
      <c r="BG171" s="6" t="s">
        <v>9</v>
      </c>
      <c r="BH171" s="3" t="s">
        <v>8</v>
      </c>
      <c r="BI171" s="4" t="s">
        <v>9</v>
      </c>
      <c r="BJ171" s="3" t="s">
        <v>8</v>
      </c>
      <c r="BK171" s="4" t="s">
        <v>9</v>
      </c>
      <c r="BL171" s="3" t="s">
        <v>8</v>
      </c>
      <c r="BM171" s="4" t="s">
        <v>9</v>
      </c>
      <c r="BN171" s="3" t="s">
        <v>8</v>
      </c>
      <c r="BO171" s="4" t="s">
        <v>9</v>
      </c>
      <c r="BP171" s="3" t="s">
        <v>8</v>
      </c>
      <c r="BQ171" s="4" t="s">
        <v>9</v>
      </c>
      <c r="BR171" s="3" t="s">
        <v>8</v>
      </c>
      <c r="BS171" s="4" t="s">
        <v>9</v>
      </c>
      <c r="BT171" s="3" t="s">
        <v>8</v>
      </c>
      <c r="BU171" s="4" t="s">
        <v>9</v>
      </c>
      <c r="BV171" s="3" t="s">
        <v>8</v>
      </c>
      <c r="BW171" s="4" t="s">
        <v>9</v>
      </c>
      <c r="BX171" s="3" t="s">
        <v>8</v>
      </c>
      <c r="BY171" s="4" t="s">
        <v>9</v>
      </c>
      <c r="BZ171" s="3" t="s">
        <v>8</v>
      </c>
      <c r="CA171" s="4" t="s">
        <v>9</v>
      </c>
      <c r="CB171" s="3" t="s">
        <v>8</v>
      </c>
      <c r="CC171" s="4" t="s">
        <v>9</v>
      </c>
      <c r="CD171" s="3" t="s">
        <v>8</v>
      </c>
      <c r="CE171" s="4" t="s">
        <v>9</v>
      </c>
      <c r="CF171" s="5" t="s">
        <v>8</v>
      </c>
      <c r="CG171" s="6" t="s">
        <v>9</v>
      </c>
      <c r="CH171" s="3" t="s">
        <v>8</v>
      </c>
      <c r="CI171" s="4" t="s">
        <v>9</v>
      </c>
      <c r="CJ171" s="3" t="s">
        <v>8</v>
      </c>
      <c r="CK171" s="4" t="s">
        <v>9</v>
      </c>
      <c r="CL171" s="3" t="s">
        <v>8</v>
      </c>
      <c r="CM171" s="4" t="s">
        <v>9</v>
      </c>
      <c r="CN171" s="3" t="s">
        <v>8</v>
      </c>
      <c r="CO171" s="4" t="s">
        <v>9</v>
      </c>
      <c r="CP171" s="3" t="s">
        <v>8</v>
      </c>
      <c r="CQ171" s="4" t="s">
        <v>9</v>
      </c>
      <c r="CR171" s="3" t="s">
        <v>8</v>
      </c>
      <c r="CS171" s="4" t="s">
        <v>9</v>
      </c>
      <c r="CT171" s="3" t="s">
        <v>8</v>
      </c>
      <c r="CU171" s="4" t="s">
        <v>9</v>
      </c>
      <c r="CV171" s="3" t="s">
        <v>8</v>
      </c>
      <c r="CW171" s="4" t="s">
        <v>9</v>
      </c>
      <c r="CX171" s="3" t="s">
        <v>8</v>
      </c>
      <c r="CY171" s="4" t="s">
        <v>9</v>
      </c>
      <c r="CZ171" s="3" t="s">
        <v>8</v>
      </c>
      <c r="DA171" s="4" t="s">
        <v>9</v>
      </c>
      <c r="DB171" s="3" t="s">
        <v>8</v>
      </c>
      <c r="DC171" s="4" t="s">
        <v>9</v>
      </c>
      <c r="DD171" s="3" t="s">
        <v>8</v>
      </c>
      <c r="DE171" s="4" t="s">
        <v>9</v>
      </c>
      <c r="DF171" s="5" t="s">
        <v>8</v>
      </c>
      <c r="DG171" s="229" t="s">
        <v>9</v>
      </c>
      <c r="DH171" s="3" t="s">
        <v>8</v>
      </c>
      <c r="DI171" s="4" t="s">
        <v>9</v>
      </c>
      <c r="DJ171" s="3" t="s">
        <v>8</v>
      </c>
      <c r="DK171" s="4" t="s">
        <v>9</v>
      </c>
      <c r="DL171" s="3" t="s">
        <v>8</v>
      </c>
      <c r="DM171" s="4" t="s">
        <v>9</v>
      </c>
      <c r="DN171" s="3" t="s">
        <v>8</v>
      </c>
      <c r="DO171" s="4" t="s">
        <v>9</v>
      </c>
      <c r="DP171" s="3" t="s">
        <v>8</v>
      </c>
      <c r="DQ171" s="4" t="s">
        <v>9</v>
      </c>
      <c r="DR171" s="3" t="s">
        <v>8</v>
      </c>
      <c r="DS171" s="4" t="s">
        <v>9</v>
      </c>
      <c r="DT171" s="3" t="s">
        <v>8</v>
      </c>
      <c r="DU171" s="4" t="s">
        <v>9</v>
      </c>
      <c r="DV171" s="3" t="s">
        <v>8</v>
      </c>
      <c r="DW171" s="4" t="s">
        <v>9</v>
      </c>
      <c r="DX171" s="3" t="s">
        <v>8</v>
      </c>
      <c r="DY171" s="4" t="s">
        <v>9</v>
      </c>
      <c r="DZ171" s="3" t="s">
        <v>8</v>
      </c>
      <c r="EA171" s="4" t="s">
        <v>9</v>
      </c>
      <c r="EB171" s="3" t="s">
        <v>8</v>
      </c>
      <c r="EC171" s="4" t="s">
        <v>9</v>
      </c>
      <c r="ED171" s="3" t="s">
        <v>8</v>
      </c>
      <c r="EE171" s="4" t="s">
        <v>9</v>
      </c>
      <c r="EF171" s="5" t="s">
        <v>8</v>
      </c>
      <c r="EG171" s="229" t="s">
        <v>9</v>
      </c>
    </row>
    <row r="172" spans="1:137" ht="19.8">
      <c r="A172" s="7">
        <v>1</v>
      </c>
      <c r="B172" s="8" t="s">
        <v>24</v>
      </c>
      <c r="C172" s="8" t="s">
        <v>14</v>
      </c>
      <c r="D172" s="7">
        <f t="shared" ref="D172:D180" si="542">RANK(DF172,$DF$4:$DF$147)</f>
        <v>15</v>
      </c>
      <c r="E172" s="7">
        <v>1</v>
      </c>
      <c r="F172" s="7" t="s">
        <v>12</v>
      </c>
      <c r="G172" s="225">
        <v>1500</v>
      </c>
      <c r="H172" s="9">
        <f t="shared" ref="H172:H180" si="543">+H16</f>
        <v>12</v>
      </c>
      <c r="I172" s="10">
        <f t="shared" ref="I172:I181" si="544">H172*$E172</f>
        <v>12</v>
      </c>
      <c r="J172" s="9">
        <f t="shared" ref="J172:J180" si="545">+J16</f>
        <v>0</v>
      </c>
      <c r="K172" s="10">
        <f t="shared" ref="K172:K181" si="546">J172*$E172</f>
        <v>0</v>
      </c>
      <c r="L172" s="9">
        <f t="shared" ref="L172:L180" si="547">+L16</f>
        <v>48</v>
      </c>
      <c r="M172" s="10">
        <f t="shared" ref="M172:M181" si="548">L172*$E172</f>
        <v>48</v>
      </c>
      <c r="N172" s="9">
        <f t="shared" ref="N172:N180" si="549">+N16</f>
        <v>0</v>
      </c>
      <c r="O172" s="10">
        <f t="shared" ref="O172:O181" si="550">N172*$E172</f>
        <v>0</v>
      </c>
      <c r="P172" s="9">
        <f t="shared" ref="P172:P180" si="551">+P16</f>
        <v>0</v>
      </c>
      <c r="Q172" s="10">
        <f t="shared" ref="Q172:Q181" si="552">P172*$E172</f>
        <v>0</v>
      </c>
      <c r="R172" s="9">
        <f t="shared" ref="R172:R180" si="553">+R16</f>
        <v>0</v>
      </c>
      <c r="S172" s="10">
        <f t="shared" ref="S172:S181" si="554">R172*$E172</f>
        <v>0</v>
      </c>
      <c r="T172" s="9">
        <f t="shared" ref="T172:T180" si="555">+T16</f>
        <v>72</v>
      </c>
      <c r="U172" s="10">
        <f t="shared" ref="U172:U181" si="556">T172*$E172</f>
        <v>72</v>
      </c>
      <c r="V172" s="9">
        <f t="shared" ref="V172:V180" si="557">+V16</f>
        <v>12</v>
      </c>
      <c r="W172" s="10">
        <f t="shared" ref="W172:W181" si="558">V172*$E172</f>
        <v>12</v>
      </c>
      <c r="X172" s="9">
        <f t="shared" ref="X172:X180" si="559">+X16</f>
        <v>12</v>
      </c>
      <c r="Y172" s="10">
        <f t="shared" ref="Y172:Y181" si="560">X172*$E172</f>
        <v>12</v>
      </c>
      <c r="Z172" s="9">
        <f t="shared" ref="Z172:Z180" si="561">+Z16</f>
        <v>72</v>
      </c>
      <c r="AA172" s="10">
        <f t="shared" ref="AA172:AA181" si="562">Z172*$E172</f>
        <v>72</v>
      </c>
      <c r="AB172" s="9">
        <f t="shared" ref="AB172:AB180" si="563">+AB16</f>
        <v>48</v>
      </c>
      <c r="AC172" s="10">
        <f t="shared" ref="AC172:AC181" si="564">AB172*$E172</f>
        <v>48</v>
      </c>
      <c r="AD172" s="9">
        <f t="shared" ref="AD172:AD180" si="565">+AD16</f>
        <v>36</v>
      </c>
      <c r="AE172" s="10">
        <f t="shared" ref="AE172:AE181" si="566">AD172*$E172</f>
        <v>36</v>
      </c>
      <c r="AF172" s="11">
        <f t="shared" ref="AF172:AF181" si="567">(AD172+AB172+Z172+X172+V172+T172+R172+P172+N172+L172+J172+H172)/1</f>
        <v>312</v>
      </c>
      <c r="AG172" s="12">
        <f t="shared" ref="AG172:AG181" si="568">AF172*$E172</f>
        <v>312</v>
      </c>
      <c r="AH172" s="9">
        <f t="shared" ref="AH172:AH180" si="569">+AH16</f>
        <v>24</v>
      </c>
      <c r="AI172" s="10">
        <f t="shared" ref="AI172:AI181" si="570">AH172*$E172</f>
        <v>24</v>
      </c>
      <c r="AJ172" s="9">
        <f t="shared" ref="AJ172:AJ180" si="571">+AJ16</f>
        <v>60</v>
      </c>
      <c r="AK172" s="10">
        <f t="shared" ref="AK172:AK181" si="572">AJ172*$E172</f>
        <v>60</v>
      </c>
      <c r="AL172" s="9">
        <f t="shared" ref="AL172:AL180" si="573">+AL16</f>
        <v>12</v>
      </c>
      <c r="AM172" s="10">
        <f t="shared" ref="AM172:AM181" si="574">AL172*$E172</f>
        <v>12</v>
      </c>
      <c r="AN172" s="9">
        <f t="shared" ref="AN172:AN180" si="575">+AN16</f>
        <v>0</v>
      </c>
      <c r="AO172" s="10">
        <f t="shared" ref="AO172:AO181" si="576">AN172*$E172</f>
        <v>0</v>
      </c>
      <c r="AP172" s="9">
        <f t="shared" ref="AP172:AP180" si="577">+AP16</f>
        <v>0</v>
      </c>
      <c r="AQ172" s="10">
        <f t="shared" ref="AQ172:AQ181" si="578">AP172*$E172</f>
        <v>0</v>
      </c>
      <c r="AR172" s="9">
        <f t="shared" ref="AR172:AR180" si="579">+AR16</f>
        <v>0</v>
      </c>
      <c r="AS172" s="10">
        <f t="shared" ref="AS172:AS181" si="580">AR172*$E172</f>
        <v>0</v>
      </c>
      <c r="AT172" s="9">
        <f t="shared" ref="AT172:AT180" si="581">+AT16</f>
        <v>0</v>
      </c>
      <c r="AU172" s="10">
        <f t="shared" ref="AU172:AU181" si="582">AT172*$E172</f>
        <v>0</v>
      </c>
      <c r="AV172" s="9">
        <f t="shared" ref="AV172:AV180" si="583">+AV16</f>
        <v>0</v>
      </c>
      <c r="AW172" s="10">
        <f t="shared" ref="AW172:AW181" si="584">AV172*$E172</f>
        <v>0</v>
      </c>
      <c r="AX172" s="9">
        <f t="shared" ref="AX172:AX180" si="585">+AX16</f>
        <v>0</v>
      </c>
      <c r="AY172" s="10">
        <f t="shared" ref="AY172:AY181" si="586">AX172*$E172</f>
        <v>0</v>
      </c>
      <c r="AZ172" s="9">
        <f t="shared" ref="AZ172:AZ180" si="587">+AZ16</f>
        <v>72</v>
      </c>
      <c r="BA172" s="10">
        <f t="shared" ref="BA172:BA181" si="588">AZ172*$E172</f>
        <v>72</v>
      </c>
      <c r="BB172" s="9">
        <f t="shared" ref="BB172:BB180" si="589">+BB16</f>
        <v>60</v>
      </c>
      <c r="BC172" s="10">
        <f t="shared" ref="BC172:BC181" si="590">BB172*$E172</f>
        <v>60</v>
      </c>
      <c r="BD172" s="9">
        <f t="shared" ref="BD172:BD180" si="591">+BD16</f>
        <v>132</v>
      </c>
      <c r="BE172" s="10">
        <f t="shared" ref="BE172:BE181" si="592">BD172*$E172</f>
        <v>132</v>
      </c>
      <c r="BF172" s="11">
        <f t="shared" ref="BF172:BF181" si="593">(BD172+BB172+AZ172+AX172+AV172+AT172+AR172+AP172+AN172+AL172+AJ172+AH172)/1</f>
        <v>360</v>
      </c>
      <c r="BG172" s="12">
        <f t="shared" ref="BG172:BG181" si="594">BF172*$E172</f>
        <v>360</v>
      </c>
      <c r="BH172" s="9">
        <f t="shared" ref="BH172:BH180" si="595">+BH16</f>
        <v>260</v>
      </c>
      <c r="BI172" s="10">
        <f t="shared" ref="BI172:BI181" si="596">BH172*$E172</f>
        <v>260</v>
      </c>
      <c r="BJ172" s="9">
        <f t="shared" ref="BJ172:BJ180" si="597">+BJ16</f>
        <v>278</v>
      </c>
      <c r="BK172" s="10">
        <f t="shared" ref="BK172:BK181" si="598">BJ172*$E172</f>
        <v>278</v>
      </c>
      <c r="BL172" s="9">
        <f t="shared" ref="BL172:BL180" si="599">+BL16</f>
        <v>552</v>
      </c>
      <c r="BM172" s="10">
        <f t="shared" ref="BM172:BM181" si="600">BL172*$E172</f>
        <v>552</v>
      </c>
      <c r="BN172" s="9">
        <f t="shared" ref="BN172:BN180" si="601">+BN16</f>
        <v>348</v>
      </c>
      <c r="BO172" s="10">
        <f t="shared" ref="BO172:BO181" si="602">BN172*$E172</f>
        <v>348</v>
      </c>
      <c r="BP172" s="9">
        <f t="shared" ref="BP172:BP180" si="603">+BP16</f>
        <v>552</v>
      </c>
      <c r="BQ172" s="10">
        <f t="shared" ref="BQ172:BQ181" si="604">BP172*$E172</f>
        <v>552</v>
      </c>
      <c r="BR172" s="9">
        <f t="shared" ref="BR172:BR180" si="605">+BR16</f>
        <v>312</v>
      </c>
      <c r="BS172" s="10">
        <f t="shared" ref="BS172:BS181" si="606">BR172*$E172</f>
        <v>312</v>
      </c>
      <c r="BT172" s="9">
        <f t="shared" ref="BT172:BT180" si="607">+BT16</f>
        <v>698</v>
      </c>
      <c r="BU172" s="10">
        <f t="shared" ref="BU172:BU181" si="608">BT172*$E172</f>
        <v>698</v>
      </c>
      <c r="BV172" s="9">
        <f t="shared" ref="BV172:BV180" si="609">+BV16</f>
        <v>1491</v>
      </c>
      <c r="BW172" s="10">
        <f t="shared" ref="BW172:BW181" si="610">BV172*$E172</f>
        <v>1491</v>
      </c>
      <c r="BX172" s="9">
        <f t="shared" ref="BX172:BX180" si="611">+BX16</f>
        <v>912</v>
      </c>
      <c r="BY172" s="10">
        <f t="shared" ref="BY172:BY181" si="612">BX172*$E172</f>
        <v>912</v>
      </c>
      <c r="BZ172" s="9">
        <f t="shared" ref="BZ172:BZ180" si="613">+BZ16</f>
        <v>672</v>
      </c>
      <c r="CA172" s="10">
        <f t="shared" ref="CA172:CA181" si="614">BZ172*$E172</f>
        <v>672</v>
      </c>
      <c r="CB172" s="9">
        <f t="shared" ref="CB172:CB180" si="615">+CB16</f>
        <v>228</v>
      </c>
      <c r="CC172" s="10">
        <f t="shared" ref="CC172:CC181" si="616">CB172*$E172</f>
        <v>228</v>
      </c>
      <c r="CD172" s="9">
        <f t="shared" ref="CD172:CD180" si="617">+CD16</f>
        <v>648</v>
      </c>
      <c r="CE172" s="10">
        <f t="shared" ref="CE172:CE181" si="618">CD172*$E172</f>
        <v>648</v>
      </c>
      <c r="CF172" s="11">
        <f t="shared" ref="CF172:CF181" si="619">(CD172+CB172+BZ172+BX172+BV172+BT172+BR172+BP172+BN172+BL172+BJ172+BH172)/1</f>
        <v>6951</v>
      </c>
      <c r="CG172" s="12">
        <f t="shared" ref="CG172:CG181" si="620">CF172*$E172</f>
        <v>6951</v>
      </c>
      <c r="CH172" s="9">
        <f t="shared" ref="CH172:CH180" si="621">+CH16</f>
        <v>351</v>
      </c>
      <c r="CI172" s="10">
        <f t="shared" ref="CI172:CI181" si="622">CH172*$E172</f>
        <v>351</v>
      </c>
      <c r="CJ172" s="9">
        <f t="shared" ref="CJ172:CJ180" si="623">+CJ16</f>
        <v>1072</v>
      </c>
      <c r="CK172" s="10">
        <f t="shared" ref="CK172:CK181" si="624">CJ172*$E172</f>
        <v>1072</v>
      </c>
      <c r="CL172" s="9">
        <f t="shared" ref="CL172:CL180" si="625">+CL16</f>
        <v>1178</v>
      </c>
      <c r="CM172" s="10">
        <f t="shared" ref="CM172:CM181" si="626">CL172*$E172</f>
        <v>1178</v>
      </c>
      <c r="CN172" s="9">
        <f t="shared" ref="CN172:CN180" si="627">+CN16</f>
        <v>168</v>
      </c>
      <c r="CO172" s="10">
        <f t="shared" ref="CO172:CO181" si="628">CN172*$E172</f>
        <v>168</v>
      </c>
      <c r="CP172" s="9">
        <f t="shared" ref="CP172:CP180" si="629">+CP16</f>
        <v>432</v>
      </c>
      <c r="CQ172" s="10">
        <f t="shared" ref="CQ172:CQ181" si="630">CP172*$E172</f>
        <v>432</v>
      </c>
      <c r="CR172" s="9">
        <f t="shared" ref="CR172:CR180" si="631">+CR16</f>
        <v>3978</v>
      </c>
      <c r="CS172" s="10">
        <f t="shared" ref="CS172:CS181" si="632">CR172*$E172</f>
        <v>3978</v>
      </c>
      <c r="CT172" s="9">
        <f t="shared" ref="CT172:CT180" si="633">+CT16</f>
        <v>4789</v>
      </c>
      <c r="CU172" s="10">
        <f t="shared" ref="CU172:CU181" si="634">CT172*$E172</f>
        <v>4789</v>
      </c>
      <c r="CV172" s="9">
        <f t="shared" ref="CV172:CV180" si="635">+CV16</f>
        <v>2672</v>
      </c>
      <c r="CW172" s="10">
        <f t="shared" ref="CW172:CW181" si="636">CV172*$E172</f>
        <v>2672</v>
      </c>
      <c r="CX172" s="9">
        <f t="shared" ref="CX172:CX180" si="637">+CX16</f>
        <v>2233</v>
      </c>
      <c r="CY172" s="10">
        <f t="shared" ref="CY172:CY181" si="638">CX172*$E172</f>
        <v>2233</v>
      </c>
      <c r="CZ172" s="9">
        <f t="shared" ref="CZ172:CZ180" si="639">+CZ16</f>
        <v>1272</v>
      </c>
      <c r="DA172" s="10">
        <f t="shared" ref="DA172:DA181" si="640">CZ172*$E172</f>
        <v>1272</v>
      </c>
      <c r="DB172" s="9">
        <f t="shared" ref="DB172:DB180" si="641">+DB16</f>
        <v>1448</v>
      </c>
      <c r="DC172" s="10">
        <f t="shared" ref="DC172:DC181" si="642">DB172*$E172</f>
        <v>1448</v>
      </c>
      <c r="DD172" s="9">
        <f t="shared" ref="DD172:DD180" si="643">+DD16</f>
        <v>1224</v>
      </c>
      <c r="DE172" s="10">
        <f t="shared" ref="DE172:DE181" si="644">DD172*$E172</f>
        <v>1224</v>
      </c>
      <c r="DF172" s="11">
        <f>(DD172+DB172+CZ172+CX172+CV172+CT172+CR172+CP172+CN172+CL172+CJ172+CH172)/1</f>
        <v>20817</v>
      </c>
      <c r="DG172" s="12">
        <f t="shared" ref="DG172:DG181" si="645">DF172*$E172</f>
        <v>20817</v>
      </c>
      <c r="DH172" s="9">
        <f t="shared" ref="DH172:DH180" si="646">+DH16</f>
        <v>1736</v>
      </c>
      <c r="DI172" s="10">
        <f t="shared" ref="DI172:DI181" si="647">DH172*$E172</f>
        <v>1736</v>
      </c>
      <c r="DJ172" s="9">
        <f t="shared" ref="DJ172:DJ180" si="648">+DJ16</f>
        <v>1743</v>
      </c>
      <c r="DK172" s="10">
        <f t="shared" ref="DK172:DK181" si="649">DJ172*$E172</f>
        <v>1743</v>
      </c>
      <c r="DL172" s="9">
        <f t="shared" ref="DL172:DL180" si="650">+DL16</f>
        <v>0</v>
      </c>
      <c r="DM172" s="10">
        <f t="shared" ref="DM172:DM181" si="651">DL172*$E172</f>
        <v>0</v>
      </c>
      <c r="DN172" s="9">
        <f t="shared" ref="DN172:DN180" si="652">+DN16</f>
        <v>0</v>
      </c>
      <c r="DO172" s="10">
        <f t="shared" ref="DO172:DO181" si="653">DN172*$E172</f>
        <v>0</v>
      </c>
      <c r="DP172" s="9">
        <f t="shared" ref="DP172:DP180" si="654">+DP16</f>
        <v>0</v>
      </c>
      <c r="DQ172" s="10">
        <f t="shared" ref="DQ172:DQ181" si="655">DP172*$E172</f>
        <v>0</v>
      </c>
      <c r="DR172" s="9">
        <f t="shared" ref="DR172:DR180" si="656">+DR16</f>
        <v>0</v>
      </c>
      <c r="DS172" s="10">
        <f t="shared" ref="DS172:DS181" si="657">DR172*$E172</f>
        <v>0</v>
      </c>
      <c r="DT172" s="9">
        <f t="shared" ref="DT172:DT180" si="658">+DT16</f>
        <v>0</v>
      </c>
      <c r="DU172" s="10">
        <f t="shared" ref="DU172:DU181" si="659">DT172*$E172</f>
        <v>0</v>
      </c>
      <c r="DV172" s="9">
        <f t="shared" ref="DV172:DV180" si="660">+DV16</f>
        <v>0</v>
      </c>
      <c r="DW172" s="10">
        <f t="shared" ref="DW172:DW181" si="661">DV172*$E172</f>
        <v>0</v>
      </c>
      <c r="DX172" s="9">
        <f t="shared" ref="DX172:DX180" si="662">+DX16</f>
        <v>0</v>
      </c>
      <c r="DY172" s="10">
        <f t="shared" ref="DY172:DY181" si="663">DX172*$E172</f>
        <v>0</v>
      </c>
      <c r="DZ172" s="9">
        <f t="shared" ref="DZ172:DZ180" si="664">+DZ16</f>
        <v>0</v>
      </c>
      <c r="EA172" s="10">
        <f t="shared" ref="EA172:EA181" si="665">DZ172*$E172</f>
        <v>0</v>
      </c>
      <c r="EB172" s="9">
        <f t="shared" ref="EB172:EB180" si="666">+EB16</f>
        <v>0</v>
      </c>
      <c r="EC172" s="10">
        <f t="shared" ref="EC172:EC181" si="667">EB172*$E172</f>
        <v>0</v>
      </c>
      <c r="ED172" s="9">
        <f t="shared" ref="ED172:ED180" si="668">+ED16</f>
        <v>0</v>
      </c>
      <c r="EE172" s="10">
        <f t="shared" ref="EE172:EE181" si="669">ED172*$E172</f>
        <v>0</v>
      </c>
      <c r="EF172" s="11">
        <f>(ED172+EB172+DZ172+DX172+DV172+DT172+DR172+DP172+DN172+DL172+DJ172+DH172)/1</f>
        <v>3479</v>
      </c>
      <c r="EG172" s="12">
        <f t="shared" ref="EG172:EG181" si="670">EF172*$E172</f>
        <v>3479</v>
      </c>
    </row>
    <row r="173" spans="1:137" ht="19.8">
      <c r="A173" s="7">
        <v>2</v>
      </c>
      <c r="B173" s="8" t="s">
        <v>25</v>
      </c>
      <c r="C173" s="8" t="s">
        <v>14</v>
      </c>
      <c r="D173" s="7">
        <f t="shared" si="542"/>
        <v>25</v>
      </c>
      <c r="E173" s="7">
        <v>1</v>
      </c>
      <c r="F173" s="7" t="s">
        <v>12</v>
      </c>
      <c r="G173" s="225">
        <v>1930</v>
      </c>
      <c r="H173" s="9">
        <f t="shared" si="543"/>
        <v>0</v>
      </c>
      <c r="I173" s="10">
        <f t="shared" si="544"/>
        <v>0</v>
      </c>
      <c r="J173" s="9">
        <f t="shared" si="545"/>
        <v>108</v>
      </c>
      <c r="K173" s="10">
        <f t="shared" si="546"/>
        <v>108</v>
      </c>
      <c r="L173" s="9">
        <f t="shared" si="547"/>
        <v>0</v>
      </c>
      <c r="M173" s="10">
        <f t="shared" si="548"/>
        <v>0</v>
      </c>
      <c r="N173" s="9">
        <f t="shared" si="549"/>
        <v>0</v>
      </c>
      <c r="O173" s="10">
        <f t="shared" si="550"/>
        <v>0</v>
      </c>
      <c r="P173" s="9">
        <f t="shared" si="551"/>
        <v>0</v>
      </c>
      <c r="Q173" s="10">
        <f t="shared" si="552"/>
        <v>0</v>
      </c>
      <c r="R173" s="9">
        <f t="shared" si="553"/>
        <v>0</v>
      </c>
      <c r="S173" s="10">
        <f t="shared" si="554"/>
        <v>0</v>
      </c>
      <c r="T173" s="9">
        <f t="shared" si="555"/>
        <v>0</v>
      </c>
      <c r="U173" s="10">
        <f t="shared" si="556"/>
        <v>0</v>
      </c>
      <c r="V173" s="9">
        <f t="shared" si="557"/>
        <v>0</v>
      </c>
      <c r="W173" s="10">
        <f t="shared" si="558"/>
        <v>0</v>
      </c>
      <c r="X173" s="9">
        <f t="shared" si="559"/>
        <v>0</v>
      </c>
      <c r="Y173" s="10">
        <f t="shared" si="560"/>
        <v>0</v>
      </c>
      <c r="Z173" s="9">
        <f t="shared" si="561"/>
        <v>0</v>
      </c>
      <c r="AA173" s="10">
        <f t="shared" si="562"/>
        <v>0</v>
      </c>
      <c r="AB173" s="9">
        <f t="shared" si="563"/>
        <v>0</v>
      </c>
      <c r="AC173" s="10">
        <f t="shared" si="564"/>
        <v>0</v>
      </c>
      <c r="AD173" s="9">
        <f t="shared" si="565"/>
        <v>0</v>
      </c>
      <c r="AE173" s="10">
        <f t="shared" si="566"/>
        <v>0</v>
      </c>
      <c r="AF173" s="11">
        <f t="shared" si="567"/>
        <v>108</v>
      </c>
      <c r="AG173" s="12">
        <f t="shared" si="568"/>
        <v>108</v>
      </c>
      <c r="AH173" s="9">
        <f t="shared" si="569"/>
        <v>0</v>
      </c>
      <c r="AI173" s="10">
        <f t="shared" si="570"/>
        <v>0</v>
      </c>
      <c r="AJ173" s="9">
        <f t="shared" si="571"/>
        <v>0</v>
      </c>
      <c r="AK173" s="10">
        <f t="shared" si="572"/>
        <v>0</v>
      </c>
      <c r="AL173" s="9">
        <f t="shared" si="573"/>
        <v>0</v>
      </c>
      <c r="AM173" s="10">
        <f t="shared" si="574"/>
        <v>0</v>
      </c>
      <c r="AN173" s="9">
        <f t="shared" si="575"/>
        <v>0</v>
      </c>
      <c r="AO173" s="10">
        <f t="shared" si="576"/>
        <v>0</v>
      </c>
      <c r="AP173" s="9">
        <f t="shared" si="577"/>
        <v>0</v>
      </c>
      <c r="AQ173" s="10">
        <f t="shared" si="578"/>
        <v>0</v>
      </c>
      <c r="AR173" s="9">
        <f t="shared" si="579"/>
        <v>0</v>
      </c>
      <c r="AS173" s="10">
        <f t="shared" si="580"/>
        <v>0</v>
      </c>
      <c r="AT173" s="9">
        <f t="shared" si="581"/>
        <v>120</v>
      </c>
      <c r="AU173" s="10">
        <f t="shared" si="582"/>
        <v>120</v>
      </c>
      <c r="AV173" s="9">
        <f t="shared" si="583"/>
        <v>0</v>
      </c>
      <c r="AW173" s="10">
        <f t="shared" si="584"/>
        <v>0</v>
      </c>
      <c r="AX173" s="9">
        <f t="shared" si="585"/>
        <v>24</v>
      </c>
      <c r="AY173" s="10">
        <f t="shared" si="586"/>
        <v>24</v>
      </c>
      <c r="AZ173" s="9">
        <f t="shared" si="587"/>
        <v>60</v>
      </c>
      <c r="BA173" s="10">
        <f t="shared" si="588"/>
        <v>60</v>
      </c>
      <c r="BB173" s="9">
        <f t="shared" si="589"/>
        <v>36</v>
      </c>
      <c r="BC173" s="10">
        <f t="shared" si="590"/>
        <v>36</v>
      </c>
      <c r="BD173" s="9">
        <f t="shared" si="591"/>
        <v>120</v>
      </c>
      <c r="BE173" s="10">
        <f t="shared" si="592"/>
        <v>120</v>
      </c>
      <c r="BF173" s="11">
        <f t="shared" si="593"/>
        <v>360</v>
      </c>
      <c r="BG173" s="12">
        <f t="shared" si="594"/>
        <v>360</v>
      </c>
      <c r="BH173" s="9">
        <f t="shared" si="595"/>
        <v>132</v>
      </c>
      <c r="BI173" s="10">
        <f t="shared" si="596"/>
        <v>132</v>
      </c>
      <c r="BJ173" s="9">
        <f t="shared" si="597"/>
        <v>240</v>
      </c>
      <c r="BK173" s="10">
        <f t="shared" si="598"/>
        <v>240</v>
      </c>
      <c r="BL173" s="9">
        <f t="shared" si="599"/>
        <v>204</v>
      </c>
      <c r="BM173" s="10">
        <f t="shared" si="600"/>
        <v>204</v>
      </c>
      <c r="BN173" s="9">
        <f t="shared" si="601"/>
        <v>300</v>
      </c>
      <c r="BO173" s="10">
        <f t="shared" si="602"/>
        <v>300</v>
      </c>
      <c r="BP173" s="9">
        <f t="shared" si="603"/>
        <v>504</v>
      </c>
      <c r="BQ173" s="10">
        <f t="shared" si="604"/>
        <v>504</v>
      </c>
      <c r="BR173" s="9">
        <f t="shared" si="605"/>
        <v>456</v>
      </c>
      <c r="BS173" s="10">
        <f t="shared" si="606"/>
        <v>456</v>
      </c>
      <c r="BT173" s="9">
        <f t="shared" si="607"/>
        <v>864</v>
      </c>
      <c r="BU173" s="10">
        <f t="shared" si="608"/>
        <v>864</v>
      </c>
      <c r="BV173" s="9">
        <f t="shared" si="609"/>
        <v>372</v>
      </c>
      <c r="BW173" s="10">
        <f t="shared" si="610"/>
        <v>372</v>
      </c>
      <c r="BX173" s="9">
        <f t="shared" si="611"/>
        <v>540</v>
      </c>
      <c r="BY173" s="10">
        <f t="shared" si="612"/>
        <v>540</v>
      </c>
      <c r="BZ173" s="9">
        <f t="shared" si="613"/>
        <v>192</v>
      </c>
      <c r="CA173" s="10">
        <f t="shared" si="614"/>
        <v>192</v>
      </c>
      <c r="CB173" s="9">
        <f t="shared" si="615"/>
        <v>0</v>
      </c>
      <c r="CC173" s="10">
        <f t="shared" si="616"/>
        <v>0</v>
      </c>
      <c r="CD173" s="9">
        <f t="shared" si="617"/>
        <v>360</v>
      </c>
      <c r="CE173" s="10">
        <f t="shared" si="618"/>
        <v>360</v>
      </c>
      <c r="CF173" s="11">
        <f t="shared" si="619"/>
        <v>4164</v>
      </c>
      <c r="CG173" s="12">
        <f t="shared" si="620"/>
        <v>4164</v>
      </c>
      <c r="CH173" s="9">
        <f t="shared" si="621"/>
        <v>180</v>
      </c>
      <c r="CI173" s="10">
        <f t="shared" si="622"/>
        <v>180</v>
      </c>
      <c r="CJ173" s="9">
        <f t="shared" si="623"/>
        <v>120</v>
      </c>
      <c r="CK173" s="10">
        <f t="shared" si="624"/>
        <v>120</v>
      </c>
      <c r="CL173" s="9">
        <f t="shared" si="625"/>
        <v>60</v>
      </c>
      <c r="CM173" s="10">
        <f t="shared" si="626"/>
        <v>60</v>
      </c>
      <c r="CN173" s="9">
        <f t="shared" si="627"/>
        <v>360</v>
      </c>
      <c r="CO173" s="10">
        <f t="shared" si="628"/>
        <v>360</v>
      </c>
      <c r="CP173" s="9">
        <f t="shared" si="629"/>
        <v>120</v>
      </c>
      <c r="CQ173" s="10">
        <f t="shared" si="630"/>
        <v>120</v>
      </c>
      <c r="CR173" s="9">
        <f t="shared" si="631"/>
        <v>403</v>
      </c>
      <c r="CS173" s="10">
        <f t="shared" si="632"/>
        <v>403</v>
      </c>
      <c r="CT173" s="9">
        <f t="shared" si="633"/>
        <v>528</v>
      </c>
      <c r="CU173" s="10">
        <f t="shared" si="634"/>
        <v>528</v>
      </c>
      <c r="CV173" s="9">
        <f t="shared" si="635"/>
        <v>252</v>
      </c>
      <c r="CW173" s="10">
        <f t="shared" si="636"/>
        <v>252</v>
      </c>
      <c r="CX173" s="9">
        <f t="shared" si="637"/>
        <v>165</v>
      </c>
      <c r="CY173" s="10">
        <f t="shared" si="638"/>
        <v>165</v>
      </c>
      <c r="CZ173" s="9">
        <f t="shared" si="639"/>
        <v>168</v>
      </c>
      <c r="DA173" s="10">
        <f t="shared" si="640"/>
        <v>168</v>
      </c>
      <c r="DB173" s="9">
        <f t="shared" si="641"/>
        <v>276</v>
      </c>
      <c r="DC173" s="10">
        <f t="shared" si="642"/>
        <v>276</v>
      </c>
      <c r="DD173" s="9">
        <f t="shared" si="643"/>
        <v>216</v>
      </c>
      <c r="DE173" s="10">
        <f t="shared" si="644"/>
        <v>216</v>
      </c>
      <c r="DF173" s="11">
        <f t="shared" ref="DF173:DF181" si="671">(DD173+DB173+CZ173+CX173+CV173+CT173+CR173+CP173+CN173+CL173+CJ173+CH173)/1</f>
        <v>2848</v>
      </c>
      <c r="DG173" s="12">
        <f t="shared" si="645"/>
        <v>2848</v>
      </c>
      <c r="DH173" s="9">
        <f t="shared" si="646"/>
        <v>228</v>
      </c>
      <c r="DI173" s="10">
        <f t="shared" si="647"/>
        <v>228</v>
      </c>
      <c r="DJ173" s="9">
        <f t="shared" si="648"/>
        <v>240</v>
      </c>
      <c r="DK173" s="10">
        <f t="shared" si="649"/>
        <v>240</v>
      </c>
      <c r="DL173" s="9">
        <f t="shared" si="650"/>
        <v>0</v>
      </c>
      <c r="DM173" s="10">
        <f t="shared" si="651"/>
        <v>0</v>
      </c>
      <c r="DN173" s="9">
        <f t="shared" si="652"/>
        <v>0</v>
      </c>
      <c r="DO173" s="10">
        <f t="shared" si="653"/>
        <v>0</v>
      </c>
      <c r="DP173" s="9">
        <f t="shared" si="654"/>
        <v>0</v>
      </c>
      <c r="DQ173" s="10">
        <f t="shared" si="655"/>
        <v>0</v>
      </c>
      <c r="DR173" s="9">
        <f t="shared" si="656"/>
        <v>0</v>
      </c>
      <c r="DS173" s="10">
        <f t="shared" si="657"/>
        <v>0</v>
      </c>
      <c r="DT173" s="9">
        <f t="shared" si="658"/>
        <v>0</v>
      </c>
      <c r="DU173" s="10">
        <f t="shared" si="659"/>
        <v>0</v>
      </c>
      <c r="DV173" s="9">
        <f t="shared" si="660"/>
        <v>0</v>
      </c>
      <c r="DW173" s="10">
        <f t="shared" si="661"/>
        <v>0</v>
      </c>
      <c r="DX173" s="9">
        <f t="shared" si="662"/>
        <v>0</v>
      </c>
      <c r="DY173" s="10">
        <f t="shared" si="663"/>
        <v>0</v>
      </c>
      <c r="DZ173" s="9">
        <f t="shared" si="664"/>
        <v>0</v>
      </c>
      <c r="EA173" s="10">
        <f t="shared" si="665"/>
        <v>0</v>
      </c>
      <c r="EB173" s="9">
        <f t="shared" si="666"/>
        <v>0</v>
      </c>
      <c r="EC173" s="10">
        <f t="shared" si="667"/>
        <v>0</v>
      </c>
      <c r="ED173" s="9">
        <f t="shared" si="668"/>
        <v>0</v>
      </c>
      <c r="EE173" s="10">
        <f t="shared" si="669"/>
        <v>0</v>
      </c>
      <c r="EF173" s="11">
        <f t="shared" ref="EF173:EF181" si="672">(ED173+EB173+DZ173+DX173+DV173+DT173+DR173+DP173+DN173+DL173+DJ173+DH173)/1</f>
        <v>468</v>
      </c>
      <c r="EG173" s="12">
        <f t="shared" si="670"/>
        <v>468</v>
      </c>
    </row>
    <row r="174" spans="1:137" ht="19.8">
      <c r="A174" s="7">
        <v>3</v>
      </c>
      <c r="B174" s="8" t="s">
        <v>26</v>
      </c>
      <c r="C174" s="8" t="s">
        <v>14</v>
      </c>
      <c r="D174" s="7">
        <f t="shared" si="542"/>
        <v>31</v>
      </c>
      <c r="E174" s="7">
        <v>0.6</v>
      </c>
      <c r="F174" s="7" t="s">
        <v>12</v>
      </c>
      <c r="G174" s="225">
        <v>1060</v>
      </c>
      <c r="H174" s="9">
        <f t="shared" si="543"/>
        <v>0</v>
      </c>
      <c r="I174" s="10">
        <f t="shared" si="544"/>
        <v>0</v>
      </c>
      <c r="J174" s="9">
        <f t="shared" si="545"/>
        <v>0</v>
      </c>
      <c r="K174" s="10">
        <f t="shared" si="546"/>
        <v>0</v>
      </c>
      <c r="L174" s="9">
        <f t="shared" si="547"/>
        <v>0</v>
      </c>
      <c r="M174" s="10">
        <f t="shared" si="548"/>
        <v>0</v>
      </c>
      <c r="N174" s="9">
        <f t="shared" si="549"/>
        <v>0</v>
      </c>
      <c r="O174" s="10">
        <f t="shared" si="550"/>
        <v>0</v>
      </c>
      <c r="P174" s="9">
        <f t="shared" si="551"/>
        <v>0</v>
      </c>
      <c r="Q174" s="10">
        <f t="shared" si="552"/>
        <v>0</v>
      </c>
      <c r="R174" s="9">
        <f t="shared" si="553"/>
        <v>0</v>
      </c>
      <c r="S174" s="10">
        <f t="shared" si="554"/>
        <v>0</v>
      </c>
      <c r="T174" s="9">
        <f t="shared" si="555"/>
        <v>0</v>
      </c>
      <c r="U174" s="10">
        <f t="shared" si="556"/>
        <v>0</v>
      </c>
      <c r="V174" s="9">
        <f t="shared" si="557"/>
        <v>0</v>
      </c>
      <c r="W174" s="10">
        <f t="shared" si="558"/>
        <v>0</v>
      </c>
      <c r="X174" s="9">
        <f t="shared" si="559"/>
        <v>0</v>
      </c>
      <c r="Y174" s="10">
        <f t="shared" si="560"/>
        <v>0</v>
      </c>
      <c r="Z174" s="9">
        <f t="shared" si="561"/>
        <v>0</v>
      </c>
      <c r="AA174" s="10">
        <f t="shared" si="562"/>
        <v>0</v>
      </c>
      <c r="AB174" s="9">
        <f t="shared" si="563"/>
        <v>0</v>
      </c>
      <c r="AC174" s="10">
        <f t="shared" si="564"/>
        <v>0</v>
      </c>
      <c r="AD174" s="9">
        <f t="shared" si="565"/>
        <v>0</v>
      </c>
      <c r="AE174" s="10">
        <f t="shared" si="566"/>
        <v>0</v>
      </c>
      <c r="AF174" s="11">
        <f t="shared" si="567"/>
        <v>0</v>
      </c>
      <c r="AG174" s="12">
        <f t="shared" si="568"/>
        <v>0</v>
      </c>
      <c r="AH174" s="9">
        <f t="shared" si="569"/>
        <v>0</v>
      </c>
      <c r="AI174" s="10">
        <f t="shared" si="570"/>
        <v>0</v>
      </c>
      <c r="AJ174" s="9">
        <f t="shared" si="571"/>
        <v>0</v>
      </c>
      <c r="AK174" s="10">
        <f t="shared" si="572"/>
        <v>0</v>
      </c>
      <c r="AL174" s="9">
        <f t="shared" si="573"/>
        <v>0</v>
      </c>
      <c r="AM174" s="10">
        <f t="shared" si="574"/>
        <v>0</v>
      </c>
      <c r="AN174" s="9">
        <f t="shared" si="575"/>
        <v>0</v>
      </c>
      <c r="AO174" s="10">
        <f t="shared" si="576"/>
        <v>0</v>
      </c>
      <c r="AP174" s="9">
        <f t="shared" si="577"/>
        <v>0</v>
      </c>
      <c r="AQ174" s="10">
        <f t="shared" si="578"/>
        <v>0</v>
      </c>
      <c r="AR174" s="9">
        <f t="shared" si="579"/>
        <v>0</v>
      </c>
      <c r="AS174" s="10">
        <f t="shared" si="580"/>
        <v>0</v>
      </c>
      <c r="AT174" s="9">
        <f t="shared" si="581"/>
        <v>0</v>
      </c>
      <c r="AU174" s="10">
        <f t="shared" si="582"/>
        <v>0</v>
      </c>
      <c r="AV174" s="9">
        <f t="shared" si="583"/>
        <v>0</v>
      </c>
      <c r="AW174" s="10">
        <f t="shared" si="584"/>
        <v>0</v>
      </c>
      <c r="AX174" s="9">
        <f t="shared" si="585"/>
        <v>0</v>
      </c>
      <c r="AY174" s="10">
        <f t="shared" si="586"/>
        <v>0</v>
      </c>
      <c r="AZ174" s="9">
        <f t="shared" si="587"/>
        <v>0</v>
      </c>
      <c r="BA174" s="10">
        <f t="shared" si="588"/>
        <v>0</v>
      </c>
      <c r="BB174" s="9">
        <f t="shared" si="589"/>
        <v>0</v>
      </c>
      <c r="BC174" s="10">
        <f t="shared" si="590"/>
        <v>0</v>
      </c>
      <c r="BD174" s="9">
        <f t="shared" si="591"/>
        <v>0</v>
      </c>
      <c r="BE174" s="10">
        <f t="shared" si="592"/>
        <v>0</v>
      </c>
      <c r="BF174" s="11">
        <f t="shared" si="593"/>
        <v>0</v>
      </c>
      <c r="BG174" s="12">
        <f t="shared" si="594"/>
        <v>0</v>
      </c>
      <c r="BH174" s="9">
        <f t="shared" si="595"/>
        <v>0</v>
      </c>
      <c r="BI174" s="10">
        <f t="shared" si="596"/>
        <v>0</v>
      </c>
      <c r="BJ174" s="9">
        <f t="shared" si="597"/>
        <v>0</v>
      </c>
      <c r="BK174" s="10">
        <f t="shared" si="598"/>
        <v>0</v>
      </c>
      <c r="BL174" s="9">
        <f t="shared" si="599"/>
        <v>0</v>
      </c>
      <c r="BM174" s="10">
        <f t="shared" si="600"/>
        <v>0</v>
      </c>
      <c r="BN174" s="9">
        <f t="shared" si="601"/>
        <v>0</v>
      </c>
      <c r="BO174" s="10">
        <f t="shared" si="602"/>
        <v>0</v>
      </c>
      <c r="BP174" s="9">
        <f t="shared" si="603"/>
        <v>0</v>
      </c>
      <c r="BQ174" s="10">
        <f t="shared" si="604"/>
        <v>0</v>
      </c>
      <c r="BR174" s="9">
        <f t="shared" si="605"/>
        <v>0</v>
      </c>
      <c r="BS174" s="10">
        <f t="shared" si="606"/>
        <v>0</v>
      </c>
      <c r="BT174" s="9">
        <f t="shared" si="607"/>
        <v>0</v>
      </c>
      <c r="BU174" s="10">
        <f t="shared" si="608"/>
        <v>0</v>
      </c>
      <c r="BV174" s="9">
        <f t="shared" si="609"/>
        <v>0</v>
      </c>
      <c r="BW174" s="10">
        <f t="shared" si="610"/>
        <v>0</v>
      </c>
      <c r="BX174" s="9">
        <f t="shared" si="611"/>
        <v>0</v>
      </c>
      <c r="BY174" s="10">
        <f t="shared" si="612"/>
        <v>0</v>
      </c>
      <c r="BZ174" s="9">
        <f t="shared" si="613"/>
        <v>0</v>
      </c>
      <c r="CA174" s="10">
        <f t="shared" si="614"/>
        <v>0</v>
      </c>
      <c r="CB174" s="9">
        <f t="shared" si="615"/>
        <v>0</v>
      </c>
      <c r="CC174" s="10">
        <f t="shared" si="616"/>
        <v>0</v>
      </c>
      <c r="CD174" s="9">
        <f t="shared" si="617"/>
        <v>0</v>
      </c>
      <c r="CE174" s="10">
        <f t="shared" si="618"/>
        <v>0</v>
      </c>
      <c r="CF174" s="11">
        <f t="shared" si="619"/>
        <v>0</v>
      </c>
      <c r="CG174" s="12">
        <f t="shared" si="620"/>
        <v>0</v>
      </c>
      <c r="CH174" s="9">
        <f t="shared" si="621"/>
        <v>0</v>
      </c>
      <c r="CI174" s="10">
        <f t="shared" si="622"/>
        <v>0</v>
      </c>
      <c r="CJ174" s="9">
        <f t="shared" si="623"/>
        <v>0</v>
      </c>
      <c r="CK174" s="10">
        <f t="shared" si="624"/>
        <v>0</v>
      </c>
      <c r="CL174" s="9">
        <f t="shared" si="625"/>
        <v>0</v>
      </c>
      <c r="CM174" s="10">
        <f t="shared" si="626"/>
        <v>0</v>
      </c>
      <c r="CN174" s="9">
        <f t="shared" si="627"/>
        <v>0</v>
      </c>
      <c r="CO174" s="10">
        <f t="shared" si="628"/>
        <v>0</v>
      </c>
      <c r="CP174" s="9">
        <f t="shared" si="629"/>
        <v>0</v>
      </c>
      <c r="CQ174" s="10">
        <f t="shared" si="630"/>
        <v>0</v>
      </c>
      <c r="CR174" s="9">
        <f t="shared" si="631"/>
        <v>0</v>
      </c>
      <c r="CS174" s="10">
        <f t="shared" si="632"/>
        <v>0</v>
      </c>
      <c r="CT174" s="9">
        <f t="shared" si="633"/>
        <v>0</v>
      </c>
      <c r="CU174" s="10">
        <f t="shared" si="634"/>
        <v>0</v>
      </c>
      <c r="CV174" s="9">
        <f t="shared" si="635"/>
        <v>0</v>
      </c>
      <c r="CW174" s="10">
        <f t="shared" si="636"/>
        <v>0</v>
      </c>
      <c r="CX174" s="9">
        <f t="shared" si="637"/>
        <v>0</v>
      </c>
      <c r="CY174" s="10">
        <f t="shared" si="638"/>
        <v>0</v>
      </c>
      <c r="CZ174" s="9">
        <f t="shared" si="639"/>
        <v>0</v>
      </c>
      <c r="DA174" s="10">
        <f t="shared" si="640"/>
        <v>0</v>
      </c>
      <c r="DB174" s="9">
        <f t="shared" si="641"/>
        <v>0</v>
      </c>
      <c r="DC174" s="10">
        <f t="shared" si="642"/>
        <v>0</v>
      </c>
      <c r="DD174" s="9">
        <f t="shared" si="643"/>
        <v>0</v>
      </c>
      <c r="DE174" s="10">
        <f t="shared" si="644"/>
        <v>0</v>
      </c>
      <c r="DF174" s="11">
        <f t="shared" si="671"/>
        <v>0</v>
      </c>
      <c r="DG174" s="12">
        <f t="shared" si="645"/>
        <v>0</v>
      </c>
      <c r="DH174" s="9">
        <f t="shared" si="646"/>
        <v>0</v>
      </c>
      <c r="DI174" s="10">
        <f t="shared" si="647"/>
        <v>0</v>
      </c>
      <c r="DJ174" s="9">
        <f t="shared" si="648"/>
        <v>0</v>
      </c>
      <c r="DK174" s="10">
        <f t="shared" si="649"/>
        <v>0</v>
      </c>
      <c r="DL174" s="9">
        <f t="shared" si="650"/>
        <v>0</v>
      </c>
      <c r="DM174" s="10">
        <f t="shared" si="651"/>
        <v>0</v>
      </c>
      <c r="DN174" s="9">
        <f t="shared" si="652"/>
        <v>0</v>
      </c>
      <c r="DO174" s="10">
        <f t="shared" si="653"/>
        <v>0</v>
      </c>
      <c r="DP174" s="9">
        <f t="shared" si="654"/>
        <v>0</v>
      </c>
      <c r="DQ174" s="10">
        <f t="shared" si="655"/>
        <v>0</v>
      </c>
      <c r="DR174" s="9">
        <f t="shared" si="656"/>
        <v>0</v>
      </c>
      <c r="DS174" s="10">
        <f t="shared" si="657"/>
        <v>0</v>
      </c>
      <c r="DT174" s="9">
        <f t="shared" si="658"/>
        <v>0</v>
      </c>
      <c r="DU174" s="10">
        <f t="shared" si="659"/>
        <v>0</v>
      </c>
      <c r="DV174" s="9">
        <f t="shared" si="660"/>
        <v>0</v>
      </c>
      <c r="DW174" s="10">
        <f t="shared" si="661"/>
        <v>0</v>
      </c>
      <c r="DX174" s="9">
        <f t="shared" si="662"/>
        <v>0</v>
      </c>
      <c r="DY174" s="10">
        <f t="shared" si="663"/>
        <v>0</v>
      </c>
      <c r="DZ174" s="9">
        <f t="shared" si="664"/>
        <v>0</v>
      </c>
      <c r="EA174" s="10">
        <f t="shared" si="665"/>
        <v>0</v>
      </c>
      <c r="EB174" s="9">
        <f t="shared" si="666"/>
        <v>0</v>
      </c>
      <c r="EC174" s="10">
        <f t="shared" si="667"/>
        <v>0</v>
      </c>
      <c r="ED174" s="9">
        <f t="shared" si="668"/>
        <v>0</v>
      </c>
      <c r="EE174" s="10">
        <f t="shared" si="669"/>
        <v>0</v>
      </c>
      <c r="EF174" s="11">
        <f t="shared" si="672"/>
        <v>0</v>
      </c>
      <c r="EG174" s="12">
        <f t="shared" si="670"/>
        <v>0</v>
      </c>
    </row>
    <row r="175" spans="1:137" ht="19.8">
      <c r="A175" s="7">
        <v>4</v>
      </c>
      <c r="B175" s="8" t="s">
        <v>27</v>
      </c>
      <c r="C175" s="8" t="s">
        <v>14</v>
      </c>
      <c r="D175" s="7">
        <f t="shared" si="542"/>
        <v>30</v>
      </c>
      <c r="E175" s="7">
        <v>0.6</v>
      </c>
      <c r="F175" s="7" t="s">
        <v>12</v>
      </c>
      <c r="G175" s="7">
        <v>1310</v>
      </c>
      <c r="H175" s="9">
        <f t="shared" si="543"/>
        <v>12</v>
      </c>
      <c r="I175" s="10">
        <f t="shared" si="544"/>
        <v>7.1999999999999993</v>
      </c>
      <c r="J175" s="9">
        <f t="shared" si="545"/>
        <v>0</v>
      </c>
      <c r="K175" s="10">
        <f t="shared" si="546"/>
        <v>0</v>
      </c>
      <c r="L175" s="9">
        <f t="shared" si="547"/>
        <v>0</v>
      </c>
      <c r="M175" s="10">
        <f t="shared" si="548"/>
        <v>0</v>
      </c>
      <c r="N175" s="9">
        <f t="shared" si="549"/>
        <v>0</v>
      </c>
      <c r="O175" s="10">
        <f t="shared" si="550"/>
        <v>0</v>
      </c>
      <c r="P175" s="9">
        <f t="shared" si="551"/>
        <v>0</v>
      </c>
      <c r="Q175" s="10">
        <f t="shared" si="552"/>
        <v>0</v>
      </c>
      <c r="R175" s="9">
        <f t="shared" si="553"/>
        <v>132</v>
      </c>
      <c r="S175" s="10">
        <f t="shared" si="554"/>
        <v>79.2</v>
      </c>
      <c r="T175" s="9">
        <f t="shared" si="555"/>
        <v>0</v>
      </c>
      <c r="U175" s="10">
        <f t="shared" si="556"/>
        <v>0</v>
      </c>
      <c r="V175" s="9">
        <f t="shared" si="557"/>
        <v>0</v>
      </c>
      <c r="W175" s="10">
        <f t="shared" si="558"/>
        <v>0</v>
      </c>
      <c r="X175" s="9">
        <f t="shared" si="559"/>
        <v>0</v>
      </c>
      <c r="Y175" s="10">
        <f t="shared" si="560"/>
        <v>0</v>
      </c>
      <c r="Z175" s="9">
        <f t="shared" si="561"/>
        <v>0</v>
      </c>
      <c r="AA175" s="10">
        <f t="shared" si="562"/>
        <v>0</v>
      </c>
      <c r="AB175" s="9">
        <f t="shared" si="563"/>
        <v>0</v>
      </c>
      <c r="AC175" s="10">
        <f t="shared" si="564"/>
        <v>0</v>
      </c>
      <c r="AD175" s="9">
        <f t="shared" si="565"/>
        <v>0</v>
      </c>
      <c r="AE175" s="10">
        <f t="shared" si="566"/>
        <v>0</v>
      </c>
      <c r="AF175" s="11">
        <f t="shared" si="567"/>
        <v>144</v>
      </c>
      <c r="AG175" s="12">
        <f t="shared" si="568"/>
        <v>86.399999999999991</v>
      </c>
      <c r="AH175" s="9">
        <f t="shared" si="569"/>
        <v>0</v>
      </c>
      <c r="AI175" s="10">
        <f t="shared" si="570"/>
        <v>0</v>
      </c>
      <c r="AJ175" s="9">
        <f t="shared" si="571"/>
        <v>0</v>
      </c>
      <c r="AK175" s="10">
        <f t="shared" si="572"/>
        <v>0</v>
      </c>
      <c r="AL175" s="9">
        <f t="shared" si="573"/>
        <v>0</v>
      </c>
      <c r="AM175" s="10">
        <f t="shared" si="574"/>
        <v>0</v>
      </c>
      <c r="AN175" s="9">
        <f t="shared" si="575"/>
        <v>0</v>
      </c>
      <c r="AO175" s="10">
        <f t="shared" si="576"/>
        <v>0</v>
      </c>
      <c r="AP175" s="9">
        <f t="shared" si="577"/>
        <v>0</v>
      </c>
      <c r="AQ175" s="10">
        <f t="shared" si="578"/>
        <v>0</v>
      </c>
      <c r="AR175" s="9">
        <f t="shared" si="579"/>
        <v>0</v>
      </c>
      <c r="AS175" s="10">
        <f t="shared" si="580"/>
        <v>0</v>
      </c>
      <c r="AT175" s="9">
        <f t="shared" si="581"/>
        <v>0</v>
      </c>
      <c r="AU175" s="10">
        <f t="shared" si="582"/>
        <v>0</v>
      </c>
      <c r="AV175" s="9">
        <f t="shared" si="583"/>
        <v>0</v>
      </c>
      <c r="AW175" s="10">
        <f t="shared" si="584"/>
        <v>0</v>
      </c>
      <c r="AX175" s="9">
        <f t="shared" si="585"/>
        <v>0</v>
      </c>
      <c r="AY175" s="10">
        <f t="shared" si="586"/>
        <v>0</v>
      </c>
      <c r="AZ175" s="9">
        <f t="shared" si="587"/>
        <v>0</v>
      </c>
      <c r="BA175" s="10">
        <f t="shared" si="588"/>
        <v>0</v>
      </c>
      <c r="BB175" s="9">
        <f t="shared" si="589"/>
        <v>0</v>
      </c>
      <c r="BC175" s="10">
        <f t="shared" si="590"/>
        <v>0</v>
      </c>
      <c r="BD175" s="9">
        <f t="shared" si="591"/>
        <v>0</v>
      </c>
      <c r="BE175" s="10">
        <f t="shared" si="592"/>
        <v>0</v>
      </c>
      <c r="BF175" s="11">
        <f t="shared" si="593"/>
        <v>0</v>
      </c>
      <c r="BG175" s="12">
        <f t="shared" si="594"/>
        <v>0</v>
      </c>
      <c r="BH175" s="9">
        <f t="shared" si="595"/>
        <v>12</v>
      </c>
      <c r="BI175" s="10">
        <f t="shared" si="596"/>
        <v>7.1999999999999993</v>
      </c>
      <c r="BJ175" s="9">
        <f t="shared" si="597"/>
        <v>0</v>
      </c>
      <c r="BK175" s="10">
        <f t="shared" si="598"/>
        <v>0</v>
      </c>
      <c r="BL175" s="9">
        <f t="shared" si="599"/>
        <v>0</v>
      </c>
      <c r="BM175" s="10">
        <f t="shared" si="600"/>
        <v>0</v>
      </c>
      <c r="BN175" s="9">
        <f t="shared" si="601"/>
        <v>0</v>
      </c>
      <c r="BO175" s="10">
        <f t="shared" si="602"/>
        <v>0</v>
      </c>
      <c r="BP175" s="9">
        <f t="shared" si="603"/>
        <v>0</v>
      </c>
      <c r="BQ175" s="10">
        <f t="shared" si="604"/>
        <v>0</v>
      </c>
      <c r="BR175" s="9">
        <f t="shared" si="605"/>
        <v>0</v>
      </c>
      <c r="BS175" s="10">
        <f t="shared" si="606"/>
        <v>0</v>
      </c>
      <c r="BT175" s="9">
        <f t="shared" si="607"/>
        <v>0</v>
      </c>
      <c r="BU175" s="10">
        <f t="shared" si="608"/>
        <v>0</v>
      </c>
      <c r="BV175" s="9">
        <f t="shared" si="609"/>
        <v>0</v>
      </c>
      <c r="BW175" s="10">
        <f t="shared" si="610"/>
        <v>0</v>
      </c>
      <c r="BX175" s="9">
        <f t="shared" si="611"/>
        <v>0</v>
      </c>
      <c r="BY175" s="10">
        <f t="shared" si="612"/>
        <v>0</v>
      </c>
      <c r="BZ175" s="9">
        <f t="shared" si="613"/>
        <v>0</v>
      </c>
      <c r="CA175" s="10">
        <f t="shared" si="614"/>
        <v>0</v>
      </c>
      <c r="CB175" s="9">
        <f t="shared" si="615"/>
        <v>0</v>
      </c>
      <c r="CC175" s="10">
        <f t="shared" si="616"/>
        <v>0</v>
      </c>
      <c r="CD175" s="9">
        <f t="shared" si="617"/>
        <v>0</v>
      </c>
      <c r="CE175" s="10">
        <f t="shared" si="618"/>
        <v>0</v>
      </c>
      <c r="CF175" s="11">
        <f t="shared" si="619"/>
        <v>12</v>
      </c>
      <c r="CG175" s="12">
        <f t="shared" si="620"/>
        <v>7.1999999999999993</v>
      </c>
      <c r="CH175" s="9">
        <f t="shared" si="621"/>
        <v>0</v>
      </c>
      <c r="CI175" s="10">
        <f t="shared" si="622"/>
        <v>0</v>
      </c>
      <c r="CJ175" s="9">
        <f t="shared" si="623"/>
        <v>0</v>
      </c>
      <c r="CK175" s="10">
        <f t="shared" si="624"/>
        <v>0</v>
      </c>
      <c r="CL175" s="9">
        <f t="shared" si="625"/>
        <v>0</v>
      </c>
      <c r="CM175" s="10">
        <f t="shared" si="626"/>
        <v>0</v>
      </c>
      <c r="CN175" s="9">
        <f t="shared" si="627"/>
        <v>0</v>
      </c>
      <c r="CO175" s="10">
        <f t="shared" si="628"/>
        <v>0</v>
      </c>
      <c r="CP175" s="9">
        <f t="shared" si="629"/>
        <v>0</v>
      </c>
      <c r="CQ175" s="10">
        <f t="shared" si="630"/>
        <v>0</v>
      </c>
      <c r="CR175" s="9">
        <f t="shared" si="631"/>
        <v>0</v>
      </c>
      <c r="CS175" s="10">
        <f t="shared" si="632"/>
        <v>0</v>
      </c>
      <c r="CT175" s="9">
        <f t="shared" si="633"/>
        <v>0</v>
      </c>
      <c r="CU175" s="10">
        <f t="shared" si="634"/>
        <v>0</v>
      </c>
      <c r="CV175" s="9">
        <f t="shared" si="635"/>
        <v>12</v>
      </c>
      <c r="CW175" s="10">
        <f t="shared" si="636"/>
        <v>7.1999999999999993</v>
      </c>
      <c r="CX175" s="9">
        <f t="shared" si="637"/>
        <v>0</v>
      </c>
      <c r="CY175" s="10">
        <f t="shared" si="638"/>
        <v>0</v>
      </c>
      <c r="CZ175" s="9">
        <f t="shared" si="639"/>
        <v>0</v>
      </c>
      <c r="DA175" s="10">
        <f t="shared" si="640"/>
        <v>0</v>
      </c>
      <c r="DB175" s="9">
        <f t="shared" si="641"/>
        <v>0</v>
      </c>
      <c r="DC175" s="10">
        <f t="shared" si="642"/>
        <v>0</v>
      </c>
      <c r="DD175" s="9">
        <f t="shared" si="643"/>
        <v>0</v>
      </c>
      <c r="DE175" s="10">
        <f t="shared" si="644"/>
        <v>0</v>
      </c>
      <c r="DF175" s="11">
        <f t="shared" si="671"/>
        <v>12</v>
      </c>
      <c r="DG175" s="12">
        <f t="shared" si="645"/>
        <v>7.1999999999999993</v>
      </c>
      <c r="DH175" s="9">
        <f t="shared" si="646"/>
        <v>12</v>
      </c>
      <c r="DI175" s="10">
        <f t="shared" si="647"/>
        <v>7.1999999999999993</v>
      </c>
      <c r="DJ175" s="9">
        <f t="shared" si="648"/>
        <v>0</v>
      </c>
      <c r="DK175" s="10">
        <f t="shared" si="649"/>
        <v>0</v>
      </c>
      <c r="DL175" s="9">
        <f t="shared" si="650"/>
        <v>0</v>
      </c>
      <c r="DM175" s="10">
        <f t="shared" si="651"/>
        <v>0</v>
      </c>
      <c r="DN175" s="9">
        <f t="shared" si="652"/>
        <v>0</v>
      </c>
      <c r="DO175" s="10">
        <f t="shared" si="653"/>
        <v>0</v>
      </c>
      <c r="DP175" s="9">
        <f t="shared" si="654"/>
        <v>0</v>
      </c>
      <c r="DQ175" s="10">
        <f t="shared" si="655"/>
        <v>0</v>
      </c>
      <c r="DR175" s="9">
        <f t="shared" si="656"/>
        <v>0</v>
      </c>
      <c r="DS175" s="10">
        <f t="shared" si="657"/>
        <v>0</v>
      </c>
      <c r="DT175" s="9">
        <f t="shared" si="658"/>
        <v>0</v>
      </c>
      <c r="DU175" s="10">
        <f t="shared" si="659"/>
        <v>0</v>
      </c>
      <c r="DV175" s="9">
        <f t="shared" si="660"/>
        <v>0</v>
      </c>
      <c r="DW175" s="10">
        <f t="shared" si="661"/>
        <v>0</v>
      </c>
      <c r="DX175" s="9">
        <f t="shared" si="662"/>
        <v>0</v>
      </c>
      <c r="DY175" s="10">
        <f t="shared" si="663"/>
        <v>0</v>
      </c>
      <c r="DZ175" s="9">
        <f t="shared" si="664"/>
        <v>0</v>
      </c>
      <c r="EA175" s="10">
        <f t="shared" si="665"/>
        <v>0</v>
      </c>
      <c r="EB175" s="9">
        <f t="shared" si="666"/>
        <v>0</v>
      </c>
      <c r="EC175" s="10">
        <f t="shared" si="667"/>
        <v>0</v>
      </c>
      <c r="ED175" s="9">
        <f t="shared" si="668"/>
        <v>0</v>
      </c>
      <c r="EE175" s="10">
        <f t="shared" si="669"/>
        <v>0</v>
      </c>
      <c r="EF175" s="11">
        <f t="shared" si="672"/>
        <v>12</v>
      </c>
      <c r="EG175" s="12">
        <f t="shared" si="670"/>
        <v>7.1999999999999993</v>
      </c>
    </row>
    <row r="176" spans="1:137" ht="19.8">
      <c r="A176" s="7">
        <v>5</v>
      </c>
      <c r="B176" s="8" t="s">
        <v>28</v>
      </c>
      <c r="C176" s="8" t="s">
        <v>14</v>
      </c>
      <c r="D176" s="7">
        <f t="shared" si="542"/>
        <v>31</v>
      </c>
      <c r="E176" s="7">
        <v>0.35</v>
      </c>
      <c r="F176" s="7" t="s">
        <v>18</v>
      </c>
      <c r="G176" s="7">
        <v>730</v>
      </c>
      <c r="H176" s="9">
        <f t="shared" si="543"/>
        <v>0</v>
      </c>
      <c r="I176" s="10">
        <f t="shared" si="544"/>
        <v>0</v>
      </c>
      <c r="J176" s="9">
        <f t="shared" si="545"/>
        <v>0</v>
      </c>
      <c r="K176" s="10">
        <f t="shared" si="546"/>
        <v>0</v>
      </c>
      <c r="L176" s="9">
        <f t="shared" si="547"/>
        <v>0</v>
      </c>
      <c r="M176" s="10">
        <f t="shared" si="548"/>
        <v>0</v>
      </c>
      <c r="N176" s="9">
        <f t="shared" si="549"/>
        <v>0</v>
      </c>
      <c r="O176" s="10">
        <f t="shared" si="550"/>
        <v>0</v>
      </c>
      <c r="P176" s="9">
        <f t="shared" si="551"/>
        <v>0</v>
      </c>
      <c r="Q176" s="10">
        <f t="shared" si="552"/>
        <v>0</v>
      </c>
      <c r="R176" s="9">
        <f t="shared" si="553"/>
        <v>0</v>
      </c>
      <c r="S176" s="10">
        <f t="shared" si="554"/>
        <v>0</v>
      </c>
      <c r="T176" s="9">
        <f t="shared" si="555"/>
        <v>0</v>
      </c>
      <c r="U176" s="10">
        <f t="shared" si="556"/>
        <v>0</v>
      </c>
      <c r="V176" s="9">
        <f t="shared" si="557"/>
        <v>0</v>
      </c>
      <c r="W176" s="10">
        <f t="shared" si="558"/>
        <v>0</v>
      </c>
      <c r="X176" s="9">
        <f t="shared" si="559"/>
        <v>0</v>
      </c>
      <c r="Y176" s="10">
        <f t="shared" si="560"/>
        <v>0</v>
      </c>
      <c r="Z176" s="9">
        <f t="shared" si="561"/>
        <v>0</v>
      </c>
      <c r="AA176" s="10">
        <f t="shared" si="562"/>
        <v>0</v>
      </c>
      <c r="AB176" s="9">
        <f t="shared" si="563"/>
        <v>0</v>
      </c>
      <c r="AC176" s="10">
        <f t="shared" si="564"/>
        <v>0</v>
      </c>
      <c r="AD176" s="9">
        <f t="shared" si="565"/>
        <v>0</v>
      </c>
      <c r="AE176" s="10">
        <f t="shared" si="566"/>
        <v>0</v>
      </c>
      <c r="AF176" s="11">
        <f t="shared" si="567"/>
        <v>0</v>
      </c>
      <c r="AG176" s="12">
        <f t="shared" si="568"/>
        <v>0</v>
      </c>
      <c r="AH176" s="9">
        <f t="shared" si="569"/>
        <v>0</v>
      </c>
      <c r="AI176" s="10">
        <f t="shared" si="570"/>
        <v>0</v>
      </c>
      <c r="AJ176" s="9">
        <f t="shared" si="571"/>
        <v>0</v>
      </c>
      <c r="AK176" s="10">
        <f t="shared" si="572"/>
        <v>0</v>
      </c>
      <c r="AL176" s="9">
        <f t="shared" si="573"/>
        <v>0</v>
      </c>
      <c r="AM176" s="10">
        <f t="shared" si="574"/>
        <v>0</v>
      </c>
      <c r="AN176" s="9">
        <f t="shared" si="575"/>
        <v>0</v>
      </c>
      <c r="AO176" s="10">
        <f t="shared" si="576"/>
        <v>0</v>
      </c>
      <c r="AP176" s="9">
        <f t="shared" si="577"/>
        <v>0</v>
      </c>
      <c r="AQ176" s="10">
        <f t="shared" si="578"/>
        <v>0</v>
      </c>
      <c r="AR176" s="9">
        <f t="shared" si="579"/>
        <v>0</v>
      </c>
      <c r="AS176" s="10">
        <f t="shared" si="580"/>
        <v>0</v>
      </c>
      <c r="AT176" s="9">
        <f t="shared" si="581"/>
        <v>0</v>
      </c>
      <c r="AU176" s="10">
        <f t="shared" si="582"/>
        <v>0</v>
      </c>
      <c r="AV176" s="9">
        <f t="shared" si="583"/>
        <v>0</v>
      </c>
      <c r="AW176" s="10">
        <f t="shared" si="584"/>
        <v>0</v>
      </c>
      <c r="AX176" s="9">
        <f t="shared" si="585"/>
        <v>0</v>
      </c>
      <c r="AY176" s="10">
        <f t="shared" si="586"/>
        <v>0</v>
      </c>
      <c r="AZ176" s="9">
        <f t="shared" si="587"/>
        <v>0</v>
      </c>
      <c r="BA176" s="10">
        <f t="shared" si="588"/>
        <v>0</v>
      </c>
      <c r="BB176" s="9">
        <f t="shared" si="589"/>
        <v>0</v>
      </c>
      <c r="BC176" s="10">
        <f t="shared" si="590"/>
        <v>0</v>
      </c>
      <c r="BD176" s="9">
        <f t="shared" si="591"/>
        <v>0</v>
      </c>
      <c r="BE176" s="10">
        <f t="shared" si="592"/>
        <v>0</v>
      </c>
      <c r="BF176" s="11">
        <f t="shared" si="593"/>
        <v>0</v>
      </c>
      <c r="BG176" s="12">
        <f t="shared" si="594"/>
        <v>0</v>
      </c>
      <c r="BH176" s="9">
        <f t="shared" si="595"/>
        <v>0</v>
      </c>
      <c r="BI176" s="10">
        <f t="shared" si="596"/>
        <v>0</v>
      </c>
      <c r="BJ176" s="9">
        <f t="shared" si="597"/>
        <v>0</v>
      </c>
      <c r="BK176" s="10">
        <f t="shared" si="598"/>
        <v>0</v>
      </c>
      <c r="BL176" s="9">
        <f t="shared" si="599"/>
        <v>0</v>
      </c>
      <c r="BM176" s="10">
        <f t="shared" si="600"/>
        <v>0</v>
      </c>
      <c r="BN176" s="9">
        <f t="shared" si="601"/>
        <v>0</v>
      </c>
      <c r="BO176" s="10">
        <f t="shared" si="602"/>
        <v>0</v>
      </c>
      <c r="BP176" s="9">
        <f t="shared" si="603"/>
        <v>0</v>
      </c>
      <c r="BQ176" s="10">
        <f t="shared" si="604"/>
        <v>0</v>
      </c>
      <c r="BR176" s="9">
        <f t="shared" si="605"/>
        <v>0</v>
      </c>
      <c r="BS176" s="10">
        <f t="shared" si="606"/>
        <v>0</v>
      </c>
      <c r="BT176" s="9">
        <f t="shared" si="607"/>
        <v>0</v>
      </c>
      <c r="BU176" s="10">
        <f t="shared" si="608"/>
        <v>0</v>
      </c>
      <c r="BV176" s="9">
        <f t="shared" si="609"/>
        <v>0</v>
      </c>
      <c r="BW176" s="10">
        <f t="shared" si="610"/>
        <v>0</v>
      </c>
      <c r="BX176" s="9">
        <f t="shared" si="611"/>
        <v>0</v>
      </c>
      <c r="BY176" s="10">
        <f t="shared" si="612"/>
        <v>0</v>
      </c>
      <c r="BZ176" s="9">
        <f t="shared" si="613"/>
        <v>0</v>
      </c>
      <c r="CA176" s="10">
        <f t="shared" si="614"/>
        <v>0</v>
      </c>
      <c r="CB176" s="9">
        <f t="shared" si="615"/>
        <v>0</v>
      </c>
      <c r="CC176" s="10">
        <f t="shared" si="616"/>
        <v>0</v>
      </c>
      <c r="CD176" s="9">
        <f t="shared" si="617"/>
        <v>0</v>
      </c>
      <c r="CE176" s="10">
        <f t="shared" si="618"/>
        <v>0</v>
      </c>
      <c r="CF176" s="11">
        <f t="shared" si="619"/>
        <v>0</v>
      </c>
      <c r="CG176" s="12">
        <f t="shared" si="620"/>
        <v>0</v>
      </c>
      <c r="CH176" s="9">
        <f t="shared" si="621"/>
        <v>0</v>
      </c>
      <c r="CI176" s="10">
        <f t="shared" si="622"/>
        <v>0</v>
      </c>
      <c r="CJ176" s="9">
        <f t="shared" si="623"/>
        <v>0</v>
      </c>
      <c r="CK176" s="10">
        <f t="shared" si="624"/>
        <v>0</v>
      </c>
      <c r="CL176" s="9">
        <f t="shared" si="625"/>
        <v>0</v>
      </c>
      <c r="CM176" s="10">
        <f t="shared" si="626"/>
        <v>0</v>
      </c>
      <c r="CN176" s="9">
        <f t="shared" si="627"/>
        <v>0</v>
      </c>
      <c r="CO176" s="10">
        <f t="shared" si="628"/>
        <v>0</v>
      </c>
      <c r="CP176" s="9">
        <f t="shared" si="629"/>
        <v>0</v>
      </c>
      <c r="CQ176" s="10">
        <f t="shared" si="630"/>
        <v>0</v>
      </c>
      <c r="CR176" s="9">
        <f t="shared" si="631"/>
        <v>0</v>
      </c>
      <c r="CS176" s="10">
        <f t="shared" si="632"/>
        <v>0</v>
      </c>
      <c r="CT176" s="9">
        <f t="shared" si="633"/>
        <v>0</v>
      </c>
      <c r="CU176" s="10">
        <f t="shared" si="634"/>
        <v>0</v>
      </c>
      <c r="CV176" s="9">
        <f t="shared" si="635"/>
        <v>0</v>
      </c>
      <c r="CW176" s="10">
        <f t="shared" si="636"/>
        <v>0</v>
      </c>
      <c r="CX176" s="9">
        <f t="shared" si="637"/>
        <v>0</v>
      </c>
      <c r="CY176" s="10">
        <f t="shared" si="638"/>
        <v>0</v>
      </c>
      <c r="CZ176" s="9">
        <f t="shared" si="639"/>
        <v>0</v>
      </c>
      <c r="DA176" s="10">
        <f t="shared" si="640"/>
        <v>0</v>
      </c>
      <c r="DB176" s="9">
        <f t="shared" si="641"/>
        <v>0</v>
      </c>
      <c r="DC176" s="10">
        <f t="shared" si="642"/>
        <v>0</v>
      </c>
      <c r="DD176" s="9">
        <f t="shared" si="643"/>
        <v>0</v>
      </c>
      <c r="DE176" s="10">
        <f t="shared" si="644"/>
        <v>0</v>
      </c>
      <c r="DF176" s="11">
        <f t="shared" si="671"/>
        <v>0</v>
      </c>
      <c r="DG176" s="12">
        <f t="shared" si="645"/>
        <v>0</v>
      </c>
      <c r="DH176" s="9">
        <f t="shared" si="646"/>
        <v>0</v>
      </c>
      <c r="DI176" s="10">
        <f t="shared" si="647"/>
        <v>0</v>
      </c>
      <c r="DJ176" s="9">
        <f t="shared" si="648"/>
        <v>0</v>
      </c>
      <c r="DK176" s="10">
        <f t="shared" si="649"/>
        <v>0</v>
      </c>
      <c r="DL176" s="9">
        <f t="shared" si="650"/>
        <v>0</v>
      </c>
      <c r="DM176" s="10">
        <f t="shared" si="651"/>
        <v>0</v>
      </c>
      <c r="DN176" s="9">
        <f t="shared" si="652"/>
        <v>0</v>
      </c>
      <c r="DO176" s="10">
        <f t="shared" si="653"/>
        <v>0</v>
      </c>
      <c r="DP176" s="9">
        <f t="shared" si="654"/>
        <v>0</v>
      </c>
      <c r="DQ176" s="10">
        <f t="shared" si="655"/>
        <v>0</v>
      </c>
      <c r="DR176" s="9">
        <f t="shared" si="656"/>
        <v>0</v>
      </c>
      <c r="DS176" s="10">
        <f t="shared" si="657"/>
        <v>0</v>
      </c>
      <c r="DT176" s="9">
        <f t="shared" si="658"/>
        <v>0</v>
      </c>
      <c r="DU176" s="10">
        <f t="shared" si="659"/>
        <v>0</v>
      </c>
      <c r="DV176" s="9">
        <f t="shared" si="660"/>
        <v>0</v>
      </c>
      <c r="DW176" s="10">
        <f t="shared" si="661"/>
        <v>0</v>
      </c>
      <c r="DX176" s="9">
        <f t="shared" si="662"/>
        <v>0</v>
      </c>
      <c r="DY176" s="10">
        <f t="shared" si="663"/>
        <v>0</v>
      </c>
      <c r="DZ176" s="9">
        <f t="shared" si="664"/>
        <v>0</v>
      </c>
      <c r="EA176" s="10">
        <f t="shared" si="665"/>
        <v>0</v>
      </c>
      <c r="EB176" s="9">
        <f t="shared" si="666"/>
        <v>0</v>
      </c>
      <c r="EC176" s="10">
        <f t="shared" si="667"/>
        <v>0</v>
      </c>
      <c r="ED176" s="9">
        <f t="shared" si="668"/>
        <v>0</v>
      </c>
      <c r="EE176" s="10">
        <f t="shared" si="669"/>
        <v>0</v>
      </c>
      <c r="EF176" s="11">
        <f t="shared" si="672"/>
        <v>0</v>
      </c>
      <c r="EG176" s="12">
        <f t="shared" si="670"/>
        <v>0</v>
      </c>
    </row>
    <row r="177" spans="1:137" ht="19.8">
      <c r="A177" s="7">
        <v>6</v>
      </c>
      <c r="B177" s="8" t="s">
        <v>29</v>
      </c>
      <c r="C177" s="8" t="s">
        <v>14</v>
      </c>
      <c r="D177" s="7">
        <f t="shared" si="542"/>
        <v>26</v>
      </c>
      <c r="E177" s="7">
        <v>0.35</v>
      </c>
      <c r="F177" s="7" t="s">
        <v>18</v>
      </c>
      <c r="G177" s="7">
        <v>900</v>
      </c>
      <c r="H177" s="9">
        <f t="shared" si="543"/>
        <v>187200</v>
      </c>
      <c r="I177" s="10">
        <f t="shared" si="544"/>
        <v>65519.999999999993</v>
      </c>
      <c r="J177" s="9">
        <f t="shared" si="545"/>
        <v>0</v>
      </c>
      <c r="K177" s="10">
        <f t="shared" si="546"/>
        <v>0</v>
      </c>
      <c r="L177" s="9">
        <f t="shared" si="547"/>
        <v>0</v>
      </c>
      <c r="M177" s="10">
        <f t="shared" si="548"/>
        <v>0</v>
      </c>
      <c r="N177" s="9">
        <f t="shared" si="549"/>
        <v>0</v>
      </c>
      <c r="O177" s="10">
        <f t="shared" si="550"/>
        <v>0</v>
      </c>
      <c r="P177" s="9">
        <f t="shared" si="551"/>
        <v>0</v>
      </c>
      <c r="Q177" s="10">
        <f t="shared" si="552"/>
        <v>0</v>
      </c>
      <c r="R177" s="9">
        <f t="shared" si="553"/>
        <v>0</v>
      </c>
      <c r="S177" s="10">
        <f t="shared" si="554"/>
        <v>0</v>
      </c>
      <c r="T177" s="9">
        <f t="shared" si="555"/>
        <v>0</v>
      </c>
      <c r="U177" s="10">
        <f t="shared" si="556"/>
        <v>0</v>
      </c>
      <c r="V177" s="9">
        <f t="shared" si="557"/>
        <v>0</v>
      </c>
      <c r="W177" s="10">
        <f t="shared" si="558"/>
        <v>0</v>
      </c>
      <c r="X177" s="9">
        <f t="shared" si="559"/>
        <v>0</v>
      </c>
      <c r="Y177" s="10">
        <f t="shared" si="560"/>
        <v>0</v>
      </c>
      <c r="Z177" s="9">
        <f t="shared" si="561"/>
        <v>0</v>
      </c>
      <c r="AA177" s="10">
        <f t="shared" si="562"/>
        <v>0</v>
      </c>
      <c r="AB177" s="9">
        <f t="shared" si="563"/>
        <v>0</v>
      </c>
      <c r="AC177" s="10">
        <f t="shared" si="564"/>
        <v>0</v>
      </c>
      <c r="AD177" s="9">
        <f t="shared" si="565"/>
        <v>0</v>
      </c>
      <c r="AE177" s="10">
        <f t="shared" si="566"/>
        <v>0</v>
      </c>
      <c r="AF177" s="11">
        <f t="shared" si="567"/>
        <v>187200</v>
      </c>
      <c r="AG177" s="12">
        <f t="shared" si="568"/>
        <v>65519.999999999993</v>
      </c>
      <c r="AH177" s="9">
        <f t="shared" si="569"/>
        <v>0</v>
      </c>
      <c r="AI177" s="10">
        <f t="shared" si="570"/>
        <v>0</v>
      </c>
      <c r="AJ177" s="9">
        <f t="shared" si="571"/>
        <v>0</v>
      </c>
      <c r="AK177" s="10">
        <f t="shared" si="572"/>
        <v>0</v>
      </c>
      <c r="AL177" s="9">
        <f t="shared" si="573"/>
        <v>0</v>
      </c>
      <c r="AM177" s="10">
        <f t="shared" si="574"/>
        <v>0</v>
      </c>
      <c r="AN177" s="9">
        <f t="shared" si="575"/>
        <v>0</v>
      </c>
      <c r="AO177" s="10">
        <f t="shared" si="576"/>
        <v>0</v>
      </c>
      <c r="AP177" s="9">
        <f t="shared" si="577"/>
        <v>0</v>
      </c>
      <c r="AQ177" s="10">
        <f t="shared" si="578"/>
        <v>0</v>
      </c>
      <c r="AR177" s="9">
        <f t="shared" si="579"/>
        <v>0</v>
      </c>
      <c r="AS177" s="10">
        <f t="shared" si="580"/>
        <v>0</v>
      </c>
      <c r="AT177" s="9">
        <f t="shared" si="581"/>
        <v>52</v>
      </c>
      <c r="AU177" s="10">
        <f t="shared" si="582"/>
        <v>18.2</v>
      </c>
      <c r="AV177" s="9">
        <f t="shared" si="583"/>
        <v>0</v>
      </c>
      <c r="AW177" s="10">
        <f t="shared" si="584"/>
        <v>0</v>
      </c>
      <c r="AX177" s="9">
        <f t="shared" si="585"/>
        <v>0</v>
      </c>
      <c r="AY177" s="10">
        <f t="shared" si="586"/>
        <v>0</v>
      </c>
      <c r="AZ177" s="9">
        <f t="shared" si="587"/>
        <v>0</v>
      </c>
      <c r="BA177" s="10">
        <f t="shared" si="588"/>
        <v>0</v>
      </c>
      <c r="BB177" s="9">
        <f t="shared" si="589"/>
        <v>0</v>
      </c>
      <c r="BC177" s="10">
        <f t="shared" si="590"/>
        <v>0</v>
      </c>
      <c r="BD177" s="9">
        <f t="shared" si="591"/>
        <v>0</v>
      </c>
      <c r="BE177" s="10">
        <f t="shared" si="592"/>
        <v>0</v>
      </c>
      <c r="BF177" s="11">
        <f t="shared" si="593"/>
        <v>52</v>
      </c>
      <c r="BG177" s="12">
        <f t="shared" si="594"/>
        <v>18.2</v>
      </c>
      <c r="BH177" s="9">
        <f t="shared" si="595"/>
        <v>0</v>
      </c>
      <c r="BI177" s="10">
        <f t="shared" si="596"/>
        <v>0</v>
      </c>
      <c r="BJ177" s="9">
        <f t="shared" si="597"/>
        <v>0</v>
      </c>
      <c r="BK177" s="10">
        <f t="shared" si="598"/>
        <v>0</v>
      </c>
      <c r="BL177" s="9">
        <f t="shared" si="599"/>
        <v>0</v>
      </c>
      <c r="BM177" s="10">
        <f t="shared" si="600"/>
        <v>0</v>
      </c>
      <c r="BN177" s="9">
        <f t="shared" si="601"/>
        <v>0</v>
      </c>
      <c r="BO177" s="10">
        <f t="shared" si="602"/>
        <v>0</v>
      </c>
      <c r="BP177" s="9">
        <f t="shared" si="603"/>
        <v>0</v>
      </c>
      <c r="BQ177" s="10">
        <f t="shared" si="604"/>
        <v>0</v>
      </c>
      <c r="BR177" s="9">
        <f t="shared" si="605"/>
        <v>0</v>
      </c>
      <c r="BS177" s="10">
        <f t="shared" si="606"/>
        <v>0</v>
      </c>
      <c r="BT177" s="9">
        <f t="shared" si="607"/>
        <v>0</v>
      </c>
      <c r="BU177" s="10">
        <f t="shared" si="608"/>
        <v>0</v>
      </c>
      <c r="BV177" s="9">
        <f t="shared" si="609"/>
        <v>0</v>
      </c>
      <c r="BW177" s="10">
        <f t="shared" si="610"/>
        <v>0</v>
      </c>
      <c r="BX177" s="9">
        <f t="shared" si="611"/>
        <v>0</v>
      </c>
      <c r="BY177" s="10">
        <f t="shared" si="612"/>
        <v>0</v>
      </c>
      <c r="BZ177" s="9">
        <f t="shared" si="613"/>
        <v>0</v>
      </c>
      <c r="CA177" s="10">
        <f t="shared" si="614"/>
        <v>0</v>
      </c>
      <c r="CB177" s="9">
        <f t="shared" si="615"/>
        <v>0</v>
      </c>
      <c r="CC177" s="10">
        <f t="shared" si="616"/>
        <v>0</v>
      </c>
      <c r="CD177" s="9">
        <f t="shared" si="617"/>
        <v>0</v>
      </c>
      <c r="CE177" s="10">
        <f t="shared" si="618"/>
        <v>0</v>
      </c>
      <c r="CF177" s="11">
        <f t="shared" si="619"/>
        <v>0</v>
      </c>
      <c r="CG177" s="12">
        <f t="shared" si="620"/>
        <v>0</v>
      </c>
      <c r="CH177" s="9">
        <f t="shared" si="621"/>
        <v>0</v>
      </c>
      <c r="CI177" s="10">
        <f t="shared" si="622"/>
        <v>0</v>
      </c>
      <c r="CJ177" s="9">
        <f t="shared" si="623"/>
        <v>0</v>
      </c>
      <c r="CK177" s="10">
        <f t="shared" si="624"/>
        <v>0</v>
      </c>
      <c r="CL177" s="9">
        <f t="shared" si="625"/>
        <v>0</v>
      </c>
      <c r="CM177" s="10">
        <f t="shared" si="626"/>
        <v>0</v>
      </c>
      <c r="CN177" s="9">
        <f t="shared" si="627"/>
        <v>0</v>
      </c>
      <c r="CO177" s="10">
        <f t="shared" si="628"/>
        <v>0</v>
      </c>
      <c r="CP177" s="9">
        <f t="shared" si="629"/>
        <v>0</v>
      </c>
      <c r="CQ177" s="10">
        <f t="shared" si="630"/>
        <v>0</v>
      </c>
      <c r="CR177" s="9">
        <f t="shared" si="631"/>
        <v>0</v>
      </c>
      <c r="CS177" s="10">
        <f t="shared" si="632"/>
        <v>0</v>
      </c>
      <c r="CT177" s="9">
        <f t="shared" si="633"/>
        <v>0</v>
      </c>
      <c r="CU177" s="10">
        <f t="shared" si="634"/>
        <v>0</v>
      </c>
      <c r="CV177" s="9">
        <f t="shared" si="635"/>
        <v>0</v>
      </c>
      <c r="CW177" s="10">
        <f t="shared" si="636"/>
        <v>0</v>
      </c>
      <c r="CX177" s="9">
        <f t="shared" si="637"/>
        <v>0</v>
      </c>
      <c r="CY177" s="10">
        <f t="shared" si="638"/>
        <v>0</v>
      </c>
      <c r="CZ177" s="9">
        <f t="shared" si="639"/>
        <v>80</v>
      </c>
      <c r="DA177" s="10">
        <f t="shared" si="640"/>
        <v>28</v>
      </c>
      <c r="DB177" s="9">
        <f t="shared" si="641"/>
        <v>400</v>
      </c>
      <c r="DC177" s="10">
        <f t="shared" si="642"/>
        <v>140</v>
      </c>
      <c r="DD177" s="9">
        <f t="shared" si="643"/>
        <v>0</v>
      </c>
      <c r="DE177" s="10">
        <f t="shared" si="644"/>
        <v>0</v>
      </c>
      <c r="DF177" s="11">
        <f t="shared" si="671"/>
        <v>480</v>
      </c>
      <c r="DG177" s="12">
        <f t="shared" si="645"/>
        <v>168</v>
      </c>
      <c r="DH177" s="9">
        <f t="shared" si="646"/>
        <v>40</v>
      </c>
      <c r="DI177" s="10">
        <f t="shared" si="647"/>
        <v>14</v>
      </c>
      <c r="DJ177" s="9">
        <f t="shared" si="648"/>
        <v>160</v>
      </c>
      <c r="DK177" s="10">
        <f t="shared" si="649"/>
        <v>56</v>
      </c>
      <c r="DL177" s="9">
        <f t="shared" si="650"/>
        <v>0</v>
      </c>
      <c r="DM177" s="10">
        <f t="shared" si="651"/>
        <v>0</v>
      </c>
      <c r="DN177" s="9">
        <f t="shared" si="652"/>
        <v>0</v>
      </c>
      <c r="DO177" s="10">
        <f t="shared" si="653"/>
        <v>0</v>
      </c>
      <c r="DP177" s="9">
        <f t="shared" si="654"/>
        <v>0</v>
      </c>
      <c r="DQ177" s="10">
        <f t="shared" si="655"/>
        <v>0</v>
      </c>
      <c r="DR177" s="9">
        <f t="shared" si="656"/>
        <v>0</v>
      </c>
      <c r="DS177" s="10">
        <f t="shared" si="657"/>
        <v>0</v>
      </c>
      <c r="DT177" s="9">
        <f t="shared" si="658"/>
        <v>0</v>
      </c>
      <c r="DU177" s="10">
        <f t="shared" si="659"/>
        <v>0</v>
      </c>
      <c r="DV177" s="9">
        <f t="shared" si="660"/>
        <v>0</v>
      </c>
      <c r="DW177" s="10">
        <f t="shared" si="661"/>
        <v>0</v>
      </c>
      <c r="DX177" s="9">
        <f t="shared" si="662"/>
        <v>0</v>
      </c>
      <c r="DY177" s="10">
        <f t="shared" si="663"/>
        <v>0</v>
      </c>
      <c r="DZ177" s="9">
        <f t="shared" si="664"/>
        <v>0</v>
      </c>
      <c r="EA177" s="10">
        <f t="shared" si="665"/>
        <v>0</v>
      </c>
      <c r="EB177" s="9">
        <f t="shared" si="666"/>
        <v>0</v>
      </c>
      <c r="EC177" s="10">
        <f t="shared" si="667"/>
        <v>0</v>
      </c>
      <c r="ED177" s="9">
        <f t="shared" si="668"/>
        <v>0</v>
      </c>
      <c r="EE177" s="10">
        <f t="shared" si="669"/>
        <v>0</v>
      </c>
      <c r="EF177" s="11">
        <f t="shared" si="672"/>
        <v>200</v>
      </c>
      <c r="EG177" s="12">
        <f t="shared" si="670"/>
        <v>70</v>
      </c>
    </row>
    <row r="178" spans="1:137" ht="19.8">
      <c r="A178" s="7">
        <v>7</v>
      </c>
      <c r="B178" s="8" t="s">
        <v>30</v>
      </c>
      <c r="C178" s="8" t="s">
        <v>11</v>
      </c>
      <c r="D178" s="7">
        <f t="shared" si="542"/>
        <v>31</v>
      </c>
      <c r="E178" s="7">
        <v>0.64</v>
      </c>
      <c r="F178" s="7" t="s">
        <v>22</v>
      </c>
      <c r="G178" s="7">
        <v>1350</v>
      </c>
      <c r="H178" s="9">
        <f t="shared" si="543"/>
        <v>0</v>
      </c>
      <c r="I178" s="10">
        <f t="shared" si="544"/>
        <v>0</v>
      </c>
      <c r="J178" s="9">
        <f t="shared" si="545"/>
        <v>0</v>
      </c>
      <c r="K178" s="10">
        <f t="shared" si="546"/>
        <v>0</v>
      </c>
      <c r="L178" s="9">
        <f t="shared" si="547"/>
        <v>0</v>
      </c>
      <c r="M178" s="10">
        <f t="shared" si="548"/>
        <v>0</v>
      </c>
      <c r="N178" s="9">
        <f t="shared" si="549"/>
        <v>0</v>
      </c>
      <c r="O178" s="10">
        <f t="shared" si="550"/>
        <v>0</v>
      </c>
      <c r="P178" s="9">
        <f t="shared" si="551"/>
        <v>0</v>
      </c>
      <c r="Q178" s="10">
        <f t="shared" si="552"/>
        <v>0</v>
      </c>
      <c r="R178" s="9">
        <f t="shared" si="553"/>
        <v>0</v>
      </c>
      <c r="S178" s="10">
        <f t="shared" si="554"/>
        <v>0</v>
      </c>
      <c r="T178" s="9">
        <f t="shared" si="555"/>
        <v>0</v>
      </c>
      <c r="U178" s="10">
        <f t="shared" si="556"/>
        <v>0</v>
      </c>
      <c r="V178" s="9">
        <f t="shared" si="557"/>
        <v>0</v>
      </c>
      <c r="W178" s="10">
        <f t="shared" si="558"/>
        <v>0</v>
      </c>
      <c r="X178" s="9">
        <f t="shared" si="559"/>
        <v>0</v>
      </c>
      <c r="Y178" s="10">
        <f t="shared" si="560"/>
        <v>0</v>
      </c>
      <c r="Z178" s="9">
        <f t="shared" si="561"/>
        <v>0</v>
      </c>
      <c r="AA178" s="10">
        <f t="shared" si="562"/>
        <v>0</v>
      </c>
      <c r="AB178" s="9">
        <f t="shared" si="563"/>
        <v>0</v>
      </c>
      <c r="AC178" s="10">
        <f t="shared" si="564"/>
        <v>0</v>
      </c>
      <c r="AD178" s="9">
        <f t="shared" si="565"/>
        <v>0</v>
      </c>
      <c r="AE178" s="10">
        <f t="shared" si="566"/>
        <v>0</v>
      </c>
      <c r="AF178" s="11">
        <f t="shared" si="567"/>
        <v>0</v>
      </c>
      <c r="AG178" s="12">
        <f t="shared" si="568"/>
        <v>0</v>
      </c>
      <c r="AH178" s="9">
        <f t="shared" si="569"/>
        <v>0</v>
      </c>
      <c r="AI178" s="10">
        <f t="shared" si="570"/>
        <v>0</v>
      </c>
      <c r="AJ178" s="9">
        <f t="shared" si="571"/>
        <v>0</v>
      </c>
      <c r="AK178" s="10">
        <f t="shared" si="572"/>
        <v>0</v>
      </c>
      <c r="AL178" s="9">
        <f t="shared" si="573"/>
        <v>0</v>
      </c>
      <c r="AM178" s="10">
        <f t="shared" si="574"/>
        <v>0</v>
      </c>
      <c r="AN178" s="9">
        <f t="shared" si="575"/>
        <v>0</v>
      </c>
      <c r="AO178" s="10">
        <f t="shared" si="576"/>
        <v>0</v>
      </c>
      <c r="AP178" s="9">
        <f t="shared" si="577"/>
        <v>0</v>
      </c>
      <c r="AQ178" s="10">
        <f t="shared" si="578"/>
        <v>0</v>
      </c>
      <c r="AR178" s="9">
        <f t="shared" si="579"/>
        <v>0</v>
      </c>
      <c r="AS178" s="10">
        <f t="shared" si="580"/>
        <v>0</v>
      </c>
      <c r="AT178" s="9">
        <f t="shared" si="581"/>
        <v>0</v>
      </c>
      <c r="AU178" s="10">
        <f t="shared" si="582"/>
        <v>0</v>
      </c>
      <c r="AV178" s="9">
        <f t="shared" si="583"/>
        <v>0</v>
      </c>
      <c r="AW178" s="10">
        <f t="shared" si="584"/>
        <v>0</v>
      </c>
      <c r="AX178" s="9">
        <f t="shared" si="585"/>
        <v>0</v>
      </c>
      <c r="AY178" s="10">
        <f t="shared" si="586"/>
        <v>0</v>
      </c>
      <c r="AZ178" s="9">
        <f t="shared" si="587"/>
        <v>14</v>
      </c>
      <c r="BA178" s="10">
        <f t="shared" si="588"/>
        <v>8.9600000000000009</v>
      </c>
      <c r="BB178" s="9">
        <f t="shared" si="589"/>
        <v>0</v>
      </c>
      <c r="BC178" s="10">
        <f t="shared" si="590"/>
        <v>0</v>
      </c>
      <c r="BD178" s="9">
        <f t="shared" si="591"/>
        <v>0</v>
      </c>
      <c r="BE178" s="10">
        <f t="shared" si="592"/>
        <v>0</v>
      </c>
      <c r="BF178" s="11">
        <f t="shared" si="593"/>
        <v>14</v>
      </c>
      <c r="BG178" s="12">
        <f t="shared" si="594"/>
        <v>8.9600000000000009</v>
      </c>
      <c r="BH178" s="9">
        <f t="shared" si="595"/>
        <v>0</v>
      </c>
      <c r="BI178" s="10">
        <f t="shared" si="596"/>
        <v>0</v>
      </c>
      <c r="BJ178" s="9">
        <f t="shared" si="597"/>
        <v>0</v>
      </c>
      <c r="BK178" s="10">
        <f t="shared" si="598"/>
        <v>0</v>
      </c>
      <c r="BL178" s="9">
        <f t="shared" si="599"/>
        <v>0</v>
      </c>
      <c r="BM178" s="10">
        <f t="shared" si="600"/>
        <v>0</v>
      </c>
      <c r="BN178" s="9">
        <f t="shared" si="601"/>
        <v>0</v>
      </c>
      <c r="BO178" s="10">
        <f t="shared" si="602"/>
        <v>0</v>
      </c>
      <c r="BP178" s="9">
        <f t="shared" si="603"/>
        <v>0</v>
      </c>
      <c r="BQ178" s="10">
        <f t="shared" si="604"/>
        <v>0</v>
      </c>
      <c r="BR178" s="9">
        <f t="shared" si="605"/>
        <v>0</v>
      </c>
      <c r="BS178" s="10">
        <f t="shared" si="606"/>
        <v>0</v>
      </c>
      <c r="BT178" s="9">
        <f t="shared" si="607"/>
        <v>0</v>
      </c>
      <c r="BU178" s="10">
        <f t="shared" si="608"/>
        <v>0</v>
      </c>
      <c r="BV178" s="9">
        <f t="shared" si="609"/>
        <v>0</v>
      </c>
      <c r="BW178" s="10">
        <f t="shared" si="610"/>
        <v>0</v>
      </c>
      <c r="BX178" s="9">
        <f t="shared" si="611"/>
        <v>0</v>
      </c>
      <c r="BY178" s="10">
        <f t="shared" si="612"/>
        <v>0</v>
      </c>
      <c r="BZ178" s="9">
        <f t="shared" si="613"/>
        <v>0</v>
      </c>
      <c r="CA178" s="10">
        <f t="shared" si="614"/>
        <v>0</v>
      </c>
      <c r="CB178" s="9">
        <f t="shared" si="615"/>
        <v>0</v>
      </c>
      <c r="CC178" s="10">
        <f t="shared" si="616"/>
        <v>0</v>
      </c>
      <c r="CD178" s="9">
        <f t="shared" si="617"/>
        <v>0</v>
      </c>
      <c r="CE178" s="10">
        <f t="shared" si="618"/>
        <v>0</v>
      </c>
      <c r="CF178" s="11">
        <f t="shared" si="619"/>
        <v>0</v>
      </c>
      <c r="CG178" s="12">
        <f t="shared" si="620"/>
        <v>0</v>
      </c>
      <c r="CH178" s="9">
        <f t="shared" si="621"/>
        <v>0</v>
      </c>
      <c r="CI178" s="10">
        <f t="shared" si="622"/>
        <v>0</v>
      </c>
      <c r="CJ178" s="9">
        <f t="shared" si="623"/>
        <v>0</v>
      </c>
      <c r="CK178" s="10">
        <f t="shared" si="624"/>
        <v>0</v>
      </c>
      <c r="CL178" s="9">
        <f t="shared" si="625"/>
        <v>0</v>
      </c>
      <c r="CM178" s="10">
        <f t="shared" si="626"/>
        <v>0</v>
      </c>
      <c r="CN178" s="9">
        <f t="shared" si="627"/>
        <v>0</v>
      </c>
      <c r="CO178" s="10">
        <f t="shared" si="628"/>
        <v>0</v>
      </c>
      <c r="CP178" s="9">
        <f t="shared" si="629"/>
        <v>0</v>
      </c>
      <c r="CQ178" s="10">
        <f t="shared" si="630"/>
        <v>0</v>
      </c>
      <c r="CR178" s="9">
        <f t="shared" si="631"/>
        <v>0</v>
      </c>
      <c r="CS178" s="10">
        <f t="shared" si="632"/>
        <v>0</v>
      </c>
      <c r="CT178" s="9">
        <f t="shared" si="633"/>
        <v>0</v>
      </c>
      <c r="CU178" s="10">
        <f t="shared" si="634"/>
        <v>0</v>
      </c>
      <c r="CV178" s="9">
        <f t="shared" si="635"/>
        <v>0</v>
      </c>
      <c r="CW178" s="10">
        <f t="shared" si="636"/>
        <v>0</v>
      </c>
      <c r="CX178" s="9">
        <f t="shared" si="637"/>
        <v>0</v>
      </c>
      <c r="CY178" s="10">
        <f t="shared" si="638"/>
        <v>0</v>
      </c>
      <c r="CZ178" s="9">
        <f t="shared" si="639"/>
        <v>0</v>
      </c>
      <c r="DA178" s="10">
        <f t="shared" si="640"/>
        <v>0</v>
      </c>
      <c r="DB178" s="9">
        <f t="shared" si="641"/>
        <v>0</v>
      </c>
      <c r="DC178" s="10">
        <f t="shared" si="642"/>
        <v>0</v>
      </c>
      <c r="DD178" s="9">
        <f t="shared" si="643"/>
        <v>0</v>
      </c>
      <c r="DE178" s="10">
        <f t="shared" si="644"/>
        <v>0</v>
      </c>
      <c r="DF178" s="11">
        <f t="shared" si="671"/>
        <v>0</v>
      </c>
      <c r="DG178" s="12">
        <f t="shared" si="645"/>
        <v>0</v>
      </c>
      <c r="DH178" s="9">
        <f t="shared" si="646"/>
        <v>0</v>
      </c>
      <c r="DI178" s="10">
        <f t="shared" si="647"/>
        <v>0</v>
      </c>
      <c r="DJ178" s="9">
        <f t="shared" si="648"/>
        <v>0</v>
      </c>
      <c r="DK178" s="10">
        <f t="shared" si="649"/>
        <v>0</v>
      </c>
      <c r="DL178" s="9">
        <f t="shared" si="650"/>
        <v>0</v>
      </c>
      <c r="DM178" s="10">
        <f t="shared" si="651"/>
        <v>0</v>
      </c>
      <c r="DN178" s="9">
        <f t="shared" si="652"/>
        <v>0</v>
      </c>
      <c r="DO178" s="10">
        <f t="shared" si="653"/>
        <v>0</v>
      </c>
      <c r="DP178" s="9">
        <f t="shared" si="654"/>
        <v>0</v>
      </c>
      <c r="DQ178" s="10">
        <f t="shared" si="655"/>
        <v>0</v>
      </c>
      <c r="DR178" s="9">
        <f t="shared" si="656"/>
        <v>0</v>
      </c>
      <c r="DS178" s="10">
        <f t="shared" si="657"/>
        <v>0</v>
      </c>
      <c r="DT178" s="9">
        <f t="shared" si="658"/>
        <v>0</v>
      </c>
      <c r="DU178" s="10">
        <f t="shared" si="659"/>
        <v>0</v>
      </c>
      <c r="DV178" s="9">
        <f t="shared" si="660"/>
        <v>0</v>
      </c>
      <c r="DW178" s="10">
        <f t="shared" si="661"/>
        <v>0</v>
      </c>
      <c r="DX178" s="9">
        <f t="shared" si="662"/>
        <v>0</v>
      </c>
      <c r="DY178" s="10">
        <f t="shared" si="663"/>
        <v>0</v>
      </c>
      <c r="DZ178" s="9">
        <f t="shared" si="664"/>
        <v>0</v>
      </c>
      <c r="EA178" s="10">
        <f t="shared" si="665"/>
        <v>0</v>
      </c>
      <c r="EB178" s="9">
        <f t="shared" si="666"/>
        <v>0</v>
      </c>
      <c r="EC178" s="10">
        <f t="shared" si="667"/>
        <v>0</v>
      </c>
      <c r="ED178" s="9">
        <f t="shared" si="668"/>
        <v>0</v>
      </c>
      <c r="EE178" s="10">
        <f t="shared" si="669"/>
        <v>0</v>
      </c>
      <c r="EF178" s="11">
        <f t="shared" si="672"/>
        <v>0</v>
      </c>
      <c r="EG178" s="12">
        <f t="shared" si="670"/>
        <v>0</v>
      </c>
    </row>
    <row r="179" spans="1:137" ht="19.8">
      <c r="A179" s="7">
        <v>8</v>
      </c>
      <c r="B179" s="8" t="s">
        <v>31</v>
      </c>
      <c r="C179" s="8" t="s">
        <v>11</v>
      </c>
      <c r="D179" s="7">
        <f t="shared" si="542"/>
        <v>31</v>
      </c>
      <c r="E179" s="7">
        <v>0.64</v>
      </c>
      <c r="F179" s="7" t="s">
        <v>22</v>
      </c>
      <c r="G179" s="7"/>
      <c r="H179" s="9">
        <f t="shared" si="543"/>
        <v>0</v>
      </c>
      <c r="I179" s="10">
        <f t="shared" si="544"/>
        <v>0</v>
      </c>
      <c r="J179" s="9">
        <f t="shared" si="545"/>
        <v>0</v>
      </c>
      <c r="K179" s="10">
        <f t="shared" si="546"/>
        <v>0</v>
      </c>
      <c r="L179" s="9">
        <f t="shared" si="547"/>
        <v>0</v>
      </c>
      <c r="M179" s="10">
        <f t="shared" si="548"/>
        <v>0</v>
      </c>
      <c r="N179" s="9">
        <f t="shared" si="549"/>
        <v>0</v>
      </c>
      <c r="O179" s="10">
        <f t="shared" si="550"/>
        <v>0</v>
      </c>
      <c r="P179" s="9">
        <f t="shared" si="551"/>
        <v>0</v>
      </c>
      <c r="Q179" s="10">
        <f t="shared" si="552"/>
        <v>0</v>
      </c>
      <c r="R179" s="9">
        <f t="shared" si="553"/>
        <v>0</v>
      </c>
      <c r="S179" s="10">
        <f t="shared" si="554"/>
        <v>0</v>
      </c>
      <c r="T179" s="9">
        <f t="shared" si="555"/>
        <v>0</v>
      </c>
      <c r="U179" s="10">
        <f t="shared" si="556"/>
        <v>0</v>
      </c>
      <c r="V179" s="9">
        <f t="shared" si="557"/>
        <v>0</v>
      </c>
      <c r="W179" s="10">
        <f t="shared" si="558"/>
        <v>0</v>
      </c>
      <c r="X179" s="9">
        <f t="shared" si="559"/>
        <v>0</v>
      </c>
      <c r="Y179" s="10">
        <f t="shared" si="560"/>
        <v>0</v>
      </c>
      <c r="Z179" s="9">
        <f t="shared" si="561"/>
        <v>0</v>
      </c>
      <c r="AA179" s="10">
        <f t="shared" si="562"/>
        <v>0</v>
      </c>
      <c r="AB179" s="9">
        <f t="shared" si="563"/>
        <v>0</v>
      </c>
      <c r="AC179" s="10">
        <f t="shared" si="564"/>
        <v>0</v>
      </c>
      <c r="AD179" s="9">
        <f t="shared" si="565"/>
        <v>0</v>
      </c>
      <c r="AE179" s="10">
        <f t="shared" si="566"/>
        <v>0</v>
      </c>
      <c r="AF179" s="11">
        <f t="shared" si="567"/>
        <v>0</v>
      </c>
      <c r="AG179" s="12">
        <f t="shared" si="568"/>
        <v>0</v>
      </c>
      <c r="AH179" s="9">
        <f t="shared" si="569"/>
        <v>0</v>
      </c>
      <c r="AI179" s="10">
        <f t="shared" si="570"/>
        <v>0</v>
      </c>
      <c r="AJ179" s="9">
        <f t="shared" si="571"/>
        <v>0</v>
      </c>
      <c r="AK179" s="10">
        <f t="shared" si="572"/>
        <v>0</v>
      </c>
      <c r="AL179" s="9">
        <f t="shared" si="573"/>
        <v>0</v>
      </c>
      <c r="AM179" s="10">
        <f t="shared" si="574"/>
        <v>0</v>
      </c>
      <c r="AN179" s="9">
        <f t="shared" si="575"/>
        <v>0</v>
      </c>
      <c r="AO179" s="10">
        <f t="shared" si="576"/>
        <v>0</v>
      </c>
      <c r="AP179" s="9">
        <f t="shared" si="577"/>
        <v>0</v>
      </c>
      <c r="AQ179" s="10">
        <f t="shared" si="578"/>
        <v>0</v>
      </c>
      <c r="AR179" s="9">
        <f t="shared" si="579"/>
        <v>0</v>
      </c>
      <c r="AS179" s="10">
        <f t="shared" si="580"/>
        <v>0</v>
      </c>
      <c r="AT179" s="9">
        <f t="shared" si="581"/>
        <v>0</v>
      </c>
      <c r="AU179" s="10">
        <f t="shared" si="582"/>
        <v>0</v>
      </c>
      <c r="AV179" s="9">
        <f t="shared" si="583"/>
        <v>0</v>
      </c>
      <c r="AW179" s="10">
        <f t="shared" si="584"/>
        <v>0</v>
      </c>
      <c r="AX179" s="9">
        <f t="shared" si="585"/>
        <v>0</v>
      </c>
      <c r="AY179" s="10">
        <f t="shared" si="586"/>
        <v>0</v>
      </c>
      <c r="AZ179" s="9">
        <f t="shared" si="587"/>
        <v>0</v>
      </c>
      <c r="BA179" s="10">
        <f t="shared" si="588"/>
        <v>0</v>
      </c>
      <c r="BB179" s="9">
        <f t="shared" si="589"/>
        <v>0</v>
      </c>
      <c r="BC179" s="10">
        <f t="shared" si="590"/>
        <v>0</v>
      </c>
      <c r="BD179" s="9">
        <f t="shared" si="591"/>
        <v>0</v>
      </c>
      <c r="BE179" s="10">
        <f t="shared" si="592"/>
        <v>0</v>
      </c>
      <c r="BF179" s="11">
        <f t="shared" si="593"/>
        <v>0</v>
      </c>
      <c r="BG179" s="12">
        <f t="shared" si="594"/>
        <v>0</v>
      </c>
      <c r="BH179" s="9">
        <f t="shared" si="595"/>
        <v>0</v>
      </c>
      <c r="BI179" s="10">
        <f t="shared" si="596"/>
        <v>0</v>
      </c>
      <c r="BJ179" s="9">
        <f t="shared" si="597"/>
        <v>0</v>
      </c>
      <c r="BK179" s="10">
        <f t="shared" si="598"/>
        <v>0</v>
      </c>
      <c r="BL179" s="9">
        <f t="shared" si="599"/>
        <v>0</v>
      </c>
      <c r="BM179" s="10">
        <f t="shared" si="600"/>
        <v>0</v>
      </c>
      <c r="BN179" s="9">
        <f t="shared" si="601"/>
        <v>0</v>
      </c>
      <c r="BO179" s="10">
        <f t="shared" si="602"/>
        <v>0</v>
      </c>
      <c r="BP179" s="9">
        <f t="shared" si="603"/>
        <v>0</v>
      </c>
      <c r="BQ179" s="10">
        <f t="shared" si="604"/>
        <v>0</v>
      </c>
      <c r="BR179" s="9">
        <f t="shared" si="605"/>
        <v>0</v>
      </c>
      <c r="BS179" s="10">
        <f t="shared" si="606"/>
        <v>0</v>
      </c>
      <c r="BT179" s="9">
        <f t="shared" si="607"/>
        <v>0</v>
      </c>
      <c r="BU179" s="10">
        <f t="shared" si="608"/>
        <v>0</v>
      </c>
      <c r="BV179" s="9">
        <f t="shared" si="609"/>
        <v>0</v>
      </c>
      <c r="BW179" s="10">
        <f t="shared" si="610"/>
        <v>0</v>
      </c>
      <c r="BX179" s="9">
        <f t="shared" si="611"/>
        <v>0</v>
      </c>
      <c r="BY179" s="10">
        <f t="shared" si="612"/>
        <v>0</v>
      </c>
      <c r="BZ179" s="9">
        <f t="shared" si="613"/>
        <v>0</v>
      </c>
      <c r="CA179" s="10">
        <f t="shared" si="614"/>
        <v>0</v>
      </c>
      <c r="CB179" s="9">
        <f t="shared" si="615"/>
        <v>0</v>
      </c>
      <c r="CC179" s="10">
        <f t="shared" si="616"/>
        <v>0</v>
      </c>
      <c r="CD179" s="9">
        <f t="shared" si="617"/>
        <v>0</v>
      </c>
      <c r="CE179" s="10">
        <f t="shared" si="618"/>
        <v>0</v>
      </c>
      <c r="CF179" s="11">
        <f t="shared" si="619"/>
        <v>0</v>
      </c>
      <c r="CG179" s="12">
        <f t="shared" si="620"/>
        <v>0</v>
      </c>
      <c r="CH179" s="9">
        <f t="shared" si="621"/>
        <v>0</v>
      </c>
      <c r="CI179" s="10">
        <f t="shared" si="622"/>
        <v>0</v>
      </c>
      <c r="CJ179" s="9">
        <f t="shared" si="623"/>
        <v>0</v>
      </c>
      <c r="CK179" s="10">
        <f t="shared" si="624"/>
        <v>0</v>
      </c>
      <c r="CL179" s="9">
        <f t="shared" si="625"/>
        <v>0</v>
      </c>
      <c r="CM179" s="10">
        <f t="shared" si="626"/>
        <v>0</v>
      </c>
      <c r="CN179" s="9">
        <f t="shared" si="627"/>
        <v>0</v>
      </c>
      <c r="CO179" s="10">
        <f t="shared" si="628"/>
        <v>0</v>
      </c>
      <c r="CP179" s="9">
        <f t="shared" si="629"/>
        <v>0</v>
      </c>
      <c r="CQ179" s="10">
        <f t="shared" si="630"/>
        <v>0</v>
      </c>
      <c r="CR179" s="9">
        <f t="shared" si="631"/>
        <v>0</v>
      </c>
      <c r="CS179" s="10">
        <f t="shared" si="632"/>
        <v>0</v>
      </c>
      <c r="CT179" s="9">
        <f t="shared" si="633"/>
        <v>0</v>
      </c>
      <c r="CU179" s="10">
        <f t="shared" si="634"/>
        <v>0</v>
      </c>
      <c r="CV179" s="9">
        <f t="shared" si="635"/>
        <v>0</v>
      </c>
      <c r="CW179" s="10">
        <f t="shared" si="636"/>
        <v>0</v>
      </c>
      <c r="CX179" s="9">
        <f t="shared" si="637"/>
        <v>0</v>
      </c>
      <c r="CY179" s="10">
        <f t="shared" si="638"/>
        <v>0</v>
      </c>
      <c r="CZ179" s="9">
        <f t="shared" si="639"/>
        <v>0</v>
      </c>
      <c r="DA179" s="10">
        <f t="shared" si="640"/>
        <v>0</v>
      </c>
      <c r="DB179" s="9">
        <f t="shared" si="641"/>
        <v>0</v>
      </c>
      <c r="DC179" s="10">
        <f t="shared" si="642"/>
        <v>0</v>
      </c>
      <c r="DD179" s="9">
        <f t="shared" si="643"/>
        <v>0</v>
      </c>
      <c r="DE179" s="10">
        <f t="shared" si="644"/>
        <v>0</v>
      </c>
      <c r="DF179" s="11">
        <f t="shared" si="671"/>
        <v>0</v>
      </c>
      <c r="DG179" s="12">
        <f t="shared" si="645"/>
        <v>0</v>
      </c>
      <c r="DH179" s="9">
        <f t="shared" si="646"/>
        <v>0</v>
      </c>
      <c r="DI179" s="10">
        <f t="shared" si="647"/>
        <v>0</v>
      </c>
      <c r="DJ179" s="9">
        <f t="shared" si="648"/>
        <v>0</v>
      </c>
      <c r="DK179" s="10">
        <f t="shared" si="649"/>
        <v>0</v>
      </c>
      <c r="DL179" s="9">
        <f t="shared" si="650"/>
        <v>0</v>
      </c>
      <c r="DM179" s="10">
        <f t="shared" si="651"/>
        <v>0</v>
      </c>
      <c r="DN179" s="9">
        <f t="shared" si="652"/>
        <v>0</v>
      </c>
      <c r="DO179" s="10">
        <f t="shared" si="653"/>
        <v>0</v>
      </c>
      <c r="DP179" s="9">
        <f t="shared" si="654"/>
        <v>0</v>
      </c>
      <c r="DQ179" s="10">
        <f t="shared" si="655"/>
        <v>0</v>
      </c>
      <c r="DR179" s="9">
        <f t="shared" si="656"/>
        <v>0</v>
      </c>
      <c r="DS179" s="10">
        <f t="shared" si="657"/>
        <v>0</v>
      </c>
      <c r="DT179" s="9">
        <f t="shared" si="658"/>
        <v>0</v>
      </c>
      <c r="DU179" s="10">
        <f t="shared" si="659"/>
        <v>0</v>
      </c>
      <c r="DV179" s="9">
        <f t="shared" si="660"/>
        <v>0</v>
      </c>
      <c r="DW179" s="10">
        <f t="shared" si="661"/>
        <v>0</v>
      </c>
      <c r="DX179" s="9">
        <f t="shared" si="662"/>
        <v>0</v>
      </c>
      <c r="DY179" s="10">
        <f t="shared" si="663"/>
        <v>0</v>
      </c>
      <c r="DZ179" s="9">
        <f t="shared" si="664"/>
        <v>0</v>
      </c>
      <c r="EA179" s="10">
        <f t="shared" si="665"/>
        <v>0</v>
      </c>
      <c r="EB179" s="9">
        <f t="shared" si="666"/>
        <v>0</v>
      </c>
      <c r="EC179" s="10">
        <f t="shared" si="667"/>
        <v>0</v>
      </c>
      <c r="ED179" s="9">
        <f t="shared" si="668"/>
        <v>0</v>
      </c>
      <c r="EE179" s="10">
        <f t="shared" si="669"/>
        <v>0</v>
      </c>
      <c r="EF179" s="11">
        <f t="shared" si="672"/>
        <v>0</v>
      </c>
      <c r="EG179" s="12">
        <f t="shared" si="670"/>
        <v>0</v>
      </c>
    </row>
    <row r="180" spans="1:137" ht="19.8">
      <c r="A180" s="7">
        <v>9</v>
      </c>
      <c r="B180" s="8" t="s">
        <v>32</v>
      </c>
      <c r="C180" s="8" t="s">
        <v>11</v>
      </c>
      <c r="D180" s="7">
        <f t="shared" si="542"/>
        <v>31</v>
      </c>
      <c r="E180" s="7">
        <v>0.64</v>
      </c>
      <c r="F180" s="7" t="s">
        <v>22</v>
      </c>
      <c r="G180" s="7"/>
      <c r="H180" s="9">
        <f t="shared" si="543"/>
        <v>0</v>
      </c>
      <c r="I180" s="10">
        <f t="shared" si="544"/>
        <v>0</v>
      </c>
      <c r="J180" s="9">
        <f t="shared" si="545"/>
        <v>0</v>
      </c>
      <c r="K180" s="10">
        <f t="shared" si="546"/>
        <v>0</v>
      </c>
      <c r="L180" s="9">
        <f t="shared" si="547"/>
        <v>0</v>
      </c>
      <c r="M180" s="10">
        <f t="shared" si="548"/>
        <v>0</v>
      </c>
      <c r="N180" s="9">
        <f t="shared" si="549"/>
        <v>0</v>
      </c>
      <c r="O180" s="10">
        <f t="shared" si="550"/>
        <v>0</v>
      </c>
      <c r="P180" s="9">
        <f t="shared" si="551"/>
        <v>0</v>
      </c>
      <c r="Q180" s="10">
        <f t="shared" si="552"/>
        <v>0</v>
      </c>
      <c r="R180" s="9">
        <f t="shared" si="553"/>
        <v>0</v>
      </c>
      <c r="S180" s="10">
        <f t="shared" si="554"/>
        <v>0</v>
      </c>
      <c r="T180" s="9">
        <f t="shared" si="555"/>
        <v>0</v>
      </c>
      <c r="U180" s="10">
        <f t="shared" si="556"/>
        <v>0</v>
      </c>
      <c r="V180" s="9">
        <f t="shared" si="557"/>
        <v>0</v>
      </c>
      <c r="W180" s="10">
        <f t="shared" si="558"/>
        <v>0</v>
      </c>
      <c r="X180" s="9">
        <f t="shared" si="559"/>
        <v>0</v>
      </c>
      <c r="Y180" s="10">
        <f t="shared" si="560"/>
        <v>0</v>
      </c>
      <c r="Z180" s="9">
        <f t="shared" si="561"/>
        <v>0</v>
      </c>
      <c r="AA180" s="10">
        <f t="shared" si="562"/>
        <v>0</v>
      </c>
      <c r="AB180" s="9">
        <f t="shared" si="563"/>
        <v>0</v>
      </c>
      <c r="AC180" s="10">
        <f t="shared" si="564"/>
        <v>0</v>
      </c>
      <c r="AD180" s="9">
        <f t="shared" si="565"/>
        <v>0</v>
      </c>
      <c r="AE180" s="10">
        <f t="shared" si="566"/>
        <v>0</v>
      </c>
      <c r="AF180" s="11">
        <f t="shared" si="567"/>
        <v>0</v>
      </c>
      <c r="AG180" s="12">
        <f t="shared" si="568"/>
        <v>0</v>
      </c>
      <c r="AH180" s="9">
        <f t="shared" si="569"/>
        <v>0</v>
      </c>
      <c r="AI180" s="10">
        <f t="shared" si="570"/>
        <v>0</v>
      </c>
      <c r="AJ180" s="9">
        <f t="shared" si="571"/>
        <v>0</v>
      </c>
      <c r="AK180" s="10">
        <f t="shared" si="572"/>
        <v>0</v>
      </c>
      <c r="AL180" s="9">
        <f t="shared" si="573"/>
        <v>0</v>
      </c>
      <c r="AM180" s="10">
        <f t="shared" si="574"/>
        <v>0</v>
      </c>
      <c r="AN180" s="9">
        <f t="shared" si="575"/>
        <v>0</v>
      </c>
      <c r="AO180" s="10">
        <f t="shared" si="576"/>
        <v>0</v>
      </c>
      <c r="AP180" s="9">
        <f t="shared" si="577"/>
        <v>0</v>
      </c>
      <c r="AQ180" s="10">
        <f t="shared" si="578"/>
        <v>0</v>
      </c>
      <c r="AR180" s="9">
        <f t="shared" si="579"/>
        <v>0</v>
      </c>
      <c r="AS180" s="10">
        <f t="shared" si="580"/>
        <v>0</v>
      </c>
      <c r="AT180" s="9">
        <f t="shared" si="581"/>
        <v>0</v>
      </c>
      <c r="AU180" s="10">
        <f t="shared" si="582"/>
        <v>0</v>
      </c>
      <c r="AV180" s="9">
        <f t="shared" si="583"/>
        <v>0</v>
      </c>
      <c r="AW180" s="10">
        <f t="shared" si="584"/>
        <v>0</v>
      </c>
      <c r="AX180" s="9">
        <f t="shared" si="585"/>
        <v>0</v>
      </c>
      <c r="AY180" s="10">
        <f t="shared" si="586"/>
        <v>0</v>
      </c>
      <c r="AZ180" s="9">
        <f t="shared" si="587"/>
        <v>0</v>
      </c>
      <c r="BA180" s="10">
        <f t="shared" si="588"/>
        <v>0</v>
      </c>
      <c r="BB180" s="9">
        <f t="shared" si="589"/>
        <v>0</v>
      </c>
      <c r="BC180" s="10">
        <f t="shared" si="590"/>
        <v>0</v>
      </c>
      <c r="BD180" s="9">
        <f t="shared" si="591"/>
        <v>0</v>
      </c>
      <c r="BE180" s="10">
        <f t="shared" si="592"/>
        <v>0</v>
      </c>
      <c r="BF180" s="11">
        <f t="shared" si="593"/>
        <v>0</v>
      </c>
      <c r="BG180" s="12">
        <f t="shared" si="594"/>
        <v>0</v>
      </c>
      <c r="BH180" s="9">
        <f t="shared" si="595"/>
        <v>0</v>
      </c>
      <c r="BI180" s="10">
        <f t="shared" si="596"/>
        <v>0</v>
      </c>
      <c r="BJ180" s="9">
        <f t="shared" si="597"/>
        <v>0</v>
      </c>
      <c r="BK180" s="10">
        <f t="shared" si="598"/>
        <v>0</v>
      </c>
      <c r="BL180" s="9">
        <f t="shared" si="599"/>
        <v>0</v>
      </c>
      <c r="BM180" s="10">
        <f t="shared" si="600"/>
        <v>0</v>
      </c>
      <c r="BN180" s="9">
        <f t="shared" si="601"/>
        <v>0</v>
      </c>
      <c r="BO180" s="10">
        <f t="shared" si="602"/>
        <v>0</v>
      </c>
      <c r="BP180" s="9">
        <f t="shared" si="603"/>
        <v>0</v>
      </c>
      <c r="BQ180" s="10">
        <f t="shared" si="604"/>
        <v>0</v>
      </c>
      <c r="BR180" s="9">
        <f t="shared" si="605"/>
        <v>0</v>
      </c>
      <c r="BS180" s="10">
        <f t="shared" si="606"/>
        <v>0</v>
      </c>
      <c r="BT180" s="9">
        <f t="shared" si="607"/>
        <v>0</v>
      </c>
      <c r="BU180" s="10">
        <f t="shared" si="608"/>
        <v>0</v>
      </c>
      <c r="BV180" s="9">
        <f t="shared" si="609"/>
        <v>0</v>
      </c>
      <c r="BW180" s="10">
        <f t="shared" si="610"/>
        <v>0</v>
      </c>
      <c r="BX180" s="9">
        <f t="shared" si="611"/>
        <v>0</v>
      </c>
      <c r="BY180" s="10">
        <f t="shared" si="612"/>
        <v>0</v>
      </c>
      <c r="BZ180" s="9">
        <f t="shared" si="613"/>
        <v>0</v>
      </c>
      <c r="CA180" s="10">
        <f t="shared" si="614"/>
        <v>0</v>
      </c>
      <c r="CB180" s="9">
        <f t="shared" si="615"/>
        <v>0</v>
      </c>
      <c r="CC180" s="10">
        <f t="shared" si="616"/>
        <v>0</v>
      </c>
      <c r="CD180" s="9">
        <f t="shared" si="617"/>
        <v>0</v>
      </c>
      <c r="CE180" s="10">
        <f t="shared" si="618"/>
        <v>0</v>
      </c>
      <c r="CF180" s="11">
        <f t="shared" si="619"/>
        <v>0</v>
      </c>
      <c r="CG180" s="12">
        <f t="shared" si="620"/>
        <v>0</v>
      </c>
      <c r="CH180" s="9">
        <f t="shared" si="621"/>
        <v>0</v>
      </c>
      <c r="CI180" s="10">
        <f t="shared" si="622"/>
        <v>0</v>
      </c>
      <c r="CJ180" s="9">
        <f t="shared" si="623"/>
        <v>0</v>
      </c>
      <c r="CK180" s="10">
        <f t="shared" si="624"/>
        <v>0</v>
      </c>
      <c r="CL180" s="9">
        <f t="shared" si="625"/>
        <v>0</v>
      </c>
      <c r="CM180" s="10">
        <f t="shared" si="626"/>
        <v>0</v>
      </c>
      <c r="CN180" s="9">
        <f t="shared" si="627"/>
        <v>0</v>
      </c>
      <c r="CO180" s="10">
        <f t="shared" si="628"/>
        <v>0</v>
      </c>
      <c r="CP180" s="9">
        <f t="shared" si="629"/>
        <v>0</v>
      </c>
      <c r="CQ180" s="10">
        <f t="shared" si="630"/>
        <v>0</v>
      </c>
      <c r="CR180" s="9">
        <f t="shared" si="631"/>
        <v>0</v>
      </c>
      <c r="CS180" s="10">
        <f t="shared" si="632"/>
        <v>0</v>
      </c>
      <c r="CT180" s="9">
        <f t="shared" si="633"/>
        <v>0</v>
      </c>
      <c r="CU180" s="10">
        <f t="shared" si="634"/>
        <v>0</v>
      </c>
      <c r="CV180" s="9">
        <f t="shared" si="635"/>
        <v>0</v>
      </c>
      <c r="CW180" s="10">
        <f t="shared" si="636"/>
        <v>0</v>
      </c>
      <c r="CX180" s="9">
        <f t="shared" si="637"/>
        <v>0</v>
      </c>
      <c r="CY180" s="10">
        <f t="shared" si="638"/>
        <v>0</v>
      </c>
      <c r="CZ180" s="9">
        <f t="shared" si="639"/>
        <v>0</v>
      </c>
      <c r="DA180" s="10">
        <f t="shared" si="640"/>
        <v>0</v>
      </c>
      <c r="DB180" s="9">
        <f t="shared" si="641"/>
        <v>0</v>
      </c>
      <c r="DC180" s="10">
        <f t="shared" si="642"/>
        <v>0</v>
      </c>
      <c r="DD180" s="9">
        <f t="shared" si="643"/>
        <v>0</v>
      </c>
      <c r="DE180" s="10">
        <f t="shared" si="644"/>
        <v>0</v>
      </c>
      <c r="DF180" s="11">
        <f t="shared" si="671"/>
        <v>0</v>
      </c>
      <c r="DG180" s="12">
        <f t="shared" si="645"/>
        <v>0</v>
      </c>
      <c r="DH180" s="9">
        <f t="shared" si="646"/>
        <v>0</v>
      </c>
      <c r="DI180" s="10">
        <f t="shared" si="647"/>
        <v>0</v>
      </c>
      <c r="DJ180" s="9">
        <f t="shared" si="648"/>
        <v>0</v>
      </c>
      <c r="DK180" s="10">
        <f t="shared" si="649"/>
        <v>0</v>
      </c>
      <c r="DL180" s="9">
        <f t="shared" si="650"/>
        <v>0</v>
      </c>
      <c r="DM180" s="10">
        <f t="shared" si="651"/>
        <v>0</v>
      </c>
      <c r="DN180" s="9">
        <f t="shared" si="652"/>
        <v>0</v>
      </c>
      <c r="DO180" s="10">
        <f t="shared" si="653"/>
        <v>0</v>
      </c>
      <c r="DP180" s="9">
        <f t="shared" si="654"/>
        <v>0</v>
      </c>
      <c r="DQ180" s="10">
        <f t="shared" si="655"/>
        <v>0</v>
      </c>
      <c r="DR180" s="9">
        <f t="shared" si="656"/>
        <v>0</v>
      </c>
      <c r="DS180" s="10">
        <f t="shared" si="657"/>
        <v>0</v>
      </c>
      <c r="DT180" s="9">
        <f t="shared" si="658"/>
        <v>0</v>
      </c>
      <c r="DU180" s="10">
        <f t="shared" si="659"/>
        <v>0</v>
      </c>
      <c r="DV180" s="9">
        <f t="shared" si="660"/>
        <v>0</v>
      </c>
      <c r="DW180" s="10">
        <f t="shared" si="661"/>
        <v>0</v>
      </c>
      <c r="DX180" s="9">
        <f t="shared" si="662"/>
        <v>0</v>
      </c>
      <c r="DY180" s="10">
        <f t="shared" si="663"/>
        <v>0</v>
      </c>
      <c r="DZ180" s="9">
        <f t="shared" si="664"/>
        <v>0</v>
      </c>
      <c r="EA180" s="10">
        <f t="shared" si="665"/>
        <v>0</v>
      </c>
      <c r="EB180" s="9">
        <f t="shared" si="666"/>
        <v>0</v>
      </c>
      <c r="EC180" s="10">
        <f t="shared" si="667"/>
        <v>0</v>
      </c>
      <c r="ED180" s="9">
        <f t="shared" si="668"/>
        <v>0</v>
      </c>
      <c r="EE180" s="10">
        <f t="shared" si="669"/>
        <v>0</v>
      </c>
      <c r="EF180" s="11">
        <f t="shared" si="672"/>
        <v>0</v>
      </c>
      <c r="EG180" s="12">
        <f t="shared" si="670"/>
        <v>0</v>
      </c>
    </row>
    <row r="181" spans="1:137" ht="19.8">
      <c r="A181" s="7"/>
      <c r="B181" s="8"/>
      <c r="C181" s="8"/>
      <c r="D181" s="7"/>
      <c r="E181" s="7"/>
      <c r="F181" s="7"/>
      <c r="G181" s="7"/>
      <c r="H181" s="15"/>
      <c r="I181" s="10">
        <f t="shared" si="544"/>
        <v>0</v>
      </c>
      <c r="J181" s="15"/>
      <c r="K181" s="10">
        <f t="shared" si="546"/>
        <v>0</v>
      </c>
      <c r="L181" s="15"/>
      <c r="M181" s="10">
        <f t="shared" si="548"/>
        <v>0</v>
      </c>
      <c r="N181" s="15"/>
      <c r="O181" s="10">
        <f t="shared" si="550"/>
        <v>0</v>
      </c>
      <c r="P181" s="15"/>
      <c r="Q181" s="10">
        <f t="shared" si="552"/>
        <v>0</v>
      </c>
      <c r="R181" s="15"/>
      <c r="S181" s="10">
        <f t="shared" si="554"/>
        <v>0</v>
      </c>
      <c r="T181" s="15"/>
      <c r="U181" s="10">
        <f t="shared" si="556"/>
        <v>0</v>
      </c>
      <c r="V181" s="15"/>
      <c r="W181" s="10">
        <f t="shared" si="558"/>
        <v>0</v>
      </c>
      <c r="X181" s="15"/>
      <c r="Y181" s="10">
        <f t="shared" si="560"/>
        <v>0</v>
      </c>
      <c r="Z181" s="15"/>
      <c r="AA181" s="10">
        <f t="shared" si="562"/>
        <v>0</v>
      </c>
      <c r="AB181" s="15"/>
      <c r="AC181" s="10">
        <f t="shared" si="564"/>
        <v>0</v>
      </c>
      <c r="AD181" s="15"/>
      <c r="AE181" s="10">
        <f t="shared" si="566"/>
        <v>0</v>
      </c>
      <c r="AF181" s="11">
        <f t="shared" si="567"/>
        <v>0</v>
      </c>
      <c r="AG181" s="12">
        <f t="shared" si="568"/>
        <v>0</v>
      </c>
      <c r="AH181" s="15"/>
      <c r="AI181" s="10">
        <f t="shared" si="570"/>
        <v>0</v>
      </c>
      <c r="AJ181" s="15"/>
      <c r="AK181" s="10">
        <f t="shared" si="572"/>
        <v>0</v>
      </c>
      <c r="AL181" s="15"/>
      <c r="AM181" s="10">
        <f t="shared" si="574"/>
        <v>0</v>
      </c>
      <c r="AN181" s="15"/>
      <c r="AO181" s="10">
        <f t="shared" si="576"/>
        <v>0</v>
      </c>
      <c r="AP181" s="15"/>
      <c r="AQ181" s="10">
        <f t="shared" si="578"/>
        <v>0</v>
      </c>
      <c r="AR181" s="15"/>
      <c r="AS181" s="10">
        <f t="shared" si="580"/>
        <v>0</v>
      </c>
      <c r="AT181" s="15"/>
      <c r="AU181" s="10">
        <f t="shared" si="582"/>
        <v>0</v>
      </c>
      <c r="AV181" s="15"/>
      <c r="AW181" s="10">
        <f t="shared" si="584"/>
        <v>0</v>
      </c>
      <c r="AX181" s="15"/>
      <c r="AY181" s="10">
        <f t="shared" si="586"/>
        <v>0</v>
      </c>
      <c r="AZ181" s="15"/>
      <c r="BA181" s="10">
        <f t="shared" si="588"/>
        <v>0</v>
      </c>
      <c r="BB181" s="15"/>
      <c r="BC181" s="10">
        <f t="shared" si="590"/>
        <v>0</v>
      </c>
      <c r="BD181" s="15"/>
      <c r="BE181" s="10">
        <f t="shared" si="592"/>
        <v>0</v>
      </c>
      <c r="BF181" s="11">
        <f t="shared" si="593"/>
        <v>0</v>
      </c>
      <c r="BG181" s="12">
        <f t="shared" si="594"/>
        <v>0</v>
      </c>
      <c r="BH181" s="15"/>
      <c r="BI181" s="10">
        <f t="shared" si="596"/>
        <v>0</v>
      </c>
      <c r="BJ181" s="15"/>
      <c r="BK181" s="10">
        <f t="shared" si="598"/>
        <v>0</v>
      </c>
      <c r="BL181" s="15"/>
      <c r="BM181" s="10">
        <f t="shared" si="600"/>
        <v>0</v>
      </c>
      <c r="BN181" s="15"/>
      <c r="BO181" s="10">
        <f t="shared" si="602"/>
        <v>0</v>
      </c>
      <c r="BP181" s="15"/>
      <c r="BQ181" s="10">
        <f t="shared" si="604"/>
        <v>0</v>
      </c>
      <c r="BR181" s="15"/>
      <c r="BS181" s="10">
        <f t="shared" si="606"/>
        <v>0</v>
      </c>
      <c r="BT181" s="15"/>
      <c r="BU181" s="10">
        <f t="shared" si="608"/>
        <v>0</v>
      </c>
      <c r="BV181" s="15"/>
      <c r="BW181" s="10">
        <f t="shared" si="610"/>
        <v>0</v>
      </c>
      <c r="BX181" s="15"/>
      <c r="BY181" s="10">
        <f t="shared" si="612"/>
        <v>0</v>
      </c>
      <c r="BZ181" s="15"/>
      <c r="CA181" s="10">
        <f t="shared" si="614"/>
        <v>0</v>
      </c>
      <c r="CB181" s="15"/>
      <c r="CC181" s="10">
        <f t="shared" si="616"/>
        <v>0</v>
      </c>
      <c r="CD181" s="15"/>
      <c r="CE181" s="10">
        <f t="shared" si="618"/>
        <v>0</v>
      </c>
      <c r="CF181" s="11">
        <f t="shared" si="619"/>
        <v>0</v>
      </c>
      <c r="CG181" s="12">
        <f t="shared" si="620"/>
        <v>0</v>
      </c>
      <c r="CH181" s="15"/>
      <c r="CI181" s="10">
        <f t="shared" si="622"/>
        <v>0</v>
      </c>
      <c r="CJ181" s="15"/>
      <c r="CK181" s="10">
        <f t="shared" si="624"/>
        <v>0</v>
      </c>
      <c r="CL181" s="15"/>
      <c r="CM181" s="10">
        <f t="shared" si="626"/>
        <v>0</v>
      </c>
      <c r="CN181" s="15"/>
      <c r="CO181" s="10">
        <f t="shared" si="628"/>
        <v>0</v>
      </c>
      <c r="CP181" s="15"/>
      <c r="CQ181" s="10">
        <f t="shared" si="630"/>
        <v>0</v>
      </c>
      <c r="CR181" s="15"/>
      <c r="CS181" s="10">
        <f t="shared" si="632"/>
        <v>0</v>
      </c>
      <c r="CT181" s="15"/>
      <c r="CU181" s="10">
        <f t="shared" si="634"/>
        <v>0</v>
      </c>
      <c r="CV181" s="15"/>
      <c r="CW181" s="10">
        <f t="shared" si="636"/>
        <v>0</v>
      </c>
      <c r="CX181" s="15"/>
      <c r="CY181" s="10">
        <f t="shared" si="638"/>
        <v>0</v>
      </c>
      <c r="CZ181" s="15"/>
      <c r="DA181" s="10">
        <f t="shared" si="640"/>
        <v>0</v>
      </c>
      <c r="DB181" s="15"/>
      <c r="DC181" s="10">
        <f t="shared" si="642"/>
        <v>0</v>
      </c>
      <c r="DD181" s="15"/>
      <c r="DE181" s="10">
        <f t="shared" si="644"/>
        <v>0</v>
      </c>
      <c r="DF181" s="11">
        <f t="shared" si="671"/>
        <v>0</v>
      </c>
      <c r="DG181" s="12">
        <f t="shared" si="645"/>
        <v>0</v>
      </c>
      <c r="DH181" s="15"/>
      <c r="DI181" s="10">
        <f t="shared" si="647"/>
        <v>0</v>
      </c>
      <c r="DJ181" s="15"/>
      <c r="DK181" s="10">
        <f t="shared" si="649"/>
        <v>0</v>
      </c>
      <c r="DL181" s="15"/>
      <c r="DM181" s="10">
        <f t="shared" si="651"/>
        <v>0</v>
      </c>
      <c r="DN181" s="15"/>
      <c r="DO181" s="10">
        <f t="shared" si="653"/>
        <v>0</v>
      </c>
      <c r="DP181" s="15"/>
      <c r="DQ181" s="10">
        <f t="shared" si="655"/>
        <v>0</v>
      </c>
      <c r="DR181" s="15"/>
      <c r="DS181" s="10">
        <f t="shared" si="657"/>
        <v>0</v>
      </c>
      <c r="DT181" s="15"/>
      <c r="DU181" s="10">
        <f t="shared" si="659"/>
        <v>0</v>
      </c>
      <c r="DV181" s="15"/>
      <c r="DW181" s="10">
        <f t="shared" si="661"/>
        <v>0</v>
      </c>
      <c r="DX181" s="15"/>
      <c r="DY181" s="10">
        <f t="shared" si="663"/>
        <v>0</v>
      </c>
      <c r="DZ181" s="15"/>
      <c r="EA181" s="10">
        <f t="shared" si="665"/>
        <v>0</v>
      </c>
      <c r="EB181" s="15"/>
      <c r="EC181" s="10">
        <f t="shared" si="667"/>
        <v>0</v>
      </c>
      <c r="ED181" s="15"/>
      <c r="EE181" s="10">
        <f t="shared" si="669"/>
        <v>0</v>
      </c>
      <c r="EF181" s="11">
        <f t="shared" si="672"/>
        <v>0</v>
      </c>
      <c r="EG181" s="12">
        <f t="shared" si="670"/>
        <v>0</v>
      </c>
    </row>
    <row r="182" spans="1:137" ht="19.8">
      <c r="A182" s="32"/>
      <c r="B182" s="23" t="s">
        <v>117</v>
      </c>
      <c r="C182" s="23"/>
      <c r="D182" s="23"/>
      <c r="E182" s="23"/>
      <c r="F182" s="25"/>
      <c r="G182" s="25"/>
      <c r="H182" s="26">
        <f>SUM(H172:H181)</f>
        <v>187224</v>
      </c>
      <c r="I182" s="27">
        <f>SUM(I172:I181)</f>
        <v>65539.199999999997</v>
      </c>
      <c r="J182" s="26">
        <f t="shared" ref="J182:AG182" si="673">SUM(J172:J181)</f>
        <v>108</v>
      </c>
      <c r="K182" s="27">
        <f t="shared" si="673"/>
        <v>108</v>
      </c>
      <c r="L182" s="26">
        <f t="shared" si="673"/>
        <v>48</v>
      </c>
      <c r="M182" s="27">
        <f t="shared" si="673"/>
        <v>48</v>
      </c>
      <c r="N182" s="26">
        <f t="shared" si="673"/>
        <v>0</v>
      </c>
      <c r="O182" s="27">
        <f t="shared" si="673"/>
        <v>0</v>
      </c>
      <c r="P182" s="26">
        <f t="shared" si="673"/>
        <v>0</v>
      </c>
      <c r="Q182" s="27">
        <f t="shared" si="673"/>
        <v>0</v>
      </c>
      <c r="R182" s="26">
        <f t="shared" si="673"/>
        <v>132</v>
      </c>
      <c r="S182" s="27">
        <f t="shared" si="673"/>
        <v>79.2</v>
      </c>
      <c r="T182" s="26">
        <f t="shared" si="673"/>
        <v>72</v>
      </c>
      <c r="U182" s="27">
        <f t="shared" si="673"/>
        <v>72</v>
      </c>
      <c r="V182" s="26">
        <f t="shared" si="673"/>
        <v>12</v>
      </c>
      <c r="W182" s="27">
        <f t="shared" si="673"/>
        <v>12</v>
      </c>
      <c r="X182" s="26">
        <f t="shared" si="673"/>
        <v>12</v>
      </c>
      <c r="Y182" s="27">
        <f t="shared" si="673"/>
        <v>12</v>
      </c>
      <c r="Z182" s="26">
        <f t="shared" si="673"/>
        <v>72</v>
      </c>
      <c r="AA182" s="27">
        <f t="shared" si="673"/>
        <v>72</v>
      </c>
      <c r="AB182" s="26">
        <f t="shared" si="673"/>
        <v>48</v>
      </c>
      <c r="AC182" s="27">
        <f t="shared" si="673"/>
        <v>48</v>
      </c>
      <c r="AD182" s="26">
        <f t="shared" si="673"/>
        <v>36</v>
      </c>
      <c r="AE182" s="27">
        <f t="shared" si="673"/>
        <v>36</v>
      </c>
      <c r="AF182" s="26">
        <f t="shared" si="673"/>
        <v>187764</v>
      </c>
      <c r="AG182" s="27">
        <f t="shared" si="673"/>
        <v>66026.399999999994</v>
      </c>
      <c r="AH182" s="26">
        <f>SUM(AH172:AH181)</f>
        <v>24</v>
      </c>
      <c r="AI182" s="27">
        <f>SUM(AI172:AI181)</f>
        <v>24</v>
      </c>
      <c r="AJ182" s="26">
        <f t="shared" ref="AJ182:BG182" si="674">SUM(AJ172:AJ181)</f>
        <v>60</v>
      </c>
      <c r="AK182" s="27">
        <f t="shared" si="674"/>
        <v>60</v>
      </c>
      <c r="AL182" s="26">
        <f t="shared" si="674"/>
        <v>12</v>
      </c>
      <c r="AM182" s="27">
        <f t="shared" si="674"/>
        <v>12</v>
      </c>
      <c r="AN182" s="26">
        <f t="shared" si="674"/>
        <v>0</v>
      </c>
      <c r="AO182" s="27">
        <f t="shared" si="674"/>
        <v>0</v>
      </c>
      <c r="AP182" s="26">
        <f t="shared" si="674"/>
        <v>0</v>
      </c>
      <c r="AQ182" s="27">
        <f t="shared" si="674"/>
        <v>0</v>
      </c>
      <c r="AR182" s="26">
        <f t="shared" si="674"/>
        <v>0</v>
      </c>
      <c r="AS182" s="27">
        <f t="shared" si="674"/>
        <v>0</v>
      </c>
      <c r="AT182" s="26">
        <f t="shared" si="674"/>
        <v>172</v>
      </c>
      <c r="AU182" s="27">
        <f t="shared" si="674"/>
        <v>138.19999999999999</v>
      </c>
      <c r="AV182" s="26">
        <f t="shared" si="674"/>
        <v>0</v>
      </c>
      <c r="AW182" s="27">
        <f t="shared" si="674"/>
        <v>0</v>
      </c>
      <c r="AX182" s="26">
        <f t="shared" si="674"/>
        <v>24</v>
      </c>
      <c r="AY182" s="27">
        <f t="shared" si="674"/>
        <v>24</v>
      </c>
      <c r="AZ182" s="26">
        <f t="shared" si="674"/>
        <v>146</v>
      </c>
      <c r="BA182" s="27">
        <f t="shared" si="674"/>
        <v>140.96</v>
      </c>
      <c r="BB182" s="26">
        <f t="shared" si="674"/>
        <v>96</v>
      </c>
      <c r="BC182" s="27">
        <f t="shared" si="674"/>
        <v>96</v>
      </c>
      <c r="BD182" s="26">
        <f t="shared" si="674"/>
        <v>252</v>
      </c>
      <c r="BE182" s="27">
        <f t="shared" si="674"/>
        <v>252</v>
      </c>
      <c r="BF182" s="26">
        <f t="shared" si="674"/>
        <v>786</v>
      </c>
      <c r="BG182" s="27">
        <f t="shared" si="674"/>
        <v>747.16000000000008</v>
      </c>
      <c r="BH182" s="26">
        <f>SUM(BH172:BH181)</f>
        <v>404</v>
      </c>
      <c r="BI182" s="27">
        <f>SUM(BI172:BI181)</f>
        <v>399.2</v>
      </c>
      <c r="BJ182" s="26">
        <f t="shared" ref="BJ182:CG182" si="675">SUM(BJ172:BJ181)</f>
        <v>518</v>
      </c>
      <c r="BK182" s="27">
        <f t="shared" si="675"/>
        <v>518</v>
      </c>
      <c r="BL182" s="26">
        <f t="shared" si="675"/>
        <v>756</v>
      </c>
      <c r="BM182" s="27">
        <f t="shared" si="675"/>
        <v>756</v>
      </c>
      <c r="BN182" s="26">
        <f t="shared" si="675"/>
        <v>648</v>
      </c>
      <c r="BO182" s="27">
        <f t="shared" si="675"/>
        <v>648</v>
      </c>
      <c r="BP182" s="26">
        <f t="shared" si="675"/>
        <v>1056</v>
      </c>
      <c r="BQ182" s="27">
        <f t="shared" si="675"/>
        <v>1056</v>
      </c>
      <c r="BR182" s="26">
        <f t="shared" si="675"/>
        <v>768</v>
      </c>
      <c r="BS182" s="27">
        <f t="shared" si="675"/>
        <v>768</v>
      </c>
      <c r="BT182" s="26">
        <f t="shared" si="675"/>
        <v>1562</v>
      </c>
      <c r="BU182" s="27">
        <f t="shared" si="675"/>
        <v>1562</v>
      </c>
      <c r="BV182" s="26">
        <f t="shared" si="675"/>
        <v>1863</v>
      </c>
      <c r="BW182" s="27">
        <f t="shared" si="675"/>
        <v>1863</v>
      </c>
      <c r="BX182" s="26">
        <f t="shared" si="675"/>
        <v>1452</v>
      </c>
      <c r="BY182" s="27">
        <f t="shared" si="675"/>
        <v>1452</v>
      </c>
      <c r="BZ182" s="26">
        <f t="shared" si="675"/>
        <v>864</v>
      </c>
      <c r="CA182" s="27">
        <f t="shared" si="675"/>
        <v>864</v>
      </c>
      <c r="CB182" s="26">
        <f t="shared" si="675"/>
        <v>228</v>
      </c>
      <c r="CC182" s="27">
        <f t="shared" si="675"/>
        <v>228</v>
      </c>
      <c r="CD182" s="26">
        <f t="shared" si="675"/>
        <v>1008</v>
      </c>
      <c r="CE182" s="27">
        <f t="shared" si="675"/>
        <v>1008</v>
      </c>
      <c r="CF182" s="26">
        <f t="shared" si="675"/>
        <v>11127</v>
      </c>
      <c r="CG182" s="27">
        <f t="shared" si="675"/>
        <v>11122.2</v>
      </c>
      <c r="CH182" s="26">
        <f>SUM(CH172:CH181)</f>
        <v>531</v>
      </c>
      <c r="CI182" s="27">
        <f>SUM(CI172:CI181)</f>
        <v>531</v>
      </c>
      <c r="CJ182" s="26">
        <f t="shared" ref="CJ182:DG182" si="676">SUM(CJ172:CJ181)</f>
        <v>1192</v>
      </c>
      <c r="CK182" s="27">
        <f t="shared" si="676"/>
        <v>1192</v>
      </c>
      <c r="CL182" s="26">
        <f t="shared" si="676"/>
        <v>1238</v>
      </c>
      <c r="CM182" s="27">
        <f t="shared" si="676"/>
        <v>1238</v>
      </c>
      <c r="CN182" s="26">
        <f t="shared" si="676"/>
        <v>528</v>
      </c>
      <c r="CO182" s="27">
        <f t="shared" si="676"/>
        <v>528</v>
      </c>
      <c r="CP182" s="26">
        <f t="shared" si="676"/>
        <v>552</v>
      </c>
      <c r="CQ182" s="27">
        <f t="shared" si="676"/>
        <v>552</v>
      </c>
      <c r="CR182" s="26">
        <f t="shared" si="676"/>
        <v>4381</v>
      </c>
      <c r="CS182" s="27">
        <f t="shared" si="676"/>
        <v>4381</v>
      </c>
      <c r="CT182" s="26">
        <f t="shared" si="676"/>
        <v>5317</v>
      </c>
      <c r="CU182" s="27">
        <f t="shared" si="676"/>
        <v>5317</v>
      </c>
      <c r="CV182" s="26">
        <f t="shared" si="676"/>
        <v>2936</v>
      </c>
      <c r="CW182" s="27">
        <f t="shared" si="676"/>
        <v>2931.2</v>
      </c>
      <c r="CX182" s="26">
        <f t="shared" si="676"/>
        <v>2398</v>
      </c>
      <c r="CY182" s="27">
        <f t="shared" si="676"/>
        <v>2398</v>
      </c>
      <c r="CZ182" s="26">
        <f t="shared" si="676"/>
        <v>1520</v>
      </c>
      <c r="DA182" s="27">
        <f t="shared" si="676"/>
        <v>1468</v>
      </c>
      <c r="DB182" s="26">
        <f t="shared" si="676"/>
        <v>2124</v>
      </c>
      <c r="DC182" s="27">
        <f t="shared" si="676"/>
        <v>1864</v>
      </c>
      <c r="DD182" s="26">
        <f t="shared" si="676"/>
        <v>1440</v>
      </c>
      <c r="DE182" s="27">
        <f t="shared" si="676"/>
        <v>1440</v>
      </c>
      <c r="DF182" s="26">
        <f t="shared" si="676"/>
        <v>24157</v>
      </c>
      <c r="DG182" s="27">
        <f t="shared" si="676"/>
        <v>23840.2</v>
      </c>
      <c r="DH182" s="26">
        <f>SUM(DH172:DH181)</f>
        <v>2016</v>
      </c>
      <c r="DI182" s="27">
        <f>SUM(DI172:DI181)</f>
        <v>1985.2</v>
      </c>
      <c r="DJ182" s="26">
        <f t="shared" ref="DJ182:EG182" si="677">SUM(DJ172:DJ181)</f>
        <v>2143</v>
      </c>
      <c r="DK182" s="27">
        <f t="shared" si="677"/>
        <v>2039</v>
      </c>
      <c r="DL182" s="26">
        <f t="shared" si="677"/>
        <v>0</v>
      </c>
      <c r="DM182" s="27">
        <f t="shared" si="677"/>
        <v>0</v>
      </c>
      <c r="DN182" s="26">
        <f t="shared" si="677"/>
        <v>0</v>
      </c>
      <c r="DO182" s="27">
        <f t="shared" si="677"/>
        <v>0</v>
      </c>
      <c r="DP182" s="26">
        <f t="shared" si="677"/>
        <v>0</v>
      </c>
      <c r="DQ182" s="27">
        <f t="shared" si="677"/>
        <v>0</v>
      </c>
      <c r="DR182" s="26">
        <f t="shared" si="677"/>
        <v>0</v>
      </c>
      <c r="DS182" s="27">
        <f t="shared" si="677"/>
        <v>0</v>
      </c>
      <c r="DT182" s="26">
        <f t="shared" si="677"/>
        <v>0</v>
      </c>
      <c r="DU182" s="27">
        <f t="shared" si="677"/>
        <v>0</v>
      </c>
      <c r="DV182" s="26">
        <f t="shared" si="677"/>
        <v>0</v>
      </c>
      <c r="DW182" s="27">
        <f t="shared" si="677"/>
        <v>0</v>
      </c>
      <c r="DX182" s="26">
        <f t="shared" si="677"/>
        <v>0</v>
      </c>
      <c r="DY182" s="27">
        <f t="shared" si="677"/>
        <v>0</v>
      </c>
      <c r="DZ182" s="26">
        <f t="shared" si="677"/>
        <v>0</v>
      </c>
      <c r="EA182" s="27">
        <f t="shared" si="677"/>
        <v>0</v>
      </c>
      <c r="EB182" s="26">
        <f t="shared" si="677"/>
        <v>0</v>
      </c>
      <c r="EC182" s="27">
        <f t="shared" si="677"/>
        <v>0</v>
      </c>
      <c r="ED182" s="26">
        <f t="shared" si="677"/>
        <v>0</v>
      </c>
      <c r="EE182" s="27">
        <f t="shared" si="677"/>
        <v>0</v>
      </c>
      <c r="EF182" s="26">
        <f t="shared" si="677"/>
        <v>4159</v>
      </c>
      <c r="EG182" s="27">
        <f t="shared" si="677"/>
        <v>4024.2</v>
      </c>
    </row>
  </sheetData>
  <mergeCells count="146">
    <mergeCell ref="J2:K2"/>
    <mergeCell ref="L2:M2"/>
    <mergeCell ref="N2:O2"/>
    <mergeCell ref="P2:Q2"/>
    <mergeCell ref="R2:S2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AH2:AI2"/>
    <mergeCell ref="AJ2:AK2"/>
    <mergeCell ref="AL2:AM2"/>
    <mergeCell ref="AN2:AO2"/>
    <mergeCell ref="AP2:AQ2"/>
    <mergeCell ref="AR2:AS2"/>
    <mergeCell ref="V2:W2"/>
    <mergeCell ref="X2:Y2"/>
    <mergeCell ref="Z2:AA2"/>
    <mergeCell ref="AB2:AC2"/>
    <mergeCell ref="AD2:AE2"/>
    <mergeCell ref="AF2:AG2"/>
    <mergeCell ref="BL2:BM2"/>
    <mergeCell ref="BN2:BO2"/>
    <mergeCell ref="BP2:BQ2"/>
    <mergeCell ref="AT2:AU2"/>
    <mergeCell ref="AV2:AW2"/>
    <mergeCell ref="AX2:AY2"/>
    <mergeCell ref="AZ2:BA2"/>
    <mergeCell ref="BB2:BC2"/>
    <mergeCell ref="BD2:BE2"/>
    <mergeCell ref="EF2:EG2"/>
    <mergeCell ref="A170:A171"/>
    <mergeCell ref="B170:B171"/>
    <mergeCell ref="C170:C171"/>
    <mergeCell ref="D170:D171"/>
    <mergeCell ref="E170:E171"/>
    <mergeCell ref="DN2:DO2"/>
    <mergeCell ref="DP2:DQ2"/>
    <mergeCell ref="DR2:DS2"/>
    <mergeCell ref="DT2:DU2"/>
    <mergeCell ref="DV2:DW2"/>
    <mergeCell ref="DX2:DY2"/>
    <mergeCell ref="DB2:DC2"/>
    <mergeCell ref="DD2:DE2"/>
    <mergeCell ref="DF2:DG2"/>
    <mergeCell ref="DH2:DI2"/>
    <mergeCell ref="DJ2:DK2"/>
    <mergeCell ref="DL2:DM2"/>
    <mergeCell ref="CP2:CQ2"/>
    <mergeCell ref="CR2:CS2"/>
    <mergeCell ref="CT2:CU2"/>
    <mergeCell ref="CV2:CW2"/>
    <mergeCell ref="CX2:CY2"/>
    <mergeCell ref="CZ2:DA2"/>
    <mergeCell ref="F170:F171"/>
    <mergeCell ref="G170:G171"/>
    <mergeCell ref="H170:I170"/>
    <mergeCell ref="J170:K170"/>
    <mergeCell ref="L170:M170"/>
    <mergeCell ref="N170:O170"/>
    <mergeCell ref="DZ2:EA2"/>
    <mergeCell ref="EB2:EC2"/>
    <mergeCell ref="ED2:EE2"/>
    <mergeCell ref="CD2:CE2"/>
    <mergeCell ref="CF2:CG2"/>
    <mergeCell ref="CH2:CI2"/>
    <mergeCell ref="CJ2:CK2"/>
    <mergeCell ref="CL2:CM2"/>
    <mergeCell ref="CN2:CO2"/>
    <mergeCell ref="BR2:BS2"/>
    <mergeCell ref="BT2:BU2"/>
    <mergeCell ref="BV2:BW2"/>
    <mergeCell ref="BX2:BY2"/>
    <mergeCell ref="BZ2:CA2"/>
    <mergeCell ref="CB2:CC2"/>
    <mergeCell ref="BF2:BG2"/>
    <mergeCell ref="BH2:BI2"/>
    <mergeCell ref="BJ2:BK2"/>
    <mergeCell ref="AB170:AC170"/>
    <mergeCell ref="AD170:AE170"/>
    <mergeCell ref="AF170:AG170"/>
    <mergeCell ref="AH170:AI170"/>
    <mergeCell ref="AJ170:AK170"/>
    <mergeCell ref="AL170:AM170"/>
    <mergeCell ref="P170:Q170"/>
    <mergeCell ref="R170:S170"/>
    <mergeCell ref="T170:U170"/>
    <mergeCell ref="V170:W170"/>
    <mergeCell ref="X170:Y170"/>
    <mergeCell ref="Z170:AA170"/>
    <mergeCell ref="AZ170:BA170"/>
    <mergeCell ref="BB170:BC170"/>
    <mergeCell ref="BD170:BE170"/>
    <mergeCell ref="BF170:BG170"/>
    <mergeCell ref="BH170:BI170"/>
    <mergeCell ref="BJ170:BK170"/>
    <mergeCell ref="AN170:AO170"/>
    <mergeCell ref="AP170:AQ170"/>
    <mergeCell ref="AR170:AS170"/>
    <mergeCell ref="AT170:AU170"/>
    <mergeCell ref="AV170:AW170"/>
    <mergeCell ref="AX170:AY170"/>
    <mergeCell ref="BX170:BY170"/>
    <mergeCell ref="BZ170:CA170"/>
    <mergeCell ref="CB170:CC170"/>
    <mergeCell ref="CD170:CE170"/>
    <mergeCell ref="CF170:CG170"/>
    <mergeCell ref="CH170:CI170"/>
    <mergeCell ref="BL170:BM170"/>
    <mergeCell ref="BN170:BO170"/>
    <mergeCell ref="BP170:BQ170"/>
    <mergeCell ref="BR170:BS170"/>
    <mergeCell ref="BT170:BU170"/>
    <mergeCell ref="BV170:BW170"/>
    <mergeCell ref="CV170:CW170"/>
    <mergeCell ref="CX170:CY170"/>
    <mergeCell ref="CZ170:DA170"/>
    <mergeCell ref="DB170:DC170"/>
    <mergeCell ref="DD170:DE170"/>
    <mergeCell ref="DF170:DG170"/>
    <mergeCell ref="CJ170:CK170"/>
    <mergeCell ref="CL170:CM170"/>
    <mergeCell ref="CN170:CO170"/>
    <mergeCell ref="CP170:CQ170"/>
    <mergeCell ref="CR170:CS170"/>
    <mergeCell ref="CT170:CU170"/>
    <mergeCell ref="DZ170:EA170"/>
    <mergeCell ref="EB170:EC170"/>
    <mergeCell ref="ED170:EE170"/>
    <mergeCell ref="EF170:EG170"/>
    <mergeCell ref="DH170:DI170"/>
    <mergeCell ref="DJ170:DK170"/>
    <mergeCell ref="DL170:DM170"/>
    <mergeCell ref="DN170:DO170"/>
    <mergeCell ref="DP170:DQ170"/>
    <mergeCell ref="DR170:DS170"/>
    <mergeCell ref="DT170:DU170"/>
    <mergeCell ref="DV170:DW170"/>
    <mergeCell ref="DX170:DY1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F1C4-846E-4E5C-914B-1F8C5C6C0D72}">
  <sheetPr>
    <tabColor rgb="FFFFC000"/>
  </sheetPr>
  <dimension ref="A1:DG176"/>
  <sheetViews>
    <sheetView zoomScaleNormal="100" workbookViewId="0">
      <pane xSplit="31" ySplit="3" topLeftCell="CU160" activePane="bottomRight" state="frozen"/>
      <selection pane="topRight" activeCell="AF1" sqref="AF1"/>
      <selection pane="bottomLeft" activeCell="A4" sqref="A4"/>
      <selection pane="bottomRight" activeCell="CG129" sqref="CG129"/>
    </sheetView>
  </sheetViews>
  <sheetFormatPr defaultColWidth="10.5546875" defaultRowHeight="19.8"/>
  <cols>
    <col min="1" max="1" width="3.5546875" style="37" bestFit="1" customWidth="1"/>
    <col min="2" max="2" width="27.88671875" style="37" bestFit="1" customWidth="1"/>
    <col min="3" max="4" width="7.44140625" style="37" bestFit="1" customWidth="1"/>
    <col min="5" max="5" width="5.44140625" style="37" customWidth="1"/>
    <col min="6" max="6" width="7.6640625" style="37" bestFit="1" customWidth="1"/>
    <col min="7" max="7" width="9.6640625" style="37" customWidth="1"/>
    <col min="8" max="31" width="9.33203125" style="37" hidden="1" customWidth="1"/>
    <col min="32" max="32" width="12.109375" style="37" customWidth="1"/>
    <col min="33" max="33" width="11.5546875" style="37" customWidth="1"/>
    <col min="34" max="57" width="9.33203125" style="37" hidden="1" customWidth="1"/>
    <col min="58" max="58" width="13.6640625" style="37" customWidth="1"/>
    <col min="59" max="59" width="12.21875" style="37" customWidth="1"/>
    <col min="60" max="83" width="9.33203125" style="37" hidden="1" customWidth="1"/>
    <col min="84" max="85" width="10.5546875" style="37" customWidth="1"/>
    <col min="86" max="86" width="9.33203125" style="2" bestFit="1" customWidth="1"/>
    <col min="87" max="87" width="9.33203125" style="38" bestFit="1" customWidth="1"/>
    <col min="88" max="88" width="9.33203125" style="2" bestFit="1" customWidth="1"/>
    <col min="89" max="89" width="9.33203125" style="38" bestFit="1" customWidth="1"/>
    <col min="90" max="90" width="9.33203125" style="2" bestFit="1" customWidth="1"/>
    <col min="91" max="91" width="9.33203125" style="38" bestFit="1" customWidth="1"/>
    <col min="92" max="92" width="9.33203125" style="2" customWidth="1"/>
    <col min="93" max="93" width="9.5546875" style="38" customWidth="1"/>
    <col min="94" max="94" width="10.88671875" style="2" customWidth="1"/>
    <col min="95" max="95" width="12.109375" style="38" customWidth="1"/>
    <col min="96" max="96" width="10.5546875" style="2" customWidth="1"/>
    <col min="97" max="97" width="10.5546875" style="38" customWidth="1"/>
    <col min="98" max="98" width="9.21875" style="2" customWidth="1"/>
    <col min="99" max="99" width="9.88671875" style="38" customWidth="1"/>
    <col min="100" max="100" width="10.21875" style="2" customWidth="1"/>
    <col min="101" max="101" width="10.21875" style="38" customWidth="1"/>
    <col min="102" max="102" width="10.109375" style="2" customWidth="1"/>
    <col min="103" max="103" width="11.109375" style="38" customWidth="1"/>
    <col min="104" max="104" width="10.5546875" style="2" customWidth="1"/>
    <col min="105" max="105" width="9.44140625" style="38" customWidth="1"/>
    <col min="106" max="106" width="9.77734375" style="2" customWidth="1"/>
    <col min="107" max="107" width="9.77734375" style="38" customWidth="1"/>
    <col min="108" max="108" width="9.6640625" style="2" customWidth="1"/>
    <col min="109" max="109" width="9.6640625" style="38" customWidth="1"/>
    <col min="110" max="110" width="10.5546875" style="2" customWidth="1"/>
    <col min="111" max="111" width="11.5546875" style="38" customWidth="1"/>
    <col min="112" max="16384" width="10.5546875" style="2"/>
  </cols>
  <sheetData>
    <row r="1" spans="1:111">
      <c r="A1" s="270" t="s">
        <v>0</v>
      </c>
      <c r="B1" s="271"/>
      <c r="C1" s="271"/>
      <c r="D1" s="271"/>
      <c r="E1" s="271"/>
      <c r="F1" s="271"/>
      <c r="G1" s="27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273">
        <v>2025</v>
      </c>
      <c r="CI1" s="274"/>
      <c r="CJ1" s="274"/>
      <c r="CK1" s="274"/>
      <c r="CL1" s="274"/>
      <c r="CM1" s="274"/>
      <c r="CN1" s="274"/>
      <c r="CO1" s="274"/>
      <c r="CP1" s="274"/>
      <c r="CQ1" s="274"/>
      <c r="CR1" s="274"/>
      <c r="CS1" s="274"/>
      <c r="CT1" s="274"/>
      <c r="CU1" s="274"/>
      <c r="CV1" s="274"/>
      <c r="CW1" s="274"/>
      <c r="CX1" s="274"/>
      <c r="CY1" s="274"/>
      <c r="CZ1" s="274"/>
      <c r="DA1" s="274"/>
      <c r="DB1" s="274"/>
      <c r="DC1" s="274"/>
      <c r="DD1" s="274"/>
      <c r="DE1" s="274"/>
      <c r="DF1" s="274"/>
      <c r="DG1" s="274"/>
    </row>
    <row r="2" spans="1:111" ht="18.75" customHeight="1">
      <c r="A2" s="264" t="s">
        <v>1</v>
      </c>
      <c r="B2" s="264" t="s">
        <v>2</v>
      </c>
      <c r="C2" s="264"/>
      <c r="D2" s="262" t="s">
        <v>3</v>
      </c>
      <c r="E2" s="262" t="s">
        <v>4</v>
      </c>
      <c r="F2" s="262" t="s">
        <v>5</v>
      </c>
      <c r="G2" s="264" t="s">
        <v>6</v>
      </c>
      <c r="H2" s="256">
        <v>44562</v>
      </c>
      <c r="I2" s="257"/>
      <c r="J2" s="256">
        <v>44593</v>
      </c>
      <c r="K2" s="257"/>
      <c r="L2" s="256">
        <v>44621</v>
      </c>
      <c r="M2" s="257"/>
      <c r="N2" s="256">
        <v>44652</v>
      </c>
      <c r="O2" s="257"/>
      <c r="P2" s="256">
        <v>44682</v>
      </c>
      <c r="Q2" s="257"/>
      <c r="R2" s="256">
        <v>44713</v>
      </c>
      <c r="S2" s="257"/>
      <c r="T2" s="256">
        <v>44743</v>
      </c>
      <c r="U2" s="257"/>
      <c r="V2" s="256">
        <v>44774</v>
      </c>
      <c r="W2" s="257"/>
      <c r="X2" s="256">
        <v>44805</v>
      </c>
      <c r="Y2" s="257"/>
      <c r="Z2" s="256">
        <v>44835</v>
      </c>
      <c r="AA2" s="257"/>
      <c r="AB2" s="256">
        <v>44866</v>
      </c>
      <c r="AC2" s="257"/>
      <c r="AD2" s="256">
        <v>44896</v>
      </c>
      <c r="AE2" s="257"/>
      <c r="AF2" s="260" t="s">
        <v>315</v>
      </c>
      <c r="AG2" s="261"/>
      <c r="AH2" s="256">
        <v>44927</v>
      </c>
      <c r="AI2" s="257"/>
      <c r="AJ2" s="256">
        <v>44958</v>
      </c>
      <c r="AK2" s="257"/>
      <c r="AL2" s="256">
        <v>44986</v>
      </c>
      <c r="AM2" s="257"/>
      <c r="AN2" s="256">
        <v>45017</v>
      </c>
      <c r="AO2" s="257"/>
      <c r="AP2" s="256">
        <v>45047</v>
      </c>
      <c r="AQ2" s="257"/>
      <c r="AR2" s="256">
        <v>45078</v>
      </c>
      <c r="AS2" s="257"/>
      <c r="AT2" s="256">
        <v>45108</v>
      </c>
      <c r="AU2" s="257"/>
      <c r="AV2" s="256">
        <v>45139</v>
      </c>
      <c r="AW2" s="257"/>
      <c r="AX2" s="256">
        <v>45170</v>
      </c>
      <c r="AY2" s="257"/>
      <c r="AZ2" s="256">
        <v>45200</v>
      </c>
      <c r="BA2" s="257"/>
      <c r="BB2" s="256">
        <v>45231</v>
      </c>
      <c r="BC2" s="257"/>
      <c r="BD2" s="256">
        <v>45261</v>
      </c>
      <c r="BE2" s="257"/>
      <c r="BF2" s="260" t="s">
        <v>316</v>
      </c>
      <c r="BG2" s="261"/>
      <c r="BH2" s="256">
        <v>45292</v>
      </c>
      <c r="BI2" s="257"/>
      <c r="BJ2" s="256">
        <v>45323</v>
      </c>
      <c r="BK2" s="257"/>
      <c r="BL2" s="256">
        <v>45352</v>
      </c>
      <c r="BM2" s="257"/>
      <c r="BN2" s="256">
        <v>45383</v>
      </c>
      <c r="BO2" s="257"/>
      <c r="BP2" s="256">
        <v>45413</v>
      </c>
      <c r="BQ2" s="257"/>
      <c r="BR2" s="256">
        <v>45444</v>
      </c>
      <c r="BS2" s="257"/>
      <c r="BT2" s="256">
        <v>45474</v>
      </c>
      <c r="BU2" s="257"/>
      <c r="BV2" s="256">
        <v>45505</v>
      </c>
      <c r="BW2" s="257"/>
      <c r="BX2" s="256">
        <v>45536</v>
      </c>
      <c r="BY2" s="257"/>
      <c r="BZ2" s="256">
        <v>45566</v>
      </c>
      <c r="CA2" s="257"/>
      <c r="CB2" s="256">
        <v>45597</v>
      </c>
      <c r="CC2" s="257"/>
      <c r="CD2" s="256">
        <v>45627</v>
      </c>
      <c r="CE2" s="257"/>
      <c r="CF2" s="260" t="s">
        <v>317</v>
      </c>
      <c r="CG2" s="261"/>
      <c r="CH2" s="256">
        <v>45658</v>
      </c>
      <c r="CI2" s="257"/>
      <c r="CJ2" s="256">
        <v>45689</v>
      </c>
      <c r="CK2" s="257"/>
      <c r="CL2" s="256">
        <v>45717</v>
      </c>
      <c r="CM2" s="257"/>
      <c r="CN2" s="256">
        <v>45748</v>
      </c>
      <c r="CO2" s="257"/>
      <c r="CP2" s="256">
        <v>45778</v>
      </c>
      <c r="CQ2" s="257"/>
      <c r="CR2" s="256">
        <v>45809</v>
      </c>
      <c r="CS2" s="257"/>
      <c r="CT2" s="256">
        <v>45839</v>
      </c>
      <c r="CU2" s="257"/>
      <c r="CV2" s="256">
        <v>45870</v>
      </c>
      <c r="CW2" s="257"/>
      <c r="CX2" s="256">
        <v>45901</v>
      </c>
      <c r="CY2" s="257"/>
      <c r="CZ2" s="256">
        <v>45931</v>
      </c>
      <c r="DA2" s="257"/>
      <c r="DB2" s="256">
        <v>45962</v>
      </c>
      <c r="DC2" s="257"/>
      <c r="DD2" s="256">
        <v>45992</v>
      </c>
      <c r="DE2" s="257"/>
      <c r="DF2" s="275" t="s">
        <v>7</v>
      </c>
      <c r="DG2" s="276"/>
    </row>
    <row r="3" spans="1:111" ht="18.75" customHeight="1">
      <c r="A3" s="269"/>
      <c r="B3" s="269"/>
      <c r="C3" s="269"/>
      <c r="D3" s="263"/>
      <c r="E3" s="263"/>
      <c r="F3" s="263"/>
      <c r="G3" s="263"/>
      <c r="H3" s="3" t="s">
        <v>8</v>
      </c>
      <c r="I3" s="4" t="s">
        <v>9</v>
      </c>
      <c r="J3" s="3" t="s">
        <v>8</v>
      </c>
      <c r="K3" s="4" t="s">
        <v>9</v>
      </c>
      <c r="L3" s="3" t="s">
        <v>8</v>
      </c>
      <c r="M3" s="4" t="s">
        <v>9</v>
      </c>
      <c r="N3" s="3" t="s">
        <v>8</v>
      </c>
      <c r="O3" s="4" t="s">
        <v>9</v>
      </c>
      <c r="P3" s="3" t="s">
        <v>8</v>
      </c>
      <c r="Q3" s="4" t="s">
        <v>9</v>
      </c>
      <c r="R3" s="3" t="s">
        <v>8</v>
      </c>
      <c r="S3" s="4" t="s">
        <v>9</v>
      </c>
      <c r="T3" s="3" t="s">
        <v>8</v>
      </c>
      <c r="U3" s="4" t="s">
        <v>9</v>
      </c>
      <c r="V3" s="3" t="s">
        <v>8</v>
      </c>
      <c r="W3" s="4" t="s">
        <v>9</v>
      </c>
      <c r="X3" s="3" t="s">
        <v>8</v>
      </c>
      <c r="Y3" s="4" t="s">
        <v>9</v>
      </c>
      <c r="Z3" s="3" t="s">
        <v>8</v>
      </c>
      <c r="AA3" s="4" t="s">
        <v>9</v>
      </c>
      <c r="AB3" s="3" t="s">
        <v>8</v>
      </c>
      <c r="AC3" s="4" t="s">
        <v>9</v>
      </c>
      <c r="AD3" s="3" t="s">
        <v>8</v>
      </c>
      <c r="AE3" s="4" t="s">
        <v>9</v>
      </c>
      <c r="AF3" s="5" t="s">
        <v>8</v>
      </c>
      <c r="AG3" s="6" t="s">
        <v>9</v>
      </c>
      <c r="AH3" s="3" t="s">
        <v>8</v>
      </c>
      <c r="AI3" s="4" t="s">
        <v>9</v>
      </c>
      <c r="AJ3" s="3" t="s">
        <v>8</v>
      </c>
      <c r="AK3" s="4" t="s">
        <v>9</v>
      </c>
      <c r="AL3" s="3" t="s">
        <v>8</v>
      </c>
      <c r="AM3" s="4" t="s">
        <v>9</v>
      </c>
      <c r="AN3" s="3" t="s">
        <v>8</v>
      </c>
      <c r="AO3" s="4" t="s">
        <v>9</v>
      </c>
      <c r="AP3" s="3" t="s">
        <v>8</v>
      </c>
      <c r="AQ3" s="4" t="s">
        <v>9</v>
      </c>
      <c r="AR3" s="3" t="s">
        <v>8</v>
      </c>
      <c r="AS3" s="4" t="s">
        <v>9</v>
      </c>
      <c r="AT3" s="3" t="s">
        <v>8</v>
      </c>
      <c r="AU3" s="4" t="s">
        <v>9</v>
      </c>
      <c r="AV3" s="3" t="s">
        <v>8</v>
      </c>
      <c r="AW3" s="4" t="s">
        <v>9</v>
      </c>
      <c r="AX3" s="3" t="s">
        <v>8</v>
      </c>
      <c r="AY3" s="4" t="s">
        <v>9</v>
      </c>
      <c r="AZ3" s="3" t="s">
        <v>8</v>
      </c>
      <c r="BA3" s="4" t="s">
        <v>9</v>
      </c>
      <c r="BB3" s="3" t="s">
        <v>8</v>
      </c>
      <c r="BC3" s="4" t="s">
        <v>9</v>
      </c>
      <c r="BD3" s="3" t="s">
        <v>8</v>
      </c>
      <c r="BE3" s="4" t="s">
        <v>9</v>
      </c>
      <c r="BF3" s="5" t="s">
        <v>8</v>
      </c>
      <c r="BG3" s="6" t="s">
        <v>9</v>
      </c>
      <c r="BH3" s="3" t="s">
        <v>8</v>
      </c>
      <c r="BI3" s="4" t="s">
        <v>9</v>
      </c>
      <c r="BJ3" s="3" t="s">
        <v>8</v>
      </c>
      <c r="BK3" s="4" t="s">
        <v>9</v>
      </c>
      <c r="BL3" s="3" t="s">
        <v>8</v>
      </c>
      <c r="BM3" s="4" t="s">
        <v>9</v>
      </c>
      <c r="BN3" s="3" t="s">
        <v>8</v>
      </c>
      <c r="BO3" s="4" t="s">
        <v>9</v>
      </c>
      <c r="BP3" s="3" t="s">
        <v>8</v>
      </c>
      <c r="BQ3" s="4" t="s">
        <v>9</v>
      </c>
      <c r="BR3" s="3" t="s">
        <v>8</v>
      </c>
      <c r="BS3" s="4" t="s">
        <v>9</v>
      </c>
      <c r="BT3" s="3" t="s">
        <v>8</v>
      </c>
      <c r="BU3" s="4" t="s">
        <v>9</v>
      </c>
      <c r="BV3" s="3" t="s">
        <v>8</v>
      </c>
      <c r="BW3" s="4" t="s">
        <v>9</v>
      </c>
      <c r="BX3" s="3" t="s">
        <v>8</v>
      </c>
      <c r="BY3" s="4" t="s">
        <v>9</v>
      </c>
      <c r="BZ3" s="3" t="s">
        <v>8</v>
      </c>
      <c r="CA3" s="4" t="s">
        <v>9</v>
      </c>
      <c r="CB3" s="3" t="s">
        <v>8</v>
      </c>
      <c r="CC3" s="4" t="s">
        <v>9</v>
      </c>
      <c r="CD3" s="3" t="s">
        <v>8</v>
      </c>
      <c r="CE3" s="4" t="s">
        <v>9</v>
      </c>
      <c r="CF3" s="5" t="s">
        <v>8</v>
      </c>
      <c r="CG3" s="6" t="s">
        <v>9</v>
      </c>
      <c r="CH3" s="3" t="s">
        <v>8</v>
      </c>
      <c r="CI3" s="4" t="s">
        <v>9</v>
      </c>
      <c r="CJ3" s="3" t="s">
        <v>8</v>
      </c>
      <c r="CK3" s="4" t="s">
        <v>9</v>
      </c>
      <c r="CL3" s="3" t="s">
        <v>8</v>
      </c>
      <c r="CM3" s="4" t="s">
        <v>9</v>
      </c>
      <c r="CN3" s="3" t="s">
        <v>8</v>
      </c>
      <c r="CO3" s="4" t="s">
        <v>9</v>
      </c>
      <c r="CP3" s="3" t="s">
        <v>8</v>
      </c>
      <c r="CQ3" s="4" t="s">
        <v>9</v>
      </c>
      <c r="CR3" s="3" t="s">
        <v>8</v>
      </c>
      <c r="CS3" s="4" t="s">
        <v>9</v>
      </c>
      <c r="CT3" s="3" t="s">
        <v>8</v>
      </c>
      <c r="CU3" s="4" t="s">
        <v>9</v>
      </c>
      <c r="CV3" s="3" t="s">
        <v>8</v>
      </c>
      <c r="CW3" s="4" t="s">
        <v>9</v>
      </c>
      <c r="CX3" s="3" t="s">
        <v>8</v>
      </c>
      <c r="CY3" s="4" t="s">
        <v>9</v>
      </c>
      <c r="CZ3" s="3" t="s">
        <v>8</v>
      </c>
      <c r="DA3" s="4" t="s">
        <v>9</v>
      </c>
      <c r="DB3" s="3" t="s">
        <v>8</v>
      </c>
      <c r="DC3" s="4" t="s">
        <v>9</v>
      </c>
      <c r="DD3" s="3" t="s">
        <v>8</v>
      </c>
      <c r="DE3" s="4" t="s">
        <v>9</v>
      </c>
      <c r="DF3" s="3" t="s">
        <v>8</v>
      </c>
      <c r="DG3" s="207" t="s">
        <v>9</v>
      </c>
    </row>
    <row r="4" spans="1:111">
      <c r="A4" s="7">
        <v>1</v>
      </c>
      <c r="B4" s="8" t="s">
        <v>10</v>
      </c>
      <c r="C4" s="8" t="s">
        <v>11</v>
      </c>
      <c r="D4" s="7">
        <f>RANK(DF4,$DF$4:$DF$141)</f>
        <v>11</v>
      </c>
      <c r="E4" s="7">
        <v>0.7</v>
      </c>
      <c r="F4" s="7" t="s">
        <v>12</v>
      </c>
      <c r="G4" s="7">
        <v>2000</v>
      </c>
      <c r="H4" s="9">
        <v>124523</v>
      </c>
      <c r="I4" s="10">
        <f>H4*$E4</f>
        <v>87166.099999999991</v>
      </c>
      <c r="J4" s="9">
        <v>116620</v>
      </c>
      <c r="K4" s="10">
        <f>J4*$E4</f>
        <v>81634</v>
      </c>
      <c r="L4" s="9">
        <v>181840</v>
      </c>
      <c r="M4" s="10">
        <f>L4*$E4</f>
        <v>127287.99999999999</v>
      </c>
      <c r="N4" s="9">
        <v>108012</v>
      </c>
      <c r="O4" s="10">
        <f>N4*$E4</f>
        <v>75608.399999999994</v>
      </c>
      <c r="P4" s="9">
        <v>114210</v>
      </c>
      <c r="Q4" s="10">
        <f>P4*$E4</f>
        <v>79947</v>
      </c>
      <c r="R4" s="9">
        <v>119568</v>
      </c>
      <c r="S4" s="10">
        <f>R4*$E4</f>
        <v>83697.599999999991</v>
      </c>
      <c r="T4" s="9">
        <v>96592</v>
      </c>
      <c r="U4" s="10">
        <f>T4*$E4</f>
        <v>67614.399999999994</v>
      </c>
      <c r="V4" s="9">
        <v>131952</v>
      </c>
      <c r="W4" s="10">
        <f>V4*$E4</f>
        <v>92366.399999999994</v>
      </c>
      <c r="X4" s="9">
        <v>89903</v>
      </c>
      <c r="Y4" s="10">
        <f>X4*$E4</f>
        <v>62932.1</v>
      </c>
      <c r="Z4" s="9">
        <v>61110</v>
      </c>
      <c r="AA4" s="10">
        <f>Z4*$E4</f>
        <v>42777</v>
      </c>
      <c r="AB4" s="9">
        <v>51726</v>
      </c>
      <c r="AC4" s="10">
        <f>AB4*$E4</f>
        <v>36208.199999999997</v>
      </c>
      <c r="AD4" s="9">
        <v>78719</v>
      </c>
      <c r="AE4" s="10">
        <f>AD4*$E4</f>
        <v>55103.299999999996</v>
      </c>
      <c r="AF4" s="11">
        <f>(AD4+AB4+Z4+X4+V4+T4+R4+P4+N4+L4+J4+H4)/1</f>
        <v>1274775</v>
      </c>
      <c r="AG4" s="12">
        <f>AF4*$E4</f>
        <v>892342.5</v>
      </c>
      <c r="AH4" s="9">
        <v>77141</v>
      </c>
      <c r="AI4" s="10">
        <f>AH4*$E4</f>
        <v>53998.7</v>
      </c>
      <c r="AJ4" s="9">
        <v>72972</v>
      </c>
      <c r="AK4" s="10">
        <f>AJ4*$E4</f>
        <v>51080.399999999994</v>
      </c>
      <c r="AL4" s="9">
        <v>70308</v>
      </c>
      <c r="AM4" s="10">
        <f>AL4*$E4</f>
        <v>49215.6</v>
      </c>
      <c r="AN4" s="9">
        <v>58392</v>
      </c>
      <c r="AO4" s="10">
        <f>AN4*$E4</f>
        <v>40874.399999999994</v>
      </c>
      <c r="AP4" s="9">
        <v>58378</v>
      </c>
      <c r="AQ4" s="10">
        <f>AP4*$E4</f>
        <v>40864.6</v>
      </c>
      <c r="AR4" s="9">
        <v>43500</v>
      </c>
      <c r="AS4" s="10">
        <f>AR4*$E4</f>
        <v>30449.999999999996</v>
      </c>
      <c r="AT4" s="9">
        <v>42396</v>
      </c>
      <c r="AU4" s="10">
        <f>AT4*$E4</f>
        <v>29677.199999999997</v>
      </c>
      <c r="AV4" s="9">
        <v>53793</v>
      </c>
      <c r="AW4" s="10">
        <f>AV4*$E4</f>
        <v>37655.1</v>
      </c>
      <c r="AX4" s="9">
        <v>32216</v>
      </c>
      <c r="AY4" s="10">
        <f>AX4*$E4</f>
        <v>22551.199999999997</v>
      </c>
      <c r="AZ4" s="9">
        <v>41076</v>
      </c>
      <c r="BA4" s="10">
        <f>AZ4*$E4</f>
        <v>28753.199999999997</v>
      </c>
      <c r="BB4" s="9">
        <v>38508</v>
      </c>
      <c r="BC4" s="10">
        <f>BB4*$E4</f>
        <v>26955.599999999999</v>
      </c>
      <c r="BD4" s="9">
        <v>38963</v>
      </c>
      <c r="BE4" s="10">
        <f>BD4*$E4</f>
        <v>27274.1</v>
      </c>
      <c r="BF4" s="11">
        <f>(BD4+BB4+AZ4+AX4+AV4+AT4+AR4+AP4+AN4+AL4+AJ4+AH4)/1</f>
        <v>627643</v>
      </c>
      <c r="BG4" s="12">
        <f>BF4*$E4</f>
        <v>439350.1</v>
      </c>
      <c r="BH4" s="13">
        <v>48252</v>
      </c>
      <c r="BI4" s="10">
        <f>BH4*$E4</f>
        <v>33776.400000000001</v>
      </c>
      <c r="BJ4" s="13">
        <v>36072</v>
      </c>
      <c r="BK4" s="10">
        <f>BJ4*$E4</f>
        <v>25250.399999999998</v>
      </c>
      <c r="BL4" s="13">
        <v>42647</v>
      </c>
      <c r="BM4" s="10">
        <f>BL4*$E4</f>
        <v>29852.899999999998</v>
      </c>
      <c r="BN4" s="13">
        <v>36856</v>
      </c>
      <c r="BO4" s="10">
        <f>BN4*$E4</f>
        <v>25799.199999999997</v>
      </c>
      <c r="BP4" s="13">
        <v>33804</v>
      </c>
      <c r="BQ4" s="10">
        <f>BP4*$E4</f>
        <v>23662.799999999999</v>
      </c>
      <c r="BR4" s="13">
        <v>35760</v>
      </c>
      <c r="BS4" s="10">
        <f>BR4*$E4</f>
        <v>25032</v>
      </c>
      <c r="BT4" s="13">
        <v>30059</v>
      </c>
      <c r="BU4" s="10">
        <f>BT4*$E4</f>
        <v>21041.3</v>
      </c>
      <c r="BV4" s="13">
        <v>28524</v>
      </c>
      <c r="BW4" s="10">
        <f>BV4*$E4</f>
        <v>19966.8</v>
      </c>
      <c r="BX4" s="13">
        <v>22953</v>
      </c>
      <c r="BY4" s="10">
        <f>BX4*$E4</f>
        <v>16067.099999999999</v>
      </c>
      <c r="BZ4" s="13">
        <v>22835</v>
      </c>
      <c r="CA4" s="10">
        <f>BZ4*$E4</f>
        <v>15984.499999999998</v>
      </c>
      <c r="CB4" s="13">
        <v>23747</v>
      </c>
      <c r="CC4" s="10">
        <f>CB4*$E4</f>
        <v>16622.899999999998</v>
      </c>
      <c r="CD4" s="14">
        <v>26058</v>
      </c>
      <c r="CE4" s="10">
        <f>CD4*$E4</f>
        <v>18240.599999999999</v>
      </c>
      <c r="CF4" s="11">
        <f>(CD4+CB4+BZ4+BX4+BV4+BT4+BR4+BP4+BN4+BL4+BJ4+BH4)/1</f>
        <v>387567</v>
      </c>
      <c r="CG4" s="12">
        <f>CF4*$E4</f>
        <v>271296.89999999997</v>
      </c>
      <c r="CH4" s="15">
        <v>22051</v>
      </c>
      <c r="CI4" s="10">
        <f>CH4*$E4</f>
        <v>15435.699999999999</v>
      </c>
      <c r="CJ4" s="15">
        <v>19282</v>
      </c>
      <c r="CK4" s="10">
        <f>CJ4*$E4</f>
        <v>13497.4</v>
      </c>
      <c r="CL4" s="15">
        <v>28498</v>
      </c>
      <c r="CM4" s="10">
        <f>CL4*$E4</f>
        <v>19948.599999999999</v>
      </c>
      <c r="CN4" s="15">
        <v>22811</v>
      </c>
      <c r="CO4" s="10">
        <f>CN4*$E4</f>
        <v>15967.699999999999</v>
      </c>
      <c r="CP4" s="15">
        <v>21036</v>
      </c>
      <c r="CQ4" s="10">
        <f>CP4*$E4</f>
        <v>14725.199999999999</v>
      </c>
      <c r="CR4" s="15">
        <v>21198</v>
      </c>
      <c r="CS4" s="10">
        <f>CR4*$E4</f>
        <v>14838.599999999999</v>
      </c>
      <c r="CT4" s="15">
        <v>16910</v>
      </c>
      <c r="CU4" s="10">
        <f>CT4*$E4</f>
        <v>11837</v>
      </c>
      <c r="CV4" s="15">
        <v>17784</v>
      </c>
      <c r="CW4" s="10">
        <f>CV4*$E4</f>
        <v>12448.8</v>
      </c>
      <c r="CX4" s="15">
        <v>17328</v>
      </c>
      <c r="CY4" s="10">
        <f>CX4*$E4</f>
        <v>12129.599999999999</v>
      </c>
      <c r="CZ4" s="15">
        <v>18888</v>
      </c>
      <c r="DA4" s="10">
        <f>CZ4*$E4</f>
        <v>13221.599999999999</v>
      </c>
      <c r="DB4" s="15">
        <v>22091</v>
      </c>
      <c r="DC4" s="10">
        <f>DB4*$E4</f>
        <v>15463.699999999999</v>
      </c>
      <c r="DD4" s="15">
        <v>18869</v>
      </c>
      <c r="DE4" s="10">
        <f>DD4*$E4</f>
        <v>13208.3</v>
      </c>
      <c r="DF4" s="16">
        <f t="shared" ref="DF4:DF67" si="0">SUM(CH4,CJ4,CL4,CN4,CP4,CR4,CT4,CV4,CX4,CZ4,DB4,DD4)</f>
        <v>246746</v>
      </c>
      <c r="DG4" s="208">
        <f>DF4*$E4</f>
        <v>172722.19999999998</v>
      </c>
    </row>
    <row r="5" spans="1:111">
      <c r="A5" s="225"/>
      <c r="B5" s="226"/>
      <c r="C5" s="226"/>
      <c r="D5" s="225"/>
      <c r="E5" s="225"/>
      <c r="F5" s="225"/>
      <c r="G5" s="225"/>
      <c r="H5" s="15"/>
      <c r="I5" s="10">
        <f t="shared" ref="I5:I73" si="1">H5*$E5</f>
        <v>0</v>
      </c>
      <c r="J5" s="15"/>
      <c r="K5" s="10">
        <f t="shared" ref="K5:K73" si="2">J5*$E5</f>
        <v>0</v>
      </c>
      <c r="L5" s="15"/>
      <c r="M5" s="10">
        <f t="shared" ref="M5:M73" si="3">L5*$E5</f>
        <v>0</v>
      </c>
      <c r="N5" s="15"/>
      <c r="O5" s="10">
        <f t="shared" ref="O5:O73" si="4">N5*$E5</f>
        <v>0</v>
      </c>
      <c r="P5" s="15"/>
      <c r="Q5" s="10">
        <f t="shared" ref="Q5:Q73" si="5">P5*$E5</f>
        <v>0</v>
      </c>
      <c r="R5" s="15"/>
      <c r="S5" s="10">
        <f t="shared" ref="S5:S64" si="6">R5*$E5</f>
        <v>0</v>
      </c>
      <c r="T5" s="15"/>
      <c r="U5" s="10">
        <f t="shared" ref="U5:U73" si="7">T5*$E5</f>
        <v>0</v>
      </c>
      <c r="V5" s="15"/>
      <c r="W5" s="10">
        <f t="shared" ref="W5:W73" si="8">V5*$E5</f>
        <v>0</v>
      </c>
      <c r="X5" s="15"/>
      <c r="Y5" s="10">
        <f t="shared" ref="Y5:Y73" si="9">X5*$E5</f>
        <v>0</v>
      </c>
      <c r="Z5" s="15"/>
      <c r="AA5" s="10">
        <f t="shared" ref="AA5:AA73" si="10">Z5*$E5</f>
        <v>0</v>
      </c>
      <c r="AB5" s="15"/>
      <c r="AC5" s="10">
        <f t="shared" ref="AC5:AC73" si="11">AB5*$E5</f>
        <v>0</v>
      </c>
      <c r="AD5" s="15"/>
      <c r="AE5" s="10">
        <f t="shared" ref="AE5:AE73" si="12">AD5*$E5</f>
        <v>0</v>
      </c>
      <c r="AF5" s="11">
        <f t="shared" ref="AF5:AF68" si="13">(AD5+AB5+Z5+X5+V5+T5+R5+P5+N5+L5+J5+H5)/1</f>
        <v>0</v>
      </c>
      <c r="AG5" s="12">
        <f t="shared" ref="AG5:AG68" si="14">AF5*$E5</f>
        <v>0</v>
      </c>
      <c r="AH5" s="15"/>
      <c r="AI5" s="10">
        <f t="shared" ref="AI5:AI73" si="15">AH5*$E5</f>
        <v>0</v>
      </c>
      <c r="AJ5" s="15"/>
      <c r="AK5" s="10">
        <f t="shared" ref="AK5:AK73" si="16">AJ5*$E5</f>
        <v>0</v>
      </c>
      <c r="AL5" s="15"/>
      <c r="AM5" s="10">
        <f t="shared" ref="AM5:AM73" si="17">AL5*$E5</f>
        <v>0</v>
      </c>
      <c r="AN5" s="15"/>
      <c r="AO5" s="10">
        <f t="shared" ref="AO5:AO73" si="18">AN5*$E5</f>
        <v>0</v>
      </c>
      <c r="AP5" s="15"/>
      <c r="AQ5" s="10">
        <f t="shared" ref="AQ5:AQ73" si="19">AP5*$E5</f>
        <v>0</v>
      </c>
      <c r="AR5" s="15"/>
      <c r="AS5" s="10">
        <f t="shared" ref="AS5:AS73" si="20">AR5*$E5</f>
        <v>0</v>
      </c>
      <c r="AT5" s="15"/>
      <c r="AU5" s="10">
        <f t="shared" ref="AU5:AU73" si="21">AT5*$E5</f>
        <v>0</v>
      </c>
      <c r="AV5" s="15"/>
      <c r="AW5" s="10">
        <f t="shared" ref="AW5:AW73" si="22">AV5*$E5</f>
        <v>0</v>
      </c>
      <c r="AX5" s="15"/>
      <c r="AY5" s="10">
        <f t="shared" ref="AY5:AY73" si="23">AX5*$E5</f>
        <v>0</v>
      </c>
      <c r="AZ5" s="15"/>
      <c r="BA5" s="10">
        <f t="shared" ref="BA5:BA73" si="24">AZ5*$E5</f>
        <v>0</v>
      </c>
      <c r="BB5" s="15"/>
      <c r="BC5" s="10">
        <f t="shared" ref="BC5:BC73" si="25">BB5*$E5</f>
        <v>0</v>
      </c>
      <c r="BD5" s="15"/>
      <c r="BE5" s="10">
        <f t="shared" ref="BE5:BE73" si="26">BD5*$E5</f>
        <v>0</v>
      </c>
      <c r="BF5" s="11">
        <f t="shared" ref="BF5:BF68" si="27">(BD5+BB5+AZ5+AX5+AV5+AT5+AR5+AP5+AN5+AL5+AJ5+AH5)/1</f>
        <v>0</v>
      </c>
      <c r="BG5" s="12">
        <f t="shared" ref="BG5:BG68" si="28">BF5*$E5</f>
        <v>0</v>
      </c>
      <c r="BH5" s="15"/>
      <c r="BI5" s="10">
        <f t="shared" ref="BI5:BI73" si="29">BH5*$E5</f>
        <v>0</v>
      </c>
      <c r="BJ5" s="15"/>
      <c r="BK5" s="10">
        <f t="shared" ref="BK5:BK73" si="30">BJ5*$E5</f>
        <v>0</v>
      </c>
      <c r="BL5" s="15"/>
      <c r="BM5" s="10">
        <f t="shared" ref="BM5:BM73" si="31">BL5*$E5</f>
        <v>0</v>
      </c>
      <c r="BN5" s="15"/>
      <c r="BO5" s="10">
        <f t="shared" ref="BO5:BO73" si="32">BN5*$E5</f>
        <v>0</v>
      </c>
      <c r="BP5" s="15"/>
      <c r="BQ5" s="10">
        <f t="shared" ref="BQ5:BQ73" si="33">BP5*$E5</f>
        <v>0</v>
      </c>
      <c r="BR5" s="15"/>
      <c r="BS5" s="10">
        <f t="shared" ref="BS5:BS73" si="34">BR5*$E5</f>
        <v>0</v>
      </c>
      <c r="BT5" s="15"/>
      <c r="BU5" s="10">
        <f t="shared" ref="BU5:BU73" si="35">BT5*$E5</f>
        <v>0</v>
      </c>
      <c r="BV5" s="15"/>
      <c r="BW5" s="10">
        <f t="shared" ref="BW5:BW73" si="36">BV5*$E5</f>
        <v>0</v>
      </c>
      <c r="BX5" s="15"/>
      <c r="BY5" s="10">
        <f t="shared" ref="BY5:BY73" si="37">BX5*$E5</f>
        <v>0</v>
      </c>
      <c r="BZ5" s="15"/>
      <c r="CA5" s="10">
        <f t="shared" ref="CA5:CA73" si="38">BZ5*$E5</f>
        <v>0</v>
      </c>
      <c r="CB5" s="15"/>
      <c r="CC5" s="10">
        <f t="shared" ref="CC5:CC73" si="39">CB5*$E5</f>
        <v>0</v>
      </c>
      <c r="CD5" s="15"/>
      <c r="CE5" s="10">
        <f t="shared" ref="CE5:CE73" si="40">CD5*$E5</f>
        <v>0</v>
      </c>
      <c r="CF5" s="11">
        <f t="shared" ref="CF5:CF68" si="41">(CD5+CB5+BZ5+BX5+BV5+BT5+BR5+BP5+BN5+BL5+BJ5+BH5)/1</f>
        <v>0</v>
      </c>
      <c r="CG5" s="12">
        <f t="shared" ref="CG5:CG68" si="42">CF5*$E5</f>
        <v>0</v>
      </c>
      <c r="CH5" s="15"/>
      <c r="CI5" s="10">
        <f t="shared" ref="CI5:CI68" si="43">CH5*$E5</f>
        <v>0</v>
      </c>
      <c r="CJ5" s="15"/>
      <c r="CK5" s="10">
        <f t="shared" ref="CK5:CK68" si="44">CJ5*$E5</f>
        <v>0</v>
      </c>
      <c r="CL5" s="15"/>
      <c r="CM5" s="10">
        <f t="shared" ref="CM5:CM68" si="45">CL5*$E5</f>
        <v>0</v>
      </c>
      <c r="CN5" s="15"/>
      <c r="CO5" s="10">
        <f t="shared" ref="CO5:CO68" si="46">CN5*$E5</f>
        <v>0</v>
      </c>
      <c r="CP5" s="15"/>
      <c r="CQ5" s="10">
        <f t="shared" ref="CQ5:CQ68" si="47">CP5*$E5</f>
        <v>0</v>
      </c>
      <c r="CR5" s="15"/>
      <c r="CS5" s="10">
        <f t="shared" ref="CS5:CS68" si="48">CR5*$E5</f>
        <v>0</v>
      </c>
      <c r="CT5" s="15"/>
      <c r="CU5" s="10">
        <f t="shared" ref="CU5:CU68" si="49">CT5*$E5</f>
        <v>0</v>
      </c>
      <c r="CV5" s="15"/>
      <c r="CW5" s="10">
        <f t="shared" ref="CW5:CW68" si="50">CV5*$E5</f>
        <v>0</v>
      </c>
      <c r="CX5" s="15"/>
      <c r="CY5" s="10">
        <f t="shared" ref="CY5:CY68" si="51">CX5*$E5</f>
        <v>0</v>
      </c>
      <c r="CZ5" s="15"/>
      <c r="DA5" s="10">
        <f t="shared" ref="DA5:DA68" si="52">CZ5*$E5</f>
        <v>0</v>
      </c>
      <c r="DB5" s="15"/>
      <c r="DC5" s="10">
        <f t="shared" ref="DC5:DE68" si="53">DB5*$E5</f>
        <v>0</v>
      </c>
      <c r="DD5" s="15"/>
      <c r="DE5" s="10">
        <f t="shared" si="53"/>
        <v>0</v>
      </c>
      <c r="DF5" s="16">
        <f t="shared" si="0"/>
        <v>0</v>
      </c>
      <c r="DG5" s="208">
        <f t="shared" ref="DG5:DG68" si="54">DF5*$E5</f>
        <v>0</v>
      </c>
    </row>
    <row r="6" spans="1:111">
      <c r="A6" s="225">
        <v>2</v>
      </c>
      <c r="B6" s="226" t="s">
        <v>13</v>
      </c>
      <c r="C6" s="226" t="s">
        <v>14</v>
      </c>
      <c r="D6" s="225">
        <f>RANK(DF6,$DF$4:$DF$141)</f>
        <v>3</v>
      </c>
      <c r="E6" s="225">
        <v>1</v>
      </c>
      <c r="F6" s="225" t="s">
        <v>12</v>
      </c>
      <c r="G6" s="225">
        <v>1650</v>
      </c>
      <c r="H6" s="9"/>
      <c r="I6" s="10">
        <f t="shared" si="1"/>
        <v>0</v>
      </c>
      <c r="J6" s="9"/>
      <c r="K6" s="10">
        <f t="shared" si="2"/>
        <v>0</v>
      </c>
      <c r="L6" s="9">
        <v>4332</v>
      </c>
      <c r="M6" s="10">
        <f t="shared" si="3"/>
        <v>4332</v>
      </c>
      <c r="N6" s="9">
        <v>564</v>
      </c>
      <c r="O6" s="10">
        <f t="shared" si="4"/>
        <v>564</v>
      </c>
      <c r="P6" s="9">
        <v>312</v>
      </c>
      <c r="Q6" s="10">
        <f t="shared" si="5"/>
        <v>312</v>
      </c>
      <c r="R6" s="9">
        <v>600</v>
      </c>
      <c r="S6" s="10">
        <f t="shared" si="6"/>
        <v>600</v>
      </c>
      <c r="T6" s="9">
        <v>4020</v>
      </c>
      <c r="U6" s="10">
        <f t="shared" si="7"/>
        <v>4020</v>
      </c>
      <c r="V6" s="9">
        <v>428</v>
      </c>
      <c r="W6" s="10">
        <f t="shared" si="8"/>
        <v>428</v>
      </c>
      <c r="X6" s="9">
        <v>1452</v>
      </c>
      <c r="Y6" s="10">
        <f t="shared" si="9"/>
        <v>1452</v>
      </c>
      <c r="Z6" s="9">
        <v>1464</v>
      </c>
      <c r="AA6" s="10">
        <f t="shared" si="10"/>
        <v>1464</v>
      </c>
      <c r="AB6" s="9">
        <v>3300</v>
      </c>
      <c r="AC6" s="10">
        <f t="shared" si="11"/>
        <v>3300</v>
      </c>
      <c r="AD6" s="9">
        <v>408</v>
      </c>
      <c r="AE6" s="10">
        <f t="shared" si="12"/>
        <v>408</v>
      </c>
      <c r="AF6" s="11">
        <f t="shared" si="13"/>
        <v>16880</v>
      </c>
      <c r="AG6" s="12">
        <f t="shared" si="14"/>
        <v>16880</v>
      </c>
      <c r="AH6" s="9"/>
      <c r="AI6" s="10">
        <f t="shared" si="15"/>
        <v>0</v>
      </c>
      <c r="AJ6" s="9"/>
      <c r="AK6" s="10">
        <f t="shared" si="16"/>
        <v>0</v>
      </c>
      <c r="AL6" s="9">
        <v>60</v>
      </c>
      <c r="AM6" s="10">
        <f t="shared" si="17"/>
        <v>60</v>
      </c>
      <c r="AN6" s="9">
        <v>1152</v>
      </c>
      <c r="AO6" s="10">
        <f t="shared" si="18"/>
        <v>1152</v>
      </c>
      <c r="AP6" s="9">
        <v>1512</v>
      </c>
      <c r="AQ6" s="10">
        <f t="shared" si="19"/>
        <v>1512</v>
      </c>
      <c r="AR6" s="9">
        <v>1416</v>
      </c>
      <c r="AS6" s="10">
        <f t="shared" si="20"/>
        <v>1416</v>
      </c>
      <c r="AT6" s="9">
        <v>588</v>
      </c>
      <c r="AU6" s="10">
        <f t="shared" si="21"/>
        <v>588</v>
      </c>
      <c r="AV6" s="9"/>
      <c r="AW6" s="10">
        <f t="shared" si="22"/>
        <v>0</v>
      </c>
      <c r="AX6" s="9">
        <v>840</v>
      </c>
      <c r="AY6" s="10">
        <f t="shared" si="23"/>
        <v>840</v>
      </c>
      <c r="AZ6" s="9">
        <v>1152</v>
      </c>
      <c r="BA6" s="10">
        <f t="shared" si="24"/>
        <v>1152</v>
      </c>
      <c r="BB6" s="9">
        <v>1608</v>
      </c>
      <c r="BC6" s="10">
        <f t="shared" si="25"/>
        <v>1608</v>
      </c>
      <c r="BD6" s="9"/>
      <c r="BE6" s="10">
        <f t="shared" si="26"/>
        <v>0</v>
      </c>
      <c r="BF6" s="11">
        <f t="shared" si="27"/>
        <v>8328</v>
      </c>
      <c r="BG6" s="12">
        <f t="shared" si="28"/>
        <v>8328</v>
      </c>
      <c r="BH6" s="13">
        <v>0</v>
      </c>
      <c r="BI6" s="10">
        <f t="shared" si="29"/>
        <v>0</v>
      </c>
      <c r="BJ6" s="13">
        <v>0</v>
      </c>
      <c r="BK6" s="10">
        <f t="shared" si="30"/>
        <v>0</v>
      </c>
      <c r="BL6" s="13">
        <v>12</v>
      </c>
      <c r="BM6" s="10">
        <f t="shared" si="31"/>
        <v>12</v>
      </c>
      <c r="BN6" s="13">
        <v>0</v>
      </c>
      <c r="BO6" s="10">
        <f t="shared" si="32"/>
        <v>0</v>
      </c>
      <c r="BP6" s="13">
        <v>0</v>
      </c>
      <c r="BQ6" s="10">
        <f t="shared" si="33"/>
        <v>0</v>
      </c>
      <c r="BR6" s="13">
        <v>1152</v>
      </c>
      <c r="BS6" s="10">
        <f t="shared" si="34"/>
        <v>1152</v>
      </c>
      <c r="BT6" s="13">
        <v>0</v>
      </c>
      <c r="BU6" s="10">
        <f t="shared" si="35"/>
        <v>0</v>
      </c>
      <c r="BV6" s="13">
        <v>0</v>
      </c>
      <c r="BW6" s="10">
        <f t="shared" si="36"/>
        <v>0</v>
      </c>
      <c r="BX6" s="13">
        <v>0</v>
      </c>
      <c r="BY6" s="10">
        <f t="shared" si="37"/>
        <v>0</v>
      </c>
      <c r="BZ6" s="13"/>
      <c r="CA6" s="10">
        <f t="shared" si="38"/>
        <v>0</v>
      </c>
      <c r="CB6" s="13"/>
      <c r="CC6" s="10">
        <f t="shared" si="39"/>
        <v>0</v>
      </c>
      <c r="CD6" s="14"/>
      <c r="CE6" s="10">
        <f t="shared" si="40"/>
        <v>0</v>
      </c>
      <c r="CF6" s="11">
        <f t="shared" si="41"/>
        <v>1164</v>
      </c>
      <c r="CG6" s="12">
        <f t="shared" si="42"/>
        <v>1164</v>
      </c>
      <c r="CH6" s="15">
        <v>2040</v>
      </c>
      <c r="CI6" s="10">
        <f t="shared" si="43"/>
        <v>2040</v>
      </c>
      <c r="CJ6" s="15">
        <v>7200</v>
      </c>
      <c r="CK6" s="10">
        <f t="shared" si="44"/>
        <v>7200</v>
      </c>
      <c r="CL6" s="15">
        <v>36</v>
      </c>
      <c r="CM6" s="10">
        <f t="shared" si="45"/>
        <v>36</v>
      </c>
      <c r="CN6" s="15"/>
      <c r="CO6" s="10">
        <f t="shared" si="46"/>
        <v>0</v>
      </c>
      <c r="CP6" s="15"/>
      <c r="CQ6" s="10">
        <f t="shared" si="47"/>
        <v>0</v>
      </c>
      <c r="CR6" s="15"/>
      <c r="CS6" s="10">
        <f t="shared" si="48"/>
        <v>0</v>
      </c>
      <c r="CT6" s="15">
        <v>656309</v>
      </c>
      <c r="CU6" s="10">
        <f t="shared" si="49"/>
        <v>656309</v>
      </c>
      <c r="CV6" s="15">
        <v>783152</v>
      </c>
      <c r="CW6" s="10">
        <f t="shared" si="50"/>
        <v>783152</v>
      </c>
      <c r="CX6" s="15">
        <v>767283</v>
      </c>
      <c r="CY6" s="10">
        <f t="shared" si="51"/>
        <v>767283</v>
      </c>
      <c r="CZ6" s="15">
        <v>794208</v>
      </c>
      <c r="DA6" s="10">
        <f t="shared" si="52"/>
        <v>794208</v>
      </c>
      <c r="DB6" s="15">
        <v>759250</v>
      </c>
      <c r="DC6" s="10">
        <f t="shared" si="53"/>
        <v>759250</v>
      </c>
      <c r="DD6" s="15">
        <v>829714</v>
      </c>
      <c r="DE6" s="10">
        <f t="shared" si="53"/>
        <v>829714</v>
      </c>
      <c r="DF6" s="16">
        <f t="shared" si="0"/>
        <v>4599192</v>
      </c>
      <c r="DG6" s="208">
        <f t="shared" si="54"/>
        <v>4599192</v>
      </c>
    </row>
    <row r="7" spans="1:111">
      <c r="A7" s="225">
        <v>3</v>
      </c>
      <c r="B7" s="226" t="s">
        <v>15</v>
      </c>
      <c r="C7" s="226" t="s">
        <v>14</v>
      </c>
      <c r="D7" s="225">
        <f>RANK(DF7,$DF$4:$DF$141)</f>
        <v>2</v>
      </c>
      <c r="E7" s="225">
        <v>1</v>
      </c>
      <c r="F7" s="225" t="s">
        <v>12</v>
      </c>
      <c r="G7" s="225">
        <v>1650</v>
      </c>
      <c r="H7" s="9">
        <v>473472</v>
      </c>
      <c r="I7" s="10">
        <f t="shared" si="1"/>
        <v>473472</v>
      </c>
      <c r="J7" s="9">
        <v>450804</v>
      </c>
      <c r="K7" s="10">
        <f t="shared" si="2"/>
        <v>450804</v>
      </c>
      <c r="L7" s="9">
        <v>626052</v>
      </c>
      <c r="M7" s="10">
        <f t="shared" si="3"/>
        <v>626052</v>
      </c>
      <c r="N7" s="9">
        <v>511680</v>
      </c>
      <c r="O7" s="10">
        <f t="shared" si="4"/>
        <v>511680</v>
      </c>
      <c r="P7" s="9">
        <v>550272</v>
      </c>
      <c r="Q7" s="10">
        <f t="shared" si="5"/>
        <v>550272</v>
      </c>
      <c r="R7" s="9">
        <v>592536</v>
      </c>
      <c r="S7" s="10">
        <f t="shared" si="6"/>
        <v>592536</v>
      </c>
      <c r="T7" s="9">
        <v>565716</v>
      </c>
      <c r="U7" s="10">
        <f t="shared" si="7"/>
        <v>565716</v>
      </c>
      <c r="V7" s="9">
        <v>765972</v>
      </c>
      <c r="W7" s="10">
        <f t="shared" si="8"/>
        <v>765972</v>
      </c>
      <c r="X7" s="9">
        <v>498072</v>
      </c>
      <c r="Y7" s="10">
        <f t="shared" si="9"/>
        <v>498072</v>
      </c>
      <c r="Z7" s="9">
        <v>500448</v>
      </c>
      <c r="AA7" s="10">
        <f t="shared" si="10"/>
        <v>500448</v>
      </c>
      <c r="AB7" s="9">
        <v>500652</v>
      </c>
      <c r="AC7" s="10">
        <f t="shared" si="11"/>
        <v>500652</v>
      </c>
      <c r="AD7" s="9">
        <v>592176</v>
      </c>
      <c r="AE7" s="10">
        <f t="shared" si="12"/>
        <v>592176</v>
      </c>
      <c r="AF7" s="11">
        <f t="shared" si="13"/>
        <v>6627852</v>
      </c>
      <c r="AG7" s="12">
        <f t="shared" si="14"/>
        <v>6627852</v>
      </c>
      <c r="AH7" s="9">
        <v>703416</v>
      </c>
      <c r="AI7" s="10">
        <f t="shared" si="15"/>
        <v>703416</v>
      </c>
      <c r="AJ7" s="9">
        <v>510672</v>
      </c>
      <c r="AK7" s="10">
        <f t="shared" si="16"/>
        <v>510672</v>
      </c>
      <c r="AL7" s="9">
        <v>684900</v>
      </c>
      <c r="AM7" s="10">
        <f t="shared" si="17"/>
        <v>684900</v>
      </c>
      <c r="AN7" s="9">
        <v>604764</v>
      </c>
      <c r="AO7" s="10">
        <f t="shared" si="18"/>
        <v>604764</v>
      </c>
      <c r="AP7" s="9">
        <v>644832</v>
      </c>
      <c r="AQ7" s="10">
        <f t="shared" si="19"/>
        <v>644832</v>
      </c>
      <c r="AR7" s="9">
        <v>663312</v>
      </c>
      <c r="AS7" s="10">
        <f t="shared" si="20"/>
        <v>663312</v>
      </c>
      <c r="AT7" s="9">
        <v>715536</v>
      </c>
      <c r="AU7" s="10">
        <f t="shared" si="21"/>
        <v>715536</v>
      </c>
      <c r="AV7" s="9">
        <v>771876</v>
      </c>
      <c r="AW7" s="10">
        <f t="shared" si="22"/>
        <v>771876</v>
      </c>
      <c r="AX7" s="9">
        <v>503604</v>
      </c>
      <c r="AY7" s="10">
        <f t="shared" si="23"/>
        <v>503604</v>
      </c>
      <c r="AZ7" s="9">
        <v>612828</v>
      </c>
      <c r="BA7" s="10">
        <f t="shared" si="24"/>
        <v>612828</v>
      </c>
      <c r="BB7" s="9">
        <v>631164</v>
      </c>
      <c r="BC7" s="10">
        <f t="shared" si="25"/>
        <v>631164</v>
      </c>
      <c r="BD7" s="9">
        <v>699420</v>
      </c>
      <c r="BE7" s="10">
        <f t="shared" si="26"/>
        <v>699420</v>
      </c>
      <c r="BF7" s="11">
        <f t="shared" si="27"/>
        <v>7746324</v>
      </c>
      <c r="BG7" s="12">
        <f t="shared" si="28"/>
        <v>7746324</v>
      </c>
      <c r="BH7" s="13">
        <v>763500</v>
      </c>
      <c r="BI7" s="10">
        <f t="shared" si="29"/>
        <v>763500</v>
      </c>
      <c r="BJ7" s="13">
        <v>625956</v>
      </c>
      <c r="BK7" s="10">
        <f t="shared" si="30"/>
        <v>625956</v>
      </c>
      <c r="BL7" s="13">
        <v>730020</v>
      </c>
      <c r="BM7" s="10">
        <f t="shared" si="31"/>
        <v>730020</v>
      </c>
      <c r="BN7" s="13">
        <v>739728</v>
      </c>
      <c r="BO7" s="10">
        <f t="shared" si="32"/>
        <v>739728</v>
      </c>
      <c r="BP7" s="13">
        <v>736560</v>
      </c>
      <c r="BQ7" s="10">
        <f t="shared" si="33"/>
        <v>736560</v>
      </c>
      <c r="BR7" s="13">
        <v>845592</v>
      </c>
      <c r="BS7" s="10">
        <f t="shared" si="34"/>
        <v>845592</v>
      </c>
      <c r="BT7" s="13">
        <v>811500</v>
      </c>
      <c r="BU7" s="10">
        <f t="shared" si="35"/>
        <v>811500</v>
      </c>
      <c r="BV7" s="13">
        <v>706632</v>
      </c>
      <c r="BW7" s="10">
        <f t="shared" si="36"/>
        <v>706632</v>
      </c>
      <c r="BX7" s="13">
        <v>670944</v>
      </c>
      <c r="BY7" s="10">
        <f t="shared" si="37"/>
        <v>670944</v>
      </c>
      <c r="BZ7" s="13">
        <v>814836</v>
      </c>
      <c r="CA7" s="10">
        <f t="shared" si="38"/>
        <v>814836</v>
      </c>
      <c r="CB7" s="13">
        <v>725722</v>
      </c>
      <c r="CC7" s="10">
        <f t="shared" si="39"/>
        <v>725722</v>
      </c>
      <c r="CD7" s="14">
        <v>687720</v>
      </c>
      <c r="CE7" s="10">
        <f t="shared" si="40"/>
        <v>687720</v>
      </c>
      <c r="CF7" s="11">
        <f t="shared" si="41"/>
        <v>8858710</v>
      </c>
      <c r="CG7" s="12">
        <f t="shared" si="42"/>
        <v>8858710</v>
      </c>
      <c r="CH7" s="15">
        <v>693995</v>
      </c>
      <c r="CI7" s="10">
        <f t="shared" si="43"/>
        <v>693995</v>
      </c>
      <c r="CJ7" s="15">
        <v>680976</v>
      </c>
      <c r="CK7" s="10">
        <f t="shared" si="44"/>
        <v>680976</v>
      </c>
      <c r="CL7" s="15">
        <v>1104079</v>
      </c>
      <c r="CM7" s="10">
        <f t="shared" si="45"/>
        <v>1104079</v>
      </c>
      <c r="CN7" s="15">
        <v>557195</v>
      </c>
      <c r="CO7" s="10">
        <f t="shared" si="46"/>
        <v>557195</v>
      </c>
      <c r="CP7" s="15">
        <v>766488</v>
      </c>
      <c r="CQ7" s="10">
        <f t="shared" si="47"/>
        <v>766488</v>
      </c>
      <c r="CR7" s="15">
        <v>790289</v>
      </c>
      <c r="CS7" s="10">
        <f t="shared" si="48"/>
        <v>790289</v>
      </c>
      <c r="CT7" s="15">
        <v>113229</v>
      </c>
      <c r="CU7" s="10">
        <f t="shared" si="49"/>
        <v>113229</v>
      </c>
      <c r="CV7" s="15"/>
      <c r="CW7" s="10">
        <f t="shared" si="50"/>
        <v>0</v>
      </c>
      <c r="CX7" s="15"/>
      <c r="CY7" s="10">
        <f t="shared" si="51"/>
        <v>0</v>
      </c>
      <c r="CZ7" s="15"/>
      <c r="DA7" s="10">
        <f t="shared" si="52"/>
        <v>0</v>
      </c>
      <c r="DB7" s="15"/>
      <c r="DC7" s="10">
        <f t="shared" si="53"/>
        <v>0</v>
      </c>
      <c r="DD7" s="15"/>
      <c r="DE7" s="10">
        <f t="shared" si="53"/>
        <v>0</v>
      </c>
      <c r="DF7" s="16">
        <f t="shared" si="0"/>
        <v>4706251</v>
      </c>
      <c r="DG7" s="208">
        <f t="shared" si="54"/>
        <v>4706251</v>
      </c>
    </row>
    <row r="8" spans="1:111">
      <c r="A8" s="225">
        <v>4</v>
      </c>
      <c r="B8" s="226" t="s">
        <v>16</v>
      </c>
      <c r="C8" s="226" t="s">
        <v>14</v>
      </c>
      <c r="D8" s="225">
        <f>RANK(DF8,$DF$4:$DF$141)</f>
        <v>8</v>
      </c>
      <c r="E8" s="225">
        <v>0.6</v>
      </c>
      <c r="F8" s="225" t="s">
        <v>12</v>
      </c>
      <c r="G8" s="225">
        <v>1130</v>
      </c>
      <c r="H8" s="9">
        <v>52464</v>
      </c>
      <c r="I8" s="10">
        <f t="shared" si="1"/>
        <v>31478.399999999998</v>
      </c>
      <c r="J8" s="9">
        <v>41544</v>
      </c>
      <c r="K8" s="10">
        <f t="shared" si="2"/>
        <v>24926.399999999998</v>
      </c>
      <c r="L8" s="9">
        <v>61080</v>
      </c>
      <c r="M8" s="10">
        <f t="shared" si="3"/>
        <v>36648</v>
      </c>
      <c r="N8" s="9">
        <v>44568</v>
      </c>
      <c r="O8" s="10">
        <f t="shared" si="4"/>
        <v>26740.799999999999</v>
      </c>
      <c r="P8" s="9">
        <v>38844</v>
      </c>
      <c r="Q8" s="10">
        <f t="shared" si="5"/>
        <v>23306.399999999998</v>
      </c>
      <c r="R8" s="9">
        <v>42405</v>
      </c>
      <c r="S8" s="10">
        <f t="shared" si="6"/>
        <v>25443</v>
      </c>
      <c r="T8" s="9">
        <v>38460</v>
      </c>
      <c r="U8" s="10">
        <f t="shared" si="7"/>
        <v>23076</v>
      </c>
      <c r="V8" s="9">
        <v>46740</v>
      </c>
      <c r="W8" s="10">
        <f t="shared" si="8"/>
        <v>28044</v>
      </c>
      <c r="X8" s="9">
        <v>36324</v>
      </c>
      <c r="Y8" s="10">
        <f t="shared" si="9"/>
        <v>21794.399999999998</v>
      </c>
      <c r="Z8" s="9">
        <v>38988</v>
      </c>
      <c r="AA8" s="10">
        <f t="shared" si="10"/>
        <v>23392.799999999999</v>
      </c>
      <c r="AB8" s="9">
        <v>26892</v>
      </c>
      <c r="AC8" s="10">
        <f t="shared" si="11"/>
        <v>16135.199999999999</v>
      </c>
      <c r="AD8" s="9">
        <v>30576</v>
      </c>
      <c r="AE8" s="10">
        <f t="shared" si="12"/>
        <v>18345.599999999999</v>
      </c>
      <c r="AF8" s="11">
        <f t="shared" si="13"/>
        <v>498885</v>
      </c>
      <c r="AG8" s="12">
        <f t="shared" si="14"/>
        <v>299331</v>
      </c>
      <c r="AH8" s="9">
        <v>34128</v>
      </c>
      <c r="AI8" s="10">
        <f t="shared" si="15"/>
        <v>20476.8</v>
      </c>
      <c r="AJ8" s="9">
        <v>26004</v>
      </c>
      <c r="AK8" s="10">
        <f t="shared" si="16"/>
        <v>15602.4</v>
      </c>
      <c r="AL8" s="9">
        <v>34092</v>
      </c>
      <c r="AM8" s="10">
        <f t="shared" si="17"/>
        <v>20455.2</v>
      </c>
      <c r="AN8" s="9">
        <v>20184</v>
      </c>
      <c r="AO8" s="10">
        <f t="shared" si="18"/>
        <v>12110.4</v>
      </c>
      <c r="AP8" s="9">
        <v>42588</v>
      </c>
      <c r="AQ8" s="10">
        <f t="shared" si="19"/>
        <v>25552.799999999999</v>
      </c>
      <c r="AR8" s="9">
        <v>42192</v>
      </c>
      <c r="AS8" s="10">
        <f t="shared" si="20"/>
        <v>25315.200000000001</v>
      </c>
      <c r="AT8" s="9">
        <v>58176</v>
      </c>
      <c r="AU8" s="10">
        <f t="shared" si="21"/>
        <v>34905.599999999999</v>
      </c>
      <c r="AV8" s="9">
        <v>50544</v>
      </c>
      <c r="AW8" s="10">
        <f t="shared" si="22"/>
        <v>30326.399999999998</v>
      </c>
      <c r="AX8" s="9">
        <v>38592</v>
      </c>
      <c r="AY8" s="10">
        <f t="shared" si="23"/>
        <v>23155.200000000001</v>
      </c>
      <c r="AZ8" s="9">
        <v>44376</v>
      </c>
      <c r="BA8" s="10">
        <f t="shared" si="24"/>
        <v>26625.599999999999</v>
      </c>
      <c r="BB8" s="9">
        <v>41700</v>
      </c>
      <c r="BC8" s="10">
        <f t="shared" si="25"/>
        <v>25020</v>
      </c>
      <c r="BD8" s="9">
        <v>48672</v>
      </c>
      <c r="BE8" s="10">
        <f t="shared" si="26"/>
        <v>29203.200000000001</v>
      </c>
      <c r="BF8" s="11">
        <f t="shared" si="27"/>
        <v>481248</v>
      </c>
      <c r="BG8" s="12">
        <f t="shared" si="28"/>
        <v>288748.79999999999</v>
      </c>
      <c r="BH8" s="13">
        <v>49908</v>
      </c>
      <c r="BI8" s="10">
        <f t="shared" si="29"/>
        <v>29944.799999999999</v>
      </c>
      <c r="BJ8" s="13">
        <v>45801</v>
      </c>
      <c r="BK8" s="10">
        <f t="shared" si="30"/>
        <v>27480.6</v>
      </c>
      <c r="BL8" s="13">
        <v>47844</v>
      </c>
      <c r="BM8" s="10">
        <f t="shared" si="31"/>
        <v>28706.399999999998</v>
      </c>
      <c r="BN8" s="13">
        <v>50160</v>
      </c>
      <c r="BO8" s="10">
        <f t="shared" si="32"/>
        <v>30096</v>
      </c>
      <c r="BP8" s="13">
        <v>47652</v>
      </c>
      <c r="BQ8" s="10">
        <f t="shared" si="33"/>
        <v>28591.200000000001</v>
      </c>
      <c r="BR8" s="13">
        <v>60372</v>
      </c>
      <c r="BS8" s="10">
        <f t="shared" si="34"/>
        <v>36223.199999999997</v>
      </c>
      <c r="BT8" s="13">
        <v>54036</v>
      </c>
      <c r="BU8" s="10">
        <f t="shared" si="35"/>
        <v>32421.599999999999</v>
      </c>
      <c r="BV8" s="13">
        <v>30299</v>
      </c>
      <c r="BW8" s="10">
        <f t="shared" si="36"/>
        <v>18179.399999999998</v>
      </c>
      <c r="BX8" s="13">
        <v>42360</v>
      </c>
      <c r="BY8" s="10">
        <f t="shared" si="37"/>
        <v>25416</v>
      </c>
      <c r="BZ8" s="13">
        <v>47242</v>
      </c>
      <c r="CA8" s="10">
        <f t="shared" si="38"/>
        <v>28345.200000000001</v>
      </c>
      <c r="CB8" s="13">
        <v>51708</v>
      </c>
      <c r="CC8" s="10">
        <f t="shared" si="39"/>
        <v>31024.799999999999</v>
      </c>
      <c r="CD8" s="14">
        <v>42680</v>
      </c>
      <c r="CE8" s="10">
        <f t="shared" si="40"/>
        <v>25608</v>
      </c>
      <c r="CF8" s="11">
        <f t="shared" si="41"/>
        <v>570062</v>
      </c>
      <c r="CG8" s="12">
        <f t="shared" si="42"/>
        <v>342037.2</v>
      </c>
      <c r="CH8" s="15">
        <v>44616</v>
      </c>
      <c r="CI8" s="10">
        <f t="shared" si="43"/>
        <v>26769.599999999999</v>
      </c>
      <c r="CJ8" s="15">
        <v>44988</v>
      </c>
      <c r="CK8" s="10">
        <f t="shared" si="44"/>
        <v>26992.799999999999</v>
      </c>
      <c r="CL8" s="15">
        <v>72693</v>
      </c>
      <c r="CM8" s="10">
        <f t="shared" si="45"/>
        <v>43615.799999999996</v>
      </c>
      <c r="CN8" s="15">
        <v>39864</v>
      </c>
      <c r="CO8" s="10">
        <f t="shared" si="46"/>
        <v>23918.399999999998</v>
      </c>
      <c r="CP8" s="15">
        <v>47964</v>
      </c>
      <c r="CQ8" s="10">
        <f t="shared" si="47"/>
        <v>28778.399999999998</v>
      </c>
      <c r="CR8" s="15">
        <v>57216</v>
      </c>
      <c r="CS8" s="10">
        <f t="shared" si="48"/>
        <v>34329.599999999999</v>
      </c>
      <c r="CT8" s="15">
        <v>54312</v>
      </c>
      <c r="CU8" s="10">
        <f t="shared" si="49"/>
        <v>32587.199999999997</v>
      </c>
      <c r="CV8" s="15">
        <v>53556</v>
      </c>
      <c r="CW8" s="10">
        <f t="shared" si="50"/>
        <v>32133.599999999999</v>
      </c>
      <c r="CX8" s="15">
        <v>57468</v>
      </c>
      <c r="CY8" s="10">
        <f t="shared" si="51"/>
        <v>34480.799999999996</v>
      </c>
      <c r="CZ8" s="15">
        <v>56448</v>
      </c>
      <c r="DA8" s="10">
        <f t="shared" si="52"/>
        <v>33868.799999999996</v>
      </c>
      <c r="DB8" s="15">
        <v>54108</v>
      </c>
      <c r="DC8" s="10">
        <f t="shared" si="53"/>
        <v>32464.799999999999</v>
      </c>
      <c r="DD8" s="15">
        <v>52391</v>
      </c>
      <c r="DE8" s="10">
        <f t="shared" si="53"/>
        <v>31434.6</v>
      </c>
      <c r="DF8" s="16">
        <f t="shared" si="0"/>
        <v>635624</v>
      </c>
      <c r="DG8" s="208">
        <f t="shared" si="54"/>
        <v>381374.39999999997</v>
      </c>
    </row>
    <row r="9" spans="1:111">
      <c r="A9" s="225">
        <v>5</v>
      </c>
      <c r="B9" s="226" t="s">
        <v>17</v>
      </c>
      <c r="C9" s="226" t="s">
        <v>14</v>
      </c>
      <c r="D9" s="225">
        <f>RANK(DF9,$DF$4:$DF$141)</f>
        <v>4</v>
      </c>
      <c r="E9" s="225">
        <v>0.35</v>
      </c>
      <c r="F9" s="225" t="s">
        <v>18</v>
      </c>
      <c r="G9" s="225">
        <v>760</v>
      </c>
      <c r="H9" s="9">
        <v>150760</v>
      </c>
      <c r="I9" s="10">
        <f t="shared" si="1"/>
        <v>52766</v>
      </c>
      <c r="J9" s="9">
        <v>308440</v>
      </c>
      <c r="K9" s="10">
        <f t="shared" si="2"/>
        <v>107954</v>
      </c>
      <c r="L9" s="9">
        <v>487360</v>
      </c>
      <c r="M9" s="10">
        <f t="shared" si="3"/>
        <v>170576</v>
      </c>
      <c r="N9" s="9">
        <v>316840</v>
      </c>
      <c r="O9" s="10">
        <f t="shared" si="4"/>
        <v>110894</v>
      </c>
      <c r="P9" s="9">
        <v>334160</v>
      </c>
      <c r="Q9" s="10">
        <f t="shared" si="5"/>
        <v>116955.99999999999</v>
      </c>
      <c r="R9" s="9">
        <v>376440</v>
      </c>
      <c r="S9" s="10">
        <f t="shared" si="6"/>
        <v>131754</v>
      </c>
      <c r="T9" s="9">
        <v>367720</v>
      </c>
      <c r="U9" s="10">
        <f t="shared" si="7"/>
        <v>128701.99999999999</v>
      </c>
      <c r="V9" s="9">
        <v>491400</v>
      </c>
      <c r="W9" s="10">
        <f t="shared" si="8"/>
        <v>171990</v>
      </c>
      <c r="X9" s="9">
        <v>339120</v>
      </c>
      <c r="Y9" s="10">
        <f t="shared" si="9"/>
        <v>118691.99999999999</v>
      </c>
      <c r="Z9" s="9">
        <v>353920</v>
      </c>
      <c r="AA9" s="10">
        <f t="shared" si="10"/>
        <v>123871.99999999999</v>
      </c>
      <c r="AB9" s="9">
        <v>363320</v>
      </c>
      <c r="AC9" s="10">
        <f t="shared" si="11"/>
        <v>127161.99999999999</v>
      </c>
      <c r="AD9" s="9">
        <v>384200</v>
      </c>
      <c r="AE9" s="10">
        <f t="shared" si="12"/>
        <v>134470</v>
      </c>
      <c r="AF9" s="11">
        <f t="shared" si="13"/>
        <v>4273680</v>
      </c>
      <c r="AG9" s="12">
        <f t="shared" si="14"/>
        <v>1495788</v>
      </c>
      <c r="AH9" s="9">
        <v>451920</v>
      </c>
      <c r="AI9" s="10">
        <f t="shared" si="15"/>
        <v>158172</v>
      </c>
      <c r="AJ9" s="9">
        <v>331680</v>
      </c>
      <c r="AK9" s="10">
        <f t="shared" si="16"/>
        <v>116087.99999999999</v>
      </c>
      <c r="AL9" s="9">
        <v>444400</v>
      </c>
      <c r="AM9" s="10">
        <f t="shared" si="17"/>
        <v>155540</v>
      </c>
      <c r="AN9" s="9">
        <v>342440</v>
      </c>
      <c r="AO9" s="10">
        <f t="shared" si="18"/>
        <v>119853.99999999999</v>
      </c>
      <c r="AP9" s="9">
        <v>272560</v>
      </c>
      <c r="AQ9" s="10">
        <f t="shared" si="19"/>
        <v>95396</v>
      </c>
      <c r="AR9" s="9">
        <v>179680</v>
      </c>
      <c r="AS9" s="10">
        <f t="shared" si="20"/>
        <v>62887.999999999993</v>
      </c>
      <c r="AT9" s="9">
        <v>310960</v>
      </c>
      <c r="AU9" s="10">
        <f t="shared" si="21"/>
        <v>108836</v>
      </c>
      <c r="AV9" s="9">
        <v>373600</v>
      </c>
      <c r="AW9" s="10">
        <f t="shared" si="22"/>
        <v>130759.99999999999</v>
      </c>
      <c r="AX9" s="9">
        <v>274800</v>
      </c>
      <c r="AY9" s="10">
        <f t="shared" si="23"/>
        <v>96180</v>
      </c>
      <c r="AZ9" s="9">
        <v>270280</v>
      </c>
      <c r="BA9" s="10">
        <f t="shared" si="24"/>
        <v>94598</v>
      </c>
      <c r="BB9" s="9">
        <v>262400</v>
      </c>
      <c r="BC9" s="10">
        <f t="shared" si="25"/>
        <v>91840</v>
      </c>
      <c r="BD9" s="9">
        <v>282960</v>
      </c>
      <c r="BE9" s="10">
        <f t="shared" si="26"/>
        <v>99036</v>
      </c>
      <c r="BF9" s="11">
        <f t="shared" si="27"/>
        <v>3797680</v>
      </c>
      <c r="BG9" s="12">
        <f t="shared" si="28"/>
        <v>1329188</v>
      </c>
      <c r="BH9" s="13">
        <v>289690</v>
      </c>
      <c r="BI9" s="10">
        <f t="shared" si="29"/>
        <v>101391.5</v>
      </c>
      <c r="BJ9" s="13">
        <v>258000</v>
      </c>
      <c r="BK9" s="10">
        <f t="shared" si="30"/>
        <v>90300</v>
      </c>
      <c r="BL9" s="13">
        <v>277000</v>
      </c>
      <c r="BM9" s="10">
        <f t="shared" si="31"/>
        <v>96950</v>
      </c>
      <c r="BN9" s="13">
        <v>256600</v>
      </c>
      <c r="BO9" s="10">
        <f t="shared" si="32"/>
        <v>89810</v>
      </c>
      <c r="BP9" s="13">
        <v>282700</v>
      </c>
      <c r="BQ9" s="10">
        <f t="shared" si="33"/>
        <v>98945</v>
      </c>
      <c r="BR9" s="13">
        <v>285700</v>
      </c>
      <c r="BS9" s="10">
        <f t="shared" si="34"/>
        <v>99995</v>
      </c>
      <c r="BT9" s="13">
        <v>296440</v>
      </c>
      <c r="BU9" s="10">
        <f t="shared" si="35"/>
        <v>103754</v>
      </c>
      <c r="BV9" s="13">
        <v>301520</v>
      </c>
      <c r="BW9" s="10">
        <f t="shared" si="36"/>
        <v>105532</v>
      </c>
      <c r="BX9" s="13">
        <v>274960</v>
      </c>
      <c r="BY9" s="10">
        <f t="shared" si="37"/>
        <v>96236</v>
      </c>
      <c r="BZ9" s="13">
        <v>335760</v>
      </c>
      <c r="CA9" s="10">
        <f t="shared" si="38"/>
        <v>117515.99999999999</v>
      </c>
      <c r="CB9" s="13">
        <v>316080</v>
      </c>
      <c r="CC9" s="10">
        <f t="shared" si="39"/>
        <v>110628</v>
      </c>
      <c r="CD9" s="14">
        <v>293036</v>
      </c>
      <c r="CE9" s="10">
        <f t="shared" si="40"/>
        <v>102562.59999999999</v>
      </c>
      <c r="CF9" s="11">
        <f t="shared" si="41"/>
        <v>3467486</v>
      </c>
      <c r="CG9" s="12">
        <f t="shared" si="42"/>
        <v>1213620.0999999999</v>
      </c>
      <c r="CH9" s="15">
        <v>252553</v>
      </c>
      <c r="CI9" s="10">
        <f t="shared" si="43"/>
        <v>88393.549999999988</v>
      </c>
      <c r="CJ9" s="15">
        <v>258745</v>
      </c>
      <c r="CK9" s="10">
        <f t="shared" si="44"/>
        <v>90560.75</v>
      </c>
      <c r="CL9" s="15">
        <v>397880</v>
      </c>
      <c r="CM9" s="10">
        <f t="shared" si="45"/>
        <v>139258</v>
      </c>
      <c r="CN9" s="15">
        <v>205800</v>
      </c>
      <c r="CO9" s="10">
        <f t="shared" si="46"/>
        <v>72030</v>
      </c>
      <c r="CP9" s="15">
        <v>253440</v>
      </c>
      <c r="CQ9" s="10">
        <f t="shared" si="47"/>
        <v>88704</v>
      </c>
      <c r="CR9" s="15">
        <v>268480</v>
      </c>
      <c r="CS9" s="10">
        <f t="shared" si="48"/>
        <v>93968</v>
      </c>
      <c r="CT9" s="15">
        <v>283028</v>
      </c>
      <c r="CU9" s="10">
        <f t="shared" si="49"/>
        <v>99059.799999999988</v>
      </c>
      <c r="CV9" s="15">
        <v>290121</v>
      </c>
      <c r="CW9" s="10">
        <f t="shared" si="50"/>
        <v>101542.34999999999</v>
      </c>
      <c r="CX9" s="15">
        <v>288390</v>
      </c>
      <c r="CY9" s="10">
        <f t="shared" si="51"/>
        <v>100936.5</v>
      </c>
      <c r="CZ9" s="15">
        <v>297360</v>
      </c>
      <c r="DA9" s="10">
        <f t="shared" si="52"/>
        <v>104076</v>
      </c>
      <c r="DB9" s="15">
        <v>278720</v>
      </c>
      <c r="DC9" s="10">
        <f t="shared" si="53"/>
        <v>97552</v>
      </c>
      <c r="DD9" s="15">
        <v>307120</v>
      </c>
      <c r="DE9" s="10">
        <f t="shared" si="53"/>
        <v>107492</v>
      </c>
      <c r="DF9" s="16">
        <f t="shared" si="0"/>
        <v>3381637</v>
      </c>
      <c r="DG9" s="208">
        <f t="shared" si="54"/>
        <v>1183572.95</v>
      </c>
    </row>
    <row r="10" spans="1:111">
      <c r="A10" s="225">
        <v>6</v>
      </c>
      <c r="B10" s="226" t="s">
        <v>19</v>
      </c>
      <c r="C10" s="226" t="s">
        <v>11</v>
      </c>
      <c r="D10" s="225">
        <f>RANK(DF10,$DF$4:$DF$141)</f>
        <v>31</v>
      </c>
      <c r="E10" s="225">
        <v>0.7</v>
      </c>
      <c r="F10" s="225" t="s">
        <v>20</v>
      </c>
      <c r="G10" s="225">
        <v>1850</v>
      </c>
      <c r="H10" s="9"/>
      <c r="I10" s="10">
        <f t="shared" si="1"/>
        <v>0</v>
      </c>
      <c r="J10" s="9"/>
      <c r="K10" s="10">
        <f t="shared" si="2"/>
        <v>0</v>
      </c>
      <c r="L10" s="9"/>
      <c r="M10" s="10">
        <f t="shared" si="3"/>
        <v>0</v>
      </c>
      <c r="N10" s="9"/>
      <c r="O10" s="10">
        <f t="shared" si="4"/>
        <v>0</v>
      </c>
      <c r="P10" s="9"/>
      <c r="Q10" s="10">
        <f t="shared" si="5"/>
        <v>0</v>
      </c>
      <c r="R10" s="9"/>
      <c r="S10" s="10">
        <f t="shared" si="6"/>
        <v>0</v>
      </c>
      <c r="T10" s="9"/>
      <c r="U10" s="10">
        <f t="shared" si="7"/>
        <v>0</v>
      </c>
      <c r="V10" s="9"/>
      <c r="W10" s="10">
        <f t="shared" si="8"/>
        <v>0</v>
      </c>
      <c r="X10" s="9"/>
      <c r="Y10" s="10">
        <f t="shared" si="9"/>
        <v>0</v>
      </c>
      <c r="Z10" s="9"/>
      <c r="AA10" s="10">
        <f t="shared" si="10"/>
        <v>0</v>
      </c>
      <c r="AB10" s="9"/>
      <c r="AC10" s="10">
        <f t="shared" si="11"/>
        <v>0</v>
      </c>
      <c r="AD10" s="9"/>
      <c r="AE10" s="10">
        <f t="shared" si="12"/>
        <v>0</v>
      </c>
      <c r="AF10" s="11">
        <f t="shared" si="13"/>
        <v>0</v>
      </c>
      <c r="AG10" s="12">
        <f t="shared" si="14"/>
        <v>0</v>
      </c>
      <c r="AH10" s="9"/>
      <c r="AI10" s="10">
        <f t="shared" si="15"/>
        <v>0</v>
      </c>
      <c r="AJ10" s="9">
        <v>24</v>
      </c>
      <c r="AK10" s="10">
        <f t="shared" si="16"/>
        <v>16.799999999999997</v>
      </c>
      <c r="AL10" s="9"/>
      <c r="AM10" s="10">
        <f t="shared" si="17"/>
        <v>0</v>
      </c>
      <c r="AN10" s="9"/>
      <c r="AO10" s="10">
        <f t="shared" si="18"/>
        <v>0</v>
      </c>
      <c r="AP10" s="9"/>
      <c r="AQ10" s="10">
        <f t="shared" si="19"/>
        <v>0</v>
      </c>
      <c r="AR10" s="9"/>
      <c r="AS10" s="10">
        <f t="shared" si="20"/>
        <v>0</v>
      </c>
      <c r="AT10" s="9"/>
      <c r="AU10" s="10">
        <f t="shared" si="21"/>
        <v>0</v>
      </c>
      <c r="AV10" s="9"/>
      <c r="AW10" s="10">
        <f t="shared" si="22"/>
        <v>0</v>
      </c>
      <c r="AX10" s="9"/>
      <c r="AY10" s="10">
        <f t="shared" si="23"/>
        <v>0</v>
      </c>
      <c r="AZ10" s="9"/>
      <c r="BA10" s="10">
        <f t="shared" si="24"/>
        <v>0</v>
      </c>
      <c r="BB10" s="9"/>
      <c r="BC10" s="10">
        <f t="shared" si="25"/>
        <v>0</v>
      </c>
      <c r="BD10" s="9"/>
      <c r="BE10" s="10">
        <f t="shared" si="26"/>
        <v>0</v>
      </c>
      <c r="BF10" s="11">
        <f t="shared" si="27"/>
        <v>24</v>
      </c>
      <c r="BG10" s="12">
        <f t="shared" si="28"/>
        <v>16.799999999999997</v>
      </c>
      <c r="BH10" s="15"/>
      <c r="BI10" s="10">
        <f t="shared" si="29"/>
        <v>0</v>
      </c>
      <c r="BJ10" s="15"/>
      <c r="BK10" s="10">
        <f t="shared" si="30"/>
        <v>0</v>
      </c>
      <c r="BL10" s="15"/>
      <c r="BM10" s="10">
        <f t="shared" si="31"/>
        <v>0</v>
      </c>
      <c r="BN10" s="15"/>
      <c r="BO10" s="10">
        <f t="shared" si="32"/>
        <v>0</v>
      </c>
      <c r="BP10" s="15"/>
      <c r="BQ10" s="10">
        <f t="shared" si="33"/>
        <v>0</v>
      </c>
      <c r="BR10" s="15"/>
      <c r="BS10" s="10">
        <f t="shared" si="34"/>
        <v>0</v>
      </c>
      <c r="BT10" s="15"/>
      <c r="BU10" s="10">
        <f t="shared" si="35"/>
        <v>0</v>
      </c>
      <c r="BV10" s="15"/>
      <c r="BW10" s="10">
        <f t="shared" si="36"/>
        <v>0</v>
      </c>
      <c r="BX10" s="15"/>
      <c r="BY10" s="10">
        <f t="shared" si="37"/>
        <v>0</v>
      </c>
      <c r="BZ10" s="15"/>
      <c r="CA10" s="10">
        <f t="shared" si="38"/>
        <v>0</v>
      </c>
      <c r="CB10" s="15"/>
      <c r="CC10" s="10">
        <f t="shared" si="39"/>
        <v>0</v>
      </c>
      <c r="CD10" s="15"/>
      <c r="CE10" s="10">
        <f t="shared" si="40"/>
        <v>0</v>
      </c>
      <c r="CF10" s="11">
        <f t="shared" si="41"/>
        <v>0</v>
      </c>
      <c r="CG10" s="12">
        <f t="shared" si="42"/>
        <v>0</v>
      </c>
      <c r="CH10" s="15"/>
      <c r="CI10" s="10">
        <f t="shared" si="43"/>
        <v>0</v>
      </c>
      <c r="CJ10" s="15"/>
      <c r="CK10" s="10">
        <f t="shared" si="44"/>
        <v>0</v>
      </c>
      <c r="CL10" s="15"/>
      <c r="CM10" s="10">
        <f t="shared" si="45"/>
        <v>0</v>
      </c>
      <c r="CN10" s="15"/>
      <c r="CO10" s="10">
        <f t="shared" si="46"/>
        <v>0</v>
      </c>
      <c r="CP10" s="15"/>
      <c r="CQ10" s="10">
        <f t="shared" si="47"/>
        <v>0</v>
      </c>
      <c r="CR10" s="15"/>
      <c r="CS10" s="10">
        <f t="shared" si="48"/>
        <v>0</v>
      </c>
      <c r="CT10" s="15"/>
      <c r="CU10" s="10">
        <f t="shared" si="49"/>
        <v>0</v>
      </c>
      <c r="CV10" s="15"/>
      <c r="CW10" s="10">
        <f t="shared" si="50"/>
        <v>0</v>
      </c>
      <c r="CX10" s="15"/>
      <c r="CY10" s="10">
        <f t="shared" si="51"/>
        <v>0</v>
      </c>
      <c r="CZ10" s="15"/>
      <c r="DA10" s="10">
        <f t="shared" si="52"/>
        <v>0</v>
      </c>
      <c r="DB10" s="15"/>
      <c r="DC10" s="10">
        <f t="shared" si="53"/>
        <v>0</v>
      </c>
      <c r="DD10" s="15"/>
      <c r="DE10" s="10">
        <f t="shared" si="53"/>
        <v>0</v>
      </c>
      <c r="DF10" s="16">
        <f t="shared" si="0"/>
        <v>0</v>
      </c>
      <c r="DG10" s="208">
        <f t="shared" si="54"/>
        <v>0</v>
      </c>
    </row>
    <row r="11" spans="1:111">
      <c r="A11" s="225">
        <v>7</v>
      </c>
      <c r="B11" s="226" t="s">
        <v>21</v>
      </c>
      <c r="C11" s="226" t="s">
        <v>11</v>
      </c>
      <c r="D11" s="225">
        <f>RANK(AH11,$AH$4:$AH$141)</f>
        <v>7</v>
      </c>
      <c r="E11" s="225">
        <v>0.64</v>
      </c>
      <c r="F11" s="225" t="s">
        <v>20</v>
      </c>
      <c r="G11" s="225">
        <v>1400</v>
      </c>
      <c r="H11" s="9">
        <v>45600</v>
      </c>
      <c r="I11" s="10">
        <f t="shared" si="1"/>
        <v>29184</v>
      </c>
      <c r="J11" s="9">
        <f>43632+2400</f>
        <v>46032</v>
      </c>
      <c r="K11" s="10">
        <f t="shared" si="2"/>
        <v>29460.48</v>
      </c>
      <c r="L11" s="9">
        <v>91560</v>
      </c>
      <c r="M11" s="10">
        <f t="shared" si="3"/>
        <v>58598.400000000001</v>
      </c>
      <c r="N11" s="9">
        <v>52200</v>
      </c>
      <c r="O11" s="10">
        <f t="shared" si="4"/>
        <v>33408</v>
      </c>
      <c r="P11" s="9">
        <v>49440</v>
      </c>
      <c r="Q11" s="10">
        <f t="shared" si="5"/>
        <v>31641.600000000002</v>
      </c>
      <c r="R11" s="9">
        <v>50648</v>
      </c>
      <c r="S11" s="10">
        <f t="shared" si="6"/>
        <v>32414.720000000001</v>
      </c>
      <c r="T11" s="9">
        <v>45384</v>
      </c>
      <c r="U11" s="10">
        <f t="shared" si="7"/>
        <v>29045.760000000002</v>
      </c>
      <c r="V11" s="9">
        <v>43704</v>
      </c>
      <c r="W11" s="10">
        <f t="shared" si="8"/>
        <v>27970.560000000001</v>
      </c>
      <c r="X11" s="9">
        <v>31920</v>
      </c>
      <c r="Y11" s="10">
        <f t="shared" si="9"/>
        <v>20428.8</v>
      </c>
      <c r="Z11" s="9">
        <v>39912</v>
      </c>
      <c r="AA11" s="10">
        <f t="shared" si="10"/>
        <v>25543.68</v>
      </c>
      <c r="AB11" s="9">
        <v>28512</v>
      </c>
      <c r="AC11" s="10">
        <f t="shared" si="11"/>
        <v>18247.68</v>
      </c>
      <c r="AD11" s="9">
        <v>53808</v>
      </c>
      <c r="AE11" s="10">
        <f t="shared" si="12"/>
        <v>34437.120000000003</v>
      </c>
      <c r="AF11" s="11">
        <f t="shared" si="13"/>
        <v>578720</v>
      </c>
      <c r="AG11" s="12">
        <f t="shared" si="14"/>
        <v>370380.79999999999</v>
      </c>
      <c r="AH11" s="9">
        <v>51288</v>
      </c>
      <c r="AI11" s="10">
        <f t="shared" si="15"/>
        <v>32824.32</v>
      </c>
      <c r="AJ11" s="9">
        <v>27816</v>
      </c>
      <c r="AK11" s="10">
        <f t="shared" si="16"/>
        <v>17802.240000000002</v>
      </c>
      <c r="AL11" s="9">
        <v>53160</v>
      </c>
      <c r="AM11" s="10">
        <f t="shared" si="17"/>
        <v>34022.400000000001</v>
      </c>
      <c r="AN11" s="9">
        <v>38184</v>
      </c>
      <c r="AO11" s="10">
        <f t="shared" si="18"/>
        <v>24437.760000000002</v>
      </c>
      <c r="AP11" s="9">
        <v>46512</v>
      </c>
      <c r="AQ11" s="10">
        <f t="shared" si="19"/>
        <v>29767.68</v>
      </c>
      <c r="AR11" s="9">
        <v>35304</v>
      </c>
      <c r="AS11" s="10">
        <f t="shared" si="20"/>
        <v>22594.560000000001</v>
      </c>
      <c r="AT11" s="9">
        <v>29616</v>
      </c>
      <c r="AU11" s="10">
        <f t="shared" si="21"/>
        <v>18954.240000000002</v>
      </c>
      <c r="AV11" s="9">
        <v>29712</v>
      </c>
      <c r="AW11" s="10">
        <f t="shared" si="22"/>
        <v>19015.68</v>
      </c>
      <c r="AX11" s="9">
        <v>22632</v>
      </c>
      <c r="AY11" s="10">
        <f t="shared" si="23"/>
        <v>14484.48</v>
      </c>
      <c r="AZ11" s="9">
        <v>31008</v>
      </c>
      <c r="BA11" s="10">
        <f t="shared" si="24"/>
        <v>19845.12</v>
      </c>
      <c r="BB11" s="9">
        <v>30024</v>
      </c>
      <c r="BC11" s="10">
        <f t="shared" si="25"/>
        <v>19215.36</v>
      </c>
      <c r="BD11" s="9">
        <v>30120</v>
      </c>
      <c r="BE11" s="10">
        <f t="shared" si="26"/>
        <v>19276.8</v>
      </c>
      <c r="BF11" s="11">
        <f t="shared" si="27"/>
        <v>425376</v>
      </c>
      <c r="BG11" s="12">
        <f t="shared" si="28"/>
        <v>272240.64000000001</v>
      </c>
      <c r="BH11" s="13">
        <v>40752</v>
      </c>
      <c r="BI11" s="10">
        <f t="shared" si="29"/>
        <v>26081.279999999999</v>
      </c>
      <c r="BJ11" s="13">
        <v>24000</v>
      </c>
      <c r="BK11" s="10">
        <f t="shared" si="30"/>
        <v>15360</v>
      </c>
      <c r="BL11" s="13">
        <v>29232</v>
      </c>
      <c r="BM11" s="10">
        <f t="shared" si="31"/>
        <v>18708.48</v>
      </c>
      <c r="BN11" s="13">
        <v>34080</v>
      </c>
      <c r="BO11" s="10">
        <f t="shared" si="32"/>
        <v>21811.200000000001</v>
      </c>
      <c r="BP11" s="13">
        <v>31704</v>
      </c>
      <c r="BQ11" s="10">
        <f t="shared" si="33"/>
        <v>20290.560000000001</v>
      </c>
      <c r="BR11" s="13">
        <v>24672</v>
      </c>
      <c r="BS11" s="10">
        <f t="shared" si="34"/>
        <v>15790.08</v>
      </c>
      <c r="BT11" s="13">
        <v>26640</v>
      </c>
      <c r="BU11" s="10">
        <f t="shared" si="35"/>
        <v>17049.599999999999</v>
      </c>
      <c r="BV11" s="13">
        <v>26928</v>
      </c>
      <c r="BW11" s="10">
        <f t="shared" si="36"/>
        <v>17233.920000000002</v>
      </c>
      <c r="BX11" s="13">
        <v>12312</v>
      </c>
      <c r="BY11" s="10">
        <f t="shared" si="37"/>
        <v>7879.68</v>
      </c>
      <c r="BZ11" s="13">
        <v>16080</v>
      </c>
      <c r="CA11" s="10">
        <f t="shared" si="38"/>
        <v>10291.200000000001</v>
      </c>
      <c r="CB11" s="13">
        <v>15720</v>
      </c>
      <c r="CC11" s="10">
        <f t="shared" si="39"/>
        <v>10060.800000000001</v>
      </c>
      <c r="CD11" s="14">
        <v>26880</v>
      </c>
      <c r="CE11" s="10">
        <f t="shared" si="40"/>
        <v>17203.2</v>
      </c>
      <c r="CF11" s="11">
        <f t="shared" si="41"/>
        <v>309000</v>
      </c>
      <c r="CG11" s="12">
        <f t="shared" si="42"/>
        <v>197760</v>
      </c>
      <c r="CH11" s="15">
        <v>28320</v>
      </c>
      <c r="CI11" s="10">
        <f t="shared" si="43"/>
        <v>18124.8</v>
      </c>
      <c r="CJ11" s="15">
        <v>18720</v>
      </c>
      <c r="CK11" s="10">
        <f t="shared" si="44"/>
        <v>11980.800000000001</v>
      </c>
      <c r="CL11" s="15">
        <v>33984</v>
      </c>
      <c r="CM11" s="10">
        <f t="shared" si="45"/>
        <v>21749.760000000002</v>
      </c>
      <c r="CN11" s="15">
        <v>37440</v>
      </c>
      <c r="CO11" s="10">
        <f t="shared" si="46"/>
        <v>23961.600000000002</v>
      </c>
      <c r="CP11" s="15">
        <v>20520</v>
      </c>
      <c r="CQ11" s="10">
        <f t="shared" si="47"/>
        <v>13132.800000000001</v>
      </c>
      <c r="CR11" s="15">
        <v>27120</v>
      </c>
      <c r="CS11" s="10">
        <f t="shared" si="48"/>
        <v>17356.8</v>
      </c>
      <c r="CT11" s="15">
        <v>19800</v>
      </c>
      <c r="CU11" s="10">
        <f t="shared" si="49"/>
        <v>12672</v>
      </c>
      <c r="CV11" s="15">
        <v>17160</v>
      </c>
      <c r="CW11" s="10">
        <f t="shared" si="50"/>
        <v>10982.4</v>
      </c>
      <c r="CX11" s="15">
        <v>17520</v>
      </c>
      <c r="CY11" s="10">
        <f t="shared" si="51"/>
        <v>11212.800000000001</v>
      </c>
      <c r="CZ11" s="15">
        <v>20040</v>
      </c>
      <c r="DA11" s="10">
        <f t="shared" si="52"/>
        <v>12825.6</v>
      </c>
      <c r="DB11" s="15">
        <v>31800</v>
      </c>
      <c r="DC11" s="10">
        <f t="shared" si="53"/>
        <v>20352</v>
      </c>
      <c r="DD11" s="15">
        <v>17520</v>
      </c>
      <c r="DE11" s="10">
        <f t="shared" si="53"/>
        <v>11212.800000000001</v>
      </c>
      <c r="DF11" s="16">
        <f t="shared" si="0"/>
        <v>289944</v>
      </c>
      <c r="DG11" s="208">
        <f t="shared" si="54"/>
        <v>185564.16</v>
      </c>
    </row>
    <row r="12" spans="1:111">
      <c r="A12" s="225">
        <v>8</v>
      </c>
      <c r="B12" s="226" t="s">
        <v>21</v>
      </c>
      <c r="C12" s="226" t="s">
        <v>11</v>
      </c>
      <c r="D12" s="225">
        <f>RANK(AH12,$AH$4:$AH$141)</f>
        <v>1</v>
      </c>
      <c r="E12" s="225">
        <v>0.64</v>
      </c>
      <c r="F12" s="225" t="s">
        <v>22</v>
      </c>
      <c r="G12" s="225">
        <v>1400</v>
      </c>
      <c r="H12" s="9">
        <f>1607217+5280</f>
        <v>1612497</v>
      </c>
      <c r="I12" s="10">
        <f t="shared" si="1"/>
        <v>1031998.0800000001</v>
      </c>
      <c r="J12" s="9">
        <v>1487206</v>
      </c>
      <c r="K12" s="10">
        <f t="shared" si="2"/>
        <v>951811.84</v>
      </c>
      <c r="L12" s="9">
        <v>2198434</v>
      </c>
      <c r="M12" s="10">
        <f t="shared" si="3"/>
        <v>1406997.76</v>
      </c>
      <c r="N12" s="9">
        <v>1666056</v>
      </c>
      <c r="O12" s="10">
        <f t="shared" si="4"/>
        <v>1066275.8400000001</v>
      </c>
      <c r="P12" s="9">
        <v>1496012</v>
      </c>
      <c r="Q12" s="10">
        <f t="shared" si="5"/>
        <v>957447.68000000005</v>
      </c>
      <c r="R12" s="9">
        <f>1515416+560</f>
        <v>1515976</v>
      </c>
      <c r="S12" s="10">
        <f t="shared" si="6"/>
        <v>970224.64000000001</v>
      </c>
      <c r="T12" s="9">
        <f>1423576+840</f>
        <v>1424416</v>
      </c>
      <c r="U12" s="10">
        <f t="shared" si="7"/>
        <v>911626.23999999999</v>
      </c>
      <c r="V12" s="9">
        <v>1674932</v>
      </c>
      <c r="W12" s="10">
        <f t="shared" si="8"/>
        <v>1071956.48</v>
      </c>
      <c r="X12" s="9">
        <v>1158486</v>
      </c>
      <c r="Y12" s="10">
        <f t="shared" si="9"/>
        <v>741431.04</v>
      </c>
      <c r="Z12" s="9">
        <v>1230558</v>
      </c>
      <c r="AA12" s="10">
        <f t="shared" si="10"/>
        <v>787557.12</v>
      </c>
      <c r="AB12" s="9">
        <f>1325646+6</f>
        <v>1325652</v>
      </c>
      <c r="AC12" s="10">
        <f t="shared" si="11"/>
        <v>848417.28000000003</v>
      </c>
      <c r="AD12" s="9">
        <v>1410990</v>
      </c>
      <c r="AE12" s="10">
        <f t="shared" si="12"/>
        <v>903033.6</v>
      </c>
      <c r="AF12" s="11">
        <f t="shared" si="13"/>
        <v>18201215</v>
      </c>
      <c r="AG12" s="12">
        <f t="shared" si="14"/>
        <v>11648777.6</v>
      </c>
      <c r="AH12" s="9">
        <v>1399258</v>
      </c>
      <c r="AI12" s="10">
        <f t="shared" si="15"/>
        <v>895525.12</v>
      </c>
      <c r="AJ12" s="9">
        <v>1181866</v>
      </c>
      <c r="AK12" s="10">
        <f t="shared" si="16"/>
        <v>756394.24</v>
      </c>
      <c r="AL12" s="9">
        <v>1568917</v>
      </c>
      <c r="AM12" s="10">
        <f t="shared" si="17"/>
        <v>1004106.88</v>
      </c>
      <c r="AN12" s="9">
        <v>1249780</v>
      </c>
      <c r="AO12" s="10">
        <f t="shared" si="18"/>
        <v>799859.20000000007</v>
      </c>
      <c r="AP12" s="9">
        <v>1141630</v>
      </c>
      <c r="AQ12" s="10">
        <f t="shared" si="19"/>
        <v>730643.20000000007</v>
      </c>
      <c r="AR12" s="9">
        <v>1176224</v>
      </c>
      <c r="AS12" s="10">
        <f t="shared" si="20"/>
        <v>752783.35999999999</v>
      </c>
      <c r="AT12" s="9">
        <v>1274322</v>
      </c>
      <c r="AU12" s="10">
        <f t="shared" si="21"/>
        <v>815566.08000000007</v>
      </c>
      <c r="AV12" s="9">
        <v>1294006</v>
      </c>
      <c r="AW12" s="10">
        <f t="shared" si="22"/>
        <v>828163.84</v>
      </c>
      <c r="AX12" s="9">
        <v>890078</v>
      </c>
      <c r="AY12" s="10">
        <f t="shared" si="23"/>
        <v>569649.92000000004</v>
      </c>
      <c r="AZ12" s="9">
        <v>999712</v>
      </c>
      <c r="BA12" s="10">
        <f t="shared" si="24"/>
        <v>639815.68000000005</v>
      </c>
      <c r="BB12" s="9">
        <v>1046766</v>
      </c>
      <c r="BC12" s="10">
        <f t="shared" si="25"/>
        <v>669930.23999999999</v>
      </c>
      <c r="BD12" s="9">
        <v>1107288</v>
      </c>
      <c r="BE12" s="10">
        <f t="shared" si="26"/>
        <v>708664.32000000007</v>
      </c>
      <c r="BF12" s="11">
        <f t="shared" si="27"/>
        <v>14329847</v>
      </c>
      <c r="BG12" s="12">
        <f t="shared" si="28"/>
        <v>9171102.0800000001</v>
      </c>
      <c r="BH12" s="13">
        <v>1062432</v>
      </c>
      <c r="BI12" s="10">
        <f t="shared" si="29"/>
        <v>679956.47999999998</v>
      </c>
      <c r="BJ12" s="13">
        <v>888174</v>
      </c>
      <c r="BK12" s="10">
        <f t="shared" si="30"/>
        <v>568431.35999999999</v>
      </c>
      <c r="BL12" s="13">
        <v>985152</v>
      </c>
      <c r="BM12" s="10">
        <f t="shared" si="31"/>
        <v>630497.28000000003</v>
      </c>
      <c r="BN12" s="13">
        <v>966210</v>
      </c>
      <c r="BO12" s="10">
        <f t="shared" si="32"/>
        <v>618374.40000000002</v>
      </c>
      <c r="BP12" s="13">
        <v>1008938</v>
      </c>
      <c r="BQ12" s="10">
        <f t="shared" si="33"/>
        <v>645720.32000000007</v>
      </c>
      <c r="BR12" s="13">
        <v>1108953</v>
      </c>
      <c r="BS12" s="10">
        <f t="shared" si="34"/>
        <v>709729.92</v>
      </c>
      <c r="BT12" s="13">
        <v>925364</v>
      </c>
      <c r="BU12" s="10">
        <f t="shared" si="35"/>
        <v>592232.95999999996</v>
      </c>
      <c r="BV12" s="13">
        <v>766892</v>
      </c>
      <c r="BW12" s="10">
        <f t="shared" si="36"/>
        <v>490810.88</v>
      </c>
      <c r="BX12" s="13">
        <v>730395</v>
      </c>
      <c r="BY12" s="10">
        <f t="shared" si="37"/>
        <v>467452.8</v>
      </c>
      <c r="BZ12" s="13">
        <v>834624</v>
      </c>
      <c r="CA12" s="10">
        <f t="shared" si="38"/>
        <v>534159.35999999999</v>
      </c>
      <c r="CB12" s="13">
        <v>812171</v>
      </c>
      <c r="CC12" s="10">
        <f t="shared" si="39"/>
        <v>519789.44</v>
      </c>
      <c r="CD12" s="14">
        <v>764567</v>
      </c>
      <c r="CE12" s="10">
        <f t="shared" si="40"/>
        <v>489322.88</v>
      </c>
      <c r="CF12" s="11">
        <f t="shared" si="41"/>
        <v>10853872</v>
      </c>
      <c r="CG12" s="12">
        <f t="shared" si="42"/>
        <v>6946478.0800000001</v>
      </c>
      <c r="CH12" s="15">
        <v>694078</v>
      </c>
      <c r="CI12" s="10">
        <f t="shared" si="43"/>
        <v>444209.91999999998</v>
      </c>
      <c r="CJ12" s="15">
        <v>743873</v>
      </c>
      <c r="CK12" s="10">
        <f t="shared" si="44"/>
        <v>476078.72000000003</v>
      </c>
      <c r="CL12" s="15">
        <v>967690</v>
      </c>
      <c r="CM12" s="10">
        <f t="shared" si="45"/>
        <v>619321.59999999998</v>
      </c>
      <c r="CN12" s="15">
        <v>599298</v>
      </c>
      <c r="CO12" s="10">
        <f t="shared" si="46"/>
        <v>383550.72000000003</v>
      </c>
      <c r="CP12" s="15">
        <v>696682</v>
      </c>
      <c r="CQ12" s="10">
        <f t="shared" si="47"/>
        <v>445876.47999999998</v>
      </c>
      <c r="CR12" s="15">
        <v>698141</v>
      </c>
      <c r="CS12" s="10">
        <f t="shared" si="48"/>
        <v>446810.24</v>
      </c>
      <c r="CT12" s="15">
        <v>682290</v>
      </c>
      <c r="CU12" s="10">
        <f t="shared" si="49"/>
        <v>436665.60000000003</v>
      </c>
      <c r="CV12" s="15">
        <v>655446</v>
      </c>
      <c r="CW12" s="10">
        <f t="shared" si="50"/>
        <v>419485.44</v>
      </c>
      <c r="CX12" s="15">
        <v>579448</v>
      </c>
      <c r="CY12" s="10">
        <f t="shared" si="51"/>
        <v>370846.72000000003</v>
      </c>
      <c r="CZ12" s="15">
        <v>606088</v>
      </c>
      <c r="DA12" s="10">
        <f t="shared" si="52"/>
        <v>387896.32000000001</v>
      </c>
      <c r="DB12" s="15">
        <v>571213</v>
      </c>
      <c r="DC12" s="10">
        <f t="shared" si="53"/>
        <v>365576.32</v>
      </c>
      <c r="DD12" s="15">
        <v>588305</v>
      </c>
      <c r="DE12" s="10">
        <f t="shared" si="53"/>
        <v>376515.2</v>
      </c>
      <c r="DF12" s="16">
        <f t="shared" si="0"/>
        <v>8082552</v>
      </c>
      <c r="DG12" s="208">
        <f t="shared" si="54"/>
        <v>5172833.28</v>
      </c>
    </row>
    <row r="13" spans="1:111">
      <c r="A13" s="225">
        <v>9</v>
      </c>
      <c r="B13" s="226" t="s">
        <v>21</v>
      </c>
      <c r="C13" s="226" t="s">
        <v>11</v>
      </c>
      <c r="D13" s="225" t="e">
        <f>RANK(AH13,$AH$4:$AH$141)</f>
        <v>#N/A</v>
      </c>
      <c r="E13" s="225">
        <v>0.64</v>
      </c>
      <c r="F13" s="225" t="s">
        <v>12</v>
      </c>
      <c r="G13" s="225">
        <v>1250</v>
      </c>
      <c r="H13" s="9"/>
      <c r="I13" s="10">
        <f t="shared" si="1"/>
        <v>0</v>
      </c>
      <c r="J13" s="9"/>
      <c r="K13" s="10">
        <f t="shared" si="2"/>
        <v>0</v>
      </c>
      <c r="L13" s="9"/>
      <c r="M13" s="10">
        <f t="shared" si="3"/>
        <v>0</v>
      </c>
      <c r="N13" s="9"/>
      <c r="O13" s="10">
        <f t="shared" si="4"/>
        <v>0</v>
      </c>
      <c r="P13" s="9"/>
      <c r="Q13" s="10">
        <f t="shared" si="5"/>
        <v>0</v>
      </c>
      <c r="R13" s="9"/>
      <c r="S13" s="10">
        <f t="shared" si="6"/>
        <v>0</v>
      </c>
      <c r="T13" s="9"/>
      <c r="U13" s="10">
        <f t="shared" si="7"/>
        <v>0</v>
      </c>
      <c r="V13" s="9"/>
      <c r="W13" s="10">
        <f t="shared" si="8"/>
        <v>0</v>
      </c>
      <c r="X13" s="9"/>
      <c r="Y13" s="10">
        <f t="shared" si="9"/>
        <v>0</v>
      </c>
      <c r="Z13" s="9"/>
      <c r="AA13" s="10">
        <f t="shared" si="10"/>
        <v>0</v>
      </c>
      <c r="AB13" s="9"/>
      <c r="AC13" s="10">
        <f t="shared" si="11"/>
        <v>0</v>
      </c>
      <c r="AD13" s="9"/>
      <c r="AE13" s="10">
        <f t="shared" si="12"/>
        <v>0</v>
      </c>
      <c r="AF13" s="11">
        <f t="shared" si="13"/>
        <v>0</v>
      </c>
      <c r="AG13" s="12">
        <f t="shared" si="14"/>
        <v>0</v>
      </c>
      <c r="AH13" s="9"/>
      <c r="AI13" s="10">
        <f t="shared" si="15"/>
        <v>0</v>
      </c>
      <c r="AJ13" s="9"/>
      <c r="AK13" s="10">
        <f t="shared" si="16"/>
        <v>0</v>
      </c>
      <c r="AL13" s="9"/>
      <c r="AM13" s="10">
        <f t="shared" si="17"/>
        <v>0</v>
      </c>
      <c r="AN13" s="9"/>
      <c r="AO13" s="10">
        <f t="shared" si="18"/>
        <v>0</v>
      </c>
      <c r="AP13" s="9"/>
      <c r="AQ13" s="10">
        <f t="shared" si="19"/>
        <v>0</v>
      </c>
      <c r="AR13" s="9"/>
      <c r="AS13" s="10">
        <f t="shared" si="20"/>
        <v>0</v>
      </c>
      <c r="AT13" s="9"/>
      <c r="AU13" s="10">
        <f t="shared" si="21"/>
        <v>0</v>
      </c>
      <c r="AV13" s="9">
        <v>3216</v>
      </c>
      <c r="AW13" s="10">
        <f t="shared" si="22"/>
        <v>2058.2400000000002</v>
      </c>
      <c r="AX13" s="9"/>
      <c r="AY13" s="10">
        <f t="shared" si="23"/>
        <v>0</v>
      </c>
      <c r="AZ13" s="9">
        <v>1608</v>
      </c>
      <c r="BA13" s="10">
        <f t="shared" si="24"/>
        <v>1029.1200000000001</v>
      </c>
      <c r="BB13" s="9">
        <v>24</v>
      </c>
      <c r="BC13" s="10">
        <f t="shared" si="25"/>
        <v>15.36</v>
      </c>
      <c r="BD13" s="9">
        <v>720</v>
      </c>
      <c r="BE13" s="10">
        <f t="shared" si="26"/>
        <v>460.8</v>
      </c>
      <c r="BF13" s="11">
        <f t="shared" si="27"/>
        <v>5568</v>
      </c>
      <c r="BG13" s="12">
        <f t="shared" si="28"/>
        <v>3563.52</v>
      </c>
      <c r="BH13" s="13">
        <v>1440</v>
      </c>
      <c r="BI13" s="10">
        <f t="shared" si="29"/>
        <v>921.6</v>
      </c>
      <c r="BJ13" s="13">
        <v>720</v>
      </c>
      <c r="BK13" s="10">
        <f t="shared" si="30"/>
        <v>460.8</v>
      </c>
      <c r="BL13" s="13">
        <v>0</v>
      </c>
      <c r="BM13" s="10">
        <f t="shared" si="31"/>
        <v>0</v>
      </c>
      <c r="BN13" s="13">
        <v>720</v>
      </c>
      <c r="BO13" s="10">
        <f t="shared" si="32"/>
        <v>460.8</v>
      </c>
      <c r="BP13" s="13">
        <v>5664</v>
      </c>
      <c r="BQ13" s="10">
        <f t="shared" si="33"/>
        <v>3624.96</v>
      </c>
      <c r="BR13" s="13">
        <v>708</v>
      </c>
      <c r="BS13" s="10">
        <f t="shared" si="34"/>
        <v>453.12</v>
      </c>
      <c r="BT13" s="13">
        <v>708</v>
      </c>
      <c r="BU13" s="10">
        <f t="shared" si="35"/>
        <v>453.12</v>
      </c>
      <c r="BV13" s="13">
        <v>2124</v>
      </c>
      <c r="BW13" s="10">
        <f t="shared" si="36"/>
        <v>1359.3600000000001</v>
      </c>
      <c r="BX13" s="13">
        <v>708</v>
      </c>
      <c r="BY13" s="10">
        <f t="shared" si="37"/>
        <v>453.12</v>
      </c>
      <c r="BZ13" s="13">
        <v>696</v>
      </c>
      <c r="CA13" s="10">
        <f t="shared" si="38"/>
        <v>445.44</v>
      </c>
      <c r="CB13" s="13">
        <v>1158</v>
      </c>
      <c r="CC13" s="10">
        <f t="shared" si="39"/>
        <v>741.12</v>
      </c>
      <c r="CD13" s="14">
        <v>2496</v>
      </c>
      <c r="CE13" s="10">
        <f t="shared" si="40"/>
        <v>1597.44</v>
      </c>
      <c r="CF13" s="11">
        <f t="shared" si="41"/>
        <v>17142</v>
      </c>
      <c r="CG13" s="12">
        <f t="shared" si="42"/>
        <v>10970.880000000001</v>
      </c>
      <c r="CH13" s="15"/>
      <c r="CI13" s="10">
        <f t="shared" si="43"/>
        <v>0</v>
      </c>
      <c r="CJ13" s="15"/>
      <c r="CK13" s="10">
        <f t="shared" si="44"/>
        <v>0</v>
      </c>
      <c r="CL13" s="15">
        <v>1188</v>
      </c>
      <c r="CM13" s="10">
        <f t="shared" si="45"/>
        <v>760.32</v>
      </c>
      <c r="CN13" s="15">
        <v>1247</v>
      </c>
      <c r="CO13" s="10">
        <f t="shared" si="46"/>
        <v>798.08</v>
      </c>
      <c r="CP13" s="15">
        <v>1560</v>
      </c>
      <c r="CQ13" s="10">
        <f t="shared" si="47"/>
        <v>998.4</v>
      </c>
      <c r="CR13" s="15">
        <v>900</v>
      </c>
      <c r="CS13" s="10">
        <f t="shared" si="48"/>
        <v>576</v>
      </c>
      <c r="CT13" s="15">
        <v>1824</v>
      </c>
      <c r="CU13" s="10">
        <f t="shared" si="49"/>
        <v>1167.3600000000001</v>
      </c>
      <c r="CV13" s="15">
        <v>1536</v>
      </c>
      <c r="CW13" s="10">
        <f t="shared" si="50"/>
        <v>983.04</v>
      </c>
      <c r="CX13" s="15">
        <v>1428</v>
      </c>
      <c r="CY13" s="10">
        <f t="shared" si="51"/>
        <v>913.92000000000007</v>
      </c>
      <c r="CZ13" s="15">
        <v>1704</v>
      </c>
      <c r="DA13" s="10">
        <f t="shared" si="52"/>
        <v>1090.56</v>
      </c>
      <c r="DB13" s="15">
        <v>1152</v>
      </c>
      <c r="DC13" s="10">
        <f t="shared" si="53"/>
        <v>737.28</v>
      </c>
      <c r="DD13" s="15">
        <v>1452</v>
      </c>
      <c r="DE13" s="10">
        <f t="shared" si="53"/>
        <v>929.28</v>
      </c>
      <c r="DF13" s="16">
        <f t="shared" si="0"/>
        <v>13991</v>
      </c>
      <c r="DG13" s="208">
        <f t="shared" si="54"/>
        <v>8954.24</v>
      </c>
    </row>
    <row r="14" spans="1:111">
      <c r="A14" s="225">
        <v>10</v>
      </c>
      <c r="B14" s="226" t="s">
        <v>23</v>
      </c>
      <c r="C14" s="226" t="s">
        <v>11</v>
      </c>
      <c r="D14" s="225" t="e">
        <f>RANK(AH14,$AH$4:$AH$141)</f>
        <v>#N/A</v>
      </c>
      <c r="E14" s="225">
        <v>0.64</v>
      </c>
      <c r="F14" s="225" t="s">
        <v>22</v>
      </c>
      <c r="G14" s="225"/>
      <c r="H14" s="15"/>
      <c r="I14" s="10">
        <f t="shared" si="1"/>
        <v>0</v>
      </c>
      <c r="J14" s="15"/>
      <c r="K14" s="10">
        <f t="shared" si="2"/>
        <v>0</v>
      </c>
      <c r="L14" s="15"/>
      <c r="M14" s="10">
        <f t="shared" si="3"/>
        <v>0</v>
      </c>
      <c r="N14" s="15"/>
      <c r="O14" s="10">
        <f t="shared" si="4"/>
        <v>0</v>
      </c>
      <c r="P14" s="15"/>
      <c r="Q14" s="10">
        <f t="shared" si="5"/>
        <v>0</v>
      </c>
      <c r="R14" s="15"/>
      <c r="S14" s="10">
        <f t="shared" si="6"/>
        <v>0</v>
      </c>
      <c r="T14" s="15"/>
      <c r="U14" s="10">
        <f t="shared" si="7"/>
        <v>0</v>
      </c>
      <c r="V14" s="15"/>
      <c r="W14" s="10">
        <f t="shared" si="8"/>
        <v>0</v>
      </c>
      <c r="X14" s="15"/>
      <c r="Y14" s="10">
        <f t="shared" si="9"/>
        <v>0</v>
      </c>
      <c r="Z14" s="15"/>
      <c r="AA14" s="10">
        <f t="shared" si="10"/>
        <v>0</v>
      </c>
      <c r="AB14" s="15"/>
      <c r="AC14" s="10">
        <f t="shared" si="11"/>
        <v>0</v>
      </c>
      <c r="AD14" s="15"/>
      <c r="AE14" s="10">
        <f t="shared" si="12"/>
        <v>0</v>
      </c>
      <c r="AF14" s="11">
        <f t="shared" si="13"/>
        <v>0</v>
      </c>
      <c r="AG14" s="12">
        <f t="shared" si="14"/>
        <v>0</v>
      </c>
      <c r="AH14" s="15"/>
      <c r="AI14" s="10">
        <f t="shared" si="15"/>
        <v>0</v>
      </c>
      <c r="AJ14" s="15"/>
      <c r="AK14" s="10">
        <f t="shared" si="16"/>
        <v>0</v>
      </c>
      <c r="AL14" s="15"/>
      <c r="AM14" s="10">
        <f t="shared" si="17"/>
        <v>0</v>
      </c>
      <c r="AN14" s="15"/>
      <c r="AO14" s="10">
        <f t="shared" si="18"/>
        <v>0</v>
      </c>
      <c r="AP14" s="15"/>
      <c r="AQ14" s="10">
        <f t="shared" si="19"/>
        <v>0</v>
      </c>
      <c r="AR14" s="15"/>
      <c r="AS14" s="10">
        <f t="shared" si="20"/>
        <v>0</v>
      </c>
      <c r="AT14" s="15"/>
      <c r="AU14" s="10">
        <f t="shared" si="21"/>
        <v>0</v>
      </c>
      <c r="AV14" s="15"/>
      <c r="AW14" s="10">
        <f t="shared" si="22"/>
        <v>0</v>
      </c>
      <c r="AX14" s="15"/>
      <c r="AY14" s="10">
        <f t="shared" si="23"/>
        <v>0</v>
      </c>
      <c r="AZ14" s="15"/>
      <c r="BA14" s="10">
        <f t="shared" si="24"/>
        <v>0</v>
      </c>
      <c r="BB14" s="15"/>
      <c r="BC14" s="10">
        <f t="shared" si="25"/>
        <v>0</v>
      </c>
      <c r="BD14" s="15"/>
      <c r="BE14" s="10">
        <f t="shared" si="26"/>
        <v>0</v>
      </c>
      <c r="BF14" s="11">
        <f t="shared" si="27"/>
        <v>0</v>
      </c>
      <c r="BG14" s="12">
        <f t="shared" si="28"/>
        <v>0</v>
      </c>
      <c r="BH14" s="15"/>
      <c r="BI14" s="10">
        <f t="shared" si="29"/>
        <v>0</v>
      </c>
      <c r="BJ14" s="15"/>
      <c r="BK14" s="10">
        <f t="shared" si="30"/>
        <v>0</v>
      </c>
      <c r="BL14" s="15"/>
      <c r="BM14" s="10">
        <f t="shared" si="31"/>
        <v>0</v>
      </c>
      <c r="BN14" s="15"/>
      <c r="BO14" s="10">
        <f t="shared" si="32"/>
        <v>0</v>
      </c>
      <c r="BP14" s="15"/>
      <c r="BQ14" s="10">
        <f t="shared" si="33"/>
        <v>0</v>
      </c>
      <c r="BR14" s="15"/>
      <c r="BS14" s="10">
        <f t="shared" si="34"/>
        <v>0</v>
      </c>
      <c r="BT14" s="15"/>
      <c r="BU14" s="10">
        <f t="shared" si="35"/>
        <v>0</v>
      </c>
      <c r="BV14" s="15"/>
      <c r="BW14" s="10">
        <f t="shared" si="36"/>
        <v>0</v>
      </c>
      <c r="BX14" s="15"/>
      <c r="BY14" s="10">
        <f t="shared" si="37"/>
        <v>0</v>
      </c>
      <c r="BZ14" s="15"/>
      <c r="CA14" s="10">
        <f t="shared" si="38"/>
        <v>0</v>
      </c>
      <c r="CB14" s="15"/>
      <c r="CC14" s="10">
        <f t="shared" si="39"/>
        <v>0</v>
      </c>
      <c r="CD14" s="15"/>
      <c r="CE14" s="10">
        <f t="shared" si="40"/>
        <v>0</v>
      </c>
      <c r="CF14" s="11">
        <f t="shared" si="41"/>
        <v>0</v>
      </c>
      <c r="CG14" s="12">
        <f t="shared" si="42"/>
        <v>0</v>
      </c>
      <c r="CH14" s="15"/>
      <c r="CI14" s="10">
        <f t="shared" si="43"/>
        <v>0</v>
      </c>
      <c r="CJ14" s="15"/>
      <c r="CK14" s="10">
        <f t="shared" si="44"/>
        <v>0</v>
      </c>
      <c r="CL14" s="15"/>
      <c r="CM14" s="10">
        <f t="shared" si="45"/>
        <v>0</v>
      </c>
      <c r="CN14" s="15"/>
      <c r="CO14" s="10">
        <f t="shared" si="46"/>
        <v>0</v>
      </c>
      <c r="CP14" s="15"/>
      <c r="CQ14" s="10">
        <f t="shared" si="47"/>
        <v>0</v>
      </c>
      <c r="CR14" s="15"/>
      <c r="CS14" s="10">
        <f t="shared" si="48"/>
        <v>0</v>
      </c>
      <c r="CT14" s="15"/>
      <c r="CU14" s="10">
        <f t="shared" si="49"/>
        <v>0</v>
      </c>
      <c r="CV14" s="15"/>
      <c r="CW14" s="10">
        <f t="shared" si="50"/>
        <v>0</v>
      </c>
      <c r="CX14" s="15"/>
      <c r="CY14" s="10">
        <f t="shared" si="51"/>
        <v>0</v>
      </c>
      <c r="CZ14" s="15"/>
      <c r="DA14" s="10">
        <f t="shared" si="52"/>
        <v>0</v>
      </c>
      <c r="DB14" s="15"/>
      <c r="DC14" s="10">
        <f t="shared" si="53"/>
        <v>0</v>
      </c>
      <c r="DD14" s="15"/>
      <c r="DE14" s="10">
        <f t="shared" si="53"/>
        <v>0</v>
      </c>
      <c r="DF14" s="16">
        <f t="shared" si="0"/>
        <v>0</v>
      </c>
      <c r="DG14" s="208">
        <f t="shared" si="54"/>
        <v>0</v>
      </c>
    </row>
    <row r="15" spans="1:111">
      <c r="A15" s="225"/>
      <c r="B15" s="226"/>
      <c r="C15" s="226"/>
      <c r="D15" s="225"/>
      <c r="E15" s="225"/>
      <c r="F15" s="225"/>
      <c r="G15" s="225"/>
      <c r="H15" s="15"/>
      <c r="I15" s="10">
        <f t="shared" si="1"/>
        <v>0</v>
      </c>
      <c r="J15" s="15"/>
      <c r="K15" s="10">
        <f t="shared" si="2"/>
        <v>0</v>
      </c>
      <c r="L15" s="15"/>
      <c r="M15" s="10">
        <f t="shared" si="3"/>
        <v>0</v>
      </c>
      <c r="N15" s="15"/>
      <c r="O15" s="10">
        <f t="shared" si="4"/>
        <v>0</v>
      </c>
      <c r="P15" s="15"/>
      <c r="Q15" s="10">
        <f t="shared" si="5"/>
        <v>0</v>
      </c>
      <c r="R15" s="15"/>
      <c r="S15" s="10">
        <f t="shared" si="6"/>
        <v>0</v>
      </c>
      <c r="T15" s="15"/>
      <c r="U15" s="10">
        <f t="shared" si="7"/>
        <v>0</v>
      </c>
      <c r="V15" s="15"/>
      <c r="W15" s="10">
        <f t="shared" si="8"/>
        <v>0</v>
      </c>
      <c r="X15" s="15"/>
      <c r="Y15" s="10">
        <f t="shared" si="9"/>
        <v>0</v>
      </c>
      <c r="Z15" s="15"/>
      <c r="AA15" s="10">
        <f t="shared" si="10"/>
        <v>0</v>
      </c>
      <c r="AB15" s="15"/>
      <c r="AC15" s="10">
        <f t="shared" si="11"/>
        <v>0</v>
      </c>
      <c r="AD15" s="15"/>
      <c r="AE15" s="10">
        <f t="shared" si="12"/>
        <v>0</v>
      </c>
      <c r="AF15" s="11">
        <f t="shared" si="13"/>
        <v>0</v>
      </c>
      <c r="AG15" s="12">
        <f t="shared" si="14"/>
        <v>0</v>
      </c>
      <c r="AH15" s="15"/>
      <c r="AI15" s="10">
        <f t="shared" si="15"/>
        <v>0</v>
      </c>
      <c r="AJ15" s="15"/>
      <c r="AK15" s="10">
        <f t="shared" si="16"/>
        <v>0</v>
      </c>
      <c r="AL15" s="15"/>
      <c r="AM15" s="10">
        <f t="shared" si="17"/>
        <v>0</v>
      </c>
      <c r="AN15" s="15"/>
      <c r="AO15" s="10">
        <f t="shared" si="18"/>
        <v>0</v>
      </c>
      <c r="AP15" s="15"/>
      <c r="AQ15" s="10">
        <f t="shared" si="19"/>
        <v>0</v>
      </c>
      <c r="AR15" s="15"/>
      <c r="AS15" s="10">
        <f t="shared" si="20"/>
        <v>0</v>
      </c>
      <c r="AT15" s="15"/>
      <c r="AU15" s="10">
        <f t="shared" si="21"/>
        <v>0</v>
      </c>
      <c r="AV15" s="15"/>
      <c r="AW15" s="10">
        <f t="shared" si="22"/>
        <v>0</v>
      </c>
      <c r="AX15" s="15"/>
      <c r="AY15" s="10">
        <f t="shared" si="23"/>
        <v>0</v>
      </c>
      <c r="AZ15" s="15"/>
      <c r="BA15" s="10">
        <f t="shared" si="24"/>
        <v>0</v>
      </c>
      <c r="BB15" s="15"/>
      <c r="BC15" s="10">
        <f t="shared" si="25"/>
        <v>0</v>
      </c>
      <c r="BD15" s="15"/>
      <c r="BE15" s="10">
        <f t="shared" si="26"/>
        <v>0</v>
      </c>
      <c r="BF15" s="11">
        <f t="shared" si="27"/>
        <v>0</v>
      </c>
      <c r="BG15" s="12">
        <f t="shared" si="28"/>
        <v>0</v>
      </c>
      <c r="BH15" s="15"/>
      <c r="BI15" s="10">
        <f t="shared" si="29"/>
        <v>0</v>
      </c>
      <c r="BJ15" s="15"/>
      <c r="BK15" s="10">
        <f t="shared" si="30"/>
        <v>0</v>
      </c>
      <c r="BL15" s="15"/>
      <c r="BM15" s="10">
        <f t="shared" si="31"/>
        <v>0</v>
      </c>
      <c r="BN15" s="15"/>
      <c r="BO15" s="10">
        <f t="shared" si="32"/>
        <v>0</v>
      </c>
      <c r="BP15" s="15"/>
      <c r="BQ15" s="10">
        <f t="shared" si="33"/>
        <v>0</v>
      </c>
      <c r="BR15" s="15"/>
      <c r="BS15" s="10">
        <f t="shared" si="34"/>
        <v>0</v>
      </c>
      <c r="BT15" s="15"/>
      <c r="BU15" s="10">
        <f t="shared" si="35"/>
        <v>0</v>
      </c>
      <c r="BV15" s="15"/>
      <c r="BW15" s="10">
        <f t="shared" si="36"/>
        <v>0</v>
      </c>
      <c r="BX15" s="15"/>
      <c r="BY15" s="10">
        <f t="shared" si="37"/>
        <v>0</v>
      </c>
      <c r="BZ15" s="15"/>
      <c r="CA15" s="10">
        <f t="shared" si="38"/>
        <v>0</v>
      </c>
      <c r="CB15" s="15"/>
      <c r="CC15" s="10">
        <f t="shared" si="39"/>
        <v>0</v>
      </c>
      <c r="CD15" s="15"/>
      <c r="CE15" s="10">
        <f t="shared" si="40"/>
        <v>0</v>
      </c>
      <c r="CF15" s="11">
        <f t="shared" si="41"/>
        <v>0</v>
      </c>
      <c r="CG15" s="12">
        <f t="shared" si="42"/>
        <v>0</v>
      </c>
      <c r="CH15" s="15"/>
      <c r="CI15" s="10">
        <f t="shared" si="43"/>
        <v>0</v>
      </c>
      <c r="CJ15" s="15"/>
      <c r="CK15" s="10">
        <f t="shared" si="44"/>
        <v>0</v>
      </c>
      <c r="CL15" s="15"/>
      <c r="CM15" s="10">
        <f t="shared" si="45"/>
        <v>0</v>
      </c>
      <c r="CN15" s="15"/>
      <c r="CO15" s="10">
        <f t="shared" si="46"/>
        <v>0</v>
      </c>
      <c r="CP15" s="15"/>
      <c r="CQ15" s="10">
        <f t="shared" si="47"/>
        <v>0</v>
      </c>
      <c r="CR15" s="15"/>
      <c r="CS15" s="10">
        <f t="shared" si="48"/>
        <v>0</v>
      </c>
      <c r="CT15" s="15"/>
      <c r="CU15" s="10">
        <f t="shared" si="49"/>
        <v>0</v>
      </c>
      <c r="CV15" s="15"/>
      <c r="CW15" s="10">
        <f t="shared" si="50"/>
        <v>0</v>
      </c>
      <c r="CX15" s="15"/>
      <c r="CY15" s="10">
        <f t="shared" si="51"/>
        <v>0</v>
      </c>
      <c r="CZ15" s="15"/>
      <c r="DA15" s="10">
        <f t="shared" si="52"/>
        <v>0</v>
      </c>
      <c r="DB15" s="15"/>
      <c r="DC15" s="10">
        <f t="shared" si="53"/>
        <v>0</v>
      </c>
      <c r="DD15" s="15"/>
      <c r="DE15" s="10">
        <f t="shared" si="53"/>
        <v>0</v>
      </c>
      <c r="DF15" s="16">
        <f t="shared" si="0"/>
        <v>0</v>
      </c>
      <c r="DG15" s="208">
        <f t="shared" si="54"/>
        <v>0</v>
      </c>
    </row>
    <row r="16" spans="1:111">
      <c r="A16" s="225">
        <v>11</v>
      </c>
      <c r="B16" s="226" t="s">
        <v>24</v>
      </c>
      <c r="C16" s="226" t="s">
        <v>14</v>
      </c>
      <c r="D16" s="225">
        <f t="shared" ref="D16:D24" si="55">RANK(DF16,$DF$4:$DF$141)</f>
        <v>15</v>
      </c>
      <c r="E16" s="225">
        <v>1</v>
      </c>
      <c r="F16" s="225" t="s">
        <v>12</v>
      </c>
      <c r="G16" s="225">
        <v>1500</v>
      </c>
      <c r="H16" s="9">
        <v>12</v>
      </c>
      <c r="I16" s="10">
        <f t="shared" si="1"/>
        <v>12</v>
      </c>
      <c r="J16" s="9"/>
      <c r="K16" s="10">
        <f t="shared" si="2"/>
        <v>0</v>
      </c>
      <c r="L16" s="9">
        <v>48</v>
      </c>
      <c r="M16" s="10">
        <f t="shared" si="3"/>
        <v>48</v>
      </c>
      <c r="N16" s="9"/>
      <c r="O16" s="10">
        <f t="shared" si="4"/>
        <v>0</v>
      </c>
      <c r="P16" s="9"/>
      <c r="Q16" s="10">
        <f t="shared" si="5"/>
        <v>0</v>
      </c>
      <c r="R16" s="9"/>
      <c r="S16" s="10">
        <f t="shared" si="6"/>
        <v>0</v>
      </c>
      <c r="T16" s="9">
        <v>72</v>
      </c>
      <c r="U16" s="10">
        <f t="shared" si="7"/>
        <v>72</v>
      </c>
      <c r="V16" s="9">
        <v>12</v>
      </c>
      <c r="W16" s="10">
        <f t="shared" si="8"/>
        <v>12</v>
      </c>
      <c r="X16" s="9">
        <v>12</v>
      </c>
      <c r="Y16" s="10">
        <f t="shared" si="9"/>
        <v>12</v>
      </c>
      <c r="Z16" s="9">
        <v>72</v>
      </c>
      <c r="AA16" s="10">
        <f t="shared" si="10"/>
        <v>72</v>
      </c>
      <c r="AB16" s="9">
        <v>48</v>
      </c>
      <c r="AC16" s="10">
        <f t="shared" si="11"/>
        <v>48</v>
      </c>
      <c r="AD16" s="9">
        <v>36</v>
      </c>
      <c r="AE16" s="10">
        <f t="shared" si="12"/>
        <v>36</v>
      </c>
      <c r="AF16" s="11">
        <f t="shared" si="13"/>
        <v>312</v>
      </c>
      <c r="AG16" s="12">
        <f t="shared" si="14"/>
        <v>312</v>
      </c>
      <c r="AH16" s="9">
        <v>24</v>
      </c>
      <c r="AI16" s="10">
        <f t="shared" si="15"/>
        <v>24</v>
      </c>
      <c r="AJ16" s="9">
        <v>60</v>
      </c>
      <c r="AK16" s="10">
        <f t="shared" si="16"/>
        <v>60</v>
      </c>
      <c r="AL16" s="9">
        <v>12</v>
      </c>
      <c r="AM16" s="10">
        <f t="shared" si="17"/>
        <v>12</v>
      </c>
      <c r="AN16" s="9"/>
      <c r="AO16" s="10">
        <f t="shared" si="18"/>
        <v>0</v>
      </c>
      <c r="AP16" s="9"/>
      <c r="AQ16" s="10">
        <f t="shared" si="19"/>
        <v>0</v>
      </c>
      <c r="AR16" s="9"/>
      <c r="AS16" s="10">
        <f t="shared" si="20"/>
        <v>0</v>
      </c>
      <c r="AT16" s="9"/>
      <c r="AU16" s="10">
        <f t="shared" si="21"/>
        <v>0</v>
      </c>
      <c r="AV16" s="9"/>
      <c r="AW16" s="10">
        <f t="shared" si="22"/>
        <v>0</v>
      </c>
      <c r="AX16" s="9"/>
      <c r="AY16" s="10">
        <f t="shared" si="23"/>
        <v>0</v>
      </c>
      <c r="AZ16" s="9">
        <v>72</v>
      </c>
      <c r="BA16" s="10">
        <f t="shared" si="24"/>
        <v>72</v>
      </c>
      <c r="BB16" s="9">
        <v>60</v>
      </c>
      <c r="BC16" s="10">
        <f t="shared" si="25"/>
        <v>60</v>
      </c>
      <c r="BD16" s="9">
        <v>132</v>
      </c>
      <c r="BE16" s="10">
        <f t="shared" si="26"/>
        <v>132</v>
      </c>
      <c r="BF16" s="11">
        <f t="shared" si="27"/>
        <v>360</v>
      </c>
      <c r="BG16" s="12">
        <f t="shared" si="28"/>
        <v>360</v>
      </c>
      <c r="BH16" s="13">
        <v>260</v>
      </c>
      <c r="BI16" s="10">
        <f t="shared" si="29"/>
        <v>260</v>
      </c>
      <c r="BJ16" s="13">
        <v>278</v>
      </c>
      <c r="BK16" s="10">
        <f t="shared" si="30"/>
        <v>278</v>
      </c>
      <c r="BL16" s="13">
        <v>552</v>
      </c>
      <c r="BM16" s="10">
        <f t="shared" si="31"/>
        <v>552</v>
      </c>
      <c r="BN16" s="13">
        <v>348</v>
      </c>
      <c r="BO16" s="10">
        <f t="shared" si="32"/>
        <v>348</v>
      </c>
      <c r="BP16" s="13">
        <v>552</v>
      </c>
      <c r="BQ16" s="10">
        <f t="shared" si="33"/>
        <v>552</v>
      </c>
      <c r="BR16" s="13">
        <v>312</v>
      </c>
      <c r="BS16" s="10">
        <f t="shared" si="34"/>
        <v>312</v>
      </c>
      <c r="BT16" s="13">
        <v>698</v>
      </c>
      <c r="BU16" s="10">
        <f t="shared" si="35"/>
        <v>698</v>
      </c>
      <c r="BV16" s="13">
        <v>1491</v>
      </c>
      <c r="BW16" s="10">
        <f t="shared" si="36"/>
        <v>1491</v>
      </c>
      <c r="BX16" s="13">
        <v>912</v>
      </c>
      <c r="BY16" s="10">
        <f t="shared" si="37"/>
        <v>912</v>
      </c>
      <c r="BZ16" s="13">
        <v>672</v>
      </c>
      <c r="CA16" s="10">
        <f t="shared" si="38"/>
        <v>672</v>
      </c>
      <c r="CB16" s="13">
        <v>228</v>
      </c>
      <c r="CC16" s="10">
        <f t="shared" si="39"/>
        <v>228</v>
      </c>
      <c r="CD16" s="14">
        <v>648</v>
      </c>
      <c r="CE16" s="10">
        <f t="shared" si="40"/>
        <v>648</v>
      </c>
      <c r="CF16" s="11">
        <f t="shared" si="41"/>
        <v>6951</v>
      </c>
      <c r="CG16" s="12">
        <f t="shared" si="42"/>
        <v>6951</v>
      </c>
      <c r="CH16" s="15">
        <v>351</v>
      </c>
      <c r="CI16" s="10">
        <f t="shared" si="43"/>
        <v>351</v>
      </c>
      <c r="CJ16" s="15">
        <v>1072</v>
      </c>
      <c r="CK16" s="10">
        <f t="shared" si="44"/>
        <v>1072</v>
      </c>
      <c r="CL16" s="15">
        <v>1178</v>
      </c>
      <c r="CM16" s="10">
        <f t="shared" si="45"/>
        <v>1178</v>
      </c>
      <c r="CN16" s="15">
        <v>168</v>
      </c>
      <c r="CO16" s="10">
        <f t="shared" si="46"/>
        <v>168</v>
      </c>
      <c r="CP16" s="15">
        <v>432</v>
      </c>
      <c r="CQ16" s="10">
        <f t="shared" si="47"/>
        <v>432</v>
      </c>
      <c r="CR16" s="15">
        <v>3978</v>
      </c>
      <c r="CS16" s="10">
        <f t="shared" si="48"/>
        <v>3978</v>
      </c>
      <c r="CT16" s="15">
        <v>4789</v>
      </c>
      <c r="CU16" s="10">
        <f t="shared" si="49"/>
        <v>4789</v>
      </c>
      <c r="CV16" s="15">
        <v>2672</v>
      </c>
      <c r="CW16" s="10">
        <f t="shared" si="50"/>
        <v>2672</v>
      </c>
      <c r="CX16" s="15">
        <v>2233</v>
      </c>
      <c r="CY16" s="10">
        <f t="shared" si="51"/>
        <v>2233</v>
      </c>
      <c r="CZ16" s="15">
        <v>1272</v>
      </c>
      <c r="DA16" s="10">
        <f t="shared" si="52"/>
        <v>1272</v>
      </c>
      <c r="DB16" s="15">
        <v>1448</v>
      </c>
      <c r="DC16" s="10">
        <f t="shared" si="53"/>
        <v>1448</v>
      </c>
      <c r="DD16" s="15">
        <v>1224</v>
      </c>
      <c r="DE16" s="10">
        <f t="shared" si="53"/>
        <v>1224</v>
      </c>
      <c r="DF16" s="16">
        <f t="shared" si="0"/>
        <v>20817</v>
      </c>
      <c r="DG16" s="208">
        <f t="shared" si="54"/>
        <v>20817</v>
      </c>
    </row>
    <row r="17" spans="1:111">
      <c r="A17" s="225">
        <v>12</v>
      </c>
      <c r="B17" s="226" t="s">
        <v>25</v>
      </c>
      <c r="C17" s="226" t="s">
        <v>14</v>
      </c>
      <c r="D17" s="225">
        <f t="shared" si="55"/>
        <v>25</v>
      </c>
      <c r="E17" s="225">
        <v>1</v>
      </c>
      <c r="F17" s="225" t="s">
        <v>12</v>
      </c>
      <c r="G17" s="225">
        <v>1930</v>
      </c>
      <c r="H17" s="9"/>
      <c r="I17" s="10">
        <f t="shared" si="1"/>
        <v>0</v>
      </c>
      <c r="J17" s="9">
        <v>108</v>
      </c>
      <c r="K17" s="10">
        <f t="shared" si="2"/>
        <v>108</v>
      </c>
      <c r="L17" s="9"/>
      <c r="M17" s="10">
        <f t="shared" si="3"/>
        <v>0</v>
      </c>
      <c r="N17" s="9"/>
      <c r="O17" s="10">
        <f t="shared" si="4"/>
        <v>0</v>
      </c>
      <c r="P17" s="9"/>
      <c r="Q17" s="10">
        <f t="shared" si="5"/>
        <v>0</v>
      </c>
      <c r="R17" s="9"/>
      <c r="S17" s="10">
        <f t="shared" si="6"/>
        <v>0</v>
      </c>
      <c r="T17" s="9"/>
      <c r="U17" s="10">
        <f t="shared" si="7"/>
        <v>0</v>
      </c>
      <c r="V17" s="9"/>
      <c r="W17" s="10">
        <f t="shared" si="8"/>
        <v>0</v>
      </c>
      <c r="X17" s="9"/>
      <c r="Y17" s="10">
        <f t="shared" si="9"/>
        <v>0</v>
      </c>
      <c r="Z17" s="9"/>
      <c r="AA17" s="10">
        <f t="shared" si="10"/>
        <v>0</v>
      </c>
      <c r="AB17" s="9"/>
      <c r="AC17" s="10">
        <f t="shared" si="11"/>
        <v>0</v>
      </c>
      <c r="AD17" s="9"/>
      <c r="AE17" s="10">
        <f t="shared" si="12"/>
        <v>0</v>
      </c>
      <c r="AF17" s="11">
        <f t="shared" si="13"/>
        <v>108</v>
      </c>
      <c r="AG17" s="12">
        <f t="shared" si="14"/>
        <v>108</v>
      </c>
      <c r="AH17" s="9"/>
      <c r="AI17" s="10">
        <f t="shared" si="15"/>
        <v>0</v>
      </c>
      <c r="AJ17" s="9"/>
      <c r="AK17" s="10">
        <f t="shared" si="16"/>
        <v>0</v>
      </c>
      <c r="AL17" s="9"/>
      <c r="AM17" s="10">
        <f t="shared" si="17"/>
        <v>0</v>
      </c>
      <c r="AN17" s="9"/>
      <c r="AO17" s="10">
        <f t="shared" si="18"/>
        <v>0</v>
      </c>
      <c r="AP17" s="9"/>
      <c r="AQ17" s="10">
        <f t="shared" si="19"/>
        <v>0</v>
      </c>
      <c r="AR17" s="9"/>
      <c r="AS17" s="10">
        <f t="shared" si="20"/>
        <v>0</v>
      </c>
      <c r="AT17" s="9">
        <v>120</v>
      </c>
      <c r="AU17" s="10">
        <f t="shared" si="21"/>
        <v>120</v>
      </c>
      <c r="AV17" s="9"/>
      <c r="AW17" s="10">
        <f t="shared" si="22"/>
        <v>0</v>
      </c>
      <c r="AX17" s="9">
        <v>24</v>
      </c>
      <c r="AY17" s="10">
        <f t="shared" si="23"/>
        <v>24</v>
      </c>
      <c r="AZ17" s="9">
        <v>60</v>
      </c>
      <c r="BA17" s="10">
        <f t="shared" si="24"/>
        <v>60</v>
      </c>
      <c r="BB17" s="9">
        <v>36</v>
      </c>
      <c r="BC17" s="10">
        <f t="shared" si="25"/>
        <v>36</v>
      </c>
      <c r="BD17" s="9">
        <v>120</v>
      </c>
      <c r="BE17" s="10">
        <f t="shared" si="26"/>
        <v>120</v>
      </c>
      <c r="BF17" s="11">
        <f t="shared" si="27"/>
        <v>360</v>
      </c>
      <c r="BG17" s="12">
        <f t="shared" si="28"/>
        <v>360</v>
      </c>
      <c r="BH17" s="13">
        <v>132</v>
      </c>
      <c r="BI17" s="10">
        <f t="shared" si="29"/>
        <v>132</v>
      </c>
      <c r="BJ17" s="13">
        <v>240</v>
      </c>
      <c r="BK17" s="10">
        <f t="shared" si="30"/>
        <v>240</v>
      </c>
      <c r="BL17" s="13">
        <v>204</v>
      </c>
      <c r="BM17" s="10">
        <f t="shared" si="31"/>
        <v>204</v>
      </c>
      <c r="BN17" s="13">
        <v>300</v>
      </c>
      <c r="BO17" s="10">
        <f t="shared" si="32"/>
        <v>300</v>
      </c>
      <c r="BP17" s="13">
        <v>504</v>
      </c>
      <c r="BQ17" s="10">
        <f t="shared" si="33"/>
        <v>504</v>
      </c>
      <c r="BR17" s="13">
        <v>456</v>
      </c>
      <c r="BS17" s="10">
        <f t="shared" si="34"/>
        <v>456</v>
      </c>
      <c r="BT17" s="13">
        <v>864</v>
      </c>
      <c r="BU17" s="10">
        <f t="shared" si="35"/>
        <v>864</v>
      </c>
      <c r="BV17" s="13">
        <v>372</v>
      </c>
      <c r="BW17" s="10">
        <f t="shared" si="36"/>
        <v>372</v>
      </c>
      <c r="BX17" s="13">
        <v>540</v>
      </c>
      <c r="BY17" s="10">
        <f t="shared" si="37"/>
        <v>540</v>
      </c>
      <c r="BZ17" s="13">
        <v>192</v>
      </c>
      <c r="CA17" s="10">
        <f t="shared" si="38"/>
        <v>192</v>
      </c>
      <c r="CB17" s="13"/>
      <c r="CC17" s="10">
        <f t="shared" si="39"/>
        <v>0</v>
      </c>
      <c r="CD17" s="14">
        <v>360</v>
      </c>
      <c r="CE17" s="10">
        <f t="shared" si="40"/>
        <v>360</v>
      </c>
      <c r="CF17" s="11">
        <f t="shared" si="41"/>
        <v>4164</v>
      </c>
      <c r="CG17" s="12">
        <f t="shared" si="42"/>
        <v>4164</v>
      </c>
      <c r="CH17" s="15">
        <v>180</v>
      </c>
      <c r="CI17" s="10">
        <f t="shared" si="43"/>
        <v>180</v>
      </c>
      <c r="CJ17" s="15">
        <v>120</v>
      </c>
      <c r="CK17" s="10">
        <f t="shared" si="44"/>
        <v>120</v>
      </c>
      <c r="CL17" s="15">
        <v>60</v>
      </c>
      <c r="CM17" s="10">
        <f t="shared" si="45"/>
        <v>60</v>
      </c>
      <c r="CN17" s="15">
        <v>360</v>
      </c>
      <c r="CO17" s="10">
        <f t="shared" si="46"/>
        <v>360</v>
      </c>
      <c r="CP17" s="15">
        <v>120</v>
      </c>
      <c r="CQ17" s="10">
        <f t="shared" si="47"/>
        <v>120</v>
      </c>
      <c r="CR17" s="15">
        <v>403</v>
      </c>
      <c r="CS17" s="10">
        <f t="shared" si="48"/>
        <v>403</v>
      </c>
      <c r="CT17" s="15">
        <v>528</v>
      </c>
      <c r="CU17" s="10">
        <f t="shared" si="49"/>
        <v>528</v>
      </c>
      <c r="CV17" s="15">
        <v>252</v>
      </c>
      <c r="CW17" s="10">
        <f t="shared" si="50"/>
        <v>252</v>
      </c>
      <c r="CX17" s="15">
        <v>165</v>
      </c>
      <c r="CY17" s="10">
        <f t="shared" si="51"/>
        <v>165</v>
      </c>
      <c r="CZ17" s="15">
        <v>168</v>
      </c>
      <c r="DA17" s="10">
        <f t="shared" si="52"/>
        <v>168</v>
      </c>
      <c r="DB17" s="15">
        <v>276</v>
      </c>
      <c r="DC17" s="10">
        <f t="shared" si="53"/>
        <v>276</v>
      </c>
      <c r="DD17" s="15">
        <v>216</v>
      </c>
      <c r="DE17" s="10">
        <f t="shared" si="53"/>
        <v>216</v>
      </c>
      <c r="DF17" s="16">
        <f t="shared" si="0"/>
        <v>2848</v>
      </c>
      <c r="DG17" s="208">
        <f t="shared" si="54"/>
        <v>2848</v>
      </c>
    </row>
    <row r="18" spans="1:111">
      <c r="A18" s="225">
        <v>13</v>
      </c>
      <c r="B18" s="226" t="s">
        <v>26</v>
      </c>
      <c r="C18" s="226" t="s">
        <v>14</v>
      </c>
      <c r="D18" s="225">
        <f t="shared" si="55"/>
        <v>31</v>
      </c>
      <c r="E18" s="225">
        <v>0.6</v>
      </c>
      <c r="F18" s="225" t="s">
        <v>12</v>
      </c>
      <c r="G18" s="225">
        <v>1060</v>
      </c>
      <c r="H18" s="15"/>
      <c r="I18" s="10">
        <f t="shared" si="1"/>
        <v>0</v>
      </c>
      <c r="J18" s="15"/>
      <c r="K18" s="10">
        <f t="shared" si="2"/>
        <v>0</v>
      </c>
      <c r="L18" s="15"/>
      <c r="M18" s="10">
        <f t="shared" si="3"/>
        <v>0</v>
      </c>
      <c r="N18" s="15"/>
      <c r="O18" s="10">
        <f t="shared" si="4"/>
        <v>0</v>
      </c>
      <c r="P18" s="15"/>
      <c r="Q18" s="10">
        <f t="shared" si="5"/>
        <v>0</v>
      </c>
      <c r="R18" s="15"/>
      <c r="S18" s="10">
        <f t="shared" si="6"/>
        <v>0</v>
      </c>
      <c r="T18" s="15"/>
      <c r="U18" s="10">
        <f t="shared" si="7"/>
        <v>0</v>
      </c>
      <c r="V18" s="15"/>
      <c r="W18" s="10">
        <f t="shared" si="8"/>
        <v>0</v>
      </c>
      <c r="X18" s="15"/>
      <c r="Y18" s="10">
        <f t="shared" si="9"/>
        <v>0</v>
      </c>
      <c r="Z18" s="15"/>
      <c r="AA18" s="10">
        <f t="shared" si="10"/>
        <v>0</v>
      </c>
      <c r="AB18" s="15"/>
      <c r="AC18" s="10">
        <f t="shared" si="11"/>
        <v>0</v>
      </c>
      <c r="AD18" s="15"/>
      <c r="AE18" s="10">
        <f t="shared" si="12"/>
        <v>0</v>
      </c>
      <c r="AF18" s="11">
        <f t="shared" si="13"/>
        <v>0</v>
      </c>
      <c r="AG18" s="12">
        <f t="shared" si="14"/>
        <v>0</v>
      </c>
      <c r="AH18" s="15"/>
      <c r="AI18" s="10">
        <f t="shared" si="15"/>
        <v>0</v>
      </c>
      <c r="AJ18" s="15"/>
      <c r="AK18" s="10">
        <f t="shared" si="16"/>
        <v>0</v>
      </c>
      <c r="AL18" s="15"/>
      <c r="AM18" s="10">
        <f t="shared" si="17"/>
        <v>0</v>
      </c>
      <c r="AN18" s="15"/>
      <c r="AO18" s="10">
        <f t="shared" si="18"/>
        <v>0</v>
      </c>
      <c r="AP18" s="15"/>
      <c r="AQ18" s="10">
        <f t="shared" si="19"/>
        <v>0</v>
      </c>
      <c r="AR18" s="15"/>
      <c r="AS18" s="10">
        <f t="shared" si="20"/>
        <v>0</v>
      </c>
      <c r="AT18" s="15"/>
      <c r="AU18" s="10">
        <f t="shared" si="21"/>
        <v>0</v>
      </c>
      <c r="AV18" s="15"/>
      <c r="AW18" s="10">
        <f t="shared" si="22"/>
        <v>0</v>
      </c>
      <c r="AX18" s="15"/>
      <c r="AY18" s="10">
        <f t="shared" si="23"/>
        <v>0</v>
      </c>
      <c r="AZ18" s="15"/>
      <c r="BA18" s="10">
        <f t="shared" si="24"/>
        <v>0</v>
      </c>
      <c r="BB18" s="15"/>
      <c r="BC18" s="10">
        <f t="shared" si="25"/>
        <v>0</v>
      </c>
      <c r="BD18" s="15"/>
      <c r="BE18" s="10">
        <f t="shared" si="26"/>
        <v>0</v>
      </c>
      <c r="BF18" s="11">
        <f t="shared" si="27"/>
        <v>0</v>
      </c>
      <c r="BG18" s="12">
        <f t="shared" si="28"/>
        <v>0</v>
      </c>
      <c r="BH18" s="15"/>
      <c r="BI18" s="10">
        <f t="shared" si="29"/>
        <v>0</v>
      </c>
      <c r="BJ18" s="15"/>
      <c r="BK18" s="10">
        <f t="shared" si="30"/>
        <v>0</v>
      </c>
      <c r="BL18" s="15"/>
      <c r="BM18" s="10">
        <f t="shared" si="31"/>
        <v>0</v>
      </c>
      <c r="BN18" s="15"/>
      <c r="BO18" s="10">
        <f t="shared" si="32"/>
        <v>0</v>
      </c>
      <c r="BP18" s="15"/>
      <c r="BQ18" s="10">
        <f t="shared" si="33"/>
        <v>0</v>
      </c>
      <c r="BR18" s="15"/>
      <c r="BS18" s="10">
        <f t="shared" si="34"/>
        <v>0</v>
      </c>
      <c r="BT18" s="15"/>
      <c r="BU18" s="10">
        <f t="shared" si="35"/>
        <v>0</v>
      </c>
      <c r="BV18" s="15"/>
      <c r="BW18" s="10">
        <f t="shared" si="36"/>
        <v>0</v>
      </c>
      <c r="BX18" s="15"/>
      <c r="BY18" s="10">
        <f t="shared" si="37"/>
        <v>0</v>
      </c>
      <c r="BZ18" s="15"/>
      <c r="CA18" s="10">
        <f t="shared" si="38"/>
        <v>0</v>
      </c>
      <c r="CB18" s="15"/>
      <c r="CC18" s="10">
        <f t="shared" si="39"/>
        <v>0</v>
      </c>
      <c r="CD18" s="15"/>
      <c r="CE18" s="10">
        <f t="shared" si="40"/>
        <v>0</v>
      </c>
      <c r="CF18" s="11">
        <f t="shared" si="41"/>
        <v>0</v>
      </c>
      <c r="CG18" s="12">
        <f t="shared" si="42"/>
        <v>0</v>
      </c>
      <c r="CH18" s="15"/>
      <c r="CI18" s="10">
        <f t="shared" si="43"/>
        <v>0</v>
      </c>
      <c r="CJ18" s="15"/>
      <c r="CK18" s="10">
        <f t="shared" si="44"/>
        <v>0</v>
      </c>
      <c r="CL18" s="15"/>
      <c r="CM18" s="10">
        <f t="shared" si="45"/>
        <v>0</v>
      </c>
      <c r="CN18" s="15"/>
      <c r="CO18" s="10">
        <f t="shared" si="46"/>
        <v>0</v>
      </c>
      <c r="CP18" s="15"/>
      <c r="CQ18" s="10">
        <f t="shared" si="47"/>
        <v>0</v>
      </c>
      <c r="CR18" s="15"/>
      <c r="CS18" s="10">
        <f t="shared" si="48"/>
        <v>0</v>
      </c>
      <c r="CT18" s="15"/>
      <c r="CU18" s="10">
        <f t="shared" si="49"/>
        <v>0</v>
      </c>
      <c r="CV18" s="15"/>
      <c r="CW18" s="10">
        <f t="shared" si="50"/>
        <v>0</v>
      </c>
      <c r="CX18" s="15"/>
      <c r="CY18" s="10">
        <f t="shared" si="51"/>
        <v>0</v>
      </c>
      <c r="CZ18" s="15"/>
      <c r="DA18" s="10">
        <f t="shared" si="52"/>
        <v>0</v>
      </c>
      <c r="DB18" s="15"/>
      <c r="DC18" s="10">
        <f t="shared" si="53"/>
        <v>0</v>
      </c>
      <c r="DD18" s="15"/>
      <c r="DE18" s="10">
        <f t="shared" si="53"/>
        <v>0</v>
      </c>
      <c r="DF18" s="16">
        <f t="shared" si="0"/>
        <v>0</v>
      </c>
      <c r="DG18" s="208">
        <f t="shared" si="54"/>
        <v>0</v>
      </c>
    </row>
    <row r="19" spans="1:111">
      <c r="A19" s="7">
        <v>14</v>
      </c>
      <c r="B19" s="8" t="s">
        <v>27</v>
      </c>
      <c r="C19" s="8" t="s">
        <v>14</v>
      </c>
      <c r="D19" s="7">
        <f t="shared" si="55"/>
        <v>30</v>
      </c>
      <c r="E19" s="7">
        <v>0.6</v>
      </c>
      <c r="F19" s="7" t="s">
        <v>12</v>
      </c>
      <c r="G19" s="7">
        <v>1310</v>
      </c>
      <c r="H19" s="9">
        <v>12</v>
      </c>
      <c r="I19" s="10">
        <f t="shared" si="1"/>
        <v>7.1999999999999993</v>
      </c>
      <c r="J19" s="9"/>
      <c r="K19" s="10">
        <f t="shared" si="2"/>
        <v>0</v>
      </c>
      <c r="L19" s="9"/>
      <c r="M19" s="10">
        <f t="shared" si="3"/>
        <v>0</v>
      </c>
      <c r="N19" s="9"/>
      <c r="O19" s="10">
        <f t="shared" si="4"/>
        <v>0</v>
      </c>
      <c r="P19" s="9"/>
      <c r="Q19" s="10">
        <f t="shared" si="5"/>
        <v>0</v>
      </c>
      <c r="R19" s="9">
        <v>132</v>
      </c>
      <c r="S19" s="10">
        <f t="shared" si="6"/>
        <v>79.2</v>
      </c>
      <c r="T19" s="9"/>
      <c r="U19" s="10">
        <f t="shared" si="7"/>
        <v>0</v>
      </c>
      <c r="V19" s="9"/>
      <c r="W19" s="10">
        <f t="shared" si="8"/>
        <v>0</v>
      </c>
      <c r="X19" s="9"/>
      <c r="Y19" s="10">
        <f t="shared" si="9"/>
        <v>0</v>
      </c>
      <c r="Z19" s="9"/>
      <c r="AA19" s="10">
        <f t="shared" si="10"/>
        <v>0</v>
      </c>
      <c r="AB19" s="9"/>
      <c r="AC19" s="10">
        <f t="shared" si="11"/>
        <v>0</v>
      </c>
      <c r="AD19" s="9"/>
      <c r="AE19" s="10">
        <f t="shared" si="12"/>
        <v>0</v>
      </c>
      <c r="AF19" s="11">
        <f t="shared" si="13"/>
        <v>144</v>
      </c>
      <c r="AG19" s="12">
        <f t="shared" si="14"/>
        <v>86.399999999999991</v>
      </c>
      <c r="AH19" s="15"/>
      <c r="AI19" s="10">
        <f t="shared" si="15"/>
        <v>0</v>
      </c>
      <c r="AJ19" s="15"/>
      <c r="AK19" s="10">
        <f t="shared" si="16"/>
        <v>0</v>
      </c>
      <c r="AL19" s="15"/>
      <c r="AM19" s="10">
        <f t="shared" si="17"/>
        <v>0</v>
      </c>
      <c r="AN19" s="15"/>
      <c r="AO19" s="10">
        <f t="shared" si="18"/>
        <v>0</v>
      </c>
      <c r="AP19" s="15"/>
      <c r="AQ19" s="10">
        <f t="shared" si="19"/>
        <v>0</v>
      </c>
      <c r="AR19" s="15"/>
      <c r="AS19" s="10">
        <f t="shared" si="20"/>
        <v>0</v>
      </c>
      <c r="AT19" s="15"/>
      <c r="AU19" s="10">
        <f t="shared" si="21"/>
        <v>0</v>
      </c>
      <c r="AV19" s="15"/>
      <c r="AW19" s="10">
        <f t="shared" si="22"/>
        <v>0</v>
      </c>
      <c r="AX19" s="15"/>
      <c r="AY19" s="10">
        <f t="shared" si="23"/>
        <v>0</v>
      </c>
      <c r="AZ19" s="15"/>
      <c r="BA19" s="10">
        <f t="shared" si="24"/>
        <v>0</v>
      </c>
      <c r="BB19" s="15"/>
      <c r="BC19" s="10">
        <f t="shared" si="25"/>
        <v>0</v>
      </c>
      <c r="BD19" s="15"/>
      <c r="BE19" s="10">
        <f t="shared" si="26"/>
        <v>0</v>
      </c>
      <c r="BF19" s="11">
        <f t="shared" si="27"/>
        <v>0</v>
      </c>
      <c r="BG19" s="12">
        <f t="shared" si="28"/>
        <v>0</v>
      </c>
      <c r="BH19" s="13">
        <v>12</v>
      </c>
      <c r="BI19" s="10">
        <f t="shared" si="29"/>
        <v>7.1999999999999993</v>
      </c>
      <c r="BJ19" s="13">
        <v>0</v>
      </c>
      <c r="BK19" s="10">
        <f t="shared" si="30"/>
        <v>0</v>
      </c>
      <c r="BL19" s="13">
        <v>0</v>
      </c>
      <c r="BM19" s="10">
        <f t="shared" si="31"/>
        <v>0</v>
      </c>
      <c r="BN19" s="13">
        <v>0</v>
      </c>
      <c r="BO19" s="10">
        <f t="shared" si="32"/>
        <v>0</v>
      </c>
      <c r="BP19" s="13">
        <v>0</v>
      </c>
      <c r="BQ19" s="10">
        <f t="shared" si="33"/>
        <v>0</v>
      </c>
      <c r="BR19" s="13">
        <v>0</v>
      </c>
      <c r="BS19" s="10">
        <f t="shared" si="34"/>
        <v>0</v>
      </c>
      <c r="BT19" s="13">
        <v>0</v>
      </c>
      <c r="BU19" s="10">
        <f t="shared" si="35"/>
        <v>0</v>
      </c>
      <c r="BV19" s="13">
        <v>0</v>
      </c>
      <c r="BW19" s="10">
        <f t="shared" si="36"/>
        <v>0</v>
      </c>
      <c r="BX19" s="13">
        <v>0</v>
      </c>
      <c r="BY19" s="10">
        <f t="shared" si="37"/>
        <v>0</v>
      </c>
      <c r="BZ19" s="13"/>
      <c r="CA19" s="10">
        <f t="shared" si="38"/>
        <v>0</v>
      </c>
      <c r="CB19" s="13"/>
      <c r="CC19" s="10">
        <f t="shared" si="39"/>
        <v>0</v>
      </c>
      <c r="CD19" s="14"/>
      <c r="CE19" s="10">
        <f t="shared" si="40"/>
        <v>0</v>
      </c>
      <c r="CF19" s="11">
        <f t="shared" si="41"/>
        <v>12</v>
      </c>
      <c r="CG19" s="12">
        <f t="shared" si="42"/>
        <v>7.1999999999999993</v>
      </c>
      <c r="CH19" s="15"/>
      <c r="CI19" s="10">
        <f t="shared" si="43"/>
        <v>0</v>
      </c>
      <c r="CJ19" s="15"/>
      <c r="CK19" s="10">
        <f t="shared" si="44"/>
        <v>0</v>
      </c>
      <c r="CL19" s="15"/>
      <c r="CM19" s="10">
        <f t="shared" si="45"/>
        <v>0</v>
      </c>
      <c r="CN19" s="15"/>
      <c r="CO19" s="10">
        <f t="shared" si="46"/>
        <v>0</v>
      </c>
      <c r="CP19" s="15"/>
      <c r="CQ19" s="10">
        <f t="shared" si="47"/>
        <v>0</v>
      </c>
      <c r="CR19" s="15"/>
      <c r="CS19" s="10">
        <f t="shared" si="48"/>
        <v>0</v>
      </c>
      <c r="CT19" s="15"/>
      <c r="CU19" s="10">
        <f t="shared" si="49"/>
        <v>0</v>
      </c>
      <c r="CV19" s="15">
        <v>12</v>
      </c>
      <c r="CW19" s="10">
        <f t="shared" si="50"/>
        <v>7.1999999999999993</v>
      </c>
      <c r="CX19" s="15"/>
      <c r="CY19" s="10">
        <f t="shared" si="51"/>
        <v>0</v>
      </c>
      <c r="CZ19" s="15"/>
      <c r="DA19" s="10">
        <f t="shared" si="52"/>
        <v>0</v>
      </c>
      <c r="DB19" s="15"/>
      <c r="DC19" s="10">
        <f t="shared" si="53"/>
        <v>0</v>
      </c>
      <c r="DD19" s="15"/>
      <c r="DE19" s="10">
        <f t="shared" si="53"/>
        <v>0</v>
      </c>
      <c r="DF19" s="16">
        <f t="shared" si="0"/>
        <v>12</v>
      </c>
      <c r="DG19" s="208">
        <f t="shared" si="54"/>
        <v>7.1999999999999993</v>
      </c>
    </row>
    <row r="20" spans="1:111">
      <c r="A20" s="7">
        <v>15</v>
      </c>
      <c r="B20" s="8" t="s">
        <v>28</v>
      </c>
      <c r="C20" s="8" t="s">
        <v>14</v>
      </c>
      <c r="D20" s="7">
        <f t="shared" si="55"/>
        <v>31</v>
      </c>
      <c r="E20" s="7">
        <v>0.35</v>
      </c>
      <c r="F20" s="7" t="s">
        <v>18</v>
      </c>
      <c r="G20" s="7">
        <v>730</v>
      </c>
      <c r="H20" s="15"/>
      <c r="I20" s="10">
        <f t="shared" si="1"/>
        <v>0</v>
      </c>
      <c r="J20" s="15"/>
      <c r="K20" s="10">
        <f t="shared" si="2"/>
        <v>0</v>
      </c>
      <c r="L20" s="15"/>
      <c r="M20" s="10">
        <f t="shared" si="3"/>
        <v>0</v>
      </c>
      <c r="N20" s="15"/>
      <c r="O20" s="10">
        <f t="shared" si="4"/>
        <v>0</v>
      </c>
      <c r="P20" s="15"/>
      <c r="Q20" s="10">
        <f t="shared" si="5"/>
        <v>0</v>
      </c>
      <c r="R20" s="15"/>
      <c r="S20" s="10">
        <f t="shared" si="6"/>
        <v>0</v>
      </c>
      <c r="T20" s="15"/>
      <c r="U20" s="10">
        <f t="shared" si="7"/>
        <v>0</v>
      </c>
      <c r="V20" s="15"/>
      <c r="W20" s="10">
        <f t="shared" si="8"/>
        <v>0</v>
      </c>
      <c r="X20" s="15"/>
      <c r="Y20" s="10">
        <f t="shared" si="9"/>
        <v>0</v>
      </c>
      <c r="Z20" s="15"/>
      <c r="AA20" s="10">
        <f t="shared" si="10"/>
        <v>0</v>
      </c>
      <c r="AB20" s="15"/>
      <c r="AC20" s="10">
        <f t="shared" si="11"/>
        <v>0</v>
      </c>
      <c r="AD20" s="15"/>
      <c r="AE20" s="10">
        <f t="shared" si="12"/>
        <v>0</v>
      </c>
      <c r="AF20" s="11">
        <f t="shared" si="13"/>
        <v>0</v>
      </c>
      <c r="AG20" s="12">
        <f t="shared" si="14"/>
        <v>0</v>
      </c>
      <c r="AH20" s="15"/>
      <c r="AI20" s="10">
        <f t="shared" si="15"/>
        <v>0</v>
      </c>
      <c r="AJ20" s="15"/>
      <c r="AK20" s="10">
        <f t="shared" si="16"/>
        <v>0</v>
      </c>
      <c r="AL20" s="15"/>
      <c r="AM20" s="10">
        <f t="shared" si="17"/>
        <v>0</v>
      </c>
      <c r="AN20" s="15"/>
      <c r="AO20" s="10">
        <f t="shared" si="18"/>
        <v>0</v>
      </c>
      <c r="AP20" s="15"/>
      <c r="AQ20" s="10">
        <f t="shared" si="19"/>
        <v>0</v>
      </c>
      <c r="AR20" s="15"/>
      <c r="AS20" s="10">
        <f t="shared" si="20"/>
        <v>0</v>
      </c>
      <c r="AT20" s="15"/>
      <c r="AU20" s="10">
        <f t="shared" si="21"/>
        <v>0</v>
      </c>
      <c r="AV20" s="15"/>
      <c r="AW20" s="10">
        <f t="shared" si="22"/>
        <v>0</v>
      </c>
      <c r="AX20" s="15"/>
      <c r="AY20" s="10">
        <f t="shared" si="23"/>
        <v>0</v>
      </c>
      <c r="AZ20" s="15"/>
      <c r="BA20" s="10">
        <f t="shared" si="24"/>
        <v>0</v>
      </c>
      <c r="BB20" s="15"/>
      <c r="BC20" s="10">
        <f t="shared" si="25"/>
        <v>0</v>
      </c>
      <c r="BD20" s="15"/>
      <c r="BE20" s="10">
        <f t="shared" si="26"/>
        <v>0</v>
      </c>
      <c r="BF20" s="11">
        <f t="shared" si="27"/>
        <v>0</v>
      </c>
      <c r="BG20" s="12">
        <f t="shared" si="28"/>
        <v>0</v>
      </c>
      <c r="BH20" s="15"/>
      <c r="BI20" s="10">
        <f t="shared" si="29"/>
        <v>0</v>
      </c>
      <c r="BJ20" s="15"/>
      <c r="BK20" s="10">
        <f t="shared" si="30"/>
        <v>0</v>
      </c>
      <c r="BL20" s="15"/>
      <c r="BM20" s="10">
        <f t="shared" si="31"/>
        <v>0</v>
      </c>
      <c r="BN20" s="15"/>
      <c r="BO20" s="10">
        <f t="shared" si="32"/>
        <v>0</v>
      </c>
      <c r="BP20" s="15"/>
      <c r="BQ20" s="10">
        <f t="shared" si="33"/>
        <v>0</v>
      </c>
      <c r="BR20" s="15"/>
      <c r="BS20" s="10">
        <f t="shared" si="34"/>
        <v>0</v>
      </c>
      <c r="BT20" s="15"/>
      <c r="BU20" s="10">
        <f t="shared" si="35"/>
        <v>0</v>
      </c>
      <c r="BV20" s="15"/>
      <c r="BW20" s="10">
        <f t="shared" si="36"/>
        <v>0</v>
      </c>
      <c r="BX20" s="15"/>
      <c r="BY20" s="10">
        <f t="shared" si="37"/>
        <v>0</v>
      </c>
      <c r="BZ20" s="15"/>
      <c r="CA20" s="10">
        <f t="shared" si="38"/>
        <v>0</v>
      </c>
      <c r="CB20" s="15"/>
      <c r="CC20" s="10">
        <f t="shared" si="39"/>
        <v>0</v>
      </c>
      <c r="CD20" s="15"/>
      <c r="CE20" s="10">
        <f t="shared" si="40"/>
        <v>0</v>
      </c>
      <c r="CF20" s="11">
        <f t="shared" si="41"/>
        <v>0</v>
      </c>
      <c r="CG20" s="12">
        <f t="shared" si="42"/>
        <v>0</v>
      </c>
      <c r="CH20" s="15"/>
      <c r="CI20" s="10">
        <f t="shared" si="43"/>
        <v>0</v>
      </c>
      <c r="CJ20" s="15"/>
      <c r="CK20" s="10">
        <f t="shared" si="44"/>
        <v>0</v>
      </c>
      <c r="CL20" s="15"/>
      <c r="CM20" s="10">
        <f t="shared" si="45"/>
        <v>0</v>
      </c>
      <c r="CN20" s="15"/>
      <c r="CO20" s="10">
        <f t="shared" si="46"/>
        <v>0</v>
      </c>
      <c r="CP20" s="15"/>
      <c r="CQ20" s="10">
        <f t="shared" si="47"/>
        <v>0</v>
      </c>
      <c r="CR20" s="15"/>
      <c r="CS20" s="10">
        <f t="shared" si="48"/>
        <v>0</v>
      </c>
      <c r="CT20" s="15"/>
      <c r="CU20" s="10">
        <f t="shared" si="49"/>
        <v>0</v>
      </c>
      <c r="CV20" s="15"/>
      <c r="CW20" s="10">
        <f t="shared" si="50"/>
        <v>0</v>
      </c>
      <c r="CX20" s="15"/>
      <c r="CY20" s="10">
        <f t="shared" si="51"/>
        <v>0</v>
      </c>
      <c r="CZ20" s="15"/>
      <c r="DA20" s="10">
        <f t="shared" si="52"/>
        <v>0</v>
      </c>
      <c r="DB20" s="15"/>
      <c r="DC20" s="10">
        <f t="shared" si="53"/>
        <v>0</v>
      </c>
      <c r="DD20" s="15"/>
      <c r="DE20" s="10">
        <f t="shared" si="53"/>
        <v>0</v>
      </c>
      <c r="DF20" s="16">
        <f t="shared" si="0"/>
        <v>0</v>
      </c>
      <c r="DG20" s="208">
        <f t="shared" si="54"/>
        <v>0</v>
      </c>
    </row>
    <row r="21" spans="1:111">
      <c r="A21" s="7">
        <v>16</v>
      </c>
      <c r="B21" s="8" t="s">
        <v>29</v>
      </c>
      <c r="C21" s="8" t="s">
        <v>14</v>
      </c>
      <c r="D21" s="7">
        <f t="shared" si="55"/>
        <v>26</v>
      </c>
      <c r="E21" s="7">
        <v>0.35</v>
      </c>
      <c r="F21" s="7" t="s">
        <v>18</v>
      </c>
      <c r="G21" s="7">
        <v>900</v>
      </c>
      <c r="H21" s="9">
        <v>187200</v>
      </c>
      <c r="I21" s="10">
        <f t="shared" si="1"/>
        <v>65519.999999999993</v>
      </c>
      <c r="J21" s="9"/>
      <c r="K21" s="10">
        <f t="shared" si="2"/>
        <v>0</v>
      </c>
      <c r="L21" s="9"/>
      <c r="M21" s="10">
        <f t="shared" si="3"/>
        <v>0</v>
      </c>
      <c r="N21" s="9"/>
      <c r="O21" s="10">
        <f t="shared" si="4"/>
        <v>0</v>
      </c>
      <c r="P21" s="9"/>
      <c r="Q21" s="10">
        <f t="shared" si="5"/>
        <v>0</v>
      </c>
      <c r="R21" s="9"/>
      <c r="S21" s="10">
        <f t="shared" si="6"/>
        <v>0</v>
      </c>
      <c r="T21" s="9"/>
      <c r="U21" s="10">
        <f t="shared" si="7"/>
        <v>0</v>
      </c>
      <c r="V21" s="9"/>
      <c r="W21" s="10">
        <f t="shared" si="8"/>
        <v>0</v>
      </c>
      <c r="X21" s="9"/>
      <c r="Y21" s="10">
        <f t="shared" si="9"/>
        <v>0</v>
      </c>
      <c r="Z21" s="9"/>
      <c r="AA21" s="10">
        <f t="shared" si="10"/>
        <v>0</v>
      </c>
      <c r="AB21" s="9"/>
      <c r="AC21" s="10">
        <f t="shared" si="11"/>
        <v>0</v>
      </c>
      <c r="AD21" s="9"/>
      <c r="AE21" s="10">
        <f t="shared" si="12"/>
        <v>0</v>
      </c>
      <c r="AF21" s="11">
        <f t="shared" si="13"/>
        <v>187200</v>
      </c>
      <c r="AG21" s="12">
        <f t="shared" si="14"/>
        <v>65519.999999999993</v>
      </c>
      <c r="AH21" s="9"/>
      <c r="AI21" s="10">
        <f t="shared" si="15"/>
        <v>0</v>
      </c>
      <c r="AJ21" s="9"/>
      <c r="AK21" s="10">
        <f t="shared" si="16"/>
        <v>0</v>
      </c>
      <c r="AL21" s="9"/>
      <c r="AM21" s="10">
        <f t="shared" si="17"/>
        <v>0</v>
      </c>
      <c r="AN21" s="9"/>
      <c r="AO21" s="10">
        <f t="shared" si="18"/>
        <v>0</v>
      </c>
      <c r="AP21" s="9"/>
      <c r="AQ21" s="10">
        <f t="shared" si="19"/>
        <v>0</v>
      </c>
      <c r="AR21" s="9"/>
      <c r="AS21" s="10">
        <f t="shared" si="20"/>
        <v>0</v>
      </c>
      <c r="AT21" s="9">
        <v>52</v>
      </c>
      <c r="AU21" s="10">
        <f t="shared" si="21"/>
        <v>18.2</v>
      </c>
      <c r="AV21" s="9"/>
      <c r="AW21" s="10">
        <f t="shared" si="22"/>
        <v>0</v>
      </c>
      <c r="AX21" s="9"/>
      <c r="AY21" s="10">
        <f t="shared" si="23"/>
        <v>0</v>
      </c>
      <c r="AZ21" s="9"/>
      <c r="BA21" s="10">
        <f t="shared" si="24"/>
        <v>0</v>
      </c>
      <c r="BB21" s="9"/>
      <c r="BC21" s="10">
        <f t="shared" si="25"/>
        <v>0</v>
      </c>
      <c r="BD21" s="9"/>
      <c r="BE21" s="10">
        <f t="shared" si="26"/>
        <v>0</v>
      </c>
      <c r="BF21" s="11">
        <f t="shared" si="27"/>
        <v>52</v>
      </c>
      <c r="BG21" s="12">
        <f t="shared" si="28"/>
        <v>18.2</v>
      </c>
      <c r="BH21" s="15"/>
      <c r="BI21" s="10">
        <f t="shared" si="29"/>
        <v>0</v>
      </c>
      <c r="BJ21" s="15"/>
      <c r="BK21" s="10">
        <f t="shared" si="30"/>
        <v>0</v>
      </c>
      <c r="BL21" s="15"/>
      <c r="BM21" s="10">
        <f t="shared" si="31"/>
        <v>0</v>
      </c>
      <c r="BN21" s="15"/>
      <c r="BO21" s="10">
        <f t="shared" si="32"/>
        <v>0</v>
      </c>
      <c r="BP21" s="15"/>
      <c r="BQ21" s="10">
        <f t="shared" si="33"/>
        <v>0</v>
      </c>
      <c r="BR21" s="15"/>
      <c r="BS21" s="10">
        <f t="shared" si="34"/>
        <v>0</v>
      </c>
      <c r="BT21" s="15"/>
      <c r="BU21" s="10">
        <f t="shared" si="35"/>
        <v>0</v>
      </c>
      <c r="BV21" s="15"/>
      <c r="BW21" s="10">
        <f t="shared" si="36"/>
        <v>0</v>
      </c>
      <c r="BX21" s="15"/>
      <c r="BY21" s="10">
        <f t="shared" si="37"/>
        <v>0</v>
      </c>
      <c r="BZ21" s="15"/>
      <c r="CA21" s="10">
        <f t="shared" si="38"/>
        <v>0</v>
      </c>
      <c r="CB21" s="15"/>
      <c r="CC21" s="10">
        <f t="shared" si="39"/>
        <v>0</v>
      </c>
      <c r="CD21" s="15"/>
      <c r="CE21" s="10">
        <f t="shared" si="40"/>
        <v>0</v>
      </c>
      <c r="CF21" s="11">
        <f t="shared" si="41"/>
        <v>0</v>
      </c>
      <c r="CG21" s="12">
        <f t="shared" si="42"/>
        <v>0</v>
      </c>
      <c r="CH21" s="15"/>
      <c r="CI21" s="10">
        <f t="shared" si="43"/>
        <v>0</v>
      </c>
      <c r="CJ21" s="15"/>
      <c r="CK21" s="10">
        <f t="shared" si="44"/>
        <v>0</v>
      </c>
      <c r="CL21" s="15"/>
      <c r="CM21" s="10">
        <f t="shared" si="45"/>
        <v>0</v>
      </c>
      <c r="CN21" s="15"/>
      <c r="CO21" s="10">
        <f t="shared" si="46"/>
        <v>0</v>
      </c>
      <c r="CP21" s="15"/>
      <c r="CQ21" s="10">
        <f t="shared" si="47"/>
        <v>0</v>
      </c>
      <c r="CR21" s="15"/>
      <c r="CS21" s="10">
        <f t="shared" si="48"/>
        <v>0</v>
      </c>
      <c r="CT21" s="15"/>
      <c r="CU21" s="10">
        <f t="shared" si="49"/>
        <v>0</v>
      </c>
      <c r="CV21" s="15"/>
      <c r="CW21" s="10">
        <f t="shared" si="50"/>
        <v>0</v>
      </c>
      <c r="CX21" s="15"/>
      <c r="CY21" s="10">
        <f t="shared" si="51"/>
        <v>0</v>
      </c>
      <c r="CZ21" s="15">
        <v>80</v>
      </c>
      <c r="DA21" s="10">
        <f t="shared" si="52"/>
        <v>28</v>
      </c>
      <c r="DB21" s="15">
        <v>400</v>
      </c>
      <c r="DC21" s="10">
        <f t="shared" si="53"/>
        <v>140</v>
      </c>
      <c r="DD21" s="15"/>
      <c r="DE21" s="10">
        <f t="shared" si="53"/>
        <v>0</v>
      </c>
      <c r="DF21" s="16">
        <f t="shared" si="0"/>
        <v>480</v>
      </c>
      <c r="DG21" s="208">
        <f t="shared" si="54"/>
        <v>168</v>
      </c>
    </row>
    <row r="22" spans="1:111">
      <c r="A22" s="7">
        <v>17</v>
      </c>
      <c r="B22" s="8" t="s">
        <v>30</v>
      </c>
      <c r="C22" s="8" t="s">
        <v>11</v>
      </c>
      <c r="D22" s="7">
        <f t="shared" si="55"/>
        <v>31</v>
      </c>
      <c r="E22" s="7">
        <v>0.64</v>
      </c>
      <c r="F22" s="7" t="s">
        <v>22</v>
      </c>
      <c r="G22" s="7">
        <v>1350</v>
      </c>
      <c r="H22" s="15"/>
      <c r="I22" s="10">
        <f t="shared" si="1"/>
        <v>0</v>
      </c>
      <c r="J22" s="15"/>
      <c r="K22" s="10">
        <f t="shared" si="2"/>
        <v>0</v>
      </c>
      <c r="L22" s="15"/>
      <c r="M22" s="10">
        <f t="shared" si="3"/>
        <v>0</v>
      </c>
      <c r="N22" s="15"/>
      <c r="O22" s="10">
        <f t="shared" si="4"/>
        <v>0</v>
      </c>
      <c r="P22" s="15"/>
      <c r="Q22" s="10">
        <f t="shared" si="5"/>
        <v>0</v>
      </c>
      <c r="R22" s="15"/>
      <c r="S22" s="10">
        <f t="shared" si="6"/>
        <v>0</v>
      </c>
      <c r="T22" s="15"/>
      <c r="U22" s="10">
        <f t="shared" si="7"/>
        <v>0</v>
      </c>
      <c r="V22" s="15"/>
      <c r="W22" s="10">
        <f t="shared" si="8"/>
        <v>0</v>
      </c>
      <c r="X22" s="15"/>
      <c r="Y22" s="10">
        <f t="shared" si="9"/>
        <v>0</v>
      </c>
      <c r="Z22" s="15"/>
      <c r="AA22" s="10">
        <f t="shared" si="10"/>
        <v>0</v>
      </c>
      <c r="AB22" s="15"/>
      <c r="AC22" s="10">
        <f t="shared" si="11"/>
        <v>0</v>
      </c>
      <c r="AD22" s="15"/>
      <c r="AE22" s="10">
        <f t="shared" si="12"/>
        <v>0</v>
      </c>
      <c r="AF22" s="11">
        <f t="shared" si="13"/>
        <v>0</v>
      </c>
      <c r="AG22" s="12">
        <f t="shared" si="14"/>
        <v>0</v>
      </c>
      <c r="AH22" s="9"/>
      <c r="AI22" s="10">
        <f t="shared" si="15"/>
        <v>0</v>
      </c>
      <c r="AJ22" s="9"/>
      <c r="AK22" s="10">
        <f t="shared" si="16"/>
        <v>0</v>
      </c>
      <c r="AL22" s="9"/>
      <c r="AM22" s="10">
        <f t="shared" si="17"/>
        <v>0</v>
      </c>
      <c r="AN22" s="9"/>
      <c r="AO22" s="10">
        <f t="shared" si="18"/>
        <v>0</v>
      </c>
      <c r="AP22" s="9"/>
      <c r="AQ22" s="10">
        <f t="shared" si="19"/>
        <v>0</v>
      </c>
      <c r="AR22" s="9"/>
      <c r="AS22" s="10">
        <f t="shared" si="20"/>
        <v>0</v>
      </c>
      <c r="AT22" s="9"/>
      <c r="AU22" s="10">
        <f t="shared" si="21"/>
        <v>0</v>
      </c>
      <c r="AV22" s="9"/>
      <c r="AW22" s="10">
        <f t="shared" si="22"/>
        <v>0</v>
      </c>
      <c r="AX22" s="9"/>
      <c r="AY22" s="10">
        <f t="shared" si="23"/>
        <v>0</v>
      </c>
      <c r="AZ22" s="9">
        <v>14</v>
      </c>
      <c r="BA22" s="10">
        <f t="shared" si="24"/>
        <v>8.9600000000000009</v>
      </c>
      <c r="BB22" s="9"/>
      <c r="BC22" s="10">
        <f t="shared" si="25"/>
        <v>0</v>
      </c>
      <c r="BD22" s="9"/>
      <c r="BE22" s="10">
        <f t="shared" si="26"/>
        <v>0</v>
      </c>
      <c r="BF22" s="11">
        <f t="shared" si="27"/>
        <v>14</v>
      </c>
      <c r="BG22" s="12">
        <f t="shared" si="28"/>
        <v>8.9600000000000009</v>
      </c>
      <c r="BH22" s="15"/>
      <c r="BI22" s="10">
        <f t="shared" si="29"/>
        <v>0</v>
      </c>
      <c r="BJ22" s="15"/>
      <c r="BK22" s="10">
        <f t="shared" si="30"/>
        <v>0</v>
      </c>
      <c r="BL22" s="15"/>
      <c r="BM22" s="10">
        <f t="shared" si="31"/>
        <v>0</v>
      </c>
      <c r="BN22" s="15"/>
      <c r="BO22" s="10">
        <f t="shared" si="32"/>
        <v>0</v>
      </c>
      <c r="BP22" s="15"/>
      <c r="BQ22" s="10">
        <f t="shared" si="33"/>
        <v>0</v>
      </c>
      <c r="BR22" s="15"/>
      <c r="BS22" s="10">
        <f t="shared" si="34"/>
        <v>0</v>
      </c>
      <c r="BT22" s="15"/>
      <c r="BU22" s="10">
        <f t="shared" si="35"/>
        <v>0</v>
      </c>
      <c r="BV22" s="15"/>
      <c r="BW22" s="10">
        <f t="shared" si="36"/>
        <v>0</v>
      </c>
      <c r="BX22" s="15"/>
      <c r="BY22" s="10">
        <f t="shared" si="37"/>
        <v>0</v>
      </c>
      <c r="BZ22" s="15"/>
      <c r="CA22" s="10">
        <f t="shared" si="38"/>
        <v>0</v>
      </c>
      <c r="CB22" s="15"/>
      <c r="CC22" s="10">
        <f t="shared" si="39"/>
        <v>0</v>
      </c>
      <c r="CD22" s="15"/>
      <c r="CE22" s="10">
        <f t="shared" si="40"/>
        <v>0</v>
      </c>
      <c r="CF22" s="11">
        <f t="shared" si="41"/>
        <v>0</v>
      </c>
      <c r="CG22" s="12">
        <f t="shared" si="42"/>
        <v>0</v>
      </c>
      <c r="CH22" s="15"/>
      <c r="CI22" s="10">
        <f t="shared" si="43"/>
        <v>0</v>
      </c>
      <c r="CJ22" s="15"/>
      <c r="CK22" s="10">
        <f t="shared" si="44"/>
        <v>0</v>
      </c>
      <c r="CL22" s="15"/>
      <c r="CM22" s="10">
        <f t="shared" si="45"/>
        <v>0</v>
      </c>
      <c r="CN22" s="15"/>
      <c r="CO22" s="10">
        <f t="shared" si="46"/>
        <v>0</v>
      </c>
      <c r="CP22" s="15"/>
      <c r="CQ22" s="10">
        <f t="shared" si="47"/>
        <v>0</v>
      </c>
      <c r="CR22" s="15"/>
      <c r="CS22" s="10">
        <f t="shared" si="48"/>
        <v>0</v>
      </c>
      <c r="CT22" s="15"/>
      <c r="CU22" s="10">
        <f t="shared" si="49"/>
        <v>0</v>
      </c>
      <c r="CV22" s="15"/>
      <c r="CW22" s="10">
        <f t="shared" si="50"/>
        <v>0</v>
      </c>
      <c r="CX22" s="15"/>
      <c r="CY22" s="10">
        <f t="shared" si="51"/>
        <v>0</v>
      </c>
      <c r="CZ22" s="15"/>
      <c r="DA22" s="10">
        <f t="shared" si="52"/>
        <v>0</v>
      </c>
      <c r="DB22" s="15"/>
      <c r="DC22" s="10">
        <f t="shared" si="53"/>
        <v>0</v>
      </c>
      <c r="DD22" s="15"/>
      <c r="DE22" s="10">
        <f t="shared" si="53"/>
        <v>0</v>
      </c>
      <c r="DF22" s="16">
        <f t="shared" si="0"/>
        <v>0</v>
      </c>
      <c r="DG22" s="208">
        <f t="shared" si="54"/>
        <v>0</v>
      </c>
    </row>
    <row r="23" spans="1:111">
      <c r="A23" s="7">
        <v>18</v>
      </c>
      <c r="B23" s="8" t="s">
        <v>31</v>
      </c>
      <c r="C23" s="8" t="s">
        <v>11</v>
      </c>
      <c r="D23" s="7">
        <f t="shared" si="55"/>
        <v>31</v>
      </c>
      <c r="E23" s="7">
        <v>0.64</v>
      </c>
      <c r="F23" s="7" t="s">
        <v>22</v>
      </c>
      <c r="G23" s="7"/>
      <c r="H23" s="15"/>
      <c r="I23" s="10">
        <f t="shared" si="1"/>
        <v>0</v>
      </c>
      <c r="J23" s="15"/>
      <c r="K23" s="10">
        <f t="shared" si="2"/>
        <v>0</v>
      </c>
      <c r="L23" s="15"/>
      <c r="M23" s="10">
        <f t="shared" si="3"/>
        <v>0</v>
      </c>
      <c r="N23" s="15"/>
      <c r="O23" s="10">
        <f t="shared" si="4"/>
        <v>0</v>
      </c>
      <c r="P23" s="15"/>
      <c r="Q23" s="10">
        <f t="shared" si="5"/>
        <v>0</v>
      </c>
      <c r="R23" s="15"/>
      <c r="S23" s="10">
        <f t="shared" si="6"/>
        <v>0</v>
      </c>
      <c r="T23" s="15"/>
      <c r="U23" s="10">
        <f t="shared" si="7"/>
        <v>0</v>
      </c>
      <c r="V23" s="15"/>
      <c r="W23" s="10">
        <f t="shared" si="8"/>
        <v>0</v>
      </c>
      <c r="X23" s="15"/>
      <c r="Y23" s="10">
        <f t="shared" si="9"/>
        <v>0</v>
      </c>
      <c r="Z23" s="15"/>
      <c r="AA23" s="10">
        <f t="shared" si="10"/>
        <v>0</v>
      </c>
      <c r="AB23" s="15"/>
      <c r="AC23" s="10">
        <f t="shared" si="11"/>
        <v>0</v>
      </c>
      <c r="AD23" s="15"/>
      <c r="AE23" s="10">
        <f t="shared" si="12"/>
        <v>0</v>
      </c>
      <c r="AF23" s="11">
        <f t="shared" si="13"/>
        <v>0</v>
      </c>
      <c r="AG23" s="12">
        <f t="shared" si="14"/>
        <v>0</v>
      </c>
      <c r="AH23" s="15"/>
      <c r="AI23" s="10">
        <f t="shared" si="15"/>
        <v>0</v>
      </c>
      <c r="AJ23" s="15"/>
      <c r="AK23" s="10">
        <f t="shared" si="16"/>
        <v>0</v>
      </c>
      <c r="AL23" s="15"/>
      <c r="AM23" s="10">
        <f t="shared" si="17"/>
        <v>0</v>
      </c>
      <c r="AN23" s="15"/>
      <c r="AO23" s="10">
        <f t="shared" si="18"/>
        <v>0</v>
      </c>
      <c r="AP23" s="15"/>
      <c r="AQ23" s="10">
        <f t="shared" si="19"/>
        <v>0</v>
      </c>
      <c r="AR23" s="15"/>
      <c r="AS23" s="10">
        <f t="shared" si="20"/>
        <v>0</v>
      </c>
      <c r="AT23" s="15"/>
      <c r="AU23" s="10">
        <f t="shared" si="21"/>
        <v>0</v>
      </c>
      <c r="AV23" s="15"/>
      <c r="AW23" s="10">
        <f t="shared" si="22"/>
        <v>0</v>
      </c>
      <c r="AX23" s="15"/>
      <c r="AY23" s="10">
        <f t="shared" si="23"/>
        <v>0</v>
      </c>
      <c r="AZ23" s="15"/>
      <c r="BA23" s="10">
        <f t="shared" si="24"/>
        <v>0</v>
      </c>
      <c r="BB23" s="15"/>
      <c r="BC23" s="10">
        <f t="shared" si="25"/>
        <v>0</v>
      </c>
      <c r="BD23" s="15"/>
      <c r="BE23" s="10">
        <f t="shared" si="26"/>
        <v>0</v>
      </c>
      <c r="BF23" s="11">
        <f t="shared" si="27"/>
        <v>0</v>
      </c>
      <c r="BG23" s="12">
        <f t="shared" si="28"/>
        <v>0</v>
      </c>
      <c r="BH23" s="15"/>
      <c r="BI23" s="10">
        <f t="shared" si="29"/>
        <v>0</v>
      </c>
      <c r="BJ23" s="15"/>
      <c r="BK23" s="10">
        <f t="shared" si="30"/>
        <v>0</v>
      </c>
      <c r="BL23" s="15"/>
      <c r="BM23" s="10">
        <f t="shared" si="31"/>
        <v>0</v>
      </c>
      <c r="BN23" s="15"/>
      <c r="BO23" s="10">
        <f t="shared" si="32"/>
        <v>0</v>
      </c>
      <c r="BP23" s="15"/>
      <c r="BQ23" s="10">
        <f t="shared" si="33"/>
        <v>0</v>
      </c>
      <c r="BR23" s="15"/>
      <c r="BS23" s="10">
        <f t="shared" si="34"/>
        <v>0</v>
      </c>
      <c r="BT23" s="15"/>
      <c r="BU23" s="10">
        <f t="shared" si="35"/>
        <v>0</v>
      </c>
      <c r="BV23" s="15"/>
      <c r="BW23" s="10">
        <f t="shared" si="36"/>
        <v>0</v>
      </c>
      <c r="BX23" s="15"/>
      <c r="BY23" s="10">
        <f t="shared" si="37"/>
        <v>0</v>
      </c>
      <c r="BZ23" s="15"/>
      <c r="CA23" s="10">
        <f t="shared" si="38"/>
        <v>0</v>
      </c>
      <c r="CB23" s="15"/>
      <c r="CC23" s="10">
        <f t="shared" si="39"/>
        <v>0</v>
      </c>
      <c r="CD23" s="15"/>
      <c r="CE23" s="10">
        <f t="shared" si="40"/>
        <v>0</v>
      </c>
      <c r="CF23" s="11">
        <f t="shared" si="41"/>
        <v>0</v>
      </c>
      <c r="CG23" s="12">
        <f t="shared" si="42"/>
        <v>0</v>
      </c>
      <c r="CH23" s="15"/>
      <c r="CI23" s="10">
        <f t="shared" si="43"/>
        <v>0</v>
      </c>
      <c r="CJ23" s="15"/>
      <c r="CK23" s="10">
        <f t="shared" si="44"/>
        <v>0</v>
      </c>
      <c r="CL23" s="15"/>
      <c r="CM23" s="10">
        <f t="shared" si="45"/>
        <v>0</v>
      </c>
      <c r="CN23" s="15"/>
      <c r="CO23" s="10">
        <f t="shared" si="46"/>
        <v>0</v>
      </c>
      <c r="CP23" s="15"/>
      <c r="CQ23" s="10">
        <f t="shared" si="47"/>
        <v>0</v>
      </c>
      <c r="CR23" s="15"/>
      <c r="CS23" s="10">
        <f t="shared" si="48"/>
        <v>0</v>
      </c>
      <c r="CT23" s="15"/>
      <c r="CU23" s="10">
        <f t="shared" si="49"/>
        <v>0</v>
      </c>
      <c r="CV23" s="15"/>
      <c r="CW23" s="10">
        <f t="shared" si="50"/>
        <v>0</v>
      </c>
      <c r="CX23" s="15"/>
      <c r="CY23" s="10">
        <f t="shared" si="51"/>
        <v>0</v>
      </c>
      <c r="CZ23" s="15"/>
      <c r="DA23" s="10">
        <f t="shared" si="52"/>
        <v>0</v>
      </c>
      <c r="DB23" s="15"/>
      <c r="DC23" s="10">
        <f t="shared" si="53"/>
        <v>0</v>
      </c>
      <c r="DD23" s="15"/>
      <c r="DE23" s="10">
        <f t="shared" si="53"/>
        <v>0</v>
      </c>
      <c r="DF23" s="16">
        <f t="shared" si="0"/>
        <v>0</v>
      </c>
      <c r="DG23" s="208">
        <f t="shared" si="54"/>
        <v>0</v>
      </c>
    </row>
    <row r="24" spans="1:111">
      <c r="A24" s="7">
        <v>19</v>
      </c>
      <c r="B24" s="8" t="s">
        <v>32</v>
      </c>
      <c r="C24" s="8" t="s">
        <v>11</v>
      </c>
      <c r="D24" s="7">
        <f t="shared" si="55"/>
        <v>31</v>
      </c>
      <c r="E24" s="7">
        <v>0.64</v>
      </c>
      <c r="F24" s="7" t="s">
        <v>22</v>
      </c>
      <c r="G24" s="7"/>
      <c r="H24" s="15"/>
      <c r="I24" s="10">
        <f t="shared" si="1"/>
        <v>0</v>
      </c>
      <c r="J24" s="15"/>
      <c r="K24" s="10">
        <f t="shared" si="2"/>
        <v>0</v>
      </c>
      <c r="L24" s="15"/>
      <c r="M24" s="10">
        <f t="shared" si="3"/>
        <v>0</v>
      </c>
      <c r="N24" s="15"/>
      <c r="O24" s="10">
        <f t="shared" si="4"/>
        <v>0</v>
      </c>
      <c r="P24" s="15"/>
      <c r="Q24" s="10">
        <f t="shared" si="5"/>
        <v>0</v>
      </c>
      <c r="R24" s="15"/>
      <c r="S24" s="10">
        <f t="shared" si="6"/>
        <v>0</v>
      </c>
      <c r="T24" s="15"/>
      <c r="U24" s="10">
        <f t="shared" si="7"/>
        <v>0</v>
      </c>
      <c r="V24" s="15"/>
      <c r="W24" s="10">
        <f t="shared" si="8"/>
        <v>0</v>
      </c>
      <c r="X24" s="15"/>
      <c r="Y24" s="10">
        <f t="shared" si="9"/>
        <v>0</v>
      </c>
      <c r="Z24" s="15"/>
      <c r="AA24" s="10">
        <f t="shared" si="10"/>
        <v>0</v>
      </c>
      <c r="AB24" s="15"/>
      <c r="AC24" s="10">
        <f t="shared" si="11"/>
        <v>0</v>
      </c>
      <c r="AD24" s="15"/>
      <c r="AE24" s="10">
        <f t="shared" si="12"/>
        <v>0</v>
      </c>
      <c r="AF24" s="11">
        <f t="shared" si="13"/>
        <v>0</v>
      </c>
      <c r="AG24" s="12">
        <f t="shared" si="14"/>
        <v>0</v>
      </c>
      <c r="AH24" s="15"/>
      <c r="AI24" s="10">
        <f t="shared" si="15"/>
        <v>0</v>
      </c>
      <c r="AJ24" s="15"/>
      <c r="AK24" s="10">
        <f t="shared" si="16"/>
        <v>0</v>
      </c>
      <c r="AL24" s="15"/>
      <c r="AM24" s="10">
        <f t="shared" si="17"/>
        <v>0</v>
      </c>
      <c r="AN24" s="15"/>
      <c r="AO24" s="10">
        <f t="shared" si="18"/>
        <v>0</v>
      </c>
      <c r="AP24" s="15"/>
      <c r="AQ24" s="10">
        <f t="shared" si="19"/>
        <v>0</v>
      </c>
      <c r="AR24" s="15"/>
      <c r="AS24" s="10">
        <f t="shared" si="20"/>
        <v>0</v>
      </c>
      <c r="AT24" s="15"/>
      <c r="AU24" s="10">
        <f t="shared" si="21"/>
        <v>0</v>
      </c>
      <c r="AV24" s="15"/>
      <c r="AW24" s="10">
        <f t="shared" si="22"/>
        <v>0</v>
      </c>
      <c r="AX24" s="15"/>
      <c r="AY24" s="10">
        <f t="shared" si="23"/>
        <v>0</v>
      </c>
      <c r="AZ24" s="15"/>
      <c r="BA24" s="10">
        <f t="shared" si="24"/>
        <v>0</v>
      </c>
      <c r="BB24" s="15"/>
      <c r="BC24" s="10">
        <f t="shared" si="25"/>
        <v>0</v>
      </c>
      <c r="BD24" s="15"/>
      <c r="BE24" s="10">
        <f t="shared" si="26"/>
        <v>0</v>
      </c>
      <c r="BF24" s="11">
        <f t="shared" si="27"/>
        <v>0</v>
      </c>
      <c r="BG24" s="12">
        <f t="shared" si="28"/>
        <v>0</v>
      </c>
      <c r="BH24" s="15"/>
      <c r="BI24" s="10">
        <f t="shared" si="29"/>
        <v>0</v>
      </c>
      <c r="BJ24" s="15"/>
      <c r="BK24" s="10">
        <f t="shared" si="30"/>
        <v>0</v>
      </c>
      <c r="BL24" s="15"/>
      <c r="BM24" s="10">
        <f t="shared" si="31"/>
        <v>0</v>
      </c>
      <c r="BN24" s="15"/>
      <c r="BO24" s="10">
        <f t="shared" si="32"/>
        <v>0</v>
      </c>
      <c r="BP24" s="15"/>
      <c r="BQ24" s="10">
        <f t="shared" si="33"/>
        <v>0</v>
      </c>
      <c r="BR24" s="15"/>
      <c r="BS24" s="10">
        <f t="shared" si="34"/>
        <v>0</v>
      </c>
      <c r="BT24" s="15"/>
      <c r="BU24" s="10">
        <f t="shared" si="35"/>
        <v>0</v>
      </c>
      <c r="BV24" s="15"/>
      <c r="BW24" s="10">
        <f t="shared" si="36"/>
        <v>0</v>
      </c>
      <c r="BX24" s="15"/>
      <c r="BY24" s="10">
        <f t="shared" si="37"/>
        <v>0</v>
      </c>
      <c r="BZ24" s="15"/>
      <c r="CA24" s="10">
        <f t="shared" si="38"/>
        <v>0</v>
      </c>
      <c r="CB24" s="15"/>
      <c r="CC24" s="10">
        <f t="shared" si="39"/>
        <v>0</v>
      </c>
      <c r="CD24" s="15"/>
      <c r="CE24" s="10">
        <f t="shared" si="40"/>
        <v>0</v>
      </c>
      <c r="CF24" s="11">
        <f t="shared" si="41"/>
        <v>0</v>
      </c>
      <c r="CG24" s="12">
        <f t="shared" si="42"/>
        <v>0</v>
      </c>
      <c r="CH24" s="15"/>
      <c r="CI24" s="10">
        <f t="shared" si="43"/>
        <v>0</v>
      </c>
      <c r="CJ24" s="15"/>
      <c r="CK24" s="10">
        <f t="shared" si="44"/>
        <v>0</v>
      </c>
      <c r="CL24" s="15"/>
      <c r="CM24" s="10">
        <f t="shared" si="45"/>
        <v>0</v>
      </c>
      <c r="CN24" s="15"/>
      <c r="CO24" s="10">
        <f t="shared" si="46"/>
        <v>0</v>
      </c>
      <c r="CP24" s="15"/>
      <c r="CQ24" s="10">
        <f t="shared" si="47"/>
        <v>0</v>
      </c>
      <c r="CR24" s="15"/>
      <c r="CS24" s="10">
        <f t="shared" si="48"/>
        <v>0</v>
      </c>
      <c r="CT24" s="15"/>
      <c r="CU24" s="10">
        <f t="shared" si="49"/>
        <v>0</v>
      </c>
      <c r="CV24" s="15"/>
      <c r="CW24" s="10">
        <f t="shared" si="50"/>
        <v>0</v>
      </c>
      <c r="CX24" s="15"/>
      <c r="CY24" s="10">
        <f t="shared" si="51"/>
        <v>0</v>
      </c>
      <c r="CZ24" s="15"/>
      <c r="DA24" s="10">
        <f t="shared" si="52"/>
        <v>0</v>
      </c>
      <c r="DB24" s="15"/>
      <c r="DC24" s="10">
        <f t="shared" si="53"/>
        <v>0</v>
      </c>
      <c r="DD24" s="15"/>
      <c r="DE24" s="10">
        <f t="shared" si="53"/>
        <v>0</v>
      </c>
      <c r="DF24" s="16">
        <f t="shared" si="0"/>
        <v>0</v>
      </c>
      <c r="DG24" s="208">
        <f t="shared" si="54"/>
        <v>0</v>
      </c>
    </row>
    <row r="25" spans="1:111">
      <c r="A25" s="7"/>
      <c r="B25" s="8"/>
      <c r="C25" s="8"/>
      <c r="D25" s="7"/>
      <c r="E25" s="7"/>
      <c r="F25" s="7"/>
      <c r="G25" s="7"/>
      <c r="H25" s="15"/>
      <c r="I25" s="10">
        <f t="shared" si="1"/>
        <v>0</v>
      </c>
      <c r="J25" s="15"/>
      <c r="K25" s="10">
        <f t="shared" si="2"/>
        <v>0</v>
      </c>
      <c r="L25" s="15"/>
      <c r="M25" s="10">
        <f t="shared" si="3"/>
        <v>0</v>
      </c>
      <c r="N25" s="15"/>
      <c r="O25" s="10">
        <f t="shared" si="4"/>
        <v>0</v>
      </c>
      <c r="P25" s="15"/>
      <c r="Q25" s="10">
        <f t="shared" si="5"/>
        <v>0</v>
      </c>
      <c r="R25" s="15"/>
      <c r="S25" s="10">
        <f t="shared" si="6"/>
        <v>0</v>
      </c>
      <c r="T25" s="15"/>
      <c r="U25" s="10">
        <f t="shared" si="7"/>
        <v>0</v>
      </c>
      <c r="V25" s="15"/>
      <c r="W25" s="10">
        <f t="shared" si="8"/>
        <v>0</v>
      </c>
      <c r="X25" s="15"/>
      <c r="Y25" s="10">
        <f t="shared" si="9"/>
        <v>0</v>
      </c>
      <c r="Z25" s="15"/>
      <c r="AA25" s="10">
        <f t="shared" si="10"/>
        <v>0</v>
      </c>
      <c r="AB25" s="15"/>
      <c r="AC25" s="10">
        <f t="shared" si="11"/>
        <v>0</v>
      </c>
      <c r="AD25" s="15"/>
      <c r="AE25" s="10">
        <f t="shared" si="12"/>
        <v>0</v>
      </c>
      <c r="AF25" s="11">
        <f t="shared" si="13"/>
        <v>0</v>
      </c>
      <c r="AG25" s="12">
        <f t="shared" si="14"/>
        <v>0</v>
      </c>
      <c r="AH25" s="15"/>
      <c r="AI25" s="10">
        <f t="shared" si="15"/>
        <v>0</v>
      </c>
      <c r="AJ25" s="15"/>
      <c r="AK25" s="10">
        <f t="shared" si="16"/>
        <v>0</v>
      </c>
      <c r="AL25" s="15"/>
      <c r="AM25" s="10">
        <f t="shared" si="17"/>
        <v>0</v>
      </c>
      <c r="AN25" s="15"/>
      <c r="AO25" s="10">
        <f t="shared" si="18"/>
        <v>0</v>
      </c>
      <c r="AP25" s="15"/>
      <c r="AQ25" s="10">
        <f t="shared" si="19"/>
        <v>0</v>
      </c>
      <c r="AR25" s="15"/>
      <c r="AS25" s="10">
        <f t="shared" si="20"/>
        <v>0</v>
      </c>
      <c r="AT25" s="15"/>
      <c r="AU25" s="10">
        <f t="shared" si="21"/>
        <v>0</v>
      </c>
      <c r="AV25" s="15"/>
      <c r="AW25" s="10">
        <f t="shared" si="22"/>
        <v>0</v>
      </c>
      <c r="AX25" s="15"/>
      <c r="AY25" s="10">
        <f t="shared" si="23"/>
        <v>0</v>
      </c>
      <c r="AZ25" s="15"/>
      <c r="BA25" s="10">
        <f t="shared" si="24"/>
        <v>0</v>
      </c>
      <c r="BB25" s="15"/>
      <c r="BC25" s="10">
        <f t="shared" si="25"/>
        <v>0</v>
      </c>
      <c r="BD25" s="15"/>
      <c r="BE25" s="10">
        <f t="shared" si="26"/>
        <v>0</v>
      </c>
      <c r="BF25" s="11">
        <f t="shared" si="27"/>
        <v>0</v>
      </c>
      <c r="BG25" s="12">
        <f t="shared" si="28"/>
        <v>0</v>
      </c>
      <c r="BH25" s="15"/>
      <c r="BI25" s="10">
        <f t="shared" si="29"/>
        <v>0</v>
      </c>
      <c r="BJ25" s="15"/>
      <c r="BK25" s="10">
        <f t="shared" si="30"/>
        <v>0</v>
      </c>
      <c r="BL25" s="15"/>
      <c r="BM25" s="10">
        <f t="shared" si="31"/>
        <v>0</v>
      </c>
      <c r="BN25" s="15"/>
      <c r="BO25" s="10">
        <f t="shared" si="32"/>
        <v>0</v>
      </c>
      <c r="BP25" s="15"/>
      <c r="BQ25" s="10">
        <f t="shared" si="33"/>
        <v>0</v>
      </c>
      <c r="BR25" s="15"/>
      <c r="BS25" s="10">
        <f t="shared" si="34"/>
        <v>0</v>
      </c>
      <c r="BT25" s="15"/>
      <c r="BU25" s="10">
        <f t="shared" si="35"/>
        <v>0</v>
      </c>
      <c r="BV25" s="15"/>
      <c r="BW25" s="10">
        <f t="shared" si="36"/>
        <v>0</v>
      </c>
      <c r="BX25" s="15"/>
      <c r="BY25" s="10">
        <f t="shared" si="37"/>
        <v>0</v>
      </c>
      <c r="BZ25" s="15"/>
      <c r="CA25" s="10">
        <f t="shared" si="38"/>
        <v>0</v>
      </c>
      <c r="CB25" s="15"/>
      <c r="CC25" s="10">
        <f t="shared" si="39"/>
        <v>0</v>
      </c>
      <c r="CD25" s="15"/>
      <c r="CE25" s="10">
        <f t="shared" si="40"/>
        <v>0</v>
      </c>
      <c r="CF25" s="11">
        <f t="shared" si="41"/>
        <v>0</v>
      </c>
      <c r="CG25" s="12">
        <f t="shared" si="42"/>
        <v>0</v>
      </c>
      <c r="CH25" s="15"/>
      <c r="CI25" s="10">
        <f t="shared" si="43"/>
        <v>0</v>
      </c>
      <c r="CJ25" s="15"/>
      <c r="CK25" s="10">
        <f t="shared" si="44"/>
        <v>0</v>
      </c>
      <c r="CL25" s="15"/>
      <c r="CM25" s="10">
        <f t="shared" si="45"/>
        <v>0</v>
      </c>
      <c r="CN25" s="15"/>
      <c r="CO25" s="10">
        <f t="shared" si="46"/>
        <v>0</v>
      </c>
      <c r="CP25" s="15"/>
      <c r="CQ25" s="10">
        <f t="shared" si="47"/>
        <v>0</v>
      </c>
      <c r="CR25" s="15"/>
      <c r="CS25" s="10">
        <f t="shared" si="48"/>
        <v>0</v>
      </c>
      <c r="CT25" s="15"/>
      <c r="CU25" s="10">
        <f t="shared" si="49"/>
        <v>0</v>
      </c>
      <c r="CV25" s="15"/>
      <c r="CW25" s="10">
        <f t="shared" si="50"/>
        <v>0</v>
      </c>
      <c r="CX25" s="15"/>
      <c r="CY25" s="10">
        <f t="shared" si="51"/>
        <v>0</v>
      </c>
      <c r="CZ25" s="15"/>
      <c r="DA25" s="10">
        <f t="shared" si="52"/>
        <v>0</v>
      </c>
      <c r="DB25" s="15"/>
      <c r="DC25" s="10">
        <f t="shared" si="53"/>
        <v>0</v>
      </c>
      <c r="DD25" s="15"/>
      <c r="DE25" s="10">
        <f t="shared" si="53"/>
        <v>0</v>
      </c>
      <c r="DF25" s="16">
        <f t="shared" si="0"/>
        <v>0</v>
      </c>
      <c r="DG25" s="208">
        <f t="shared" si="54"/>
        <v>0</v>
      </c>
    </row>
    <row r="26" spans="1:111">
      <c r="A26" s="7">
        <v>20</v>
      </c>
      <c r="B26" s="8" t="s">
        <v>33</v>
      </c>
      <c r="C26" s="8" t="s">
        <v>14</v>
      </c>
      <c r="D26" s="7">
        <f>RANK(DF26,$DF$4:$DF$141)</f>
        <v>31</v>
      </c>
      <c r="E26" s="7">
        <v>1</v>
      </c>
      <c r="F26" s="7" t="s">
        <v>12</v>
      </c>
      <c r="G26" s="7"/>
      <c r="H26" s="15"/>
      <c r="I26" s="10">
        <f t="shared" si="1"/>
        <v>0</v>
      </c>
      <c r="J26" s="15"/>
      <c r="K26" s="10">
        <f t="shared" si="2"/>
        <v>0</v>
      </c>
      <c r="L26" s="15"/>
      <c r="M26" s="10">
        <f t="shared" si="3"/>
        <v>0</v>
      </c>
      <c r="N26" s="15"/>
      <c r="O26" s="10">
        <f t="shared" si="4"/>
        <v>0</v>
      </c>
      <c r="P26" s="15"/>
      <c r="Q26" s="10">
        <f t="shared" si="5"/>
        <v>0</v>
      </c>
      <c r="R26" s="15"/>
      <c r="S26" s="10">
        <f t="shared" si="6"/>
        <v>0</v>
      </c>
      <c r="T26" s="15"/>
      <c r="U26" s="10">
        <f t="shared" si="7"/>
        <v>0</v>
      </c>
      <c r="V26" s="15"/>
      <c r="W26" s="10">
        <f t="shared" si="8"/>
        <v>0</v>
      </c>
      <c r="X26" s="15"/>
      <c r="Y26" s="10">
        <f t="shared" si="9"/>
        <v>0</v>
      </c>
      <c r="Z26" s="15"/>
      <c r="AA26" s="10">
        <f t="shared" si="10"/>
        <v>0</v>
      </c>
      <c r="AB26" s="15"/>
      <c r="AC26" s="10">
        <f t="shared" si="11"/>
        <v>0</v>
      </c>
      <c r="AD26" s="15"/>
      <c r="AE26" s="10">
        <f t="shared" si="12"/>
        <v>0</v>
      </c>
      <c r="AF26" s="11">
        <f t="shared" si="13"/>
        <v>0</v>
      </c>
      <c r="AG26" s="12">
        <f t="shared" si="14"/>
        <v>0</v>
      </c>
      <c r="AH26" s="15"/>
      <c r="AI26" s="10">
        <f t="shared" si="15"/>
        <v>0</v>
      </c>
      <c r="AJ26" s="15"/>
      <c r="AK26" s="10">
        <f t="shared" si="16"/>
        <v>0</v>
      </c>
      <c r="AL26" s="15"/>
      <c r="AM26" s="10">
        <f t="shared" si="17"/>
        <v>0</v>
      </c>
      <c r="AN26" s="15"/>
      <c r="AO26" s="10">
        <f t="shared" si="18"/>
        <v>0</v>
      </c>
      <c r="AP26" s="15"/>
      <c r="AQ26" s="10">
        <f t="shared" si="19"/>
        <v>0</v>
      </c>
      <c r="AR26" s="15"/>
      <c r="AS26" s="10">
        <f t="shared" si="20"/>
        <v>0</v>
      </c>
      <c r="AT26" s="15"/>
      <c r="AU26" s="10">
        <f t="shared" si="21"/>
        <v>0</v>
      </c>
      <c r="AV26" s="15"/>
      <c r="AW26" s="10">
        <f t="shared" si="22"/>
        <v>0</v>
      </c>
      <c r="AX26" s="15"/>
      <c r="AY26" s="10">
        <f t="shared" si="23"/>
        <v>0</v>
      </c>
      <c r="AZ26" s="15"/>
      <c r="BA26" s="10">
        <f t="shared" si="24"/>
        <v>0</v>
      </c>
      <c r="BB26" s="15"/>
      <c r="BC26" s="10">
        <f t="shared" si="25"/>
        <v>0</v>
      </c>
      <c r="BD26" s="15"/>
      <c r="BE26" s="10">
        <f t="shared" si="26"/>
        <v>0</v>
      </c>
      <c r="BF26" s="11">
        <f t="shared" si="27"/>
        <v>0</v>
      </c>
      <c r="BG26" s="12">
        <f t="shared" si="28"/>
        <v>0</v>
      </c>
      <c r="BH26" s="15"/>
      <c r="BI26" s="10">
        <f t="shared" si="29"/>
        <v>0</v>
      </c>
      <c r="BJ26" s="15"/>
      <c r="BK26" s="10">
        <f t="shared" si="30"/>
        <v>0</v>
      </c>
      <c r="BL26" s="15"/>
      <c r="BM26" s="10">
        <f t="shared" si="31"/>
        <v>0</v>
      </c>
      <c r="BN26" s="15"/>
      <c r="BO26" s="10">
        <f t="shared" si="32"/>
        <v>0</v>
      </c>
      <c r="BP26" s="15"/>
      <c r="BQ26" s="10">
        <f t="shared" si="33"/>
        <v>0</v>
      </c>
      <c r="BR26" s="15"/>
      <c r="BS26" s="10">
        <f t="shared" si="34"/>
        <v>0</v>
      </c>
      <c r="BT26" s="15"/>
      <c r="BU26" s="10">
        <f t="shared" si="35"/>
        <v>0</v>
      </c>
      <c r="BV26" s="15"/>
      <c r="BW26" s="10">
        <f t="shared" si="36"/>
        <v>0</v>
      </c>
      <c r="BX26" s="15"/>
      <c r="BY26" s="10">
        <f t="shared" si="37"/>
        <v>0</v>
      </c>
      <c r="BZ26" s="15"/>
      <c r="CA26" s="10">
        <f t="shared" si="38"/>
        <v>0</v>
      </c>
      <c r="CB26" s="15"/>
      <c r="CC26" s="10">
        <f t="shared" si="39"/>
        <v>0</v>
      </c>
      <c r="CD26" s="15"/>
      <c r="CE26" s="10">
        <f t="shared" si="40"/>
        <v>0</v>
      </c>
      <c r="CF26" s="11">
        <f t="shared" si="41"/>
        <v>0</v>
      </c>
      <c r="CG26" s="12">
        <f t="shared" si="42"/>
        <v>0</v>
      </c>
      <c r="CH26" s="15"/>
      <c r="CI26" s="10">
        <f t="shared" si="43"/>
        <v>0</v>
      </c>
      <c r="CJ26" s="15"/>
      <c r="CK26" s="10">
        <f t="shared" si="44"/>
        <v>0</v>
      </c>
      <c r="CL26" s="15"/>
      <c r="CM26" s="10">
        <f t="shared" si="45"/>
        <v>0</v>
      </c>
      <c r="CN26" s="15"/>
      <c r="CO26" s="10">
        <f t="shared" si="46"/>
        <v>0</v>
      </c>
      <c r="CP26" s="15"/>
      <c r="CQ26" s="10">
        <f t="shared" si="47"/>
        <v>0</v>
      </c>
      <c r="CR26" s="15"/>
      <c r="CS26" s="10">
        <f t="shared" si="48"/>
        <v>0</v>
      </c>
      <c r="CT26" s="15"/>
      <c r="CU26" s="10">
        <f t="shared" si="49"/>
        <v>0</v>
      </c>
      <c r="CV26" s="15"/>
      <c r="CW26" s="10">
        <f t="shared" si="50"/>
        <v>0</v>
      </c>
      <c r="CX26" s="15"/>
      <c r="CY26" s="10">
        <f t="shared" si="51"/>
        <v>0</v>
      </c>
      <c r="CZ26" s="15"/>
      <c r="DA26" s="10">
        <f t="shared" si="52"/>
        <v>0</v>
      </c>
      <c r="DB26" s="15"/>
      <c r="DC26" s="10">
        <f t="shared" si="53"/>
        <v>0</v>
      </c>
      <c r="DD26" s="15"/>
      <c r="DE26" s="10">
        <f t="shared" si="53"/>
        <v>0</v>
      </c>
      <c r="DF26" s="16">
        <f t="shared" si="0"/>
        <v>0</v>
      </c>
      <c r="DG26" s="208">
        <f t="shared" si="54"/>
        <v>0</v>
      </c>
    </row>
    <row r="27" spans="1:111">
      <c r="A27" s="7">
        <v>21</v>
      </c>
      <c r="B27" s="8" t="s">
        <v>34</v>
      </c>
      <c r="C27" s="8" t="s">
        <v>14</v>
      </c>
      <c r="D27" s="7">
        <f>RANK(DF27,$DF$4:$DF$141)</f>
        <v>31</v>
      </c>
      <c r="E27" s="7">
        <v>0.6</v>
      </c>
      <c r="F27" s="7" t="s">
        <v>35</v>
      </c>
      <c r="G27" s="7"/>
      <c r="H27" s="15"/>
      <c r="I27" s="10">
        <f t="shared" si="1"/>
        <v>0</v>
      </c>
      <c r="J27" s="15"/>
      <c r="K27" s="10">
        <f t="shared" si="2"/>
        <v>0</v>
      </c>
      <c r="L27" s="15"/>
      <c r="M27" s="10">
        <f t="shared" si="3"/>
        <v>0</v>
      </c>
      <c r="N27" s="15"/>
      <c r="O27" s="10">
        <f t="shared" si="4"/>
        <v>0</v>
      </c>
      <c r="P27" s="15"/>
      <c r="Q27" s="10">
        <f t="shared" si="5"/>
        <v>0</v>
      </c>
      <c r="R27" s="15"/>
      <c r="S27" s="10">
        <f t="shared" si="6"/>
        <v>0</v>
      </c>
      <c r="T27" s="15"/>
      <c r="U27" s="10">
        <f t="shared" si="7"/>
        <v>0</v>
      </c>
      <c r="V27" s="15"/>
      <c r="W27" s="10">
        <f t="shared" si="8"/>
        <v>0</v>
      </c>
      <c r="X27" s="15"/>
      <c r="Y27" s="10">
        <f t="shared" si="9"/>
        <v>0</v>
      </c>
      <c r="Z27" s="15"/>
      <c r="AA27" s="10">
        <f t="shared" si="10"/>
        <v>0</v>
      </c>
      <c r="AB27" s="15"/>
      <c r="AC27" s="10">
        <f t="shared" si="11"/>
        <v>0</v>
      </c>
      <c r="AD27" s="15"/>
      <c r="AE27" s="10">
        <f t="shared" si="12"/>
        <v>0</v>
      </c>
      <c r="AF27" s="11">
        <f t="shared" si="13"/>
        <v>0</v>
      </c>
      <c r="AG27" s="12">
        <f t="shared" si="14"/>
        <v>0</v>
      </c>
      <c r="AH27" s="15"/>
      <c r="AI27" s="10">
        <f t="shared" si="15"/>
        <v>0</v>
      </c>
      <c r="AJ27" s="15"/>
      <c r="AK27" s="10">
        <f t="shared" si="16"/>
        <v>0</v>
      </c>
      <c r="AL27" s="15"/>
      <c r="AM27" s="10">
        <f t="shared" si="17"/>
        <v>0</v>
      </c>
      <c r="AN27" s="15"/>
      <c r="AO27" s="10">
        <f t="shared" si="18"/>
        <v>0</v>
      </c>
      <c r="AP27" s="15"/>
      <c r="AQ27" s="10">
        <f t="shared" si="19"/>
        <v>0</v>
      </c>
      <c r="AR27" s="15"/>
      <c r="AS27" s="10">
        <f t="shared" si="20"/>
        <v>0</v>
      </c>
      <c r="AT27" s="15"/>
      <c r="AU27" s="10">
        <f t="shared" si="21"/>
        <v>0</v>
      </c>
      <c r="AV27" s="15"/>
      <c r="AW27" s="10">
        <f t="shared" si="22"/>
        <v>0</v>
      </c>
      <c r="AX27" s="15"/>
      <c r="AY27" s="10">
        <f t="shared" si="23"/>
        <v>0</v>
      </c>
      <c r="AZ27" s="15"/>
      <c r="BA27" s="10">
        <f t="shared" si="24"/>
        <v>0</v>
      </c>
      <c r="BB27" s="15"/>
      <c r="BC27" s="10">
        <f t="shared" si="25"/>
        <v>0</v>
      </c>
      <c r="BD27" s="15"/>
      <c r="BE27" s="10">
        <f t="shared" si="26"/>
        <v>0</v>
      </c>
      <c r="BF27" s="11">
        <f t="shared" si="27"/>
        <v>0</v>
      </c>
      <c r="BG27" s="12">
        <f t="shared" si="28"/>
        <v>0</v>
      </c>
      <c r="BH27" s="15"/>
      <c r="BI27" s="10">
        <f t="shared" si="29"/>
        <v>0</v>
      </c>
      <c r="BJ27" s="15"/>
      <c r="BK27" s="10">
        <f t="shared" si="30"/>
        <v>0</v>
      </c>
      <c r="BL27" s="15"/>
      <c r="BM27" s="10">
        <f t="shared" si="31"/>
        <v>0</v>
      </c>
      <c r="BN27" s="15"/>
      <c r="BO27" s="10">
        <f t="shared" si="32"/>
        <v>0</v>
      </c>
      <c r="BP27" s="15"/>
      <c r="BQ27" s="10">
        <f t="shared" si="33"/>
        <v>0</v>
      </c>
      <c r="BR27" s="15"/>
      <c r="BS27" s="10">
        <f t="shared" si="34"/>
        <v>0</v>
      </c>
      <c r="BT27" s="15"/>
      <c r="BU27" s="10">
        <f t="shared" si="35"/>
        <v>0</v>
      </c>
      <c r="BV27" s="15"/>
      <c r="BW27" s="10">
        <f t="shared" si="36"/>
        <v>0</v>
      </c>
      <c r="BX27" s="15"/>
      <c r="BY27" s="10">
        <f t="shared" si="37"/>
        <v>0</v>
      </c>
      <c r="BZ27" s="15"/>
      <c r="CA27" s="10">
        <f t="shared" si="38"/>
        <v>0</v>
      </c>
      <c r="CB27" s="15"/>
      <c r="CC27" s="10">
        <f t="shared" si="39"/>
        <v>0</v>
      </c>
      <c r="CD27" s="15"/>
      <c r="CE27" s="10">
        <f t="shared" si="40"/>
        <v>0</v>
      </c>
      <c r="CF27" s="11">
        <f t="shared" si="41"/>
        <v>0</v>
      </c>
      <c r="CG27" s="12">
        <f t="shared" si="42"/>
        <v>0</v>
      </c>
      <c r="CH27" s="17"/>
      <c r="CI27" s="10">
        <f t="shared" si="43"/>
        <v>0</v>
      </c>
      <c r="CJ27" s="15"/>
      <c r="CK27" s="10">
        <f t="shared" si="44"/>
        <v>0</v>
      </c>
      <c r="CL27" s="17"/>
      <c r="CM27" s="10">
        <f t="shared" si="45"/>
        <v>0</v>
      </c>
      <c r="CN27" s="15"/>
      <c r="CO27" s="10">
        <f t="shared" si="46"/>
        <v>0</v>
      </c>
      <c r="CP27" s="15"/>
      <c r="CQ27" s="10">
        <f t="shared" si="47"/>
        <v>0</v>
      </c>
      <c r="CR27" s="15"/>
      <c r="CS27" s="10">
        <f t="shared" si="48"/>
        <v>0</v>
      </c>
      <c r="CT27" s="15"/>
      <c r="CU27" s="10">
        <f t="shared" si="49"/>
        <v>0</v>
      </c>
      <c r="CV27" s="15"/>
      <c r="CW27" s="10">
        <f t="shared" si="50"/>
        <v>0</v>
      </c>
      <c r="CX27" s="15"/>
      <c r="CY27" s="10">
        <f t="shared" si="51"/>
        <v>0</v>
      </c>
      <c r="CZ27" s="15"/>
      <c r="DA27" s="10">
        <f t="shared" si="52"/>
        <v>0</v>
      </c>
      <c r="DB27" s="15"/>
      <c r="DC27" s="10">
        <f t="shared" si="53"/>
        <v>0</v>
      </c>
      <c r="DD27" s="15"/>
      <c r="DE27" s="10">
        <f t="shared" si="53"/>
        <v>0</v>
      </c>
      <c r="DF27" s="16">
        <f t="shared" si="0"/>
        <v>0</v>
      </c>
      <c r="DG27" s="208">
        <f t="shared" si="54"/>
        <v>0</v>
      </c>
    </row>
    <row r="28" spans="1:111">
      <c r="A28" s="7">
        <v>22</v>
      </c>
      <c r="B28" s="8" t="s">
        <v>36</v>
      </c>
      <c r="C28" s="8" t="s">
        <v>11</v>
      </c>
      <c r="D28" s="7">
        <f>RANK(DF28,$DF$4:$DF$141)</f>
        <v>12</v>
      </c>
      <c r="E28" s="7">
        <v>0.64</v>
      </c>
      <c r="F28" s="7" t="s">
        <v>22</v>
      </c>
      <c r="G28" s="7">
        <v>1500</v>
      </c>
      <c r="H28" s="9"/>
      <c r="I28" s="10">
        <f t="shared" si="1"/>
        <v>0</v>
      </c>
      <c r="J28" s="9"/>
      <c r="K28" s="10">
        <f t="shared" si="2"/>
        <v>0</v>
      </c>
      <c r="L28" s="9"/>
      <c r="M28" s="10">
        <f t="shared" si="3"/>
        <v>0</v>
      </c>
      <c r="N28" s="9"/>
      <c r="O28" s="10">
        <f t="shared" si="4"/>
        <v>0</v>
      </c>
      <c r="P28" s="9"/>
      <c r="Q28" s="10">
        <f t="shared" si="5"/>
        <v>0</v>
      </c>
      <c r="R28" s="9">
        <v>31</v>
      </c>
      <c r="S28" s="10">
        <f t="shared" si="6"/>
        <v>19.84</v>
      </c>
      <c r="T28" s="9">
        <v>4218</v>
      </c>
      <c r="U28" s="10">
        <f t="shared" si="7"/>
        <v>2699.52</v>
      </c>
      <c r="V28" s="9">
        <v>9571</v>
      </c>
      <c r="W28" s="10">
        <f t="shared" si="8"/>
        <v>6125.4400000000005</v>
      </c>
      <c r="X28" s="9">
        <v>8242</v>
      </c>
      <c r="Y28" s="10">
        <f t="shared" si="9"/>
        <v>5274.88</v>
      </c>
      <c r="Z28" s="9">
        <v>8869</v>
      </c>
      <c r="AA28" s="10">
        <f t="shared" si="10"/>
        <v>5676.16</v>
      </c>
      <c r="AB28" s="9">
        <v>8797</v>
      </c>
      <c r="AC28" s="10">
        <f t="shared" si="11"/>
        <v>5630.08</v>
      </c>
      <c r="AD28" s="9">
        <v>7237</v>
      </c>
      <c r="AE28" s="10">
        <f t="shared" si="12"/>
        <v>4631.68</v>
      </c>
      <c r="AF28" s="11">
        <f t="shared" si="13"/>
        <v>46965</v>
      </c>
      <c r="AG28" s="12">
        <f t="shared" si="14"/>
        <v>30057.600000000002</v>
      </c>
      <c r="AH28" s="9">
        <v>10530</v>
      </c>
      <c r="AI28" s="10">
        <f t="shared" si="15"/>
        <v>6739.2</v>
      </c>
      <c r="AJ28" s="9">
        <v>7611</v>
      </c>
      <c r="AK28" s="10">
        <f t="shared" si="16"/>
        <v>4871.04</v>
      </c>
      <c r="AL28" s="9">
        <v>11577</v>
      </c>
      <c r="AM28" s="10">
        <f t="shared" si="17"/>
        <v>7409.28</v>
      </c>
      <c r="AN28" s="9">
        <v>8319</v>
      </c>
      <c r="AO28" s="10">
        <f t="shared" si="18"/>
        <v>5324.16</v>
      </c>
      <c r="AP28" s="9">
        <v>7921</v>
      </c>
      <c r="AQ28" s="10">
        <f t="shared" si="19"/>
        <v>5069.4400000000005</v>
      </c>
      <c r="AR28" s="9">
        <v>8119</v>
      </c>
      <c r="AS28" s="10">
        <f t="shared" si="20"/>
        <v>5196.16</v>
      </c>
      <c r="AT28" s="9">
        <v>8247</v>
      </c>
      <c r="AU28" s="10">
        <f t="shared" si="21"/>
        <v>5278.08</v>
      </c>
      <c r="AV28" s="9">
        <v>9855</v>
      </c>
      <c r="AW28" s="10">
        <f t="shared" si="22"/>
        <v>6307.2</v>
      </c>
      <c r="AX28" s="9">
        <v>7947</v>
      </c>
      <c r="AY28" s="10">
        <f t="shared" si="23"/>
        <v>5086.08</v>
      </c>
      <c r="AZ28" s="9">
        <v>8962</v>
      </c>
      <c r="BA28" s="10">
        <f t="shared" si="24"/>
        <v>5735.68</v>
      </c>
      <c r="BB28" s="9">
        <v>7946</v>
      </c>
      <c r="BC28" s="10">
        <f t="shared" si="25"/>
        <v>5085.4400000000005</v>
      </c>
      <c r="BD28" s="9">
        <v>9399</v>
      </c>
      <c r="BE28" s="10">
        <f t="shared" si="26"/>
        <v>6015.36</v>
      </c>
      <c r="BF28" s="11">
        <f t="shared" si="27"/>
        <v>106433</v>
      </c>
      <c r="BG28" s="12">
        <f t="shared" si="28"/>
        <v>68117.119999999995</v>
      </c>
      <c r="BH28" s="13">
        <v>10490</v>
      </c>
      <c r="BI28" s="10">
        <f t="shared" si="29"/>
        <v>6713.6</v>
      </c>
      <c r="BJ28" s="13">
        <v>7994</v>
      </c>
      <c r="BK28" s="10">
        <f t="shared" si="30"/>
        <v>5116.16</v>
      </c>
      <c r="BL28" s="13">
        <v>9360</v>
      </c>
      <c r="BM28" s="10">
        <f t="shared" si="31"/>
        <v>5990.4000000000005</v>
      </c>
      <c r="BN28" s="13">
        <v>7460</v>
      </c>
      <c r="BO28" s="10">
        <f t="shared" si="32"/>
        <v>4774.4000000000005</v>
      </c>
      <c r="BP28" s="13">
        <v>6923</v>
      </c>
      <c r="BQ28" s="10">
        <f t="shared" si="33"/>
        <v>4430.72</v>
      </c>
      <c r="BR28" s="13">
        <v>9616</v>
      </c>
      <c r="BS28" s="10">
        <f t="shared" si="34"/>
        <v>6154.24</v>
      </c>
      <c r="BT28" s="13">
        <v>9208</v>
      </c>
      <c r="BU28" s="10">
        <f t="shared" si="35"/>
        <v>5893.12</v>
      </c>
      <c r="BV28" s="13">
        <v>9517</v>
      </c>
      <c r="BW28" s="10">
        <f t="shared" si="36"/>
        <v>6090.88</v>
      </c>
      <c r="BX28" s="13">
        <v>5529</v>
      </c>
      <c r="BY28" s="10">
        <f t="shared" si="37"/>
        <v>3538.56</v>
      </c>
      <c r="BZ28" s="13">
        <v>7998</v>
      </c>
      <c r="CA28" s="10">
        <f t="shared" si="38"/>
        <v>5118.72</v>
      </c>
      <c r="CB28" s="13">
        <v>8479</v>
      </c>
      <c r="CC28" s="10">
        <f t="shared" si="39"/>
        <v>5426.56</v>
      </c>
      <c r="CD28" s="14">
        <v>5482</v>
      </c>
      <c r="CE28" s="10">
        <f t="shared" si="40"/>
        <v>3508.48</v>
      </c>
      <c r="CF28" s="11">
        <f t="shared" si="41"/>
        <v>98056</v>
      </c>
      <c r="CG28" s="12">
        <f t="shared" si="42"/>
        <v>62755.840000000004</v>
      </c>
      <c r="CH28" s="15">
        <v>6017</v>
      </c>
      <c r="CI28" s="10">
        <f t="shared" si="43"/>
        <v>3850.88</v>
      </c>
      <c r="CJ28" s="15">
        <v>5548</v>
      </c>
      <c r="CK28" s="10">
        <f t="shared" si="44"/>
        <v>3550.7200000000003</v>
      </c>
      <c r="CL28" s="15">
        <v>7728</v>
      </c>
      <c r="CM28" s="10">
        <f t="shared" si="45"/>
        <v>4945.92</v>
      </c>
      <c r="CN28" s="15">
        <v>5901</v>
      </c>
      <c r="CO28" s="10">
        <f t="shared" si="46"/>
        <v>3776.64</v>
      </c>
      <c r="CP28" s="15">
        <v>4198</v>
      </c>
      <c r="CQ28" s="10">
        <f t="shared" si="47"/>
        <v>2686.7200000000003</v>
      </c>
      <c r="CR28" s="15">
        <v>4718</v>
      </c>
      <c r="CS28" s="10">
        <f t="shared" si="48"/>
        <v>3019.52</v>
      </c>
      <c r="CT28" s="15">
        <v>4284</v>
      </c>
      <c r="CU28" s="10">
        <f t="shared" si="49"/>
        <v>2741.76</v>
      </c>
      <c r="CV28" s="15">
        <v>3947</v>
      </c>
      <c r="CW28" s="10">
        <f t="shared" si="50"/>
        <v>2526.08</v>
      </c>
      <c r="CX28" s="15">
        <v>4562</v>
      </c>
      <c r="CY28" s="10">
        <f t="shared" si="51"/>
        <v>2919.68</v>
      </c>
      <c r="CZ28" s="15">
        <v>3921</v>
      </c>
      <c r="DA28" s="10">
        <f t="shared" si="52"/>
        <v>2509.44</v>
      </c>
      <c r="DB28" s="15">
        <v>4004</v>
      </c>
      <c r="DC28" s="10">
        <f t="shared" si="53"/>
        <v>2562.56</v>
      </c>
      <c r="DD28" s="15">
        <v>4004</v>
      </c>
      <c r="DE28" s="10">
        <f t="shared" si="53"/>
        <v>2562.56</v>
      </c>
      <c r="DF28" s="16">
        <f t="shared" si="0"/>
        <v>58832</v>
      </c>
      <c r="DG28" s="208">
        <f t="shared" si="54"/>
        <v>37652.480000000003</v>
      </c>
    </row>
    <row r="29" spans="1:111">
      <c r="A29" s="7">
        <v>23</v>
      </c>
      <c r="B29" s="8" t="s">
        <v>37</v>
      </c>
      <c r="C29" s="8" t="s">
        <v>11</v>
      </c>
      <c r="D29" s="7">
        <f>RANK(DF29,$DF$4:$DF$141)</f>
        <v>31</v>
      </c>
      <c r="E29" s="7">
        <v>0.64</v>
      </c>
      <c r="F29" s="7" t="s">
        <v>22</v>
      </c>
      <c r="G29" s="7"/>
      <c r="H29" s="15"/>
      <c r="I29" s="10">
        <f t="shared" si="1"/>
        <v>0</v>
      </c>
      <c r="J29" s="15"/>
      <c r="K29" s="10">
        <f t="shared" si="2"/>
        <v>0</v>
      </c>
      <c r="L29" s="15"/>
      <c r="M29" s="10">
        <f t="shared" si="3"/>
        <v>0</v>
      </c>
      <c r="N29" s="15"/>
      <c r="O29" s="10">
        <f t="shared" si="4"/>
        <v>0</v>
      </c>
      <c r="P29" s="15"/>
      <c r="Q29" s="10">
        <f t="shared" si="5"/>
        <v>0</v>
      </c>
      <c r="R29" s="15"/>
      <c r="S29" s="10">
        <f t="shared" si="6"/>
        <v>0</v>
      </c>
      <c r="T29" s="15"/>
      <c r="U29" s="10">
        <f t="shared" si="7"/>
        <v>0</v>
      </c>
      <c r="V29" s="15"/>
      <c r="W29" s="10">
        <f t="shared" si="8"/>
        <v>0</v>
      </c>
      <c r="X29" s="15"/>
      <c r="Y29" s="10">
        <f t="shared" si="9"/>
        <v>0</v>
      </c>
      <c r="Z29" s="15"/>
      <c r="AA29" s="10">
        <f t="shared" si="10"/>
        <v>0</v>
      </c>
      <c r="AB29" s="15"/>
      <c r="AC29" s="10">
        <f t="shared" si="11"/>
        <v>0</v>
      </c>
      <c r="AD29" s="15"/>
      <c r="AE29" s="10">
        <f t="shared" si="12"/>
        <v>0</v>
      </c>
      <c r="AF29" s="11">
        <f t="shared" si="13"/>
        <v>0</v>
      </c>
      <c r="AG29" s="12">
        <f t="shared" si="14"/>
        <v>0</v>
      </c>
      <c r="AH29" s="15"/>
      <c r="AI29" s="10">
        <f t="shared" si="15"/>
        <v>0</v>
      </c>
      <c r="AJ29" s="15"/>
      <c r="AK29" s="10">
        <f t="shared" si="16"/>
        <v>0</v>
      </c>
      <c r="AL29" s="15"/>
      <c r="AM29" s="10">
        <f t="shared" si="17"/>
        <v>0</v>
      </c>
      <c r="AN29" s="15"/>
      <c r="AO29" s="10">
        <f t="shared" si="18"/>
        <v>0</v>
      </c>
      <c r="AP29" s="15"/>
      <c r="AQ29" s="10">
        <f t="shared" si="19"/>
        <v>0</v>
      </c>
      <c r="AR29" s="15"/>
      <c r="AS29" s="10">
        <f t="shared" si="20"/>
        <v>0</v>
      </c>
      <c r="AT29" s="15"/>
      <c r="AU29" s="10">
        <f t="shared" si="21"/>
        <v>0</v>
      </c>
      <c r="AV29" s="15"/>
      <c r="AW29" s="10">
        <f t="shared" si="22"/>
        <v>0</v>
      </c>
      <c r="AX29" s="15"/>
      <c r="AY29" s="10">
        <f t="shared" si="23"/>
        <v>0</v>
      </c>
      <c r="AZ29" s="15"/>
      <c r="BA29" s="10">
        <f t="shared" si="24"/>
        <v>0</v>
      </c>
      <c r="BB29" s="15"/>
      <c r="BC29" s="10">
        <f t="shared" si="25"/>
        <v>0</v>
      </c>
      <c r="BD29" s="15"/>
      <c r="BE29" s="10">
        <f t="shared" si="26"/>
        <v>0</v>
      </c>
      <c r="BF29" s="11">
        <f t="shared" si="27"/>
        <v>0</v>
      </c>
      <c r="BG29" s="12">
        <f t="shared" si="28"/>
        <v>0</v>
      </c>
      <c r="BH29" s="15"/>
      <c r="BI29" s="10">
        <f t="shared" si="29"/>
        <v>0</v>
      </c>
      <c r="BJ29" s="15"/>
      <c r="BK29" s="10">
        <f t="shared" si="30"/>
        <v>0</v>
      </c>
      <c r="BL29" s="15"/>
      <c r="BM29" s="10">
        <f t="shared" si="31"/>
        <v>0</v>
      </c>
      <c r="BN29" s="15"/>
      <c r="BO29" s="10">
        <f t="shared" si="32"/>
        <v>0</v>
      </c>
      <c r="BP29" s="15"/>
      <c r="BQ29" s="10">
        <f t="shared" si="33"/>
        <v>0</v>
      </c>
      <c r="BR29" s="15"/>
      <c r="BS29" s="10">
        <f t="shared" si="34"/>
        <v>0</v>
      </c>
      <c r="BT29" s="15"/>
      <c r="BU29" s="10">
        <f t="shared" si="35"/>
        <v>0</v>
      </c>
      <c r="BV29" s="15"/>
      <c r="BW29" s="10">
        <f t="shared" si="36"/>
        <v>0</v>
      </c>
      <c r="BX29" s="15"/>
      <c r="BY29" s="10">
        <f t="shared" si="37"/>
        <v>0</v>
      </c>
      <c r="BZ29" s="15"/>
      <c r="CA29" s="10">
        <f t="shared" si="38"/>
        <v>0</v>
      </c>
      <c r="CB29" s="15"/>
      <c r="CC29" s="10">
        <f t="shared" si="39"/>
        <v>0</v>
      </c>
      <c r="CD29" s="15"/>
      <c r="CE29" s="10">
        <f t="shared" si="40"/>
        <v>0</v>
      </c>
      <c r="CF29" s="11">
        <f t="shared" si="41"/>
        <v>0</v>
      </c>
      <c r="CG29" s="12">
        <f t="shared" si="42"/>
        <v>0</v>
      </c>
      <c r="CH29" s="15"/>
      <c r="CI29" s="10">
        <f t="shared" si="43"/>
        <v>0</v>
      </c>
      <c r="CJ29" s="15"/>
      <c r="CK29" s="10">
        <f t="shared" si="44"/>
        <v>0</v>
      </c>
      <c r="CL29" s="15"/>
      <c r="CM29" s="10">
        <f t="shared" si="45"/>
        <v>0</v>
      </c>
      <c r="CN29" s="15"/>
      <c r="CO29" s="10">
        <f t="shared" si="46"/>
        <v>0</v>
      </c>
      <c r="CP29" s="15"/>
      <c r="CQ29" s="10">
        <f t="shared" si="47"/>
        <v>0</v>
      </c>
      <c r="CR29" s="15"/>
      <c r="CS29" s="10">
        <f t="shared" si="48"/>
        <v>0</v>
      </c>
      <c r="CT29" s="15"/>
      <c r="CU29" s="10">
        <f t="shared" si="49"/>
        <v>0</v>
      </c>
      <c r="CV29" s="15"/>
      <c r="CW29" s="10">
        <f t="shared" si="50"/>
        <v>0</v>
      </c>
      <c r="CX29" s="15"/>
      <c r="CY29" s="10">
        <f t="shared" si="51"/>
        <v>0</v>
      </c>
      <c r="CZ29" s="15"/>
      <c r="DA29" s="10">
        <f t="shared" si="52"/>
        <v>0</v>
      </c>
      <c r="DB29" s="15"/>
      <c r="DC29" s="10">
        <f t="shared" si="53"/>
        <v>0</v>
      </c>
      <c r="DD29" s="15"/>
      <c r="DE29" s="10">
        <f t="shared" si="53"/>
        <v>0</v>
      </c>
      <c r="DF29" s="16">
        <f t="shared" si="0"/>
        <v>0</v>
      </c>
      <c r="DG29" s="208">
        <f t="shared" si="54"/>
        <v>0</v>
      </c>
    </row>
    <row r="30" spans="1:111">
      <c r="A30" s="7"/>
      <c r="B30" s="8"/>
      <c r="C30" s="8"/>
      <c r="D30" s="7"/>
      <c r="E30" s="7"/>
      <c r="F30" s="7"/>
      <c r="G30" s="7"/>
      <c r="H30" s="15"/>
      <c r="I30" s="10">
        <f t="shared" si="1"/>
        <v>0</v>
      </c>
      <c r="J30" s="15"/>
      <c r="K30" s="10">
        <f t="shared" si="2"/>
        <v>0</v>
      </c>
      <c r="L30" s="15"/>
      <c r="M30" s="10">
        <f t="shared" si="3"/>
        <v>0</v>
      </c>
      <c r="N30" s="15"/>
      <c r="O30" s="10">
        <f t="shared" si="4"/>
        <v>0</v>
      </c>
      <c r="P30" s="15"/>
      <c r="Q30" s="10">
        <f t="shared" si="5"/>
        <v>0</v>
      </c>
      <c r="R30" s="15"/>
      <c r="S30" s="10">
        <f t="shared" si="6"/>
        <v>0</v>
      </c>
      <c r="T30" s="15"/>
      <c r="U30" s="10">
        <f t="shared" si="7"/>
        <v>0</v>
      </c>
      <c r="V30" s="15"/>
      <c r="W30" s="10">
        <f t="shared" si="8"/>
        <v>0</v>
      </c>
      <c r="X30" s="15"/>
      <c r="Y30" s="10">
        <f t="shared" si="9"/>
        <v>0</v>
      </c>
      <c r="Z30" s="15"/>
      <c r="AA30" s="10">
        <f t="shared" si="10"/>
        <v>0</v>
      </c>
      <c r="AB30" s="15"/>
      <c r="AC30" s="10">
        <f t="shared" si="11"/>
        <v>0</v>
      </c>
      <c r="AD30" s="15"/>
      <c r="AE30" s="10">
        <f t="shared" si="12"/>
        <v>0</v>
      </c>
      <c r="AF30" s="11">
        <f t="shared" si="13"/>
        <v>0</v>
      </c>
      <c r="AG30" s="12">
        <f t="shared" si="14"/>
        <v>0</v>
      </c>
      <c r="AH30" s="15"/>
      <c r="AI30" s="10">
        <f t="shared" si="15"/>
        <v>0</v>
      </c>
      <c r="AJ30" s="15"/>
      <c r="AK30" s="10">
        <f t="shared" si="16"/>
        <v>0</v>
      </c>
      <c r="AL30" s="15"/>
      <c r="AM30" s="10">
        <f t="shared" si="17"/>
        <v>0</v>
      </c>
      <c r="AN30" s="15"/>
      <c r="AO30" s="10">
        <f t="shared" si="18"/>
        <v>0</v>
      </c>
      <c r="AP30" s="15"/>
      <c r="AQ30" s="10">
        <f t="shared" si="19"/>
        <v>0</v>
      </c>
      <c r="AR30" s="15"/>
      <c r="AS30" s="10">
        <f t="shared" si="20"/>
        <v>0</v>
      </c>
      <c r="AT30" s="15"/>
      <c r="AU30" s="10">
        <f t="shared" si="21"/>
        <v>0</v>
      </c>
      <c r="AV30" s="15"/>
      <c r="AW30" s="10">
        <f t="shared" si="22"/>
        <v>0</v>
      </c>
      <c r="AX30" s="15"/>
      <c r="AY30" s="10">
        <f t="shared" si="23"/>
        <v>0</v>
      </c>
      <c r="AZ30" s="15"/>
      <c r="BA30" s="10">
        <f t="shared" si="24"/>
        <v>0</v>
      </c>
      <c r="BB30" s="15"/>
      <c r="BC30" s="10">
        <f t="shared" si="25"/>
        <v>0</v>
      </c>
      <c r="BD30" s="15"/>
      <c r="BE30" s="10">
        <f t="shared" si="26"/>
        <v>0</v>
      </c>
      <c r="BF30" s="11">
        <f t="shared" si="27"/>
        <v>0</v>
      </c>
      <c r="BG30" s="12">
        <f t="shared" si="28"/>
        <v>0</v>
      </c>
      <c r="BH30" s="15"/>
      <c r="BI30" s="10">
        <f t="shared" si="29"/>
        <v>0</v>
      </c>
      <c r="BJ30" s="15"/>
      <c r="BK30" s="10">
        <f t="shared" si="30"/>
        <v>0</v>
      </c>
      <c r="BL30" s="15"/>
      <c r="BM30" s="10">
        <f t="shared" si="31"/>
        <v>0</v>
      </c>
      <c r="BN30" s="15"/>
      <c r="BO30" s="10">
        <f t="shared" si="32"/>
        <v>0</v>
      </c>
      <c r="BP30" s="15"/>
      <c r="BQ30" s="10">
        <f t="shared" si="33"/>
        <v>0</v>
      </c>
      <c r="BR30" s="15"/>
      <c r="BS30" s="10">
        <f t="shared" si="34"/>
        <v>0</v>
      </c>
      <c r="BT30" s="15"/>
      <c r="BU30" s="10">
        <f t="shared" si="35"/>
        <v>0</v>
      </c>
      <c r="BV30" s="15"/>
      <c r="BW30" s="10">
        <f t="shared" si="36"/>
        <v>0</v>
      </c>
      <c r="BX30" s="15"/>
      <c r="BY30" s="10">
        <f t="shared" si="37"/>
        <v>0</v>
      </c>
      <c r="BZ30" s="15"/>
      <c r="CA30" s="10">
        <f t="shared" si="38"/>
        <v>0</v>
      </c>
      <c r="CB30" s="15"/>
      <c r="CC30" s="10">
        <f t="shared" si="39"/>
        <v>0</v>
      </c>
      <c r="CD30" s="15"/>
      <c r="CE30" s="10">
        <f t="shared" si="40"/>
        <v>0</v>
      </c>
      <c r="CF30" s="11">
        <f t="shared" si="41"/>
        <v>0</v>
      </c>
      <c r="CG30" s="12">
        <f t="shared" si="42"/>
        <v>0</v>
      </c>
      <c r="CH30" s="15"/>
      <c r="CI30" s="10">
        <f t="shared" si="43"/>
        <v>0</v>
      </c>
      <c r="CJ30" s="15"/>
      <c r="CK30" s="10">
        <f t="shared" si="44"/>
        <v>0</v>
      </c>
      <c r="CL30" s="15"/>
      <c r="CM30" s="10">
        <f t="shared" si="45"/>
        <v>0</v>
      </c>
      <c r="CN30" s="15"/>
      <c r="CO30" s="10">
        <f t="shared" si="46"/>
        <v>0</v>
      </c>
      <c r="CP30" s="15"/>
      <c r="CQ30" s="10">
        <f t="shared" si="47"/>
        <v>0</v>
      </c>
      <c r="CR30" s="15"/>
      <c r="CS30" s="10">
        <f t="shared" si="48"/>
        <v>0</v>
      </c>
      <c r="CT30" s="15"/>
      <c r="CU30" s="10">
        <f t="shared" si="49"/>
        <v>0</v>
      </c>
      <c r="CV30" s="15"/>
      <c r="CW30" s="10">
        <f t="shared" si="50"/>
        <v>0</v>
      </c>
      <c r="CX30" s="15"/>
      <c r="CY30" s="10">
        <f t="shared" si="51"/>
        <v>0</v>
      </c>
      <c r="CZ30" s="15"/>
      <c r="DA30" s="10">
        <f t="shared" si="52"/>
        <v>0</v>
      </c>
      <c r="DB30" s="15"/>
      <c r="DC30" s="10">
        <f t="shared" si="53"/>
        <v>0</v>
      </c>
      <c r="DD30" s="15"/>
      <c r="DE30" s="10">
        <f t="shared" si="53"/>
        <v>0</v>
      </c>
      <c r="DF30" s="16">
        <f t="shared" si="0"/>
        <v>0</v>
      </c>
      <c r="DG30" s="208">
        <f t="shared" si="54"/>
        <v>0</v>
      </c>
    </row>
    <row r="31" spans="1:111">
      <c r="A31" s="7">
        <v>24</v>
      </c>
      <c r="B31" s="8" t="s">
        <v>38</v>
      </c>
      <c r="C31" s="8" t="s">
        <v>14</v>
      </c>
      <c r="D31" s="7">
        <f t="shared" ref="D31:D47" si="56">RANK(DF31,$DF$4:$DF$141)</f>
        <v>29</v>
      </c>
      <c r="E31" s="7">
        <v>1</v>
      </c>
      <c r="F31" s="7" t="s">
        <v>12</v>
      </c>
      <c r="G31" s="7">
        <v>1680</v>
      </c>
      <c r="H31" s="9">
        <v>96</v>
      </c>
      <c r="I31" s="10">
        <f t="shared" si="1"/>
        <v>96</v>
      </c>
      <c r="J31" s="9">
        <v>84</v>
      </c>
      <c r="K31" s="10">
        <f t="shared" si="2"/>
        <v>84</v>
      </c>
      <c r="L31" s="9">
        <v>432</v>
      </c>
      <c r="M31" s="10">
        <f t="shared" si="3"/>
        <v>432</v>
      </c>
      <c r="N31" s="9">
        <v>60</v>
      </c>
      <c r="O31" s="10">
        <f t="shared" si="4"/>
        <v>60</v>
      </c>
      <c r="P31" s="9">
        <v>204</v>
      </c>
      <c r="Q31" s="10">
        <f t="shared" si="5"/>
        <v>204</v>
      </c>
      <c r="R31" s="9"/>
      <c r="S31" s="10">
        <f t="shared" si="6"/>
        <v>0</v>
      </c>
      <c r="T31" s="9">
        <v>216</v>
      </c>
      <c r="U31" s="10">
        <f t="shared" si="7"/>
        <v>216</v>
      </c>
      <c r="V31" s="9"/>
      <c r="W31" s="10">
        <f t="shared" si="8"/>
        <v>0</v>
      </c>
      <c r="X31" s="9"/>
      <c r="Y31" s="10">
        <f t="shared" si="9"/>
        <v>0</v>
      </c>
      <c r="Z31" s="9"/>
      <c r="AA31" s="10">
        <f t="shared" si="10"/>
        <v>0</v>
      </c>
      <c r="AB31" s="9"/>
      <c r="AC31" s="10">
        <f t="shared" si="11"/>
        <v>0</v>
      </c>
      <c r="AD31" s="9"/>
      <c r="AE31" s="10">
        <f t="shared" si="12"/>
        <v>0</v>
      </c>
      <c r="AF31" s="11">
        <f t="shared" si="13"/>
        <v>1092</v>
      </c>
      <c r="AG31" s="12">
        <f t="shared" si="14"/>
        <v>1092</v>
      </c>
      <c r="AH31" s="9"/>
      <c r="AI31" s="10">
        <f t="shared" si="15"/>
        <v>0</v>
      </c>
      <c r="AJ31" s="9"/>
      <c r="AK31" s="10">
        <f t="shared" si="16"/>
        <v>0</v>
      </c>
      <c r="AL31" s="9"/>
      <c r="AM31" s="10">
        <f t="shared" si="17"/>
        <v>0</v>
      </c>
      <c r="AN31" s="9"/>
      <c r="AO31" s="10">
        <f t="shared" si="18"/>
        <v>0</v>
      </c>
      <c r="AP31" s="9"/>
      <c r="AQ31" s="10">
        <f t="shared" si="19"/>
        <v>0</v>
      </c>
      <c r="AR31" s="9"/>
      <c r="AS31" s="10">
        <f t="shared" si="20"/>
        <v>0</v>
      </c>
      <c r="AT31" s="9"/>
      <c r="AU31" s="10">
        <f t="shared" si="21"/>
        <v>0</v>
      </c>
      <c r="AV31" s="9"/>
      <c r="AW31" s="10">
        <f t="shared" si="22"/>
        <v>0</v>
      </c>
      <c r="AX31" s="9">
        <v>36</v>
      </c>
      <c r="AY31" s="10">
        <f t="shared" si="23"/>
        <v>36</v>
      </c>
      <c r="AZ31" s="9"/>
      <c r="BA31" s="10">
        <f t="shared" si="24"/>
        <v>0</v>
      </c>
      <c r="BB31" s="9">
        <v>48</v>
      </c>
      <c r="BC31" s="10">
        <f t="shared" si="25"/>
        <v>48</v>
      </c>
      <c r="BD31" s="9"/>
      <c r="BE31" s="10">
        <f t="shared" si="26"/>
        <v>0</v>
      </c>
      <c r="BF31" s="11">
        <f t="shared" si="27"/>
        <v>84</v>
      </c>
      <c r="BG31" s="12">
        <f t="shared" si="28"/>
        <v>84</v>
      </c>
      <c r="BH31" s="13">
        <v>144</v>
      </c>
      <c r="BI31" s="10">
        <f t="shared" si="29"/>
        <v>144</v>
      </c>
      <c r="BJ31" s="13">
        <v>72</v>
      </c>
      <c r="BK31" s="10">
        <f t="shared" si="30"/>
        <v>72</v>
      </c>
      <c r="BL31" s="13">
        <v>72</v>
      </c>
      <c r="BM31" s="10">
        <f t="shared" si="31"/>
        <v>72</v>
      </c>
      <c r="BN31" s="13">
        <v>156</v>
      </c>
      <c r="BO31" s="10">
        <f t="shared" si="32"/>
        <v>156</v>
      </c>
      <c r="BP31" s="13">
        <v>96</v>
      </c>
      <c r="BQ31" s="10">
        <f t="shared" si="33"/>
        <v>96</v>
      </c>
      <c r="BR31" s="13">
        <v>120</v>
      </c>
      <c r="BS31" s="10">
        <f t="shared" si="34"/>
        <v>120</v>
      </c>
      <c r="BT31" s="13">
        <v>24</v>
      </c>
      <c r="BU31" s="10">
        <f t="shared" si="35"/>
        <v>24</v>
      </c>
      <c r="BV31" s="13">
        <v>25</v>
      </c>
      <c r="BW31" s="10">
        <f t="shared" si="36"/>
        <v>25</v>
      </c>
      <c r="BX31" s="13">
        <v>36</v>
      </c>
      <c r="BY31" s="10">
        <f t="shared" si="37"/>
        <v>36</v>
      </c>
      <c r="BZ31" s="13">
        <v>84</v>
      </c>
      <c r="CA31" s="10">
        <f t="shared" si="38"/>
        <v>84</v>
      </c>
      <c r="CB31" s="13">
        <v>84</v>
      </c>
      <c r="CC31" s="10">
        <f t="shared" si="39"/>
        <v>84</v>
      </c>
      <c r="CD31" s="14">
        <v>72</v>
      </c>
      <c r="CE31" s="10">
        <f t="shared" si="40"/>
        <v>72</v>
      </c>
      <c r="CF31" s="11">
        <f t="shared" si="41"/>
        <v>985</v>
      </c>
      <c r="CG31" s="12">
        <f t="shared" si="42"/>
        <v>985</v>
      </c>
      <c r="CH31" s="15"/>
      <c r="CI31" s="10">
        <f t="shared" si="43"/>
        <v>0</v>
      </c>
      <c r="CJ31" s="15"/>
      <c r="CK31" s="10">
        <f t="shared" si="44"/>
        <v>0</v>
      </c>
      <c r="CL31" s="15"/>
      <c r="CM31" s="10">
        <f t="shared" si="45"/>
        <v>0</v>
      </c>
      <c r="CN31" s="15"/>
      <c r="CO31" s="10">
        <f t="shared" si="46"/>
        <v>0</v>
      </c>
      <c r="CP31" s="15">
        <v>72</v>
      </c>
      <c r="CQ31" s="10">
        <f t="shared" si="47"/>
        <v>72</v>
      </c>
      <c r="CR31" s="15"/>
      <c r="CS31" s="10">
        <f t="shared" si="48"/>
        <v>0</v>
      </c>
      <c r="CT31" s="15"/>
      <c r="CU31" s="10">
        <f t="shared" si="49"/>
        <v>0</v>
      </c>
      <c r="CV31" s="15">
        <v>12</v>
      </c>
      <c r="CW31" s="10">
        <f t="shared" si="50"/>
        <v>12</v>
      </c>
      <c r="CX31" s="15"/>
      <c r="CY31" s="10">
        <f t="shared" si="51"/>
        <v>0</v>
      </c>
      <c r="CZ31" s="15"/>
      <c r="DA31" s="10">
        <f t="shared" si="52"/>
        <v>0</v>
      </c>
      <c r="DB31" s="15"/>
      <c r="DC31" s="10">
        <f t="shared" si="53"/>
        <v>0</v>
      </c>
      <c r="DD31" s="15"/>
      <c r="DE31" s="10">
        <f t="shared" si="53"/>
        <v>0</v>
      </c>
      <c r="DF31" s="16">
        <f t="shared" si="0"/>
        <v>84</v>
      </c>
      <c r="DG31" s="208">
        <f t="shared" si="54"/>
        <v>84</v>
      </c>
    </row>
    <row r="32" spans="1:111">
      <c r="A32" s="7">
        <v>25</v>
      </c>
      <c r="B32" s="8" t="s">
        <v>39</v>
      </c>
      <c r="C32" s="8" t="s">
        <v>14</v>
      </c>
      <c r="D32" s="7">
        <f t="shared" si="56"/>
        <v>20</v>
      </c>
      <c r="E32" s="7">
        <v>1</v>
      </c>
      <c r="F32" s="7" t="s">
        <v>12</v>
      </c>
      <c r="G32" s="7">
        <v>1930</v>
      </c>
      <c r="H32" s="9">
        <v>528</v>
      </c>
      <c r="I32" s="10">
        <f t="shared" si="1"/>
        <v>528</v>
      </c>
      <c r="J32" s="9">
        <v>552</v>
      </c>
      <c r="K32" s="10">
        <f t="shared" si="2"/>
        <v>552</v>
      </c>
      <c r="L32" s="9">
        <v>288</v>
      </c>
      <c r="M32" s="10">
        <f t="shared" si="3"/>
        <v>288</v>
      </c>
      <c r="N32" s="9">
        <v>432</v>
      </c>
      <c r="O32" s="10">
        <f t="shared" si="4"/>
        <v>432</v>
      </c>
      <c r="P32" s="9">
        <v>251</v>
      </c>
      <c r="Q32" s="10">
        <f t="shared" si="5"/>
        <v>251</v>
      </c>
      <c r="R32" s="9">
        <v>504</v>
      </c>
      <c r="S32" s="10">
        <f t="shared" si="6"/>
        <v>504</v>
      </c>
      <c r="T32" s="9">
        <v>216</v>
      </c>
      <c r="U32" s="10">
        <f t="shared" si="7"/>
        <v>216</v>
      </c>
      <c r="V32" s="9">
        <v>324</v>
      </c>
      <c r="W32" s="10">
        <f t="shared" si="8"/>
        <v>324</v>
      </c>
      <c r="X32" s="9">
        <v>480</v>
      </c>
      <c r="Y32" s="10">
        <f t="shared" si="9"/>
        <v>480</v>
      </c>
      <c r="Z32" s="9">
        <v>348</v>
      </c>
      <c r="AA32" s="10">
        <f t="shared" si="10"/>
        <v>348</v>
      </c>
      <c r="AB32" s="9">
        <v>276</v>
      </c>
      <c r="AC32" s="10">
        <f t="shared" si="11"/>
        <v>276</v>
      </c>
      <c r="AD32" s="9">
        <v>384</v>
      </c>
      <c r="AE32" s="10">
        <f t="shared" si="12"/>
        <v>384</v>
      </c>
      <c r="AF32" s="11">
        <f t="shared" si="13"/>
        <v>4583</v>
      </c>
      <c r="AG32" s="12">
        <f t="shared" si="14"/>
        <v>4583</v>
      </c>
      <c r="AH32" s="9">
        <v>264</v>
      </c>
      <c r="AI32" s="10">
        <f t="shared" si="15"/>
        <v>264</v>
      </c>
      <c r="AJ32" s="9">
        <v>300</v>
      </c>
      <c r="AK32" s="10">
        <f t="shared" si="16"/>
        <v>300</v>
      </c>
      <c r="AL32" s="9">
        <v>396</v>
      </c>
      <c r="AM32" s="10">
        <f t="shared" si="17"/>
        <v>396</v>
      </c>
      <c r="AN32" s="9">
        <v>324</v>
      </c>
      <c r="AO32" s="10">
        <f t="shared" si="18"/>
        <v>324</v>
      </c>
      <c r="AP32" s="9">
        <v>420</v>
      </c>
      <c r="AQ32" s="10">
        <f t="shared" si="19"/>
        <v>420</v>
      </c>
      <c r="AR32" s="9">
        <v>408</v>
      </c>
      <c r="AS32" s="10">
        <f t="shared" si="20"/>
        <v>408</v>
      </c>
      <c r="AT32" s="9">
        <v>216</v>
      </c>
      <c r="AU32" s="10">
        <f t="shared" si="21"/>
        <v>216</v>
      </c>
      <c r="AV32" s="9">
        <v>443</v>
      </c>
      <c r="AW32" s="10">
        <f t="shared" si="22"/>
        <v>443</v>
      </c>
      <c r="AX32" s="9">
        <v>408</v>
      </c>
      <c r="AY32" s="10">
        <f t="shared" si="23"/>
        <v>408</v>
      </c>
      <c r="AZ32" s="9">
        <v>407</v>
      </c>
      <c r="BA32" s="10">
        <f t="shared" si="24"/>
        <v>407</v>
      </c>
      <c r="BB32" s="9">
        <v>480</v>
      </c>
      <c r="BC32" s="10">
        <f t="shared" si="25"/>
        <v>480</v>
      </c>
      <c r="BD32" s="9">
        <v>348</v>
      </c>
      <c r="BE32" s="10">
        <f t="shared" si="26"/>
        <v>348</v>
      </c>
      <c r="BF32" s="11">
        <f t="shared" si="27"/>
        <v>4414</v>
      </c>
      <c r="BG32" s="12">
        <f t="shared" si="28"/>
        <v>4414</v>
      </c>
      <c r="BH32" s="13">
        <v>348</v>
      </c>
      <c r="BI32" s="10">
        <f t="shared" si="29"/>
        <v>348</v>
      </c>
      <c r="BJ32" s="13">
        <v>372</v>
      </c>
      <c r="BK32" s="10">
        <f t="shared" si="30"/>
        <v>372</v>
      </c>
      <c r="BL32" s="13">
        <v>468</v>
      </c>
      <c r="BM32" s="10">
        <f t="shared" si="31"/>
        <v>468</v>
      </c>
      <c r="BN32" s="13">
        <v>324</v>
      </c>
      <c r="BO32" s="10">
        <f t="shared" si="32"/>
        <v>324</v>
      </c>
      <c r="BP32" s="13">
        <v>384</v>
      </c>
      <c r="BQ32" s="10">
        <f t="shared" si="33"/>
        <v>384</v>
      </c>
      <c r="BR32" s="13">
        <v>504</v>
      </c>
      <c r="BS32" s="10">
        <f t="shared" si="34"/>
        <v>504</v>
      </c>
      <c r="BT32" s="13">
        <v>468</v>
      </c>
      <c r="BU32" s="10">
        <f t="shared" si="35"/>
        <v>468</v>
      </c>
      <c r="BV32" s="13">
        <v>217</v>
      </c>
      <c r="BW32" s="10">
        <f t="shared" si="36"/>
        <v>217</v>
      </c>
      <c r="BX32" s="13">
        <v>480</v>
      </c>
      <c r="BY32" s="10">
        <f t="shared" si="37"/>
        <v>480</v>
      </c>
      <c r="BZ32" s="13">
        <v>264</v>
      </c>
      <c r="CA32" s="10">
        <f t="shared" si="38"/>
        <v>264</v>
      </c>
      <c r="CB32" s="13">
        <v>564</v>
      </c>
      <c r="CC32" s="10">
        <f t="shared" si="39"/>
        <v>564</v>
      </c>
      <c r="CD32" s="14">
        <v>792</v>
      </c>
      <c r="CE32" s="10">
        <f t="shared" si="40"/>
        <v>792</v>
      </c>
      <c r="CF32" s="11">
        <f t="shared" si="41"/>
        <v>5185</v>
      </c>
      <c r="CG32" s="12">
        <f t="shared" si="42"/>
        <v>5185</v>
      </c>
      <c r="CH32" s="15">
        <v>744</v>
      </c>
      <c r="CI32" s="10">
        <f t="shared" si="43"/>
        <v>744</v>
      </c>
      <c r="CJ32" s="15">
        <v>708</v>
      </c>
      <c r="CK32" s="10">
        <f t="shared" si="44"/>
        <v>708</v>
      </c>
      <c r="CL32" s="15">
        <v>1164</v>
      </c>
      <c r="CM32" s="10">
        <f t="shared" si="45"/>
        <v>1164</v>
      </c>
      <c r="CN32" s="15">
        <v>744</v>
      </c>
      <c r="CO32" s="10">
        <f t="shared" si="46"/>
        <v>744</v>
      </c>
      <c r="CP32" s="15">
        <v>1123</v>
      </c>
      <c r="CQ32" s="10">
        <f t="shared" si="47"/>
        <v>1123</v>
      </c>
      <c r="CR32" s="15">
        <v>1032</v>
      </c>
      <c r="CS32" s="10">
        <f t="shared" si="48"/>
        <v>1032</v>
      </c>
      <c r="CT32" s="15">
        <v>924</v>
      </c>
      <c r="CU32" s="10">
        <f t="shared" si="49"/>
        <v>924</v>
      </c>
      <c r="CV32" s="15">
        <v>984</v>
      </c>
      <c r="CW32" s="10">
        <f t="shared" si="50"/>
        <v>984</v>
      </c>
      <c r="CX32" s="15">
        <v>720</v>
      </c>
      <c r="CY32" s="10">
        <f t="shared" si="51"/>
        <v>720</v>
      </c>
      <c r="CZ32" s="15">
        <v>864</v>
      </c>
      <c r="DA32" s="10">
        <f t="shared" si="52"/>
        <v>864</v>
      </c>
      <c r="DB32" s="15">
        <v>960</v>
      </c>
      <c r="DC32" s="10">
        <f t="shared" si="53"/>
        <v>960</v>
      </c>
      <c r="DD32" s="15">
        <v>948</v>
      </c>
      <c r="DE32" s="10">
        <f t="shared" si="53"/>
        <v>948</v>
      </c>
      <c r="DF32" s="16">
        <f t="shared" si="0"/>
        <v>10915</v>
      </c>
      <c r="DG32" s="208">
        <f t="shared" si="54"/>
        <v>10915</v>
      </c>
    </row>
    <row r="33" spans="1:111">
      <c r="A33" s="7">
        <v>26</v>
      </c>
      <c r="B33" s="8" t="s">
        <v>40</v>
      </c>
      <c r="C33" s="8" t="s">
        <v>14</v>
      </c>
      <c r="D33" s="7">
        <f t="shared" si="56"/>
        <v>31</v>
      </c>
      <c r="E33" s="7">
        <v>0.6</v>
      </c>
      <c r="F33" s="7" t="s">
        <v>12</v>
      </c>
      <c r="G33" s="7">
        <v>1110</v>
      </c>
      <c r="H33" s="15"/>
      <c r="I33" s="10">
        <f t="shared" si="1"/>
        <v>0</v>
      </c>
      <c r="J33" s="15"/>
      <c r="K33" s="10">
        <f t="shared" si="2"/>
        <v>0</v>
      </c>
      <c r="L33" s="15"/>
      <c r="M33" s="10">
        <f t="shared" si="3"/>
        <v>0</v>
      </c>
      <c r="N33" s="15"/>
      <c r="O33" s="10">
        <f t="shared" si="4"/>
        <v>0</v>
      </c>
      <c r="P33" s="15"/>
      <c r="Q33" s="10">
        <f t="shared" si="5"/>
        <v>0</v>
      </c>
      <c r="R33" s="15"/>
      <c r="S33" s="10">
        <f t="shared" si="6"/>
        <v>0</v>
      </c>
      <c r="T33" s="15"/>
      <c r="U33" s="10">
        <f t="shared" si="7"/>
        <v>0</v>
      </c>
      <c r="V33" s="15"/>
      <c r="W33" s="10">
        <f t="shared" si="8"/>
        <v>0</v>
      </c>
      <c r="X33" s="15"/>
      <c r="Y33" s="10">
        <f t="shared" si="9"/>
        <v>0</v>
      </c>
      <c r="Z33" s="15"/>
      <c r="AA33" s="10">
        <f t="shared" si="10"/>
        <v>0</v>
      </c>
      <c r="AB33" s="15"/>
      <c r="AC33" s="10">
        <f t="shared" si="11"/>
        <v>0</v>
      </c>
      <c r="AD33" s="15"/>
      <c r="AE33" s="10">
        <f t="shared" si="12"/>
        <v>0</v>
      </c>
      <c r="AF33" s="11">
        <f t="shared" si="13"/>
        <v>0</v>
      </c>
      <c r="AG33" s="12">
        <f t="shared" si="14"/>
        <v>0</v>
      </c>
      <c r="AH33" s="9"/>
      <c r="AI33" s="10">
        <f t="shared" si="15"/>
        <v>0</v>
      </c>
      <c r="AJ33" s="9"/>
      <c r="AK33" s="10">
        <f t="shared" si="16"/>
        <v>0</v>
      </c>
      <c r="AL33" s="9"/>
      <c r="AM33" s="10">
        <f t="shared" si="17"/>
        <v>0</v>
      </c>
      <c r="AN33" s="9"/>
      <c r="AO33" s="10">
        <f t="shared" si="18"/>
        <v>0</v>
      </c>
      <c r="AP33" s="9"/>
      <c r="AQ33" s="10">
        <f t="shared" si="19"/>
        <v>0</v>
      </c>
      <c r="AR33" s="9"/>
      <c r="AS33" s="10">
        <f t="shared" si="20"/>
        <v>0</v>
      </c>
      <c r="AT33" s="9"/>
      <c r="AU33" s="10">
        <f t="shared" si="21"/>
        <v>0</v>
      </c>
      <c r="AV33" s="9"/>
      <c r="AW33" s="10">
        <f t="shared" si="22"/>
        <v>0</v>
      </c>
      <c r="AX33" s="9"/>
      <c r="AY33" s="10">
        <f t="shared" si="23"/>
        <v>0</v>
      </c>
      <c r="AZ33" s="9">
        <v>36</v>
      </c>
      <c r="BA33" s="10">
        <f t="shared" si="24"/>
        <v>21.599999999999998</v>
      </c>
      <c r="BB33" s="9">
        <v>60</v>
      </c>
      <c r="BC33" s="10">
        <f t="shared" si="25"/>
        <v>36</v>
      </c>
      <c r="BD33" s="9"/>
      <c r="BE33" s="10">
        <f t="shared" si="26"/>
        <v>0</v>
      </c>
      <c r="BF33" s="11">
        <f t="shared" si="27"/>
        <v>96</v>
      </c>
      <c r="BG33" s="12">
        <f t="shared" si="28"/>
        <v>57.599999999999994</v>
      </c>
      <c r="BH33" s="13">
        <v>453</v>
      </c>
      <c r="BI33" s="10">
        <f t="shared" si="29"/>
        <v>271.8</v>
      </c>
      <c r="BJ33" s="13">
        <v>96</v>
      </c>
      <c r="BK33" s="10">
        <f t="shared" si="30"/>
        <v>57.599999999999994</v>
      </c>
      <c r="BL33" s="13">
        <v>12</v>
      </c>
      <c r="BM33" s="10">
        <f t="shared" si="31"/>
        <v>7.1999999999999993</v>
      </c>
      <c r="BN33" s="13">
        <v>0</v>
      </c>
      <c r="BO33" s="10">
        <f t="shared" si="32"/>
        <v>0</v>
      </c>
      <c r="BP33" s="13">
        <v>0</v>
      </c>
      <c r="BQ33" s="10">
        <f t="shared" si="33"/>
        <v>0</v>
      </c>
      <c r="BR33" s="13">
        <v>0</v>
      </c>
      <c r="BS33" s="10">
        <f t="shared" si="34"/>
        <v>0</v>
      </c>
      <c r="BT33" s="13">
        <v>0</v>
      </c>
      <c r="BU33" s="10">
        <f t="shared" si="35"/>
        <v>0</v>
      </c>
      <c r="BV33" s="13">
        <v>0</v>
      </c>
      <c r="BW33" s="10">
        <f t="shared" si="36"/>
        <v>0</v>
      </c>
      <c r="BX33" s="13">
        <v>0</v>
      </c>
      <c r="BY33" s="10">
        <f t="shared" si="37"/>
        <v>0</v>
      </c>
      <c r="BZ33" s="13"/>
      <c r="CA33" s="10">
        <f t="shared" si="38"/>
        <v>0</v>
      </c>
      <c r="CB33" s="13"/>
      <c r="CC33" s="10">
        <f t="shared" si="39"/>
        <v>0</v>
      </c>
      <c r="CD33" s="14"/>
      <c r="CE33" s="10">
        <f t="shared" si="40"/>
        <v>0</v>
      </c>
      <c r="CF33" s="11">
        <f t="shared" si="41"/>
        <v>561</v>
      </c>
      <c r="CG33" s="12">
        <f t="shared" si="42"/>
        <v>336.59999999999997</v>
      </c>
      <c r="CH33" s="15"/>
      <c r="CI33" s="10">
        <f t="shared" si="43"/>
        <v>0</v>
      </c>
      <c r="CJ33" s="15"/>
      <c r="CK33" s="10">
        <f t="shared" si="44"/>
        <v>0</v>
      </c>
      <c r="CL33" s="15"/>
      <c r="CM33" s="10">
        <f t="shared" si="45"/>
        <v>0</v>
      </c>
      <c r="CN33" s="15"/>
      <c r="CO33" s="10">
        <f t="shared" si="46"/>
        <v>0</v>
      </c>
      <c r="CP33" s="15"/>
      <c r="CQ33" s="10">
        <f t="shared" si="47"/>
        <v>0</v>
      </c>
      <c r="CR33" s="15"/>
      <c r="CS33" s="10">
        <f t="shared" si="48"/>
        <v>0</v>
      </c>
      <c r="CT33" s="15"/>
      <c r="CU33" s="10">
        <f t="shared" si="49"/>
        <v>0</v>
      </c>
      <c r="CV33" s="15"/>
      <c r="CW33" s="10">
        <f t="shared" si="50"/>
        <v>0</v>
      </c>
      <c r="CX33" s="15"/>
      <c r="CY33" s="10">
        <f t="shared" si="51"/>
        <v>0</v>
      </c>
      <c r="CZ33" s="15"/>
      <c r="DA33" s="10">
        <f t="shared" si="52"/>
        <v>0</v>
      </c>
      <c r="DB33" s="15"/>
      <c r="DC33" s="10">
        <f t="shared" si="53"/>
        <v>0</v>
      </c>
      <c r="DD33" s="15"/>
      <c r="DE33" s="10">
        <f t="shared" si="53"/>
        <v>0</v>
      </c>
      <c r="DF33" s="16">
        <f t="shared" si="0"/>
        <v>0</v>
      </c>
      <c r="DG33" s="208">
        <f t="shared" si="54"/>
        <v>0</v>
      </c>
    </row>
    <row r="34" spans="1:111">
      <c r="A34" s="7">
        <v>27</v>
      </c>
      <c r="B34" s="8" t="s">
        <v>41</v>
      </c>
      <c r="C34" s="8" t="s">
        <v>14</v>
      </c>
      <c r="D34" s="7">
        <f t="shared" si="56"/>
        <v>31</v>
      </c>
      <c r="E34" s="7">
        <v>0.6</v>
      </c>
      <c r="F34" s="7" t="s">
        <v>12</v>
      </c>
      <c r="G34" s="7">
        <v>1330</v>
      </c>
      <c r="H34" s="9"/>
      <c r="I34" s="10">
        <f t="shared" si="1"/>
        <v>0</v>
      </c>
      <c r="J34" s="9"/>
      <c r="K34" s="10">
        <f t="shared" si="2"/>
        <v>0</v>
      </c>
      <c r="L34" s="9"/>
      <c r="M34" s="10">
        <f t="shared" si="3"/>
        <v>0</v>
      </c>
      <c r="N34" s="9"/>
      <c r="O34" s="10">
        <f t="shared" si="4"/>
        <v>0</v>
      </c>
      <c r="P34" s="9"/>
      <c r="Q34" s="10">
        <f t="shared" si="5"/>
        <v>0</v>
      </c>
      <c r="R34" s="9"/>
      <c r="S34" s="10">
        <f t="shared" si="6"/>
        <v>0</v>
      </c>
      <c r="T34" s="9"/>
      <c r="U34" s="10">
        <f t="shared" si="7"/>
        <v>0</v>
      </c>
      <c r="V34" s="9"/>
      <c r="W34" s="10">
        <f t="shared" si="8"/>
        <v>0</v>
      </c>
      <c r="X34" s="9"/>
      <c r="Y34" s="10">
        <f t="shared" si="9"/>
        <v>0</v>
      </c>
      <c r="Z34" s="9"/>
      <c r="AA34" s="10">
        <f t="shared" si="10"/>
        <v>0</v>
      </c>
      <c r="AB34" s="9">
        <v>132</v>
      </c>
      <c r="AC34" s="10">
        <f t="shared" si="11"/>
        <v>79.2</v>
      </c>
      <c r="AD34" s="9"/>
      <c r="AE34" s="10">
        <f t="shared" si="12"/>
        <v>0</v>
      </c>
      <c r="AF34" s="11">
        <f t="shared" si="13"/>
        <v>132</v>
      </c>
      <c r="AG34" s="12">
        <f t="shared" si="14"/>
        <v>79.2</v>
      </c>
      <c r="AH34" s="15"/>
      <c r="AI34" s="10">
        <f t="shared" si="15"/>
        <v>0</v>
      </c>
      <c r="AJ34" s="15"/>
      <c r="AK34" s="10">
        <f t="shared" si="16"/>
        <v>0</v>
      </c>
      <c r="AL34" s="15"/>
      <c r="AM34" s="10">
        <f t="shared" si="17"/>
        <v>0</v>
      </c>
      <c r="AN34" s="15"/>
      <c r="AO34" s="10">
        <f t="shared" si="18"/>
        <v>0</v>
      </c>
      <c r="AP34" s="15"/>
      <c r="AQ34" s="10">
        <f t="shared" si="19"/>
        <v>0</v>
      </c>
      <c r="AR34" s="15"/>
      <c r="AS34" s="10">
        <f t="shared" si="20"/>
        <v>0</v>
      </c>
      <c r="AT34" s="15"/>
      <c r="AU34" s="10">
        <f t="shared" si="21"/>
        <v>0</v>
      </c>
      <c r="AV34" s="15"/>
      <c r="AW34" s="10">
        <f t="shared" si="22"/>
        <v>0</v>
      </c>
      <c r="AX34" s="15"/>
      <c r="AY34" s="10">
        <f t="shared" si="23"/>
        <v>0</v>
      </c>
      <c r="AZ34" s="15"/>
      <c r="BA34" s="10">
        <f t="shared" si="24"/>
        <v>0</v>
      </c>
      <c r="BB34" s="15"/>
      <c r="BC34" s="10">
        <f t="shared" si="25"/>
        <v>0</v>
      </c>
      <c r="BD34" s="15"/>
      <c r="BE34" s="10">
        <f t="shared" si="26"/>
        <v>0</v>
      </c>
      <c r="BF34" s="11">
        <f t="shared" si="27"/>
        <v>0</v>
      </c>
      <c r="BG34" s="12">
        <f t="shared" si="28"/>
        <v>0</v>
      </c>
      <c r="BH34" s="13">
        <v>0</v>
      </c>
      <c r="BI34" s="10">
        <f t="shared" si="29"/>
        <v>0</v>
      </c>
      <c r="BJ34" s="13">
        <v>0</v>
      </c>
      <c r="BK34" s="10">
        <f t="shared" si="30"/>
        <v>0</v>
      </c>
      <c r="BL34" s="13">
        <v>12</v>
      </c>
      <c r="BM34" s="10">
        <f t="shared" si="31"/>
        <v>7.1999999999999993</v>
      </c>
      <c r="BN34" s="13">
        <v>0</v>
      </c>
      <c r="BO34" s="10">
        <f t="shared" si="32"/>
        <v>0</v>
      </c>
      <c r="BP34" s="13">
        <v>0</v>
      </c>
      <c r="BQ34" s="10">
        <f t="shared" si="33"/>
        <v>0</v>
      </c>
      <c r="BR34" s="13">
        <v>0</v>
      </c>
      <c r="BS34" s="10">
        <f t="shared" si="34"/>
        <v>0</v>
      </c>
      <c r="BT34" s="13">
        <v>0</v>
      </c>
      <c r="BU34" s="10">
        <f t="shared" si="35"/>
        <v>0</v>
      </c>
      <c r="BV34" s="13">
        <v>0</v>
      </c>
      <c r="BW34" s="10">
        <f t="shared" si="36"/>
        <v>0</v>
      </c>
      <c r="BX34" s="13">
        <v>0</v>
      </c>
      <c r="BY34" s="10">
        <f t="shared" si="37"/>
        <v>0</v>
      </c>
      <c r="BZ34" s="13"/>
      <c r="CA34" s="10">
        <f t="shared" si="38"/>
        <v>0</v>
      </c>
      <c r="CB34" s="13"/>
      <c r="CC34" s="10">
        <f t="shared" si="39"/>
        <v>0</v>
      </c>
      <c r="CD34" s="14"/>
      <c r="CE34" s="10">
        <f t="shared" si="40"/>
        <v>0</v>
      </c>
      <c r="CF34" s="11">
        <f t="shared" si="41"/>
        <v>12</v>
      </c>
      <c r="CG34" s="12">
        <f t="shared" si="42"/>
        <v>7.1999999999999993</v>
      </c>
      <c r="CH34" s="15"/>
      <c r="CI34" s="10">
        <f t="shared" si="43"/>
        <v>0</v>
      </c>
      <c r="CJ34" s="15"/>
      <c r="CK34" s="10">
        <f t="shared" si="44"/>
        <v>0</v>
      </c>
      <c r="CL34" s="15"/>
      <c r="CM34" s="10">
        <f t="shared" si="45"/>
        <v>0</v>
      </c>
      <c r="CN34" s="15"/>
      <c r="CO34" s="10">
        <f t="shared" si="46"/>
        <v>0</v>
      </c>
      <c r="CP34" s="15"/>
      <c r="CQ34" s="10">
        <f t="shared" si="47"/>
        <v>0</v>
      </c>
      <c r="CR34" s="15"/>
      <c r="CS34" s="10">
        <f t="shared" si="48"/>
        <v>0</v>
      </c>
      <c r="CT34" s="15"/>
      <c r="CU34" s="10">
        <f t="shared" si="49"/>
        <v>0</v>
      </c>
      <c r="CV34" s="15"/>
      <c r="CW34" s="10">
        <f t="shared" si="50"/>
        <v>0</v>
      </c>
      <c r="CX34" s="15"/>
      <c r="CY34" s="10">
        <f t="shared" si="51"/>
        <v>0</v>
      </c>
      <c r="CZ34" s="15"/>
      <c r="DA34" s="10">
        <f t="shared" si="52"/>
        <v>0</v>
      </c>
      <c r="DB34" s="15"/>
      <c r="DC34" s="10">
        <f t="shared" si="53"/>
        <v>0</v>
      </c>
      <c r="DD34" s="15"/>
      <c r="DE34" s="10">
        <f t="shared" si="53"/>
        <v>0</v>
      </c>
      <c r="DF34" s="16">
        <f t="shared" si="0"/>
        <v>0</v>
      </c>
      <c r="DG34" s="208">
        <f t="shared" si="54"/>
        <v>0</v>
      </c>
    </row>
    <row r="35" spans="1:111">
      <c r="A35" s="7">
        <v>28</v>
      </c>
      <c r="B35" s="8" t="s">
        <v>42</v>
      </c>
      <c r="C35" s="8" t="s">
        <v>14</v>
      </c>
      <c r="D35" s="7">
        <f t="shared" si="56"/>
        <v>31</v>
      </c>
      <c r="E35" s="7">
        <v>0.35</v>
      </c>
      <c r="F35" s="7" t="s">
        <v>18</v>
      </c>
      <c r="G35" s="7">
        <v>900</v>
      </c>
      <c r="H35" s="9">
        <v>340</v>
      </c>
      <c r="I35" s="10">
        <f t="shared" si="1"/>
        <v>118.99999999999999</v>
      </c>
      <c r="J35" s="9">
        <v>260</v>
      </c>
      <c r="K35" s="10">
        <f t="shared" si="2"/>
        <v>91</v>
      </c>
      <c r="L35" s="9">
        <v>360</v>
      </c>
      <c r="M35" s="10">
        <f t="shared" si="3"/>
        <v>125.99999999999999</v>
      </c>
      <c r="N35" s="9">
        <v>280</v>
      </c>
      <c r="O35" s="10">
        <f t="shared" si="4"/>
        <v>98</v>
      </c>
      <c r="P35" s="9">
        <v>240</v>
      </c>
      <c r="Q35" s="10">
        <f t="shared" si="5"/>
        <v>84</v>
      </c>
      <c r="R35" s="9">
        <v>200</v>
      </c>
      <c r="S35" s="10">
        <f t="shared" si="6"/>
        <v>70</v>
      </c>
      <c r="T35" s="9">
        <v>240</v>
      </c>
      <c r="U35" s="10">
        <f t="shared" si="7"/>
        <v>84</v>
      </c>
      <c r="V35" s="9">
        <v>160</v>
      </c>
      <c r="W35" s="10">
        <f t="shared" si="8"/>
        <v>56</v>
      </c>
      <c r="X35" s="9">
        <v>200</v>
      </c>
      <c r="Y35" s="10">
        <f t="shared" si="9"/>
        <v>70</v>
      </c>
      <c r="Z35" s="9">
        <v>120</v>
      </c>
      <c r="AA35" s="10">
        <f t="shared" si="10"/>
        <v>42</v>
      </c>
      <c r="AB35" s="9">
        <v>160</v>
      </c>
      <c r="AC35" s="10">
        <f t="shared" si="11"/>
        <v>56</v>
      </c>
      <c r="AD35" s="9">
        <v>80</v>
      </c>
      <c r="AE35" s="10">
        <f t="shared" si="12"/>
        <v>28</v>
      </c>
      <c r="AF35" s="11">
        <f t="shared" si="13"/>
        <v>2640</v>
      </c>
      <c r="AG35" s="12">
        <f t="shared" si="14"/>
        <v>923.99999999999989</v>
      </c>
      <c r="AH35" s="9">
        <v>80</v>
      </c>
      <c r="AI35" s="10">
        <f t="shared" si="15"/>
        <v>28</v>
      </c>
      <c r="AJ35" s="9">
        <v>120</v>
      </c>
      <c r="AK35" s="10">
        <f t="shared" si="16"/>
        <v>42</v>
      </c>
      <c r="AL35" s="9">
        <v>240</v>
      </c>
      <c r="AM35" s="10">
        <f t="shared" si="17"/>
        <v>84</v>
      </c>
      <c r="AN35" s="9">
        <v>40</v>
      </c>
      <c r="AO35" s="10">
        <f t="shared" si="18"/>
        <v>14</v>
      </c>
      <c r="AP35" s="9">
        <v>160</v>
      </c>
      <c r="AQ35" s="10">
        <f t="shared" si="19"/>
        <v>56</v>
      </c>
      <c r="AR35" s="9">
        <v>100</v>
      </c>
      <c r="AS35" s="10">
        <f t="shared" si="20"/>
        <v>35</v>
      </c>
      <c r="AT35" s="9">
        <v>40</v>
      </c>
      <c r="AU35" s="10">
        <f t="shared" si="21"/>
        <v>14</v>
      </c>
      <c r="AV35" s="9">
        <v>80</v>
      </c>
      <c r="AW35" s="10">
        <f t="shared" si="22"/>
        <v>28</v>
      </c>
      <c r="AX35" s="9">
        <v>80</v>
      </c>
      <c r="AY35" s="10">
        <f t="shared" si="23"/>
        <v>28</v>
      </c>
      <c r="AZ35" s="9">
        <v>80</v>
      </c>
      <c r="BA35" s="10">
        <f t="shared" si="24"/>
        <v>28</v>
      </c>
      <c r="BB35" s="9">
        <v>120</v>
      </c>
      <c r="BC35" s="10">
        <f t="shared" si="25"/>
        <v>42</v>
      </c>
      <c r="BD35" s="9"/>
      <c r="BE35" s="10">
        <f t="shared" si="26"/>
        <v>0</v>
      </c>
      <c r="BF35" s="11">
        <f t="shared" si="27"/>
        <v>1140</v>
      </c>
      <c r="BG35" s="12">
        <f t="shared" si="28"/>
        <v>399</v>
      </c>
      <c r="BH35" s="13">
        <v>80</v>
      </c>
      <c r="BI35" s="10">
        <f t="shared" si="29"/>
        <v>28</v>
      </c>
      <c r="BJ35" s="13">
        <v>80</v>
      </c>
      <c r="BK35" s="10">
        <f t="shared" si="30"/>
        <v>28</v>
      </c>
      <c r="BL35" s="13">
        <v>200</v>
      </c>
      <c r="BM35" s="10">
        <f t="shared" si="31"/>
        <v>70</v>
      </c>
      <c r="BN35" s="13">
        <v>40</v>
      </c>
      <c r="BO35" s="10">
        <f t="shared" si="32"/>
        <v>14</v>
      </c>
      <c r="BP35" s="13">
        <v>80</v>
      </c>
      <c r="BQ35" s="10">
        <f t="shared" si="33"/>
        <v>28</v>
      </c>
      <c r="BR35" s="13">
        <v>120</v>
      </c>
      <c r="BS35" s="10">
        <f t="shared" si="34"/>
        <v>42</v>
      </c>
      <c r="BT35" s="13">
        <v>120</v>
      </c>
      <c r="BU35" s="10">
        <f t="shared" si="35"/>
        <v>42</v>
      </c>
      <c r="BV35" s="13">
        <v>120</v>
      </c>
      <c r="BW35" s="10">
        <f t="shared" si="36"/>
        <v>42</v>
      </c>
      <c r="BX35" s="13">
        <v>120</v>
      </c>
      <c r="BY35" s="10">
        <f t="shared" si="37"/>
        <v>42</v>
      </c>
      <c r="BZ35" s="13">
        <v>160</v>
      </c>
      <c r="CA35" s="10">
        <f t="shared" si="38"/>
        <v>56</v>
      </c>
      <c r="CB35" s="13">
        <v>160</v>
      </c>
      <c r="CC35" s="10">
        <f t="shared" si="39"/>
        <v>56</v>
      </c>
      <c r="CD35" s="14"/>
      <c r="CE35" s="10">
        <f t="shared" si="40"/>
        <v>0</v>
      </c>
      <c r="CF35" s="11">
        <f t="shared" si="41"/>
        <v>1280</v>
      </c>
      <c r="CG35" s="12">
        <f t="shared" si="42"/>
        <v>448</v>
      </c>
      <c r="CH35" s="15"/>
      <c r="CI35" s="10">
        <f t="shared" si="43"/>
        <v>0</v>
      </c>
      <c r="CJ35" s="15"/>
      <c r="CK35" s="10">
        <f t="shared" si="44"/>
        <v>0</v>
      </c>
      <c r="CL35" s="15"/>
      <c r="CM35" s="10">
        <f t="shared" si="45"/>
        <v>0</v>
      </c>
      <c r="CN35" s="15"/>
      <c r="CO35" s="10">
        <f t="shared" si="46"/>
        <v>0</v>
      </c>
      <c r="CP35" s="15"/>
      <c r="CQ35" s="10">
        <f t="shared" si="47"/>
        <v>0</v>
      </c>
      <c r="CR35" s="15"/>
      <c r="CS35" s="10">
        <f t="shared" si="48"/>
        <v>0</v>
      </c>
      <c r="CT35" s="15"/>
      <c r="CU35" s="10">
        <f t="shared" si="49"/>
        <v>0</v>
      </c>
      <c r="CV35" s="15"/>
      <c r="CW35" s="10">
        <f t="shared" si="50"/>
        <v>0</v>
      </c>
      <c r="CX35" s="15"/>
      <c r="CY35" s="10">
        <f t="shared" si="51"/>
        <v>0</v>
      </c>
      <c r="CZ35" s="15"/>
      <c r="DA35" s="10">
        <f t="shared" si="52"/>
        <v>0</v>
      </c>
      <c r="DB35" s="15"/>
      <c r="DC35" s="10">
        <f t="shared" si="53"/>
        <v>0</v>
      </c>
      <c r="DD35" s="15"/>
      <c r="DE35" s="10">
        <f t="shared" si="53"/>
        <v>0</v>
      </c>
      <c r="DF35" s="16">
        <f t="shared" si="0"/>
        <v>0</v>
      </c>
      <c r="DG35" s="208">
        <f t="shared" si="54"/>
        <v>0</v>
      </c>
    </row>
    <row r="36" spans="1:111">
      <c r="A36" s="7">
        <v>29</v>
      </c>
      <c r="B36" s="8" t="s">
        <v>43</v>
      </c>
      <c r="C36" s="8" t="s">
        <v>11</v>
      </c>
      <c r="D36" s="7">
        <f t="shared" si="56"/>
        <v>31</v>
      </c>
      <c r="E36" s="7">
        <v>0.7</v>
      </c>
      <c r="F36" s="7" t="s">
        <v>12</v>
      </c>
      <c r="G36" s="7"/>
      <c r="H36" s="15"/>
      <c r="I36" s="10">
        <f t="shared" si="1"/>
        <v>0</v>
      </c>
      <c r="J36" s="15"/>
      <c r="K36" s="10">
        <f t="shared" si="2"/>
        <v>0</v>
      </c>
      <c r="L36" s="15"/>
      <c r="M36" s="10">
        <f t="shared" si="3"/>
        <v>0</v>
      </c>
      <c r="N36" s="15"/>
      <c r="O36" s="10">
        <f t="shared" si="4"/>
        <v>0</v>
      </c>
      <c r="P36" s="15"/>
      <c r="Q36" s="10">
        <f t="shared" si="5"/>
        <v>0</v>
      </c>
      <c r="R36" s="15"/>
      <c r="S36" s="10">
        <f t="shared" si="6"/>
        <v>0</v>
      </c>
      <c r="T36" s="15"/>
      <c r="U36" s="10">
        <f t="shared" si="7"/>
        <v>0</v>
      </c>
      <c r="V36" s="15"/>
      <c r="W36" s="10">
        <f t="shared" si="8"/>
        <v>0</v>
      </c>
      <c r="X36" s="15"/>
      <c r="Y36" s="10">
        <f t="shared" si="9"/>
        <v>0</v>
      </c>
      <c r="Z36" s="15"/>
      <c r="AA36" s="10">
        <f t="shared" si="10"/>
        <v>0</v>
      </c>
      <c r="AB36" s="15"/>
      <c r="AC36" s="10">
        <f t="shared" si="11"/>
        <v>0</v>
      </c>
      <c r="AD36" s="15"/>
      <c r="AE36" s="10">
        <f t="shared" si="12"/>
        <v>0</v>
      </c>
      <c r="AF36" s="11">
        <f t="shared" si="13"/>
        <v>0</v>
      </c>
      <c r="AG36" s="12">
        <f t="shared" si="14"/>
        <v>0</v>
      </c>
      <c r="AH36" s="15"/>
      <c r="AI36" s="10">
        <f t="shared" si="15"/>
        <v>0</v>
      </c>
      <c r="AJ36" s="15"/>
      <c r="AK36" s="10">
        <f t="shared" si="16"/>
        <v>0</v>
      </c>
      <c r="AL36" s="15"/>
      <c r="AM36" s="10">
        <f t="shared" si="17"/>
        <v>0</v>
      </c>
      <c r="AN36" s="15"/>
      <c r="AO36" s="10">
        <f t="shared" si="18"/>
        <v>0</v>
      </c>
      <c r="AP36" s="15"/>
      <c r="AQ36" s="10">
        <f t="shared" si="19"/>
        <v>0</v>
      </c>
      <c r="AR36" s="15"/>
      <c r="AS36" s="10">
        <f t="shared" si="20"/>
        <v>0</v>
      </c>
      <c r="AT36" s="15"/>
      <c r="AU36" s="10">
        <f t="shared" si="21"/>
        <v>0</v>
      </c>
      <c r="AV36" s="15"/>
      <c r="AW36" s="10">
        <f t="shared" si="22"/>
        <v>0</v>
      </c>
      <c r="AX36" s="15"/>
      <c r="AY36" s="10">
        <f t="shared" si="23"/>
        <v>0</v>
      </c>
      <c r="AZ36" s="15"/>
      <c r="BA36" s="10">
        <f t="shared" si="24"/>
        <v>0</v>
      </c>
      <c r="BB36" s="15"/>
      <c r="BC36" s="10">
        <f t="shared" si="25"/>
        <v>0</v>
      </c>
      <c r="BD36" s="15"/>
      <c r="BE36" s="10">
        <f t="shared" si="26"/>
        <v>0</v>
      </c>
      <c r="BF36" s="11">
        <f t="shared" si="27"/>
        <v>0</v>
      </c>
      <c r="BG36" s="12">
        <f t="shared" si="28"/>
        <v>0</v>
      </c>
      <c r="BH36" s="15"/>
      <c r="BI36" s="10">
        <f t="shared" si="29"/>
        <v>0</v>
      </c>
      <c r="BJ36" s="15"/>
      <c r="BK36" s="10">
        <f t="shared" si="30"/>
        <v>0</v>
      </c>
      <c r="BL36" s="15"/>
      <c r="BM36" s="10">
        <f t="shared" si="31"/>
        <v>0</v>
      </c>
      <c r="BN36" s="15"/>
      <c r="BO36" s="10">
        <f t="shared" si="32"/>
        <v>0</v>
      </c>
      <c r="BP36" s="15"/>
      <c r="BQ36" s="10">
        <f t="shared" si="33"/>
        <v>0</v>
      </c>
      <c r="BR36" s="15"/>
      <c r="BS36" s="10">
        <f t="shared" si="34"/>
        <v>0</v>
      </c>
      <c r="BT36" s="15"/>
      <c r="BU36" s="10">
        <f t="shared" si="35"/>
        <v>0</v>
      </c>
      <c r="BV36" s="15"/>
      <c r="BW36" s="10">
        <f t="shared" si="36"/>
        <v>0</v>
      </c>
      <c r="BX36" s="15"/>
      <c r="BY36" s="10">
        <f t="shared" si="37"/>
        <v>0</v>
      </c>
      <c r="BZ36" s="15"/>
      <c r="CA36" s="10">
        <f t="shared" si="38"/>
        <v>0</v>
      </c>
      <c r="CB36" s="15"/>
      <c r="CC36" s="10">
        <f t="shared" si="39"/>
        <v>0</v>
      </c>
      <c r="CD36" s="15"/>
      <c r="CE36" s="10">
        <f t="shared" si="40"/>
        <v>0</v>
      </c>
      <c r="CF36" s="11">
        <f t="shared" si="41"/>
        <v>0</v>
      </c>
      <c r="CG36" s="12">
        <f t="shared" si="42"/>
        <v>0</v>
      </c>
      <c r="CH36" s="15"/>
      <c r="CI36" s="10">
        <f t="shared" si="43"/>
        <v>0</v>
      </c>
      <c r="CJ36" s="15"/>
      <c r="CK36" s="10">
        <f t="shared" si="44"/>
        <v>0</v>
      </c>
      <c r="CL36" s="15"/>
      <c r="CM36" s="10">
        <f t="shared" si="45"/>
        <v>0</v>
      </c>
      <c r="CN36" s="15"/>
      <c r="CO36" s="10">
        <f t="shared" si="46"/>
        <v>0</v>
      </c>
      <c r="CP36" s="15"/>
      <c r="CQ36" s="10">
        <f t="shared" si="47"/>
        <v>0</v>
      </c>
      <c r="CR36" s="15"/>
      <c r="CS36" s="10">
        <f t="shared" si="48"/>
        <v>0</v>
      </c>
      <c r="CT36" s="15"/>
      <c r="CU36" s="10">
        <f t="shared" si="49"/>
        <v>0</v>
      </c>
      <c r="CV36" s="15"/>
      <c r="CW36" s="10">
        <f t="shared" si="50"/>
        <v>0</v>
      </c>
      <c r="CX36" s="15"/>
      <c r="CY36" s="10">
        <f t="shared" si="51"/>
        <v>0</v>
      </c>
      <c r="CZ36" s="15"/>
      <c r="DA36" s="10">
        <f t="shared" si="52"/>
        <v>0</v>
      </c>
      <c r="DB36" s="15"/>
      <c r="DC36" s="10">
        <f t="shared" si="53"/>
        <v>0</v>
      </c>
      <c r="DD36" s="15"/>
      <c r="DE36" s="10">
        <f t="shared" si="53"/>
        <v>0</v>
      </c>
      <c r="DF36" s="16">
        <f t="shared" si="0"/>
        <v>0</v>
      </c>
      <c r="DG36" s="208">
        <f t="shared" si="54"/>
        <v>0</v>
      </c>
    </row>
    <row r="37" spans="1:111">
      <c r="A37" s="7">
        <v>30</v>
      </c>
      <c r="B37" s="8" t="s">
        <v>44</v>
      </c>
      <c r="C37" s="8" t="s">
        <v>11</v>
      </c>
      <c r="D37" s="7">
        <f t="shared" si="56"/>
        <v>31</v>
      </c>
      <c r="E37" s="7">
        <v>0.7</v>
      </c>
      <c r="F37" s="7" t="s">
        <v>12</v>
      </c>
      <c r="G37" s="7"/>
      <c r="H37" s="15"/>
      <c r="I37" s="10">
        <f t="shared" si="1"/>
        <v>0</v>
      </c>
      <c r="J37" s="15"/>
      <c r="K37" s="10">
        <f t="shared" si="2"/>
        <v>0</v>
      </c>
      <c r="L37" s="15"/>
      <c r="M37" s="10">
        <f t="shared" si="3"/>
        <v>0</v>
      </c>
      <c r="N37" s="15"/>
      <c r="O37" s="10">
        <f t="shared" si="4"/>
        <v>0</v>
      </c>
      <c r="P37" s="15"/>
      <c r="Q37" s="10">
        <f t="shared" si="5"/>
        <v>0</v>
      </c>
      <c r="R37" s="15"/>
      <c r="S37" s="10">
        <f t="shared" si="6"/>
        <v>0</v>
      </c>
      <c r="T37" s="15"/>
      <c r="U37" s="10">
        <f t="shared" si="7"/>
        <v>0</v>
      </c>
      <c r="V37" s="15"/>
      <c r="W37" s="10">
        <f t="shared" si="8"/>
        <v>0</v>
      </c>
      <c r="X37" s="15"/>
      <c r="Y37" s="10">
        <f t="shared" si="9"/>
        <v>0</v>
      </c>
      <c r="Z37" s="15"/>
      <c r="AA37" s="10">
        <f t="shared" si="10"/>
        <v>0</v>
      </c>
      <c r="AB37" s="15"/>
      <c r="AC37" s="10">
        <f t="shared" si="11"/>
        <v>0</v>
      </c>
      <c r="AD37" s="15"/>
      <c r="AE37" s="10">
        <f t="shared" si="12"/>
        <v>0</v>
      </c>
      <c r="AF37" s="11">
        <f t="shared" si="13"/>
        <v>0</v>
      </c>
      <c r="AG37" s="12">
        <f t="shared" si="14"/>
        <v>0</v>
      </c>
      <c r="AH37" s="15"/>
      <c r="AI37" s="10">
        <f t="shared" si="15"/>
        <v>0</v>
      </c>
      <c r="AJ37" s="15"/>
      <c r="AK37" s="10">
        <f t="shared" si="16"/>
        <v>0</v>
      </c>
      <c r="AL37" s="15"/>
      <c r="AM37" s="10">
        <f t="shared" si="17"/>
        <v>0</v>
      </c>
      <c r="AN37" s="15"/>
      <c r="AO37" s="10">
        <f t="shared" si="18"/>
        <v>0</v>
      </c>
      <c r="AP37" s="15"/>
      <c r="AQ37" s="10">
        <f t="shared" si="19"/>
        <v>0</v>
      </c>
      <c r="AR37" s="15"/>
      <c r="AS37" s="10">
        <f t="shared" si="20"/>
        <v>0</v>
      </c>
      <c r="AT37" s="15"/>
      <c r="AU37" s="10">
        <f t="shared" si="21"/>
        <v>0</v>
      </c>
      <c r="AV37" s="15"/>
      <c r="AW37" s="10">
        <f t="shared" si="22"/>
        <v>0</v>
      </c>
      <c r="AX37" s="15"/>
      <c r="AY37" s="10">
        <f t="shared" si="23"/>
        <v>0</v>
      </c>
      <c r="AZ37" s="15"/>
      <c r="BA37" s="10">
        <f t="shared" si="24"/>
        <v>0</v>
      </c>
      <c r="BB37" s="15"/>
      <c r="BC37" s="10">
        <f t="shared" si="25"/>
        <v>0</v>
      </c>
      <c r="BD37" s="15"/>
      <c r="BE37" s="10">
        <f t="shared" si="26"/>
        <v>0</v>
      </c>
      <c r="BF37" s="11">
        <f t="shared" si="27"/>
        <v>0</v>
      </c>
      <c r="BG37" s="12">
        <f t="shared" si="28"/>
        <v>0</v>
      </c>
      <c r="BH37" s="15"/>
      <c r="BI37" s="10">
        <f t="shared" si="29"/>
        <v>0</v>
      </c>
      <c r="BJ37" s="15"/>
      <c r="BK37" s="10">
        <f t="shared" si="30"/>
        <v>0</v>
      </c>
      <c r="BL37" s="15"/>
      <c r="BM37" s="10">
        <f t="shared" si="31"/>
        <v>0</v>
      </c>
      <c r="BN37" s="15"/>
      <c r="BO37" s="10">
        <f t="shared" si="32"/>
        <v>0</v>
      </c>
      <c r="BP37" s="15"/>
      <c r="BQ37" s="10">
        <f t="shared" si="33"/>
        <v>0</v>
      </c>
      <c r="BR37" s="15"/>
      <c r="BS37" s="10">
        <f t="shared" si="34"/>
        <v>0</v>
      </c>
      <c r="BT37" s="15"/>
      <c r="BU37" s="10">
        <f t="shared" si="35"/>
        <v>0</v>
      </c>
      <c r="BV37" s="15"/>
      <c r="BW37" s="10">
        <f t="shared" si="36"/>
        <v>0</v>
      </c>
      <c r="BX37" s="15"/>
      <c r="BY37" s="10">
        <f t="shared" si="37"/>
        <v>0</v>
      </c>
      <c r="BZ37" s="15"/>
      <c r="CA37" s="10">
        <f t="shared" si="38"/>
        <v>0</v>
      </c>
      <c r="CB37" s="15"/>
      <c r="CC37" s="10">
        <f t="shared" si="39"/>
        <v>0</v>
      </c>
      <c r="CD37" s="15"/>
      <c r="CE37" s="10">
        <f t="shared" si="40"/>
        <v>0</v>
      </c>
      <c r="CF37" s="11">
        <f t="shared" si="41"/>
        <v>0</v>
      </c>
      <c r="CG37" s="12">
        <f t="shared" si="42"/>
        <v>0</v>
      </c>
      <c r="CH37" s="15"/>
      <c r="CI37" s="10">
        <f t="shared" si="43"/>
        <v>0</v>
      </c>
      <c r="CJ37" s="15"/>
      <c r="CK37" s="10">
        <f t="shared" si="44"/>
        <v>0</v>
      </c>
      <c r="CL37" s="15"/>
      <c r="CM37" s="10">
        <f t="shared" si="45"/>
        <v>0</v>
      </c>
      <c r="CN37" s="15"/>
      <c r="CO37" s="10">
        <f t="shared" si="46"/>
        <v>0</v>
      </c>
      <c r="CP37" s="15"/>
      <c r="CQ37" s="10">
        <f t="shared" si="47"/>
        <v>0</v>
      </c>
      <c r="CR37" s="15"/>
      <c r="CS37" s="10">
        <f t="shared" si="48"/>
        <v>0</v>
      </c>
      <c r="CT37" s="15"/>
      <c r="CU37" s="10">
        <f t="shared" si="49"/>
        <v>0</v>
      </c>
      <c r="CV37" s="15"/>
      <c r="CW37" s="10">
        <f t="shared" si="50"/>
        <v>0</v>
      </c>
      <c r="CX37" s="15"/>
      <c r="CY37" s="10">
        <f t="shared" si="51"/>
        <v>0</v>
      </c>
      <c r="CZ37" s="15"/>
      <c r="DA37" s="10">
        <f t="shared" si="52"/>
        <v>0</v>
      </c>
      <c r="DB37" s="15"/>
      <c r="DC37" s="10">
        <f t="shared" si="53"/>
        <v>0</v>
      </c>
      <c r="DD37" s="15"/>
      <c r="DE37" s="10">
        <f t="shared" si="53"/>
        <v>0</v>
      </c>
      <c r="DF37" s="16">
        <f t="shared" si="0"/>
        <v>0</v>
      </c>
      <c r="DG37" s="208">
        <f t="shared" si="54"/>
        <v>0</v>
      </c>
    </row>
    <row r="38" spans="1:111">
      <c r="A38" s="7">
        <v>31</v>
      </c>
      <c r="B38" s="8" t="s">
        <v>45</v>
      </c>
      <c r="C38" s="8" t="s">
        <v>11</v>
      </c>
      <c r="D38" s="7">
        <f t="shared" si="56"/>
        <v>23</v>
      </c>
      <c r="E38" s="7">
        <v>0.68</v>
      </c>
      <c r="F38" s="7" t="s">
        <v>12</v>
      </c>
      <c r="G38" s="7">
        <v>1500</v>
      </c>
      <c r="H38" s="15"/>
      <c r="I38" s="10">
        <f t="shared" si="1"/>
        <v>0</v>
      </c>
      <c r="J38" s="15"/>
      <c r="K38" s="10">
        <f t="shared" si="2"/>
        <v>0</v>
      </c>
      <c r="L38" s="15"/>
      <c r="M38" s="10">
        <f t="shared" si="3"/>
        <v>0</v>
      </c>
      <c r="N38" s="15"/>
      <c r="O38" s="10">
        <f t="shared" si="4"/>
        <v>0</v>
      </c>
      <c r="P38" s="15"/>
      <c r="Q38" s="10">
        <f t="shared" si="5"/>
        <v>0</v>
      </c>
      <c r="R38" s="15"/>
      <c r="S38" s="10">
        <f t="shared" si="6"/>
        <v>0</v>
      </c>
      <c r="T38" s="15"/>
      <c r="U38" s="10">
        <f t="shared" si="7"/>
        <v>0</v>
      </c>
      <c r="V38" s="15"/>
      <c r="W38" s="10">
        <f t="shared" si="8"/>
        <v>0</v>
      </c>
      <c r="X38" s="15"/>
      <c r="Y38" s="10">
        <f t="shared" si="9"/>
        <v>0</v>
      </c>
      <c r="Z38" s="15"/>
      <c r="AA38" s="10">
        <f t="shared" si="10"/>
        <v>0</v>
      </c>
      <c r="AB38" s="15"/>
      <c r="AC38" s="10">
        <f t="shared" si="11"/>
        <v>0</v>
      </c>
      <c r="AD38" s="15"/>
      <c r="AE38" s="10">
        <f t="shared" si="12"/>
        <v>0</v>
      </c>
      <c r="AF38" s="11">
        <f t="shared" si="13"/>
        <v>0</v>
      </c>
      <c r="AG38" s="12">
        <f t="shared" si="14"/>
        <v>0</v>
      </c>
      <c r="AH38" s="9"/>
      <c r="AI38" s="10">
        <f t="shared" si="15"/>
        <v>0</v>
      </c>
      <c r="AJ38" s="9"/>
      <c r="AK38" s="10">
        <f t="shared" si="16"/>
        <v>0</v>
      </c>
      <c r="AL38" s="9">
        <v>145</v>
      </c>
      <c r="AM38" s="10">
        <f t="shared" si="17"/>
        <v>98.600000000000009</v>
      </c>
      <c r="AN38" s="9">
        <v>4206</v>
      </c>
      <c r="AO38" s="10">
        <f t="shared" si="18"/>
        <v>2860.0800000000004</v>
      </c>
      <c r="AP38" s="9">
        <v>2701</v>
      </c>
      <c r="AQ38" s="10">
        <f t="shared" si="19"/>
        <v>1836.68</v>
      </c>
      <c r="AR38" s="9">
        <v>2106</v>
      </c>
      <c r="AS38" s="10">
        <f t="shared" si="20"/>
        <v>1432.0800000000002</v>
      </c>
      <c r="AT38" s="9">
        <v>1867</v>
      </c>
      <c r="AU38" s="10">
        <f t="shared" si="21"/>
        <v>1269.5600000000002</v>
      </c>
      <c r="AV38" s="9">
        <v>682</v>
      </c>
      <c r="AW38" s="10">
        <f t="shared" si="22"/>
        <v>463.76000000000005</v>
      </c>
      <c r="AX38" s="9">
        <v>1791</v>
      </c>
      <c r="AY38" s="10">
        <f t="shared" si="23"/>
        <v>1217.8800000000001</v>
      </c>
      <c r="AZ38" s="9">
        <v>570</v>
      </c>
      <c r="BA38" s="10">
        <f t="shared" si="24"/>
        <v>387.6</v>
      </c>
      <c r="BB38" s="9"/>
      <c r="BC38" s="10">
        <f t="shared" si="25"/>
        <v>0</v>
      </c>
      <c r="BD38" s="9">
        <v>236</v>
      </c>
      <c r="BE38" s="10">
        <f t="shared" si="26"/>
        <v>160.48000000000002</v>
      </c>
      <c r="BF38" s="11">
        <f t="shared" si="27"/>
        <v>14304</v>
      </c>
      <c r="BG38" s="12">
        <f t="shared" si="28"/>
        <v>9726.7200000000012</v>
      </c>
      <c r="BH38" s="13">
        <v>1560</v>
      </c>
      <c r="BI38" s="10">
        <f t="shared" si="29"/>
        <v>1060.8000000000002</v>
      </c>
      <c r="BJ38" s="13">
        <v>1290</v>
      </c>
      <c r="BK38" s="10">
        <f t="shared" si="30"/>
        <v>877.2</v>
      </c>
      <c r="BL38" s="13">
        <v>734</v>
      </c>
      <c r="BM38" s="10">
        <f t="shared" si="31"/>
        <v>499.12000000000006</v>
      </c>
      <c r="BN38" s="13">
        <v>924</v>
      </c>
      <c r="BO38" s="10">
        <f t="shared" si="32"/>
        <v>628.32000000000005</v>
      </c>
      <c r="BP38" s="13">
        <v>816</v>
      </c>
      <c r="BQ38" s="10">
        <f t="shared" si="33"/>
        <v>554.88</v>
      </c>
      <c r="BR38" s="13">
        <v>180</v>
      </c>
      <c r="BS38" s="10">
        <f t="shared" si="34"/>
        <v>122.4</v>
      </c>
      <c r="BT38" s="13">
        <v>69</v>
      </c>
      <c r="BU38" s="10">
        <f t="shared" si="35"/>
        <v>46.92</v>
      </c>
      <c r="BV38" s="13">
        <v>756</v>
      </c>
      <c r="BW38" s="10">
        <f t="shared" si="36"/>
        <v>514.08000000000004</v>
      </c>
      <c r="BX38" s="13">
        <v>119</v>
      </c>
      <c r="BY38" s="10">
        <f t="shared" si="37"/>
        <v>80.92</v>
      </c>
      <c r="BZ38" s="13">
        <v>337</v>
      </c>
      <c r="CA38" s="10">
        <f t="shared" si="38"/>
        <v>229.16000000000003</v>
      </c>
      <c r="CB38" s="13"/>
      <c r="CC38" s="10">
        <f t="shared" si="39"/>
        <v>0</v>
      </c>
      <c r="CD38" s="14">
        <v>168</v>
      </c>
      <c r="CE38" s="10">
        <f t="shared" si="40"/>
        <v>114.24000000000001</v>
      </c>
      <c r="CF38" s="11">
        <f t="shared" si="41"/>
        <v>6953</v>
      </c>
      <c r="CG38" s="12">
        <f t="shared" si="42"/>
        <v>4728.04</v>
      </c>
      <c r="CH38" s="15">
        <v>252</v>
      </c>
      <c r="CI38" s="10">
        <f t="shared" si="43"/>
        <v>171.36</v>
      </c>
      <c r="CJ38" s="15">
        <v>444</v>
      </c>
      <c r="CK38" s="10">
        <f t="shared" si="44"/>
        <v>301.92</v>
      </c>
      <c r="CL38" s="15">
        <v>636</v>
      </c>
      <c r="CM38" s="10">
        <f t="shared" si="45"/>
        <v>432.48</v>
      </c>
      <c r="CN38" s="15">
        <v>540</v>
      </c>
      <c r="CO38" s="10">
        <f t="shared" si="46"/>
        <v>367.20000000000005</v>
      </c>
      <c r="CP38" s="15">
        <v>540</v>
      </c>
      <c r="CQ38" s="10">
        <f t="shared" si="47"/>
        <v>367.20000000000005</v>
      </c>
      <c r="CR38" s="15">
        <v>468</v>
      </c>
      <c r="CS38" s="10">
        <f t="shared" si="48"/>
        <v>318.24</v>
      </c>
      <c r="CT38" s="15">
        <v>528</v>
      </c>
      <c r="CU38" s="10">
        <f t="shared" si="49"/>
        <v>359.04</v>
      </c>
      <c r="CV38" s="15">
        <v>240</v>
      </c>
      <c r="CW38" s="10">
        <f t="shared" si="50"/>
        <v>163.20000000000002</v>
      </c>
      <c r="CX38" s="15">
        <v>408</v>
      </c>
      <c r="CY38" s="10">
        <f t="shared" si="51"/>
        <v>277.44</v>
      </c>
      <c r="CZ38" s="15">
        <v>408</v>
      </c>
      <c r="DA38" s="10">
        <f t="shared" si="52"/>
        <v>277.44</v>
      </c>
      <c r="DB38" s="15">
        <v>396</v>
      </c>
      <c r="DC38" s="10">
        <f t="shared" si="53"/>
        <v>269.28000000000003</v>
      </c>
      <c r="DD38" s="15">
        <v>504</v>
      </c>
      <c r="DE38" s="10">
        <f t="shared" si="53"/>
        <v>342.72</v>
      </c>
      <c r="DF38" s="16">
        <f t="shared" si="0"/>
        <v>5364</v>
      </c>
      <c r="DG38" s="208">
        <f t="shared" si="54"/>
        <v>3647.5200000000004</v>
      </c>
    </row>
    <row r="39" spans="1:111">
      <c r="A39" s="7">
        <v>32</v>
      </c>
      <c r="B39" s="8" t="s">
        <v>45</v>
      </c>
      <c r="C39" s="8" t="s">
        <v>11</v>
      </c>
      <c r="D39" s="7">
        <f t="shared" si="56"/>
        <v>31</v>
      </c>
      <c r="E39" s="7">
        <v>0.64</v>
      </c>
      <c r="F39" s="7" t="s">
        <v>12</v>
      </c>
      <c r="G39" s="7">
        <v>1500</v>
      </c>
      <c r="H39" s="15"/>
      <c r="I39" s="10">
        <f t="shared" si="1"/>
        <v>0</v>
      </c>
      <c r="J39" s="15"/>
      <c r="K39" s="10">
        <f t="shared" si="2"/>
        <v>0</v>
      </c>
      <c r="L39" s="15"/>
      <c r="M39" s="10">
        <f t="shared" si="3"/>
        <v>0</v>
      </c>
      <c r="N39" s="15"/>
      <c r="O39" s="10">
        <f t="shared" si="4"/>
        <v>0</v>
      </c>
      <c r="P39" s="15"/>
      <c r="Q39" s="10">
        <f t="shared" si="5"/>
        <v>0</v>
      </c>
      <c r="R39" s="15"/>
      <c r="S39" s="10">
        <f t="shared" si="6"/>
        <v>0</v>
      </c>
      <c r="T39" s="15"/>
      <c r="U39" s="10">
        <f t="shared" si="7"/>
        <v>0</v>
      </c>
      <c r="V39" s="15"/>
      <c r="W39" s="10">
        <f t="shared" si="8"/>
        <v>0</v>
      </c>
      <c r="X39" s="15"/>
      <c r="Y39" s="10">
        <f t="shared" si="9"/>
        <v>0</v>
      </c>
      <c r="Z39" s="15"/>
      <c r="AA39" s="10">
        <f t="shared" si="10"/>
        <v>0</v>
      </c>
      <c r="AB39" s="15"/>
      <c r="AC39" s="10">
        <f t="shared" si="11"/>
        <v>0</v>
      </c>
      <c r="AD39" s="15"/>
      <c r="AE39" s="10">
        <f t="shared" si="12"/>
        <v>0</v>
      </c>
      <c r="AF39" s="11">
        <f t="shared" si="13"/>
        <v>0</v>
      </c>
      <c r="AG39" s="12">
        <f t="shared" si="14"/>
        <v>0</v>
      </c>
      <c r="AH39" s="15"/>
      <c r="AI39" s="10">
        <f t="shared" si="15"/>
        <v>0</v>
      </c>
      <c r="AJ39" s="15"/>
      <c r="AK39" s="10">
        <f t="shared" si="16"/>
        <v>0</v>
      </c>
      <c r="AL39" s="15"/>
      <c r="AM39" s="10">
        <f t="shared" si="17"/>
        <v>0</v>
      </c>
      <c r="AN39" s="15"/>
      <c r="AO39" s="10">
        <f t="shared" si="18"/>
        <v>0</v>
      </c>
      <c r="AP39" s="15"/>
      <c r="AQ39" s="10">
        <f t="shared" si="19"/>
        <v>0</v>
      </c>
      <c r="AR39" s="15"/>
      <c r="AS39" s="10">
        <f t="shared" si="20"/>
        <v>0</v>
      </c>
      <c r="AT39" s="15"/>
      <c r="AU39" s="10">
        <f t="shared" si="21"/>
        <v>0</v>
      </c>
      <c r="AV39" s="15"/>
      <c r="AW39" s="10">
        <f t="shared" si="22"/>
        <v>0</v>
      </c>
      <c r="AX39" s="15"/>
      <c r="AY39" s="10">
        <f t="shared" si="23"/>
        <v>0</v>
      </c>
      <c r="AZ39" s="15"/>
      <c r="BA39" s="10">
        <f t="shared" si="24"/>
        <v>0</v>
      </c>
      <c r="BB39" s="15"/>
      <c r="BC39" s="10">
        <f t="shared" si="25"/>
        <v>0</v>
      </c>
      <c r="BD39" s="15"/>
      <c r="BE39" s="10">
        <f t="shared" si="26"/>
        <v>0</v>
      </c>
      <c r="BF39" s="11">
        <f t="shared" si="27"/>
        <v>0</v>
      </c>
      <c r="BG39" s="12">
        <f t="shared" si="28"/>
        <v>0</v>
      </c>
      <c r="BH39" s="15"/>
      <c r="BI39" s="10">
        <f t="shared" si="29"/>
        <v>0</v>
      </c>
      <c r="BJ39" s="15"/>
      <c r="BK39" s="10">
        <f t="shared" si="30"/>
        <v>0</v>
      </c>
      <c r="BL39" s="15"/>
      <c r="BM39" s="10">
        <f t="shared" si="31"/>
        <v>0</v>
      </c>
      <c r="BN39" s="15"/>
      <c r="BO39" s="10">
        <f t="shared" si="32"/>
        <v>0</v>
      </c>
      <c r="BP39" s="15"/>
      <c r="BQ39" s="10">
        <f t="shared" si="33"/>
        <v>0</v>
      </c>
      <c r="BR39" s="15"/>
      <c r="BS39" s="10">
        <f t="shared" si="34"/>
        <v>0</v>
      </c>
      <c r="BT39" s="15"/>
      <c r="BU39" s="10">
        <f t="shared" si="35"/>
        <v>0</v>
      </c>
      <c r="BV39" s="15"/>
      <c r="BW39" s="10">
        <f t="shared" si="36"/>
        <v>0</v>
      </c>
      <c r="BX39" s="15"/>
      <c r="BY39" s="10">
        <f t="shared" si="37"/>
        <v>0</v>
      </c>
      <c r="BZ39" s="15"/>
      <c r="CA39" s="10">
        <f t="shared" si="38"/>
        <v>0</v>
      </c>
      <c r="CB39" s="15"/>
      <c r="CC39" s="10">
        <f t="shared" si="39"/>
        <v>0</v>
      </c>
      <c r="CD39" s="15"/>
      <c r="CE39" s="10">
        <f t="shared" si="40"/>
        <v>0</v>
      </c>
      <c r="CF39" s="11">
        <f t="shared" si="41"/>
        <v>0</v>
      </c>
      <c r="CG39" s="12">
        <f t="shared" si="42"/>
        <v>0</v>
      </c>
      <c r="CH39" s="15"/>
      <c r="CI39" s="10">
        <f t="shared" si="43"/>
        <v>0</v>
      </c>
      <c r="CJ39" s="15"/>
      <c r="CK39" s="10">
        <f t="shared" si="44"/>
        <v>0</v>
      </c>
      <c r="CL39" s="15"/>
      <c r="CM39" s="10">
        <f t="shared" si="45"/>
        <v>0</v>
      </c>
      <c r="CN39" s="15"/>
      <c r="CO39" s="10">
        <f t="shared" si="46"/>
        <v>0</v>
      </c>
      <c r="CP39" s="15"/>
      <c r="CQ39" s="10">
        <f t="shared" si="47"/>
        <v>0</v>
      </c>
      <c r="CR39" s="15"/>
      <c r="CS39" s="10">
        <f t="shared" si="48"/>
        <v>0</v>
      </c>
      <c r="CT39" s="15"/>
      <c r="CU39" s="10">
        <f t="shared" si="49"/>
        <v>0</v>
      </c>
      <c r="CV39" s="15"/>
      <c r="CW39" s="10">
        <f t="shared" si="50"/>
        <v>0</v>
      </c>
      <c r="CX39" s="15"/>
      <c r="CY39" s="10">
        <f t="shared" si="51"/>
        <v>0</v>
      </c>
      <c r="CZ39" s="15"/>
      <c r="DA39" s="10">
        <f t="shared" si="52"/>
        <v>0</v>
      </c>
      <c r="DB39" s="15"/>
      <c r="DC39" s="10">
        <f t="shared" si="53"/>
        <v>0</v>
      </c>
      <c r="DD39" s="15"/>
      <c r="DE39" s="10">
        <f t="shared" si="53"/>
        <v>0</v>
      </c>
      <c r="DF39" s="16">
        <f t="shared" si="0"/>
        <v>0</v>
      </c>
      <c r="DG39" s="208">
        <f t="shared" si="54"/>
        <v>0</v>
      </c>
    </row>
    <row r="40" spans="1:111">
      <c r="A40" s="7">
        <v>33</v>
      </c>
      <c r="B40" s="8" t="s">
        <v>46</v>
      </c>
      <c r="C40" s="8" t="s">
        <v>11</v>
      </c>
      <c r="D40" s="7">
        <f t="shared" si="56"/>
        <v>31</v>
      </c>
      <c r="E40" s="7">
        <v>0.64</v>
      </c>
      <c r="F40" s="7" t="s">
        <v>22</v>
      </c>
      <c r="G40" s="7"/>
      <c r="H40" s="15"/>
      <c r="I40" s="10">
        <f t="shared" si="1"/>
        <v>0</v>
      </c>
      <c r="J40" s="15"/>
      <c r="K40" s="10">
        <f t="shared" si="2"/>
        <v>0</v>
      </c>
      <c r="L40" s="15"/>
      <c r="M40" s="10">
        <f t="shared" si="3"/>
        <v>0</v>
      </c>
      <c r="N40" s="15"/>
      <c r="O40" s="10">
        <f t="shared" si="4"/>
        <v>0</v>
      </c>
      <c r="P40" s="15"/>
      <c r="Q40" s="10">
        <f t="shared" si="5"/>
        <v>0</v>
      </c>
      <c r="R40" s="15"/>
      <c r="S40" s="10">
        <f t="shared" si="6"/>
        <v>0</v>
      </c>
      <c r="T40" s="15"/>
      <c r="U40" s="10">
        <f t="shared" si="7"/>
        <v>0</v>
      </c>
      <c r="V40" s="15"/>
      <c r="W40" s="10">
        <f t="shared" si="8"/>
        <v>0</v>
      </c>
      <c r="X40" s="15"/>
      <c r="Y40" s="10">
        <f t="shared" si="9"/>
        <v>0</v>
      </c>
      <c r="Z40" s="15"/>
      <c r="AA40" s="10">
        <f t="shared" si="10"/>
        <v>0</v>
      </c>
      <c r="AB40" s="15"/>
      <c r="AC40" s="10">
        <f t="shared" si="11"/>
        <v>0</v>
      </c>
      <c r="AD40" s="15"/>
      <c r="AE40" s="10">
        <f t="shared" si="12"/>
        <v>0</v>
      </c>
      <c r="AF40" s="11">
        <f t="shared" si="13"/>
        <v>0</v>
      </c>
      <c r="AG40" s="12">
        <f t="shared" si="14"/>
        <v>0</v>
      </c>
      <c r="AH40" s="15"/>
      <c r="AI40" s="10">
        <f t="shared" si="15"/>
        <v>0</v>
      </c>
      <c r="AJ40" s="15"/>
      <c r="AK40" s="10">
        <f t="shared" si="16"/>
        <v>0</v>
      </c>
      <c r="AL40" s="15"/>
      <c r="AM40" s="10">
        <f t="shared" si="17"/>
        <v>0</v>
      </c>
      <c r="AN40" s="15"/>
      <c r="AO40" s="10">
        <f t="shared" si="18"/>
        <v>0</v>
      </c>
      <c r="AP40" s="15"/>
      <c r="AQ40" s="10">
        <f t="shared" si="19"/>
        <v>0</v>
      </c>
      <c r="AR40" s="15"/>
      <c r="AS40" s="10">
        <f t="shared" si="20"/>
        <v>0</v>
      </c>
      <c r="AT40" s="15"/>
      <c r="AU40" s="10">
        <f t="shared" si="21"/>
        <v>0</v>
      </c>
      <c r="AV40" s="15"/>
      <c r="AW40" s="10">
        <f t="shared" si="22"/>
        <v>0</v>
      </c>
      <c r="AX40" s="15"/>
      <c r="AY40" s="10">
        <f t="shared" si="23"/>
        <v>0</v>
      </c>
      <c r="AZ40" s="15"/>
      <c r="BA40" s="10">
        <f t="shared" si="24"/>
        <v>0</v>
      </c>
      <c r="BB40" s="15"/>
      <c r="BC40" s="10">
        <f t="shared" si="25"/>
        <v>0</v>
      </c>
      <c r="BD40" s="15"/>
      <c r="BE40" s="10">
        <f t="shared" si="26"/>
        <v>0</v>
      </c>
      <c r="BF40" s="11">
        <f t="shared" si="27"/>
        <v>0</v>
      </c>
      <c r="BG40" s="12">
        <f t="shared" si="28"/>
        <v>0</v>
      </c>
      <c r="BH40" s="15"/>
      <c r="BI40" s="10">
        <f t="shared" si="29"/>
        <v>0</v>
      </c>
      <c r="BJ40" s="15"/>
      <c r="BK40" s="10">
        <f t="shared" si="30"/>
        <v>0</v>
      </c>
      <c r="BL40" s="15"/>
      <c r="BM40" s="10">
        <f t="shared" si="31"/>
        <v>0</v>
      </c>
      <c r="BN40" s="15"/>
      <c r="BO40" s="10">
        <f t="shared" si="32"/>
        <v>0</v>
      </c>
      <c r="BP40" s="15"/>
      <c r="BQ40" s="10">
        <f t="shared" si="33"/>
        <v>0</v>
      </c>
      <c r="BR40" s="15"/>
      <c r="BS40" s="10">
        <f t="shared" si="34"/>
        <v>0</v>
      </c>
      <c r="BT40" s="15"/>
      <c r="BU40" s="10">
        <f t="shared" si="35"/>
        <v>0</v>
      </c>
      <c r="BV40" s="15"/>
      <c r="BW40" s="10">
        <f t="shared" si="36"/>
        <v>0</v>
      </c>
      <c r="BX40" s="15"/>
      <c r="BY40" s="10">
        <f t="shared" si="37"/>
        <v>0</v>
      </c>
      <c r="BZ40" s="15"/>
      <c r="CA40" s="10">
        <f t="shared" si="38"/>
        <v>0</v>
      </c>
      <c r="CB40" s="15"/>
      <c r="CC40" s="10">
        <f t="shared" si="39"/>
        <v>0</v>
      </c>
      <c r="CD40" s="15"/>
      <c r="CE40" s="10">
        <f t="shared" si="40"/>
        <v>0</v>
      </c>
      <c r="CF40" s="11">
        <f t="shared" si="41"/>
        <v>0</v>
      </c>
      <c r="CG40" s="12">
        <f t="shared" si="42"/>
        <v>0</v>
      </c>
      <c r="CH40" s="15"/>
      <c r="CI40" s="10">
        <f t="shared" si="43"/>
        <v>0</v>
      </c>
      <c r="CJ40" s="15"/>
      <c r="CK40" s="10">
        <f t="shared" si="44"/>
        <v>0</v>
      </c>
      <c r="CL40" s="15"/>
      <c r="CM40" s="10">
        <f t="shared" si="45"/>
        <v>0</v>
      </c>
      <c r="CN40" s="15"/>
      <c r="CO40" s="10">
        <f t="shared" si="46"/>
        <v>0</v>
      </c>
      <c r="CP40" s="15"/>
      <c r="CQ40" s="10">
        <f t="shared" si="47"/>
        <v>0</v>
      </c>
      <c r="CR40" s="15"/>
      <c r="CS40" s="10">
        <f t="shared" si="48"/>
        <v>0</v>
      </c>
      <c r="CT40" s="15"/>
      <c r="CU40" s="10">
        <f t="shared" si="49"/>
        <v>0</v>
      </c>
      <c r="CV40" s="15"/>
      <c r="CW40" s="10">
        <f t="shared" si="50"/>
        <v>0</v>
      </c>
      <c r="CX40" s="15"/>
      <c r="CY40" s="10">
        <f t="shared" si="51"/>
        <v>0</v>
      </c>
      <c r="CZ40" s="15"/>
      <c r="DA40" s="10">
        <f t="shared" si="52"/>
        <v>0</v>
      </c>
      <c r="DB40" s="15"/>
      <c r="DC40" s="10">
        <f t="shared" si="53"/>
        <v>0</v>
      </c>
      <c r="DD40" s="15"/>
      <c r="DE40" s="10">
        <f t="shared" si="53"/>
        <v>0</v>
      </c>
      <c r="DF40" s="16">
        <f t="shared" si="0"/>
        <v>0</v>
      </c>
      <c r="DG40" s="208">
        <f t="shared" si="54"/>
        <v>0</v>
      </c>
    </row>
    <row r="41" spans="1:111">
      <c r="A41" s="7">
        <v>34</v>
      </c>
      <c r="B41" s="8" t="s">
        <v>44</v>
      </c>
      <c r="C41" s="8" t="s">
        <v>11</v>
      </c>
      <c r="D41" s="7">
        <f t="shared" si="56"/>
        <v>27</v>
      </c>
      <c r="E41" s="7">
        <v>0.64</v>
      </c>
      <c r="F41" s="7" t="s">
        <v>22</v>
      </c>
      <c r="G41" s="7">
        <v>1350</v>
      </c>
      <c r="H41" s="9">
        <v>70</v>
      </c>
      <c r="I41" s="10">
        <f t="shared" si="1"/>
        <v>44.800000000000004</v>
      </c>
      <c r="J41" s="9"/>
      <c r="K41" s="10">
        <f t="shared" si="2"/>
        <v>0</v>
      </c>
      <c r="L41" s="9">
        <v>210</v>
      </c>
      <c r="M41" s="10">
        <f t="shared" si="3"/>
        <v>134.4</v>
      </c>
      <c r="N41" s="9">
        <v>140</v>
      </c>
      <c r="O41" s="10">
        <f t="shared" si="4"/>
        <v>89.600000000000009</v>
      </c>
      <c r="P41" s="9"/>
      <c r="Q41" s="10">
        <f t="shared" si="5"/>
        <v>0</v>
      </c>
      <c r="R41" s="9">
        <v>70</v>
      </c>
      <c r="S41" s="10">
        <f t="shared" si="6"/>
        <v>44.800000000000004</v>
      </c>
      <c r="T41" s="9">
        <v>140</v>
      </c>
      <c r="U41" s="10">
        <f t="shared" si="7"/>
        <v>89.600000000000009</v>
      </c>
      <c r="V41" s="9">
        <v>140</v>
      </c>
      <c r="W41" s="10">
        <f t="shared" si="8"/>
        <v>89.600000000000009</v>
      </c>
      <c r="X41" s="9">
        <v>280</v>
      </c>
      <c r="Y41" s="10">
        <f t="shared" si="9"/>
        <v>179.20000000000002</v>
      </c>
      <c r="Z41" s="9">
        <v>70</v>
      </c>
      <c r="AA41" s="10">
        <f t="shared" si="10"/>
        <v>44.800000000000004</v>
      </c>
      <c r="AB41" s="9">
        <v>70</v>
      </c>
      <c r="AC41" s="10">
        <f t="shared" si="11"/>
        <v>44.800000000000004</v>
      </c>
      <c r="AD41" s="9">
        <v>182</v>
      </c>
      <c r="AE41" s="10">
        <f t="shared" si="12"/>
        <v>116.48</v>
      </c>
      <c r="AF41" s="11">
        <f t="shared" si="13"/>
        <v>1372</v>
      </c>
      <c r="AG41" s="12">
        <f t="shared" si="14"/>
        <v>878.08</v>
      </c>
      <c r="AH41" s="9">
        <v>112</v>
      </c>
      <c r="AI41" s="10">
        <f t="shared" si="15"/>
        <v>71.680000000000007</v>
      </c>
      <c r="AJ41" s="9">
        <v>210</v>
      </c>
      <c r="AK41" s="10">
        <f t="shared" si="16"/>
        <v>134.4</v>
      </c>
      <c r="AL41" s="9">
        <v>140</v>
      </c>
      <c r="AM41" s="10">
        <f t="shared" si="17"/>
        <v>89.600000000000009</v>
      </c>
      <c r="AN41" s="9">
        <v>70</v>
      </c>
      <c r="AO41" s="10">
        <f t="shared" si="18"/>
        <v>44.800000000000004</v>
      </c>
      <c r="AP41" s="9">
        <v>210</v>
      </c>
      <c r="AQ41" s="10">
        <f t="shared" si="19"/>
        <v>134.4</v>
      </c>
      <c r="AR41" s="9">
        <v>210</v>
      </c>
      <c r="AS41" s="10">
        <f t="shared" si="20"/>
        <v>134.4</v>
      </c>
      <c r="AT41" s="9">
        <v>140</v>
      </c>
      <c r="AU41" s="10">
        <f t="shared" si="21"/>
        <v>89.600000000000009</v>
      </c>
      <c r="AV41" s="9">
        <v>28</v>
      </c>
      <c r="AW41" s="10">
        <f t="shared" si="22"/>
        <v>17.920000000000002</v>
      </c>
      <c r="AX41" s="9">
        <v>140</v>
      </c>
      <c r="AY41" s="10">
        <f t="shared" si="23"/>
        <v>89.600000000000009</v>
      </c>
      <c r="AZ41" s="9">
        <v>140</v>
      </c>
      <c r="BA41" s="10">
        <f t="shared" si="24"/>
        <v>89.600000000000009</v>
      </c>
      <c r="BB41" s="9">
        <v>1853</v>
      </c>
      <c r="BC41" s="10">
        <f t="shared" si="25"/>
        <v>1185.92</v>
      </c>
      <c r="BD41" s="9">
        <v>2283</v>
      </c>
      <c r="BE41" s="10">
        <f t="shared" si="26"/>
        <v>1461.1200000000001</v>
      </c>
      <c r="BF41" s="11">
        <f t="shared" si="27"/>
        <v>5536</v>
      </c>
      <c r="BG41" s="12">
        <f t="shared" si="28"/>
        <v>3543.04</v>
      </c>
      <c r="BH41" s="13">
        <v>70</v>
      </c>
      <c r="BI41" s="10">
        <f t="shared" si="29"/>
        <v>44.800000000000004</v>
      </c>
      <c r="BJ41" s="13">
        <v>70</v>
      </c>
      <c r="BK41" s="10">
        <f t="shared" si="30"/>
        <v>44.800000000000004</v>
      </c>
      <c r="BL41" s="13">
        <v>98</v>
      </c>
      <c r="BM41" s="10">
        <f t="shared" si="31"/>
        <v>62.72</v>
      </c>
      <c r="BN41" s="13">
        <v>168</v>
      </c>
      <c r="BO41" s="10">
        <f t="shared" si="32"/>
        <v>107.52</v>
      </c>
      <c r="BP41" s="13">
        <v>0</v>
      </c>
      <c r="BQ41" s="10">
        <f t="shared" si="33"/>
        <v>0</v>
      </c>
      <c r="BR41" s="13">
        <v>56</v>
      </c>
      <c r="BS41" s="10">
        <f t="shared" si="34"/>
        <v>35.840000000000003</v>
      </c>
      <c r="BT41" s="13">
        <v>154</v>
      </c>
      <c r="BU41" s="10">
        <f t="shared" si="35"/>
        <v>98.56</v>
      </c>
      <c r="BV41" s="13">
        <v>224</v>
      </c>
      <c r="BW41" s="10">
        <f t="shared" si="36"/>
        <v>143.36000000000001</v>
      </c>
      <c r="BX41" s="13">
        <v>0</v>
      </c>
      <c r="BY41" s="10">
        <f t="shared" si="37"/>
        <v>0</v>
      </c>
      <c r="BZ41" s="13">
        <v>140</v>
      </c>
      <c r="CA41" s="10">
        <f t="shared" si="38"/>
        <v>89.600000000000009</v>
      </c>
      <c r="CB41" s="13">
        <v>252</v>
      </c>
      <c r="CC41" s="10">
        <f t="shared" si="39"/>
        <v>161.28</v>
      </c>
      <c r="CD41" s="14">
        <v>140</v>
      </c>
      <c r="CE41" s="10">
        <f t="shared" si="40"/>
        <v>89.600000000000009</v>
      </c>
      <c r="CF41" s="11">
        <f t="shared" si="41"/>
        <v>1372</v>
      </c>
      <c r="CG41" s="12">
        <f t="shared" si="42"/>
        <v>878.08</v>
      </c>
      <c r="CH41" s="15">
        <v>70</v>
      </c>
      <c r="CI41" s="10">
        <f t="shared" si="43"/>
        <v>44.800000000000004</v>
      </c>
      <c r="CJ41" s="15"/>
      <c r="CK41" s="10">
        <f t="shared" si="44"/>
        <v>0</v>
      </c>
      <c r="CL41" s="15">
        <v>70</v>
      </c>
      <c r="CM41" s="10">
        <f t="shared" si="45"/>
        <v>44.800000000000004</v>
      </c>
      <c r="CN41" s="15">
        <v>70</v>
      </c>
      <c r="CO41" s="10">
        <f t="shared" si="46"/>
        <v>44.800000000000004</v>
      </c>
      <c r="CP41" s="15"/>
      <c r="CQ41" s="10">
        <f t="shared" si="47"/>
        <v>0</v>
      </c>
      <c r="CR41" s="15"/>
      <c r="CS41" s="10">
        <f t="shared" si="48"/>
        <v>0</v>
      </c>
      <c r="CT41" s="15">
        <v>28</v>
      </c>
      <c r="CU41" s="10">
        <f t="shared" si="49"/>
        <v>17.920000000000002</v>
      </c>
      <c r="CV41" s="15">
        <v>28</v>
      </c>
      <c r="CW41" s="10">
        <f t="shared" si="50"/>
        <v>17.920000000000002</v>
      </c>
      <c r="CX41" s="15">
        <v>28</v>
      </c>
      <c r="CY41" s="10">
        <f t="shared" si="51"/>
        <v>17.920000000000002</v>
      </c>
      <c r="CZ41" s="15"/>
      <c r="DA41" s="10">
        <f t="shared" si="52"/>
        <v>0</v>
      </c>
      <c r="DB41" s="15">
        <v>28</v>
      </c>
      <c r="DC41" s="10">
        <f t="shared" si="53"/>
        <v>17.920000000000002</v>
      </c>
      <c r="DD41" s="15"/>
      <c r="DE41" s="10">
        <f t="shared" si="53"/>
        <v>0</v>
      </c>
      <c r="DF41" s="16">
        <f t="shared" si="0"/>
        <v>322</v>
      </c>
      <c r="DG41" s="208">
        <f t="shared" si="54"/>
        <v>206.08</v>
      </c>
    </row>
    <row r="42" spans="1:111">
      <c r="A42" s="7">
        <v>35</v>
      </c>
      <c r="B42" s="8" t="s">
        <v>44</v>
      </c>
      <c r="C42" s="8" t="s">
        <v>11</v>
      </c>
      <c r="D42" s="7">
        <f t="shared" si="56"/>
        <v>31</v>
      </c>
      <c r="E42" s="7">
        <v>0.64</v>
      </c>
      <c r="F42" s="7" t="s">
        <v>20</v>
      </c>
      <c r="G42" s="7"/>
      <c r="H42" s="15"/>
      <c r="I42" s="10">
        <f t="shared" si="1"/>
        <v>0</v>
      </c>
      <c r="J42" s="15"/>
      <c r="K42" s="10">
        <f t="shared" si="2"/>
        <v>0</v>
      </c>
      <c r="L42" s="15"/>
      <c r="M42" s="10">
        <f t="shared" si="3"/>
        <v>0</v>
      </c>
      <c r="N42" s="15"/>
      <c r="O42" s="10">
        <f t="shared" si="4"/>
        <v>0</v>
      </c>
      <c r="P42" s="15"/>
      <c r="Q42" s="10">
        <f t="shared" si="5"/>
        <v>0</v>
      </c>
      <c r="R42" s="15"/>
      <c r="S42" s="10">
        <f t="shared" si="6"/>
        <v>0</v>
      </c>
      <c r="T42" s="15"/>
      <c r="U42" s="10">
        <f t="shared" si="7"/>
        <v>0</v>
      </c>
      <c r="V42" s="15"/>
      <c r="W42" s="10">
        <f t="shared" si="8"/>
        <v>0</v>
      </c>
      <c r="X42" s="15"/>
      <c r="Y42" s="10">
        <f t="shared" si="9"/>
        <v>0</v>
      </c>
      <c r="Z42" s="15"/>
      <c r="AA42" s="10">
        <f t="shared" si="10"/>
        <v>0</v>
      </c>
      <c r="AB42" s="15"/>
      <c r="AC42" s="10">
        <f t="shared" si="11"/>
        <v>0</v>
      </c>
      <c r="AD42" s="15"/>
      <c r="AE42" s="10">
        <f t="shared" si="12"/>
        <v>0</v>
      </c>
      <c r="AF42" s="11">
        <f t="shared" si="13"/>
        <v>0</v>
      </c>
      <c r="AG42" s="12">
        <f t="shared" si="14"/>
        <v>0</v>
      </c>
      <c r="AH42" s="15"/>
      <c r="AI42" s="10">
        <f t="shared" si="15"/>
        <v>0</v>
      </c>
      <c r="AJ42" s="15"/>
      <c r="AK42" s="10">
        <f t="shared" si="16"/>
        <v>0</v>
      </c>
      <c r="AL42" s="15"/>
      <c r="AM42" s="10">
        <f t="shared" si="17"/>
        <v>0</v>
      </c>
      <c r="AN42" s="15"/>
      <c r="AO42" s="10">
        <f t="shared" si="18"/>
        <v>0</v>
      </c>
      <c r="AP42" s="15"/>
      <c r="AQ42" s="10">
        <f t="shared" si="19"/>
        <v>0</v>
      </c>
      <c r="AR42" s="15"/>
      <c r="AS42" s="10">
        <f t="shared" si="20"/>
        <v>0</v>
      </c>
      <c r="AT42" s="15"/>
      <c r="AU42" s="10">
        <f t="shared" si="21"/>
        <v>0</v>
      </c>
      <c r="AV42" s="15"/>
      <c r="AW42" s="10">
        <f t="shared" si="22"/>
        <v>0</v>
      </c>
      <c r="AX42" s="15"/>
      <c r="AY42" s="10">
        <f t="shared" si="23"/>
        <v>0</v>
      </c>
      <c r="AZ42" s="15"/>
      <c r="BA42" s="10">
        <f t="shared" si="24"/>
        <v>0</v>
      </c>
      <c r="BB42" s="15"/>
      <c r="BC42" s="10">
        <f t="shared" si="25"/>
        <v>0</v>
      </c>
      <c r="BD42" s="15"/>
      <c r="BE42" s="10">
        <f t="shared" si="26"/>
        <v>0</v>
      </c>
      <c r="BF42" s="11">
        <f t="shared" si="27"/>
        <v>0</v>
      </c>
      <c r="BG42" s="12">
        <f t="shared" si="28"/>
        <v>0</v>
      </c>
      <c r="BH42" s="15"/>
      <c r="BI42" s="10">
        <f t="shared" si="29"/>
        <v>0</v>
      </c>
      <c r="BJ42" s="15"/>
      <c r="BK42" s="10">
        <f t="shared" si="30"/>
        <v>0</v>
      </c>
      <c r="BL42" s="15"/>
      <c r="BM42" s="10">
        <f t="shared" si="31"/>
        <v>0</v>
      </c>
      <c r="BN42" s="15"/>
      <c r="BO42" s="10">
        <f t="shared" si="32"/>
        <v>0</v>
      </c>
      <c r="BP42" s="15"/>
      <c r="BQ42" s="10">
        <f t="shared" si="33"/>
        <v>0</v>
      </c>
      <c r="BR42" s="15"/>
      <c r="BS42" s="10">
        <f t="shared" si="34"/>
        <v>0</v>
      </c>
      <c r="BT42" s="15"/>
      <c r="BU42" s="10">
        <f t="shared" si="35"/>
        <v>0</v>
      </c>
      <c r="BV42" s="15"/>
      <c r="BW42" s="10">
        <f t="shared" si="36"/>
        <v>0</v>
      </c>
      <c r="BX42" s="15"/>
      <c r="BY42" s="10">
        <f t="shared" si="37"/>
        <v>0</v>
      </c>
      <c r="BZ42" s="15"/>
      <c r="CA42" s="10">
        <f t="shared" si="38"/>
        <v>0</v>
      </c>
      <c r="CB42" s="15"/>
      <c r="CC42" s="10">
        <f t="shared" si="39"/>
        <v>0</v>
      </c>
      <c r="CD42" s="15"/>
      <c r="CE42" s="10">
        <f t="shared" si="40"/>
        <v>0</v>
      </c>
      <c r="CF42" s="11">
        <f t="shared" si="41"/>
        <v>0</v>
      </c>
      <c r="CG42" s="12">
        <f t="shared" si="42"/>
        <v>0</v>
      </c>
      <c r="CH42" s="15"/>
      <c r="CI42" s="10">
        <f t="shared" si="43"/>
        <v>0</v>
      </c>
      <c r="CJ42" s="15"/>
      <c r="CK42" s="10">
        <f t="shared" si="44"/>
        <v>0</v>
      </c>
      <c r="CL42" s="15"/>
      <c r="CM42" s="10">
        <f t="shared" si="45"/>
        <v>0</v>
      </c>
      <c r="CN42" s="15"/>
      <c r="CO42" s="10">
        <f t="shared" si="46"/>
        <v>0</v>
      </c>
      <c r="CP42" s="15"/>
      <c r="CQ42" s="10">
        <f t="shared" si="47"/>
        <v>0</v>
      </c>
      <c r="CR42" s="15"/>
      <c r="CS42" s="10">
        <f t="shared" si="48"/>
        <v>0</v>
      </c>
      <c r="CT42" s="15"/>
      <c r="CU42" s="10">
        <f t="shared" si="49"/>
        <v>0</v>
      </c>
      <c r="CV42" s="15"/>
      <c r="CW42" s="10">
        <f t="shared" si="50"/>
        <v>0</v>
      </c>
      <c r="CX42" s="15"/>
      <c r="CY42" s="10">
        <f t="shared" si="51"/>
        <v>0</v>
      </c>
      <c r="CZ42" s="15"/>
      <c r="DA42" s="10">
        <f t="shared" si="52"/>
        <v>0</v>
      </c>
      <c r="DB42" s="15"/>
      <c r="DC42" s="10">
        <f t="shared" si="53"/>
        <v>0</v>
      </c>
      <c r="DD42" s="15"/>
      <c r="DE42" s="10">
        <f t="shared" si="53"/>
        <v>0</v>
      </c>
      <c r="DF42" s="16">
        <f t="shared" si="0"/>
        <v>0</v>
      </c>
      <c r="DG42" s="208">
        <f t="shared" si="54"/>
        <v>0</v>
      </c>
    </row>
    <row r="43" spans="1:111">
      <c r="A43" s="7">
        <v>36</v>
      </c>
      <c r="B43" s="8" t="s">
        <v>47</v>
      </c>
      <c r="C43" s="8" t="s">
        <v>11</v>
      </c>
      <c r="D43" s="7">
        <f t="shared" si="56"/>
        <v>31</v>
      </c>
      <c r="E43" s="7">
        <v>0.68</v>
      </c>
      <c r="F43" s="7" t="s">
        <v>48</v>
      </c>
      <c r="G43" s="7"/>
      <c r="H43" s="15"/>
      <c r="I43" s="10">
        <f t="shared" si="1"/>
        <v>0</v>
      </c>
      <c r="J43" s="15"/>
      <c r="K43" s="10">
        <f t="shared" si="2"/>
        <v>0</v>
      </c>
      <c r="L43" s="15"/>
      <c r="M43" s="10">
        <f t="shared" si="3"/>
        <v>0</v>
      </c>
      <c r="N43" s="15"/>
      <c r="O43" s="10">
        <f t="shared" si="4"/>
        <v>0</v>
      </c>
      <c r="P43" s="15"/>
      <c r="Q43" s="10">
        <f t="shared" si="5"/>
        <v>0</v>
      </c>
      <c r="R43" s="15"/>
      <c r="S43" s="10">
        <f t="shared" si="6"/>
        <v>0</v>
      </c>
      <c r="T43" s="15"/>
      <c r="U43" s="10">
        <f t="shared" si="7"/>
        <v>0</v>
      </c>
      <c r="V43" s="15"/>
      <c r="W43" s="10">
        <f t="shared" si="8"/>
        <v>0</v>
      </c>
      <c r="X43" s="15"/>
      <c r="Y43" s="10">
        <f t="shared" si="9"/>
        <v>0</v>
      </c>
      <c r="Z43" s="15"/>
      <c r="AA43" s="10">
        <f t="shared" si="10"/>
        <v>0</v>
      </c>
      <c r="AB43" s="15"/>
      <c r="AC43" s="10">
        <f t="shared" si="11"/>
        <v>0</v>
      </c>
      <c r="AD43" s="15"/>
      <c r="AE43" s="10">
        <f t="shared" si="12"/>
        <v>0</v>
      </c>
      <c r="AF43" s="11">
        <f t="shared" si="13"/>
        <v>0</v>
      </c>
      <c r="AG43" s="12">
        <f t="shared" si="14"/>
        <v>0</v>
      </c>
      <c r="AH43" s="15"/>
      <c r="AI43" s="10">
        <f t="shared" si="15"/>
        <v>0</v>
      </c>
      <c r="AJ43" s="15"/>
      <c r="AK43" s="10">
        <f t="shared" si="16"/>
        <v>0</v>
      </c>
      <c r="AL43" s="15"/>
      <c r="AM43" s="10">
        <f t="shared" si="17"/>
        <v>0</v>
      </c>
      <c r="AN43" s="15"/>
      <c r="AO43" s="10">
        <f t="shared" si="18"/>
        <v>0</v>
      </c>
      <c r="AP43" s="15"/>
      <c r="AQ43" s="10">
        <f t="shared" si="19"/>
        <v>0</v>
      </c>
      <c r="AR43" s="15"/>
      <c r="AS43" s="10">
        <f t="shared" si="20"/>
        <v>0</v>
      </c>
      <c r="AT43" s="15"/>
      <c r="AU43" s="10">
        <f t="shared" si="21"/>
        <v>0</v>
      </c>
      <c r="AV43" s="15"/>
      <c r="AW43" s="10">
        <f t="shared" si="22"/>
        <v>0</v>
      </c>
      <c r="AX43" s="15"/>
      <c r="AY43" s="10">
        <f t="shared" si="23"/>
        <v>0</v>
      </c>
      <c r="AZ43" s="15"/>
      <c r="BA43" s="10">
        <f t="shared" si="24"/>
        <v>0</v>
      </c>
      <c r="BB43" s="15"/>
      <c r="BC43" s="10">
        <f t="shared" si="25"/>
        <v>0</v>
      </c>
      <c r="BD43" s="15"/>
      <c r="BE43" s="10">
        <f t="shared" si="26"/>
        <v>0</v>
      </c>
      <c r="BF43" s="11">
        <f t="shared" si="27"/>
        <v>0</v>
      </c>
      <c r="BG43" s="12">
        <f t="shared" si="28"/>
        <v>0</v>
      </c>
      <c r="BH43" s="15"/>
      <c r="BI43" s="10">
        <f t="shared" si="29"/>
        <v>0</v>
      </c>
      <c r="BJ43" s="15"/>
      <c r="BK43" s="10">
        <f t="shared" si="30"/>
        <v>0</v>
      </c>
      <c r="BL43" s="15"/>
      <c r="BM43" s="10">
        <f t="shared" si="31"/>
        <v>0</v>
      </c>
      <c r="BN43" s="15"/>
      <c r="BO43" s="10">
        <f t="shared" si="32"/>
        <v>0</v>
      </c>
      <c r="BP43" s="15"/>
      <c r="BQ43" s="10">
        <f t="shared" si="33"/>
        <v>0</v>
      </c>
      <c r="BR43" s="15"/>
      <c r="BS43" s="10">
        <f t="shared" si="34"/>
        <v>0</v>
      </c>
      <c r="BT43" s="15"/>
      <c r="BU43" s="10">
        <f t="shared" si="35"/>
        <v>0</v>
      </c>
      <c r="BV43" s="15"/>
      <c r="BW43" s="10">
        <f t="shared" si="36"/>
        <v>0</v>
      </c>
      <c r="BX43" s="15"/>
      <c r="BY43" s="10">
        <f t="shared" si="37"/>
        <v>0</v>
      </c>
      <c r="BZ43" s="15"/>
      <c r="CA43" s="10">
        <f t="shared" si="38"/>
        <v>0</v>
      </c>
      <c r="CB43" s="15"/>
      <c r="CC43" s="10">
        <f t="shared" si="39"/>
        <v>0</v>
      </c>
      <c r="CD43" s="15"/>
      <c r="CE43" s="10">
        <f t="shared" si="40"/>
        <v>0</v>
      </c>
      <c r="CF43" s="11">
        <f t="shared" si="41"/>
        <v>0</v>
      </c>
      <c r="CG43" s="12">
        <f t="shared" si="42"/>
        <v>0</v>
      </c>
      <c r="CH43" s="15"/>
      <c r="CI43" s="10">
        <f t="shared" si="43"/>
        <v>0</v>
      </c>
      <c r="CJ43" s="15"/>
      <c r="CK43" s="10">
        <f t="shared" si="44"/>
        <v>0</v>
      </c>
      <c r="CL43" s="15"/>
      <c r="CM43" s="10">
        <f t="shared" si="45"/>
        <v>0</v>
      </c>
      <c r="CN43" s="15"/>
      <c r="CO43" s="10">
        <f t="shared" si="46"/>
        <v>0</v>
      </c>
      <c r="CP43" s="15"/>
      <c r="CQ43" s="10">
        <f t="shared" si="47"/>
        <v>0</v>
      </c>
      <c r="CR43" s="15"/>
      <c r="CS43" s="10">
        <f t="shared" si="48"/>
        <v>0</v>
      </c>
      <c r="CT43" s="15"/>
      <c r="CU43" s="10">
        <f t="shared" si="49"/>
        <v>0</v>
      </c>
      <c r="CV43" s="15"/>
      <c r="CW43" s="10">
        <f t="shared" si="50"/>
        <v>0</v>
      </c>
      <c r="CX43" s="15"/>
      <c r="CY43" s="10">
        <f t="shared" si="51"/>
        <v>0</v>
      </c>
      <c r="CZ43" s="15"/>
      <c r="DA43" s="10">
        <f t="shared" si="52"/>
        <v>0</v>
      </c>
      <c r="DB43" s="15"/>
      <c r="DC43" s="10">
        <f t="shared" si="53"/>
        <v>0</v>
      </c>
      <c r="DD43" s="15"/>
      <c r="DE43" s="10">
        <f t="shared" si="53"/>
        <v>0</v>
      </c>
      <c r="DF43" s="16">
        <f t="shared" si="0"/>
        <v>0</v>
      </c>
      <c r="DG43" s="208">
        <f t="shared" si="54"/>
        <v>0</v>
      </c>
    </row>
    <row r="44" spans="1:111">
      <c r="A44" s="7">
        <v>37</v>
      </c>
      <c r="B44" s="8" t="s">
        <v>47</v>
      </c>
      <c r="C44" s="8" t="s">
        <v>11</v>
      </c>
      <c r="D44" s="7">
        <f t="shared" si="56"/>
        <v>31</v>
      </c>
      <c r="E44" s="7">
        <v>0.64</v>
      </c>
      <c r="F44" s="7" t="s">
        <v>22</v>
      </c>
      <c r="G44" s="7"/>
      <c r="H44" s="15"/>
      <c r="I44" s="10">
        <f t="shared" si="1"/>
        <v>0</v>
      </c>
      <c r="J44" s="15"/>
      <c r="K44" s="10">
        <f t="shared" si="2"/>
        <v>0</v>
      </c>
      <c r="L44" s="15"/>
      <c r="M44" s="10">
        <f t="shared" si="3"/>
        <v>0</v>
      </c>
      <c r="N44" s="15"/>
      <c r="O44" s="10">
        <f t="shared" si="4"/>
        <v>0</v>
      </c>
      <c r="P44" s="15"/>
      <c r="Q44" s="10">
        <f t="shared" si="5"/>
        <v>0</v>
      </c>
      <c r="R44" s="15"/>
      <c r="S44" s="10">
        <f t="shared" si="6"/>
        <v>0</v>
      </c>
      <c r="T44" s="15"/>
      <c r="U44" s="10">
        <f t="shared" si="7"/>
        <v>0</v>
      </c>
      <c r="V44" s="15"/>
      <c r="W44" s="10">
        <f t="shared" si="8"/>
        <v>0</v>
      </c>
      <c r="X44" s="15"/>
      <c r="Y44" s="10">
        <f t="shared" si="9"/>
        <v>0</v>
      </c>
      <c r="Z44" s="15"/>
      <c r="AA44" s="10">
        <f t="shared" si="10"/>
        <v>0</v>
      </c>
      <c r="AB44" s="15"/>
      <c r="AC44" s="10">
        <f t="shared" si="11"/>
        <v>0</v>
      </c>
      <c r="AD44" s="15"/>
      <c r="AE44" s="10">
        <f t="shared" si="12"/>
        <v>0</v>
      </c>
      <c r="AF44" s="11">
        <f t="shared" si="13"/>
        <v>0</v>
      </c>
      <c r="AG44" s="12">
        <f t="shared" si="14"/>
        <v>0</v>
      </c>
      <c r="AH44" s="15"/>
      <c r="AI44" s="10">
        <f t="shared" si="15"/>
        <v>0</v>
      </c>
      <c r="AJ44" s="15"/>
      <c r="AK44" s="10">
        <f t="shared" si="16"/>
        <v>0</v>
      </c>
      <c r="AL44" s="15"/>
      <c r="AM44" s="10">
        <f t="shared" si="17"/>
        <v>0</v>
      </c>
      <c r="AN44" s="15"/>
      <c r="AO44" s="10">
        <f t="shared" si="18"/>
        <v>0</v>
      </c>
      <c r="AP44" s="15"/>
      <c r="AQ44" s="10">
        <f t="shared" si="19"/>
        <v>0</v>
      </c>
      <c r="AR44" s="15"/>
      <c r="AS44" s="10">
        <f t="shared" si="20"/>
        <v>0</v>
      </c>
      <c r="AT44" s="15"/>
      <c r="AU44" s="10">
        <f t="shared" si="21"/>
        <v>0</v>
      </c>
      <c r="AV44" s="15"/>
      <c r="AW44" s="10">
        <f t="shared" si="22"/>
        <v>0</v>
      </c>
      <c r="AX44" s="15"/>
      <c r="AY44" s="10">
        <f t="shared" si="23"/>
        <v>0</v>
      </c>
      <c r="AZ44" s="15"/>
      <c r="BA44" s="10">
        <f t="shared" si="24"/>
        <v>0</v>
      </c>
      <c r="BB44" s="15"/>
      <c r="BC44" s="10">
        <f t="shared" si="25"/>
        <v>0</v>
      </c>
      <c r="BD44" s="15"/>
      <c r="BE44" s="10">
        <f t="shared" si="26"/>
        <v>0</v>
      </c>
      <c r="BF44" s="11">
        <f t="shared" si="27"/>
        <v>0</v>
      </c>
      <c r="BG44" s="12">
        <f t="shared" si="28"/>
        <v>0</v>
      </c>
      <c r="BH44" s="15"/>
      <c r="BI44" s="10">
        <f t="shared" si="29"/>
        <v>0</v>
      </c>
      <c r="BJ44" s="15"/>
      <c r="BK44" s="10">
        <f t="shared" si="30"/>
        <v>0</v>
      </c>
      <c r="BL44" s="15"/>
      <c r="BM44" s="10">
        <f t="shared" si="31"/>
        <v>0</v>
      </c>
      <c r="BN44" s="15"/>
      <c r="BO44" s="10">
        <f t="shared" si="32"/>
        <v>0</v>
      </c>
      <c r="BP44" s="15"/>
      <c r="BQ44" s="10">
        <f t="shared" si="33"/>
        <v>0</v>
      </c>
      <c r="BR44" s="15"/>
      <c r="BS44" s="10">
        <f t="shared" si="34"/>
        <v>0</v>
      </c>
      <c r="BT44" s="15"/>
      <c r="BU44" s="10">
        <f t="shared" si="35"/>
        <v>0</v>
      </c>
      <c r="BV44" s="15"/>
      <c r="BW44" s="10">
        <f t="shared" si="36"/>
        <v>0</v>
      </c>
      <c r="BX44" s="15"/>
      <c r="BY44" s="10">
        <f t="shared" si="37"/>
        <v>0</v>
      </c>
      <c r="BZ44" s="15"/>
      <c r="CA44" s="10">
        <f t="shared" si="38"/>
        <v>0</v>
      </c>
      <c r="CB44" s="15"/>
      <c r="CC44" s="10">
        <f t="shared" si="39"/>
        <v>0</v>
      </c>
      <c r="CD44" s="15"/>
      <c r="CE44" s="10">
        <f t="shared" si="40"/>
        <v>0</v>
      </c>
      <c r="CF44" s="11">
        <f t="shared" si="41"/>
        <v>0</v>
      </c>
      <c r="CG44" s="12">
        <f t="shared" si="42"/>
        <v>0</v>
      </c>
      <c r="CH44" s="15"/>
      <c r="CI44" s="10">
        <f t="shared" si="43"/>
        <v>0</v>
      </c>
      <c r="CJ44" s="15"/>
      <c r="CK44" s="10">
        <f t="shared" si="44"/>
        <v>0</v>
      </c>
      <c r="CL44" s="15"/>
      <c r="CM44" s="10">
        <f t="shared" si="45"/>
        <v>0</v>
      </c>
      <c r="CN44" s="15"/>
      <c r="CO44" s="10">
        <f t="shared" si="46"/>
        <v>0</v>
      </c>
      <c r="CP44" s="15"/>
      <c r="CQ44" s="10">
        <f t="shared" si="47"/>
        <v>0</v>
      </c>
      <c r="CR44" s="15"/>
      <c r="CS44" s="10">
        <f t="shared" si="48"/>
        <v>0</v>
      </c>
      <c r="CT44" s="15"/>
      <c r="CU44" s="10">
        <f t="shared" si="49"/>
        <v>0</v>
      </c>
      <c r="CV44" s="15"/>
      <c r="CW44" s="10">
        <f t="shared" si="50"/>
        <v>0</v>
      </c>
      <c r="CX44" s="15"/>
      <c r="CY44" s="10">
        <f t="shared" si="51"/>
        <v>0</v>
      </c>
      <c r="CZ44" s="15"/>
      <c r="DA44" s="10">
        <f t="shared" si="52"/>
        <v>0</v>
      </c>
      <c r="DB44" s="15"/>
      <c r="DC44" s="10">
        <f t="shared" si="53"/>
        <v>0</v>
      </c>
      <c r="DD44" s="15"/>
      <c r="DE44" s="10">
        <f t="shared" si="53"/>
        <v>0</v>
      </c>
      <c r="DF44" s="16">
        <f t="shared" si="0"/>
        <v>0</v>
      </c>
      <c r="DG44" s="208">
        <f t="shared" si="54"/>
        <v>0</v>
      </c>
    </row>
    <row r="45" spans="1:111">
      <c r="A45" s="7">
        <v>38</v>
      </c>
      <c r="B45" s="8" t="s">
        <v>49</v>
      </c>
      <c r="C45" s="8" t="s">
        <v>11</v>
      </c>
      <c r="D45" s="7">
        <f t="shared" si="56"/>
        <v>31</v>
      </c>
      <c r="E45" s="7">
        <v>0.64</v>
      </c>
      <c r="F45" s="7" t="s">
        <v>22</v>
      </c>
      <c r="G45" s="7"/>
      <c r="H45" s="15"/>
      <c r="I45" s="10">
        <f t="shared" si="1"/>
        <v>0</v>
      </c>
      <c r="J45" s="15"/>
      <c r="K45" s="10">
        <f t="shared" si="2"/>
        <v>0</v>
      </c>
      <c r="L45" s="15"/>
      <c r="M45" s="10">
        <f t="shared" si="3"/>
        <v>0</v>
      </c>
      <c r="N45" s="15"/>
      <c r="O45" s="10">
        <f t="shared" si="4"/>
        <v>0</v>
      </c>
      <c r="P45" s="15"/>
      <c r="Q45" s="10">
        <f t="shared" si="5"/>
        <v>0</v>
      </c>
      <c r="R45" s="15"/>
      <c r="S45" s="10">
        <f t="shared" si="6"/>
        <v>0</v>
      </c>
      <c r="T45" s="15"/>
      <c r="U45" s="10">
        <f t="shared" si="7"/>
        <v>0</v>
      </c>
      <c r="V45" s="15"/>
      <c r="W45" s="10">
        <f t="shared" si="8"/>
        <v>0</v>
      </c>
      <c r="X45" s="15"/>
      <c r="Y45" s="10">
        <f t="shared" si="9"/>
        <v>0</v>
      </c>
      <c r="Z45" s="15"/>
      <c r="AA45" s="10">
        <f t="shared" si="10"/>
        <v>0</v>
      </c>
      <c r="AB45" s="15"/>
      <c r="AC45" s="10">
        <f t="shared" si="11"/>
        <v>0</v>
      </c>
      <c r="AD45" s="15"/>
      <c r="AE45" s="10">
        <f t="shared" si="12"/>
        <v>0</v>
      </c>
      <c r="AF45" s="11">
        <f t="shared" si="13"/>
        <v>0</v>
      </c>
      <c r="AG45" s="12">
        <f t="shared" si="14"/>
        <v>0</v>
      </c>
      <c r="AH45" s="15"/>
      <c r="AI45" s="10">
        <f t="shared" si="15"/>
        <v>0</v>
      </c>
      <c r="AJ45" s="15"/>
      <c r="AK45" s="10">
        <f t="shared" si="16"/>
        <v>0</v>
      </c>
      <c r="AL45" s="15"/>
      <c r="AM45" s="10">
        <f t="shared" si="17"/>
        <v>0</v>
      </c>
      <c r="AN45" s="15"/>
      <c r="AO45" s="10">
        <f t="shared" si="18"/>
        <v>0</v>
      </c>
      <c r="AP45" s="15"/>
      <c r="AQ45" s="10">
        <f t="shared" si="19"/>
        <v>0</v>
      </c>
      <c r="AR45" s="15"/>
      <c r="AS45" s="10">
        <f t="shared" si="20"/>
        <v>0</v>
      </c>
      <c r="AT45" s="15"/>
      <c r="AU45" s="10">
        <f t="shared" si="21"/>
        <v>0</v>
      </c>
      <c r="AV45" s="15"/>
      <c r="AW45" s="10">
        <f t="shared" si="22"/>
        <v>0</v>
      </c>
      <c r="AX45" s="15"/>
      <c r="AY45" s="10">
        <f t="shared" si="23"/>
        <v>0</v>
      </c>
      <c r="AZ45" s="15"/>
      <c r="BA45" s="10">
        <f t="shared" si="24"/>
        <v>0</v>
      </c>
      <c r="BB45" s="15"/>
      <c r="BC45" s="10">
        <f t="shared" si="25"/>
        <v>0</v>
      </c>
      <c r="BD45" s="15"/>
      <c r="BE45" s="10">
        <f t="shared" si="26"/>
        <v>0</v>
      </c>
      <c r="BF45" s="11">
        <f t="shared" si="27"/>
        <v>0</v>
      </c>
      <c r="BG45" s="12">
        <f t="shared" si="28"/>
        <v>0</v>
      </c>
      <c r="BH45" s="15"/>
      <c r="BI45" s="10">
        <f t="shared" si="29"/>
        <v>0</v>
      </c>
      <c r="BJ45" s="15"/>
      <c r="BK45" s="10">
        <f t="shared" si="30"/>
        <v>0</v>
      </c>
      <c r="BL45" s="15"/>
      <c r="BM45" s="10">
        <f t="shared" si="31"/>
        <v>0</v>
      </c>
      <c r="BN45" s="15"/>
      <c r="BO45" s="10">
        <f t="shared" si="32"/>
        <v>0</v>
      </c>
      <c r="BP45" s="15"/>
      <c r="BQ45" s="10">
        <f t="shared" si="33"/>
        <v>0</v>
      </c>
      <c r="BR45" s="15"/>
      <c r="BS45" s="10">
        <f t="shared" si="34"/>
        <v>0</v>
      </c>
      <c r="BT45" s="15"/>
      <c r="BU45" s="10">
        <f t="shared" si="35"/>
        <v>0</v>
      </c>
      <c r="BV45" s="15"/>
      <c r="BW45" s="10">
        <f t="shared" si="36"/>
        <v>0</v>
      </c>
      <c r="BX45" s="15"/>
      <c r="BY45" s="10">
        <f t="shared" si="37"/>
        <v>0</v>
      </c>
      <c r="BZ45" s="15"/>
      <c r="CA45" s="10">
        <f t="shared" si="38"/>
        <v>0</v>
      </c>
      <c r="CB45" s="15"/>
      <c r="CC45" s="10">
        <f t="shared" si="39"/>
        <v>0</v>
      </c>
      <c r="CD45" s="15"/>
      <c r="CE45" s="10">
        <f t="shared" si="40"/>
        <v>0</v>
      </c>
      <c r="CF45" s="11">
        <f t="shared" si="41"/>
        <v>0</v>
      </c>
      <c r="CG45" s="12">
        <f t="shared" si="42"/>
        <v>0</v>
      </c>
      <c r="CH45" s="15"/>
      <c r="CI45" s="10">
        <f t="shared" si="43"/>
        <v>0</v>
      </c>
      <c r="CJ45" s="15"/>
      <c r="CK45" s="10">
        <f t="shared" si="44"/>
        <v>0</v>
      </c>
      <c r="CL45" s="15"/>
      <c r="CM45" s="10">
        <f t="shared" si="45"/>
        <v>0</v>
      </c>
      <c r="CN45" s="15"/>
      <c r="CO45" s="10">
        <f t="shared" si="46"/>
        <v>0</v>
      </c>
      <c r="CP45" s="15"/>
      <c r="CQ45" s="10">
        <f t="shared" si="47"/>
        <v>0</v>
      </c>
      <c r="CR45" s="15"/>
      <c r="CS45" s="10">
        <f t="shared" si="48"/>
        <v>0</v>
      </c>
      <c r="CT45" s="15"/>
      <c r="CU45" s="10">
        <f t="shared" si="49"/>
        <v>0</v>
      </c>
      <c r="CV45" s="15"/>
      <c r="CW45" s="10">
        <f t="shared" si="50"/>
        <v>0</v>
      </c>
      <c r="CX45" s="15"/>
      <c r="CY45" s="10">
        <f t="shared" si="51"/>
        <v>0</v>
      </c>
      <c r="CZ45" s="15"/>
      <c r="DA45" s="10">
        <f t="shared" si="52"/>
        <v>0</v>
      </c>
      <c r="DB45" s="15"/>
      <c r="DC45" s="10">
        <f t="shared" si="53"/>
        <v>0</v>
      </c>
      <c r="DD45" s="15"/>
      <c r="DE45" s="10">
        <f t="shared" si="53"/>
        <v>0</v>
      </c>
      <c r="DF45" s="16">
        <f t="shared" si="0"/>
        <v>0</v>
      </c>
      <c r="DG45" s="208">
        <f t="shared" si="54"/>
        <v>0</v>
      </c>
    </row>
    <row r="46" spans="1:111">
      <c r="A46" s="7">
        <v>39</v>
      </c>
      <c r="B46" s="8" t="s">
        <v>49</v>
      </c>
      <c r="C46" s="8" t="s">
        <v>11</v>
      </c>
      <c r="D46" s="7">
        <f t="shared" si="56"/>
        <v>31</v>
      </c>
      <c r="E46" s="7">
        <v>0.64</v>
      </c>
      <c r="F46" s="7" t="s">
        <v>22</v>
      </c>
      <c r="G46" s="7"/>
      <c r="H46" s="15"/>
      <c r="I46" s="10">
        <f t="shared" si="1"/>
        <v>0</v>
      </c>
      <c r="J46" s="15"/>
      <c r="K46" s="10">
        <f t="shared" si="2"/>
        <v>0</v>
      </c>
      <c r="L46" s="15"/>
      <c r="M46" s="10">
        <f t="shared" si="3"/>
        <v>0</v>
      </c>
      <c r="N46" s="15"/>
      <c r="O46" s="10">
        <f t="shared" si="4"/>
        <v>0</v>
      </c>
      <c r="P46" s="15"/>
      <c r="Q46" s="10">
        <f t="shared" si="5"/>
        <v>0</v>
      </c>
      <c r="R46" s="15"/>
      <c r="S46" s="10">
        <f t="shared" si="6"/>
        <v>0</v>
      </c>
      <c r="T46" s="15"/>
      <c r="U46" s="10">
        <f t="shared" si="7"/>
        <v>0</v>
      </c>
      <c r="V46" s="15"/>
      <c r="W46" s="10">
        <f t="shared" si="8"/>
        <v>0</v>
      </c>
      <c r="X46" s="15"/>
      <c r="Y46" s="10">
        <f t="shared" si="9"/>
        <v>0</v>
      </c>
      <c r="Z46" s="15"/>
      <c r="AA46" s="10">
        <f t="shared" si="10"/>
        <v>0</v>
      </c>
      <c r="AB46" s="15"/>
      <c r="AC46" s="10">
        <f t="shared" si="11"/>
        <v>0</v>
      </c>
      <c r="AD46" s="15"/>
      <c r="AE46" s="10">
        <f t="shared" si="12"/>
        <v>0</v>
      </c>
      <c r="AF46" s="11">
        <f t="shared" si="13"/>
        <v>0</v>
      </c>
      <c r="AG46" s="12">
        <f t="shared" si="14"/>
        <v>0</v>
      </c>
      <c r="AH46" s="15"/>
      <c r="AI46" s="10">
        <f t="shared" si="15"/>
        <v>0</v>
      </c>
      <c r="AJ46" s="15"/>
      <c r="AK46" s="10">
        <f t="shared" si="16"/>
        <v>0</v>
      </c>
      <c r="AL46" s="15"/>
      <c r="AM46" s="10">
        <f t="shared" si="17"/>
        <v>0</v>
      </c>
      <c r="AN46" s="15"/>
      <c r="AO46" s="10">
        <f t="shared" si="18"/>
        <v>0</v>
      </c>
      <c r="AP46" s="15"/>
      <c r="AQ46" s="10">
        <f t="shared" si="19"/>
        <v>0</v>
      </c>
      <c r="AR46" s="15"/>
      <c r="AS46" s="10">
        <f t="shared" si="20"/>
        <v>0</v>
      </c>
      <c r="AT46" s="15"/>
      <c r="AU46" s="10">
        <f t="shared" si="21"/>
        <v>0</v>
      </c>
      <c r="AV46" s="15"/>
      <c r="AW46" s="10">
        <f t="shared" si="22"/>
        <v>0</v>
      </c>
      <c r="AX46" s="15"/>
      <c r="AY46" s="10">
        <f t="shared" si="23"/>
        <v>0</v>
      </c>
      <c r="AZ46" s="15"/>
      <c r="BA46" s="10">
        <f t="shared" si="24"/>
        <v>0</v>
      </c>
      <c r="BB46" s="15"/>
      <c r="BC46" s="10">
        <f t="shared" si="25"/>
        <v>0</v>
      </c>
      <c r="BD46" s="15"/>
      <c r="BE46" s="10">
        <f t="shared" si="26"/>
        <v>0</v>
      </c>
      <c r="BF46" s="11">
        <f t="shared" si="27"/>
        <v>0</v>
      </c>
      <c r="BG46" s="12">
        <f t="shared" si="28"/>
        <v>0</v>
      </c>
      <c r="BH46" s="15"/>
      <c r="BI46" s="10">
        <f t="shared" si="29"/>
        <v>0</v>
      </c>
      <c r="BJ46" s="15"/>
      <c r="BK46" s="10">
        <f t="shared" si="30"/>
        <v>0</v>
      </c>
      <c r="BL46" s="15"/>
      <c r="BM46" s="10">
        <f t="shared" si="31"/>
        <v>0</v>
      </c>
      <c r="BN46" s="15"/>
      <c r="BO46" s="10">
        <f t="shared" si="32"/>
        <v>0</v>
      </c>
      <c r="BP46" s="15"/>
      <c r="BQ46" s="10">
        <f t="shared" si="33"/>
        <v>0</v>
      </c>
      <c r="BR46" s="15"/>
      <c r="BS46" s="10">
        <f t="shared" si="34"/>
        <v>0</v>
      </c>
      <c r="BT46" s="15"/>
      <c r="BU46" s="10">
        <f t="shared" si="35"/>
        <v>0</v>
      </c>
      <c r="BV46" s="15"/>
      <c r="BW46" s="10">
        <f t="shared" si="36"/>
        <v>0</v>
      </c>
      <c r="BX46" s="15"/>
      <c r="BY46" s="10">
        <f t="shared" si="37"/>
        <v>0</v>
      </c>
      <c r="BZ46" s="15"/>
      <c r="CA46" s="10">
        <f t="shared" si="38"/>
        <v>0</v>
      </c>
      <c r="CB46" s="15"/>
      <c r="CC46" s="10">
        <f t="shared" si="39"/>
        <v>0</v>
      </c>
      <c r="CD46" s="15"/>
      <c r="CE46" s="10">
        <f t="shared" si="40"/>
        <v>0</v>
      </c>
      <c r="CF46" s="11">
        <f t="shared" si="41"/>
        <v>0</v>
      </c>
      <c r="CG46" s="12">
        <f t="shared" si="42"/>
        <v>0</v>
      </c>
      <c r="CH46" s="15"/>
      <c r="CI46" s="10">
        <f t="shared" si="43"/>
        <v>0</v>
      </c>
      <c r="CJ46" s="15"/>
      <c r="CK46" s="10">
        <f t="shared" si="44"/>
        <v>0</v>
      </c>
      <c r="CL46" s="15"/>
      <c r="CM46" s="10">
        <f t="shared" si="45"/>
        <v>0</v>
      </c>
      <c r="CN46" s="15"/>
      <c r="CO46" s="10">
        <f t="shared" si="46"/>
        <v>0</v>
      </c>
      <c r="CP46" s="15"/>
      <c r="CQ46" s="10">
        <f t="shared" si="47"/>
        <v>0</v>
      </c>
      <c r="CR46" s="15"/>
      <c r="CS46" s="10">
        <f t="shared" si="48"/>
        <v>0</v>
      </c>
      <c r="CT46" s="15"/>
      <c r="CU46" s="10">
        <f t="shared" si="49"/>
        <v>0</v>
      </c>
      <c r="CV46" s="15"/>
      <c r="CW46" s="10">
        <f t="shared" si="50"/>
        <v>0</v>
      </c>
      <c r="CX46" s="15"/>
      <c r="CY46" s="10">
        <f t="shared" si="51"/>
        <v>0</v>
      </c>
      <c r="CZ46" s="15"/>
      <c r="DA46" s="10">
        <f t="shared" si="52"/>
        <v>0</v>
      </c>
      <c r="DB46" s="15"/>
      <c r="DC46" s="10">
        <f t="shared" si="53"/>
        <v>0</v>
      </c>
      <c r="DD46" s="15"/>
      <c r="DE46" s="10">
        <f t="shared" si="53"/>
        <v>0</v>
      </c>
      <c r="DF46" s="16">
        <f t="shared" si="0"/>
        <v>0</v>
      </c>
      <c r="DG46" s="208">
        <f t="shared" si="54"/>
        <v>0</v>
      </c>
    </row>
    <row r="47" spans="1:111">
      <c r="A47" s="7">
        <v>40</v>
      </c>
      <c r="B47" s="8" t="s">
        <v>49</v>
      </c>
      <c r="C47" s="8" t="s">
        <v>11</v>
      </c>
      <c r="D47" s="7">
        <f t="shared" si="56"/>
        <v>31</v>
      </c>
      <c r="E47" s="7">
        <v>0.64</v>
      </c>
      <c r="F47" s="7" t="s">
        <v>22</v>
      </c>
      <c r="G47" s="7"/>
      <c r="H47" s="15"/>
      <c r="I47" s="10">
        <f t="shared" si="1"/>
        <v>0</v>
      </c>
      <c r="J47" s="15"/>
      <c r="K47" s="10">
        <f t="shared" si="2"/>
        <v>0</v>
      </c>
      <c r="L47" s="15"/>
      <c r="M47" s="10">
        <f t="shared" si="3"/>
        <v>0</v>
      </c>
      <c r="N47" s="15"/>
      <c r="O47" s="10">
        <f t="shared" si="4"/>
        <v>0</v>
      </c>
      <c r="P47" s="15"/>
      <c r="Q47" s="10">
        <f t="shared" si="5"/>
        <v>0</v>
      </c>
      <c r="R47" s="15"/>
      <c r="S47" s="10">
        <f t="shared" si="6"/>
        <v>0</v>
      </c>
      <c r="T47" s="15"/>
      <c r="U47" s="10">
        <f t="shared" si="7"/>
        <v>0</v>
      </c>
      <c r="V47" s="15"/>
      <c r="W47" s="10">
        <f t="shared" si="8"/>
        <v>0</v>
      </c>
      <c r="X47" s="15"/>
      <c r="Y47" s="10">
        <f t="shared" si="9"/>
        <v>0</v>
      </c>
      <c r="Z47" s="15"/>
      <c r="AA47" s="10">
        <f t="shared" si="10"/>
        <v>0</v>
      </c>
      <c r="AB47" s="15"/>
      <c r="AC47" s="10">
        <f t="shared" si="11"/>
        <v>0</v>
      </c>
      <c r="AD47" s="15"/>
      <c r="AE47" s="10">
        <f t="shared" si="12"/>
        <v>0</v>
      </c>
      <c r="AF47" s="11">
        <f t="shared" si="13"/>
        <v>0</v>
      </c>
      <c r="AG47" s="12">
        <f t="shared" si="14"/>
        <v>0</v>
      </c>
      <c r="AH47" s="15"/>
      <c r="AI47" s="10">
        <f t="shared" si="15"/>
        <v>0</v>
      </c>
      <c r="AJ47" s="15"/>
      <c r="AK47" s="10">
        <f t="shared" si="16"/>
        <v>0</v>
      </c>
      <c r="AL47" s="15"/>
      <c r="AM47" s="10">
        <f t="shared" si="17"/>
        <v>0</v>
      </c>
      <c r="AN47" s="15"/>
      <c r="AO47" s="10">
        <f t="shared" si="18"/>
        <v>0</v>
      </c>
      <c r="AP47" s="15"/>
      <c r="AQ47" s="10">
        <f t="shared" si="19"/>
        <v>0</v>
      </c>
      <c r="AR47" s="15"/>
      <c r="AS47" s="10">
        <f t="shared" si="20"/>
        <v>0</v>
      </c>
      <c r="AT47" s="15"/>
      <c r="AU47" s="10">
        <f t="shared" si="21"/>
        <v>0</v>
      </c>
      <c r="AV47" s="15"/>
      <c r="AW47" s="10">
        <f t="shared" si="22"/>
        <v>0</v>
      </c>
      <c r="AX47" s="15"/>
      <c r="AY47" s="10">
        <f t="shared" si="23"/>
        <v>0</v>
      </c>
      <c r="AZ47" s="15"/>
      <c r="BA47" s="10">
        <f t="shared" si="24"/>
        <v>0</v>
      </c>
      <c r="BB47" s="15"/>
      <c r="BC47" s="10">
        <f t="shared" si="25"/>
        <v>0</v>
      </c>
      <c r="BD47" s="15"/>
      <c r="BE47" s="10">
        <f t="shared" si="26"/>
        <v>0</v>
      </c>
      <c r="BF47" s="11">
        <f t="shared" si="27"/>
        <v>0</v>
      </c>
      <c r="BG47" s="12">
        <f t="shared" si="28"/>
        <v>0</v>
      </c>
      <c r="BH47" s="15"/>
      <c r="BI47" s="10">
        <f t="shared" si="29"/>
        <v>0</v>
      </c>
      <c r="BJ47" s="15"/>
      <c r="BK47" s="10">
        <f t="shared" si="30"/>
        <v>0</v>
      </c>
      <c r="BL47" s="15"/>
      <c r="BM47" s="10">
        <f t="shared" si="31"/>
        <v>0</v>
      </c>
      <c r="BN47" s="15"/>
      <c r="BO47" s="10">
        <f t="shared" si="32"/>
        <v>0</v>
      </c>
      <c r="BP47" s="15"/>
      <c r="BQ47" s="10">
        <f t="shared" si="33"/>
        <v>0</v>
      </c>
      <c r="BR47" s="15"/>
      <c r="BS47" s="10">
        <f t="shared" si="34"/>
        <v>0</v>
      </c>
      <c r="BT47" s="15"/>
      <c r="BU47" s="10">
        <f t="shared" si="35"/>
        <v>0</v>
      </c>
      <c r="BV47" s="15"/>
      <c r="BW47" s="10">
        <f t="shared" si="36"/>
        <v>0</v>
      </c>
      <c r="BX47" s="15"/>
      <c r="BY47" s="10">
        <f t="shared" si="37"/>
        <v>0</v>
      </c>
      <c r="BZ47" s="15"/>
      <c r="CA47" s="10">
        <f t="shared" si="38"/>
        <v>0</v>
      </c>
      <c r="CB47" s="15"/>
      <c r="CC47" s="10">
        <f t="shared" si="39"/>
        <v>0</v>
      </c>
      <c r="CD47" s="15"/>
      <c r="CE47" s="10">
        <f t="shared" si="40"/>
        <v>0</v>
      </c>
      <c r="CF47" s="11">
        <f t="shared" si="41"/>
        <v>0</v>
      </c>
      <c r="CG47" s="12">
        <f t="shared" si="42"/>
        <v>0</v>
      </c>
      <c r="CH47" s="15"/>
      <c r="CI47" s="10">
        <f t="shared" si="43"/>
        <v>0</v>
      </c>
      <c r="CJ47" s="15"/>
      <c r="CK47" s="10">
        <f t="shared" si="44"/>
        <v>0</v>
      </c>
      <c r="CL47" s="15"/>
      <c r="CM47" s="10">
        <f t="shared" si="45"/>
        <v>0</v>
      </c>
      <c r="CN47" s="15"/>
      <c r="CO47" s="10">
        <f t="shared" si="46"/>
        <v>0</v>
      </c>
      <c r="CP47" s="15"/>
      <c r="CQ47" s="10">
        <f t="shared" si="47"/>
        <v>0</v>
      </c>
      <c r="CR47" s="15"/>
      <c r="CS47" s="10">
        <f t="shared" si="48"/>
        <v>0</v>
      </c>
      <c r="CT47" s="15"/>
      <c r="CU47" s="10">
        <f t="shared" si="49"/>
        <v>0</v>
      </c>
      <c r="CV47" s="15"/>
      <c r="CW47" s="10">
        <f t="shared" si="50"/>
        <v>0</v>
      </c>
      <c r="CX47" s="15"/>
      <c r="CY47" s="10">
        <f t="shared" si="51"/>
        <v>0</v>
      </c>
      <c r="CZ47" s="15"/>
      <c r="DA47" s="10">
        <f t="shared" si="52"/>
        <v>0</v>
      </c>
      <c r="DB47" s="15"/>
      <c r="DC47" s="10">
        <f t="shared" si="53"/>
        <v>0</v>
      </c>
      <c r="DD47" s="15"/>
      <c r="DE47" s="10">
        <f t="shared" si="53"/>
        <v>0</v>
      </c>
      <c r="DF47" s="16">
        <f t="shared" si="0"/>
        <v>0</v>
      </c>
      <c r="DG47" s="208">
        <f t="shared" si="54"/>
        <v>0</v>
      </c>
    </row>
    <row r="48" spans="1:111">
      <c r="A48" s="7"/>
      <c r="B48" s="8"/>
      <c r="C48" s="8"/>
      <c r="D48" s="7"/>
      <c r="E48" s="7"/>
      <c r="F48" s="7"/>
      <c r="G48" s="7"/>
      <c r="H48" s="15"/>
      <c r="I48" s="10">
        <f t="shared" si="1"/>
        <v>0</v>
      </c>
      <c r="J48" s="15"/>
      <c r="K48" s="10">
        <f t="shared" si="2"/>
        <v>0</v>
      </c>
      <c r="L48" s="15"/>
      <c r="M48" s="10">
        <f t="shared" si="3"/>
        <v>0</v>
      </c>
      <c r="N48" s="15"/>
      <c r="O48" s="10">
        <f t="shared" si="4"/>
        <v>0</v>
      </c>
      <c r="P48" s="15"/>
      <c r="Q48" s="10">
        <f t="shared" si="5"/>
        <v>0</v>
      </c>
      <c r="R48" s="15"/>
      <c r="S48" s="10">
        <f t="shared" si="6"/>
        <v>0</v>
      </c>
      <c r="T48" s="15"/>
      <c r="U48" s="10">
        <f t="shared" si="7"/>
        <v>0</v>
      </c>
      <c r="V48" s="15"/>
      <c r="W48" s="10">
        <f t="shared" si="8"/>
        <v>0</v>
      </c>
      <c r="X48" s="15"/>
      <c r="Y48" s="10">
        <f t="shared" si="9"/>
        <v>0</v>
      </c>
      <c r="Z48" s="15"/>
      <c r="AA48" s="10">
        <f t="shared" si="10"/>
        <v>0</v>
      </c>
      <c r="AB48" s="15"/>
      <c r="AC48" s="10">
        <f t="shared" si="11"/>
        <v>0</v>
      </c>
      <c r="AD48" s="15"/>
      <c r="AE48" s="10">
        <f t="shared" si="12"/>
        <v>0</v>
      </c>
      <c r="AF48" s="11">
        <f t="shared" si="13"/>
        <v>0</v>
      </c>
      <c r="AG48" s="12">
        <f t="shared" si="14"/>
        <v>0</v>
      </c>
      <c r="AH48" s="15"/>
      <c r="AI48" s="10">
        <f t="shared" si="15"/>
        <v>0</v>
      </c>
      <c r="AJ48" s="15"/>
      <c r="AK48" s="10">
        <f t="shared" si="16"/>
        <v>0</v>
      </c>
      <c r="AL48" s="15"/>
      <c r="AM48" s="10">
        <f t="shared" si="17"/>
        <v>0</v>
      </c>
      <c r="AN48" s="15"/>
      <c r="AO48" s="10">
        <f t="shared" si="18"/>
        <v>0</v>
      </c>
      <c r="AP48" s="15"/>
      <c r="AQ48" s="10">
        <f t="shared" si="19"/>
        <v>0</v>
      </c>
      <c r="AR48" s="15"/>
      <c r="AS48" s="10">
        <f t="shared" si="20"/>
        <v>0</v>
      </c>
      <c r="AT48" s="15"/>
      <c r="AU48" s="10">
        <f t="shared" si="21"/>
        <v>0</v>
      </c>
      <c r="AV48" s="15"/>
      <c r="AW48" s="10">
        <f t="shared" si="22"/>
        <v>0</v>
      </c>
      <c r="AX48" s="15"/>
      <c r="AY48" s="10">
        <f t="shared" si="23"/>
        <v>0</v>
      </c>
      <c r="AZ48" s="15"/>
      <c r="BA48" s="10">
        <f t="shared" si="24"/>
        <v>0</v>
      </c>
      <c r="BB48" s="15"/>
      <c r="BC48" s="10">
        <f t="shared" si="25"/>
        <v>0</v>
      </c>
      <c r="BD48" s="15"/>
      <c r="BE48" s="10">
        <f t="shared" si="26"/>
        <v>0</v>
      </c>
      <c r="BF48" s="11">
        <f t="shared" si="27"/>
        <v>0</v>
      </c>
      <c r="BG48" s="12">
        <f t="shared" si="28"/>
        <v>0</v>
      </c>
      <c r="BH48" s="15"/>
      <c r="BI48" s="10">
        <f t="shared" si="29"/>
        <v>0</v>
      </c>
      <c r="BJ48" s="15"/>
      <c r="BK48" s="10">
        <f t="shared" si="30"/>
        <v>0</v>
      </c>
      <c r="BL48" s="15"/>
      <c r="BM48" s="10">
        <f t="shared" si="31"/>
        <v>0</v>
      </c>
      <c r="BN48" s="15"/>
      <c r="BO48" s="10">
        <f t="shared" si="32"/>
        <v>0</v>
      </c>
      <c r="BP48" s="15"/>
      <c r="BQ48" s="10">
        <f t="shared" si="33"/>
        <v>0</v>
      </c>
      <c r="BR48" s="15"/>
      <c r="BS48" s="10">
        <f t="shared" si="34"/>
        <v>0</v>
      </c>
      <c r="BT48" s="15"/>
      <c r="BU48" s="10">
        <f t="shared" si="35"/>
        <v>0</v>
      </c>
      <c r="BV48" s="15"/>
      <c r="BW48" s="10">
        <f t="shared" si="36"/>
        <v>0</v>
      </c>
      <c r="BX48" s="15"/>
      <c r="BY48" s="10">
        <f t="shared" si="37"/>
        <v>0</v>
      </c>
      <c r="BZ48" s="15"/>
      <c r="CA48" s="10">
        <f t="shared" si="38"/>
        <v>0</v>
      </c>
      <c r="CB48" s="15"/>
      <c r="CC48" s="10">
        <f t="shared" si="39"/>
        <v>0</v>
      </c>
      <c r="CD48" s="15"/>
      <c r="CE48" s="10">
        <f t="shared" si="40"/>
        <v>0</v>
      </c>
      <c r="CF48" s="11">
        <f t="shared" si="41"/>
        <v>0</v>
      </c>
      <c r="CG48" s="12">
        <f t="shared" si="42"/>
        <v>0</v>
      </c>
      <c r="CH48" s="15"/>
      <c r="CI48" s="10">
        <f t="shared" si="43"/>
        <v>0</v>
      </c>
      <c r="CJ48" s="15"/>
      <c r="CK48" s="10">
        <f t="shared" si="44"/>
        <v>0</v>
      </c>
      <c r="CL48" s="15"/>
      <c r="CM48" s="10">
        <f t="shared" si="45"/>
        <v>0</v>
      </c>
      <c r="CN48" s="15"/>
      <c r="CO48" s="10">
        <f t="shared" si="46"/>
        <v>0</v>
      </c>
      <c r="CP48" s="15"/>
      <c r="CQ48" s="10">
        <f t="shared" si="47"/>
        <v>0</v>
      </c>
      <c r="CR48" s="15"/>
      <c r="CS48" s="10">
        <f t="shared" si="48"/>
        <v>0</v>
      </c>
      <c r="CT48" s="15"/>
      <c r="CU48" s="10">
        <f t="shared" si="49"/>
        <v>0</v>
      </c>
      <c r="CV48" s="15"/>
      <c r="CW48" s="10">
        <f t="shared" si="50"/>
        <v>0</v>
      </c>
      <c r="CX48" s="15"/>
      <c r="CY48" s="10">
        <f t="shared" si="51"/>
        <v>0</v>
      </c>
      <c r="CZ48" s="15"/>
      <c r="DA48" s="10">
        <f t="shared" si="52"/>
        <v>0</v>
      </c>
      <c r="DB48" s="15"/>
      <c r="DC48" s="10">
        <f t="shared" si="53"/>
        <v>0</v>
      </c>
      <c r="DD48" s="15"/>
      <c r="DE48" s="10">
        <f t="shared" si="53"/>
        <v>0</v>
      </c>
      <c r="DF48" s="16">
        <f t="shared" si="0"/>
        <v>0</v>
      </c>
      <c r="DG48" s="208">
        <f t="shared" si="54"/>
        <v>0</v>
      </c>
    </row>
    <row r="49" spans="1:111">
      <c r="A49" s="7">
        <v>41</v>
      </c>
      <c r="B49" s="8" t="s">
        <v>50</v>
      </c>
      <c r="C49" s="8" t="s">
        <v>14</v>
      </c>
      <c r="D49" s="7">
        <f>RANK(DF49,$DF$4:$DF$141)</f>
        <v>31</v>
      </c>
      <c r="E49" s="7">
        <v>1</v>
      </c>
      <c r="F49" s="7" t="s">
        <v>12</v>
      </c>
      <c r="G49" s="7"/>
      <c r="H49" s="15"/>
      <c r="I49" s="10">
        <f t="shared" si="1"/>
        <v>0</v>
      </c>
      <c r="J49" s="15"/>
      <c r="K49" s="10">
        <f t="shared" si="2"/>
        <v>0</v>
      </c>
      <c r="L49" s="15"/>
      <c r="M49" s="10">
        <f t="shared" si="3"/>
        <v>0</v>
      </c>
      <c r="N49" s="15"/>
      <c r="O49" s="10">
        <f t="shared" si="4"/>
        <v>0</v>
      </c>
      <c r="P49" s="15"/>
      <c r="Q49" s="10">
        <f t="shared" si="5"/>
        <v>0</v>
      </c>
      <c r="R49" s="15"/>
      <c r="S49" s="10">
        <f t="shared" si="6"/>
        <v>0</v>
      </c>
      <c r="T49" s="15"/>
      <c r="U49" s="10">
        <f t="shared" si="7"/>
        <v>0</v>
      </c>
      <c r="V49" s="15"/>
      <c r="W49" s="10">
        <f t="shared" si="8"/>
        <v>0</v>
      </c>
      <c r="X49" s="15"/>
      <c r="Y49" s="10">
        <f t="shared" si="9"/>
        <v>0</v>
      </c>
      <c r="Z49" s="15"/>
      <c r="AA49" s="10">
        <f t="shared" si="10"/>
        <v>0</v>
      </c>
      <c r="AB49" s="15"/>
      <c r="AC49" s="10">
        <f t="shared" si="11"/>
        <v>0</v>
      </c>
      <c r="AD49" s="15"/>
      <c r="AE49" s="10">
        <f t="shared" si="12"/>
        <v>0</v>
      </c>
      <c r="AF49" s="11">
        <f t="shared" si="13"/>
        <v>0</v>
      </c>
      <c r="AG49" s="12">
        <f t="shared" si="14"/>
        <v>0</v>
      </c>
      <c r="AH49" s="15"/>
      <c r="AI49" s="10">
        <f t="shared" si="15"/>
        <v>0</v>
      </c>
      <c r="AJ49" s="15"/>
      <c r="AK49" s="10">
        <f t="shared" si="16"/>
        <v>0</v>
      </c>
      <c r="AL49" s="15"/>
      <c r="AM49" s="10">
        <f t="shared" si="17"/>
        <v>0</v>
      </c>
      <c r="AN49" s="15"/>
      <c r="AO49" s="10">
        <f t="shared" si="18"/>
        <v>0</v>
      </c>
      <c r="AP49" s="15"/>
      <c r="AQ49" s="10">
        <f t="shared" si="19"/>
        <v>0</v>
      </c>
      <c r="AR49" s="15"/>
      <c r="AS49" s="10">
        <f t="shared" si="20"/>
        <v>0</v>
      </c>
      <c r="AT49" s="15"/>
      <c r="AU49" s="10">
        <f t="shared" si="21"/>
        <v>0</v>
      </c>
      <c r="AV49" s="15"/>
      <c r="AW49" s="10">
        <f t="shared" si="22"/>
        <v>0</v>
      </c>
      <c r="AX49" s="15"/>
      <c r="AY49" s="10">
        <f t="shared" si="23"/>
        <v>0</v>
      </c>
      <c r="AZ49" s="15"/>
      <c r="BA49" s="10">
        <f t="shared" si="24"/>
        <v>0</v>
      </c>
      <c r="BB49" s="15"/>
      <c r="BC49" s="10">
        <f t="shared" si="25"/>
        <v>0</v>
      </c>
      <c r="BD49" s="15"/>
      <c r="BE49" s="10">
        <f t="shared" si="26"/>
        <v>0</v>
      </c>
      <c r="BF49" s="11">
        <f t="shared" si="27"/>
        <v>0</v>
      </c>
      <c r="BG49" s="12">
        <f t="shared" si="28"/>
        <v>0</v>
      </c>
      <c r="BH49" s="15"/>
      <c r="BI49" s="10">
        <f t="shared" si="29"/>
        <v>0</v>
      </c>
      <c r="BJ49" s="15"/>
      <c r="BK49" s="10">
        <f t="shared" si="30"/>
        <v>0</v>
      </c>
      <c r="BL49" s="15"/>
      <c r="BM49" s="10">
        <f t="shared" si="31"/>
        <v>0</v>
      </c>
      <c r="BN49" s="15"/>
      <c r="BO49" s="10">
        <f t="shared" si="32"/>
        <v>0</v>
      </c>
      <c r="BP49" s="15"/>
      <c r="BQ49" s="10">
        <f t="shared" si="33"/>
        <v>0</v>
      </c>
      <c r="BR49" s="15"/>
      <c r="BS49" s="10">
        <f t="shared" si="34"/>
        <v>0</v>
      </c>
      <c r="BT49" s="15"/>
      <c r="BU49" s="10">
        <f t="shared" si="35"/>
        <v>0</v>
      </c>
      <c r="BV49" s="15"/>
      <c r="BW49" s="10">
        <f t="shared" si="36"/>
        <v>0</v>
      </c>
      <c r="BX49" s="15"/>
      <c r="BY49" s="10">
        <f t="shared" si="37"/>
        <v>0</v>
      </c>
      <c r="BZ49" s="15"/>
      <c r="CA49" s="10">
        <f t="shared" si="38"/>
        <v>0</v>
      </c>
      <c r="CB49" s="15"/>
      <c r="CC49" s="10">
        <f t="shared" si="39"/>
        <v>0</v>
      </c>
      <c r="CD49" s="15"/>
      <c r="CE49" s="10">
        <f t="shared" si="40"/>
        <v>0</v>
      </c>
      <c r="CF49" s="11">
        <f t="shared" si="41"/>
        <v>0</v>
      </c>
      <c r="CG49" s="12">
        <f t="shared" si="42"/>
        <v>0</v>
      </c>
      <c r="CH49" s="15"/>
      <c r="CI49" s="10">
        <f t="shared" si="43"/>
        <v>0</v>
      </c>
      <c r="CJ49" s="15"/>
      <c r="CK49" s="10">
        <f t="shared" si="44"/>
        <v>0</v>
      </c>
      <c r="CL49" s="15"/>
      <c r="CM49" s="10">
        <f t="shared" si="45"/>
        <v>0</v>
      </c>
      <c r="CN49" s="15"/>
      <c r="CO49" s="10">
        <f t="shared" si="46"/>
        <v>0</v>
      </c>
      <c r="CP49" s="15"/>
      <c r="CQ49" s="10">
        <f t="shared" si="47"/>
        <v>0</v>
      </c>
      <c r="CR49" s="15"/>
      <c r="CS49" s="10">
        <f t="shared" si="48"/>
        <v>0</v>
      </c>
      <c r="CT49" s="15"/>
      <c r="CU49" s="10">
        <f t="shared" si="49"/>
        <v>0</v>
      </c>
      <c r="CV49" s="15"/>
      <c r="CW49" s="10">
        <f t="shared" si="50"/>
        <v>0</v>
      </c>
      <c r="CX49" s="15"/>
      <c r="CY49" s="10">
        <f t="shared" si="51"/>
        <v>0</v>
      </c>
      <c r="CZ49" s="15"/>
      <c r="DA49" s="10">
        <f t="shared" si="52"/>
        <v>0</v>
      </c>
      <c r="DB49" s="15"/>
      <c r="DC49" s="10">
        <f t="shared" si="53"/>
        <v>0</v>
      </c>
      <c r="DD49" s="15"/>
      <c r="DE49" s="10">
        <f t="shared" si="53"/>
        <v>0</v>
      </c>
      <c r="DF49" s="16">
        <f t="shared" si="0"/>
        <v>0</v>
      </c>
      <c r="DG49" s="208">
        <f t="shared" si="54"/>
        <v>0</v>
      </c>
    </row>
    <row r="50" spans="1:111">
      <c r="A50" s="7">
        <v>42</v>
      </c>
      <c r="B50" s="8" t="s">
        <v>50</v>
      </c>
      <c r="C50" s="8" t="s">
        <v>14</v>
      </c>
      <c r="D50" s="7">
        <f>RANK(DF50,$DF$4:$DF$141)</f>
        <v>31</v>
      </c>
      <c r="E50" s="7">
        <v>1</v>
      </c>
      <c r="F50" s="7" t="s">
        <v>20</v>
      </c>
      <c r="G50" s="7"/>
      <c r="H50" s="15"/>
      <c r="I50" s="10">
        <f t="shared" si="1"/>
        <v>0</v>
      </c>
      <c r="J50" s="15"/>
      <c r="K50" s="10">
        <f t="shared" si="2"/>
        <v>0</v>
      </c>
      <c r="L50" s="15"/>
      <c r="M50" s="10">
        <f t="shared" si="3"/>
        <v>0</v>
      </c>
      <c r="N50" s="15"/>
      <c r="O50" s="10">
        <f t="shared" si="4"/>
        <v>0</v>
      </c>
      <c r="P50" s="15"/>
      <c r="Q50" s="10">
        <f t="shared" si="5"/>
        <v>0</v>
      </c>
      <c r="R50" s="15"/>
      <c r="S50" s="10">
        <f t="shared" si="6"/>
        <v>0</v>
      </c>
      <c r="T50" s="15"/>
      <c r="U50" s="10">
        <f t="shared" si="7"/>
        <v>0</v>
      </c>
      <c r="V50" s="15"/>
      <c r="W50" s="10">
        <f t="shared" si="8"/>
        <v>0</v>
      </c>
      <c r="X50" s="15"/>
      <c r="Y50" s="10">
        <f t="shared" si="9"/>
        <v>0</v>
      </c>
      <c r="Z50" s="15"/>
      <c r="AA50" s="10">
        <f t="shared" si="10"/>
        <v>0</v>
      </c>
      <c r="AB50" s="15"/>
      <c r="AC50" s="10">
        <f t="shared" si="11"/>
        <v>0</v>
      </c>
      <c r="AD50" s="15"/>
      <c r="AE50" s="10">
        <f t="shared" si="12"/>
        <v>0</v>
      </c>
      <c r="AF50" s="11">
        <f t="shared" si="13"/>
        <v>0</v>
      </c>
      <c r="AG50" s="12">
        <f t="shared" si="14"/>
        <v>0</v>
      </c>
      <c r="AH50" s="15"/>
      <c r="AI50" s="10">
        <f t="shared" si="15"/>
        <v>0</v>
      </c>
      <c r="AJ50" s="15"/>
      <c r="AK50" s="10">
        <f t="shared" si="16"/>
        <v>0</v>
      </c>
      <c r="AL50" s="15"/>
      <c r="AM50" s="10">
        <f t="shared" si="17"/>
        <v>0</v>
      </c>
      <c r="AN50" s="15"/>
      <c r="AO50" s="10">
        <f t="shared" si="18"/>
        <v>0</v>
      </c>
      <c r="AP50" s="15"/>
      <c r="AQ50" s="10">
        <f t="shared" si="19"/>
        <v>0</v>
      </c>
      <c r="AR50" s="15"/>
      <c r="AS50" s="10">
        <f t="shared" si="20"/>
        <v>0</v>
      </c>
      <c r="AT50" s="15"/>
      <c r="AU50" s="10">
        <f t="shared" si="21"/>
        <v>0</v>
      </c>
      <c r="AV50" s="15"/>
      <c r="AW50" s="10">
        <f t="shared" si="22"/>
        <v>0</v>
      </c>
      <c r="AX50" s="15"/>
      <c r="AY50" s="10">
        <f t="shared" si="23"/>
        <v>0</v>
      </c>
      <c r="AZ50" s="15"/>
      <c r="BA50" s="10">
        <f t="shared" si="24"/>
        <v>0</v>
      </c>
      <c r="BB50" s="15"/>
      <c r="BC50" s="10">
        <f t="shared" si="25"/>
        <v>0</v>
      </c>
      <c r="BD50" s="15"/>
      <c r="BE50" s="10">
        <f t="shared" si="26"/>
        <v>0</v>
      </c>
      <c r="BF50" s="11">
        <f t="shared" si="27"/>
        <v>0</v>
      </c>
      <c r="BG50" s="12">
        <f t="shared" si="28"/>
        <v>0</v>
      </c>
      <c r="BH50" s="15"/>
      <c r="BI50" s="10">
        <f t="shared" si="29"/>
        <v>0</v>
      </c>
      <c r="BJ50" s="15"/>
      <c r="BK50" s="10">
        <f t="shared" si="30"/>
        <v>0</v>
      </c>
      <c r="BL50" s="15"/>
      <c r="BM50" s="10">
        <f t="shared" si="31"/>
        <v>0</v>
      </c>
      <c r="BN50" s="15"/>
      <c r="BO50" s="10">
        <f t="shared" si="32"/>
        <v>0</v>
      </c>
      <c r="BP50" s="15"/>
      <c r="BQ50" s="10">
        <f t="shared" si="33"/>
        <v>0</v>
      </c>
      <c r="BR50" s="15"/>
      <c r="BS50" s="10">
        <f t="shared" si="34"/>
        <v>0</v>
      </c>
      <c r="BT50" s="15"/>
      <c r="BU50" s="10">
        <f t="shared" si="35"/>
        <v>0</v>
      </c>
      <c r="BV50" s="15"/>
      <c r="BW50" s="10">
        <f t="shared" si="36"/>
        <v>0</v>
      </c>
      <c r="BX50" s="15"/>
      <c r="BY50" s="10">
        <f t="shared" si="37"/>
        <v>0</v>
      </c>
      <c r="BZ50" s="15"/>
      <c r="CA50" s="10">
        <f t="shared" si="38"/>
        <v>0</v>
      </c>
      <c r="CB50" s="15"/>
      <c r="CC50" s="10">
        <f t="shared" si="39"/>
        <v>0</v>
      </c>
      <c r="CD50" s="15"/>
      <c r="CE50" s="10">
        <f t="shared" si="40"/>
        <v>0</v>
      </c>
      <c r="CF50" s="11">
        <f t="shared" si="41"/>
        <v>0</v>
      </c>
      <c r="CG50" s="12">
        <f t="shared" si="42"/>
        <v>0</v>
      </c>
      <c r="CH50" s="15"/>
      <c r="CI50" s="10">
        <f t="shared" si="43"/>
        <v>0</v>
      </c>
      <c r="CJ50" s="15"/>
      <c r="CK50" s="10">
        <f t="shared" si="44"/>
        <v>0</v>
      </c>
      <c r="CL50" s="15"/>
      <c r="CM50" s="10">
        <f t="shared" si="45"/>
        <v>0</v>
      </c>
      <c r="CN50" s="15"/>
      <c r="CO50" s="10">
        <f t="shared" si="46"/>
        <v>0</v>
      </c>
      <c r="CP50" s="15"/>
      <c r="CQ50" s="10">
        <f t="shared" si="47"/>
        <v>0</v>
      </c>
      <c r="CR50" s="15"/>
      <c r="CS50" s="10">
        <f t="shared" si="48"/>
        <v>0</v>
      </c>
      <c r="CT50" s="15"/>
      <c r="CU50" s="10">
        <f t="shared" si="49"/>
        <v>0</v>
      </c>
      <c r="CV50" s="15"/>
      <c r="CW50" s="10">
        <f t="shared" si="50"/>
        <v>0</v>
      </c>
      <c r="CX50" s="15"/>
      <c r="CY50" s="10">
        <f t="shared" si="51"/>
        <v>0</v>
      </c>
      <c r="CZ50" s="15"/>
      <c r="DA50" s="10">
        <f t="shared" si="52"/>
        <v>0</v>
      </c>
      <c r="DB50" s="15"/>
      <c r="DC50" s="10">
        <f t="shared" si="53"/>
        <v>0</v>
      </c>
      <c r="DD50" s="15"/>
      <c r="DE50" s="10">
        <f t="shared" si="53"/>
        <v>0</v>
      </c>
      <c r="DF50" s="16">
        <f t="shared" si="0"/>
        <v>0</v>
      </c>
      <c r="DG50" s="208">
        <f t="shared" si="54"/>
        <v>0</v>
      </c>
    </row>
    <row r="51" spans="1:111">
      <c r="A51" s="7">
        <v>43</v>
      </c>
      <c r="B51" s="8" t="s">
        <v>51</v>
      </c>
      <c r="C51" s="8" t="s">
        <v>11</v>
      </c>
      <c r="D51" s="7">
        <f>RANK(DF51,$DF$4:$DF$141)</f>
        <v>31</v>
      </c>
      <c r="E51" s="7">
        <v>0.64</v>
      </c>
      <c r="F51" s="7" t="s">
        <v>22</v>
      </c>
      <c r="G51" s="7"/>
      <c r="H51" s="15"/>
      <c r="I51" s="10">
        <f t="shared" si="1"/>
        <v>0</v>
      </c>
      <c r="J51" s="15"/>
      <c r="K51" s="10">
        <f t="shared" si="2"/>
        <v>0</v>
      </c>
      <c r="L51" s="15"/>
      <c r="M51" s="10">
        <f t="shared" si="3"/>
        <v>0</v>
      </c>
      <c r="N51" s="15"/>
      <c r="O51" s="10">
        <f t="shared" si="4"/>
        <v>0</v>
      </c>
      <c r="P51" s="15"/>
      <c r="Q51" s="10">
        <f t="shared" si="5"/>
        <v>0</v>
      </c>
      <c r="R51" s="15"/>
      <c r="S51" s="10">
        <f t="shared" si="6"/>
        <v>0</v>
      </c>
      <c r="T51" s="15"/>
      <c r="U51" s="10">
        <f t="shared" si="7"/>
        <v>0</v>
      </c>
      <c r="V51" s="15"/>
      <c r="W51" s="10">
        <f t="shared" si="8"/>
        <v>0</v>
      </c>
      <c r="X51" s="15"/>
      <c r="Y51" s="10">
        <f t="shared" si="9"/>
        <v>0</v>
      </c>
      <c r="Z51" s="15"/>
      <c r="AA51" s="10">
        <f t="shared" si="10"/>
        <v>0</v>
      </c>
      <c r="AB51" s="15"/>
      <c r="AC51" s="10">
        <f t="shared" si="11"/>
        <v>0</v>
      </c>
      <c r="AD51" s="15"/>
      <c r="AE51" s="10">
        <f t="shared" si="12"/>
        <v>0</v>
      </c>
      <c r="AF51" s="11">
        <f t="shared" si="13"/>
        <v>0</v>
      </c>
      <c r="AG51" s="12">
        <f t="shared" si="14"/>
        <v>0</v>
      </c>
      <c r="AH51" s="15"/>
      <c r="AI51" s="10">
        <f t="shared" si="15"/>
        <v>0</v>
      </c>
      <c r="AJ51" s="15"/>
      <c r="AK51" s="10">
        <f t="shared" si="16"/>
        <v>0</v>
      </c>
      <c r="AL51" s="15"/>
      <c r="AM51" s="10">
        <f t="shared" si="17"/>
        <v>0</v>
      </c>
      <c r="AN51" s="15"/>
      <c r="AO51" s="10">
        <f t="shared" si="18"/>
        <v>0</v>
      </c>
      <c r="AP51" s="15"/>
      <c r="AQ51" s="10">
        <f t="shared" si="19"/>
        <v>0</v>
      </c>
      <c r="AR51" s="15"/>
      <c r="AS51" s="10">
        <f t="shared" si="20"/>
        <v>0</v>
      </c>
      <c r="AT51" s="15"/>
      <c r="AU51" s="10">
        <f t="shared" si="21"/>
        <v>0</v>
      </c>
      <c r="AV51" s="15"/>
      <c r="AW51" s="10">
        <f t="shared" si="22"/>
        <v>0</v>
      </c>
      <c r="AX51" s="15"/>
      <c r="AY51" s="10">
        <f t="shared" si="23"/>
        <v>0</v>
      </c>
      <c r="AZ51" s="15"/>
      <c r="BA51" s="10">
        <f t="shared" si="24"/>
        <v>0</v>
      </c>
      <c r="BB51" s="15"/>
      <c r="BC51" s="10">
        <f t="shared" si="25"/>
        <v>0</v>
      </c>
      <c r="BD51" s="15"/>
      <c r="BE51" s="10">
        <f t="shared" si="26"/>
        <v>0</v>
      </c>
      <c r="BF51" s="11">
        <f t="shared" si="27"/>
        <v>0</v>
      </c>
      <c r="BG51" s="12">
        <f t="shared" si="28"/>
        <v>0</v>
      </c>
      <c r="BH51" s="15"/>
      <c r="BI51" s="10">
        <f t="shared" si="29"/>
        <v>0</v>
      </c>
      <c r="BJ51" s="15"/>
      <c r="BK51" s="10">
        <f t="shared" si="30"/>
        <v>0</v>
      </c>
      <c r="BL51" s="15"/>
      <c r="BM51" s="10">
        <f t="shared" si="31"/>
        <v>0</v>
      </c>
      <c r="BN51" s="15"/>
      <c r="BO51" s="10">
        <f t="shared" si="32"/>
        <v>0</v>
      </c>
      <c r="BP51" s="15"/>
      <c r="BQ51" s="10">
        <f t="shared" si="33"/>
        <v>0</v>
      </c>
      <c r="BR51" s="15"/>
      <c r="BS51" s="10">
        <f t="shared" si="34"/>
        <v>0</v>
      </c>
      <c r="BT51" s="15"/>
      <c r="BU51" s="10">
        <f t="shared" si="35"/>
        <v>0</v>
      </c>
      <c r="BV51" s="15"/>
      <c r="BW51" s="10">
        <f t="shared" si="36"/>
        <v>0</v>
      </c>
      <c r="BX51" s="15"/>
      <c r="BY51" s="10">
        <f t="shared" si="37"/>
        <v>0</v>
      </c>
      <c r="BZ51" s="15"/>
      <c r="CA51" s="10">
        <f t="shared" si="38"/>
        <v>0</v>
      </c>
      <c r="CB51" s="15"/>
      <c r="CC51" s="10">
        <f t="shared" si="39"/>
        <v>0</v>
      </c>
      <c r="CD51" s="15"/>
      <c r="CE51" s="10">
        <f t="shared" si="40"/>
        <v>0</v>
      </c>
      <c r="CF51" s="11">
        <f t="shared" si="41"/>
        <v>0</v>
      </c>
      <c r="CG51" s="12">
        <f t="shared" si="42"/>
        <v>0</v>
      </c>
      <c r="CH51" s="15"/>
      <c r="CI51" s="10">
        <f t="shared" si="43"/>
        <v>0</v>
      </c>
      <c r="CJ51" s="15"/>
      <c r="CK51" s="10">
        <f t="shared" si="44"/>
        <v>0</v>
      </c>
      <c r="CL51" s="15"/>
      <c r="CM51" s="10">
        <f t="shared" si="45"/>
        <v>0</v>
      </c>
      <c r="CN51" s="15"/>
      <c r="CO51" s="10">
        <f t="shared" si="46"/>
        <v>0</v>
      </c>
      <c r="CP51" s="15"/>
      <c r="CQ51" s="10">
        <f t="shared" si="47"/>
        <v>0</v>
      </c>
      <c r="CR51" s="15"/>
      <c r="CS51" s="10">
        <f t="shared" si="48"/>
        <v>0</v>
      </c>
      <c r="CT51" s="15"/>
      <c r="CU51" s="10">
        <f t="shared" si="49"/>
        <v>0</v>
      </c>
      <c r="CV51" s="15"/>
      <c r="CW51" s="10">
        <f t="shared" si="50"/>
        <v>0</v>
      </c>
      <c r="CX51" s="15"/>
      <c r="CY51" s="10">
        <f t="shared" si="51"/>
        <v>0</v>
      </c>
      <c r="CZ51" s="15"/>
      <c r="DA51" s="10">
        <f t="shared" si="52"/>
        <v>0</v>
      </c>
      <c r="DB51" s="15"/>
      <c r="DC51" s="10">
        <f t="shared" si="53"/>
        <v>0</v>
      </c>
      <c r="DD51" s="15"/>
      <c r="DE51" s="10">
        <f t="shared" si="53"/>
        <v>0</v>
      </c>
      <c r="DF51" s="16">
        <f t="shared" si="0"/>
        <v>0</v>
      </c>
      <c r="DG51" s="208">
        <f t="shared" si="54"/>
        <v>0</v>
      </c>
    </row>
    <row r="52" spans="1:111">
      <c r="A52" s="7">
        <v>44</v>
      </c>
      <c r="B52" s="8" t="s">
        <v>51</v>
      </c>
      <c r="C52" s="8" t="s">
        <v>11</v>
      </c>
      <c r="D52" s="7">
        <f>RANK(DF52,$DF$4:$DF$141)</f>
        <v>31</v>
      </c>
      <c r="E52" s="7">
        <v>0.64</v>
      </c>
      <c r="F52" s="7" t="s">
        <v>20</v>
      </c>
      <c r="G52" s="7"/>
      <c r="H52" s="15"/>
      <c r="I52" s="10">
        <f t="shared" si="1"/>
        <v>0</v>
      </c>
      <c r="J52" s="15"/>
      <c r="K52" s="10">
        <f t="shared" si="2"/>
        <v>0</v>
      </c>
      <c r="L52" s="15"/>
      <c r="M52" s="10">
        <f t="shared" si="3"/>
        <v>0</v>
      </c>
      <c r="N52" s="15"/>
      <c r="O52" s="10">
        <f t="shared" si="4"/>
        <v>0</v>
      </c>
      <c r="P52" s="15"/>
      <c r="Q52" s="10">
        <f t="shared" si="5"/>
        <v>0</v>
      </c>
      <c r="R52" s="15"/>
      <c r="S52" s="10">
        <f t="shared" si="6"/>
        <v>0</v>
      </c>
      <c r="T52" s="15"/>
      <c r="U52" s="10">
        <f t="shared" si="7"/>
        <v>0</v>
      </c>
      <c r="V52" s="15"/>
      <c r="W52" s="10">
        <f t="shared" si="8"/>
        <v>0</v>
      </c>
      <c r="X52" s="15"/>
      <c r="Y52" s="10">
        <f t="shared" si="9"/>
        <v>0</v>
      </c>
      <c r="Z52" s="15"/>
      <c r="AA52" s="10">
        <f t="shared" si="10"/>
        <v>0</v>
      </c>
      <c r="AB52" s="15"/>
      <c r="AC52" s="10">
        <f t="shared" si="11"/>
        <v>0</v>
      </c>
      <c r="AD52" s="15"/>
      <c r="AE52" s="10">
        <f t="shared" si="12"/>
        <v>0</v>
      </c>
      <c r="AF52" s="11">
        <f t="shared" si="13"/>
        <v>0</v>
      </c>
      <c r="AG52" s="12">
        <f t="shared" si="14"/>
        <v>0</v>
      </c>
      <c r="AH52" s="15"/>
      <c r="AI52" s="10">
        <f t="shared" si="15"/>
        <v>0</v>
      </c>
      <c r="AJ52" s="15"/>
      <c r="AK52" s="10">
        <f t="shared" si="16"/>
        <v>0</v>
      </c>
      <c r="AL52" s="15"/>
      <c r="AM52" s="10">
        <f t="shared" si="17"/>
        <v>0</v>
      </c>
      <c r="AN52" s="15"/>
      <c r="AO52" s="10">
        <f t="shared" si="18"/>
        <v>0</v>
      </c>
      <c r="AP52" s="15"/>
      <c r="AQ52" s="10">
        <f t="shared" si="19"/>
        <v>0</v>
      </c>
      <c r="AR52" s="15"/>
      <c r="AS52" s="10">
        <f t="shared" si="20"/>
        <v>0</v>
      </c>
      <c r="AT52" s="15"/>
      <c r="AU52" s="10">
        <f t="shared" si="21"/>
        <v>0</v>
      </c>
      <c r="AV52" s="15"/>
      <c r="AW52" s="10">
        <f t="shared" si="22"/>
        <v>0</v>
      </c>
      <c r="AX52" s="15"/>
      <c r="AY52" s="10">
        <f t="shared" si="23"/>
        <v>0</v>
      </c>
      <c r="AZ52" s="15"/>
      <c r="BA52" s="10">
        <f t="shared" si="24"/>
        <v>0</v>
      </c>
      <c r="BB52" s="15"/>
      <c r="BC52" s="10">
        <f t="shared" si="25"/>
        <v>0</v>
      </c>
      <c r="BD52" s="15"/>
      <c r="BE52" s="10">
        <f t="shared" si="26"/>
        <v>0</v>
      </c>
      <c r="BF52" s="11">
        <f t="shared" si="27"/>
        <v>0</v>
      </c>
      <c r="BG52" s="12">
        <f t="shared" si="28"/>
        <v>0</v>
      </c>
      <c r="BH52" s="15"/>
      <c r="BI52" s="10">
        <f t="shared" si="29"/>
        <v>0</v>
      </c>
      <c r="BJ52" s="15"/>
      <c r="BK52" s="10">
        <f t="shared" si="30"/>
        <v>0</v>
      </c>
      <c r="BL52" s="15"/>
      <c r="BM52" s="10">
        <f t="shared" si="31"/>
        <v>0</v>
      </c>
      <c r="BN52" s="15"/>
      <c r="BO52" s="10">
        <f t="shared" si="32"/>
        <v>0</v>
      </c>
      <c r="BP52" s="15"/>
      <c r="BQ52" s="10">
        <f t="shared" si="33"/>
        <v>0</v>
      </c>
      <c r="BR52" s="15"/>
      <c r="BS52" s="10">
        <f t="shared" si="34"/>
        <v>0</v>
      </c>
      <c r="BT52" s="15"/>
      <c r="BU52" s="10">
        <f t="shared" si="35"/>
        <v>0</v>
      </c>
      <c r="BV52" s="15"/>
      <c r="BW52" s="10">
        <f t="shared" si="36"/>
        <v>0</v>
      </c>
      <c r="BX52" s="15"/>
      <c r="BY52" s="10">
        <f t="shared" si="37"/>
        <v>0</v>
      </c>
      <c r="BZ52" s="15"/>
      <c r="CA52" s="10">
        <f t="shared" si="38"/>
        <v>0</v>
      </c>
      <c r="CB52" s="15"/>
      <c r="CC52" s="10">
        <f t="shared" si="39"/>
        <v>0</v>
      </c>
      <c r="CD52" s="15"/>
      <c r="CE52" s="10">
        <f t="shared" si="40"/>
        <v>0</v>
      </c>
      <c r="CF52" s="11">
        <f t="shared" si="41"/>
        <v>0</v>
      </c>
      <c r="CG52" s="12">
        <f t="shared" si="42"/>
        <v>0</v>
      </c>
      <c r="CH52" s="15"/>
      <c r="CI52" s="10">
        <f t="shared" si="43"/>
        <v>0</v>
      </c>
      <c r="CJ52" s="15"/>
      <c r="CK52" s="10">
        <f t="shared" si="44"/>
        <v>0</v>
      </c>
      <c r="CL52" s="15"/>
      <c r="CM52" s="10">
        <f t="shared" si="45"/>
        <v>0</v>
      </c>
      <c r="CN52" s="15"/>
      <c r="CO52" s="10">
        <f t="shared" si="46"/>
        <v>0</v>
      </c>
      <c r="CP52" s="15"/>
      <c r="CQ52" s="10">
        <f t="shared" si="47"/>
        <v>0</v>
      </c>
      <c r="CR52" s="15"/>
      <c r="CS52" s="10">
        <f t="shared" si="48"/>
        <v>0</v>
      </c>
      <c r="CT52" s="15"/>
      <c r="CU52" s="10">
        <f t="shared" si="49"/>
        <v>0</v>
      </c>
      <c r="CV52" s="15"/>
      <c r="CW52" s="10">
        <f t="shared" si="50"/>
        <v>0</v>
      </c>
      <c r="CX52" s="15"/>
      <c r="CY52" s="10">
        <f t="shared" si="51"/>
        <v>0</v>
      </c>
      <c r="CZ52" s="15"/>
      <c r="DA52" s="10">
        <f t="shared" si="52"/>
        <v>0</v>
      </c>
      <c r="DB52" s="15"/>
      <c r="DC52" s="10">
        <f t="shared" si="53"/>
        <v>0</v>
      </c>
      <c r="DD52" s="15"/>
      <c r="DE52" s="10">
        <f t="shared" si="53"/>
        <v>0</v>
      </c>
      <c r="DF52" s="16">
        <f t="shared" si="0"/>
        <v>0</v>
      </c>
      <c r="DG52" s="208">
        <f t="shared" si="54"/>
        <v>0</v>
      </c>
    </row>
    <row r="53" spans="1:111">
      <c r="A53" s="7"/>
      <c r="B53" s="8"/>
      <c r="C53" s="8"/>
      <c r="D53" s="7"/>
      <c r="E53" s="7"/>
      <c r="F53" s="7"/>
      <c r="G53" s="7"/>
      <c r="H53" s="15"/>
      <c r="I53" s="10">
        <f t="shared" si="1"/>
        <v>0</v>
      </c>
      <c r="J53" s="15"/>
      <c r="K53" s="10">
        <f t="shared" si="2"/>
        <v>0</v>
      </c>
      <c r="L53" s="15"/>
      <c r="M53" s="10">
        <f t="shared" si="3"/>
        <v>0</v>
      </c>
      <c r="N53" s="15"/>
      <c r="O53" s="10">
        <f t="shared" si="4"/>
        <v>0</v>
      </c>
      <c r="P53" s="15"/>
      <c r="Q53" s="10">
        <f t="shared" si="5"/>
        <v>0</v>
      </c>
      <c r="R53" s="15"/>
      <c r="S53" s="10">
        <f t="shared" si="6"/>
        <v>0</v>
      </c>
      <c r="T53" s="15"/>
      <c r="U53" s="10">
        <f t="shared" si="7"/>
        <v>0</v>
      </c>
      <c r="V53" s="15"/>
      <c r="W53" s="10">
        <f t="shared" si="8"/>
        <v>0</v>
      </c>
      <c r="X53" s="15"/>
      <c r="Y53" s="10">
        <f t="shared" si="9"/>
        <v>0</v>
      </c>
      <c r="Z53" s="15"/>
      <c r="AA53" s="10">
        <f t="shared" si="10"/>
        <v>0</v>
      </c>
      <c r="AB53" s="15"/>
      <c r="AC53" s="10">
        <f t="shared" si="11"/>
        <v>0</v>
      </c>
      <c r="AD53" s="15"/>
      <c r="AE53" s="10">
        <f t="shared" si="12"/>
        <v>0</v>
      </c>
      <c r="AF53" s="11">
        <f t="shared" si="13"/>
        <v>0</v>
      </c>
      <c r="AG53" s="12">
        <f t="shared" si="14"/>
        <v>0</v>
      </c>
      <c r="AH53" s="15"/>
      <c r="AI53" s="10">
        <f t="shared" si="15"/>
        <v>0</v>
      </c>
      <c r="AJ53" s="15"/>
      <c r="AK53" s="10">
        <f t="shared" si="16"/>
        <v>0</v>
      </c>
      <c r="AL53" s="15"/>
      <c r="AM53" s="10">
        <f t="shared" si="17"/>
        <v>0</v>
      </c>
      <c r="AN53" s="15"/>
      <c r="AO53" s="10">
        <f t="shared" si="18"/>
        <v>0</v>
      </c>
      <c r="AP53" s="15"/>
      <c r="AQ53" s="10">
        <f t="shared" si="19"/>
        <v>0</v>
      </c>
      <c r="AR53" s="15"/>
      <c r="AS53" s="10">
        <f t="shared" si="20"/>
        <v>0</v>
      </c>
      <c r="AT53" s="15"/>
      <c r="AU53" s="10">
        <f t="shared" si="21"/>
        <v>0</v>
      </c>
      <c r="AV53" s="15"/>
      <c r="AW53" s="10">
        <f t="shared" si="22"/>
        <v>0</v>
      </c>
      <c r="AX53" s="15"/>
      <c r="AY53" s="10">
        <f t="shared" si="23"/>
        <v>0</v>
      </c>
      <c r="AZ53" s="15"/>
      <c r="BA53" s="10">
        <f t="shared" si="24"/>
        <v>0</v>
      </c>
      <c r="BB53" s="15"/>
      <c r="BC53" s="10">
        <f t="shared" si="25"/>
        <v>0</v>
      </c>
      <c r="BD53" s="15"/>
      <c r="BE53" s="10">
        <f t="shared" si="26"/>
        <v>0</v>
      </c>
      <c r="BF53" s="11">
        <f t="shared" si="27"/>
        <v>0</v>
      </c>
      <c r="BG53" s="12">
        <f t="shared" si="28"/>
        <v>0</v>
      </c>
      <c r="BH53" s="15"/>
      <c r="BI53" s="10">
        <f t="shared" si="29"/>
        <v>0</v>
      </c>
      <c r="BJ53" s="15"/>
      <c r="BK53" s="10">
        <f t="shared" si="30"/>
        <v>0</v>
      </c>
      <c r="BL53" s="15"/>
      <c r="BM53" s="10">
        <f t="shared" si="31"/>
        <v>0</v>
      </c>
      <c r="BN53" s="15"/>
      <c r="BO53" s="10">
        <f t="shared" si="32"/>
        <v>0</v>
      </c>
      <c r="BP53" s="15"/>
      <c r="BQ53" s="10">
        <f t="shared" si="33"/>
        <v>0</v>
      </c>
      <c r="BR53" s="15"/>
      <c r="BS53" s="10">
        <f t="shared" si="34"/>
        <v>0</v>
      </c>
      <c r="BT53" s="15"/>
      <c r="BU53" s="10">
        <f t="shared" si="35"/>
        <v>0</v>
      </c>
      <c r="BV53" s="15"/>
      <c r="BW53" s="10">
        <f t="shared" si="36"/>
        <v>0</v>
      </c>
      <c r="BX53" s="15"/>
      <c r="BY53" s="10">
        <f t="shared" si="37"/>
        <v>0</v>
      </c>
      <c r="BZ53" s="15"/>
      <c r="CA53" s="10">
        <f t="shared" si="38"/>
        <v>0</v>
      </c>
      <c r="CB53" s="15"/>
      <c r="CC53" s="10">
        <f t="shared" si="39"/>
        <v>0</v>
      </c>
      <c r="CD53" s="15"/>
      <c r="CE53" s="10">
        <f t="shared" si="40"/>
        <v>0</v>
      </c>
      <c r="CF53" s="11">
        <f t="shared" si="41"/>
        <v>0</v>
      </c>
      <c r="CG53" s="12">
        <f t="shared" si="42"/>
        <v>0</v>
      </c>
      <c r="CH53" s="15"/>
      <c r="CI53" s="10">
        <f t="shared" si="43"/>
        <v>0</v>
      </c>
      <c r="CJ53" s="15"/>
      <c r="CK53" s="10">
        <f t="shared" si="44"/>
        <v>0</v>
      </c>
      <c r="CL53" s="15"/>
      <c r="CM53" s="10">
        <f t="shared" si="45"/>
        <v>0</v>
      </c>
      <c r="CN53" s="15"/>
      <c r="CO53" s="10">
        <f t="shared" si="46"/>
        <v>0</v>
      </c>
      <c r="CP53" s="15"/>
      <c r="CQ53" s="10">
        <f t="shared" si="47"/>
        <v>0</v>
      </c>
      <c r="CR53" s="15"/>
      <c r="CS53" s="10">
        <f t="shared" si="48"/>
        <v>0</v>
      </c>
      <c r="CT53" s="15"/>
      <c r="CU53" s="10">
        <f t="shared" si="49"/>
        <v>0</v>
      </c>
      <c r="CV53" s="15"/>
      <c r="CW53" s="10">
        <f t="shared" si="50"/>
        <v>0</v>
      </c>
      <c r="CX53" s="15"/>
      <c r="CY53" s="10">
        <f t="shared" si="51"/>
        <v>0</v>
      </c>
      <c r="CZ53" s="15"/>
      <c r="DA53" s="10">
        <f t="shared" si="52"/>
        <v>0</v>
      </c>
      <c r="DB53" s="15"/>
      <c r="DC53" s="10">
        <f t="shared" si="53"/>
        <v>0</v>
      </c>
      <c r="DD53" s="15"/>
      <c r="DE53" s="10">
        <f t="shared" si="53"/>
        <v>0</v>
      </c>
      <c r="DF53" s="16">
        <f t="shared" si="0"/>
        <v>0</v>
      </c>
      <c r="DG53" s="208">
        <f t="shared" si="54"/>
        <v>0</v>
      </c>
    </row>
    <row r="54" spans="1:111">
      <c r="A54" s="7"/>
      <c r="B54" s="8"/>
      <c r="C54" s="8"/>
      <c r="D54" s="7"/>
      <c r="E54" s="7"/>
      <c r="F54" s="7"/>
      <c r="G54" s="7"/>
      <c r="H54" s="15"/>
      <c r="I54" s="10">
        <f t="shared" si="1"/>
        <v>0</v>
      </c>
      <c r="J54" s="15"/>
      <c r="K54" s="10">
        <f t="shared" si="2"/>
        <v>0</v>
      </c>
      <c r="L54" s="15"/>
      <c r="M54" s="10">
        <f t="shared" si="3"/>
        <v>0</v>
      </c>
      <c r="N54" s="15"/>
      <c r="O54" s="10">
        <f t="shared" si="4"/>
        <v>0</v>
      </c>
      <c r="P54" s="15"/>
      <c r="Q54" s="10">
        <f t="shared" si="5"/>
        <v>0</v>
      </c>
      <c r="R54" s="15"/>
      <c r="S54" s="10">
        <f t="shared" si="6"/>
        <v>0</v>
      </c>
      <c r="T54" s="15"/>
      <c r="U54" s="10">
        <f t="shared" si="7"/>
        <v>0</v>
      </c>
      <c r="V54" s="15"/>
      <c r="W54" s="10">
        <f t="shared" si="8"/>
        <v>0</v>
      </c>
      <c r="X54" s="15"/>
      <c r="Y54" s="10">
        <f t="shared" si="9"/>
        <v>0</v>
      </c>
      <c r="Z54" s="15"/>
      <c r="AA54" s="10">
        <f t="shared" si="10"/>
        <v>0</v>
      </c>
      <c r="AB54" s="15"/>
      <c r="AC54" s="10">
        <f t="shared" si="11"/>
        <v>0</v>
      </c>
      <c r="AD54" s="15"/>
      <c r="AE54" s="10">
        <f t="shared" si="12"/>
        <v>0</v>
      </c>
      <c r="AF54" s="11">
        <f t="shared" si="13"/>
        <v>0</v>
      </c>
      <c r="AG54" s="12">
        <f t="shared" si="14"/>
        <v>0</v>
      </c>
      <c r="AH54" s="15"/>
      <c r="AI54" s="10">
        <f t="shared" si="15"/>
        <v>0</v>
      </c>
      <c r="AJ54" s="15"/>
      <c r="AK54" s="10">
        <f t="shared" si="16"/>
        <v>0</v>
      </c>
      <c r="AL54" s="15"/>
      <c r="AM54" s="10">
        <f t="shared" si="17"/>
        <v>0</v>
      </c>
      <c r="AN54" s="15"/>
      <c r="AO54" s="10">
        <f t="shared" si="18"/>
        <v>0</v>
      </c>
      <c r="AP54" s="15"/>
      <c r="AQ54" s="10">
        <f t="shared" si="19"/>
        <v>0</v>
      </c>
      <c r="AR54" s="15"/>
      <c r="AS54" s="10">
        <f t="shared" si="20"/>
        <v>0</v>
      </c>
      <c r="AT54" s="15"/>
      <c r="AU54" s="10">
        <f t="shared" si="21"/>
        <v>0</v>
      </c>
      <c r="AV54" s="15"/>
      <c r="AW54" s="10">
        <f t="shared" si="22"/>
        <v>0</v>
      </c>
      <c r="AX54" s="15"/>
      <c r="AY54" s="10">
        <f t="shared" si="23"/>
        <v>0</v>
      </c>
      <c r="AZ54" s="15"/>
      <c r="BA54" s="10">
        <f t="shared" si="24"/>
        <v>0</v>
      </c>
      <c r="BB54" s="15"/>
      <c r="BC54" s="10">
        <f t="shared" si="25"/>
        <v>0</v>
      </c>
      <c r="BD54" s="15"/>
      <c r="BE54" s="10">
        <f t="shared" si="26"/>
        <v>0</v>
      </c>
      <c r="BF54" s="11">
        <f t="shared" si="27"/>
        <v>0</v>
      </c>
      <c r="BG54" s="12">
        <f t="shared" si="28"/>
        <v>0</v>
      </c>
      <c r="BH54" s="15"/>
      <c r="BI54" s="10">
        <f t="shared" si="29"/>
        <v>0</v>
      </c>
      <c r="BJ54" s="15"/>
      <c r="BK54" s="10">
        <f t="shared" si="30"/>
        <v>0</v>
      </c>
      <c r="BL54" s="15"/>
      <c r="BM54" s="10">
        <f t="shared" si="31"/>
        <v>0</v>
      </c>
      <c r="BN54" s="15"/>
      <c r="BO54" s="10">
        <f t="shared" si="32"/>
        <v>0</v>
      </c>
      <c r="BP54" s="15"/>
      <c r="BQ54" s="10">
        <f t="shared" si="33"/>
        <v>0</v>
      </c>
      <c r="BR54" s="15"/>
      <c r="BS54" s="10">
        <f t="shared" si="34"/>
        <v>0</v>
      </c>
      <c r="BT54" s="15"/>
      <c r="BU54" s="10">
        <f t="shared" si="35"/>
        <v>0</v>
      </c>
      <c r="BV54" s="15"/>
      <c r="BW54" s="10">
        <f t="shared" si="36"/>
        <v>0</v>
      </c>
      <c r="BX54" s="15"/>
      <c r="BY54" s="10">
        <f t="shared" si="37"/>
        <v>0</v>
      </c>
      <c r="BZ54" s="15"/>
      <c r="CA54" s="10">
        <f t="shared" si="38"/>
        <v>0</v>
      </c>
      <c r="CB54" s="15"/>
      <c r="CC54" s="10">
        <f t="shared" si="39"/>
        <v>0</v>
      </c>
      <c r="CD54" s="15"/>
      <c r="CE54" s="10">
        <f t="shared" si="40"/>
        <v>0</v>
      </c>
      <c r="CF54" s="11">
        <f t="shared" si="41"/>
        <v>0</v>
      </c>
      <c r="CG54" s="12">
        <f t="shared" si="42"/>
        <v>0</v>
      </c>
      <c r="CH54" s="15"/>
      <c r="CI54" s="10">
        <f t="shared" si="43"/>
        <v>0</v>
      </c>
      <c r="CJ54" s="15"/>
      <c r="CK54" s="10">
        <f t="shared" si="44"/>
        <v>0</v>
      </c>
      <c r="CL54" s="15"/>
      <c r="CM54" s="10">
        <f t="shared" si="45"/>
        <v>0</v>
      </c>
      <c r="CN54" s="15"/>
      <c r="CO54" s="10">
        <f t="shared" si="46"/>
        <v>0</v>
      </c>
      <c r="CP54" s="15"/>
      <c r="CQ54" s="10">
        <f t="shared" si="47"/>
        <v>0</v>
      </c>
      <c r="CR54" s="15"/>
      <c r="CS54" s="10">
        <f t="shared" si="48"/>
        <v>0</v>
      </c>
      <c r="CT54" s="15"/>
      <c r="CU54" s="10">
        <f t="shared" si="49"/>
        <v>0</v>
      </c>
      <c r="CV54" s="15"/>
      <c r="CW54" s="10">
        <f t="shared" si="50"/>
        <v>0</v>
      </c>
      <c r="CX54" s="15"/>
      <c r="CY54" s="10">
        <f t="shared" si="51"/>
        <v>0</v>
      </c>
      <c r="CZ54" s="15"/>
      <c r="DA54" s="10">
        <f t="shared" si="52"/>
        <v>0</v>
      </c>
      <c r="DB54" s="15"/>
      <c r="DC54" s="10">
        <f t="shared" si="53"/>
        <v>0</v>
      </c>
      <c r="DD54" s="15"/>
      <c r="DE54" s="10">
        <f t="shared" si="53"/>
        <v>0</v>
      </c>
      <c r="DF54" s="16">
        <f t="shared" si="0"/>
        <v>0</v>
      </c>
      <c r="DG54" s="208">
        <f t="shared" si="54"/>
        <v>0</v>
      </c>
    </row>
    <row r="55" spans="1:111">
      <c r="A55" s="7">
        <v>45</v>
      </c>
      <c r="B55" s="8" t="s">
        <v>52</v>
      </c>
      <c r="C55" s="8" t="s">
        <v>14</v>
      </c>
      <c r="D55" s="7">
        <f>RANK(DF55,$DF$4:$DF$141)</f>
        <v>31</v>
      </c>
      <c r="E55" s="7">
        <v>1</v>
      </c>
      <c r="F55" s="7" t="s">
        <v>12</v>
      </c>
      <c r="G55" s="7"/>
      <c r="H55" s="15"/>
      <c r="I55" s="10">
        <f t="shared" si="1"/>
        <v>0</v>
      </c>
      <c r="J55" s="15"/>
      <c r="K55" s="10">
        <f t="shared" si="2"/>
        <v>0</v>
      </c>
      <c r="L55" s="15"/>
      <c r="M55" s="10">
        <f t="shared" si="3"/>
        <v>0</v>
      </c>
      <c r="N55" s="15"/>
      <c r="O55" s="10">
        <f t="shared" si="4"/>
        <v>0</v>
      </c>
      <c r="P55" s="15"/>
      <c r="Q55" s="10">
        <f t="shared" si="5"/>
        <v>0</v>
      </c>
      <c r="R55" s="15"/>
      <c r="S55" s="10">
        <f t="shared" si="6"/>
        <v>0</v>
      </c>
      <c r="T55" s="15"/>
      <c r="U55" s="10">
        <f t="shared" si="7"/>
        <v>0</v>
      </c>
      <c r="V55" s="15"/>
      <c r="W55" s="10">
        <f t="shared" si="8"/>
        <v>0</v>
      </c>
      <c r="X55" s="15"/>
      <c r="Y55" s="10">
        <f t="shared" si="9"/>
        <v>0</v>
      </c>
      <c r="Z55" s="15"/>
      <c r="AA55" s="10">
        <f t="shared" si="10"/>
        <v>0</v>
      </c>
      <c r="AB55" s="15"/>
      <c r="AC55" s="10">
        <f t="shared" si="11"/>
        <v>0</v>
      </c>
      <c r="AD55" s="15"/>
      <c r="AE55" s="10">
        <f t="shared" si="12"/>
        <v>0</v>
      </c>
      <c r="AF55" s="11">
        <f t="shared" si="13"/>
        <v>0</v>
      </c>
      <c r="AG55" s="12">
        <f t="shared" si="14"/>
        <v>0</v>
      </c>
      <c r="AH55" s="15"/>
      <c r="AI55" s="10">
        <f t="shared" si="15"/>
        <v>0</v>
      </c>
      <c r="AJ55" s="15"/>
      <c r="AK55" s="10">
        <f t="shared" si="16"/>
        <v>0</v>
      </c>
      <c r="AL55" s="15"/>
      <c r="AM55" s="10">
        <f t="shared" si="17"/>
        <v>0</v>
      </c>
      <c r="AN55" s="15"/>
      <c r="AO55" s="10">
        <f t="shared" si="18"/>
        <v>0</v>
      </c>
      <c r="AP55" s="15"/>
      <c r="AQ55" s="10">
        <f t="shared" si="19"/>
        <v>0</v>
      </c>
      <c r="AR55" s="15"/>
      <c r="AS55" s="10">
        <f t="shared" si="20"/>
        <v>0</v>
      </c>
      <c r="AT55" s="15"/>
      <c r="AU55" s="10">
        <f t="shared" si="21"/>
        <v>0</v>
      </c>
      <c r="AV55" s="15"/>
      <c r="AW55" s="10">
        <f t="shared" si="22"/>
        <v>0</v>
      </c>
      <c r="AX55" s="15"/>
      <c r="AY55" s="10">
        <f t="shared" si="23"/>
        <v>0</v>
      </c>
      <c r="AZ55" s="15"/>
      <c r="BA55" s="10">
        <f t="shared" si="24"/>
        <v>0</v>
      </c>
      <c r="BB55" s="15"/>
      <c r="BC55" s="10">
        <f t="shared" si="25"/>
        <v>0</v>
      </c>
      <c r="BD55" s="15"/>
      <c r="BE55" s="10">
        <f t="shared" si="26"/>
        <v>0</v>
      </c>
      <c r="BF55" s="11">
        <f t="shared" si="27"/>
        <v>0</v>
      </c>
      <c r="BG55" s="12">
        <f t="shared" si="28"/>
        <v>0</v>
      </c>
      <c r="BH55" s="15"/>
      <c r="BI55" s="10">
        <f t="shared" si="29"/>
        <v>0</v>
      </c>
      <c r="BJ55" s="15"/>
      <c r="BK55" s="10">
        <f t="shared" si="30"/>
        <v>0</v>
      </c>
      <c r="BL55" s="15"/>
      <c r="BM55" s="10">
        <f t="shared" si="31"/>
        <v>0</v>
      </c>
      <c r="BN55" s="15"/>
      <c r="BO55" s="10">
        <f t="shared" si="32"/>
        <v>0</v>
      </c>
      <c r="BP55" s="15"/>
      <c r="BQ55" s="10">
        <f t="shared" si="33"/>
        <v>0</v>
      </c>
      <c r="BR55" s="15"/>
      <c r="BS55" s="10">
        <f t="shared" si="34"/>
        <v>0</v>
      </c>
      <c r="BT55" s="15"/>
      <c r="BU55" s="10">
        <f t="shared" si="35"/>
        <v>0</v>
      </c>
      <c r="BV55" s="15"/>
      <c r="BW55" s="10">
        <f t="shared" si="36"/>
        <v>0</v>
      </c>
      <c r="BX55" s="15"/>
      <c r="BY55" s="10">
        <f t="shared" si="37"/>
        <v>0</v>
      </c>
      <c r="BZ55" s="15"/>
      <c r="CA55" s="10">
        <f t="shared" si="38"/>
        <v>0</v>
      </c>
      <c r="CB55" s="15"/>
      <c r="CC55" s="10">
        <f t="shared" si="39"/>
        <v>0</v>
      </c>
      <c r="CD55" s="15"/>
      <c r="CE55" s="10">
        <f t="shared" si="40"/>
        <v>0</v>
      </c>
      <c r="CF55" s="11">
        <f t="shared" si="41"/>
        <v>0</v>
      </c>
      <c r="CG55" s="12">
        <f t="shared" si="42"/>
        <v>0</v>
      </c>
      <c r="CH55" s="15"/>
      <c r="CI55" s="10">
        <f t="shared" si="43"/>
        <v>0</v>
      </c>
      <c r="CJ55" s="15"/>
      <c r="CK55" s="10">
        <f t="shared" si="44"/>
        <v>0</v>
      </c>
      <c r="CL55" s="15"/>
      <c r="CM55" s="10">
        <f t="shared" si="45"/>
        <v>0</v>
      </c>
      <c r="CN55" s="15"/>
      <c r="CO55" s="10">
        <f t="shared" si="46"/>
        <v>0</v>
      </c>
      <c r="CP55" s="15"/>
      <c r="CQ55" s="10">
        <f t="shared" si="47"/>
        <v>0</v>
      </c>
      <c r="CR55" s="15"/>
      <c r="CS55" s="10">
        <f t="shared" si="48"/>
        <v>0</v>
      </c>
      <c r="CT55" s="15"/>
      <c r="CU55" s="10">
        <f t="shared" si="49"/>
        <v>0</v>
      </c>
      <c r="CV55" s="15"/>
      <c r="CW55" s="10">
        <f t="shared" si="50"/>
        <v>0</v>
      </c>
      <c r="CX55" s="15"/>
      <c r="CY55" s="10">
        <f t="shared" si="51"/>
        <v>0</v>
      </c>
      <c r="CZ55" s="15"/>
      <c r="DA55" s="10">
        <f t="shared" si="52"/>
        <v>0</v>
      </c>
      <c r="DB55" s="15"/>
      <c r="DC55" s="10">
        <f t="shared" si="53"/>
        <v>0</v>
      </c>
      <c r="DD55" s="15"/>
      <c r="DE55" s="10">
        <f t="shared" si="53"/>
        <v>0</v>
      </c>
      <c r="DF55" s="16">
        <f t="shared" si="0"/>
        <v>0</v>
      </c>
      <c r="DG55" s="208">
        <f t="shared" si="54"/>
        <v>0</v>
      </c>
    </row>
    <row r="56" spans="1:111">
      <c r="A56" s="7">
        <v>46</v>
      </c>
      <c r="B56" s="8" t="s">
        <v>53</v>
      </c>
      <c r="C56" s="8" t="s">
        <v>14</v>
      </c>
      <c r="D56" s="7">
        <f>RANK(DF56,$DF$4:$DF$141)</f>
        <v>31</v>
      </c>
      <c r="E56" s="7">
        <v>0.6</v>
      </c>
      <c r="F56" s="7" t="s">
        <v>12</v>
      </c>
      <c r="G56" s="7"/>
      <c r="H56" s="15"/>
      <c r="I56" s="10">
        <f t="shared" si="1"/>
        <v>0</v>
      </c>
      <c r="J56" s="15"/>
      <c r="K56" s="10">
        <f t="shared" si="2"/>
        <v>0</v>
      </c>
      <c r="L56" s="15"/>
      <c r="M56" s="10">
        <f t="shared" si="3"/>
        <v>0</v>
      </c>
      <c r="N56" s="15"/>
      <c r="O56" s="10">
        <f t="shared" si="4"/>
        <v>0</v>
      </c>
      <c r="P56" s="15"/>
      <c r="Q56" s="10">
        <f t="shared" si="5"/>
        <v>0</v>
      </c>
      <c r="R56" s="15"/>
      <c r="S56" s="10">
        <f t="shared" si="6"/>
        <v>0</v>
      </c>
      <c r="T56" s="15"/>
      <c r="U56" s="10">
        <f t="shared" si="7"/>
        <v>0</v>
      </c>
      <c r="V56" s="15"/>
      <c r="W56" s="10">
        <f t="shared" si="8"/>
        <v>0</v>
      </c>
      <c r="X56" s="15"/>
      <c r="Y56" s="10">
        <f t="shared" si="9"/>
        <v>0</v>
      </c>
      <c r="Z56" s="15"/>
      <c r="AA56" s="10">
        <f t="shared" si="10"/>
        <v>0</v>
      </c>
      <c r="AB56" s="15"/>
      <c r="AC56" s="10">
        <f t="shared" si="11"/>
        <v>0</v>
      </c>
      <c r="AD56" s="15"/>
      <c r="AE56" s="10">
        <f t="shared" si="12"/>
        <v>0</v>
      </c>
      <c r="AF56" s="11">
        <f t="shared" si="13"/>
        <v>0</v>
      </c>
      <c r="AG56" s="12">
        <f t="shared" si="14"/>
        <v>0</v>
      </c>
      <c r="AH56" s="15"/>
      <c r="AI56" s="10">
        <f t="shared" si="15"/>
        <v>0</v>
      </c>
      <c r="AJ56" s="15"/>
      <c r="AK56" s="10">
        <f t="shared" si="16"/>
        <v>0</v>
      </c>
      <c r="AL56" s="15"/>
      <c r="AM56" s="10">
        <f t="shared" si="17"/>
        <v>0</v>
      </c>
      <c r="AN56" s="15"/>
      <c r="AO56" s="10">
        <f t="shared" si="18"/>
        <v>0</v>
      </c>
      <c r="AP56" s="15"/>
      <c r="AQ56" s="10">
        <f t="shared" si="19"/>
        <v>0</v>
      </c>
      <c r="AR56" s="15"/>
      <c r="AS56" s="10">
        <f t="shared" si="20"/>
        <v>0</v>
      </c>
      <c r="AT56" s="15"/>
      <c r="AU56" s="10">
        <f t="shared" si="21"/>
        <v>0</v>
      </c>
      <c r="AV56" s="15"/>
      <c r="AW56" s="10">
        <f t="shared" si="22"/>
        <v>0</v>
      </c>
      <c r="AX56" s="15"/>
      <c r="AY56" s="10">
        <f t="shared" si="23"/>
        <v>0</v>
      </c>
      <c r="AZ56" s="15"/>
      <c r="BA56" s="10">
        <f t="shared" si="24"/>
        <v>0</v>
      </c>
      <c r="BB56" s="15"/>
      <c r="BC56" s="10">
        <f t="shared" si="25"/>
        <v>0</v>
      </c>
      <c r="BD56" s="15"/>
      <c r="BE56" s="10">
        <f t="shared" si="26"/>
        <v>0</v>
      </c>
      <c r="BF56" s="11">
        <f t="shared" si="27"/>
        <v>0</v>
      </c>
      <c r="BG56" s="12">
        <f t="shared" si="28"/>
        <v>0</v>
      </c>
      <c r="BH56" s="15"/>
      <c r="BI56" s="10">
        <f t="shared" si="29"/>
        <v>0</v>
      </c>
      <c r="BJ56" s="15"/>
      <c r="BK56" s="10">
        <f t="shared" si="30"/>
        <v>0</v>
      </c>
      <c r="BL56" s="15"/>
      <c r="BM56" s="10">
        <f t="shared" si="31"/>
        <v>0</v>
      </c>
      <c r="BN56" s="15"/>
      <c r="BO56" s="10">
        <f t="shared" si="32"/>
        <v>0</v>
      </c>
      <c r="BP56" s="15"/>
      <c r="BQ56" s="10">
        <f t="shared" si="33"/>
        <v>0</v>
      </c>
      <c r="BR56" s="15"/>
      <c r="BS56" s="10">
        <f t="shared" si="34"/>
        <v>0</v>
      </c>
      <c r="BT56" s="15"/>
      <c r="BU56" s="10">
        <f t="shared" si="35"/>
        <v>0</v>
      </c>
      <c r="BV56" s="15"/>
      <c r="BW56" s="10">
        <f t="shared" si="36"/>
        <v>0</v>
      </c>
      <c r="BX56" s="15"/>
      <c r="BY56" s="10">
        <f t="shared" si="37"/>
        <v>0</v>
      </c>
      <c r="BZ56" s="15"/>
      <c r="CA56" s="10">
        <f t="shared" si="38"/>
        <v>0</v>
      </c>
      <c r="CB56" s="15"/>
      <c r="CC56" s="10">
        <f t="shared" si="39"/>
        <v>0</v>
      </c>
      <c r="CD56" s="15"/>
      <c r="CE56" s="10">
        <f t="shared" si="40"/>
        <v>0</v>
      </c>
      <c r="CF56" s="11">
        <f t="shared" si="41"/>
        <v>0</v>
      </c>
      <c r="CG56" s="12">
        <f t="shared" si="42"/>
        <v>0</v>
      </c>
      <c r="CH56" s="15"/>
      <c r="CI56" s="10">
        <f t="shared" si="43"/>
        <v>0</v>
      </c>
      <c r="CJ56" s="15"/>
      <c r="CK56" s="10">
        <f t="shared" si="44"/>
        <v>0</v>
      </c>
      <c r="CL56" s="15"/>
      <c r="CM56" s="10">
        <f t="shared" si="45"/>
        <v>0</v>
      </c>
      <c r="CN56" s="15"/>
      <c r="CO56" s="10">
        <f t="shared" si="46"/>
        <v>0</v>
      </c>
      <c r="CP56" s="15"/>
      <c r="CQ56" s="10">
        <f t="shared" si="47"/>
        <v>0</v>
      </c>
      <c r="CR56" s="15"/>
      <c r="CS56" s="10">
        <f t="shared" si="48"/>
        <v>0</v>
      </c>
      <c r="CT56" s="15"/>
      <c r="CU56" s="10">
        <f t="shared" si="49"/>
        <v>0</v>
      </c>
      <c r="CV56" s="15"/>
      <c r="CW56" s="10">
        <f t="shared" si="50"/>
        <v>0</v>
      </c>
      <c r="CX56" s="15"/>
      <c r="CY56" s="10">
        <f t="shared" si="51"/>
        <v>0</v>
      </c>
      <c r="CZ56" s="15"/>
      <c r="DA56" s="10">
        <f t="shared" si="52"/>
        <v>0</v>
      </c>
      <c r="DB56" s="15"/>
      <c r="DC56" s="10">
        <f t="shared" si="53"/>
        <v>0</v>
      </c>
      <c r="DD56" s="15"/>
      <c r="DE56" s="10">
        <f t="shared" si="53"/>
        <v>0</v>
      </c>
      <c r="DF56" s="16">
        <f t="shared" si="0"/>
        <v>0</v>
      </c>
      <c r="DG56" s="208">
        <f t="shared" si="54"/>
        <v>0</v>
      </c>
    </row>
    <row r="57" spans="1:111">
      <c r="A57" s="7">
        <v>47</v>
      </c>
      <c r="B57" s="8" t="s">
        <v>313</v>
      </c>
      <c r="C57" s="8" t="s">
        <v>11</v>
      </c>
      <c r="D57" s="7">
        <f>RANK(DF57,$DF$4:$DF$141)</f>
        <v>31</v>
      </c>
      <c r="E57" s="7">
        <v>0.64</v>
      </c>
      <c r="F57" s="7" t="s">
        <v>22</v>
      </c>
      <c r="G57" s="7">
        <v>1350</v>
      </c>
      <c r="H57" s="9">
        <v>1414</v>
      </c>
      <c r="I57" s="10">
        <f t="shared" si="1"/>
        <v>904.96</v>
      </c>
      <c r="J57" s="9">
        <v>1358</v>
      </c>
      <c r="K57" s="10">
        <f t="shared" si="2"/>
        <v>869.12</v>
      </c>
      <c r="L57" s="9">
        <v>1638</v>
      </c>
      <c r="M57" s="10">
        <f t="shared" si="3"/>
        <v>1048.32</v>
      </c>
      <c r="N57" s="9">
        <v>2170</v>
      </c>
      <c r="O57" s="10">
        <f t="shared" si="4"/>
        <v>1388.8</v>
      </c>
      <c r="P57" s="9">
        <v>658</v>
      </c>
      <c r="Q57" s="10">
        <f t="shared" si="5"/>
        <v>421.12</v>
      </c>
      <c r="R57" s="9">
        <v>364</v>
      </c>
      <c r="S57" s="10">
        <f t="shared" si="6"/>
        <v>232.96</v>
      </c>
      <c r="T57" s="9">
        <v>490</v>
      </c>
      <c r="U57" s="10">
        <f t="shared" si="7"/>
        <v>313.60000000000002</v>
      </c>
      <c r="V57" s="9">
        <v>700</v>
      </c>
      <c r="W57" s="10">
        <f t="shared" si="8"/>
        <v>448</v>
      </c>
      <c r="X57" s="9">
        <v>1162</v>
      </c>
      <c r="Y57" s="10">
        <f t="shared" si="9"/>
        <v>743.68000000000006</v>
      </c>
      <c r="Z57" s="9">
        <v>882</v>
      </c>
      <c r="AA57" s="10">
        <f t="shared" si="10"/>
        <v>564.48</v>
      </c>
      <c r="AB57" s="9">
        <v>882</v>
      </c>
      <c r="AC57" s="10">
        <f t="shared" si="11"/>
        <v>564.48</v>
      </c>
      <c r="AD57" s="9"/>
      <c r="AE57" s="10">
        <f t="shared" si="12"/>
        <v>0</v>
      </c>
      <c r="AF57" s="11">
        <f t="shared" si="13"/>
        <v>11718</v>
      </c>
      <c r="AG57" s="12">
        <f t="shared" si="14"/>
        <v>7499.52</v>
      </c>
      <c r="AH57" s="9">
        <v>532</v>
      </c>
      <c r="AI57" s="10">
        <f t="shared" si="15"/>
        <v>340.48</v>
      </c>
      <c r="AJ57" s="9">
        <v>700</v>
      </c>
      <c r="AK57" s="10">
        <f t="shared" si="16"/>
        <v>448</v>
      </c>
      <c r="AL57" s="9">
        <v>140</v>
      </c>
      <c r="AM57" s="10">
        <f t="shared" si="17"/>
        <v>89.600000000000009</v>
      </c>
      <c r="AN57" s="9">
        <v>938</v>
      </c>
      <c r="AO57" s="10">
        <f t="shared" si="18"/>
        <v>600.32000000000005</v>
      </c>
      <c r="AP57" s="9">
        <v>840</v>
      </c>
      <c r="AQ57" s="10">
        <f t="shared" si="19"/>
        <v>537.6</v>
      </c>
      <c r="AR57" s="9">
        <v>910</v>
      </c>
      <c r="AS57" s="10">
        <f t="shared" si="20"/>
        <v>582.4</v>
      </c>
      <c r="AT57" s="9">
        <v>140</v>
      </c>
      <c r="AU57" s="10">
        <f t="shared" si="21"/>
        <v>89.600000000000009</v>
      </c>
      <c r="AV57" s="9">
        <v>70</v>
      </c>
      <c r="AW57" s="10">
        <f t="shared" si="22"/>
        <v>44.800000000000004</v>
      </c>
      <c r="AX57" s="9"/>
      <c r="AY57" s="10">
        <f t="shared" si="23"/>
        <v>0</v>
      </c>
      <c r="AZ57" s="9"/>
      <c r="BA57" s="10">
        <f t="shared" si="24"/>
        <v>0</v>
      </c>
      <c r="BB57" s="9"/>
      <c r="BC57" s="10">
        <f t="shared" si="25"/>
        <v>0</v>
      </c>
      <c r="BD57" s="9">
        <v>70</v>
      </c>
      <c r="BE57" s="10">
        <f t="shared" si="26"/>
        <v>44.800000000000004</v>
      </c>
      <c r="BF57" s="11">
        <f t="shared" si="27"/>
        <v>4340</v>
      </c>
      <c r="BG57" s="12">
        <f t="shared" si="28"/>
        <v>2777.6</v>
      </c>
      <c r="BH57" s="13">
        <v>420</v>
      </c>
      <c r="BI57" s="10">
        <f t="shared" si="29"/>
        <v>268.8</v>
      </c>
      <c r="BJ57" s="13">
        <v>70</v>
      </c>
      <c r="BK57" s="10">
        <f t="shared" si="30"/>
        <v>44.800000000000004</v>
      </c>
      <c r="BL57" s="13">
        <v>0</v>
      </c>
      <c r="BM57" s="10">
        <f t="shared" si="31"/>
        <v>0</v>
      </c>
      <c r="BN57" s="13">
        <v>70</v>
      </c>
      <c r="BO57" s="10">
        <f t="shared" si="32"/>
        <v>44.800000000000004</v>
      </c>
      <c r="BP57" s="13">
        <v>0</v>
      </c>
      <c r="BQ57" s="10">
        <f t="shared" si="33"/>
        <v>0</v>
      </c>
      <c r="BR57" s="13">
        <v>70</v>
      </c>
      <c r="BS57" s="10">
        <f t="shared" si="34"/>
        <v>44.800000000000004</v>
      </c>
      <c r="BT57" s="13">
        <v>70</v>
      </c>
      <c r="BU57" s="10">
        <f t="shared" si="35"/>
        <v>44.800000000000004</v>
      </c>
      <c r="BV57" s="13">
        <v>70</v>
      </c>
      <c r="BW57" s="10">
        <f t="shared" si="36"/>
        <v>44.800000000000004</v>
      </c>
      <c r="BX57" s="13">
        <v>70</v>
      </c>
      <c r="BY57" s="10">
        <f t="shared" si="37"/>
        <v>44.800000000000004</v>
      </c>
      <c r="BZ57" s="13">
        <v>70</v>
      </c>
      <c r="CA57" s="10">
        <f t="shared" si="38"/>
        <v>44.800000000000004</v>
      </c>
      <c r="CB57" s="13">
        <v>168</v>
      </c>
      <c r="CC57" s="10">
        <f t="shared" si="39"/>
        <v>107.52</v>
      </c>
      <c r="CD57" s="14"/>
      <c r="CE57" s="10">
        <f t="shared" si="40"/>
        <v>0</v>
      </c>
      <c r="CF57" s="11">
        <f t="shared" si="41"/>
        <v>1078</v>
      </c>
      <c r="CG57" s="12">
        <f t="shared" si="42"/>
        <v>689.92</v>
      </c>
      <c r="CH57" s="15"/>
      <c r="CI57" s="10">
        <f t="shared" si="43"/>
        <v>0</v>
      </c>
      <c r="CJ57" s="15"/>
      <c r="CK57" s="10">
        <f t="shared" si="44"/>
        <v>0</v>
      </c>
      <c r="CL57" s="15"/>
      <c r="CM57" s="10">
        <f t="shared" si="45"/>
        <v>0</v>
      </c>
      <c r="CN57" s="15"/>
      <c r="CO57" s="10">
        <f t="shared" si="46"/>
        <v>0</v>
      </c>
      <c r="CP57" s="15"/>
      <c r="CQ57" s="10">
        <f t="shared" si="47"/>
        <v>0</v>
      </c>
      <c r="CR57" s="15"/>
      <c r="CS57" s="10">
        <f t="shared" si="48"/>
        <v>0</v>
      </c>
      <c r="CT57" s="15"/>
      <c r="CU57" s="10">
        <f t="shared" si="49"/>
        <v>0</v>
      </c>
      <c r="CV57" s="15"/>
      <c r="CW57" s="10">
        <f t="shared" si="50"/>
        <v>0</v>
      </c>
      <c r="CX57" s="15"/>
      <c r="CY57" s="10">
        <f t="shared" si="51"/>
        <v>0</v>
      </c>
      <c r="CZ57" s="15"/>
      <c r="DA57" s="10">
        <f t="shared" si="52"/>
        <v>0</v>
      </c>
      <c r="DB57" s="15"/>
      <c r="DC57" s="10">
        <f t="shared" si="53"/>
        <v>0</v>
      </c>
      <c r="DD57" s="15"/>
      <c r="DE57" s="10">
        <f t="shared" si="53"/>
        <v>0</v>
      </c>
      <c r="DF57" s="16">
        <f t="shared" si="0"/>
        <v>0</v>
      </c>
      <c r="DG57" s="208">
        <f t="shared" si="54"/>
        <v>0</v>
      </c>
    </row>
    <row r="58" spans="1:111">
      <c r="A58" s="7">
        <v>48</v>
      </c>
      <c r="B58" s="8" t="s">
        <v>313</v>
      </c>
      <c r="C58" s="8" t="s">
        <v>11</v>
      </c>
      <c r="D58" s="7">
        <f>RANK(DF58,$DF$4:$DF$141)</f>
        <v>31</v>
      </c>
      <c r="E58" s="7">
        <v>0.64</v>
      </c>
      <c r="F58" s="7" t="s">
        <v>20</v>
      </c>
      <c r="G58" s="7"/>
      <c r="H58" s="15"/>
      <c r="I58" s="10">
        <f t="shared" si="1"/>
        <v>0</v>
      </c>
      <c r="J58" s="15"/>
      <c r="K58" s="10">
        <f t="shared" si="2"/>
        <v>0</v>
      </c>
      <c r="L58" s="15"/>
      <c r="M58" s="10">
        <f t="shared" si="3"/>
        <v>0</v>
      </c>
      <c r="N58" s="15"/>
      <c r="O58" s="10">
        <f t="shared" si="4"/>
        <v>0</v>
      </c>
      <c r="P58" s="15"/>
      <c r="Q58" s="10">
        <f t="shared" si="5"/>
        <v>0</v>
      </c>
      <c r="R58" s="15"/>
      <c r="S58" s="10">
        <f t="shared" si="6"/>
        <v>0</v>
      </c>
      <c r="T58" s="15"/>
      <c r="U58" s="10">
        <f t="shared" si="7"/>
        <v>0</v>
      </c>
      <c r="V58" s="15"/>
      <c r="W58" s="10">
        <f t="shared" si="8"/>
        <v>0</v>
      </c>
      <c r="X58" s="15"/>
      <c r="Y58" s="10">
        <f t="shared" si="9"/>
        <v>0</v>
      </c>
      <c r="Z58" s="15"/>
      <c r="AA58" s="10">
        <f t="shared" si="10"/>
        <v>0</v>
      </c>
      <c r="AB58" s="15"/>
      <c r="AC58" s="10">
        <f t="shared" si="11"/>
        <v>0</v>
      </c>
      <c r="AD58" s="15"/>
      <c r="AE58" s="10">
        <f t="shared" si="12"/>
        <v>0</v>
      </c>
      <c r="AF58" s="11">
        <f t="shared" si="13"/>
        <v>0</v>
      </c>
      <c r="AG58" s="12">
        <f t="shared" si="14"/>
        <v>0</v>
      </c>
      <c r="AH58" s="15"/>
      <c r="AI58" s="10">
        <f t="shared" si="15"/>
        <v>0</v>
      </c>
      <c r="AJ58" s="15"/>
      <c r="AK58" s="10">
        <f t="shared" si="16"/>
        <v>0</v>
      </c>
      <c r="AL58" s="15"/>
      <c r="AM58" s="10">
        <f t="shared" si="17"/>
        <v>0</v>
      </c>
      <c r="AN58" s="15"/>
      <c r="AO58" s="10">
        <f t="shared" si="18"/>
        <v>0</v>
      </c>
      <c r="AP58" s="15"/>
      <c r="AQ58" s="10">
        <f t="shared" si="19"/>
        <v>0</v>
      </c>
      <c r="AR58" s="15"/>
      <c r="AS58" s="10">
        <f t="shared" si="20"/>
        <v>0</v>
      </c>
      <c r="AT58" s="15"/>
      <c r="AU58" s="10">
        <f t="shared" si="21"/>
        <v>0</v>
      </c>
      <c r="AV58" s="15"/>
      <c r="AW58" s="10">
        <f t="shared" si="22"/>
        <v>0</v>
      </c>
      <c r="AX58" s="15"/>
      <c r="AY58" s="10">
        <f t="shared" si="23"/>
        <v>0</v>
      </c>
      <c r="AZ58" s="15"/>
      <c r="BA58" s="10">
        <f t="shared" si="24"/>
        <v>0</v>
      </c>
      <c r="BB58" s="15"/>
      <c r="BC58" s="10">
        <f t="shared" si="25"/>
        <v>0</v>
      </c>
      <c r="BD58" s="15"/>
      <c r="BE58" s="10">
        <f t="shared" si="26"/>
        <v>0</v>
      </c>
      <c r="BF58" s="11">
        <f t="shared" si="27"/>
        <v>0</v>
      </c>
      <c r="BG58" s="12">
        <f t="shared" si="28"/>
        <v>0</v>
      </c>
      <c r="BH58" s="15"/>
      <c r="BI58" s="10">
        <f t="shared" si="29"/>
        <v>0</v>
      </c>
      <c r="BJ58" s="15"/>
      <c r="BK58" s="10">
        <f t="shared" si="30"/>
        <v>0</v>
      </c>
      <c r="BL58" s="15"/>
      <c r="BM58" s="10">
        <f t="shared" si="31"/>
        <v>0</v>
      </c>
      <c r="BN58" s="15"/>
      <c r="BO58" s="10">
        <f t="shared" si="32"/>
        <v>0</v>
      </c>
      <c r="BP58" s="15"/>
      <c r="BQ58" s="10">
        <f t="shared" si="33"/>
        <v>0</v>
      </c>
      <c r="BR58" s="15"/>
      <c r="BS58" s="10">
        <f t="shared" si="34"/>
        <v>0</v>
      </c>
      <c r="BT58" s="15"/>
      <c r="BU58" s="10">
        <f t="shared" si="35"/>
        <v>0</v>
      </c>
      <c r="BV58" s="15"/>
      <c r="BW58" s="10">
        <f t="shared" si="36"/>
        <v>0</v>
      </c>
      <c r="BX58" s="15"/>
      <c r="BY58" s="10">
        <f t="shared" si="37"/>
        <v>0</v>
      </c>
      <c r="BZ58" s="15"/>
      <c r="CA58" s="10">
        <f t="shared" si="38"/>
        <v>0</v>
      </c>
      <c r="CB58" s="15"/>
      <c r="CC58" s="10">
        <f t="shared" si="39"/>
        <v>0</v>
      </c>
      <c r="CD58" s="15"/>
      <c r="CE58" s="10">
        <f t="shared" si="40"/>
        <v>0</v>
      </c>
      <c r="CF58" s="11">
        <f t="shared" si="41"/>
        <v>0</v>
      </c>
      <c r="CG58" s="12">
        <f t="shared" si="42"/>
        <v>0</v>
      </c>
      <c r="CH58" s="15"/>
      <c r="CI58" s="10">
        <f t="shared" si="43"/>
        <v>0</v>
      </c>
      <c r="CJ58" s="15"/>
      <c r="CK58" s="10">
        <f t="shared" si="44"/>
        <v>0</v>
      </c>
      <c r="CL58" s="15"/>
      <c r="CM58" s="10">
        <f t="shared" si="45"/>
        <v>0</v>
      </c>
      <c r="CN58" s="15"/>
      <c r="CO58" s="10">
        <f t="shared" si="46"/>
        <v>0</v>
      </c>
      <c r="CP58" s="15"/>
      <c r="CQ58" s="10">
        <f t="shared" si="47"/>
        <v>0</v>
      </c>
      <c r="CR58" s="15"/>
      <c r="CS58" s="10">
        <f t="shared" si="48"/>
        <v>0</v>
      </c>
      <c r="CT58" s="15"/>
      <c r="CU58" s="10">
        <f t="shared" si="49"/>
        <v>0</v>
      </c>
      <c r="CV58" s="15"/>
      <c r="CW58" s="10">
        <f t="shared" si="50"/>
        <v>0</v>
      </c>
      <c r="CX58" s="15"/>
      <c r="CY58" s="10">
        <f t="shared" si="51"/>
        <v>0</v>
      </c>
      <c r="CZ58" s="15"/>
      <c r="DA58" s="10">
        <f t="shared" si="52"/>
        <v>0</v>
      </c>
      <c r="DB58" s="15"/>
      <c r="DC58" s="10">
        <f t="shared" si="53"/>
        <v>0</v>
      </c>
      <c r="DD58" s="15"/>
      <c r="DE58" s="10">
        <f t="shared" si="53"/>
        <v>0</v>
      </c>
      <c r="DF58" s="16">
        <f t="shared" si="0"/>
        <v>0</v>
      </c>
      <c r="DG58" s="208">
        <f t="shared" si="54"/>
        <v>0</v>
      </c>
    </row>
    <row r="59" spans="1:111">
      <c r="A59" s="7"/>
      <c r="B59" s="8"/>
      <c r="C59" s="8"/>
      <c r="D59" s="7"/>
      <c r="E59" s="7"/>
      <c r="F59" s="7"/>
      <c r="G59" s="7"/>
      <c r="H59" s="15"/>
      <c r="I59" s="10">
        <f t="shared" si="1"/>
        <v>0</v>
      </c>
      <c r="J59" s="15"/>
      <c r="K59" s="10">
        <f t="shared" si="2"/>
        <v>0</v>
      </c>
      <c r="L59" s="15"/>
      <c r="M59" s="10">
        <f t="shared" si="3"/>
        <v>0</v>
      </c>
      <c r="N59" s="15"/>
      <c r="O59" s="10">
        <f t="shared" si="4"/>
        <v>0</v>
      </c>
      <c r="P59" s="15"/>
      <c r="Q59" s="10">
        <f t="shared" si="5"/>
        <v>0</v>
      </c>
      <c r="R59" s="15"/>
      <c r="S59" s="10">
        <f t="shared" si="6"/>
        <v>0</v>
      </c>
      <c r="T59" s="15"/>
      <c r="U59" s="10">
        <f t="shared" si="7"/>
        <v>0</v>
      </c>
      <c r="V59" s="15"/>
      <c r="W59" s="10">
        <f t="shared" si="8"/>
        <v>0</v>
      </c>
      <c r="X59" s="15"/>
      <c r="Y59" s="10">
        <f t="shared" si="9"/>
        <v>0</v>
      </c>
      <c r="Z59" s="15"/>
      <c r="AA59" s="10">
        <f t="shared" si="10"/>
        <v>0</v>
      </c>
      <c r="AB59" s="15"/>
      <c r="AC59" s="10">
        <f t="shared" si="11"/>
        <v>0</v>
      </c>
      <c r="AD59" s="15"/>
      <c r="AE59" s="10">
        <f t="shared" si="12"/>
        <v>0</v>
      </c>
      <c r="AF59" s="11">
        <f t="shared" si="13"/>
        <v>0</v>
      </c>
      <c r="AG59" s="12">
        <f t="shared" si="14"/>
        <v>0</v>
      </c>
      <c r="AH59" s="15"/>
      <c r="AI59" s="10">
        <f t="shared" si="15"/>
        <v>0</v>
      </c>
      <c r="AJ59" s="15"/>
      <c r="AK59" s="10">
        <f t="shared" si="16"/>
        <v>0</v>
      </c>
      <c r="AL59" s="15"/>
      <c r="AM59" s="10">
        <f t="shared" si="17"/>
        <v>0</v>
      </c>
      <c r="AN59" s="15"/>
      <c r="AO59" s="10">
        <f t="shared" si="18"/>
        <v>0</v>
      </c>
      <c r="AP59" s="15"/>
      <c r="AQ59" s="10">
        <f t="shared" si="19"/>
        <v>0</v>
      </c>
      <c r="AR59" s="15"/>
      <c r="AS59" s="10">
        <f t="shared" si="20"/>
        <v>0</v>
      </c>
      <c r="AT59" s="15"/>
      <c r="AU59" s="10">
        <f t="shared" si="21"/>
        <v>0</v>
      </c>
      <c r="AV59" s="15"/>
      <c r="AW59" s="10">
        <f t="shared" si="22"/>
        <v>0</v>
      </c>
      <c r="AX59" s="15"/>
      <c r="AY59" s="10">
        <f t="shared" si="23"/>
        <v>0</v>
      </c>
      <c r="AZ59" s="15"/>
      <c r="BA59" s="10">
        <f t="shared" si="24"/>
        <v>0</v>
      </c>
      <c r="BB59" s="15"/>
      <c r="BC59" s="10">
        <f t="shared" si="25"/>
        <v>0</v>
      </c>
      <c r="BD59" s="15"/>
      <c r="BE59" s="10">
        <f t="shared" si="26"/>
        <v>0</v>
      </c>
      <c r="BF59" s="11">
        <f t="shared" si="27"/>
        <v>0</v>
      </c>
      <c r="BG59" s="12">
        <f t="shared" si="28"/>
        <v>0</v>
      </c>
      <c r="BH59" s="15"/>
      <c r="BI59" s="10">
        <f t="shared" si="29"/>
        <v>0</v>
      </c>
      <c r="BJ59" s="15"/>
      <c r="BK59" s="10">
        <f t="shared" si="30"/>
        <v>0</v>
      </c>
      <c r="BL59" s="15"/>
      <c r="BM59" s="10">
        <f t="shared" si="31"/>
        <v>0</v>
      </c>
      <c r="BN59" s="15"/>
      <c r="BO59" s="10">
        <f t="shared" si="32"/>
        <v>0</v>
      </c>
      <c r="BP59" s="15"/>
      <c r="BQ59" s="10">
        <f t="shared" si="33"/>
        <v>0</v>
      </c>
      <c r="BR59" s="15"/>
      <c r="BS59" s="10">
        <f t="shared" si="34"/>
        <v>0</v>
      </c>
      <c r="BT59" s="15"/>
      <c r="BU59" s="10">
        <f t="shared" si="35"/>
        <v>0</v>
      </c>
      <c r="BV59" s="15"/>
      <c r="BW59" s="10">
        <f t="shared" si="36"/>
        <v>0</v>
      </c>
      <c r="BX59" s="15"/>
      <c r="BY59" s="10">
        <f t="shared" si="37"/>
        <v>0</v>
      </c>
      <c r="BZ59" s="15"/>
      <c r="CA59" s="10">
        <f t="shared" si="38"/>
        <v>0</v>
      </c>
      <c r="CB59" s="15"/>
      <c r="CC59" s="10">
        <f t="shared" si="39"/>
        <v>0</v>
      </c>
      <c r="CD59" s="15"/>
      <c r="CE59" s="10">
        <f t="shared" si="40"/>
        <v>0</v>
      </c>
      <c r="CF59" s="11">
        <f t="shared" si="41"/>
        <v>0</v>
      </c>
      <c r="CG59" s="12">
        <f t="shared" si="42"/>
        <v>0</v>
      </c>
      <c r="CH59" s="15"/>
      <c r="CI59" s="10">
        <f t="shared" si="43"/>
        <v>0</v>
      </c>
      <c r="CJ59" s="15"/>
      <c r="CK59" s="10">
        <f t="shared" si="44"/>
        <v>0</v>
      </c>
      <c r="CL59" s="15"/>
      <c r="CM59" s="10">
        <f t="shared" si="45"/>
        <v>0</v>
      </c>
      <c r="CN59" s="15"/>
      <c r="CO59" s="10">
        <f t="shared" si="46"/>
        <v>0</v>
      </c>
      <c r="CP59" s="15"/>
      <c r="CQ59" s="10">
        <f t="shared" si="47"/>
        <v>0</v>
      </c>
      <c r="CR59" s="15"/>
      <c r="CS59" s="10">
        <f t="shared" si="48"/>
        <v>0</v>
      </c>
      <c r="CT59" s="15"/>
      <c r="CU59" s="10">
        <f t="shared" si="49"/>
        <v>0</v>
      </c>
      <c r="CV59" s="15"/>
      <c r="CW59" s="10">
        <f t="shared" si="50"/>
        <v>0</v>
      </c>
      <c r="CX59" s="15"/>
      <c r="CY59" s="10">
        <f t="shared" si="51"/>
        <v>0</v>
      </c>
      <c r="CZ59" s="15"/>
      <c r="DA59" s="10">
        <f t="shared" si="52"/>
        <v>0</v>
      </c>
      <c r="DB59" s="15"/>
      <c r="DC59" s="10">
        <f t="shared" si="53"/>
        <v>0</v>
      </c>
      <c r="DD59" s="15"/>
      <c r="DE59" s="10">
        <f t="shared" si="53"/>
        <v>0</v>
      </c>
      <c r="DF59" s="16">
        <f t="shared" si="0"/>
        <v>0</v>
      </c>
      <c r="DG59" s="208">
        <f t="shared" si="54"/>
        <v>0</v>
      </c>
    </row>
    <row r="60" spans="1:111">
      <c r="A60" s="7">
        <v>49</v>
      </c>
      <c r="B60" s="8" t="s">
        <v>55</v>
      </c>
      <c r="C60" s="8" t="s">
        <v>14</v>
      </c>
      <c r="D60" s="7">
        <f>RANK(DF60,$DF$4:$DF$141)</f>
        <v>5</v>
      </c>
      <c r="E60" s="7">
        <v>1</v>
      </c>
      <c r="F60" s="7" t="s">
        <v>12</v>
      </c>
      <c r="G60" s="7">
        <v>1550</v>
      </c>
      <c r="H60" s="9">
        <v>101124</v>
      </c>
      <c r="I60" s="10">
        <f t="shared" si="1"/>
        <v>101124</v>
      </c>
      <c r="J60" s="9">
        <v>86940</v>
      </c>
      <c r="K60" s="10">
        <f t="shared" si="2"/>
        <v>86940</v>
      </c>
      <c r="L60" s="9">
        <v>127787</v>
      </c>
      <c r="M60" s="10">
        <f t="shared" si="3"/>
        <v>127787</v>
      </c>
      <c r="N60" s="9">
        <v>143969</v>
      </c>
      <c r="O60" s="10">
        <f t="shared" si="4"/>
        <v>143969</v>
      </c>
      <c r="P60" s="9">
        <v>145128</v>
      </c>
      <c r="Q60" s="10">
        <f t="shared" si="5"/>
        <v>145128</v>
      </c>
      <c r="R60" s="9">
        <v>155568</v>
      </c>
      <c r="S60" s="10">
        <f t="shared" si="6"/>
        <v>155568</v>
      </c>
      <c r="T60" s="9">
        <v>77882</v>
      </c>
      <c r="U60" s="10">
        <f t="shared" si="7"/>
        <v>77882</v>
      </c>
      <c r="V60" s="9">
        <v>160728</v>
      </c>
      <c r="W60" s="10">
        <f t="shared" si="8"/>
        <v>160728</v>
      </c>
      <c r="X60" s="9">
        <v>138852</v>
      </c>
      <c r="Y60" s="10">
        <f t="shared" si="9"/>
        <v>138852</v>
      </c>
      <c r="Z60" s="9">
        <v>136908</v>
      </c>
      <c r="AA60" s="10">
        <f t="shared" si="10"/>
        <v>136908</v>
      </c>
      <c r="AB60" s="9">
        <v>136680</v>
      </c>
      <c r="AC60" s="10">
        <f t="shared" si="11"/>
        <v>136680</v>
      </c>
      <c r="AD60" s="9">
        <v>152110</v>
      </c>
      <c r="AE60" s="10">
        <f t="shared" si="12"/>
        <v>152110</v>
      </c>
      <c r="AF60" s="11">
        <f t="shared" si="13"/>
        <v>1563676</v>
      </c>
      <c r="AG60" s="12">
        <f t="shared" si="14"/>
        <v>1563676</v>
      </c>
      <c r="AH60" s="9">
        <v>166078</v>
      </c>
      <c r="AI60" s="10">
        <f t="shared" si="15"/>
        <v>166078</v>
      </c>
      <c r="AJ60" s="9">
        <v>150696</v>
      </c>
      <c r="AK60" s="10">
        <f t="shared" si="16"/>
        <v>150696</v>
      </c>
      <c r="AL60" s="9">
        <v>187716</v>
      </c>
      <c r="AM60" s="10">
        <f t="shared" si="17"/>
        <v>187716</v>
      </c>
      <c r="AN60" s="9">
        <v>166056</v>
      </c>
      <c r="AO60" s="10">
        <f t="shared" si="18"/>
        <v>166056</v>
      </c>
      <c r="AP60" s="9">
        <v>218136</v>
      </c>
      <c r="AQ60" s="10">
        <f t="shared" si="19"/>
        <v>218136</v>
      </c>
      <c r="AR60" s="9">
        <v>184836</v>
      </c>
      <c r="AS60" s="10">
        <f t="shared" si="20"/>
        <v>184836</v>
      </c>
      <c r="AT60" s="9">
        <v>194098</v>
      </c>
      <c r="AU60" s="10">
        <f t="shared" si="21"/>
        <v>194098</v>
      </c>
      <c r="AV60" s="9">
        <v>223103</v>
      </c>
      <c r="AW60" s="10">
        <f t="shared" si="22"/>
        <v>223103</v>
      </c>
      <c r="AX60" s="9">
        <v>162348</v>
      </c>
      <c r="AY60" s="10">
        <f t="shared" si="23"/>
        <v>162348</v>
      </c>
      <c r="AZ60" s="9">
        <v>174576</v>
      </c>
      <c r="BA60" s="10">
        <f t="shared" si="24"/>
        <v>174576</v>
      </c>
      <c r="BB60" s="9">
        <v>177420</v>
      </c>
      <c r="BC60" s="10">
        <f t="shared" si="25"/>
        <v>177420</v>
      </c>
      <c r="BD60" s="9">
        <v>194253</v>
      </c>
      <c r="BE60" s="10">
        <f t="shared" si="26"/>
        <v>194253</v>
      </c>
      <c r="BF60" s="11">
        <f t="shared" si="27"/>
        <v>2199316</v>
      </c>
      <c r="BG60" s="12">
        <f t="shared" si="28"/>
        <v>2199316</v>
      </c>
      <c r="BH60" s="13">
        <v>198435</v>
      </c>
      <c r="BI60" s="10">
        <f t="shared" si="29"/>
        <v>198435</v>
      </c>
      <c r="BJ60" s="13">
        <v>183036</v>
      </c>
      <c r="BK60" s="10">
        <f t="shared" si="30"/>
        <v>183036</v>
      </c>
      <c r="BL60" s="13">
        <v>205571</v>
      </c>
      <c r="BM60" s="10">
        <f t="shared" si="31"/>
        <v>205571</v>
      </c>
      <c r="BN60" s="13">
        <v>200031</v>
      </c>
      <c r="BO60" s="10">
        <f t="shared" si="32"/>
        <v>200031</v>
      </c>
      <c r="BP60" s="13">
        <v>228443</v>
      </c>
      <c r="BQ60" s="10">
        <f t="shared" si="33"/>
        <v>228443</v>
      </c>
      <c r="BR60" s="13">
        <v>253787</v>
      </c>
      <c r="BS60" s="10">
        <f t="shared" si="34"/>
        <v>253787</v>
      </c>
      <c r="BT60" s="13">
        <v>252140</v>
      </c>
      <c r="BU60" s="10">
        <f t="shared" si="35"/>
        <v>252140</v>
      </c>
      <c r="BV60" s="13">
        <v>243502</v>
      </c>
      <c r="BW60" s="10">
        <f t="shared" si="36"/>
        <v>243502</v>
      </c>
      <c r="BX60" s="13">
        <v>249191</v>
      </c>
      <c r="BY60" s="10">
        <f t="shared" si="37"/>
        <v>249191</v>
      </c>
      <c r="BZ60" s="13">
        <v>262468</v>
      </c>
      <c r="CA60" s="10">
        <f t="shared" si="38"/>
        <v>262468</v>
      </c>
      <c r="CB60" s="13">
        <v>205915</v>
      </c>
      <c r="CC60" s="10">
        <f t="shared" si="39"/>
        <v>205915</v>
      </c>
      <c r="CD60" s="14">
        <v>215415</v>
      </c>
      <c r="CE60" s="10">
        <f t="shared" si="40"/>
        <v>215415</v>
      </c>
      <c r="CF60" s="11">
        <f t="shared" si="41"/>
        <v>2697934</v>
      </c>
      <c r="CG60" s="12">
        <f t="shared" si="42"/>
        <v>2697934</v>
      </c>
      <c r="CH60" s="15">
        <v>197344</v>
      </c>
      <c r="CI60" s="10">
        <f t="shared" si="43"/>
        <v>197344</v>
      </c>
      <c r="CJ60" s="15">
        <v>192155</v>
      </c>
      <c r="CK60" s="10">
        <f t="shared" si="44"/>
        <v>192155</v>
      </c>
      <c r="CL60" s="15">
        <v>292789</v>
      </c>
      <c r="CM60" s="10">
        <f t="shared" si="45"/>
        <v>292789</v>
      </c>
      <c r="CN60" s="15">
        <v>152519</v>
      </c>
      <c r="CO60" s="10">
        <f t="shared" si="46"/>
        <v>152519</v>
      </c>
      <c r="CP60" s="15">
        <v>220709</v>
      </c>
      <c r="CQ60" s="10">
        <f t="shared" si="47"/>
        <v>220709</v>
      </c>
      <c r="CR60" s="15">
        <v>227132</v>
      </c>
      <c r="CS60" s="10">
        <f t="shared" si="48"/>
        <v>227132</v>
      </c>
      <c r="CT60" s="15">
        <v>228371</v>
      </c>
      <c r="CU60" s="10">
        <f t="shared" si="49"/>
        <v>228371</v>
      </c>
      <c r="CV60" s="15">
        <v>221024</v>
      </c>
      <c r="CW60" s="10">
        <f t="shared" si="50"/>
        <v>221024</v>
      </c>
      <c r="CX60" s="15">
        <v>207343</v>
      </c>
      <c r="CY60" s="10">
        <f t="shared" si="51"/>
        <v>207343</v>
      </c>
      <c r="CZ60" s="15">
        <v>219687</v>
      </c>
      <c r="DA60" s="10">
        <f t="shared" si="52"/>
        <v>219687</v>
      </c>
      <c r="DB60" s="15">
        <v>187324</v>
      </c>
      <c r="DC60" s="10">
        <f t="shared" si="53"/>
        <v>187324</v>
      </c>
      <c r="DD60" s="15">
        <v>217864</v>
      </c>
      <c r="DE60" s="10">
        <f t="shared" si="53"/>
        <v>217864</v>
      </c>
      <c r="DF60" s="16">
        <f t="shared" si="0"/>
        <v>2564261</v>
      </c>
      <c r="DG60" s="208">
        <f t="shared" si="54"/>
        <v>2564261</v>
      </c>
    </row>
    <row r="61" spans="1:111">
      <c r="A61" s="7">
        <v>50</v>
      </c>
      <c r="B61" s="18" t="s">
        <v>56</v>
      </c>
      <c r="C61" s="8" t="s">
        <v>14</v>
      </c>
      <c r="D61" s="7">
        <f>RANK(DF61,$DF$4:$DF$141)</f>
        <v>31</v>
      </c>
      <c r="E61" s="7">
        <v>0.6</v>
      </c>
      <c r="F61" s="7" t="s">
        <v>35</v>
      </c>
      <c r="G61" s="7">
        <v>1060</v>
      </c>
      <c r="H61" s="9"/>
      <c r="I61" s="10">
        <f>H61*$E61</f>
        <v>0</v>
      </c>
      <c r="J61" s="9"/>
      <c r="K61" s="10">
        <f>J61*$E61</f>
        <v>0</v>
      </c>
      <c r="L61" s="9"/>
      <c r="M61" s="10">
        <f>L61*$E61</f>
        <v>0</v>
      </c>
      <c r="N61" s="9"/>
      <c r="O61" s="10">
        <f>N61*$E61</f>
        <v>0</v>
      </c>
      <c r="P61" s="9">
        <v>3372</v>
      </c>
      <c r="Q61" s="10">
        <f>P61*$E61</f>
        <v>2023.1999999999998</v>
      </c>
      <c r="R61" s="9">
        <v>1032</v>
      </c>
      <c r="S61" s="10">
        <f t="shared" si="6"/>
        <v>619.19999999999993</v>
      </c>
      <c r="T61" s="9">
        <v>70476</v>
      </c>
      <c r="U61" s="10">
        <f>T61*$E61</f>
        <v>42285.599999999999</v>
      </c>
      <c r="V61" s="9">
        <v>1356</v>
      </c>
      <c r="W61" s="10">
        <f>V61*$E61</f>
        <v>813.6</v>
      </c>
      <c r="X61" s="9">
        <v>984</v>
      </c>
      <c r="Y61" s="10">
        <f>X61*$E61</f>
        <v>590.4</v>
      </c>
      <c r="Z61" s="9">
        <v>372</v>
      </c>
      <c r="AA61" s="10">
        <f>Z61*$E61</f>
        <v>223.2</v>
      </c>
      <c r="AB61" s="9">
        <v>756</v>
      </c>
      <c r="AC61" s="10">
        <f>AB61*$E61</f>
        <v>453.59999999999997</v>
      </c>
      <c r="AD61" s="9">
        <v>672</v>
      </c>
      <c r="AE61" s="10">
        <f>AD61*$E61</f>
        <v>403.2</v>
      </c>
      <c r="AF61" s="11">
        <f t="shared" si="13"/>
        <v>79020</v>
      </c>
      <c r="AG61" s="12">
        <f t="shared" si="14"/>
        <v>47412</v>
      </c>
      <c r="AH61" s="9">
        <v>1392</v>
      </c>
      <c r="AI61" s="10">
        <f>AH61*$E61</f>
        <v>835.19999999999993</v>
      </c>
      <c r="AJ61" s="9">
        <v>1380</v>
      </c>
      <c r="AK61" s="10">
        <f>AJ61*$E61</f>
        <v>828</v>
      </c>
      <c r="AL61" s="9">
        <v>1284</v>
      </c>
      <c r="AM61" s="10">
        <f>AL61*$E61</f>
        <v>770.4</v>
      </c>
      <c r="AN61" s="9">
        <v>1356</v>
      </c>
      <c r="AO61" s="10">
        <f>AN61*$E61</f>
        <v>813.6</v>
      </c>
      <c r="AP61" s="9">
        <v>2748</v>
      </c>
      <c r="AQ61" s="10">
        <f>AP61*$E61</f>
        <v>1648.8</v>
      </c>
      <c r="AR61" s="9">
        <v>1668</v>
      </c>
      <c r="AS61" s="10">
        <f>AR61*$E61</f>
        <v>1000.8</v>
      </c>
      <c r="AT61" s="9"/>
      <c r="AU61" s="10">
        <f>AT61*$E61</f>
        <v>0</v>
      </c>
      <c r="AV61" s="9"/>
      <c r="AW61" s="10">
        <f>AV61*$E61</f>
        <v>0</v>
      </c>
      <c r="AX61" s="9"/>
      <c r="AY61" s="10">
        <f>AX61*$E61</f>
        <v>0</v>
      </c>
      <c r="AZ61" s="9"/>
      <c r="BA61" s="10">
        <f>AZ61*$E61</f>
        <v>0</v>
      </c>
      <c r="BB61" s="9"/>
      <c r="BC61" s="10">
        <f>BB61*$E61</f>
        <v>0</v>
      </c>
      <c r="BD61" s="9"/>
      <c r="BE61" s="10">
        <f>BD61*$E61</f>
        <v>0</v>
      </c>
      <c r="BF61" s="11">
        <f t="shared" si="27"/>
        <v>9828</v>
      </c>
      <c r="BG61" s="12">
        <f t="shared" si="28"/>
        <v>5896.8</v>
      </c>
      <c r="BH61" s="15"/>
      <c r="BI61" s="10">
        <f>BH61*$E61</f>
        <v>0</v>
      </c>
      <c r="BJ61" s="15"/>
      <c r="BK61" s="10">
        <f>BJ61*$E61</f>
        <v>0</v>
      </c>
      <c r="BL61" s="15"/>
      <c r="BM61" s="10">
        <f>BL61*$E61</f>
        <v>0</v>
      </c>
      <c r="BN61" s="15"/>
      <c r="BO61" s="10">
        <f>BN61*$E61</f>
        <v>0</v>
      </c>
      <c r="BP61" s="15"/>
      <c r="BQ61" s="10">
        <f>BP61*$E61</f>
        <v>0</v>
      </c>
      <c r="BR61" s="15"/>
      <c r="BS61" s="10">
        <f>BR61*$E61</f>
        <v>0</v>
      </c>
      <c r="BT61" s="15"/>
      <c r="BU61" s="10">
        <f>BT61*$E61</f>
        <v>0</v>
      </c>
      <c r="BV61" s="15"/>
      <c r="BW61" s="10">
        <f>BV61*$E61</f>
        <v>0</v>
      </c>
      <c r="BX61" s="15"/>
      <c r="BY61" s="10">
        <f>BX61*$E61</f>
        <v>0</v>
      </c>
      <c r="BZ61" s="15"/>
      <c r="CA61" s="10">
        <f>BZ61*$E61</f>
        <v>0</v>
      </c>
      <c r="CB61" s="15"/>
      <c r="CC61" s="10">
        <f>CB61*$E61</f>
        <v>0</v>
      </c>
      <c r="CD61" s="15"/>
      <c r="CE61" s="10">
        <f>CD61*$E61</f>
        <v>0</v>
      </c>
      <c r="CF61" s="11">
        <f t="shared" si="41"/>
        <v>0</v>
      </c>
      <c r="CG61" s="12">
        <f t="shared" si="42"/>
        <v>0</v>
      </c>
      <c r="CH61" s="15"/>
      <c r="CI61" s="10">
        <f t="shared" si="43"/>
        <v>0</v>
      </c>
      <c r="CJ61" s="15"/>
      <c r="CK61" s="10">
        <f t="shared" si="44"/>
        <v>0</v>
      </c>
      <c r="CL61" s="15"/>
      <c r="CM61" s="10">
        <f t="shared" si="45"/>
        <v>0</v>
      </c>
      <c r="CN61" s="15"/>
      <c r="CO61" s="10">
        <f t="shared" si="46"/>
        <v>0</v>
      </c>
      <c r="CP61" s="15"/>
      <c r="CQ61" s="10">
        <f t="shared" si="47"/>
        <v>0</v>
      </c>
      <c r="CR61" s="15"/>
      <c r="CS61" s="10">
        <f t="shared" si="48"/>
        <v>0</v>
      </c>
      <c r="CT61" s="15"/>
      <c r="CU61" s="10">
        <f t="shared" si="49"/>
        <v>0</v>
      </c>
      <c r="CV61" s="15"/>
      <c r="CW61" s="10">
        <f t="shared" si="50"/>
        <v>0</v>
      </c>
      <c r="CX61" s="15"/>
      <c r="CY61" s="10">
        <f t="shared" si="51"/>
        <v>0</v>
      </c>
      <c r="CZ61" s="15"/>
      <c r="DA61" s="10">
        <f t="shared" si="52"/>
        <v>0</v>
      </c>
      <c r="DB61" s="15"/>
      <c r="DC61" s="10">
        <f t="shared" si="53"/>
        <v>0</v>
      </c>
      <c r="DD61" s="15"/>
      <c r="DE61" s="10">
        <f t="shared" si="53"/>
        <v>0</v>
      </c>
      <c r="DF61" s="16">
        <f t="shared" si="0"/>
        <v>0</v>
      </c>
      <c r="DG61" s="208">
        <f t="shared" si="54"/>
        <v>0</v>
      </c>
    </row>
    <row r="62" spans="1:111">
      <c r="A62" s="7">
        <v>51</v>
      </c>
      <c r="B62" s="8" t="s">
        <v>57</v>
      </c>
      <c r="C62" s="8" t="s">
        <v>14</v>
      </c>
      <c r="D62" s="7">
        <f>RANK(DF62,$DF$4:$DF$141)</f>
        <v>7</v>
      </c>
      <c r="E62" s="7">
        <v>0.35</v>
      </c>
      <c r="F62" s="7" t="s">
        <v>18</v>
      </c>
      <c r="G62" s="7">
        <v>700</v>
      </c>
      <c r="H62" s="15"/>
      <c r="I62" s="10">
        <f t="shared" si="1"/>
        <v>0</v>
      </c>
      <c r="J62" s="15"/>
      <c r="K62" s="10">
        <f t="shared" si="2"/>
        <v>0</v>
      </c>
      <c r="L62" s="15"/>
      <c r="M62" s="10">
        <f t="shared" si="3"/>
        <v>0</v>
      </c>
      <c r="N62" s="15"/>
      <c r="O62" s="10">
        <f t="shared" si="4"/>
        <v>0</v>
      </c>
      <c r="P62" s="15"/>
      <c r="Q62" s="10">
        <f t="shared" si="5"/>
        <v>0</v>
      </c>
      <c r="R62" s="15"/>
      <c r="S62" s="10">
        <f t="shared" si="6"/>
        <v>0</v>
      </c>
      <c r="T62" s="15"/>
      <c r="U62" s="10">
        <f t="shared" si="7"/>
        <v>0</v>
      </c>
      <c r="V62" s="15"/>
      <c r="W62" s="10">
        <f t="shared" si="8"/>
        <v>0</v>
      </c>
      <c r="X62" s="15"/>
      <c r="Y62" s="10">
        <f t="shared" si="9"/>
        <v>0</v>
      </c>
      <c r="Z62" s="15"/>
      <c r="AA62" s="10">
        <f t="shared" si="10"/>
        <v>0</v>
      </c>
      <c r="AB62" s="15"/>
      <c r="AC62" s="10">
        <f t="shared" si="11"/>
        <v>0</v>
      </c>
      <c r="AD62" s="15"/>
      <c r="AE62" s="10">
        <f t="shared" si="12"/>
        <v>0</v>
      </c>
      <c r="AF62" s="11">
        <f t="shared" si="13"/>
        <v>0</v>
      </c>
      <c r="AG62" s="12">
        <f t="shared" si="14"/>
        <v>0</v>
      </c>
      <c r="AH62" s="9"/>
      <c r="AI62" s="10">
        <f t="shared" si="15"/>
        <v>0</v>
      </c>
      <c r="AJ62" s="9"/>
      <c r="AK62" s="10">
        <f t="shared" si="16"/>
        <v>0</v>
      </c>
      <c r="AL62" s="9"/>
      <c r="AM62" s="10">
        <f t="shared" si="17"/>
        <v>0</v>
      </c>
      <c r="AN62" s="9"/>
      <c r="AO62" s="10">
        <f t="shared" si="18"/>
        <v>0</v>
      </c>
      <c r="AP62" s="9"/>
      <c r="AQ62" s="10">
        <f t="shared" si="19"/>
        <v>0</v>
      </c>
      <c r="AR62" s="9"/>
      <c r="AS62" s="10">
        <f t="shared" si="20"/>
        <v>0</v>
      </c>
      <c r="AT62" s="9"/>
      <c r="AU62" s="10">
        <f t="shared" si="21"/>
        <v>0</v>
      </c>
      <c r="AV62" s="9"/>
      <c r="AW62" s="10">
        <f t="shared" si="22"/>
        <v>0</v>
      </c>
      <c r="AX62" s="9"/>
      <c r="AY62" s="10">
        <f t="shared" si="23"/>
        <v>0</v>
      </c>
      <c r="AZ62" s="9">
        <v>18340</v>
      </c>
      <c r="BA62" s="10">
        <f t="shared" si="24"/>
        <v>6419</v>
      </c>
      <c r="BB62" s="9"/>
      <c r="BC62" s="10">
        <f t="shared" si="25"/>
        <v>0</v>
      </c>
      <c r="BD62" s="9">
        <v>10412</v>
      </c>
      <c r="BE62" s="10">
        <f t="shared" si="26"/>
        <v>3644.2</v>
      </c>
      <c r="BF62" s="11">
        <f t="shared" si="27"/>
        <v>28752</v>
      </c>
      <c r="BG62" s="12">
        <f t="shared" si="28"/>
        <v>10063.199999999999</v>
      </c>
      <c r="BH62" s="13">
        <v>15447</v>
      </c>
      <c r="BI62" s="10">
        <f t="shared" si="29"/>
        <v>5406.45</v>
      </c>
      <c r="BJ62" s="13">
        <v>14872</v>
      </c>
      <c r="BK62" s="10">
        <f t="shared" si="30"/>
        <v>5205.2</v>
      </c>
      <c r="BL62" s="13">
        <v>14299</v>
      </c>
      <c r="BM62" s="10">
        <f t="shared" si="31"/>
        <v>5004.6499999999996</v>
      </c>
      <c r="BN62" s="13">
        <v>13955</v>
      </c>
      <c r="BO62" s="10">
        <f t="shared" si="32"/>
        <v>4884.25</v>
      </c>
      <c r="BP62" s="13">
        <v>17783</v>
      </c>
      <c r="BQ62" s="10">
        <f t="shared" si="33"/>
        <v>6224.0499999999993</v>
      </c>
      <c r="BR62" s="13">
        <v>22392</v>
      </c>
      <c r="BS62" s="10">
        <f t="shared" si="34"/>
        <v>7837.2</v>
      </c>
      <c r="BT62" s="13">
        <v>29940</v>
      </c>
      <c r="BU62" s="10">
        <f t="shared" si="35"/>
        <v>10479</v>
      </c>
      <c r="BV62" s="13">
        <v>30400</v>
      </c>
      <c r="BW62" s="10">
        <f t="shared" si="36"/>
        <v>10640</v>
      </c>
      <c r="BX62" s="13">
        <v>35586</v>
      </c>
      <c r="BY62" s="10">
        <f t="shared" si="37"/>
        <v>12455.099999999999</v>
      </c>
      <c r="BZ62" s="13">
        <v>37744</v>
      </c>
      <c r="CA62" s="10">
        <f t="shared" si="38"/>
        <v>13210.4</v>
      </c>
      <c r="CB62" s="13">
        <v>44055</v>
      </c>
      <c r="CC62" s="10">
        <f t="shared" si="39"/>
        <v>15419.249999999998</v>
      </c>
      <c r="CD62" s="14">
        <v>50985</v>
      </c>
      <c r="CE62" s="10">
        <f t="shared" si="40"/>
        <v>17844.75</v>
      </c>
      <c r="CF62" s="11">
        <f t="shared" si="41"/>
        <v>327458</v>
      </c>
      <c r="CG62" s="12">
        <f t="shared" si="42"/>
        <v>114610.29999999999</v>
      </c>
      <c r="CH62" s="15">
        <v>42471</v>
      </c>
      <c r="CI62" s="10">
        <f t="shared" si="43"/>
        <v>14864.849999999999</v>
      </c>
      <c r="CJ62" s="15">
        <v>37902</v>
      </c>
      <c r="CK62" s="10">
        <f t="shared" si="44"/>
        <v>13265.699999999999</v>
      </c>
      <c r="CL62" s="15">
        <v>81994</v>
      </c>
      <c r="CM62" s="10">
        <f t="shared" si="45"/>
        <v>28697.899999999998</v>
      </c>
      <c r="CN62" s="15">
        <v>46904</v>
      </c>
      <c r="CO62" s="10">
        <f t="shared" si="46"/>
        <v>16416.399999999998</v>
      </c>
      <c r="CP62" s="15">
        <v>75480</v>
      </c>
      <c r="CQ62" s="10">
        <f t="shared" si="47"/>
        <v>26418</v>
      </c>
      <c r="CR62" s="15">
        <v>60684</v>
      </c>
      <c r="CS62" s="10">
        <f t="shared" si="48"/>
        <v>21239.399999999998</v>
      </c>
      <c r="CT62" s="15">
        <v>73325</v>
      </c>
      <c r="CU62" s="10">
        <f t="shared" si="49"/>
        <v>25663.75</v>
      </c>
      <c r="CV62" s="15">
        <v>81734</v>
      </c>
      <c r="CW62" s="10">
        <f t="shared" si="50"/>
        <v>28606.899999999998</v>
      </c>
      <c r="CX62" s="15">
        <v>78746</v>
      </c>
      <c r="CY62" s="10">
        <f t="shared" si="51"/>
        <v>27561.1</v>
      </c>
      <c r="CZ62" s="15">
        <v>88290</v>
      </c>
      <c r="DA62" s="10">
        <f t="shared" si="52"/>
        <v>30901.499999999996</v>
      </c>
      <c r="DB62" s="15">
        <v>78920</v>
      </c>
      <c r="DC62" s="10">
        <f t="shared" si="53"/>
        <v>27622</v>
      </c>
      <c r="DD62" s="15">
        <v>89860</v>
      </c>
      <c r="DE62" s="10">
        <f t="shared" si="53"/>
        <v>31450.999999999996</v>
      </c>
      <c r="DF62" s="16">
        <f t="shared" si="0"/>
        <v>836310</v>
      </c>
      <c r="DG62" s="208">
        <f t="shared" si="54"/>
        <v>292708.5</v>
      </c>
    </row>
    <row r="63" spans="1:111">
      <c r="A63" s="7">
        <v>52</v>
      </c>
      <c r="B63" s="8" t="s">
        <v>58</v>
      </c>
      <c r="C63" s="8" t="s">
        <v>11</v>
      </c>
      <c r="D63" s="7">
        <f>RANK(DF63,$DF$4:$DF$141)</f>
        <v>31</v>
      </c>
      <c r="E63" s="7">
        <v>0.64</v>
      </c>
      <c r="F63" s="7" t="s">
        <v>22</v>
      </c>
      <c r="G63" s="7"/>
      <c r="H63" s="15"/>
      <c r="I63" s="10">
        <f t="shared" si="1"/>
        <v>0</v>
      </c>
      <c r="J63" s="15"/>
      <c r="K63" s="10">
        <f t="shared" si="2"/>
        <v>0</v>
      </c>
      <c r="L63" s="15"/>
      <c r="M63" s="10">
        <f t="shared" si="3"/>
        <v>0</v>
      </c>
      <c r="N63" s="15"/>
      <c r="O63" s="10">
        <f t="shared" si="4"/>
        <v>0</v>
      </c>
      <c r="P63" s="15"/>
      <c r="Q63" s="10">
        <f t="shared" si="5"/>
        <v>0</v>
      </c>
      <c r="R63" s="15"/>
      <c r="S63" s="10">
        <f t="shared" si="6"/>
        <v>0</v>
      </c>
      <c r="T63" s="15"/>
      <c r="U63" s="10">
        <f t="shared" si="7"/>
        <v>0</v>
      </c>
      <c r="V63" s="15"/>
      <c r="W63" s="10">
        <f t="shared" si="8"/>
        <v>0</v>
      </c>
      <c r="X63" s="15"/>
      <c r="Y63" s="10">
        <f t="shared" si="9"/>
        <v>0</v>
      </c>
      <c r="Z63" s="15"/>
      <c r="AA63" s="10">
        <f t="shared" si="10"/>
        <v>0</v>
      </c>
      <c r="AB63" s="15"/>
      <c r="AC63" s="10">
        <f t="shared" si="11"/>
        <v>0</v>
      </c>
      <c r="AD63" s="15"/>
      <c r="AE63" s="10">
        <f t="shared" si="12"/>
        <v>0</v>
      </c>
      <c r="AF63" s="11">
        <f t="shared" si="13"/>
        <v>0</v>
      </c>
      <c r="AG63" s="12">
        <f t="shared" si="14"/>
        <v>0</v>
      </c>
      <c r="AH63" s="15"/>
      <c r="AI63" s="10">
        <f t="shared" si="15"/>
        <v>0</v>
      </c>
      <c r="AJ63" s="15"/>
      <c r="AK63" s="10">
        <f t="shared" si="16"/>
        <v>0</v>
      </c>
      <c r="AL63" s="15"/>
      <c r="AM63" s="10">
        <f t="shared" si="17"/>
        <v>0</v>
      </c>
      <c r="AN63" s="15"/>
      <c r="AO63" s="10">
        <f t="shared" si="18"/>
        <v>0</v>
      </c>
      <c r="AP63" s="15"/>
      <c r="AQ63" s="10">
        <f t="shared" si="19"/>
        <v>0</v>
      </c>
      <c r="AR63" s="15"/>
      <c r="AS63" s="10">
        <f t="shared" si="20"/>
        <v>0</v>
      </c>
      <c r="AT63" s="15"/>
      <c r="AU63" s="10">
        <f t="shared" si="21"/>
        <v>0</v>
      </c>
      <c r="AV63" s="15"/>
      <c r="AW63" s="10">
        <f t="shared" si="22"/>
        <v>0</v>
      </c>
      <c r="AX63" s="15"/>
      <c r="AY63" s="10">
        <f t="shared" si="23"/>
        <v>0</v>
      </c>
      <c r="AZ63" s="15"/>
      <c r="BA63" s="10">
        <f t="shared" si="24"/>
        <v>0</v>
      </c>
      <c r="BB63" s="15"/>
      <c r="BC63" s="10">
        <f t="shared" si="25"/>
        <v>0</v>
      </c>
      <c r="BD63" s="15"/>
      <c r="BE63" s="10">
        <f t="shared" si="26"/>
        <v>0</v>
      </c>
      <c r="BF63" s="11">
        <f t="shared" si="27"/>
        <v>0</v>
      </c>
      <c r="BG63" s="12">
        <f t="shared" si="28"/>
        <v>0</v>
      </c>
      <c r="BH63" s="15"/>
      <c r="BI63" s="10">
        <f t="shared" si="29"/>
        <v>0</v>
      </c>
      <c r="BJ63" s="15"/>
      <c r="BK63" s="10">
        <f t="shared" si="30"/>
        <v>0</v>
      </c>
      <c r="BL63" s="15"/>
      <c r="BM63" s="10">
        <f t="shared" si="31"/>
        <v>0</v>
      </c>
      <c r="BN63" s="15"/>
      <c r="BO63" s="10">
        <f t="shared" si="32"/>
        <v>0</v>
      </c>
      <c r="BP63" s="15"/>
      <c r="BQ63" s="10">
        <f t="shared" si="33"/>
        <v>0</v>
      </c>
      <c r="BR63" s="15"/>
      <c r="BS63" s="10">
        <f t="shared" si="34"/>
        <v>0</v>
      </c>
      <c r="BT63" s="15"/>
      <c r="BU63" s="10">
        <f t="shared" si="35"/>
        <v>0</v>
      </c>
      <c r="BV63" s="15"/>
      <c r="BW63" s="10">
        <f t="shared" si="36"/>
        <v>0</v>
      </c>
      <c r="BX63" s="15"/>
      <c r="BY63" s="10">
        <f t="shared" si="37"/>
        <v>0</v>
      </c>
      <c r="BZ63" s="15"/>
      <c r="CA63" s="10">
        <f t="shared" si="38"/>
        <v>0</v>
      </c>
      <c r="CB63" s="15"/>
      <c r="CC63" s="10">
        <f t="shared" si="39"/>
        <v>0</v>
      </c>
      <c r="CD63" s="15"/>
      <c r="CE63" s="10">
        <f t="shared" si="40"/>
        <v>0</v>
      </c>
      <c r="CF63" s="11">
        <f t="shared" si="41"/>
        <v>0</v>
      </c>
      <c r="CG63" s="12">
        <f t="shared" si="42"/>
        <v>0</v>
      </c>
      <c r="CH63" s="15"/>
      <c r="CI63" s="10">
        <f t="shared" si="43"/>
        <v>0</v>
      </c>
      <c r="CJ63" s="15"/>
      <c r="CK63" s="10">
        <f t="shared" si="44"/>
        <v>0</v>
      </c>
      <c r="CL63" s="15"/>
      <c r="CM63" s="10">
        <f t="shared" si="45"/>
        <v>0</v>
      </c>
      <c r="CN63" s="15"/>
      <c r="CO63" s="10">
        <f t="shared" si="46"/>
        <v>0</v>
      </c>
      <c r="CP63" s="15"/>
      <c r="CQ63" s="10">
        <f t="shared" si="47"/>
        <v>0</v>
      </c>
      <c r="CR63" s="15"/>
      <c r="CS63" s="10">
        <f t="shared" si="48"/>
        <v>0</v>
      </c>
      <c r="CT63" s="15"/>
      <c r="CU63" s="10">
        <f t="shared" si="49"/>
        <v>0</v>
      </c>
      <c r="CV63" s="15"/>
      <c r="CW63" s="10">
        <f t="shared" si="50"/>
        <v>0</v>
      </c>
      <c r="CX63" s="15"/>
      <c r="CY63" s="10">
        <f t="shared" si="51"/>
        <v>0</v>
      </c>
      <c r="CZ63" s="15"/>
      <c r="DA63" s="10">
        <f t="shared" si="52"/>
        <v>0</v>
      </c>
      <c r="DB63" s="15"/>
      <c r="DC63" s="10">
        <f t="shared" si="53"/>
        <v>0</v>
      </c>
      <c r="DD63" s="15"/>
      <c r="DE63" s="10">
        <f t="shared" si="53"/>
        <v>0</v>
      </c>
      <c r="DF63" s="16">
        <f t="shared" si="0"/>
        <v>0</v>
      </c>
      <c r="DG63" s="208">
        <f t="shared" si="54"/>
        <v>0</v>
      </c>
    </row>
    <row r="64" spans="1:111">
      <c r="A64" s="7">
        <v>53</v>
      </c>
      <c r="B64" s="8" t="s">
        <v>59</v>
      </c>
      <c r="C64" s="8" t="s">
        <v>11</v>
      </c>
      <c r="D64" s="7">
        <f>RANK(DF64,$DF$4:$DF$141)</f>
        <v>16</v>
      </c>
      <c r="E64" s="7">
        <v>0.64</v>
      </c>
      <c r="F64" s="7" t="s">
        <v>22</v>
      </c>
      <c r="G64" s="7">
        <v>1350</v>
      </c>
      <c r="H64" s="9">
        <v>5488</v>
      </c>
      <c r="I64" s="10">
        <f t="shared" si="1"/>
        <v>3512.32</v>
      </c>
      <c r="J64" s="9">
        <v>5082</v>
      </c>
      <c r="K64" s="10">
        <f t="shared" si="2"/>
        <v>3252.48</v>
      </c>
      <c r="L64" s="9">
        <v>7970</v>
      </c>
      <c r="M64" s="10">
        <f t="shared" si="3"/>
        <v>5100.8</v>
      </c>
      <c r="N64" s="9">
        <v>5152</v>
      </c>
      <c r="O64" s="10">
        <f t="shared" si="4"/>
        <v>3297.28</v>
      </c>
      <c r="P64" s="9">
        <v>5614</v>
      </c>
      <c r="Q64" s="10">
        <f t="shared" si="5"/>
        <v>3592.96</v>
      </c>
      <c r="R64" s="9">
        <v>5334</v>
      </c>
      <c r="S64" s="10">
        <f t="shared" si="6"/>
        <v>3413.76</v>
      </c>
      <c r="T64" s="9">
        <v>5899</v>
      </c>
      <c r="U64" s="10">
        <f t="shared" si="7"/>
        <v>3775.36</v>
      </c>
      <c r="V64" s="9">
        <v>4564</v>
      </c>
      <c r="W64" s="10">
        <f t="shared" si="8"/>
        <v>2920.96</v>
      </c>
      <c r="X64" s="9">
        <v>4830</v>
      </c>
      <c r="Y64" s="10">
        <f t="shared" si="9"/>
        <v>3091.2000000000003</v>
      </c>
      <c r="Z64" s="9">
        <v>6062</v>
      </c>
      <c r="AA64" s="10">
        <f t="shared" si="10"/>
        <v>3879.6800000000003</v>
      </c>
      <c r="AB64" s="9">
        <v>4074</v>
      </c>
      <c r="AC64" s="10">
        <f t="shared" si="11"/>
        <v>2607.36</v>
      </c>
      <c r="AD64" s="9">
        <v>5376</v>
      </c>
      <c r="AE64" s="10">
        <f t="shared" si="12"/>
        <v>3440.64</v>
      </c>
      <c r="AF64" s="11">
        <f t="shared" si="13"/>
        <v>65445</v>
      </c>
      <c r="AG64" s="12">
        <f t="shared" si="14"/>
        <v>41884.800000000003</v>
      </c>
      <c r="AH64" s="9">
        <v>5936</v>
      </c>
      <c r="AI64" s="10">
        <f t="shared" si="15"/>
        <v>3799.04</v>
      </c>
      <c r="AJ64" s="9">
        <v>2478</v>
      </c>
      <c r="AK64" s="10">
        <f t="shared" si="16"/>
        <v>1585.92</v>
      </c>
      <c r="AL64" s="9">
        <v>4396</v>
      </c>
      <c r="AM64" s="10">
        <f t="shared" si="17"/>
        <v>2813.44</v>
      </c>
      <c r="AN64" s="9">
        <v>1932</v>
      </c>
      <c r="AO64" s="10">
        <f t="shared" si="18"/>
        <v>1236.48</v>
      </c>
      <c r="AP64" s="9">
        <v>3542</v>
      </c>
      <c r="AQ64" s="10">
        <f t="shared" si="19"/>
        <v>2266.88</v>
      </c>
      <c r="AR64" s="9">
        <v>4718</v>
      </c>
      <c r="AS64" s="10">
        <f t="shared" si="20"/>
        <v>3019.52</v>
      </c>
      <c r="AT64" s="9">
        <v>2366</v>
      </c>
      <c r="AU64" s="10">
        <f t="shared" si="21"/>
        <v>1514.24</v>
      </c>
      <c r="AV64" s="9">
        <v>5698</v>
      </c>
      <c r="AW64" s="10">
        <f t="shared" si="22"/>
        <v>3646.7200000000003</v>
      </c>
      <c r="AX64" s="9">
        <v>2520</v>
      </c>
      <c r="AY64" s="10">
        <f t="shared" si="23"/>
        <v>1612.8</v>
      </c>
      <c r="AZ64" s="9">
        <v>2758</v>
      </c>
      <c r="BA64" s="10">
        <f t="shared" si="24"/>
        <v>1765.1200000000001</v>
      </c>
      <c r="BB64" s="9">
        <v>1554</v>
      </c>
      <c r="BC64" s="10">
        <f t="shared" si="25"/>
        <v>994.56000000000006</v>
      </c>
      <c r="BD64" s="9">
        <v>2492</v>
      </c>
      <c r="BE64" s="10">
        <f t="shared" si="26"/>
        <v>1594.88</v>
      </c>
      <c r="BF64" s="11">
        <f t="shared" si="27"/>
        <v>40390</v>
      </c>
      <c r="BG64" s="12">
        <f t="shared" si="28"/>
        <v>25849.600000000002</v>
      </c>
      <c r="BH64" s="13">
        <v>2940</v>
      </c>
      <c r="BI64" s="10">
        <f t="shared" si="29"/>
        <v>1881.6000000000001</v>
      </c>
      <c r="BJ64" s="13">
        <v>1932</v>
      </c>
      <c r="BK64" s="10">
        <f t="shared" si="30"/>
        <v>1236.48</v>
      </c>
      <c r="BL64" s="13">
        <v>3192</v>
      </c>
      <c r="BM64" s="10">
        <f t="shared" si="31"/>
        <v>2042.88</v>
      </c>
      <c r="BN64" s="13">
        <v>2240</v>
      </c>
      <c r="BO64" s="10">
        <f t="shared" si="32"/>
        <v>1433.6000000000001</v>
      </c>
      <c r="BP64" s="13">
        <v>2660</v>
      </c>
      <c r="BQ64" s="10">
        <f t="shared" si="33"/>
        <v>1702.4</v>
      </c>
      <c r="BR64" s="13">
        <v>3865</v>
      </c>
      <c r="BS64" s="10">
        <f t="shared" si="34"/>
        <v>2473.6</v>
      </c>
      <c r="BT64" s="13">
        <v>1919</v>
      </c>
      <c r="BU64" s="10">
        <f t="shared" si="35"/>
        <v>1228.1600000000001</v>
      </c>
      <c r="BV64" s="13">
        <v>2507</v>
      </c>
      <c r="BW64" s="10">
        <f t="shared" si="36"/>
        <v>1604.48</v>
      </c>
      <c r="BX64" s="13">
        <v>840</v>
      </c>
      <c r="BY64" s="10">
        <f t="shared" si="37"/>
        <v>537.6</v>
      </c>
      <c r="BZ64" s="13">
        <v>974</v>
      </c>
      <c r="CA64" s="10">
        <f t="shared" si="38"/>
        <v>623.36</v>
      </c>
      <c r="CB64" s="13"/>
      <c r="CC64" s="10">
        <f t="shared" si="39"/>
        <v>0</v>
      </c>
      <c r="CD64" s="14">
        <v>98</v>
      </c>
      <c r="CE64" s="10">
        <f t="shared" si="40"/>
        <v>62.72</v>
      </c>
      <c r="CF64" s="11">
        <f t="shared" si="41"/>
        <v>23167</v>
      </c>
      <c r="CG64" s="12">
        <f t="shared" si="42"/>
        <v>14826.880000000001</v>
      </c>
      <c r="CH64" s="15">
        <v>770</v>
      </c>
      <c r="CI64" s="10">
        <f t="shared" si="43"/>
        <v>492.8</v>
      </c>
      <c r="CJ64" s="15">
        <v>1344</v>
      </c>
      <c r="CK64" s="10">
        <f t="shared" si="44"/>
        <v>860.16</v>
      </c>
      <c r="CL64" s="15">
        <v>2828</v>
      </c>
      <c r="CM64" s="10">
        <f t="shared" si="45"/>
        <v>1809.92</v>
      </c>
      <c r="CN64" s="15">
        <v>630</v>
      </c>
      <c r="CO64" s="10">
        <f t="shared" si="46"/>
        <v>403.2</v>
      </c>
      <c r="CP64" s="15">
        <v>1666</v>
      </c>
      <c r="CQ64" s="10">
        <f t="shared" si="47"/>
        <v>1066.24</v>
      </c>
      <c r="CR64" s="15">
        <v>1246</v>
      </c>
      <c r="CS64" s="10">
        <f t="shared" si="48"/>
        <v>797.44</v>
      </c>
      <c r="CT64" s="15">
        <v>2982</v>
      </c>
      <c r="CU64" s="10">
        <f t="shared" si="49"/>
        <v>1908.48</v>
      </c>
      <c r="CV64" s="15">
        <v>2044</v>
      </c>
      <c r="CW64" s="10">
        <f t="shared" si="50"/>
        <v>1308.1600000000001</v>
      </c>
      <c r="CX64" s="15">
        <v>2576</v>
      </c>
      <c r="CY64" s="10">
        <f t="shared" si="51"/>
        <v>1648.64</v>
      </c>
      <c r="CZ64" s="15">
        <v>2044</v>
      </c>
      <c r="DA64" s="10">
        <f t="shared" si="52"/>
        <v>1308.1600000000001</v>
      </c>
      <c r="DB64" s="15">
        <v>980</v>
      </c>
      <c r="DC64" s="10">
        <f t="shared" si="53"/>
        <v>627.20000000000005</v>
      </c>
      <c r="DD64" s="15">
        <v>1414</v>
      </c>
      <c r="DE64" s="10">
        <f t="shared" si="53"/>
        <v>904.96</v>
      </c>
      <c r="DF64" s="16">
        <f t="shared" si="0"/>
        <v>20524</v>
      </c>
      <c r="DG64" s="208">
        <f t="shared" si="54"/>
        <v>13135.36</v>
      </c>
    </row>
    <row r="65" spans="1:111">
      <c r="A65" s="7"/>
      <c r="B65" s="19"/>
      <c r="C65" s="19"/>
      <c r="D65" s="19"/>
      <c r="E65" s="7"/>
      <c r="F65" s="7"/>
      <c r="G65" s="7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>
        <f>R65*$E65</f>
        <v>0</v>
      </c>
      <c r="T65" s="9"/>
      <c r="U65" s="10"/>
      <c r="V65" s="9"/>
      <c r="W65" s="10"/>
      <c r="X65" s="9"/>
      <c r="Y65" s="10"/>
      <c r="Z65" s="9"/>
      <c r="AA65" s="10"/>
      <c r="AB65" s="9"/>
      <c r="AC65" s="10"/>
      <c r="AD65" s="9"/>
      <c r="AE65" s="10"/>
      <c r="AF65" s="11">
        <f>(AD65+AB65+Z65+X65+V65+T65+R65+P65+N65+L65+J65+H65)/1</f>
        <v>0</v>
      </c>
      <c r="AG65" s="12">
        <f t="shared" si="14"/>
        <v>0</v>
      </c>
      <c r="AH65" s="9"/>
      <c r="AI65" s="10"/>
      <c r="AJ65" s="9"/>
      <c r="AK65" s="10"/>
      <c r="AL65" s="9"/>
      <c r="AM65" s="10"/>
      <c r="AN65" s="9"/>
      <c r="AO65" s="10"/>
      <c r="AP65" s="9"/>
      <c r="AQ65" s="10"/>
      <c r="AR65" s="9"/>
      <c r="AS65" s="10"/>
      <c r="AT65" s="9"/>
      <c r="AU65" s="10"/>
      <c r="AV65" s="9"/>
      <c r="AW65" s="10"/>
      <c r="AX65" s="9"/>
      <c r="AY65" s="10"/>
      <c r="AZ65" s="9"/>
      <c r="BA65" s="10"/>
      <c r="BB65" s="9"/>
      <c r="BC65" s="10"/>
      <c r="BD65" s="9"/>
      <c r="BE65" s="10"/>
      <c r="BF65" s="11">
        <f t="shared" si="27"/>
        <v>0</v>
      </c>
      <c r="BG65" s="12">
        <f t="shared" si="28"/>
        <v>0</v>
      </c>
      <c r="BH65" s="15"/>
      <c r="BI65" s="10"/>
      <c r="BJ65" s="15"/>
      <c r="BK65" s="10"/>
      <c r="BL65" s="15"/>
      <c r="BM65" s="10"/>
      <c r="BN65" s="15"/>
      <c r="BO65" s="10"/>
      <c r="BP65" s="15"/>
      <c r="BQ65" s="10"/>
      <c r="BR65" s="15"/>
      <c r="BS65" s="10"/>
      <c r="BT65" s="15"/>
      <c r="BU65" s="10"/>
      <c r="BV65" s="15"/>
      <c r="BW65" s="10"/>
      <c r="BX65" s="15"/>
      <c r="BY65" s="10"/>
      <c r="BZ65" s="15"/>
      <c r="CA65" s="10"/>
      <c r="CB65" s="15"/>
      <c r="CC65" s="10"/>
      <c r="CD65" s="15"/>
      <c r="CE65" s="10"/>
      <c r="CF65" s="11">
        <f t="shared" si="41"/>
        <v>0</v>
      </c>
      <c r="CG65" s="12">
        <f t="shared" si="42"/>
        <v>0</v>
      </c>
      <c r="CH65" s="15"/>
      <c r="CI65" s="10">
        <f t="shared" si="43"/>
        <v>0</v>
      </c>
      <c r="CJ65" s="15"/>
      <c r="CK65" s="10">
        <f t="shared" si="44"/>
        <v>0</v>
      </c>
      <c r="CL65" s="15"/>
      <c r="CM65" s="10">
        <f t="shared" si="45"/>
        <v>0</v>
      </c>
      <c r="CN65" s="15"/>
      <c r="CO65" s="10">
        <f t="shared" si="46"/>
        <v>0</v>
      </c>
      <c r="CP65" s="15"/>
      <c r="CQ65" s="10">
        <f t="shared" si="47"/>
        <v>0</v>
      </c>
      <c r="CR65" s="15"/>
      <c r="CS65" s="10">
        <f t="shared" si="48"/>
        <v>0</v>
      </c>
      <c r="CT65" s="15"/>
      <c r="CU65" s="10">
        <f t="shared" si="49"/>
        <v>0</v>
      </c>
      <c r="CV65" s="15"/>
      <c r="CW65" s="10">
        <f t="shared" si="50"/>
        <v>0</v>
      </c>
      <c r="CX65" s="15"/>
      <c r="CY65" s="10">
        <f t="shared" si="51"/>
        <v>0</v>
      </c>
      <c r="CZ65" s="15"/>
      <c r="DA65" s="10">
        <f t="shared" si="52"/>
        <v>0</v>
      </c>
      <c r="DB65" s="15"/>
      <c r="DC65" s="10">
        <f t="shared" si="53"/>
        <v>0</v>
      </c>
      <c r="DD65" s="15"/>
      <c r="DE65" s="10">
        <f t="shared" si="53"/>
        <v>0</v>
      </c>
      <c r="DF65" s="16">
        <f t="shared" si="0"/>
        <v>0</v>
      </c>
      <c r="DG65" s="208">
        <f t="shared" si="54"/>
        <v>0</v>
      </c>
    </row>
    <row r="66" spans="1:111">
      <c r="A66" s="7">
        <v>54</v>
      </c>
      <c r="B66" s="8" t="s">
        <v>60</v>
      </c>
      <c r="C66" s="8" t="s">
        <v>14</v>
      </c>
      <c r="D66" s="7">
        <f>RANK(DF66,$DF$4:$DF$141)</f>
        <v>31</v>
      </c>
      <c r="E66" s="7">
        <v>1</v>
      </c>
      <c r="F66" s="7" t="s">
        <v>12</v>
      </c>
      <c r="G66" s="7"/>
      <c r="H66" s="15"/>
      <c r="I66" s="10">
        <f t="shared" si="1"/>
        <v>0</v>
      </c>
      <c r="J66" s="15"/>
      <c r="K66" s="10">
        <f t="shared" si="2"/>
        <v>0</v>
      </c>
      <c r="L66" s="15"/>
      <c r="M66" s="10">
        <f t="shared" si="3"/>
        <v>0</v>
      </c>
      <c r="N66" s="15"/>
      <c r="O66" s="10">
        <f t="shared" si="4"/>
        <v>0</v>
      </c>
      <c r="P66" s="15"/>
      <c r="Q66" s="10">
        <f t="shared" si="5"/>
        <v>0</v>
      </c>
      <c r="R66" s="15"/>
      <c r="S66" s="10">
        <f t="shared" ref="S66:S76" si="57">R66*$E66</f>
        <v>0</v>
      </c>
      <c r="T66" s="15"/>
      <c r="U66" s="10">
        <f t="shared" si="7"/>
        <v>0</v>
      </c>
      <c r="V66" s="15"/>
      <c r="W66" s="10">
        <f t="shared" si="8"/>
        <v>0</v>
      </c>
      <c r="X66" s="15"/>
      <c r="Y66" s="10">
        <f t="shared" si="9"/>
        <v>0</v>
      </c>
      <c r="Z66" s="15"/>
      <c r="AA66" s="10">
        <f t="shared" si="10"/>
        <v>0</v>
      </c>
      <c r="AB66" s="15"/>
      <c r="AC66" s="10">
        <f t="shared" si="11"/>
        <v>0</v>
      </c>
      <c r="AD66" s="15"/>
      <c r="AE66" s="10">
        <f t="shared" si="12"/>
        <v>0</v>
      </c>
      <c r="AF66" s="11">
        <f t="shared" si="13"/>
        <v>0</v>
      </c>
      <c r="AG66" s="12">
        <f t="shared" si="14"/>
        <v>0</v>
      </c>
      <c r="AH66" s="15"/>
      <c r="AI66" s="10">
        <f t="shared" si="15"/>
        <v>0</v>
      </c>
      <c r="AJ66" s="15"/>
      <c r="AK66" s="10">
        <f t="shared" si="16"/>
        <v>0</v>
      </c>
      <c r="AL66" s="15"/>
      <c r="AM66" s="10">
        <f t="shared" si="17"/>
        <v>0</v>
      </c>
      <c r="AN66" s="15"/>
      <c r="AO66" s="10">
        <f t="shared" si="18"/>
        <v>0</v>
      </c>
      <c r="AP66" s="15"/>
      <c r="AQ66" s="10">
        <f t="shared" si="19"/>
        <v>0</v>
      </c>
      <c r="AR66" s="15"/>
      <c r="AS66" s="10">
        <f t="shared" si="20"/>
        <v>0</v>
      </c>
      <c r="AT66" s="15"/>
      <c r="AU66" s="10">
        <f t="shared" si="21"/>
        <v>0</v>
      </c>
      <c r="AV66" s="15"/>
      <c r="AW66" s="10">
        <f t="shared" si="22"/>
        <v>0</v>
      </c>
      <c r="AX66" s="15"/>
      <c r="AY66" s="10">
        <f t="shared" si="23"/>
        <v>0</v>
      </c>
      <c r="AZ66" s="15"/>
      <c r="BA66" s="10">
        <f t="shared" si="24"/>
        <v>0</v>
      </c>
      <c r="BB66" s="15"/>
      <c r="BC66" s="10">
        <f t="shared" si="25"/>
        <v>0</v>
      </c>
      <c r="BD66" s="15"/>
      <c r="BE66" s="10">
        <f t="shared" si="26"/>
        <v>0</v>
      </c>
      <c r="BF66" s="11">
        <f t="shared" si="27"/>
        <v>0</v>
      </c>
      <c r="BG66" s="12">
        <f t="shared" si="28"/>
        <v>0</v>
      </c>
      <c r="BH66" s="15"/>
      <c r="BI66" s="10">
        <f t="shared" si="29"/>
        <v>0</v>
      </c>
      <c r="BJ66" s="15"/>
      <c r="BK66" s="10">
        <f t="shared" si="30"/>
        <v>0</v>
      </c>
      <c r="BL66" s="15"/>
      <c r="BM66" s="10">
        <f t="shared" si="31"/>
        <v>0</v>
      </c>
      <c r="BN66" s="15"/>
      <c r="BO66" s="10">
        <f t="shared" si="32"/>
        <v>0</v>
      </c>
      <c r="BP66" s="15"/>
      <c r="BQ66" s="10">
        <f t="shared" si="33"/>
        <v>0</v>
      </c>
      <c r="BR66" s="15"/>
      <c r="BS66" s="10">
        <f t="shared" si="34"/>
        <v>0</v>
      </c>
      <c r="BT66" s="15"/>
      <c r="BU66" s="10">
        <f t="shared" si="35"/>
        <v>0</v>
      </c>
      <c r="BV66" s="15"/>
      <c r="BW66" s="10">
        <f t="shared" si="36"/>
        <v>0</v>
      </c>
      <c r="BX66" s="15"/>
      <c r="BY66" s="10">
        <f t="shared" si="37"/>
        <v>0</v>
      </c>
      <c r="BZ66" s="15"/>
      <c r="CA66" s="10">
        <f t="shared" si="38"/>
        <v>0</v>
      </c>
      <c r="CB66" s="15"/>
      <c r="CC66" s="10">
        <f t="shared" si="39"/>
        <v>0</v>
      </c>
      <c r="CD66" s="15"/>
      <c r="CE66" s="10">
        <f t="shared" si="40"/>
        <v>0</v>
      </c>
      <c r="CF66" s="11">
        <f t="shared" si="41"/>
        <v>0</v>
      </c>
      <c r="CG66" s="12">
        <f t="shared" si="42"/>
        <v>0</v>
      </c>
      <c r="CH66" s="15"/>
      <c r="CI66" s="10">
        <f t="shared" si="43"/>
        <v>0</v>
      </c>
      <c r="CJ66" s="15"/>
      <c r="CK66" s="10">
        <f t="shared" si="44"/>
        <v>0</v>
      </c>
      <c r="CL66" s="15"/>
      <c r="CM66" s="10">
        <f t="shared" si="45"/>
        <v>0</v>
      </c>
      <c r="CN66" s="15"/>
      <c r="CO66" s="10">
        <f t="shared" si="46"/>
        <v>0</v>
      </c>
      <c r="CP66" s="15"/>
      <c r="CQ66" s="10">
        <f t="shared" si="47"/>
        <v>0</v>
      </c>
      <c r="CR66" s="15"/>
      <c r="CS66" s="10">
        <f t="shared" si="48"/>
        <v>0</v>
      </c>
      <c r="CT66" s="15"/>
      <c r="CU66" s="10">
        <f t="shared" si="49"/>
        <v>0</v>
      </c>
      <c r="CV66" s="15"/>
      <c r="CW66" s="10">
        <f t="shared" si="50"/>
        <v>0</v>
      </c>
      <c r="CX66" s="15"/>
      <c r="CY66" s="10">
        <f t="shared" si="51"/>
        <v>0</v>
      </c>
      <c r="CZ66" s="15"/>
      <c r="DA66" s="10">
        <f t="shared" si="52"/>
        <v>0</v>
      </c>
      <c r="DB66" s="15"/>
      <c r="DC66" s="10">
        <f t="shared" si="53"/>
        <v>0</v>
      </c>
      <c r="DD66" s="15"/>
      <c r="DE66" s="10">
        <f t="shared" si="53"/>
        <v>0</v>
      </c>
      <c r="DF66" s="16">
        <f t="shared" si="0"/>
        <v>0</v>
      </c>
      <c r="DG66" s="208">
        <f t="shared" si="54"/>
        <v>0</v>
      </c>
    </row>
    <row r="67" spans="1:111">
      <c r="A67" s="7">
        <v>55</v>
      </c>
      <c r="B67" s="8" t="s">
        <v>61</v>
      </c>
      <c r="C67" s="8" t="s">
        <v>14</v>
      </c>
      <c r="D67" s="7">
        <f>RANK(DF67,$DF$4:$DF$141)</f>
        <v>31</v>
      </c>
      <c r="E67" s="7">
        <v>0.6</v>
      </c>
      <c r="F67" s="7" t="s">
        <v>12</v>
      </c>
      <c r="G67" s="7"/>
      <c r="H67" s="15"/>
      <c r="I67" s="10">
        <f t="shared" si="1"/>
        <v>0</v>
      </c>
      <c r="J67" s="15"/>
      <c r="K67" s="10">
        <f t="shared" si="2"/>
        <v>0</v>
      </c>
      <c r="L67" s="15"/>
      <c r="M67" s="10">
        <f t="shared" si="3"/>
        <v>0</v>
      </c>
      <c r="N67" s="15"/>
      <c r="O67" s="10">
        <f t="shared" si="4"/>
        <v>0</v>
      </c>
      <c r="P67" s="15"/>
      <c r="Q67" s="10">
        <f t="shared" si="5"/>
        <v>0</v>
      </c>
      <c r="R67" s="15"/>
      <c r="S67" s="10">
        <f t="shared" si="57"/>
        <v>0</v>
      </c>
      <c r="T67" s="15"/>
      <c r="U67" s="10">
        <f t="shared" si="7"/>
        <v>0</v>
      </c>
      <c r="V67" s="15"/>
      <c r="W67" s="10">
        <f t="shared" si="8"/>
        <v>0</v>
      </c>
      <c r="X67" s="15"/>
      <c r="Y67" s="10">
        <f t="shared" si="9"/>
        <v>0</v>
      </c>
      <c r="Z67" s="15"/>
      <c r="AA67" s="10">
        <f t="shared" si="10"/>
        <v>0</v>
      </c>
      <c r="AB67" s="15"/>
      <c r="AC67" s="10">
        <f t="shared" si="11"/>
        <v>0</v>
      </c>
      <c r="AD67" s="15"/>
      <c r="AE67" s="10">
        <f t="shared" si="12"/>
        <v>0</v>
      </c>
      <c r="AF67" s="11">
        <f t="shared" si="13"/>
        <v>0</v>
      </c>
      <c r="AG67" s="12">
        <f t="shared" si="14"/>
        <v>0</v>
      </c>
      <c r="AH67" s="15"/>
      <c r="AI67" s="10">
        <f t="shared" si="15"/>
        <v>0</v>
      </c>
      <c r="AJ67" s="15"/>
      <c r="AK67" s="10">
        <f t="shared" si="16"/>
        <v>0</v>
      </c>
      <c r="AL67" s="15"/>
      <c r="AM67" s="10">
        <f t="shared" si="17"/>
        <v>0</v>
      </c>
      <c r="AN67" s="15"/>
      <c r="AO67" s="10">
        <f t="shared" si="18"/>
        <v>0</v>
      </c>
      <c r="AP67" s="15"/>
      <c r="AQ67" s="10">
        <f t="shared" si="19"/>
        <v>0</v>
      </c>
      <c r="AR67" s="15"/>
      <c r="AS67" s="10">
        <f t="shared" si="20"/>
        <v>0</v>
      </c>
      <c r="AT67" s="15"/>
      <c r="AU67" s="10">
        <f t="shared" si="21"/>
        <v>0</v>
      </c>
      <c r="AV67" s="15"/>
      <c r="AW67" s="10">
        <f t="shared" si="22"/>
        <v>0</v>
      </c>
      <c r="AX67" s="15"/>
      <c r="AY67" s="10">
        <f t="shared" si="23"/>
        <v>0</v>
      </c>
      <c r="AZ67" s="15"/>
      <c r="BA67" s="10">
        <f t="shared" si="24"/>
        <v>0</v>
      </c>
      <c r="BB67" s="15"/>
      <c r="BC67" s="10">
        <f t="shared" si="25"/>
        <v>0</v>
      </c>
      <c r="BD67" s="15"/>
      <c r="BE67" s="10">
        <f t="shared" si="26"/>
        <v>0</v>
      </c>
      <c r="BF67" s="11">
        <f t="shared" si="27"/>
        <v>0</v>
      </c>
      <c r="BG67" s="12">
        <f t="shared" si="28"/>
        <v>0</v>
      </c>
      <c r="BH67" s="15"/>
      <c r="BI67" s="10">
        <f t="shared" si="29"/>
        <v>0</v>
      </c>
      <c r="BJ67" s="15"/>
      <c r="BK67" s="10">
        <f t="shared" si="30"/>
        <v>0</v>
      </c>
      <c r="BL67" s="15"/>
      <c r="BM67" s="10">
        <f t="shared" si="31"/>
        <v>0</v>
      </c>
      <c r="BN67" s="15"/>
      <c r="BO67" s="10">
        <f t="shared" si="32"/>
        <v>0</v>
      </c>
      <c r="BP67" s="15"/>
      <c r="BQ67" s="10">
        <f t="shared" si="33"/>
        <v>0</v>
      </c>
      <c r="BR67" s="15"/>
      <c r="BS67" s="10">
        <f t="shared" si="34"/>
        <v>0</v>
      </c>
      <c r="BT67" s="15"/>
      <c r="BU67" s="10">
        <f t="shared" si="35"/>
        <v>0</v>
      </c>
      <c r="BV67" s="15"/>
      <c r="BW67" s="10">
        <f t="shared" si="36"/>
        <v>0</v>
      </c>
      <c r="BX67" s="15"/>
      <c r="BY67" s="10">
        <f t="shared" si="37"/>
        <v>0</v>
      </c>
      <c r="BZ67" s="15"/>
      <c r="CA67" s="10">
        <f t="shared" si="38"/>
        <v>0</v>
      </c>
      <c r="CB67" s="15"/>
      <c r="CC67" s="10">
        <f t="shared" si="39"/>
        <v>0</v>
      </c>
      <c r="CD67" s="15"/>
      <c r="CE67" s="10">
        <f t="shared" si="40"/>
        <v>0</v>
      </c>
      <c r="CF67" s="11">
        <f t="shared" si="41"/>
        <v>0</v>
      </c>
      <c r="CG67" s="12">
        <f t="shared" si="42"/>
        <v>0</v>
      </c>
      <c r="CH67" s="15"/>
      <c r="CI67" s="10">
        <f t="shared" si="43"/>
        <v>0</v>
      </c>
      <c r="CJ67" s="15"/>
      <c r="CK67" s="10">
        <f t="shared" si="44"/>
        <v>0</v>
      </c>
      <c r="CL67" s="15"/>
      <c r="CM67" s="10">
        <f t="shared" si="45"/>
        <v>0</v>
      </c>
      <c r="CN67" s="15"/>
      <c r="CO67" s="10">
        <f t="shared" si="46"/>
        <v>0</v>
      </c>
      <c r="CP67" s="15"/>
      <c r="CQ67" s="10">
        <f t="shared" si="47"/>
        <v>0</v>
      </c>
      <c r="CR67" s="15"/>
      <c r="CS67" s="10">
        <f t="shared" si="48"/>
        <v>0</v>
      </c>
      <c r="CT67" s="15"/>
      <c r="CU67" s="10">
        <f t="shared" si="49"/>
        <v>0</v>
      </c>
      <c r="CV67" s="15"/>
      <c r="CW67" s="10">
        <f t="shared" si="50"/>
        <v>0</v>
      </c>
      <c r="CX67" s="15"/>
      <c r="CY67" s="10">
        <f t="shared" si="51"/>
        <v>0</v>
      </c>
      <c r="CZ67" s="15"/>
      <c r="DA67" s="10">
        <f t="shared" si="52"/>
        <v>0</v>
      </c>
      <c r="DB67" s="15"/>
      <c r="DC67" s="10">
        <f t="shared" si="53"/>
        <v>0</v>
      </c>
      <c r="DD67" s="15"/>
      <c r="DE67" s="10">
        <f t="shared" si="53"/>
        <v>0</v>
      </c>
      <c r="DF67" s="16">
        <f t="shared" si="0"/>
        <v>0</v>
      </c>
      <c r="DG67" s="208">
        <f t="shared" si="54"/>
        <v>0</v>
      </c>
    </row>
    <row r="68" spans="1:111">
      <c r="A68" s="7">
        <v>56</v>
      </c>
      <c r="B68" s="8" t="s">
        <v>62</v>
      </c>
      <c r="C68" s="8" t="s">
        <v>11</v>
      </c>
      <c r="D68" s="7">
        <f>RANK(DF68,$DF$4:$DF$141)</f>
        <v>31</v>
      </c>
      <c r="E68" s="7">
        <v>0.64</v>
      </c>
      <c r="F68" s="7" t="s">
        <v>22</v>
      </c>
      <c r="G68" s="7"/>
      <c r="H68" s="15"/>
      <c r="I68" s="10">
        <f t="shared" si="1"/>
        <v>0</v>
      </c>
      <c r="J68" s="15"/>
      <c r="K68" s="10">
        <f t="shared" si="2"/>
        <v>0</v>
      </c>
      <c r="L68" s="15"/>
      <c r="M68" s="10">
        <f t="shared" si="3"/>
        <v>0</v>
      </c>
      <c r="N68" s="15"/>
      <c r="O68" s="10">
        <f t="shared" si="4"/>
        <v>0</v>
      </c>
      <c r="P68" s="15"/>
      <c r="Q68" s="10">
        <f t="shared" si="5"/>
        <v>0</v>
      </c>
      <c r="R68" s="15"/>
      <c r="S68" s="10">
        <f t="shared" si="57"/>
        <v>0</v>
      </c>
      <c r="T68" s="15"/>
      <c r="U68" s="10">
        <f t="shared" si="7"/>
        <v>0</v>
      </c>
      <c r="V68" s="15"/>
      <c r="W68" s="10">
        <f t="shared" si="8"/>
        <v>0</v>
      </c>
      <c r="X68" s="15"/>
      <c r="Y68" s="10">
        <f t="shared" si="9"/>
        <v>0</v>
      </c>
      <c r="Z68" s="15"/>
      <c r="AA68" s="10">
        <f t="shared" si="10"/>
        <v>0</v>
      </c>
      <c r="AB68" s="15"/>
      <c r="AC68" s="10">
        <f t="shared" si="11"/>
        <v>0</v>
      </c>
      <c r="AD68" s="15"/>
      <c r="AE68" s="10">
        <f t="shared" si="12"/>
        <v>0</v>
      </c>
      <c r="AF68" s="11">
        <f t="shared" si="13"/>
        <v>0</v>
      </c>
      <c r="AG68" s="12">
        <f t="shared" si="14"/>
        <v>0</v>
      </c>
      <c r="AH68" s="15"/>
      <c r="AI68" s="10">
        <f t="shared" si="15"/>
        <v>0</v>
      </c>
      <c r="AJ68" s="15"/>
      <c r="AK68" s="10">
        <f t="shared" si="16"/>
        <v>0</v>
      </c>
      <c r="AL68" s="15"/>
      <c r="AM68" s="10">
        <f t="shared" si="17"/>
        <v>0</v>
      </c>
      <c r="AN68" s="15"/>
      <c r="AO68" s="10">
        <f t="shared" si="18"/>
        <v>0</v>
      </c>
      <c r="AP68" s="15"/>
      <c r="AQ68" s="10">
        <f t="shared" si="19"/>
        <v>0</v>
      </c>
      <c r="AR68" s="15"/>
      <c r="AS68" s="10">
        <f t="shared" si="20"/>
        <v>0</v>
      </c>
      <c r="AT68" s="15"/>
      <c r="AU68" s="10">
        <f t="shared" si="21"/>
        <v>0</v>
      </c>
      <c r="AV68" s="15"/>
      <c r="AW68" s="10">
        <f t="shared" si="22"/>
        <v>0</v>
      </c>
      <c r="AX68" s="15"/>
      <c r="AY68" s="10">
        <f t="shared" si="23"/>
        <v>0</v>
      </c>
      <c r="AZ68" s="15"/>
      <c r="BA68" s="10">
        <f t="shared" si="24"/>
        <v>0</v>
      </c>
      <c r="BB68" s="15"/>
      <c r="BC68" s="10">
        <f t="shared" si="25"/>
        <v>0</v>
      </c>
      <c r="BD68" s="15"/>
      <c r="BE68" s="10">
        <f t="shared" si="26"/>
        <v>0</v>
      </c>
      <c r="BF68" s="11">
        <f t="shared" si="27"/>
        <v>0</v>
      </c>
      <c r="BG68" s="12">
        <f t="shared" si="28"/>
        <v>0</v>
      </c>
      <c r="BH68" s="15"/>
      <c r="BI68" s="10">
        <f t="shared" si="29"/>
        <v>0</v>
      </c>
      <c r="BJ68" s="15"/>
      <c r="BK68" s="10">
        <f t="shared" si="30"/>
        <v>0</v>
      </c>
      <c r="BL68" s="15"/>
      <c r="BM68" s="10">
        <f t="shared" si="31"/>
        <v>0</v>
      </c>
      <c r="BN68" s="15"/>
      <c r="BO68" s="10">
        <f t="shared" si="32"/>
        <v>0</v>
      </c>
      <c r="BP68" s="15"/>
      <c r="BQ68" s="10">
        <f t="shared" si="33"/>
        <v>0</v>
      </c>
      <c r="BR68" s="15"/>
      <c r="BS68" s="10">
        <f t="shared" si="34"/>
        <v>0</v>
      </c>
      <c r="BT68" s="15"/>
      <c r="BU68" s="10">
        <f t="shared" si="35"/>
        <v>0</v>
      </c>
      <c r="BV68" s="15"/>
      <c r="BW68" s="10">
        <f t="shared" si="36"/>
        <v>0</v>
      </c>
      <c r="BX68" s="15"/>
      <c r="BY68" s="10">
        <f t="shared" si="37"/>
        <v>0</v>
      </c>
      <c r="BZ68" s="15"/>
      <c r="CA68" s="10">
        <f t="shared" si="38"/>
        <v>0</v>
      </c>
      <c r="CB68" s="15"/>
      <c r="CC68" s="10">
        <f t="shared" si="39"/>
        <v>0</v>
      </c>
      <c r="CD68" s="15"/>
      <c r="CE68" s="10">
        <f t="shared" si="40"/>
        <v>0</v>
      </c>
      <c r="CF68" s="11">
        <f t="shared" si="41"/>
        <v>0</v>
      </c>
      <c r="CG68" s="12">
        <f t="shared" si="42"/>
        <v>0</v>
      </c>
      <c r="CH68" s="15"/>
      <c r="CI68" s="10">
        <f t="shared" si="43"/>
        <v>0</v>
      </c>
      <c r="CJ68" s="15"/>
      <c r="CK68" s="10">
        <f t="shared" si="44"/>
        <v>0</v>
      </c>
      <c r="CL68" s="15"/>
      <c r="CM68" s="10">
        <f t="shared" si="45"/>
        <v>0</v>
      </c>
      <c r="CN68" s="15"/>
      <c r="CO68" s="10">
        <f t="shared" si="46"/>
        <v>0</v>
      </c>
      <c r="CP68" s="15"/>
      <c r="CQ68" s="10">
        <f t="shared" si="47"/>
        <v>0</v>
      </c>
      <c r="CR68" s="15"/>
      <c r="CS68" s="10">
        <f t="shared" si="48"/>
        <v>0</v>
      </c>
      <c r="CT68" s="15"/>
      <c r="CU68" s="10">
        <f t="shared" si="49"/>
        <v>0</v>
      </c>
      <c r="CV68" s="15"/>
      <c r="CW68" s="10">
        <f t="shared" si="50"/>
        <v>0</v>
      </c>
      <c r="CX68" s="15"/>
      <c r="CY68" s="10">
        <f t="shared" si="51"/>
        <v>0</v>
      </c>
      <c r="CZ68" s="15"/>
      <c r="DA68" s="10">
        <f t="shared" si="52"/>
        <v>0</v>
      </c>
      <c r="DB68" s="15"/>
      <c r="DC68" s="10">
        <f t="shared" si="53"/>
        <v>0</v>
      </c>
      <c r="DD68" s="15"/>
      <c r="DE68" s="10">
        <f t="shared" si="53"/>
        <v>0</v>
      </c>
      <c r="DF68" s="16">
        <f t="shared" ref="DF68:DF136" si="58">SUM(CH68,CJ68,CL68,CN68,CP68,CR68,CT68,CV68,CX68,CZ68,DB68,DD68)</f>
        <v>0</v>
      </c>
      <c r="DG68" s="208">
        <f t="shared" si="54"/>
        <v>0</v>
      </c>
    </row>
    <row r="69" spans="1:111">
      <c r="A69" s="7"/>
      <c r="B69" s="19"/>
      <c r="C69" s="8"/>
      <c r="D69" s="7"/>
      <c r="E69" s="7"/>
      <c r="F69" s="7"/>
      <c r="G69" s="7"/>
      <c r="H69" s="15"/>
      <c r="I69" s="10">
        <f t="shared" si="1"/>
        <v>0</v>
      </c>
      <c r="J69" s="15"/>
      <c r="K69" s="10">
        <f t="shared" si="2"/>
        <v>0</v>
      </c>
      <c r="L69" s="15"/>
      <c r="M69" s="10">
        <f t="shared" si="3"/>
        <v>0</v>
      </c>
      <c r="N69" s="15"/>
      <c r="O69" s="10">
        <f t="shared" si="4"/>
        <v>0</v>
      </c>
      <c r="P69" s="15"/>
      <c r="Q69" s="10">
        <f t="shared" si="5"/>
        <v>0</v>
      </c>
      <c r="R69" s="15"/>
      <c r="S69" s="10">
        <f t="shared" si="57"/>
        <v>0</v>
      </c>
      <c r="T69" s="15"/>
      <c r="U69" s="10">
        <f t="shared" si="7"/>
        <v>0</v>
      </c>
      <c r="V69" s="15"/>
      <c r="W69" s="10">
        <f t="shared" si="8"/>
        <v>0</v>
      </c>
      <c r="X69" s="15"/>
      <c r="Y69" s="10">
        <f t="shared" si="9"/>
        <v>0</v>
      </c>
      <c r="Z69" s="15"/>
      <c r="AA69" s="10">
        <f t="shared" si="10"/>
        <v>0</v>
      </c>
      <c r="AB69" s="15"/>
      <c r="AC69" s="10">
        <f t="shared" si="11"/>
        <v>0</v>
      </c>
      <c r="AD69" s="15"/>
      <c r="AE69" s="10">
        <f t="shared" si="12"/>
        <v>0</v>
      </c>
      <c r="AF69" s="11">
        <f t="shared" ref="AF69:AF75" si="59">(AD69+AB69+Z69+X69+V69+T69+R69+P69+N69+L69+J69+H69)/1</f>
        <v>0</v>
      </c>
      <c r="AG69" s="12">
        <f t="shared" ref="AG69:AG137" si="60">AF69*$E69</f>
        <v>0</v>
      </c>
      <c r="AH69" s="15"/>
      <c r="AI69" s="10">
        <f t="shared" si="15"/>
        <v>0</v>
      </c>
      <c r="AJ69" s="15"/>
      <c r="AK69" s="10">
        <f t="shared" si="16"/>
        <v>0</v>
      </c>
      <c r="AL69" s="15"/>
      <c r="AM69" s="10">
        <f t="shared" si="17"/>
        <v>0</v>
      </c>
      <c r="AN69" s="15"/>
      <c r="AO69" s="10">
        <f t="shared" si="18"/>
        <v>0</v>
      </c>
      <c r="AP69" s="15"/>
      <c r="AQ69" s="10">
        <f t="shared" si="19"/>
        <v>0</v>
      </c>
      <c r="AR69" s="15"/>
      <c r="AS69" s="10">
        <f t="shared" si="20"/>
        <v>0</v>
      </c>
      <c r="AT69" s="15"/>
      <c r="AU69" s="10">
        <f t="shared" si="21"/>
        <v>0</v>
      </c>
      <c r="AV69" s="15"/>
      <c r="AW69" s="10">
        <f t="shared" si="22"/>
        <v>0</v>
      </c>
      <c r="AX69" s="15"/>
      <c r="AY69" s="10">
        <f t="shared" si="23"/>
        <v>0</v>
      </c>
      <c r="AZ69" s="15"/>
      <c r="BA69" s="10">
        <f t="shared" si="24"/>
        <v>0</v>
      </c>
      <c r="BB69" s="15"/>
      <c r="BC69" s="10">
        <f t="shared" si="25"/>
        <v>0</v>
      </c>
      <c r="BD69" s="9"/>
      <c r="BE69" s="10">
        <f t="shared" si="26"/>
        <v>0</v>
      </c>
      <c r="BF69" s="11">
        <f t="shared" ref="BF69:BF137" si="61">(BD69+BB69+AZ69+AX69+AV69+AT69+AR69+AP69+AN69+AL69+AJ69+AH69)/1</f>
        <v>0</v>
      </c>
      <c r="BG69" s="12">
        <f t="shared" ref="BG69:BG137" si="62">BF69*$E69</f>
        <v>0</v>
      </c>
      <c r="BH69" s="15"/>
      <c r="BI69" s="10">
        <f t="shared" si="29"/>
        <v>0</v>
      </c>
      <c r="BJ69" s="15"/>
      <c r="BK69" s="10">
        <f t="shared" si="30"/>
        <v>0</v>
      </c>
      <c r="BL69" s="15"/>
      <c r="BM69" s="10">
        <f t="shared" si="31"/>
        <v>0</v>
      </c>
      <c r="BN69" s="15"/>
      <c r="BO69" s="10">
        <f t="shared" si="32"/>
        <v>0</v>
      </c>
      <c r="BP69" s="15"/>
      <c r="BQ69" s="10">
        <f t="shared" si="33"/>
        <v>0</v>
      </c>
      <c r="BR69" s="15"/>
      <c r="BS69" s="10">
        <f t="shared" si="34"/>
        <v>0</v>
      </c>
      <c r="BT69" s="15"/>
      <c r="BU69" s="10">
        <f t="shared" si="35"/>
        <v>0</v>
      </c>
      <c r="BV69" s="15"/>
      <c r="BW69" s="10">
        <f t="shared" si="36"/>
        <v>0</v>
      </c>
      <c r="BX69" s="15"/>
      <c r="BY69" s="10">
        <f t="shared" si="37"/>
        <v>0</v>
      </c>
      <c r="BZ69" s="15"/>
      <c r="CA69" s="10">
        <f t="shared" si="38"/>
        <v>0</v>
      </c>
      <c r="CB69" s="15"/>
      <c r="CC69" s="10">
        <f t="shared" si="39"/>
        <v>0</v>
      </c>
      <c r="CD69" s="15"/>
      <c r="CE69" s="10">
        <f t="shared" si="40"/>
        <v>0</v>
      </c>
      <c r="CF69" s="11">
        <f t="shared" ref="CF69:CF137" si="63">(CD69+CB69+BZ69+BX69+BV69+BT69+BR69+BP69+BN69+BL69+BJ69+BH69)/1</f>
        <v>0</v>
      </c>
      <c r="CG69" s="12">
        <f t="shared" ref="CG69:CG137" si="64">CF69*$E69</f>
        <v>0</v>
      </c>
      <c r="CH69" s="15"/>
      <c r="CI69" s="10">
        <f t="shared" ref="CI69:CI115" si="65">CH69*$E69</f>
        <v>0</v>
      </c>
      <c r="CJ69" s="15"/>
      <c r="CK69" s="10">
        <f t="shared" ref="CK69:CK115" si="66">CJ69*$E69</f>
        <v>0</v>
      </c>
      <c r="CL69" s="15"/>
      <c r="CM69" s="10">
        <f t="shared" ref="CM69:CM115" si="67">CL69*$E69</f>
        <v>0</v>
      </c>
      <c r="CN69" s="15"/>
      <c r="CO69" s="10">
        <f t="shared" ref="CO69:CO115" si="68">CN69*$E69</f>
        <v>0</v>
      </c>
      <c r="CP69" s="15"/>
      <c r="CQ69" s="10">
        <f t="shared" ref="CQ69:CQ115" si="69">CP69*$E69</f>
        <v>0</v>
      </c>
      <c r="CR69" s="15"/>
      <c r="CS69" s="10">
        <f t="shared" ref="CS69:CS115" si="70">CR69*$E69</f>
        <v>0</v>
      </c>
      <c r="CT69" s="15"/>
      <c r="CU69" s="10">
        <f t="shared" ref="CU69:CU115" si="71">CT69*$E69</f>
        <v>0</v>
      </c>
      <c r="CV69" s="15"/>
      <c r="CW69" s="10">
        <f t="shared" ref="CW69:CW115" si="72">CV69*$E69</f>
        <v>0</v>
      </c>
      <c r="CX69" s="15"/>
      <c r="CY69" s="10">
        <f t="shared" ref="CY69:CY115" si="73">CX69*$E69</f>
        <v>0</v>
      </c>
      <c r="CZ69" s="15"/>
      <c r="DA69" s="10">
        <f t="shared" ref="DA69:DA115" si="74">CZ69*$E69</f>
        <v>0</v>
      </c>
      <c r="DB69" s="15"/>
      <c r="DC69" s="10">
        <f t="shared" ref="DC69:DE115" si="75">DB69*$E69</f>
        <v>0</v>
      </c>
      <c r="DD69" s="15"/>
      <c r="DE69" s="10">
        <f t="shared" si="75"/>
        <v>0</v>
      </c>
      <c r="DF69" s="16">
        <f t="shared" si="58"/>
        <v>0</v>
      </c>
      <c r="DG69" s="208">
        <f t="shared" ref="DG69:DG115" si="76">DF69*$E69</f>
        <v>0</v>
      </c>
    </row>
    <row r="70" spans="1:111">
      <c r="A70" s="7">
        <v>57</v>
      </c>
      <c r="B70" s="8" t="s">
        <v>63</v>
      </c>
      <c r="C70" s="8" t="s">
        <v>14</v>
      </c>
      <c r="D70" s="7">
        <f>RANK(DF70,$DF$4:$DF$141)</f>
        <v>31</v>
      </c>
      <c r="E70" s="7">
        <v>1</v>
      </c>
      <c r="F70" s="7" t="s">
        <v>12</v>
      </c>
      <c r="G70" s="7"/>
      <c r="H70" s="15"/>
      <c r="I70" s="10">
        <f t="shared" si="1"/>
        <v>0</v>
      </c>
      <c r="J70" s="15"/>
      <c r="K70" s="10">
        <f t="shared" si="2"/>
        <v>0</v>
      </c>
      <c r="L70" s="15"/>
      <c r="M70" s="10">
        <f t="shared" si="3"/>
        <v>0</v>
      </c>
      <c r="N70" s="15"/>
      <c r="O70" s="10">
        <f t="shared" si="4"/>
        <v>0</v>
      </c>
      <c r="P70" s="15"/>
      <c r="Q70" s="10">
        <f t="shared" si="5"/>
        <v>0</v>
      </c>
      <c r="R70" s="15"/>
      <c r="S70" s="10">
        <f t="shared" si="57"/>
        <v>0</v>
      </c>
      <c r="T70" s="15"/>
      <c r="U70" s="10">
        <f t="shared" si="7"/>
        <v>0</v>
      </c>
      <c r="V70" s="15"/>
      <c r="W70" s="10">
        <f t="shared" si="8"/>
        <v>0</v>
      </c>
      <c r="X70" s="15"/>
      <c r="Y70" s="10">
        <f t="shared" si="9"/>
        <v>0</v>
      </c>
      <c r="Z70" s="15"/>
      <c r="AA70" s="10">
        <f t="shared" si="10"/>
        <v>0</v>
      </c>
      <c r="AB70" s="15"/>
      <c r="AC70" s="10">
        <f t="shared" si="11"/>
        <v>0</v>
      </c>
      <c r="AD70" s="15"/>
      <c r="AE70" s="10">
        <f t="shared" si="12"/>
        <v>0</v>
      </c>
      <c r="AF70" s="11">
        <f t="shared" si="59"/>
        <v>0</v>
      </c>
      <c r="AG70" s="12">
        <f t="shared" si="60"/>
        <v>0</v>
      </c>
      <c r="AH70" s="15"/>
      <c r="AI70" s="10">
        <f t="shared" si="15"/>
        <v>0</v>
      </c>
      <c r="AJ70" s="15"/>
      <c r="AK70" s="10">
        <f t="shared" si="16"/>
        <v>0</v>
      </c>
      <c r="AL70" s="15"/>
      <c r="AM70" s="10">
        <f t="shared" si="17"/>
        <v>0</v>
      </c>
      <c r="AN70" s="15"/>
      <c r="AO70" s="10">
        <f t="shared" si="18"/>
        <v>0</v>
      </c>
      <c r="AP70" s="15"/>
      <c r="AQ70" s="10">
        <f t="shared" si="19"/>
        <v>0</v>
      </c>
      <c r="AR70" s="15"/>
      <c r="AS70" s="10">
        <f t="shared" si="20"/>
        <v>0</v>
      </c>
      <c r="AT70" s="15"/>
      <c r="AU70" s="10">
        <f t="shared" si="21"/>
        <v>0</v>
      </c>
      <c r="AV70" s="15"/>
      <c r="AW70" s="10">
        <f t="shared" si="22"/>
        <v>0</v>
      </c>
      <c r="AX70" s="15"/>
      <c r="AY70" s="10">
        <f t="shared" si="23"/>
        <v>0</v>
      </c>
      <c r="AZ70" s="15"/>
      <c r="BA70" s="10">
        <f t="shared" si="24"/>
        <v>0</v>
      </c>
      <c r="BB70" s="15"/>
      <c r="BC70" s="10">
        <f t="shared" si="25"/>
        <v>0</v>
      </c>
      <c r="BD70" s="15"/>
      <c r="BE70" s="10">
        <f t="shared" si="26"/>
        <v>0</v>
      </c>
      <c r="BF70" s="11">
        <f t="shared" si="61"/>
        <v>0</v>
      </c>
      <c r="BG70" s="12">
        <f t="shared" si="62"/>
        <v>0</v>
      </c>
      <c r="BH70" s="15"/>
      <c r="BI70" s="10">
        <f t="shared" si="29"/>
        <v>0</v>
      </c>
      <c r="BJ70" s="15"/>
      <c r="BK70" s="10">
        <f t="shared" si="30"/>
        <v>0</v>
      </c>
      <c r="BL70" s="15"/>
      <c r="BM70" s="10">
        <f t="shared" si="31"/>
        <v>0</v>
      </c>
      <c r="BN70" s="15"/>
      <c r="BO70" s="10">
        <f t="shared" si="32"/>
        <v>0</v>
      </c>
      <c r="BP70" s="15"/>
      <c r="BQ70" s="10">
        <f t="shared" si="33"/>
        <v>0</v>
      </c>
      <c r="BR70" s="15"/>
      <c r="BS70" s="10">
        <f t="shared" si="34"/>
        <v>0</v>
      </c>
      <c r="BT70" s="15"/>
      <c r="BU70" s="10">
        <f t="shared" si="35"/>
        <v>0</v>
      </c>
      <c r="BV70" s="15"/>
      <c r="BW70" s="10">
        <f t="shared" si="36"/>
        <v>0</v>
      </c>
      <c r="BX70" s="15"/>
      <c r="BY70" s="10">
        <f t="shared" si="37"/>
        <v>0</v>
      </c>
      <c r="BZ70" s="15"/>
      <c r="CA70" s="10">
        <f t="shared" si="38"/>
        <v>0</v>
      </c>
      <c r="CB70" s="15"/>
      <c r="CC70" s="10">
        <f t="shared" si="39"/>
        <v>0</v>
      </c>
      <c r="CD70" s="15"/>
      <c r="CE70" s="10">
        <f t="shared" si="40"/>
        <v>0</v>
      </c>
      <c r="CF70" s="11">
        <f t="shared" si="63"/>
        <v>0</v>
      </c>
      <c r="CG70" s="12">
        <f t="shared" si="64"/>
        <v>0</v>
      </c>
      <c r="CH70" s="15"/>
      <c r="CI70" s="10">
        <f t="shared" si="65"/>
        <v>0</v>
      </c>
      <c r="CJ70" s="15"/>
      <c r="CK70" s="10">
        <f t="shared" si="66"/>
        <v>0</v>
      </c>
      <c r="CL70" s="15"/>
      <c r="CM70" s="10">
        <f t="shared" si="67"/>
        <v>0</v>
      </c>
      <c r="CN70" s="15"/>
      <c r="CO70" s="10">
        <f t="shared" si="68"/>
        <v>0</v>
      </c>
      <c r="CP70" s="15"/>
      <c r="CQ70" s="10">
        <f t="shared" si="69"/>
        <v>0</v>
      </c>
      <c r="CR70" s="15"/>
      <c r="CS70" s="10">
        <f t="shared" si="70"/>
        <v>0</v>
      </c>
      <c r="CT70" s="15"/>
      <c r="CU70" s="10">
        <f t="shared" si="71"/>
        <v>0</v>
      </c>
      <c r="CV70" s="15"/>
      <c r="CW70" s="10">
        <f t="shared" si="72"/>
        <v>0</v>
      </c>
      <c r="CX70" s="15"/>
      <c r="CY70" s="10">
        <f t="shared" si="73"/>
        <v>0</v>
      </c>
      <c r="CZ70" s="15"/>
      <c r="DA70" s="10">
        <f t="shared" si="74"/>
        <v>0</v>
      </c>
      <c r="DB70" s="15"/>
      <c r="DC70" s="10">
        <f t="shared" si="75"/>
        <v>0</v>
      </c>
      <c r="DD70" s="15"/>
      <c r="DE70" s="10">
        <f t="shared" si="75"/>
        <v>0</v>
      </c>
      <c r="DF70" s="16">
        <f t="shared" si="58"/>
        <v>0</v>
      </c>
      <c r="DG70" s="208">
        <f t="shared" si="76"/>
        <v>0</v>
      </c>
    </row>
    <row r="71" spans="1:111">
      <c r="A71" s="7">
        <v>58</v>
      </c>
      <c r="B71" s="8" t="s">
        <v>64</v>
      </c>
      <c r="C71" s="8" t="s">
        <v>14</v>
      </c>
      <c r="D71" s="7">
        <f>RANK(DF71,$DF$4:$DF$141)</f>
        <v>31</v>
      </c>
      <c r="E71" s="7">
        <v>0.6</v>
      </c>
      <c r="F71" s="7" t="s">
        <v>12</v>
      </c>
      <c r="G71" s="7"/>
      <c r="H71" s="15"/>
      <c r="I71" s="10">
        <f t="shared" si="1"/>
        <v>0</v>
      </c>
      <c r="J71" s="15"/>
      <c r="K71" s="10">
        <f t="shared" si="2"/>
        <v>0</v>
      </c>
      <c r="L71" s="15"/>
      <c r="M71" s="10">
        <f t="shared" si="3"/>
        <v>0</v>
      </c>
      <c r="N71" s="15"/>
      <c r="O71" s="10">
        <f t="shared" si="4"/>
        <v>0</v>
      </c>
      <c r="P71" s="15"/>
      <c r="Q71" s="10">
        <f t="shared" si="5"/>
        <v>0</v>
      </c>
      <c r="R71" s="15"/>
      <c r="S71" s="10">
        <f t="shared" si="57"/>
        <v>0</v>
      </c>
      <c r="T71" s="15"/>
      <c r="U71" s="10">
        <f t="shared" si="7"/>
        <v>0</v>
      </c>
      <c r="V71" s="15"/>
      <c r="W71" s="10">
        <f t="shared" si="8"/>
        <v>0</v>
      </c>
      <c r="X71" s="15"/>
      <c r="Y71" s="10">
        <f t="shared" si="9"/>
        <v>0</v>
      </c>
      <c r="Z71" s="15"/>
      <c r="AA71" s="10">
        <f t="shared" si="10"/>
        <v>0</v>
      </c>
      <c r="AB71" s="15"/>
      <c r="AC71" s="10">
        <f t="shared" si="11"/>
        <v>0</v>
      </c>
      <c r="AD71" s="15"/>
      <c r="AE71" s="10">
        <f t="shared" si="12"/>
        <v>0</v>
      </c>
      <c r="AF71" s="11">
        <f t="shared" si="59"/>
        <v>0</v>
      </c>
      <c r="AG71" s="12">
        <f t="shared" si="60"/>
        <v>0</v>
      </c>
      <c r="AH71" s="15"/>
      <c r="AI71" s="10">
        <f t="shared" si="15"/>
        <v>0</v>
      </c>
      <c r="AJ71" s="15"/>
      <c r="AK71" s="10">
        <f t="shared" si="16"/>
        <v>0</v>
      </c>
      <c r="AL71" s="15"/>
      <c r="AM71" s="10">
        <f t="shared" si="17"/>
        <v>0</v>
      </c>
      <c r="AN71" s="15"/>
      <c r="AO71" s="10">
        <f t="shared" si="18"/>
        <v>0</v>
      </c>
      <c r="AP71" s="15"/>
      <c r="AQ71" s="10">
        <f t="shared" si="19"/>
        <v>0</v>
      </c>
      <c r="AR71" s="15"/>
      <c r="AS71" s="10">
        <f t="shared" si="20"/>
        <v>0</v>
      </c>
      <c r="AT71" s="15"/>
      <c r="AU71" s="10">
        <f t="shared" si="21"/>
        <v>0</v>
      </c>
      <c r="AV71" s="15"/>
      <c r="AW71" s="10">
        <f t="shared" si="22"/>
        <v>0</v>
      </c>
      <c r="AX71" s="15"/>
      <c r="AY71" s="10">
        <f t="shared" si="23"/>
        <v>0</v>
      </c>
      <c r="AZ71" s="15"/>
      <c r="BA71" s="10">
        <f t="shared" si="24"/>
        <v>0</v>
      </c>
      <c r="BB71" s="15"/>
      <c r="BC71" s="10">
        <f t="shared" si="25"/>
        <v>0</v>
      </c>
      <c r="BD71" s="15"/>
      <c r="BE71" s="10">
        <f t="shared" si="26"/>
        <v>0</v>
      </c>
      <c r="BF71" s="11">
        <f t="shared" si="61"/>
        <v>0</v>
      </c>
      <c r="BG71" s="12">
        <f t="shared" si="62"/>
        <v>0</v>
      </c>
      <c r="BH71" s="15"/>
      <c r="BI71" s="10">
        <f t="shared" si="29"/>
        <v>0</v>
      </c>
      <c r="BJ71" s="15"/>
      <c r="BK71" s="10">
        <f t="shared" si="30"/>
        <v>0</v>
      </c>
      <c r="BL71" s="15"/>
      <c r="BM71" s="10">
        <f t="shared" si="31"/>
        <v>0</v>
      </c>
      <c r="BN71" s="15"/>
      <c r="BO71" s="10">
        <f t="shared" si="32"/>
        <v>0</v>
      </c>
      <c r="BP71" s="15"/>
      <c r="BQ71" s="10">
        <f t="shared" si="33"/>
        <v>0</v>
      </c>
      <c r="BR71" s="15"/>
      <c r="BS71" s="10">
        <f t="shared" si="34"/>
        <v>0</v>
      </c>
      <c r="BT71" s="15"/>
      <c r="BU71" s="10">
        <f t="shared" si="35"/>
        <v>0</v>
      </c>
      <c r="BV71" s="15"/>
      <c r="BW71" s="10">
        <f t="shared" si="36"/>
        <v>0</v>
      </c>
      <c r="BX71" s="15"/>
      <c r="BY71" s="10">
        <f t="shared" si="37"/>
        <v>0</v>
      </c>
      <c r="BZ71" s="15"/>
      <c r="CA71" s="10">
        <f t="shared" si="38"/>
        <v>0</v>
      </c>
      <c r="CB71" s="15"/>
      <c r="CC71" s="10">
        <f t="shared" si="39"/>
        <v>0</v>
      </c>
      <c r="CD71" s="15"/>
      <c r="CE71" s="10">
        <f t="shared" si="40"/>
        <v>0</v>
      </c>
      <c r="CF71" s="11">
        <f t="shared" si="63"/>
        <v>0</v>
      </c>
      <c r="CG71" s="12">
        <f t="shared" si="64"/>
        <v>0</v>
      </c>
      <c r="CH71" s="15"/>
      <c r="CI71" s="10">
        <f t="shared" si="65"/>
        <v>0</v>
      </c>
      <c r="CJ71" s="15"/>
      <c r="CK71" s="10">
        <f t="shared" si="66"/>
        <v>0</v>
      </c>
      <c r="CL71" s="15"/>
      <c r="CM71" s="10">
        <f t="shared" si="67"/>
        <v>0</v>
      </c>
      <c r="CN71" s="15"/>
      <c r="CO71" s="10">
        <f t="shared" si="68"/>
        <v>0</v>
      </c>
      <c r="CP71" s="15"/>
      <c r="CQ71" s="10">
        <f t="shared" si="69"/>
        <v>0</v>
      </c>
      <c r="CR71" s="15"/>
      <c r="CS71" s="10">
        <f t="shared" si="70"/>
        <v>0</v>
      </c>
      <c r="CT71" s="15"/>
      <c r="CU71" s="10">
        <f t="shared" si="71"/>
        <v>0</v>
      </c>
      <c r="CV71" s="15"/>
      <c r="CW71" s="10">
        <f t="shared" si="72"/>
        <v>0</v>
      </c>
      <c r="CX71" s="15"/>
      <c r="CY71" s="10">
        <f t="shared" si="73"/>
        <v>0</v>
      </c>
      <c r="CZ71" s="15"/>
      <c r="DA71" s="10">
        <f t="shared" si="74"/>
        <v>0</v>
      </c>
      <c r="DB71" s="15"/>
      <c r="DC71" s="10">
        <f t="shared" si="75"/>
        <v>0</v>
      </c>
      <c r="DD71" s="15"/>
      <c r="DE71" s="10">
        <f t="shared" si="75"/>
        <v>0</v>
      </c>
      <c r="DF71" s="16">
        <f t="shared" si="58"/>
        <v>0</v>
      </c>
      <c r="DG71" s="208">
        <f t="shared" si="76"/>
        <v>0</v>
      </c>
    </row>
    <row r="72" spans="1:111">
      <c r="A72" s="7">
        <v>59</v>
      </c>
      <c r="B72" s="8" t="s">
        <v>65</v>
      </c>
      <c r="C72" s="8" t="s">
        <v>11</v>
      </c>
      <c r="D72" s="7">
        <f>RANK(DF72,$DF$4:$DF$141)</f>
        <v>31</v>
      </c>
      <c r="E72" s="7">
        <v>0.64</v>
      </c>
      <c r="F72" s="7" t="s">
        <v>22</v>
      </c>
      <c r="G72" s="7"/>
      <c r="H72" s="15"/>
      <c r="I72" s="10">
        <f t="shared" si="1"/>
        <v>0</v>
      </c>
      <c r="J72" s="15"/>
      <c r="K72" s="10">
        <f t="shared" si="2"/>
        <v>0</v>
      </c>
      <c r="L72" s="15"/>
      <c r="M72" s="10">
        <f t="shared" si="3"/>
        <v>0</v>
      </c>
      <c r="N72" s="15"/>
      <c r="O72" s="10">
        <f t="shared" si="4"/>
        <v>0</v>
      </c>
      <c r="P72" s="15"/>
      <c r="Q72" s="10">
        <f t="shared" si="5"/>
        <v>0</v>
      </c>
      <c r="R72" s="15"/>
      <c r="S72" s="10">
        <f t="shared" si="57"/>
        <v>0</v>
      </c>
      <c r="T72" s="15"/>
      <c r="U72" s="10">
        <f t="shared" si="7"/>
        <v>0</v>
      </c>
      <c r="V72" s="15"/>
      <c r="W72" s="10">
        <f t="shared" si="8"/>
        <v>0</v>
      </c>
      <c r="X72" s="15"/>
      <c r="Y72" s="10">
        <f t="shared" si="9"/>
        <v>0</v>
      </c>
      <c r="Z72" s="15"/>
      <c r="AA72" s="10">
        <f t="shared" si="10"/>
        <v>0</v>
      </c>
      <c r="AB72" s="15"/>
      <c r="AC72" s="10">
        <f t="shared" si="11"/>
        <v>0</v>
      </c>
      <c r="AD72" s="15"/>
      <c r="AE72" s="10">
        <f t="shared" si="12"/>
        <v>0</v>
      </c>
      <c r="AF72" s="11">
        <f t="shared" si="59"/>
        <v>0</v>
      </c>
      <c r="AG72" s="12">
        <f t="shared" si="60"/>
        <v>0</v>
      </c>
      <c r="AH72" s="15"/>
      <c r="AI72" s="10">
        <f t="shared" si="15"/>
        <v>0</v>
      </c>
      <c r="AJ72" s="15"/>
      <c r="AK72" s="10">
        <f t="shared" si="16"/>
        <v>0</v>
      </c>
      <c r="AL72" s="15"/>
      <c r="AM72" s="10">
        <f t="shared" si="17"/>
        <v>0</v>
      </c>
      <c r="AN72" s="15"/>
      <c r="AO72" s="10">
        <f t="shared" si="18"/>
        <v>0</v>
      </c>
      <c r="AP72" s="15"/>
      <c r="AQ72" s="10">
        <f t="shared" si="19"/>
        <v>0</v>
      </c>
      <c r="AR72" s="15"/>
      <c r="AS72" s="10">
        <f t="shared" si="20"/>
        <v>0</v>
      </c>
      <c r="AT72" s="15"/>
      <c r="AU72" s="10">
        <f t="shared" si="21"/>
        <v>0</v>
      </c>
      <c r="AV72" s="15"/>
      <c r="AW72" s="10">
        <f t="shared" si="22"/>
        <v>0</v>
      </c>
      <c r="AX72" s="15"/>
      <c r="AY72" s="10">
        <f t="shared" si="23"/>
        <v>0</v>
      </c>
      <c r="AZ72" s="15"/>
      <c r="BA72" s="10">
        <f t="shared" si="24"/>
        <v>0</v>
      </c>
      <c r="BB72" s="15"/>
      <c r="BC72" s="10">
        <f t="shared" si="25"/>
        <v>0</v>
      </c>
      <c r="BD72" s="15"/>
      <c r="BE72" s="10">
        <f t="shared" si="26"/>
        <v>0</v>
      </c>
      <c r="BF72" s="11">
        <f t="shared" si="61"/>
        <v>0</v>
      </c>
      <c r="BG72" s="12">
        <f t="shared" si="62"/>
        <v>0</v>
      </c>
      <c r="BH72" s="15"/>
      <c r="BI72" s="10">
        <f t="shared" si="29"/>
        <v>0</v>
      </c>
      <c r="BJ72" s="15"/>
      <c r="BK72" s="10">
        <f t="shared" si="30"/>
        <v>0</v>
      </c>
      <c r="BL72" s="15"/>
      <c r="BM72" s="10">
        <f t="shared" si="31"/>
        <v>0</v>
      </c>
      <c r="BN72" s="15"/>
      <c r="BO72" s="10">
        <f t="shared" si="32"/>
        <v>0</v>
      </c>
      <c r="BP72" s="15"/>
      <c r="BQ72" s="10">
        <f t="shared" si="33"/>
        <v>0</v>
      </c>
      <c r="BR72" s="15"/>
      <c r="BS72" s="10">
        <f t="shared" si="34"/>
        <v>0</v>
      </c>
      <c r="BT72" s="15"/>
      <c r="BU72" s="10">
        <f t="shared" si="35"/>
        <v>0</v>
      </c>
      <c r="BV72" s="15"/>
      <c r="BW72" s="10">
        <f t="shared" si="36"/>
        <v>0</v>
      </c>
      <c r="BX72" s="15"/>
      <c r="BY72" s="10">
        <f t="shared" si="37"/>
        <v>0</v>
      </c>
      <c r="BZ72" s="15"/>
      <c r="CA72" s="10">
        <f t="shared" si="38"/>
        <v>0</v>
      </c>
      <c r="CB72" s="15"/>
      <c r="CC72" s="10">
        <f t="shared" si="39"/>
        <v>0</v>
      </c>
      <c r="CD72" s="15"/>
      <c r="CE72" s="10">
        <f t="shared" si="40"/>
        <v>0</v>
      </c>
      <c r="CF72" s="11">
        <f t="shared" si="63"/>
        <v>0</v>
      </c>
      <c r="CG72" s="12">
        <f t="shared" si="64"/>
        <v>0</v>
      </c>
      <c r="CH72" s="15"/>
      <c r="CI72" s="10">
        <f t="shared" si="65"/>
        <v>0</v>
      </c>
      <c r="CJ72" s="15"/>
      <c r="CK72" s="10">
        <f t="shared" si="66"/>
        <v>0</v>
      </c>
      <c r="CL72" s="15"/>
      <c r="CM72" s="10">
        <f t="shared" si="67"/>
        <v>0</v>
      </c>
      <c r="CN72" s="15"/>
      <c r="CO72" s="10">
        <f t="shared" si="68"/>
        <v>0</v>
      </c>
      <c r="CP72" s="15"/>
      <c r="CQ72" s="10">
        <f t="shared" si="69"/>
        <v>0</v>
      </c>
      <c r="CR72" s="15"/>
      <c r="CS72" s="10">
        <f t="shared" si="70"/>
        <v>0</v>
      </c>
      <c r="CT72" s="15"/>
      <c r="CU72" s="10">
        <f t="shared" si="71"/>
        <v>0</v>
      </c>
      <c r="CV72" s="15"/>
      <c r="CW72" s="10">
        <f t="shared" si="72"/>
        <v>0</v>
      </c>
      <c r="CX72" s="15"/>
      <c r="CY72" s="10">
        <f t="shared" si="73"/>
        <v>0</v>
      </c>
      <c r="CZ72" s="15"/>
      <c r="DA72" s="10">
        <f t="shared" si="74"/>
        <v>0</v>
      </c>
      <c r="DB72" s="15"/>
      <c r="DC72" s="10">
        <f t="shared" si="75"/>
        <v>0</v>
      </c>
      <c r="DD72" s="15"/>
      <c r="DE72" s="10">
        <f t="shared" si="75"/>
        <v>0</v>
      </c>
      <c r="DF72" s="16">
        <f t="shared" si="58"/>
        <v>0</v>
      </c>
      <c r="DG72" s="208">
        <f t="shared" si="76"/>
        <v>0</v>
      </c>
    </row>
    <row r="73" spans="1:111">
      <c r="A73" s="7"/>
      <c r="B73" s="8"/>
      <c r="C73" s="8"/>
      <c r="D73" s="7"/>
      <c r="E73" s="7"/>
      <c r="F73" s="7"/>
      <c r="G73" s="7"/>
      <c r="H73" s="15"/>
      <c r="I73" s="10">
        <f t="shared" si="1"/>
        <v>0</v>
      </c>
      <c r="J73" s="15"/>
      <c r="K73" s="10">
        <f t="shared" si="2"/>
        <v>0</v>
      </c>
      <c r="L73" s="15"/>
      <c r="M73" s="10">
        <f t="shared" si="3"/>
        <v>0</v>
      </c>
      <c r="N73" s="15"/>
      <c r="O73" s="10">
        <f t="shared" si="4"/>
        <v>0</v>
      </c>
      <c r="P73" s="15"/>
      <c r="Q73" s="10">
        <f t="shared" si="5"/>
        <v>0</v>
      </c>
      <c r="R73" s="15"/>
      <c r="S73" s="10">
        <f t="shared" si="57"/>
        <v>0</v>
      </c>
      <c r="T73" s="15"/>
      <c r="U73" s="10">
        <f t="shared" si="7"/>
        <v>0</v>
      </c>
      <c r="V73" s="15"/>
      <c r="W73" s="10">
        <f t="shared" si="8"/>
        <v>0</v>
      </c>
      <c r="X73" s="15"/>
      <c r="Y73" s="10">
        <f t="shared" si="9"/>
        <v>0</v>
      </c>
      <c r="Z73" s="15"/>
      <c r="AA73" s="10">
        <f t="shared" si="10"/>
        <v>0</v>
      </c>
      <c r="AB73" s="15"/>
      <c r="AC73" s="10">
        <f t="shared" si="11"/>
        <v>0</v>
      </c>
      <c r="AD73" s="15"/>
      <c r="AE73" s="10">
        <f t="shared" si="12"/>
        <v>0</v>
      </c>
      <c r="AF73" s="11">
        <f t="shared" si="59"/>
        <v>0</v>
      </c>
      <c r="AG73" s="12">
        <f t="shared" si="60"/>
        <v>0</v>
      </c>
      <c r="AH73" s="15"/>
      <c r="AI73" s="10">
        <f t="shared" si="15"/>
        <v>0</v>
      </c>
      <c r="AJ73" s="15"/>
      <c r="AK73" s="10">
        <f t="shared" si="16"/>
        <v>0</v>
      </c>
      <c r="AL73" s="15"/>
      <c r="AM73" s="10">
        <f t="shared" si="17"/>
        <v>0</v>
      </c>
      <c r="AN73" s="15"/>
      <c r="AO73" s="10">
        <f t="shared" si="18"/>
        <v>0</v>
      </c>
      <c r="AP73" s="15"/>
      <c r="AQ73" s="10">
        <f t="shared" si="19"/>
        <v>0</v>
      </c>
      <c r="AR73" s="15"/>
      <c r="AS73" s="10">
        <f t="shared" si="20"/>
        <v>0</v>
      </c>
      <c r="AT73" s="15"/>
      <c r="AU73" s="10">
        <f t="shared" si="21"/>
        <v>0</v>
      </c>
      <c r="AV73" s="15"/>
      <c r="AW73" s="10">
        <f t="shared" si="22"/>
        <v>0</v>
      </c>
      <c r="AX73" s="15"/>
      <c r="AY73" s="10">
        <f t="shared" si="23"/>
        <v>0</v>
      </c>
      <c r="AZ73" s="15"/>
      <c r="BA73" s="10">
        <f t="shared" si="24"/>
        <v>0</v>
      </c>
      <c r="BB73" s="15"/>
      <c r="BC73" s="10">
        <f t="shared" si="25"/>
        <v>0</v>
      </c>
      <c r="BD73" s="15"/>
      <c r="BE73" s="10">
        <f t="shared" si="26"/>
        <v>0</v>
      </c>
      <c r="BF73" s="11">
        <f t="shared" si="61"/>
        <v>0</v>
      </c>
      <c r="BG73" s="12">
        <f t="shared" si="62"/>
        <v>0</v>
      </c>
      <c r="BH73" s="15"/>
      <c r="BI73" s="10">
        <f t="shared" si="29"/>
        <v>0</v>
      </c>
      <c r="BJ73" s="15"/>
      <c r="BK73" s="10">
        <f t="shared" si="30"/>
        <v>0</v>
      </c>
      <c r="BL73" s="15"/>
      <c r="BM73" s="10">
        <f t="shared" si="31"/>
        <v>0</v>
      </c>
      <c r="BN73" s="15"/>
      <c r="BO73" s="10">
        <f t="shared" si="32"/>
        <v>0</v>
      </c>
      <c r="BP73" s="15"/>
      <c r="BQ73" s="10">
        <f t="shared" si="33"/>
        <v>0</v>
      </c>
      <c r="BR73" s="15"/>
      <c r="BS73" s="10">
        <f t="shared" si="34"/>
        <v>0</v>
      </c>
      <c r="BT73" s="15"/>
      <c r="BU73" s="10">
        <f t="shared" si="35"/>
        <v>0</v>
      </c>
      <c r="BV73" s="15"/>
      <c r="BW73" s="10">
        <f t="shared" si="36"/>
        <v>0</v>
      </c>
      <c r="BX73" s="15"/>
      <c r="BY73" s="10">
        <f t="shared" si="37"/>
        <v>0</v>
      </c>
      <c r="BZ73" s="15"/>
      <c r="CA73" s="10">
        <f t="shared" si="38"/>
        <v>0</v>
      </c>
      <c r="CB73" s="15"/>
      <c r="CC73" s="10">
        <f t="shared" si="39"/>
        <v>0</v>
      </c>
      <c r="CD73" s="15"/>
      <c r="CE73" s="10">
        <f t="shared" si="40"/>
        <v>0</v>
      </c>
      <c r="CF73" s="11">
        <f t="shared" si="63"/>
        <v>0</v>
      </c>
      <c r="CG73" s="12">
        <f t="shared" si="64"/>
        <v>0</v>
      </c>
      <c r="CH73" s="15"/>
      <c r="CI73" s="10">
        <f t="shared" si="65"/>
        <v>0</v>
      </c>
      <c r="CJ73" s="15"/>
      <c r="CK73" s="10">
        <f t="shared" si="66"/>
        <v>0</v>
      </c>
      <c r="CL73" s="15"/>
      <c r="CM73" s="10">
        <f t="shared" si="67"/>
        <v>0</v>
      </c>
      <c r="CN73" s="15"/>
      <c r="CO73" s="10">
        <f t="shared" si="68"/>
        <v>0</v>
      </c>
      <c r="CP73" s="15"/>
      <c r="CQ73" s="10">
        <f t="shared" si="69"/>
        <v>0</v>
      </c>
      <c r="CR73" s="15"/>
      <c r="CS73" s="10">
        <f t="shared" si="70"/>
        <v>0</v>
      </c>
      <c r="CT73" s="15"/>
      <c r="CU73" s="10">
        <f t="shared" si="71"/>
        <v>0</v>
      </c>
      <c r="CV73" s="15"/>
      <c r="CW73" s="10">
        <f t="shared" si="72"/>
        <v>0</v>
      </c>
      <c r="CX73" s="15"/>
      <c r="CY73" s="10">
        <f t="shared" si="73"/>
        <v>0</v>
      </c>
      <c r="CZ73" s="15"/>
      <c r="DA73" s="10">
        <f t="shared" si="74"/>
        <v>0</v>
      </c>
      <c r="DB73" s="15"/>
      <c r="DC73" s="10">
        <f t="shared" si="75"/>
        <v>0</v>
      </c>
      <c r="DD73" s="15"/>
      <c r="DE73" s="10">
        <f t="shared" si="75"/>
        <v>0</v>
      </c>
      <c r="DF73" s="16">
        <f t="shared" si="58"/>
        <v>0</v>
      </c>
      <c r="DG73" s="208">
        <f t="shared" si="76"/>
        <v>0</v>
      </c>
    </row>
    <row r="74" spans="1:111">
      <c r="A74" s="7">
        <v>60</v>
      </c>
      <c r="B74" s="8" t="s">
        <v>66</v>
      </c>
      <c r="C74" s="8" t="s">
        <v>11</v>
      </c>
      <c r="D74" s="7">
        <f>RANK(DF74,$DF$4:$DF$141)</f>
        <v>10</v>
      </c>
      <c r="E74" s="7">
        <v>0.64</v>
      </c>
      <c r="F74" s="7" t="s">
        <v>22</v>
      </c>
      <c r="G74" s="7">
        <v>1350</v>
      </c>
      <c r="H74" s="9">
        <v>57302</v>
      </c>
      <c r="I74" s="10">
        <f t="shared" ref="I74:I135" si="77">H74*$E74</f>
        <v>36673.279999999999</v>
      </c>
      <c r="J74" s="9">
        <v>54600</v>
      </c>
      <c r="K74" s="10">
        <f t="shared" ref="K74:K135" si="78">J74*$E74</f>
        <v>34944</v>
      </c>
      <c r="L74" s="9">
        <v>71554</v>
      </c>
      <c r="M74" s="10">
        <f t="shared" ref="M74:M135" si="79">L74*$E74</f>
        <v>45794.559999999998</v>
      </c>
      <c r="N74" s="9">
        <v>66080</v>
      </c>
      <c r="O74" s="10">
        <f t="shared" ref="O74:O135" si="80">N74*$E74</f>
        <v>42291.200000000004</v>
      </c>
      <c r="P74" s="9">
        <v>50946</v>
      </c>
      <c r="Q74" s="10">
        <f t="shared" ref="Q74:Q135" si="81">P74*$E74</f>
        <v>32605.440000000002</v>
      </c>
      <c r="R74" s="9">
        <v>54348</v>
      </c>
      <c r="S74" s="10">
        <f t="shared" si="57"/>
        <v>34782.720000000001</v>
      </c>
      <c r="T74" s="9">
        <v>23548</v>
      </c>
      <c r="U74" s="10">
        <f t="shared" ref="U74:U135" si="82">T74*$E74</f>
        <v>15070.720000000001</v>
      </c>
      <c r="V74" s="9">
        <v>53312</v>
      </c>
      <c r="W74" s="10">
        <f t="shared" ref="W74:W135" si="83">V74*$E74</f>
        <v>34119.68</v>
      </c>
      <c r="X74" s="9">
        <v>48664</v>
      </c>
      <c r="Y74" s="10">
        <f t="shared" ref="Y74:Y135" si="84">X74*$E74</f>
        <v>31144.959999999999</v>
      </c>
      <c r="Z74" s="9">
        <v>46704</v>
      </c>
      <c r="AA74" s="10">
        <f t="shared" ref="AA74:AA135" si="85">Z74*$E74</f>
        <v>29890.560000000001</v>
      </c>
      <c r="AB74" s="9">
        <v>43736</v>
      </c>
      <c r="AC74" s="10">
        <f t="shared" ref="AC74:AC135" si="86">AB74*$E74</f>
        <v>27991.040000000001</v>
      </c>
      <c r="AD74" s="9">
        <v>47320</v>
      </c>
      <c r="AE74" s="10">
        <f t="shared" ref="AE74:AE135" si="87">AD74*$E74</f>
        <v>30284.799999999999</v>
      </c>
      <c r="AF74" s="11">
        <f t="shared" si="59"/>
        <v>618114</v>
      </c>
      <c r="AG74" s="12">
        <f t="shared" si="60"/>
        <v>395592.96000000002</v>
      </c>
      <c r="AH74" s="9">
        <v>38318</v>
      </c>
      <c r="AI74" s="10">
        <f t="shared" ref="AI74:AI135" si="88">AH74*$E74</f>
        <v>24523.52</v>
      </c>
      <c r="AJ74" s="9">
        <v>42616</v>
      </c>
      <c r="AK74" s="10">
        <f t="shared" ref="AK74:AK135" si="89">AJ74*$E74</f>
        <v>27274.240000000002</v>
      </c>
      <c r="AL74" s="9">
        <v>46298</v>
      </c>
      <c r="AM74" s="10">
        <f t="shared" ref="AM74:AM135" si="90">AL74*$E74</f>
        <v>29630.720000000001</v>
      </c>
      <c r="AN74" s="9">
        <v>40642</v>
      </c>
      <c r="AO74" s="10">
        <f t="shared" ref="AO74:AO135" si="91">AN74*$E74</f>
        <v>26010.880000000001</v>
      </c>
      <c r="AP74" s="9">
        <v>38808</v>
      </c>
      <c r="AQ74" s="10">
        <f t="shared" ref="AQ74:AQ135" si="92">AP74*$E74</f>
        <v>24837.119999999999</v>
      </c>
      <c r="AR74" s="9">
        <v>33852</v>
      </c>
      <c r="AS74" s="10">
        <f t="shared" ref="AS74:AS135" si="93">AR74*$E74</f>
        <v>21665.279999999999</v>
      </c>
      <c r="AT74" s="9">
        <v>38374</v>
      </c>
      <c r="AU74" s="10">
        <f t="shared" ref="AU74:AU135" si="94">AT74*$E74</f>
        <v>24559.360000000001</v>
      </c>
      <c r="AV74" s="9">
        <v>38934</v>
      </c>
      <c r="AW74" s="10">
        <f t="shared" ref="AW74:AW135" si="95">AV74*$E74</f>
        <v>24917.760000000002</v>
      </c>
      <c r="AX74" s="9">
        <v>31178</v>
      </c>
      <c r="AY74" s="10">
        <f t="shared" ref="AY74:AY135" si="96">AX74*$E74</f>
        <v>19953.920000000002</v>
      </c>
      <c r="AZ74" s="9">
        <v>33096</v>
      </c>
      <c r="BA74" s="10">
        <f t="shared" ref="BA74:BA135" si="97">AZ74*$E74</f>
        <v>21181.439999999999</v>
      </c>
      <c r="BB74" s="9">
        <v>31150</v>
      </c>
      <c r="BC74" s="10">
        <f t="shared" ref="BC74:BC135" si="98">BB74*$E74</f>
        <v>19936</v>
      </c>
      <c r="BD74" s="9">
        <v>33782</v>
      </c>
      <c r="BE74" s="10">
        <f t="shared" ref="BE74:BE135" si="99">BD74*$E74</f>
        <v>21620.48</v>
      </c>
      <c r="BF74" s="11">
        <f t="shared" si="61"/>
        <v>447048</v>
      </c>
      <c r="BG74" s="12">
        <f t="shared" si="62"/>
        <v>286110.72000000003</v>
      </c>
      <c r="BH74" s="13">
        <v>37632</v>
      </c>
      <c r="BI74" s="10">
        <f t="shared" ref="BI74:BI135" si="100">BH74*$E74</f>
        <v>24084.48</v>
      </c>
      <c r="BJ74" s="13">
        <v>28126</v>
      </c>
      <c r="BK74" s="10">
        <f t="shared" ref="BK74:BK135" si="101">BJ74*$E74</f>
        <v>18000.64</v>
      </c>
      <c r="BL74" s="13">
        <v>33992</v>
      </c>
      <c r="BM74" s="10">
        <f t="shared" ref="BM74:BM135" si="102">BL74*$E74</f>
        <v>21754.880000000001</v>
      </c>
      <c r="BN74" s="13">
        <v>33390</v>
      </c>
      <c r="BO74" s="10">
        <f t="shared" ref="BO74:BO135" si="103">BN74*$E74</f>
        <v>21369.600000000002</v>
      </c>
      <c r="BP74" s="13">
        <v>26824</v>
      </c>
      <c r="BQ74" s="10">
        <f t="shared" ref="BQ74:BQ135" si="104">BP74*$E74</f>
        <v>17167.36</v>
      </c>
      <c r="BR74" s="13"/>
      <c r="BS74" s="10">
        <f t="shared" ref="BS74:BS135" si="105">BR74*$E74</f>
        <v>0</v>
      </c>
      <c r="BT74" s="13">
        <v>33883</v>
      </c>
      <c r="BU74" s="10">
        <f t="shared" ref="BU74:BU135" si="106">BT74*$E74</f>
        <v>21685.119999999999</v>
      </c>
      <c r="BV74" s="13">
        <v>27385</v>
      </c>
      <c r="BW74" s="10">
        <f t="shared" ref="BW74:BW135" si="107">BV74*$E74</f>
        <v>17526.400000000001</v>
      </c>
      <c r="BX74" s="13">
        <v>25313</v>
      </c>
      <c r="BY74" s="10">
        <f t="shared" ref="BY74:BY135" si="108">BX74*$E74</f>
        <v>16200.32</v>
      </c>
      <c r="BZ74" s="13">
        <v>29820</v>
      </c>
      <c r="CA74" s="10">
        <f t="shared" ref="CA74:CA135" si="109">BZ74*$E74</f>
        <v>19084.8</v>
      </c>
      <c r="CB74" s="13">
        <v>21307</v>
      </c>
      <c r="CC74" s="10">
        <f t="shared" ref="CC74:CC135" si="110">CB74*$E74</f>
        <v>13636.48</v>
      </c>
      <c r="CD74" s="14">
        <v>27160</v>
      </c>
      <c r="CE74" s="10">
        <f t="shared" ref="CE74:CE135" si="111">CD74*$E74</f>
        <v>17382.400000000001</v>
      </c>
      <c r="CF74" s="11">
        <f t="shared" si="63"/>
        <v>324832</v>
      </c>
      <c r="CG74" s="12">
        <f t="shared" si="64"/>
        <v>207892.48000000001</v>
      </c>
      <c r="CH74" s="15">
        <v>26222</v>
      </c>
      <c r="CI74" s="10">
        <f t="shared" si="65"/>
        <v>16782.080000000002</v>
      </c>
      <c r="CJ74" s="15">
        <v>21545</v>
      </c>
      <c r="CK74" s="10">
        <f t="shared" si="66"/>
        <v>13788.800000000001</v>
      </c>
      <c r="CL74" s="15">
        <v>22904</v>
      </c>
      <c r="CM74" s="10">
        <f t="shared" si="67"/>
        <v>14658.56</v>
      </c>
      <c r="CN74" s="15">
        <v>30198</v>
      </c>
      <c r="CO74" s="10">
        <f t="shared" si="68"/>
        <v>19326.72</v>
      </c>
      <c r="CP74" s="15">
        <v>23562</v>
      </c>
      <c r="CQ74" s="10">
        <f t="shared" si="69"/>
        <v>15079.68</v>
      </c>
      <c r="CR74" s="15">
        <v>20916</v>
      </c>
      <c r="CS74" s="10">
        <f t="shared" si="70"/>
        <v>13386.24</v>
      </c>
      <c r="CT74" s="15">
        <v>22456</v>
      </c>
      <c r="CU74" s="10">
        <f t="shared" si="71"/>
        <v>14371.84</v>
      </c>
      <c r="CV74" s="15">
        <v>21700</v>
      </c>
      <c r="CW74" s="10">
        <f t="shared" si="72"/>
        <v>13888</v>
      </c>
      <c r="CX74" s="15">
        <v>18340</v>
      </c>
      <c r="CY74" s="10">
        <f t="shared" si="73"/>
        <v>11737.6</v>
      </c>
      <c r="CZ74" s="15">
        <v>23226</v>
      </c>
      <c r="DA74" s="10">
        <f t="shared" si="74"/>
        <v>14864.64</v>
      </c>
      <c r="DB74" s="15">
        <v>20328</v>
      </c>
      <c r="DC74" s="10">
        <f t="shared" si="75"/>
        <v>13009.92</v>
      </c>
      <c r="DD74" s="15">
        <v>20160</v>
      </c>
      <c r="DE74" s="10">
        <f t="shared" si="75"/>
        <v>12902.4</v>
      </c>
      <c r="DF74" s="16">
        <f t="shared" si="58"/>
        <v>271557</v>
      </c>
      <c r="DG74" s="208">
        <f t="shared" si="76"/>
        <v>173796.48000000001</v>
      </c>
    </row>
    <row r="75" spans="1:111">
      <c r="A75" s="7">
        <v>61</v>
      </c>
      <c r="B75" s="8" t="s">
        <v>66</v>
      </c>
      <c r="C75" s="8" t="s">
        <v>11</v>
      </c>
      <c r="D75" s="7">
        <f>RANK(DF75,$DF$4:$DF$141)</f>
        <v>31</v>
      </c>
      <c r="E75" s="7">
        <v>0.64</v>
      </c>
      <c r="F75" s="7" t="s">
        <v>20</v>
      </c>
      <c r="G75" s="7"/>
      <c r="H75" s="15"/>
      <c r="I75" s="10">
        <f t="shared" si="77"/>
        <v>0</v>
      </c>
      <c r="J75" s="15"/>
      <c r="K75" s="10">
        <f t="shared" si="78"/>
        <v>0</v>
      </c>
      <c r="L75" s="15"/>
      <c r="M75" s="10">
        <f t="shared" si="79"/>
        <v>0</v>
      </c>
      <c r="N75" s="15"/>
      <c r="O75" s="10">
        <f t="shared" si="80"/>
        <v>0</v>
      </c>
      <c r="P75" s="15"/>
      <c r="Q75" s="10">
        <f t="shared" si="81"/>
        <v>0</v>
      </c>
      <c r="R75" s="15"/>
      <c r="S75" s="10">
        <f t="shared" si="57"/>
        <v>0</v>
      </c>
      <c r="T75" s="15"/>
      <c r="U75" s="10">
        <f t="shared" si="82"/>
        <v>0</v>
      </c>
      <c r="V75" s="15"/>
      <c r="W75" s="10">
        <f t="shared" si="83"/>
        <v>0</v>
      </c>
      <c r="X75" s="15"/>
      <c r="Y75" s="10">
        <f t="shared" si="84"/>
        <v>0</v>
      </c>
      <c r="Z75" s="15"/>
      <c r="AA75" s="10">
        <f t="shared" si="85"/>
        <v>0</v>
      </c>
      <c r="AB75" s="15"/>
      <c r="AC75" s="10">
        <f t="shared" si="86"/>
        <v>0</v>
      </c>
      <c r="AD75" s="15"/>
      <c r="AE75" s="10">
        <f t="shared" si="87"/>
        <v>0</v>
      </c>
      <c r="AF75" s="11">
        <f t="shared" si="59"/>
        <v>0</v>
      </c>
      <c r="AG75" s="12">
        <f t="shared" si="60"/>
        <v>0</v>
      </c>
      <c r="AH75" s="15"/>
      <c r="AI75" s="10">
        <f t="shared" si="88"/>
        <v>0</v>
      </c>
      <c r="AJ75" s="15"/>
      <c r="AK75" s="10">
        <f t="shared" si="89"/>
        <v>0</v>
      </c>
      <c r="AL75" s="15"/>
      <c r="AM75" s="10">
        <f t="shared" si="90"/>
        <v>0</v>
      </c>
      <c r="AN75" s="15"/>
      <c r="AO75" s="10">
        <f t="shared" si="91"/>
        <v>0</v>
      </c>
      <c r="AP75" s="15"/>
      <c r="AQ75" s="10">
        <f t="shared" si="92"/>
        <v>0</v>
      </c>
      <c r="AR75" s="15"/>
      <c r="AS75" s="10">
        <f t="shared" si="93"/>
        <v>0</v>
      </c>
      <c r="AT75" s="15"/>
      <c r="AU75" s="10">
        <f t="shared" si="94"/>
        <v>0</v>
      </c>
      <c r="AV75" s="15"/>
      <c r="AW75" s="10">
        <f t="shared" si="95"/>
        <v>0</v>
      </c>
      <c r="AX75" s="15"/>
      <c r="AY75" s="10">
        <f t="shared" si="96"/>
        <v>0</v>
      </c>
      <c r="AZ75" s="15"/>
      <c r="BA75" s="10">
        <f t="shared" si="97"/>
        <v>0</v>
      </c>
      <c r="BB75" s="15"/>
      <c r="BC75" s="10">
        <f t="shared" si="98"/>
        <v>0</v>
      </c>
      <c r="BD75" s="15"/>
      <c r="BE75" s="10">
        <f t="shared" si="99"/>
        <v>0</v>
      </c>
      <c r="BF75" s="11">
        <f t="shared" si="61"/>
        <v>0</v>
      </c>
      <c r="BG75" s="12">
        <f t="shared" si="62"/>
        <v>0</v>
      </c>
      <c r="BH75" s="15"/>
      <c r="BI75" s="10">
        <f t="shared" si="100"/>
        <v>0</v>
      </c>
      <c r="BJ75" s="15"/>
      <c r="BK75" s="10">
        <f t="shared" si="101"/>
        <v>0</v>
      </c>
      <c r="BL75" s="15"/>
      <c r="BM75" s="10">
        <f t="shared" si="102"/>
        <v>0</v>
      </c>
      <c r="BN75" s="15"/>
      <c r="BO75" s="10">
        <f t="shared" si="103"/>
        <v>0</v>
      </c>
      <c r="BP75" s="15"/>
      <c r="BQ75" s="10">
        <f t="shared" si="104"/>
        <v>0</v>
      </c>
      <c r="BR75" s="15"/>
      <c r="BS75" s="10">
        <f t="shared" si="105"/>
        <v>0</v>
      </c>
      <c r="BT75" s="15"/>
      <c r="BU75" s="10">
        <f t="shared" si="106"/>
        <v>0</v>
      </c>
      <c r="BV75" s="15"/>
      <c r="BW75" s="10">
        <f t="shared" si="107"/>
        <v>0</v>
      </c>
      <c r="BX75" s="15"/>
      <c r="BY75" s="10">
        <f t="shared" si="108"/>
        <v>0</v>
      </c>
      <c r="BZ75" s="15"/>
      <c r="CA75" s="10">
        <f t="shared" si="109"/>
        <v>0</v>
      </c>
      <c r="CB75" s="15"/>
      <c r="CC75" s="10">
        <f t="shared" si="110"/>
        <v>0</v>
      </c>
      <c r="CD75" s="15"/>
      <c r="CE75" s="10">
        <f t="shared" si="111"/>
        <v>0</v>
      </c>
      <c r="CF75" s="11">
        <f t="shared" si="63"/>
        <v>0</v>
      </c>
      <c r="CG75" s="12">
        <f t="shared" si="64"/>
        <v>0</v>
      </c>
      <c r="CH75" s="15"/>
      <c r="CI75" s="10">
        <f t="shared" si="65"/>
        <v>0</v>
      </c>
      <c r="CJ75" s="15"/>
      <c r="CK75" s="10">
        <f t="shared" si="66"/>
        <v>0</v>
      </c>
      <c r="CL75" s="15"/>
      <c r="CM75" s="10">
        <f t="shared" si="67"/>
        <v>0</v>
      </c>
      <c r="CN75" s="15"/>
      <c r="CO75" s="10">
        <f t="shared" si="68"/>
        <v>0</v>
      </c>
      <c r="CP75" s="15"/>
      <c r="CQ75" s="10">
        <f t="shared" si="69"/>
        <v>0</v>
      </c>
      <c r="CR75" s="15"/>
      <c r="CS75" s="10">
        <f t="shared" si="70"/>
        <v>0</v>
      </c>
      <c r="CT75" s="15"/>
      <c r="CU75" s="10">
        <f t="shared" si="71"/>
        <v>0</v>
      </c>
      <c r="CV75" s="15"/>
      <c r="CW75" s="10">
        <f t="shared" si="72"/>
        <v>0</v>
      </c>
      <c r="CX75" s="15"/>
      <c r="CY75" s="10">
        <f t="shared" si="73"/>
        <v>0</v>
      </c>
      <c r="CZ75" s="15"/>
      <c r="DA75" s="10">
        <f t="shared" si="74"/>
        <v>0</v>
      </c>
      <c r="DB75" s="15"/>
      <c r="DC75" s="10">
        <f t="shared" si="75"/>
        <v>0</v>
      </c>
      <c r="DD75" s="15"/>
      <c r="DE75" s="10">
        <f t="shared" si="75"/>
        <v>0</v>
      </c>
      <c r="DF75" s="16">
        <f t="shared" si="58"/>
        <v>0</v>
      </c>
      <c r="DG75" s="208">
        <f t="shared" si="76"/>
        <v>0</v>
      </c>
    </row>
    <row r="76" spans="1:111">
      <c r="A76" s="7"/>
      <c r="B76" s="8"/>
      <c r="C76" s="8"/>
      <c r="D76" s="7"/>
      <c r="E76" s="7"/>
      <c r="F76" s="7"/>
      <c r="G76" s="7"/>
      <c r="H76" s="15"/>
      <c r="I76" s="10">
        <f t="shared" si="77"/>
        <v>0</v>
      </c>
      <c r="J76" s="15"/>
      <c r="K76" s="10">
        <f t="shared" si="78"/>
        <v>0</v>
      </c>
      <c r="L76" s="15"/>
      <c r="M76" s="10">
        <f t="shared" si="79"/>
        <v>0</v>
      </c>
      <c r="N76" s="15"/>
      <c r="O76" s="10">
        <f t="shared" si="80"/>
        <v>0</v>
      </c>
      <c r="P76" s="15"/>
      <c r="Q76" s="10">
        <f t="shared" si="81"/>
        <v>0</v>
      </c>
      <c r="R76" s="15"/>
      <c r="S76" s="10">
        <f t="shared" si="57"/>
        <v>0</v>
      </c>
      <c r="T76" s="15"/>
      <c r="U76" s="10">
        <f t="shared" si="82"/>
        <v>0</v>
      </c>
      <c r="V76" s="15"/>
      <c r="W76" s="10">
        <f t="shared" si="83"/>
        <v>0</v>
      </c>
      <c r="X76" s="15"/>
      <c r="Y76" s="10">
        <f t="shared" si="84"/>
        <v>0</v>
      </c>
      <c r="Z76" s="15"/>
      <c r="AA76" s="10">
        <f t="shared" si="85"/>
        <v>0</v>
      </c>
      <c r="AB76" s="15"/>
      <c r="AC76" s="10">
        <f t="shared" si="86"/>
        <v>0</v>
      </c>
      <c r="AD76" s="15"/>
      <c r="AE76" s="10">
        <f t="shared" si="87"/>
        <v>0</v>
      </c>
      <c r="AF76" s="11">
        <f>(AD76+AB76+Z76+X76+V76+T76+R76+P76+N76+L76+J76+H76)/1</f>
        <v>0</v>
      </c>
      <c r="AG76" s="12">
        <f t="shared" si="60"/>
        <v>0</v>
      </c>
      <c r="AH76" s="15"/>
      <c r="AI76" s="10">
        <f t="shared" si="88"/>
        <v>0</v>
      </c>
      <c r="AJ76" s="15"/>
      <c r="AK76" s="10">
        <f t="shared" si="89"/>
        <v>0</v>
      </c>
      <c r="AL76" s="15"/>
      <c r="AM76" s="10">
        <f t="shared" si="90"/>
        <v>0</v>
      </c>
      <c r="AN76" s="15"/>
      <c r="AO76" s="10">
        <f t="shared" si="91"/>
        <v>0</v>
      </c>
      <c r="AP76" s="15"/>
      <c r="AQ76" s="10">
        <f t="shared" si="92"/>
        <v>0</v>
      </c>
      <c r="AR76" s="15"/>
      <c r="AS76" s="10">
        <f t="shared" si="93"/>
        <v>0</v>
      </c>
      <c r="AT76" s="15"/>
      <c r="AU76" s="10">
        <f t="shared" si="94"/>
        <v>0</v>
      </c>
      <c r="AV76" s="15"/>
      <c r="AW76" s="10">
        <f t="shared" si="95"/>
        <v>0</v>
      </c>
      <c r="AX76" s="15"/>
      <c r="AY76" s="10">
        <f t="shared" si="96"/>
        <v>0</v>
      </c>
      <c r="AZ76" s="15"/>
      <c r="BA76" s="10">
        <f t="shared" si="97"/>
        <v>0</v>
      </c>
      <c r="BB76" s="15"/>
      <c r="BC76" s="10">
        <f t="shared" si="98"/>
        <v>0</v>
      </c>
      <c r="BD76" s="15"/>
      <c r="BE76" s="10">
        <f t="shared" si="99"/>
        <v>0</v>
      </c>
      <c r="BF76" s="11">
        <f t="shared" si="61"/>
        <v>0</v>
      </c>
      <c r="BG76" s="12">
        <f t="shared" si="62"/>
        <v>0</v>
      </c>
      <c r="BH76" s="15"/>
      <c r="BI76" s="10">
        <f t="shared" si="100"/>
        <v>0</v>
      </c>
      <c r="BJ76" s="15"/>
      <c r="BK76" s="10">
        <f t="shared" si="101"/>
        <v>0</v>
      </c>
      <c r="BL76" s="15"/>
      <c r="BM76" s="10">
        <f t="shared" si="102"/>
        <v>0</v>
      </c>
      <c r="BN76" s="15"/>
      <c r="BO76" s="10">
        <f t="shared" si="103"/>
        <v>0</v>
      </c>
      <c r="BP76" s="15"/>
      <c r="BQ76" s="10">
        <f t="shared" si="104"/>
        <v>0</v>
      </c>
      <c r="BR76" s="15"/>
      <c r="BS76" s="10">
        <f t="shared" si="105"/>
        <v>0</v>
      </c>
      <c r="BT76" s="15"/>
      <c r="BU76" s="10">
        <f t="shared" si="106"/>
        <v>0</v>
      </c>
      <c r="BV76" s="15"/>
      <c r="BW76" s="10">
        <f t="shared" si="107"/>
        <v>0</v>
      </c>
      <c r="BX76" s="15"/>
      <c r="BY76" s="10">
        <f t="shared" si="108"/>
        <v>0</v>
      </c>
      <c r="BZ76" s="15"/>
      <c r="CA76" s="10">
        <f t="shared" si="109"/>
        <v>0</v>
      </c>
      <c r="CB76" s="15"/>
      <c r="CC76" s="10">
        <f t="shared" si="110"/>
        <v>0</v>
      </c>
      <c r="CD76" s="15"/>
      <c r="CE76" s="10">
        <f t="shared" si="111"/>
        <v>0</v>
      </c>
      <c r="CF76" s="11">
        <f t="shared" si="63"/>
        <v>0</v>
      </c>
      <c r="CG76" s="12">
        <f t="shared" si="64"/>
        <v>0</v>
      </c>
      <c r="CH76" s="15"/>
      <c r="CI76" s="10">
        <f t="shared" si="65"/>
        <v>0</v>
      </c>
      <c r="CJ76" s="15"/>
      <c r="CK76" s="10">
        <f t="shared" si="66"/>
        <v>0</v>
      </c>
      <c r="CL76" s="15"/>
      <c r="CM76" s="10">
        <f t="shared" si="67"/>
        <v>0</v>
      </c>
      <c r="CN76" s="15"/>
      <c r="CO76" s="10">
        <f t="shared" si="68"/>
        <v>0</v>
      </c>
      <c r="CP76" s="15"/>
      <c r="CQ76" s="10">
        <f t="shared" si="69"/>
        <v>0</v>
      </c>
      <c r="CR76" s="15"/>
      <c r="CS76" s="10">
        <f t="shared" si="70"/>
        <v>0</v>
      </c>
      <c r="CT76" s="15"/>
      <c r="CU76" s="10">
        <f t="shared" si="71"/>
        <v>0</v>
      </c>
      <c r="CV76" s="15"/>
      <c r="CW76" s="10">
        <f t="shared" si="72"/>
        <v>0</v>
      </c>
      <c r="CX76" s="15"/>
      <c r="CY76" s="10">
        <f t="shared" si="73"/>
        <v>0</v>
      </c>
      <c r="CZ76" s="15"/>
      <c r="DA76" s="10">
        <f t="shared" si="74"/>
        <v>0</v>
      </c>
      <c r="DB76" s="15"/>
      <c r="DC76" s="10">
        <f t="shared" si="75"/>
        <v>0</v>
      </c>
      <c r="DD76" s="15"/>
      <c r="DE76" s="10">
        <f t="shared" si="75"/>
        <v>0</v>
      </c>
      <c r="DF76" s="16">
        <f t="shared" si="58"/>
        <v>0</v>
      </c>
      <c r="DG76" s="208">
        <f t="shared" si="76"/>
        <v>0</v>
      </c>
    </row>
    <row r="77" spans="1:111">
      <c r="A77" s="7">
        <v>62</v>
      </c>
      <c r="B77" s="8" t="s">
        <v>67</v>
      </c>
      <c r="C77" s="8" t="s">
        <v>11</v>
      </c>
      <c r="D77" s="7">
        <f>RANK(DF77,$DF$4:$DF$141)</f>
        <v>6</v>
      </c>
      <c r="E77" s="7">
        <v>0.64</v>
      </c>
      <c r="F77" s="7" t="s">
        <v>22</v>
      </c>
      <c r="G77" s="7">
        <v>1350</v>
      </c>
      <c r="H77" s="9">
        <v>90650</v>
      </c>
      <c r="I77" s="10">
        <f t="shared" si="77"/>
        <v>58016</v>
      </c>
      <c r="J77" s="9">
        <v>74998</v>
      </c>
      <c r="K77" s="10">
        <f t="shared" si="78"/>
        <v>47998.720000000001</v>
      </c>
      <c r="L77" s="9">
        <v>140658</v>
      </c>
      <c r="M77" s="10">
        <f t="shared" si="79"/>
        <v>90021.119999999995</v>
      </c>
      <c r="N77" s="9">
        <v>104580</v>
      </c>
      <c r="O77" s="10">
        <f t="shared" si="80"/>
        <v>66931.199999999997</v>
      </c>
      <c r="P77" s="9">
        <v>97034</v>
      </c>
      <c r="Q77" s="10">
        <f t="shared" si="81"/>
        <v>62101.760000000002</v>
      </c>
      <c r="R77" s="9">
        <v>86618</v>
      </c>
      <c r="S77" s="10">
        <f>R77*$E77</f>
        <v>55435.520000000004</v>
      </c>
      <c r="T77" s="9">
        <v>87990</v>
      </c>
      <c r="U77" s="10">
        <f t="shared" si="82"/>
        <v>56313.599999999999</v>
      </c>
      <c r="V77" s="9">
        <v>96250</v>
      </c>
      <c r="W77" s="10">
        <f t="shared" si="83"/>
        <v>61600</v>
      </c>
      <c r="X77" s="9">
        <v>74480</v>
      </c>
      <c r="Y77" s="10">
        <f t="shared" si="84"/>
        <v>47667.200000000004</v>
      </c>
      <c r="Z77" s="9">
        <v>77910</v>
      </c>
      <c r="AA77" s="10">
        <f t="shared" si="85"/>
        <v>49862.400000000001</v>
      </c>
      <c r="AB77" s="9">
        <v>88550</v>
      </c>
      <c r="AC77" s="10">
        <f t="shared" si="86"/>
        <v>56672</v>
      </c>
      <c r="AD77" s="9">
        <v>93866</v>
      </c>
      <c r="AE77" s="10">
        <f t="shared" si="87"/>
        <v>60074.239999999998</v>
      </c>
      <c r="AF77" s="11">
        <f t="shared" ref="AF77:AF140" si="112">(AD77+AB77+Z77+X77+V77+T77+R77+P77+N77+L77+J77+H77)/1</f>
        <v>1113584</v>
      </c>
      <c r="AG77" s="12">
        <f t="shared" si="60"/>
        <v>712693.76000000001</v>
      </c>
      <c r="AH77" s="9">
        <v>84168</v>
      </c>
      <c r="AI77" s="10">
        <f t="shared" si="88"/>
        <v>53867.520000000004</v>
      </c>
      <c r="AJ77" s="9">
        <v>107520</v>
      </c>
      <c r="AK77" s="10">
        <f t="shared" si="89"/>
        <v>68812.800000000003</v>
      </c>
      <c r="AL77" s="9">
        <v>112126</v>
      </c>
      <c r="AM77" s="10">
        <f t="shared" si="90"/>
        <v>71760.639999999999</v>
      </c>
      <c r="AN77" s="9">
        <v>69020</v>
      </c>
      <c r="AO77" s="10">
        <f t="shared" si="91"/>
        <v>44172.800000000003</v>
      </c>
      <c r="AP77" s="9">
        <v>103810</v>
      </c>
      <c r="AQ77" s="10">
        <f t="shared" si="92"/>
        <v>66438.399999999994</v>
      </c>
      <c r="AR77" s="9">
        <v>73710</v>
      </c>
      <c r="AS77" s="10">
        <f t="shared" si="93"/>
        <v>47174.400000000001</v>
      </c>
      <c r="AT77" s="9">
        <v>98560</v>
      </c>
      <c r="AU77" s="10">
        <f t="shared" si="94"/>
        <v>63078.400000000001</v>
      </c>
      <c r="AV77" s="9">
        <v>82334</v>
      </c>
      <c r="AW77" s="10">
        <f t="shared" si="95"/>
        <v>52693.760000000002</v>
      </c>
      <c r="AX77" s="9">
        <v>66710</v>
      </c>
      <c r="AY77" s="10">
        <f t="shared" si="96"/>
        <v>42694.400000000001</v>
      </c>
      <c r="AZ77" s="9">
        <v>76930</v>
      </c>
      <c r="BA77" s="10">
        <f t="shared" si="97"/>
        <v>49235.200000000004</v>
      </c>
      <c r="BB77" s="9">
        <v>81690</v>
      </c>
      <c r="BC77" s="10">
        <f t="shared" si="98"/>
        <v>52281.599999999999</v>
      </c>
      <c r="BD77" s="9">
        <v>89040</v>
      </c>
      <c r="BE77" s="10">
        <f t="shared" si="99"/>
        <v>56985.599999999999</v>
      </c>
      <c r="BF77" s="11">
        <f t="shared" si="61"/>
        <v>1045618</v>
      </c>
      <c r="BG77" s="12">
        <f t="shared" si="62"/>
        <v>669195.52000000002</v>
      </c>
      <c r="BH77" s="13">
        <v>107044</v>
      </c>
      <c r="BI77" s="10">
        <f t="shared" si="100"/>
        <v>68508.160000000003</v>
      </c>
      <c r="BJ77" s="13">
        <v>66780</v>
      </c>
      <c r="BK77" s="10">
        <f t="shared" si="101"/>
        <v>42739.200000000004</v>
      </c>
      <c r="BL77" s="13">
        <v>81508</v>
      </c>
      <c r="BM77" s="10">
        <f t="shared" si="102"/>
        <v>52165.120000000003</v>
      </c>
      <c r="BN77" s="13">
        <v>90160</v>
      </c>
      <c r="BO77" s="10">
        <f t="shared" si="103"/>
        <v>57702.400000000001</v>
      </c>
      <c r="BP77" s="13">
        <v>86366</v>
      </c>
      <c r="BQ77" s="10">
        <f t="shared" si="104"/>
        <v>55274.239999999998</v>
      </c>
      <c r="BR77" s="13">
        <v>94080</v>
      </c>
      <c r="BS77" s="10">
        <f t="shared" si="105"/>
        <v>60211.200000000004</v>
      </c>
      <c r="BT77" s="13">
        <v>75067</v>
      </c>
      <c r="BU77" s="10">
        <f t="shared" si="106"/>
        <v>48042.879999999997</v>
      </c>
      <c r="BV77" s="13">
        <v>74872</v>
      </c>
      <c r="BW77" s="10">
        <f t="shared" si="107"/>
        <v>47918.080000000002</v>
      </c>
      <c r="BX77" s="13">
        <v>63378</v>
      </c>
      <c r="BY77" s="10">
        <f t="shared" si="108"/>
        <v>40561.919999999998</v>
      </c>
      <c r="BZ77" s="13">
        <v>82180</v>
      </c>
      <c r="CA77" s="10">
        <f t="shared" si="109"/>
        <v>52595.200000000004</v>
      </c>
      <c r="CB77" s="13">
        <v>85008</v>
      </c>
      <c r="CC77" s="10">
        <f t="shared" si="110"/>
        <v>54405.120000000003</v>
      </c>
      <c r="CD77" s="14">
        <v>66178</v>
      </c>
      <c r="CE77" s="10">
        <f t="shared" si="111"/>
        <v>42353.919999999998</v>
      </c>
      <c r="CF77" s="11">
        <f t="shared" si="63"/>
        <v>972621</v>
      </c>
      <c r="CG77" s="12">
        <f t="shared" si="64"/>
        <v>622477.44000000006</v>
      </c>
      <c r="CH77" s="15">
        <v>67074</v>
      </c>
      <c r="CI77" s="10">
        <f t="shared" si="65"/>
        <v>42927.360000000001</v>
      </c>
      <c r="CJ77" s="15">
        <v>77838</v>
      </c>
      <c r="CK77" s="10">
        <f t="shared" si="66"/>
        <v>49816.32</v>
      </c>
      <c r="CL77" s="15">
        <v>91182</v>
      </c>
      <c r="CM77" s="10">
        <f t="shared" si="67"/>
        <v>58356.480000000003</v>
      </c>
      <c r="CN77" s="15">
        <v>88578</v>
      </c>
      <c r="CO77" s="10">
        <f t="shared" si="68"/>
        <v>56689.919999999998</v>
      </c>
      <c r="CP77" s="15">
        <v>79590</v>
      </c>
      <c r="CQ77" s="10">
        <f t="shared" si="69"/>
        <v>50937.599999999999</v>
      </c>
      <c r="CR77" s="15">
        <v>88200</v>
      </c>
      <c r="CS77" s="10">
        <f t="shared" si="70"/>
        <v>56448</v>
      </c>
      <c r="CT77" s="15">
        <v>78218</v>
      </c>
      <c r="CU77" s="10">
        <f t="shared" si="71"/>
        <v>50059.520000000004</v>
      </c>
      <c r="CV77" s="15">
        <v>73304</v>
      </c>
      <c r="CW77" s="10">
        <f t="shared" si="72"/>
        <v>46914.559999999998</v>
      </c>
      <c r="CX77" s="15">
        <v>70753</v>
      </c>
      <c r="CY77" s="10">
        <f t="shared" si="73"/>
        <v>45281.919999999998</v>
      </c>
      <c r="CZ77" s="15">
        <v>74200</v>
      </c>
      <c r="DA77" s="10">
        <f t="shared" si="74"/>
        <v>47488</v>
      </c>
      <c r="DB77" s="15">
        <v>73948</v>
      </c>
      <c r="DC77" s="10">
        <f t="shared" si="75"/>
        <v>47326.720000000001</v>
      </c>
      <c r="DD77" s="15">
        <v>90440</v>
      </c>
      <c r="DE77" s="10">
        <f t="shared" si="75"/>
        <v>57881.599999999999</v>
      </c>
      <c r="DF77" s="16">
        <f t="shared" si="58"/>
        <v>953325</v>
      </c>
      <c r="DG77" s="208">
        <f t="shared" si="76"/>
        <v>610128</v>
      </c>
    </row>
    <row r="78" spans="1:111">
      <c r="A78" s="7">
        <v>63</v>
      </c>
      <c r="B78" s="8" t="s">
        <v>67</v>
      </c>
      <c r="C78" s="8" t="s">
        <v>11</v>
      </c>
      <c r="D78" s="7">
        <f>RANK(DF78,$DF$4:$DF$141)</f>
        <v>31</v>
      </c>
      <c r="E78" s="7">
        <v>0.64</v>
      </c>
      <c r="F78" s="7" t="s">
        <v>20</v>
      </c>
      <c r="G78" s="7">
        <v>1250</v>
      </c>
      <c r="H78" s="9">
        <v>240</v>
      </c>
      <c r="I78" s="10">
        <f t="shared" si="77"/>
        <v>153.6</v>
      </c>
      <c r="J78" s="9"/>
      <c r="K78" s="10">
        <f t="shared" si="78"/>
        <v>0</v>
      </c>
      <c r="L78" s="9"/>
      <c r="M78" s="10">
        <f t="shared" si="79"/>
        <v>0</v>
      </c>
      <c r="N78" s="9"/>
      <c r="O78" s="10">
        <f t="shared" si="80"/>
        <v>0</v>
      </c>
      <c r="P78" s="9">
        <v>480</v>
      </c>
      <c r="Q78" s="10">
        <f t="shared" si="81"/>
        <v>307.2</v>
      </c>
      <c r="R78" s="9"/>
      <c r="S78" s="10">
        <f t="shared" ref="S78:S95" si="113">R78*$E78</f>
        <v>0</v>
      </c>
      <c r="T78" s="9"/>
      <c r="U78" s="10">
        <f t="shared" si="82"/>
        <v>0</v>
      </c>
      <c r="V78" s="9"/>
      <c r="W78" s="10">
        <f t="shared" si="83"/>
        <v>0</v>
      </c>
      <c r="X78" s="9"/>
      <c r="Y78" s="10">
        <f t="shared" si="84"/>
        <v>0</v>
      </c>
      <c r="Z78" s="9"/>
      <c r="AA78" s="10">
        <f t="shared" si="85"/>
        <v>0</v>
      </c>
      <c r="AB78" s="9"/>
      <c r="AC78" s="10">
        <f t="shared" si="86"/>
        <v>0</v>
      </c>
      <c r="AD78" s="9"/>
      <c r="AE78" s="10">
        <f t="shared" si="87"/>
        <v>0</v>
      </c>
      <c r="AF78" s="11">
        <f t="shared" si="112"/>
        <v>720</v>
      </c>
      <c r="AG78" s="12">
        <f t="shared" si="60"/>
        <v>460.8</v>
      </c>
      <c r="AH78" s="9"/>
      <c r="AI78" s="10">
        <f t="shared" si="88"/>
        <v>0</v>
      </c>
      <c r="AJ78" s="9">
        <v>720</v>
      </c>
      <c r="AK78" s="10">
        <f t="shared" si="89"/>
        <v>460.8</v>
      </c>
      <c r="AL78" s="9">
        <v>720</v>
      </c>
      <c r="AM78" s="10">
        <f t="shared" si="90"/>
        <v>460.8</v>
      </c>
      <c r="AN78" s="9"/>
      <c r="AO78" s="10">
        <f t="shared" si="91"/>
        <v>0</v>
      </c>
      <c r="AP78" s="9">
        <v>480</v>
      </c>
      <c r="AQ78" s="10">
        <f t="shared" si="92"/>
        <v>307.2</v>
      </c>
      <c r="AR78" s="9"/>
      <c r="AS78" s="10">
        <f t="shared" si="93"/>
        <v>0</v>
      </c>
      <c r="AT78" s="9"/>
      <c r="AU78" s="10">
        <f t="shared" si="94"/>
        <v>0</v>
      </c>
      <c r="AV78" s="9"/>
      <c r="AW78" s="10">
        <f t="shared" si="95"/>
        <v>0</v>
      </c>
      <c r="AX78" s="9">
        <v>480</v>
      </c>
      <c r="AY78" s="10">
        <f t="shared" si="96"/>
        <v>307.2</v>
      </c>
      <c r="AZ78" s="9"/>
      <c r="BA78" s="10">
        <f t="shared" si="97"/>
        <v>0</v>
      </c>
      <c r="BB78" s="9"/>
      <c r="BC78" s="10">
        <f t="shared" si="98"/>
        <v>0</v>
      </c>
      <c r="BD78" s="9">
        <v>480</v>
      </c>
      <c r="BE78" s="10">
        <f t="shared" si="99"/>
        <v>307.2</v>
      </c>
      <c r="BF78" s="11">
        <f t="shared" si="61"/>
        <v>2880</v>
      </c>
      <c r="BG78" s="12">
        <f t="shared" si="62"/>
        <v>1843.2</v>
      </c>
      <c r="BH78" s="15"/>
      <c r="BI78" s="10">
        <f t="shared" si="100"/>
        <v>0</v>
      </c>
      <c r="BJ78" s="15"/>
      <c r="BK78" s="10">
        <f t="shared" si="101"/>
        <v>0</v>
      </c>
      <c r="BL78" s="15"/>
      <c r="BM78" s="10">
        <f t="shared" si="102"/>
        <v>0</v>
      </c>
      <c r="BN78" s="15"/>
      <c r="BO78" s="10">
        <f t="shared" si="103"/>
        <v>0</v>
      </c>
      <c r="BP78" s="15"/>
      <c r="BQ78" s="10">
        <f t="shared" si="104"/>
        <v>0</v>
      </c>
      <c r="BR78" s="15"/>
      <c r="BS78" s="10">
        <f t="shared" si="105"/>
        <v>0</v>
      </c>
      <c r="BT78" s="15"/>
      <c r="BU78" s="10">
        <f t="shared" si="106"/>
        <v>0</v>
      </c>
      <c r="BV78" s="15"/>
      <c r="BW78" s="10">
        <f t="shared" si="107"/>
        <v>0</v>
      </c>
      <c r="BX78" s="15"/>
      <c r="BY78" s="10">
        <f t="shared" si="108"/>
        <v>0</v>
      </c>
      <c r="BZ78" s="15"/>
      <c r="CA78" s="10">
        <f t="shared" si="109"/>
        <v>0</v>
      </c>
      <c r="CB78" s="15"/>
      <c r="CC78" s="10">
        <f t="shared" si="110"/>
        <v>0</v>
      </c>
      <c r="CD78" s="15"/>
      <c r="CE78" s="10">
        <f t="shared" si="111"/>
        <v>0</v>
      </c>
      <c r="CF78" s="11">
        <f t="shared" si="63"/>
        <v>0</v>
      </c>
      <c r="CG78" s="12">
        <f t="shared" si="64"/>
        <v>0</v>
      </c>
      <c r="CH78" s="15"/>
      <c r="CI78" s="10">
        <f t="shared" si="65"/>
        <v>0</v>
      </c>
      <c r="CJ78" s="15"/>
      <c r="CK78" s="10">
        <f t="shared" si="66"/>
        <v>0</v>
      </c>
      <c r="CL78" s="15"/>
      <c r="CM78" s="10">
        <f t="shared" si="67"/>
        <v>0</v>
      </c>
      <c r="CN78" s="15"/>
      <c r="CO78" s="10">
        <f t="shared" si="68"/>
        <v>0</v>
      </c>
      <c r="CP78" s="15"/>
      <c r="CQ78" s="10">
        <f t="shared" si="69"/>
        <v>0</v>
      </c>
      <c r="CR78" s="15"/>
      <c r="CS78" s="10">
        <f t="shared" si="70"/>
        <v>0</v>
      </c>
      <c r="CT78" s="15"/>
      <c r="CU78" s="10">
        <f t="shared" si="71"/>
        <v>0</v>
      </c>
      <c r="CV78" s="15"/>
      <c r="CW78" s="10">
        <f t="shared" si="72"/>
        <v>0</v>
      </c>
      <c r="CX78" s="15"/>
      <c r="CY78" s="10">
        <f t="shared" si="73"/>
        <v>0</v>
      </c>
      <c r="CZ78" s="15"/>
      <c r="DA78" s="10">
        <f t="shared" si="74"/>
        <v>0</v>
      </c>
      <c r="DB78" s="15"/>
      <c r="DC78" s="10">
        <f t="shared" si="75"/>
        <v>0</v>
      </c>
      <c r="DD78" s="15"/>
      <c r="DE78" s="10">
        <f t="shared" si="75"/>
        <v>0</v>
      </c>
      <c r="DF78" s="16">
        <f t="shared" si="58"/>
        <v>0</v>
      </c>
      <c r="DG78" s="208">
        <f t="shared" si="76"/>
        <v>0</v>
      </c>
    </row>
    <row r="79" spans="1:111">
      <c r="A79" s="7"/>
      <c r="B79" s="8"/>
      <c r="C79" s="8"/>
      <c r="D79" s="7"/>
      <c r="E79" s="7"/>
      <c r="F79" s="7"/>
      <c r="G79" s="7"/>
      <c r="H79" s="15"/>
      <c r="I79" s="10">
        <f t="shared" si="77"/>
        <v>0</v>
      </c>
      <c r="J79" s="15"/>
      <c r="K79" s="10">
        <f t="shared" si="78"/>
        <v>0</v>
      </c>
      <c r="L79" s="15"/>
      <c r="M79" s="10">
        <f t="shared" si="79"/>
        <v>0</v>
      </c>
      <c r="N79" s="15"/>
      <c r="O79" s="10">
        <f t="shared" si="80"/>
        <v>0</v>
      </c>
      <c r="P79" s="15"/>
      <c r="Q79" s="10">
        <f t="shared" si="81"/>
        <v>0</v>
      </c>
      <c r="R79" s="15"/>
      <c r="S79" s="10">
        <f t="shared" si="113"/>
        <v>0</v>
      </c>
      <c r="T79" s="15"/>
      <c r="U79" s="10">
        <f t="shared" si="82"/>
        <v>0</v>
      </c>
      <c r="V79" s="15"/>
      <c r="W79" s="10">
        <f t="shared" si="83"/>
        <v>0</v>
      </c>
      <c r="X79" s="15"/>
      <c r="Y79" s="10">
        <f t="shared" si="84"/>
        <v>0</v>
      </c>
      <c r="Z79" s="15"/>
      <c r="AA79" s="10">
        <f t="shared" si="85"/>
        <v>0</v>
      </c>
      <c r="AB79" s="15"/>
      <c r="AC79" s="10">
        <f t="shared" si="86"/>
        <v>0</v>
      </c>
      <c r="AD79" s="15"/>
      <c r="AE79" s="10">
        <f t="shared" si="87"/>
        <v>0</v>
      </c>
      <c r="AF79" s="11">
        <f t="shared" si="112"/>
        <v>0</v>
      </c>
      <c r="AG79" s="12">
        <f t="shared" si="60"/>
        <v>0</v>
      </c>
      <c r="AH79" s="15"/>
      <c r="AI79" s="10">
        <f t="shared" si="88"/>
        <v>0</v>
      </c>
      <c r="AJ79" s="15"/>
      <c r="AK79" s="10">
        <f t="shared" si="89"/>
        <v>0</v>
      </c>
      <c r="AL79" s="15"/>
      <c r="AM79" s="10">
        <f t="shared" si="90"/>
        <v>0</v>
      </c>
      <c r="AN79" s="15"/>
      <c r="AO79" s="10">
        <f t="shared" si="91"/>
        <v>0</v>
      </c>
      <c r="AP79" s="15"/>
      <c r="AQ79" s="10">
        <f t="shared" si="92"/>
        <v>0</v>
      </c>
      <c r="AR79" s="15"/>
      <c r="AS79" s="10">
        <f t="shared" si="93"/>
        <v>0</v>
      </c>
      <c r="AT79" s="15"/>
      <c r="AU79" s="10">
        <f t="shared" si="94"/>
        <v>0</v>
      </c>
      <c r="AV79" s="15"/>
      <c r="AW79" s="10">
        <f t="shared" si="95"/>
        <v>0</v>
      </c>
      <c r="AX79" s="15"/>
      <c r="AY79" s="10">
        <f t="shared" si="96"/>
        <v>0</v>
      </c>
      <c r="AZ79" s="15"/>
      <c r="BA79" s="10">
        <f t="shared" si="97"/>
        <v>0</v>
      </c>
      <c r="BB79" s="15"/>
      <c r="BC79" s="10">
        <f t="shared" si="98"/>
        <v>0</v>
      </c>
      <c r="BD79" s="15"/>
      <c r="BE79" s="10">
        <f t="shared" si="99"/>
        <v>0</v>
      </c>
      <c r="BF79" s="11">
        <f t="shared" si="61"/>
        <v>0</v>
      </c>
      <c r="BG79" s="12">
        <f t="shared" si="62"/>
        <v>0</v>
      </c>
      <c r="BH79" s="15"/>
      <c r="BI79" s="10">
        <f t="shared" si="100"/>
        <v>0</v>
      </c>
      <c r="BJ79" s="15"/>
      <c r="BK79" s="10">
        <f t="shared" si="101"/>
        <v>0</v>
      </c>
      <c r="BL79" s="15"/>
      <c r="BM79" s="10">
        <f t="shared" si="102"/>
        <v>0</v>
      </c>
      <c r="BN79" s="15"/>
      <c r="BO79" s="10">
        <f t="shared" si="103"/>
        <v>0</v>
      </c>
      <c r="BP79" s="15"/>
      <c r="BQ79" s="10">
        <f t="shared" si="104"/>
        <v>0</v>
      </c>
      <c r="BR79" s="15"/>
      <c r="BS79" s="10">
        <f t="shared" si="105"/>
        <v>0</v>
      </c>
      <c r="BT79" s="15"/>
      <c r="BU79" s="10">
        <f t="shared" si="106"/>
        <v>0</v>
      </c>
      <c r="BV79" s="15"/>
      <c r="BW79" s="10">
        <f t="shared" si="107"/>
        <v>0</v>
      </c>
      <c r="BX79" s="15"/>
      <c r="BY79" s="10">
        <f t="shared" si="108"/>
        <v>0</v>
      </c>
      <c r="BZ79" s="15"/>
      <c r="CA79" s="10">
        <f t="shared" si="109"/>
        <v>0</v>
      </c>
      <c r="CB79" s="15"/>
      <c r="CC79" s="10">
        <f t="shared" si="110"/>
        <v>0</v>
      </c>
      <c r="CD79" s="15"/>
      <c r="CE79" s="10">
        <f t="shared" si="111"/>
        <v>0</v>
      </c>
      <c r="CF79" s="11">
        <f t="shared" si="63"/>
        <v>0</v>
      </c>
      <c r="CG79" s="12">
        <f t="shared" si="64"/>
        <v>0</v>
      </c>
      <c r="CH79" s="15"/>
      <c r="CI79" s="10">
        <f t="shared" si="65"/>
        <v>0</v>
      </c>
      <c r="CJ79" s="15"/>
      <c r="CK79" s="10">
        <f t="shared" si="66"/>
        <v>0</v>
      </c>
      <c r="CL79" s="15"/>
      <c r="CM79" s="10">
        <f t="shared" si="67"/>
        <v>0</v>
      </c>
      <c r="CN79" s="15"/>
      <c r="CO79" s="10">
        <f t="shared" si="68"/>
        <v>0</v>
      </c>
      <c r="CP79" s="15"/>
      <c r="CQ79" s="10">
        <f t="shared" si="69"/>
        <v>0</v>
      </c>
      <c r="CR79" s="15"/>
      <c r="CS79" s="10">
        <f t="shared" si="70"/>
        <v>0</v>
      </c>
      <c r="CT79" s="15"/>
      <c r="CU79" s="10">
        <f t="shared" si="71"/>
        <v>0</v>
      </c>
      <c r="CV79" s="15"/>
      <c r="CW79" s="10">
        <f t="shared" si="72"/>
        <v>0</v>
      </c>
      <c r="CX79" s="15"/>
      <c r="CY79" s="10">
        <f t="shared" si="73"/>
        <v>0</v>
      </c>
      <c r="CZ79" s="15"/>
      <c r="DA79" s="10">
        <f t="shared" si="74"/>
        <v>0</v>
      </c>
      <c r="DB79" s="15"/>
      <c r="DC79" s="10">
        <f t="shared" si="75"/>
        <v>0</v>
      </c>
      <c r="DD79" s="15"/>
      <c r="DE79" s="10">
        <f t="shared" si="75"/>
        <v>0</v>
      </c>
      <c r="DF79" s="16">
        <f t="shared" si="58"/>
        <v>0</v>
      </c>
      <c r="DG79" s="208">
        <f t="shared" si="76"/>
        <v>0</v>
      </c>
    </row>
    <row r="80" spans="1:111">
      <c r="A80" s="7">
        <v>64</v>
      </c>
      <c r="B80" s="8" t="s">
        <v>68</v>
      </c>
      <c r="C80" s="8" t="s">
        <v>11</v>
      </c>
      <c r="D80" s="7">
        <f>RANK(DF80,$DF$4:$DF$141)</f>
        <v>31</v>
      </c>
      <c r="E80" s="7">
        <v>0.64</v>
      </c>
      <c r="F80" s="7" t="s">
        <v>20</v>
      </c>
      <c r="G80" s="7"/>
      <c r="H80" s="15"/>
      <c r="I80" s="10">
        <f t="shared" si="77"/>
        <v>0</v>
      </c>
      <c r="J80" s="15"/>
      <c r="K80" s="10">
        <f t="shared" si="78"/>
        <v>0</v>
      </c>
      <c r="L80" s="15"/>
      <c r="M80" s="10">
        <f t="shared" si="79"/>
        <v>0</v>
      </c>
      <c r="N80" s="15"/>
      <c r="O80" s="10">
        <f t="shared" si="80"/>
        <v>0</v>
      </c>
      <c r="P80" s="15"/>
      <c r="Q80" s="10">
        <f t="shared" si="81"/>
        <v>0</v>
      </c>
      <c r="R80" s="15"/>
      <c r="S80" s="10">
        <f t="shared" si="113"/>
        <v>0</v>
      </c>
      <c r="T80" s="15"/>
      <c r="U80" s="10">
        <f t="shared" si="82"/>
        <v>0</v>
      </c>
      <c r="V80" s="15"/>
      <c r="W80" s="10">
        <f t="shared" si="83"/>
        <v>0</v>
      </c>
      <c r="X80" s="15"/>
      <c r="Y80" s="10">
        <f t="shared" si="84"/>
        <v>0</v>
      </c>
      <c r="Z80" s="15"/>
      <c r="AA80" s="10">
        <f t="shared" si="85"/>
        <v>0</v>
      </c>
      <c r="AB80" s="15"/>
      <c r="AC80" s="10">
        <f t="shared" si="86"/>
        <v>0</v>
      </c>
      <c r="AD80" s="15"/>
      <c r="AE80" s="10">
        <f t="shared" si="87"/>
        <v>0</v>
      </c>
      <c r="AF80" s="11">
        <f t="shared" si="112"/>
        <v>0</v>
      </c>
      <c r="AG80" s="12">
        <f t="shared" si="60"/>
        <v>0</v>
      </c>
      <c r="AH80" s="15"/>
      <c r="AI80" s="10">
        <f t="shared" si="88"/>
        <v>0</v>
      </c>
      <c r="AJ80" s="15"/>
      <c r="AK80" s="10">
        <f t="shared" si="89"/>
        <v>0</v>
      </c>
      <c r="AL80" s="15"/>
      <c r="AM80" s="10">
        <f t="shared" si="90"/>
        <v>0</v>
      </c>
      <c r="AN80" s="15"/>
      <c r="AO80" s="10">
        <f t="shared" si="91"/>
        <v>0</v>
      </c>
      <c r="AP80" s="15"/>
      <c r="AQ80" s="10">
        <f t="shared" si="92"/>
        <v>0</v>
      </c>
      <c r="AR80" s="15"/>
      <c r="AS80" s="10">
        <f t="shared" si="93"/>
        <v>0</v>
      </c>
      <c r="AT80" s="15"/>
      <c r="AU80" s="10">
        <f t="shared" si="94"/>
        <v>0</v>
      </c>
      <c r="AV80" s="15"/>
      <c r="AW80" s="10">
        <f t="shared" si="95"/>
        <v>0</v>
      </c>
      <c r="AX80" s="15"/>
      <c r="AY80" s="10">
        <f t="shared" si="96"/>
        <v>0</v>
      </c>
      <c r="AZ80" s="15"/>
      <c r="BA80" s="10">
        <f t="shared" si="97"/>
        <v>0</v>
      </c>
      <c r="BB80" s="15"/>
      <c r="BC80" s="10">
        <f t="shared" si="98"/>
        <v>0</v>
      </c>
      <c r="BD80" s="15"/>
      <c r="BE80" s="10">
        <f t="shared" si="99"/>
        <v>0</v>
      </c>
      <c r="BF80" s="11">
        <f t="shared" si="61"/>
        <v>0</v>
      </c>
      <c r="BG80" s="12">
        <f t="shared" si="62"/>
        <v>0</v>
      </c>
      <c r="BH80" s="15"/>
      <c r="BI80" s="10">
        <f t="shared" si="100"/>
        <v>0</v>
      </c>
      <c r="BJ80" s="15"/>
      <c r="BK80" s="10">
        <f t="shared" si="101"/>
        <v>0</v>
      </c>
      <c r="BL80" s="15"/>
      <c r="BM80" s="10">
        <f t="shared" si="102"/>
        <v>0</v>
      </c>
      <c r="BN80" s="15"/>
      <c r="BO80" s="10">
        <f t="shared" si="103"/>
        <v>0</v>
      </c>
      <c r="BP80" s="15"/>
      <c r="BQ80" s="10">
        <f t="shared" si="104"/>
        <v>0</v>
      </c>
      <c r="BR80" s="15"/>
      <c r="BS80" s="10">
        <f t="shared" si="105"/>
        <v>0</v>
      </c>
      <c r="BT80" s="15"/>
      <c r="BU80" s="10">
        <f t="shared" si="106"/>
        <v>0</v>
      </c>
      <c r="BV80" s="15"/>
      <c r="BW80" s="10">
        <f t="shared" si="107"/>
        <v>0</v>
      </c>
      <c r="BX80" s="15"/>
      <c r="BY80" s="10">
        <f t="shared" si="108"/>
        <v>0</v>
      </c>
      <c r="BZ80" s="15"/>
      <c r="CA80" s="10">
        <f t="shared" si="109"/>
        <v>0</v>
      </c>
      <c r="CB80" s="15"/>
      <c r="CC80" s="10">
        <f t="shared" si="110"/>
        <v>0</v>
      </c>
      <c r="CD80" s="15"/>
      <c r="CE80" s="10">
        <f t="shared" si="111"/>
        <v>0</v>
      </c>
      <c r="CF80" s="11">
        <f t="shared" si="63"/>
        <v>0</v>
      </c>
      <c r="CG80" s="12">
        <f t="shared" si="64"/>
        <v>0</v>
      </c>
      <c r="CH80" s="15"/>
      <c r="CI80" s="10">
        <f t="shared" si="65"/>
        <v>0</v>
      </c>
      <c r="CJ80" s="15"/>
      <c r="CK80" s="10">
        <f t="shared" si="66"/>
        <v>0</v>
      </c>
      <c r="CL80" s="15"/>
      <c r="CM80" s="10">
        <f t="shared" si="67"/>
        <v>0</v>
      </c>
      <c r="CN80" s="15"/>
      <c r="CO80" s="10">
        <f t="shared" si="68"/>
        <v>0</v>
      </c>
      <c r="CP80" s="15"/>
      <c r="CQ80" s="10">
        <f t="shared" si="69"/>
        <v>0</v>
      </c>
      <c r="CR80" s="15"/>
      <c r="CS80" s="10">
        <f t="shared" si="70"/>
        <v>0</v>
      </c>
      <c r="CT80" s="15"/>
      <c r="CU80" s="10">
        <f t="shared" si="71"/>
        <v>0</v>
      </c>
      <c r="CV80" s="15"/>
      <c r="CW80" s="10">
        <f t="shared" si="72"/>
        <v>0</v>
      </c>
      <c r="CX80" s="15"/>
      <c r="CY80" s="10">
        <f t="shared" si="73"/>
        <v>0</v>
      </c>
      <c r="CZ80" s="15"/>
      <c r="DA80" s="10">
        <f t="shared" si="74"/>
        <v>0</v>
      </c>
      <c r="DB80" s="15"/>
      <c r="DC80" s="10">
        <f t="shared" si="75"/>
        <v>0</v>
      </c>
      <c r="DD80" s="15"/>
      <c r="DE80" s="10">
        <f t="shared" si="75"/>
        <v>0</v>
      </c>
      <c r="DF80" s="16">
        <f t="shared" si="58"/>
        <v>0</v>
      </c>
      <c r="DG80" s="208">
        <f t="shared" si="76"/>
        <v>0</v>
      </c>
    </row>
    <row r="81" spans="1:111">
      <c r="A81" s="7">
        <v>65</v>
      </c>
      <c r="B81" s="8" t="s">
        <v>69</v>
      </c>
      <c r="C81" s="8" t="s">
        <v>11</v>
      </c>
      <c r="D81" s="7">
        <f>RANK(DF81,$DF$4:$DF$141)</f>
        <v>31</v>
      </c>
      <c r="E81" s="7">
        <v>0.64</v>
      </c>
      <c r="F81" s="7" t="s">
        <v>12</v>
      </c>
      <c r="G81" s="7"/>
      <c r="H81" s="15"/>
      <c r="I81" s="10">
        <f t="shared" si="77"/>
        <v>0</v>
      </c>
      <c r="J81" s="15"/>
      <c r="K81" s="10">
        <f t="shared" si="78"/>
        <v>0</v>
      </c>
      <c r="L81" s="15"/>
      <c r="M81" s="10">
        <f t="shared" si="79"/>
        <v>0</v>
      </c>
      <c r="N81" s="15"/>
      <c r="O81" s="10">
        <f t="shared" si="80"/>
        <v>0</v>
      </c>
      <c r="P81" s="15"/>
      <c r="Q81" s="10">
        <f t="shared" si="81"/>
        <v>0</v>
      </c>
      <c r="R81" s="15"/>
      <c r="S81" s="10">
        <f t="shared" si="113"/>
        <v>0</v>
      </c>
      <c r="T81" s="15"/>
      <c r="U81" s="10">
        <f t="shared" si="82"/>
        <v>0</v>
      </c>
      <c r="V81" s="15"/>
      <c r="W81" s="10">
        <f t="shared" si="83"/>
        <v>0</v>
      </c>
      <c r="X81" s="15"/>
      <c r="Y81" s="10">
        <f t="shared" si="84"/>
        <v>0</v>
      </c>
      <c r="Z81" s="15"/>
      <c r="AA81" s="10">
        <f t="shared" si="85"/>
        <v>0</v>
      </c>
      <c r="AB81" s="15"/>
      <c r="AC81" s="10">
        <f t="shared" si="86"/>
        <v>0</v>
      </c>
      <c r="AD81" s="15"/>
      <c r="AE81" s="10">
        <f t="shared" si="87"/>
        <v>0</v>
      </c>
      <c r="AF81" s="11">
        <f t="shared" si="112"/>
        <v>0</v>
      </c>
      <c r="AG81" s="12">
        <f t="shared" si="60"/>
        <v>0</v>
      </c>
      <c r="AH81" s="15"/>
      <c r="AI81" s="10">
        <f t="shared" si="88"/>
        <v>0</v>
      </c>
      <c r="AJ81" s="15"/>
      <c r="AK81" s="10">
        <f t="shared" si="89"/>
        <v>0</v>
      </c>
      <c r="AL81" s="15"/>
      <c r="AM81" s="10">
        <f t="shared" si="90"/>
        <v>0</v>
      </c>
      <c r="AN81" s="15"/>
      <c r="AO81" s="10">
        <f t="shared" si="91"/>
        <v>0</v>
      </c>
      <c r="AP81" s="15"/>
      <c r="AQ81" s="10">
        <f t="shared" si="92"/>
        <v>0</v>
      </c>
      <c r="AR81" s="15"/>
      <c r="AS81" s="10">
        <f t="shared" si="93"/>
        <v>0</v>
      </c>
      <c r="AT81" s="15"/>
      <c r="AU81" s="10">
        <f t="shared" si="94"/>
        <v>0</v>
      </c>
      <c r="AV81" s="15"/>
      <c r="AW81" s="10">
        <f t="shared" si="95"/>
        <v>0</v>
      </c>
      <c r="AX81" s="15"/>
      <c r="AY81" s="10">
        <f t="shared" si="96"/>
        <v>0</v>
      </c>
      <c r="AZ81" s="15"/>
      <c r="BA81" s="10">
        <f t="shared" si="97"/>
        <v>0</v>
      </c>
      <c r="BB81" s="15"/>
      <c r="BC81" s="10">
        <f t="shared" si="98"/>
        <v>0</v>
      </c>
      <c r="BD81" s="15"/>
      <c r="BE81" s="10">
        <f t="shared" si="99"/>
        <v>0</v>
      </c>
      <c r="BF81" s="11">
        <f t="shared" si="61"/>
        <v>0</v>
      </c>
      <c r="BG81" s="12">
        <f t="shared" si="62"/>
        <v>0</v>
      </c>
      <c r="BH81" s="15"/>
      <c r="BI81" s="10">
        <f t="shared" si="100"/>
        <v>0</v>
      </c>
      <c r="BJ81" s="15"/>
      <c r="BK81" s="10">
        <f t="shared" si="101"/>
        <v>0</v>
      </c>
      <c r="BL81" s="15"/>
      <c r="BM81" s="10">
        <f t="shared" si="102"/>
        <v>0</v>
      </c>
      <c r="BN81" s="15"/>
      <c r="BO81" s="10">
        <f t="shared" si="103"/>
        <v>0</v>
      </c>
      <c r="BP81" s="15"/>
      <c r="BQ81" s="10">
        <f t="shared" si="104"/>
        <v>0</v>
      </c>
      <c r="BR81" s="15"/>
      <c r="BS81" s="10">
        <f t="shared" si="105"/>
        <v>0</v>
      </c>
      <c r="BT81" s="15"/>
      <c r="BU81" s="10">
        <f t="shared" si="106"/>
        <v>0</v>
      </c>
      <c r="BV81" s="15"/>
      <c r="BW81" s="10">
        <f t="shared" si="107"/>
        <v>0</v>
      </c>
      <c r="BX81" s="15"/>
      <c r="BY81" s="10">
        <f t="shared" si="108"/>
        <v>0</v>
      </c>
      <c r="BZ81" s="15"/>
      <c r="CA81" s="10">
        <f t="shared" si="109"/>
        <v>0</v>
      </c>
      <c r="CB81" s="15"/>
      <c r="CC81" s="10">
        <f t="shared" si="110"/>
        <v>0</v>
      </c>
      <c r="CD81" s="15"/>
      <c r="CE81" s="10">
        <f t="shared" si="111"/>
        <v>0</v>
      </c>
      <c r="CF81" s="11">
        <f t="shared" si="63"/>
        <v>0</v>
      </c>
      <c r="CG81" s="12">
        <f t="shared" si="64"/>
        <v>0</v>
      </c>
      <c r="CH81" s="15"/>
      <c r="CI81" s="10">
        <f t="shared" si="65"/>
        <v>0</v>
      </c>
      <c r="CJ81" s="15"/>
      <c r="CK81" s="10">
        <f t="shared" si="66"/>
        <v>0</v>
      </c>
      <c r="CL81" s="15"/>
      <c r="CM81" s="10">
        <f t="shared" si="67"/>
        <v>0</v>
      </c>
      <c r="CN81" s="15"/>
      <c r="CO81" s="10">
        <f t="shared" si="68"/>
        <v>0</v>
      </c>
      <c r="CP81" s="15"/>
      <c r="CQ81" s="10">
        <f t="shared" si="69"/>
        <v>0</v>
      </c>
      <c r="CR81" s="15"/>
      <c r="CS81" s="10">
        <f t="shared" si="70"/>
        <v>0</v>
      </c>
      <c r="CT81" s="15"/>
      <c r="CU81" s="10">
        <f t="shared" si="71"/>
        <v>0</v>
      </c>
      <c r="CV81" s="15"/>
      <c r="CW81" s="10">
        <f t="shared" si="72"/>
        <v>0</v>
      </c>
      <c r="CX81" s="15"/>
      <c r="CY81" s="10">
        <f t="shared" si="73"/>
        <v>0</v>
      </c>
      <c r="CZ81" s="15"/>
      <c r="DA81" s="10">
        <f t="shared" si="74"/>
        <v>0</v>
      </c>
      <c r="DB81" s="15"/>
      <c r="DC81" s="10">
        <f t="shared" si="75"/>
        <v>0</v>
      </c>
      <c r="DD81" s="15"/>
      <c r="DE81" s="10">
        <f t="shared" si="75"/>
        <v>0</v>
      </c>
      <c r="DF81" s="16">
        <f t="shared" si="58"/>
        <v>0</v>
      </c>
      <c r="DG81" s="208">
        <f t="shared" si="76"/>
        <v>0</v>
      </c>
    </row>
    <row r="82" spans="1:111">
      <c r="A82" s="7">
        <v>66</v>
      </c>
      <c r="B82" s="8" t="s">
        <v>314</v>
      </c>
      <c r="C82" s="8" t="s">
        <v>11</v>
      </c>
      <c r="D82" s="7">
        <f>RANK(DF82,$DF$4:$DF$141)</f>
        <v>31</v>
      </c>
      <c r="E82" s="7">
        <v>0.64</v>
      </c>
      <c r="F82" s="7" t="s">
        <v>22</v>
      </c>
      <c r="G82" s="7"/>
      <c r="H82" s="15"/>
      <c r="I82" s="10"/>
      <c r="J82" s="15"/>
      <c r="K82" s="10"/>
      <c r="L82" s="15"/>
      <c r="M82" s="10"/>
      <c r="N82" s="15"/>
      <c r="O82" s="10"/>
      <c r="P82" s="15"/>
      <c r="Q82" s="10"/>
      <c r="R82" s="15"/>
      <c r="S82" s="10"/>
      <c r="T82" s="15"/>
      <c r="U82" s="10"/>
      <c r="V82" s="15"/>
      <c r="W82" s="10"/>
      <c r="X82" s="15"/>
      <c r="Y82" s="10"/>
      <c r="Z82" s="15"/>
      <c r="AA82" s="10"/>
      <c r="AB82" s="15"/>
      <c r="AC82" s="10"/>
      <c r="AD82" s="15"/>
      <c r="AE82" s="10"/>
      <c r="AF82" s="11">
        <f t="shared" si="112"/>
        <v>0</v>
      </c>
      <c r="AG82" s="12">
        <f t="shared" si="60"/>
        <v>0</v>
      </c>
      <c r="AH82" s="15"/>
      <c r="AI82" s="10"/>
      <c r="AJ82" s="15"/>
      <c r="AK82" s="10"/>
      <c r="AL82" s="15"/>
      <c r="AM82" s="10"/>
      <c r="AN82" s="15"/>
      <c r="AO82" s="10"/>
      <c r="AP82" s="15"/>
      <c r="AQ82" s="10"/>
      <c r="AR82" s="15"/>
      <c r="AS82" s="10"/>
      <c r="AT82" s="15"/>
      <c r="AU82" s="10"/>
      <c r="AV82" s="15"/>
      <c r="AW82" s="10"/>
      <c r="AX82" s="15"/>
      <c r="AY82" s="10"/>
      <c r="AZ82" s="15"/>
      <c r="BA82" s="10"/>
      <c r="BB82" s="15"/>
      <c r="BC82" s="10"/>
      <c r="BD82" s="15"/>
      <c r="BE82" s="10"/>
      <c r="BF82" s="11">
        <f t="shared" si="61"/>
        <v>0</v>
      </c>
      <c r="BG82" s="12">
        <f t="shared" si="62"/>
        <v>0</v>
      </c>
      <c r="BH82" s="15"/>
      <c r="BI82" s="10"/>
      <c r="BJ82" s="15"/>
      <c r="BK82" s="10"/>
      <c r="BL82" s="15"/>
      <c r="BM82" s="10"/>
      <c r="BN82" s="15"/>
      <c r="BO82" s="10"/>
      <c r="BP82" s="15"/>
      <c r="BQ82" s="10"/>
      <c r="BR82" s="15"/>
      <c r="BS82" s="10"/>
      <c r="BT82" s="15"/>
      <c r="BU82" s="10"/>
      <c r="BV82" s="15"/>
      <c r="BW82" s="10"/>
      <c r="BX82" s="15"/>
      <c r="BY82" s="10"/>
      <c r="BZ82" s="15"/>
      <c r="CA82" s="10"/>
      <c r="CB82" s="15"/>
      <c r="CC82" s="10"/>
      <c r="CD82" s="15"/>
      <c r="CE82" s="10"/>
      <c r="CF82" s="11">
        <f t="shared" si="63"/>
        <v>0</v>
      </c>
      <c r="CG82" s="12">
        <f t="shared" si="64"/>
        <v>0</v>
      </c>
      <c r="CH82" s="15"/>
      <c r="CI82" s="10">
        <f t="shared" si="65"/>
        <v>0</v>
      </c>
      <c r="CJ82" s="15"/>
      <c r="CK82" s="10">
        <f t="shared" si="66"/>
        <v>0</v>
      </c>
      <c r="CL82" s="15"/>
      <c r="CM82" s="10">
        <f t="shared" si="67"/>
        <v>0</v>
      </c>
      <c r="CN82" s="15"/>
      <c r="CO82" s="10">
        <f t="shared" si="68"/>
        <v>0</v>
      </c>
      <c r="CP82" s="15"/>
      <c r="CQ82" s="10">
        <f t="shared" si="69"/>
        <v>0</v>
      </c>
      <c r="CR82" s="15"/>
      <c r="CS82" s="10">
        <f t="shared" si="70"/>
        <v>0</v>
      </c>
      <c r="CT82" s="15"/>
      <c r="CU82" s="10">
        <f t="shared" si="71"/>
        <v>0</v>
      </c>
      <c r="CV82" s="15"/>
      <c r="CW82" s="10">
        <f t="shared" si="72"/>
        <v>0</v>
      </c>
      <c r="CX82" s="15"/>
      <c r="CY82" s="10">
        <f t="shared" si="73"/>
        <v>0</v>
      </c>
      <c r="CZ82" s="15"/>
      <c r="DA82" s="10">
        <f t="shared" si="74"/>
        <v>0</v>
      </c>
      <c r="DB82" s="15"/>
      <c r="DC82" s="10">
        <f t="shared" si="75"/>
        <v>0</v>
      </c>
      <c r="DD82" s="15"/>
      <c r="DE82" s="10">
        <f t="shared" si="75"/>
        <v>0</v>
      </c>
      <c r="DF82" s="16">
        <f t="shared" si="58"/>
        <v>0</v>
      </c>
      <c r="DG82" s="208">
        <f t="shared" si="76"/>
        <v>0</v>
      </c>
    </row>
    <row r="83" spans="1:111">
      <c r="A83" s="7">
        <v>67</v>
      </c>
      <c r="B83" s="8" t="s">
        <v>314</v>
      </c>
      <c r="C83" s="8" t="s">
        <v>14</v>
      </c>
      <c r="D83" s="7">
        <f>RANK(DF83,$DF$4:$DF$141)</f>
        <v>31</v>
      </c>
      <c r="E83" s="7">
        <v>1</v>
      </c>
      <c r="F83" s="7" t="s">
        <v>12</v>
      </c>
      <c r="G83" s="7"/>
      <c r="H83" s="15"/>
      <c r="I83" s="10"/>
      <c r="J83" s="15"/>
      <c r="K83" s="10"/>
      <c r="L83" s="15"/>
      <c r="M83" s="10"/>
      <c r="N83" s="15"/>
      <c r="O83" s="10"/>
      <c r="P83" s="15"/>
      <c r="Q83" s="10"/>
      <c r="R83" s="15"/>
      <c r="S83" s="10"/>
      <c r="T83" s="15"/>
      <c r="U83" s="10"/>
      <c r="V83" s="15"/>
      <c r="W83" s="10"/>
      <c r="X83" s="15"/>
      <c r="Y83" s="10"/>
      <c r="Z83" s="15"/>
      <c r="AA83" s="10"/>
      <c r="AB83" s="15"/>
      <c r="AC83" s="10"/>
      <c r="AD83" s="15"/>
      <c r="AE83" s="10"/>
      <c r="AF83" s="11">
        <f t="shared" si="112"/>
        <v>0</v>
      </c>
      <c r="AG83" s="12">
        <f t="shared" si="60"/>
        <v>0</v>
      </c>
      <c r="AH83" s="15"/>
      <c r="AI83" s="10"/>
      <c r="AJ83" s="15"/>
      <c r="AK83" s="10"/>
      <c r="AL83" s="15"/>
      <c r="AM83" s="10"/>
      <c r="AN83" s="15"/>
      <c r="AO83" s="10"/>
      <c r="AP83" s="15"/>
      <c r="AQ83" s="10"/>
      <c r="AR83" s="15"/>
      <c r="AS83" s="10"/>
      <c r="AT83" s="15"/>
      <c r="AU83" s="10"/>
      <c r="AV83" s="15"/>
      <c r="AW83" s="10"/>
      <c r="AX83" s="15"/>
      <c r="AY83" s="10"/>
      <c r="AZ83" s="15"/>
      <c r="BA83" s="10"/>
      <c r="BB83" s="15"/>
      <c r="BC83" s="10"/>
      <c r="BD83" s="15"/>
      <c r="BE83" s="10"/>
      <c r="BF83" s="11">
        <f t="shared" si="61"/>
        <v>0</v>
      </c>
      <c r="BG83" s="12">
        <f t="shared" si="62"/>
        <v>0</v>
      </c>
      <c r="BH83" s="15"/>
      <c r="BI83" s="10"/>
      <c r="BJ83" s="15"/>
      <c r="BK83" s="10"/>
      <c r="BL83" s="15"/>
      <c r="BM83" s="10"/>
      <c r="BN83" s="15"/>
      <c r="BO83" s="10"/>
      <c r="BP83" s="15"/>
      <c r="BQ83" s="10"/>
      <c r="BR83" s="15"/>
      <c r="BS83" s="10"/>
      <c r="BT83" s="15"/>
      <c r="BU83" s="10"/>
      <c r="BV83" s="15"/>
      <c r="BW83" s="10"/>
      <c r="BX83" s="15"/>
      <c r="BY83" s="10"/>
      <c r="BZ83" s="15"/>
      <c r="CA83" s="10"/>
      <c r="CB83" s="15"/>
      <c r="CC83" s="10"/>
      <c r="CD83" s="15"/>
      <c r="CE83" s="10"/>
      <c r="CF83" s="11">
        <f t="shared" si="63"/>
        <v>0</v>
      </c>
      <c r="CG83" s="12">
        <f t="shared" si="64"/>
        <v>0</v>
      </c>
      <c r="CH83" s="15"/>
      <c r="CI83" s="10">
        <f t="shared" si="65"/>
        <v>0</v>
      </c>
      <c r="CJ83" s="15"/>
      <c r="CK83" s="10">
        <f t="shared" si="66"/>
        <v>0</v>
      </c>
      <c r="CL83" s="15"/>
      <c r="CM83" s="10">
        <f t="shared" si="67"/>
        <v>0</v>
      </c>
      <c r="CN83" s="15"/>
      <c r="CO83" s="10">
        <f t="shared" si="68"/>
        <v>0</v>
      </c>
      <c r="CP83" s="15"/>
      <c r="CQ83" s="10">
        <f t="shared" si="69"/>
        <v>0</v>
      </c>
      <c r="CR83" s="15"/>
      <c r="CS83" s="10">
        <f t="shared" si="70"/>
        <v>0</v>
      </c>
      <c r="CT83" s="15"/>
      <c r="CU83" s="10">
        <f t="shared" si="71"/>
        <v>0</v>
      </c>
      <c r="CV83" s="15"/>
      <c r="CW83" s="10">
        <f t="shared" si="72"/>
        <v>0</v>
      </c>
      <c r="CX83" s="15"/>
      <c r="CY83" s="10">
        <f t="shared" si="73"/>
        <v>0</v>
      </c>
      <c r="CZ83" s="15"/>
      <c r="DA83" s="10">
        <f t="shared" si="74"/>
        <v>0</v>
      </c>
      <c r="DB83" s="15"/>
      <c r="DC83" s="10">
        <f t="shared" si="75"/>
        <v>0</v>
      </c>
      <c r="DD83" s="15"/>
      <c r="DE83" s="10">
        <f t="shared" si="75"/>
        <v>0</v>
      </c>
      <c r="DF83" s="16">
        <f t="shared" si="58"/>
        <v>0</v>
      </c>
      <c r="DG83" s="208">
        <f t="shared" si="76"/>
        <v>0</v>
      </c>
    </row>
    <row r="84" spans="1:111">
      <c r="A84" s="7">
        <v>68</v>
      </c>
      <c r="B84" s="8" t="s">
        <v>86</v>
      </c>
      <c r="C84" s="8" t="s">
        <v>14</v>
      </c>
      <c r="D84" s="7">
        <f>RANK(DF84,$DF$4:$DF$141)</f>
        <v>14</v>
      </c>
      <c r="E84" s="7">
        <v>1</v>
      </c>
      <c r="F84" s="7" t="s">
        <v>12</v>
      </c>
      <c r="G84" s="7">
        <v>2200</v>
      </c>
      <c r="H84" s="15"/>
      <c r="I84" s="10">
        <f>H84*$E84</f>
        <v>0</v>
      </c>
      <c r="J84" s="15"/>
      <c r="K84" s="10">
        <f>J84*$E84</f>
        <v>0</v>
      </c>
      <c r="L84" s="15"/>
      <c r="M84" s="10">
        <f>L84*$E84</f>
        <v>0</v>
      </c>
      <c r="N84" s="15"/>
      <c r="O84" s="10">
        <f>N84*$E84</f>
        <v>0</v>
      </c>
      <c r="P84" s="15"/>
      <c r="Q84" s="10">
        <f>P84*$E84</f>
        <v>0</v>
      </c>
      <c r="R84" s="15"/>
      <c r="S84" s="10">
        <f>R84*$E84</f>
        <v>0</v>
      </c>
      <c r="T84" s="15"/>
      <c r="U84" s="10">
        <f>T84*$E84</f>
        <v>0</v>
      </c>
      <c r="V84" s="15"/>
      <c r="W84" s="10">
        <f>V84*$E84</f>
        <v>0</v>
      </c>
      <c r="X84" s="15"/>
      <c r="Y84" s="10">
        <f>X84*$E84</f>
        <v>0</v>
      </c>
      <c r="Z84" s="15"/>
      <c r="AA84" s="10">
        <f>Z84*$E84</f>
        <v>0</v>
      </c>
      <c r="AB84" s="15"/>
      <c r="AC84" s="10">
        <f>AB84*$E84</f>
        <v>0</v>
      </c>
      <c r="AD84" s="15"/>
      <c r="AE84" s="10">
        <f>AD84*$E84</f>
        <v>0</v>
      </c>
      <c r="AF84" s="11">
        <f t="shared" si="112"/>
        <v>0</v>
      </c>
      <c r="AG84" s="12">
        <f t="shared" si="60"/>
        <v>0</v>
      </c>
      <c r="AH84" s="15"/>
      <c r="AI84" s="10">
        <f>AH84*$E84</f>
        <v>0</v>
      </c>
      <c r="AJ84" s="15"/>
      <c r="AK84" s="10">
        <f>AJ84*$E84</f>
        <v>0</v>
      </c>
      <c r="AL84" s="15"/>
      <c r="AM84" s="10">
        <f>AL84*$E84</f>
        <v>0</v>
      </c>
      <c r="AN84" s="15"/>
      <c r="AO84" s="10">
        <f>AN84*$E84</f>
        <v>0</v>
      </c>
      <c r="AP84" s="15"/>
      <c r="AQ84" s="10">
        <f>AP84*$E84</f>
        <v>0</v>
      </c>
      <c r="AR84" s="15"/>
      <c r="AS84" s="10">
        <f>AR84*$E84</f>
        <v>0</v>
      </c>
      <c r="AT84" s="15"/>
      <c r="AU84" s="10">
        <f>AT84*$E84</f>
        <v>0</v>
      </c>
      <c r="AV84" s="15"/>
      <c r="AW84" s="10">
        <f>AV84*$E84</f>
        <v>0</v>
      </c>
      <c r="AX84" s="15"/>
      <c r="AY84" s="10">
        <f>AX84*$E84</f>
        <v>0</v>
      </c>
      <c r="AZ84" s="15"/>
      <c r="BA84" s="10">
        <f>AZ84*$E84</f>
        <v>0</v>
      </c>
      <c r="BB84" s="15"/>
      <c r="BC84" s="10">
        <f>BB84*$E84</f>
        <v>0</v>
      </c>
      <c r="BD84" s="15"/>
      <c r="BE84" s="10">
        <f>BD84*$E84</f>
        <v>0</v>
      </c>
      <c r="BF84" s="11">
        <f t="shared" si="61"/>
        <v>0</v>
      </c>
      <c r="BG84" s="12">
        <f t="shared" si="62"/>
        <v>0</v>
      </c>
      <c r="BH84" s="13">
        <v>0</v>
      </c>
      <c r="BI84" s="10">
        <f>BH84*$E84</f>
        <v>0</v>
      </c>
      <c r="BJ84" s="13"/>
      <c r="BK84" s="10">
        <f>BJ84*$E84</f>
        <v>0</v>
      </c>
      <c r="BL84" s="13">
        <v>1440</v>
      </c>
      <c r="BM84" s="10">
        <f>BL84*$E84</f>
        <v>1440</v>
      </c>
      <c r="BN84" s="13">
        <v>3372</v>
      </c>
      <c r="BO84" s="10">
        <f>BN84*$E84</f>
        <v>3372</v>
      </c>
      <c r="BP84" s="13">
        <v>1176</v>
      </c>
      <c r="BQ84" s="10">
        <f>BP84*$E84</f>
        <v>1176</v>
      </c>
      <c r="BR84" s="13">
        <v>2150</v>
      </c>
      <c r="BS84" s="10">
        <f>BR84*$E84</f>
        <v>2150</v>
      </c>
      <c r="BT84" s="13">
        <v>3774</v>
      </c>
      <c r="BU84" s="10">
        <f>BT84*$E84</f>
        <v>3774</v>
      </c>
      <c r="BV84" s="13">
        <v>2550</v>
      </c>
      <c r="BW84" s="10">
        <f>BV84*$E84</f>
        <v>2550</v>
      </c>
      <c r="BX84" s="13">
        <v>3341</v>
      </c>
      <c r="BY84" s="10">
        <f>BX84*$E84</f>
        <v>3341</v>
      </c>
      <c r="BZ84" s="13">
        <v>4800</v>
      </c>
      <c r="CA84" s="10">
        <f>BZ84*$E84</f>
        <v>4800</v>
      </c>
      <c r="CB84" s="13">
        <v>1080</v>
      </c>
      <c r="CC84" s="10">
        <f>CB84*$E84</f>
        <v>1080</v>
      </c>
      <c r="CD84" s="14">
        <v>2460</v>
      </c>
      <c r="CE84" s="10">
        <f>CD84*$E84</f>
        <v>2460</v>
      </c>
      <c r="CF84" s="11">
        <f t="shared" si="63"/>
        <v>26143</v>
      </c>
      <c r="CG84" s="12">
        <f t="shared" si="64"/>
        <v>26143</v>
      </c>
      <c r="CH84" s="15">
        <v>2304</v>
      </c>
      <c r="CI84" s="10">
        <f t="shared" si="65"/>
        <v>2304</v>
      </c>
      <c r="CJ84" s="15">
        <v>2592</v>
      </c>
      <c r="CK84" s="10">
        <f t="shared" si="66"/>
        <v>2592</v>
      </c>
      <c r="CL84" s="15">
        <v>3492</v>
      </c>
      <c r="CM84" s="10">
        <f t="shared" si="67"/>
        <v>3492</v>
      </c>
      <c r="CN84" s="15">
        <v>1356</v>
      </c>
      <c r="CO84" s="10">
        <f t="shared" si="68"/>
        <v>1356</v>
      </c>
      <c r="CP84" s="15">
        <v>1560</v>
      </c>
      <c r="CQ84" s="10">
        <f t="shared" si="69"/>
        <v>1560</v>
      </c>
      <c r="CR84" s="15">
        <v>3012</v>
      </c>
      <c r="CS84" s="10">
        <f t="shared" si="70"/>
        <v>3012</v>
      </c>
      <c r="CT84" s="15">
        <v>2592</v>
      </c>
      <c r="CU84" s="10">
        <f t="shared" si="71"/>
        <v>2592</v>
      </c>
      <c r="CV84" s="15">
        <v>2880</v>
      </c>
      <c r="CW84" s="10">
        <f t="shared" si="72"/>
        <v>2880</v>
      </c>
      <c r="CX84" s="15">
        <v>2196</v>
      </c>
      <c r="CY84" s="10">
        <f t="shared" si="73"/>
        <v>2196</v>
      </c>
      <c r="CZ84" s="15">
        <v>2808</v>
      </c>
      <c r="DA84" s="10">
        <f t="shared" si="74"/>
        <v>2808</v>
      </c>
      <c r="DB84" s="15">
        <v>1919</v>
      </c>
      <c r="DC84" s="10">
        <f t="shared" si="75"/>
        <v>1919</v>
      </c>
      <c r="DD84" s="15">
        <v>2016</v>
      </c>
      <c r="DE84" s="10">
        <f t="shared" si="75"/>
        <v>2016</v>
      </c>
      <c r="DF84" s="16">
        <f t="shared" si="58"/>
        <v>28727</v>
      </c>
      <c r="DG84" s="208">
        <f t="shared" si="76"/>
        <v>28727</v>
      </c>
    </row>
    <row r="85" spans="1:111">
      <c r="A85" s="7"/>
      <c r="B85" s="8"/>
      <c r="C85" s="8"/>
      <c r="D85" s="7"/>
      <c r="E85" s="7"/>
      <c r="F85" s="7"/>
      <c r="G85" s="7"/>
      <c r="H85" s="15"/>
      <c r="I85" s="10">
        <f t="shared" si="77"/>
        <v>0</v>
      </c>
      <c r="J85" s="15"/>
      <c r="K85" s="10">
        <f t="shared" si="78"/>
        <v>0</v>
      </c>
      <c r="L85" s="15"/>
      <c r="M85" s="10">
        <f t="shared" si="79"/>
        <v>0</v>
      </c>
      <c r="N85" s="15"/>
      <c r="O85" s="10">
        <f t="shared" si="80"/>
        <v>0</v>
      </c>
      <c r="P85" s="15"/>
      <c r="Q85" s="10">
        <f t="shared" si="81"/>
        <v>0</v>
      </c>
      <c r="R85" s="15"/>
      <c r="S85" s="10">
        <f t="shared" si="113"/>
        <v>0</v>
      </c>
      <c r="T85" s="15"/>
      <c r="U85" s="10">
        <f t="shared" si="82"/>
        <v>0</v>
      </c>
      <c r="V85" s="15"/>
      <c r="W85" s="10">
        <f t="shared" si="83"/>
        <v>0</v>
      </c>
      <c r="X85" s="15"/>
      <c r="Y85" s="10">
        <f t="shared" si="84"/>
        <v>0</v>
      </c>
      <c r="Z85" s="15"/>
      <c r="AA85" s="10">
        <f t="shared" si="85"/>
        <v>0</v>
      </c>
      <c r="AB85" s="15"/>
      <c r="AC85" s="10">
        <f t="shared" si="86"/>
        <v>0</v>
      </c>
      <c r="AD85" s="15"/>
      <c r="AE85" s="10">
        <f t="shared" si="87"/>
        <v>0</v>
      </c>
      <c r="AF85" s="11">
        <f t="shared" si="112"/>
        <v>0</v>
      </c>
      <c r="AG85" s="12">
        <f t="shared" si="60"/>
        <v>0</v>
      </c>
      <c r="AH85" s="15"/>
      <c r="AI85" s="10">
        <f t="shared" si="88"/>
        <v>0</v>
      </c>
      <c r="AJ85" s="15"/>
      <c r="AK85" s="10">
        <f t="shared" si="89"/>
        <v>0</v>
      </c>
      <c r="AL85" s="15"/>
      <c r="AM85" s="10">
        <f t="shared" si="90"/>
        <v>0</v>
      </c>
      <c r="AN85" s="15"/>
      <c r="AO85" s="10">
        <f t="shared" si="91"/>
        <v>0</v>
      </c>
      <c r="AP85" s="15"/>
      <c r="AQ85" s="10">
        <f t="shared" si="92"/>
        <v>0</v>
      </c>
      <c r="AR85" s="15"/>
      <c r="AS85" s="10">
        <f t="shared" si="93"/>
        <v>0</v>
      </c>
      <c r="AT85" s="15"/>
      <c r="AU85" s="10">
        <f t="shared" si="94"/>
        <v>0</v>
      </c>
      <c r="AV85" s="15"/>
      <c r="AW85" s="10">
        <f t="shared" si="95"/>
        <v>0</v>
      </c>
      <c r="AX85" s="15"/>
      <c r="AY85" s="10">
        <f t="shared" si="96"/>
        <v>0</v>
      </c>
      <c r="AZ85" s="15"/>
      <c r="BA85" s="10">
        <f t="shared" si="97"/>
        <v>0</v>
      </c>
      <c r="BB85" s="15"/>
      <c r="BC85" s="10">
        <f t="shared" si="98"/>
        <v>0</v>
      </c>
      <c r="BD85" s="15"/>
      <c r="BE85" s="10">
        <f t="shared" si="99"/>
        <v>0</v>
      </c>
      <c r="BF85" s="11">
        <f t="shared" si="61"/>
        <v>0</v>
      </c>
      <c r="BG85" s="12">
        <f t="shared" si="62"/>
        <v>0</v>
      </c>
      <c r="BH85" s="15"/>
      <c r="BI85" s="10">
        <f t="shared" si="100"/>
        <v>0</v>
      </c>
      <c r="BJ85" s="15"/>
      <c r="BK85" s="10">
        <f t="shared" si="101"/>
        <v>0</v>
      </c>
      <c r="BL85" s="15"/>
      <c r="BM85" s="10">
        <f t="shared" si="102"/>
        <v>0</v>
      </c>
      <c r="BN85" s="15"/>
      <c r="BO85" s="10">
        <f t="shared" si="103"/>
        <v>0</v>
      </c>
      <c r="BP85" s="15"/>
      <c r="BQ85" s="10">
        <f t="shared" si="104"/>
        <v>0</v>
      </c>
      <c r="BR85" s="15"/>
      <c r="BS85" s="10">
        <f t="shared" si="105"/>
        <v>0</v>
      </c>
      <c r="BT85" s="15"/>
      <c r="BU85" s="10">
        <f t="shared" si="106"/>
        <v>0</v>
      </c>
      <c r="BV85" s="15"/>
      <c r="BW85" s="10">
        <f t="shared" si="107"/>
        <v>0</v>
      </c>
      <c r="BX85" s="15"/>
      <c r="BY85" s="10">
        <f t="shared" si="108"/>
        <v>0</v>
      </c>
      <c r="BZ85" s="15"/>
      <c r="CA85" s="10">
        <f t="shared" si="109"/>
        <v>0</v>
      </c>
      <c r="CB85" s="15"/>
      <c r="CC85" s="10">
        <f t="shared" si="110"/>
        <v>0</v>
      </c>
      <c r="CD85" s="15"/>
      <c r="CE85" s="10">
        <f t="shared" si="111"/>
        <v>0</v>
      </c>
      <c r="CF85" s="11">
        <f t="shared" si="63"/>
        <v>0</v>
      </c>
      <c r="CG85" s="12">
        <f t="shared" si="64"/>
        <v>0</v>
      </c>
      <c r="CH85" s="15"/>
      <c r="CI85" s="10">
        <f t="shared" si="65"/>
        <v>0</v>
      </c>
      <c r="CJ85" s="15"/>
      <c r="CK85" s="10">
        <f t="shared" si="66"/>
        <v>0</v>
      </c>
      <c r="CL85" s="15"/>
      <c r="CM85" s="10">
        <f t="shared" si="67"/>
        <v>0</v>
      </c>
      <c r="CN85" s="15"/>
      <c r="CO85" s="10">
        <f t="shared" si="68"/>
        <v>0</v>
      </c>
      <c r="CP85" s="15"/>
      <c r="CQ85" s="10">
        <f t="shared" si="69"/>
        <v>0</v>
      </c>
      <c r="CR85" s="15"/>
      <c r="CS85" s="10">
        <f t="shared" si="70"/>
        <v>0</v>
      </c>
      <c r="CT85" s="15"/>
      <c r="CU85" s="10">
        <f t="shared" si="71"/>
        <v>0</v>
      </c>
      <c r="CV85" s="15"/>
      <c r="CW85" s="10">
        <f t="shared" si="72"/>
        <v>0</v>
      </c>
      <c r="CX85" s="15"/>
      <c r="CY85" s="10">
        <f t="shared" si="73"/>
        <v>0</v>
      </c>
      <c r="CZ85" s="15"/>
      <c r="DA85" s="10">
        <f t="shared" si="74"/>
        <v>0</v>
      </c>
      <c r="DB85" s="15"/>
      <c r="DC85" s="10">
        <f t="shared" si="75"/>
        <v>0</v>
      </c>
      <c r="DD85" s="15"/>
      <c r="DE85" s="10">
        <f t="shared" si="75"/>
        <v>0</v>
      </c>
      <c r="DF85" s="16">
        <f t="shared" si="58"/>
        <v>0</v>
      </c>
      <c r="DG85" s="208">
        <f t="shared" si="76"/>
        <v>0</v>
      </c>
    </row>
    <row r="86" spans="1:111">
      <c r="A86" s="7">
        <v>69</v>
      </c>
      <c r="B86" s="8" t="s">
        <v>70</v>
      </c>
      <c r="C86" s="8" t="s">
        <v>14</v>
      </c>
      <c r="D86" s="7">
        <f>RANK(DF86,$DF$4:$DF$141)</f>
        <v>31</v>
      </c>
      <c r="E86" s="7">
        <v>1</v>
      </c>
      <c r="F86" s="7" t="s">
        <v>20</v>
      </c>
      <c r="G86" s="7"/>
      <c r="H86" s="15"/>
      <c r="I86" s="10">
        <f t="shared" si="77"/>
        <v>0</v>
      </c>
      <c r="J86" s="15"/>
      <c r="K86" s="10">
        <f t="shared" si="78"/>
        <v>0</v>
      </c>
      <c r="L86" s="15"/>
      <c r="M86" s="10">
        <f t="shared" si="79"/>
        <v>0</v>
      </c>
      <c r="N86" s="15"/>
      <c r="O86" s="10">
        <f t="shared" si="80"/>
        <v>0</v>
      </c>
      <c r="P86" s="15"/>
      <c r="Q86" s="10">
        <f t="shared" si="81"/>
        <v>0</v>
      </c>
      <c r="R86" s="15"/>
      <c r="S86" s="10">
        <f t="shared" si="113"/>
        <v>0</v>
      </c>
      <c r="T86" s="15"/>
      <c r="U86" s="10">
        <f t="shared" si="82"/>
        <v>0</v>
      </c>
      <c r="V86" s="15"/>
      <c r="W86" s="10">
        <f t="shared" si="83"/>
        <v>0</v>
      </c>
      <c r="X86" s="15"/>
      <c r="Y86" s="10">
        <f t="shared" si="84"/>
        <v>0</v>
      </c>
      <c r="Z86" s="15"/>
      <c r="AA86" s="10">
        <f t="shared" si="85"/>
        <v>0</v>
      </c>
      <c r="AB86" s="15"/>
      <c r="AC86" s="10">
        <f t="shared" si="86"/>
        <v>0</v>
      </c>
      <c r="AD86" s="15"/>
      <c r="AE86" s="10">
        <f t="shared" si="87"/>
        <v>0</v>
      </c>
      <c r="AF86" s="11">
        <f t="shared" si="112"/>
        <v>0</v>
      </c>
      <c r="AG86" s="12">
        <f t="shared" si="60"/>
        <v>0</v>
      </c>
      <c r="AH86" s="15"/>
      <c r="AI86" s="10">
        <f t="shared" si="88"/>
        <v>0</v>
      </c>
      <c r="AJ86" s="15"/>
      <c r="AK86" s="10">
        <f t="shared" si="89"/>
        <v>0</v>
      </c>
      <c r="AL86" s="15"/>
      <c r="AM86" s="10">
        <f t="shared" si="90"/>
        <v>0</v>
      </c>
      <c r="AN86" s="15"/>
      <c r="AO86" s="10">
        <f t="shared" si="91"/>
        <v>0</v>
      </c>
      <c r="AP86" s="15"/>
      <c r="AQ86" s="10">
        <f t="shared" si="92"/>
        <v>0</v>
      </c>
      <c r="AR86" s="15"/>
      <c r="AS86" s="10">
        <f t="shared" si="93"/>
        <v>0</v>
      </c>
      <c r="AT86" s="15"/>
      <c r="AU86" s="10">
        <f t="shared" si="94"/>
        <v>0</v>
      </c>
      <c r="AV86" s="15"/>
      <c r="AW86" s="10">
        <f t="shared" si="95"/>
        <v>0</v>
      </c>
      <c r="AX86" s="15"/>
      <c r="AY86" s="10">
        <f t="shared" si="96"/>
        <v>0</v>
      </c>
      <c r="AZ86" s="15"/>
      <c r="BA86" s="10">
        <f t="shared" si="97"/>
        <v>0</v>
      </c>
      <c r="BB86" s="15"/>
      <c r="BC86" s="10">
        <f t="shared" si="98"/>
        <v>0</v>
      </c>
      <c r="BD86" s="15"/>
      <c r="BE86" s="10">
        <f t="shared" si="99"/>
        <v>0</v>
      </c>
      <c r="BF86" s="11">
        <f t="shared" si="61"/>
        <v>0</v>
      </c>
      <c r="BG86" s="12">
        <f t="shared" si="62"/>
        <v>0</v>
      </c>
      <c r="BH86" s="15"/>
      <c r="BI86" s="10">
        <f t="shared" si="100"/>
        <v>0</v>
      </c>
      <c r="BJ86" s="15"/>
      <c r="BK86" s="10">
        <f t="shared" si="101"/>
        <v>0</v>
      </c>
      <c r="BL86" s="15"/>
      <c r="BM86" s="10">
        <f t="shared" si="102"/>
        <v>0</v>
      </c>
      <c r="BN86" s="15"/>
      <c r="BO86" s="10">
        <f t="shared" si="103"/>
        <v>0</v>
      </c>
      <c r="BP86" s="15"/>
      <c r="BQ86" s="10">
        <f t="shared" si="104"/>
        <v>0</v>
      </c>
      <c r="BR86" s="15"/>
      <c r="BS86" s="10">
        <f t="shared" si="105"/>
        <v>0</v>
      </c>
      <c r="BT86" s="15"/>
      <c r="BU86" s="10">
        <f t="shared" si="106"/>
        <v>0</v>
      </c>
      <c r="BV86" s="15"/>
      <c r="BW86" s="10">
        <f t="shared" si="107"/>
        <v>0</v>
      </c>
      <c r="BX86" s="15"/>
      <c r="BY86" s="10">
        <f t="shared" si="108"/>
        <v>0</v>
      </c>
      <c r="BZ86" s="15"/>
      <c r="CA86" s="10">
        <f t="shared" si="109"/>
        <v>0</v>
      </c>
      <c r="CB86" s="15"/>
      <c r="CC86" s="10">
        <f t="shared" si="110"/>
        <v>0</v>
      </c>
      <c r="CD86" s="15"/>
      <c r="CE86" s="10">
        <f t="shared" si="111"/>
        <v>0</v>
      </c>
      <c r="CF86" s="11">
        <f t="shared" si="63"/>
        <v>0</v>
      </c>
      <c r="CG86" s="12">
        <f t="shared" si="64"/>
        <v>0</v>
      </c>
      <c r="CH86" s="15"/>
      <c r="CI86" s="10">
        <f t="shared" si="65"/>
        <v>0</v>
      </c>
      <c r="CJ86" s="15"/>
      <c r="CK86" s="10">
        <f t="shared" si="66"/>
        <v>0</v>
      </c>
      <c r="CL86" s="15"/>
      <c r="CM86" s="10">
        <f t="shared" si="67"/>
        <v>0</v>
      </c>
      <c r="CN86" s="15"/>
      <c r="CO86" s="10">
        <f t="shared" si="68"/>
        <v>0</v>
      </c>
      <c r="CP86" s="15"/>
      <c r="CQ86" s="10">
        <f t="shared" si="69"/>
        <v>0</v>
      </c>
      <c r="CR86" s="15"/>
      <c r="CS86" s="10">
        <f t="shared" si="70"/>
        <v>0</v>
      </c>
      <c r="CT86" s="15"/>
      <c r="CU86" s="10">
        <f t="shared" si="71"/>
        <v>0</v>
      </c>
      <c r="CV86" s="15"/>
      <c r="CW86" s="10">
        <f t="shared" si="72"/>
        <v>0</v>
      </c>
      <c r="CX86" s="15"/>
      <c r="CY86" s="10">
        <f t="shared" si="73"/>
        <v>0</v>
      </c>
      <c r="CZ86" s="15"/>
      <c r="DA86" s="10">
        <f t="shared" si="74"/>
        <v>0</v>
      </c>
      <c r="DB86" s="15"/>
      <c r="DC86" s="10">
        <f t="shared" si="75"/>
        <v>0</v>
      </c>
      <c r="DD86" s="15"/>
      <c r="DE86" s="10">
        <f t="shared" si="75"/>
        <v>0</v>
      </c>
      <c r="DF86" s="16">
        <f t="shared" si="58"/>
        <v>0</v>
      </c>
      <c r="DG86" s="208">
        <f t="shared" si="76"/>
        <v>0</v>
      </c>
    </row>
    <row r="87" spans="1:111">
      <c r="A87" s="7">
        <v>70</v>
      </c>
      <c r="B87" s="8" t="s">
        <v>71</v>
      </c>
      <c r="C87" s="8" t="s">
        <v>14</v>
      </c>
      <c r="D87" s="7">
        <f>RANK(DF87,$DF$4:$DF$141)</f>
        <v>31</v>
      </c>
      <c r="E87" s="7">
        <v>1</v>
      </c>
      <c r="F87" s="7" t="s">
        <v>20</v>
      </c>
      <c r="G87" s="7"/>
      <c r="H87" s="15"/>
      <c r="I87" s="10">
        <f t="shared" si="77"/>
        <v>0</v>
      </c>
      <c r="J87" s="15"/>
      <c r="K87" s="10">
        <f t="shared" si="78"/>
        <v>0</v>
      </c>
      <c r="L87" s="15"/>
      <c r="M87" s="10">
        <f t="shared" si="79"/>
        <v>0</v>
      </c>
      <c r="N87" s="15"/>
      <c r="O87" s="10">
        <f t="shared" si="80"/>
        <v>0</v>
      </c>
      <c r="P87" s="15"/>
      <c r="Q87" s="10">
        <f t="shared" si="81"/>
        <v>0</v>
      </c>
      <c r="R87" s="15"/>
      <c r="S87" s="10">
        <f t="shared" si="113"/>
        <v>0</v>
      </c>
      <c r="T87" s="15"/>
      <c r="U87" s="10">
        <f t="shared" si="82"/>
        <v>0</v>
      </c>
      <c r="V87" s="15"/>
      <c r="W87" s="10">
        <f t="shared" si="83"/>
        <v>0</v>
      </c>
      <c r="X87" s="15"/>
      <c r="Y87" s="10">
        <f t="shared" si="84"/>
        <v>0</v>
      </c>
      <c r="Z87" s="15"/>
      <c r="AA87" s="10">
        <f t="shared" si="85"/>
        <v>0</v>
      </c>
      <c r="AB87" s="15"/>
      <c r="AC87" s="10">
        <f t="shared" si="86"/>
        <v>0</v>
      </c>
      <c r="AD87" s="15"/>
      <c r="AE87" s="10">
        <f t="shared" si="87"/>
        <v>0</v>
      </c>
      <c r="AF87" s="11">
        <f t="shared" si="112"/>
        <v>0</v>
      </c>
      <c r="AG87" s="12">
        <f t="shared" si="60"/>
        <v>0</v>
      </c>
      <c r="AH87" s="15"/>
      <c r="AI87" s="10">
        <f t="shared" si="88"/>
        <v>0</v>
      </c>
      <c r="AJ87" s="15"/>
      <c r="AK87" s="10">
        <f t="shared" si="89"/>
        <v>0</v>
      </c>
      <c r="AL87" s="15"/>
      <c r="AM87" s="10">
        <f t="shared" si="90"/>
        <v>0</v>
      </c>
      <c r="AN87" s="15"/>
      <c r="AO87" s="10">
        <f t="shared" si="91"/>
        <v>0</v>
      </c>
      <c r="AP87" s="15"/>
      <c r="AQ87" s="10">
        <f t="shared" si="92"/>
        <v>0</v>
      </c>
      <c r="AR87" s="15"/>
      <c r="AS87" s="10">
        <f t="shared" si="93"/>
        <v>0</v>
      </c>
      <c r="AT87" s="15"/>
      <c r="AU87" s="10">
        <f t="shared" si="94"/>
        <v>0</v>
      </c>
      <c r="AV87" s="15"/>
      <c r="AW87" s="10">
        <f t="shared" si="95"/>
        <v>0</v>
      </c>
      <c r="AX87" s="15"/>
      <c r="AY87" s="10">
        <f t="shared" si="96"/>
        <v>0</v>
      </c>
      <c r="AZ87" s="15"/>
      <c r="BA87" s="10">
        <f t="shared" si="97"/>
        <v>0</v>
      </c>
      <c r="BB87" s="15"/>
      <c r="BC87" s="10">
        <f t="shared" si="98"/>
        <v>0</v>
      </c>
      <c r="BD87" s="15"/>
      <c r="BE87" s="10">
        <f t="shared" si="99"/>
        <v>0</v>
      </c>
      <c r="BF87" s="11">
        <f t="shared" si="61"/>
        <v>0</v>
      </c>
      <c r="BG87" s="12">
        <f t="shared" si="62"/>
        <v>0</v>
      </c>
      <c r="BH87" s="15"/>
      <c r="BI87" s="10">
        <f t="shared" si="100"/>
        <v>0</v>
      </c>
      <c r="BJ87" s="15"/>
      <c r="BK87" s="10">
        <f t="shared" si="101"/>
        <v>0</v>
      </c>
      <c r="BL87" s="15"/>
      <c r="BM87" s="10">
        <f t="shared" si="102"/>
        <v>0</v>
      </c>
      <c r="BN87" s="15"/>
      <c r="BO87" s="10">
        <f t="shared" si="103"/>
        <v>0</v>
      </c>
      <c r="BP87" s="15"/>
      <c r="BQ87" s="10">
        <f t="shared" si="104"/>
        <v>0</v>
      </c>
      <c r="BR87" s="15"/>
      <c r="BS87" s="10">
        <f t="shared" si="105"/>
        <v>0</v>
      </c>
      <c r="BT87" s="15"/>
      <c r="BU87" s="10">
        <f t="shared" si="106"/>
        <v>0</v>
      </c>
      <c r="BV87" s="15"/>
      <c r="BW87" s="10">
        <f t="shared" si="107"/>
        <v>0</v>
      </c>
      <c r="BX87" s="15"/>
      <c r="BY87" s="10">
        <f t="shared" si="108"/>
        <v>0</v>
      </c>
      <c r="BZ87" s="15"/>
      <c r="CA87" s="10">
        <f t="shared" si="109"/>
        <v>0</v>
      </c>
      <c r="CB87" s="15"/>
      <c r="CC87" s="10">
        <f t="shared" si="110"/>
        <v>0</v>
      </c>
      <c r="CD87" s="15"/>
      <c r="CE87" s="10">
        <f t="shared" si="111"/>
        <v>0</v>
      </c>
      <c r="CF87" s="11">
        <f t="shared" si="63"/>
        <v>0</v>
      </c>
      <c r="CG87" s="12">
        <f t="shared" si="64"/>
        <v>0</v>
      </c>
      <c r="CH87" s="15"/>
      <c r="CI87" s="10">
        <f t="shared" si="65"/>
        <v>0</v>
      </c>
      <c r="CJ87" s="15"/>
      <c r="CK87" s="10">
        <f t="shared" si="66"/>
        <v>0</v>
      </c>
      <c r="CL87" s="15"/>
      <c r="CM87" s="10">
        <f t="shared" si="67"/>
        <v>0</v>
      </c>
      <c r="CN87" s="15"/>
      <c r="CO87" s="10">
        <f t="shared" si="68"/>
        <v>0</v>
      </c>
      <c r="CP87" s="15"/>
      <c r="CQ87" s="10">
        <f t="shared" si="69"/>
        <v>0</v>
      </c>
      <c r="CR87" s="15"/>
      <c r="CS87" s="10">
        <f t="shared" si="70"/>
        <v>0</v>
      </c>
      <c r="CT87" s="15"/>
      <c r="CU87" s="10">
        <f t="shared" si="71"/>
        <v>0</v>
      </c>
      <c r="CV87" s="15"/>
      <c r="CW87" s="10">
        <f t="shared" si="72"/>
        <v>0</v>
      </c>
      <c r="CX87" s="15"/>
      <c r="CY87" s="10">
        <f t="shared" si="73"/>
        <v>0</v>
      </c>
      <c r="CZ87" s="15"/>
      <c r="DA87" s="10">
        <f t="shared" si="74"/>
        <v>0</v>
      </c>
      <c r="DB87" s="15"/>
      <c r="DC87" s="10">
        <f t="shared" si="75"/>
        <v>0</v>
      </c>
      <c r="DD87" s="15"/>
      <c r="DE87" s="10">
        <f t="shared" si="75"/>
        <v>0</v>
      </c>
      <c r="DF87" s="16">
        <f t="shared" si="58"/>
        <v>0</v>
      </c>
      <c r="DG87" s="208">
        <f t="shared" si="76"/>
        <v>0</v>
      </c>
    </row>
    <row r="88" spans="1:111">
      <c r="A88" s="7">
        <v>71</v>
      </c>
      <c r="B88" s="8" t="s">
        <v>72</v>
      </c>
      <c r="C88" s="8" t="s">
        <v>14</v>
      </c>
      <c r="D88" s="7">
        <f>RANK(DF88,$DF$4:$DF$141)</f>
        <v>31</v>
      </c>
      <c r="E88" s="7">
        <v>1</v>
      </c>
      <c r="F88" s="7" t="s">
        <v>12</v>
      </c>
      <c r="G88" s="7"/>
      <c r="H88" s="15"/>
      <c r="I88" s="10">
        <f t="shared" si="77"/>
        <v>0</v>
      </c>
      <c r="J88" s="15"/>
      <c r="K88" s="10">
        <f t="shared" si="78"/>
        <v>0</v>
      </c>
      <c r="L88" s="15"/>
      <c r="M88" s="10">
        <f t="shared" si="79"/>
        <v>0</v>
      </c>
      <c r="N88" s="15"/>
      <c r="O88" s="10">
        <f t="shared" si="80"/>
        <v>0</v>
      </c>
      <c r="P88" s="15"/>
      <c r="Q88" s="10">
        <f t="shared" si="81"/>
        <v>0</v>
      </c>
      <c r="R88" s="15"/>
      <c r="S88" s="10">
        <f t="shared" si="113"/>
        <v>0</v>
      </c>
      <c r="T88" s="15"/>
      <c r="U88" s="10">
        <f t="shared" si="82"/>
        <v>0</v>
      </c>
      <c r="V88" s="15"/>
      <c r="W88" s="10">
        <f t="shared" si="83"/>
        <v>0</v>
      </c>
      <c r="X88" s="15"/>
      <c r="Y88" s="10">
        <f t="shared" si="84"/>
        <v>0</v>
      </c>
      <c r="Z88" s="15"/>
      <c r="AA88" s="10">
        <f t="shared" si="85"/>
        <v>0</v>
      </c>
      <c r="AB88" s="15"/>
      <c r="AC88" s="10">
        <f t="shared" si="86"/>
        <v>0</v>
      </c>
      <c r="AD88" s="15"/>
      <c r="AE88" s="10">
        <f t="shared" si="87"/>
        <v>0</v>
      </c>
      <c r="AF88" s="11">
        <f t="shared" si="112"/>
        <v>0</v>
      </c>
      <c r="AG88" s="12">
        <f t="shared" si="60"/>
        <v>0</v>
      </c>
      <c r="AH88" s="15"/>
      <c r="AI88" s="10">
        <f t="shared" si="88"/>
        <v>0</v>
      </c>
      <c r="AJ88" s="15"/>
      <c r="AK88" s="10">
        <f t="shared" si="89"/>
        <v>0</v>
      </c>
      <c r="AL88" s="15"/>
      <c r="AM88" s="10">
        <f t="shared" si="90"/>
        <v>0</v>
      </c>
      <c r="AN88" s="15"/>
      <c r="AO88" s="10">
        <f t="shared" si="91"/>
        <v>0</v>
      </c>
      <c r="AP88" s="15"/>
      <c r="AQ88" s="10">
        <f t="shared" si="92"/>
        <v>0</v>
      </c>
      <c r="AR88" s="15"/>
      <c r="AS88" s="10">
        <f t="shared" si="93"/>
        <v>0</v>
      </c>
      <c r="AT88" s="15"/>
      <c r="AU88" s="10">
        <f t="shared" si="94"/>
        <v>0</v>
      </c>
      <c r="AV88" s="15"/>
      <c r="AW88" s="10">
        <f t="shared" si="95"/>
        <v>0</v>
      </c>
      <c r="AX88" s="15"/>
      <c r="AY88" s="10">
        <f t="shared" si="96"/>
        <v>0</v>
      </c>
      <c r="AZ88" s="15"/>
      <c r="BA88" s="10">
        <f t="shared" si="97"/>
        <v>0</v>
      </c>
      <c r="BB88" s="15"/>
      <c r="BC88" s="10">
        <f t="shared" si="98"/>
        <v>0</v>
      </c>
      <c r="BD88" s="15"/>
      <c r="BE88" s="10">
        <f t="shared" si="99"/>
        <v>0</v>
      </c>
      <c r="BF88" s="11">
        <f t="shared" si="61"/>
        <v>0</v>
      </c>
      <c r="BG88" s="12">
        <f t="shared" si="62"/>
        <v>0</v>
      </c>
      <c r="BH88" s="15"/>
      <c r="BI88" s="10">
        <f t="shared" si="100"/>
        <v>0</v>
      </c>
      <c r="BJ88" s="15"/>
      <c r="BK88" s="10">
        <f t="shared" si="101"/>
        <v>0</v>
      </c>
      <c r="BL88" s="15"/>
      <c r="BM88" s="10">
        <f t="shared" si="102"/>
        <v>0</v>
      </c>
      <c r="BN88" s="15"/>
      <c r="BO88" s="10">
        <f t="shared" si="103"/>
        <v>0</v>
      </c>
      <c r="BP88" s="15"/>
      <c r="BQ88" s="10">
        <f t="shared" si="104"/>
        <v>0</v>
      </c>
      <c r="BR88" s="15"/>
      <c r="BS88" s="10">
        <f t="shared" si="105"/>
        <v>0</v>
      </c>
      <c r="BT88" s="15"/>
      <c r="BU88" s="10">
        <f t="shared" si="106"/>
        <v>0</v>
      </c>
      <c r="BV88" s="15"/>
      <c r="BW88" s="10">
        <f t="shared" si="107"/>
        <v>0</v>
      </c>
      <c r="BX88" s="15"/>
      <c r="BY88" s="10">
        <f t="shared" si="108"/>
        <v>0</v>
      </c>
      <c r="BZ88" s="15"/>
      <c r="CA88" s="10">
        <f t="shared" si="109"/>
        <v>0</v>
      </c>
      <c r="CB88" s="15"/>
      <c r="CC88" s="10">
        <f t="shared" si="110"/>
        <v>0</v>
      </c>
      <c r="CD88" s="15"/>
      <c r="CE88" s="10">
        <f t="shared" si="111"/>
        <v>0</v>
      </c>
      <c r="CF88" s="11">
        <f t="shared" si="63"/>
        <v>0</v>
      </c>
      <c r="CG88" s="12">
        <f t="shared" si="64"/>
        <v>0</v>
      </c>
      <c r="CH88" s="15"/>
      <c r="CI88" s="10">
        <f t="shared" si="65"/>
        <v>0</v>
      </c>
      <c r="CJ88" s="15"/>
      <c r="CK88" s="10">
        <f t="shared" si="66"/>
        <v>0</v>
      </c>
      <c r="CL88" s="15"/>
      <c r="CM88" s="10">
        <f t="shared" si="67"/>
        <v>0</v>
      </c>
      <c r="CN88" s="15"/>
      <c r="CO88" s="10">
        <f t="shared" si="68"/>
        <v>0</v>
      </c>
      <c r="CP88" s="15"/>
      <c r="CQ88" s="10">
        <f t="shared" si="69"/>
        <v>0</v>
      </c>
      <c r="CR88" s="15"/>
      <c r="CS88" s="10">
        <f t="shared" si="70"/>
        <v>0</v>
      </c>
      <c r="CT88" s="15"/>
      <c r="CU88" s="10">
        <f t="shared" si="71"/>
        <v>0</v>
      </c>
      <c r="CV88" s="15"/>
      <c r="CW88" s="10">
        <f t="shared" si="72"/>
        <v>0</v>
      </c>
      <c r="CX88" s="15"/>
      <c r="CY88" s="10">
        <f t="shared" si="73"/>
        <v>0</v>
      </c>
      <c r="CZ88" s="15"/>
      <c r="DA88" s="10">
        <f t="shared" si="74"/>
        <v>0</v>
      </c>
      <c r="DB88" s="15"/>
      <c r="DC88" s="10">
        <f t="shared" si="75"/>
        <v>0</v>
      </c>
      <c r="DD88" s="15"/>
      <c r="DE88" s="10">
        <f t="shared" si="75"/>
        <v>0</v>
      </c>
      <c r="DF88" s="16">
        <f t="shared" si="58"/>
        <v>0</v>
      </c>
      <c r="DG88" s="208">
        <f t="shared" si="76"/>
        <v>0</v>
      </c>
    </row>
    <row r="89" spans="1:111">
      <c r="A89" s="7">
        <v>72</v>
      </c>
      <c r="B89" s="8" t="s">
        <v>73</v>
      </c>
      <c r="C89" s="8" t="s">
        <v>14</v>
      </c>
      <c r="D89" s="7">
        <f>RANK(DF89,$DF$4:$DF$141)</f>
        <v>31</v>
      </c>
      <c r="E89" s="7">
        <v>0.6</v>
      </c>
      <c r="F89" s="7" t="s">
        <v>20</v>
      </c>
      <c r="G89" s="7"/>
      <c r="H89" s="15"/>
      <c r="I89" s="10">
        <f t="shared" si="77"/>
        <v>0</v>
      </c>
      <c r="J89" s="15"/>
      <c r="K89" s="10">
        <f t="shared" si="78"/>
        <v>0</v>
      </c>
      <c r="L89" s="15"/>
      <c r="M89" s="10">
        <f t="shared" si="79"/>
        <v>0</v>
      </c>
      <c r="N89" s="15"/>
      <c r="O89" s="10">
        <f t="shared" si="80"/>
        <v>0</v>
      </c>
      <c r="P89" s="15"/>
      <c r="Q89" s="10">
        <f t="shared" si="81"/>
        <v>0</v>
      </c>
      <c r="R89" s="15"/>
      <c r="S89" s="10">
        <f t="shared" si="113"/>
        <v>0</v>
      </c>
      <c r="T89" s="15"/>
      <c r="U89" s="10">
        <f t="shared" si="82"/>
        <v>0</v>
      </c>
      <c r="V89" s="15"/>
      <c r="W89" s="10">
        <f t="shared" si="83"/>
        <v>0</v>
      </c>
      <c r="X89" s="15"/>
      <c r="Y89" s="10">
        <f t="shared" si="84"/>
        <v>0</v>
      </c>
      <c r="Z89" s="15"/>
      <c r="AA89" s="10">
        <f t="shared" si="85"/>
        <v>0</v>
      </c>
      <c r="AB89" s="15"/>
      <c r="AC89" s="10">
        <f t="shared" si="86"/>
        <v>0</v>
      </c>
      <c r="AD89" s="15"/>
      <c r="AE89" s="10">
        <f t="shared" si="87"/>
        <v>0</v>
      </c>
      <c r="AF89" s="11">
        <f t="shared" si="112"/>
        <v>0</v>
      </c>
      <c r="AG89" s="12">
        <f t="shared" si="60"/>
        <v>0</v>
      </c>
      <c r="AH89" s="15"/>
      <c r="AI89" s="10">
        <f t="shared" si="88"/>
        <v>0</v>
      </c>
      <c r="AJ89" s="15"/>
      <c r="AK89" s="10">
        <f t="shared" si="89"/>
        <v>0</v>
      </c>
      <c r="AL89" s="15"/>
      <c r="AM89" s="10">
        <f t="shared" si="90"/>
        <v>0</v>
      </c>
      <c r="AN89" s="15"/>
      <c r="AO89" s="10">
        <f t="shared" si="91"/>
        <v>0</v>
      </c>
      <c r="AP89" s="15"/>
      <c r="AQ89" s="10">
        <f t="shared" si="92"/>
        <v>0</v>
      </c>
      <c r="AR89" s="15"/>
      <c r="AS89" s="10">
        <f t="shared" si="93"/>
        <v>0</v>
      </c>
      <c r="AT89" s="15"/>
      <c r="AU89" s="10">
        <f t="shared" si="94"/>
        <v>0</v>
      </c>
      <c r="AV89" s="15"/>
      <c r="AW89" s="10">
        <f t="shared" si="95"/>
        <v>0</v>
      </c>
      <c r="AX89" s="15"/>
      <c r="AY89" s="10">
        <f t="shared" si="96"/>
        <v>0</v>
      </c>
      <c r="AZ89" s="15"/>
      <c r="BA89" s="10">
        <f t="shared" si="97"/>
        <v>0</v>
      </c>
      <c r="BB89" s="15"/>
      <c r="BC89" s="10">
        <f t="shared" si="98"/>
        <v>0</v>
      </c>
      <c r="BD89" s="15"/>
      <c r="BE89" s="10">
        <f t="shared" si="99"/>
        <v>0</v>
      </c>
      <c r="BF89" s="11">
        <f t="shared" si="61"/>
        <v>0</v>
      </c>
      <c r="BG89" s="12">
        <f t="shared" si="62"/>
        <v>0</v>
      </c>
      <c r="BH89" s="15"/>
      <c r="BI89" s="10">
        <f t="shared" si="100"/>
        <v>0</v>
      </c>
      <c r="BJ89" s="15"/>
      <c r="BK89" s="10">
        <f t="shared" si="101"/>
        <v>0</v>
      </c>
      <c r="BL89" s="15"/>
      <c r="BM89" s="10">
        <f t="shared" si="102"/>
        <v>0</v>
      </c>
      <c r="BN89" s="15"/>
      <c r="BO89" s="10">
        <f t="shared" si="103"/>
        <v>0</v>
      </c>
      <c r="BP89" s="15"/>
      <c r="BQ89" s="10">
        <f t="shared" si="104"/>
        <v>0</v>
      </c>
      <c r="BR89" s="15"/>
      <c r="BS89" s="10">
        <f t="shared" si="105"/>
        <v>0</v>
      </c>
      <c r="BT89" s="15"/>
      <c r="BU89" s="10">
        <f t="shared" si="106"/>
        <v>0</v>
      </c>
      <c r="BV89" s="15"/>
      <c r="BW89" s="10">
        <f t="shared" si="107"/>
        <v>0</v>
      </c>
      <c r="BX89" s="15"/>
      <c r="BY89" s="10">
        <f t="shared" si="108"/>
        <v>0</v>
      </c>
      <c r="BZ89" s="15"/>
      <c r="CA89" s="10">
        <f t="shared" si="109"/>
        <v>0</v>
      </c>
      <c r="CB89" s="15"/>
      <c r="CC89" s="10">
        <f t="shared" si="110"/>
        <v>0</v>
      </c>
      <c r="CD89" s="15"/>
      <c r="CE89" s="10">
        <f t="shared" si="111"/>
        <v>0</v>
      </c>
      <c r="CF89" s="11">
        <f t="shared" si="63"/>
        <v>0</v>
      </c>
      <c r="CG89" s="12">
        <f t="shared" si="64"/>
        <v>0</v>
      </c>
      <c r="CH89" s="15"/>
      <c r="CI89" s="10">
        <f t="shared" si="65"/>
        <v>0</v>
      </c>
      <c r="CJ89" s="15"/>
      <c r="CK89" s="10">
        <f t="shared" si="66"/>
        <v>0</v>
      </c>
      <c r="CL89" s="15"/>
      <c r="CM89" s="10">
        <f t="shared" si="67"/>
        <v>0</v>
      </c>
      <c r="CN89" s="15"/>
      <c r="CO89" s="10">
        <f t="shared" si="68"/>
        <v>0</v>
      </c>
      <c r="CP89" s="15"/>
      <c r="CQ89" s="10">
        <f t="shared" si="69"/>
        <v>0</v>
      </c>
      <c r="CR89" s="15"/>
      <c r="CS89" s="10">
        <f t="shared" si="70"/>
        <v>0</v>
      </c>
      <c r="CT89" s="15"/>
      <c r="CU89" s="10">
        <f t="shared" si="71"/>
        <v>0</v>
      </c>
      <c r="CV89" s="15"/>
      <c r="CW89" s="10">
        <f t="shared" si="72"/>
        <v>0</v>
      </c>
      <c r="CX89" s="15"/>
      <c r="CY89" s="10">
        <f t="shared" si="73"/>
        <v>0</v>
      </c>
      <c r="CZ89" s="15"/>
      <c r="DA89" s="10">
        <f t="shared" si="74"/>
        <v>0</v>
      </c>
      <c r="DB89" s="15"/>
      <c r="DC89" s="10">
        <f t="shared" si="75"/>
        <v>0</v>
      </c>
      <c r="DD89" s="15"/>
      <c r="DE89" s="10">
        <f t="shared" si="75"/>
        <v>0</v>
      </c>
      <c r="DF89" s="16">
        <f t="shared" si="58"/>
        <v>0</v>
      </c>
      <c r="DG89" s="208">
        <f t="shared" si="76"/>
        <v>0</v>
      </c>
    </row>
    <row r="90" spans="1:111">
      <c r="A90" s="7">
        <v>73</v>
      </c>
      <c r="B90" s="8" t="s">
        <v>74</v>
      </c>
      <c r="C90" s="8" t="s">
        <v>11</v>
      </c>
      <c r="D90" s="7">
        <f>RANK(DF90,$DF$4:$DF$141)</f>
        <v>31</v>
      </c>
      <c r="E90" s="7">
        <v>0.64</v>
      </c>
      <c r="F90" s="7" t="s">
        <v>22</v>
      </c>
      <c r="G90" s="7"/>
      <c r="H90" s="15"/>
      <c r="I90" s="10">
        <f t="shared" si="77"/>
        <v>0</v>
      </c>
      <c r="J90" s="15"/>
      <c r="K90" s="10">
        <f t="shared" si="78"/>
        <v>0</v>
      </c>
      <c r="L90" s="15"/>
      <c r="M90" s="10">
        <f t="shared" si="79"/>
        <v>0</v>
      </c>
      <c r="N90" s="15"/>
      <c r="O90" s="10">
        <f t="shared" si="80"/>
        <v>0</v>
      </c>
      <c r="P90" s="15"/>
      <c r="Q90" s="10">
        <f t="shared" si="81"/>
        <v>0</v>
      </c>
      <c r="R90" s="15"/>
      <c r="S90" s="10">
        <f t="shared" si="113"/>
        <v>0</v>
      </c>
      <c r="T90" s="15"/>
      <c r="U90" s="10">
        <f t="shared" si="82"/>
        <v>0</v>
      </c>
      <c r="V90" s="15"/>
      <c r="W90" s="10">
        <f t="shared" si="83"/>
        <v>0</v>
      </c>
      <c r="X90" s="15"/>
      <c r="Y90" s="10">
        <f t="shared" si="84"/>
        <v>0</v>
      </c>
      <c r="Z90" s="15"/>
      <c r="AA90" s="10">
        <f t="shared" si="85"/>
        <v>0</v>
      </c>
      <c r="AB90" s="15"/>
      <c r="AC90" s="10">
        <f t="shared" si="86"/>
        <v>0</v>
      </c>
      <c r="AD90" s="15"/>
      <c r="AE90" s="10">
        <f t="shared" si="87"/>
        <v>0</v>
      </c>
      <c r="AF90" s="11">
        <f t="shared" si="112"/>
        <v>0</v>
      </c>
      <c r="AG90" s="12">
        <f t="shared" si="60"/>
        <v>0</v>
      </c>
      <c r="AH90" s="15"/>
      <c r="AI90" s="10">
        <f t="shared" si="88"/>
        <v>0</v>
      </c>
      <c r="AJ90" s="15"/>
      <c r="AK90" s="10">
        <f t="shared" si="89"/>
        <v>0</v>
      </c>
      <c r="AL90" s="15"/>
      <c r="AM90" s="10">
        <f t="shared" si="90"/>
        <v>0</v>
      </c>
      <c r="AN90" s="15"/>
      <c r="AO90" s="10">
        <f t="shared" si="91"/>
        <v>0</v>
      </c>
      <c r="AP90" s="15"/>
      <c r="AQ90" s="10">
        <f t="shared" si="92"/>
        <v>0</v>
      </c>
      <c r="AR90" s="15"/>
      <c r="AS90" s="10">
        <f t="shared" si="93"/>
        <v>0</v>
      </c>
      <c r="AT90" s="15"/>
      <c r="AU90" s="10">
        <f t="shared" si="94"/>
        <v>0</v>
      </c>
      <c r="AV90" s="15"/>
      <c r="AW90" s="10">
        <f t="shared" si="95"/>
        <v>0</v>
      </c>
      <c r="AX90" s="15"/>
      <c r="AY90" s="10">
        <f t="shared" si="96"/>
        <v>0</v>
      </c>
      <c r="AZ90" s="15"/>
      <c r="BA90" s="10">
        <f t="shared" si="97"/>
        <v>0</v>
      </c>
      <c r="BB90" s="15"/>
      <c r="BC90" s="10">
        <f t="shared" si="98"/>
        <v>0</v>
      </c>
      <c r="BD90" s="15"/>
      <c r="BE90" s="10">
        <f t="shared" si="99"/>
        <v>0</v>
      </c>
      <c r="BF90" s="11">
        <f t="shared" si="61"/>
        <v>0</v>
      </c>
      <c r="BG90" s="12">
        <f t="shared" si="62"/>
        <v>0</v>
      </c>
      <c r="BH90" s="15"/>
      <c r="BI90" s="10">
        <f t="shared" si="100"/>
        <v>0</v>
      </c>
      <c r="BJ90" s="15"/>
      <c r="BK90" s="10">
        <f t="shared" si="101"/>
        <v>0</v>
      </c>
      <c r="BL90" s="15"/>
      <c r="BM90" s="10">
        <f t="shared" si="102"/>
        <v>0</v>
      </c>
      <c r="BN90" s="15"/>
      <c r="BO90" s="10">
        <f t="shared" si="103"/>
        <v>0</v>
      </c>
      <c r="BP90" s="15"/>
      <c r="BQ90" s="10">
        <f t="shared" si="104"/>
        <v>0</v>
      </c>
      <c r="BR90" s="15"/>
      <c r="BS90" s="10">
        <f t="shared" si="105"/>
        <v>0</v>
      </c>
      <c r="BT90" s="15"/>
      <c r="BU90" s="10">
        <f t="shared" si="106"/>
        <v>0</v>
      </c>
      <c r="BV90" s="15"/>
      <c r="BW90" s="10">
        <f t="shared" si="107"/>
        <v>0</v>
      </c>
      <c r="BX90" s="15"/>
      <c r="BY90" s="10">
        <f t="shared" si="108"/>
        <v>0</v>
      </c>
      <c r="BZ90" s="15"/>
      <c r="CA90" s="10">
        <f t="shared" si="109"/>
        <v>0</v>
      </c>
      <c r="CB90" s="15"/>
      <c r="CC90" s="10">
        <f t="shared" si="110"/>
        <v>0</v>
      </c>
      <c r="CD90" s="15"/>
      <c r="CE90" s="10">
        <f t="shared" si="111"/>
        <v>0</v>
      </c>
      <c r="CF90" s="11">
        <f t="shared" si="63"/>
        <v>0</v>
      </c>
      <c r="CG90" s="12">
        <f t="shared" si="64"/>
        <v>0</v>
      </c>
      <c r="CH90" s="15"/>
      <c r="CI90" s="10">
        <f t="shared" si="65"/>
        <v>0</v>
      </c>
      <c r="CJ90" s="15"/>
      <c r="CK90" s="10">
        <f t="shared" si="66"/>
        <v>0</v>
      </c>
      <c r="CL90" s="15"/>
      <c r="CM90" s="10">
        <f t="shared" si="67"/>
        <v>0</v>
      </c>
      <c r="CN90" s="15"/>
      <c r="CO90" s="10">
        <f t="shared" si="68"/>
        <v>0</v>
      </c>
      <c r="CP90" s="15"/>
      <c r="CQ90" s="10">
        <f t="shared" si="69"/>
        <v>0</v>
      </c>
      <c r="CR90" s="15"/>
      <c r="CS90" s="10">
        <f t="shared" si="70"/>
        <v>0</v>
      </c>
      <c r="CT90" s="15"/>
      <c r="CU90" s="10">
        <f t="shared" si="71"/>
        <v>0</v>
      </c>
      <c r="CV90" s="15"/>
      <c r="CW90" s="10">
        <f t="shared" si="72"/>
        <v>0</v>
      </c>
      <c r="CX90" s="15"/>
      <c r="CY90" s="10">
        <f t="shared" si="73"/>
        <v>0</v>
      </c>
      <c r="CZ90" s="15"/>
      <c r="DA90" s="10">
        <f t="shared" si="74"/>
        <v>0</v>
      </c>
      <c r="DB90" s="15"/>
      <c r="DC90" s="10">
        <f t="shared" si="75"/>
        <v>0</v>
      </c>
      <c r="DD90" s="15"/>
      <c r="DE90" s="10">
        <f t="shared" si="75"/>
        <v>0</v>
      </c>
      <c r="DF90" s="16">
        <f t="shared" si="58"/>
        <v>0</v>
      </c>
      <c r="DG90" s="208">
        <f t="shared" si="76"/>
        <v>0</v>
      </c>
    </row>
    <row r="91" spans="1:111">
      <c r="A91" s="7"/>
      <c r="B91" s="8"/>
      <c r="C91" s="8"/>
      <c r="D91" s="7"/>
      <c r="E91" s="7"/>
      <c r="F91" s="7"/>
      <c r="G91" s="7"/>
      <c r="H91" s="15"/>
      <c r="I91" s="10">
        <f t="shared" si="77"/>
        <v>0</v>
      </c>
      <c r="J91" s="15"/>
      <c r="K91" s="10">
        <f t="shared" si="78"/>
        <v>0</v>
      </c>
      <c r="L91" s="15"/>
      <c r="M91" s="10">
        <f t="shared" si="79"/>
        <v>0</v>
      </c>
      <c r="N91" s="15"/>
      <c r="O91" s="10">
        <f t="shared" si="80"/>
        <v>0</v>
      </c>
      <c r="P91" s="15"/>
      <c r="Q91" s="10">
        <f t="shared" si="81"/>
        <v>0</v>
      </c>
      <c r="R91" s="15"/>
      <c r="S91" s="10">
        <f t="shared" si="113"/>
        <v>0</v>
      </c>
      <c r="T91" s="15"/>
      <c r="U91" s="10">
        <f t="shared" si="82"/>
        <v>0</v>
      </c>
      <c r="V91" s="15"/>
      <c r="W91" s="10">
        <f t="shared" si="83"/>
        <v>0</v>
      </c>
      <c r="X91" s="15"/>
      <c r="Y91" s="10">
        <f t="shared" si="84"/>
        <v>0</v>
      </c>
      <c r="Z91" s="15"/>
      <c r="AA91" s="10">
        <f t="shared" si="85"/>
        <v>0</v>
      </c>
      <c r="AB91" s="15"/>
      <c r="AC91" s="10">
        <f t="shared" si="86"/>
        <v>0</v>
      </c>
      <c r="AD91" s="15"/>
      <c r="AE91" s="10">
        <f t="shared" si="87"/>
        <v>0</v>
      </c>
      <c r="AF91" s="11">
        <f t="shared" si="112"/>
        <v>0</v>
      </c>
      <c r="AG91" s="12">
        <f t="shared" si="60"/>
        <v>0</v>
      </c>
      <c r="AH91" s="15"/>
      <c r="AI91" s="10">
        <f t="shared" si="88"/>
        <v>0</v>
      </c>
      <c r="AJ91" s="15"/>
      <c r="AK91" s="10">
        <f t="shared" si="89"/>
        <v>0</v>
      </c>
      <c r="AL91" s="15"/>
      <c r="AM91" s="10">
        <f t="shared" si="90"/>
        <v>0</v>
      </c>
      <c r="AN91" s="15"/>
      <c r="AO91" s="10">
        <f t="shared" si="91"/>
        <v>0</v>
      </c>
      <c r="AP91" s="15"/>
      <c r="AQ91" s="10">
        <f t="shared" si="92"/>
        <v>0</v>
      </c>
      <c r="AR91" s="15"/>
      <c r="AS91" s="10">
        <f t="shared" si="93"/>
        <v>0</v>
      </c>
      <c r="AT91" s="15"/>
      <c r="AU91" s="10">
        <f t="shared" si="94"/>
        <v>0</v>
      </c>
      <c r="AV91" s="15"/>
      <c r="AW91" s="10">
        <f t="shared" si="95"/>
        <v>0</v>
      </c>
      <c r="AX91" s="15"/>
      <c r="AY91" s="10">
        <f t="shared" si="96"/>
        <v>0</v>
      </c>
      <c r="AZ91" s="15"/>
      <c r="BA91" s="10">
        <f t="shared" si="97"/>
        <v>0</v>
      </c>
      <c r="BB91" s="15"/>
      <c r="BC91" s="10">
        <f t="shared" si="98"/>
        <v>0</v>
      </c>
      <c r="BD91" s="15"/>
      <c r="BE91" s="10">
        <f t="shared" si="99"/>
        <v>0</v>
      </c>
      <c r="BF91" s="11">
        <f t="shared" si="61"/>
        <v>0</v>
      </c>
      <c r="BG91" s="12">
        <f t="shared" si="62"/>
        <v>0</v>
      </c>
      <c r="BH91" s="15"/>
      <c r="BI91" s="10">
        <f t="shared" si="100"/>
        <v>0</v>
      </c>
      <c r="BJ91" s="15"/>
      <c r="BK91" s="10">
        <f t="shared" si="101"/>
        <v>0</v>
      </c>
      <c r="BL91" s="15"/>
      <c r="BM91" s="10">
        <f t="shared" si="102"/>
        <v>0</v>
      </c>
      <c r="BN91" s="15"/>
      <c r="BO91" s="10">
        <f t="shared" si="103"/>
        <v>0</v>
      </c>
      <c r="BP91" s="15"/>
      <c r="BQ91" s="10">
        <f t="shared" si="104"/>
        <v>0</v>
      </c>
      <c r="BR91" s="15"/>
      <c r="BS91" s="10">
        <f t="shared" si="105"/>
        <v>0</v>
      </c>
      <c r="BT91" s="15"/>
      <c r="BU91" s="10">
        <f t="shared" si="106"/>
        <v>0</v>
      </c>
      <c r="BV91" s="15"/>
      <c r="BW91" s="10">
        <f t="shared" si="107"/>
        <v>0</v>
      </c>
      <c r="BX91" s="15"/>
      <c r="BY91" s="10">
        <f t="shared" si="108"/>
        <v>0</v>
      </c>
      <c r="BZ91" s="15"/>
      <c r="CA91" s="10">
        <f t="shared" si="109"/>
        <v>0</v>
      </c>
      <c r="CB91" s="15"/>
      <c r="CC91" s="10">
        <f t="shared" si="110"/>
        <v>0</v>
      </c>
      <c r="CD91" s="15"/>
      <c r="CE91" s="10">
        <f t="shared" si="111"/>
        <v>0</v>
      </c>
      <c r="CF91" s="11">
        <f t="shared" si="63"/>
        <v>0</v>
      </c>
      <c r="CG91" s="12">
        <f t="shared" si="64"/>
        <v>0</v>
      </c>
      <c r="CH91" s="15"/>
      <c r="CI91" s="10">
        <f t="shared" si="65"/>
        <v>0</v>
      </c>
      <c r="CJ91" s="15"/>
      <c r="CK91" s="10">
        <f t="shared" si="66"/>
        <v>0</v>
      </c>
      <c r="CL91" s="15"/>
      <c r="CM91" s="10">
        <f t="shared" si="67"/>
        <v>0</v>
      </c>
      <c r="CN91" s="15"/>
      <c r="CO91" s="10">
        <f t="shared" si="68"/>
        <v>0</v>
      </c>
      <c r="CP91" s="15"/>
      <c r="CQ91" s="10">
        <f t="shared" si="69"/>
        <v>0</v>
      </c>
      <c r="CR91" s="15"/>
      <c r="CS91" s="10">
        <f t="shared" si="70"/>
        <v>0</v>
      </c>
      <c r="CT91" s="15"/>
      <c r="CU91" s="10">
        <f t="shared" si="71"/>
        <v>0</v>
      </c>
      <c r="CV91" s="15"/>
      <c r="CW91" s="10">
        <f t="shared" si="72"/>
        <v>0</v>
      </c>
      <c r="CX91" s="15"/>
      <c r="CY91" s="10">
        <f t="shared" si="73"/>
        <v>0</v>
      </c>
      <c r="CZ91" s="15"/>
      <c r="DA91" s="10">
        <f t="shared" si="74"/>
        <v>0</v>
      </c>
      <c r="DB91" s="15"/>
      <c r="DC91" s="10">
        <f t="shared" si="75"/>
        <v>0</v>
      </c>
      <c r="DD91" s="15"/>
      <c r="DE91" s="10">
        <f t="shared" si="75"/>
        <v>0</v>
      </c>
      <c r="DF91" s="16">
        <f t="shared" si="58"/>
        <v>0</v>
      </c>
      <c r="DG91" s="208">
        <f t="shared" si="76"/>
        <v>0</v>
      </c>
    </row>
    <row r="92" spans="1:111">
      <c r="A92" s="7">
        <v>74</v>
      </c>
      <c r="B92" s="8" t="s">
        <v>75</v>
      </c>
      <c r="C92" s="8" t="s">
        <v>14</v>
      </c>
      <c r="D92" s="7">
        <f>RANK(DF92,$DF$4:$DF$141)</f>
        <v>31</v>
      </c>
      <c r="E92" s="7">
        <v>1</v>
      </c>
      <c r="F92" s="7" t="s">
        <v>20</v>
      </c>
      <c r="G92" s="7"/>
      <c r="H92" s="15"/>
      <c r="I92" s="10">
        <f t="shared" si="77"/>
        <v>0</v>
      </c>
      <c r="J92" s="15"/>
      <c r="K92" s="10">
        <f t="shared" si="78"/>
        <v>0</v>
      </c>
      <c r="L92" s="15"/>
      <c r="M92" s="10">
        <f t="shared" si="79"/>
        <v>0</v>
      </c>
      <c r="N92" s="15"/>
      <c r="O92" s="10">
        <f t="shared" si="80"/>
        <v>0</v>
      </c>
      <c r="P92" s="15"/>
      <c r="Q92" s="10">
        <f t="shared" si="81"/>
        <v>0</v>
      </c>
      <c r="R92" s="15"/>
      <c r="S92" s="10">
        <f t="shared" si="113"/>
        <v>0</v>
      </c>
      <c r="T92" s="15"/>
      <c r="U92" s="10">
        <f t="shared" si="82"/>
        <v>0</v>
      </c>
      <c r="V92" s="15"/>
      <c r="W92" s="10">
        <f t="shared" si="83"/>
        <v>0</v>
      </c>
      <c r="X92" s="15"/>
      <c r="Y92" s="10">
        <f t="shared" si="84"/>
        <v>0</v>
      </c>
      <c r="Z92" s="15"/>
      <c r="AA92" s="10">
        <f t="shared" si="85"/>
        <v>0</v>
      </c>
      <c r="AB92" s="15"/>
      <c r="AC92" s="10">
        <f t="shared" si="86"/>
        <v>0</v>
      </c>
      <c r="AD92" s="15"/>
      <c r="AE92" s="10">
        <f t="shared" si="87"/>
        <v>0</v>
      </c>
      <c r="AF92" s="11">
        <f t="shared" si="112"/>
        <v>0</v>
      </c>
      <c r="AG92" s="12">
        <f t="shared" si="60"/>
        <v>0</v>
      </c>
      <c r="AH92" s="15"/>
      <c r="AI92" s="10">
        <f t="shared" si="88"/>
        <v>0</v>
      </c>
      <c r="AJ92" s="15"/>
      <c r="AK92" s="10">
        <f t="shared" si="89"/>
        <v>0</v>
      </c>
      <c r="AL92" s="15"/>
      <c r="AM92" s="10">
        <f t="shared" si="90"/>
        <v>0</v>
      </c>
      <c r="AN92" s="15"/>
      <c r="AO92" s="10">
        <f t="shared" si="91"/>
        <v>0</v>
      </c>
      <c r="AP92" s="15"/>
      <c r="AQ92" s="10">
        <f t="shared" si="92"/>
        <v>0</v>
      </c>
      <c r="AR92" s="15"/>
      <c r="AS92" s="10">
        <f t="shared" si="93"/>
        <v>0</v>
      </c>
      <c r="AT92" s="15"/>
      <c r="AU92" s="10">
        <f t="shared" si="94"/>
        <v>0</v>
      </c>
      <c r="AV92" s="15"/>
      <c r="AW92" s="10">
        <f t="shared" si="95"/>
        <v>0</v>
      </c>
      <c r="AX92" s="15"/>
      <c r="AY92" s="10">
        <f t="shared" si="96"/>
        <v>0</v>
      </c>
      <c r="AZ92" s="15"/>
      <c r="BA92" s="10">
        <f t="shared" si="97"/>
        <v>0</v>
      </c>
      <c r="BB92" s="15"/>
      <c r="BC92" s="10">
        <f t="shared" si="98"/>
        <v>0</v>
      </c>
      <c r="BD92" s="15"/>
      <c r="BE92" s="10">
        <f t="shared" si="99"/>
        <v>0</v>
      </c>
      <c r="BF92" s="11">
        <f t="shared" si="61"/>
        <v>0</v>
      </c>
      <c r="BG92" s="12">
        <f t="shared" si="62"/>
        <v>0</v>
      </c>
      <c r="BH92" s="15"/>
      <c r="BI92" s="10">
        <f t="shared" si="100"/>
        <v>0</v>
      </c>
      <c r="BJ92" s="15"/>
      <c r="BK92" s="10">
        <f t="shared" si="101"/>
        <v>0</v>
      </c>
      <c r="BL92" s="15"/>
      <c r="BM92" s="10">
        <f t="shared" si="102"/>
        <v>0</v>
      </c>
      <c r="BN92" s="15"/>
      <c r="BO92" s="10">
        <f t="shared" si="103"/>
        <v>0</v>
      </c>
      <c r="BP92" s="15"/>
      <c r="BQ92" s="10">
        <f t="shared" si="104"/>
        <v>0</v>
      </c>
      <c r="BR92" s="15"/>
      <c r="BS92" s="10">
        <f t="shared" si="105"/>
        <v>0</v>
      </c>
      <c r="BT92" s="15"/>
      <c r="BU92" s="10">
        <f t="shared" si="106"/>
        <v>0</v>
      </c>
      <c r="BV92" s="15"/>
      <c r="BW92" s="10">
        <f t="shared" si="107"/>
        <v>0</v>
      </c>
      <c r="BX92" s="15"/>
      <c r="BY92" s="10">
        <f t="shared" si="108"/>
        <v>0</v>
      </c>
      <c r="BZ92" s="15"/>
      <c r="CA92" s="10">
        <f t="shared" si="109"/>
        <v>0</v>
      </c>
      <c r="CB92" s="15"/>
      <c r="CC92" s="10">
        <f t="shared" si="110"/>
        <v>0</v>
      </c>
      <c r="CD92" s="15"/>
      <c r="CE92" s="10">
        <f t="shared" si="111"/>
        <v>0</v>
      </c>
      <c r="CF92" s="11">
        <f t="shared" si="63"/>
        <v>0</v>
      </c>
      <c r="CG92" s="12">
        <f t="shared" si="64"/>
        <v>0</v>
      </c>
      <c r="CH92" s="15"/>
      <c r="CI92" s="10">
        <f t="shared" si="65"/>
        <v>0</v>
      </c>
      <c r="CJ92" s="15"/>
      <c r="CK92" s="10">
        <f t="shared" si="66"/>
        <v>0</v>
      </c>
      <c r="CL92" s="15"/>
      <c r="CM92" s="10">
        <f t="shared" si="67"/>
        <v>0</v>
      </c>
      <c r="CN92" s="15"/>
      <c r="CO92" s="10">
        <f t="shared" si="68"/>
        <v>0</v>
      </c>
      <c r="CP92" s="15"/>
      <c r="CQ92" s="10">
        <f t="shared" si="69"/>
        <v>0</v>
      </c>
      <c r="CR92" s="15"/>
      <c r="CS92" s="10">
        <f t="shared" si="70"/>
        <v>0</v>
      </c>
      <c r="CT92" s="15"/>
      <c r="CU92" s="10">
        <f t="shared" si="71"/>
        <v>0</v>
      </c>
      <c r="CV92" s="15"/>
      <c r="CW92" s="10">
        <f t="shared" si="72"/>
        <v>0</v>
      </c>
      <c r="CX92" s="15"/>
      <c r="CY92" s="10">
        <f t="shared" si="73"/>
        <v>0</v>
      </c>
      <c r="CZ92" s="15"/>
      <c r="DA92" s="10">
        <f t="shared" si="74"/>
        <v>0</v>
      </c>
      <c r="DB92" s="15"/>
      <c r="DC92" s="10">
        <f t="shared" si="75"/>
        <v>0</v>
      </c>
      <c r="DD92" s="15"/>
      <c r="DE92" s="10">
        <f t="shared" si="75"/>
        <v>0</v>
      </c>
      <c r="DF92" s="16">
        <f t="shared" si="58"/>
        <v>0</v>
      </c>
      <c r="DG92" s="208">
        <f t="shared" si="76"/>
        <v>0</v>
      </c>
    </row>
    <row r="93" spans="1:111">
      <c r="A93" s="7">
        <v>75</v>
      </c>
      <c r="B93" s="8" t="s">
        <v>75</v>
      </c>
      <c r="C93" s="8" t="s">
        <v>14</v>
      </c>
      <c r="D93" s="7">
        <f>RANK(DF93,$DF$4:$DF$141)</f>
        <v>31</v>
      </c>
      <c r="E93" s="7">
        <v>1</v>
      </c>
      <c r="F93" s="7" t="s">
        <v>12</v>
      </c>
      <c r="G93" s="7"/>
      <c r="H93" s="15"/>
      <c r="I93" s="10">
        <f t="shared" si="77"/>
        <v>0</v>
      </c>
      <c r="J93" s="15"/>
      <c r="K93" s="10">
        <f t="shared" si="78"/>
        <v>0</v>
      </c>
      <c r="L93" s="15"/>
      <c r="M93" s="10">
        <f t="shared" si="79"/>
        <v>0</v>
      </c>
      <c r="N93" s="15"/>
      <c r="O93" s="10">
        <f t="shared" si="80"/>
        <v>0</v>
      </c>
      <c r="P93" s="15"/>
      <c r="Q93" s="10">
        <f t="shared" si="81"/>
        <v>0</v>
      </c>
      <c r="R93" s="15"/>
      <c r="S93" s="10">
        <f t="shared" si="113"/>
        <v>0</v>
      </c>
      <c r="T93" s="15"/>
      <c r="U93" s="10">
        <f t="shared" si="82"/>
        <v>0</v>
      </c>
      <c r="V93" s="15"/>
      <c r="W93" s="10">
        <f t="shared" si="83"/>
        <v>0</v>
      </c>
      <c r="X93" s="15"/>
      <c r="Y93" s="10">
        <f t="shared" si="84"/>
        <v>0</v>
      </c>
      <c r="Z93" s="15"/>
      <c r="AA93" s="10">
        <f t="shared" si="85"/>
        <v>0</v>
      </c>
      <c r="AB93" s="15"/>
      <c r="AC93" s="10">
        <f t="shared" si="86"/>
        <v>0</v>
      </c>
      <c r="AD93" s="15"/>
      <c r="AE93" s="10">
        <f t="shared" si="87"/>
        <v>0</v>
      </c>
      <c r="AF93" s="11">
        <f t="shared" si="112"/>
        <v>0</v>
      </c>
      <c r="AG93" s="12">
        <f t="shared" si="60"/>
        <v>0</v>
      </c>
      <c r="AH93" s="15"/>
      <c r="AI93" s="10">
        <f t="shared" si="88"/>
        <v>0</v>
      </c>
      <c r="AJ93" s="15"/>
      <c r="AK93" s="10">
        <f t="shared" si="89"/>
        <v>0</v>
      </c>
      <c r="AL93" s="15"/>
      <c r="AM93" s="10">
        <f t="shared" si="90"/>
        <v>0</v>
      </c>
      <c r="AN93" s="15"/>
      <c r="AO93" s="10">
        <f t="shared" si="91"/>
        <v>0</v>
      </c>
      <c r="AP93" s="15"/>
      <c r="AQ93" s="10">
        <f t="shared" si="92"/>
        <v>0</v>
      </c>
      <c r="AR93" s="15"/>
      <c r="AS93" s="10">
        <f t="shared" si="93"/>
        <v>0</v>
      </c>
      <c r="AT93" s="15"/>
      <c r="AU93" s="10">
        <f t="shared" si="94"/>
        <v>0</v>
      </c>
      <c r="AV93" s="15"/>
      <c r="AW93" s="10">
        <f t="shared" si="95"/>
        <v>0</v>
      </c>
      <c r="AX93" s="15"/>
      <c r="AY93" s="10">
        <f t="shared" si="96"/>
        <v>0</v>
      </c>
      <c r="AZ93" s="15"/>
      <c r="BA93" s="10">
        <f t="shared" si="97"/>
        <v>0</v>
      </c>
      <c r="BB93" s="15"/>
      <c r="BC93" s="10">
        <f t="shared" si="98"/>
        <v>0</v>
      </c>
      <c r="BD93" s="15"/>
      <c r="BE93" s="10">
        <f t="shared" si="99"/>
        <v>0</v>
      </c>
      <c r="BF93" s="11">
        <f t="shared" si="61"/>
        <v>0</v>
      </c>
      <c r="BG93" s="12">
        <f t="shared" si="62"/>
        <v>0</v>
      </c>
      <c r="BH93" s="15"/>
      <c r="BI93" s="10">
        <f t="shared" si="100"/>
        <v>0</v>
      </c>
      <c r="BJ93" s="15"/>
      <c r="BK93" s="10">
        <f t="shared" si="101"/>
        <v>0</v>
      </c>
      <c r="BL93" s="15"/>
      <c r="BM93" s="10">
        <f t="shared" si="102"/>
        <v>0</v>
      </c>
      <c r="BN93" s="15"/>
      <c r="BO93" s="10">
        <f t="shared" si="103"/>
        <v>0</v>
      </c>
      <c r="BP93" s="15"/>
      <c r="BQ93" s="10">
        <f t="shared" si="104"/>
        <v>0</v>
      </c>
      <c r="BR93" s="15"/>
      <c r="BS93" s="10">
        <f t="shared" si="105"/>
        <v>0</v>
      </c>
      <c r="BT93" s="15"/>
      <c r="BU93" s="10">
        <f t="shared" si="106"/>
        <v>0</v>
      </c>
      <c r="BV93" s="15"/>
      <c r="BW93" s="10">
        <f t="shared" si="107"/>
        <v>0</v>
      </c>
      <c r="BX93" s="15"/>
      <c r="BY93" s="10">
        <f t="shared" si="108"/>
        <v>0</v>
      </c>
      <c r="BZ93" s="15"/>
      <c r="CA93" s="10">
        <f t="shared" si="109"/>
        <v>0</v>
      </c>
      <c r="CB93" s="15"/>
      <c r="CC93" s="10">
        <f t="shared" si="110"/>
        <v>0</v>
      </c>
      <c r="CD93" s="15"/>
      <c r="CE93" s="10">
        <f t="shared" si="111"/>
        <v>0</v>
      </c>
      <c r="CF93" s="11">
        <f t="shared" si="63"/>
        <v>0</v>
      </c>
      <c r="CG93" s="12">
        <f t="shared" si="64"/>
        <v>0</v>
      </c>
      <c r="CH93" s="15"/>
      <c r="CI93" s="10">
        <f t="shared" si="65"/>
        <v>0</v>
      </c>
      <c r="CJ93" s="15"/>
      <c r="CK93" s="10">
        <f t="shared" si="66"/>
        <v>0</v>
      </c>
      <c r="CL93" s="15"/>
      <c r="CM93" s="10">
        <f t="shared" si="67"/>
        <v>0</v>
      </c>
      <c r="CN93" s="15"/>
      <c r="CO93" s="10">
        <f t="shared" si="68"/>
        <v>0</v>
      </c>
      <c r="CP93" s="15"/>
      <c r="CQ93" s="10">
        <f t="shared" si="69"/>
        <v>0</v>
      </c>
      <c r="CR93" s="15"/>
      <c r="CS93" s="10">
        <f t="shared" si="70"/>
        <v>0</v>
      </c>
      <c r="CT93" s="15"/>
      <c r="CU93" s="10">
        <f t="shared" si="71"/>
        <v>0</v>
      </c>
      <c r="CV93" s="15"/>
      <c r="CW93" s="10">
        <f t="shared" si="72"/>
        <v>0</v>
      </c>
      <c r="CX93" s="15"/>
      <c r="CY93" s="10">
        <f t="shared" si="73"/>
        <v>0</v>
      </c>
      <c r="CZ93" s="15"/>
      <c r="DA93" s="10">
        <f t="shared" si="74"/>
        <v>0</v>
      </c>
      <c r="DB93" s="15"/>
      <c r="DC93" s="10">
        <f t="shared" si="75"/>
        <v>0</v>
      </c>
      <c r="DD93" s="15"/>
      <c r="DE93" s="10">
        <f t="shared" si="75"/>
        <v>0</v>
      </c>
      <c r="DF93" s="16">
        <f t="shared" si="58"/>
        <v>0</v>
      </c>
      <c r="DG93" s="208">
        <f t="shared" si="76"/>
        <v>0</v>
      </c>
    </row>
    <row r="94" spans="1:111">
      <c r="A94" s="7">
        <v>76</v>
      </c>
      <c r="B94" s="8" t="s">
        <v>76</v>
      </c>
      <c r="C94" s="8" t="s">
        <v>14</v>
      </c>
      <c r="D94" s="7">
        <f>RANK(DF94,$DF$4:$DF$141)</f>
        <v>31</v>
      </c>
      <c r="E94" s="7">
        <v>0.6</v>
      </c>
      <c r="F94" s="7" t="s">
        <v>20</v>
      </c>
      <c r="G94" s="7"/>
      <c r="H94" s="15"/>
      <c r="I94" s="10">
        <f t="shared" si="77"/>
        <v>0</v>
      </c>
      <c r="J94" s="15"/>
      <c r="K94" s="10">
        <f t="shared" si="78"/>
        <v>0</v>
      </c>
      <c r="L94" s="15"/>
      <c r="M94" s="10">
        <f t="shared" si="79"/>
        <v>0</v>
      </c>
      <c r="N94" s="15"/>
      <c r="O94" s="10">
        <f t="shared" si="80"/>
        <v>0</v>
      </c>
      <c r="P94" s="15"/>
      <c r="Q94" s="10">
        <f t="shared" si="81"/>
        <v>0</v>
      </c>
      <c r="R94" s="15"/>
      <c r="S94" s="10">
        <f t="shared" si="113"/>
        <v>0</v>
      </c>
      <c r="T94" s="15"/>
      <c r="U94" s="10">
        <f t="shared" si="82"/>
        <v>0</v>
      </c>
      <c r="V94" s="15"/>
      <c r="W94" s="10">
        <f t="shared" si="83"/>
        <v>0</v>
      </c>
      <c r="X94" s="15"/>
      <c r="Y94" s="10">
        <f t="shared" si="84"/>
        <v>0</v>
      </c>
      <c r="Z94" s="15"/>
      <c r="AA94" s="10">
        <f t="shared" si="85"/>
        <v>0</v>
      </c>
      <c r="AB94" s="15"/>
      <c r="AC94" s="10">
        <f t="shared" si="86"/>
        <v>0</v>
      </c>
      <c r="AD94" s="15"/>
      <c r="AE94" s="10">
        <f t="shared" si="87"/>
        <v>0</v>
      </c>
      <c r="AF94" s="11">
        <f t="shared" si="112"/>
        <v>0</v>
      </c>
      <c r="AG94" s="12">
        <f t="shared" si="60"/>
        <v>0</v>
      </c>
      <c r="AH94" s="15"/>
      <c r="AI94" s="10">
        <f t="shared" si="88"/>
        <v>0</v>
      </c>
      <c r="AJ94" s="15"/>
      <c r="AK94" s="10">
        <f t="shared" si="89"/>
        <v>0</v>
      </c>
      <c r="AL94" s="15"/>
      <c r="AM94" s="10">
        <f t="shared" si="90"/>
        <v>0</v>
      </c>
      <c r="AN94" s="15"/>
      <c r="AO94" s="10">
        <f t="shared" si="91"/>
        <v>0</v>
      </c>
      <c r="AP94" s="15"/>
      <c r="AQ94" s="10">
        <f t="shared" si="92"/>
        <v>0</v>
      </c>
      <c r="AR94" s="15"/>
      <c r="AS94" s="10">
        <f t="shared" si="93"/>
        <v>0</v>
      </c>
      <c r="AT94" s="15"/>
      <c r="AU94" s="10">
        <f t="shared" si="94"/>
        <v>0</v>
      </c>
      <c r="AV94" s="15"/>
      <c r="AW94" s="10">
        <f t="shared" si="95"/>
        <v>0</v>
      </c>
      <c r="AX94" s="15"/>
      <c r="AY94" s="10">
        <f t="shared" si="96"/>
        <v>0</v>
      </c>
      <c r="AZ94" s="15"/>
      <c r="BA94" s="10">
        <f t="shared" si="97"/>
        <v>0</v>
      </c>
      <c r="BB94" s="15"/>
      <c r="BC94" s="10">
        <f t="shared" si="98"/>
        <v>0</v>
      </c>
      <c r="BD94" s="15"/>
      <c r="BE94" s="10">
        <f t="shared" si="99"/>
        <v>0</v>
      </c>
      <c r="BF94" s="11">
        <f t="shared" si="61"/>
        <v>0</v>
      </c>
      <c r="BG94" s="12">
        <f t="shared" si="62"/>
        <v>0</v>
      </c>
      <c r="BH94" s="15"/>
      <c r="BI94" s="10">
        <f t="shared" si="100"/>
        <v>0</v>
      </c>
      <c r="BJ94" s="15"/>
      <c r="BK94" s="10">
        <f t="shared" si="101"/>
        <v>0</v>
      </c>
      <c r="BL94" s="15"/>
      <c r="BM94" s="10">
        <f t="shared" si="102"/>
        <v>0</v>
      </c>
      <c r="BN94" s="15"/>
      <c r="BO94" s="10">
        <f t="shared" si="103"/>
        <v>0</v>
      </c>
      <c r="BP94" s="15"/>
      <c r="BQ94" s="10">
        <f t="shared" si="104"/>
        <v>0</v>
      </c>
      <c r="BR94" s="15"/>
      <c r="BS94" s="10">
        <f t="shared" si="105"/>
        <v>0</v>
      </c>
      <c r="BT94" s="15"/>
      <c r="BU94" s="10">
        <f t="shared" si="106"/>
        <v>0</v>
      </c>
      <c r="BV94" s="15"/>
      <c r="BW94" s="10">
        <f t="shared" si="107"/>
        <v>0</v>
      </c>
      <c r="BX94" s="15"/>
      <c r="BY94" s="10">
        <f t="shared" si="108"/>
        <v>0</v>
      </c>
      <c r="BZ94" s="15"/>
      <c r="CA94" s="10">
        <f t="shared" si="109"/>
        <v>0</v>
      </c>
      <c r="CB94" s="15"/>
      <c r="CC94" s="10">
        <f t="shared" si="110"/>
        <v>0</v>
      </c>
      <c r="CD94" s="15"/>
      <c r="CE94" s="10">
        <f t="shared" si="111"/>
        <v>0</v>
      </c>
      <c r="CF94" s="11">
        <f t="shared" si="63"/>
        <v>0</v>
      </c>
      <c r="CG94" s="12">
        <f t="shared" si="64"/>
        <v>0</v>
      </c>
      <c r="CH94" s="15"/>
      <c r="CI94" s="10">
        <f t="shared" si="65"/>
        <v>0</v>
      </c>
      <c r="CJ94" s="15"/>
      <c r="CK94" s="10">
        <f t="shared" si="66"/>
        <v>0</v>
      </c>
      <c r="CL94" s="15"/>
      <c r="CM94" s="10">
        <f t="shared" si="67"/>
        <v>0</v>
      </c>
      <c r="CN94" s="15"/>
      <c r="CO94" s="10">
        <f t="shared" si="68"/>
        <v>0</v>
      </c>
      <c r="CP94" s="15"/>
      <c r="CQ94" s="10">
        <f t="shared" si="69"/>
        <v>0</v>
      </c>
      <c r="CR94" s="15"/>
      <c r="CS94" s="10">
        <f t="shared" si="70"/>
        <v>0</v>
      </c>
      <c r="CT94" s="15"/>
      <c r="CU94" s="10">
        <f t="shared" si="71"/>
        <v>0</v>
      </c>
      <c r="CV94" s="15"/>
      <c r="CW94" s="10">
        <f t="shared" si="72"/>
        <v>0</v>
      </c>
      <c r="CX94" s="15"/>
      <c r="CY94" s="10">
        <f t="shared" si="73"/>
        <v>0</v>
      </c>
      <c r="CZ94" s="15"/>
      <c r="DA94" s="10">
        <f t="shared" si="74"/>
        <v>0</v>
      </c>
      <c r="DB94" s="15"/>
      <c r="DC94" s="10">
        <f t="shared" si="75"/>
        <v>0</v>
      </c>
      <c r="DD94" s="15"/>
      <c r="DE94" s="10">
        <f t="shared" si="75"/>
        <v>0</v>
      </c>
      <c r="DF94" s="16">
        <f t="shared" si="58"/>
        <v>0</v>
      </c>
      <c r="DG94" s="208">
        <f t="shared" si="76"/>
        <v>0</v>
      </c>
    </row>
    <row r="95" spans="1:111">
      <c r="A95" s="7">
        <v>77</v>
      </c>
      <c r="B95" s="8" t="s">
        <v>77</v>
      </c>
      <c r="C95" s="8" t="s">
        <v>11</v>
      </c>
      <c r="D95" s="7">
        <f>RANK(DF95,$DF$4:$DF$141)</f>
        <v>31</v>
      </c>
      <c r="E95" s="7">
        <v>0.64</v>
      </c>
      <c r="F95" s="7" t="s">
        <v>22</v>
      </c>
      <c r="G95" s="7"/>
      <c r="H95" s="15"/>
      <c r="I95" s="10">
        <f t="shared" si="77"/>
        <v>0</v>
      </c>
      <c r="J95" s="15"/>
      <c r="K95" s="10">
        <f t="shared" si="78"/>
        <v>0</v>
      </c>
      <c r="L95" s="15"/>
      <c r="M95" s="10">
        <f t="shared" si="79"/>
        <v>0</v>
      </c>
      <c r="N95" s="15"/>
      <c r="O95" s="10">
        <f t="shared" si="80"/>
        <v>0</v>
      </c>
      <c r="P95" s="15"/>
      <c r="Q95" s="10">
        <f t="shared" si="81"/>
        <v>0</v>
      </c>
      <c r="R95" s="15"/>
      <c r="S95" s="10">
        <f t="shared" si="113"/>
        <v>0</v>
      </c>
      <c r="T95" s="15"/>
      <c r="U95" s="10">
        <f t="shared" si="82"/>
        <v>0</v>
      </c>
      <c r="V95" s="15"/>
      <c r="W95" s="10">
        <f t="shared" si="83"/>
        <v>0</v>
      </c>
      <c r="X95" s="15"/>
      <c r="Y95" s="10">
        <f t="shared" si="84"/>
        <v>0</v>
      </c>
      <c r="Z95" s="15"/>
      <c r="AA95" s="10">
        <f t="shared" si="85"/>
        <v>0</v>
      </c>
      <c r="AB95" s="15"/>
      <c r="AC95" s="10">
        <f t="shared" si="86"/>
        <v>0</v>
      </c>
      <c r="AD95" s="15"/>
      <c r="AE95" s="10">
        <f t="shared" si="87"/>
        <v>0</v>
      </c>
      <c r="AF95" s="11">
        <f t="shared" si="112"/>
        <v>0</v>
      </c>
      <c r="AG95" s="12">
        <f t="shared" si="60"/>
        <v>0</v>
      </c>
      <c r="AH95" s="15"/>
      <c r="AI95" s="10">
        <f t="shared" si="88"/>
        <v>0</v>
      </c>
      <c r="AJ95" s="15"/>
      <c r="AK95" s="10">
        <f t="shared" si="89"/>
        <v>0</v>
      </c>
      <c r="AL95" s="15"/>
      <c r="AM95" s="10">
        <f t="shared" si="90"/>
        <v>0</v>
      </c>
      <c r="AN95" s="15"/>
      <c r="AO95" s="10">
        <f t="shared" si="91"/>
        <v>0</v>
      </c>
      <c r="AP95" s="15"/>
      <c r="AQ95" s="10">
        <f t="shared" si="92"/>
        <v>0</v>
      </c>
      <c r="AR95" s="15"/>
      <c r="AS95" s="10">
        <f t="shared" si="93"/>
        <v>0</v>
      </c>
      <c r="AT95" s="15"/>
      <c r="AU95" s="10">
        <f t="shared" si="94"/>
        <v>0</v>
      </c>
      <c r="AV95" s="15"/>
      <c r="AW95" s="10">
        <f t="shared" si="95"/>
        <v>0</v>
      </c>
      <c r="AX95" s="15"/>
      <c r="AY95" s="10">
        <f t="shared" si="96"/>
        <v>0</v>
      </c>
      <c r="AZ95" s="15"/>
      <c r="BA95" s="10">
        <f t="shared" si="97"/>
        <v>0</v>
      </c>
      <c r="BB95" s="15"/>
      <c r="BC95" s="10">
        <f t="shared" si="98"/>
        <v>0</v>
      </c>
      <c r="BD95" s="15"/>
      <c r="BE95" s="10">
        <f t="shared" si="99"/>
        <v>0</v>
      </c>
      <c r="BF95" s="11">
        <f t="shared" si="61"/>
        <v>0</v>
      </c>
      <c r="BG95" s="12">
        <f t="shared" si="62"/>
        <v>0</v>
      </c>
      <c r="BH95" s="15"/>
      <c r="BI95" s="10">
        <f t="shared" si="100"/>
        <v>0</v>
      </c>
      <c r="BJ95" s="15"/>
      <c r="BK95" s="10">
        <f t="shared" si="101"/>
        <v>0</v>
      </c>
      <c r="BL95" s="15"/>
      <c r="BM95" s="10">
        <f t="shared" si="102"/>
        <v>0</v>
      </c>
      <c r="BN95" s="15"/>
      <c r="BO95" s="10">
        <f t="shared" si="103"/>
        <v>0</v>
      </c>
      <c r="BP95" s="15"/>
      <c r="BQ95" s="10">
        <f t="shared" si="104"/>
        <v>0</v>
      </c>
      <c r="BR95" s="15"/>
      <c r="BS95" s="10">
        <f t="shared" si="105"/>
        <v>0</v>
      </c>
      <c r="BT95" s="15"/>
      <c r="BU95" s="10">
        <f t="shared" si="106"/>
        <v>0</v>
      </c>
      <c r="BV95" s="15"/>
      <c r="BW95" s="10">
        <f t="shared" si="107"/>
        <v>0</v>
      </c>
      <c r="BX95" s="15"/>
      <c r="BY95" s="10">
        <f t="shared" si="108"/>
        <v>0</v>
      </c>
      <c r="BZ95" s="15"/>
      <c r="CA95" s="10">
        <f t="shared" si="109"/>
        <v>0</v>
      </c>
      <c r="CB95" s="15"/>
      <c r="CC95" s="10">
        <f t="shared" si="110"/>
        <v>0</v>
      </c>
      <c r="CD95" s="15"/>
      <c r="CE95" s="10">
        <f t="shared" si="111"/>
        <v>0</v>
      </c>
      <c r="CF95" s="11">
        <f t="shared" si="63"/>
        <v>0</v>
      </c>
      <c r="CG95" s="12">
        <f t="shared" si="64"/>
        <v>0</v>
      </c>
      <c r="CH95" s="15"/>
      <c r="CI95" s="10">
        <f t="shared" si="65"/>
        <v>0</v>
      </c>
      <c r="CJ95" s="15"/>
      <c r="CK95" s="10">
        <f t="shared" si="66"/>
        <v>0</v>
      </c>
      <c r="CL95" s="15"/>
      <c r="CM95" s="10">
        <f t="shared" si="67"/>
        <v>0</v>
      </c>
      <c r="CN95" s="15"/>
      <c r="CO95" s="10">
        <f t="shared" si="68"/>
        <v>0</v>
      </c>
      <c r="CP95" s="15"/>
      <c r="CQ95" s="10">
        <f t="shared" si="69"/>
        <v>0</v>
      </c>
      <c r="CR95" s="15"/>
      <c r="CS95" s="10">
        <f t="shared" si="70"/>
        <v>0</v>
      </c>
      <c r="CT95" s="15"/>
      <c r="CU95" s="10">
        <f t="shared" si="71"/>
        <v>0</v>
      </c>
      <c r="CV95" s="15"/>
      <c r="CW95" s="10">
        <f t="shared" si="72"/>
        <v>0</v>
      </c>
      <c r="CX95" s="15"/>
      <c r="CY95" s="10">
        <f t="shared" si="73"/>
        <v>0</v>
      </c>
      <c r="CZ95" s="15"/>
      <c r="DA95" s="10">
        <f t="shared" si="74"/>
        <v>0</v>
      </c>
      <c r="DB95" s="15"/>
      <c r="DC95" s="10">
        <f t="shared" si="75"/>
        <v>0</v>
      </c>
      <c r="DD95" s="15"/>
      <c r="DE95" s="10">
        <f t="shared" si="75"/>
        <v>0</v>
      </c>
      <c r="DF95" s="16">
        <f t="shared" si="58"/>
        <v>0</v>
      </c>
      <c r="DG95" s="208">
        <f t="shared" si="76"/>
        <v>0</v>
      </c>
    </row>
    <row r="96" spans="1:111">
      <c r="A96" s="7"/>
      <c r="B96" s="8"/>
      <c r="C96" s="8"/>
      <c r="D96" s="7"/>
      <c r="E96" s="7"/>
      <c r="F96" s="7"/>
      <c r="G96" s="7"/>
      <c r="H96" s="15"/>
      <c r="I96" s="10"/>
      <c r="J96" s="15"/>
      <c r="K96" s="10"/>
      <c r="L96" s="15"/>
      <c r="M96" s="10"/>
      <c r="N96" s="15"/>
      <c r="O96" s="10"/>
      <c r="P96" s="15"/>
      <c r="Q96" s="10"/>
      <c r="R96" s="15"/>
      <c r="S96" s="10">
        <f>R96*$E96</f>
        <v>0</v>
      </c>
      <c r="T96" s="15"/>
      <c r="U96" s="10"/>
      <c r="V96" s="15"/>
      <c r="W96" s="10"/>
      <c r="X96" s="15"/>
      <c r="Y96" s="10"/>
      <c r="Z96" s="15"/>
      <c r="AA96" s="10"/>
      <c r="AB96" s="15"/>
      <c r="AC96" s="10"/>
      <c r="AD96" s="15"/>
      <c r="AE96" s="10"/>
      <c r="AF96" s="11">
        <f t="shared" si="112"/>
        <v>0</v>
      </c>
      <c r="AG96" s="12">
        <f t="shared" si="60"/>
        <v>0</v>
      </c>
      <c r="AH96" s="15"/>
      <c r="AI96" s="10"/>
      <c r="AJ96" s="15"/>
      <c r="AK96" s="10"/>
      <c r="AL96" s="15"/>
      <c r="AM96" s="10"/>
      <c r="AN96" s="15"/>
      <c r="AO96" s="10"/>
      <c r="AP96" s="15"/>
      <c r="AQ96" s="10"/>
      <c r="AR96" s="15"/>
      <c r="AS96" s="10"/>
      <c r="AT96" s="15"/>
      <c r="AU96" s="10"/>
      <c r="AV96" s="15"/>
      <c r="AW96" s="10"/>
      <c r="AX96" s="15"/>
      <c r="AY96" s="10"/>
      <c r="AZ96" s="15"/>
      <c r="BA96" s="10"/>
      <c r="BB96" s="15"/>
      <c r="BC96" s="10"/>
      <c r="BD96" s="15"/>
      <c r="BE96" s="10"/>
      <c r="BF96" s="11">
        <f t="shared" si="61"/>
        <v>0</v>
      </c>
      <c r="BG96" s="12">
        <f t="shared" si="62"/>
        <v>0</v>
      </c>
      <c r="BH96" s="15"/>
      <c r="BI96" s="10"/>
      <c r="BJ96" s="15"/>
      <c r="BK96" s="10"/>
      <c r="BL96" s="15"/>
      <c r="BM96" s="10"/>
      <c r="BN96" s="15"/>
      <c r="BO96" s="10"/>
      <c r="BP96" s="15"/>
      <c r="BQ96" s="10"/>
      <c r="BR96" s="15"/>
      <c r="BS96" s="10"/>
      <c r="BT96" s="15"/>
      <c r="BU96" s="10"/>
      <c r="BV96" s="15"/>
      <c r="BW96" s="10"/>
      <c r="BX96" s="15"/>
      <c r="BY96" s="10"/>
      <c r="BZ96" s="15"/>
      <c r="CA96" s="10"/>
      <c r="CB96" s="15"/>
      <c r="CC96" s="10"/>
      <c r="CD96" s="15"/>
      <c r="CE96" s="10"/>
      <c r="CF96" s="11">
        <f t="shared" si="63"/>
        <v>0</v>
      </c>
      <c r="CG96" s="12">
        <f t="shared" si="64"/>
        <v>0</v>
      </c>
      <c r="CH96" s="15"/>
      <c r="CI96" s="10">
        <f t="shared" si="65"/>
        <v>0</v>
      </c>
      <c r="CJ96" s="15"/>
      <c r="CK96" s="10">
        <f t="shared" si="66"/>
        <v>0</v>
      </c>
      <c r="CL96" s="15"/>
      <c r="CM96" s="10">
        <f t="shared" si="67"/>
        <v>0</v>
      </c>
      <c r="CN96" s="15"/>
      <c r="CO96" s="10">
        <f t="shared" si="68"/>
        <v>0</v>
      </c>
      <c r="CP96" s="15"/>
      <c r="CQ96" s="10">
        <f t="shared" si="69"/>
        <v>0</v>
      </c>
      <c r="CR96" s="15"/>
      <c r="CS96" s="10">
        <f t="shared" si="70"/>
        <v>0</v>
      </c>
      <c r="CT96" s="15"/>
      <c r="CU96" s="10">
        <f t="shared" si="71"/>
        <v>0</v>
      </c>
      <c r="CV96" s="15"/>
      <c r="CW96" s="10">
        <f t="shared" si="72"/>
        <v>0</v>
      </c>
      <c r="CX96" s="15"/>
      <c r="CY96" s="10">
        <f t="shared" si="73"/>
        <v>0</v>
      </c>
      <c r="CZ96" s="15"/>
      <c r="DA96" s="10">
        <f t="shared" si="74"/>
        <v>0</v>
      </c>
      <c r="DB96" s="15"/>
      <c r="DC96" s="10">
        <f t="shared" si="75"/>
        <v>0</v>
      </c>
      <c r="DD96" s="15"/>
      <c r="DE96" s="10">
        <f t="shared" si="75"/>
        <v>0</v>
      </c>
      <c r="DF96" s="16">
        <f t="shared" si="58"/>
        <v>0</v>
      </c>
      <c r="DG96" s="208">
        <f t="shared" si="76"/>
        <v>0</v>
      </c>
    </row>
    <row r="97" spans="1:111">
      <c r="A97" s="7">
        <v>78</v>
      </c>
      <c r="B97" s="8" t="s">
        <v>78</v>
      </c>
      <c r="C97" s="8" t="s">
        <v>14</v>
      </c>
      <c r="D97" s="7">
        <f>RANK(DF97,$DF$4:$DF$141)</f>
        <v>31</v>
      </c>
      <c r="E97" s="7">
        <v>0.75</v>
      </c>
      <c r="F97" s="7" t="s">
        <v>35</v>
      </c>
      <c r="G97" s="7"/>
      <c r="H97" s="15"/>
      <c r="I97" s="10"/>
      <c r="J97" s="15"/>
      <c r="K97" s="10"/>
      <c r="L97" s="15"/>
      <c r="M97" s="10"/>
      <c r="N97" s="15"/>
      <c r="O97" s="10"/>
      <c r="P97" s="15"/>
      <c r="Q97" s="10"/>
      <c r="R97" s="15"/>
      <c r="S97" s="10">
        <f t="shared" ref="S97:S113" si="114">R97*$E97</f>
        <v>0</v>
      </c>
      <c r="T97" s="15"/>
      <c r="U97" s="10"/>
      <c r="V97" s="15"/>
      <c r="W97" s="10"/>
      <c r="X97" s="15"/>
      <c r="Y97" s="10"/>
      <c r="Z97" s="15"/>
      <c r="AA97" s="10"/>
      <c r="AB97" s="15"/>
      <c r="AC97" s="10"/>
      <c r="AD97" s="15"/>
      <c r="AE97" s="10"/>
      <c r="AF97" s="11">
        <f t="shared" si="112"/>
        <v>0</v>
      </c>
      <c r="AG97" s="12">
        <f t="shared" si="60"/>
        <v>0</v>
      </c>
      <c r="AH97" s="15"/>
      <c r="AI97" s="10"/>
      <c r="AJ97" s="15"/>
      <c r="AK97" s="10"/>
      <c r="AL97" s="15"/>
      <c r="AM97" s="10"/>
      <c r="AN97" s="15"/>
      <c r="AO97" s="10"/>
      <c r="AP97" s="15"/>
      <c r="AQ97" s="10"/>
      <c r="AR97" s="15"/>
      <c r="AS97" s="10"/>
      <c r="AT97" s="15"/>
      <c r="AU97" s="10"/>
      <c r="AV97" s="15"/>
      <c r="AW97" s="10"/>
      <c r="AX97" s="15"/>
      <c r="AY97" s="10"/>
      <c r="AZ97" s="15"/>
      <c r="BA97" s="10"/>
      <c r="BB97" s="15"/>
      <c r="BC97" s="10"/>
      <c r="BD97" s="15"/>
      <c r="BE97" s="10"/>
      <c r="BF97" s="11">
        <f t="shared" si="61"/>
        <v>0</v>
      </c>
      <c r="BG97" s="12">
        <f t="shared" si="62"/>
        <v>0</v>
      </c>
      <c r="BH97" s="15"/>
      <c r="BI97" s="10"/>
      <c r="BJ97" s="15"/>
      <c r="BK97" s="10"/>
      <c r="BL97" s="15"/>
      <c r="BM97" s="10"/>
      <c r="BN97" s="15"/>
      <c r="BO97" s="10"/>
      <c r="BP97" s="15"/>
      <c r="BQ97" s="10"/>
      <c r="BR97" s="15"/>
      <c r="BS97" s="10"/>
      <c r="BT97" s="15"/>
      <c r="BU97" s="10"/>
      <c r="BV97" s="15"/>
      <c r="BW97" s="10"/>
      <c r="BX97" s="15"/>
      <c r="BY97" s="10"/>
      <c r="BZ97" s="15"/>
      <c r="CA97" s="10"/>
      <c r="CB97" s="15"/>
      <c r="CC97" s="10"/>
      <c r="CD97" s="15"/>
      <c r="CE97" s="10"/>
      <c r="CF97" s="11">
        <f t="shared" si="63"/>
        <v>0</v>
      </c>
      <c r="CG97" s="12">
        <f t="shared" si="64"/>
        <v>0</v>
      </c>
      <c r="CH97" s="15"/>
      <c r="CI97" s="10">
        <f t="shared" si="65"/>
        <v>0</v>
      </c>
      <c r="CJ97" s="15"/>
      <c r="CK97" s="10">
        <f t="shared" si="66"/>
        <v>0</v>
      </c>
      <c r="CL97" s="15"/>
      <c r="CM97" s="10">
        <f t="shared" si="67"/>
        <v>0</v>
      </c>
      <c r="CN97" s="15"/>
      <c r="CO97" s="10">
        <f t="shared" si="68"/>
        <v>0</v>
      </c>
      <c r="CP97" s="15"/>
      <c r="CQ97" s="10">
        <f t="shared" si="69"/>
        <v>0</v>
      </c>
      <c r="CR97" s="15"/>
      <c r="CS97" s="10">
        <f t="shared" si="70"/>
        <v>0</v>
      </c>
      <c r="CT97" s="15"/>
      <c r="CU97" s="10">
        <f t="shared" si="71"/>
        <v>0</v>
      </c>
      <c r="CV97" s="15"/>
      <c r="CW97" s="10">
        <f t="shared" si="72"/>
        <v>0</v>
      </c>
      <c r="CX97" s="15"/>
      <c r="CY97" s="10">
        <f t="shared" si="73"/>
        <v>0</v>
      </c>
      <c r="CZ97" s="15"/>
      <c r="DA97" s="10">
        <f t="shared" si="74"/>
        <v>0</v>
      </c>
      <c r="DB97" s="15"/>
      <c r="DC97" s="10">
        <f t="shared" si="75"/>
        <v>0</v>
      </c>
      <c r="DD97" s="15"/>
      <c r="DE97" s="10">
        <f t="shared" si="75"/>
        <v>0</v>
      </c>
      <c r="DF97" s="16">
        <f t="shared" si="58"/>
        <v>0</v>
      </c>
      <c r="DG97" s="208">
        <f t="shared" si="76"/>
        <v>0</v>
      </c>
    </row>
    <row r="98" spans="1:111">
      <c r="A98" s="7">
        <v>79</v>
      </c>
      <c r="B98" s="8" t="s">
        <v>78</v>
      </c>
      <c r="C98" s="8" t="s">
        <v>11</v>
      </c>
      <c r="D98" s="7">
        <f>RANK(DF98,$DF$4:$DF$141)</f>
        <v>31</v>
      </c>
      <c r="E98" s="7">
        <v>0.6</v>
      </c>
      <c r="F98" s="7" t="s">
        <v>35</v>
      </c>
      <c r="G98" s="7"/>
      <c r="H98" s="15"/>
      <c r="I98" s="10"/>
      <c r="J98" s="15"/>
      <c r="K98" s="10"/>
      <c r="L98" s="15"/>
      <c r="M98" s="10"/>
      <c r="N98" s="15"/>
      <c r="O98" s="10"/>
      <c r="P98" s="15"/>
      <c r="Q98" s="10"/>
      <c r="R98" s="15"/>
      <c r="S98" s="10">
        <f t="shared" si="114"/>
        <v>0</v>
      </c>
      <c r="T98" s="15"/>
      <c r="U98" s="10"/>
      <c r="V98" s="15"/>
      <c r="W98" s="10"/>
      <c r="X98" s="15"/>
      <c r="Y98" s="10"/>
      <c r="Z98" s="15"/>
      <c r="AA98" s="10"/>
      <c r="AB98" s="15"/>
      <c r="AC98" s="10"/>
      <c r="AD98" s="15"/>
      <c r="AE98" s="10"/>
      <c r="AF98" s="11">
        <f t="shared" si="112"/>
        <v>0</v>
      </c>
      <c r="AG98" s="12">
        <f t="shared" si="60"/>
        <v>0</v>
      </c>
      <c r="AH98" s="9"/>
      <c r="AI98" s="10"/>
      <c r="AJ98" s="9"/>
      <c r="AK98" s="10"/>
      <c r="AL98" s="9"/>
      <c r="AM98" s="10"/>
      <c r="AN98" s="9"/>
      <c r="AO98" s="10"/>
      <c r="AP98" s="9"/>
      <c r="AQ98" s="10"/>
      <c r="AR98" s="9"/>
      <c r="AS98" s="10"/>
      <c r="AT98" s="15"/>
      <c r="AU98" s="10"/>
      <c r="AV98" s="15"/>
      <c r="AW98" s="10"/>
      <c r="AX98" s="15"/>
      <c r="AY98" s="10"/>
      <c r="AZ98" s="15"/>
      <c r="BA98" s="10"/>
      <c r="BB98" s="15"/>
      <c r="BC98" s="10"/>
      <c r="BD98" s="15"/>
      <c r="BE98" s="10"/>
      <c r="BF98" s="11">
        <f t="shared" si="61"/>
        <v>0</v>
      </c>
      <c r="BG98" s="12">
        <f t="shared" si="62"/>
        <v>0</v>
      </c>
      <c r="BH98" s="15"/>
      <c r="BI98" s="10"/>
      <c r="BJ98" s="15"/>
      <c r="BK98" s="10"/>
      <c r="BL98" s="15"/>
      <c r="BM98" s="10"/>
      <c r="BN98" s="15"/>
      <c r="BO98" s="10"/>
      <c r="BP98" s="15"/>
      <c r="BQ98" s="10"/>
      <c r="BR98" s="15"/>
      <c r="BS98" s="10"/>
      <c r="BT98" s="15"/>
      <c r="BU98" s="10"/>
      <c r="BV98" s="15"/>
      <c r="BW98" s="10"/>
      <c r="BX98" s="15"/>
      <c r="BY98" s="10"/>
      <c r="BZ98" s="15"/>
      <c r="CA98" s="10"/>
      <c r="CB98" s="15"/>
      <c r="CC98" s="10"/>
      <c r="CD98" s="15"/>
      <c r="CE98" s="10"/>
      <c r="CF98" s="11">
        <f t="shared" si="63"/>
        <v>0</v>
      </c>
      <c r="CG98" s="12">
        <f t="shared" si="64"/>
        <v>0</v>
      </c>
      <c r="CH98" s="15"/>
      <c r="CI98" s="10">
        <f t="shared" si="65"/>
        <v>0</v>
      </c>
      <c r="CJ98" s="15"/>
      <c r="CK98" s="10">
        <f t="shared" si="66"/>
        <v>0</v>
      </c>
      <c r="CL98" s="15"/>
      <c r="CM98" s="10">
        <f t="shared" si="67"/>
        <v>0</v>
      </c>
      <c r="CN98" s="15"/>
      <c r="CO98" s="10">
        <f t="shared" si="68"/>
        <v>0</v>
      </c>
      <c r="CP98" s="15"/>
      <c r="CQ98" s="10">
        <f t="shared" si="69"/>
        <v>0</v>
      </c>
      <c r="CR98" s="15"/>
      <c r="CS98" s="10">
        <f t="shared" si="70"/>
        <v>0</v>
      </c>
      <c r="CT98" s="15"/>
      <c r="CU98" s="10">
        <f t="shared" si="71"/>
        <v>0</v>
      </c>
      <c r="CV98" s="15"/>
      <c r="CW98" s="10">
        <f t="shared" si="72"/>
        <v>0</v>
      </c>
      <c r="CX98" s="15"/>
      <c r="CY98" s="10">
        <f t="shared" si="73"/>
        <v>0</v>
      </c>
      <c r="CZ98" s="15"/>
      <c r="DA98" s="10">
        <f t="shared" si="74"/>
        <v>0</v>
      </c>
      <c r="DB98" s="15"/>
      <c r="DC98" s="10">
        <f t="shared" si="75"/>
        <v>0</v>
      </c>
      <c r="DD98" s="15"/>
      <c r="DE98" s="10">
        <f t="shared" si="75"/>
        <v>0</v>
      </c>
      <c r="DF98" s="16">
        <f t="shared" si="58"/>
        <v>0</v>
      </c>
      <c r="DG98" s="208">
        <f t="shared" si="76"/>
        <v>0</v>
      </c>
    </row>
    <row r="99" spans="1:111">
      <c r="A99" s="7">
        <v>80</v>
      </c>
      <c r="B99" s="8" t="s">
        <v>78</v>
      </c>
      <c r="C99" s="8" t="s">
        <v>11</v>
      </c>
      <c r="D99" s="7">
        <f>RANK(DF99,$DF$4:$DF$141)</f>
        <v>31</v>
      </c>
      <c r="E99" s="7">
        <v>0.64</v>
      </c>
      <c r="F99" s="7" t="s">
        <v>22</v>
      </c>
      <c r="G99" s="7">
        <v>600</v>
      </c>
      <c r="H99" s="15"/>
      <c r="I99" s="10">
        <f>H99*$E99</f>
        <v>0</v>
      </c>
      <c r="J99" s="15"/>
      <c r="K99" s="10">
        <f>J99*$E99</f>
        <v>0</v>
      </c>
      <c r="L99" s="15"/>
      <c r="M99" s="10">
        <f>L99*$E99</f>
        <v>0</v>
      </c>
      <c r="N99" s="15"/>
      <c r="O99" s="10">
        <f>N99*$E99</f>
        <v>0</v>
      </c>
      <c r="P99" s="15"/>
      <c r="Q99" s="10">
        <f>P99*$E99</f>
        <v>0</v>
      </c>
      <c r="R99" s="15"/>
      <c r="S99" s="10">
        <f t="shared" si="114"/>
        <v>0</v>
      </c>
      <c r="T99" s="15"/>
      <c r="U99" s="10">
        <f>T99*$E99</f>
        <v>0</v>
      </c>
      <c r="V99" s="15"/>
      <c r="W99" s="10">
        <f>V99*$E99</f>
        <v>0</v>
      </c>
      <c r="X99" s="15"/>
      <c r="Y99" s="10">
        <f>X99*$E99</f>
        <v>0</v>
      </c>
      <c r="Z99" s="15"/>
      <c r="AA99" s="10">
        <f>Z99*$E99</f>
        <v>0</v>
      </c>
      <c r="AB99" s="15"/>
      <c r="AC99" s="10">
        <f>AB99*$E99</f>
        <v>0</v>
      </c>
      <c r="AD99" s="15"/>
      <c r="AE99" s="10">
        <f>AD99*$E99</f>
        <v>0</v>
      </c>
      <c r="AF99" s="11">
        <f t="shared" si="112"/>
        <v>0</v>
      </c>
      <c r="AG99" s="12">
        <f t="shared" si="60"/>
        <v>0</v>
      </c>
      <c r="AH99" s="9">
        <v>420</v>
      </c>
      <c r="AI99" s="10">
        <f>AH99*$E99</f>
        <v>268.8</v>
      </c>
      <c r="AJ99" s="9">
        <v>13293</v>
      </c>
      <c r="AK99" s="10">
        <f>AJ99*$E99</f>
        <v>8507.52</v>
      </c>
      <c r="AL99" s="9">
        <v>49845</v>
      </c>
      <c r="AM99" s="10">
        <f>AL99*$E99</f>
        <v>31900.799999999999</v>
      </c>
      <c r="AN99" s="9">
        <v>54</v>
      </c>
      <c r="AO99" s="10">
        <f>AN99*$E99</f>
        <v>34.56</v>
      </c>
      <c r="AP99" s="9">
        <v>36</v>
      </c>
      <c r="AQ99" s="10">
        <f>AP99*$E99</f>
        <v>23.04</v>
      </c>
      <c r="AR99" s="9"/>
      <c r="AS99" s="10">
        <f>AR99*$E99</f>
        <v>0</v>
      </c>
      <c r="AT99" s="15"/>
      <c r="AU99" s="10">
        <f>AT99*$E99</f>
        <v>0</v>
      </c>
      <c r="AV99" s="15"/>
      <c r="AW99" s="10">
        <f>AV99*$E99</f>
        <v>0</v>
      </c>
      <c r="AX99" s="15"/>
      <c r="AY99" s="10">
        <f>AX99*$E99</f>
        <v>0</v>
      </c>
      <c r="AZ99" s="15"/>
      <c r="BA99" s="10">
        <f>AZ99*$E99</f>
        <v>0</v>
      </c>
      <c r="BB99" s="15"/>
      <c r="BC99" s="10">
        <f>BB99*$E99</f>
        <v>0</v>
      </c>
      <c r="BD99" s="15"/>
      <c r="BE99" s="10">
        <f>BD99*$E99</f>
        <v>0</v>
      </c>
      <c r="BF99" s="11">
        <f t="shared" si="61"/>
        <v>63648</v>
      </c>
      <c r="BG99" s="12">
        <f t="shared" si="62"/>
        <v>40734.720000000001</v>
      </c>
      <c r="BH99" s="15"/>
      <c r="BI99" s="10">
        <f>BH99*$E99</f>
        <v>0</v>
      </c>
      <c r="BJ99" s="15"/>
      <c r="BK99" s="10">
        <f>BJ99*$E99</f>
        <v>0</v>
      </c>
      <c r="BL99" s="15"/>
      <c r="BM99" s="10">
        <f>BL99*$E99</f>
        <v>0</v>
      </c>
      <c r="BN99" s="15"/>
      <c r="BO99" s="10">
        <f>BN99*$E99</f>
        <v>0</v>
      </c>
      <c r="BP99" s="15"/>
      <c r="BQ99" s="10">
        <f>BP99*$E99</f>
        <v>0</v>
      </c>
      <c r="BR99" s="15"/>
      <c r="BS99" s="10">
        <f>BR99*$E99</f>
        <v>0</v>
      </c>
      <c r="BT99" s="15"/>
      <c r="BU99" s="10">
        <f>BT99*$E99</f>
        <v>0</v>
      </c>
      <c r="BV99" s="15"/>
      <c r="BW99" s="10">
        <f>BV99*$E99</f>
        <v>0</v>
      </c>
      <c r="BX99" s="15"/>
      <c r="BY99" s="10">
        <f>BX99*$E99</f>
        <v>0</v>
      </c>
      <c r="BZ99" s="15"/>
      <c r="CA99" s="10">
        <f>BZ99*$E99</f>
        <v>0</v>
      </c>
      <c r="CB99" s="15"/>
      <c r="CC99" s="10">
        <f>CB99*$E99</f>
        <v>0</v>
      </c>
      <c r="CD99" s="15"/>
      <c r="CE99" s="10">
        <f>CD99*$E99</f>
        <v>0</v>
      </c>
      <c r="CF99" s="11">
        <f t="shared" si="63"/>
        <v>0</v>
      </c>
      <c r="CG99" s="12">
        <f t="shared" si="64"/>
        <v>0</v>
      </c>
      <c r="CH99" s="15"/>
      <c r="CI99" s="10">
        <f t="shared" si="65"/>
        <v>0</v>
      </c>
      <c r="CJ99" s="15"/>
      <c r="CK99" s="10">
        <f t="shared" si="66"/>
        <v>0</v>
      </c>
      <c r="CL99" s="15"/>
      <c r="CM99" s="10">
        <f t="shared" si="67"/>
        <v>0</v>
      </c>
      <c r="CN99" s="15"/>
      <c r="CO99" s="10">
        <f t="shared" si="68"/>
        <v>0</v>
      </c>
      <c r="CP99" s="15"/>
      <c r="CQ99" s="10">
        <f t="shared" si="69"/>
        <v>0</v>
      </c>
      <c r="CR99" s="15"/>
      <c r="CS99" s="10">
        <f t="shared" si="70"/>
        <v>0</v>
      </c>
      <c r="CT99" s="15"/>
      <c r="CU99" s="10">
        <f t="shared" si="71"/>
        <v>0</v>
      </c>
      <c r="CV99" s="15"/>
      <c r="CW99" s="10">
        <f t="shared" si="72"/>
        <v>0</v>
      </c>
      <c r="CX99" s="15"/>
      <c r="CY99" s="10">
        <f t="shared" si="73"/>
        <v>0</v>
      </c>
      <c r="CZ99" s="15"/>
      <c r="DA99" s="10">
        <f t="shared" si="74"/>
        <v>0</v>
      </c>
      <c r="DB99" s="15"/>
      <c r="DC99" s="10">
        <f t="shared" si="75"/>
        <v>0</v>
      </c>
      <c r="DD99" s="15"/>
      <c r="DE99" s="10">
        <f t="shared" si="75"/>
        <v>0</v>
      </c>
      <c r="DF99" s="16">
        <f t="shared" si="58"/>
        <v>0</v>
      </c>
      <c r="DG99" s="208">
        <f t="shared" si="76"/>
        <v>0</v>
      </c>
    </row>
    <row r="100" spans="1:111">
      <c r="A100" s="7"/>
      <c r="B100" s="8"/>
      <c r="C100" s="8"/>
      <c r="D100" s="7"/>
      <c r="E100" s="7"/>
      <c r="F100" s="7"/>
      <c r="G100" s="7"/>
      <c r="H100" s="15"/>
      <c r="I100" s="10"/>
      <c r="J100" s="15"/>
      <c r="K100" s="10"/>
      <c r="L100" s="15"/>
      <c r="M100" s="10"/>
      <c r="N100" s="15"/>
      <c r="O100" s="10"/>
      <c r="P100" s="15"/>
      <c r="Q100" s="10"/>
      <c r="R100" s="15"/>
      <c r="S100" s="10">
        <f t="shared" si="114"/>
        <v>0</v>
      </c>
      <c r="T100" s="15"/>
      <c r="U100" s="10"/>
      <c r="V100" s="15"/>
      <c r="W100" s="10"/>
      <c r="X100" s="15"/>
      <c r="Y100" s="10"/>
      <c r="Z100" s="15"/>
      <c r="AA100" s="10"/>
      <c r="AB100" s="15"/>
      <c r="AC100" s="10"/>
      <c r="AD100" s="15"/>
      <c r="AE100" s="10"/>
      <c r="AF100" s="11">
        <f t="shared" si="112"/>
        <v>0</v>
      </c>
      <c r="AG100" s="12">
        <f t="shared" si="60"/>
        <v>0</v>
      </c>
      <c r="AH100" s="9"/>
      <c r="AI100" s="10"/>
      <c r="AJ100" s="9"/>
      <c r="AK100" s="10"/>
      <c r="AL100" s="9"/>
      <c r="AM100" s="10"/>
      <c r="AN100" s="9"/>
      <c r="AO100" s="10"/>
      <c r="AP100" s="9"/>
      <c r="AQ100" s="10"/>
      <c r="AR100" s="9"/>
      <c r="AS100" s="10"/>
      <c r="AT100" s="15"/>
      <c r="AU100" s="10"/>
      <c r="AV100" s="15"/>
      <c r="AW100" s="10"/>
      <c r="AX100" s="15"/>
      <c r="AY100" s="10"/>
      <c r="AZ100" s="15"/>
      <c r="BA100" s="10"/>
      <c r="BB100" s="15"/>
      <c r="BC100" s="10"/>
      <c r="BD100" s="15"/>
      <c r="BE100" s="10"/>
      <c r="BF100" s="11">
        <f t="shared" si="61"/>
        <v>0</v>
      </c>
      <c r="BG100" s="12">
        <f t="shared" si="62"/>
        <v>0</v>
      </c>
      <c r="BH100" s="15"/>
      <c r="BI100" s="10"/>
      <c r="BJ100" s="15"/>
      <c r="BK100" s="10"/>
      <c r="BL100" s="15"/>
      <c r="BM100" s="10"/>
      <c r="BN100" s="15"/>
      <c r="BO100" s="10"/>
      <c r="BP100" s="15"/>
      <c r="BQ100" s="10"/>
      <c r="BR100" s="15"/>
      <c r="BS100" s="10"/>
      <c r="BT100" s="15"/>
      <c r="BU100" s="10"/>
      <c r="BV100" s="15"/>
      <c r="BW100" s="10"/>
      <c r="BX100" s="15"/>
      <c r="BY100" s="10"/>
      <c r="BZ100" s="15"/>
      <c r="CA100" s="10"/>
      <c r="CB100" s="15"/>
      <c r="CC100" s="10"/>
      <c r="CD100" s="15"/>
      <c r="CE100" s="10"/>
      <c r="CF100" s="11">
        <f t="shared" si="63"/>
        <v>0</v>
      </c>
      <c r="CG100" s="12">
        <f t="shared" si="64"/>
        <v>0</v>
      </c>
      <c r="CH100" s="15"/>
      <c r="CI100" s="10">
        <f t="shared" si="65"/>
        <v>0</v>
      </c>
      <c r="CJ100" s="15"/>
      <c r="CK100" s="10">
        <f t="shared" si="66"/>
        <v>0</v>
      </c>
      <c r="CL100" s="15"/>
      <c r="CM100" s="10">
        <f t="shared" si="67"/>
        <v>0</v>
      </c>
      <c r="CN100" s="15"/>
      <c r="CO100" s="10">
        <f t="shared" si="68"/>
        <v>0</v>
      </c>
      <c r="CP100" s="15"/>
      <c r="CQ100" s="10">
        <f t="shared" si="69"/>
        <v>0</v>
      </c>
      <c r="CR100" s="15"/>
      <c r="CS100" s="10">
        <f t="shared" si="70"/>
        <v>0</v>
      </c>
      <c r="CT100" s="15"/>
      <c r="CU100" s="10">
        <f t="shared" si="71"/>
        <v>0</v>
      </c>
      <c r="CV100" s="15"/>
      <c r="CW100" s="10">
        <f t="shared" si="72"/>
        <v>0</v>
      </c>
      <c r="CX100" s="15"/>
      <c r="CY100" s="10">
        <f t="shared" si="73"/>
        <v>0</v>
      </c>
      <c r="CZ100" s="15"/>
      <c r="DA100" s="10">
        <f t="shared" si="74"/>
        <v>0</v>
      </c>
      <c r="DB100" s="15"/>
      <c r="DC100" s="10">
        <f t="shared" si="75"/>
        <v>0</v>
      </c>
      <c r="DD100" s="15"/>
      <c r="DE100" s="10">
        <f t="shared" si="75"/>
        <v>0</v>
      </c>
      <c r="DF100" s="16">
        <f t="shared" si="58"/>
        <v>0</v>
      </c>
      <c r="DG100" s="208">
        <f t="shared" si="76"/>
        <v>0</v>
      </c>
    </row>
    <row r="101" spans="1:111">
      <c r="A101" s="7">
        <v>81</v>
      </c>
      <c r="B101" s="8" t="s">
        <v>79</v>
      </c>
      <c r="C101" s="8" t="s">
        <v>11</v>
      </c>
      <c r="D101" s="7">
        <f>RANK(DF101,$DF$4:$DF$141)</f>
        <v>31</v>
      </c>
      <c r="E101" s="7">
        <v>0.64</v>
      </c>
      <c r="F101" s="7" t="s">
        <v>80</v>
      </c>
      <c r="G101" s="7"/>
      <c r="H101" s="15"/>
      <c r="I101" s="10">
        <f>H101*$E101</f>
        <v>0</v>
      </c>
      <c r="J101" s="15"/>
      <c r="K101" s="10">
        <f>J101*$E101</f>
        <v>0</v>
      </c>
      <c r="L101" s="15"/>
      <c r="M101" s="10">
        <f>L101*$E101</f>
        <v>0</v>
      </c>
      <c r="N101" s="15"/>
      <c r="O101" s="10">
        <f>N101*$E101</f>
        <v>0</v>
      </c>
      <c r="P101" s="15"/>
      <c r="Q101" s="10">
        <f>P101*$E101</f>
        <v>0</v>
      </c>
      <c r="R101" s="15"/>
      <c r="S101" s="10">
        <f t="shared" si="114"/>
        <v>0</v>
      </c>
      <c r="T101" s="15"/>
      <c r="U101" s="10">
        <f>T101*$E101</f>
        <v>0</v>
      </c>
      <c r="V101" s="15"/>
      <c r="W101" s="10">
        <f>V101*$E101</f>
        <v>0</v>
      </c>
      <c r="X101" s="15"/>
      <c r="Y101" s="10">
        <f>X101*$E101</f>
        <v>0</v>
      </c>
      <c r="Z101" s="15"/>
      <c r="AA101" s="10">
        <f>Z101*$E101</f>
        <v>0</v>
      </c>
      <c r="AB101" s="15"/>
      <c r="AC101" s="10">
        <f>AB101*$E101</f>
        <v>0</v>
      </c>
      <c r="AD101" s="15"/>
      <c r="AE101" s="10">
        <f>AD101*$E101</f>
        <v>0</v>
      </c>
      <c r="AF101" s="11">
        <f t="shared" si="112"/>
        <v>0</v>
      </c>
      <c r="AG101" s="12">
        <f t="shared" si="60"/>
        <v>0</v>
      </c>
      <c r="AH101" s="15"/>
      <c r="AI101" s="10">
        <f>AH101*$E101</f>
        <v>0</v>
      </c>
      <c r="AJ101" s="15"/>
      <c r="AK101" s="10">
        <f>AJ101*$E101</f>
        <v>0</v>
      </c>
      <c r="AL101" s="15"/>
      <c r="AM101" s="10">
        <f>AL101*$E101</f>
        <v>0</v>
      </c>
      <c r="AN101" s="15"/>
      <c r="AO101" s="10">
        <f>AN101*$E101</f>
        <v>0</v>
      </c>
      <c r="AP101" s="15"/>
      <c r="AQ101" s="10">
        <f>AP101*$E101</f>
        <v>0</v>
      </c>
      <c r="AR101" s="15"/>
      <c r="AS101" s="10">
        <f>AR101*$E101</f>
        <v>0</v>
      </c>
      <c r="AT101" s="15"/>
      <c r="AU101" s="10">
        <f>AT101*$E101</f>
        <v>0</v>
      </c>
      <c r="AV101" s="15"/>
      <c r="AW101" s="10">
        <f>AV101*$E101</f>
        <v>0</v>
      </c>
      <c r="AX101" s="15"/>
      <c r="AY101" s="10">
        <f>AX101*$E101</f>
        <v>0</v>
      </c>
      <c r="AZ101" s="15"/>
      <c r="BA101" s="10">
        <f>AZ101*$E101</f>
        <v>0</v>
      </c>
      <c r="BB101" s="15"/>
      <c r="BC101" s="10">
        <f>BB101*$E101</f>
        <v>0</v>
      </c>
      <c r="BD101" s="15"/>
      <c r="BE101" s="10">
        <f>BD101*$E101</f>
        <v>0</v>
      </c>
      <c r="BF101" s="11">
        <f t="shared" si="61"/>
        <v>0</v>
      </c>
      <c r="BG101" s="12">
        <f t="shared" si="62"/>
        <v>0</v>
      </c>
      <c r="BH101" s="15"/>
      <c r="BI101" s="10">
        <f>BH101*$E101</f>
        <v>0</v>
      </c>
      <c r="BJ101" s="15"/>
      <c r="BK101" s="10">
        <f>BJ101*$E101</f>
        <v>0</v>
      </c>
      <c r="BL101" s="15"/>
      <c r="BM101" s="10">
        <f>BL101*$E101</f>
        <v>0</v>
      </c>
      <c r="BN101" s="15"/>
      <c r="BO101" s="10">
        <f>BN101*$E101</f>
        <v>0</v>
      </c>
      <c r="BP101" s="15"/>
      <c r="BQ101" s="10">
        <f>BP101*$E101</f>
        <v>0</v>
      </c>
      <c r="BR101" s="15"/>
      <c r="BS101" s="10">
        <f>BR101*$E101</f>
        <v>0</v>
      </c>
      <c r="BT101" s="15"/>
      <c r="BU101" s="10">
        <f>BT101*$E101</f>
        <v>0</v>
      </c>
      <c r="BV101" s="15"/>
      <c r="BW101" s="10">
        <f>BV101*$E101</f>
        <v>0</v>
      </c>
      <c r="BX101" s="15"/>
      <c r="BY101" s="10">
        <f>BX101*$E101</f>
        <v>0</v>
      </c>
      <c r="BZ101" s="15"/>
      <c r="CA101" s="10">
        <f>BZ101*$E101</f>
        <v>0</v>
      </c>
      <c r="CB101" s="15"/>
      <c r="CC101" s="10">
        <f>CB101*$E101</f>
        <v>0</v>
      </c>
      <c r="CD101" s="15"/>
      <c r="CE101" s="10">
        <f>CD101*$E101</f>
        <v>0</v>
      </c>
      <c r="CF101" s="11">
        <f t="shared" si="63"/>
        <v>0</v>
      </c>
      <c r="CG101" s="12">
        <f t="shared" si="64"/>
        <v>0</v>
      </c>
      <c r="CH101" s="15"/>
      <c r="CI101" s="10">
        <f t="shared" si="65"/>
        <v>0</v>
      </c>
      <c r="CJ101" s="15"/>
      <c r="CK101" s="10">
        <f t="shared" si="66"/>
        <v>0</v>
      </c>
      <c r="CL101" s="15"/>
      <c r="CM101" s="10">
        <f t="shared" si="67"/>
        <v>0</v>
      </c>
      <c r="CN101" s="15"/>
      <c r="CO101" s="10">
        <f t="shared" si="68"/>
        <v>0</v>
      </c>
      <c r="CP101" s="15"/>
      <c r="CQ101" s="10">
        <f t="shared" si="69"/>
        <v>0</v>
      </c>
      <c r="CR101" s="15"/>
      <c r="CS101" s="10">
        <f t="shared" si="70"/>
        <v>0</v>
      </c>
      <c r="CT101" s="15"/>
      <c r="CU101" s="10">
        <f t="shared" si="71"/>
        <v>0</v>
      </c>
      <c r="CV101" s="15"/>
      <c r="CW101" s="10">
        <f t="shared" si="72"/>
        <v>0</v>
      </c>
      <c r="CX101" s="15"/>
      <c r="CY101" s="10">
        <f t="shared" si="73"/>
        <v>0</v>
      </c>
      <c r="CZ101" s="15"/>
      <c r="DA101" s="10">
        <f t="shared" si="74"/>
        <v>0</v>
      </c>
      <c r="DB101" s="15"/>
      <c r="DC101" s="10">
        <f t="shared" si="75"/>
        <v>0</v>
      </c>
      <c r="DD101" s="15"/>
      <c r="DE101" s="10">
        <f t="shared" si="75"/>
        <v>0</v>
      </c>
      <c r="DF101" s="16">
        <f t="shared" si="58"/>
        <v>0</v>
      </c>
      <c r="DG101" s="208">
        <f t="shared" si="76"/>
        <v>0</v>
      </c>
    </row>
    <row r="102" spans="1:111">
      <c r="A102" s="7">
        <v>82</v>
      </c>
      <c r="B102" s="8" t="s">
        <v>81</v>
      </c>
      <c r="C102" s="8" t="s">
        <v>14</v>
      </c>
      <c r="D102" s="7">
        <f>RANK(DF102,$DF$4:$DF$141)</f>
        <v>31</v>
      </c>
      <c r="E102" s="7">
        <v>1</v>
      </c>
      <c r="F102" s="7" t="s">
        <v>35</v>
      </c>
      <c r="G102" s="7"/>
      <c r="H102" s="15"/>
      <c r="I102" s="10"/>
      <c r="J102" s="15"/>
      <c r="K102" s="10"/>
      <c r="L102" s="15"/>
      <c r="M102" s="10"/>
      <c r="N102" s="15"/>
      <c r="O102" s="10"/>
      <c r="P102" s="15"/>
      <c r="Q102" s="10"/>
      <c r="R102" s="15"/>
      <c r="S102" s="10">
        <f t="shared" si="114"/>
        <v>0</v>
      </c>
      <c r="T102" s="15"/>
      <c r="U102" s="10"/>
      <c r="V102" s="15"/>
      <c r="W102" s="10"/>
      <c r="X102" s="15"/>
      <c r="Y102" s="10"/>
      <c r="Z102" s="15"/>
      <c r="AA102" s="10"/>
      <c r="AB102" s="15"/>
      <c r="AC102" s="10"/>
      <c r="AD102" s="15"/>
      <c r="AE102" s="10"/>
      <c r="AF102" s="11">
        <f t="shared" si="112"/>
        <v>0</v>
      </c>
      <c r="AG102" s="12">
        <f t="shared" si="60"/>
        <v>0</v>
      </c>
      <c r="AH102" s="15"/>
      <c r="AI102" s="10"/>
      <c r="AJ102" s="15"/>
      <c r="AK102" s="10"/>
      <c r="AL102" s="15"/>
      <c r="AM102" s="10"/>
      <c r="AN102" s="15"/>
      <c r="AO102" s="10"/>
      <c r="AP102" s="15"/>
      <c r="AQ102" s="10"/>
      <c r="AR102" s="15"/>
      <c r="AS102" s="10"/>
      <c r="AT102" s="15"/>
      <c r="AU102" s="10"/>
      <c r="AV102" s="15"/>
      <c r="AW102" s="10"/>
      <c r="AX102" s="15"/>
      <c r="AY102" s="10"/>
      <c r="AZ102" s="15"/>
      <c r="BA102" s="10"/>
      <c r="BB102" s="15"/>
      <c r="BC102" s="10"/>
      <c r="BD102" s="15"/>
      <c r="BE102" s="10"/>
      <c r="BF102" s="11">
        <f t="shared" si="61"/>
        <v>0</v>
      </c>
      <c r="BG102" s="12">
        <f t="shared" si="62"/>
        <v>0</v>
      </c>
      <c r="BH102" s="15"/>
      <c r="BI102" s="10"/>
      <c r="BJ102" s="15"/>
      <c r="BK102" s="10"/>
      <c r="BL102" s="15"/>
      <c r="BM102" s="10"/>
      <c r="BN102" s="15"/>
      <c r="BO102" s="10"/>
      <c r="BP102" s="15"/>
      <c r="BQ102" s="10"/>
      <c r="BR102" s="15"/>
      <c r="BS102" s="10"/>
      <c r="BT102" s="15"/>
      <c r="BU102" s="10"/>
      <c r="BV102" s="15"/>
      <c r="BW102" s="10"/>
      <c r="BX102" s="15"/>
      <c r="BY102" s="10"/>
      <c r="BZ102" s="15"/>
      <c r="CA102" s="10"/>
      <c r="CB102" s="15"/>
      <c r="CC102" s="10"/>
      <c r="CD102" s="15"/>
      <c r="CE102" s="10"/>
      <c r="CF102" s="11">
        <f t="shared" si="63"/>
        <v>0</v>
      </c>
      <c r="CG102" s="12">
        <f t="shared" si="64"/>
        <v>0</v>
      </c>
      <c r="CH102" s="17"/>
      <c r="CI102" s="10">
        <f t="shared" si="65"/>
        <v>0</v>
      </c>
      <c r="CJ102" s="15"/>
      <c r="CK102" s="10">
        <f t="shared" si="66"/>
        <v>0</v>
      </c>
      <c r="CL102" s="17"/>
      <c r="CM102" s="10">
        <f t="shared" si="67"/>
        <v>0</v>
      </c>
      <c r="CN102" s="15"/>
      <c r="CO102" s="10">
        <f t="shared" si="68"/>
        <v>0</v>
      </c>
      <c r="CP102" s="15"/>
      <c r="CQ102" s="10">
        <f t="shared" si="69"/>
        <v>0</v>
      </c>
      <c r="CR102" s="15"/>
      <c r="CS102" s="10">
        <f t="shared" si="70"/>
        <v>0</v>
      </c>
      <c r="CT102" s="15"/>
      <c r="CU102" s="10">
        <f t="shared" si="71"/>
        <v>0</v>
      </c>
      <c r="CV102" s="15"/>
      <c r="CW102" s="10">
        <f t="shared" si="72"/>
        <v>0</v>
      </c>
      <c r="CX102" s="15"/>
      <c r="CY102" s="10">
        <f t="shared" si="73"/>
        <v>0</v>
      </c>
      <c r="CZ102" s="15"/>
      <c r="DA102" s="10">
        <f t="shared" si="74"/>
        <v>0</v>
      </c>
      <c r="DB102" s="15"/>
      <c r="DC102" s="10">
        <f t="shared" si="75"/>
        <v>0</v>
      </c>
      <c r="DD102" s="15"/>
      <c r="DE102" s="10">
        <f t="shared" si="75"/>
        <v>0</v>
      </c>
      <c r="DF102" s="16">
        <f t="shared" si="58"/>
        <v>0</v>
      </c>
      <c r="DG102" s="208">
        <f t="shared" si="76"/>
        <v>0</v>
      </c>
    </row>
    <row r="103" spans="1:111">
      <c r="A103" s="7">
        <v>83</v>
      </c>
      <c r="B103" s="8" t="s">
        <v>81</v>
      </c>
      <c r="C103" s="8" t="s">
        <v>14</v>
      </c>
      <c r="D103" s="7">
        <f>RANK(DF103,$DF$4:$DF$141)</f>
        <v>31</v>
      </c>
      <c r="E103" s="7">
        <v>0.6</v>
      </c>
      <c r="F103" s="7" t="s">
        <v>35</v>
      </c>
      <c r="G103" s="7"/>
      <c r="H103" s="15"/>
      <c r="I103" s="10"/>
      <c r="J103" s="15"/>
      <c r="K103" s="10"/>
      <c r="L103" s="15"/>
      <c r="M103" s="10"/>
      <c r="N103" s="15"/>
      <c r="O103" s="10"/>
      <c r="P103" s="15"/>
      <c r="Q103" s="10"/>
      <c r="R103" s="15"/>
      <c r="S103" s="10">
        <f t="shared" si="114"/>
        <v>0</v>
      </c>
      <c r="T103" s="15"/>
      <c r="U103" s="10"/>
      <c r="V103" s="15"/>
      <c r="W103" s="10"/>
      <c r="X103" s="15"/>
      <c r="Y103" s="10"/>
      <c r="Z103" s="15"/>
      <c r="AA103" s="10"/>
      <c r="AB103" s="15"/>
      <c r="AC103" s="10"/>
      <c r="AD103" s="15"/>
      <c r="AE103" s="10"/>
      <c r="AF103" s="11">
        <f t="shared" si="112"/>
        <v>0</v>
      </c>
      <c r="AG103" s="12">
        <f t="shared" si="60"/>
        <v>0</v>
      </c>
      <c r="AH103" s="15"/>
      <c r="AI103" s="10"/>
      <c r="AJ103" s="15"/>
      <c r="AK103" s="10"/>
      <c r="AL103" s="15"/>
      <c r="AM103" s="10"/>
      <c r="AN103" s="15"/>
      <c r="AO103" s="10"/>
      <c r="AP103" s="15"/>
      <c r="AQ103" s="10"/>
      <c r="AR103" s="15"/>
      <c r="AS103" s="10"/>
      <c r="AT103" s="15"/>
      <c r="AU103" s="10"/>
      <c r="AV103" s="15"/>
      <c r="AW103" s="10"/>
      <c r="AX103" s="15"/>
      <c r="AY103" s="10"/>
      <c r="AZ103" s="15"/>
      <c r="BA103" s="10"/>
      <c r="BB103" s="15"/>
      <c r="BC103" s="10"/>
      <c r="BD103" s="15"/>
      <c r="BE103" s="10"/>
      <c r="BF103" s="11">
        <f t="shared" si="61"/>
        <v>0</v>
      </c>
      <c r="BG103" s="12">
        <f t="shared" si="62"/>
        <v>0</v>
      </c>
      <c r="BH103" s="15"/>
      <c r="BI103" s="10"/>
      <c r="BJ103" s="15"/>
      <c r="BK103" s="10"/>
      <c r="BL103" s="15"/>
      <c r="BM103" s="10"/>
      <c r="BN103" s="15"/>
      <c r="BO103" s="10"/>
      <c r="BP103" s="15"/>
      <c r="BQ103" s="10"/>
      <c r="BR103" s="15"/>
      <c r="BS103" s="10"/>
      <c r="BT103" s="15"/>
      <c r="BU103" s="10"/>
      <c r="BV103" s="15"/>
      <c r="BW103" s="10"/>
      <c r="BX103" s="15"/>
      <c r="BY103" s="10"/>
      <c r="BZ103" s="15"/>
      <c r="CA103" s="10"/>
      <c r="CB103" s="15"/>
      <c r="CC103" s="10"/>
      <c r="CD103" s="15"/>
      <c r="CE103" s="10"/>
      <c r="CF103" s="11">
        <f t="shared" si="63"/>
        <v>0</v>
      </c>
      <c r="CG103" s="12">
        <f t="shared" si="64"/>
        <v>0</v>
      </c>
      <c r="CH103" s="17"/>
      <c r="CI103" s="10">
        <f t="shared" si="65"/>
        <v>0</v>
      </c>
      <c r="CJ103" s="15"/>
      <c r="CK103" s="10">
        <f t="shared" si="66"/>
        <v>0</v>
      </c>
      <c r="CL103" s="17"/>
      <c r="CM103" s="10">
        <f t="shared" si="67"/>
        <v>0</v>
      </c>
      <c r="CN103" s="15"/>
      <c r="CO103" s="10">
        <f t="shared" si="68"/>
        <v>0</v>
      </c>
      <c r="CP103" s="15"/>
      <c r="CQ103" s="10">
        <f t="shared" si="69"/>
        <v>0</v>
      </c>
      <c r="CR103" s="15"/>
      <c r="CS103" s="10">
        <f t="shared" si="70"/>
        <v>0</v>
      </c>
      <c r="CT103" s="15"/>
      <c r="CU103" s="10">
        <f t="shared" si="71"/>
        <v>0</v>
      </c>
      <c r="CV103" s="15"/>
      <c r="CW103" s="10">
        <f t="shared" si="72"/>
        <v>0</v>
      </c>
      <c r="CX103" s="15"/>
      <c r="CY103" s="10">
        <f t="shared" si="73"/>
        <v>0</v>
      </c>
      <c r="CZ103" s="15"/>
      <c r="DA103" s="10">
        <f t="shared" si="74"/>
        <v>0</v>
      </c>
      <c r="DB103" s="15"/>
      <c r="DC103" s="10">
        <f t="shared" si="75"/>
        <v>0</v>
      </c>
      <c r="DD103" s="15"/>
      <c r="DE103" s="10">
        <f t="shared" si="75"/>
        <v>0</v>
      </c>
      <c r="DF103" s="16">
        <f t="shared" si="58"/>
        <v>0</v>
      </c>
      <c r="DG103" s="208">
        <f t="shared" si="76"/>
        <v>0</v>
      </c>
    </row>
    <row r="104" spans="1:111">
      <c r="A104" s="7"/>
      <c r="B104" s="8"/>
      <c r="C104" s="8"/>
      <c r="D104" s="7"/>
      <c r="E104" s="7"/>
      <c r="F104" s="7"/>
      <c r="G104" s="7"/>
      <c r="H104" s="15"/>
      <c r="I104" s="10"/>
      <c r="J104" s="15"/>
      <c r="K104" s="10"/>
      <c r="L104" s="15"/>
      <c r="M104" s="10"/>
      <c r="N104" s="15"/>
      <c r="O104" s="10"/>
      <c r="P104" s="15"/>
      <c r="Q104" s="10"/>
      <c r="R104" s="15"/>
      <c r="S104" s="10"/>
      <c r="T104" s="15"/>
      <c r="U104" s="10"/>
      <c r="V104" s="15"/>
      <c r="W104" s="10"/>
      <c r="X104" s="15"/>
      <c r="Y104" s="10"/>
      <c r="Z104" s="15"/>
      <c r="AA104" s="10"/>
      <c r="AB104" s="15"/>
      <c r="AC104" s="10"/>
      <c r="AD104" s="15"/>
      <c r="AE104" s="10"/>
      <c r="AF104" s="11">
        <f t="shared" si="112"/>
        <v>0</v>
      </c>
      <c r="AG104" s="12">
        <f t="shared" si="60"/>
        <v>0</v>
      </c>
      <c r="AH104" s="15"/>
      <c r="AI104" s="10"/>
      <c r="AJ104" s="15"/>
      <c r="AK104" s="10"/>
      <c r="AL104" s="15"/>
      <c r="AM104" s="10"/>
      <c r="AN104" s="15"/>
      <c r="AO104" s="10"/>
      <c r="AP104" s="15"/>
      <c r="AQ104" s="10"/>
      <c r="AR104" s="15"/>
      <c r="AS104" s="10"/>
      <c r="AT104" s="15"/>
      <c r="AU104" s="10"/>
      <c r="AV104" s="15"/>
      <c r="AW104" s="10"/>
      <c r="AX104" s="15"/>
      <c r="AY104" s="10"/>
      <c r="AZ104" s="15"/>
      <c r="BA104" s="10"/>
      <c r="BB104" s="15"/>
      <c r="BC104" s="10"/>
      <c r="BD104" s="15"/>
      <c r="BE104" s="10"/>
      <c r="BF104" s="11">
        <f t="shared" si="61"/>
        <v>0</v>
      </c>
      <c r="BG104" s="12">
        <f t="shared" si="62"/>
        <v>0</v>
      </c>
      <c r="BH104" s="15"/>
      <c r="BI104" s="10"/>
      <c r="BJ104" s="15"/>
      <c r="BK104" s="10"/>
      <c r="BL104" s="15"/>
      <c r="BM104" s="10"/>
      <c r="BN104" s="15"/>
      <c r="BO104" s="10"/>
      <c r="BP104" s="15"/>
      <c r="BQ104" s="10"/>
      <c r="BR104" s="15"/>
      <c r="BS104" s="10"/>
      <c r="BT104" s="15"/>
      <c r="BU104" s="10"/>
      <c r="BV104" s="15"/>
      <c r="BW104" s="10"/>
      <c r="BX104" s="15"/>
      <c r="BY104" s="10"/>
      <c r="BZ104" s="15"/>
      <c r="CA104" s="10"/>
      <c r="CB104" s="15"/>
      <c r="CC104" s="10"/>
      <c r="CD104" s="15"/>
      <c r="CE104" s="10"/>
      <c r="CF104" s="11">
        <f t="shared" si="63"/>
        <v>0</v>
      </c>
      <c r="CG104" s="12">
        <f t="shared" si="64"/>
        <v>0</v>
      </c>
      <c r="CH104" s="17"/>
      <c r="CI104" s="10">
        <f t="shared" si="65"/>
        <v>0</v>
      </c>
      <c r="CJ104" s="15"/>
      <c r="CK104" s="10">
        <f t="shared" si="66"/>
        <v>0</v>
      </c>
      <c r="CL104" s="17"/>
      <c r="CM104" s="10">
        <f t="shared" si="67"/>
        <v>0</v>
      </c>
      <c r="CN104" s="15"/>
      <c r="CO104" s="10">
        <f t="shared" si="68"/>
        <v>0</v>
      </c>
      <c r="CP104" s="15"/>
      <c r="CQ104" s="10">
        <f t="shared" si="69"/>
        <v>0</v>
      </c>
      <c r="CR104" s="15"/>
      <c r="CS104" s="10">
        <f t="shared" si="70"/>
        <v>0</v>
      </c>
      <c r="CT104" s="15"/>
      <c r="CU104" s="10">
        <f t="shared" si="71"/>
        <v>0</v>
      </c>
      <c r="CV104" s="15"/>
      <c r="CW104" s="10">
        <f t="shared" si="72"/>
        <v>0</v>
      </c>
      <c r="CX104" s="15"/>
      <c r="CY104" s="10">
        <f t="shared" si="73"/>
        <v>0</v>
      </c>
      <c r="CZ104" s="15"/>
      <c r="DA104" s="10">
        <f t="shared" si="74"/>
        <v>0</v>
      </c>
      <c r="DB104" s="15"/>
      <c r="DC104" s="10">
        <f t="shared" si="75"/>
        <v>0</v>
      </c>
      <c r="DD104" s="15"/>
      <c r="DE104" s="10">
        <f t="shared" si="75"/>
        <v>0</v>
      </c>
      <c r="DF104" s="16">
        <f t="shared" si="58"/>
        <v>0</v>
      </c>
      <c r="DG104" s="208">
        <f t="shared" si="76"/>
        <v>0</v>
      </c>
    </row>
    <row r="105" spans="1:111">
      <c r="A105" s="7">
        <v>84</v>
      </c>
      <c r="B105" s="8" t="s">
        <v>82</v>
      </c>
      <c r="C105" s="8" t="s">
        <v>14</v>
      </c>
      <c r="D105" s="7">
        <f>RANK(DF105,$DF$4:$DF$141)</f>
        <v>31</v>
      </c>
      <c r="E105" s="7">
        <v>1</v>
      </c>
      <c r="F105" s="7" t="s">
        <v>35</v>
      </c>
      <c r="G105" s="7"/>
      <c r="H105" s="15"/>
      <c r="I105" s="10"/>
      <c r="J105" s="15"/>
      <c r="K105" s="10"/>
      <c r="L105" s="15"/>
      <c r="M105" s="10"/>
      <c r="N105" s="15"/>
      <c r="O105" s="10"/>
      <c r="P105" s="15"/>
      <c r="Q105" s="10"/>
      <c r="R105" s="15"/>
      <c r="S105" s="10">
        <f t="shared" si="114"/>
        <v>0</v>
      </c>
      <c r="T105" s="15"/>
      <c r="U105" s="10"/>
      <c r="V105" s="15"/>
      <c r="W105" s="10"/>
      <c r="X105" s="15"/>
      <c r="Y105" s="10"/>
      <c r="Z105" s="15"/>
      <c r="AA105" s="10"/>
      <c r="AB105" s="15"/>
      <c r="AC105" s="10"/>
      <c r="AD105" s="15"/>
      <c r="AE105" s="10"/>
      <c r="AF105" s="11">
        <f t="shared" si="112"/>
        <v>0</v>
      </c>
      <c r="AG105" s="12">
        <f t="shared" si="60"/>
        <v>0</v>
      </c>
      <c r="AH105" s="15"/>
      <c r="AI105" s="10"/>
      <c r="AJ105" s="15"/>
      <c r="AK105" s="10"/>
      <c r="AL105" s="15"/>
      <c r="AM105" s="10"/>
      <c r="AN105" s="15"/>
      <c r="AO105" s="10"/>
      <c r="AP105" s="15"/>
      <c r="AQ105" s="10"/>
      <c r="AR105" s="15"/>
      <c r="AS105" s="10"/>
      <c r="AT105" s="15"/>
      <c r="AU105" s="10"/>
      <c r="AV105" s="15"/>
      <c r="AW105" s="10"/>
      <c r="AX105" s="15"/>
      <c r="AY105" s="10"/>
      <c r="AZ105" s="15"/>
      <c r="BA105" s="10"/>
      <c r="BB105" s="15"/>
      <c r="BC105" s="10"/>
      <c r="BD105" s="15"/>
      <c r="BE105" s="10"/>
      <c r="BF105" s="11">
        <f t="shared" si="61"/>
        <v>0</v>
      </c>
      <c r="BG105" s="12">
        <f t="shared" si="62"/>
        <v>0</v>
      </c>
      <c r="BH105" s="15"/>
      <c r="BI105" s="10"/>
      <c r="BJ105" s="15"/>
      <c r="BK105" s="10"/>
      <c r="BL105" s="15"/>
      <c r="BM105" s="10"/>
      <c r="BN105" s="15"/>
      <c r="BO105" s="10"/>
      <c r="BP105" s="15"/>
      <c r="BQ105" s="10"/>
      <c r="BR105" s="15"/>
      <c r="BS105" s="10"/>
      <c r="BT105" s="15"/>
      <c r="BU105" s="10"/>
      <c r="BV105" s="15"/>
      <c r="BW105" s="10"/>
      <c r="BX105" s="15"/>
      <c r="BY105" s="10"/>
      <c r="BZ105" s="15"/>
      <c r="CA105" s="10"/>
      <c r="CB105" s="15"/>
      <c r="CC105" s="10"/>
      <c r="CD105" s="15"/>
      <c r="CE105" s="10"/>
      <c r="CF105" s="11">
        <f t="shared" si="63"/>
        <v>0</v>
      </c>
      <c r="CG105" s="12">
        <f t="shared" si="64"/>
        <v>0</v>
      </c>
      <c r="CH105" s="15"/>
      <c r="CI105" s="10">
        <f t="shared" si="65"/>
        <v>0</v>
      </c>
      <c r="CJ105" s="15"/>
      <c r="CK105" s="10">
        <f t="shared" si="66"/>
        <v>0</v>
      </c>
      <c r="CL105" s="15"/>
      <c r="CM105" s="10">
        <f t="shared" si="67"/>
        <v>0</v>
      </c>
      <c r="CN105" s="15"/>
      <c r="CO105" s="10">
        <f t="shared" si="68"/>
        <v>0</v>
      </c>
      <c r="CP105" s="15"/>
      <c r="CQ105" s="10">
        <f t="shared" si="69"/>
        <v>0</v>
      </c>
      <c r="CR105" s="15"/>
      <c r="CS105" s="10">
        <f t="shared" si="70"/>
        <v>0</v>
      </c>
      <c r="CT105" s="15"/>
      <c r="CU105" s="10">
        <f t="shared" si="71"/>
        <v>0</v>
      </c>
      <c r="CV105" s="15"/>
      <c r="CW105" s="10">
        <f t="shared" si="72"/>
        <v>0</v>
      </c>
      <c r="CX105" s="15"/>
      <c r="CY105" s="10">
        <f t="shared" si="73"/>
        <v>0</v>
      </c>
      <c r="CZ105" s="15"/>
      <c r="DA105" s="10">
        <f t="shared" si="74"/>
        <v>0</v>
      </c>
      <c r="DB105" s="15"/>
      <c r="DC105" s="10">
        <f t="shared" si="75"/>
        <v>0</v>
      </c>
      <c r="DD105" s="15"/>
      <c r="DE105" s="10">
        <f t="shared" si="75"/>
        <v>0</v>
      </c>
      <c r="DF105" s="16">
        <f t="shared" si="58"/>
        <v>0</v>
      </c>
      <c r="DG105" s="208">
        <f t="shared" si="76"/>
        <v>0</v>
      </c>
    </row>
    <row r="106" spans="1:111">
      <c r="A106" s="7">
        <v>85</v>
      </c>
      <c r="B106" s="8" t="s">
        <v>82</v>
      </c>
      <c r="C106" s="8" t="s">
        <v>11</v>
      </c>
      <c r="D106" s="7">
        <f>RANK(DF106,$DF$4:$DF$141)</f>
        <v>31</v>
      </c>
      <c r="E106" s="7">
        <v>0.64</v>
      </c>
      <c r="F106" s="7" t="s">
        <v>22</v>
      </c>
      <c r="G106" s="7"/>
      <c r="H106" s="15"/>
      <c r="I106" s="10">
        <f>H106*$E106</f>
        <v>0</v>
      </c>
      <c r="J106" s="15"/>
      <c r="K106" s="10">
        <f>J106*$E106</f>
        <v>0</v>
      </c>
      <c r="L106" s="15"/>
      <c r="M106" s="10">
        <f>L106*$E106</f>
        <v>0</v>
      </c>
      <c r="N106" s="15"/>
      <c r="O106" s="10">
        <f>N106*$E106</f>
        <v>0</v>
      </c>
      <c r="P106" s="15"/>
      <c r="Q106" s="10">
        <f>P106*$E106</f>
        <v>0</v>
      </c>
      <c r="R106" s="15"/>
      <c r="S106" s="10">
        <f t="shared" si="114"/>
        <v>0</v>
      </c>
      <c r="T106" s="15"/>
      <c r="U106" s="10">
        <f>T106*$E106</f>
        <v>0</v>
      </c>
      <c r="V106" s="15"/>
      <c r="W106" s="10">
        <f>V106*$E106</f>
        <v>0</v>
      </c>
      <c r="X106" s="15"/>
      <c r="Y106" s="10">
        <f>X106*$E106</f>
        <v>0</v>
      </c>
      <c r="Z106" s="15"/>
      <c r="AA106" s="10">
        <f>Z106*$E106</f>
        <v>0</v>
      </c>
      <c r="AB106" s="15"/>
      <c r="AC106" s="10">
        <f>AB106*$E106</f>
        <v>0</v>
      </c>
      <c r="AD106" s="15"/>
      <c r="AE106" s="10">
        <f>AD106*$E106</f>
        <v>0</v>
      </c>
      <c r="AF106" s="11">
        <f t="shared" si="112"/>
        <v>0</v>
      </c>
      <c r="AG106" s="12">
        <f t="shared" si="60"/>
        <v>0</v>
      </c>
      <c r="AH106" s="15"/>
      <c r="AI106" s="10">
        <f>AH106*$E106</f>
        <v>0</v>
      </c>
      <c r="AJ106" s="15"/>
      <c r="AK106" s="10">
        <f>AJ106*$E106</f>
        <v>0</v>
      </c>
      <c r="AL106" s="15"/>
      <c r="AM106" s="10">
        <f>AL106*$E106</f>
        <v>0</v>
      </c>
      <c r="AN106" s="15"/>
      <c r="AO106" s="10">
        <f>AN106*$E106</f>
        <v>0</v>
      </c>
      <c r="AP106" s="15"/>
      <c r="AQ106" s="10">
        <f>AP106*$E106</f>
        <v>0</v>
      </c>
      <c r="AR106" s="15"/>
      <c r="AS106" s="10">
        <f>AR106*$E106</f>
        <v>0</v>
      </c>
      <c r="AT106" s="15"/>
      <c r="AU106" s="10">
        <f>AT106*$E106</f>
        <v>0</v>
      </c>
      <c r="AV106" s="15"/>
      <c r="AW106" s="10">
        <f>AV106*$E106</f>
        <v>0</v>
      </c>
      <c r="AX106" s="15"/>
      <c r="AY106" s="10">
        <f>AX106*$E106</f>
        <v>0</v>
      </c>
      <c r="AZ106" s="15"/>
      <c r="BA106" s="10">
        <f>AZ106*$E106</f>
        <v>0</v>
      </c>
      <c r="BB106" s="15"/>
      <c r="BC106" s="10">
        <f>BB106*$E106</f>
        <v>0</v>
      </c>
      <c r="BD106" s="15"/>
      <c r="BE106" s="10">
        <f>BD106*$E106</f>
        <v>0</v>
      </c>
      <c r="BF106" s="11">
        <f t="shared" si="61"/>
        <v>0</v>
      </c>
      <c r="BG106" s="12">
        <f t="shared" si="62"/>
        <v>0</v>
      </c>
      <c r="BH106" s="15"/>
      <c r="BI106" s="10">
        <f>BH106*$E106</f>
        <v>0</v>
      </c>
      <c r="BJ106" s="15"/>
      <c r="BK106" s="10">
        <f>BJ106*$E106</f>
        <v>0</v>
      </c>
      <c r="BL106" s="15"/>
      <c r="BM106" s="10">
        <f>BL106*$E106</f>
        <v>0</v>
      </c>
      <c r="BN106" s="15"/>
      <c r="BO106" s="10">
        <f>BN106*$E106</f>
        <v>0</v>
      </c>
      <c r="BP106" s="15"/>
      <c r="BQ106" s="10">
        <f>BP106*$E106</f>
        <v>0</v>
      </c>
      <c r="BR106" s="15"/>
      <c r="BS106" s="10">
        <f>BR106*$E106</f>
        <v>0</v>
      </c>
      <c r="BT106" s="15"/>
      <c r="BU106" s="10">
        <f>BT106*$E106</f>
        <v>0</v>
      </c>
      <c r="BV106" s="15"/>
      <c r="BW106" s="10">
        <f>BV106*$E106</f>
        <v>0</v>
      </c>
      <c r="BX106" s="15"/>
      <c r="BY106" s="10">
        <f>BX106*$E106</f>
        <v>0</v>
      </c>
      <c r="BZ106" s="15"/>
      <c r="CA106" s="10">
        <f>BZ106*$E106</f>
        <v>0</v>
      </c>
      <c r="CB106" s="15"/>
      <c r="CC106" s="10">
        <f>CB106*$E106</f>
        <v>0</v>
      </c>
      <c r="CD106" s="15"/>
      <c r="CE106" s="10">
        <f>CD106*$E106</f>
        <v>0</v>
      </c>
      <c r="CF106" s="11">
        <f t="shared" si="63"/>
        <v>0</v>
      </c>
      <c r="CG106" s="12">
        <f t="shared" si="64"/>
        <v>0</v>
      </c>
      <c r="CH106" s="15"/>
      <c r="CI106" s="10">
        <f t="shared" si="65"/>
        <v>0</v>
      </c>
      <c r="CJ106" s="15"/>
      <c r="CK106" s="10">
        <f t="shared" si="66"/>
        <v>0</v>
      </c>
      <c r="CL106" s="15"/>
      <c r="CM106" s="10">
        <f t="shared" si="67"/>
        <v>0</v>
      </c>
      <c r="CN106" s="15"/>
      <c r="CO106" s="10">
        <f t="shared" si="68"/>
        <v>0</v>
      </c>
      <c r="CP106" s="15"/>
      <c r="CQ106" s="10">
        <f t="shared" si="69"/>
        <v>0</v>
      </c>
      <c r="CR106" s="15"/>
      <c r="CS106" s="10">
        <f t="shared" si="70"/>
        <v>0</v>
      </c>
      <c r="CT106" s="15"/>
      <c r="CU106" s="10">
        <f t="shared" si="71"/>
        <v>0</v>
      </c>
      <c r="CV106" s="15"/>
      <c r="CW106" s="10">
        <f t="shared" si="72"/>
        <v>0</v>
      </c>
      <c r="CX106" s="15"/>
      <c r="CY106" s="10">
        <f t="shared" si="73"/>
        <v>0</v>
      </c>
      <c r="CZ106" s="15"/>
      <c r="DA106" s="10">
        <f t="shared" si="74"/>
        <v>0</v>
      </c>
      <c r="DB106" s="15"/>
      <c r="DC106" s="10">
        <f t="shared" si="75"/>
        <v>0</v>
      </c>
      <c r="DD106" s="15"/>
      <c r="DE106" s="10">
        <f t="shared" si="75"/>
        <v>0</v>
      </c>
      <c r="DF106" s="16">
        <f t="shared" si="58"/>
        <v>0</v>
      </c>
      <c r="DG106" s="208">
        <f t="shared" si="76"/>
        <v>0</v>
      </c>
    </row>
    <row r="107" spans="1:111">
      <c r="A107" s="7">
        <v>86</v>
      </c>
      <c r="B107" s="8" t="s">
        <v>82</v>
      </c>
      <c r="C107" s="8" t="s">
        <v>14</v>
      </c>
      <c r="D107" s="7">
        <f>RANK(DF107,$DF$4:$DF$141)</f>
        <v>31</v>
      </c>
      <c r="E107" s="7">
        <v>0.6</v>
      </c>
      <c r="F107" s="7" t="s">
        <v>35</v>
      </c>
      <c r="G107" s="7"/>
      <c r="H107" s="15"/>
      <c r="I107" s="10"/>
      <c r="J107" s="15"/>
      <c r="K107" s="10"/>
      <c r="L107" s="15"/>
      <c r="M107" s="10"/>
      <c r="N107" s="15"/>
      <c r="O107" s="10"/>
      <c r="P107" s="15"/>
      <c r="Q107" s="10"/>
      <c r="R107" s="15"/>
      <c r="S107" s="10">
        <f t="shared" si="114"/>
        <v>0</v>
      </c>
      <c r="T107" s="15"/>
      <c r="U107" s="10"/>
      <c r="V107" s="15"/>
      <c r="W107" s="10"/>
      <c r="X107" s="15"/>
      <c r="Y107" s="10"/>
      <c r="Z107" s="15"/>
      <c r="AA107" s="10"/>
      <c r="AB107" s="15"/>
      <c r="AC107" s="10"/>
      <c r="AD107" s="15"/>
      <c r="AE107" s="10"/>
      <c r="AF107" s="11">
        <f t="shared" si="112"/>
        <v>0</v>
      </c>
      <c r="AG107" s="12">
        <f t="shared" si="60"/>
        <v>0</v>
      </c>
      <c r="AH107" s="15"/>
      <c r="AI107" s="10"/>
      <c r="AJ107" s="15"/>
      <c r="AK107" s="10"/>
      <c r="AL107" s="15"/>
      <c r="AM107" s="10"/>
      <c r="AN107" s="15"/>
      <c r="AO107" s="10"/>
      <c r="AP107" s="15"/>
      <c r="AQ107" s="10"/>
      <c r="AR107" s="15"/>
      <c r="AS107" s="10"/>
      <c r="AT107" s="15"/>
      <c r="AU107" s="10"/>
      <c r="AV107" s="15"/>
      <c r="AW107" s="10"/>
      <c r="AX107" s="15"/>
      <c r="AY107" s="10"/>
      <c r="AZ107" s="15"/>
      <c r="BA107" s="10"/>
      <c r="BB107" s="15"/>
      <c r="BC107" s="10"/>
      <c r="BD107" s="15"/>
      <c r="BE107" s="10"/>
      <c r="BF107" s="11">
        <f t="shared" si="61"/>
        <v>0</v>
      </c>
      <c r="BG107" s="12">
        <f t="shared" si="62"/>
        <v>0</v>
      </c>
      <c r="BH107" s="15"/>
      <c r="BI107" s="10"/>
      <c r="BJ107" s="15"/>
      <c r="BK107" s="10"/>
      <c r="BL107" s="15"/>
      <c r="BM107" s="10"/>
      <c r="BN107" s="15"/>
      <c r="BO107" s="10"/>
      <c r="BP107" s="15"/>
      <c r="BQ107" s="10"/>
      <c r="BR107" s="15"/>
      <c r="BS107" s="10"/>
      <c r="BT107" s="15"/>
      <c r="BU107" s="10"/>
      <c r="BV107" s="15"/>
      <c r="BW107" s="10"/>
      <c r="BX107" s="15"/>
      <c r="BY107" s="10"/>
      <c r="BZ107" s="15"/>
      <c r="CA107" s="10"/>
      <c r="CB107" s="15"/>
      <c r="CC107" s="10"/>
      <c r="CD107" s="15"/>
      <c r="CE107" s="10"/>
      <c r="CF107" s="11">
        <f t="shared" si="63"/>
        <v>0</v>
      </c>
      <c r="CG107" s="12">
        <f t="shared" si="64"/>
        <v>0</v>
      </c>
      <c r="CH107" s="17"/>
      <c r="CI107" s="10">
        <f t="shared" si="65"/>
        <v>0</v>
      </c>
      <c r="CJ107" s="15"/>
      <c r="CK107" s="10">
        <f t="shared" si="66"/>
        <v>0</v>
      </c>
      <c r="CL107" s="17"/>
      <c r="CM107" s="10">
        <f t="shared" si="67"/>
        <v>0</v>
      </c>
      <c r="CN107" s="15"/>
      <c r="CO107" s="10">
        <f t="shared" si="68"/>
        <v>0</v>
      </c>
      <c r="CP107" s="15"/>
      <c r="CQ107" s="10">
        <f t="shared" si="69"/>
        <v>0</v>
      </c>
      <c r="CR107" s="15"/>
      <c r="CS107" s="10">
        <f t="shared" si="70"/>
        <v>0</v>
      </c>
      <c r="CT107" s="15"/>
      <c r="CU107" s="10">
        <f t="shared" si="71"/>
        <v>0</v>
      </c>
      <c r="CV107" s="15"/>
      <c r="CW107" s="10">
        <f t="shared" si="72"/>
        <v>0</v>
      </c>
      <c r="CX107" s="15"/>
      <c r="CY107" s="10">
        <f t="shared" si="73"/>
        <v>0</v>
      </c>
      <c r="CZ107" s="15"/>
      <c r="DA107" s="10">
        <f t="shared" si="74"/>
        <v>0</v>
      </c>
      <c r="DB107" s="15"/>
      <c r="DC107" s="10">
        <f t="shared" si="75"/>
        <v>0</v>
      </c>
      <c r="DD107" s="15"/>
      <c r="DE107" s="10">
        <f t="shared" si="75"/>
        <v>0</v>
      </c>
      <c r="DF107" s="16">
        <f t="shared" si="58"/>
        <v>0</v>
      </c>
      <c r="DG107" s="208">
        <f t="shared" si="76"/>
        <v>0</v>
      </c>
    </row>
    <row r="108" spans="1:111">
      <c r="A108" s="7"/>
      <c r="B108" s="8"/>
      <c r="C108" s="8"/>
      <c r="D108" s="7"/>
      <c r="E108" s="7"/>
      <c r="F108" s="7"/>
      <c r="G108" s="7"/>
      <c r="H108" s="15"/>
      <c r="I108" s="10"/>
      <c r="J108" s="15"/>
      <c r="K108" s="10"/>
      <c r="L108" s="15"/>
      <c r="M108" s="10"/>
      <c r="N108" s="15"/>
      <c r="O108" s="10"/>
      <c r="P108" s="15"/>
      <c r="Q108" s="10"/>
      <c r="R108" s="15"/>
      <c r="S108" s="10"/>
      <c r="T108" s="15"/>
      <c r="U108" s="10"/>
      <c r="V108" s="15"/>
      <c r="W108" s="10"/>
      <c r="X108" s="15"/>
      <c r="Y108" s="10"/>
      <c r="Z108" s="15"/>
      <c r="AA108" s="10"/>
      <c r="AB108" s="15"/>
      <c r="AC108" s="10"/>
      <c r="AD108" s="15"/>
      <c r="AE108" s="10"/>
      <c r="AF108" s="11">
        <f t="shared" si="112"/>
        <v>0</v>
      </c>
      <c r="AG108" s="12">
        <f t="shared" si="60"/>
        <v>0</v>
      </c>
      <c r="AH108" s="15"/>
      <c r="AI108" s="10"/>
      <c r="AJ108" s="15"/>
      <c r="AK108" s="10"/>
      <c r="AL108" s="15"/>
      <c r="AM108" s="10"/>
      <c r="AN108" s="15"/>
      <c r="AO108" s="10"/>
      <c r="AP108" s="15"/>
      <c r="AQ108" s="10"/>
      <c r="AR108" s="15"/>
      <c r="AS108" s="10"/>
      <c r="AT108" s="15"/>
      <c r="AU108" s="10"/>
      <c r="AV108" s="15"/>
      <c r="AW108" s="10"/>
      <c r="AX108" s="15"/>
      <c r="AY108" s="10"/>
      <c r="AZ108" s="15"/>
      <c r="BA108" s="10"/>
      <c r="BB108" s="15"/>
      <c r="BC108" s="10"/>
      <c r="BD108" s="15"/>
      <c r="BE108" s="10"/>
      <c r="BF108" s="11">
        <f t="shared" si="61"/>
        <v>0</v>
      </c>
      <c r="BG108" s="12">
        <f t="shared" si="62"/>
        <v>0</v>
      </c>
      <c r="BH108" s="15"/>
      <c r="BI108" s="10"/>
      <c r="BJ108" s="15"/>
      <c r="BK108" s="10"/>
      <c r="BL108" s="15"/>
      <c r="BM108" s="10"/>
      <c r="BN108" s="15"/>
      <c r="BO108" s="10"/>
      <c r="BP108" s="15"/>
      <c r="BQ108" s="10"/>
      <c r="BR108" s="15"/>
      <c r="BS108" s="10"/>
      <c r="BT108" s="15"/>
      <c r="BU108" s="10"/>
      <c r="BV108" s="15"/>
      <c r="BW108" s="10"/>
      <c r="BX108" s="15"/>
      <c r="BY108" s="10"/>
      <c r="BZ108" s="15"/>
      <c r="CA108" s="10"/>
      <c r="CB108" s="15"/>
      <c r="CC108" s="10"/>
      <c r="CD108" s="15"/>
      <c r="CE108" s="10"/>
      <c r="CF108" s="11">
        <f t="shared" si="63"/>
        <v>0</v>
      </c>
      <c r="CG108" s="12">
        <f t="shared" si="64"/>
        <v>0</v>
      </c>
      <c r="CH108" s="17"/>
      <c r="CI108" s="10">
        <f t="shared" si="65"/>
        <v>0</v>
      </c>
      <c r="CJ108" s="15"/>
      <c r="CK108" s="10">
        <f t="shared" si="66"/>
        <v>0</v>
      </c>
      <c r="CL108" s="17"/>
      <c r="CM108" s="10">
        <f t="shared" si="67"/>
        <v>0</v>
      </c>
      <c r="CN108" s="15"/>
      <c r="CO108" s="10">
        <f t="shared" si="68"/>
        <v>0</v>
      </c>
      <c r="CP108" s="15"/>
      <c r="CQ108" s="10">
        <f t="shared" si="69"/>
        <v>0</v>
      </c>
      <c r="CR108" s="15"/>
      <c r="CS108" s="10">
        <f t="shared" si="70"/>
        <v>0</v>
      </c>
      <c r="CT108" s="15"/>
      <c r="CU108" s="10">
        <f t="shared" si="71"/>
        <v>0</v>
      </c>
      <c r="CV108" s="15"/>
      <c r="CW108" s="10">
        <f t="shared" si="72"/>
        <v>0</v>
      </c>
      <c r="CX108" s="15"/>
      <c r="CY108" s="10">
        <f t="shared" si="73"/>
        <v>0</v>
      </c>
      <c r="CZ108" s="15"/>
      <c r="DA108" s="10">
        <f t="shared" si="74"/>
        <v>0</v>
      </c>
      <c r="DB108" s="15"/>
      <c r="DC108" s="10">
        <f t="shared" si="75"/>
        <v>0</v>
      </c>
      <c r="DD108" s="15"/>
      <c r="DE108" s="10">
        <f t="shared" si="75"/>
        <v>0</v>
      </c>
      <c r="DF108" s="16">
        <f t="shared" si="58"/>
        <v>0</v>
      </c>
      <c r="DG108" s="208">
        <f t="shared" si="76"/>
        <v>0</v>
      </c>
    </row>
    <row r="109" spans="1:111">
      <c r="A109" s="7">
        <v>87</v>
      </c>
      <c r="B109" s="8" t="s">
        <v>83</v>
      </c>
      <c r="C109" s="8" t="s">
        <v>14</v>
      </c>
      <c r="D109" s="7">
        <f>RANK(DF109,$DF$4:$DF$141)</f>
        <v>31</v>
      </c>
      <c r="E109" s="7">
        <v>0.6</v>
      </c>
      <c r="F109" s="7" t="s">
        <v>35</v>
      </c>
      <c r="G109" s="7"/>
      <c r="H109" s="15"/>
      <c r="I109" s="10"/>
      <c r="J109" s="15"/>
      <c r="K109" s="10"/>
      <c r="L109" s="15"/>
      <c r="M109" s="10"/>
      <c r="N109" s="15"/>
      <c r="O109" s="10"/>
      <c r="P109" s="15"/>
      <c r="Q109" s="10"/>
      <c r="R109" s="15"/>
      <c r="S109" s="10">
        <f t="shared" si="114"/>
        <v>0</v>
      </c>
      <c r="T109" s="15"/>
      <c r="U109" s="10"/>
      <c r="V109" s="15"/>
      <c r="W109" s="10"/>
      <c r="X109" s="15"/>
      <c r="Y109" s="10"/>
      <c r="Z109" s="15"/>
      <c r="AA109" s="10"/>
      <c r="AB109" s="15"/>
      <c r="AC109" s="10"/>
      <c r="AD109" s="15"/>
      <c r="AE109" s="10"/>
      <c r="AF109" s="11">
        <f t="shared" si="112"/>
        <v>0</v>
      </c>
      <c r="AG109" s="12">
        <f t="shared" si="60"/>
        <v>0</v>
      </c>
      <c r="AH109" s="15"/>
      <c r="AI109" s="10"/>
      <c r="AJ109" s="15"/>
      <c r="AK109" s="10"/>
      <c r="AL109" s="15"/>
      <c r="AM109" s="10"/>
      <c r="AN109" s="15"/>
      <c r="AO109" s="10"/>
      <c r="AP109" s="15"/>
      <c r="AQ109" s="10"/>
      <c r="AR109" s="15"/>
      <c r="AS109" s="10"/>
      <c r="AT109" s="15"/>
      <c r="AU109" s="10"/>
      <c r="AV109" s="15"/>
      <c r="AW109" s="10"/>
      <c r="AX109" s="15"/>
      <c r="AY109" s="10"/>
      <c r="AZ109" s="15"/>
      <c r="BA109" s="10"/>
      <c r="BB109" s="15"/>
      <c r="BC109" s="10"/>
      <c r="BD109" s="15"/>
      <c r="BE109" s="10"/>
      <c r="BF109" s="11">
        <f t="shared" si="61"/>
        <v>0</v>
      </c>
      <c r="BG109" s="12">
        <f t="shared" si="62"/>
        <v>0</v>
      </c>
      <c r="BH109" s="15"/>
      <c r="BI109" s="10"/>
      <c r="BJ109" s="15"/>
      <c r="BK109" s="10"/>
      <c r="BL109" s="15"/>
      <c r="BM109" s="10"/>
      <c r="BN109" s="15"/>
      <c r="BO109" s="10"/>
      <c r="BP109" s="15"/>
      <c r="BQ109" s="10"/>
      <c r="BR109" s="15"/>
      <c r="BS109" s="10"/>
      <c r="BT109" s="15"/>
      <c r="BU109" s="10"/>
      <c r="BV109" s="15"/>
      <c r="BW109" s="10"/>
      <c r="BX109" s="15"/>
      <c r="BY109" s="10"/>
      <c r="BZ109" s="15"/>
      <c r="CA109" s="10"/>
      <c r="CB109" s="15"/>
      <c r="CC109" s="10"/>
      <c r="CD109" s="15"/>
      <c r="CE109" s="10"/>
      <c r="CF109" s="11">
        <f t="shared" si="63"/>
        <v>0</v>
      </c>
      <c r="CG109" s="12">
        <f t="shared" si="64"/>
        <v>0</v>
      </c>
      <c r="CH109" s="17"/>
      <c r="CI109" s="10">
        <f t="shared" si="65"/>
        <v>0</v>
      </c>
      <c r="CJ109" s="15"/>
      <c r="CK109" s="10">
        <f t="shared" si="66"/>
        <v>0</v>
      </c>
      <c r="CL109" s="17"/>
      <c r="CM109" s="10">
        <f t="shared" si="67"/>
        <v>0</v>
      </c>
      <c r="CN109" s="15"/>
      <c r="CO109" s="10">
        <f t="shared" si="68"/>
        <v>0</v>
      </c>
      <c r="CP109" s="15"/>
      <c r="CQ109" s="10">
        <f t="shared" si="69"/>
        <v>0</v>
      </c>
      <c r="CR109" s="15"/>
      <c r="CS109" s="10">
        <f t="shared" si="70"/>
        <v>0</v>
      </c>
      <c r="CT109" s="15"/>
      <c r="CU109" s="10">
        <f t="shared" si="71"/>
        <v>0</v>
      </c>
      <c r="CV109" s="15"/>
      <c r="CW109" s="10">
        <f t="shared" si="72"/>
        <v>0</v>
      </c>
      <c r="CX109" s="15"/>
      <c r="CY109" s="10">
        <f t="shared" si="73"/>
        <v>0</v>
      </c>
      <c r="CZ109" s="15"/>
      <c r="DA109" s="10">
        <f t="shared" si="74"/>
        <v>0</v>
      </c>
      <c r="DB109" s="15"/>
      <c r="DC109" s="10">
        <f t="shared" si="75"/>
        <v>0</v>
      </c>
      <c r="DD109" s="15"/>
      <c r="DE109" s="10">
        <f t="shared" si="75"/>
        <v>0</v>
      </c>
      <c r="DF109" s="16">
        <f t="shared" si="58"/>
        <v>0</v>
      </c>
      <c r="DG109" s="208">
        <f t="shared" si="76"/>
        <v>0</v>
      </c>
    </row>
    <row r="110" spans="1:111">
      <c r="A110" s="7">
        <v>88</v>
      </c>
      <c r="B110" s="8" t="s">
        <v>83</v>
      </c>
      <c r="C110" s="8" t="s">
        <v>14</v>
      </c>
      <c r="D110" s="7">
        <f>RANK(DF110,$DF$4:$DF$141)</f>
        <v>31</v>
      </c>
      <c r="E110" s="7">
        <v>1</v>
      </c>
      <c r="F110" s="7" t="s">
        <v>35</v>
      </c>
      <c r="G110" s="7"/>
      <c r="H110" s="15"/>
      <c r="I110" s="10"/>
      <c r="J110" s="15"/>
      <c r="K110" s="10"/>
      <c r="L110" s="15"/>
      <c r="M110" s="10"/>
      <c r="N110" s="15"/>
      <c r="O110" s="10"/>
      <c r="P110" s="15"/>
      <c r="Q110" s="10"/>
      <c r="R110" s="15"/>
      <c r="S110" s="10">
        <f t="shared" si="114"/>
        <v>0</v>
      </c>
      <c r="T110" s="15"/>
      <c r="U110" s="10"/>
      <c r="V110" s="15"/>
      <c r="W110" s="10"/>
      <c r="X110" s="15"/>
      <c r="Y110" s="10"/>
      <c r="Z110" s="15"/>
      <c r="AA110" s="10"/>
      <c r="AB110" s="15"/>
      <c r="AC110" s="10"/>
      <c r="AD110" s="15"/>
      <c r="AE110" s="10"/>
      <c r="AF110" s="11">
        <f t="shared" si="112"/>
        <v>0</v>
      </c>
      <c r="AG110" s="12">
        <f t="shared" si="60"/>
        <v>0</v>
      </c>
      <c r="AH110" s="15"/>
      <c r="AI110" s="10"/>
      <c r="AJ110" s="15"/>
      <c r="AK110" s="10"/>
      <c r="AL110" s="15"/>
      <c r="AM110" s="10"/>
      <c r="AN110" s="15"/>
      <c r="AO110" s="10"/>
      <c r="AP110" s="15"/>
      <c r="AQ110" s="10"/>
      <c r="AR110" s="15"/>
      <c r="AS110" s="10"/>
      <c r="AT110" s="15"/>
      <c r="AU110" s="10"/>
      <c r="AV110" s="15"/>
      <c r="AW110" s="10"/>
      <c r="AX110" s="15"/>
      <c r="AY110" s="10"/>
      <c r="AZ110" s="15"/>
      <c r="BA110" s="10"/>
      <c r="BB110" s="15"/>
      <c r="BC110" s="10"/>
      <c r="BD110" s="15"/>
      <c r="BE110" s="10"/>
      <c r="BF110" s="11">
        <f t="shared" si="61"/>
        <v>0</v>
      </c>
      <c r="BG110" s="12">
        <f t="shared" si="62"/>
        <v>0</v>
      </c>
      <c r="BH110" s="15"/>
      <c r="BI110" s="10"/>
      <c r="BJ110" s="15"/>
      <c r="BK110" s="10"/>
      <c r="BL110" s="15"/>
      <c r="BM110" s="10"/>
      <c r="BN110" s="15"/>
      <c r="BO110" s="10"/>
      <c r="BP110" s="15"/>
      <c r="BQ110" s="10"/>
      <c r="BR110" s="15"/>
      <c r="BS110" s="10"/>
      <c r="BT110" s="15"/>
      <c r="BU110" s="10"/>
      <c r="BV110" s="15"/>
      <c r="BW110" s="10"/>
      <c r="BX110" s="15"/>
      <c r="BY110" s="10"/>
      <c r="BZ110" s="15"/>
      <c r="CA110" s="10"/>
      <c r="CB110" s="15"/>
      <c r="CC110" s="10"/>
      <c r="CD110" s="15"/>
      <c r="CE110" s="10"/>
      <c r="CF110" s="11">
        <f t="shared" si="63"/>
        <v>0</v>
      </c>
      <c r="CG110" s="12">
        <f t="shared" si="64"/>
        <v>0</v>
      </c>
      <c r="CH110" s="17"/>
      <c r="CI110" s="10">
        <f t="shared" si="65"/>
        <v>0</v>
      </c>
      <c r="CJ110" s="15"/>
      <c r="CK110" s="10">
        <f t="shared" si="66"/>
        <v>0</v>
      </c>
      <c r="CL110" s="17"/>
      <c r="CM110" s="10">
        <f t="shared" si="67"/>
        <v>0</v>
      </c>
      <c r="CN110" s="15"/>
      <c r="CO110" s="10">
        <f t="shared" si="68"/>
        <v>0</v>
      </c>
      <c r="CP110" s="15"/>
      <c r="CQ110" s="10">
        <f t="shared" si="69"/>
        <v>0</v>
      </c>
      <c r="CR110" s="15"/>
      <c r="CS110" s="10">
        <f t="shared" si="70"/>
        <v>0</v>
      </c>
      <c r="CT110" s="15"/>
      <c r="CU110" s="10">
        <f t="shared" si="71"/>
        <v>0</v>
      </c>
      <c r="CV110" s="15"/>
      <c r="CW110" s="10">
        <f t="shared" si="72"/>
        <v>0</v>
      </c>
      <c r="CX110" s="15"/>
      <c r="CY110" s="10">
        <f t="shared" si="73"/>
        <v>0</v>
      </c>
      <c r="CZ110" s="15"/>
      <c r="DA110" s="10">
        <f t="shared" si="74"/>
        <v>0</v>
      </c>
      <c r="DB110" s="15"/>
      <c r="DC110" s="10">
        <f t="shared" si="75"/>
        <v>0</v>
      </c>
      <c r="DD110" s="15"/>
      <c r="DE110" s="10">
        <f t="shared" si="75"/>
        <v>0</v>
      </c>
      <c r="DF110" s="16">
        <f t="shared" si="58"/>
        <v>0</v>
      </c>
      <c r="DG110" s="208">
        <f t="shared" si="76"/>
        <v>0</v>
      </c>
    </row>
    <row r="111" spans="1:111">
      <c r="A111" s="7">
        <v>89</v>
      </c>
      <c r="B111" s="8" t="s">
        <v>83</v>
      </c>
      <c r="C111" s="8" t="s">
        <v>11</v>
      </c>
      <c r="D111" s="7">
        <f>RANK(DF111,$DF$4:$DF$141)</f>
        <v>31</v>
      </c>
      <c r="E111" s="7">
        <v>0.64</v>
      </c>
      <c r="F111" s="7" t="s">
        <v>22</v>
      </c>
      <c r="G111" s="7"/>
      <c r="H111" s="15"/>
      <c r="I111" s="10">
        <f>H111*$E111</f>
        <v>0</v>
      </c>
      <c r="J111" s="15"/>
      <c r="K111" s="10">
        <f>J111*$E111</f>
        <v>0</v>
      </c>
      <c r="L111" s="15"/>
      <c r="M111" s="10">
        <f>L111*$E111</f>
        <v>0</v>
      </c>
      <c r="N111" s="15"/>
      <c r="O111" s="10">
        <f>N111*$E111</f>
        <v>0</v>
      </c>
      <c r="P111" s="15"/>
      <c r="Q111" s="10">
        <f>P111*$E111</f>
        <v>0</v>
      </c>
      <c r="R111" s="15"/>
      <c r="S111" s="10">
        <f t="shared" si="114"/>
        <v>0</v>
      </c>
      <c r="T111" s="15"/>
      <c r="U111" s="10">
        <f>T111*$E111</f>
        <v>0</v>
      </c>
      <c r="V111" s="15"/>
      <c r="W111" s="10">
        <f>V111*$E111</f>
        <v>0</v>
      </c>
      <c r="X111" s="15"/>
      <c r="Y111" s="10">
        <f>X111*$E111</f>
        <v>0</v>
      </c>
      <c r="Z111" s="15"/>
      <c r="AA111" s="10">
        <f>Z111*$E111</f>
        <v>0</v>
      </c>
      <c r="AB111" s="15"/>
      <c r="AC111" s="10">
        <f>AB111*$E111</f>
        <v>0</v>
      </c>
      <c r="AD111" s="15"/>
      <c r="AE111" s="10">
        <f>AD111*$E111</f>
        <v>0</v>
      </c>
      <c r="AF111" s="11">
        <f t="shared" si="112"/>
        <v>0</v>
      </c>
      <c r="AG111" s="12">
        <f t="shared" si="60"/>
        <v>0</v>
      </c>
      <c r="AH111" s="15"/>
      <c r="AI111" s="10">
        <f>AH111*$E111</f>
        <v>0</v>
      </c>
      <c r="AJ111" s="15"/>
      <c r="AK111" s="10">
        <f>AJ111*$E111</f>
        <v>0</v>
      </c>
      <c r="AL111" s="15"/>
      <c r="AM111" s="10">
        <f>AL111*$E111</f>
        <v>0</v>
      </c>
      <c r="AN111" s="15"/>
      <c r="AO111" s="10">
        <f>AN111*$E111</f>
        <v>0</v>
      </c>
      <c r="AP111" s="15"/>
      <c r="AQ111" s="10">
        <f>AP111*$E111</f>
        <v>0</v>
      </c>
      <c r="AR111" s="15"/>
      <c r="AS111" s="10">
        <f>AR111*$E111</f>
        <v>0</v>
      </c>
      <c r="AT111" s="15"/>
      <c r="AU111" s="10">
        <f>AT111*$E111</f>
        <v>0</v>
      </c>
      <c r="AV111" s="15"/>
      <c r="AW111" s="10">
        <f>AV111*$E111</f>
        <v>0</v>
      </c>
      <c r="AX111" s="15"/>
      <c r="AY111" s="10">
        <f>AX111*$E111</f>
        <v>0</v>
      </c>
      <c r="AZ111" s="15"/>
      <c r="BA111" s="10">
        <f>AZ111*$E111</f>
        <v>0</v>
      </c>
      <c r="BB111" s="15"/>
      <c r="BC111" s="10">
        <f>BB111*$E111</f>
        <v>0</v>
      </c>
      <c r="BD111" s="15"/>
      <c r="BE111" s="10">
        <f>BD111*$E111</f>
        <v>0</v>
      </c>
      <c r="BF111" s="11">
        <f t="shared" si="61"/>
        <v>0</v>
      </c>
      <c r="BG111" s="12">
        <f t="shared" si="62"/>
        <v>0</v>
      </c>
      <c r="BH111" s="15"/>
      <c r="BI111" s="10">
        <f>BH111*$E111</f>
        <v>0</v>
      </c>
      <c r="BJ111" s="15"/>
      <c r="BK111" s="10">
        <f>BJ111*$E111</f>
        <v>0</v>
      </c>
      <c r="BL111" s="15"/>
      <c r="BM111" s="10">
        <f>BL111*$E111</f>
        <v>0</v>
      </c>
      <c r="BN111" s="15"/>
      <c r="BO111" s="10">
        <f>BN111*$E111</f>
        <v>0</v>
      </c>
      <c r="BP111" s="15"/>
      <c r="BQ111" s="10">
        <f>BP111*$E111</f>
        <v>0</v>
      </c>
      <c r="BR111" s="15"/>
      <c r="BS111" s="10">
        <f>BR111*$E111</f>
        <v>0</v>
      </c>
      <c r="BT111" s="15"/>
      <c r="BU111" s="10">
        <f>BT111*$E111</f>
        <v>0</v>
      </c>
      <c r="BV111" s="15"/>
      <c r="BW111" s="10">
        <f>BV111*$E111</f>
        <v>0</v>
      </c>
      <c r="BX111" s="15"/>
      <c r="BY111" s="10">
        <f>BX111*$E111</f>
        <v>0</v>
      </c>
      <c r="BZ111" s="15"/>
      <c r="CA111" s="10">
        <f>BZ111*$E111</f>
        <v>0</v>
      </c>
      <c r="CB111" s="15"/>
      <c r="CC111" s="10">
        <f>CB111*$E111</f>
        <v>0</v>
      </c>
      <c r="CD111" s="15"/>
      <c r="CE111" s="10">
        <f>CD111*$E111</f>
        <v>0</v>
      </c>
      <c r="CF111" s="11">
        <f t="shared" si="63"/>
        <v>0</v>
      </c>
      <c r="CG111" s="12">
        <f t="shared" si="64"/>
        <v>0</v>
      </c>
      <c r="CH111" s="15"/>
      <c r="CI111" s="10">
        <f t="shared" si="65"/>
        <v>0</v>
      </c>
      <c r="CJ111" s="15"/>
      <c r="CK111" s="10">
        <f t="shared" si="66"/>
        <v>0</v>
      </c>
      <c r="CL111" s="15"/>
      <c r="CM111" s="10">
        <f t="shared" si="67"/>
        <v>0</v>
      </c>
      <c r="CN111" s="15"/>
      <c r="CO111" s="10">
        <f t="shared" si="68"/>
        <v>0</v>
      </c>
      <c r="CP111" s="15"/>
      <c r="CQ111" s="10">
        <f t="shared" si="69"/>
        <v>0</v>
      </c>
      <c r="CR111" s="15"/>
      <c r="CS111" s="10">
        <f t="shared" si="70"/>
        <v>0</v>
      </c>
      <c r="CT111" s="15"/>
      <c r="CU111" s="10">
        <f t="shared" si="71"/>
        <v>0</v>
      </c>
      <c r="CV111" s="15"/>
      <c r="CW111" s="10">
        <f t="shared" si="72"/>
        <v>0</v>
      </c>
      <c r="CX111" s="15"/>
      <c r="CY111" s="10">
        <f t="shared" si="73"/>
        <v>0</v>
      </c>
      <c r="CZ111" s="15"/>
      <c r="DA111" s="10">
        <f t="shared" si="74"/>
        <v>0</v>
      </c>
      <c r="DB111" s="15"/>
      <c r="DC111" s="10">
        <f t="shared" si="75"/>
        <v>0</v>
      </c>
      <c r="DD111" s="15"/>
      <c r="DE111" s="10">
        <f t="shared" si="75"/>
        <v>0</v>
      </c>
      <c r="DF111" s="16">
        <f t="shared" si="58"/>
        <v>0</v>
      </c>
      <c r="DG111" s="208">
        <f t="shared" si="76"/>
        <v>0</v>
      </c>
    </row>
    <row r="112" spans="1:111">
      <c r="A112" s="7"/>
      <c r="B112" s="8"/>
      <c r="C112" s="8"/>
      <c r="D112" s="7"/>
      <c r="E112" s="7"/>
      <c r="F112" s="7"/>
      <c r="G112" s="7"/>
      <c r="H112" s="15"/>
      <c r="I112" s="10"/>
      <c r="J112" s="15"/>
      <c r="K112" s="10"/>
      <c r="L112" s="15"/>
      <c r="M112" s="10"/>
      <c r="N112" s="15"/>
      <c r="O112" s="10"/>
      <c r="P112" s="15"/>
      <c r="Q112" s="10"/>
      <c r="R112" s="15"/>
      <c r="S112" s="10">
        <f t="shared" si="114"/>
        <v>0</v>
      </c>
      <c r="T112" s="15"/>
      <c r="U112" s="10"/>
      <c r="V112" s="15"/>
      <c r="W112" s="10"/>
      <c r="X112" s="15"/>
      <c r="Y112" s="10"/>
      <c r="Z112" s="15"/>
      <c r="AA112" s="10"/>
      <c r="AB112" s="15"/>
      <c r="AC112" s="10"/>
      <c r="AD112" s="15"/>
      <c r="AE112" s="10"/>
      <c r="AF112" s="11">
        <f t="shared" si="112"/>
        <v>0</v>
      </c>
      <c r="AG112" s="12">
        <f t="shared" si="60"/>
        <v>0</v>
      </c>
      <c r="AH112" s="15"/>
      <c r="AI112" s="10"/>
      <c r="AJ112" s="15"/>
      <c r="AK112" s="10"/>
      <c r="AL112" s="15"/>
      <c r="AM112" s="10"/>
      <c r="AN112" s="15"/>
      <c r="AO112" s="10"/>
      <c r="AP112" s="15"/>
      <c r="AQ112" s="10"/>
      <c r="AR112" s="15"/>
      <c r="AS112" s="10"/>
      <c r="AT112" s="15"/>
      <c r="AU112" s="10"/>
      <c r="AV112" s="15"/>
      <c r="AW112" s="10"/>
      <c r="AX112" s="15"/>
      <c r="AY112" s="10"/>
      <c r="AZ112" s="15"/>
      <c r="BA112" s="10"/>
      <c r="BB112" s="15"/>
      <c r="BC112" s="10"/>
      <c r="BD112" s="15"/>
      <c r="BE112" s="10"/>
      <c r="BF112" s="11">
        <f t="shared" si="61"/>
        <v>0</v>
      </c>
      <c r="BG112" s="12">
        <f t="shared" si="62"/>
        <v>0</v>
      </c>
      <c r="BH112" s="15"/>
      <c r="BI112" s="10"/>
      <c r="BJ112" s="15"/>
      <c r="BK112" s="10"/>
      <c r="BL112" s="15"/>
      <c r="BM112" s="10"/>
      <c r="BN112" s="15"/>
      <c r="BO112" s="10"/>
      <c r="BP112" s="15"/>
      <c r="BQ112" s="10"/>
      <c r="BR112" s="15"/>
      <c r="BS112" s="10"/>
      <c r="BT112" s="15"/>
      <c r="BU112" s="10"/>
      <c r="BV112" s="15"/>
      <c r="BW112" s="10"/>
      <c r="BX112" s="15"/>
      <c r="BY112" s="10"/>
      <c r="BZ112" s="15"/>
      <c r="CA112" s="10"/>
      <c r="CB112" s="15"/>
      <c r="CC112" s="10"/>
      <c r="CD112" s="15"/>
      <c r="CE112" s="10"/>
      <c r="CF112" s="11">
        <f t="shared" si="63"/>
        <v>0</v>
      </c>
      <c r="CG112" s="12">
        <f t="shared" si="64"/>
        <v>0</v>
      </c>
      <c r="CH112" s="17"/>
      <c r="CI112" s="10">
        <f t="shared" si="65"/>
        <v>0</v>
      </c>
      <c r="CJ112" s="15"/>
      <c r="CK112" s="10">
        <f t="shared" si="66"/>
        <v>0</v>
      </c>
      <c r="CL112" s="17"/>
      <c r="CM112" s="10">
        <f t="shared" si="67"/>
        <v>0</v>
      </c>
      <c r="CN112" s="15"/>
      <c r="CO112" s="10">
        <f t="shared" si="68"/>
        <v>0</v>
      </c>
      <c r="CP112" s="15"/>
      <c r="CQ112" s="10">
        <f t="shared" si="69"/>
        <v>0</v>
      </c>
      <c r="CR112" s="15"/>
      <c r="CS112" s="10">
        <f t="shared" si="70"/>
        <v>0</v>
      </c>
      <c r="CT112" s="15"/>
      <c r="CU112" s="10">
        <f t="shared" si="71"/>
        <v>0</v>
      </c>
      <c r="CV112" s="15"/>
      <c r="CW112" s="10">
        <f t="shared" si="72"/>
        <v>0</v>
      </c>
      <c r="CX112" s="15"/>
      <c r="CY112" s="10">
        <f t="shared" si="73"/>
        <v>0</v>
      </c>
      <c r="CZ112" s="15"/>
      <c r="DA112" s="10">
        <f t="shared" si="74"/>
        <v>0</v>
      </c>
      <c r="DB112" s="15"/>
      <c r="DC112" s="10">
        <f t="shared" si="75"/>
        <v>0</v>
      </c>
      <c r="DD112" s="15"/>
      <c r="DE112" s="10">
        <f t="shared" si="75"/>
        <v>0</v>
      </c>
      <c r="DF112" s="16">
        <f t="shared" si="58"/>
        <v>0</v>
      </c>
      <c r="DG112" s="208">
        <f t="shared" si="76"/>
        <v>0</v>
      </c>
    </row>
    <row r="113" spans="1:111">
      <c r="A113" s="7">
        <v>90</v>
      </c>
      <c r="B113" s="8" t="s">
        <v>84</v>
      </c>
      <c r="C113" s="8" t="s">
        <v>11</v>
      </c>
      <c r="D113" s="7">
        <f>RANK(DF113,$DF$4:$DF$141)</f>
        <v>24</v>
      </c>
      <c r="E113" s="7">
        <v>0.7</v>
      </c>
      <c r="F113" s="7" t="s">
        <v>12</v>
      </c>
      <c r="G113" s="7">
        <v>3600</v>
      </c>
      <c r="H113" s="9">
        <v>600</v>
      </c>
      <c r="I113" s="10">
        <f>H113*$E113</f>
        <v>420</v>
      </c>
      <c r="J113" s="9">
        <v>504</v>
      </c>
      <c r="K113" s="10">
        <f>J113*$E113</f>
        <v>352.79999999999995</v>
      </c>
      <c r="L113" s="9">
        <v>480</v>
      </c>
      <c r="M113" s="10">
        <f>L113*$E113</f>
        <v>336</v>
      </c>
      <c r="N113" s="9">
        <v>480</v>
      </c>
      <c r="O113" s="10">
        <f>N113*$E113</f>
        <v>336</v>
      </c>
      <c r="P113" s="9">
        <v>558</v>
      </c>
      <c r="Q113" s="10">
        <f>P113*$E113</f>
        <v>390.59999999999997</v>
      </c>
      <c r="R113" s="9">
        <v>540</v>
      </c>
      <c r="S113" s="10">
        <f t="shared" si="114"/>
        <v>378</v>
      </c>
      <c r="T113" s="9">
        <v>573</v>
      </c>
      <c r="U113" s="10">
        <f>T113*$E113</f>
        <v>401.09999999999997</v>
      </c>
      <c r="V113" s="9">
        <v>432</v>
      </c>
      <c r="W113" s="10">
        <f>V113*$E113</f>
        <v>302.39999999999998</v>
      </c>
      <c r="X113" s="9">
        <v>1245</v>
      </c>
      <c r="Y113" s="10">
        <f>X113*$E113</f>
        <v>871.5</v>
      </c>
      <c r="Z113" s="9">
        <v>1558</v>
      </c>
      <c r="AA113" s="10">
        <f>Z113*$E113</f>
        <v>1090.5999999999999</v>
      </c>
      <c r="AB113" s="9">
        <v>1204</v>
      </c>
      <c r="AC113" s="10">
        <f>AB113*$E113</f>
        <v>842.8</v>
      </c>
      <c r="AD113" s="9">
        <v>2439</v>
      </c>
      <c r="AE113" s="10">
        <f>AD113*$E113</f>
        <v>1707.3</v>
      </c>
      <c r="AF113" s="11">
        <f t="shared" si="112"/>
        <v>10613</v>
      </c>
      <c r="AG113" s="12">
        <f t="shared" si="60"/>
        <v>7429.0999999999995</v>
      </c>
      <c r="AH113" s="9">
        <v>1022</v>
      </c>
      <c r="AI113" s="10">
        <f>AH113*$E113</f>
        <v>715.4</v>
      </c>
      <c r="AJ113" s="9">
        <v>813</v>
      </c>
      <c r="AK113" s="10">
        <f>AJ113*$E113</f>
        <v>569.09999999999991</v>
      </c>
      <c r="AL113" s="9">
        <v>983</v>
      </c>
      <c r="AM113" s="10">
        <f>AL113*$E113</f>
        <v>688.09999999999991</v>
      </c>
      <c r="AN113" s="9">
        <v>888</v>
      </c>
      <c r="AO113" s="10">
        <f>AN113*$E113</f>
        <v>621.59999999999991</v>
      </c>
      <c r="AP113" s="9">
        <v>1153</v>
      </c>
      <c r="AQ113" s="10">
        <f>AP113*$E113</f>
        <v>807.09999999999991</v>
      </c>
      <c r="AR113" s="9">
        <v>1151</v>
      </c>
      <c r="AS113" s="10">
        <f>AR113*$E113</f>
        <v>805.69999999999993</v>
      </c>
      <c r="AT113" s="9">
        <v>1384</v>
      </c>
      <c r="AU113" s="10">
        <f>AT113*$E113</f>
        <v>968.8</v>
      </c>
      <c r="AV113" s="9">
        <v>1265</v>
      </c>
      <c r="AW113" s="10">
        <f>AV113*$E113</f>
        <v>885.5</v>
      </c>
      <c r="AX113" s="9">
        <v>1112</v>
      </c>
      <c r="AY113" s="10">
        <f>AX113*$E113</f>
        <v>778.4</v>
      </c>
      <c r="AZ113" s="9">
        <v>1030</v>
      </c>
      <c r="BA113" s="10">
        <f>AZ113*$E113</f>
        <v>721</v>
      </c>
      <c r="BB113" s="9">
        <v>978</v>
      </c>
      <c r="BC113" s="10">
        <f>BB113*$E113</f>
        <v>684.59999999999991</v>
      </c>
      <c r="BD113" s="9">
        <v>1079</v>
      </c>
      <c r="BE113" s="10">
        <f>BD113*$E113</f>
        <v>755.3</v>
      </c>
      <c r="BF113" s="11">
        <f t="shared" si="61"/>
        <v>12858</v>
      </c>
      <c r="BG113" s="12">
        <f t="shared" si="62"/>
        <v>9000.5999999999985</v>
      </c>
      <c r="BH113" s="13">
        <v>1358</v>
      </c>
      <c r="BI113" s="10">
        <f>BH113*$E113</f>
        <v>950.59999999999991</v>
      </c>
      <c r="BJ113" s="13">
        <v>1566</v>
      </c>
      <c r="BK113" s="10">
        <f>BJ113*$E113</f>
        <v>1096.1999999999998</v>
      </c>
      <c r="BL113" s="13">
        <v>973</v>
      </c>
      <c r="BM113" s="10">
        <f>BL113*$E113</f>
        <v>681.09999999999991</v>
      </c>
      <c r="BN113" s="13">
        <v>1170</v>
      </c>
      <c r="BO113" s="10">
        <f>BN113*$E113</f>
        <v>819</v>
      </c>
      <c r="BP113" s="13">
        <v>1104</v>
      </c>
      <c r="BQ113" s="10">
        <f>BP113*$E113</f>
        <v>772.8</v>
      </c>
      <c r="BR113" s="13">
        <v>1209</v>
      </c>
      <c r="BS113" s="10">
        <f>BR113*$E113</f>
        <v>846.3</v>
      </c>
      <c r="BT113" s="13">
        <v>1513</v>
      </c>
      <c r="BU113" s="10">
        <f>BT113*$E113</f>
        <v>1059.0999999999999</v>
      </c>
      <c r="BV113" s="13">
        <v>1153</v>
      </c>
      <c r="BW113" s="10">
        <f>BV113*$E113</f>
        <v>807.09999999999991</v>
      </c>
      <c r="BX113" s="13">
        <v>618</v>
      </c>
      <c r="BY113" s="10">
        <f>BX113*$E113</f>
        <v>432.59999999999997</v>
      </c>
      <c r="BZ113" s="13">
        <v>673</v>
      </c>
      <c r="CA113" s="10">
        <f>BZ113*$E113</f>
        <v>471.09999999999997</v>
      </c>
      <c r="CB113" s="13">
        <v>649</v>
      </c>
      <c r="CC113" s="10">
        <f>CB113*$E113</f>
        <v>454.29999999999995</v>
      </c>
      <c r="CD113" s="13">
        <v>544</v>
      </c>
      <c r="CE113" s="10">
        <f>CD113*$E113</f>
        <v>380.79999999999995</v>
      </c>
      <c r="CF113" s="11">
        <f t="shared" si="63"/>
        <v>12530</v>
      </c>
      <c r="CG113" s="12">
        <f t="shared" si="64"/>
        <v>8771</v>
      </c>
      <c r="CH113" s="15">
        <v>485</v>
      </c>
      <c r="CI113" s="10">
        <f t="shared" si="65"/>
        <v>339.5</v>
      </c>
      <c r="CJ113" s="15">
        <v>346</v>
      </c>
      <c r="CK113" s="10">
        <f t="shared" si="66"/>
        <v>242.2</v>
      </c>
      <c r="CL113" s="15">
        <v>415</v>
      </c>
      <c r="CM113" s="10">
        <f t="shared" si="67"/>
        <v>290.5</v>
      </c>
      <c r="CN113" s="15">
        <v>254</v>
      </c>
      <c r="CO113" s="10">
        <f t="shared" si="68"/>
        <v>177.79999999999998</v>
      </c>
      <c r="CP113" s="15">
        <v>557</v>
      </c>
      <c r="CQ113" s="10">
        <f t="shared" si="69"/>
        <v>389.9</v>
      </c>
      <c r="CR113" s="15">
        <v>265</v>
      </c>
      <c r="CS113" s="10">
        <f t="shared" si="70"/>
        <v>185.5</v>
      </c>
      <c r="CT113" s="15">
        <v>207</v>
      </c>
      <c r="CU113" s="10">
        <f t="shared" si="71"/>
        <v>144.89999999999998</v>
      </c>
      <c r="CV113" s="15">
        <v>284</v>
      </c>
      <c r="CW113" s="10">
        <f t="shared" si="72"/>
        <v>198.79999999999998</v>
      </c>
      <c r="CX113" s="15">
        <v>235</v>
      </c>
      <c r="CY113" s="10">
        <f t="shared" si="73"/>
        <v>164.5</v>
      </c>
      <c r="CZ113" s="15">
        <v>86</v>
      </c>
      <c r="DA113" s="10">
        <f t="shared" si="74"/>
        <v>60.199999999999996</v>
      </c>
      <c r="DB113" s="15">
        <v>73</v>
      </c>
      <c r="DC113" s="10">
        <f t="shared" si="75"/>
        <v>51.099999999999994</v>
      </c>
      <c r="DD113" s="15">
        <v>165</v>
      </c>
      <c r="DE113" s="10">
        <f t="shared" si="75"/>
        <v>115.49999999999999</v>
      </c>
      <c r="DF113" s="16">
        <f t="shared" si="58"/>
        <v>3372</v>
      </c>
      <c r="DG113" s="208">
        <f t="shared" si="76"/>
        <v>2360.3999999999996</v>
      </c>
    </row>
    <row r="114" spans="1:111">
      <c r="A114" s="7">
        <v>91</v>
      </c>
      <c r="B114" s="8" t="s">
        <v>85</v>
      </c>
      <c r="C114" s="8" t="s">
        <v>11</v>
      </c>
      <c r="D114" s="7">
        <f>RANK(DF114,$DF$4:$DF$141)</f>
        <v>17</v>
      </c>
      <c r="E114" s="7">
        <v>0.35</v>
      </c>
      <c r="F114" s="7" t="s">
        <v>20</v>
      </c>
      <c r="G114" s="7">
        <v>2100</v>
      </c>
      <c r="H114" s="9">
        <v>24</v>
      </c>
      <c r="I114" s="10">
        <f>H114*$E114</f>
        <v>8.3999999999999986</v>
      </c>
      <c r="J114" s="9"/>
      <c r="K114" s="10">
        <f>J114*$E114</f>
        <v>0</v>
      </c>
      <c r="L114" s="9"/>
      <c r="M114" s="10">
        <f>L114*$E114</f>
        <v>0</v>
      </c>
      <c r="N114" s="9"/>
      <c r="O114" s="10">
        <f>N114*$E114</f>
        <v>0</v>
      </c>
      <c r="P114" s="9"/>
      <c r="Q114" s="10">
        <f>P114*$E114</f>
        <v>0</v>
      </c>
      <c r="R114" s="9"/>
      <c r="S114" s="10">
        <f>R114*$E114</f>
        <v>0</v>
      </c>
      <c r="T114" s="9"/>
      <c r="U114" s="10">
        <f>T114*$E114</f>
        <v>0</v>
      </c>
      <c r="V114" s="9"/>
      <c r="W114" s="10">
        <f>V114*$E114</f>
        <v>0</v>
      </c>
      <c r="X114" s="9">
        <v>1003</v>
      </c>
      <c r="Y114" s="10">
        <f>X114*$E114</f>
        <v>351.04999999999995</v>
      </c>
      <c r="Z114" s="9">
        <v>1485</v>
      </c>
      <c r="AA114" s="10">
        <f>Z114*$E114</f>
        <v>519.75</v>
      </c>
      <c r="AB114" s="9">
        <v>770</v>
      </c>
      <c r="AC114" s="10">
        <f>AB114*$E114</f>
        <v>269.5</v>
      </c>
      <c r="AD114" s="9">
        <v>2649</v>
      </c>
      <c r="AE114" s="10">
        <f>AD114*$E114</f>
        <v>927.15</v>
      </c>
      <c r="AF114" s="11">
        <f t="shared" si="112"/>
        <v>5931</v>
      </c>
      <c r="AG114" s="12">
        <f t="shared" si="60"/>
        <v>2075.85</v>
      </c>
      <c r="AH114" s="9">
        <v>1204</v>
      </c>
      <c r="AI114" s="10">
        <f>AH114*$E114</f>
        <v>421.4</v>
      </c>
      <c r="AJ114" s="9">
        <v>1024</v>
      </c>
      <c r="AK114" s="10">
        <f>AJ114*$E114</f>
        <v>358.4</v>
      </c>
      <c r="AL114" s="9">
        <v>1216</v>
      </c>
      <c r="AM114" s="10">
        <f>AL114*$E114</f>
        <v>425.59999999999997</v>
      </c>
      <c r="AN114" s="9">
        <v>920</v>
      </c>
      <c r="AO114" s="10">
        <f>AN114*$E114</f>
        <v>322</v>
      </c>
      <c r="AP114" s="9">
        <v>1155</v>
      </c>
      <c r="AQ114" s="10">
        <f>AP114*$E114</f>
        <v>404.25</v>
      </c>
      <c r="AR114" s="9">
        <v>1149</v>
      </c>
      <c r="AS114" s="10">
        <f>AR114*$E114</f>
        <v>402.15</v>
      </c>
      <c r="AT114" s="9">
        <v>1210</v>
      </c>
      <c r="AU114" s="10">
        <f>AT114*$E114</f>
        <v>423.5</v>
      </c>
      <c r="AV114" s="9">
        <v>1214</v>
      </c>
      <c r="AW114" s="10">
        <f>AV114*$E114</f>
        <v>424.9</v>
      </c>
      <c r="AX114" s="9">
        <v>1133</v>
      </c>
      <c r="AY114" s="10">
        <f>AX114*$E114</f>
        <v>396.54999999999995</v>
      </c>
      <c r="AZ114" s="9">
        <v>1400</v>
      </c>
      <c r="BA114" s="10">
        <f>AZ114*$E114</f>
        <v>489.99999999999994</v>
      </c>
      <c r="BB114" s="9">
        <v>1162</v>
      </c>
      <c r="BC114" s="10">
        <f>BB114*$E114</f>
        <v>406.7</v>
      </c>
      <c r="BD114" s="9">
        <v>1331</v>
      </c>
      <c r="BE114" s="10">
        <f>BD114*$E114</f>
        <v>465.84999999999997</v>
      </c>
      <c r="BF114" s="11">
        <f t="shared" si="61"/>
        <v>14118</v>
      </c>
      <c r="BG114" s="12">
        <f t="shared" si="62"/>
        <v>4941.2999999999993</v>
      </c>
      <c r="BH114" s="13">
        <v>1743</v>
      </c>
      <c r="BI114" s="10">
        <f>BH114*$E114</f>
        <v>610.04999999999995</v>
      </c>
      <c r="BJ114" s="13">
        <v>1963</v>
      </c>
      <c r="BK114" s="10">
        <f>BJ114*$E114</f>
        <v>687.05</v>
      </c>
      <c r="BL114" s="13">
        <v>1582</v>
      </c>
      <c r="BM114" s="10">
        <f>BL114*$E114</f>
        <v>553.69999999999993</v>
      </c>
      <c r="BN114" s="13">
        <v>2070</v>
      </c>
      <c r="BO114" s="10">
        <f>BN114*$E114</f>
        <v>724.5</v>
      </c>
      <c r="BP114" s="13">
        <v>2727</v>
      </c>
      <c r="BQ114" s="10">
        <f>BP114*$E114</f>
        <v>954.44999999999993</v>
      </c>
      <c r="BR114" s="13">
        <v>3824</v>
      </c>
      <c r="BS114" s="10">
        <f>BR114*$E114</f>
        <v>1338.3999999999999</v>
      </c>
      <c r="BT114" s="13">
        <v>4828</v>
      </c>
      <c r="BU114" s="10">
        <f>BT114*$E114</f>
        <v>1689.8</v>
      </c>
      <c r="BV114" s="13">
        <v>3804</v>
      </c>
      <c r="BW114" s="10">
        <f>BV114*$E114</f>
        <v>1331.3999999999999</v>
      </c>
      <c r="BX114" s="13">
        <v>2042</v>
      </c>
      <c r="BY114" s="10">
        <f>BX114*$E114</f>
        <v>714.69999999999993</v>
      </c>
      <c r="BZ114" s="13">
        <v>1718</v>
      </c>
      <c r="CA114" s="10">
        <f>BZ114*$E114</f>
        <v>601.29999999999995</v>
      </c>
      <c r="CB114" s="13">
        <v>1323</v>
      </c>
      <c r="CC114" s="10">
        <f>CB114*$E114</f>
        <v>463.04999999999995</v>
      </c>
      <c r="CD114" s="13">
        <v>1893</v>
      </c>
      <c r="CE114" s="10">
        <f>CD114*$E114</f>
        <v>662.55</v>
      </c>
      <c r="CF114" s="11">
        <f t="shared" si="63"/>
        <v>29517</v>
      </c>
      <c r="CG114" s="12">
        <f t="shared" si="64"/>
        <v>10330.949999999999</v>
      </c>
      <c r="CH114" s="15">
        <v>2876</v>
      </c>
      <c r="CI114" s="10">
        <f t="shared" si="65"/>
        <v>1006.5999999999999</v>
      </c>
      <c r="CJ114" s="15">
        <v>1892</v>
      </c>
      <c r="CK114" s="10">
        <f t="shared" si="66"/>
        <v>662.19999999999993</v>
      </c>
      <c r="CL114" s="15">
        <v>2293</v>
      </c>
      <c r="CM114" s="10">
        <f t="shared" si="67"/>
        <v>802.55</v>
      </c>
      <c r="CN114" s="15">
        <v>1522</v>
      </c>
      <c r="CO114" s="10">
        <f t="shared" si="68"/>
        <v>532.69999999999993</v>
      </c>
      <c r="CP114" s="15">
        <v>1624</v>
      </c>
      <c r="CQ114" s="10">
        <f t="shared" si="69"/>
        <v>568.4</v>
      </c>
      <c r="CR114" s="15">
        <v>1716</v>
      </c>
      <c r="CS114" s="10">
        <f t="shared" si="70"/>
        <v>600.59999999999991</v>
      </c>
      <c r="CT114" s="15">
        <v>1514</v>
      </c>
      <c r="CU114" s="10">
        <f t="shared" si="71"/>
        <v>529.9</v>
      </c>
      <c r="CV114" s="15">
        <v>974</v>
      </c>
      <c r="CW114" s="10">
        <f t="shared" si="72"/>
        <v>340.9</v>
      </c>
      <c r="CX114" s="15">
        <v>196</v>
      </c>
      <c r="CY114" s="10">
        <f t="shared" si="73"/>
        <v>68.599999999999994</v>
      </c>
      <c r="CZ114" s="15">
        <v>120</v>
      </c>
      <c r="DA114" s="10">
        <f t="shared" si="74"/>
        <v>42</v>
      </c>
      <c r="DB114" s="15">
        <v>126</v>
      </c>
      <c r="DC114" s="10">
        <f t="shared" si="75"/>
        <v>44.099999999999994</v>
      </c>
      <c r="DD114" s="15">
        <v>874</v>
      </c>
      <c r="DE114" s="10">
        <f t="shared" si="75"/>
        <v>305.89999999999998</v>
      </c>
      <c r="DF114" s="16">
        <f t="shared" si="58"/>
        <v>15727</v>
      </c>
      <c r="DG114" s="208">
        <f t="shared" si="76"/>
        <v>5504.45</v>
      </c>
    </row>
    <row r="115" spans="1:111">
      <c r="A115" s="7"/>
      <c r="B115" s="8"/>
      <c r="C115" s="8"/>
      <c r="D115" s="7"/>
      <c r="E115" s="7"/>
      <c r="F115" s="7"/>
      <c r="G115" s="7"/>
      <c r="H115" s="15"/>
      <c r="I115" s="10">
        <f t="shared" si="77"/>
        <v>0</v>
      </c>
      <c r="J115" s="15"/>
      <c r="K115" s="10">
        <f t="shared" si="78"/>
        <v>0</v>
      </c>
      <c r="L115" s="15"/>
      <c r="M115" s="10">
        <f t="shared" si="79"/>
        <v>0</v>
      </c>
      <c r="N115" s="15"/>
      <c r="O115" s="10">
        <f t="shared" si="80"/>
        <v>0</v>
      </c>
      <c r="P115" s="15"/>
      <c r="Q115" s="10">
        <f t="shared" si="81"/>
        <v>0</v>
      </c>
      <c r="R115" s="15"/>
      <c r="S115" s="10">
        <f t="shared" ref="S115:S140" si="115">R115*$E115</f>
        <v>0</v>
      </c>
      <c r="T115" s="15"/>
      <c r="U115" s="10">
        <f t="shared" si="82"/>
        <v>0</v>
      </c>
      <c r="V115" s="15"/>
      <c r="W115" s="10">
        <f t="shared" si="83"/>
        <v>0</v>
      </c>
      <c r="X115" s="15"/>
      <c r="Y115" s="10">
        <f t="shared" si="84"/>
        <v>0</v>
      </c>
      <c r="Z115" s="15"/>
      <c r="AA115" s="10">
        <f t="shared" si="85"/>
        <v>0</v>
      </c>
      <c r="AB115" s="15"/>
      <c r="AC115" s="10">
        <f t="shared" si="86"/>
        <v>0</v>
      </c>
      <c r="AD115" s="15"/>
      <c r="AE115" s="10">
        <f t="shared" si="87"/>
        <v>0</v>
      </c>
      <c r="AF115" s="11">
        <f t="shared" si="112"/>
        <v>0</v>
      </c>
      <c r="AG115" s="12">
        <f t="shared" si="60"/>
        <v>0</v>
      </c>
      <c r="AH115" s="15"/>
      <c r="AI115" s="10">
        <f t="shared" si="88"/>
        <v>0</v>
      </c>
      <c r="AJ115" s="15"/>
      <c r="AK115" s="10">
        <f t="shared" si="89"/>
        <v>0</v>
      </c>
      <c r="AL115" s="15"/>
      <c r="AM115" s="10">
        <f t="shared" si="90"/>
        <v>0</v>
      </c>
      <c r="AN115" s="15"/>
      <c r="AO115" s="10">
        <f t="shared" si="91"/>
        <v>0</v>
      </c>
      <c r="AP115" s="15"/>
      <c r="AQ115" s="10">
        <f t="shared" si="92"/>
        <v>0</v>
      </c>
      <c r="AR115" s="15"/>
      <c r="AS115" s="10">
        <f t="shared" si="93"/>
        <v>0</v>
      </c>
      <c r="AT115" s="15"/>
      <c r="AU115" s="10">
        <f t="shared" si="94"/>
        <v>0</v>
      </c>
      <c r="AV115" s="15"/>
      <c r="AW115" s="10">
        <f t="shared" si="95"/>
        <v>0</v>
      </c>
      <c r="AX115" s="15"/>
      <c r="AY115" s="10">
        <f t="shared" si="96"/>
        <v>0</v>
      </c>
      <c r="AZ115" s="15"/>
      <c r="BA115" s="10">
        <f t="shared" si="97"/>
        <v>0</v>
      </c>
      <c r="BB115" s="15"/>
      <c r="BC115" s="10">
        <f t="shared" si="98"/>
        <v>0</v>
      </c>
      <c r="BD115" s="15"/>
      <c r="BE115" s="10">
        <f t="shared" si="99"/>
        <v>0</v>
      </c>
      <c r="BF115" s="11">
        <f t="shared" si="61"/>
        <v>0</v>
      </c>
      <c r="BG115" s="12">
        <f t="shared" si="62"/>
        <v>0</v>
      </c>
      <c r="BH115" s="15"/>
      <c r="BI115" s="10">
        <f t="shared" si="100"/>
        <v>0</v>
      </c>
      <c r="BJ115" s="15"/>
      <c r="BK115" s="10">
        <f t="shared" si="101"/>
        <v>0</v>
      </c>
      <c r="BL115" s="15"/>
      <c r="BM115" s="10">
        <f t="shared" si="102"/>
        <v>0</v>
      </c>
      <c r="BN115" s="15"/>
      <c r="BO115" s="10">
        <f t="shared" si="103"/>
        <v>0</v>
      </c>
      <c r="BP115" s="15"/>
      <c r="BQ115" s="10">
        <f t="shared" si="104"/>
        <v>0</v>
      </c>
      <c r="BR115" s="15"/>
      <c r="BS115" s="10">
        <f t="shared" si="105"/>
        <v>0</v>
      </c>
      <c r="BT115" s="15"/>
      <c r="BU115" s="10">
        <f t="shared" si="106"/>
        <v>0</v>
      </c>
      <c r="BV115" s="15"/>
      <c r="BW115" s="10">
        <f t="shared" si="107"/>
        <v>0</v>
      </c>
      <c r="BX115" s="15"/>
      <c r="BY115" s="10">
        <f t="shared" si="108"/>
        <v>0</v>
      </c>
      <c r="BZ115" s="15"/>
      <c r="CA115" s="10">
        <f t="shared" si="109"/>
        <v>0</v>
      </c>
      <c r="CB115" s="15"/>
      <c r="CC115" s="10">
        <f t="shared" si="110"/>
        <v>0</v>
      </c>
      <c r="CD115" s="15"/>
      <c r="CE115" s="10">
        <f t="shared" si="111"/>
        <v>0</v>
      </c>
      <c r="CF115" s="11">
        <f t="shared" si="63"/>
        <v>0</v>
      </c>
      <c r="CG115" s="12">
        <f t="shared" si="64"/>
        <v>0</v>
      </c>
      <c r="CH115" s="15"/>
      <c r="CI115" s="10">
        <f t="shared" si="65"/>
        <v>0</v>
      </c>
      <c r="CJ115" s="15"/>
      <c r="CK115" s="10">
        <f t="shared" si="66"/>
        <v>0</v>
      </c>
      <c r="CL115" s="15"/>
      <c r="CM115" s="10">
        <f t="shared" si="67"/>
        <v>0</v>
      </c>
      <c r="CN115" s="15"/>
      <c r="CO115" s="10">
        <f t="shared" si="68"/>
        <v>0</v>
      </c>
      <c r="CP115" s="15"/>
      <c r="CQ115" s="10">
        <f t="shared" si="69"/>
        <v>0</v>
      </c>
      <c r="CR115" s="15"/>
      <c r="CS115" s="10">
        <f t="shared" si="70"/>
        <v>0</v>
      </c>
      <c r="CT115" s="15"/>
      <c r="CU115" s="10">
        <f t="shared" si="71"/>
        <v>0</v>
      </c>
      <c r="CV115" s="15"/>
      <c r="CW115" s="10">
        <f t="shared" si="72"/>
        <v>0</v>
      </c>
      <c r="CX115" s="15"/>
      <c r="CY115" s="10">
        <f t="shared" si="73"/>
        <v>0</v>
      </c>
      <c r="CZ115" s="15"/>
      <c r="DA115" s="10">
        <f t="shared" si="74"/>
        <v>0</v>
      </c>
      <c r="DB115" s="15"/>
      <c r="DC115" s="10">
        <f t="shared" si="75"/>
        <v>0</v>
      </c>
      <c r="DD115" s="15"/>
      <c r="DE115" s="10">
        <f t="shared" si="75"/>
        <v>0</v>
      </c>
      <c r="DF115" s="16">
        <f t="shared" si="58"/>
        <v>0</v>
      </c>
      <c r="DG115" s="208">
        <f t="shared" si="76"/>
        <v>0</v>
      </c>
    </row>
    <row r="116" spans="1:111">
      <c r="A116" s="7">
        <v>92</v>
      </c>
      <c r="B116" s="8" t="s">
        <v>321</v>
      </c>
      <c r="C116" s="8" t="s">
        <v>14</v>
      </c>
      <c r="D116" s="7">
        <f>RANK(DF116,$DF$4:$DF$141)</f>
        <v>31</v>
      </c>
      <c r="E116" s="7">
        <v>0.75</v>
      </c>
      <c r="F116" s="7" t="s">
        <v>12</v>
      </c>
      <c r="G116" s="7"/>
      <c r="H116" s="15"/>
      <c r="I116" s="10"/>
      <c r="J116" s="15"/>
      <c r="K116" s="10"/>
      <c r="L116" s="15"/>
      <c r="M116" s="10"/>
      <c r="N116" s="15"/>
      <c r="O116" s="10"/>
      <c r="P116" s="15"/>
      <c r="Q116" s="10"/>
      <c r="R116" s="15"/>
      <c r="S116" s="10"/>
      <c r="T116" s="15"/>
      <c r="U116" s="10"/>
      <c r="V116" s="15"/>
      <c r="W116" s="10"/>
      <c r="X116" s="15"/>
      <c r="Y116" s="10"/>
      <c r="Z116" s="15"/>
      <c r="AA116" s="10"/>
      <c r="AB116" s="15"/>
      <c r="AC116" s="10"/>
      <c r="AD116" s="15"/>
      <c r="AE116" s="10"/>
      <c r="AF116" s="11">
        <f t="shared" si="112"/>
        <v>0</v>
      </c>
      <c r="AG116" s="12">
        <f t="shared" si="60"/>
        <v>0</v>
      </c>
      <c r="AH116" s="15"/>
      <c r="AI116" s="10"/>
      <c r="AJ116" s="15"/>
      <c r="AK116" s="10"/>
      <c r="AL116" s="15"/>
      <c r="AM116" s="10"/>
      <c r="AN116" s="15"/>
      <c r="AO116" s="10"/>
      <c r="AP116" s="15"/>
      <c r="AQ116" s="10"/>
      <c r="AR116" s="15"/>
      <c r="AS116" s="10"/>
      <c r="AT116" s="15"/>
      <c r="AU116" s="10"/>
      <c r="AV116" s="15"/>
      <c r="AW116" s="10"/>
      <c r="AX116" s="15"/>
      <c r="AY116" s="10"/>
      <c r="AZ116" s="15"/>
      <c r="BA116" s="10"/>
      <c r="BB116" s="15"/>
      <c r="BC116" s="10"/>
      <c r="BD116" s="15"/>
      <c r="BE116" s="10"/>
      <c r="BF116" s="11">
        <f t="shared" si="61"/>
        <v>0</v>
      </c>
      <c r="BG116" s="12">
        <f t="shared" si="62"/>
        <v>0</v>
      </c>
      <c r="BH116" s="15"/>
      <c r="BI116" s="10"/>
      <c r="BJ116" s="15"/>
      <c r="BK116" s="10"/>
      <c r="BL116" s="15"/>
      <c r="BM116" s="10"/>
      <c r="BN116" s="15"/>
      <c r="BO116" s="10"/>
      <c r="BP116" s="15"/>
      <c r="BQ116" s="10"/>
      <c r="BR116" s="15"/>
      <c r="BS116" s="10"/>
      <c r="BT116" s="15"/>
      <c r="BU116" s="10"/>
      <c r="BV116" s="15"/>
      <c r="BW116" s="10"/>
      <c r="BX116" s="15"/>
      <c r="BY116" s="10"/>
      <c r="BZ116" s="15"/>
      <c r="CA116" s="10"/>
      <c r="CB116" s="15"/>
      <c r="CC116" s="10"/>
      <c r="CD116" s="15"/>
      <c r="CE116" s="10"/>
      <c r="CF116" s="11">
        <f t="shared" si="63"/>
        <v>0</v>
      </c>
      <c r="CG116" s="12">
        <f t="shared" si="64"/>
        <v>0</v>
      </c>
      <c r="CH116" s="15"/>
      <c r="CI116" s="10">
        <f>CH116*$E116</f>
        <v>0</v>
      </c>
      <c r="CJ116" s="15"/>
      <c r="CK116" s="10">
        <f>CJ116*$E116</f>
        <v>0</v>
      </c>
      <c r="CL116" s="15"/>
      <c r="CM116" s="10">
        <f>CL116*$E116</f>
        <v>0</v>
      </c>
      <c r="CN116" s="15"/>
      <c r="CO116" s="10">
        <f>CN116*$E116</f>
        <v>0</v>
      </c>
      <c r="CP116" s="15"/>
      <c r="CQ116" s="10">
        <f>CP116*$E116</f>
        <v>0</v>
      </c>
      <c r="CR116" s="15"/>
      <c r="CS116" s="10">
        <f>CR116*$E116</f>
        <v>0</v>
      </c>
      <c r="CT116" s="15"/>
      <c r="CU116" s="10">
        <f>CT116*$E116</f>
        <v>0</v>
      </c>
      <c r="CV116" s="15"/>
      <c r="CW116" s="10">
        <f>CV116*$E116</f>
        <v>0</v>
      </c>
      <c r="CX116" s="15"/>
      <c r="CY116" s="10">
        <f>CX116*$E116</f>
        <v>0</v>
      </c>
      <c r="CZ116" s="15"/>
      <c r="DA116" s="10">
        <f>CZ116*$E116</f>
        <v>0</v>
      </c>
      <c r="DB116" s="15"/>
      <c r="DC116" s="10">
        <f>DB116*$E116</f>
        <v>0</v>
      </c>
      <c r="DD116" s="15"/>
      <c r="DE116" s="10">
        <f>DD116*$E116</f>
        <v>0</v>
      </c>
      <c r="DF116" s="16">
        <f t="shared" si="58"/>
        <v>0</v>
      </c>
      <c r="DG116" s="208">
        <f>DF116*$E116</f>
        <v>0</v>
      </c>
    </row>
    <row r="117" spans="1:111">
      <c r="A117" s="7">
        <v>93</v>
      </c>
      <c r="B117" s="8" t="s">
        <v>321</v>
      </c>
      <c r="C117" s="8" t="s">
        <v>322</v>
      </c>
      <c r="D117" s="7">
        <f>RANK(DF117,$DF$4:$DF$141)</f>
        <v>31</v>
      </c>
      <c r="E117" s="7">
        <v>0.6</v>
      </c>
      <c r="F117" s="7" t="s">
        <v>12</v>
      </c>
      <c r="G117" s="7">
        <v>835</v>
      </c>
      <c r="H117" s="15"/>
      <c r="I117" s="10"/>
      <c r="J117" s="15"/>
      <c r="K117" s="10"/>
      <c r="L117" s="15"/>
      <c r="M117" s="10"/>
      <c r="N117" s="15"/>
      <c r="O117" s="10"/>
      <c r="P117" s="15"/>
      <c r="Q117" s="10"/>
      <c r="R117" s="15"/>
      <c r="S117" s="10"/>
      <c r="T117" s="15"/>
      <c r="U117" s="10"/>
      <c r="V117" s="15"/>
      <c r="W117" s="10"/>
      <c r="X117" s="15"/>
      <c r="Y117" s="10"/>
      <c r="Z117" s="15"/>
      <c r="AA117" s="10"/>
      <c r="AB117" s="15"/>
      <c r="AC117" s="10"/>
      <c r="AD117" s="15"/>
      <c r="AE117" s="10"/>
      <c r="AF117" s="11">
        <f t="shared" si="112"/>
        <v>0</v>
      </c>
      <c r="AG117" s="12">
        <f t="shared" si="60"/>
        <v>0</v>
      </c>
      <c r="AH117" s="15"/>
      <c r="AI117" s="10"/>
      <c r="AJ117" s="15"/>
      <c r="AK117" s="10"/>
      <c r="AL117" s="15"/>
      <c r="AM117" s="10"/>
      <c r="AN117" s="15"/>
      <c r="AO117" s="10"/>
      <c r="AP117" s="15"/>
      <c r="AQ117" s="10"/>
      <c r="AR117" s="15"/>
      <c r="AS117" s="10"/>
      <c r="AT117" s="15"/>
      <c r="AU117" s="10"/>
      <c r="AV117" s="15"/>
      <c r="AW117" s="10"/>
      <c r="AX117" s="15"/>
      <c r="AY117" s="10"/>
      <c r="AZ117" s="15"/>
      <c r="BA117" s="10"/>
      <c r="BB117" s="15"/>
      <c r="BC117" s="10"/>
      <c r="BD117" s="15"/>
      <c r="BE117" s="10"/>
      <c r="BF117" s="11">
        <f t="shared" si="61"/>
        <v>0</v>
      </c>
      <c r="BG117" s="12">
        <f t="shared" si="62"/>
        <v>0</v>
      </c>
      <c r="BH117" s="15"/>
      <c r="BI117" s="10"/>
      <c r="BJ117" s="15"/>
      <c r="BK117" s="10"/>
      <c r="BL117" s="15"/>
      <c r="BM117" s="10"/>
      <c r="BN117" s="15"/>
      <c r="BO117" s="10"/>
      <c r="BP117" s="15"/>
      <c r="BQ117" s="10"/>
      <c r="BR117" s="15"/>
      <c r="BS117" s="10"/>
      <c r="BT117" s="15"/>
      <c r="BU117" s="10"/>
      <c r="BV117" s="15"/>
      <c r="BW117" s="10"/>
      <c r="BX117" s="15"/>
      <c r="BY117" s="10"/>
      <c r="BZ117" s="15"/>
      <c r="CA117" s="10"/>
      <c r="CB117" s="15"/>
      <c r="CC117" s="10"/>
      <c r="CD117" s="15"/>
      <c r="CE117" s="10"/>
      <c r="CF117" s="11">
        <f t="shared" si="63"/>
        <v>0</v>
      </c>
      <c r="CG117" s="12">
        <f t="shared" si="64"/>
        <v>0</v>
      </c>
      <c r="CH117" s="15"/>
      <c r="CI117" s="10">
        <f t="shared" ref="CI117:CI141" si="116">CH117*$E117</f>
        <v>0</v>
      </c>
      <c r="CJ117" s="15"/>
      <c r="CK117" s="10">
        <f t="shared" ref="CK117:CK141" si="117">CJ117*$E117</f>
        <v>0</v>
      </c>
      <c r="CL117" s="15"/>
      <c r="CM117" s="10">
        <f t="shared" ref="CM117:CM141" si="118">CL117*$E117</f>
        <v>0</v>
      </c>
      <c r="CN117" s="15"/>
      <c r="CO117" s="10">
        <f t="shared" ref="CO117:CO141" si="119">CN117*$E117</f>
        <v>0</v>
      </c>
      <c r="CP117" s="15"/>
      <c r="CQ117" s="10">
        <f t="shared" ref="CQ117:CQ141" si="120">CP117*$E117</f>
        <v>0</v>
      </c>
      <c r="CR117" s="15"/>
      <c r="CS117" s="10">
        <f t="shared" ref="CS117:CS141" si="121">CR117*$E117</f>
        <v>0</v>
      </c>
      <c r="CT117" s="15"/>
      <c r="CU117" s="10">
        <f t="shared" ref="CU117:CU141" si="122">CT117*$E117</f>
        <v>0</v>
      </c>
      <c r="CV117" s="15"/>
      <c r="CW117" s="10">
        <f t="shared" ref="CW117:CW141" si="123">CV117*$E117</f>
        <v>0</v>
      </c>
      <c r="CX117" s="15"/>
      <c r="CY117" s="10">
        <f t="shared" ref="CY117:CY141" si="124">CX117*$E117</f>
        <v>0</v>
      </c>
      <c r="CZ117" s="15"/>
      <c r="DA117" s="10">
        <f t="shared" ref="DA117:DA141" si="125">CZ117*$E117</f>
        <v>0</v>
      </c>
      <c r="DB117" s="15"/>
      <c r="DC117" s="10">
        <f t="shared" ref="DC117:DE141" si="126">DB117*$E117</f>
        <v>0</v>
      </c>
      <c r="DD117" s="15"/>
      <c r="DE117" s="10">
        <f t="shared" si="126"/>
        <v>0</v>
      </c>
      <c r="DF117" s="16">
        <f t="shared" si="58"/>
        <v>0</v>
      </c>
      <c r="DG117" s="208">
        <f t="shared" ref="DG117:DG141" si="127">DF117*$E117</f>
        <v>0</v>
      </c>
    </row>
    <row r="118" spans="1:111">
      <c r="A118" s="7">
        <v>94</v>
      </c>
      <c r="B118" s="8" t="s">
        <v>321</v>
      </c>
      <c r="C118" s="8" t="s">
        <v>11</v>
      </c>
      <c r="D118" s="7">
        <f>RANK(DF118,$DF$4:$DF$141)</f>
        <v>31</v>
      </c>
      <c r="E118" s="7">
        <v>0.64</v>
      </c>
      <c r="F118" s="7" t="s">
        <v>323</v>
      </c>
      <c r="G118" s="7"/>
      <c r="H118" s="15"/>
      <c r="I118" s="10"/>
      <c r="J118" s="15"/>
      <c r="K118" s="10"/>
      <c r="L118" s="15"/>
      <c r="M118" s="10"/>
      <c r="N118" s="15"/>
      <c r="O118" s="10"/>
      <c r="P118" s="15"/>
      <c r="Q118" s="10"/>
      <c r="R118" s="15"/>
      <c r="S118" s="10"/>
      <c r="T118" s="15"/>
      <c r="U118" s="10"/>
      <c r="V118" s="15"/>
      <c r="W118" s="10"/>
      <c r="X118" s="15"/>
      <c r="Y118" s="10"/>
      <c r="Z118" s="15"/>
      <c r="AA118" s="10"/>
      <c r="AB118" s="15"/>
      <c r="AC118" s="10"/>
      <c r="AD118" s="15"/>
      <c r="AE118" s="10"/>
      <c r="AF118" s="11">
        <f t="shared" si="112"/>
        <v>0</v>
      </c>
      <c r="AG118" s="12">
        <f t="shared" si="60"/>
        <v>0</v>
      </c>
      <c r="AH118" s="15"/>
      <c r="AI118" s="10"/>
      <c r="AJ118" s="15"/>
      <c r="AK118" s="10"/>
      <c r="AL118" s="15"/>
      <c r="AM118" s="10"/>
      <c r="AN118" s="15"/>
      <c r="AO118" s="10"/>
      <c r="AP118" s="15"/>
      <c r="AQ118" s="10"/>
      <c r="AR118" s="15"/>
      <c r="AS118" s="10"/>
      <c r="AT118" s="15"/>
      <c r="AU118" s="10"/>
      <c r="AV118" s="15"/>
      <c r="AW118" s="10"/>
      <c r="AX118" s="15"/>
      <c r="AY118" s="10"/>
      <c r="AZ118" s="15"/>
      <c r="BA118" s="10"/>
      <c r="BB118" s="15"/>
      <c r="BC118" s="10"/>
      <c r="BD118" s="15"/>
      <c r="BE118" s="10"/>
      <c r="BF118" s="11">
        <f t="shared" si="61"/>
        <v>0</v>
      </c>
      <c r="BG118" s="12">
        <f t="shared" si="62"/>
        <v>0</v>
      </c>
      <c r="BH118" s="15"/>
      <c r="BI118" s="10"/>
      <c r="BJ118" s="15"/>
      <c r="BK118" s="10"/>
      <c r="BL118" s="15"/>
      <c r="BM118" s="10"/>
      <c r="BN118" s="15"/>
      <c r="BO118" s="10"/>
      <c r="BP118" s="15"/>
      <c r="BQ118" s="10"/>
      <c r="BR118" s="15"/>
      <c r="BS118" s="10"/>
      <c r="BT118" s="15"/>
      <c r="BU118" s="10"/>
      <c r="BV118" s="15"/>
      <c r="BW118" s="10"/>
      <c r="BX118" s="15"/>
      <c r="BY118" s="10"/>
      <c r="BZ118" s="15"/>
      <c r="CA118" s="10"/>
      <c r="CB118" s="15"/>
      <c r="CC118" s="10"/>
      <c r="CD118" s="15"/>
      <c r="CE118" s="10"/>
      <c r="CF118" s="11">
        <f t="shared" si="63"/>
        <v>0</v>
      </c>
      <c r="CG118" s="12">
        <f t="shared" si="64"/>
        <v>0</v>
      </c>
      <c r="CH118" s="15"/>
      <c r="CI118" s="10">
        <f t="shared" si="116"/>
        <v>0</v>
      </c>
      <c r="CJ118" s="15"/>
      <c r="CK118" s="10">
        <f t="shared" si="117"/>
        <v>0</v>
      </c>
      <c r="CL118" s="15"/>
      <c r="CM118" s="10">
        <f t="shared" si="118"/>
        <v>0</v>
      </c>
      <c r="CN118" s="15"/>
      <c r="CO118" s="10">
        <f t="shared" si="119"/>
        <v>0</v>
      </c>
      <c r="CP118" s="15"/>
      <c r="CQ118" s="10">
        <f t="shared" si="120"/>
        <v>0</v>
      </c>
      <c r="CR118" s="15"/>
      <c r="CS118" s="10">
        <f t="shared" si="121"/>
        <v>0</v>
      </c>
      <c r="CT118" s="15"/>
      <c r="CU118" s="10">
        <f t="shared" si="122"/>
        <v>0</v>
      </c>
      <c r="CV118" s="15"/>
      <c r="CW118" s="10">
        <f t="shared" si="123"/>
        <v>0</v>
      </c>
      <c r="CX118" s="15"/>
      <c r="CY118" s="10">
        <f t="shared" si="124"/>
        <v>0</v>
      </c>
      <c r="CZ118" s="15"/>
      <c r="DA118" s="10">
        <f t="shared" si="125"/>
        <v>0</v>
      </c>
      <c r="DB118" s="15"/>
      <c r="DC118" s="10">
        <f t="shared" si="126"/>
        <v>0</v>
      </c>
      <c r="DD118" s="15"/>
      <c r="DE118" s="10">
        <f t="shared" si="126"/>
        <v>0</v>
      </c>
      <c r="DF118" s="16">
        <f t="shared" si="58"/>
        <v>0</v>
      </c>
      <c r="DG118" s="208">
        <f t="shared" si="127"/>
        <v>0</v>
      </c>
    </row>
    <row r="119" spans="1:111">
      <c r="A119" s="7"/>
      <c r="B119" s="8"/>
      <c r="C119" s="8"/>
      <c r="D119" s="7"/>
      <c r="E119" s="7"/>
      <c r="F119" s="7"/>
      <c r="G119" s="7"/>
      <c r="H119" s="15"/>
      <c r="I119" s="10"/>
      <c r="J119" s="15"/>
      <c r="K119" s="10"/>
      <c r="L119" s="15"/>
      <c r="M119" s="10"/>
      <c r="N119" s="15"/>
      <c r="O119" s="10"/>
      <c r="P119" s="15"/>
      <c r="Q119" s="10"/>
      <c r="R119" s="15"/>
      <c r="S119" s="10"/>
      <c r="T119" s="15"/>
      <c r="U119" s="10"/>
      <c r="V119" s="15"/>
      <c r="W119" s="10"/>
      <c r="X119" s="15"/>
      <c r="Y119" s="10"/>
      <c r="Z119" s="15"/>
      <c r="AA119" s="10"/>
      <c r="AB119" s="15"/>
      <c r="AC119" s="10"/>
      <c r="AD119" s="15"/>
      <c r="AE119" s="10"/>
      <c r="AF119" s="11"/>
      <c r="AG119" s="12"/>
      <c r="AH119" s="15"/>
      <c r="AI119" s="10"/>
      <c r="AJ119" s="15"/>
      <c r="AK119" s="10"/>
      <c r="AL119" s="15"/>
      <c r="AM119" s="10"/>
      <c r="AN119" s="15"/>
      <c r="AO119" s="10"/>
      <c r="AP119" s="15"/>
      <c r="AQ119" s="10"/>
      <c r="AR119" s="15"/>
      <c r="AS119" s="10"/>
      <c r="AT119" s="15"/>
      <c r="AU119" s="10"/>
      <c r="AV119" s="15"/>
      <c r="AW119" s="10"/>
      <c r="AX119" s="15"/>
      <c r="AY119" s="10"/>
      <c r="AZ119" s="15"/>
      <c r="BA119" s="10"/>
      <c r="BB119" s="15"/>
      <c r="BC119" s="10"/>
      <c r="BD119" s="15"/>
      <c r="BE119" s="10"/>
      <c r="BF119" s="11"/>
      <c r="BG119" s="12"/>
      <c r="BH119" s="15"/>
      <c r="BI119" s="10"/>
      <c r="BJ119" s="15"/>
      <c r="BK119" s="10"/>
      <c r="BL119" s="15"/>
      <c r="BM119" s="10"/>
      <c r="BN119" s="15"/>
      <c r="BO119" s="10"/>
      <c r="BP119" s="15"/>
      <c r="BQ119" s="10"/>
      <c r="BR119" s="15"/>
      <c r="BS119" s="10"/>
      <c r="BT119" s="15"/>
      <c r="BU119" s="10"/>
      <c r="BV119" s="15"/>
      <c r="BW119" s="10"/>
      <c r="BX119" s="15"/>
      <c r="BY119" s="10"/>
      <c r="BZ119" s="15"/>
      <c r="CA119" s="10"/>
      <c r="CB119" s="15"/>
      <c r="CC119" s="10"/>
      <c r="CD119" s="15"/>
      <c r="CE119" s="10"/>
      <c r="CF119" s="11"/>
      <c r="CG119" s="12"/>
      <c r="CH119" s="15"/>
      <c r="CI119" s="10"/>
      <c r="CJ119" s="15"/>
      <c r="CK119" s="10"/>
      <c r="CL119" s="15"/>
      <c r="CM119" s="10"/>
      <c r="CN119" s="15"/>
      <c r="CO119" s="10"/>
      <c r="CP119" s="15"/>
      <c r="CQ119" s="10"/>
      <c r="CR119" s="15"/>
      <c r="CS119" s="10"/>
      <c r="CT119" s="15"/>
      <c r="CU119" s="10"/>
      <c r="CV119" s="15"/>
      <c r="CW119" s="10"/>
      <c r="CX119" s="15"/>
      <c r="CY119" s="10"/>
      <c r="CZ119" s="15"/>
      <c r="DA119" s="10"/>
      <c r="DB119" s="15"/>
      <c r="DC119" s="10"/>
      <c r="DD119" s="15"/>
      <c r="DE119" s="10"/>
      <c r="DF119" s="16"/>
      <c r="DG119" s="208"/>
    </row>
    <row r="120" spans="1:111">
      <c r="A120" s="7">
        <v>95</v>
      </c>
      <c r="B120" s="8" t="s">
        <v>324</v>
      </c>
      <c r="C120" s="8" t="s">
        <v>322</v>
      </c>
      <c r="D120" s="7">
        <f t="shared" ref="D120:D135" si="128">RANK(DF120,$DF$4:$DF$141)</f>
        <v>31</v>
      </c>
      <c r="E120" s="7">
        <v>1</v>
      </c>
      <c r="F120" s="7" t="s">
        <v>149</v>
      </c>
      <c r="G120" s="7">
        <v>2170</v>
      </c>
      <c r="H120" s="15"/>
      <c r="I120" s="10"/>
      <c r="J120" s="15"/>
      <c r="K120" s="10"/>
      <c r="L120" s="15"/>
      <c r="M120" s="10"/>
      <c r="N120" s="15"/>
      <c r="O120" s="10"/>
      <c r="P120" s="15"/>
      <c r="Q120" s="10"/>
      <c r="R120" s="15"/>
      <c r="S120" s="10"/>
      <c r="T120" s="15"/>
      <c r="U120" s="10"/>
      <c r="V120" s="15"/>
      <c r="W120" s="10"/>
      <c r="X120" s="15"/>
      <c r="Y120" s="10"/>
      <c r="Z120" s="15"/>
      <c r="AA120" s="10"/>
      <c r="AB120" s="15"/>
      <c r="AC120" s="10"/>
      <c r="AD120" s="15"/>
      <c r="AE120" s="10"/>
      <c r="AF120" s="11"/>
      <c r="AG120" s="12"/>
      <c r="AH120" s="15"/>
      <c r="AI120" s="10"/>
      <c r="AJ120" s="15"/>
      <c r="AK120" s="10"/>
      <c r="AL120" s="15"/>
      <c r="AM120" s="10"/>
      <c r="AN120" s="15"/>
      <c r="AO120" s="10"/>
      <c r="AP120" s="15"/>
      <c r="AQ120" s="10"/>
      <c r="AR120" s="15"/>
      <c r="AS120" s="10"/>
      <c r="AT120" s="15"/>
      <c r="AU120" s="10"/>
      <c r="AV120" s="15"/>
      <c r="AW120" s="10"/>
      <c r="AX120" s="15"/>
      <c r="AY120" s="10"/>
      <c r="AZ120" s="15"/>
      <c r="BA120" s="10"/>
      <c r="BB120" s="15"/>
      <c r="BC120" s="10"/>
      <c r="BD120" s="15"/>
      <c r="BE120" s="10"/>
      <c r="BF120" s="11"/>
      <c r="BG120" s="12"/>
      <c r="BH120" s="15"/>
      <c r="BI120" s="10"/>
      <c r="BJ120" s="15"/>
      <c r="BK120" s="10"/>
      <c r="BL120" s="15"/>
      <c r="BM120" s="10"/>
      <c r="BN120" s="15"/>
      <c r="BO120" s="10"/>
      <c r="BP120" s="15"/>
      <c r="BQ120" s="10"/>
      <c r="BR120" s="15"/>
      <c r="BS120" s="10"/>
      <c r="BT120" s="15"/>
      <c r="BU120" s="10"/>
      <c r="BV120" s="15"/>
      <c r="BW120" s="10"/>
      <c r="BX120" s="15"/>
      <c r="BY120" s="10"/>
      <c r="BZ120" s="15"/>
      <c r="CA120" s="10"/>
      <c r="CB120" s="15"/>
      <c r="CC120" s="10"/>
      <c r="CD120" s="15"/>
      <c r="CE120" s="10"/>
      <c r="CF120" s="11"/>
      <c r="CG120" s="12"/>
      <c r="CH120" s="15"/>
      <c r="CI120" s="10">
        <f t="shared" si="116"/>
        <v>0</v>
      </c>
      <c r="CJ120" s="15"/>
      <c r="CK120" s="10">
        <f t="shared" si="117"/>
        <v>0</v>
      </c>
      <c r="CL120" s="15"/>
      <c r="CM120" s="10">
        <f t="shared" si="118"/>
        <v>0</v>
      </c>
      <c r="CN120" s="15"/>
      <c r="CO120" s="10">
        <f t="shared" ref="CO120:CO124" si="129">CN120*$E120</f>
        <v>0</v>
      </c>
      <c r="CP120" s="15"/>
      <c r="CQ120" s="10">
        <f t="shared" ref="CQ120:CQ124" si="130">CP120*$E120</f>
        <v>0</v>
      </c>
      <c r="CR120" s="15"/>
      <c r="CS120" s="10">
        <f t="shared" ref="CS120:CS124" si="131">CR120*$E120</f>
        <v>0</v>
      </c>
      <c r="CT120" s="15"/>
      <c r="CU120" s="10">
        <f t="shared" ref="CU120:CU124" si="132">CT120*$E120</f>
        <v>0</v>
      </c>
      <c r="CV120" s="15"/>
      <c r="CW120" s="10">
        <f t="shared" ref="CW120:CW124" si="133">CV120*$E120</f>
        <v>0</v>
      </c>
      <c r="CX120" s="15"/>
      <c r="CY120" s="10">
        <f t="shared" ref="CY120:CY124" si="134">CX120*$E120</f>
        <v>0</v>
      </c>
      <c r="CZ120" s="15"/>
      <c r="DA120" s="10">
        <f t="shared" ref="DA120:DA124" si="135">CZ120*$E120</f>
        <v>0</v>
      </c>
      <c r="DB120" s="15"/>
      <c r="DC120" s="10">
        <f t="shared" ref="DC120:DC124" si="136">DB120*$E120</f>
        <v>0</v>
      </c>
      <c r="DD120" s="15"/>
      <c r="DE120" s="10">
        <f t="shared" ref="DE120:DE124" si="137">DD120*$E120</f>
        <v>0</v>
      </c>
      <c r="DF120" s="16">
        <f t="shared" ref="DF120:DF124" si="138">SUM(CH120,CJ120,CL120,CN120,CP120,CR120,CT120,CV120,CX120,CZ120,DB120,DD120)</f>
        <v>0</v>
      </c>
      <c r="DG120" s="208">
        <f t="shared" ref="DG120:DG124" si="139">DF120*$E120</f>
        <v>0</v>
      </c>
    </row>
    <row r="121" spans="1:111">
      <c r="A121" s="7">
        <v>96</v>
      </c>
      <c r="B121" s="8" t="s">
        <v>326</v>
      </c>
      <c r="C121" s="8" t="s">
        <v>322</v>
      </c>
      <c r="D121" s="7">
        <f t="shared" si="128"/>
        <v>31</v>
      </c>
      <c r="E121" s="7">
        <v>1</v>
      </c>
      <c r="F121" s="7" t="s">
        <v>149</v>
      </c>
      <c r="G121" s="7"/>
      <c r="H121" s="15"/>
      <c r="I121" s="10"/>
      <c r="J121" s="15"/>
      <c r="K121" s="10"/>
      <c r="L121" s="15"/>
      <c r="M121" s="10"/>
      <c r="N121" s="15"/>
      <c r="O121" s="10"/>
      <c r="P121" s="15"/>
      <c r="Q121" s="10"/>
      <c r="R121" s="15"/>
      <c r="S121" s="10"/>
      <c r="T121" s="15"/>
      <c r="U121" s="10"/>
      <c r="V121" s="15"/>
      <c r="W121" s="10"/>
      <c r="X121" s="15"/>
      <c r="Y121" s="10"/>
      <c r="Z121" s="15"/>
      <c r="AA121" s="10"/>
      <c r="AB121" s="15"/>
      <c r="AC121" s="10"/>
      <c r="AD121" s="15"/>
      <c r="AE121" s="10"/>
      <c r="AF121" s="11"/>
      <c r="AG121" s="12"/>
      <c r="AH121" s="15"/>
      <c r="AI121" s="10"/>
      <c r="AJ121" s="15"/>
      <c r="AK121" s="10"/>
      <c r="AL121" s="15"/>
      <c r="AM121" s="10"/>
      <c r="AN121" s="15"/>
      <c r="AO121" s="10"/>
      <c r="AP121" s="15"/>
      <c r="AQ121" s="10"/>
      <c r="AR121" s="15"/>
      <c r="AS121" s="10"/>
      <c r="AT121" s="15"/>
      <c r="AU121" s="10"/>
      <c r="AV121" s="15"/>
      <c r="AW121" s="10"/>
      <c r="AX121" s="15"/>
      <c r="AY121" s="10"/>
      <c r="AZ121" s="15"/>
      <c r="BA121" s="10"/>
      <c r="BB121" s="15"/>
      <c r="BC121" s="10"/>
      <c r="BD121" s="15"/>
      <c r="BE121" s="10"/>
      <c r="BF121" s="11"/>
      <c r="BG121" s="12"/>
      <c r="BH121" s="15"/>
      <c r="BI121" s="10"/>
      <c r="BJ121" s="15"/>
      <c r="BK121" s="10"/>
      <c r="BL121" s="15"/>
      <c r="BM121" s="10"/>
      <c r="BN121" s="15"/>
      <c r="BO121" s="10"/>
      <c r="BP121" s="15"/>
      <c r="BQ121" s="10"/>
      <c r="BR121" s="15"/>
      <c r="BS121" s="10"/>
      <c r="BT121" s="15"/>
      <c r="BU121" s="10"/>
      <c r="BV121" s="15"/>
      <c r="BW121" s="10"/>
      <c r="BX121" s="15"/>
      <c r="BY121" s="10"/>
      <c r="BZ121" s="15"/>
      <c r="CA121" s="10"/>
      <c r="CB121" s="15"/>
      <c r="CC121" s="10"/>
      <c r="CD121" s="15"/>
      <c r="CE121" s="10"/>
      <c r="CF121" s="11"/>
      <c r="CG121" s="12"/>
      <c r="CH121" s="15"/>
      <c r="CI121" s="10">
        <f t="shared" si="116"/>
        <v>0</v>
      </c>
      <c r="CJ121" s="15"/>
      <c r="CK121" s="10">
        <f t="shared" si="117"/>
        <v>0</v>
      </c>
      <c r="CL121" s="15"/>
      <c r="CM121" s="10">
        <f t="shared" si="118"/>
        <v>0</v>
      </c>
      <c r="CN121" s="15"/>
      <c r="CO121" s="10">
        <f t="shared" si="129"/>
        <v>0</v>
      </c>
      <c r="CP121" s="15"/>
      <c r="CQ121" s="10">
        <f t="shared" si="130"/>
        <v>0</v>
      </c>
      <c r="CR121" s="15"/>
      <c r="CS121" s="10">
        <f t="shared" si="131"/>
        <v>0</v>
      </c>
      <c r="CT121" s="15"/>
      <c r="CU121" s="10">
        <f t="shared" si="132"/>
        <v>0</v>
      </c>
      <c r="CV121" s="15"/>
      <c r="CW121" s="10">
        <f t="shared" si="133"/>
        <v>0</v>
      </c>
      <c r="CX121" s="15"/>
      <c r="CY121" s="10">
        <f t="shared" si="134"/>
        <v>0</v>
      </c>
      <c r="CZ121" s="15"/>
      <c r="DA121" s="10">
        <f t="shared" si="135"/>
        <v>0</v>
      </c>
      <c r="DB121" s="15"/>
      <c r="DC121" s="10">
        <f t="shared" si="136"/>
        <v>0</v>
      </c>
      <c r="DD121" s="15"/>
      <c r="DE121" s="10">
        <f t="shared" si="137"/>
        <v>0</v>
      </c>
      <c r="DF121" s="16">
        <f t="shared" si="138"/>
        <v>0</v>
      </c>
      <c r="DG121" s="208">
        <f t="shared" si="139"/>
        <v>0</v>
      </c>
    </row>
    <row r="122" spans="1:111">
      <c r="A122" s="7">
        <v>97</v>
      </c>
      <c r="B122" s="8" t="s">
        <v>325</v>
      </c>
      <c r="C122" s="8" t="s">
        <v>322</v>
      </c>
      <c r="D122" s="7">
        <f t="shared" si="128"/>
        <v>22</v>
      </c>
      <c r="E122" s="7">
        <v>1</v>
      </c>
      <c r="F122" s="7" t="s">
        <v>138</v>
      </c>
      <c r="G122" s="7">
        <v>1850</v>
      </c>
      <c r="H122" s="15"/>
      <c r="I122" s="10"/>
      <c r="J122" s="15"/>
      <c r="K122" s="10"/>
      <c r="L122" s="15"/>
      <c r="M122" s="10"/>
      <c r="N122" s="15"/>
      <c r="O122" s="10"/>
      <c r="P122" s="15"/>
      <c r="Q122" s="10"/>
      <c r="R122" s="15"/>
      <c r="S122" s="10"/>
      <c r="T122" s="15"/>
      <c r="U122" s="10"/>
      <c r="V122" s="15"/>
      <c r="W122" s="10"/>
      <c r="X122" s="15"/>
      <c r="Y122" s="10"/>
      <c r="Z122" s="15"/>
      <c r="AA122" s="10"/>
      <c r="AB122" s="15"/>
      <c r="AC122" s="10"/>
      <c r="AD122" s="15"/>
      <c r="AE122" s="10"/>
      <c r="AF122" s="11"/>
      <c r="AG122" s="12"/>
      <c r="AH122" s="15"/>
      <c r="AI122" s="10"/>
      <c r="AJ122" s="15"/>
      <c r="AK122" s="10"/>
      <c r="AL122" s="15"/>
      <c r="AM122" s="10"/>
      <c r="AN122" s="15"/>
      <c r="AO122" s="10"/>
      <c r="AP122" s="15"/>
      <c r="AQ122" s="10"/>
      <c r="AR122" s="15"/>
      <c r="AS122" s="10"/>
      <c r="AT122" s="15"/>
      <c r="AU122" s="10"/>
      <c r="AV122" s="15"/>
      <c r="AW122" s="10"/>
      <c r="AX122" s="15"/>
      <c r="AY122" s="10"/>
      <c r="AZ122" s="15"/>
      <c r="BA122" s="10"/>
      <c r="BB122" s="15"/>
      <c r="BC122" s="10"/>
      <c r="BD122" s="15"/>
      <c r="BE122" s="10"/>
      <c r="BF122" s="11"/>
      <c r="BG122" s="12"/>
      <c r="BH122" s="15"/>
      <c r="BI122" s="10"/>
      <c r="BJ122" s="15"/>
      <c r="BK122" s="10"/>
      <c r="BL122" s="15"/>
      <c r="BM122" s="10"/>
      <c r="BN122" s="15"/>
      <c r="BO122" s="10"/>
      <c r="BP122" s="15"/>
      <c r="BQ122" s="10"/>
      <c r="BR122" s="15"/>
      <c r="BS122" s="10"/>
      <c r="BT122" s="15"/>
      <c r="BU122" s="10"/>
      <c r="BV122" s="15"/>
      <c r="BW122" s="10"/>
      <c r="BX122" s="15"/>
      <c r="BY122" s="10"/>
      <c r="BZ122" s="15"/>
      <c r="CA122" s="10"/>
      <c r="CB122" s="15"/>
      <c r="CC122" s="10"/>
      <c r="CD122" s="15"/>
      <c r="CE122" s="10"/>
      <c r="CF122" s="11"/>
      <c r="CG122" s="12"/>
      <c r="CH122" s="15"/>
      <c r="CI122" s="10">
        <f t="shared" si="116"/>
        <v>0</v>
      </c>
      <c r="CJ122" s="15"/>
      <c r="CK122" s="10">
        <f t="shared" si="117"/>
        <v>0</v>
      </c>
      <c r="CL122" s="15"/>
      <c r="CM122" s="10">
        <f t="shared" si="118"/>
        <v>0</v>
      </c>
      <c r="CN122" s="15"/>
      <c r="CO122" s="10">
        <f t="shared" si="129"/>
        <v>0</v>
      </c>
      <c r="CP122" s="15"/>
      <c r="CQ122" s="10">
        <f t="shared" si="130"/>
        <v>0</v>
      </c>
      <c r="CR122" s="15"/>
      <c r="CS122" s="10">
        <f t="shared" si="131"/>
        <v>0</v>
      </c>
      <c r="CT122" s="15"/>
      <c r="CU122" s="10">
        <f t="shared" si="132"/>
        <v>0</v>
      </c>
      <c r="CV122" s="15">
        <v>67</v>
      </c>
      <c r="CW122" s="10">
        <f t="shared" si="133"/>
        <v>67</v>
      </c>
      <c r="CX122" s="15">
        <v>1473</v>
      </c>
      <c r="CY122" s="10">
        <f t="shared" si="134"/>
        <v>1473</v>
      </c>
      <c r="CZ122" s="15">
        <v>1898</v>
      </c>
      <c r="DA122" s="10">
        <f t="shared" si="135"/>
        <v>1898</v>
      </c>
      <c r="DB122" s="15">
        <v>1113</v>
      </c>
      <c r="DC122" s="10">
        <f t="shared" si="136"/>
        <v>1113</v>
      </c>
      <c r="DD122" s="15">
        <v>938</v>
      </c>
      <c r="DE122" s="10">
        <f t="shared" si="137"/>
        <v>938</v>
      </c>
      <c r="DF122" s="16">
        <f t="shared" si="138"/>
        <v>5489</v>
      </c>
      <c r="DG122" s="208">
        <f t="shared" si="139"/>
        <v>5489</v>
      </c>
    </row>
    <row r="123" spans="1:111">
      <c r="A123" s="7">
        <v>98</v>
      </c>
      <c r="B123" s="8" t="s">
        <v>325</v>
      </c>
      <c r="C123" s="8" t="s">
        <v>11</v>
      </c>
      <c r="D123" s="7">
        <f t="shared" si="128"/>
        <v>19</v>
      </c>
      <c r="E123" s="7">
        <v>0.68</v>
      </c>
      <c r="F123" s="7" t="s">
        <v>138</v>
      </c>
      <c r="G123" s="7">
        <v>1800</v>
      </c>
      <c r="H123" s="15"/>
      <c r="I123" s="10"/>
      <c r="J123" s="15"/>
      <c r="K123" s="10"/>
      <c r="L123" s="15"/>
      <c r="M123" s="10"/>
      <c r="N123" s="15"/>
      <c r="O123" s="10"/>
      <c r="P123" s="15"/>
      <c r="Q123" s="10"/>
      <c r="R123" s="15"/>
      <c r="S123" s="10"/>
      <c r="T123" s="15"/>
      <c r="U123" s="10"/>
      <c r="V123" s="15"/>
      <c r="W123" s="10"/>
      <c r="X123" s="15"/>
      <c r="Y123" s="10"/>
      <c r="Z123" s="15"/>
      <c r="AA123" s="10"/>
      <c r="AB123" s="15"/>
      <c r="AC123" s="10"/>
      <c r="AD123" s="15"/>
      <c r="AE123" s="10"/>
      <c r="AF123" s="11"/>
      <c r="AG123" s="12"/>
      <c r="AH123" s="15"/>
      <c r="AI123" s="10"/>
      <c r="AJ123" s="15"/>
      <c r="AK123" s="10"/>
      <c r="AL123" s="15"/>
      <c r="AM123" s="10"/>
      <c r="AN123" s="15"/>
      <c r="AO123" s="10"/>
      <c r="AP123" s="15"/>
      <c r="AQ123" s="10"/>
      <c r="AR123" s="15"/>
      <c r="AS123" s="10"/>
      <c r="AT123" s="15"/>
      <c r="AU123" s="10"/>
      <c r="AV123" s="15"/>
      <c r="AW123" s="10"/>
      <c r="AX123" s="15"/>
      <c r="AY123" s="10"/>
      <c r="AZ123" s="15"/>
      <c r="BA123" s="10"/>
      <c r="BB123" s="15"/>
      <c r="BC123" s="10"/>
      <c r="BD123" s="15"/>
      <c r="BE123" s="10"/>
      <c r="BF123" s="11"/>
      <c r="BG123" s="12"/>
      <c r="BH123" s="15"/>
      <c r="BI123" s="10"/>
      <c r="BJ123" s="15"/>
      <c r="BK123" s="10"/>
      <c r="BL123" s="15"/>
      <c r="BM123" s="10"/>
      <c r="BN123" s="15"/>
      <c r="BO123" s="10"/>
      <c r="BP123" s="15"/>
      <c r="BQ123" s="10"/>
      <c r="BR123" s="15"/>
      <c r="BS123" s="10"/>
      <c r="BT123" s="15"/>
      <c r="BU123" s="10"/>
      <c r="BV123" s="15"/>
      <c r="BW123" s="10"/>
      <c r="BX123" s="15"/>
      <c r="BY123" s="10"/>
      <c r="BZ123" s="15"/>
      <c r="CA123" s="10"/>
      <c r="CB123" s="15"/>
      <c r="CC123" s="10"/>
      <c r="CD123" s="15"/>
      <c r="CE123" s="10"/>
      <c r="CF123" s="11"/>
      <c r="CG123" s="12"/>
      <c r="CH123" s="15"/>
      <c r="CI123" s="10">
        <f t="shared" si="116"/>
        <v>0</v>
      </c>
      <c r="CJ123" s="15"/>
      <c r="CK123" s="10">
        <f t="shared" si="117"/>
        <v>0</v>
      </c>
      <c r="CL123" s="15"/>
      <c r="CM123" s="10">
        <f t="shared" si="118"/>
        <v>0</v>
      </c>
      <c r="CN123" s="15"/>
      <c r="CO123" s="10">
        <f t="shared" si="129"/>
        <v>0</v>
      </c>
      <c r="CP123" s="15"/>
      <c r="CQ123" s="10">
        <f t="shared" si="130"/>
        <v>0</v>
      </c>
      <c r="CR123" s="15"/>
      <c r="CS123" s="10">
        <f t="shared" si="131"/>
        <v>0</v>
      </c>
      <c r="CT123" s="15"/>
      <c r="CU123" s="10">
        <f t="shared" si="132"/>
        <v>0</v>
      </c>
      <c r="CV123" s="15">
        <v>5510</v>
      </c>
      <c r="CW123" s="10">
        <f t="shared" si="133"/>
        <v>3746.8</v>
      </c>
      <c r="CX123" s="15">
        <v>3422</v>
      </c>
      <c r="CY123" s="10">
        <f t="shared" si="134"/>
        <v>2326.96</v>
      </c>
      <c r="CZ123" s="15">
        <v>2175</v>
      </c>
      <c r="DA123" s="10">
        <f t="shared" si="135"/>
        <v>1479</v>
      </c>
      <c r="DB123" s="15">
        <v>1377</v>
      </c>
      <c r="DC123" s="10">
        <f t="shared" si="136"/>
        <v>936.36</v>
      </c>
      <c r="DD123" s="15">
        <v>1170</v>
      </c>
      <c r="DE123" s="10">
        <f t="shared" si="137"/>
        <v>795.6</v>
      </c>
      <c r="DF123" s="16">
        <f t="shared" si="138"/>
        <v>13654</v>
      </c>
      <c r="DG123" s="208">
        <f t="shared" si="139"/>
        <v>9284.7200000000012</v>
      </c>
    </row>
    <row r="124" spans="1:111">
      <c r="A124" s="7">
        <v>99</v>
      </c>
      <c r="B124" s="8" t="s">
        <v>325</v>
      </c>
      <c r="C124" s="8" t="s">
        <v>11</v>
      </c>
      <c r="D124" s="7">
        <f t="shared" si="128"/>
        <v>31</v>
      </c>
      <c r="E124" s="7">
        <v>0.64</v>
      </c>
      <c r="F124" s="7" t="s">
        <v>323</v>
      </c>
      <c r="G124" s="7">
        <v>1800</v>
      </c>
      <c r="H124" s="15"/>
      <c r="I124" s="10"/>
      <c r="J124" s="15"/>
      <c r="K124" s="10"/>
      <c r="L124" s="15"/>
      <c r="M124" s="10"/>
      <c r="N124" s="15"/>
      <c r="O124" s="10"/>
      <c r="P124" s="15"/>
      <c r="Q124" s="10"/>
      <c r="R124" s="15"/>
      <c r="S124" s="10"/>
      <c r="T124" s="15"/>
      <c r="U124" s="10"/>
      <c r="V124" s="15"/>
      <c r="W124" s="10"/>
      <c r="X124" s="15"/>
      <c r="Y124" s="10"/>
      <c r="Z124" s="15"/>
      <c r="AA124" s="10"/>
      <c r="AB124" s="15"/>
      <c r="AC124" s="10"/>
      <c r="AD124" s="15"/>
      <c r="AE124" s="10"/>
      <c r="AF124" s="11">
        <f t="shared" ref="AF124" si="140">(AD124+AB124+Z124+X124+V124+T124+R124+P124+N124+L124+J124+H124)/1</f>
        <v>0</v>
      </c>
      <c r="AG124" s="12">
        <f t="shared" ref="AG124" si="141">AF124*$E124</f>
        <v>0</v>
      </c>
      <c r="AH124" s="15"/>
      <c r="AI124" s="10"/>
      <c r="AJ124" s="15"/>
      <c r="AK124" s="10"/>
      <c r="AL124" s="15"/>
      <c r="AM124" s="10"/>
      <c r="AN124" s="15"/>
      <c r="AO124" s="10"/>
      <c r="AP124" s="15"/>
      <c r="AQ124" s="10"/>
      <c r="AR124" s="15"/>
      <c r="AS124" s="10"/>
      <c r="AT124" s="15"/>
      <c r="AU124" s="10"/>
      <c r="AV124" s="15"/>
      <c r="AW124" s="10"/>
      <c r="AX124" s="15"/>
      <c r="AY124" s="10"/>
      <c r="AZ124" s="15"/>
      <c r="BA124" s="10"/>
      <c r="BB124" s="15"/>
      <c r="BC124" s="10"/>
      <c r="BD124" s="15"/>
      <c r="BE124" s="10"/>
      <c r="BF124" s="11">
        <f t="shared" ref="BF124" si="142">(BD124+BB124+AZ124+AX124+AV124+AT124+AR124+AP124+AN124+AL124+AJ124+AH124)/1</f>
        <v>0</v>
      </c>
      <c r="BG124" s="12">
        <f t="shared" ref="BG124" si="143">BF124*$E124</f>
        <v>0</v>
      </c>
      <c r="BH124" s="15"/>
      <c r="BI124" s="10"/>
      <c r="BJ124" s="15"/>
      <c r="BK124" s="10"/>
      <c r="BL124" s="15"/>
      <c r="BM124" s="10"/>
      <c r="BN124" s="15"/>
      <c r="BO124" s="10"/>
      <c r="BP124" s="15"/>
      <c r="BQ124" s="10"/>
      <c r="BR124" s="15"/>
      <c r="BS124" s="10"/>
      <c r="BT124" s="15"/>
      <c r="BU124" s="10"/>
      <c r="BV124" s="15"/>
      <c r="BW124" s="10"/>
      <c r="BX124" s="15"/>
      <c r="BY124" s="10"/>
      <c r="BZ124" s="15"/>
      <c r="CA124" s="10"/>
      <c r="CB124" s="15"/>
      <c r="CC124" s="10"/>
      <c r="CD124" s="15"/>
      <c r="CE124" s="10"/>
      <c r="CF124" s="11">
        <f t="shared" ref="CF124" si="144">(CD124+CB124+BZ124+BX124+BV124+BT124+BR124+BP124+BN124+BL124+BJ124+BH124)/1</f>
        <v>0</v>
      </c>
      <c r="CG124" s="12">
        <f t="shared" ref="CG124" si="145">CF124*$E124</f>
        <v>0</v>
      </c>
      <c r="CH124" s="15"/>
      <c r="CI124" s="10">
        <f t="shared" ref="CI124" si="146">CH124*$E124</f>
        <v>0</v>
      </c>
      <c r="CJ124" s="15"/>
      <c r="CK124" s="10">
        <f t="shared" ref="CK124" si="147">CJ124*$E124</f>
        <v>0</v>
      </c>
      <c r="CL124" s="15"/>
      <c r="CM124" s="10">
        <f t="shared" ref="CM124" si="148">CL124*$E124</f>
        <v>0</v>
      </c>
      <c r="CN124" s="15"/>
      <c r="CO124" s="10">
        <f t="shared" si="129"/>
        <v>0</v>
      </c>
      <c r="CP124" s="15"/>
      <c r="CQ124" s="10">
        <f t="shared" si="130"/>
        <v>0</v>
      </c>
      <c r="CR124" s="15"/>
      <c r="CS124" s="10">
        <f t="shared" si="131"/>
        <v>0</v>
      </c>
      <c r="CT124" s="15"/>
      <c r="CU124" s="10">
        <f t="shared" si="132"/>
        <v>0</v>
      </c>
      <c r="CV124" s="15"/>
      <c r="CW124" s="10">
        <f t="shared" si="133"/>
        <v>0</v>
      </c>
      <c r="CX124" s="15"/>
      <c r="CY124" s="10">
        <f t="shared" si="134"/>
        <v>0</v>
      </c>
      <c r="CZ124" s="15"/>
      <c r="DA124" s="10">
        <f t="shared" si="135"/>
        <v>0</v>
      </c>
      <c r="DB124" s="15"/>
      <c r="DC124" s="10">
        <f t="shared" si="136"/>
        <v>0</v>
      </c>
      <c r="DD124" s="15"/>
      <c r="DE124" s="10">
        <f t="shared" si="137"/>
        <v>0</v>
      </c>
      <c r="DF124" s="16">
        <f t="shared" si="138"/>
        <v>0</v>
      </c>
      <c r="DG124" s="208">
        <f t="shared" si="139"/>
        <v>0</v>
      </c>
    </row>
    <row r="125" spans="1:111">
      <c r="A125" s="7">
        <v>100</v>
      </c>
      <c r="B125" s="8" t="s">
        <v>87</v>
      </c>
      <c r="C125" s="8" t="s">
        <v>14</v>
      </c>
      <c r="D125" s="7">
        <f t="shared" si="128"/>
        <v>13</v>
      </c>
      <c r="E125" s="7">
        <v>1</v>
      </c>
      <c r="F125" s="7" t="s">
        <v>88</v>
      </c>
      <c r="G125" s="7">
        <v>2100</v>
      </c>
      <c r="H125" s="15"/>
      <c r="I125" s="10">
        <f t="shared" si="77"/>
        <v>0</v>
      </c>
      <c r="J125" s="15"/>
      <c r="K125" s="10">
        <f t="shared" si="78"/>
        <v>0</v>
      </c>
      <c r="L125" s="15"/>
      <c r="M125" s="10">
        <f t="shared" si="79"/>
        <v>0</v>
      </c>
      <c r="N125" s="15"/>
      <c r="O125" s="10">
        <f t="shared" si="80"/>
        <v>0</v>
      </c>
      <c r="P125" s="15"/>
      <c r="Q125" s="10">
        <f t="shared" si="81"/>
        <v>0</v>
      </c>
      <c r="R125" s="15"/>
      <c r="S125" s="10">
        <f t="shared" si="115"/>
        <v>0</v>
      </c>
      <c r="T125" s="15"/>
      <c r="U125" s="10">
        <f t="shared" si="82"/>
        <v>0</v>
      </c>
      <c r="V125" s="15"/>
      <c r="W125" s="10">
        <f t="shared" si="83"/>
        <v>0</v>
      </c>
      <c r="X125" s="15"/>
      <c r="Y125" s="10">
        <f t="shared" si="84"/>
        <v>0</v>
      </c>
      <c r="Z125" s="15"/>
      <c r="AA125" s="10">
        <f t="shared" si="85"/>
        <v>0</v>
      </c>
      <c r="AB125" s="15"/>
      <c r="AC125" s="10">
        <f t="shared" si="86"/>
        <v>0</v>
      </c>
      <c r="AD125" s="15"/>
      <c r="AE125" s="10">
        <f t="shared" si="87"/>
        <v>0</v>
      </c>
      <c r="AF125" s="11">
        <f t="shared" si="112"/>
        <v>0</v>
      </c>
      <c r="AG125" s="12">
        <f t="shared" si="60"/>
        <v>0</v>
      </c>
      <c r="AH125" s="9"/>
      <c r="AI125" s="10">
        <f t="shared" si="88"/>
        <v>0</v>
      </c>
      <c r="AJ125" s="9"/>
      <c r="AK125" s="10">
        <f t="shared" si="89"/>
        <v>0</v>
      </c>
      <c r="AL125" s="9"/>
      <c r="AM125" s="10">
        <f t="shared" si="90"/>
        <v>0</v>
      </c>
      <c r="AN125" s="9"/>
      <c r="AO125" s="10">
        <f t="shared" si="91"/>
        <v>0</v>
      </c>
      <c r="AP125" s="9"/>
      <c r="AQ125" s="10">
        <f t="shared" si="92"/>
        <v>0</v>
      </c>
      <c r="AR125" s="9"/>
      <c r="AS125" s="10">
        <f t="shared" si="93"/>
        <v>0</v>
      </c>
      <c r="AT125" s="9"/>
      <c r="AU125" s="10">
        <f t="shared" si="94"/>
        <v>0</v>
      </c>
      <c r="AV125" s="9"/>
      <c r="AW125" s="10">
        <f t="shared" si="95"/>
        <v>0</v>
      </c>
      <c r="AX125" s="9"/>
      <c r="AY125" s="10">
        <f t="shared" si="96"/>
        <v>0</v>
      </c>
      <c r="AZ125" s="9"/>
      <c r="BA125" s="10">
        <f t="shared" si="97"/>
        <v>0</v>
      </c>
      <c r="BB125" s="9"/>
      <c r="BC125" s="10">
        <f t="shared" si="98"/>
        <v>0</v>
      </c>
      <c r="BD125" s="9">
        <v>80</v>
      </c>
      <c r="BE125" s="10">
        <f t="shared" si="99"/>
        <v>80</v>
      </c>
      <c r="BF125" s="11">
        <f t="shared" si="61"/>
        <v>80</v>
      </c>
      <c r="BG125" s="12">
        <f t="shared" si="62"/>
        <v>80</v>
      </c>
      <c r="BH125" s="13">
        <v>385</v>
      </c>
      <c r="BI125" s="10">
        <f t="shared" si="100"/>
        <v>385</v>
      </c>
      <c r="BJ125" s="13">
        <v>1045</v>
      </c>
      <c r="BK125" s="10">
        <f t="shared" si="101"/>
        <v>1045</v>
      </c>
      <c r="BL125" s="13">
        <v>405</v>
      </c>
      <c r="BM125" s="10">
        <f t="shared" si="102"/>
        <v>405</v>
      </c>
      <c r="BN125" s="13">
        <v>444</v>
      </c>
      <c r="BO125" s="10">
        <f t="shared" si="103"/>
        <v>444</v>
      </c>
      <c r="BP125" s="13">
        <v>766</v>
      </c>
      <c r="BQ125" s="10">
        <f t="shared" si="104"/>
        <v>766</v>
      </c>
      <c r="BR125" s="13">
        <v>815</v>
      </c>
      <c r="BS125" s="10">
        <f t="shared" si="105"/>
        <v>815</v>
      </c>
      <c r="BT125" s="13">
        <v>1724</v>
      </c>
      <c r="BU125" s="10">
        <f t="shared" si="106"/>
        <v>1724</v>
      </c>
      <c r="BV125" s="13">
        <v>1266</v>
      </c>
      <c r="BW125" s="10">
        <f t="shared" si="107"/>
        <v>1266</v>
      </c>
      <c r="BX125" s="13">
        <v>1440</v>
      </c>
      <c r="BY125" s="10">
        <f t="shared" si="108"/>
        <v>1440</v>
      </c>
      <c r="BZ125" s="13">
        <v>1870</v>
      </c>
      <c r="CA125" s="10">
        <f t="shared" si="109"/>
        <v>1870</v>
      </c>
      <c r="CB125" s="13">
        <v>809</v>
      </c>
      <c r="CC125" s="10">
        <f t="shared" si="110"/>
        <v>809</v>
      </c>
      <c r="CD125" s="14">
        <v>2180</v>
      </c>
      <c r="CE125" s="10">
        <f t="shared" si="111"/>
        <v>2180</v>
      </c>
      <c r="CF125" s="11">
        <f t="shared" si="63"/>
        <v>13149</v>
      </c>
      <c r="CG125" s="12">
        <f t="shared" si="64"/>
        <v>13149</v>
      </c>
      <c r="CH125" s="15">
        <v>2045</v>
      </c>
      <c r="CI125" s="10">
        <f t="shared" si="116"/>
        <v>2045</v>
      </c>
      <c r="CJ125" s="15">
        <v>1427</v>
      </c>
      <c r="CK125" s="10">
        <f t="shared" si="117"/>
        <v>1427</v>
      </c>
      <c r="CL125" s="15">
        <v>3090</v>
      </c>
      <c r="CM125" s="10">
        <f t="shared" si="118"/>
        <v>3090</v>
      </c>
      <c r="CN125" s="15">
        <v>1340</v>
      </c>
      <c r="CO125" s="10">
        <f t="shared" si="119"/>
        <v>1340</v>
      </c>
      <c r="CP125" s="15">
        <v>2520</v>
      </c>
      <c r="CQ125" s="10">
        <f t="shared" si="120"/>
        <v>2520</v>
      </c>
      <c r="CR125" s="15">
        <v>2206</v>
      </c>
      <c r="CS125" s="10">
        <f t="shared" si="121"/>
        <v>2206</v>
      </c>
      <c r="CT125" s="15">
        <v>2460</v>
      </c>
      <c r="CU125" s="10">
        <f t="shared" si="122"/>
        <v>2460</v>
      </c>
      <c r="CV125" s="15">
        <v>2680</v>
      </c>
      <c r="CW125" s="10">
        <f t="shared" si="123"/>
        <v>2680</v>
      </c>
      <c r="CX125" s="15">
        <v>2280</v>
      </c>
      <c r="CY125" s="10">
        <f t="shared" si="124"/>
        <v>2280</v>
      </c>
      <c r="CZ125" s="15">
        <v>2880</v>
      </c>
      <c r="DA125" s="10">
        <f t="shared" si="125"/>
        <v>2880</v>
      </c>
      <c r="DB125" s="15">
        <v>3100</v>
      </c>
      <c r="DC125" s="10">
        <f t="shared" si="126"/>
        <v>3100</v>
      </c>
      <c r="DD125" s="15">
        <v>4560</v>
      </c>
      <c r="DE125" s="10">
        <f t="shared" si="126"/>
        <v>4560</v>
      </c>
      <c r="DF125" s="16">
        <f t="shared" si="58"/>
        <v>30588</v>
      </c>
      <c r="DG125" s="208">
        <f t="shared" si="127"/>
        <v>30588</v>
      </c>
    </row>
    <row r="126" spans="1:111">
      <c r="A126" s="7">
        <v>101</v>
      </c>
      <c r="B126" s="8" t="s">
        <v>89</v>
      </c>
      <c r="C126" s="8" t="s">
        <v>14</v>
      </c>
      <c r="D126" s="7">
        <f t="shared" si="128"/>
        <v>31</v>
      </c>
      <c r="E126" s="7">
        <v>1</v>
      </c>
      <c r="F126" s="7" t="s">
        <v>20</v>
      </c>
      <c r="G126" s="7"/>
      <c r="H126" s="15"/>
      <c r="I126" s="10">
        <f t="shared" si="77"/>
        <v>0</v>
      </c>
      <c r="J126" s="15"/>
      <c r="K126" s="10">
        <f t="shared" si="78"/>
        <v>0</v>
      </c>
      <c r="L126" s="15"/>
      <c r="M126" s="10">
        <f t="shared" si="79"/>
        <v>0</v>
      </c>
      <c r="N126" s="15"/>
      <c r="O126" s="10">
        <f t="shared" si="80"/>
        <v>0</v>
      </c>
      <c r="P126" s="15"/>
      <c r="Q126" s="10">
        <f t="shared" si="81"/>
        <v>0</v>
      </c>
      <c r="R126" s="15"/>
      <c r="S126" s="10">
        <f t="shared" si="115"/>
        <v>0</v>
      </c>
      <c r="T126" s="15"/>
      <c r="U126" s="10">
        <f t="shared" si="82"/>
        <v>0</v>
      </c>
      <c r="V126" s="15"/>
      <c r="W126" s="10">
        <f t="shared" si="83"/>
        <v>0</v>
      </c>
      <c r="X126" s="15"/>
      <c r="Y126" s="10">
        <f t="shared" si="84"/>
        <v>0</v>
      </c>
      <c r="Z126" s="15"/>
      <c r="AA126" s="10">
        <f t="shared" si="85"/>
        <v>0</v>
      </c>
      <c r="AB126" s="15"/>
      <c r="AC126" s="10">
        <f t="shared" si="86"/>
        <v>0</v>
      </c>
      <c r="AD126" s="15"/>
      <c r="AE126" s="10">
        <f t="shared" si="87"/>
        <v>0</v>
      </c>
      <c r="AF126" s="11">
        <f t="shared" si="112"/>
        <v>0</v>
      </c>
      <c r="AG126" s="12">
        <f t="shared" si="60"/>
        <v>0</v>
      </c>
      <c r="AH126" s="15"/>
      <c r="AI126" s="10">
        <f t="shared" si="88"/>
        <v>0</v>
      </c>
      <c r="AJ126" s="15"/>
      <c r="AK126" s="10">
        <f t="shared" si="89"/>
        <v>0</v>
      </c>
      <c r="AL126" s="15"/>
      <c r="AM126" s="10">
        <f t="shared" si="90"/>
        <v>0</v>
      </c>
      <c r="AN126" s="15"/>
      <c r="AO126" s="10">
        <f t="shared" si="91"/>
        <v>0</v>
      </c>
      <c r="AP126" s="15"/>
      <c r="AQ126" s="10">
        <f t="shared" si="92"/>
        <v>0</v>
      </c>
      <c r="AR126" s="15"/>
      <c r="AS126" s="10">
        <f t="shared" si="93"/>
        <v>0</v>
      </c>
      <c r="AT126" s="15"/>
      <c r="AU126" s="10">
        <f t="shared" si="94"/>
        <v>0</v>
      </c>
      <c r="AV126" s="15"/>
      <c r="AW126" s="10">
        <f t="shared" si="95"/>
        <v>0</v>
      </c>
      <c r="AX126" s="15"/>
      <c r="AY126" s="10">
        <f t="shared" si="96"/>
        <v>0</v>
      </c>
      <c r="AZ126" s="15"/>
      <c r="BA126" s="10">
        <f t="shared" si="97"/>
        <v>0</v>
      </c>
      <c r="BB126" s="15"/>
      <c r="BC126" s="10">
        <f t="shared" si="98"/>
        <v>0</v>
      </c>
      <c r="BD126" s="15"/>
      <c r="BE126" s="10">
        <f t="shared" si="99"/>
        <v>0</v>
      </c>
      <c r="BF126" s="11">
        <f t="shared" si="61"/>
        <v>0</v>
      </c>
      <c r="BG126" s="12">
        <f t="shared" si="62"/>
        <v>0</v>
      </c>
      <c r="BH126" s="15"/>
      <c r="BI126" s="10">
        <f t="shared" si="100"/>
        <v>0</v>
      </c>
      <c r="BJ126" s="15"/>
      <c r="BK126" s="10">
        <f t="shared" si="101"/>
        <v>0</v>
      </c>
      <c r="BL126" s="15"/>
      <c r="BM126" s="10">
        <f t="shared" si="102"/>
        <v>0</v>
      </c>
      <c r="BN126" s="15"/>
      <c r="BO126" s="10">
        <f t="shared" si="103"/>
        <v>0</v>
      </c>
      <c r="BP126" s="15"/>
      <c r="BQ126" s="10">
        <f t="shared" si="104"/>
        <v>0</v>
      </c>
      <c r="BR126" s="15"/>
      <c r="BS126" s="10">
        <f t="shared" si="105"/>
        <v>0</v>
      </c>
      <c r="BT126" s="15"/>
      <c r="BU126" s="10">
        <f t="shared" si="106"/>
        <v>0</v>
      </c>
      <c r="BV126" s="15"/>
      <c r="BW126" s="10">
        <f t="shared" si="107"/>
        <v>0</v>
      </c>
      <c r="BX126" s="15"/>
      <c r="BY126" s="10">
        <f t="shared" si="108"/>
        <v>0</v>
      </c>
      <c r="BZ126" s="15"/>
      <c r="CA126" s="10">
        <f t="shared" si="109"/>
        <v>0</v>
      </c>
      <c r="CB126" s="15"/>
      <c r="CC126" s="10">
        <f t="shared" si="110"/>
        <v>0</v>
      </c>
      <c r="CD126" s="15"/>
      <c r="CE126" s="10">
        <f t="shared" si="111"/>
        <v>0</v>
      </c>
      <c r="CF126" s="11">
        <f t="shared" si="63"/>
        <v>0</v>
      </c>
      <c r="CG126" s="12">
        <f t="shared" si="64"/>
        <v>0</v>
      </c>
      <c r="CH126" s="15"/>
      <c r="CI126" s="10">
        <f t="shared" si="116"/>
        <v>0</v>
      </c>
      <c r="CJ126" s="15"/>
      <c r="CK126" s="10">
        <f t="shared" si="117"/>
        <v>0</v>
      </c>
      <c r="CL126" s="15"/>
      <c r="CM126" s="10">
        <f t="shared" si="118"/>
        <v>0</v>
      </c>
      <c r="CN126" s="15"/>
      <c r="CO126" s="10">
        <f t="shared" si="119"/>
        <v>0</v>
      </c>
      <c r="CP126" s="15"/>
      <c r="CQ126" s="10">
        <f t="shared" si="120"/>
        <v>0</v>
      </c>
      <c r="CR126" s="15"/>
      <c r="CS126" s="10">
        <f t="shared" si="121"/>
        <v>0</v>
      </c>
      <c r="CT126" s="15"/>
      <c r="CU126" s="10">
        <f t="shared" si="122"/>
        <v>0</v>
      </c>
      <c r="CV126" s="15"/>
      <c r="CW126" s="10">
        <f t="shared" si="123"/>
        <v>0</v>
      </c>
      <c r="CX126" s="15"/>
      <c r="CY126" s="10">
        <f t="shared" si="124"/>
        <v>0</v>
      </c>
      <c r="CZ126" s="15"/>
      <c r="DA126" s="10">
        <f t="shared" si="125"/>
        <v>0</v>
      </c>
      <c r="DB126" s="15"/>
      <c r="DC126" s="10">
        <f t="shared" si="126"/>
        <v>0</v>
      </c>
      <c r="DD126" s="15"/>
      <c r="DE126" s="10">
        <f t="shared" si="126"/>
        <v>0</v>
      </c>
      <c r="DF126" s="16">
        <f t="shared" si="58"/>
        <v>0</v>
      </c>
      <c r="DG126" s="208">
        <f t="shared" si="127"/>
        <v>0</v>
      </c>
    </row>
    <row r="127" spans="1:111">
      <c r="A127" s="7">
        <v>102</v>
      </c>
      <c r="B127" s="8" t="s">
        <v>90</v>
      </c>
      <c r="C127" s="8" t="s">
        <v>11</v>
      </c>
      <c r="D127" s="7">
        <f t="shared" si="128"/>
        <v>31</v>
      </c>
      <c r="E127" s="7">
        <v>0.64</v>
      </c>
      <c r="F127" s="7" t="s">
        <v>22</v>
      </c>
      <c r="G127" s="7">
        <v>1350</v>
      </c>
      <c r="H127" s="9"/>
      <c r="I127" s="10">
        <f t="shared" si="77"/>
        <v>0</v>
      </c>
      <c r="J127" s="9">
        <v>196</v>
      </c>
      <c r="K127" s="10">
        <f t="shared" si="78"/>
        <v>125.44</v>
      </c>
      <c r="L127" s="9"/>
      <c r="M127" s="10">
        <f t="shared" si="79"/>
        <v>0</v>
      </c>
      <c r="N127" s="9">
        <v>420</v>
      </c>
      <c r="O127" s="10">
        <f t="shared" si="80"/>
        <v>268.8</v>
      </c>
      <c r="P127" s="9"/>
      <c r="Q127" s="10">
        <f t="shared" si="81"/>
        <v>0</v>
      </c>
      <c r="R127" s="9"/>
      <c r="S127" s="10">
        <f t="shared" si="115"/>
        <v>0</v>
      </c>
      <c r="T127" s="9"/>
      <c r="U127" s="10">
        <f t="shared" si="82"/>
        <v>0</v>
      </c>
      <c r="V127" s="9">
        <v>280</v>
      </c>
      <c r="W127" s="10">
        <f t="shared" si="83"/>
        <v>179.20000000000002</v>
      </c>
      <c r="X127" s="9"/>
      <c r="Y127" s="10">
        <f t="shared" si="84"/>
        <v>0</v>
      </c>
      <c r="Z127" s="9"/>
      <c r="AA127" s="10">
        <f t="shared" si="85"/>
        <v>0</v>
      </c>
      <c r="AB127" s="9"/>
      <c r="AC127" s="10">
        <f t="shared" si="86"/>
        <v>0</v>
      </c>
      <c r="AD127" s="9">
        <v>420</v>
      </c>
      <c r="AE127" s="10">
        <f t="shared" si="87"/>
        <v>268.8</v>
      </c>
      <c r="AF127" s="11">
        <f t="shared" si="112"/>
        <v>1316</v>
      </c>
      <c r="AG127" s="12">
        <f t="shared" si="60"/>
        <v>842.24</v>
      </c>
      <c r="AH127" s="9"/>
      <c r="AI127" s="10">
        <f t="shared" si="88"/>
        <v>0</v>
      </c>
      <c r="AJ127" s="9"/>
      <c r="AK127" s="10">
        <f t="shared" si="89"/>
        <v>0</v>
      </c>
      <c r="AL127" s="9"/>
      <c r="AM127" s="10">
        <f t="shared" si="90"/>
        <v>0</v>
      </c>
      <c r="AN127" s="9"/>
      <c r="AO127" s="10">
        <f t="shared" si="91"/>
        <v>0</v>
      </c>
      <c r="AP127" s="9">
        <v>140</v>
      </c>
      <c r="AQ127" s="10">
        <f t="shared" si="92"/>
        <v>89.600000000000009</v>
      </c>
      <c r="AR127" s="9"/>
      <c r="AS127" s="10">
        <f t="shared" si="93"/>
        <v>0</v>
      </c>
      <c r="AT127" s="9"/>
      <c r="AU127" s="10">
        <f t="shared" si="94"/>
        <v>0</v>
      </c>
      <c r="AV127" s="9"/>
      <c r="AW127" s="10">
        <f t="shared" si="95"/>
        <v>0</v>
      </c>
      <c r="AX127" s="9"/>
      <c r="AY127" s="10">
        <f t="shared" si="96"/>
        <v>0</v>
      </c>
      <c r="AZ127" s="9"/>
      <c r="BA127" s="10">
        <f t="shared" si="97"/>
        <v>0</v>
      </c>
      <c r="BB127" s="9"/>
      <c r="BC127" s="10">
        <f t="shared" si="98"/>
        <v>0</v>
      </c>
      <c r="BD127" s="9"/>
      <c r="BE127" s="10">
        <f t="shared" si="99"/>
        <v>0</v>
      </c>
      <c r="BF127" s="11">
        <f t="shared" si="61"/>
        <v>140</v>
      </c>
      <c r="BG127" s="12">
        <f t="shared" si="62"/>
        <v>89.600000000000009</v>
      </c>
      <c r="BH127" s="15"/>
      <c r="BI127" s="10">
        <f t="shared" si="100"/>
        <v>0</v>
      </c>
      <c r="BJ127" s="15"/>
      <c r="BK127" s="10">
        <f t="shared" si="101"/>
        <v>0</v>
      </c>
      <c r="BL127" s="15"/>
      <c r="BM127" s="10">
        <f t="shared" si="102"/>
        <v>0</v>
      </c>
      <c r="BN127" s="15"/>
      <c r="BO127" s="10">
        <f t="shared" si="103"/>
        <v>0</v>
      </c>
      <c r="BP127" s="15"/>
      <c r="BQ127" s="10">
        <f t="shared" si="104"/>
        <v>0</v>
      </c>
      <c r="BR127" s="15"/>
      <c r="BS127" s="10">
        <f t="shared" si="105"/>
        <v>0</v>
      </c>
      <c r="BT127" s="15"/>
      <c r="BU127" s="10">
        <f t="shared" si="106"/>
        <v>0</v>
      </c>
      <c r="BV127" s="15"/>
      <c r="BW127" s="10">
        <f t="shared" si="107"/>
        <v>0</v>
      </c>
      <c r="BX127" s="15"/>
      <c r="BY127" s="10">
        <f t="shared" si="108"/>
        <v>0</v>
      </c>
      <c r="BZ127" s="15"/>
      <c r="CA127" s="10">
        <f t="shared" si="109"/>
        <v>0</v>
      </c>
      <c r="CB127" s="15"/>
      <c r="CC127" s="10">
        <f t="shared" si="110"/>
        <v>0</v>
      </c>
      <c r="CD127" s="15"/>
      <c r="CE127" s="10">
        <f t="shared" si="111"/>
        <v>0</v>
      </c>
      <c r="CF127" s="11">
        <f t="shared" si="63"/>
        <v>0</v>
      </c>
      <c r="CG127" s="12">
        <f t="shared" si="64"/>
        <v>0</v>
      </c>
      <c r="CH127" s="15"/>
      <c r="CI127" s="10">
        <f t="shared" si="116"/>
        <v>0</v>
      </c>
      <c r="CJ127" s="15"/>
      <c r="CK127" s="10">
        <f t="shared" si="117"/>
        <v>0</v>
      </c>
      <c r="CL127" s="15"/>
      <c r="CM127" s="10">
        <f t="shared" si="118"/>
        <v>0</v>
      </c>
      <c r="CN127" s="15"/>
      <c r="CO127" s="10">
        <f t="shared" si="119"/>
        <v>0</v>
      </c>
      <c r="CP127" s="15"/>
      <c r="CQ127" s="10">
        <f t="shared" si="120"/>
        <v>0</v>
      </c>
      <c r="CR127" s="15"/>
      <c r="CS127" s="10">
        <f t="shared" si="121"/>
        <v>0</v>
      </c>
      <c r="CT127" s="15"/>
      <c r="CU127" s="10">
        <f t="shared" si="122"/>
        <v>0</v>
      </c>
      <c r="CV127" s="15"/>
      <c r="CW127" s="10">
        <f t="shared" si="123"/>
        <v>0</v>
      </c>
      <c r="CX127" s="15"/>
      <c r="CY127" s="10">
        <f t="shared" si="124"/>
        <v>0</v>
      </c>
      <c r="CZ127" s="15"/>
      <c r="DA127" s="10">
        <f t="shared" si="125"/>
        <v>0</v>
      </c>
      <c r="DB127" s="15"/>
      <c r="DC127" s="10">
        <f t="shared" si="126"/>
        <v>0</v>
      </c>
      <c r="DD127" s="15"/>
      <c r="DE127" s="10">
        <f t="shared" si="126"/>
        <v>0</v>
      </c>
      <c r="DF127" s="16">
        <f t="shared" si="58"/>
        <v>0</v>
      </c>
      <c r="DG127" s="208">
        <f t="shared" si="127"/>
        <v>0</v>
      </c>
    </row>
    <row r="128" spans="1:111">
      <c r="A128" s="7">
        <v>103</v>
      </c>
      <c r="B128" s="8" t="s">
        <v>91</v>
      </c>
      <c r="C128" s="8" t="s">
        <v>11</v>
      </c>
      <c r="D128" s="7">
        <f t="shared" si="128"/>
        <v>21</v>
      </c>
      <c r="E128" s="7">
        <v>0.64</v>
      </c>
      <c r="F128" s="7" t="s">
        <v>22</v>
      </c>
      <c r="G128" s="7">
        <v>1350</v>
      </c>
      <c r="H128" s="9">
        <v>980</v>
      </c>
      <c r="I128" s="10">
        <f t="shared" si="77"/>
        <v>627.20000000000005</v>
      </c>
      <c r="J128" s="9"/>
      <c r="K128" s="10">
        <f t="shared" si="78"/>
        <v>0</v>
      </c>
      <c r="L128" s="9">
        <v>350</v>
      </c>
      <c r="M128" s="10">
        <f t="shared" si="79"/>
        <v>224</v>
      </c>
      <c r="N128" s="9">
        <v>2520</v>
      </c>
      <c r="O128" s="10">
        <f t="shared" si="80"/>
        <v>1612.8</v>
      </c>
      <c r="P128" s="9"/>
      <c r="Q128" s="10">
        <f t="shared" si="81"/>
        <v>0</v>
      </c>
      <c r="R128" s="9">
        <v>280</v>
      </c>
      <c r="S128" s="10">
        <f t="shared" si="115"/>
        <v>179.20000000000002</v>
      </c>
      <c r="T128" s="9">
        <v>22078</v>
      </c>
      <c r="U128" s="10">
        <f t="shared" si="82"/>
        <v>14129.92</v>
      </c>
      <c r="V128" s="9">
        <v>140</v>
      </c>
      <c r="W128" s="10">
        <f t="shared" si="83"/>
        <v>89.600000000000009</v>
      </c>
      <c r="X128" s="9">
        <v>420</v>
      </c>
      <c r="Y128" s="10">
        <f t="shared" si="84"/>
        <v>268.8</v>
      </c>
      <c r="Z128" s="9">
        <v>420</v>
      </c>
      <c r="AA128" s="10">
        <f t="shared" si="85"/>
        <v>268.8</v>
      </c>
      <c r="AB128" s="9">
        <v>1820</v>
      </c>
      <c r="AC128" s="10">
        <f t="shared" si="86"/>
        <v>1164.8</v>
      </c>
      <c r="AD128" s="9"/>
      <c r="AE128" s="10">
        <f t="shared" si="87"/>
        <v>0</v>
      </c>
      <c r="AF128" s="11">
        <f t="shared" si="112"/>
        <v>29008</v>
      </c>
      <c r="AG128" s="12">
        <f t="shared" si="60"/>
        <v>18565.12</v>
      </c>
      <c r="AH128" s="9">
        <v>1050</v>
      </c>
      <c r="AI128" s="10">
        <f t="shared" si="88"/>
        <v>672</v>
      </c>
      <c r="AJ128" s="9"/>
      <c r="AK128" s="10">
        <f t="shared" si="89"/>
        <v>0</v>
      </c>
      <c r="AL128" s="9"/>
      <c r="AM128" s="10">
        <f t="shared" si="90"/>
        <v>0</v>
      </c>
      <c r="AN128" s="9">
        <v>280</v>
      </c>
      <c r="AO128" s="10">
        <f t="shared" si="91"/>
        <v>179.20000000000002</v>
      </c>
      <c r="AP128" s="9">
        <v>280</v>
      </c>
      <c r="AQ128" s="10">
        <f t="shared" si="92"/>
        <v>179.20000000000002</v>
      </c>
      <c r="AR128" s="9"/>
      <c r="AS128" s="10">
        <f t="shared" si="93"/>
        <v>0</v>
      </c>
      <c r="AT128" s="9">
        <v>840</v>
      </c>
      <c r="AU128" s="10">
        <f t="shared" si="94"/>
        <v>537.6</v>
      </c>
      <c r="AV128" s="9">
        <v>420</v>
      </c>
      <c r="AW128" s="10">
        <f t="shared" si="95"/>
        <v>268.8</v>
      </c>
      <c r="AX128" s="9"/>
      <c r="AY128" s="10">
        <f t="shared" si="96"/>
        <v>0</v>
      </c>
      <c r="AZ128" s="9">
        <v>1120</v>
      </c>
      <c r="BA128" s="10">
        <f t="shared" si="97"/>
        <v>716.80000000000007</v>
      </c>
      <c r="BB128" s="9">
        <v>420</v>
      </c>
      <c r="BC128" s="10">
        <f t="shared" si="98"/>
        <v>268.8</v>
      </c>
      <c r="BD128" s="9">
        <v>280</v>
      </c>
      <c r="BE128" s="10">
        <f t="shared" si="99"/>
        <v>179.20000000000002</v>
      </c>
      <c r="BF128" s="11">
        <f t="shared" si="61"/>
        <v>4690</v>
      </c>
      <c r="BG128" s="12">
        <f t="shared" si="62"/>
        <v>3001.6</v>
      </c>
      <c r="BH128" s="13">
        <v>574</v>
      </c>
      <c r="BI128" s="10">
        <f t="shared" si="100"/>
        <v>367.36</v>
      </c>
      <c r="BJ128" s="13">
        <v>0</v>
      </c>
      <c r="BK128" s="10">
        <f t="shared" si="101"/>
        <v>0</v>
      </c>
      <c r="BL128" s="13">
        <v>980</v>
      </c>
      <c r="BM128" s="10">
        <f t="shared" si="102"/>
        <v>627.20000000000005</v>
      </c>
      <c r="BN128" s="13">
        <v>280</v>
      </c>
      <c r="BO128" s="10">
        <f t="shared" si="103"/>
        <v>179.20000000000002</v>
      </c>
      <c r="BP128" s="13">
        <v>280</v>
      </c>
      <c r="BQ128" s="10">
        <f t="shared" si="104"/>
        <v>179.20000000000002</v>
      </c>
      <c r="BR128" s="13">
        <v>33950</v>
      </c>
      <c r="BS128" s="10">
        <f t="shared" si="105"/>
        <v>21728</v>
      </c>
      <c r="BT128" s="13">
        <v>420</v>
      </c>
      <c r="BU128" s="10">
        <f t="shared" si="106"/>
        <v>268.8</v>
      </c>
      <c r="BV128" s="13">
        <v>280</v>
      </c>
      <c r="BW128" s="10">
        <f t="shared" si="107"/>
        <v>179.20000000000002</v>
      </c>
      <c r="BX128" s="13">
        <v>420</v>
      </c>
      <c r="BY128" s="10">
        <f t="shared" si="108"/>
        <v>268.8</v>
      </c>
      <c r="BZ128" s="13">
        <v>1260</v>
      </c>
      <c r="CA128" s="10">
        <f t="shared" si="109"/>
        <v>806.4</v>
      </c>
      <c r="CB128" s="13">
        <v>1136</v>
      </c>
      <c r="CC128" s="10">
        <f t="shared" si="110"/>
        <v>727.04</v>
      </c>
      <c r="CD128" s="14">
        <v>168</v>
      </c>
      <c r="CE128" s="10">
        <f t="shared" si="111"/>
        <v>107.52</v>
      </c>
      <c r="CF128" s="11">
        <f t="shared" si="63"/>
        <v>39748</v>
      </c>
      <c r="CG128" s="12">
        <f t="shared" si="64"/>
        <v>25438.720000000001</v>
      </c>
      <c r="CH128" s="15">
        <v>1120</v>
      </c>
      <c r="CI128" s="10">
        <f t="shared" si="116"/>
        <v>716.80000000000007</v>
      </c>
      <c r="CJ128" s="15">
        <v>420</v>
      </c>
      <c r="CK128" s="10">
        <f t="shared" si="117"/>
        <v>268.8</v>
      </c>
      <c r="CL128" s="15">
        <v>420</v>
      </c>
      <c r="CM128" s="10">
        <f t="shared" si="118"/>
        <v>268.8</v>
      </c>
      <c r="CN128" s="15"/>
      <c r="CO128" s="10">
        <f t="shared" si="119"/>
        <v>0</v>
      </c>
      <c r="CP128" s="15">
        <v>280</v>
      </c>
      <c r="CQ128" s="10">
        <f t="shared" si="120"/>
        <v>179.20000000000002</v>
      </c>
      <c r="CR128" s="15">
        <v>280</v>
      </c>
      <c r="CS128" s="10">
        <f t="shared" si="121"/>
        <v>179.20000000000002</v>
      </c>
      <c r="CT128" s="15">
        <v>420</v>
      </c>
      <c r="CU128" s="10">
        <f t="shared" si="122"/>
        <v>268.8</v>
      </c>
      <c r="CV128" s="15">
        <v>420</v>
      </c>
      <c r="CW128" s="10">
        <f t="shared" si="123"/>
        <v>268.8</v>
      </c>
      <c r="CX128" s="15"/>
      <c r="CY128" s="10">
        <f t="shared" si="124"/>
        <v>0</v>
      </c>
      <c r="CZ128" s="15">
        <v>700</v>
      </c>
      <c r="DA128" s="10">
        <f t="shared" si="125"/>
        <v>448</v>
      </c>
      <c r="DB128" s="15">
        <v>700</v>
      </c>
      <c r="DC128" s="10">
        <f t="shared" si="126"/>
        <v>448</v>
      </c>
      <c r="DD128" s="15">
        <v>840</v>
      </c>
      <c r="DE128" s="10">
        <f t="shared" si="126"/>
        <v>537.6</v>
      </c>
      <c r="DF128" s="16">
        <f t="shared" si="58"/>
        <v>5600</v>
      </c>
      <c r="DG128" s="208">
        <f t="shared" si="127"/>
        <v>3584</v>
      </c>
    </row>
    <row r="129" spans="1:111">
      <c r="A129" s="7">
        <v>104</v>
      </c>
      <c r="B129" s="8" t="s">
        <v>92</v>
      </c>
      <c r="C129" s="8" t="s">
        <v>11</v>
      </c>
      <c r="D129" s="7">
        <f t="shared" si="128"/>
        <v>31</v>
      </c>
      <c r="E129" s="7">
        <v>0.64</v>
      </c>
      <c r="F129" s="7" t="s">
        <v>22</v>
      </c>
      <c r="G129" s="7"/>
      <c r="H129" s="15"/>
      <c r="I129" s="10">
        <f t="shared" si="77"/>
        <v>0</v>
      </c>
      <c r="J129" s="15"/>
      <c r="K129" s="10">
        <f t="shared" si="78"/>
        <v>0</v>
      </c>
      <c r="L129" s="15"/>
      <c r="M129" s="10">
        <f t="shared" si="79"/>
        <v>0</v>
      </c>
      <c r="N129" s="15"/>
      <c r="O129" s="10">
        <f t="shared" si="80"/>
        <v>0</v>
      </c>
      <c r="P129" s="15"/>
      <c r="Q129" s="10">
        <f t="shared" si="81"/>
        <v>0</v>
      </c>
      <c r="R129" s="15"/>
      <c r="S129" s="10">
        <f t="shared" si="115"/>
        <v>0</v>
      </c>
      <c r="T129" s="15"/>
      <c r="U129" s="10">
        <f t="shared" si="82"/>
        <v>0</v>
      </c>
      <c r="V129" s="15"/>
      <c r="W129" s="10">
        <f t="shared" si="83"/>
        <v>0</v>
      </c>
      <c r="X129" s="15"/>
      <c r="Y129" s="10">
        <f t="shared" si="84"/>
        <v>0</v>
      </c>
      <c r="Z129" s="15"/>
      <c r="AA129" s="10">
        <f t="shared" si="85"/>
        <v>0</v>
      </c>
      <c r="AB129" s="15"/>
      <c r="AC129" s="10">
        <f t="shared" si="86"/>
        <v>0</v>
      </c>
      <c r="AD129" s="15"/>
      <c r="AE129" s="10">
        <f t="shared" si="87"/>
        <v>0</v>
      </c>
      <c r="AF129" s="11">
        <f t="shared" si="112"/>
        <v>0</v>
      </c>
      <c r="AG129" s="12">
        <f t="shared" si="60"/>
        <v>0</v>
      </c>
      <c r="AH129" s="15"/>
      <c r="AI129" s="10">
        <f t="shared" si="88"/>
        <v>0</v>
      </c>
      <c r="AJ129" s="15"/>
      <c r="AK129" s="10">
        <f t="shared" si="89"/>
        <v>0</v>
      </c>
      <c r="AL129" s="15"/>
      <c r="AM129" s="10">
        <f t="shared" si="90"/>
        <v>0</v>
      </c>
      <c r="AN129" s="15"/>
      <c r="AO129" s="10">
        <f t="shared" si="91"/>
        <v>0</v>
      </c>
      <c r="AP129" s="15"/>
      <c r="AQ129" s="10">
        <f t="shared" si="92"/>
        <v>0</v>
      </c>
      <c r="AR129" s="15"/>
      <c r="AS129" s="10">
        <f t="shared" si="93"/>
        <v>0</v>
      </c>
      <c r="AT129" s="15"/>
      <c r="AU129" s="10">
        <f t="shared" si="94"/>
        <v>0</v>
      </c>
      <c r="AV129" s="15"/>
      <c r="AW129" s="10">
        <f t="shared" si="95"/>
        <v>0</v>
      </c>
      <c r="AX129" s="15"/>
      <c r="AY129" s="10">
        <f t="shared" si="96"/>
        <v>0</v>
      </c>
      <c r="AZ129" s="15"/>
      <c r="BA129" s="10">
        <f t="shared" si="97"/>
        <v>0</v>
      </c>
      <c r="BB129" s="15"/>
      <c r="BC129" s="10">
        <f t="shared" si="98"/>
        <v>0</v>
      </c>
      <c r="BD129" s="15"/>
      <c r="BE129" s="10">
        <f t="shared" si="99"/>
        <v>0</v>
      </c>
      <c r="BF129" s="11">
        <f t="shared" si="61"/>
        <v>0</v>
      </c>
      <c r="BG129" s="12">
        <f t="shared" si="62"/>
        <v>0</v>
      </c>
      <c r="BH129" s="15"/>
      <c r="BI129" s="10">
        <f t="shared" si="100"/>
        <v>0</v>
      </c>
      <c r="BJ129" s="15"/>
      <c r="BK129" s="10">
        <f t="shared" si="101"/>
        <v>0</v>
      </c>
      <c r="BL129" s="15"/>
      <c r="BM129" s="10">
        <f t="shared" si="102"/>
        <v>0</v>
      </c>
      <c r="BN129" s="15"/>
      <c r="BO129" s="10">
        <f t="shared" si="103"/>
        <v>0</v>
      </c>
      <c r="BP129" s="15"/>
      <c r="BQ129" s="10">
        <f t="shared" si="104"/>
        <v>0</v>
      </c>
      <c r="BR129" s="15"/>
      <c r="BS129" s="10">
        <f t="shared" si="105"/>
        <v>0</v>
      </c>
      <c r="BT129" s="15"/>
      <c r="BU129" s="10">
        <f t="shared" si="106"/>
        <v>0</v>
      </c>
      <c r="BV129" s="15"/>
      <c r="BW129" s="10">
        <f t="shared" si="107"/>
        <v>0</v>
      </c>
      <c r="BX129" s="15"/>
      <c r="BY129" s="10">
        <f t="shared" si="108"/>
        <v>0</v>
      </c>
      <c r="BZ129" s="15"/>
      <c r="CA129" s="10">
        <f t="shared" si="109"/>
        <v>0</v>
      </c>
      <c r="CB129" s="15"/>
      <c r="CC129" s="10">
        <f t="shared" si="110"/>
        <v>0</v>
      </c>
      <c r="CD129" s="15"/>
      <c r="CE129" s="10">
        <f t="shared" si="111"/>
        <v>0</v>
      </c>
      <c r="CF129" s="11">
        <f t="shared" si="63"/>
        <v>0</v>
      </c>
      <c r="CG129" s="12">
        <f t="shared" si="64"/>
        <v>0</v>
      </c>
      <c r="CH129" s="15"/>
      <c r="CI129" s="10">
        <f t="shared" si="116"/>
        <v>0</v>
      </c>
      <c r="CJ129" s="15"/>
      <c r="CK129" s="10">
        <f t="shared" si="117"/>
        <v>0</v>
      </c>
      <c r="CL129" s="15"/>
      <c r="CM129" s="10">
        <f t="shared" si="118"/>
        <v>0</v>
      </c>
      <c r="CN129" s="15"/>
      <c r="CO129" s="10">
        <f t="shared" si="119"/>
        <v>0</v>
      </c>
      <c r="CP129" s="15"/>
      <c r="CQ129" s="10">
        <f t="shared" si="120"/>
        <v>0</v>
      </c>
      <c r="CR129" s="15"/>
      <c r="CS129" s="10">
        <f t="shared" si="121"/>
        <v>0</v>
      </c>
      <c r="CT129" s="15"/>
      <c r="CU129" s="10">
        <f t="shared" si="122"/>
        <v>0</v>
      </c>
      <c r="CV129" s="15"/>
      <c r="CW129" s="10">
        <f t="shared" si="123"/>
        <v>0</v>
      </c>
      <c r="CX129" s="15"/>
      <c r="CY129" s="10">
        <f t="shared" si="124"/>
        <v>0</v>
      </c>
      <c r="CZ129" s="15"/>
      <c r="DA129" s="10">
        <f t="shared" si="125"/>
        <v>0</v>
      </c>
      <c r="DB129" s="15"/>
      <c r="DC129" s="10">
        <f t="shared" si="126"/>
        <v>0</v>
      </c>
      <c r="DD129" s="15"/>
      <c r="DE129" s="10">
        <f t="shared" si="126"/>
        <v>0</v>
      </c>
      <c r="DF129" s="16">
        <f t="shared" si="58"/>
        <v>0</v>
      </c>
      <c r="DG129" s="208">
        <f t="shared" si="127"/>
        <v>0</v>
      </c>
    </row>
    <row r="130" spans="1:111">
      <c r="A130" s="7">
        <v>105</v>
      </c>
      <c r="B130" s="8" t="s">
        <v>93</v>
      </c>
      <c r="C130" s="8" t="s">
        <v>11</v>
      </c>
      <c r="D130" s="7">
        <f t="shared" si="128"/>
        <v>31</v>
      </c>
      <c r="E130" s="7">
        <v>0.64</v>
      </c>
      <c r="F130" s="7" t="s">
        <v>22</v>
      </c>
      <c r="G130" s="7"/>
      <c r="H130" s="15"/>
      <c r="I130" s="10">
        <f t="shared" si="77"/>
        <v>0</v>
      </c>
      <c r="J130" s="15"/>
      <c r="K130" s="10">
        <f t="shared" si="78"/>
        <v>0</v>
      </c>
      <c r="L130" s="15"/>
      <c r="M130" s="10">
        <f t="shared" si="79"/>
        <v>0</v>
      </c>
      <c r="N130" s="15"/>
      <c r="O130" s="10">
        <f t="shared" si="80"/>
        <v>0</v>
      </c>
      <c r="P130" s="15"/>
      <c r="Q130" s="10">
        <f t="shared" si="81"/>
        <v>0</v>
      </c>
      <c r="R130" s="15"/>
      <c r="S130" s="10">
        <f t="shared" si="115"/>
        <v>0</v>
      </c>
      <c r="T130" s="15"/>
      <c r="U130" s="10">
        <f t="shared" si="82"/>
        <v>0</v>
      </c>
      <c r="V130" s="15"/>
      <c r="W130" s="10">
        <f t="shared" si="83"/>
        <v>0</v>
      </c>
      <c r="X130" s="15"/>
      <c r="Y130" s="10">
        <f t="shared" si="84"/>
        <v>0</v>
      </c>
      <c r="Z130" s="15"/>
      <c r="AA130" s="10">
        <f t="shared" si="85"/>
        <v>0</v>
      </c>
      <c r="AB130" s="15"/>
      <c r="AC130" s="10">
        <f t="shared" si="86"/>
        <v>0</v>
      </c>
      <c r="AD130" s="15"/>
      <c r="AE130" s="10">
        <f t="shared" si="87"/>
        <v>0</v>
      </c>
      <c r="AF130" s="11">
        <f t="shared" si="112"/>
        <v>0</v>
      </c>
      <c r="AG130" s="12">
        <f t="shared" si="60"/>
        <v>0</v>
      </c>
      <c r="AH130" s="15"/>
      <c r="AI130" s="10">
        <f t="shared" si="88"/>
        <v>0</v>
      </c>
      <c r="AJ130" s="15"/>
      <c r="AK130" s="10">
        <f t="shared" si="89"/>
        <v>0</v>
      </c>
      <c r="AL130" s="15"/>
      <c r="AM130" s="10">
        <f t="shared" si="90"/>
        <v>0</v>
      </c>
      <c r="AN130" s="15"/>
      <c r="AO130" s="10">
        <f t="shared" si="91"/>
        <v>0</v>
      </c>
      <c r="AP130" s="15"/>
      <c r="AQ130" s="10">
        <f t="shared" si="92"/>
        <v>0</v>
      </c>
      <c r="AR130" s="15"/>
      <c r="AS130" s="10">
        <f t="shared" si="93"/>
        <v>0</v>
      </c>
      <c r="AT130" s="15"/>
      <c r="AU130" s="10">
        <f t="shared" si="94"/>
        <v>0</v>
      </c>
      <c r="AV130" s="15"/>
      <c r="AW130" s="10">
        <f t="shared" si="95"/>
        <v>0</v>
      </c>
      <c r="AX130" s="15"/>
      <c r="AY130" s="10">
        <f t="shared" si="96"/>
        <v>0</v>
      </c>
      <c r="AZ130" s="15"/>
      <c r="BA130" s="10">
        <f t="shared" si="97"/>
        <v>0</v>
      </c>
      <c r="BB130" s="15"/>
      <c r="BC130" s="10">
        <f t="shared" si="98"/>
        <v>0</v>
      </c>
      <c r="BD130" s="15"/>
      <c r="BE130" s="10">
        <f t="shared" si="99"/>
        <v>0</v>
      </c>
      <c r="BF130" s="11">
        <f t="shared" si="61"/>
        <v>0</v>
      </c>
      <c r="BG130" s="12">
        <f t="shared" si="62"/>
        <v>0</v>
      </c>
      <c r="BH130" s="15"/>
      <c r="BI130" s="10">
        <f t="shared" si="100"/>
        <v>0</v>
      </c>
      <c r="BJ130" s="15"/>
      <c r="BK130" s="10">
        <f t="shared" si="101"/>
        <v>0</v>
      </c>
      <c r="BL130" s="15"/>
      <c r="BM130" s="10">
        <f t="shared" si="102"/>
        <v>0</v>
      </c>
      <c r="BN130" s="15"/>
      <c r="BO130" s="10">
        <f t="shared" si="103"/>
        <v>0</v>
      </c>
      <c r="BP130" s="15"/>
      <c r="BQ130" s="10">
        <f t="shared" si="104"/>
        <v>0</v>
      </c>
      <c r="BR130" s="15"/>
      <c r="BS130" s="10">
        <f t="shared" si="105"/>
        <v>0</v>
      </c>
      <c r="BT130" s="15"/>
      <c r="BU130" s="10">
        <f t="shared" si="106"/>
        <v>0</v>
      </c>
      <c r="BV130" s="15"/>
      <c r="BW130" s="10">
        <f t="shared" si="107"/>
        <v>0</v>
      </c>
      <c r="BX130" s="15"/>
      <c r="BY130" s="10">
        <f t="shared" si="108"/>
        <v>0</v>
      </c>
      <c r="BZ130" s="15"/>
      <c r="CA130" s="10">
        <f t="shared" si="109"/>
        <v>0</v>
      </c>
      <c r="CB130" s="15"/>
      <c r="CC130" s="10">
        <f t="shared" si="110"/>
        <v>0</v>
      </c>
      <c r="CD130" s="15"/>
      <c r="CE130" s="10">
        <f t="shared" si="111"/>
        <v>0</v>
      </c>
      <c r="CF130" s="11">
        <f t="shared" si="63"/>
        <v>0</v>
      </c>
      <c r="CG130" s="12">
        <f t="shared" si="64"/>
        <v>0</v>
      </c>
      <c r="CH130" s="15"/>
      <c r="CI130" s="10">
        <f t="shared" si="116"/>
        <v>0</v>
      </c>
      <c r="CJ130" s="15"/>
      <c r="CK130" s="10">
        <f t="shared" si="117"/>
        <v>0</v>
      </c>
      <c r="CL130" s="15"/>
      <c r="CM130" s="10">
        <f t="shared" si="118"/>
        <v>0</v>
      </c>
      <c r="CN130" s="15"/>
      <c r="CO130" s="10">
        <f t="shared" si="119"/>
        <v>0</v>
      </c>
      <c r="CP130" s="15"/>
      <c r="CQ130" s="10">
        <f t="shared" si="120"/>
        <v>0</v>
      </c>
      <c r="CR130" s="15"/>
      <c r="CS130" s="10">
        <f t="shared" si="121"/>
        <v>0</v>
      </c>
      <c r="CT130" s="15"/>
      <c r="CU130" s="10">
        <f t="shared" si="122"/>
        <v>0</v>
      </c>
      <c r="CV130" s="15"/>
      <c r="CW130" s="10">
        <f t="shared" si="123"/>
        <v>0</v>
      </c>
      <c r="CX130" s="15"/>
      <c r="CY130" s="10">
        <f t="shared" si="124"/>
        <v>0</v>
      </c>
      <c r="CZ130" s="15"/>
      <c r="DA130" s="10">
        <f t="shared" si="125"/>
        <v>0</v>
      </c>
      <c r="DB130" s="15"/>
      <c r="DC130" s="10">
        <f t="shared" si="126"/>
        <v>0</v>
      </c>
      <c r="DD130" s="15"/>
      <c r="DE130" s="10">
        <f t="shared" si="126"/>
        <v>0</v>
      </c>
      <c r="DF130" s="16">
        <f t="shared" si="58"/>
        <v>0</v>
      </c>
      <c r="DG130" s="208">
        <f t="shared" si="127"/>
        <v>0</v>
      </c>
    </row>
    <row r="131" spans="1:111">
      <c r="A131" s="7">
        <v>106</v>
      </c>
      <c r="B131" s="8" t="s">
        <v>94</v>
      </c>
      <c r="C131" s="8" t="s">
        <v>11</v>
      </c>
      <c r="D131" s="7">
        <f t="shared" si="128"/>
        <v>28</v>
      </c>
      <c r="E131" s="7">
        <v>0.64</v>
      </c>
      <c r="F131" s="7" t="s">
        <v>22</v>
      </c>
      <c r="G131" s="7">
        <v>1900</v>
      </c>
      <c r="H131" s="15"/>
      <c r="I131" s="10">
        <f t="shared" si="77"/>
        <v>0</v>
      </c>
      <c r="J131" s="15"/>
      <c r="K131" s="10">
        <f t="shared" si="78"/>
        <v>0</v>
      </c>
      <c r="L131" s="15"/>
      <c r="M131" s="10">
        <f t="shared" si="79"/>
        <v>0</v>
      </c>
      <c r="N131" s="15"/>
      <c r="O131" s="10">
        <f t="shared" si="80"/>
        <v>0</v>
      </c>
      <c r="P131" s="15"/>
      <c r="Q131" s="10">
        <f t="shared" si="81"/>
        <v>0</v>
      </c>
      <c r="R131" s="15"/>
      <c r="S131" s="10">
        <f t="shared" si="115"/>
        <v>0</v>
      </c>
      <c r="T131" s="15"/>
      <c r="U131" s="10">
        <f t="shared" si="82"/>
        <v>0</v>
      </c>
      <c r="V131" s="15"/>
      <c r="W131" s="10">
        <f t="shared" si="83"/>
        <v>0</v>
      </c>
      <c r="X131" s="15"/>
      <c r="Y131" s="10">
        <f t="shared" si="84"/>
        <v>0</v>
      </c>
      <c r="Z131" s="15"/>
      <c r="AA131" s="10">
        <f t="shared" si="85"/>
        <v>0</v>
      </c>
      <c r="AB131" s="15"/>
      <c r="AC131" s="10">
        <f t="shared" si="86"/>
        <v>0</v>
      </c>
      <c r="AD131" s="15"/>
      <c r="AE131" s="10">
        <f t="shared" si="87"/>
        <v>0</v>
      </c>
      <c r="AF131" s="11">
        <f t="shared" si="112"/>
        <v>0</v>
      </c>
      <c r="AG131" s="12">
        <f t="shared" si="60"/>
        <v>0</v>
      </c>
      <c r="AH131" s="15"/>
      <c r="AI131" s="10">
        <f t="shared" si="88"/>
        <v>0</v>
      </c>
      <c r="AJ131" s="15"/>
      <c r="AK131" s="10">
        <f t="shared" si="89"/>
        <v>0</v>
      </c>
      <c r="AL131" s="15"/>
      <c r="AM131" s="10">
        <f t="shared" si="90"/>
        <v>0</v>
      </c>
      <c r="AN131" s="15"/>
      <c r="AO131" s="10">
        <f t="shared" si="91"/>
        <v>0</v>
      </c>
      <c r="AP131" s="15"/>
      <c r="AQ131" s="10">
        <f t="shared" si="92"/>
        <v>0</v>
      </c>
      <c r="AR131" s="15"/>
      <c r="AS131" s="10">
        <f t="shared" si="93"/>
        <v>0</v>
      </c>
      <c r="AT131" s="15"/>
      <c r="AU131" s="10">
        <f t="shared" si="94"/>
        <v>0</v>
      </c>
      <c r="AV131" s="15"/>
      <c r="AW131" s="10">
        <f t="shared" si="95"/>
        <v>0</v>
      </c>
      <c r="AX131" s="15"/>
      <c r="AY131" s="10">
        <f t="shared" si="96"/>
        <v>0</v>
      </c>
      <c r="AZ131" s="15"/>
      <c r="BA131" s="10">
        <f t="shared" si="97"/>
        <v>0</v>
      </c>
      <c r="BB131" s="15"/>
      <c r="BC131" s="10">
        <f t="shared" si="98"/>
        <v>0</v>
      </c>
      <c r="BD131" s="15"/>
      <c r="BE131" s="10">
        <f t="shared" si="99"/>
        <v>0</v>
      </c>
      <c r="BF131" s="11">
        <f t="shared" si="61"/>
        <v>0</v>
      </c>
      <c r="BG131" s="12">
        <f t="shared" si="62"/>
        <v>0</v>
      </c>
      <c r="BH131" s="13">
        <v>0</v>
      </c>
      <c r="BI131" s="10">
        <f t="shared" si="100"/>
        <v>0</v>
      </c>
      <c r="BJ131" s="13">
        <v>0</v>
      </c>
      <c r="BK131" s="10">
        <f t="shared" si="101"/>
        <v>0</v>
      </c>
      <c r="BL131" s="13">
        <v>0</v>
      </c>
      <c r="BM131" s="10">
        <f t="shared" si="102"/>
        <v>0</v>
      </c>
      <c r="BN131" s="13">
        <v>0</v>
      </c>
      <c r="BO131" s="10">
        <f t="shared" si="103"/>
        <v>0</v>
      </c>
      <c r="BP131" s="13">
        <v>0</v>
      </c>
      <c r="BQ131" s="10">
        <f t="shared" si="104"/>
        <v>0</v>
      </c>
      <c r="BR131" s="13">
        <v>1419</v>
      </c>
      <c r="BS131" s="10">
        <f t="shared" si="105"/>
        <v>908.16</v>
      </c>
      <c r="BT131" s="13">
        <v>598</v>
      </c>
      <c r="BU131" s="10">
        <f t="shared" si="106"/>
        <v>382.72</v>
      </c>
      <c r="BV131" s="13">
        <v>109</v>
      </c>
      <c r="BW131" s="10">
        <f t="shared" si="107"/>
        <v>69.760000000000005</v>
      </c>
      <c r="BX131" s="13">
        <v>0</v>
      </c>
      <c r="BY131" s="10">
        <f t="shared" si="108"/>
        <v>0</v>
      </c>
      <c r="BZ131" s="13">
        <v>70</v>
      </c>
      <c r="CA131" s="10">
        <f t="shared" si="109"/>
        <v>44.800000000000004</v>
      </c>
      <c r="CB131" s="13">
        <v>70</v>
      </c>
      <c r="CC131" s="10">
        <f t="shared" si="110"/>
        <v>44.800000000000004</v>
      </c>
      <c r="CD131" s="14"/>
      <c r="CE131" s="10">
        <f t="shared" si="111"/>
        <v>0</v>
      </c>
      <c r="CF131" s="11">
        <f t="shared" si="63"/>
        <v>2266</v>
      </c>
      <c r="CG131" s="12">
        <f t="shared" si="64"/>
        <v>1450.24</v>
      </c>
      <c r="CH131" s="15">
        <v>140</v>
      </c>
      <c r="CI131" s="10">
        <f t="shared" si="116"/>
        <v>89.600000000000009</v>
      </c>
      <c r="CJ131" s="15"/>
      <c r="CK131" s="10">
        <f t="shared" si="117"/>
        <v>0</v>
      </c>
      <c r="CL131" s="15">
        <v>140</v>
      </c>
      <c r="CM131" s="10">
        <f t="shared" si="118"/>
        <v>89.600000000000009</v>
      </c>
      <c r="CN131" s="15"/>
      <c r="CO131" s="10">
        <f t="shared" si="119"/>
        <v>0</v>
      </c>
      <c r="CP131" s="15"/>
      <c r="CQ131" s="10">
        <f t="shared" si="120"/>
        <v>0</v>
      </c>
      <c r="CR131" s="15"/>
      <c r="CS131" s="10">
        <f t="shared" si="121"/>
        <v>0</v>
      </c>
      <c r="CT131" s="15"/>
      <c r="CU131" s="10">
        <f t="shared" si="122"/>
        <v>0</v>
      </c>
      <c r="CV131" s="15"/>
      <c r="CW131" s="10">
        <f t="shared" si="123"/>
        <v>0</v>
      </c>
      <c r="CX131" s="15"/>
      <c r="CY131" s="10">
        <f t="shared" si="124"/>
        <v>0</v>
      </c>
      <c r="CZ131" s="15"/>
      <c r="DA131" s="10">
        <f t="shared" si="125"/>
        <v>0</v>
      </c>
      <c r="DB131" s="15"/>
      <c r="DC131" s="10">
        <f t="shared" si="126"/>
        <v>0</v>
      </c>
      <c r="DD131" s="15"/>
      <c r="DE131" s="10">
        <f t="shared" si="126"/>
        <v>0</v>
      </c>
      <c r="DF131" s="16">
        <f t="shared" si="58"/>
        <v>280</v>
      </c>
      <c r="DG131" s="208">
        <f t="shared" si="127"/>
        <v>179.20000000000002</v>
      </c>
    </row>
    <row r="132" spans="1:111">
      <c r="A132" s="7">
        <v>107</v>
      </c>
      <c r="B132" s="8" t="s">
        <v>95</v>
      </c>
      <c r="C132" s="8" t="s">
        <v>11</v>
      </c>
      <c r="D132" s="7">
        <f t="shared" si="128"/>
        <v>31</v>
      </c>
      <c r="E132" s="7">
        <v>0.64</v>
      </c>
      <c r="F132" s="7" t="s">
        <v>22</v>
      </c>
      <c r="G132" s="7">
        <v>1850</v>
      </c>
      <c r="H132" s="15"/>
      <c r="I132" s="10">
        <f t="shared" si="77"/>
        <v>0</v>
      </c>
      <c r="J132" s="15"/>
      <c r="K132" s="10">
        <f t="shared" si="78"/>
        <v>0</v>
      </c>
      <c r="L132" s="15"/>
      <c r="M132" s="10">
        <f t="shared" si="79"/>
        <v>0</v>
      </c>
      <c r="N132" s="15"/>
      <c r="O132" s="10">
        <f t="shared" si="80"/>
        <v>0</v>
      </c>
      <c r="P132" s="15"/>
      <c r="Q132" s="10">
        <f t="shared" si="81"/>
        <v>0</v>
      </c>
      <c r="R132" s="15"/>
      <c r="S132" s="10">
        <f t="shared" si="115"/>
        <v>0</v>
      </c>
      <c r="T132" s="15"/>
      <c r="U132" s="10">
        <f t="shared" si="82"/>
        <v>0</v>
      </c>
      <c r="V132" s="15"/>
      <c r="W132" s="10">
        <f t="shared" si="83"/>
        <v>0</v>
      </c>
      <c r="X132" s="15"/>
      <c r="Y132" s="10">
        <f t="shared" si="84"/>
        <v>0</v>
      </c>
      <c r="Z132" s="15"/>
      <c r="AA132" s="10">
        <f t="shared" si="85"/>
        <v>0</v>
      </c>
      <c r="AB132" s="15"/>
      <c r="AC132" s="10">
        <f t="shared" si="86"/>
        <v>0</v>
      </c>
      <c r="AD132" s="15"/>
      <c r="AE132" s="10">
        <f t="shared" si="87"/>
        <v>0</v>
      </c>
      <c r="AF132" s="11">
        <f t="shared" si="112"/>
        <v>0</v>
      </c>
      <c r="AG132" s="12">
        <f t="shared" si="60"/>
        <v>0</v>
      </c>
      <c r="AH132" s="15"/>
      <c r="AI132" s="10">
        <f t="shared" si="88"/>
        <v>0</v>
      </c>
      <c r="AJ132" s="15"/>
      <c r="AK132" s="10">
        <f t="shared" si="89"/>
        <v>0</v>
      </c>
      <c r="AL132" s="15"/>
      <c r="AM132" s="10">
        <f t="shared" si="90"/>
        <v>0</v>
      </c>
      <c r="AN132" s="15"/>
      <c r="AO132" s="10">
        <f t="shared" si="91"/>
        <v>0</v>
      </c>
      <c r="AP132" s="15"/>
      <c r="AQ132" s="10">
        <f t="shared" si="92"/>
        <v>0</v>
      </c>
      <c r="AR132" s="15"/>
      <c r="AS132" s="10">
        <f t="shared" si="93"/>
        <v>0</v>
      </c>
      <c r="AT132" s="15"/>
      <c r="AU132" s="10">
        <f t="shared" si="94"/>
        <v>0</v>
      </c>
      <c r="AV132" s="15"/>
      <c r="AW132" s="10">
        <f t="shared" si="95"/>
        <v>0</v>
      </c>
      <c r="AX132" s="15"/>
      <c r="AY132" s="10">
        <f t="shared" si="96"/>
        <v>0</v>
      </c>
      <c r="AZ132" s="15"/>
      <c r="BA132" s="10">
        <f t="shared" si="97"/>
        <v>0</v>
      </c>
      <c r="BB132" s="15"/>
      <c r="BC132" s="10">
        <f t="shared" si="98"/>
        <v>0</v>
      </c>
      <c r="BD132" s="15"/>
      <c r="BE132" s="10">
        <f t="shared" si="99"/>
        <v>0</v>
      </c>
      <c r="BF132" s="11">
        <f t="shared" si="61"/>
        <v>0</v>
      </c>
      <c r="BG132" s="12">
        <f t="shared" si="62"/>
        <v>0</v>
      </c>
      <c r="BH132" s="13">
        <v>0</v>
      </c>
      <c r="BI132" s="10">
        <f t="shared" si="100"/>
        <v>0</v>
      </c>
      <c r="BJ132" s="13">
        <v>0</v>
      </c>
      <c r="BK132" s="10">
        <f t="shared" si="101"/>
        <v>0</v>
      </c>
      <c r="BL132" s="13">
        <v>0</v>
      </c>
      <c r="BM132" s="10">
        <f t="shared" si="102"/>
        <v>0</v>
      </c>
      <c r="BN132" s="13">
        <v>0</v>
      </c>
      <c r="BO132" s="10">
        <f t="shared" si="103"/>
        <v>0</v>
      </c>
      <c r="BP132" s="13">
        <v>0</v>
      </c>
      <c r="BQ132" s="10">
        <f t="shared" si="104"/>
        <v>0</v>
      </c>
      <c r="BR132" s="13">
        <v>150</v>
      </c>
      <c r="BS132" s="10">
        <f t="shared" si="105"/>
        <v>96</v>
      </c>
      <c r="BT132" s="13">
        <v>14</v>
      </c>
      <c r="BU132" s="10">
        <f t="shared" si="106"/>
        <v>8.9600000000000009</v>
      </c>
      <c r="BV132" s="13">
        <v>0</v>
      </c>
      <c r="BW132" s="10">
        <f t="shared" si="107"/>
        <v>0</v>
      </c>
      <c r="BX132" s="13">
        <v>0</v>
      </c>
      <c r="BY132" s="10">
        <f t="shared" si="108"/>
        <v>0</v>
      </c>
      <c r="BZ132" s="13"/>
      <c r="CA132" s="10">
        <f t="shared" si="109"/>
        <v>0</v>
      </c>
      <c r="CB132" s="13"/>
      <c r="CC132" s="10">
        <f t="shared" si="110"/>
        <v>0</v>
      </c>
      <c r="CD132" s="14">
        <v>42</v>
      </c>
      <c r="CE132" s="10">
        <f t="shared" si="111"/>
        <v>26.88</v>
      </c>
      <c r="CF132" s="11">
        <f t="shared" si="63"/>
        <v>206</v>
      </c>
      <c r="CG132" s="12">
        <f t="shared" si="64"/>
        <v>131.84</v>
      </c>
      <c r="CH132" s="15">
        <v>0</v>
      </c>
      <c r="CI132" s="10">
        <f t="shared" si="116"/>
        <v>0</v>
      </c>
      <c r="CJ132" s="15"/>
      <c r="CK132" s="10">
        <f t="shared" si="117"/>
        <v>0</v>
      </c>
      <c r="CL132" s="15"/>
      <c r="CM132" s="10">
        <f t="shared" si="118"/>
        <v>0</v>
      </c>
      <c r="CN132" s="15"/>
      <c r="CO132" s="10">
        <f t="shared" si="119"/>
        <v>0</v>
      </c>
      <c r="CP132" s="15"/>
      <c r="CQ132" s="10">
        <f t="shared" si="120"/>
        <v>0</v>
      </c>
      <c r="CR132" s="15"/>
      <c r="CS132" s="10">
        <f t="shared" si="121"/>
        <v>0</v>
      </c>
      <c r="CT132" s="15"/>
      <c r="CU132" s="10">
        <f t="shared" si="122"/>
        <v>0</v>
      </c>
      <c r="CV132" s="15"/>
      <c r="CW132" s="10">
        <f t="shared" si="123"/>
        <v>0</v>
      </c>
      <c r="CX132" s="15"/>
      <c r="CY132" s="10">
        <f t="shared" si="124"/>
        <v>0</v>
      </c>
      <c r="CZ132" s="15"/>
      <c r="DA132" s="10">
        <f t="shared" si="125"/>
        <v>0</v>
      </c>
      <c r="DB132" s="15"/>
      <c r="DC132" s="10">
        <f t="shared" si="126"/>
        <v>0</v>
      </c>
      <c r="DD132" s="15"/>
      <c r="DE132" s="10">
        <f t="shared" si="126"/>
        <v>0</v>
      </c>
      <c r="DF132" s="16">
        <f t="shared" si="58"/>
        <v>0</v>
      </c>
      <c r="DG132" s="208">
        <f t="shared" si="127"/>
        <v>0</v>
      </c>
    </row>
    <row r="133" spans="1:111">
      <c r="A133" s="7">
        <v>108</v>
      </c>
      <c r="B133" s="8" t="s">
        <v>96</v>
      </c>
      <c r="C133" s="8" t="s">
        <v>11</v>
      </c>
      <c r="D133" s="7">
        <f t="shared" si="128"/>
        <v>31</v>
      </c>
      <c r="E133" s="7">
        <v>0.64</v>
      </c>
      <c r="F133" s="7" t="s">
        <v>20</v>
      </c>
      <c r="G133" s="7"/>
      <c r="H133" s="15"/>
      <c r="I133" s="10">
        <f t="shared" si="77"/>
        <v>0</v>
      </c>
      <c r="J133" s="15"/>
      <c r="K133" s="10">
        <f t="shared" si="78"/>
        <v>0</v>
      </c>
      <c r="L133" s="15"/>
      <c r="M133" s="10">
        <f t="shared" si="79"/>
        <v>0</v>
      </c>
      <c r="N133" s="15"/>
      <c r="O133" s="10">
        <f t="shared" si="80"/>
        <v>0</v>
      </c>
      <c r="P133" s="15"/>
      <c r="Q133" s="10">
        <f t="shared" si="81"/>
        <v>0</v>
      </c>
      <c r="R133" s="15"/>
      <c r="S133" s="10">
        <f t="shared" si="115"/>
        <v>0</v>
      </c>
      <c r="T133" s="15"/>
      <c r="U133" s="10">
        <f t="shared" si="82"/>
        <v>0</v>
      </c>
      <c r="V133" s="15"/>
      <c r="W133" s="10">
        <f t="shared" si="83"/>
        <v>0</v>
      </c>
      <c r="X133" s="15"/>
      <c r="Y133" s="10">
        <f t="shared" si="84"/>
        <v>0</v>
      </c>
      <c r="Z133" s="15"/>
      <c r="AA133" s="10">
        <f t="shared" si="85"/>
        <v>0</v>
      </c>
      <c r="AB133" s="15"/>
      <c r="AC133" s="10">
        <f t="shared" si="86"/>
        <v>0</v>
      </c>
      <c r="AD133" s="15"/>
      <c r="AE133" s="10">
        <f t="shared" si="87"/>
        <v>0</v>
      </c>
      <c r="AF133" s="11">
        <f t="shared" si="112"/>
        <v>0</v>
      </c>
      <c r="AG133" s="12">
        <f t="shared" si="60"/>
        <v>0</v>
      </c>
      <c r="AH133" s="15"/>
      <c r="AI133" s="10">
        <f t="shared" si="88"/>
        <v>0</v>
      </c>
      <c r="AJ133" s="15"/>
      <c r="AK133" s="10">
        <f t="shared" si="89"/>
        <v>0</v>
      </c>
      <c r="AL133" s="15"/>
      <c r="AM133" s="10">
        <f t="shared" si="90"/>
        <v>0</v>
      </c>
      <c r="AN133" s="15"/>
      <c r="AO133" s="10">
        <f t="shared" si="91"/>
        <v>0</v>
      </c>
      <c r="AP133" s="15"/>
      <c r="AQ133" s="10">
        <f t="shared" si="92"/>
        <v>0</v>
      </c>
      <c r="AR133" s="15"/>
      <c r="AS133" s="10">
        <f t="shared" si="93"/>
        <v>0</v>
      </c>
      <c r="AT133" s="15"/>
      <c r="AU133" s="10">
        <f t="shared" si="94"/>
        <v>0</v>
      </c>
      <c r="AV133" s="15"/>
      <c r="AW133" s="10">
        <f t="shared" si="95"/>
        <v>0</v>
      </c>
      <c r="AX133" s="15"/>
      <c r="AY133" s="10">
        <f t="shared" si="96"/>
        <v>0</v>
      </c>
      <c r="AZ133" s="15"/>
      <c r="BA133" s="10">
        <f t="shared" si="97"/>
        <v>0</v>
      </c>
      <c r="BB133" s="15"/>
      <c r="BC133" s="10">
        <f t="shared" si="98"/>
        <v>0</v>
      </c>
      <c r="BD133" s="15"/>
      <c r="BE133" s="10">
        <f t="shared" si="99"/>
        <v>0</v>
      </c>
      <c r="BF133" s="11">
        <f t="shared" si="61"/>
        <v>0</v>
      </c>
      <c r="BG133" s="12">
        <f t="shared" si="62"/>
        <v>0</v>
      </c>
      <c r="BH133" s="15"/>
      <c r="BI133" s="10">
        <f t="shared" si="100"/>
        <v>0</v>
      </c>
      <c r="BJ133" s="15"/>
      <c r="BK133" s="10">
        <f t="shared" si="101"/>
        <v>0</v>
      </c>
      <c r="BL133" s="15"/>
      <c r="BM133" s="10">
        <f t="shared" si="102"/>
        <v>0</v>
      </c>
      <c r="BN133" s="15"/>
      <c r="BO133" s="10">
        <f t="shared" si="103"/>
        <v>0</v>
      </c>
      <c r="BP133" s="15"/>
      <c r="BQ133" s="10">
        <f t="shared" si="104"/>
        <v>0</v>
      </c>
      <c r="BR133" s="15"/>
      <c r="BS133" s="10">
        <f t="shared" si="105"/>
        <v>0</v>
      </c>
      <c r="BT133" s="15"/>
      <c r="BU133" s="10">
        <f t="shared" si="106"/>
        <v>0</v>
      </c>
      <c r="BV133" s="15"/>
      <c r="BW133" s="10">
        <f t="shared" si="107"/>
        <v>0</v>
      </c>
      <c r="BX133" s="15"/>
      <c r="BY133" s="10">
        <f t="shared" si="108"/>
        <v>0</v>
      </c>
      <c r="BZ133" s="15"/>
      <c r="CA133" s="10">
        <f t="shared" si="109"/>
        <v>0</v>
      </c>
      <c r="CB133" s="15"/>
      <c r="CC133" s="10">
        <f t="shared" si="110"/>
        <v>0</v>
      </c>
      <c r="CD133" s="15"/>
      <c r="CE133" s="10">
        <f t="shared" si="111"/>
        <v>0</v>
      </c>
      <c r="CF133" s="11">
        <f t="shared" si="63"/>
        <v>0</v>
      </c>
      <c r="CG133" s="12">
        <f t="shared" si="64"/>
        <v>0</v>
      </c>
      <c r="CH133" s="15"/>
      <c r="CI133" s="10">
        <f t="shared" si="116"/>
        <v>0</v>
      </c>
      <c r="CJ133" s="15"/>
      <c r="CK133" s="10">
        <f t="shared" si="117"/>
        <v>0</v>
      </c>
      <c r="CL133" s="15"/>
      <c r="CM133" s="10">
        <f t="shared" si="118"/>
        <v>0</v>
      </c>
      <c r="CN133" s="15"/>
      <c r="CO133" s="10">
        <f t="shared" si="119"/>
        <v>0</v>
      </c>
      <c r="CP133" s="15"/>
      <c r="CQ133" s="10">
        <f t="shared" si="120"/>
        <v>0</v>
      </c>
      <c r="CR133" s="15"/>
      <c r="CS133" s="10">
        <f t="shared" si="121"/>
        <v>0</v>
      </c>
      <c r="CT133" s="15"/>
      <c r="CU133" s="10">
        <f t="shared" si="122"/>
        <v>0</v>
      </c>
      <c r="CV133" s="15"/>
      <c r="CW133" s="10">
        <f t="shared" si="123"/>
        <v>0</v>
      </c>
      <c r="CX133" s="15"/>
      <c r="CY133" s="10">
        <f t="shared" si="124"/>
        <v>0</v>
      </c>
      <c r="CZ133" s="15"/>
      <c r="DA133" s="10">
        <f t="shared" si="125"/>
        <v>0</v>
      </c>
      <c r="DB133" s="15"/>
      <c r="DC133" s="10">
        <f t="shared" si="126"/>
        <v>0</v>
      </c>
      <c r="DD133" s="15"/>
      <c r="DE133" s="10">
        <f t="shared" si="126"/>
        <v>0</v>
      </c>
      <c r="DF133" s="16">
        <f t="shared" si="58"/>
        <v>0</v>
      </c>
      <c r="DG133" s="208">
        <f t="shared" si="127"/>
        <v>0</v>
      </c>
    </row>
    <row r="134" spans="1:111">
      <c r="A134" s="7">
        <v>109</v>
      </c>
      <c r="B134" s="8" t="s">
        <v>97</v>
      </c>
      <c r="C134" s="8"/>
      <c r="D134" s="7">
        <f t="shared" si="128"/>
        <v>31</v>
      </c>
      <c r="E134" s="7">
        <v>0.64</v>
      </c>
      <c r="F134" s="7"/>
      <c r="G134" s="7"/>
      <c r="H134" s="15"/>
      <c r="I134" s="10"/>
      <c r="J134" s="15"/>
      <c r="K134" s="10"/>
      <c r="L134" s="15"/>
      <c r="M134" s="10"/>
      <c r="N134" s="15"/>
      <c r="O134" s="10"/>
      <c r="P134" s="15"/>
      <c r="Q134" s="10"/>
      <c r="R134" s="15"/>
      <c r="S134" s="10">
        <f t="shared" si="115"/>
        <v>0</v>
      </c>
      <c r="T134" s="15"/>
      <c r="U134" s="10"/>
      <c r="V134" s="15"/>
      <c r="W134" s="10"/>
      <c r="X134" s="15"/>
      <c r="Y134" s="10"/>
      <c r="Z134" s="15"/>
      <c r="AA134" s="10"/>
      <c r="AB134" s="15"/>
      <c r="AC134" s="10"/>
      <c r="AD134" s="15"/>
      <c r="AE134" s="10"/>
      <c r="AF134" s="11">
        <f t="shared" si="112"/>
        <v>0</v>
      </c>
      <c r="AG134" s="12">
        <f t="shared" si="60"/>
        <v>0</v>
      </c>
      <c r="AH134" s="15"/>
      <c r="AI134" s="10"/>
      <c r="AJ134" s="15"/>
      <c r="AK134" s="10"/>
      <c r="AL134" s="15"/>
      <c r="AM134" s="10"/>
      <c r="AN134" s="15"/>
      <c r="AO134" s="10"/>
      <c r="AP134" s="15"/>
      <c r="AQ134" s="10"/>
      <c r="AR134" s="15"/>
      <c r="AS134" s="10"/>
      <c r="AT134" s="15"/>
      <c r="AU134" s="10"/>
      <c r="AV134" s="15"/>
      <c r="AW134" s="10"/>
      <c r="AX134" s="15"/>
      <c r="AY134" s="10"/>
      <c r="AZ134" s="15"/>
      <c r="BA134" s="10"/>
      <c r="BB134" s="15"/>
      <c r="BC134" s="10"/>
      <c r="BD134" s="15"/>
      <c r="BE134" s="10"/>
      <c r="BF134" s="11">
        <f t="shared" si="61"/>
        <v>0</v>
      </c>
      <c r="BG134" s="12">
        <f t="shared" si="62"/>
        <v>0</v>
      </c>
      <c r="BH134" s="15"/>
      <c r="BI134" s="10"/>
      <c r="BJ134" s="15"/>
      <c r="BK134" s="10"/>
      <c r="BL134" s="15"/>
      <c r="BM134" s="10"/>
      <c r="BN134" s="15"/>
      <c r="BO134" s="10"/>
      <c r="BP134" s="15"/>
      <c r="BQ134" s="10"/>
      <c r="BR134" s="15"/>
      <c r="BS134" s="10"/>
      <c r="BT134" s="15"/>
      <c r="BU134" s="10"/>
      <c r="BV134" s="15"/>
      <c r="BW134" s="10"/>
      <c r="BX134" s="15"/>
      <c r="BY134" s="10"/>
      <c r="BZ134" s="15"/>
      <c r="CA134" s="10"/>
      <c r="CB134" s="15"/>
      <c r="CC134" s="10"/>
      <c r="CD134" s="15"/>
      <c r="CE134" s="10"/>
      <c r="CF134" s="11">
        <f t="shared" si="63"/>
        <v>0</v>
      </c>
      <c r="CG134" s="12">
        <f t="shared" si="64"/>
        <v>0</v>
      </c>
      <c r="CH134" s="17"/>
      <c r="CI134" s="10">
        <f t="shared" si="116"/>
        <v>0</v>
      </c>
      <c r="CJ134" s="15"/>
      <c r="CK134" s="10">
        <f t="shared" si="117"/>
        <v>0</v>
      </c>
      <c r="CL134" s="17"/>
      <c r="CM134" s="10">
        <f t="shared" si="118"/>
        <v>0</v>
      </c>
      <c r="CN134" s="15"/>
      <c r="CO134" s="10">
        <f t="shared" si="119"/>
        <v>0</v>
      </c>
      <c r="CP134" s="15"/>
      <c r="CQ134" s="10">
        <f t="shared" si="120"/>
        <v>0</v>
      </c>
      <c r="CR134" s="15"/>
      <c r="CS134" s="10">
        <f t="shared" si="121"/>
        <v>0</v>
      </c>
      <c r="CT134" s="15"/>
      <c r="CU134" s="10">
        <f t="shared" si="122"/>
        <v>0</v>
      </c>
      <c r="CV134" s="15"/>
      <c r="CW134" s="10">
        <f t="shared" si="123"/>
        <v>0</v>
      </c>
      <c r="CX134" s="15"/>
      <c r="CY134" s="10">
        <f t="shared" si="124"/>
        <v>0</v>
      </c>
      <c r="CZ134" s="15"/>
      <c r="DA134" s="10">
        <f t="shared" si="125"/>
        <v>0</v>
      </c>
      <c r="DB134" s="15"/>
      <c r="DC134" s="10">
        <f t="shared" si="126"/>
        <v>0</v>
      </c>
      <c r="DD134" s="15"/>
      <c r="DE134" s="10">
        <f t="shared" si="126"/>
        <v>0</v>
      </c>
      <c r="DF134" s="16">
        <f t="shared" si="58"/>
        <v>0</v>
      </c>
      <c r="DG134" s="208">
        <f t="shared" si="127"/>
        <v>0</v>
      </c>
    </row>
    <row r="135" spans="1:111">
      <c r="A135" s="7">
        <v>110</v>
      </c>
      <c r="B135" s="8" t="s">
        <v>98</v>
      </c>
      <c r="C135" s="8"/>
      <c r="D135" s="7">
        <f t="shared" si="128"/>
        <v>31</v>
      </c>
      <c r="E135" s="7">
        <v>0.64</v>
      </c>
      <c r="F135" s="7" t="s">
        <v>99</v>
      </c>
      <c r="G135" s="7"/>
      <c r="H135" s="15"/>
      <c r="I135" s="10">
        <f t="shared" si="77"/>
        <v>0</v>
      </c>
      <c r="J135" s="15"/>
      <c r="K135" s="10">
        <f t="shared" si="78"/>
        <v>0</v>
      </c>
      <c r="L135" s="15"/>
      <c r="M135" s="10">
        <f t="shared" si="79"/>
        <v>0</v>
      </c>
      <c r="N135" s="15"/>
      <c r="O135" s="10">
        <f t="shared" si="80"/>
        <v>0</v>
      </c>
      <c r="P135" s="15"/>
      <c r="Q135" s="10">
        <f t="shared" si="81"/>
        <v>0</v>
      </c>
      <c r="R135" s="15"/>
      <c r="S135" s="10">
        <f t="shared" si="115"/>
        <v>0</v>
      </c>
      <c r="T135" s="15"/>
      <c r="U135" s="10">
        <f t="shared" si="82"/>
        <v>0</v>
      </c>
      <c r="V135" s="15"/>
      <c r="W135" s="10">
        <f t="shared" si="83"/>
        <v>0</v>
      </c>
      <c r="X135" s="15"/>
      <c r="Y135" s="10">
        <f t="shared" si="84"/>
        <v>0</v>
      </c>
      <c r="Z135" s="15"/>
      <c r="AA135" s="10">
        <f t="shared" si="85"/>
        <v>0</v>
      </c>
      <c r="AB135" s="15"/>
      <c r="AC135" s="10">
        <f t="shared" si="86"/>
        <v>0</v>
      </c>
      <c r="AD135" s="15"/>
      <c r="AE135" s="10">
        <f t="shared" si="87"/>
        <v>0</v>
      </c>
      <c r="AF135" s="11">
        <f t="shared" si="112"/>
        <v>0</v>
      </c>
      <c r="AG135" s="12">
        <f t="shared" si="60"/>
        <v>0</v>
      </c>
      <c r="AH135" s="15"/>
      <c r="AI135" s="10">
        <f t="shared" si="88"/>
        <v>0</v>
      </c>
      <c r="AJ135" s="15"/>
      <c r="AK135" s="10">
        <f t="shared" si="89"/>
        <v>0</v>
      </c>
      <c r="AL135" s="15"/>
      <c r="AM135" s="10">
        <f t="shared" si="90"/>
        <v>0</v>
      </c>
      <c r="AN135" s="15"/>
      <c r="AO135" s="10">
        <f t="shared" si="91"/>
        <v>0</v>
      </c>
      <c r="AP135" s="15"/>
      <c r="AQ135" s="10">
        <f t="shared" si="92"/>
        <v>0</v>
      </c>
      <c r="AR135" s="15"/>
      <c r="AS135" s="10">
        <f t="shared" si="93"/>
        <v>0</v>
      </c>
      <c r="AT135" s="15"/>
      <c r="AU135" s="10">
        <f t="shared" si="94"/>
        <v>0</v>
      </c>
      <c r="AV135" s="15"/>
      <c r="AW135" s="10">
        <f t="shared" si="95"/>
        <v>0</v>
      </c>
      <c r="AX135" s="15"/>
      <c r="AY135" s="10">
        <f t="shared" si="96"/>
        <v>0</v>
      </c>
      <c r="AZ135" s="15"/>
      <c r="BA135" s="10">
        <f t="shared" si="97"/>
        <v>0</v>
      </c>
      <c r="BB135" s="15"/>
      <c r="BC135" s="10">
        <f t="shared" si="98"/>
        <v>0</v>
      </c>
      <c r="BD135" s="15"/>
      <c r="BE135" s="10">
        <f t="shared" si="99"/>
        <v>0</v>
      </c>
      <c r="BF135" s="11">
        <f t="shared" si="61"/>
        <v>0</v>
      </c>
      <c r="BG135" s="12">
        <f t="shared" si="62"/>
        <v>0</v>
      </c>
      <c r="BH135" s="15"/>
      <c r="BI135" s="10">
        <f t="shared" si="100"/>
        <v>0</v>
      </c>
      <c r="BJ135" s="15"/>
      <c r="BK135" s="10">
        <f t="shared" si="101"/>
        <v>0</v>
      </c>
      <c r="BL135" s="15"/>
      <c r="BM135" s="10">
        <f t="shared" si="102"/>
        <v>0</v>
      </c>
      <c r="BN135" s="15"/>
      <c r="BO135" s="10">
        <f t="shared" si="103"/>
        <v>0</v>
      </c>
      <c r="BP135" s="15"/>
      <c r="BQ135" s="10">
        <f t="shared" si="104"/>
        <v>0</v>
      </c>
      <c r="BR135" s="15"/>
      <c r="BS135" s="10">
        <f t="shared" si="105"/>
        <v>0</v>
      </c>
      <c r="BT135" s="15"/>
      <c r="BU135" s="10">
        <f t="shared" si="106"/>
        <v>0</v>
      </c>
      <c r="BV135" s="15"/>
      <c r="BW135" s="10">
        <f t="shared" si="107"/>
        <v>0</v>
      </c>
      <c r="BX135" s="15"/>
      <c r="BY135" s="10">
        <f t="shared" si="108"/>
        <v>0</v>
      </c>
      <c r="BZ135" s="15"/>
      <c r="CA135" s="10">
        <f t="shared" si="109"/>
        <v>0</v>
      </c>
      <c r="CB135" s="15"/>
      <c r="CC135" s="10">
        <f t="shared" si="110"/>
        <v>0</v>
      </c>
      <c r="CD135" s="15"/>
      <c r="CE135" s="10">
        <f t="shared" si="111"/>
        <v>0</v>
      </c>
      <c r="CF135" s="11">
        <f t="shared" si="63"/>
        <v>0</v>
      </c>
      <c r="CG135" s="12">
        <f t="shared" si="64"/>
        <v>0</v>
      </c>
      <c r="CH135" s="17"/>
      <c r="CI135" s="10">
        <f t="shared" si="116"/>
        <v>0</v>
      </c>
      <c r="CJ135" s="15"/>
      <c r="CK135" s="10">
        <f t="shared" si="117"/>
        <v>0</v>
      </c>
      <c r="CL135" s="17"/>
      <c r="CM135" s="10">
        <f t="shared" si="118"/>
        <v>0</v>
      </c>
      <c r="CN135" s="15"/>
      <c r="CO135" s="10">
        <f t="shared" si="119"/>
        <v>0</v>
      </c>
      <c r="CP135" s="15"/>
      <c r="CQ135" s="10">
        <f t="shared" si="120"/>
        <v>0</v>
      </c>
      <c r="CR135" s="15"/>
      <c r="CS135" s="10">
        <f t="shared" si="121"/>
        <v>0</v>
      </c>
      <c r="CT135" s="15"/>
      <c r="CU135" s="10">
        <f t="shared" si="122"/>
        <v>0</v>
      </c>
      <c r="CV135" s="15"/>
      <c r="CW135" s="10">
        <f t="shared" si="123"/>
        <v>0</v>
      </c>
      <c r="CX135" s="15"/>
      <c r="CY135" s="10">
        <f t="shared" si="124"/>
        <v>0</v>
      </c>
      <c r="CZ135" s="15"/>
      <c r="DA135" s="10">
        <f t="shared" si="125"/>
        <v>0</v>
      </c>
      <c r="DB135" s="15"/>
      <c r="DC135" s="10">
        <f t="shared" si="126"/>
        <v>0</v>
      </c>
      <c r="DD135" s="15"/>
      <c r="DE135" s="10">
        <f t="shared" si="126"/>
        <v>0</v>
      </c>
      <c r="DF135" s="16">
        <f t="shared" si="58"/>
        <v>0</v>
      </c>
      <c r="DG135" s="208">
        <f t="shared" si="127"/>
        <v>0</v>
      </c>
    </row>
    <row r="136" spans="1:111">
      <c r="A136" s="7"/>
      <c r="B136" s="8"/>
      <c r="C136" s="8"/>
      <c r="D136" s="7"/>
      <c r="E136" s="7"/>
      <c r="F136" s="7"/>
      <c r="G136" s="7"/>
      <c r="H136" s="15"/>
      <c r="I136" s="10"/>
      <c r="J136" s="15"/>
      <c r="K136" s="10"/>
      <c r="L136" s="15"/>
      <c r="M136" s="10"/>
      <c r="N136" s="15"/>
      <c r="O136" s="10"/>
      <c r="P136" s="15"/>
      <c r="Q136" s="10"/>
      <c r="R136" s="15"/>
      <c r="S136" s="10">
        <f t="shared" si="115"/>
        <v>0</v>
      </c>
      <c r="T136" s="15"/>
      <c r="U136" s="10"/>
      <c r="V136" s="15"/>
      <c r="W136" s="10"/>
      <c r="X136" s="15"/>
      <c r="Y136" s="10"/>
      <c r="Z136" s="15"/>
      <c r="AA136" s="10"/>
      <c r="AB136" s="15"/>
      <c r="AC136" s="10"/>
      <c r="AD136" s="15"/>
      <c r="AE136" s="10"/>
      <c r="AF136" s="11">
        <f t="shared" si="112"/>
        <v>0</v>
      </c>
      <c r="AG136" s="12">
        <f t="shared" si="60"/>
        <v>0</v>
      </c>
      <c r="AH136" s="15"/>
      <c r="AI136" s="10"/>
      <c r="AJ136" s="15"/>
      <c r="AK136" s="10"/>
      <c r="AL136" s="15"/>
      <c r="AM136" s="10"/>
      <c r="AN136" s="15"/>
      <c r="AO136" s="10"/>
      <c r="AP136" s="15"/>
      <c r="AQ136" s="10"/>
      <c r="AR136" s="15"/>
      <c r="AS136" s="10"/>
      <c r="AT136" s="15"/>
      <c r="AU136" s="10"/>
      <c r="AV136" s="15"/>
      <c r="AW136" s="10"/>
      <c r="AX136" s="15"/>
      <c r="AY136" s="10"/>
      <c r="AZ136" s="15"/>
      <c r="BA136" s="10"/>
      <c r="BB136" s="15"/>
      <c r="BC136" s="10"/>
      <c r="BD136" s="15"/>
      <c r="BE136" s="10"/>
      <c r="BF136" s="11">
        <f t="shared" si="61"/>
        <v>0</v>
      </c>
      <c r="BG136" s="12">
        <f t="shared" si="62"/>
        <v>0</v>
      </c>
      <c r="BH136" s="15"/>
      <c r="BI136" s="10"/>
      <c r="BJ136" s="15"/>
      <c r="BK136" s="10"/>
      <c r="BL136" s="15"/>
      <c r="BM136" s="10"/>
      <c r="BN136" s="15"/>
      <c r="BO136" s="10"/>
      <c r="BP136" s="15"/>
      <c r="BQ136" s="10"/>
      <c r="BR136" s="15"/>
      <c r="BS136" s="10"/>
      <c r="BT136" s="15"/>
      <c r="BU136" s="10"/>
      <c r="BV136" s="15"/>
      <c r="BW136" s="10"/>
      <c r="BX136" s="15"/>
      <c r="BY136" s="10"/>
      <c r="BZ136" s="15"/>
      <c r="CA136" s="10"/>
      <c r="CB136" s="15"/>
      <c r="CC136" s="10"/>
      <c r="CD136" s="15"/>
      <c r="CE136" s="10"/>
      <c r="CF136" s="11">
        <f t="shared" si="63"/>
        <v>0</v>
      </c>
      <c r="CG136" s="12">
        <f t="shared" si="64"/>
        <v>0</v>
      </c>
      <c r="CH136" s="17"/>
      <c r="CI136" s="10">
        <f t="shared" si="116"/>
        <v>0</v>
      </c>
      <c r="CJ136" s="15"/>
      <c r="CK136" s="10">
        <f t="shared" si="117"/>
        <v>0</v>
      </c>
      <c r="CL136" s="17"/>
      <c r="CM136" s="10">
        <f t="shared" si="118"/>
        <v>0</v>
      </c>
      <c r="CN136" s="15"/>
      <c r="CO136" s="10">
        <f t="shared" si="119"/>
        <v>0</v>
      </c>
      <c r="CP136" s="15"/>
      <c r="CQ136" s="10">
        <f t="shared" si="120"/>
        <v>0</v>
      </c>
      <c r="CR136" s="15"/>
      <c r="CS136" s="10">
        <f t="shared" si="121"/>
        <v>0</v>
      </c>
      <c r="CT136" s="15"/>
      <c r="CU136" s="10">
        <f t="shared" si="122"/>
        <v>0</v>
      </c>
      <c r="CV136" s="15"/>
      <c r="CW136" s="10">
        <f t="shared" si="123"/>
        <v>0</v>
      </c>
      <c r="CX136" s="15"/>
      <c r="CY136" s="10">
        <f t="shared" si="124"/>
        <v>0</v>
      </c>
      <c r="CZ136" s="15"/>
      <c r="DA136" s="10">
        <f t="shared" si="125"/>
        <v>0</v>
      </c>
      <c r="DB136" s="15"/>
      <c r="DC136" s="10">
        <f t="shared" si="126"/>
        <v>0</v>
      </c>
      <c r="DD136" s="15"/>
      <c r="DE136" s="10">
        <f t="shared" si="126"/>
        <v>0</v>
      </c>
      <c r="DF136" s="16">
        <f t="shared" si="58"/>
        <v>0</v>
      </c>
      <c r="DG136" s="208">
        <f t="shared" si="127"/>
        <v>0</v>
      </c>
    </row>
    <row r="137" spans="1:111">
      <c r="A137" s="7">
        <v>111</v>
      </c>
      <c r="B137" s="8" t="s">
        <v>100</v>
      </c>
      <c r="C137" s="8" t="s">
        <v>11</v>
      </c>
      <c r="D137" s="7">
        <f>RANK(DF137,$DF$4:$DF$141)</f>
        <v>31</v>
      </c>
      <c r="E137" s="7">
        <v>0.7</v>
      </c>
      <c r="F137" s="7" t="s">
        <v>12</v>
      </c>
      <c r="G137" s="7"/>
      <c r="H137" s="15"/>
      <c r="I137" s="10">
        <f t="shared" ref="I137:I138" si="149">H137*$E137</f>
        <v>0</v>
      </c>
      <c r="J137" s="15"/>
      <c r="K137" s="10">
        <f t="shared" ref="K137:K138" si="150">J137*$E137</f>
        <v>0</v>
      </c>
      <c r="L137" s="15"/>
      <c r="M137" s="10">
        <f t="shared" ref="M137:M138" si="151">L137*$E137</f>
        <v>0</v>
      </c>
      <c r="N137" s="15"/>
      <c r="O137" s="10">
        <f t="shared" ref="O137:O138" si="152">N137*$E137</f>
        <v>0</v>
      </c>
      <c r="P137" s="15"/>
      <c r="Q137" s="10">
        <f t="shared" ref="Q137:Q138" si="153">P137*$E137</f>
        <v>0</v>
      </c>
      <c r="R137" s="15"/>
      <c r="S137" s="10">
        <f t="shared" si="115"/>
        <v>0</v>
      </c>
      <c r="T137" s="15"/>
      <c r="U137" s="10">
        <f t="shared" ref="U137:U138" si="154">T137*$E137</f>
        <v>0</v>
      </c>
      <c r="V137" s="15"/>
      <c r="W137" s="10">
        <f t="shared" ref="W137:W138" si="155">V137*$E137</f>
        <v>0</v>
      </c>
      <c r="X137" s="15"/>
      <c r="Y137" s="10">
        <f t="shared" ref="Y137:Y138" si="156">X137*$E137</f>
        <v>0</v>
      </c>
      <c r="Z137" s="15"/>
      <c r="AA137" s="10">
        <f t="shared" ref="AA137:AA138" si="157">Z137*$E137</f>
        <v>0</v>
      </c>
      <c r="AB137" s="15"/>
      <c r="AC137" s="10">
        <f t="shared" ref="AC137:AC138" si="158">AB137*$E137</f>
        <v>0</v>
      </c>
      <c r="AD137" s="15"/>
      <c r="AE137" s="10">
        <f t="shared" ref="AE137:AE138" si="159">AD137*$E137</f>
        <v>0</v>
      </c>
      <c r="AF137" s="11">
        <f t="shared" si="112"/>
        <v>0</v>
      </c>
      <c r="AG137" s="12">
        <f t="shared" si="60"/>
        <v>0</v>
      </c>
      <c r="AH137" s="15"/>
      <c r="AI137" s="10">
        <f t="shared" ref="AI137:AI138" si="160">AH137*$E137</f>
        <v>0</v>
      </c>
      <c r="AJ137" s="15"/>
      <c r="AK137" s="10">
        <f t="shared" ref="AK137:AK138" si="161">AJ137*$E137</f>
        <v>0</v>
      </c>
      <c r="AL137" s="15"/>
      <c r="AM137" s="10">
        <f t="shared" ref="AM137:AM138" si="162">AL137*$E137</f>
        <v>0</v>
      </c>
      <c r="AN137" s="15"/>
      <c r="AO137" s="10">
        <f t="shared" ref="AO137:AO138" si="163">AN137*$E137</f>
        <v>0</v>
      </c>
      <c r="AP137" s="15"/>
      <c r="AQ137" s="10">
        <f t="shared" ref="AQ137:AQ138" si="164">AP137*$E137</f>
        <v>0</v>
      </c>
      <c r="AR137" s="15"/>
      <c r="AS137" s="10">
        <f t="shared" ref="AS137:AS138" si="165">AR137*$E137</f>
        <v>0</v>
      </c>
      <c r="AT137" s="15"/>
      <c r="AU137" s="10">
        <f t="shared" ref="AU137:AU138" si="166">AT137*$E137</f>
        <v>0</v>
      </c>
      <c r="AV137" s="15"/>
      <c r="AW137" s="10">
        <f t="shared" ref="AW137:AW138" si="167">AV137*$E137</f>
        <v>0</v>
      </c>
      <c r="AX137" s="15"/>
      <c r="AY137" s="10">
        <f t="shared" ref="AY137:AY138" si="168">AX137*$E137</f>
        <v>0</v>
      </c>
      <c r="AZ137" s="15"/>
      <c r="BA137" s="10">
        <f t="shared" ref="BA137:BA138" si="169">AZ137*$E137</f>
        <v>0</v>
      </c>
      <c r="BB137" s="15"/>
      <c r="BC137" s="10">
        <f t="shared" ref="BC137:BC138" si="170">BB137*$E137</f>
        <v>0</v>
      </c>
      <c r="BD137" s="15"/>
      <c r="BE137" s="10">
        <f t="shared" ref="BE137:BE138" si="171">BD137*$E137</f>
        <v>0</v>
      </c>
      <c r="BF137" s="11">
        <f t="shared" si="61"/>
        <v>0</v>
      </c>
      <c r="BG137" s="12">
        <f t="shared" si="62"/>
        <v>0</v>
      </c>
      <c r="BH137" s="15"/>
      <c r="BI137" s="10">
        <f t="shared" ref="BI137:BI138" si="172">BH137*$E137</f>
        <v>0</v>
      </c>
      <c r="BJ137" s="15"/>
      <c r="BK137" s="10">
        <f t="shared" ref="BK137:BK138" si="173">BJ137*$E137</f>
        <v>0</v>
      </c>
      <c r="BL137" s="15"/>
      <c r="BM137" s="10">
        <f t="shared" ref="BM137:BM138" si="174">BL137*$E137</f>
        <v>0</v>
      </c>
      <c r="BN137" s="15"/>
      <c r="BO137" s="10">
        <f t="shared" ref="BO137:BO138" si="175">BN137*$E137</f>
        <v>0</v>
      </c>
      <c r="BP137" s="15"/>
      <c r="BQ137" s="10">
        <f t="shared" ref="BQ137:BQ138" si="176">BP137*$E137</f>
        <v>0</v>
      </c>
      <c r="BR137" s="15"/>
      <c r="BS137" s="10">
        <f t="shared" ref="BS137:BS138" si="177">BR137*$E137</f>
        <v>0</v>
      </c>
      <c r="BT137" s="15"/>
      <c r="BU137" s="10">
        <f t="shared" ref="BU137:BU138" si="178">BT137*$E137</f>
        <v>0</v>
      </c>
      <c r="BV137" s="15"/>
      <c r="BW137" s="10">
        <f t="shared" ref="BW137:BW138" si="179">BV137*$E137</f>
        <v>0</v>
      </c>
      <c r="BX137" s="15"/>
      <c r="BY137" s="10">
        <f t="shared" ref="BY137:BY138" si="180">BX137*$E137</f>
        <v>0</v>
      </c>
      <c r="BZ137" s="15"/>
      <c r="CA137" s="10">
        <f t="shared" ref="CA137:CA138" si="181">BZ137*$E137</f>
        <v>0</v>
      </c>
      <c r="CB137" s="15"/>
      <c r="CC137" s="10">
        <f t="shared" ref="CC137:CC138" si="182">CB137*$E137</f>
        <v>0</v>
      </c>
      <c r="CD137" s="15"/>
      <c r="CE137" s="10">
        <f t="shared" ref="CE137:CE138" si="183">CD137*$E137</f>
        <v>0</v>
      </c>
      <c r="CF137" s="11">
        <f t="shared" si="63"/>
        <v>0</v>
      </c>
      <c r="CG137" s="12">
        <f t="shared" si="64"/>
        <v>0</v>
      </c>
      <c r="CH137" s="17"/>
      <c r="CI137" s="10">
        <f t="shared" si="116"/>
        <v>0</v>
      </c>
      <c r="CJ137" s="15"/>
      <c r="CK137" s="10">
        <f t="shared" si="117"/>
        <v>0</v>
      </c>
      <c r="CL137" s="17"/>
      <c r="CM137" s="10">
        <f t="shared" si="118"/>
        <v>0</v>
      </c>
      <c r="CN137" s="15"/>
      <c r="CO137" s="10">
        <f t="shared" si="119"/>
        <v>0</v>
      </c>
      <c r="CP137" s="15"/>
      <c r="CQ137" s="10">
        <f t="shared" si="120"/>
        <v>0</v>
      </c>
      <c r="CR137" s="15"/>
      <c r="CS137" s="10">
        <f t="shared" si="121"/>
        <v>0</v>
      </c>
      <c r="CT137" s="15"/>
      <c r="CU137" s="10">
        <f t="shared" si="122"/>
        <v>0</v>
      </c>
      <c r="CV137" s="15"/>
      <c r="CW137" s="10">
        <f t="shared" si="123"/>
        <v>0</v>
      </c>
      <c r="CX137" s="15"/>
      <c r="CY137" s="10">
        <f t="shared" si="124"/>
        <v>0</v>
      </c>
      <c r="CZ137" s="15"/>
      <c r="DA137" s="10">
        <f t="shared" si="125"/>
        <v>0</v>
      </c>
      <c r="DB137" s="15"/>
      <c r="DC137" s="10">
        <f t="shared" si="126"/>
        <v>0</v>
      </c>
      <c r="DD137" s="15"/>
      <c r="DE137" s="10">
        <f t="shared" si="126"/>
        <v>0</v>
      </c>
      <c r="DF137" s="16">
        <f t="shared" ref="DF137:DF141" si="184">SUM(CH137,CJ137,CL137,CN137,CP137,CR137,CT137,CV137,CX137,CZ137,DB137,DD137)</f>
        <v>0</v>
      </c>
      <c r="DG137" s="208">
        <f t="shared" si="127"/>
        <v>0</v>
      </c>
    </row>
    <row r="138" spans="1:111">
      <c r="A138" s="7">
        <v>112</v>
      </c>
      <c r="B138" s="8" t="s">
        <v>101</v>
      </c>
      <c r="C138" s="8"/>
      <c r="D138" s="7">
        <f>RANK(DF138,$DF$4:$DF$141)</f>
        <v>31</v>
      </c>
      <c r="E138" s="7">
        <v>20</v>
      </c>
      <c r="F138" s="7">
        <v>1</v>
      </c>
      <c r="G138" s="7"/>
      <c r="H138" s="15"/>
      <c r="I138" s="10">
        <f t="shared" si="149"/>
        <v>0</v>
      </c>
      <c r="J138" s="15"/>
      <c r="K138" s="10">
        <f t="shared" si="150"/>
        <v>0</v>
      </c>
      <c r="L138" s="15"/>
      <c r="M138" s="10">
        <f t="shared" si="151"/>
        <v>0</v>
      </c>
      <c r="N138" s="15"/>
      <c r="O138" s="10">
        <f t="shared" si="152"/>
        <v>0</v>
      </c>
      <c r="P138" s="15"/>
      <c r="Q138" s="10">
        <f t="shared" si="153"/>
        <v>0</v>
      </c>
      <c r="R138" s="15"/>
      <c r="S138" s="10">
        <f t="shared" si="115"/>
        <v>0</v>
      </c>
      <c r="T138" s="15"/>
      <c r="U138" s="10">
        <f t="shared" si="154"/>
        <v>0</v>
      </c>
      <c r="V138" s="15"/>
      <c r="W138" s="10">
        <f t="shared" si="155"/>
        <v>0</v>
      </c>
      <c r="X138" s="15"/>
      <c r="Y138" s="10">
        <f t="shared" si="156"/>
        <v>0</v>
      </c>
      <c r="Z138" s="15"/>
      <c r="AA138" s="10">
        <f t="shared" si="157"/>
        <v>0</v>
      </c>
      <c r="AB138" s="15"/>
      <c r="AC138" s="10">
        <f t="shared" si="158"/>
        <v>0</v>
      </c>
      <c r="AD138" s="15"/>
      <c r="AE138" s="10">
        <f t="shared" si="159"/>
        <v>0</v>
      </c>
      <c r="AF138" s="11">
        <f t="shared" si="112"/>
        <v>0</v>
      </c>
      <c r="AG138" s="12">
        <f t="shared" ref="AG138:AG140" si="185">AF138*$E138</f>
        <v>0</v>
      </c>
      <c r="AH138" s="15"/>
      <c r="AI138" s="10">
        <f t="shared" si="160"/>
        <v>0</v>
      </c>
      <c r="AJ138" s="15"/>
      <c r="AK138" s="10">
        <f t="shared" si="161"/>
        <v>0</v>
      </c>
      <c r="AL138" s="15"/>
      <c r="AM138" s="10">
        <f t="shared" si="162"/>
        <v>0</v>
      </c>
      <c r="AN138" s="15"/>
      <c r="AO138" s="10">
        <f t="shared" si="163"/>
        <v>0</v>
      </c>
      <c r="AP138" s="15"/>
      <c r="AQ138" s="10">
        <f t="shared" si="164"/>
        <v>0</v>
      </c>
      <c r="AR138" s="15"/>
      <c r="AS138" s="10">
        <f t="shared" si="165"/>
        <v>0</v>
      </c>
      <c r="AT138" s="15"/>
      <c r="AU138" s="10">
        <f t="shared" si="166"/>
        <v>0</v>
      </c>
      <c r="AV138" s="15"/>
      <c r="AW138" s="10">
        <f t="shared" si="167"/>
        <v>0</v>
      </c>
      <c r="AX138" s="15"/>
      <c r="AY138" s="10">
        <f t="shared" si="168"/>
        <v>0</v>
      </c>
      <c r="AZ138" s="15"/>
      <c r="BA138" s="10">
        <f t="shared" si="169"/>
        <v>0</v>
      </c>
      <c r="BB138" s="15"/>
      <c r="BC138" s="10">
        <f t="shared" si="170"/>
        <v>0</v>
      </c>
      <c r="BD138" s="15"/>
      <c r="BE138" s="10">
        <f t="shared" si="171"/>
        <v>0</v>
      </c>
      <c r="BF138" s="11">
        <f t="shared" ref="BF138:BF140" si="186">(BD138+BB138+AZ138+AX138+AV138+AT138+AR138+AP138+AN138+AL138+AJ138+AH138)/1</f>
        <v>0</v>
      </c>
      <c r="BG138" s="12">
        <f t="shared" ref="BG138:BG140" si="187">BF138*$E138</f>
        <v>0</v>
      </c>
      <c r="BH138" s="15"/>
      <c r="BI138" s="10">
        <f t="shared" si="172"/>
        <v>0</v>
      </c>
      <c r="BJ138" s="15"/>
      <c r="BK138" s="10">
        <f t="shared" si="173"/>
        <v>0</v>
      </c>
      <c r="BL138" s="15"/>
      <c r="BM138" s="10">
        <f t="shared" si="174"/>
        <v>0</v>
      </c>
      <c r="BN138" s="15"/>
      <c r="BO138" s="10">
        <f t="shared" si="175"/>
        <v>0</v>
      </c>
      <c r="BP138" s="15"/>
      <c r="BQ138" s="10">
        <f t="shared" si="176"/>
        <v>0</v>
      </c>
      <c r="BR138" s="15"/>
      <c r="BS138" s="10">
        <f t="shared" si="177"/>
        <v>0</v>
      </c>
      <c r="BT138" s="15"/>
      <c r="BU138" s="10">
        <f t="shared" si="178"/>
        <v>0</v>
      </c>
      <c r="BV138" s="15"/>
      <c r="BW138" s="10">
        <f t="shared" si="179"/>
        <v>0</v>
      </c>
      <c r="BX138" s="15"/>
      <c r="BY138" s="10">
        <f t="shared" si="180"/>
        <v>0</v>
      </c>
      <c r="BZ138" s="15"/>
      <c r="CA138" s="10">
        <f t="shared" si="181"/>
        <v>0</v>
      </c>
      <c r="CB138" s="15"/>
      <c r="CC138" s="10">
        <f t="shared" si="182"/>
        <v>0</v>
      </c>
      <c r="CD138" s="15"/>
      <c r="CE138" s="10">
        <f t="shared" si="183"/>
        <v>0</v>
      </c>
      <c r="CF138" s="11">
        <f t="shared" ref="CF138:CF140" si="188">(CD138+CB138+BZ138+BX138+BV138+BT138+BR138+BP138+BN138+BL138+BJ138+BH138)/1</f>
        <v>0</v>
      </c>
      <c r="CG138" s="12">
        <f t="shared" ref="CG138:CG140" si="189">CF138*$E138</f>
        <v>0</v>
      </c>
      <c r="CH138" s="17"/>
      <c r="CI138" s="10">
        <f t="shared" si="116"/>
        <v>0</v>
      </c>
      <c r="CJ138" s="15"/>
      <c r="CK138" s="10">
        <f t="shared" si="117"/>
        <v>0</v>
      </c>
      <c r="CL138" s="17"/>
      <c r="CM138" s="10">
        <f t="shared" si="118"/>
        <v>0</v>
      </c>
      <c r="CN138" s="15"/>
      <c r="CO138" s="10">
        <f t="shared" si="119"/>
        <v>0</v>
      </c>
      <c r="CP138" s="15"/>
      <c r="CQ138" s="10">
        <f t="shared" si="120"/>
        <v>0</v>
      </c>
      <c r="CR138" s="15"/>
      <c r="CS138" s="10">
        <f t="shared" si="121"/>
        <v>0</v>
      </c>
      <c r="CT138" s="15"/>
      <c r="CU138" s="10">
        <f t="shared" si="122"/>
        <v>0</v>
      </c>
      <c r="CV138" s="15"/>
      <c r="CW138" s="10">
        <f t="shared" si="123"/>
        <v>0</v>
      </c>
      <c r="CX138" s="15"/>
      <c r="CY138" s="10">
        <f t="shared" si="124"/>
        <v>0</v>
      </c>
      <c r="CZ138" s="15"/>
      <c r="DA138" s="10">
        <f t="shared" si="125"/>
        <v>0</v>
      </c>
      <c r="DB138" s="15"/>
      <c r="DC138" s="10">
        <f t="shared" si="126"/>
        <v>0</v>
      </c>
      <c r="DD138" s="15"/>
      <c r="DE138" s="10">
        <f t="shared" si="126"/>
        <v>0</v>
      </c>
      <c r="DF138" s="16">
        <f t="shared" si="184"/>
        <v>0</v>
      </c>
      <c r="DG138" s="208">
        <f t="shared" si="127"/>
        <v>0</v>
      </c>
    </row>
    <row r="139" spans="1:111">
      <c r="A139" s="7"/>
      <c r="B139" s="8"/>
      <c r="C139" s="8"/>
      <c r="D139" s="7"/>
      <c r="E139" s="7"/>
      <c r="F139" s="7"/>
      <c r="G139" s="7"/>
      <c r="H139" s="15"/>
      <c r="I139" s="10"/>
      <c r="J139" s="15"/>
      <c r="K139" s="10"/>
      <c r="L139" s="15"/>
      <c r="M139" s="10"/>
      <c r="N139" s="15"/>
      <c r="O139" s="10"/>
      <c r="P139" s="15"/>
      <c r="Q139" s="10"/>
      <c r="R139" s="15"/>
      <c r="S139" s="10">
        <f t="shared" si="115"/>
        <v>0</v>
      </c>
      <c r="T139" s="15"/>
      <c r="U139" s="10"/>
      <c r="V139" s="15"/>
      <c r="W139" s="10"/>
      <c r="X139" s="15"/>
      <c r="Y139" s="10"/>
      <c r="Z139" s="15"/>
      <c r="AA139" s="10"/>
      <c r="AB139" s="15"/>
      <c r="AC139" s="10"/>
      <c r="AD139" s="15"/>
      <c r="AE139" s="10"/>
      <c r="AF139" s="11">
        <f t="shared" si="112"/>
        <v>0</v>
      </c>
      <c r="AG139" s="12">
        <f t="shared" si="185"/>
        <v>0</v>
      </c>
      <c r="AH139" s="15"/>
      <c r="AI139" s="10"/>
      <c r="AJ139" s="15"/>
      <c r="AK139" s="10"/>
      <c r="AL139" s="15"/>
      <c r="AM139" s="10"/>
      <c r="AN139" s="15"/>
      <c r="AO139" s="10"/>
      <c r="AP139" s="15"/>
      <c r="AQ139" s="10"/>
      <c r="AR139" s="15"/>
      <c r="AS139" s="10"/>
      <c r="AT139" s="15"/>
      <c r="AU139" s="10"/>
      <c r="AV139" s="15"/>
      <c r="AW139" s="10"/>
      <c r="AX139" s="15"/>
      <c r="AY139" s="10"/>
      <c r="AZ139" s="15"/>
      <c r="BA139" s="10"/>
      <c r="BB139" s="15"/>
      <c r="BC139" s="10"/>
      <c r="BD139" s="15"/>
      <c r="BE139" s="10"/>
      <c r="BF139" s="11">
        <f t="shared" si="186"/>
        <v>0</v>
      </c>
      <c r="BG139" s="12">
        <f t="shared" si="187"/>
        <v>0</v>
      </c>
      <c r="BH139" s="15"/>
      <c r="BI139" s="10"/>
      <c r="BJ139" s="15"/>
      <c r="BK139" s="10"/>
      <c r="BL139" s="15"/>
      <c r="BM139" s="10"/>
      <c r="BN139" s="15"/>
      <c r="BO139" s="10"/>
      <c r="BP139" s="15"/>
      <c r="BQ139" s="10"/>
      <c r="BR139" s="15"/>
      <c r="BS139" s="10"/>
      <c r="BT139" s="15"/>
      <c r="BU139" s="10"/>
      <c r="BV139" s="15"/>
      <c r="BW139" s="10"/>
      <c r="BX139" s="15"/>
      <c r="BY139" s="10"/>
      <c r="BZ139" s="15"/>
      <c r="CA139" s="10"/>
      <c r="CB139" s="15"/>
      <c r="CC139" s="10"/>
      <c r="CD139" s="15"/>
      <c r="CE139" s="10"/>
      <c r="CF139" s="11">
        <f t="shared" si="188"/>
        <v>0</v>
      </c>
      <c r="CG139" s="12">
        <f t="shared" si="189"/>
        <v>0</v>
      </c>
      <c r="CH139" s="17"/>
      <c r="CI139" s="10">
        <f t="shared" si="116"/>
        <v>0</v>
      </c>
      <c r="CJ139" s="15"/>
      <c r="CK139" s="10">
        <f t="shared" si="117"/>
        <v>0</v>
      </c>
      <c r="CL139" s="17"/>
      <c r="CM139" s="10">
        <f t="shared" si="118"/>
        <v>0</v>
      </c>
      <c r="CN139" s="15"/>
      <c r="CO139" s="10">
        <f t="shared" si="119"/>
        <v>0</v>
      </c>
      <c r="CP139" s="15"/>
      <c r="CQ139" s="10">
        <f t="shared" si="120"/>
        <v>0</v>
      </c>
      <c r="CR139" s="15"/>
      <c r="CS139" s="10">
        <f t="shared" si="121"/>
        <v>0</v>
      </c>
      <c r="CT139" s="15"/>
      <c r="CU139" s="10">
        <f t="shared" si="122"/>
        <v>0</v>
      </c>
      <c r="CV139" s="15"/>
      <c r="CW139" s="10">
        <f t="shared" si="123"/>
        <v>0</v>
      </c>
      <c r="CX139" s="15"/>
      <c r="CY139" s="10">
        <f t="shared" si="124"/>
        <v>0</v>
      </c>
      <c r="CZ139" s="15"/>
      <c r="DA139" s="10">
        <f t="shared" si="125"/>
        <v>0</v>
      </c>
      <c r="DB139" s="15"/>
      <c r="DC139" s="10">
        <f t="shared" si="126"/>
        <v>0</v>
      </c>
      <c r="DD139" s="15"/>
      <c r="DE139" s="10">
        <f t="shared" si="126"/>
        <v>0</v>
      </c>
      <c r="DF139" s="16">
        <f t="shared" si="184"/>
        <v>0</v>
      </c>
      <c r="DG139" s="208">
        <f t="shared" si="127"/>
        <v>0</v>
      </c>
    </row>
    <row r="140" spans="1:111">
      <c r="A140" s="7"/>
      <c r="B140" s="8"/>
      <c r="C140" s="8"/>
      <c r="D140" s="7"/>
      <c r="E140" s="7"/>
      <c r="F140" s="7"/>
      <c r="G140" s="7"/>
      <c r="H140" s="15"/>
      <c r="I140" s="10"/>
      <c r="J140" s="15"/>
      <c r="K140" s="10"/>
      <c r="L140" s="15"/>
      <c r="M140" s="10"/>
      <c r="N140" s="15"/>
      <c r="O140" s="10"/>
      <c r="P140" s="15"/>
      <c r="Q140" s="10"/>
      <c r="R140" s="15"/>
      <c r="S140" s="10">
        <f t="shared" si="115"/>
        <v>0</v>
      </c>
      <c r="T140" s="15"/>
      <c r="U140" s="10"/>
      <c r="V140" s="15"/>
      <c r="W140" s="10"/>
      <c r="X140" s="15"/>
      <c r="Y140" s="10"/>
      <c r="Z140" s="15"/>
      <c r="AA140" s="10"/>
      <c r="AB140" s="15"/>
      <c r="AC140" s="10"/>
      <c r="AD140" s="15"/>
      <c r="AE140" s="10"/>
      <c r="AF140" s="11">
        <f t="shared" si="112"/>
        <v>0</v>
      </c>
      <c r="AG140" s="12">
        <f t="shared" si="185"/>
        <v>0</v>
      </c>
      <c r="AH140" s="15"/>
      <c r="AI140" s="10"/>
      <c r="AJ140" s="15"/>
      <c r="AK140" s="10"/>
      <c r="AL140" s="15"/>
      <c r="AM140" s="10"/>
      <c r="AN140" s="15"/>
      <c r="AO140" s="10"/>
      <c r="AP140" s="15"/>
      <c r="AQ140" s="10"/>
      <c r="AR140" s="15"/>
      <c r="AS140" s="10"/>
      <c r="AT140" s="15"/>
      <c r="AU140" s="10"/>
      <c r="AV140" s="15"/>
      <c r="AW140" s="10"/>
      <c r="AX140" s="15"/>
      <c r="AY140" s="10"/>
      <c r="AZ140" s="15"/>
      <c r="BA140" s="10"/>
      <c r="BB140" s="15"/>
      <c r="BC140" s="10"/>
      <c r="BD140" s="15"/>
      <c r="BE140" s="10"/>
      <c r="BF140" s="11">
        <f t="shared" si="186"/>
        <v>0</v>
      </c>
      <c r="BG140" s="12">
        <f t="shared" si="187"/>
        <v>0</v>
      </c>
      <c r="BH140" s="15"/>
      <c r="BI140" s="10"/>
      <c r="BJ140" s="15"/>
      <c r="BK140" s="10"/>
      <c r="BL140" s="15"/>
      <c r="BM140" s="10"/>
      <c r="BN140" s="15"/>
      <c r="BO140" s="10"/>
      <c r="BP140" s="15"/>
      <c r="BQ140" s="10"/>
      <c r="BR140" s="15"/>
      <c r="BS140" s="10"/>
      <c r="BT140" s="15"/>
      <c r="BU140" s="10"/>
      <c r="BV140" s="15"/>
      <c r="BW140" s="10"/>
      <c r="BX140" s="15"/>
      <c r="BY140" s="10"/>
      <c r="BZ140" s="15"/>
      <c r="CA140" s="10"/>
      <c r="CB140" s="15"/>
      <c r="CC140" s="10"/>
      <c r="CD140" s="15"/>
      <c r="CE140" s="10"/>
      <c r="CF140" s="11">
        <f t="shared" si="188"/>
        <v>0</v>
      </c>
      <c r="CG140" s="12">
        <f t="shared" si="189"/>
        <v>0</v>
      </c>
      <c r="CH140" s="17"/>
      <c r="CI140" s="10">
        <f t="shared" si="116"/>
        <v>0</v>
      </c>
      <c r="CJ140" s="15"/>
      <c r="CK140" s="10">
        <f t="shared" si="117"/>
        <v>0</v>
      </c>
      <c r="CL140" s="17"/>
      <c r="CM140" s="10">
        <f t="shared" si="118"/>
        <v>0</v>
      </c>
      <c r="CN140" s="15"/>
      <c r="CO140" s="10">
        <f t="shared" si="119"/>
        <v>0</v>
      </c>
      <c r="CP140" s="15"/>
      <c r="CQ140" s="10">
        <f t="shared" si="120"/>
        <v>0</v>
      </c>
      <c r="CR140" s="15"/>
      <c r="CS140" s="10">
        <f t="shared" si="121"/>
        <v>0</v>
      </c>
      <c r="CT140" s="15"/>
      <c r="CU140" s="10">
        <f t="shared" si="122"/>
        <v>0</v>
      </c>
      <c r="CV140" s="15"/>
      <c r="CW140" s="10">
        <f t="shared" si="123"/>
        <v>0</v>
      </c>
      <c r="CX140" s="15"/>
      <c r="CY140" s="10">
        <f t="shared" si="124"/>
        <v>0</v>
      </c>
      <c r="CZ140" s="15"/>
      <c r="DA140" s="10">
        <f t="shared" si="125"/>
        <v>0</v>
      </c>
      <c r="DB140" s="15"/>
      <c r="DC140" s="10">
        <f t="shared" si="126"/>
        <v>0</v>
      </c>
      <c r="DD140" s="15"/>
      <c r="DE140" s="10">
        <f t="shared" si="126"/>
        <v>0</v>
      </c>
      <c r="DF140" s="16">
        <f t="shared" si="184"/>
        <v>0</v>
      </c>
      <c r="DG140" s="208">
        <f t="shared" si="127"/>
        <v>0</v>
      </c>
    </row>
    <row r="141" spans="1:111">
      <c r="A141" s="7"/>
      <c r="B141" s="20"/>
      <c r="C141" s="20"/>
      <c r="D141" s="7"/>
      <c r="E141" s="7"/>
      <c r="F141" s="21"/>
      <c r="G141" s="21"/>
      <c r="H141" s="15"/>
      <c r="I141" s="10"/>
      <c r="J141" s="15"/>
      <c r="K141" s="10"/>
      <c r="L141" s="15"/>
      <c r="M141" s="10"/>
      <c r="N141" s="15"/>
      <c r="O141" s="10"/>
      <c r="P141" s="15"/>
      <c r="Q141" s="10"/>
      <c r="R141" s="15"/>
      <c r="S141" s="10"/>
      <c r="T141" s="15"/>
      <c r="U141" s="10"/>
      <c r="V141" s="15"/>
      <c r="W141" s="10"/>
      <c r="X141" s="15"/>
      <c r="Y141" s="10"/>
      <c r="Z141" s="15"/>
      <c r="AA141" s="10"/>
      <c r="AB141" s="15"/>
      <c r="AC141" s="10"/>
      <c r="AD141" s="15"/>
      <c r="AE141" s="10"/>
      <c r="AF141" s="11"/>
      <c r="AG141" s="12"/>
      <c r="AH141" s="15"/>
      <c r="AI141" s="10"/>
      <c r="AJ141" s="15"/>
      <c r="AK141" s="10"/>
      <c r="AL141" s="15"/>
      <c r="AM141" s="10"/>
      <c r="AN141" s="15"/>
      <c r="AO141" s="10"/>
      <c r="AP141" s="15"/>
      <c r="AQ141" s="10"/>
      <c r="AR141" s="15"/>
      <c r="AS141" s="10"/>
      <c r="AT141" s="15"/>
      <c r="AU141" s="10"/>
      <c r="AV141" s="15"/>
      <c r="AW141" s="10"/>
      <c r="AX141" s="15"/>
      <c r="AY141" s="10"/>
      <c r="AZ141" s="15"/>
      <c r="BA141" s="10"/>
      <c r="BB141" s="15"/>
      <c r="BC141" s="10"/>
      <c r="BD141" s="15"/>
      <c r="BE141" s="10"/>
      <c r="BF141" s="11"/>
      <c r="BG141" s="12"/>
      <c r="BH141" s="15"/>
      <c r="BI141" s="10"/>
      <c r="BJ141" s="15"/>
      <c r="BK141" s="10"/>
      <c r="BL141" s="15"/>
      <c r="BM141" s="10"/>
      <c r="BN141" s="15"/>
      <c r="BO141" s="10"/>
      <c r="BP141" s="15"/>
      <c r="BQ141" s="10"/>
      <c r="BR141" s="15"/>
      <c r="BS141" s="10"/>
      <c r="BT141" s="15"/>
      <c r="BU141" s="10"/>
      <c r="BV141" s="15"/>
      <c r="BW141" s="10"/>
      <c r="BX141" s="15"/>
      <c r="BY141" s="10"/>
      <c r="BZ141" s="15"/>
      <c r="CA141" s="10"/>
      <c r="CB141" s="15"/>
      <c r="CC141" s="10"/>
      <c r="CD141" s="15"/>
      <c r="CE141" s="10"/>
      <c r="CF141" s="11"/>
      <c r="CG141" s="12"/>
      <c r="CH141" s="15"/>
      <c r="CI141" s="10">
        <f t="shared" si="116"/>
        <v>0</v>
      </c>
      <c r="CJ141" s="15"/>
      <c r="CK141" s="10">
        <f t="shared" si="117"/>
        <v>0</v>
      </c>
      <c r="CL141" s="15"/>
      <c r="CM141" s="10">
        <f t="shared" si="118"/>
        <v>0</v>
      </c>
      <c r="CN141" s="15"/>
      <c r="CO141" s="10">
        <f t="shared" si="119"/>
        <v>0</v>
      </c>
      <c r="CP141" s="15"/>
      <c r="CQ141" s="10">
        <f t="shared" si="120"/>
        <v>0</v>
      </c>
      <c r="CR141" s="15"/>
      <c r="CS141" s="10">
        <f t="shared" si="121"/>
        <v>0</v>
      </c>
      <c r="CT141" s="15"/>
      <c r="CU141" s="10">
        <f t="shared" si="122"/>
        <v>0</v>
      </c>
      <c r="CV141" s="15"/>
      <c r="CW141" s="10">
        <f t="shared" si="123"/>
        <v>0</v>
      </c>
      <c r="CX141" s="15"/>
      <c r="CY141" s="10">
        <f t="shared" si="124"/>
        <v>0</v>
      </c>
      <c r="CZ141" s="15"/>
      <c r="DA141" s="10">
        <f t="shared" si="125"/>
        <v>0</v>
      </c>
      <c r="DB141" s="15"/>
      <c r="DC141" s="10">
        <f t="shared" si="126"/>
        <v>0</v>
      </c>
      <c r="DD141" s="15"/>
      <c r="DE141" s="10">
        <f t="shared" si="126"/>
        <v>0</v>
      </c>
      <c r="DF141" s="16">
        <f t="shared" si="184"/>
        <v>0</v>
      </c>
      <c r="DG141" s="208">
        <f t="shared" si="127"/>
        <v>0</v>
      </c>
    </row>
    <row r="142" spans="1:111">
      <c r="A142" s="22"/>
      <c r="B142" s="23" t="s">
        <v>102</v>
      </c>
      <c r="C142" s="23"/>
      <c r="D142" s="23"/>
      <c r="E142" s="24"/>
      <c r="F142" s="25"/>
      <c r="G142" s="25"/>
      <c r="H142" s="26">
        <f t="shared" ref="H142:BS142" si="190">SUM(H4:H141)</f>
        <v>2905396</v>
      </c>
      <c r="I142" s="27">
        <f t="shared" si="190"/>
        <v>1973831.34</v>
      </c>
      <c r="J142" s="26">
        <f t="shared" si="190"/>
        <v>2675328</v>
      </c>
      <c r="K142" s="27">
        <f t="shared" si="190"/>
        <v>1821908.28</v>
      </c>
      <c r="L142" s="26">
        <f t="shared" si="190"/>
        <v>4002433</v>
      </c>
      <c r="M142" s="27">
        <f t="shared" si="190"/>
        <v>2701832.36</v>
      </c>
      <c r="N142" s="26">
        <f t="shared" si="190"/>
        <v>3026203</v>
      </c>
      <c r="O142" s="27">
        <f t="shared" si="190"/>
        <v>2085945.7200000002</v>
      </c>
      <c r="P142" s="26">
        <f t="shared" si="190"/>
        <v>2887735</v>
      </c>
      <c r="Q142" s="27">
        <f t="shared" si="190"/>
        <v>2006991.9600000002</v>
      </c>
      <c r="R142" s="26">
        <f t="shared" si="190"/>
        <v>3003194</v>
      </c>
      <c r="S142" s="27">
        <f t="shared" si="190"/>
        <v>2087997.16</v>
      </c>
      <c r="T142" s="26">
        <f t="shared" si="190"/>
        <v>2836346</v>
      </c>
      <c r="U142" s="27">
        <f t="shared" si="190"/>
        <v>1943349.4200000004</v>
      </c>
      <c r="V142" s="26">
        <f t="shared" si="190"/>
        <v>3483097</v>
      </c>
      <c r="W142" s="27">
        <f t="shared" si="190"/>
        <v>2426535.9200000004</v>
      </c>
      <c r="X142" s="26">
        <f t="shared" si="190"/>
        <v>2436131</v>
      </c>
      <c r="Y142" s="27">
        <f t="shared" si="190"/>
        <v>1694399.2099999997</v>
      </c>
      <c r="Z142" s="26">
        <f t="shared" si="190"/>
        <v>2508180</v>
      </c>
      <c r="AA142" s="27">
        <f t="shared" si="190"/>
        <v>1734445.03</v>
      </c>
      <c r="AB142" s="26">
        <f t="shared" si="190"/>
        <v>2588009</v>
      </c>
      <c r="AC142" s="27">
        <f t="shared" si="190"/>
        <v>1783502.0200000003</v>
      </c>
      <c r="AD142" s="26">
        <f t="shared" si="190"/>
        <v>2863648</v>
      </c>
      <c r="AE142" s="27">
        <f t="shared" si="190"/>
        <v>1992385.91</v>
      </c>
      <c r="AF142" s="26">
        <f t="shared" si="190"/>
        <v>35215700</v>
      </c>
      <c r="AG142" s="27">
        <f t="shared" si="190"/>
        <v>24253124.330000002</v>
      </c>
      <c r="AH142" s="26">
        <f t="shared" si="190"/>
        <v>3028281</v>
      </c>
      <c r="AI142" s="27">
        <f t="shared" si="190"/>
        <v>2123061.1799999992</v>
      </c>
      <c r="AJ142" s="26">
        <f t="shared" si="190"/>
        <v>2480575</v>
      </c>
      <c r="AK142" s="27">
        <f t="shared" si="190"/>
        <v>1732604.3</v>
      </c>
      <c r="AL142" s="26">
        <f t="shared" si="190"/>
        <v>3273071</v>
      </c>
      <c r="AM142" s="27">
        <f t="shared" si="190"/>
        <v>2282645.66</v>
      </c>
      <c r="AN142" s="26">
        <f t="shared" si="190"/>
        <v>2609941</v>
      </c>
      <c r="AO142" s="27">
        <f t="shared" si="190"/>
        <v>1851666.2400000005</v>
      </c>
      <c r="AP142" s="26">
        <f t="shared" si="190"/>
        <v>2590552</v>
      </c>
      <c r="AQ142" s="27">
        <f t="shared" si="190"/>
        <v>1891759.9900000002</v>
      </c>
      <c r="AR142" s="26">
        <f t="shared" si="190"/>
        <v>2454565</v>
      </c>
      <c r="AS142" s="27">
        <f t="shared" si="190"/>
        <v>1825451.0099999998</v>
      </c>
      <c r="AT142" s="26">
        <f t="shared" si="190"/>
        <v>2779248</v>
      </c>
      <c r="AU142" s="27">
        <f t="shared" si="190"/>
        <v>2016338.0600000005</v>
      </c>
      <c r="AV142" s="26">
        <f t="shared" si="190"/>
        <v>2940873</v>
      </c>
      <c r="AW142" s="27">
        <f t="shared" si="190"/>
        <v>2133100.3799999994</v>
      </c>
      <c r="AX142" s="26">
        <f t="shared" si="190"/>
        <v>2038669</v>
      </c>
      <c r="AY142" s="27">
        <f t="shared" si="190"/>
        <v>1465445.6299999997</v>
      </c>
      <c r="AZ142" s="26">
        <f t="shared" si="190"/>
        <v>2321631</v>
      </c>
      <c r="BA142" s="27">
        <f t="shared" si="190"/>
        <v>1686561.7200000004</v>
      </c>
      <c r="BB142" s="26">
        <f t="shared" si="190"/>
        <v>2357171</v>
      </c>
      <c r="BC142" s="27">
        <f t="shared" si="190"/>
        <v>1724714.1800000002</v>
      </c>
      <c r="BD142" s="26">
        <f t="shared" si="190"/>
        <v>2553960</v>
      </c>
      <c r="BE142" s="27">
        <f t="shared" si="190"/>
        <v>1871502.6900000002</v>
      </c>
      <c r="BF142" s="26">
        <f t="shared" si="190"/>
        <v>31428537</v>
      </c>
      <c r="BG142" s="27">
        <f t="shared" si="190"/>
        <v>22604851.040000007</v>
      </c>
      <c r="BH142" s="26">
        <f t="shared" si="190"/>
        <v>2635501</v>
      </c>
      <c r="BI142" s="27">
        <f t="shared" si="190"/>
        <v>1945479.7600000005</v>
      </c>
      <c r="BJ142" s="26">
        <f t="shared" si="190"/>
        <v>2188605</v>
      </c>
      <c r="BK142" s="27">
        <f t="shared" si="190"/>
        <v>1613415.4899999998</v>
      </c>
      <c r="BL142" s="26">
        <f t="shared" si="190"/>
        <v>2467561</v>
      </c>
      <c r="BM142" s="27">
        <f t="shared" si="190"/>
        <v>1832925.2299999997</v>
      </c>
      <c r="BN142" s="26">
        <f t="shared" si="190"/>
        <v>2441256</v>
      </c>
      <c r="BO142" s="27">
        <f t="shared" si="190"/>
        <v>1823736.19</v>
      </c>
      <c r="BP142" s="26">
        <f t="shared" si="190"/>
        <v>2524506</v>
      </c>
      <c r="BQ142" s="27">
        <f t="shared" si="190"/>
        <v>1876603.94</v>
      </c>
      <c r="BR142" s="26">
        <f t="shared" si="190"/>
        <v>2791984</v>
      </c>
      <c r="BS142" s="27">
        <f t="shared" si="190"/>
        <v>2093949.46</v>
      </c>
      <c r="BT142" s="26">
        <f t="shared" ref="BT142:DG142" si="191">SUM(BT4:BT141)</f>
        <v>2562242</v>
      </c>
      <c r="BU142" s="27">
        <f t="shared" si="191"/>
        <v>1929114.5200000003</v>
      </c>
      <c r="BV142" s="26">
        <f t="shared" si="191"/>
        <v>2263539</v>
      </c>
      <c r="BW142" s="27">
        <f t="shared" si="191"/>
        <v>1696048.9000000001</v>
      </c>
      <c r="BX142" s="26">
        <f t="shared" si="191"/>
        <v>2144607</v>
      </c>
      <c r="BY142" s="27">
        <f t="shared" si="191"/>
        <v>1615266.0200000005</v>
      </c>
      <c r="BZ142" s="26">
        <f t="shared" si="191"/>
        <v>2505567</v>
      </c>
      <c r="CA142" s="27">
        <f t="shared" si="191"/>
        <v>1884903.3399999999</v>
      </c>
      <c r="CB142" s="26">
        <f t="shared" si="191"/>
        <v>2317593</v>
      </c>
      <c r="CC142" s="27">
        <f t="shared" si="191"/>
        <v>1714170.4600000007</v>
      </c>
      <c r="CD142" s="26">
        <f t="shared" si="191"/>
        <v>2218222</v>
      </c>
      <c r="CE142" s="27">
        <f t="shared" si="191"/>
        <v>1646715.5799999996</v>
      </c>
      <c r="CF142" s="26">
        <f t="shared" si="191"/>
        <v>29061183</v>
      </c>
      <c r="CG142" s="27">
        <f t="shared" si="191"/>
        <v>21672328.889999997</v>
      </c>
      <c r="CH142" s="26">
        <f t="shared" si="191"/>
        <v>2088118</v>
      </c>
      <c r="CI142" s="27">
        <f t="shared" si="191"/>
        <v>1573223.2000000004</v>
      </c>
      <c r="CJ142" s="26">
        <f t="shared" si="191"/>
        <v>2119137</v>
      </c>
      <c r="CK142" s="27">
        <f t="shared" si="191"/>
        <v>1588117.29</v>
      </c>
      <c r="CL142" s="26">
        <f t="shared" si="191"/>
        <v>3118431</v>
      </c>
      <c r="CM142" s="27">
        <f t="shared" si="191"/>
        <v>2360939.59</v>
      </c>
      <c r="CN142" s="26">
        <f t="shared" si="191"/>
        <v>1794739</v>
      </c>
      <c r="CO142" s="27">
        <f t="shared" si="191"/>
        <v>1331643.8799999997</v>
      </c>
      <c r="CP142" s="26">
        <f t="shared" si="191"/>
        <v>2221723</v>
      </c>
      <c r="CQ142" s="27">
        <f t="shared" si="191"/>
        <v>1682932.2199999995</v>
      </c>
      <c r="CR142" s="26">
        <f t="shared" si="191"/>
        <v>2279600</v>
      </c>
      <c r="CS142" s="27">
        <f t="shared" si="191"/>
        <v>1732105.38</v>
      </c>
      <c r="CT142" s="26">
        <f t="shared" si="191"/>
        <v>2251328</v>
      </c>
      <c r="CU142" s="27">
        <f t="shared" si="191"/>
        <v>1699256.87</v>
      </c>
      <c r="CV142" s="26">
        <f t="shared" si="191"/>
        <v>2239523</v>
      </c>
      <c r="CW142" s="27">
        <f t="shared" si="191"/>
        <v>1689285.95</v>
      </c>
      <c r="CX142" s="26">
        <f t="shared" si="191"/>
        <v>2124541</v>
      </c>
      <c r="CY142" s="27">
        <f t="shared" si="191"/>
        <v>1606217.7</v>
      </c>
      <c r="CZ142" s="26">
        <f t="shared" si="191"/>
        <v>2219563</v>
      </c>
      <c r="DA142" s="27">
        <f t="shared" si="191"/>
        <v>1676170.2599999998</v>
      </c>
      <c r="DB142" s="26">
        <f t="shared" si="191"/>
        <v>2095754</v>
      </c>
      <c r="DC142" s="27">
        <f t="shared" si="191"/>
        <v>1580591.2600000002</v>
      </c>
      <c r="DD142" s="26">
        <f t="shared" si="191"/>
        <v>2252568</v>
      </c>
      <c r="DE142" s="27">
        <f t="shared" si="191"/>
        <v>1706072.0200000003</v>
      </c>
      <c r="DF142" s="26">
        <f t="shared" si="191"/>
        <v>26805025</v>
      </c>
      <c r="DG142" s="27">
        <f t="shared" si="191"/>
        <v>20226555.619999994</v>
      </c>
    </row>
    <row r="143" spans="1:111">
      <c r="A143" s="28"/>
      <c r="B143" s="20"/>
      <c r="C143" s="20"/>
      <c r="D143" s="20"/>
      <c r="E143" s="20"/>
      <c r="F143" s="21"/>
      <c r="G143" s="21"/>
      <c r="H143" s="15"/>
      <c r="I143" s="10"/>
      <c r="J143" s="15"/>
      <c r="K143" s="10"/>
      <c r="L143" s="15"/>
      <c r="M143" s="10"/>
      <c r="N143" s="15"/>
      <c r="O143" s="10"/>
      <c r="P143" s="15"/>
      <c r="Q143" s="10"/>
      <c r="R143" s="15"/>
      <c r="S143" s="10"/>
      <c r="T143" s="15"/>
      <c r="U143" s="10"/>
      <c r="V143" s="15"/>
      <c r="W143" s="10"/>
      <c r="X143" s="15"/>
      <c r="Y143" s="10"/>
      <c r="Z143" s="15"/>
      <c r="AA143" s="10"/>
      <c r="AB143" s="15"/>
      <c r="AC143" s="10"/>
      <c r="AD143" s="15"/>
      <c r="AE143" s="10"/>
      <c r="AF143" s="11"/>
      <c r="AG143" s="12"/>
      <c r="AH143" s="15"/>
      <c r="AI143" s="10"/>
      <c r="AJ143" s="15"/>
      <c r="AK143" s="10"/>
      <c r="AL143" s="15"/>
      <c r="AM143" s="10"/>
      <c r="AN143" s="15"/>
      <c r="AO143" s="10"/>
      <c r="AP143" s="15"/>
      <c r="AQ143" s="10"/>
      <c r="AR143" s="15"/>
      <c r="AS143" s="10"/>
      <c r="AT143" s="15"/>
      <c r="AU143" s="10"/>
      <c r="AV143" s="15"/>
      <c r="AW143" s="10"/>
      <c r="AX143" s="15"/>
      <c r="AY143" s="10"/>
      <c r="AZ143" s="15"/>
      <c r="BA143" s="10"/>
      <c r="BB143" s="15"/>
      <c r="BC143" s="10"/>
      <c r="BD143" s="15"/>
      <c r="BE143" s="10"/>
      <c r="BF143" s="11"/>
      <c r="BG143" s="12"/>
      <c r="BH143" s="15"/>
      <c r="BI143" s="10"/>
      <c r="BJ143" s="15"/>
      <c r="BK143" s="10"/>
      <c r="BL143" s="15"/>
      <c r="BM143" s="10"/>
      <c r="BN143" s="15"/>
      <c r="BO143" s="10"/>
      <c r="BP143" s="15"/>
      <c r="BQ143" s="10"/>
      <c r="BR143" s="15"/>
      <c r="BS143" s="10"/>
      <c r="BT143" s="15"/>
      <c r="BU143" s="10"/>
      <c r="BV143" s="15"/>
      <c r="BW143" s="10"/>
      <c r="BX143" s="15"/>
      <c r="BY143" s="10"/>
      <c r="BZ143" s="15"/>
      <c r="CA143" s="10"/>
      <c r="CB143" s="15"/>
      <c r="CC143" s="10"/>
      <c r="CD143" s="15"/>
      <c r="CE143" s="10"/>
      <c r="CF143" s="11"/>
      <c r="CG143" s="12"/>
      <c r="CH143" s="15"/>
      <c r="CI143" s="10"/>
      <c r="CJ143" s="15"/>
      <c r="CK143" s="10"/>
      <c r="CL143" s="15"/>
      <c r="CM143" s="10"/>
      <c r="CN143" s="15"/>
      <c r="CO143" s="10"/>
      <c r="CP143" s="15"/>
      <c r="CQ143" s="10"/>
      <c r="CR143" s="15"/>
      <c r="CS143" s="10"/>
      <c r="CT143" s="15"/>
      <c r="CU143" s="10"/>
      <c r="CV143" s="15"/>
      <c r="CW143" s="10"/>
      <c r="CX143" s="15"/>
      <c r="CY143" s="10"/>
      <c r="CZ143" s="15"/>
      <c r="DA143" s="10"/>
      <c r="DB143" s="15"/>
      <c r="DC143" s="10"/>
      <c r="DD143" s="15"/>
      <c r="DE143" s="10"/>
      <c r="DF143" s="16"/>
      <c r="DG143" s="10"/>
    </row>
    <row r="144" spans="1:111">
      <c r="A144" s="7">
        <v>113</v>
      </c>
      <c r="B144" s="8" t="s">
        <v>103</v>
      </c>
      <c r="C144" s="8" t="s">
        <v>11</v>
      </c>
      <c r="D144" s="7">
        <f t="shared" ref="D144:D150" si="192">RANK(DF144,$DF$143:$DF$158)</f>
        <v>5</v>
      </c>
      <c r="E144" s="7">
        <v>0.7</v>
      </c>
      <c r="F144" s="7" t="s">
        <v>12</v>
      </c>
      <c r="G144" s="7">
        <v>4500</v>
      </c>
      <c r="H144" s="9">
        <v>866</v>
      </c>
      <c r="I144" s="10">
        <f t="shared" ref="I144:I157" si="193">H144*$E144</f>
        <v>606.19999999999993</v>
      </c>
      <c r="J144" s="9">
        <v>1254</v>
      </c>
      <c r="K144" s="10">
        <f t="shared" ref="K144:K157" si="194">J144*$E144</f>
        <v>877.8</v>
      </c>
      <c r="L144" s="9">
        <v>1529</v>
      </c>
      <c r="M144" s="10">
        <f t="shared" ref="M144:M157" si="195">L144*$E144</f>
        <v>1070.3</v>
      </c>
      <c r="N144" s="9">
        <v>1699</v>
      </c>
      <c r="O144" s="10">
        <f t="shared" ref="O144:O157" si="196">N144*$E144</f>
        <v>1189.3</v>
      </c>
      <c r="P144" s="9">
        <v>1809</v>
      </c>
      <c r="Q144" s="10">
        <f t="shared" ref="Q144:Q157" si="197">P144*$E144</f>
        <v>1266.3</v>
      </c>
      <c r="R144" s="9">
        <v>2315</v>
      </c>
      <c r="S144" s="10">
        <f t="shared" ref="S144:S157" si="198">R144*$E144</f>
        <v>1620.5</v>
      </c>
      <c r="T144" s="9">
        <v>1491</v>
      </c>
      <c r="U144" s="10">
        <f t="shared" ref="U144:U157" si="199">T144*$E144</f>
        <v>1043.7</v>
      </c>
      <c r="V144" s="9">
        <v>1991</v>
      </c>
      <c r="W144" s="10">
        <f t="shared" ref="W144:W157" si="200">V144*$E144</f>
        <v>1393.6999999999998</v>
      </c>
      <c r="X144" s="9">
        <v>864</v>
      </c>
      <c r="Y144" s="10">
        <f t="shared" ref="Y144:Y157" si="201">X144*$E144</f>
        <v>604.79999999999995</v>
      </c>
      <c r="Z144" s="9">
        <v>782</v>
      </c>
      <c r="AA144" s="10">
        <f t="shared" ref="AA144:AA157" si="202">Z144*$E144</f>
        <v>547.4</v>
      </c>
      <c r="AB144" s="9">
        <v>927</v>
      </c>
      <c r="AC144" s="10">
        <f t="shared" ref="AC144:AC157" si="203">AB144*$E144</f>
        <v>648.9</v>
      </c>
      <c r="AD144" s="9">
        <v>425</v>
      </c>
      <c r="AE144" s="10">
        <f t="shared" ref="AE144:AE157" si="204">AD144*$E144</f>
        <v>297.5</v>
      </c>
      <c r="AF144" s="11">
        <f t="shared" ref="AF144" si="205">(AD144+AB144+Z144+X144+V144+T144+R144+P144+N144+L144+J144+H144)/1</f>
        <v>15952</v>
      </c>
      <c r="AG144" s="12">
        <f t="shared" ref="AG144:AG157" si="206">AF144*$E144</f>
        <v>11166.4</v>
      </c>
      <c r="AH144" s="9">
        <f>776+70</f>
        <v>846</v>
      </c>
      <c r="AI144" s="10">
        <f t="shared" ref="AI144:AI157" si="207">AH144*$E144</f>
        <v>592.19999999999993</v>
      </c>
      <c r="AJ144" s="9">
        <v>531</v>
      </c>
      <c r="AK144" s="10">
        <f t="shared" ref="AK144:AK157" si="208">AJ144*$E144</f>
        <v>371.7</v>
      </c>
      <c r="AL144" s="9">
        <f>24+731</f>
        <v>755</v>
      </c>
      <c r="AM144" s="10">
        <f t="shared" ref="AM144:AM157" si="209">AL144*$E144</f>
        <v>528.5</v>
      </c>
      <c r="AN144" s="9">
        <v>554</v>
      </c>
      <c r="AO144" s="10">
        <f t="shared" ref="AO144:AO157" si="210">AN144*$E144</f>
        <v>387.79999999999995</v>
      </c>
      <c r="AP144" s="9">
        <f>96+276</f>
        <v>372</v>
      </c>
      <c r="AQ144" s="10">
        <f t="shared" ref="AQ144:AQ157" si="211">AP144*$E144</f>
        <v>260.39999999999998</v>
      </c>
      <c r="AR144" s="9">
        <f>12+144</f>
        <v>156</v>
      </c>
      <c r="AS144" s="10">
        <f t="shared" ref="AS144:AS157" si="212">AR144*$E144</f>
        <v>109.19999999999999</v>
      </c>
      <c r="AT144" s="9">
        <v>168</v>
      </c>
      <c r="AU144" s="10">
        <f t="shared" ref="AU144:AU157" si="213">AT144*$E144</f>
        <v>117.6</v>
      </c>
      <c r="AV144" s="9">
        <v>131</v>
      </c>
      <c r="AW144" s="10">
        <f t="shared" ref="AW144:AW157" si="214">AV144*$E144</f>
        <v>91.699999999999989</v>
      </c>
      <c r="AX144" s="9">
        <v>72</v>
      </c>
      <c r="AY144" s="10">
        <f t="shared" ref="AY144:AY157" si="215">AX144*$E144</f>
        <v>50.4</v>
      </c>
      <c r="AZ144" s="9">
        <v>60</v>
      </c>
      <c r="BA144" s="10">
        <f t="shared" ref="BA144:BA157" si="216">AZ144*$E144</f>
        <v>42</v>
      </c>
      <c r="BB144" s="9">
        <v>29</v>
      </c>
      <c r="BC144" s="10">
        <f t="shared" ref="BC144:BC157" si="217">BB144*$E144</f>
        <v>20.299999999999997</v>
      </c>
      <c r="BD144" s="9">
        <v>72</v>
      </c>
      <c r="BE144" s="10">
        <f t="shared" ref="BE144:BE157" si="218">BD144*$E144</f>
        <v>50.4</v>
      </c>
      <c r="BF144" s="11">
        <f t="shared" ref="BF144" si="219">(BD144+BB144+AZ144+AX144+AV144+AT144+AR144+AP144+AN144+AL144+AJ144+AH144)/1</f>
        <v>3746</v>
      </c>
      <c r="BG144" s="12">
        <f t="shared" ref="BG144:BG157" si="220">BF144*$E144</f>
        <v>2622.2</v>
      </c>
      <c r="BH144" s="13">
        <v>119</v>
      </c>
      <c r="BI144" s="10">
        <f t="shared" ref="BI144:BI157" si="221">BH144*$E144</f>
        <v>83.3</v>
      </c>
      <c r="BJ144" s="13">
        <v>46</v>
      </c>
      <c r="BK144" s="10">
        <f t="shared" ref="BK144:BK157" si="222">BJ144*$E144</f>
        <v>32.199999999999996</v>
      </c>
      <c r="BL144" s="13">
        <v>108</v>
      </c>
      <c r="BM144" s="10">
        <f t="shared" ref="BM144:BM157" si="223">BL144*$E144</f>
        <v>75.599999999999994</v>
      </c>
      <c r="BN144" s="13">
        <v>124</v>
      </c>
      <c r="BO144" s="10">
        <f t="shared" ref="BO144:BO157" si="224">BN144*$E144</f>
        <v>86.8</v>
      </c>
      <c r="BP144" s="13">
        <v>285</v>
      </c>
      <c r="BQ144" s="10">
        <f t="shared" ref="BQ144:BQ157" si="225">BP144*$E144</f>
        <v>199.5</v>
      </c>
      <c r="BR144" s="13">
        <v>240</v>
      </c>
      <c r="BS144" s="10">
        <f t="shared" ref="BS144:BS157" si="226">BR144*$E144</f>
        <v>168</v>
      </c>
      <c r="BT144" s="13">
        <v>372</v>
      </c>
      <c r="BU144" s="10">
        <f t="shared" ref="BU144:BU157" si="227">BT144*$E144</f>
        <v>260.39999999999998</v>
      </c>
      <c r="BV144" s="13">
        <v>216</v>
      </c>
      <c r="BW144" s="10">
        <f t="shared" ref="BW144:BW157" si="228">BV144*$E144</f>
        <v>151.19999999999999</v>
      </c>
      <c r="BX144" s="13">
        <v>216</v>
      </c>
      <c r="BY144" s="10">
        <f t="shared" ref="BY144:BY157" si="229">BX144*$E144</f>
        <v>151.19999999999999</v>
      </c>
      <c r="BZ144" s="13">
        <v>456</v>
      </c>
      <c r="CA144" s="10">
        <f t="shared" ref="CA144:CA157" si="230">BZ144*$E144</f>
        <v>319.2</v>
      </c>
      <c r="CB144" s="13"/>
      <c r="CC144" s="10">
        <f t="shared" ref="CC144:CC157" si="231">CB144*$E144</f>
        <v>0</v>
      </c>
      <c r="CD144" s="13">
        <v>12</v>
      </c>
      <c r="CE144" s="10">
        <f t="shared" ref="CE144:CE157" si="232">CD144*$E144</f>
        <v>8.3999999999999986</v>
      </c>
      <c r="CF144" s="11">
        <f t="shared" ref="CF144" si="233">(CD144+CB144+BZ144+BX144+BV144+BT144+BR144+BP144+BN144+BL144+BJ144+BH144)/1</f>
        <v>2194</v>
      </c>
      <c r="CG144" s="12">
        <f t="shared" ref="CG144:CG157" si="234">CF144*$E144</f>
        <v>1535.8</v>
      </c>
      <c r="CH144" s="15">
        <v>156</v>
      </c>
      <c r="CI144" s="10">
        <f t="shared" ref="CI144:CI158" si="235">CH144*$E144</f>
        <v>109.19999999999999</v>
      </c>
      <c r="CJ144" s="15">
        <v>108</v>
      </c>
      <c r="CK144" s="10">
        <f t="shared" ref="CK144:CK158" si="236">CJ144*$E144</f>
        <v>75.599999999999994</v>
      </c>
      <c r="CL144" s="15">
        <v>84</v>
      </c>
      <c r="CM144" s="10">
        <f t="shared" ref="CM144:CM158" si="237">CL144*$E144</f>
        <v>58.8</v>
      </c>
      <c r="CN144" s="15">
        <v>48</v>
      </c>
      <c r="CO144" s="10">
        <f t="shared" ref="CO144:CO158" si="238">CN144*$E144</f>
        <v>33.599999999999994</v>
      </c>
      <c r="CP144" s="15">
        <v>60</v>
      </c>
      <c r="CQ144" s="10">
        <f t="shared" ref="CQ144:CQ158" si="239">CP144*$E144</f>
        <v>42</v>
      </c>
      <c r="CR144" s="15">
        <v>96</v>
      </c>
      <c r="CS144" s="10">
        <f t="shared" ref="CS144:CS158" si="240">CR144*$E144</f>
        <v>67.199999999999989</v>
      </c>
      <c r="CT144" s="15">
        <v>168</v>
      </c>
      <c r="CU144" s="10">
        <f t="shared" ref="CU144:CU158" si="241">CT144*$E144</f>
        <v>117.6</v>
      </c>
      <c r="CV144" s="15">
        <v>60</v>
      </c>
      <c r="CW144" s="10">
        <f t="shared" ref="CW144:CW158" si="242">CV144*$E144</f>
        <v>42</v>
      </c>
      <c r="CX144" s="15">
        <v>72</v>
      </c>
      <c r="CY144" s="10">
        <f t="shared" ref="CY144:CY158" si="243">CX144*$E144</f>
        <v>50.4</v>
      </c>
      <c r="CZ144" s="15">
        <v>72</v>
      </c>
      <c r="DA144" s="10">
        <f t="shared" ref="DA144:DA158" si="244">CZ144*$E144</f>
        <v>50.4</v>
      </c>
      <c r="DB144" s="15">
        <v>48</v>
      </c>
      <c r="DC144" s="10">
        <f t="shared" ref="DC144:DE158" si="245">DB144*$E144</f>
        <v>33.599999999999994</v>
      </c>
      <c r="DD144" s="15">
        <v>72</v>
      </c>
      <c r="DE144" s="10">
        <f t="shared" si="245"/>
        <v>50.4</v>
      </c>
      <c r="DF144" s="16">
        <f t="shared" ref="DF144:DF158" si="246">SUM(CH144,CJ144,CL144,CN144,CP144,CR144,CT144,CV144,CX144,CZ144,DB144,DD144)</f>
        <v>1044</v>
      </c>
      <c r="DG144" s="208">
        <f t="shared" ref="DG144:DG158" si="247">DF144*$E144</f>
        <v>730.8</v>
      </c>
    </row>
    <row r="145" spans="1:111">
      <c r="A145" s="7">
        <v>114</v>
      </c>
      <c r="B145" s="8" t="s">
        <v>104</v>
      </c>
      <c r="C145" s="8" t="s">
        <v>11</v>
      </c>
      <c r="D145" s="7">
        <f t="shared" si="192"/>
        <v>6</v>
      </c>
      <c r="E145" s="7">
        <v>0.35</v>
      </c>
      <c r="F145" s="7" t="s">
        <v>20</v>
      </c>
      <c r="G145" s="7">
        <v>2300</v>
      </c>
      <c r="H145" s="9">
        <v>133</v>
      </c>
      <c r="I145" s="10">
        <f t="shared" si="193"/>
        <v>46.55</v>
      </c>
      <c r="J145" s="9">
        <v>254</v>
      </c>
      <c r="K145" s="10">
        <f t="shared" si="194"/>
        <v>88.899999999999991</v>
      </c>
      <c r="L145" s="9">
        <v>234</v>
      </c>
      <c r="M145" s="10">
        <f t="shared" si="195"/>
        <v>81.899999999999991</v>
      </c>
      <c r="N145" s="9">
        <v>230</v>
      </c>
      <c r="O145" s="10">
        <f t="shared" si="196"/>
        <v>80.5</v>
      </c>
      <c r="P145" s="9">
        <v>255</v>
      </c>
      <c r="Q145" s="10">
        <f t="shared" si="197"/>
        <v>89.25</v>
      </c>
      <c r="R145" s="9">
        <v>216</v>
      </c>
      <c r="S145" s="10">
        <f t="shared" si="198"/>
        <v>75.599999999999994</v>
      </c>
      <c r="T145" s="9">
        <v>144</v>
      </c>
      <c r="U145" s="10">
        <f t="shared" si="199"/>
        <v>50.4</v>
      </c>
      <c r="V145" s="9">
        <v>108</v>
      </c>
      <c r="W145" s="10">
        <f t="shared" si="200"/>
        <v>37.799999999999997</v>
      </c>
      <c r="X145" s="9">
        <v>84</v>
      </c>
      <c r="Y145" s="10">
        <f t="shared" si="201"/>
        <v>29.4</v>
      </c>
      <c r="Z145" s="9">
        <v>166</v>
      </c>
      <c r="AA145" s="10">
        <f t="shared" si="202"/>
        <v>58.099999999999994</v>
      </c>
      <c r="AB145" s="9">
        <v>96</v>
      </c>
      <c r="AC145" s="10">
        <f t="shared" si="203"/>
        <v>33.599999999999994</v>
      </c>
      <c r="AD145" s="9">
        <v>72</v>
      </c>
      <c r="AE145" s="10">
        <f t="shared" si="204"/>
        <v>25.2</v>
      </c>
      <c r="AF145" s="11">
        <f t="shared" ref="AF145:AF157" si="248">(AD145+AB145+Z145+X145+V145+T145+R145+P145+N145+L145+J145+H145)/1</f>
        <v>1992</v>
      </c>
      <c r="AG145" s="12">
        <f t="shared" si="206"/>
        <v>697.19999999999993</v>
      </c>
      <c r="AH145" s="9"/>
      <c r="AI145" s="10">
        <f t="shared" si="207"/>
        <v>0</v>
      </c>
      <c r="AJ145" s="9">
        <v>96</v>
      </c>
      <c r="AK145" s="10">
        <f t="shared" si="208"/>
        <v>33.599999999999994</v>
      </c>
      <c r="AL145" s="9">
        <f>48</f>
        <v>48</v>
      </c>
      <c r="AM145" s="10">
        <f t="shared" si="209"/>
        <v>16.799999999999997</v>
      </c>
      <c r="AN145" s="9">
        <v>12</v>
      </c>
      <c r="AO145" s="10">
        <f t="shared" si="210"/>
        <v>4.1999999999999993</v>
      </c>
      <c r="AP145" s="9">
        <v>108</v>
      </c>
      <c r="AQ145" s="10">
        <f t="shared" si="211"/>
        <v>37.799999999999997</v>
      </c>
      <c r="AR145" s="9"/>
      <c r="AS145" s="10">
        <f t="shared" si="212"/>
        <v>0</v>
      </c>
      <c r="AT145" s="9">
        <v>24</v>
      </c>
      <c r="AU145" s="10">
        <f t="shared" si="213"/>
        <v>8.3999999999999986</v>
      </c>
      <c r="AV145" s="9">
        <v>48</v>
      </c>
      <c r="AW145" s="10">
        <f t="shared" si="214"/>
        <v>16.799999999999997</v>
      </c>
      <c r="AX145" s="9">
        <v>24</v>
      </c>
      <c r="AY145" s="10">
        <f t="shared" si="215"/>
        <v>8.3999999999999986</v>
      </c>
      <c r="AZ145" s="9"/>
      <c r="BA145" s="10">
        <f t="shared" si="216"/>
        <v>0</v>
      </c>
      <c r="BB145" s="9">
        <v>48</v>
      </c>
      <c r="BC145" s="10">
        <f t="shared" si="217"/>
        <v>16.799999999999997</v>
      </c>
      <c r="BD145" s="9">
        <v>96</v>
      </c>
      <c r="BE145" s="10">
        <f t="shared" si="218"/>
        <v>33.599999999999994</v>
      </c>
      <c r="BF145" s="11">
        <f t="shared" ref="BF145:BF157" si="249">(BD145+BB145+AZ145+AX145+AV145+AT145+AR145+AP145+AN145+AL145+AJ145+AH145)/1</f>
        <v>504</v>
      </c>
      <c r="BG145" s="12">
        <f t="shared" si="220"/>
        <v>176.39999999999998</v>
      </c>
      <c r="BH145" s="13">
        <v>168</v>
      </c>
      <c r="BI145" s="10">
        <f t="shared" si="221"/>
        <v>58.8</v>
      </c>
      <c r="BJ145" s="13">
        <v>0</v>
      </c>
      <c r="BK145" s="10">
        <f t="shared" si="222"/>
        <v>0</v>
      </c>
      <c r="BL145" s="13">
        <v>24</v>
      </c>
      <c r="BM145" s="10">
        <f t="shared" si="223"/>
        <v>8.3999999999999986</v>
      </c>
      <c r="BN145" s="13">
        <v>24</v>
      </c>
      <c r="BO145" s="10">
        <f t="shared" si="224"/>
        <v>8.3999999999999986</v>
      </c>
      <c r="BP145" s="13">
        <v>0</v>
      </c>
      <c r="BQ145" s="10">
        <f t="shared" si="225"/>
        <v>0</v>
      </c>
      <c r="BR145" s="13">
        <v>48</v>
      </c>
      <c r="BS145" s="10">
        <f t="shared" si="226"/>
        <v>16.799999999999997</v>
      </c>
      <c r="BT145" s="13">
        <v>24</v>
      </c>
      <c r="BU145" s="10">
        <f t="shared" si="227"/>
        <v>8.3999999999999986</v>
      </c>
      <c r="BV145" s="13">
        <v>96</v>
      </c>
      <c r="BW145" s="10">
        <f t="shared" si="228"/>
        <v>33.599999999999994</v>
      </c>
      <c r="BX145" s="13">
        <v>48</v>
      </c>
      <c r="BY145" s="10">
        <f t="shared" si="229"/>
        <v>16.799999999999997</v>
      </c>
      <c r="BZ145" s="13">
        <v>48</v>
      </c>
      <c r="CA145" s="10">
        <f t="shared" si="230"/>
        <v>16.799999999999997</v>
      </c>
      <c r="CB145" s="13">
        <f>108+99</f>
        <v>207</v>
      </c>
      <c r="CC145" s="10">
        <f t="shared" si="231"/>
        <v>72.449999999999989</v>
      </c>
      <c r="CD145" s="13">
        <v>24</v>
      </c>
      <c r="CE145" s="10">
        <f t="shared" si="232"/>
        <v>8.3999999999999986</v>
      </c>
      <c r="CF145" s="11">
        <f t="shared" ref="CF145:CF157" si="250">(CD145+CB145+BZ145+BX145+BV145+BT145+BR145+BP145+BN145+BL145+BJ145+BH145)/1</f>
        <v>711</v>
      </c>
      <c r="CG145" s="12">
        <f t="shared" si="234"/>
        <v>248.85</v>
      </c>
      <c r="CH145" s="15">
        <v>96</v>
      </c>
      <c r="CI145" s="10">
        <f t="shared" si="235"/>
        <v>33.599999999999994</v>
      </c>
      <c r="CJ145" s="15">
        <v>120</v>
      </c>
      <c r="CK145" s="10">
        <f t="shared" si="236"/>
        <v>42</v>
      </c>
      <c r="CL145" s="15">
        <v>48</v>
      </c>
      <c r="CM145" s="10">
        <f t="shared" si="237"/>
        <v>16.799999999999997</v>
      </c>
      <c r="CN145" s="15"/>
      <c r="CO145" s="10">
        <f t="shared" si="238"/>
        <v>0</v>
      </c>
      <c r="CP145" s="15">
        <v>48</v>
      </c>
      <c r="CQ145" s="10">
        <f t="shared" si="239"/>
        <v>16.799999999999997</v>
      </c>
      <c r="CR145" s="15">
        <v>48</v>
      </c>
      <c r="CS145" s="10">
        <f t="shared" si="240"/>
        <v>16.799999999999997</v>
      </c>
      <c r="CT145" s="15"/>
      <c r="CU145" s="10">
        <f t="shared" si="241"/>
        <v>0</v>
      </c>
      <c r="CV145" s="15"/>
      <c r="CW145" s="10">
        <f t="shared" si="242"/>
        <v>0</v>
      </c>
      <c r="CX145" s="15">
        <v>24</v>
      </c>
      <c r="CY145" s="10">
        <f t="shared" si="243"/>
        <v>8.3999999999999986</v>
      </c>
      <c r="CZ145" s="15"/>
      <c r="DA145" s="10">
        <f t="shared" si="244"/>
        <v>0</v>
      </c>
      <c r="DB145" s="15">
        <v>144</v>
      </c>
      <c r="DC145" s="10">
        <f t="shared" si="245"/>
        <v>50.4</v>
      </c>
      <c r="DD145" s="15"/>
      <c r="DE145" s="10">
        <f t="shared" si="245"/>
        <v>0</v>
      </c>
      <c r="DF145" s="16">
        <f t="shared" si="246"/>
        <v>528</v>
      </c>
      <c r="DG145" s="208">
        <f t="shared" si="247"/>
        <v>184.79999999999998</v>
      </c>
    </row>
    <row r="146" spans="1:111">
      <c r="A146" s="7">
        <v>115</v>
      </c>
      <c r="B146" s="8" t="s">
        <v>105</v>
      </c>
      <c r="C146" s="8" t="s">
        <v>11</v>
      </c>
      <c r="D146" s="7">
        <f t="shared" si="192"/>
        <v>7</v>
      </c>
      <c r="E146" s="7">
        <v>0.17499999999999999</v>
      </c>
      <c r="F146" s="7" t="s">
        <v>106</v>
      </c>
      <c r="G146" s="7">
        <v>1300</v>
      </c>
      <c r="H146" s="9">
        <v>13</v>
      </c>
      <c r="I146" s="10">
        <f t="shared" si="193"/>
        <v>2.2749999999999999</v>
      </c>
      <c r="J146" s="9">
        <v>344</v>
      </c>
      <c r="K146" s="10">
        <f t="shared" si="194"/>
        <v>60.199999999999996</v>
      </c>
      <c r="L146" s="9">
        <v>324</v>
      </c>
      <c r="M146" s="10">
        <f t="shared" si="195"/>
        <v>56.699999999999996</v>
      </c>
      <c r="N146" s="9">
        <v>176</v>
      </c>
      <c r="O146" s="10">
        <f t="shared" si="196"/>
        <v>30.799999999999997</v>
      </c>
      <c r="P146" s="9">
        <v>372</v>
      </c>
      <c r="Q146" s="10">
        <f t="shared" si="197"/>
        <v>65.099999999999994</v>
      </c>
      <c r="R146" s="9">
        <v>198</v>
      </c>
      <c r="S146" s="10">
        <f t="shared" si="198"/>
        <v>34.65</v>
      </c>
      <c r="T146" s="9">
        <v>288</v>
      </c>
      <c r="U146" s="10">
        <f t="shared" si="199"/>
        <v>50.4</v>
      </c>
      <c r="V146" s="9">
        <v>222</v>
      </c>
      <c r="W146" s="10">
        <f t="shared" si="200"/>
        <v>38.849999999999994</v>
      </c>
      <c r="X146" s="9">
        <v>96</v>
      </c>
      <c r="Y146" s="10">
        <f t="shared" si="201"/>
        <v>16.799999999999997</v>
      </c>
      <c r="Z146" s="9">
        <v>216</v>
      </c>
      <c r="AA146" s="10">
        <f t="shared" si="202"/>
        <v>37.799999999999997</v>
      </c>
      <c r="AB146" s="9">
        <v>144</v>
      </c>
      <c r="AC146" s="10">
        <f t="shared" si="203"/>
        <v>25.2</v>
      </c>
      <c r="AD146" s="9">
        <v>1392</v>
      </c>
      <c r="AE146" s="10">
        <f t="shared" si="204"/>
        <v>243.6</v>
      </c>
      <c r="AF146" s="11">
        <f t="shared" si="248"/>
        <v>3785</v>
      </c>
      <c r="AG146" s="12">
        <f t="shared" si="206"/>
        <v>662.375</v>
      </c>
      <c r="AH146" s="9">
        <v>96</v>
      </c>
      <c r="AI146" s="10">
        <f t="shared" si="207"/>
        <v>16.799999999999997</v>
      </c>
      <c r="AJ146" s="9">
        <v>48</v>
      </c>
      <c r="AK146" s="10">
        <f t="shared" si="208"/>
        <v>8.3999999999999986</v>
      </c>
      <c r="AL146" s="9">
        <v>144</v>
      </c>
      <c r="AM146" s="10">
        <f t="shared" si="209"/>
        <v>25.2</v>
      </c>
      <c r="AN146" s="9">
        <v>96</v>
      </c>
      <c r="AO146" s="10">
        <f t="shared" si="210"/>
        <v>16.799999999999997</v>
      </c>
      <c r="AP146" s="9">
        <v>96</v>
      </c>
      <c r="AQ146" s="10">
        <f t="shared" si="211"/>
        <v>16.799999999999997</v>
      </c>
      <c r="AR146" s="9">
        <v>96</v>
      </c>
      <c r="AS146" s="10">
        <f t="shared" si="212"/>
        <v>16.799999999999997</v>
      </c>
      <c r="AT146" s="9">
        <v>72</v>
      </c>
      <c r="AU146" s="10">
        <f t="shared" si="213"/>
        <v>12.6</v>
      </c>
      <c r="AV146" s="9">
        <v>96</v>
      </c>
      <c r="AW146" s="10">
        <f t="shared" si="214"/>
        <v>16.799999999999997</v>
      </c>
      <c r="AX146" s="9">
        <v>192</v>
      </c>
      <c r="AY146" s="10">
        <f t="shared" si="215"/>
        <v>33.599999999999994</v>
      </c>
      <c r="AZ146" s="9"/>
      <c r="BA146" s="10">
        <f t="shared" si="216"/>
        <v>0</v>
      </c>
      <c r="BB146" s="9"/>
      <c r="BC146" s="10">
        <f t="shared" si="217"/>
        <v>0</v>
      </c>
      <c r="BD146" s="9"/>
      <c r="BE146" s="10">
        <f t="shared" si="218"/>
        <v>0</v>
      </c>
      <c r="BF146" s="11">
        <f t="shared" si="249"/>
        <v>936</v>
      </c>
      <c r="BG146" s="12">
        <f t="shared" si="220"/>
        <v>163.79999999999998</v>
      </c>
      <c r="BH146" s="13">
        <v>0</v>
      </c>
      <c r="BI146" s="10">
        <f t="shared" si="221"/>
        <v>0</v>
      </c>
      <c r="BJ146" s="13">
        <v>0</v>
      </c>
      <c r="BK146" s="10">
        <f t="shared" si="222"/>
        <v>0</v>
      </c>
      <c r="BL146" s="13">
        <v>0</v>
      </c>
      <c r="BM146" s="10">
        <f t="shared" si="223"/>
        <v>0</v>
      </c>
      <c r="BN146" s="13">
        <v>0</v>
      </c>
      <c r="BO146" s="10">
        <f t="shared" si="224"/>
        <v>0</v>
      </c>
      <c r="BP146" s="13">
        <v>0</v>
      </c>
      <c r="BQ146" s="10">
        <f t="shared" si="225"/>
        <v>0</v>
      </c>
      <c r="BR146" s="13">
        <v>0</v>
      </c>
      <c r="BS146" s="10">
        <f t="shared" si="226"/>
        <v>0</v>
      </c>
      <c r="BT146" s="13">
        <v>0</v>
      </c>
      <c r="BU146" s="10">
        <f t="shared" si="227"/>
        <v>0</v>
      </c>
      <c r="BV146" s="13">
        <v>0</v>
      </c>
      <c r="BW146" s="10">
        <f t="shared" si="228"/>
        <v>0</v>
      </c>
      <c r="BX146" s="13">
        <v>0</v>
      </c>
      <c r="BY146" s="10">
        <f t="shared" si="229"/>
        <v>0</v>
      </c>
      <c r="BZ146" s="13"/>
      <c r="CA146" s="10">
        <f t="shared" si="230"/>
        <v>0</v>
      </c>
      <c r="CB146" s="13"/>
      <c r="CC146" s="10">
        <f t="shared" si="231"/>
        <v>0</v>
      </c>
      <c r="CD146" s="13"/>
      <c r="CE146" s="10">
        <f t="shared" si="232"/>
        <v>0</v>
      </c>
      <c r="CF146" s="11">
        <f t="shared" si="250"/>
        <v>0</v>
      </c>
      <c r="CG146" s="12">
        <f t="shared" si="234"/>
        <v>0</v>
      </c>
      <c r="CH146" s="15"/>
      <c r="CI146" s="10">
        <f t="shared" si="235"/>
        <v>0</v>
      </c>
      <c r="CJ146" s="15"/>
      <c r="CK146" s="10">
        <f t="shared" si="236"/>
        <v>0</v>
      </c>
      <c r="CL146" s="15"/>
      <c r="CM146" s="10">
        <f t="shared" si="237"/>
        <v>0</v>
      </c>
      <c r="CN146" s="15"/>
      <c r="CO146" s="10">
        <f t="shared" si="238"/>
        <v>0</v>
      </c>
      <c r="CP146" s="15"/>
      <c r="CQ146" s="10">
        <f t="shared" si="239"/>
        <v>0</v>
      </c>
      <c r="CR146" s="15"/>
      <c r="CS146" s="10">
        <f t="shared" si="240"/>
        <v>0</v>
      </c>
      <c r="CT146" s="15"/>
      <c r="CU146" s="10">
        <f t="shared" si="241"/>
        <v>0</v>
      </c>
      <c r="CV146" s="15"/>
      <c r="CW146" s="10">
        <f t="shared" si="242"/>
        <v>0</v>
      </c>
      <c r="CX146" s="15"/>
      <c r="CY146" s="10">
        <f t="shared" si="243"/>
        <v>0</v>
      </c>
      <c r="CZ146" s="15"/>
      <c r="DA146" s="10">
        <f t="shared" si="244"/>
        <v>0</v>
      </c>
      <c r="DB146" s="15"/>
      <c r="DC146" s="10">
        <f t="shared" si="245"/>
        <v>0</v>
      </c>
      <c r="DD146" s="15"/>
      <c r="DE146" s="10">
        <f t="shared" si="245"/>
        <v>0</v>
      </c>
      <c r="DF146" s="16">
        <f t="shared" si="246"/>
        <v>0</v>
      </c>
      <c r="DG146" s="208">
        <f t="shared" si="247"/>
        <v>0</v>
      </c>
    </row>
    <row r="147" spans="1:111">
      <c r="A147" s="7">
        <v>116</v>
      </c>
      <c r="B147" s="8" t="s">
        <v>107</v>
      </c>
      <c r="C147" s="8" t="s">
        <v>11</v>
      </c>
      <c r="D147" s="7">
        <f t="shared" si="192"/>
        <v>2</v>
      </c>
      <c r="E147" s="7">
        <v>0.7</v>
      </c>
      <c r="F147" s="7" t="s">
        <v>12</v>
      </c>
      <c r="G147" s="7">
        <v>5200</v>
      </c>
      <c r="H147" s="9">
        <v>7402</v>
      </c>
      <c r="I147" s="10">
        <f t="shared" si="193"/>
        <v>5181.3999999999996</v>
      </c>
      <c r="J147" s="9">
        <v>11055</v>
      </c>
      <c r="K147" s="10">
        <f t="shared" si="194"/>
        <v>7738.4999999999991</v>
      </c>
      <c r="L147" s="9">
        <v>11648</v>
      </c>
      <c r="M147" s="10">
        <f t="shared" si="195"/>
        <v>8153.5999999999995</v>
      </c>
      <c r="N147" s="9">
        <v>12520</v>
      </c>
      <c r="O147" s="10">
        <f t="shared" si="196"/>
        <v>8764</v>
      </c>
      <c r="P147" s="9">
        <v>12320</v>
      </c>
      <c r="Q147" s="10">
        <f t="shared" si="197"/>
        <v>8624</v>
      </c>
      <c r="R147" s="9">
        <v>10488</v>
      </c>
      <c r="S147" s="10">
        <f t="shared" si="198"/>
        <v>7341.5999999999995</v>
      </c>
      <c r="T147" s="9">
        <v>9390</v>
      </c>
      <c r="U147" s="10">
        <f t="shared" si="199"/>
        <v>6573</v>
      </c>
      <c r="V147" s="9">
        <v>13776</v>
      </c>
      <c r="W147" s="10">
        <f t="shared" si="200"/>
        <v>9643.1999999999989</v>
      </c>
      <c r="X147" s="9">
        <v>4693</v>
      </c>
      <c r="Y147" s="10">
        <f t="shared" si="201"/>
        <v>3285.1</v>
      </c>
      <c r="Z147" s="9">
        <v>7533</v>
      </c>
      <c r="AA147" s="10">
        <f t="shared" si="202"/>
        <v>5273.0999999999995</v>
      </c>
      <c r="AB147" s="9">
        <v>8850</v>
      </c>
      <c r="AC147" s="10">
        <f t="shared" si="203"/>
        <v>6195</v>
      </c>
      <c r="AD147" s="9">
        <v>9882</v>
      </c>
      <c r="AE147" s="10">
        <f t="shared" si="204"/>
        <v>6917.4</v>
      </c>
      <c r="AF147" s="11">
        <f t="shared" si="248"/>
        <v>119557</v>
      </c>
      <c r="AG147" s="12">
        <f t="shared" si="206"/>
        <v>83689.899999999994</v>
      </c>
      <c r="AH147" s="9">
        <v>9662</v>
      </c>
      <c r="AI147" s="10">
        <f t="shared" si="207"/>
        <v>6763.4</v>
      </c>
      <c r="AJ147" s="9">
        <v>6552</v>
      </c>
      <c r="AK147" s="10">
        <f t="shared" si="208"/>
        <v>4586.3999999999996</v>
      </c>
      <c r="AL147" s="9">
        <v>9452</v>
      </c>
      <c r="AM147" s="10">
        <f t="shared" si="209"/>
        <v>6616.4</v>
      </c>
      <c r="AN147" s="9">
        <v>6922</v>
      </c>
      <c r="AO147" s="10">
        <f t="shared" si="210"/>
        <v>4845.3999999999996</v>
      </c>
      <c r="AP147" s="9">
        <v>8922</v>
      </c>
      <c r="AQ147" s="10">
        <f t="shared" si="211"/>
        <v>6245.4</v>
      </c>
      <c r="AR147" s="9">
        <v>6258</v>
      </c>
      <c r="AS147" s="10">
        <f t="shared" si="212"/>
        <v>4380.5999999999995</v>
      </c>
      <c r="AT147" s="9">
        <v>5916</v>
      </c>
      <c r="AU147" s="10">
        <f t="shared" si="213"/>
        <v>4141.2</v>
      </c>
      <c r="AV147" s="9">
        <v>6037</v>
      </c>
      <c r="AW147" s="10">
        <f t="shared" si="214"/>
        <v>4225.8999999999996</v>
      </c>
      <c r="AX147" s="9">
        <v>6241</v>
      </c>
      <c r="AY147" s="10">
        <f t="shared" si="215"/>
        <v>4368.7</v>
      </c>
      <c r="AZ147" s="9">
        <v>6434</v>
      </c>
      <c r="BA147" s="10">
        <f t="shared" si="216"/>
        <v>4503.7999999999993</v>
      </c>
      <c r="BB147" s="9">
        <v>5255</v>
      </c>
      <c r="BC147" s="10">
        <f t="shared" si="217"/>
        <v>3678.4999999999995</v>
      </c>
      <c r="BD147" s="9">
        <v>5500</v>
      </c>
      <c r="BE147" s="10">
        <f t="shared" si="218"/>
        <v>3849.9999999999995</v>
      </c>
      <c r="BF147" s="11">
        <f t="shared" si="249"/>
        <v>83151</v>
      </c>
      <c r="BG147" s="12">
        <f t="shared" si="220"/>
        <v>58205.7</v>
      </c>
      <c r="BH147" s="13">
        <v>7632</v>
      </c>
      <c r="BI147" s="10">
        <f t="shared" si="221"/>
        <v>5342.4</v>
      </c>
      <c r="BJ147" s="13">
        <v>6530</v>
      </c>
      <c r="BK147" s="10">
        <f t="shared" si="222"/>
        <v>4571</v>
      </c>
      <c r="BL147" s="13">
        <v>9151</v>
      </c>
      <c r="BM147" s="10">
        <f t="shared" si="223"/>
        <v>6405.7</v>
      </c>
      <c r="BN147" s="13">
        <v>1481</v>
      </c>
      <c r="BO147" s="10">
        <f t="shared" si="224"/>
        <v>1036.7</v>
      </c>
      <c r="BP147" s="13">
        <v>2415</v>
      </c>
      <c r="BQ147" s="10">
        <f t="shared" si="225"/>
        <v>1690.5</v>
      </c>
      <c r="BR147" s="13">
        <v>2415</v>
      </c>
      <c r="BS147" s="10">
        <f t="shared" si="226"/>
        <v>1690.5</v>
      </c>
      <c r="BT147" s="13">
        <v>2162</v>
      </c>
      <c r="BU147" s="10">
        <f t="shared" si="227"/>
        <v>1513.3999999999999</v>
      </c>
      <c r="BV147" s="13">
        <v>2054</v>
      </c>
      <c r="BW147" s="10">
        <f t="shared" si="228"/>
        <v>1437.8</v>
      </c>
      <c r="BX147" s="13">
        <v>2387</v>
      </c>
      <c r="BY147" s="10">
        <f t="shared" si="229"/>
        <v>1670.8999999999999</v>
      </c>
      <c r="BZ147" s="13">
        <v>1865</v>
      </c>
      <c r="CA147" s="10">
        <f t="shared" si="230"/>
        <v>1305.5</v>
      </c>
      <c r="CB147" s="13">
        <v>2262</v>
      </c>
      <c r="CC147" s="10">
        <f t="shared" si="231"/>
        <v>1583.3999999999999</v>
      </c>
      <c r="CD147" s="13">
        <v>1354</v>
      </c>
      <c r="CE147" s="10">
        <f t="shared" si="232"/>
        <v>947.8</v>
      </c>
      <c r="CF147" s="11">
        <f t="shared" si="250"/>
        <v>41708</v>
      </c>
      <c r="CG147" s="12">
        <f t="shared" si="234"/>
        <v>29195.599999999999</v>
      </c>
      <c r="CH147" s="15">
        <v>974</v>
      </c>
      <c r="CI147" s="10">
        <f t="shared" si="235"/>
        <v>681.8</v>
      </c>
      <c r="CJ147" s="15">
        <v>1257</v>
      </c>
      <c r="CK147" s="10">
        <f t="shared" si="236"/>
        <v>879.9</v>
      </c>
      <c r="CL147" s="15">
        <v>984</v>
      </c>
      <c r="CM147" s="10">
        <f t="shared" si="237"/>
        <v>688.8</v>
      </c>
      <c r="CN147" s="15">
        <v>732</v>
      </c>
      <c r="CO147" s="10">
        <f t="shared" si="238"/>
        <v>512.4</v>
      </c>
      <c r="CP147" s="15">
        <v>884</v>
      </c>
      <c r="CQ147" s="10">
        <f t="shared" si="239"/>
        <v>618.79999999999995</v>
      </c>
      <c r="CR147" s="15">
        <v>740</v>
      </c>
      <c r="CS147" s="10">
        <f t="shared" si="240"/>
        <v>518</v>
      </c>
      <c r="CT147" s="15">
        <v>1057</v>
      </c>
      <c r="CU147" s="10">
        <f t="shared" si="241"/>
        <v>739.9</v>
      </c>
      <c r="CV147" s="15">
        <v>926</v>
      </c>
      <c r="CW147" s="10">
        <f t="shared" si="242"/>
        <v>648.19999999999993</v>
      </c>
      <c r="CX147" s="15">
        <v>842</v>
      </c>
      <c r="CY147" s="10">
        <f t="shared" si="243"/>
        <v>589.4</v>
      </c>
      <c r="CZ147" s="15">
        <v>828</v>
      </c>
      <c r="DA147" s="10">
        <f t="shared" si="244"/>
        <v>579.59999999999991</v>
      </c>
      <c r="DB147" s="15">
        <v>668</v>
      </c>
      <c r="DC147" s="10">
        <f t="shared" si="245"/>
        <v>467.59999999999997</v>
      </c>
      <c r="DD147" s="15">
        <v>721</v>
      </c>
      <c r="DE147" s="10">
        <f t="shared" si="245"/>
        <v>504.7</v>
      </c>
      <c r="DF147" s="16">
        <f t="shared" si="246"/>
        <v>10613</v>
      </c>
      <c r="DG147" s="208">
        <f t="shared" si="247"/>
        <v>7429.0999999999995</v>
      </c>
    </row>
    <row r="148" spans="1:111">
      <c r="A148" s="7">
        <v>117</v>
      </c>
      <c r="B148" s="8" t="s">
        <v>108</v>
      </c>
      <c r="C148" s="8" t="s">
        <v>11</v>
      </c>
      <c r="D148" s="7">
        <f t="shared" si="192"/>
        <v>1</v>
      </c>
      <c r="E148" s="7">
        <v>0.35</v>
      </c>
      <c r="F148" s="7" t="s">
        <v>20</v>
      </c>
      <c r="G148" s="7">
        <v>2600</v>
      </c>
      <c r="H148" s="9">
        <v>10676</v>
      </c>
      <c r="I148" s="10">
        <f t="shared" si="193"/>
        <v>3736.6</v>
      </c>
      <c r="J148" s="9">
        <v>22944</v>
      </c>
      <c r="K148" s="10">
        <f t="shared" si="194"/>
        <v>8030.4</v>
      </c>
      <c r="L148" s="9">
        <v>25390</v>
      </c>
      <c r="M148" s="10">
        <f t="shared" si="195"/>
        <v>8886.5</v>
      </c>
      <c r="N148" s="9">
        <v>23640</v>
      </c>
      <c r="O148" s="10">
        <f t="shared" si="196"/>
        <v>8274</v>
      </c>
      <c r="P148" s="9">
        <v>25414</v>
      </c>
      <c r="Q148" s="10">
        <f t="shared" si="197"/>
        <v>8894.9</v>
      </c>
      <c r="R148" s="9">
        <v>24173</v>
      </c>
      <c r="S148" s="10">
        <f t="shared" si="198"/>
        <v>8460.5499999999993</v>
      </c>
      <c r="T148" s="9">
        <v>23254</v>
      </c>
      <c r="U148" s="10">
        <f t="shared" si="199"/>
        <v>8138.9</v>
      </c>
      <c r="V148" s="9">
        <v>34164</v>
      </c>
      <c r="W148" s="10">
        <f t="shared" si="200"/>
        <v>11957.4</v>
      </c>
      <c r="X148" s="9">
        <v>11580</v>
      </c>
      <c r="Y148" s="10">
        <f t="shared" si="201"/>
        <v>4052.9999999999995</v>
      </c>
      <c r="Z148" s="9">
        <v>16810</v>
      </c>
      <c r="AA148" s="10">
        <f t="shared" si="202"/>
        <v>5883.5</v>
      </c>
      <c r="AB148" s="9">
        <v>23152</v>
      </c>
      <c r="AC148" s="10">
        <f t="shared" si="203"/>
        <v>8103.2</v>
      </c>
      <c r="AD148" s="9">
        <v>26454</v>
      </c>
      <c r="AE148" s="10">
        <f t="shared" si="204"/>
        <v>9258.9</v>
      </c>
      <c r="AF148" s="11">
        <f t="shared" si="248"/>
        <v>267651</v>
      </c>
      <c r="AG148" s="12">
        <f t="shared" si="206"/>
        <v>93677.849999999991</v>
      </c>
      <c r="AH148" s="9">
        <v>25907</v>
      </c>
      <c r="AI148" s="10">
        <f t="shared" si="207"/>
        <v>9067.4499999999989</v>
      </c>
      <c r="AJ148" s="9">
        <v>19144</v>
      </c>
      <c r="AK148" s="10">
        <f t="shared" si="208"/>
        <v>6700.4</v>
      </c>
      <c r="AL148" s="9">
        <v>26930</v>
      </c>
      <c r="AM148" s="10">
        <f t="shared" si="209"/>
        <v>9425.5</v>
      </c>
      <c r="AN148" s="9">
        <v>20023</v>
      </c>
      <c r="AO148" s="10">
        <f t="shared" si="210"/>
        <v>7008.0499999999993</v>
      </c>
      <c r="AP148" s="9">
        <v>28732</v>
      </c>
      <c r="AQ148" s="10">
        <f t="shared" si="211"/>
        <v>10056.199999999999</v>
      </c>
      <c r="AR148" s="9">
        <v>21905</v>
      </c>
      <c r="AS148" s="10">
        <f t="shared" si="212"/>
        <v>7666.7499999999991</v>
      </c>
      <c r="AT148" s="9">
        <v>23886</v>
      </c>
      <c r="AU148" s="10">
        <f t="shared" si="213"/>
        <v>8360.1</v>
      </c>
      <c r="AV148" s="9">
        <v>24116</v>
      </c>
      <c r="AW148" s="10">
        <f t="shared" si="214"/>
        <v>8440.6</v>
      </c>
      <c r="AX148" s="9">
        <v>26951</v>
      </c>
      <c r="AY148" s="10">
        <f t="shared" si="215"/>
        <v>9432.8499999999985</v>
      </c>
      <c r="AZ148" s="9">
        <v>26371</v>
      </c>
      <c r="BA148" s="10">
        <f t="shared" si="216"/>
        <v>9229.8499999999985</v>
      </c>
      <c r="BB148" s="9">
        <v>16907</v>
      </c>
      <c r="BC148" s="10">
        <f t="shared" si="217"/>
        <v>5917.45</v>
      </c>
      <c r="BD148" s="9">
        <v>16940</v>
      </c>
      <c r="BE148" s="10">
        <f t="shared" si="218"/>
        <v>5929</v>
      </c>
      <c r="BF148" s="11">
        <f t="shared" si="249"/>
        <v>277812</v>
      </c>
      <c r="BG148" s="12">
        <f t="shared" si="220"/>
        <v>97234.2</v>
      </c>
      <c r="BH148" s="13">
        <v>20807</v>
      </c>
      <c r="BI148" s="10">
        <f t="shared" si="221"/>
        <v>7282.45</v>
      </c>
      <c r="BJ148" s="13">
        <v>18974</v>
      </c>
      <c r="BK148" s="10">
        <f t="shared" si="222"/>
        <v>6640.9</v>
      </c>
      <c r="BL148" s="13">
        <v>26022</v>
      </c>
      <c r="BM148" s="10">
        <f t="shared" si="223"/>
        <v>9107.6999999999989</v>
      </c>
      <c r="BN148" s="13">
        <v>4244</v>
      </c>
      <c r="BO148" s="10">
        <f t="shared" si="224"/>
        <v>1485.3999999999999</v>
      </c>
      <c r="BP148" s="13">
        <v>4869</v>
      </c>
      <c r="BQ148" s="10">
        <f t="shared" si="225"/>
        <v>1704.1499999999999</v>
      </c>
      <c r="BR148" s="13">
        <v>4099</v>
      </c>
      <c r="BS148" s="10">
        <f t="shared" si="226"/>
        <v>1434.6499999999999</v>
      </c>
      <c r="BT148" s="13">
        <v>4195</v>
      </c>
      <c r="BU148" s="10">
        <f t="shared" si="227"/>
        <v>1468.25</v>
      </c>
      <c r="BV148" s="13">
        <v>4245</v>
      </c>
      <c r="BW148" s="10">
        <f t="shared" si="228"/>
        <v>1485.75</v>
      </c>
      <c r="BX148" s="13">
        <v>3857</v>
      </c>
      <c r="BY148" s="10">
        <f t="shared" si="229"/>
        <v>1349.9499999999998</v>
      </c>
      <c r="BZ148" s="13">
        <v>3481</v>
      </c>
      <c r="CA148" s="10">
        <f t="shared" si="230"/>
        <v>1218.3499999999999</v>
      </c>
      <c r="CB148" s="13">
        <v>3768</v>
      </c>
      <c r="CC148" s="10">
        <f t="shared" si="231"/>
        <v>1318.8</v>
      </c>
      <c r="CD148" s="13">
        <v>2045</v>
      </c>
      <c r="CE148" s="10">
        <f t="shared" si="232"/>
        <v>715.75</v>
      </c>
      <c r="CF148" s="11">
        <f t="shared" si="250"/>
        <v>100606</v>
      </c>
      <c r="CG148" s="12">
        <f t="shared" si="234"/>
        <v>35212.1</v>
      </c>
      <c r="CH148" s="15">
        <v>3434</v>
      </c>
      <c r="CI148" s="10">
        <f t="shared" si="235"/>
        <v>1201.8999999999999</v>
      </c>
      <c r="CJ148" s="15">
        <v>2289</v>
      </c>
      <c r="CK148" s="10">
        <f t="shared" si="236"/>
        <v>801.15</v>
      </c>
      <c r="CL148" s="15">
        <v>2835</v>
      </c>
      <c r="CM148" s="10">
        <f t="shared" si="237"/>
        <v>992.24999999999989</v>
      </c>
      <c r="CN148" s="15">
        <v>1442</v>
      </c>
      <c r="CO148" s="10">
        <f t="shared" si="238"/>
        <v>504.7</v>
      </c>
      <c r="CP148" s="15">
        <v>2280</v>
      </c>
      <c r="CQ148" s="10">
        <f t="shared" si="239"/>
        <v>798</v>
      </c>
      <c r="CR148" s="15">
        <v>1769</v>
      </c>
      <c r="CS148" s="10">
        <f t="shared" si="240"/>
        <v>619.15</v>
      </c>
      <c r="CT148" s="15">
        <v>1222</v>
      </c>
      <c r="CU148" s="10">
        <f t="shared" si="241"/>
        <v>427.7</v>
      </c>
      <c r="CV148" s="15">
        <v>1263</v>
      </c>
      <c r="CW148" s="10">
        <f t="shared" si="242"/>
        <v>442.04999999999995</v>
      </c>
      <c r="CX148" s="15">
        <v>352</v>
      </c>
      <c r="CY148" s="10">
        <f t="shared" si="243"/>
        <v>123.19999999999999</v>
      </c>
      <c r="CZ148" s="15">
        <v>354</v>
      </c>
      <c r="DA148" s="10">
        <f t="shared" si="244"/>
        <v>123.89999999999999</v>
      </c>
      <c r="DB148" s="15">
        <v>125</v>
      </c>
      <c r="DC148" s="10">
        <f t="shared" si="245"/>
        <v>43.75</v>
      </c>
      <c r="DD148" s="15">
        <v>2010</v>
      </c>
      <c r="DE148" s="10">
        <f t="shared" si="245"/>
        <v>703.5</v>
      </c>
      <c r="DF148" s="16">
        <f t="shared" si="246"/>
        <v>19375</v>
      </c>
      <c r="DG148" s="208">
        <f t="shared" si="247"/>
        <v>6781.25</v>
      </c>
    </row>
    <row r="149" spans="1:111">
      <c r="A149" s="7">
        <v>118</v>
      </c>
      <c r="B149" s="8" t="s">
        <v>109</v>
      </c>
      <c r="C149" s="8" t="s">
        <v>11</v>
      </c>
      <c r="D149" s="7">
        <f t="shared" si="192"/>
        <v>3</v>
      </c>
      <c r="E149" s="7">
        <v>0.17499999999999999</v>
      </c>
      <c r="F149" s="7" t="s">
        <v>106</v>
      </c>
      <c r="G149" s="7">
        <v>1450</v>
      </c>
      <c r="H149" s="9">
        <v>3168</v>
      </c>
      <c r="I149" s="10">
        <f t="shared" si="193"/>
        <v>554.4</v>
      </c>
      <c r="J149" s="9">
        <v>4733</v>
      </c>
      <c r="K149" s="10">
        <f t="shared" si="194"/>
        <v>828.27499999999998</v>
      </c>
      <c r="L149" s="9">
        <v>5359</v>
      </c>
      <c r="M149" s="10">
        <f t="shared" si="195"/>
        <v>937.82499999999993</v>
      </c>
      <c r="N149" s="9">
        <v>6037</v>
      </c>
      <c r="O149" s="10">
        <f t="shared" si="196"/>
        <v>1056.4749999999999</v>
      </c>
      <c r="P149" s="9">
        <v>8314</v>
      </c>
      <c r="Q149" s="10">
        <f t="shared" si="197"/>
        <v>1454.9499999999998</v>
      </c>
      <c r="R149" s="9">
        <v>9693</v>
      </c>
      <c r="S149" s="10">
        <f t="shared" si="198"/>
        <v>1696.2749999999999</v>
      </c>
      <c r="T149" s="9">
        <v>7736</v>
      </c>
      <c r="U149" s="10">
        <f t="shared" si="199"/>
        <v>1353.8</v>
      </c>
      <c r="V149" s="9">
        <v>9341</v>
      </c>
      <c r="W149" s="10">
        <f t="shared" si="200"/>
        <v>1634.675</v>
      </c>
      <c r="X149" s="9">
        <v>551</v>
      </c>
      <c r="Y149" s="10">
        <f t="shared" si="201"/>
        <v>96.424999999999997</v>
      </c>
      <c r="Z149" s="9">
        <v>7484</v>
      </c>
      <c r="AA149" s="10">
        <f t="shared" si="202"/>
        <v>1309.6999999999998</v>
      </c>
      <c r="AB149" s="9">
        <v>6880</v>
      </c>
      <c r="AC149" s="10">
        <f t="shared" si="203"/>
        <v>1204</v>
      </c>
      <c r="AD149" s="9">
        <v>8846</v>
      </c>
      <c r="AE149" s="10">
        <f t="shared" si="204"/>
        <v>1548.05</v>
      </c>
      <c r="AF149" s="11">
        <f t="shared" si="248"/>
        <v>78142</v>
      </c>
      <c r="AG149" s="12">
        <f t="shared" si="206"/>
        <v>13674.849999999999</v>
      </c>
      <c r="AH149" s="9">
        <v>7254</v>
      </c>
      <c r="AI149" s="10">
        <f t="shared" si="207"/>
        <v>1269.4499999999998</v>
      </c>
      <c r="AJ149" s="9">
        <v>3996</v>
      </c>
      <c r="AK149" s="10">
        <f t="shared" si="208"/>
        <v>699.3</v>
      </c>
      <c r="AL149" s="9">
        <v>8038</v>
      </c>
      <c r="AM149" s="10">
        <f t="shared" si="209"/>
        <v>1406.6499999999999</v>
      </c>
      <c r="AN149" s="9">
        <v>5730</v>
      </c>
      <c r="AO149" s="10">
        <f t="shared" si="210"/>
        <v>1002.7499999999999</v>
      </c>
      <c r="AP149" s="9">
        <v>8728</v>
      </c>
      <c r="AQ149" s="10">
        <f t="shared" si="211"/>
        <v>1527.3999999999999</v>
      </c>
      <c r="AR149" s="9">
        <v>5694</v>
      </c>
      <c r="AS149" s="10">
        <f t="shared" si="212"/>
        <v>996.44999999999993</v>
      </c>
      <c r="AT149" s="9">
        <v>6941</v>
      </c>
      <c r="AU149" s="10">
        <f t="shared" si="213"/>
        <v>1214.675</v>
      </c>
      <c r="AV149" s="9">
        <v>6251</v>
      </c>
      <c r="AW149" s="10">
        <f t="shared" si="214"/>
        <v>1093.925</v>
      </c>
      <c r="AX149" s="9">
        <v>6584</v>
      </c>
      <c r="AY149" s="10">
        <f t="shared" si="215"/>
        <v>1152.1999999999998</v>
      </c>
      <c r="AZ149" s="9">
        <v>7414</v>
      </c>
      <c r="BA149" s="10">
        <f t="shared" si="216"/>
        <v>1297.4499999999998</v>
      </c>
      <c r="BB149" s="9">
        <v>5779</v>
      </c>
      <c r="BC149" s="10">
        <f t="shared" si="217"/>
        <v>1011.3249999999999</v>
      </c>
      <c r="BD149" s="9">
        <v>6799</v>
      </c>
      <c r="BE149" s="10">
        <f t="shared" si="218"/>
        <v>1189.8249999999998</v>
      </c>
      <c r="BF149" s="11">
        <f t="shared" si="249"/>
        <v>79208</v>
      </c>
      <c r="BG149" s="12">
        <f t="shared" si="220"/>
        <v>13861.4</v>
      </c>
      <c r="BH149" s="13">
        <v>9557</v>
      </c>
      <c r="BI149" s="10">
        <f t="shared" si="221"/>
        <v>1672.4749999999999</v>
      </c>
      <c r="BJ149" s="13">
        <v>9813</v>
      </c>
      <c r="BK149" s="10">
        <f t="shared" si="222"/>
        <v>1717.2749999999999</v>
      </c>
      <c r="BL149" s="13">
        <v>10578</v>
      </c>
      <c r="BM149" s="10">
        <f t="shared" si="223"/>
        <v>1851.1499999999999</v>
      </c>
      <c r="BN149" s="13">
        <v>2770</v>
      </c>
      <c r="BO149" s="10">
        <f t="shared" si="224"/>
        <v>484.74999999999994</v>
      </c>
      <c r="BP149" s="13">
        <v>3749</v>
      </c>
      <c r="BQ149" s="10">
        <f t="shared" si="225"/>
        <v>656.07499999999993</v>
      </c>
      <c r="BR149" s="13">
        <v>3179</v>
      </c>
      <c r="BS149" s="10">
        <f t="shared" si="226"/>
        <v>556.32499999999993</v>
      </c>
      <c r="BT149" s="13">
        <v>3132</v>
      </c>
      <c r="BU149" s="10">
        <f t="shared" si="227"/>
        <v>548.09999999999991</v>
      </c>
      <c r="BV149" s="13">
        <v>2529</v>
      </c>
      <c r="BW149" s="10">
        <f t="shared" si="228"/>
        <v>442.57499999999999</v>
      </c>
      <c r="BX149" s="13">
        <v>1678</v>
      </c>
      <c r="BY149" s="10">
        <f t="shared" si="229"/>
        <v>293.64999999999998</v>
      </c>
      <c r="BZ149" s="13">
        <v>1718</v>
      </c>
      <c r="CA149" s="10">
        <f t="shared" si="230"/>
        <v>300.64999999999998</v>
      </c>
      <c r="CB149" s="13">
        <v>475</v>
      </c>
      <c r="CC149" s="10">
        <f t="shared" si="231"/>
        <v>83.125</v>
      </c>
      <c r="CD149" s="13">
        <v>24</v>
      </c>
      <c r="CE149" s="10">
        <f t="shared" si="232"/>
        <v>4.1999999999999993</v>
      </c>
      <c r="CF149" s="11">
        <f t="shared" si="250"/>
        <v>49202</v>
      </c>
      <c r="CG149" s="12">
        <f t="shared" si="234"/>
        <v>8610.3499999999985</v>
      </c>
      <c r="CH149" s="15">
        <v>0</v>
      </c>
      <c r="CI149" s="10">
        <f t="shared" si="235"/>
        <v>0</v>
      </c>
      <c r="CJ149" s="15">
        <v>755</v>
      </c>
      <c r="CK149" s="10">
        <f t="shared" si="236"/>
        <v>132.125</v>
      </c>
      <c r="CL149" s="15">
        <v>695</v>
      </c>
      <c r="CM149" s="10">
        <f t="shared" si="237"/>
        <v>121.62499999999999</v>
      </c>
      <c r="CN149" s="15"/>
      <c r="CO149" s="10">
        <f t="shared" si="238"/>
        <v>0</v>
      </c>
      <c r="CP149" s="15">
        <v>86</v>
      </c>
      <c r="CQ149" s="10">
        <f t="shared" si="239"/>
        <v>15.049999999999999</v>
      </c>
      <c r="CR149" s="15">
        <v>72</v>
      </c>
      <c r="CS149" s="10">
        <f t="shared" si="240"/>
        <v>12.6</v>
      </c>
      <c r="CT149" s="15">
        <v>431</v>
      </c>
      <c r="CU149" s="10">
        <f t="shared" si="241"/>
        <v>75.424999999999997</v>
      </c>
      <c r="CV149" s="15">
        <v>215</v>
      </c>
      <c r="CW149" s="10">
        <f t="shared" si="242"/>
        <v>37.625</v>
      </c>
      <c r="CX149" s="15"/>
      <c r="CY149" s="10">
        <f t="shared" si="243"/>
        <v>0</v>
      </c>
      <c r="CZ149" s="15"/>
      <c r="DA149" s="10">
        <f t="shared" si="244"/>
        <v>0</v>
      </c>
      <c r="DB149" s="15"/>
      <c r="DC149" s="10">
        <f t="shared" si="245"/>
        <v>0</v>
      </c>
      <c r="DD149" s="15"/>
      <c r="DE149" s="10">
        <f t="shared" si="245"/>
        <v>0</v>
      </c>
      <c r="DF149" s="16">
        <f t="shared" si="246"/>
        <v>2254</v>
      </c>
      <c r="DG149" s="208">
        <f t="shared" si="247"/>
        <v>394.45</v>
      </c>
    </row>
    <row r="150" spans="1:111">
      <c r="A150" s="7">
        <v>119</v>
      </c>
      <c r="B150" s="8" t="s">
        <v>110</v>
      </c>
      <c r="C150" s="8" t="s">
        <v>11</v>
      </c>
      <c r="D150" s="7">
        <f t="shared" si="192"/>
        <v>7</v>
      </c>
      <c r="E150" s="7">
        <v>0.7</v>
      </c>
      <c r="F150" s="7" t="s">
        <v>12</v>
      </c>
      <c r="G150" s="7">
        <v>1650</v>
      </c>
      <c r="H150" s="9">
        <v>516</v>
      </c>
      <c r="I150" s="10">
        <f t="shared" si="193"/>
        <v>361.2</v>
      </c>
      <c r="J150" s="9">
        <v>1130</v>
      </c>
      <c r="K150" s="10">
        <f t="shared" si="194"/>
        <v>791</v>
      </c>
      <c r="L150" s="9">
        <v>1104</v>
      </c>
      <c r="M150" s="10">
        <f t="shared" si="195"/>
        <v>772.8</v>
      </c>
      <c r="N150" s="9">
        <v>1296</v>
      </c>
      <c r="O150" s="10">
        <f t="shared" si="196"/>
        <v>907.19999999999993</v>
      </c>
      <c r="P150" s="9">
        <v>912</v>
      </c>
      <c r="Q150" s="10">
        <f t="shared" si="197"/>
        <v>638.4</v>
      </c>
      <c r="R150" s="9">
        <v>924</v>
      </c>
      <c r="S150" s="10">
        <f t="shared" si="198"/>
        <v>646.79999999999995</v>
      </c>
      <c r="T150" s="9">
        <v>360</v>
      </c>
      <c r="U150" s="10">
        <f t="shared" si="199"/>
        <v>251.99999999999997</v>
      </c>
      <c r="V150" s="9">
        <v>504</v>
      </c>
      <c r="W150" s="10">
        <f t="shared" si="200"/>
        <v>352.79999999999995</v>
      </c>
      <c r="X150" s="9">
        <v>132</v>
      </c>
      <c r="Y150" s="10">
        <f t="shared" si="201"/>
        <v>92.399999999999991</v>
      </c>
      <c r="Z150" s="9">
        <v>60</v>
      </c>
      <c r="AA150" s="10">
        <f t="shared" si="202"/>
        <v>42</v>
      </c>
      <c r="AB150" s="9"/>
      <c r="AC150" s="10">
        <f t="shared" si="203"/>
        <v>0</v>
      </c>
      <c r="AD150" s="9"/>
      <c r="AE150" s="10">
        <f t="shared" si="204"/>
        <v>0</v>
      </c>
      <c r="AF150" s="11">
        <f t="shared" si="248"/>
        <v>6938</v>
      </c>
      <c r="AG150" s="12">
        <f t="shared" si="206"/>
        <v>4856.5999999999995</v>
      </c>
      <c r="AH150" s="15"/>
      <c r="AI150" s="10">
        <f t="shared" si="207"/>
        <v>0</v>
      </c>
      <c r="AJ150" s="15"/>
      <c r="AK150" s="10">
        <f t="shared" si="208"/>
        <v>0</v>
      </c>
      <c r="AL150" s="15"/>
      <c r="AM150" s="10">
        <f t="shared" si="209"/>
        <v>0</v>
      </c>
      <c r="AN150" s="15"/>
      <c r="AO150" s="10">
        <f t="shared" si="210"/>
        <v>0</v>
      </c>
      <c r="AP150" s="15"/>
      <c r="AQ150" s="10">
        <f t="shared" si="211"/>
        <v>0</v>
      </c>
      <c r="AR150" s="15"/>
      <c r="AS150" s="10">
        <f t="shared" si="212"/>
        <v>0</v>
      </c>
      <c r="AT150" s="15"/>
      <c r="AU150" s="10">
        <f t="shared" si="213"/>
        <v>0</v>
      </c>
      <c r="AV150" s="15"/>
      <c r="AW150" s="10">
        <f t="shared" si="214"/>
        <v>0</v>
      </c>
      <c r="AX150" s="15"/>
      <c r="AY150" s="10">
        <f t="shared" si="215"/>
        <v>0</v>
      </c>
      <c r="AZ150" s="15"/>
      <c r="BA150" s="10">
        <f t="shared" si="216"/>
        <v>0</v>
      </c>
      <c r="BB150" s="15"/>
      <c r="BC150" s="10">
        <f t="shared" si="217"/>
        <v>0</v>
      </c>
      <c r="BD150" s="15"/>
      <c r="BE150" s="10">
        <f t="shared" si="218"/>
        <v>0</v>
      </c>
      <c r="BF150" s="11">
        <f t="shared" si="249"/>
        <v>0</v>
      </c>
      <c r="BG150" s="12">
        <f t="shared" si="220"/>
        <v>0</v>
      </c>
      <c r="BH150" s="15"/>
      <c r="BI150" s="10">
        <f t="shared" si="221"/>
        <v>0</v>
      </c>
      <c r="BJ150" s="15"/>
      <c r="BK150" s="10">
        <f t="shared" si="222"/>
        <v>0</v>
      </c>
      <c r="BL150" s="15"/>
      <c r="BM150" s="10">
        <f t="shared" si="223"/>
        <v>0</v>
      </c>
      <c r="BN150" s="15"/>
      <c r="BO150" s="10">
        <f t="shared" si="224"/>
        <v>0</v>
      </c>
      <c r="BP150" s="15"/>
      <c r="BQ150" s="10">
        <f t="shared" si="225"/>
        <v>0</v>
      </c>
      <c r="BR150" s="15"/>
      <c r="BS150" s="10">
        <f t="shared" si="226"/>
        <v>0</v>
      </c>
      <c r="BT150" s="15"/>
      <c r="BU150" s="10">
        <f t="shared" si="227"/>
        <v>0</v>
      </c>
      <c r="BV150" s="15"/>
      <c r="BW150" s="10">
        <f t="shared" si="228"/>
        <v>0</v>
      </c>
      <c r="BX150" s="15"/>
      <c r="BY150" s="10">
        <f t="shared" si="229"/>
        <v>0</v>
      </c>
      <c r="BZ150" s="15"/>
      <c r="CA150" s="10">
        <f t="shared" si="230"/>
        <v>0</v>
      </c>
      <c r="CB150" s="15"/>
      <c r="CC150" s="10">
        <f t="shared" si="231"/>
        <v>0</v>
      </c>
      <c r="CD150" s="15"/>
      <c r="CE150" s="10">
        <f t="shared" si="232"/>
        <v>0</v>
      </c>
      <c r="CF150" s="11">
        <f t="shared" si="250"/>
        <v>0</v>
      </c>
      <c r="CG150" s="12">
        <f t="shared" si="234"/>
        <v>0</v>
      </c>
      <c r="CH150" s="15"/>
      <c r="CI150" s="10">
        <f t="shared" si="235"/>
        <v>0</v>
      </c>
      <c r="CJ150" s="15"/>
      <c r="CK150" s="10">
        <f t="shared" si="236"/>
        <v>0</v>
      </c>
      <c r="CL150" s="15"/>
      <c r="CM150" s="10">
        <f t="shared" si="237"/>
        <v>0</v>
      </c>
      <c r="CN150" s="15"/>
      <c r="CO150" s="10">
        <f t="shared" si="238"/>
        <v>0</v>
      </c>
      <c r="CP150" s="15"/>
      <c r="CQ150" s="10">
        <f t="shared" si="239"/>
        <v>0</v>
      </c>
      <c r="CR150" s="15"/>
      <c r="CS150" s="10">
        <f t="shared" si="240"/>
        <v>0</v>
      </c>
      <c r="CT150" s="15"/>
      <c r="CU150" s="10">
        <f t="shared" si="241"/>
        <v>0</v>
      </c>
      <c r="CV150" s="15"/>
      <c r="CW150" s="10">
        <f t="shared" si="242"/>
        <v>0</v>
      </c>
      <c r="CX150" s="15"/>
      <c r="CY150" s="10">
        <f t="shared" si="243"/>
        <v>0</v>
      </c>
      <c r="CZ150" s="15"/>
      <c r="DA150" s="10">
        <f t="shared" si="244"/>
        <v>0</v>
      </c>
      <c r="DB150" s="15"/>
      <c r="DC150" s="10">
        <f t="shared" si="245"/>
        <v>0</v>
      </c>
      <c r="DD150" s="15"/>
      <c r="DE150" s="10">
        <f t="shared" si="245"/>
        <v>0</v>
      </c>
      <c r="DF150" s="16">
        <f t="shared" si="246"/>
        <v>0</v>
      </c>
      <c r="DG150" s="208">
        <f t="shared" si="247"/>
        <v>0</v>
      </c>
    </row>
    <row r="151" spans="1:111">
      <c r="A151" s="7">
        <v>120</v>
      </c>
      <c r="B151" s="8" t="s">
        <v>318</v>
      </c>
      <c r="C151" s="8" t="s">
        <v>11</v>
      </c>
      <c r="D151" s="7">
        <f t="shared" ref="D151:D152" si="251">RANK(DF151,$DF$143:$DF$158)</f>
        <v>7</v>
      </c>
      <c r="E151" s="7">
        <v>0.7</v>
      </c>
      <c r="F151" s="7" t="s">
        <v>12</v>
      </c>
      <c r="G151" s="7"/>
      <c r="H151" s="9"/>
      <c r="I151" s="10"/>
      <c r="J151" s="9"/>
      <c r="K151" s="10"/>
      <c r="L151" s="9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/>
      <c r="AB151" s="9"/>
      <c r="AC151" s="10"/>
      <c r="AD151" s="9"/>
      <c r="AE151" s="10"/>
      <c r="AF151" s="11"/>
      <c r="AG151" s="12">
        <f t="shared" si="206"/>
        <v>0</v>
      </c>
      <c r="AH151" s="15"/>
      <c r="AI151" s="10"/>
      <c r="AJ151" s="15"/>
      <c r="AK151" s="10"/>
      <c r="AL151" s="15"/>
      <c r="AM151" s="10"/>
      <c r="AN151" s="15"/>
      <c r="AO151" s="10"/>
      <c r="AP151" s="15"/>
      <c r="AQ151" s="10"/>
      <c r="AR151" s="15"/>
      <c r="AS151" s="10"/>
      <c r="AT151" s="15"/>
      <c r="AU151" s="10"/>
      <c r="AV151" s="15"/>
      <c r="AW151" s="10"/>
      <c r="AX151" s="15"/>
      <c r="AY151" s="10"/>
      <c r="AZ151" s="15"/>
      <c r="BA151" s="10"/>
      <c r="BB151" s="15"/>
      <c r="BC151" s="10"/>
      <c r="BD151" s="15"/>
      <c r="BE151" s="10"/>
      <c r="BF151" s="11"/>
      <c r="BG151" s="12">
        <f t="shared" si="220"/>
        <v>0</v>
      </c>
      <c r="BH151" s="15"/>
      <c r="BI151" s="10"/>
      <c r="BJ151" s="15"/>
      <c r="BK151" s="10"/>
      <c r="BL151" s="15"/>
      <c r="BM151" s="10"/>
      <c r="BN151" s="15"/>
      <c r="BO151" s="10"/>
      <c r="BP151" s="15"/>
      <c r="BQ151" s="10"/>
      <c r="BR151" s="15"/>
      <c r="BS151" s="10"/>
      <c r="BT151" s="15"/>
      <c r="BU151" s="10"/>
      <c r="BV151" s="15"/>
      <c r="BW151" s="10"/>
      <c r="BX151" s="15"/>
      <c r="BY151" s="10"/>
      <c r="BZ151" s="15"/>
      <c r="CA151" s="10"/>
      <c r="CB151" s="15"/>
      <c r="CC151" s="10"/>
      <c r="CD151" s="15"/>
      <c r="CE151" s="10"/>
      <c r="CF151" s="11"/>
      <c r="CG151" s="12">
        <f t="shared" si="234"/>
        <v>0</v>
      </c>
      <c r="CH151" s="15"/>
      <c r="CI151" s="10">
        <f t="shared" si="235"/>
        <v>0</v>
      </c>
      <c r="CJ151" s="15"/>
      <c r="CK151" s="10">
        <f t="shared" si="236"/>
        <v>0</v>
      </c>
      <c r="CL151" s="15"/>
      <c r="CM151" s="10">
        <f t="shared" si="237"/>
        <v>0</v>
      </c>
      <c r="CN151" s="15"/>
      <c r="CO151" s="10">
        <f t="shared" si="238"/>
        <v>0</v>
      </c>
      <c r="CP151" s="15"/>
      <c r="CQ151" s="10">
        <f t="shared" si="239"/>
        <v>0</v>
      </c>
      <c r="CR151" s="15"/>
      <c r="CS151" s="10">
        <f t="shared" si="240"/>
        <v>0</v>
      </c>
      <c r="CT151" s="15"/>
      <c r="CU151" s="10">
        <f t="shared" si="241"/>
        <v>0</v>
      </c>
      <c r="CV151" s="15"/>
      <c r="CW151" s="10"/>
      <c r="CX151" s="15"/>
      <c r="CY151" s="10"/>
      <c r="CZ151" s="15"/>
      <c r="DA151" s="10"/>
      <c r="DB151" s="15"/>
      <c r="DC151" s="10"/>
      <c r="DD151" s="15"/>
      <c r="DE151" s="10"/>
      <c r="DF151" s="16">
        <f t="shared" si="246"/>
        <v>0</v>
      </c>
      <c r="DG151" s="208">
        <f t="shared" si="247"/>
        <v>0</v>
      </c>
    </row>
    <row r="152" spans="1:111">
      <c r="A152" s="7">
        <v>121</v>
      </c>
      <c r="B152" s="8" t="s">
        <v>320</v>
      </c>
      <c r="C152" s="8"/>
      <c r="D152" s="7">
        <f t="shared" si="251"/>
        <v>7</v>
      </c>
      <c r="E152" s="7"/>
      <c r="F152" s="7"/>
      <c r="G152" s="7"/>
      <c r="H152" s="9"/>
      <c r="I152" s="10"/>
      <c r="J152" s="9"/>
      <c r="K152" s="10"/>
      <c r="L152" s="9"/>
      <c r="M152" s="10"/>
      <c r="N152" s="9"/>
      <c r="O152" s="10"/>
      <c r="P152" s="9"/>
      <c r="Q152" s="10"/>
      <c r="R152" s="9"/>
      <c r="S152" s="10"/>
      <c r="T152" s="9"/>
      <c r="U152" s="10"/>
      <c r="V152" s="9"/>
      <c r="W152" s="10"/>
      <c r="X152" s="9"/>
      <c r="Y152" s="10"/>
      <c r="Z152" s="9"/>
      <c r="AA152" s="10"/>
      <c r="AB152" s="9"/>
      <c r="AC152" s="10"/>
      <c r="AD152" s="9"/>
      <c r="AE152" s="10"/>
      <c r="AF152" s="11"/>
      <c r="AG152" s="12"/>
      <c r="AH152" s="15"/>
      <c r="AI152" s="10"/>
      <c r="AJ152" s="15"/>
      <c r="AK152" s="10"/>
      <c r="AL152" s="15"/>
      <c r="AM152" s="10"/>
      <c r="AN152" s="15"/>
      <c r="AO152" s="10"/>
      <c r="AP152" s="15"/>
      <c r="AQ152" s="10"/>
      <c r="AR152" s="15"/>
      <c r="AS152" s="10"/>
      <c r="AT152" s="15"/>
      <c r="AU152" s="10"/>
      <c r="AV152" s="15"/>
      <c r="AW152" s="10"/>
      <c r="AX152" s="15"/>
      <c r="AY152" s="10"/>
      <c r="AZ152" s="15"/>
      <c r="BA152" s="10"/>
      <c r="BB152" s="15"/>
      <c r="BC152" s="10"/>
      <c r="BD152" s="15"/>
      <c r="BE152" s="10"/>
      <c r="BF152" s="11"/>
      <c r="BG152" s="12"/>
      <c r="BH152" s="15"/>
      <c r="BI152" s="10"/>
      <c r="BJ152" s="15"/>
      <c r="BK152" s="10"/>
      <c r="BL152" s="15"/>
      <c r="BM152" s="10"/>
      <c r="BN152" s="15"/>
      <c r="BO152" s="10"/>
      <c r="BP152" s="15"/>
      <c r="BQ152" s="10"/>
      <c r="BR152" s="15"/>
      <c r="BS152" s="10"/>
      <c r="BT152" s="15"/>
      <c r="BU152" s="10"/>
      <c r="BV152" s="15"/>
      <c r="BW152" s="10"/>
      <c r="BX152" s="15"/>
      <c r="BY152" s="10"/>
      <c r="BZ152" s="15"/>
      <c r="CA152" s="10"/>
      <c r="CB152" s="15"/>
      <c r="CC152" s="10"/>
      <c r="CD152" s="15"/>
      <c r="CE152" s="10"/>
      <c r="CF152" s="11"/>
      <c r="CG152" s="12"/>
      <c r="CH152" s="15"/>
      <c r="CI152" s="10"/>
      <c r="CJ152" s="15"/>
      <c r="CK152" s="10"/>
      <c r="CL152" s="15"/>
      <c r="CM152" s="10"/>
      <c r="CN152" s="15"/>
      <c r="CO152" s="10"/>
      <c r="CP152" s="15"/>
      <c r="CQ152" s="10"/>
      <c r="CR152" s="15"/>
      <c r="CS152" s="10"/>
      <c r="CT152" s="15"/>
      <c r="CU152" s="10"/>
      <c r="CV152" s="15"/>
      <c r="CW152" s="10"/>
      <c r="CX152" s="15"/>
      <c r="CY152" s="10"/>
      <c r="CZ152" s="15"/>
      <c r="DA152" s="10"/>
      <c r="DB152" s="15"/>
      <c r="DC152" s="10"/>
      <c r="DD152" s="15"/>
      <c r="DE152" s="10"/>
      <c r="DF152" s="16"/>
      <c r="DG152" s="208"/>
    </row>
    <row r="153" spans="1:111">
      <c r="A153" s="7">
        <v>122</v>
      </c>
      <c r="B153" s="8" t="s">
        <v>111</v>
      </c>
      <c r="C153" s="8" t="s">
        <v>11</v>
      </c>
      <c r="D153" s="7">
        <f>RANK(DF153,$DF$143:$DF$158)</f>
        <v>7</v>
      </c>
      <c r="E153" s="7">
        <v>0.7</v>
      </c>
      <c r="F153" s="7" t="s">
        <v>12</v>
      </c>
      <c r="G153" s="7"/>
      <c r="H153" s="15"/>
      <c r="I153" s="10">
        <f t="shared" si="193"/>
        <v>0</v>
      </c>
      <c r="J153" s="15"/>
      <c r="K153" s="10">
        <f t="shared" si="194"/>
        <v>0</v>
      </c>
      <c r="L153" s="15"/>
      <c r="M153" s="10">
        <f t="shared" si="195"/>
        <v>0</v>
      </c>
      <c r="N153" s="15"/>
      <c r="O153" s="10">
        <f t="shared" si="196"/>
        <v>0</v>
      </c>
      <c r="P153" s="15"/>
      <c r="Q153" s="10">
        <f t="shared" si="197"/>
        <v>0</v>
      </c>
      <c r="R153" s="15"/>
      <c r="S153" s="10">
        <f t="shared" si="198"/>
        <v>0</v>
      </c>
      <c r="T153" s="15"/>
      <c r="U153" s="10">
        <f t="shared" si="199"/>
        <v>0</v>
      </c>
      <c r="V153" s="15"/>
      <c r="W153" s="10">
        <f t="shared" si="200"/>
        <v>0</v>
      </c>
      <c r="X153" s="15"/>
      <c r="Y153" s="10">
        <f t="shared" si="201"/>
        <v>0</v>
      </c>
      <c r="Z153" s="15"/>
      <c r="AA153" s="10">
        <f t="shared" si="202"/>
        <v>0</v>
      </c>
      <c r="AB153" s="15"/>
      <c r="AC153" s="10">
        <f t="shared" si="203"/>
        <v>0</v>
      </c>
      <c r="AD153" s="15"/>
      <c r="AE153" s="10">
        <f t="shared" si="204"/>
        <v>0</v>
      </c>
      <c r="AF153" s="11">
        <f t="shared" si="248"/>
        <v>0</v>
      </c>
      <c r="AG153" s="12">
        <f t="shared" si="206"/>
        <v>0</v>
      </c>
      <c r="AH153" s="15"/>
      <c r="AI153" s="10">
        <f t="shared" si="207"/>
        <v>0</v>
      </c>
      <c r="AJ153" s="15"/>
      <c r="AK153" s="10">
        <f t="shared" si="208"/>
        <v>0</v>
      </c>
      <c r="AL153" s="15"/>
      <c r="AM153" s="10">
        <f t="shared" si="209"/>
        <v>0</v>
      </c>
      <c r="AN153" s="15"/>
      <c r="AO153" s="10">
        <f t="shared" si="210"/>
        <v>0</v>
      </c>
      <c r="AP153" s="15"/>
      <c r="AQ153" s="10">
        <f t="shared" si="211"/>
        <v>0</v>
      </c>
      <c r="AR153" s="15"/>
      <c r="AS153" s="10">
        <f t="shared" si="212"/>
        <v>0</v>
      </c>
      <c r="AT153" s="15"/>
      <c r="AU153" s="10">
        <f t="shared" si="213"/>
        <v>0</v>
      </c>
      <c r="AV153" s="15"/>
      <c r="AW153" s="10">
        <f t="shared" si="214"/>
        <v>0</v>
      </c>
      <c r="AX153" s="15"/>
      <c r="AY153" s="10">
        <f t="shared" si="215"/>
        <v>0</v>
      </c>
      <c r="AZ153" s="15"/>
      <c r="BA153" s="10">
        <f t="shared" si="216"/>
        <v>0</v>
      </c>
      <c r="BB153" s="15"/>
      <c r="BC153" s="10">
        <f t="shared" si="217"/>
        <v>0</v>
      </c>
      <c r="BD153" s="15"/>
      <c r="BE153" s="10">
        <f t="shared" si="218"/>
        <v>0</v>
      </c>
      <c r="BF153" s="11">
        <f t="shared" si="249"/>
        <v>0</v>
      </c>
      <c r="BG153" s="12">
        <f t="shared" si="220"/>
        <v>0</v>
      </c>
      <c r="BH153" s="15"/>
      <c r="BI153" s="10">
        <f t="shared" si="221"/>
        <v>0</v>
      </c>
      <c r="BJ153" s="15"/>
      <c r="BK153" s="10">
        <f t="shared" si="222"/>
        <v>0</v>
      </c>
      <c r="BL153" s="15"/>
      <c r="BM153" s="10">
        <f t="shared" si="223"/>
        <v>0</v>
      </c>
      <c r="BN153" s="15"/>
      <c r="BO153" s="10">
        <f t="shared" si="224"/>
        <v>0</v>
      </c>
      <c r="BP153" s="15"/>
      <c r="BQ153" s="10">
        <f t="shared" si="225"/>
        <v>0</v>
      </c>
      <c r="BR153" s="15"/>
      <c r="BS153" s="10">
        <f t="shared" si="226"/>
        <v>0</v>
      </c>
      <c r="BT153" s="15"/>
      <c r="BU153" s="10">
        <f t="shared" si="227"/>
        <v>0</v>
      </c>
      <c r="BV153" s="15"/>
      <c r="BW153" s="10">
        <f t="shared" si="228"/>
        <v>0</v>
      </c>
      <c r="BX153" s="15"/>
      <c r="BY153" s="10">
        <f t="shared" si="229"/>
        <v>0</v>
      </c>
      <c r="BZ153" s="15"/>
      <c r="CA153" s="10">
        <f t="shared" si="230"/>
        <v>0</v>
      </c>
      <c r="CB153" s="15"/>
      <c r="CC153" s="10">
        <f t="shared" si="231"/>
        <v>0</v>
      </c>
      <c r="CD153" s="15"/>
      <c r="CE153" s="10">
        <f t="shared" si="232"/>
        <v>0</v>
      </c>
      <c r="CF153" s="11">
        <f t="shared" si="250"/>
        <v>0</v>
      </c>
      <c r="CG153" s="12">
        <f t="shared" si="234"/>
        <v>0</v>
      </c>
      <c r="CH153" s="15"/>
      <c r="CI153" s="10">
        <f t="shared" si="235"/>
        <v>0</v>
      </c>
      <c r="CJ153" s="15"/>
      <c r="CK153" s="10">
        <f t="shared" si="236"/>
        <v>0</v>
      </c>
      <c r="CL153" s="15"/>
      <c r="CM153" s="10">
        <f t="shared" si="237"/>
        <v>0</v>
      </c>
      <c r="CN153" s="15"/>
      <c r="CO153" s="10">
        <f t="shared" si="238"/>
        <v>0</v>
      </c>
      <c r="CP153" s="15"/>
      <c r="CQ153" s="10">
        <f t="shared" si="239"/>
        <v>0</v>
      </c>
      <c r="CR153" s="15"/>
      <c r="CS153" s="10">
        <f t="shared" si="240"/>
        <v>0</v>
      </c>
      <c r="CT153" s="15"/>
      <c r="CU153" s="10">
        <f t="shared" si="241"/>
        <v>0</v>
      </c>
      <c r="CV153" s="15"/>
      <c r="CW153" s="10">
        <f t="shared" si="242"/>
        <v>0</v>
      </c>
      <c r="CX153" s="15"/>
      <c r="CY153" s="10">
        <f t="shared" si="243"/>
        <v>0</v>
      </c>
      <c r="CZ153" s="15"/>
      <c r="DA153" s="10">
        <f t="shared" si="244"/>
        <v>0</v>
      </c>
      <c r="DB153" s="15"/>
      <c r="DC153" s="10">
        <f t="shared" si="245"/>
        <v>0</v>
      </c>
      <c r="DD153" s="15"/>
      <c r="DE153" s="10">
        <f t="shared" si="245"/>
        <v>0</v>
      </c>
      <c r="DF153" s="16">
        <f t="shared" si="246"/>
        <v>0</v>
      </c>
      <c r="DG153" s="208">
        <f t="shared" si="247"/>
        <v>0</v>
      </c>
    </row>
    <row r="154" spans="1:111">
      <c r="A154" s="7">
        <v>123</v>
      </c>
      <c r="B154" s="8" t="s">
        <v>112</v>
      </c>
      <c r="C154" s="8" t="s">
        <v>11</v>
      </c>
      <c r="D154" s="7">
        <f>RANK(DF154,$DF$143:$DF$158)</f>
        <v>7</v>
      </c>
      <c r="E154" s="7">
        <v>0.35</v>
      </c>
      <c r="F154" s="7" t="s">
        <v>20</v>
      </c>
      <c r="G154" s="7"/>
      <c r="H154" s="15"/>
      <c r="I154" s="10">
        <f t="shared" si="193"/>
        <v>0</v>
      </c>
      <c r="J154" s="15"/>
      <c r="K154" s="10">
        <f t="shared" si="194"/>
        <v>0</v>
      </c>
      <c r="L154" s="15"/>
      <c r="M154" s="10">
        <f t="shared" si="195"/>
        <v>0</v>
      </c>
      <c r="N154" s="15"/>
      <c r="O154" s="10">
        <f t="shared" si="196"/>
        <v>0</v>
      </c>
      <c r="P154" s="15"/>
      <c r="Q154" s="10">
        <f t="shared" si="197"/>
        <v>0</v>
      </c>
      <c r="R154" s="15"/>
      <c r="S154" s="10">
        <f t="shared" si="198"/>
        <v>0</v>
      </c>
      <c r="T154" s="15"/>
      <c r="U154" s="10">
        <f t="shared" si="199"/>
        <v>0</v>
      </c>
      <c r="V154" s="15"/>
      <c r="W154" s="10">
        <f t="shared" si="200"/>
        <v>0</v>
      </c>
      <c r="X154" s="15"/>
      <c r="Y154" s="10">
        <f t="shared" si="201"/>
        <v>0</v>
      </c>
      <c r="Z154" s="15"/>
      <c r="AA154" s="10">
        <f t="shared" si="202"/>
        <v>0</v>
      </c>
      <c r="AB154" s="15"/>
      <c r="AC154" s="10">
        <f t="shared" si="203"/>
        <v>0</v>
      </c>
      <c r="AD154" s="15"/>
      <c r="AE154" s="10">
        <f t="shared" si="204"/>
        <v>0</v>
      </c>
      <c r="AF154" s="11">
        <f t="shared" si="248"/>
        <v>0</v>
      </c>
      <c r="AG154" s="12">
        <f t="shared" si="206"/>
        <v>0</v>
      </c>
      <c r="AH154" s="15"/>
      <c r="AI154" s="10">
        <f t="shared" si="207"/>
        <v>0</v>
      </c>
      <c r="AJ154" s="15"/>
      <c r="AK154" s="10">
        <f t="shared" si="208"/>
        <v>0</v>
      </c>
      <c r="AL154" s="15"/>
      <c r="AM154" s="10">
        <f t="shared" si="209"/>
        <v>0</v>
      </c>
      <c r="AN154" s="15"/>
      <c r="AO154" s="10">
        <f t="shared" si="210"/>
        <v>0</v>
      </c>
      <c r="AP154" s="15"/>
      <c r="AQ154" s="10">
        <f t="shared" si="211"/>
        <v>0</v>
      </c>
      <c r="AR154" s="15"/>
      <c r="AS154" s="10">
        <f t="shared" si="212"/>
        <v>0</v>
      </c>
      <c r="AT154" s="15"/>
      <c r="AU154" s="10">
        <f t="shared" si="213"/>
        <v>0</v>
      </c>
      <c r="AV154" s="15"/>
      <c r="AW154" s="10">
        <f t="shared" si="214"/>
        <v>0</v>
      </c>
      <c r="AX154" s="15"/>
      <c r="AY154" s="10">
        <f t="shared" si="215"/>
        <v>0</v>
      </c>
      <c r="AZ154" s="15"/>
      <c r="BA154" s="10">
        <f t="shared" si="216"/>
        <v>0</v>
      </c>
      <c r="BB154" s="15"/>
      <c r="BC154" s="10">
        <f t="shared" si="217"/>
        <v>0</v>
      </c>
      <c r="BD154" s="15"/>
      <c r="BE154" s="10">
        <f t="shared" si="218"/>
        <v>0</v>
      </c>
      <c r="BF154" s="11">
        <f t="shared" si="249"/>
        <v>0</v>
      </c>
      <c r="BG154" s="12">
        <f t="shared" si="220"/>
        <v>0</v>
      </c>
      <c r="BH154" s="15"/>
      <c r="BI154" s="10">
        <f t="shared" si="221"/>
        <v>0</v>
      </c>
      <c r="BJ154" s="15"/>
      <c r="BK154" s="10">
        <f t="shared" si="222"/>
        <v>0</v>
      </c>
      <c r="BL154" s="15"/>
      <c r="BM154" s="10">
        <f t="shared" si="223"/>
        <v>0</v>
      </c>
      <c r="BN154" s="15"/>
      <c r="BO154" s="10">
        <f t="shared" si="224"/>
        <v>0</v>
      </c>
      <c r="BP154" s="15"/>
      <c r="BQ154" s="10">
        <f t="shared" si="225"/>
        <v>0</v>
      </c>
      <c r="BR154" s="15"/>
      <c r="BS154" s="10">
        <f t="shared" si="226"/>
        <v>0</v>
      </c>
      <c r="BT154" s="15"/>
      <c r="BU154" s="10">
        <f t="shared" si="227"/>
        <v>0</v>
      </c>
      <c r="BV154" s="15"/>
      <c r="BW154" s="10">
        <f t="shared" si="228"/>
        <v>0</v>
      </c>
      <c r="BX154" s="15"/>
      <c r="BY154" s="10">
        <f t="shared" si="229"/>
        <v>0</v>
      </c>
      <c r="BZ154" s="15"/>
      <c r="CA154" s="10">
        <f t="shared" si="230"/>
        <v>0</v>
      </c>
      <c r="CB154" s="15"/>
      <c r="CC154" s="10">
        <f t="shared" si="231"/>
        <v>0</v>
      </c>
      <c r="CD154" s="15"/>
      <c r="CE154" s="10">
        <f t="shared" si="232"/>
        <v>0</v>
      </c>
      <c r="CF154" s="11">
        <f t="shared" si="250"/>
        <v>0</v>
      </c>
      <c r="CG154" s="12">
        <f t="shared" si="234"/>
        <v>0</v>
      </c>
      <c r="CH154" s="15"/>
      <c r="CI154" s="10">
        <f t="shared" si="235"/>
        <v>0</v>
      </c>
      <c r="CJ154" s="15"/>
      <c r="CK154" s="10">
        <f t="shared" si="236"/>
        <v>0</v>
      </c>
      <c r="CL154" s="15"/>
      <c r="CM154" s="10">
        <f t="shared" si="237"/>
        <v>0</v>
      </c>
      <c r="CN154" s="15"/>
      <c r="CO154" s="10">
        <f t="shared" si="238"/>
        <v>0</v>
      </c>
      <c r="CP154" s="15"/>
      <c r="CQ154" s="10">
        <f t="shared" si="239"/>
        <v>0</v>
      </c>
      <c r="CR154" s="15"/>
      <c r="CS154" s="10">
        <f t="shared" si="240"/>
        <v>0</v>
      </c>
      <c r="CT154" s="15"/>
      <c r="CU154" s="10">
        <f t="shared" si="241"/>
        <v>0</v>
      </c>
      <c r="CV154" s="15"/>
      <c r="CW154" s="10">
        <f t="shared" si="242"/>
        <v>0</v>
      </c>
      <c r="CX154" s="15"/>
      <c r="CY154" s="10">
        <f t="shared" si="243"/>
        <v>0</v>
      </c>
      <c r="CZ154" s="15"/>
      <c r="DA154" s="10">
        <f t="shared" si="244"/>
        <v>0</v>
      </c>
      <c r="DB154" s="15"/>
      <c r="DC154" s="10">
        <f t="shared" si="245"/>
        <v>0</v>
      </c>
      <c r="DD154" s="15"/>
      <c r="DE154" s="10">
        <f t="shared" si="245"/>
        <v>0</v>
      </c>
      <c r="DF154" s="16">
        <f t="shared" si="246"/>
        <v>0</v>
      </c>
      <c r="DG154" s="208">
        <f t="shared" si="247"/>
        <v>0</v>
      </c>
    </row>
    <row r="155" spans="1:111">
      <c r="A155" s="7">
        <v>124</v>
      </c>
      <c r="B155" s="8" t="s">
        <v>113</v>
      </c>
      <c r="C155" s="8" t="s">
        <v>11</v>
      </c>
      <c r="D155" s="7">
        <f>RANK(DF155,$DF$143:$DF$158)</f>
        <v>7</v>
      </c>
      <c r="E155" s="7">
        <v>0.7</v>
      </c>
      <c r="F155" s="7" t="s">
        <v>12</v>
      </c>
      <c r="G155" s="7"/>
      <c r="H155" s="15"/>
      <c r="I155" s="10">
        <f t="shared" si="193"/>
        <v>0</v>
      </c>
      <c r="J155" s="15"/>
      <c r="K155" s="10">
        <f t="shared" si="194"/>
        <v>0</v>
      </c>
      <c r="L155" s="15"/>
      <c r="M155" s="10">
        <f t="shared" si="195"/>
        <v>0</v>
      </c>
      <c r="N155" s="15"/>
      <c r="O155" s="10">
        <f t="shared" si="196"/>
        <v>0</v>
      </c>
      <c r="P155" s="15"/>
      <c r="Q155" s="10">
        <f t="shared" si="197"/>
        <v>0</v>
      </c>
      <c r="R155" s="15"/>
      <c r="S155" s="10">
        <f t="shared" si="198"/>
        <v>0</v>
      </c>
      <c r="T155" s="15"/>
      <c r="U155" s="10">
        <f t="shared" si="199"/>
        <v>0</v>
      </c>
      <c r="V155" s="15"/>
      <c r="W155" s="10">
        <f t="shared" si="200"/>
        <v>0</v>
      </c>
      <c r="X155" s="15"/>
      <c r="Y155" s="10">
        <f t="shared" si="201"/>
        <v>0</v>
      </c>
      <c r="Z155" s="15"/>
      <c r="AA155" s="10">
        <f t="shared" si="202"/>
        <v>0</v>
      </c>
      <c r="AB155" s="15"/>
      <c r="AC155" s="10">
        <f t="shared" si="203"/>
        <v>0</v>
      </c>
      <c r="AD155" s="15"/>
      <c r="AE155" s="10">
        <f t="shared" si="204"/>
        <v>0</v>
      </c>
      <c r="AF155" s="11">
        <f t="shared" si="248"/>
        <v>0</v>
      </c>
      <c r="AG155" s="12">
        <f t="shared" si="206"/>
        <v>0</v>
      </c>
      <c r="AH155" s="15"/>
      <c r="AI155" s="10">
        <f t="shared" si="207"/>
        <v>0</v>
      </c>
      <c r="AJ155" s="15"/>
      <c r="AK155" s="10">
        <f t="shared" si="208"/>
        <v>0</v>
      </c>
      <c r="AL155" s="15"/>
      <c r="AM155" s="10">
        <f t="shared" si="209"/>
        <v>0</v>
      </c>
      <c r="AN155" s="15"/>
      <c r="AO155" s="10">
        <f t="shared" si="210"/>
        <v>0</v>
      </c>
      <c r="AP155" s="15"/>
      <c r="AQ155" s="10">
        <f t="shared" si="211"/>
        <v>0</v>
      </c>
      <c r="AR155" s="15"/>
      <c r="AS155" s="10">
        <f t="shared" si="212"/>
        <v>0</v>
      </c>
      <c r="AT155" s="15"/>
      <c r="AU155" s="10">
        <f t="shared" si="213"/>
        <v>0</v>
      </c>
      <c r="AV155" s="15"/>
      <c r="AW155" s="10">
        <f t="shared" si="214"/>
        <v>0</v>
      </c>
      <c r="AX155" s="15"/>
      <c r="AY155" s="10">
        <f t="shared" si="215"/>
        <v>0</v>
      </c>
      <c r="AZ155" s="15"/>
      <c r="BA155" s="10">
        <f t="shared" si="216"/>
        <v>0</v>
      </c>
      <c r="BB155" s="15"/>
      <c r="BC155" s="10">
        <f t="shared" si="217"/>
        <v>0</v>
      </c>
      <c r="BD155" s="15"/>
      <c r="BE155" s="10">
        <f t="shared" si="218"/>
        <v>0</v>
      </c>
      <c r="BF155" s="11">
        <f t="shared" si="249"/>
        <v>0</v>
      </c>
      <c r="BG155" s="12">
        <f t="shared" si="220"/>
        <v>0</v>
      </c>
      <c r="BH155" s="15"/>
      <c r="BI155" s="10">
        <f t="shared" si="221"/>
        <v>0</v>
      </c>
      <c r="BJ155" s="15"/>
      <c r="BK155" s="10">
        <f t="shared" si="222"/>
        <v>0</v>
      </c>
      <c r="BL155" s="15"/>
      <c r="BM155" s="10">
        <f t="shared" si="223"/>
        <v>0</v>
      </c>
      <c r="BN155" s="15"/>
      <c r="BO155" s="10">
        <f t="shared" si="224"/>
        <v>0</v>
      </c>
      <c r="BP155" s="15"/>
      <c r="BQ155" s="10">
        <f t="shared" si="225"/>
        <v>0</v>
      </c>
      <c r="BR155" s="15"/>
      <c r="BS155" s="10">
        <f t="shared" si="226"/>
        <v>0</v>
      </c>
      <c r="BT155" s="15"/>
      <c r="BU155" s="10">
        <f t="shared" si="227"/>
        <v>0</v>
      </c>
      <c r="BV155" s="15"/>
      <c r="BW155" s="10">
        <f t="shared" si="228"/>
        <v>0</v>
      </c>
      <c r="BX155" s="15"/>
      <c r="BY155" s="10">
        <f t="shared" si="229"/>
        <v>0</v>
      </c>
      <c r="BZ155" s="15"/>
      <c r="CA155" s="10">
        <f t="shared" si="230"/>
        <v>0</v>
      </c>
      <c r="CB155" s="15"/>
      <c r="CC155" s="10">
        <f t="shared" si="231"/>
        <v>0</v>
      </c>
      <c r="CD155" s="15"/>
      <c r="CE155" s="10">
        <f t="shared" si="232"/>
        <v>0</v>
      </c>
      <c r="CF155" s="11">
        <f t="shared" si="250"/>
        <v>0</v>
      </c>
      <c r="CG155" s="12">
        <f t="shared" si="234"/>
        <v>0</v>
      </c>
      <c r="CH155" s="15"/>
      <c r="CI155" s="10">
        <f t="shared" si="235"/>
        <v>0</v>
      </c>
      <c r="CJ155" s="15"/>
      <c r="CK155" s="10">
        <f t="shared" si="236"/>
        <v>0</v>
      </c>
      <c r="CL155" s="15"/>
      <c r="CM155" s="10">
        <f t="shared" si="237"/>
        <v>0</v>
      </c>
      <c r="CN155" s="15"/>
      <c r="CO155" s="10">
        <f t="shared" si="238"/>
        <v>0</v>
      </c>
      <c r="CP155" s="15"/>
      <c r="CQ155" s="10">
        <f t="shared" si="239"/>
        <v>0</v>
      </c>
      <c r="CR155" s="15"/>
      <c r="CS155" s="10">
        <f t="shared" si="240"/>
        <v>0</v>
      </c>
      <c r="CT155" s="15"/>
      <c r="CU155" s="10">
        <f t="shared" si="241"/>
        <v>0</v>
      </c>
      <c r="CV155" s="15"/>
      <c r="CW155" s="10">
        <f t="shared" si="242"/>
        <v>0</v>
      </c>
      <c r="CX155" s="15"/>
      <c r="CY155" s="10">
        <f t="shared" si="243"/>
        <v>0</v>
      </c>
      <c r="CZ155" s="15"/>
      <c r="DA155" s="10">
        <f t="shared" si="244"/>
        <v>0</v>
      </c>
      <c r="DB155" s="15"/>
      <c r="DC155" s="10">
        <f t="shared" si="245"/>
        <v>0</v>
      </c>
      <c r="DD155" s="15"/>
      <c r="DE155" s="10">
        <f t="shared" si="245"/>
        <v>0</v>
      </c>
      <c r="DF155" s="16">
        <f t="shared" si="246"/>
        <v>0</v>
      </c>
      <c r="DG155" s="208">
        <f t="shared" si="247"/>
        <v>0</v>
      </c>
    </row>
    <row r="156" spans="1:111">
      <c r="A156" s="7">
        <v>125</v>
      </c>
      <c r="B156" s="8" t="s">
        <v>114</v>
      </c>
      <c r="C156" s="8" t="s">
        <v>11</v>
      </c>
      <c r="D156" s="7">
        <f>RANK(DF156,$DF$143:$DF$158)</f>
        <v>7</v>
      </c>
      <c r="E156" s="7">
        <v>0.35</v>
      </c>
      <c r="F156" s="7" t="s">
        <v>20</v>
      </c>
      <c r="G156" s="7"/>
      <c r="H156" s="15"/>
      <c r="I156" s="10">
        <f t="shared" si="193"/>
        <v>0</v>
      </c>
      <c r="J156" s="15"/>
      <c r="K156" s="10">
        <f t="shared" si="194"/>
        <v>0</v>
      </c>
      <c r="L156" s="15"/>
      <c r="M156" s="10">
        <f t="shared" si="195"/>
        <v>0</v>
      </c>
      <c r="N156" s="15"/>
      <c r="O156" s="10">
        <f t="shared" si="196"/>
        <v>0</v>
      </c>
      <c r="P156" s="15"/>
      <c r="Q156" s="10">
        <f t="shared" si="197"/>
        <v>0</v>
      </c>
      <c r="R156" s="15"/>
      <c r="S156" s="10">
        <f t="shared" si="198"/>
        <v>0</v>
      </c>
      <c r="T156" s="15"/>
      <c r="U156" s="10">
        <f t="shared" si="199"/>
        <v>0</v>
      </c>
      <c r="V156" s="15"/>
      <c r="W156" s="10">
        <f t="shared" si="200"/>
        <v>0</v>
      </c>
      <c r="X156" s="15"/>
      <c r="Y156" s="10">
        <f t="shared" si="201"/>
        <v>0</v>
      </c>
      <c r="Z156" s="15"/>
      <c r="AA156" s="10">
        <f t="shared" si="202"/>
        <v>0</v>
      </c>
      <c r="AB156" s="15"/>
      <c r="AC156" s="10">
        <f t="shared" si="203"/>
        <v>0</v>
      </c>
      <c r="AD156" s="15"/>
      <c r="AE156" s="10">
        <f t="shared" si="204"/>
        <v>0</v>
      </c>
      <c r="AF156" s="11">
        <f t="shared" si="248"/>
        <v>0</v>
      </c>
      <c r="AG156" s="12">
        <f t="shared" si="206"/>
        <v>0</v>
      </c>
      <c r="AH156" s="15"/>
      <c r="AI156" s="10">
        <f t="shared" si="207"/>
        <v>0</v>
      </c>
      <c r="AJ156" s="15"/>
      <c r="AK156" s="10">
        <f t="shared" si="208"/>
        <v>0</v>
      </c>
      <c r="AL156" s="15"/>
      <c r="AM156" s="10">
        <f t="shared" si="209"/>
        <v>0</v>
      </c>
      <c r="AN156" s="15"/>
      <c r="AO156" s="10">
        <f t="shared" si="210"/>
        <v>0</v>
      </c>
      <c r="AP156" s="15"/>
      <c r="AQ156" s="10">
        <f t="shared" si="211"/>
        <v>0</v>
      </c>
      <c r="AR156" s="15"/>
      <c r="AS156" s="10">
        <f t="shared" si="212"/>
        <v>0</v>
      </c>
      <c r="AT156" s="15"/>
      <c r="AU156" s="10">
        <f t="shared" si="213"/>
        <v>0</v>
      </c>
      <c r="AV156" s="15"/>
      <c r="AW156" s="10">
        <f t="shared" si="214"/>
        <v>0</v>
      </c>
      <c r="AX156" s="15"/>
      <c r="AY156" s="10">
        <f t="shared" si="215"/>
        <v>0</v>
      </c>
      <c r="AZ156" s="15"/>
      <c r="BA156" s="10">
        <f t="shared" si="216"/>
        <v>0</v>
      </c>
      <c r="BB156" s="15"/>
      <c r="BC156" s="10">
        <f t="shared" si="217"/>
        <v>0</v>
      </c>
      <c r="BD156" s="15"/>
      <c r="BE156" s="10">
        <f t="shared" si="218"/>
        <v>0</v>
      </c>
      <c r="BF156" s="11">
        <f t="shared" si="249"/>
        <v>0</v>
      </c>
      <c r="BG156" s="12">
        <f t="shared" si="220"/>
        <v>0</v>
      </c>
      <c r="BH156" s="15"/>
      <c r="BI156" s="10">
        <f t="shared" si="221"/>
        <v>0</v>
      </c>
      <c r="BJ156" s="15"/>
      <c r="BK156" s="10">
        <f t="shared" si="222"/>
        <v>0</v>
      </c>
      <c r="BL156" s="15"/>
      <c r="BM156" s="10">
        <f t="shared" si="223"/>
        <v>0</v>
      </c>
      <c r="BN156" s="15"/>
      <c r="BO156" s="10">
        <f t="shared" si="224"/>
        <v>0</v>
      </c>
      <c r="BP156" s="15"/>
      <c r="BQ156" s="10">
        <f t="shared" si="225"/>
        <v>0</v>
      </c>
      <c r="BR156" s="15"/>
      <c r="BS156" s="10">
        <f t="shared" si="226"/>
        <v>0</v>
      </c>
      <c r="BT156" s="15"/>
      <c r="BU156" s="10">
        <f t="shared" si="227"/>
        <v>0</v>
      </c>
      <c r="BV156" s="15"/>
      <c r="BW156" s="10">
        <f t="shared" si="228"/>
        <v>0</v>
      </c>
      <c r="BX156" s="15"/>
      <c r="BY156" s="10">
        <f t="shared" si="229"/>
        <v>0</v>
      </c>
      <c r="BZ156" s="15"/>
      <c r="CA156" s="10">
        <f t="shared" si="230"/>
        <v>0</v>
      </c>
      <c r="CB156" s="15"/>
      <c r="CC156" s="10">
        <f t="shared" si="231"/>
        <v>0</v>
      </c>
      <c r="CD156" s="15"/>
      <c r="CE156" s="10">
        <f t="shared" si="232"/>
        <v>0</v>
      </c>
      <c r="CF156" s="11">
        <f t="shared" si="250"/>
        <v>0</v>
      </c>
      <c r="CG156" s="12">
        <f t="shared" si="234"/>
        <v>0</v>
      </c>
      <c r="CH156" s="15"/>
      <c r="CI156" s="10">
        <f t="shared" si="235"/>
        <v>0</v>
      </c>
      <c r="CJ156" s="15"/>
      <c r="CK156" s="10">
        <f t="shared" si="236"/>
        <v>0</v>
      </c>
      <c r="CL156" s="15"/>
      <c r="CM156" s="10">
        <f t="shared" si="237"/>
        <v>0</v>
      </c>
      <c r="CN156" s="15"/>
      <c r="CO156" s="10">
        <f t="shared" si="238"/>
        <v>0</v>
      </c>
      <c r="CP156" s="15"/>
      <c r="CQ156" s="10">
        <f t="shared" si="239"/>
        <v>0</v>
      </c>
      <c r="CR156" s="15"/>
      <c r="CS156" s="10">
        <f t="shared" si="240"/>
        <v>0</v>
      </c>
      <c r="CT156" s="15"/>
      <c r="CU156" s="10">
        <f t="shared" si="241"/>
        <v>0</v>
      </c>
      <c r="CV156" s="15"/>
      <c r="CW156" s="10">
        <f t="shared" si="242"/>
        <v>0</v>
      </c>
      <c r="CX156" s="15"/>
      <c r="CY156" s="10">
        <f t="shared" si="243"/>
        <v>0</v>
      </c>
      <c r="CZ156" s="15"/>
      <c r="DA156" s="10">
        <f t="shared" si="244"/>
        <v>0</v>
      </c>
      <c r="DB156" s="15"/>
      <c r="DC156" s="10">
        <f t="shared" si="245"/>
        <v>0</v>
      </c>
      <c r="DD156" s="15"/>
      <c r="DE156" s="10">
        <f t="shared" si="245"/>
        <v>0</v>
      </c>
      <c r="DF156" s="16">
        <f t="shared" si="246"/>
        <v>0</v>
      </c>
      <c r="DG156" s="208">
        <f t="shared" si="247"/>
        <v>0</v>
      </c>
    </row>
    <row r="157" spans="1:111">
      <c r="A157" s="7">
        <v>126</v>
      </c>
      <c r="B157" s="20" t="s">
        <v>115</v>
      </c>
      <c r="C157" s="20" t="s">
        <v>11</v>
      </c>
      <c r="D157" s="7">
        <f>RANK(DF157,$DF$143:$DF$158)</f>
        <v>4</v>
      </c>
      <c r="E157" s="7">
        <v>0.7</v>
      </c>
      <c r="F157" s="21" t="s">
        <v>116</v>
      </c>
      <c r="G157" s="7">
        <v>25000</v>
      </c>
      <c r="H157" s="15"/>
      <c r="I157" s="10">
        <f t="shared" si="193"/>
        <v>0</v>
      </c>
      <c r="J157" s="15"/>
      <c r="K157" s="10">
        <f t="shared" si="194"/>
        <v>0</v>
      </c>
      <c r="L157" s="15"/>
      <c r="M157" s="10">
        <f t="shared" si="195"/>
        <v>0</v>
      </c>
      <c r="N157" s="15"/>
      <c r="O157" s="10">
        <f t="shared" si="196"/>
        <v>0</v>
      </c>
      <c r="P157" s="15"/>
      <c r="Q157" s="10">
        <f t="shared" si="197"/>
        <v>0</v>
      </c>
      <c r="R157" s="15"/>
      <c r="S157" s="10">
        <f t="shared" si="198"/>
        <v>0</v>
      </c>
      <c r="T157" s="15"/>
      <c r="U157" s="10">
        <f t="shared" si="199"/>
        <v>0</v>
      </c>
      <c r="V157" s="15"/>
      <c r="W157" s="10">
        <f t="shared" si="200"/>
        <v>0</v>
      </c>
      <c r="X157" s="15"/>
      <c r="Y157" s="10">
        <f t="shared" si="201"/>
        <v>0</v>
      </c>
      <c r="Z157" s="15"/>
      <c r="AA157" s="10">
        <f t="shared" si="202"/>
        <v>0</v>
      </c>
      <c r="AB157" s="15"/>
      <c r="AC157" s="10">
        <f t="shared" si="203"/>
        <v>0</v>
      </c>
      <c r="AD157" s="15"/>
      <c r="AE157" s="10">
        <f t="shared" si="204"/>
        <v>0</v>
      </c>
      <c r="AF157" s="11">
        <f t="shared" si="248"/>
        <v>0</v>
      </c>
      <c r="AG157" s="12">
        <f t="shared" si="206"/>
        <v>0</v>
      </c>
      <c r="AH157" s="9"/>
      <c r="AI157" s="10">
        <f t="shared" si="207"/>
        <v>0</v>
      </c>
      <c r="AJ157" s="9"/>
      <c r="AK157" s="10">
        <f t="shared" si="208"/>
        <v>0</v>
      </c>
      <c r="AL157" s="9"/>
      <c r="AM157" s="10">
        <f t="shared" si="209"/>
        <v>0</v>
      </c>
      <c r="AN157" s="9"/>
      <c r="AO157" s="10">
        <f t="shared" si="210"/>
        <v>0</v>
      </c>
      <c r="AP157" s="9"/>
      <c r="AQ157" s="10">
        <f t="shared" si="211"/>
        <v>0</v>
      </c>
      <c r="AR157" s="9"/>
      <c r="AS157" s="10">
        <f t="shared" si="212"/>
        <v>0</v>
      </c>
      <c r="AT157" s="9"/>
      <c r="AU157" s="10">
        <f t="shared" si="213"/>
        <v>0</v>
      </c>
      <c r="AV157" s="9"/>
      <c r="AW157" s="10">
        <f t="shared" si="214"/>
        <v>0</v>
      </c>
      <c r="AX157" s="9"/>
      <c r="AY157" s="10">
        <f t="shared" si="215"/>
        <v>0</v>
      </c>
      <c r="AZ157" s="9"/>
      <c r="BA157" s="10">
        <f t="shared" si="216"/>
        <v>0</v>
      </c>
      <c r="BB157" s="9">
        <v>948</v>
      </c>
      <c r="BC157" s="10">
        <f t="shared" si="217"/>
        <v>663.59999999999991</v>
      </c>
      <c r="BD157" s="9">
        <v>900</v>
      </c>
      <c r="BE157" s="10">
        <f t="shared" si="218"/>
        <v>630</v>
      </c>
      <c r="BF157" s="11">
        <f t="shared" si="249"/>
        <v>1848</v>
      </c>
      <c r="BG157" s="12">
        <f t="shared" si="220"/>
        <v>1293.5999999999999</v>
      </c>
      <c r="BH157" s="15"/>
      <c r="BI157" s="10">
        <f t="shared" si="221"/>
        <v>0</v>
      </c>
      <c r="BJ157" s="15"/>
      <c r="BK157" s="10">
        <f t="shared" si="222"/>
        <v>0</v>
      </c>
      <c r="BL157" s="15"/>
      <c r="BM157" s="10">
        <f t="shared" si="223"/>
        <v>0</v>
      </c>
      <c r="BN157" s="15"/>
      <c r="BO157" s="10">
        <f t="shared" si="224"/>
        <v>0</v>
      </c>
      <c r="BP157" s="15"/>
      <c r="BQ157" s="10">
        <f t="shared" si="225"/>
        <v>0</v>
      </c>
      <c r="BR157" s="15"/>
      <c r="BS157" s="10">
        <f t="shared" si="226"/>
        <v>0</v>
      </c>
      <c r="BT157" s="15"/>
      <c r="BU157" s="10">
        <f t="shared" si="227"/>
        <v>0</v>
      </c>
      <c r="BV157" s="15"/>
      <c r="BW157" s="10">
        <f t="shared" si="228"/>
        <v>0</v>
      </c>
      <c r="BX157" s="15"/>
      <c r="BY157" s="10">
        <f t="shared" si="229"/>
        <v>0</v>
      </c>
      <c r="BZ157" s="15"/>
      <c r="CA157" s="10">
        <f t="shared" si="230"/>
        <v>0</v>
      </c>
      <c r="CB157" s="15"/>
      <c r="CC157" s="10">
        <f t="shared" si="231"/>
        <v>0</v>
      </c>
      <c r="CD157" s="15"/>
      <c r="CE157" s="10">
        <f t="shared" si="232"/>
        <v>0</v>
      </c>
      <c r="CF157" s="11">
        <f t="shared" si="250"/>
        <v>0</v>
      </c>
      <c r="CG157" s="12">
        <f t="shared" si="234"/>
        <v>0</v>
      </c>
      <c r="CH157" s="15"/>
      <c r="CI157" s="10">
        <f t="shared" si="235"/>
        <v>0</v>
      </c>
      <c r="CJ157" s="15">
        <v>6</v>
      </c>
      <c r="CK157" s="10">
        <f t="shared" si="236"/>
        <v>4.1999999999999993</v>
      </c>
      <c r="CL157" s="15">
        <v>600</v>
      </c>
      <c r="CM157" s="10">
        <f t="shared" si="237"/>
        <v>420</v>
      </c>
      <c r="CN157" s="15"/>
      <c r="CO157" s="10">
        <f t="shared" si="238"/>
        <v>0</v>
      </c>
      <c r="CP157" s="15">
        <v>600</v>
      </c>
      <c r="CQ157" s="10">
        <f t="shared" si="239"/>
        <v>420</v>
      </c>
      <c r="CR157" s="15"/>
      <c r="CS157" s="10">
        <f t="shared" si="240"/>
        <v>0</v>
      </c>
      <c r="CT157" s="15"/>
      <c r="CU157" s="10">
        <f t="shared" si="241"/>
        <v>0</v>
      </c>
      <c r="CV157" s="15">
        <v>600</v>
      </c>
      <c r="CW157" s="10">
        <f t="shared" si="242"/>
        <v>420</v>
      </c>
      <c r="CX157" s="15"/>
      <c r="CY157" s="10">
        <f t="shared" si="243"/>
        <v>0</v>
      </c>
      <c r="CZ157" s="15"/>
      <c r="DA157" s="10">
        <f t="shared" si="244"/>
        <v>0</v>
      </c>
      <c r="DB157" s="15"/>
      <c r="DC157" s="10">
        <f t="shared" si="245"/>
        <v>0</v>
      </c>
      <c r="DD157" s="15"/>
      <c r="DE157" s="10">
        <f t="shared" si="245"/>
        <v>0</v>
      </c>
      <c r="DF157" s="16">
        <f t="shared" si="246"/>
        <v>1806</v>
      </c>
      <c r="DG157" s="208">
        <f t="shared" si="247"/>
        <v>1264.1999999999998</v>
      </c>
    </row>
    <row r="158" spans="1:111">
      <c r="A158" s="29"/>
      <c r="B158" s="30"/>
      <c r="C158" s="30"/>
      <c r="D158" s="30"/>
      <c r="E158" s="30"/>
      <c r="F158" s="31"/>
      <c r="G158" s="31"/>
      <c r="H158" s="15"/>
      <c r="I158" s="10"/>
      <c r="J158" s="15"/>
      <c r="K158" s="10"/>
      <c r="L158" s="15"/>
      <c r="M158" s="10"/>
      <c r="N158" s="15"/>
      <c r="O158" s="10"/>
      <c r="P158" s="15"/>
      <c r="Q158" s="10"/>
      <c r="R158" s="15"/>
      <c r="S158" s="10"/>
      <c r="T158" s="15"/>
      <c r="U158" s="10"/>
      <c r="V158" s="15"/>
      <c r="W158" s="10"/>
      <c r="X158" s="15"/>
      <c r="Y158" s="10"/>
      <c r="Z158" s="15"/>
      <c r="AA158" s="10"/>
      <c r="AB158" s="15"/>
      <c r="AC158" s="10"/>
      <c r="AD158" s="15"/>
      <c r="AE158" s="10"/>
      <c r="AF158" s="11"/>
      <c r="AG158" s="12"/>
      <c r="AH158" s="15"/>
      <c r="AI158" s="10"/>
      <c r="AJ158" s="15"/>
      <c r="AK158" s="10"/>
      <c r="AL158" s="15"/>
      <c r="AM158" s="10"/>
      <c r="AN158" s="15"/>
      <c r="AO158" s="10"/>
      <c r="AP158" s="15"/>
      <c r="AQ158" s="10"/>
      <c r="AR158" s="15"/>
      <c r="AS158" s="10"/>
      <c r="AT158" s="15"/>
      <c r="AU158" s="10"/>
      <c r="AV158" s="15"/>
      <c r="AW158" s="10"/>
      <c r="AX158" s="15"/>
      <c r="AY158" s="10"/>
      <c r="AZ158" s="15"/>
      <c r="BA158" s="10"/>
      <c r="BB158" s="15"/>
      <c r="BC158" s="10"/>
      <c r="BD158" s="15"/>
      <c r="BE158" s="10"/>
      <c r="BF158" s="11"/>
      <c r="BG158" s="12"/>
      <c r="BH158" s="15"/>
      <c r="BI158" s="10"/>
      <c r="BJ158" s="15"/>
      <c r="BK158" s="10"/>
      <c r="BL158" s="15"/>
      <c r="BM158" s="10"/>
      <c r="BN158" s="15"/>
      <c r="BO158" s="10"/>
      <c r="BP158" s="15"/>
      <c r="BQ158" s="10"/>
      <c r="BR158" s="15"/>
      <c r="BS158" s="10"/>
      <c r="BT158" s="15"/>
      <c r="BU158" s="10"/>
      <c r="BV158" s="15"/>
      <c r="BW158" s="10"/>
      <c r="BX158" s="15"/>
      <c r="BY158" s="10"/>
      <c r="BZ158" s="15"/>
      <c r="CA158" s="10"/>
      <c r="CB158" s="15"/>
      <c r="CC158" s="10"/>
      <c r="CD158" s="15"/>
      <c r="CE158" s="10"/>
      <c r="CF158" s="11"/>
      <c r="CG158" s="12"/>
      <c r="CH158" s="15"/>
      <c r="CI158" s="10">
        <f t="shared" si="235"/>
        <v>0</v>
      </c>
      <c r="CJ158" s="15"/>
      <c r="CK158" s="10">
        <f t="shared" si="236"/>
        <v>0</v>
      </c>
      <c r="CL158" s="15"/>
      <c r="CM158" s="10">
        <f t="shared" si="237"/>
        <v>0</v>
      </c>
      <c r="CN158" s="15"/>
      <c r="CO158" s="10">
        <f t="shared" si="238"/>
        <v>0</v>
      </c>
      <c r="CP158" s="15"/>
      <c r="CQ158" s="10">
        <f t="shared" si="239"/>
        <v>0</v>
      </c>
      <c r="CR158" s="15"/>
      <c r="CS158" s="10">
        <f t="shared" si="240"/>
        <v>0</v>
      </c>
      <c r="CT158" s="15"/>
      <c r="CU158" s="10">
        <f t="shared" si="241"/>
        <v>0</v>
      </c>
      <c r="CV158" s="15"/>
      <c r="CW158" s="10">
        <f t="shared" si="242"/>
        <v>0</v>
      </c>
      <c r="CX158" s="15"/>
      <c r="CY158" s="10">
        <f t="shared" si="243"/>
        <v>0</v>
      </c>
      <c r="CZ158" s="15"/>
      <c r="DA158" s="10">
        <f t="shared" si="244"/>
        <v>0</v>
      </c>
      <c r="DB158" s="15"/>
      <c r="DC158" s="10">
        <f t="shared" si="245"/>
        <v>0</v>
      </c>
      <c r="DD158" s="15"/>
      <c r="DE158" s="10">
        <f t="shared" si="245"/>
        <v>0</v>
      </c>
      <c r="DF158" s="16">
        <f t="shared" si="246"/>
        <v>0</v>
      </c>
      <c r="DG158" s="208">
        <f t="shared" si="247"/>
        <v>0</v>
      </c>
    </row>
    <row r="159" spans="1:111">
      <c r="A159" s="32"/>
      <c r="B159" s="23" t="s">
        <v>117</v>
      </c>
      <c r="C159" s="23"/>
      <c r="D159" s="23"/>
      <c r="E159" s="23"/>
      <c r="F159" s="25"/>
      <c r="G159" s="25"/>
      <c r="H159" s="26">
        <f t="shared" ref="H159:BS159" si="252">SUM(H143:H158)</f>
        <v>22774</v>
      </c>
      <c r="I159" s="27">
        <f t="shared" si="252"/>
        <v>10488.625</v>
      </c>
      <c r="J159" s="26">
        <f t="shared" si="252"/>
        <v>41714</v>
      </c>
      <c r="K159" s="27">
        <f t="shared" si="252"/>
        <v>18415.075000000001</v>
      </c>
      <c r="L159" s="26">
        <f t="shared" si="252"/>
        <v>45588</v>
      </c>
      <c r="M159" s="27">
        <f t="shared" si="252"/>
        <v>19959.625</v>
      </c>
      <c r="N159" s="26">
        <f t="shared" si="252"/>
        <v>45598</v>
      </c>
      <c r="O159" s="27">
        <f t="shared" si="252"/>
        <v>20302.274999999998</v>
      </c>
      <c r="P159" s="26">
        <f t="shared" si="252"/>
        <v>49396</v>
      </c>
      <c r="Q159" s="27">
        <f t="shared" si="252"/>
        <v>21032.9</v>
      </c>
      <c r="R159" s="26">
        <f t="shared" si="252"/>
        <v>48007</v>
      </c>
      <c r="S159" s="27">
        <f t="shared" si="252"/>
        <v>19875.974999999999</v>
      </c>
      <c r="T159" s="26">
        <f t="shared" si="252"/>
        <v>42663</v>
      </c>
      <c r="U159" s="27">
        <f t="shared" si="252"/>
        <v>17462.2</v>
      </c>
      <c r="V159" s="26">
        <f t="shared" si="252"/>
        <v>60106</v>
      </c>
      <c r="W159" s="27">
        <f t="shared" si="252"/>
        <v>25058.424999999996</v>
      </c>
      <c r="X159" s="26">
        <f t="shared" si="252"/>
        <v>18000</v>
      </c>
      <c r="Y159" s="27">
        <f t="shared" si="252"/>
        <v>8177.9249999999993</v>
      </c>
      <c r="Z159" s="26">
        <f t="shared" si="252"/>
        <v>33051</v>
      </c>
      <c r="AA159" s="27">
        <f t="shared" si="252"/>
        <v>13151.599999999999</v>
      </c>
      <c r="AB159" s="26">
        <f t="shared" si="252"/>
        <v>40049</v>
      </c>
      <c r="AC159" s="27">
        <f t="shared" si="252"/>
        <v>16209.9</v>
      </c>
      <c r="AD159" s="26">
        <f t="shared" si="252"/>
        <v>47071</v>
      </c>
      <c r="AE159" s="27">
        <f t="shared" si="252"/>
        <v>18290.649999999998</v>
      </c>
      <c r="AF159" s="26">
        <f t="shared" si="252"/>
        <v>494017</v>
      </c>
      <c r="AG159" s="27">
        <f t="shared" si="252"/>
        <v>208425.17499999999</v>
      </c>
      <c r="AH159" s="26">
        <f t="shared" si="252"/>
        <v>43765</v>
      </c>
      <c r="AI159" s="27">
        <f t="shared" si="252"/>
        <v>17709.3</v>
      </c>
      <c r="AJ159" s="26">
        <f t="shared" si="252"/>
        <v>30367</v>
      </c>
      <c r="AK159" s="27">
        <f t="shared" si="252"/>
        <v>12399.8</v>
      </c>
      <c r="AL159" s="26">
        <f t="shared" si="252"/>
        <v>45367</v>
      </c>
      <c r="AM159" s="27">
        <f t="shared" si="252"/>
        <v>18019.050000000003</v>
      </c>
      <c r="AN159" s="26">
        <f t="shared" si="252"/>
        <v>33337</v>
      </c>
      <c r="AO159" s="27">
        <f t="shared" si="252"/>
        <v>13265</v>
      </c>
      <c r="AP159" s="26">
        <f t="shared" si="252"/>
        <v>46958</v>
      </c>
      <c r="AQ159" s="27">
        <f t="shared" si="252"/>
        <v>18144</v>
      </c>
      <c r="AR159" s="26">
        <f t="shared" si="252"/>
        <v>34109</v>
      </c>
      <c r="AS159" s="27">
        <f t="shared" si="252"/>
        <v>13169.8</v>
      </c>
      <c r="AT159" s="26">
        <f t="shared" si="252"/>
        <v>37007</v>
      </c>
      <c r="AU159" s="27">
        <f t="shared" si="252"/>
        <v>13854.575000000001</v>
      </c>
      <c r="AV159" s="26">
        <f t="shared" si="252"/>
        <v>36679</v>
      </c>
      <c r="AW159" s="27">
        <f t="shared" si="252"/>
        <v>13885.724999999999</v>
      </c>
      <c r="AX159" s="26">
        <f t="shared" si="252"/>
        <v>40064</v>
      </c>
      <c r="AY159" s="27">
        <f t="shared" si="252"/>
        <v>15046.149999999998</v>
      </c>
      <c r="AZ159" s="26">
        <f t="shared" si="252"/>
        <v>40279</v>
      </c>
      <c r="BA159" s="27">
        <f t="shared" si="252"/>
        <v>15073.099999999999</v>
      </c>
      <c r="BB159" s="26">
        <f t="shared" si="252"/>
        <v>28966</v>
      </c>
      <c r="BC159" s="27">
        <f t="shared" si="252"/>
        <v>11307.975</v>
      </c>
      <c r="BD159" s="26">
        <f t="shared" si="252"/>
        <v>30307</v>
      </c>
      <c r="BE159" s="27">
        <f t="shared" si="252"/>
        <v>11682.825000000001</v>
      </c>
      <c r="BF159" s="26">
        <f t="shared" si="252"/>
        <v>447205</v>
      </c>
      <c r="BG159" s="27">
        <f t="shared" si="252"/>
        <v>173557.3</v>
      </c>
      <c r="BH159" s="26">
        <f t="shared" si="252"/>
        <v>38283</v>
      </c>
      <c r="BI159" s="27">
        <f t="shared" si="252"/>
        <v>14439.425000000001</v>
      </c>
      <c r="BJ159" s="26">
        <f t="shared" si="252"/>
        <v>35363</v>
      </c>
      <c r="BK159" s="27">
        <f t="shared" si="252"/>
        <v>12961.374999999998</v>
      </c>
      <c r="BL159" s="26">
        <f t="shared" si="252"/>
        <v>45883</v>
      </c>
      <c r="BM159" s="27">
        <f t="shared" si="252"/>
        <v>17448.55</v>
      </c>
      <c r="BN159" s="26">
        <f t="shared" si="252"/>
        <v>8643</v>
      </c>
      <c r="BO159" s="27">
        <f t="shared" si="252"/>
        <v>3102.05</v>
      </c>
      <c r="BP159" s="26">
        <f t="shared" si="252"/>
        <v>11318</v>
      </c>
      <c r="BQ159" s="27">
        <f t="shared" si="252"/>
        <v>4250.2249999999995</v>
      </c>
      <c r="BR159" s="26">
        <f t="shared" si="252"/>
        <v>9981</v>
      </c>
      <c r="BS159" s="27">
        <f t="shared" si="252"/>
        <v>3866.2749999999996</v>
      </c>
      <c r="BT159" s="26">
        <f t="shared" ref="BT159:DG159" si="253">SUM(BT143:BT158)</f>
        <v>9885</v>
      </c>
      <c r="BU159" s="27">
        <f t="shared" si="253"/>
        <v>3798.5499999999997</v>
      </c>
      <c r="BV159" s="26">
        <f t="shared" si="253"/>
        <v>9140</v>
      </c>
      <c r="BW159" s="27">
        <f t="shared" si="253"/>
        <v>3550.9249999999997</v>
      </c>
      <c r="BX159" s="26">
        <f t="shared" si="253"/>
        <v>8186</v>
      </c>
      <c r="BY159" s="27">
        <f t="shared" si="253"/>
        <v>3482.4999999999995</v>
      </c>
      <c r="BZ159" s="26">
        <f t="shared" si="253"/>
        <v>7568</v>
      </c>
      <c r="CA159" s="27">
        <f t="shared" si="253"/>
        <v>3160.5</v>
      </c>
      <c r="CB159" s="26">
        <f t="shared" si="253"/>
        <v>6712</v>
      </c>
      <c r="CC159" s="27">
        <f t="shared" si="253"/>
        <v>3057.7749999999996</v>
      </c>
      <c r="CD159" s="26">
        <f t="shared" si="253"/>
        <v>3459</v>
      </c>
      <c r="CE159" s="27">
        <f t="shared" si="253"/>
        <v>1684.55</v>
      </c>
      <c r="CF159" s="26">
        <f t="shared" si="253"/>
        <v>194421</v>
      </c>
      <c r="CG159" s="27">
        <f t="shared" si="253"/>
        <v>74802.700000000012</v>
      </c>
      <c r="CH159" s="26">
        <f t="shared" si="253"/>
        <v>4660</v>
      </c>
      <c r="CI159" s="27">
        <f t="shared" si="253"/>
        <v>2026.4999999999998</v>
      </c>
      <c r="CJ159" s="26">
        <f t="shared" si="253"/>
        <v>4535</v>
      </c>
      <c r="CK159" s="27">
        <f t="shared" si="253"/>
        <v>1934.9750000000001</v>
      </c>
      <c r="CL159" s="26">
        <f t="shared" si="253"/>
        <v>5246</v>
      </c>
      <c r="CM159" s="27">
        <f t="shared" si="253"/>
        <v>2298.2749999999996</v>
      </c>
      <c r="CN159" s="26">
        <f t="shared" si="253"/>
        <v>2222</v>
      </c>
      <c r="CO159" s="27">
        <f t="shared" si="253"/>
        <v>1050.7</v>
      </c>
      <c r="CP159" s="26">
        <f t="shared" si="253"/>
        <v>3958</v>
      </c>
      <c r="CQ159" s="27">
        <f t="shared" si="253"/>
        <v>1910.6499999999999</v>
      </c>
      <c r="CR159" s="26">
        <f t="shared" si="253"/>
        <v>2725</v>
      </c>
      <c r="CS159" s="27">
        <f t="shared" si="253"/>
        <v>1233.75</v>
      </c>
      <c r="CT159" s="26">
        <f t="shared" si="253"/>
        <v>2878</v>
      </c>
      <c r="CU159" s="27">
        <f t="shared" si="253"/>
        <v>1360.625</v>
      </c>
      <c r="CV159" s="26">
        <f t="shared" si="253"/>
        <v>3064</v>
      </c>
      <c r="CW159" s="27">
        <f t="shared" si="253"/>
        <v>1589.875</v>
      </c>
      <c r="CX159" s="26">
        <f t="shared" si="253"/>
        <v>1290</v>
      </c>
      <c r="CY159" s="27">
        <f t="shared" si="253"/>
        <v>771.39999999999986</v>
      </c>
      <c r="CZ159" s="26">
        <f t="shared" si="253"/>
        <v>1254</v>
      </c>
      <c r="DA159" s="27">
        <f t="shared" si="253"/>
        <v>753.89999999999986</v>
      </c>
      <c r="DB159" s="26">
        <f t="shared" si="253"/>
        <v>985</v>
      </c>
      <c r="DC159" s="27">
        <f t="shared" si="253"/>
        <v>595.34999999999991</v>
      </c>
      <c r="DD159" s="26">
        <f t="shared" si="253"/>
        <v>2803</v>
      </c>
      <c r="DE159" s="27">
        <f t="shared" si="253"/>
        <v>1258.5999999999999</v>
      </c>
      <c r="DF159" s="26">
        <f>SUM(DF143:DF158)</f>
        <v>35620</v>
      </c>
      <c r="DG159" s="27">
        <f t="shared" si="253"/>
        <v>16784.599999999999</v>
      </c>
    </row>
    <row r="160" spans="1:111">
      <c r="A160" s="33"/>
      <c r="B160" s="34" t="s">
        <v>118</v>
      </c>
      <c r="C160" s="34"/>
      <c r="D160" s="34"/>
      <c r="E160" s="34"/>
      <c r="F160" s="34"/>
      <c r="G160" s="34"/>
      <c r="H160" s="35">
        <f t="shared" ref="H160:BS160" si="254">+H142+H159</f>
        <v>2928170</v>
      </c>
      <c r="I160" s="36">
        <f t="shared" si="254"/>
        <v>1984319.9650000001</v>
      </c>
      <c r="J160" s="35">
        <f t="shared" si="254"/>
        <v>2717042</v>
      </c>
      <c r="K160" s="36">
        <f t="shared" si="254"/>
        <v>1840323.355</v>
      </c>
      <c r="L160" s="35">
        <f t="shared" si="254"/>
        <v>4048021</v>
      </c>
      <c r="M160" s="36">
        <f t="shared" si="254"/>
        <v>2721791.9849999999</v>
      </c>
      <c r="N160" s="35">
        <f t="shared" si="254"/>
        <v>3071801</v>
      </c>
      <c r="O160" s="36">
        <f t="shared" si="254"/>
        <v>2106247.9950000001</v>
      </c>
      <c r="P160" s="35">
        <f t="shared" si="254"/>
        <v>2937131</v>
      </c>
      <c r="Q160" s="36">
        <f t="shared" si="254"/>
        <v>2028024.86</v>
      </c>
      <c r="R160" s="35">
        <f t="shared" si="254"/>
        <v>3051201</v>
      </c>
      <c r="S160" s="36">
        <f t="shared" si="254"/>
        <v>2107873.1349999998</v>
      </c>
      <c r="T160" s="35">
        <f t="shared" si="254"/>
        <v>2879009</v>
      </c>
      <c r="U160" s="36">
        <f t="shared" si="254"/>
        <v>1960811.6200000003</v>
      </c>
      <c r="V160" s="35">
        <f t="shared" si="254"/>
        <v>3543203</v>
      </c>
      <c r="W160" s="36">
        <f t="shared" si="254"/>
        <v>2451594.3450000002</v>
      </c>
      <c r="X160" s="35">
        <f t="shared" si="254"/>
        <v>2454131</v>
      </c>
      <c r="Y160" s="36">
        <f t="shared" si="254"/>
        <v>1702577.1349999998</v>
      </c>
      <c r="Z160" s="35">
        <f t="shared" si="254"/>
        <v>2541231</v>
      </c>
      <c r="AA160" s="36">
        <f t="shared" si="254"/>
        <v>1747596.6300000001</v>
      </c>
      <c r="AB160" s="35">
        <f t="shared" si="254"/>
        <v>2628058</v>
      </c>
      <c r="AC160" s="36">
        <f t="shared" si="254"/>
        <v>1799711.9200000002</v>
      </c>
      <c r="AD160" s="35">
        <f t="shared" si="254"/>
        <v>2910719</v>
      </c>
      <c r="AE160" s="36">
        <f t="shared" si="254"/>
        <v>2010676.5599999998</v>
      </c>
      <c r="AF160" s="35">
        <f t="shared" si="254"/>
        <v>35709717</v>
      </c>
      <c r="AG160" s="36">
        <f t="shared" si="254"/>
        <v>24461549.505000003</v>
      </c>
      <c r="AH160" s="35">
        <f t="shared" si="254"/>
        <v>3072046</v>
      </c>
      <c r="AI160" s="36">
        <f t="shared" si="254"/>
        <v>2140770.4799999991</v>
      </c>
      <c r="AJ160" s="35">
        <f t="shared" si="254"/>
        <v>2510942</v>
      </c>
      <c r="AK160" s="36">
        <f t="shared" si="254"/>
        <v>1745004.1</v>
      </c>
      <c r="AL160" s="35">
        <f t="shared" si="254"/>
        <v>3318438</v>
      </c>
      <c r="AM160" s="36">
        <f t="shared" si="254"/>
        <v>2300664.71</v>
      </c>
      <c r="AN160" s="35">
        <f t="shared" si="254"/>
        <v>2643278</v>
      </c>
      <c r="AO160" s="36">
        <f t="shared" si="254"/>
        <v>1864931.2400000005</v>
      </c>
      <c r="AP160" s="35">
        <f t="shared" si="254"/>
        <v>2637510</v>
      </c>
      <c r="AQ160" s="36">
        <f t="shared" si="254"/>
        <v>1909903.9900000002</v>
      </c>
      <c r="AR160" s="35">
        <f t="shared" si="254"/>
        <v>2488674</v>
      </c>
      <c r="AS160" s="36">
        <f t="shared" si="254"/>
        <v>1838620.8099999998</v>
      </c>
      <c r="AT160" s="35">
        <f t="shared" si="254"/>
        <v>2816255</v>
      </c>
      <c r="AU160" s="36">
        <f t="shared" si="254"/>
        <v>2030192.6350000005</v>
      </c>
      <c r="AV160" s="35">
        <f t="shared" si="254"/>
        <v>2977552</v>
      </c>
      <c r="AW160" s="36">
        <f t="shared" si="254"/>
        <v>2146986.1049999995</v>
      </c>
      <c r="AX160" s="35">
        <f t="shared" si="254"/>
        <v>2078733</v>
      </c>
      <c r="AY160" s="36">
        <f t="shared" si="254"/>
        <v>1480491.7799999996</v>
      </c>
      <c r="AZ160" s="35">
        <f t="shared" si="254"/>
        <v>2361910</v>
      </c>
      <c r="BA160" s="36">
        <f t="shared" si="254"/>
        <v>1701634.8200000005</v>
      </c>
      <c r="BB160" s="35">
        <f t="shared" si="254"/>
        <v>2386137</v>
      </c>
      <c r="BC160" s="36">
        <f t="shared" si="254"/>
        <v>1736022.1550000003</v>
      </c>
      <c r="BD160" s="35">
        <f t="shared" si="254"/>
        <v>2584267</v>
      </c>
      <c r="BE160" s="36">
        <f t="shared" si="254"/>
        <v>1883185.5150000001</v>
      </c>
      <c r="BF160" s="35">
        <f t="shared" si="254"/>
        <v>31875742</v>
      </c>
      <c r="BG160" s="36">
        <f t="shared" si="254"/>
        <v>22778408.340000007</v>
      </c>
      <c r="BH160" s="35">
        <f t="shared" si="254"/>
        <v>2673784</v>
      </c>
      <c r="BI160" s="36">
        <f t="shared" si="254"/>
        <v>1959919.1850000005</v>
      </c>
      <c r="BJ160" s="35">
        <f t="shared" si="254"/>
        <v>2223968</v>
      </c>
      <c r="BK160" s="36">
        <f t="shared" si="254"/>
        <v>1626376.8649999998</v>
      </c>
      <c r="BL160" s="35">
        <f t="shared" si="254"/>
        <v>2513444</v>
      </c>
      <c r="BM160" s="36">
        <f t="shared" si="254"/>
        <v>1850373.7799999998</v>
      </c>
      <c r="BN160" s="35">
        <f t="shared" si="254"/>
        <v>2449899</v>
      </c>
      <c r="BO160" s="36">
        <f t="shared" si="254"/>
        <v>1826838.24</v>
      </c>
      <c r="BP160" s="35">
        <f t="shared" si="254"/>
        <v>2535824</v>
      </c>
      <c r="BQ160" s="36">
        <f t="shared" si="254"/>
        <v>1880854.165</v>
      </c>
      <c r="BR160" s="35">
        <f t="shared" si="254"/>
        <v>2801965</v>
      </c>
      <c r="BS160" s="36">
        <f t="shared" si="254"/>
        <v>2097815.7349999999</v>
      </c>
      <c r="BT160" s="35">
        <f t="shared" ref="BT160:DG160" si="255">+BT142+BT159</f>
        <v>2572127</v>
      </c>
      <c r="BU160" s="36">
        <f t="shared" si="255"/>
        <v>1932913.0700000003</v>
      </c>
      <c r="BV160" s="35">
        <f t="shared" si="255"/>
        <v>2272679</v>
      </c>
      <c r="BW160" s="36">
        <f t="shared" si="255"/>
        <v>1699599.8250000002</v>
      </c>
      <c r="BX160" s="35">
        <f t="shared" si="255"/>
        <v>2152793</v>
      </c>
      <c r="BY160" s="36">
        <f t="shared" si="255"/>
        <v>1618748.5200000005</v>
      </c>
      <c r="BZ160" s="35">
        <f t="shared" si="255"/>
        <v>2513135</v>
      </c>
      <c r="CA160" s="36">
        <f t="shared" si="255"/>
        <v>1888063.8399999999</v>
      </c>
      <c r="CB160" s="35">
        <f t="shared" si="255"/>
        <v>2324305</v>
      </c>
      <c r="CC160" s="36">
        <f t="shared" si="255"/>
        <v>1717228.2350000006</v>
      </c>
      <c r="CD160" s="35">
        <f t="shared" si="255"/>
        <v>2221681</v>
      </c>
      <c r="CE160" s="36">
        <f t="shared" si="255"/>
        <v>1648400.1299999997</v>
      </c>
      <c r="CF160" s="35">
        <f t="shared" si="255"/>
        <v>29255604</v>
      </c>
      <c r="CG160" s="36">
        <f t="shared" si="255"/>
        <v>21747131.589999996</v>
      </c>
      <c r="CH160" s="35">
        <f t="shared" si="255"/>
        <v>2092778</v>
      </c>
      <c r="CI160" s="36">
        <f t="shared" si="255"/>
        <v>1575249.7000000004</v>
      </c>
      <c r="CJ160" s="35">
        <f t="shared" si="255"/>
        <v>2123672</v>
      </c>
      <c r="CK160" s="36">
        <f t="shared" si="255"/>
        <v>1590052.2650000001</v>
      </c>
      <c r="CL160" s="35">
        <f t="shared" si="255"/>
        <v>3123677</v>
      </c>
      <c r="CM160" s="36">
        <f t="shared" si="255"/>
        <v>2363237.8649999998</v>
      </c>
      <c r="CN160" s="35">
        <f t="shared" si="255"/>
        <v>1796961</v>
      </c>
      <c r="CO160" s="36">
        <f t="shared" si="255"/>
        <v>1332694.5799999996</v>
      </c>
      <c r="CP160" s="35">
        <f t="shared" si="255"/>
        <v>2225681</v>
      </c>
      <c r="CQ160" s="36">
        <f t="shared" si="255"/>
        <v>1684842.8699999994</v>
      </c>
      <c r="CR160" s="35">
        <f t="shared" si="255"/>
        <v>2282325</v>
      </c>
      <c r="CS160" s="36">
        <f t="shared" si="255"/>
        <v>1733339.13</v>
      </c>
      <c r="CT160" s="35">
        <f t="shared" si="255"/>
        <v>2254206</v>
      </c>
      <c r="CU160" s="36">
        <f t="shared" si="255"/>
        <v>1700617.4950000001</v>
      </c>
      <c r="CV160" s="35">
        <f t="shared" si="255"/>
        <v>2242587</v>
      </c>
      <c r="CW160" s="36">
        <f t="shared" si="255"/>
        <v>1690875.825</v>
      </c>
      <c r="CX160" s="35">
        <f t="shared" si="255"/>
        <v>2125831</v>
      </c>
      <c r="CY160" s="36">
        <f t="shared" si="255"/>
        <v>1606989.0999999999</v>
      </c>
      <c r="CZ160" s="35">
        <f t="shared" si="255"/>
        <v>2220817</v>
      </c>
      <c r="DA160" s="36">
        <f t="shared" si="255"/>
        <v>1676924.1599999997</v>
      </c>
      <c r="DB160" s="35">
        <f t="shared" si="255"/>
        <v>2096739</v>
      </c>
      <c r="DC160" s="36">
        <f t="shared" si="255"/>
        <v>1581186.6100000003</v>
      </c>
      <c r="DD160" s="35">
        <f t="shared" si="255"/>
        <v>2255371</v>
      </c>
      <c r="DE160" s="36">
        <f t="shared" si="255"/>
        <v>1707330.6200000003</v>
      </c>
      <c r="DF160" s="35">
        <f>+DF142+DF159</f>
        <v>26840645</v>
      </c>
      <c r="DG160" s="36">
        <f t="shared" si="255"/>
        <v>20243340.219999995</v>
      </c>
    </row>
    <row r="163" spans="1:111">
      <c r="CH163" s="39"/>
      <c r="CI163" s="39"/>
      <c r="CJ163" s="39"/>
      <c r="CK163" s="39"/>
      <c r="CL163" s="39"/>
      <c r="CM163" s="40"/>
      <c r="CN163" s="39"/>
      <c r="CO163" s="40"/>
      <c r="CP163" s="39"/>
      <c r="CQ163" s="40"/>
      <c r="CT163" s="41"/>
      <c r="CU163" s="42"/>
      <c r="CV163" s="39"/>
      <c r="CW163" s="40"/>
    </row>
    <row r="164" spans="1:111" ht="18.75" customHeight="1">
      <c r="A164" s="264" t="s">
        <v>1</v>
      </c>
      <c r="B164" s="264" t="s">
        <v>2</v>
      </c>
      <c r="C164" s="264"/>
      <c r="D164" s="262" t="s">
        <v>3</v>
      </c>
      <c r="E164" s="262" t="s">
        <v>4</v>
      </c>
      <c r="F164" s="262" t="s">
        <v>5</v>
      </c>
      <c r="G164" s="264" t="s">
        <v>6</v>
      </c>
      <c r="H164" s="256">
        <v>44562</v>
      </c>
      <c r="I164" s="257"/>
      <c r="J164" s="256">
        <v>44593</v>
      </c>
      <c r="K164" s="257"/>
      <c r="L164" s="256">
        <v>44621</v>
      </c>
      <c r="M164" s="257"/>
      <c r="N164" s="256">
        <v>44652</v>
      </c>
      <c r="O164" s="257"/>
      <c r="P164" s="256">
        <v>44682</v>
      </c>
      <c r="Q164" s="257"/>
      <c r="R164" s="256">
        <v>44713</v>
      </c>
      <c r="S164" s="257"/>
      <c r="T164" s="256">
        <v>44743</v>
      </c>
      <c r="U164" s="257"/>
      <c r="V164" s="256">
        <v>44774</v>
      </c>
      <c r="W164" s="257"/>
      <c r="X164" s="256">
        <v>44805</v>
      </c>
      <c r="Y164" s="257"/>
      <c r="Z164" s="256">
        <v>44835</v>
      </c>
      <c r="AA164" s="257"/>
      <c r="AB164" s="256">
        <v>44866</v>
      </c>
      <c r="AC164" s="257"/>
      <c r="AD164" s="256">
        <v>44896</v>
      </c>
      <c r="AE164" s="257"/>
      <c r="AF164" s="260" t="s">
        <v>315</v>
      </c>
      <c r="AG164" s="261"/>
      <c r="AH164" s="256">
        <v>44927</v>
      </c>
      <c r="AI164" s="257"/>
      <c r="AJ164" s="256">
        <v>44958</v>
      </c>
      <c r="AK164" s="257"/>
      <c r="AL164" s="256">
        <v>44986</v>
      </c>
      <c r="AM164" s="257"/>
      <c r="AN164" s="256">
        <v>45017</v>
      </c>
      <c r="AO164" s="257"/>
      <c r="AP164" s="256">
        <v>45047</v>
      </c>
      <c r="AQ164" s="257"/>
      <c r="AR164" s="256">
        <v>45078</v>
      </c>
      <c r="AS164" s="257"/>
      <c r="AT164" s="256">
        <v>45108</v>
      </c>
      <c r="AU164" s="257"/>
      <c r="AV164" s="256">
        <v>45139</v>
      </c>
      <c r="AW164" s="257"/>
      <c r="AX164" s="256">
        <v>45170</v>
      </c>
      <c r="AY164" s="257"/>
      <c r="AZ164" s="256">
        <v>45200</v>
      </c>
      <c r="BA164" s="257"/>
      <c r="BB164" s="256">
        <v>45231</v>
      </c>
      <c r="BC164" s="257"/>
      <c r="BD164" s="256">
        <v>45261</v>
      </c>
      <c r="BE164" s="257"/>
      <c r="BF164" s="260" t="s">
        <v>316</v>
      </c>
      <c r="BG164" s="261"/>
      <c r="BH164" s="256">
        <v>45292</v>
      </c>
      <c r="BI164" s="257"/>
      <c r="BJ164" s="256">
        <v>45323</v>
      </c>
      <c r="BK164" s="257"/>
      <c r="BL164" s="256">
        <v>45352</v>
      </c>
      <c r="BM164" s="257"/>
      <c r="BN164" s="256">
        <v>45383</v>
      </c>
      <c r="BO164" s="257"/>
      <c r="BP164" s="256">
        <v>45413</v>
      </c>
      <c r="BQ164" s="257"/>
      <c r="BR164" s="256">
        <v>45444</v>
      </c>
      <c r="BS164" s="257"/>
      <c r="BT164" s="256">
        <v>45474</v>
      </c>
      <c r="BU164" s="257"/>
      <c r="BV164" s="256">
        <v>45505</v>
      </c>
      <c r="BW164" s="257"/>
      <c r="BX164" s="256">
        <v>45536</v>
      </c>
      <c r="BY164" s="257"/>
      <c r="BZ164" s="256">
        <v>45566</v>
      </c>
      <c r="CA164" s="257"/>
      <c r="CB164" s="256">
        <v>45597</v>
      </c>
      <c r="CC164" s="257"/>
      <c r="CD164" s="256">
        <v>45627</v>
      </c>
      <c r="CE164" s="257"/>
      <c r="CF164" s="260" t="s">
        <v>317</v>
      </c>
      <c r="CG164" s="261"/>
      <c r="CH164" s="256">
        <v>45658</v>
      </c>
      <c r="CI164" s="257"/>
      <c r="CJ164" s="256">
        <v>45689</v>
      </c>
      <c r="CK164" s="257"/>
      <c r="CL164" s="256">
        <v>45717</v>
      </c>
      <c r="CM164" s="257"/>
      <c r="CN164" s="256">
        <v>45748</v>
      </c>
      <c r="CO164" s="257"/>
      <c r="CP164" s="256">
        <v>45778</v>
      </c>
      <c r="CQ164" s="257"/>
      <c r="CR164" s="256">
        <v>45809</v>
      </c>
      <c r="CS164" s="257"/>
      <c r="CT164" s="256">
        <v>45839</v>
      </c>
      <c r="CU164" s="257"/>
      <c r="CV164" s="256">
        <v>45870</v>
      </c>
      <c r="CW164" s="257"/>
      <c r="CX164" s="256">
        <v>45901</v>
      </c>
      <c r="CY164" s="257"/>
      <c r="CZ164" s="256">
        <v>45931</v>
      </c>
      <c r="DA164" s="257"/>
      <c r="DB164" s="256">
        <v>45962</v>
      </c>
      <c r="DC164" s="257"/>
      <c r="DD164" s="256">
        <v>45992</v>
      </c>
      <c r="DE164" s="257"/>
      <c r="DF164" s="275" t="s">
        <v>7</v>
      </c>
      <c r="DG164" s="276"/>
    </row>
    <row r="165" spans="1:111" ht="18.75" customHeight="1">
      <c r="A165" s="269"/>
      <c r="B165" s="269"/>
      <c r="C165" s="269"/>
      <c r="D165" s="263"/>
      <c r="E165" s="263"/>
      <c r="F165" s="263"/>
      <c r="G165" s="263"/>
      <c r="H165" s="3" t="s">
        <v>8</v>
      </c>
      <c r="I165" s="4" t="s">
        <v>9</v>
      </c>
      <c r="J165" s="3" t="s">
        <v>8</v>
      </c>
      <c r="K165" s="4" t="s">
        <v>9</v>
      </c>
      <c r="L165" s="3" t="s">
        <v>8</v>
      </c>
      <c r="M165" s="4" t="s">
        <v>9</v>
      </c>
      <c r="N165" s="3" t="s">
        <v>8</v>
      </c>
      <c r="O165" s="4" t="s">
        <v>9</v>
      </c>
      <c r="P165" s="3" t="s">
        <v>8</v>
      </c>
      <c r="Q165" s="4" t="s">
        <v>9</v>
      </c>
      <c r="R165" s="3" t="s">
        <v>8</v>
      </c>
      <c r="S165" s="4" t="s">
        <v>9</v>
      </c>
      <c r="T165" s="3" t="s">
        <v>8</v>
      </c>
      <c r="U165" s="4" t="s">
        <v>9</v>
      </c>
      <c r="V165" s="3" t="s">
        <v>8</v>
      </c>
      <c r="W165" s="4" t="s">
        <v>9</v>
      </c>
      <c r="X165" s="3" t="s">
        <v>8</v>
      </c>
      <c r="Y165" s="4" t="s">
        <v>9</v>
      </c>
      <c r="Z165" s="3" t="s">
        <v>8</v>
      </c>
      <c r="AA165" s="4" t="s">
        <v>9</v>
      </c>
      <c r="AB165" s="3" t="s">
        <v>8</v>
      </c>
      <c r="AC165" s="4" t="s">
        <v>9</v>
      </c>
      <c r="AD165" s="3" t="s">
        <v>8</v>
      </c>
      <c r="AE165" s="4" t="s">
        <v>9</v>
      </c>
      <c r="AF165" s="5" t="s">
        <v>8</v>
      </c>
      <c r="AG165" s="6" t="s">
        <v>9</v>
      </c>
      <c r="AH165" s="3" t="s">
        <v>8</v>
      </c>
      <c r="AI165" s="4" t="s">
        <v>9</v>
      </c>
      <c r="AJ165" s="3" t="s">
        <v>8</v>
      </c>
      <c r="AK165" s="4" t="s">
        <v>9</v>
      </c>
      <c r="AL165" s="3" t="s">
        <v>8</v>
      </c>
      <c r="AM165" s="4" t="s">
        <v>9</v>
      </c>
      <c r="AN165" s="3" t="s">
        <v>8</v>
      </c>
      <c r="AO165" s="4" t="s">
        <v>9</v>
      </c>
      <c r="AP165" s="3" t="s">
        <v>8</v>
      </c>
      <c r="AQ165" s="4" t="s">
        <v>9</v>
      </c>
      <c r="AR165" s="3" t="s">
        <v>8</v>
      </c>
      <c r="AS165" s="4" t="s">
        <v>9</v>
      </c>
      <c r="AT165" s="3" t="s">
        <v>8</v>
      </c>
      <c r="AU165" s="4" t="s">
        <v>9</v>
      </c>
      <c r="AV165" s="3" t="s">
        <v>8</v>
      </c>
      <c r="AW165" s="4" t="s">
        <v>9</v>
      </c>
      <c r="AX165" s="3" t="s">
        <v>8</v>
      </c>
      <c r="AY165" s="4" t="s">
        <v>9</v>
      </c>
      <c r="AZ165" s="3" t="s">
        <v>8</v>
      </c>
      <c r="BA165" s="4" t="s">
        <v>9</v>
      </c>
      <c r="BB165" s="3" t="s">
        <v>8</v>
      </c>
      <c r="BC165" s="4" t="s">
        <v>9</v>
      </c>
      <c r="BD165" s="3" t="s">
        <v>8</v>
      </c>
      <c r="BE165" s="4" t="s">
        <v>9</v>
      </c>
      <c r="BF165" s="5" t="s">
        <v>8</v>
      </c>
      <c r="BG165" s="6" t="s">
        <v>9</v>
      </c>
      <c r="BH165" s="3" t="s">
        <v>8</v>
      </c>
      <c r="BI165" s="4" t="s">
        <v>9</v>
      </c>
      <c r="BJ165" s="3" t="s">
        <v>8</v>
      </c>
      <c r="BK165" s="4" t="s">
        <v>9</v>
      </c>
      <c r="BL165" s="3" t="s">
        <v>8</v>
      </c>
      <c r="BM165" s="4" t="s">
        <v>9</v>
      </c>
      <c r="BN165" s="3" t="s">
        <v>8</v>
      </c>
      <c r="BO165" s="4" t="s">
        <v>9</v>
      </c>
      <c r="BP165" s="3" t="s">
        <v>8</v>
      </c>
      <c r="BQ165" s="4" t="s">
        <v>9</v>
      </c>
      <c r="BR165" s="3" t="s">
        <v>8</v>
      </c>
      <c r="BS165" s="4" t="s">
        <v>9</v>
      </c>
      <c r="BT165" s="3" t="s">
        <v>8</v>
      </c>
      <c r="BU165" s="4" t="s">
        <v>9</v>
      </c>
      <c r="BV165" s="3" t="s">
        <v>8</v>
      </c>
      <c r="BW165" s="4" t="s">
        <v>9</v>
      </c>
      <c r="BX165" s="3" t="s">
        <v>8</v>
      </c>
      <c r="BY165" s="4" t="s">
        <v>9</v>
      </c>
      <c r="BZ165" s="3" t="s">
        <v>8</v>
      </c>
      <c r="CA165" s="4" t="s">
        <v>9</v>
      </c>
      <c r="CB165" s="3" t="s">
        <v>8</v>
      </c>
      <c r="CC165" s="4" t="s">
        <v>9</v>
      </c>
      <c r="CD165" s="3" t="s">
        <v>8</v>
      </c>
      <c r="CE165" s="4" t="s">
        <v>9</v>
      </c>
      <c r="CF165" s="5" t="s">
        <v>8</v>
      </c>
      <c r="CG165" s="6" t="s">
        <v>9</v>
      </c>
      <c r="CH165" s="3" t="s">
        <v>8</v>
      </c>
      <c r="CI165" s="4" t="s">
        <v>9</v>
      </c>
      <c r="CJ165" s="3" t="s">
        <v>8</v>
      </c>
      <c r="CK165" s="4" t="s">
        <v>9</v>
      </c>
      <c r="CL165" s="3" t="s">
        <v>8</v>
      </c>
      <c r="CM165" s="4" t="s">
        <v>9</v>
      </c>
      <c r="CN165" s="3" t="s">
        <v>8</v>
      </c>
      <c r="CO165" s="4" t="s">
        <v>9</v>
      </c>
      <c r="CP165" s="3" t="s">
        <v>8</v>
      </c>
      <c r="CQ165" s="4" t="s">
        <v>9</v>
      </c>
      <c r="CR165" s="3" t="s">
        <v>8</v>
      </c>
      <c r="CS165" s="4" t="s">
        <v>9</v>
      </c>
      <c r="CT165" s="3" t="s">
        <v>8</v>
      </c>
      <c r="CU165" s="4" t="s">
        <v>9</v>
      </c>
      <c r="CV165" s="3" t="s">
        <v>8</v>
      </c>
      <c r="CW165" s="4" t="s">
        <v>9</v>
      </c>
      <c r="CX165" s="3" t="s">
        <v>8</v>
      </c>
      <c r="CY165" s="4" t="s">
        <v>9</v>
      </c>
      <c r="CZ165" s="3" t="s">
        <v>8</v>
      </c>
      <c r="DA165" s="4" t="s">
        <v>9</v>
      </c>
      <c r="DB165" s="3" t="s">
        <v>8</v>
      </c>
      <c r="DC165" s="4" t="s">
        <v>9</v>
      </c>
      <c r="DD165" s="3" t="s">
        <v>8</v>
      </c>
      <c r="DE165" s="4" t="s">
        <v>9</v>
      </c>
      <c r="DF165" s="3" t="s">
        <v>8</v>
      </c>
      <c r="DG165" s="207" t="s">
        <v>9</v>
      </c>
    </row>
    <row r="166" spans="1:111">
      <c r="A166" s="7">
        <v>1</v>
      </c>
      <c r="B166" s="8" t="s">
        <v>24</v>
      </c>
      <c r="C166" s="8" t="s">
        <v>14</v>
      </c>
      <c r="D166" s="7">
        <f t="shared" ref="D166:D174" si="256">RANK(DF166,$DF$4:$DF$141)</f>
        <v>15</v>
      </c>
      <c r="E166" s="7">
        <v>1</v>
      </c>
      <c r="F166" s="7" t="s">
        <v>12</v>
      </c>
      <c r="G166" s="225">
        <v>1500</v>
      </c>
      <c r="H166" s="9">
        <f t="shared" ref="H166:H174" si="257">+H16</f>
        <v>12</v>
      </c>
      <c r="I166" s="10">
        <f t="shared" ref="I166:I175" si="258">H166*$E166</f>
        <v>12</v>
      </c>
      <c r="J166" s="9">
        <f t="shared" ref="J166" si="259">+J16</f>
        <v>0</v>
      </c>
      <c r="K166" s="10">
        <f t="shared" ref="K166:K175" si="260">J166*$E166</f>
        <v>0</v>
      </c>
      <c r="L166" s="9">
        <f t="shared" ref="L166" si="261">+L16</f>
        <v>48</v>
      </c>
      <c r="M166" s="10">
        <f t="shared" ref="M166:M175" si="262">L166*$E166</f>
        <v>48</v>
      </c>
      <c r="N166" s="9">
        <f t="shared" ref="N166" si="263">+N16</f>
        <v>0</v>
      </c>
      <c r="O166" s="10">
        <f t="shared" ref="O166:O175" si="264">N166*$E166</f>
        <v>0</v>
      </c>
      <c r="P166" s="9">
        <f t="shared" ref="P166" si="265">+P16</f>
        <v>0</v>
      </c>
      <c r="Q166" s="10">
        <f t="shared" ref="Q166:Q175" si="266">P166*$E166</f>
        <v>0</v>
      </c>
      <c r="R166" s="9">
        <f t="shared" ref="R166" si="267">+R16</f>
        <v>0</v>
      </c>
      <c r="S166" s="10">
        <f t="shared" ref="S166:S175" si="268">R166*$E166</f>
        <v>0</v>
      </c>
      <c r="T166" s="9">
        <f t="shared" ref="T166" si="269">+T16</f>
        <v>72</v>
      </c>
      <c r="U166" s="10">
        <f t="shared" ref="U166:U175" si="270">T166*$E166</f>
        <v>72</v>
      </c>
      <c r="V166" s="9">
        <f t="shared" ref="V166" si="271">+V16</f>
        <v>12</v>
      </c>
      <c r="W166" s="10">
        <f t="shared" ref="W166:W175" si="272">V166*$E166</f>
        <v>12</v>
      </c>
      <c r="X166" s="9">
        <f t="shared" ref="X166:X174" si="273">+X16</f>
        <v>12</v>
      </c>
      <c r="Y166" s="10">
        <f t="shared" ref="Y166:Y175" si="274">X166*$E166</f>
        <v>12</v>
      </c>
      <c r="Z166" s="9">
        <f t="shared" ref="Z166" si="275">+Z16</f>
        <v>72</v>
      </c>
      <c r="AA166" s="10">
        <f t="shared" ref="AA166:AA175" si="276">Z166*$E166</f>
        <v>72</v>
      </c>
      <c r="AB166" s="9">
        <f t="shared" ref="AB166" si="277">+AB16</f>
        <v>48</v>
      </c>
      <c r="AC166" s="10">
        <f t="shared" ref="AC166:AC175" si="278">AB166*$E166</f>
        <v>48</v>
      </c>
      <c r="AD166" s="9">
        <f t="shared" ref="AD166" si="279">+AD16</f>
        <v>36</v>
      </c>
      <c r="AE166" s="10">
        <f t="shared" ref="AE166:AE175" si="280">AD166*$E166</f>
        <v>36</v>
      </c>
      <c r="AF166" s="11">
        <f t="shared" ref="AF166:AF175" si="281">(AD166+AB166+Z166+X166+V166+T166+R166+P166+N166+L166+J166+H166)/1</f>
        <v>312</v>
      </c>
      <c r="AG166" s="12">
        <f t="shared" ref="AG166:AG175" si="282">AF166*$E166</f>
        <v>312</v>
      </c>
      <c r="AH166" s="9">
        <f>+AH16</f>
        <v>24</v>
      </c>
      <c r="AI166" s="10">
        <f t="shared" ref="AI166:AI175" si="283">AH166*$E166</f>
        <v>24</v>
      </c>
      <c r="AJ166" s="9">
        <f t="shared" ref="AJ166" si="284">+AJ16</f>
        <v>60</v>
      </c>
      <c r="AK166" s="10">
        <f t="shared" ref="AK166:AK175" si="285">AJ166*$E166</f>
        <v>60</v>
      </c>
      <c r="AL166" s="9">
        <f t="shared" ref="AL166" si="286">+AL16</f>
        <v>12</v>
      </c>
      <c r="AM166" s="10">
        <f t="shared" ref="AM166:AM175" si="287">AL166*$E166</f>
        <v>12</v>
      </c>
      <c r="AN166" s="9">
        <f t="shared" ref="AN166" si="288">+AN16</f>
        <v>0</v>
      </c>
      <c r="AO166" s="10">
        <f t="shared" ref="AO166:AO175" si="289">AN166*$E166</f>
        <v>0</v>
      </c>
      <c r="AP166" s="9">
        <f t="shared" ref="AP166" si="290">+AP16</f>
        <v>0</v>
      </c>
      <c r="AQ166" s="10">
        <f t="shared" ref="AQ166:AQ175" si="291">AP166*$E166</f>
        <v>0</v>
      </c>
      <c r="AR166" s="9">
        <f t="shared" ref="AR166" si="292">+AR16</f>
        <v>0</v>
      </c>
      <c r="AS166" s="10">
        <f t="shared" ref="AS166:AS175" si="293">AR166*$E166</f>
        <v>0</v>
      </c>
      <c r="AT166" s="9">
        <f t="shared" ref="AT166" si="294">+AT16</f>
        <v>0</v>
      </c>
      <c r="AU166" s="10">
        <f t="shared" ref="AU166:AU175" si="295">AT166*$E166</f>
        <v>0</v>
      </c>
      <c r="AV166" s="9">
        <f t="shared" ref="AV166" si="296">+AV16</f>
        <v>0</v>
      </c>
      <c r="AW166" s="10">
        <f t="shared" ref="AW166:AW175" si="297">AV166*$E166</f>
        <v>0</v>
      </c>
      <c r="AX166" s="9">
        <f t="shared" ref="AX166" si="298">+AX16</f>
        <v>0</v>
      </c>
      <c r="AY166" s="10">
        <f t="shared" ref="AY166:AY175" si="299">AX166*$E166</f>
        <v>0</v>
      </c>
      <c r="AZ166" s="9">
        <f t="shared" ref="AZ166" si="300">+AZ16</f>
        <v>72</v>
      </c>
      <c r="BA166" s="10">
        <f t="shared" ref="BA166:BA175" si="301">AZ166*$E166</f>
        <v>72</v>
      </c>
      <c r="BB166" s="9">
        <f t="shared" ref="BB166" si="302">+BB16</f>
        <v>60</v>
      </c>
      <c r="BC166" s="10">
        <f t="shared" ref="BC166:BC175" si="303">BB166*$E166</f>
        <v>60</v>
      </c>
      <c r="BD166" s="9">
        <f t="shared" ref="BD166" si="304">+BD16</f>
        <v>132</v>
      </c>
      <c r="BE166" s="10">
        <f t="shared" ref="BE166:BE175" si="305">BD166*$E166</f>
        <v>132</v>
      </c>
      <c r="BF166" s="11">
        <f t="shared" ref="BF166:BF175" si="306">(BD166+BB166+AZ166+AX166+AV166+AT166+AR166+AP166+AN166+AL166+AJ166+AH166)/1</f>
        <v>360</v>
      </c>
      <c r="BG166" s="12">
        <f t="shared" ref="BG166:BG175" si="307">BF166*$E166</f>
        <v>360</v>
      </c>
      <c r="BH166" s="9">
        <f>+BH16</f>
        <v>260</v>
      </c>
      <c r="BI166" s="10">
        <f t="shared" ref="BI166:BI175" si="308">BH166*$E166</f>
        <v>260</v>
      </c>
      <c r="BJ166" s="9">
        <f t="shared" ref="BJ166" si="309">+BJ16</f>
        <v>278</v>
      </c>
      <c r="BK166" s="10">
        <f t="shared" ref="BK166:BK175" si="310">BJ166*$E166</f>
        <v>278</v>
      </c>
      <c r="BL166" s="9">
        <f t="shared" ref="BL166" si="311">+BL16</f>
        <v>552</v>
      </c>
      <c r="BM166" s="10">
        <f t="shared" ref="BM166:BM175" si="312">BL166*$E166</f>
        <v>552</v>
      </c>
      <c r="BN166" s="9">
        <f t="shared" ref="BN166" si="313">+BN16</f>
        <v>348</v>
      </c>
      <c r="BO166" s="10">
        <f t="shared" ref="BO166:BO175" si="314">BN166*$E166</f>
        <v>348</v>
      </c>
      <c r="BP166" s="9">
        <f t="shared" ref="BP166" si="315">+BP16</f>
        <v>552</v>
      </c>
      <c r="BQ166" s="10">
        <f t="shared" ref="BQ166:BQ175" si="316">BP166*$E166</f>
        <v>552</v>
      </c>
      <c r="BR166" s="9">
        <f t="shared" ref="BR166" si="317">+BR16</f>
        <v>312</v>
      </c>
      <c r="BS166" s="10">
        <f t="shared" ref="BS166:BS175" si="318">BR166*$E166</f>
        <v>312</v>
      </c>
      <c r="BT166" s="9">
        <f t="shared" ref="BT166" si="319">+BT16</f>
        <v>698</v>
      </c>
      <c r="BU166" s="10">
        <f t="shared" ref="BU166:BU175" si="320">BT166*$E166</f>
        <v>698</v>
      </c>
      <c r="BV166" s="9">
        <f t="shared" ref="BV166" si="321">+BV16</f>
        <v>1491</v>
      </c>
      <c r="BW166" s="10">
        <f t="shared" ref="BW166:BW175" si="322">BV166*$E166</f>
        <v>1491</v>
      </c>
      <c r="BX166" s="9">
        <f t="shared" ref="BX166" si="323">+BX16</f>
        <v>912</v>
      </c>
      <c r="BY166" s="10">
        <f t="shared" ref="BY166:BY175" si="324">BX166*$E166</f>
        <v>912</v>
      </c>
      <c r="BZ166" s="9">
        <f t="shared" ref="BZ166" si="325">+BZ16</f>
        <v>672</v>
      </c>
      <c r="CA166" s="10">
        <f t="shared" ref="CA166:CA175" si="326">BZ166*$E166</f>
        <v>672</v>
      </c>
      <c r="CB166" s="9">
        <f t="shared" ref="CB166" si="327">+CB16</f>
        <v>228</v>
      </c>
      <c r="CC166" s="10">
        <f t="shared" ref="CC166:CC175" si="328">CB166*$E166</f>
        <v>228</v>
      </c>
      <c r="CD166" s="9">
        <f t="shared" ref="CD166" si="329">+CD16</f>
        <v>648</v>
      </c>
      <c r="CE166" s="10">
        <f t="shared" ref="CE166:CE175" si="330">CD166*$E166</f>
        <v>648</v>
      </c>
      <c r="CF166" s="11">
        <f t="shared" ref="CF166:CF175" si="331">(CD166+CB166+BZ166+BX166+BV166+BT166+BR166+BP166+BN166+BL166+BJ166+BH166)/1</f>
        <v>6951</v>
      </c>
      <c r="CG166" s="12">
        <f t="shared" ref="CG166:CG175" si="332">CF166*$E166</f>
        <v>6951</v>
      </c>
      <c r="CH166" s="9">
        <f>+CH16</f>
        <v>351</v>
      </c>
      <c r="CI166" s="10">
        <f t="shared" ref="CI166:CI175" si="333">CH166*$E166</f>
        <v>351</v>
      </c>
      <c r="CJ166" s="9">
        <f t="shared" ref="CJ166" si="334">+CJ16</f>
        <v>1072</v>
      </c>
      <c r="CK166" s="10">
        <f t="shared" ref="CK166:CK175" si="335">CJ166*$E166</f>
        <v>1072</v>
      </c>
      <c r="CL166" s="9">
        <f t="shared" ref="CL166" si="336">+CL16</f>
        <v>1178</v>
      </c>
      <c r="CM166" s="10">
        <f t="shared" ref="CM166:CM175" si="337">CL166*$E166</f>
        <v>1178</v>
      </c>
      <c r="CN166" s="9">
        <f>+CN16</f>
        <v>168</v>
      </c>
      <c r="CO166" s="10">
        <f t="shared" ref="CO166:CO175" si="338">CN166*$E166</f>
        <v>168</v>
      </c>
      <c r="CP166" s="9">
        <f>+CP16</f>
        <v>432</v>
      </c>
      <c r="CQ166" s="10">
        <f t="shared" ref="CQ166:CQ175" si="339">CP166*$E166</f>
        <v>432</v>
      </c>
      <c r="CR166" s="9">
        <f t="shared" ref="CR166" si="340">+CR16</f>
        <v>3978</v>
      </c>
      <c r="CS166" s="10">
        <f t="shared" ref="CS166:CS175" si="341">CR166*$E166</f>
        <v>3978</v>
      </c>
      <c r="CT166" s="9">
        <f t="shared" ref="CT166" si="342">+CT16</f>
        <v>4789</v>
      </c>
      <c r="CU166" s="10">
        <f t="shared" ref="CU166:CU175" si="343">CT166*$E166</f>
        <v>4789</v>
      </c>
      <c r="CV166" s="9">
        <f t="shared" ref="CV166" si="344">+CV16</f>
        <v>2672</v>
      </c>
      <c r="CW166" s="10">
        <f t="shared" ref="CW166:CW175" si="345">CV166*$E166</f>
        <v>2672</v>
      </c>
      <c r="CX166" s="9">
        <f t="shared" ref="CX166" si="346">+CX16</f>
        <v>2233</v>
      </c>
      <c r="CY166" s="10">
        <f t="shared" ref="CY166:CY175" si="347">CX166*$E166</f>
        <v>2233</v>
      </c>
      <c r="CZ166" s="9">
        <f t="shared" ref="CZ166" si="348">+CZ16</f>
        <v>1272</v>
      </c>
      <c r="DA166" s="10">
        <f t="shared" ref="DA166:DA175" si="349">CZ166*$E166</f>
        <v>1272</v>
      </c>
      <c r="DB166" s="9">
        <f t="shared" ref="DB166" si="350">+DB16</f>
        <v>1448</v>
      </c>
      <c r="DC166" s="10">
        <f t="shared" ref="DC166:DC175" si="351">DB166*$E166</f>
        <v>1448</v>
      </c>
      <c r="DD166" s="9">
        <f t="shared" ref="DD166" si="352">+DD16</f>
        <v>1224</v>
      </c>
      <c r="DE166" s="10">
        <f t="shared" ref="DE166:DE175" si="353">DD166*$E166</f>
        <v>1224</v>
      </c>
      <c r="DF166" s="11">
        <f>(DD166+DB166+CZ166+CX166+CV166+CT166+CR166+CP166+CN166+CL166+CJ166+CH166)/1</f>
        <v>20817</v>
      </c>
      <c r="DG166" s="12">
        <f t="shared" ref="DG166:DG175" si="354">DF166*$E166</f>
        <v>20817</v>
      </c>
    </row>
    <row r="167" spans="1:111">
      <c r="A167" s="7">
        <v>2</v>
      </c>
      <c r="B167" s="8" t="s">
        <v>25</v>
      </c>
      <c r="C167" s="8" t="s">
        <v>14</v>
      </c>
      <c r="D167" s="7">
        <f t="shared" si="256"/>
        <v>25</v>
      </c>
      <c r="E167" s="7">
        <v>1</v>
      </c>
      <c r="F167" s="7" t="s">
        <v>12</v>
      </c>
      <c r="G167" s="225">
        <v>1930</v>
      </c>
      <c r="H167" s="9">
        <f t="shared" si="257"/>
        <v>0</v>
      </c>
      <c r="I167" s="10">
        <f t="shared" si="258"/>
        <v>0</v>
      </c>
      <c r="J167" s="9">
        <f t="shared" ref="J167:J174" si="355">+J17</f>
        <v>108</v>
      </c>
      <c r="K167" s="10">
        <f t="shared" si="260"/>
        <v>108</v>
      </c>
      <c r="L167" s="9">
        <f t="shared" ref="L167:L174" si="356">+L17</f>
        <v>0</v>
      </c>
      <c r="M167" s="10">
        <f t="shared" si="262"/>
        <v>0</v>
      </c>
      <c r="N167" s="9">
        <f t="shared" ref="N167:N174" si="357">+N17</f>
        <v>0</v>
      </c>
      <c r="O167" s="10">
        <f t="shared" si="264"/>
        <v>0</v>
      </c>
      <c r="P167" s="9">
        <f t="shared" ref="P167:P174" si="358">+P17</f>
        <v>0</v>
      </c>
      <c r="Q167" s="10">
        <f t="shared" si="266"/>
        <v>0</v>
      </c>
      <c r="R167" s="9">
        <f t="shared" ref="R167:R174" si="359">+R17</f>
        <v>0</v>
      </c>
      <c r="S167" s="10">
        <f t="shared" si="268"/>
        <v>0</v>
      </c>
      <c r="T167" s="9">
        <f t="shared" ref="T167:T174" si="360">+T17</f>
        <v>0</v>
      </c>
      <c r="U167" s="10">
        <f t="shared" si="270"/>
        <v>0</v>
      </c>
      <c r="V167" s="9">
        <f t="shared" ref="V167:V174" si="361">+V17</f>
        <v>0</v>
      </c>
      <c r="W167" s="10">
        <f t="shared" si="272"/>
        <v>0</v>
      </c>
      <c r="X167" s="9">
        <f t="shared" si="273"/>
        <v>0</v>
      </c>
      <c r="Y167" s="10">
        <f t="shared" si="274"/>
        <v>0</v>
      </c>
      <c r="Z167" s="9">
        <f t="shared" ref="Z167:Z174" si="362">+Z17</f>
        <v>0</v>
      </c>
      <c r="AA167" s="10">
        <f t="shared" si="276"/>
        <v>0</v>
      </c>
      <c r="AB167" s="9">
        <f t="shared" ref="AB167:AB174" si="363">+AB17</f>
        <v>0</v>
      </c>
      <c r="AC167" s="10">
        <f t="shared" si="278"/>
        <v>0</v>
      </c>
      <c r="AD167" s="9">
        <f t="shared" ref="AD167:AD174" si="364">+AD17</f>
        <v>0</v>
      </c>
      <c r="AE167" s="10">
        <f t="shared" si="280"/>
        <v>0</v>
      </c>
      <c r="AF167" s="11">
        <f t="shared" si="281"/>
        <v>108</v>
      </c>
      <c r="AG167" s="12">
        <f t="shared" si="282"/>
        <v>108</v>
      </c>
      <c r="AH167" s="9">
        <f t="shared" ref="AH167" si="365">+AH17</f>
        <v>0</v>
      </c>
      <c r="AI167" s="10">
        <f t="shared" si="283"/>
        <v>0</v>
      </c>
      <c r="AJ167" s="9">
        <f t="shared" ref="AJ167" si="366">+AJ17</f>
        <v>0</v>
      </c>
      <c r="AK167" s="10">
        <f t="shared" si="285"/>
        <v>0</v>
      </c>
      <c r="AL167" s="9">
        <f t="shared" ref="AL167" si="367">+AL17</f>
        <v>0</v>
      </c>
      <c r="AM167" s="10">
        <f t="shared" si="287"/>
        <v>0</v>
      </c>
      <c r="AN167" s="9">
        <f t="shared" ref="AN167" si="368">+AN17</f>
        <v>0</v>
      </c>
      <c r="AO167" s="10">
        <f t="shared" si="289"/>
        <v>0</v>
      </c>
      <c r="AP167" s="9">
        <f t="shared" ref="AP167" si="369">+AP17</f>
        <v>0</v>
      </c>
      <c r="AQ167" s="10">
        <f t="shared" si="291"/>
        <v>0</v>
      </c>
      <c r="AR167" s="9">
        <f t="shared" ref="AR167" si="370">+AR17</f>
        <v>0</v>
      </c>
      <c r="AS167" s="10">
        <f t="shared" si="293"/>
        <v>0</v>
      </c>
      <c r="AT167" s="9">
        <f t="shared" ref="AT167" si="371">+AT17</f>
        <v>120</v>
      </c>
      <c r="AU167" s="10">
        <f t="shared" si="295"/>
        <v>120</v>
      </c>
      <c r="AV167" s="9">
        <f t="shared" ref="AV167" si="372">+AV17</f>
        <v>0</v>
      </c>
      <c r="AW167" s="10">
        <f t="shared" si="297"/>
        <v>0</v>
      </c>
      <c r="AX167" s="9">
        <f t="shared" ref="AX167" si="373">+AX17</f>
        <v>24</v>
      </c>
      <c r="AY167" s="10">
        <f t="shared" si="299"/>
        <v>24</v>
      </c>
      <c r="AZ167" s="9">
        <f t="shared" ref="AZ167" si="374">+AZ17</f>
        <v>60</v>
      </c>
      <c r="BA167" s="10">
        <f t="shared" si="301"/>
        <v>60</v>
      </c>
      <c r="BB167" s="9">
        <f t="shared" ref="BB167" si="375">+BB17</f>
        <v>36</v>
      </c>
      <c r="BC167" s="10">
        <f t="shared" si="303"/>
        <v>36</v>
      </c>
      <c r="BD167" s="9">
        <f t="shared" ref="BD167" si="376">+BD17</f>
        <v>120</v>
      </c>
      <c r="BE167" s="10">
        <f t="shared" si="305"/>
        <v>120</v>
      </c>
      <c r="BF167" s="11">
        <f t="shared" si="306"/>
        <v>360</v>
      </c>
      <c r="BG167" s="12">
        <f t="shared" si="307"/>
        <v>360</v>
      </c>
      <c r="BH167" s="9">
        <f t="shared" ref="BH167" si="377">+BH17</f>
        <v>132</v>
      </c>
      <c r="BI167" s="10">
        <f t="shared" si="308"/>
        <v>132</v>
      </c>
      <c r="BJ167" s="9">
        <f t="shared" ref="BJ167" si="378">+BJ17</f>
        <v>240</v>
      </c>
      <c r="BK167" s="10">
        <f t="shared" si="310"/>
        <v>240</v>
      </c>
      <c r="BL167" s="9">
        <f t="shared" ref="BL167" si="379">+BL17</f>
        <v>204</v>
      </c>
      <c r="BM167" s="10">
        <f t="shared" si="312"/>
        <v>204</v>
      </c>
      <c r="BN167" s="9">
        <f t="shared" ref="BN167" si="380">+BN17</f>
        <v>300</v>
      </c>
      <c r="BO167" s="10">
        <f t="shared" si="314"/>
        <v>300</v>
      </c>
      <c r="BP167" s="9">
        <f t="shared" ref="BP167" si="381">+BP17</f>
        <v>504</v>
      </c>
      <c r="BQ167" s="10">
        <f t="shared" si="316"/>
        <v>504</v>
      </c>
      <c r="BR167" s="9">
        <f t="shared" ref="BR167" si="382">+BR17</f>
        <v>456</v>
      </c>
      <c r="BS167" s="10">
        <f t="shared" si="318"/>
        <v>456</v>
      </c>
      <c r="BT167" s="9">
        <f t="shared" ref="BT167" si="383">+BT17</f>
        <v>864</v>
      </c>
      <c r="BU167" s="10">
        <f t="shared" si="320"/>
        <v>864</v>
      </c>
      <c r="BV167" s="9">
        <f t="shared" ref="BV167" si="384">+BV17</f>
        <v>372</v>
      </c>
      <c r="BW167" s="10">
        <f t="shared" si="322"/>
        <v>372</v>
      </c>
      <c r="BX167" s="9">
        <f t="shared" ref="BX167" si="385">+BX17</f>
        <v>540</v>
      </c>
      <c r="BY167" s="10">
        <f t="shared" si="324"/>
        <v>540</v>
      </c>
      <c r="BZ167" s="9">
        <f t="shared" ref="BZ167" si="386">+BZ17</f>
        <v>192</v>
      </c>
      <c r="CA167" s="10">
        <f t="shared" si="326"/>
        <v>192</v>
      </c>
      <c r="CB167" s="9">
        <f t="shared" ref="CB167" si="387">+CB17</f>
        <v>0</v>
      </c>
      <c r="CC167" s="10">
        <f t="shared" si="328"/>
        <v>0</v>
      </c>
      <c r="CD167" s="9">
        <f t="shared" ref="CD167" si="388">+CD17</f>
        <v>360</v>
      </c>
      <c r="CE167" s="10">
        <f t="shared" si="330"/>
        <v>360</v>
      </c>
      <c r="CF167" s="11">
        <f t="shared" si="331"/>
        <v>4164</v>
      </c>
      <c r="CG167" s="12">
        <f t="shared" si="332"/>
        <v>4164</v>
      </c>
      <c r="CH167" s="9">
        <f t="shared" ref="CH167" si="389">+CH17</f>
        <v>180</v>
      </c>
      <c r="CI167" s="10">
        <f t="shared" si="333"/>
        <v>180</v>
      </c>
      <c r="CJ167" s="9">
        <f t="shared" ref="CJ167" si="390">+CJ17</f>
        <v>120</v>
      </c>
      <c r="CK167" s="10">
        <f t="shared" si="335"/>
        <v>120</v>
      </c>
      <c r="CL167" s="9">
        <f t="shared" ref="CL167" si="391">+CL17</f>
        <v>60</v>
      </c>
      <c r="CM167" s="10">
        <f t="shared" si="337"/>
        <v>60</v>
      </c>
      <c r="CN167" s="9">
        <f t="shared" ref="CN167" si="392">+CN17</f>
        <v>360</v>
      </c>
      <c r="CO167" s="10">
        <f t="shared" si="338"/>
        <v>360</v>
      </c>
      <c r="CP167" s="9">
        <f t="shared" ref="CP167" si="393">+CP17</f>
        <v>120</v>
      </c>
      <c r="CQ167" s="10">
        <f t="shared" si="339"/>
        <v>120</v>
      </c>
      <c r="CR167" s="9">
        <f t="shared" ref="CR167" si="394">+CR17</f>
        <v>403</v>
      </c>
      <c r="CS167" s="10">
        <f t="shared" si="341"/>
        <v>403</v>
      </c>
      <c r="CT167" s="9">
        <f t="shared" ref="CT167" si="395">+CT17</f>
        <v>528</v>
      </c>
      <c r="CU167" s="10">
        <f t="shared" si="343"/>
        <v>528</v>
      </c>
      <c r="CV167" s="9">
        <f t="shared" ref="CV167" si="396">+CV17</f>
        <v>252</v>
      </c>
      <c r="CW167" s="10">
        <f t="shared" si="345"/>
        <v>252</v>
      </c>
      <c r="CX167" s="9">
        <f t="shared" ref="CX167" si="397">+CX17</f>
        <v>165</v>
      </c>
      <c r="CY167" s="10">
        <f t="shared" si="347"/>
        <v>165</v>
      </c>
      <c r="CZ167" s="9">
        <f t="shared" ref="CZ167" si="398">+CZ17</f>
        <v>168</v>
      </c>
      <c r="DA167" s="10">
        <f t="shared" si="349"/>
        <v>168</v>
      </c>
      <c r="DB167" s="9">
        <f t="shared" ref="DB167" si="399">+DB17</f>
        <v>276</v>
      </c>
      <c r="DC167" s="10">
        <f t="shared" si="351"/>
        <v>276</v>
      </c>
      <c r="DD167" s="9">
        <f t="shared" ref="DD167" si="400">+DD17</f>
        <v>216</v>
      </c>
      <c r="DE167" s="10">
        <f t="shared" si="353"/>
        <v>216</v>
      </c>
      <c r="DF167" s="11">
        <f t="shared" ref="DF167:DF175" si="401">(DD167+DB167+CZ167+CX167+CV167+CT167+CR167+CP167+CN167+CL167+CJ167+CH167)/1</f>
        <v>2848</v>
      </c>
      <c r="DG167" s="12">
        <f t="shared" si="354"/>
        <v>2848</v>
      </c>
    </row>
    <row r="168" spans="1:111">
      <c r="A168" s="7">
        <v>3</v>
      </c>
      <c r="B168" s="8" t="s">
        <v>26</v>
      </c>
      <c r="C168" s="8" t="s">
        <v>14</v>
      </c>
      <c r="D168" s="7">
        <f t="shared" si="256"/>
        <v>31</v>
      </c>
      <c r="E168" s="7">
        <v>0.6</v>
      </c>
      <c r="F168" s="7" t="s">
        <v>12</v>
      </c>
      <c r="G168" s="225">
        <v>1060</v>
      </c>
      <c r="H168" s="9">
        <f t="shared" si="257"/>
        <v>0</v>
      </c>
      <c r="I168" s="10">
        <f t="shared" si="258"/>
        <v>0</v>
      </c>
      <c r="J168" s="9">
        <f t="shared" si="355"/>
        <v>0</v>
      </c>
      <c r="K168" s="10">
        <f t="shared" si="260"/>
        <v>0</v>
      </c>
      <c r="L168" s="9">
        <f t="shared" si="356"/>
        <v>0</v>
      </c>
      <c r="M168" s="10">
        <f t="shared" si="262"/>
        <v>0</v>
      </c>
      <c r="N168" s="9">
        <f t="shared" si="357"/>
        <v>0</v>
      </c>
      <c r="O168" s="10">
        <f t="shared" si="264"/>
        <v>0</v>
      </c>
      <c r="P168" s="9">
        <f t="shared" si="358"/>
        <v>0</v>
      </c>
      <c r="Q168" s="10">
        <f t="shared" si="266"/>
        <v>0</v>
      </c>
      <c r="R168" s="9">
        <f t="shared" si="359"/>
        <v>0</v>
      </c>
      <c r="S168" s="10">
        <f t="shared" si="268"/>
        <v>0</v>
      </c>
      <c r="T168" s="9">
        <f t="shared" si="360"/>
        <v>0</v>
      </c>
      <c r="U168" s="10">
        <f t="shared" si="270"/>
        <v>0</v>
      </c>
      <c r="V168" s="9">
        <f t="shared" si="361"/>
        <v>0</v>
      </c>
      <c r="W168" s="10">
        <f t="shared" si="272"/>
        <v>0</v>
      </c>
      <c r="X168" s="9">
        <f t="shared" si="273"/>
        <v>0</v>
      </c>
      <c r="Y168" s="10">
        <f t="shared" si="274"/>
        <v>0</v>
      </c>
      <c r="Z168" s="9">
        <f t="shared" si="362"/>
        <v>0</v>
      </c>
      <c r="AA168" s="10">
        <f t="shared" si="276"/>
        <v>0</v>
      </c>
      <c r="AB168" s="9">
        <f t="shared" si="363"/>
        <v>0</v>
      </c>
      <c r="AC168" s="10">
        <f t="shared" si="278"/>
        <v>0</v>
      </c>
      <c r="AD168" s="9">
        <f t="shared" si="364"/>
        <v>0</v>
      </c>
      <c r="AE168" s="10">
        <f t="shared" si="280"/>
        <v>0</v>
      </c>
      <c r="AF168" s="11">
        <f t="shared" si="281"/>
        <v>0</v>
      </c>
      <c r="AG168" s="12">
        <f t="shared" si="282"/>
        <v>0</v>
      </c>
      <c r="AH168" s="9">
        <f t="shared" ref="AH168" si="402">+AH18</f>
        <v>0</v>
      </c>
      <c r="AI168" s="10">
        <f t="shared" si="283"/>
        <v>0</v>
      </c>
      <c r="AJ168" s="9">
        <f t="shared" ref="AJ168" si="403">+AJ18</f>
        <v>0</v>
      </c>
      <c r="AK168" s="10">
        <f t="shared" si="285"/>
        <v>0</v>
      </c>
      <c r="AL168" s="9">
        <f t="shared" ref="AL168" si="404">+AL18</f>
        <v>0</v>
      </c>
      <c r="AM168" s="10">
        <f t="shared" si="287"/>
        <v>0</v>
      </c>
      <c r="AN168" s="9">
        <f t="shared" ref="AN168" si="405">+AN18</f>
        <v>0</v>
      </c>
      <c r="AO168" s="10">
        <f t="shared" si="289"/>
        <v>0</v>
      </c>
      <c r="AP168" s="9">
        <f t="shared" ref="AP168" si="406">+AP18</f>
        <v>0</v>
      </c>
      <c r="AQ168" s="10">
        <f t="shared" si="291"/>
        <v>0</v>
      </c>
      <c r="AR168" s="9">
        <f t="shared" ref="AR168" si="407">+AR18</f>
        <v>0</v>
      </c>
      <c r="AS168" s="10">
        <f t="shared" si="293"/>
        <v>0</v>
      </c>
      <c r="AT168" s="9">
        <f t="shared" ref="AT168" si="408">+AT18</f>
        <v>0</v>
      </c>
      <c r="AU168" s="10">
        <f t="shared" si="295"/>
        <v>0</v>
      </c>
      <c r="AV168" s="9">
        <f t="shared" ref="AV168" si="409">+AV18</f>
        <v>0</v>
      </c>
      <c r="AW168" s="10">
        <f t="shared" si="297"/>
        <v>0</v>
      </c>
      <c r="AX168" s="9">
        <f t="shared" ref="AX168" si="410">+AX18</f>
        <v>0</v>
      </c>
      <c r="AY168" s="10">
        <f t="shared" si="299"/>
        <v>0</v>
      </c>
      <c r="AZ168" s="9">
        <f t="shared" ref="AZ168" si="411">+AZ18</f>
        <v>0</v>
      </c>
      <c r="BA168" s="10">
        <f t="shared" si="301"/>
        <v>0</v>
      </c>
      <c r="BB168" s="9">
        <f t="shared" ref="BB168" si="412">+BB18</f>
        <v>0</v>
      </c>
      <c r="BC168" s="10">
        <f t="shared" si="303"/>
        <v>0</v>
      </c>
      <c r="BD168" s="9">
        <f t="shared" ref="BD168" si="413">+BD18</f>
        <v>0</v>
      </c>
      <c r="BE168" s="10">
        <f t="shared" si="305"/>
        <v>0</v>
      </c>
      <c r="BF168" s="11">
        <f t="shared" si="306"/>
        <v>0</v>
      </c>
      <c r="BG168" s="12">
        <f t="shared" si="307"/>
        <v>0</v>
      </c>
      <c r="BH168" s="9">
        <f t="shared" ref="BH168" si="414">+BH18</f>
        <v>0</v>
      </c>
      <c r="BI168" s="10">
        <f t="shared" si="308"/>
        <v>0</v>
      </c>
      <c r="BJ168" s="9">
        <f t="shared" ref="BJ168" si="415">+BJ18</f>
        <v>0</v>
      </c>
      <c r="BK168" s="10">
        <f t="shared" si="310"/>
        <v>0</v>
      </c>
      <c r="BL168" s="9">
        <f t="shared" ref="BL168" si="416">+BL18</f>
        <v>0</v>
      </c>
      <c r="BM168" s="10">
        <f t="shared" si="312"/>
        <v>0</v>
      </c>
      <c r="BN168" s="9">
        <f t="shared" ref="BN168" si="417">+BN18</f>
        <v>0</v>
      </c>
      <c r="BO168" s="10">
        <f t="shared" si="314"/>
        <v>0</v>
      </c>
      <c r="BP168" s="9">
        <f t="shared" ref="BP168" si="418">+BP18</f>
        <v>0</v>
      </c>
      <c r="BQ168" s="10">
        <f t="shared" si="316"/>
        <v>0</v>
      </c>
      <c r="BR168" s="9">
        <f t="shared" ref="BR168" si="419">+BR18</f>
        <v>0</v>
      </c>
      <c r="BS168" s="10">
        <f t="shared" si="318"/>
        <v>0</v>
      </c>
      <c r="BT168" s="9">
        <f t="shared" ref="BT168" si="420">+BT18</f>
        <v>0</v>
      </c>
      <c r="BU168" s="10">
        <f t="shared" si="320"/>
        <v>0</v>
      </c>
      <c r="BV168" s="9">
        <f t="shared" ref="BV168" si="421">+BV18</f>
        <v>0</v>
      </c>
      <c r="BW168" s="10">
        <f t="shared" si="322"/>
        <v>0</v>
      </c>
      <c r="BX168" s="9">
        <f t="shared" ref="BX168" si="422">+BX18</f>
        <v>0</v>
      </c>
      <c r="BY168" s="10">
        <f t="shared" si="324"/>
        <v>0</v>
      </c>
      <c r="BZ168" s="9">
        <f t="shared" ref="BZ168" si="423">+BZ18</f>
        <v>0</v>
      </c>
      <c r="CA168" s="10">
        <f t="shared" si="326"/>
        <v>0</v>
      </c>
      <c r="CB168" s="9">
        <f t="shared" ref="CB168" si="424">+CB18</f>
        <v>0</v>
      </c>
      <c r="CC168" s="10">
        <f t="shared" si="328"/>
        <v>0</v>
      </c>
      <c r="CD168" s="9">
        <f t="shared" ref="CD168" si="425">+CD18</f>
        <v>0</v>
      </c>
      <c r="CE168" s="10">
        <f t="shared" si="330"/>
        <v>0</v>
      </c>
      <c r="CF168" s="11">
        <f t="shared" si="331"/>
        <v>0</v>
      </c>
      <c r="CG168" s="12">
        <f t="shared" si="332"/>
        <v>0</v>
      </c>
      <c r="CH168" s="9">
        <f t="shared" ref="CH168" si="426">+CH18</f>
        <v>0</v>
      </c>
      <c r="CI168" s="10">
        <f t="shared" si="333"/>
        <v>0</v>
      </c>
      <c r="CJ168" s="9">
        <f t="shared" ref="CJ168" si="427">+CJ18</f>
        <v>0</v>
      </c>
      <c r="CK168" s="10">
        <f t="shared" si="335"/>
        <v>0</v>
      </c>
      <c r="CL168" s="9">
        <f t="shared" ref="CL168" si="428">+CL18</f>
        <v>0</v>
      </c>
      <c r="CM168" s="10">
        <f t="shared" si="337"/>
        <v>0</v>
      </c>
      <c r="CN168" s="9">
        <f t="shared" ref="CN168" si="429">+CN18</f>
        <v>0</v>
      </c>
      <c r="CO168" s="10">
        <f t="shared" si="338"/>
        <v>0</v>
      </c>
      <c r="CP168" s="9">
        <f t="shared" ref="CP168" si="430">+CP18</f>
        <v>0</v>
      </c>
      <c r="CQ168" s="10">
        <f t="shared" si="339"/>
        <v>0</v>
      </c>
      <c r="CR168" s="9">
        <f t="shared" ref="CR168" si="431">+CR18</f>
        <v>0</v>
      </c>
      <c r="CS168" s="10">
        <f t="shared" si="341"/>
        <v>0</v>
      </c>
      <c r="CT168" s="9">
        <f t="shared" ref="CT168" si="432">+CT18</f>
        <v>0</v>
      </c>
      <c r="CU168" s="10">
        <f t="shared" si="343"/>
        <v>0</v>
      </c>
      <c r="CV168" s="9">
        <f t="shared" ref="CV168" si="433">+CV18</f>
        <v>0</v>
      </c>
      <c r="CW168" s="10">
        <f t="shared" si="345"/>
        <v>0</v>
      </c>
      <c r="CX168" s="9">
        <f t="shared" ref="CX168" si="434">+CX18</f>
        <v>0</v>
      </c>
      <c r="CY168" s="10">
        <f t="shared" si="347"/>
        <v>0</v>
      </c>
      <c r="CZ168" s="9">
        <f t="shared" ref="CZ168" si="435">+CZ18</f>
        <v>0</v>
      </c>
      <c r="DA168" s="10">
        <f t="shared" si="349"/>
        <v>0</v>
      </c>
      <c r="DB168" s="9">
        <f t="shared" ref="DB168" si="436">+DB18</f>
        <v>0</v>
      </c>
      <c r="DC168" s="10">
        <f t="shared" si="351"/>
        <v>0</v>
      </c>
      <c r="DD168" s="9">
        <f t="shared" ref="DD168" si="437">+DD18</f>
        <v>0</v>
      </c>
      <c r="DE168" s="10">
        <f t="shared" si="353"/>
        <v>0</v>
      </c>
      <c r="DF168" s="11">
        <f t="shared" si="401"/>
        <v>0</v>
      </c>
      <c r="DG168" s="12">
        <f t="shared" si="354"/>
        <v>0</v>
      </c>
    </row>
    <row r="169" spans="1:111">
      <c r="A169" s="7">
        <v>4</v>
      </c>
      <c r="B169" s="8" t="s">
        <v>27</v>
      </c>
      <c r="C169" s="8" t="s">
        <v>14</v>
      </c>
      <c r="D169" s="7">
        <f t="shared" si="256"/>
        <v>30</v>
      </c>
      <c r="E169" s="7">
        <v>0.6</v>
      </c>
      <c r="F169" s="7" t="s">
        <v>12</v>
      </c>
      <c r="G169" s="7">
        <v>1310</v>
      </c>
      <c r="H169" s="9">
        <f t="shared" si="257"/>
        <v>12</v>
      </c>
      <c r="I169" s="10">
        <f t="shared" si="258"/>
        <v>7.1999999999999993</v>
      </c>
      <c r="J169" s="9">
        <f t="shared" si="355"/>
        <v>0</v>
      </c>
      <c r="K169" s="10">
        <f t="shared" si="260"/>
        <v>0</v>
      </c>
      <c r="L169" s="9">
        <f t="shared" si="356"/>
        <v>0</v>
      </c>
      <c r="M169" s="10">
        <f t="shared" si="262"/>
        <v>0</v>
      </c>
      <c r="N169" s="9">
        <f t="shared" si="357"/>
        <v>0</v>
      </c>
      <c r="O169" s="10">
        <f t="shared" si="264"/>
        <v>0</v>
      </c>
      <c r="P169" s="9">
        <f t="shared" si="358"/>
        <v>0</v>
      </c>
      <c r="Q169" s="10">
        <f t="shared" si="266"/>
        <v>0</v>
      </c>
      <c r="R169" s="9">
        <f t="shared" si="359"/>
        <v>132</v>
      </c>
      <c r="S169" s="10">
        <f t="shared" si="268"/>
        <v>79.2</v>
      </c>
      <c r="T169" s="9">
        <f t="shared" si="360"/>
        <v>0</v>
      </c>
      <c r="U169" s="10">
        <f t="shared" si="270"/>
        <v>0</v>
      </c>
      <c r="V169" s="9">
        <f t="shared" si="361"/>
        <v>0</v>
      </c>
      <c r="W169" s="10">
        <f t="shared" si="272"/>
        <v>0</v>
      </c>
      <c r="X169" s="9">
        <f t="shared" si="273"/>
        <v>0</v>
      </c>
      <c r="Y169" s="10">
        <f t="shared" si="274"/>
        <v>0</v>
      </c>
      <c r="Z169" s="9">
        <f t="shared" si="362"/>
        <v>0</v>
      </c>
      <c r="AA169" s="10">
        <f t="shared" si="276"/>
        <v>0</v>
      </c>
      <c r="AB169" s="9">
        <f t="shared" si="363"/>
        <v>0</v>
      </c>
      <c r="AC169" s="10">
        <f t="shared" si="278"/>
        <v>0</v>
      </c>
      <c r="AD169" s="9">
        <f t="shared" si="364"/>
        <v>0</v>
      </c>
      <c r="AE169" s="10">
        <f t="shared" si="280"/>
        <v>0</v>
      </c>
      <c r="AF169" s="11">
        <f t="shared" si="281"/>
        <v>144</v>
      </c>
      <c r="AG169" s="12">
        <f t="shared" si="282"/>
        <v>86.399999999999991</v>
      </c>
      <c r="AH169" s="9">
        <f t="shared" ref="AH169" si="438">+AH19</f>
        <v>0</v>
      </c>
      <c r="AI169" s="10">
        <f t="shared" si="283"/>
        <v>0</v>
      </c>
      <c r="AJ169" s="9">
        <f t="shared" ref="AJ169" si="439">+AJ19</f>
        <v>0</v>
      </c>
      <c r="AK169" s="10">
        <f t="shared" si="285"/>
        <v>0</v>
      </c>
      <c r="AL169" s="9">
        <f t="shared" ref="AL169" si="440">+AL19</f>
        <v>0</v>
      </c>
      <c r="AM169" s="10">
        <f t="shared" si="287"/>
        <v>0</v>
      </c>
      <c r="AN169" s="9">
        <f t="shared" ref="AN169" si="441">+AN19</f>
        <v>0</v>
      </c>
      <c r="AO169" s="10">
        <f t="shared" si="289"/>
        <v>0</v>
      </c>
      <c r="AP169" s="9">
        <f t="shared" ref="AP169" si="442">+AP19</f>
        <v>0</v>
      </c>
      <c r="AQ169" s="10">
        <f t="shared" si="291"/>
        <v>0</v>
      </c>
      <c r="AR169" s="9">
        <f t="shared" ref="AR169" si="443">+AR19</f>
        <v>0</v>
      </c>
      <c r="AS169" s="10">
        <f t="shared" si="293"/>
        <v>0</v>
      </c>
      <c r="AT169" s="9">
        <f t="shared" ref="AT169" si="444">+AT19</f>
        <v>0</v>
      </c>
      <c r="AU169" s="10">
        <f t="shared" si="295"/>
        <v>0</v>
      </c>
      <c r="AV169" s="9">
        <f t="shared" ref="AV169" si="445">+AV19</f>
        <v>0</v>
      </c>
      <c r="AW169" s="10">
        <f t="shared" si="297"/>
        <v>0</v>
      </c>
      <c r="AX169" s="9">
        <f t="shared" ref="AX169" si="446">+AX19</f>
        <v>0</v>
      </c>
      <c r="AY169" s="10">
        <f t="shared" si="299"/>
        <v>0</v>
      </c>
      <c r="AZ169" s="9">
        <f t="shared" ref="AZ169" si="447">+AZ19</f>
        <v>0</v>
      </c>
      <c r="BA169" s="10">
        <f t="shared" si="301"/>
        <v>0</v>
      </c>
      <c r="BB169" s="9">
        <f t="shared" ref="BB169" si="448">+BB19</f>
        <v>0</v>
      </c>
      <c r="BC169" s="10">
        <f t="shared" si="303"/>
        <v>0</v>
      </c>
      <c r="BD169" s="9">
        <f t="shared" ref="BD169" si="449">+BD19</f>
        <v>0</v>
      </c>
      <c r="BE169" s="10">
        <f t="shared" si="305"/>
        <v>0</v>
      </c>
      <c r="BF169" s="11">
        <f t="shared" si="306"/>
        <v>0</v>
      </c>
      <c r="BG169" s="12">
        <f t="shared" si="307"/>
        <v>0</v>
      </c>
      <c r="BH169" s="9">
        <f t="shared" ref="BH169" si="450">+BH19</f>
        <v>12</v>
      </c>
      <c r="BI169" s="10">
        <f t="shared" si="308"/>
        <v>7.1999999999999993</v>
      </c>
      <c r="BJ169" s="9">
        <f t="shared" ref="BJ169" si="451">+BJ19</f>
        <v>0</v>
      </c>
      <c r="BK169" s="10">
        <f t="shared" si="310"/>
        <v>0</v>
      </c>
      <c r="BL169" s="9">
        <f t="shared" ref="BL169" si="452">+BL19</f>
        <v>0</v>
      </c>
      <c r="BM169" s="10">
        <f t="shared" si="312"/>
        <v>0</v>
      </c>
      <c r="BN169" s="9">
        <f t="shared" ref="BN169" si="453">+BN19</f>
        <v>0</v>
      </c>
      <c r="BO169" s="10">
        <f t="shared" si="314"/>
        <v>0</v>
      </c>
      <c r="BP169" s="9">
        <f t="shared" ref="BP169" si="454">+BP19</f>
        <v>0</v>
      </c>
      <c r="BQ169" s="10">
        <f t="shared" si="316"/>
        <v>0</v>
      </c>
      <c r="BR169" s="9">
        <f t="shared" ref="BR169" si="455">+BR19</f>
        <v>0</v>
      </c>
      <c r="BS169" s="10">
        <f t="shared" si="318"/>
        <v>0</v>
      </c>
      <c r="BT169" s="9">
        <f t="shared" ref="BT169" si="456">+BT19</f>
        <v>0</v>
      </c>
      <c r="BU169" s="10">
        <f t="shared" si="320"/>
        <v>0</v>
      </c>
      <c r="BV169" s="9">
        <f t="shared" ref="BV169" si="457">+BV19</f>
        <v>0</v>
      </c>
      <c r="BW169" s="10">
        <f t="shared" si="322"/>
        <v>0</v>
      </c>
      <c r="BX169" s="9">
        <f t="shared" ref="BX169" si="458">+BX19</f>
        <v>0</v>
      </c>
      <c r="BY169" s="10">
        <f t="shared" si="324"/>
        <v>0</v>
      </c>
      <c r="BZ169" s="9">
        <f t="shared" ref="BZ169" si="459">+BZ19</f>
        <v>0</v>
      </c>
      <c r="CA169" s="10">
        <f t="shared" si="326"/>
        <v>0</v>
      </c>
      <c r="CB169" s="9">
        <f t="shared" ref="CB169" si="460">+CB19</f>
        <v>0</v>
      </c>
      <c r="CC169" s="10">
        <f t="shared" si="328"/>
        <v>0</v>
      </c>
      <c r="CD169" s="9">
        <f t="shared" ref="CD169" si="461">+CD19</f>
        <v>0</v>
      </c>
      <c r="CE169" s="10">
        <f t="shared" si="330"/>
        <v>0</v>
      </c>
      <c r="CF169" s="11">
        <f t="shared" si="331"/>
        <v>12</v>
      </c>
      <c r="CG169" s="12">
        <f t="shared" si="332"/>
        <v>7.1999999999999993</v>
      </c>
      <c r="CH169" s="9">
        <f t="shared" ref="CH169" si="462">+CH19</f>
        <v>0</v>
      </c>
      <c r="CI169" s="10">
        <f t="shared" si="333"/>
        <v>0</v>
      </c>
      <c r="CJ169" s="9">
        <f t="shared" ref="CJ169" si="463">+CJ19</f>
        <v>0</v>
      </c>
      <c r="CK169" s="10">
        <f t="shared" si="335"/>
        <v>0</v>
      </c>
      <c r="CL169" s="9">
        <f t="shared" ref="CL169" si="464">+CL19</f>
        <v>0</v>
      </c>
      <c r="CM169" s="10">
        <f t="shared" si="337"/>
        <v>0</v>
      </c>
      <c r="CN169" s="9">
        <f t="shared" ref="CN169" si="465">+CN19</f>
        <v>0</v>
      </c>
      <c r="CO169" s="10">
        <f t="shared" si="338"/>
        <v>0</v>
      </c>
      <c r="CP169" s="9">
        <f t="shared" ref="CP169" si="466">+CP19</f>
        <v>0</v>
      </c>
      <c r="CQ169" s="10">
        <f t="shared" si="339"/>
        <v>0</v>
      </c>
      <c r="CR169" s="9">
        <f t="shared" ref="CR169" si="467">+CR19</f>
        <v>0</v>
      </c>
      <c r="CS169" s="10">
        <f t="shared" si="341"/>
        <v>0</v>
      </c>
      <c r="CT169" s="9">
        <f t="shared" ref="CT169" si="468">+CT19</f>
        <v>0</v>
      </c>
      <c r="CU169" s="10">
        <f t="shared" si="343"/>
        <v>0</v>
      </c>
      <c r="CV169" s="9">
        <f t="shared" ref="CV169" si="469">+CV19</f>
        <v>12</v>
      </c>
      <c r="CW169" s="10">
        <f t="shared" si="345"/>
        <v>7.1999999999999993</v>
      </c>
      <c r="CX169" s="9">
        <f t="shared" ref="CX169" si="470">+CX19</f>
        <v>0</v>
      </c>
      <c r="CY169" s="10">
        <f t="shared" si="347"/>
        <v>0</v>
      </c>
      <c r="CZ169" s="9">
        <f t="shared" ref="CZ169" si="471">+CZ19</f>
        <v>0</v>
      </c>
      <c r="DA169" s="10">
        <f t="shared" si="349"/>
        <v>0</v>
      </c>
      <c r="DB169" s="9">
        <f t="shared" ref="DB169" si="472">+DB19</f>
        <v>0</v>
      </c>
      <c r="DC169" s="10">
        <f t="shared" si="351"/>
        <v>0</v>
      </c>
      <c r="DD169" s="9">
        <f t="shared" ref="DD169" si="473">+DD19</f>
        <v>0</v>
      </c>
      <c r="DE169" s="10">
        <f t="shared" si="353"/>
        <v>0</v>
      </c>
      <c r="DF169" s="11">
        <f t="shared" si="401"/>
        <v>12</v>
      </c>
      <c r="DG169" s="12">
        <f t="shared" si="354"/>
        <v>7.1999999999999993</v>
      </c>
    </row>
    <row r="170" spans="1:111">
      <c r="A170" s="7">
        <v>5</v>
      </c>
      <c r="B170" s="8" t="s">
        <v>28</v>
      </c>
      <c r="C170" s="8" t="s">
        <v>14</v>
      </c>
      <c r="D170" s="7">
        <f t="shared" si="256"/>
        <v>31</v>
      </c>
      <c r="E170" s="7">
        <v>0.35</v>
      </c>
      <c r="F170" s="7" t="s">
        <v>18</v>
      </c>
      <c r="G170" s="7">
        <v>730</v>
      </c>
      <c r="H170" s="9">
        <f t="shared" si="257"/>
        <v>0</v>
      </c>
      <c r="I170" s="10">
        <f t="shared" si="258"/>
        <v>0</v>
      </c>
      <c r="J170" s="9">
        <f t="shared" si="355"/>
        <v>0</v>
      </c>
      <c r="K170" s="10">
        <f t="shared" si="260"/>
        <v>0</v>
      </c>
      <c r="L170" s="9">
        <f t="shared" si="356"/>
        <v>0</v>
      </c>
      <c r="M170" s="10">
        <f t="shared" si="262"/>
        <v>0</v>
      </c>
      <c r="N170" s="9">
        <f t="shared" si="357"/>
        <v>0</v>
      </c>
      <c r="O170" s="10">
        <f t="shared" si="264"/>
        <v>0</v>
      </c>
      <c r="P170" s="9">
        <f t="shared" si="358"/>
        <v>0</v>
      </c>
      <c r="Q170" s="10">
        <f t="shared" si="266"/>
        <v>0</v>
      </c>
      <c r="R170" s="9">
        <f t="shared" si="359"/>
        <v>0</v>
      </c>
      <c r="S170" s="10">
        <f t="shared" si="268"/>
        <v>0</v>
      </c>
      <c r="T170" s="9">
        <f t="shared" si="360"/>
        <v>0</v>
      </c>
      <c r="U170" s="10">
        <f t="shared" si="270"/>
        <v>0</v>
      </c>
      <c r="V170" s="9">
        <f t="shared" si="361"/>
        <v>0</v>
      </c>
      <c r="W170" s="10">
        <f t="shared" si="272"/>
        <v>0</v>
      </c>
      <c r="X170" s="9">
        <f t="shared" si="273"/>
        <v>0</v>
      </c>
      <c r="Y170" s="10">
        <f t="shared" si="274"/>
        <v>0</v>
      </c>
      <c r="Z170" s="9">
        <f t="shared" si="362"/>
        <v>0</v>
      </c>
      <c r="AA170" s="10">
        <f t="shared" si="276"/>
        <v>0</v>
      </c>
      <c r="AB170" s="9">
        <f t="shared" si="363"/>
        <v>0</v>
      </c>
      <c r="AC170" s="10">
        <f t="shared" si="278"/>
        <v>0</v>
      </c>
      <c r="AD170" s="9">
        <f t="shared" si="364"/>
        <v>0</v>
      </c>
      <c r="AE170" s="10">
        <f t="shared" si="280"/>
        <v>0</v>
      </c>
      <c r="AF170" s="11">
        <f t="shared" si="281"/>
        <v>0</v>
      </c>
      <c r="AG170" s="12">
        <f t="shared" si="282"/>
        <v>0</v>
      </c>
      <c r="AH170" s="9">
        <f t="shared" ref="AH170" si="474">+AH20</f>
        <v>0</v>
      </c>
      <c r="AI170" s="10">
        <f t="shared" si="283"/>
        <v>0</v>
      </c>
      <c r="AJ170" s="9">
        <f t="shared" ref="AJ170" si="475">+AJ20</f>
        <v>0</v>
      </c>
      <c r="AK170" s="10">
        <f t="shared" si="285"/>
        <v>0</v>
      </c>
      <c r="AL170" s="9">
        <f t="shared" ref="AL170" si="476">+AL20</f>
        <v>0</v>
      </c>
      <c r="AM170" s="10">
        <f t="shared" si="287"/>
        <v>0</v>
      </c>
      <c r="AN170" s="9">
        <f t="shared" ref="AN170" si="477">+AN20</f>
        <v>0</v>
      </c>
      <c r="AO170" s="10">
        <f t="shared" si="289"/>
        <v>0</v>
      </c>
      <c r="AP170" s="9">
        <f t="shared" ref="AP170" si="478">+AP20</f>
        <v>0</v>
      </c>
      <c r="AQ170" s="10">
        <f t="shared" si="291"/>
        <v>0</v>
      </c>
      <c r="AR170" s="9">
        <f t="shared" ref="AR170" si="479">+AR20</f>
        <v>0</v>
      </c>
      <c r="AS170" s="10">
        <f t="shared" si="293"/>
        <v>0</v>
      </c>
      <c r="AT170" s="9">
        <f t="shared" ref="AT170" si="480">+AT20</f>
        <v>0</v>
      </c>
      <c r="AU170" s="10">
        <f t="shared" si="295"/>
        <v>0</v>
      </c>
      <c r="AV170" s="9">
        <f t="shared" ref="AV170" si="481">+AV20</f>
        <v>0</v>
      </c>
      <c r="AW170" s="10">
        <f t="shared" si="297"/>
        <v>0</v>
      </c>
      <c r="AX170" s="9">
        <f t="shared" ref="AX170" si="482">+AX20</f>
        <v>0</v>
      </c>
      <c r="AY170" s="10">
        <f t="shared" si="299"/>
        <v>0</v>
      </c>
      <c r="AZ170" s="9">
        <f t="shared" ref="AZ170" si="483">+AZ20</f>
        <v>0</v>
      </c>
      <c r="BA170" s="10">
        <f t="shared" si="301"/>
        <v>0</v>
      </c>
      <c r="BB170" s="9">
        <f t="shared" ref="BB170" si="484">+BB20</f>
        <v>0</v>
      </c>
      <c r="BC170" s="10">
        <f t="shared" si="303"/>
        <v>0</v>
      </c>
      <c r="BD170" s="9">
        <f t="shared" ref="BD170" si="485">+BD20</f>
        <v>0</v>
      </c>
      <c r="BE170" s="10">
        <f t="shared" si="305"/>
        <v>0</v>
      </c>
      <c r="BF170" s="11">
        <f t="shared" si="306"/>
        <v>0</v>
      </c>
      <c r="BG170" s="12">
        <f t="shared" si="307"/>
        <v>0</v>
      </c>
      <c r="BH170" s="9">
        <f t="shared" ref="BH170" si="486">+BH20</f>
        <v>0</v>
      </c>
      <c r="BI170" s="10">
        <f t="shared" si="308"/>
        <v>0</v>
      </c>
      <c r="BJ170" s="9">
        <f t="shared" ref="BJ170" si="487">+BJ20</f>
        <v>0</v>
      </c>
      <c r="BK170" s="10">
        <f t="shared" si="310"/>
        <v>0</v>
      </c>
      <c r="BL170" s="9">
        <f t="shared" ref="BL170" si="488">+BL20</f>
        <v>0</v>
      </c>
      <c r="BM170" s="10">
        <f t="shared" si="312"/>
        <v>0</v>
      </c>
      <c r="BN170" s="9">
        <f t="shared" ref="BN170" si="489">+BN20</f>
        <v>0</v>
      </c>
      <c r="BO170" s="10">
        <f t="shared" si="314"/>
        <v>0</v>
      </c>
      <c r="BP170" s="9">
        <f t="shared" ref="BP170" si="490">+BP20</f>
        <v>0</v>
      </c>
      <c r="BQ170" s="10">
        <f t="shared" si="316"/>
        <v>0</v>
      </c>
      <c r="BR170" s="9">
        <f t="shared" ref="BR170" si="491">+BR20</f>
        <v>0</v>
      </c>
      <c r="BS170" s="10">
        <f t="shared" si="318"/>
        <v>0</v>
      </c>
      <c r="BT170" s="9">
        <f t="shared" ref="BT170" si="492">+BT20</f>
        <v>0</v>
      </c>
      <c r="BU170" s="10">
        <f t="shared" si="320"/>
        <v>0</v>
      </c>
      <c r="BV170" s="9">
        <f t="shared" ref="BV170" si="493">+BV20</f>
        <v>0</v>
      </c>
      <c r="BW170" s="10">
        <f t="shared" si="322"/>
        <v>0</v>
      </c>
      <c r="BX170" s="9">
        <f t="shared" ref="BX170" si="494">+BX20</f>
        <v>0</v>
      </c>
      <c r="BY170" s="10">
        <f t="shared" si="324"/>
        <v>0</v>
      </c>
      <c r="BZ170" s="9">
        <f t="shared" ref="BZ170" si="495">+BZ20</f>
        <v>0</v>
      </c>
      <c r="CA170" s="10">
        <f t="shared" si="326"/>
        <v>0</v>
      </c>
      <c r="CB170" s="9">
        <f t="shared" ref="CB170" si="496">+CB20</f>
        <v>0</v>
      </c>
      <c r="CC170" s="10">
        <f t="shared" si="328"/>
        <v>0</v>
      </c>
      <c r="CD170" s="9">
        <f t="shared" ref="CD170" si="497">+CD20</f>
        <v>0</v>
      </c>
      <c r="CE170" s="10">
        <f t="shared" si="330"/>
        <v>0</v>
      </c>
      <c r="CF170" s="11">
        <f t="shared" si="331"/>
        <v>0</v>
      </c>
      <c r="CG170" s="12">
        <f t="shared" si="332"/>
        <v>0</v>
      </c>
      <c r="CH170" s="9">
        <f t="shared" ref="CH170" si="498">+CH20</f>
        <v>0</v>
      </c>
      <c r="CI170" s="10">
        <f t="shared" si="333"/>
        <v>0</v>
      </c>
      <c r="CJ170" s="9">
        <f t="shared" ref="CJ170" si="499">+CJ20</f>
        <v>0</v>
      </c>
      <c r="CK170" s="10">
        <f t="shared" si="335"/>
        <v>0</v>
      </c>
      <c r="CL170" s="9">
        <f t="shared" ref="CL170" si="500">+CL20</f>
        <v>0</v>
      </c>
      <c r="CM170" s="10">
        <f t="shared" si="337"/>
        <v>0</v>
      </c>
      <c r="CN170" s="9">
        <f t="shared" ref="CN170" si="501">+CN20</f>
        <v>0</v>
      </c>
      <c r="CO170" s="10">
        <f t="shared" si="338"/>
        <v>0</v>
      </c>
      <c r="CP170" s="9">
        <f t="shared" ref="CP170" si="502">+CP20</f>
        <v>0</v>
      </c>
      <c r="CQ170" s="10">
        <f t="shared" si="339"/>
        <v>0</v>
      </c>
      <c r="CR170" s="9">
        <f t="shared" ref="CR170" si="503">+CR20</f>
        <v>0</v>
      </c>
      <c r="CS170" s="10">
        <f t="shared" si="341"/>
        <v>0</v>
      </c>
      <c r="CT170" s="9">
        <f t="shared" ref="CT170" si="504">+CT20</f>
        <v>0</v>
      </c>
      <c r="CU170" s="10">
        <f t="shared" si="343"/>
        <v>0</v>
      </c>
      <c r="CV170" s="9">
        <f t="shared" ref="CV170" si="505">+CV20</f>
        <v>0</v>
      </c>
      <c r="CW170" s="10">
        <f t="shared" si="345"/>
        <v>0</v>
      </c>
      <c r="CX170" s="9">
        <f t="shared" ref="CX170" si="506">+CX20</f>
        <v>0</v>
      </c>
      <c r="CY170" s="10">
        <f t="shared" si="347"/>
        <v>0</v>
      </c>
      <c r="CZ170" s="9">
        <f t="shared" ref="CZ170" si="507">+CZ20</f>
        <v>0</v>
      </c>
      <c r="DA170" s="10">
        <f t="shared" si="349"/>
        <v>0</v>
      </c>
      <c r="DB170" s="9">
        <f t="shared" ref="DB170" si="508">+DB20</f>
        <v>0</v>
      </c>
      <c r="DC170" s="10">
        <f t="shared" si="351"/>
        <v>0</v>
      </c>
      <c r="DD170" s="9">
        <f t="shared" ref="DD170" si="509">+DD20</f>
        <v>0</v>
      </c>
      <c r="DE170" s="10">
        <f t="shared" si="353"/>
        <v>0</v>
      </c>
      <c r="DF170" s="11">
        <f t="shared" si="401"/>
        <v>0</v>
      </c>
      <c r="DG170" s="12">
        <f t="shared" si="354"/>
        <v>0</v>
      </c>
    </row>
    <row r="171" spans="1:111">
      <c r="A171" s="7">
        <v>6</v>
      </c>
      <c r="B171" s="8" t="s">
        <v>29</v>
      </c>
      <c r="C171" s="8" t="s">
        <v>14</v>
      </c>
      <c r="D171" s="7">
        <f t="shared" si="256"/>
        <v>26</v>
      </c>
      <c r="E171" s="7">
        <v>0.35</v>
      </c>
      <c r="F171" s="7" t="s">
        <v>18</v>
      </c>
      <c r="G171" s="7">
        <v>900</v>
      </c>
      <c r="H171" s="9">
        <f t="shared" si="257"/>
        <v>187200</v>
      </c>
      <c r="I171" s="10">
        <f t="shared" si="258"/>
        <v>65519.999999999993</v>
      </c>
      <c r="J171" s="9">
        <f t="shared" si="355"/>
        <v>0</v>
      </c>
      <c r="K171" s="10">
        <f t="shared" si="260"/>
        <v>0</v>
      </c>
      <c r="L171" s="9">
        <f t="shared" si="356"/>
        <v>0</v>
      </c>
      <c r="M171" s="10">
        <f t="shared" si="262"/>
        <v>0</v>
      </c>
      <c r="N171" s="9">
        <f t="shared" si="357"/>
        <v>0</v>
      </c>
      <c r="O171" s="10">
        <f t="shared" si="264"/>
        <v>0</v>
      </c>
      <c r="P171" s="9">
        <f t="shared" si="358"/>
        <v>0</v>
      </c>
      <c r="Q171" s="10">
        <f t="shared" si="266"/>
        <v>0</v>
      </c>
      <c r="R171" s="9">
        <f t="shared" si="359"/>
        <v>0</v>
      </c>
      <c r="S171" s="10">
        <f t="shared" si="268"/>
        <v>0</v>
      </c>
      <c r="T171" s="9">
        <f t="shared" si="360"/>
        <v>0</v>
      </c>
      <c r="U171" s="10">
        <f t="shared" si="270"/>
        <v>0</v>
      </c>
      <c r="V171" s="9">
        <f t="shared" si="361"/>
        <v>0</v>
      </c>
      <c r="W171" s="10">
        <f t="shared" si="272"/>
        <v>0</v>
      </c>
      <c r="X171" s="9">
        <f t="shared" si="273"/>
        <v>0</v>
      </c>
      <c r="Y171" s="10">
        <f t="shared" si="274"/>
        <v>0</v>
      </c>
      <c r="Z171" s="9">
        <f t="shared" si="362"/>
        <v>0</v>
      </c>
      <c r="AA171" s="10">
        <f t="shared" si="276"/>
        <v>0</v>
      </c>
      <c r="AB171" s="9">
        <f t="shared" si="363"/>
        <v>0</v>
      </c>
      <c r="AC171" s="10">
        <f t="shared" si="278"/>
        <v>0</v>
      </c>
      <c r="AD171" s="9">
        <f t="shared" si="364"/>
        <v>0</v>
      </c>
      <c r="AE171" s="10">
        <f t="shared" si="280"/>
        <v>0</v>
      </c>
      <c r="AF171" s="11">
        <f t="shared" si="281"/>
        <v>187200</v>
      </c>
      <c r="AG171" s="12">
        <f t="shared" si="282"/>
        <v>65519.999999999993</v>
      </c>
      <c r="AH171" s="9">
        <f t="shared" ref="AH171" si="510">+AH21</f>
        <v>0</v>
      </c>
      <c r="AI171" s="10">
        <f t="shared" si="283"/>
        <v>0</v>
      </c>
      <c r="AJ171" s="9">
        <f t="shared" ref="AJ171" si="511">+AJ21</f>
        <v>0</v>
      </c>
      <c r="AK171" s="10">
        <f t="shared" si="285"/>
        <v>0</v>
      </c>
      <c r="AL171" s="9">
        <f t="shared" ref="AL171" si="512">+AL21</f>
        <v>0</v>
      </c>
      <c r="AM171" s="10">
        <f t="shared" si="287"/>
        <v>0</v>
      </c>
      <c r="AN171" s="9">
        <f t="shared" ref="AN171" si="513">+AN21</f>
        <v>0</v>
      </c>
      <c r="AO171" s="10">
        <f t="shared" si="289"/>
        <v>0</v>
      </c>
      <c r="AP171" s="9">
        <f t="shared" ref="AP171" si="514">+AP21</f>
        <v>0</v>
      </c>
      <c r="AQ171" s="10">
        <f t="shared" si="291"/>
        <v>0</v>
      </c>
      <c r="AR171" s="9">
        <f t="shared" ref="AR171" si="515">+AR21</f>
        <v>0</v>
      </c>
      <c r="AS171" s="10">
        <f t="shared" si="293"/>
        <v>0</v>
      </c>
      <c r="AT171" s="9">
        <f t="shared" ref="AT171" si="516">+AT21</f>
        <v>52</v>
      </c>
      <c r="AU171" s="10">
        <f t="shared" si="295"/>
        <v>18.2</v>
      </c>
      <c r="AV171" s="9">
        <f t="shared" ref="AV171" si="517">+AV21</f>
        <v>0</v>
      </c>
      <c r="AW171" s="10">
        <f t="shared" si="297"/>
        <v>0</v>
      </c>
      <c r="AX171" s="9">
        <f t="shared" ref="AX171" si="518">+AX21</f>
        <v>0</v>
      </c>
      <c r="AY171" s="10">
        <f t="shared" si="299"/>
        <v>0</v>
      </c>
      <c r="AZ171" s="9">
        <f t="shared" ref="AZ171" si="519">+AZ21</f>
        <v>0</v>
      </c>
      <c r="BA171" s="10">
        <f t="shared" si="301"/>
        <v>0</v>
      </c>
      <c r="BB171" s="9">
        <f t="shared" ref="BB171" si="520">+BB21</f>
        <v>0</v>
      </c>
      <c r="BC171" s="10">
        <f t="shared" si="303"/>
        <v>0</v>
      </c>
      <c r="BD171" s="9">
        <f t="shared" ref="BD171" si="521">+BD21</f>
        <v>0</v>
      </c>
      <c r="BE171" s="10">
        <f t="shared" si="305"/>
        <v>0</v>
      </c>
      <c r="BF171" s="11">
        <f t="shared" si="306"/>
        <v>52</v>
      </c>
      <c r="BG171" s="12">
        <f t="shared" si="307"/>
        <v>18.2</v>
      </c>
      <c r="BH171" s="9">
        <f t="shared" ref="BH171" si="522">+BH21</f>
        <v>0</v>
      </c>
      <c r="BI171" s="10">
        <f t="shared" si="308"/>
        <v>0</v>
      </c>
      <c r="BJ171" s="9">
        <f t="shared" ref="BJ171" si="523">+BJ21</f>
        <v>0</v>
      </c>
      <c r="BK171" s="10">
        <f t="shared" si="310"/>
        <v>0</v>
      </c>
      <c r="BL171" s="9">
        <f t="shared" ref="BL171" si="524">+BL21</f>
        <v>0</v>
      </c>
      <c r="BM171" s="10">
        <f t="shared" si="312"/>
        <v>0</v>
      </c>
      <c r="BN171" s="9">
        <f t="shared" ref="BN171" si="525">+BN21</f>
        <v>0</v>
      </c>
      <c r="BO171" s="10">
        <f t="shared" si="314"/>
        <v>0</v>
      </c>
      <c r="BP171" s="9">
        <f t="shared" ref="BP171" si="526">+BP21</f>
        <v>0</v>
      </c>
      <c r="BQ171" s="10">
        <f t="shared" si="316"/>
        <v>0</v>
      </c>
      <c r="BR171" s="9">
        <f t="shared" ref="BR171" si="527">+BR21</f>
        <v>0</v>
      </c>
      <c r="BS171" s="10">
        <f t="shared" si="318"/>
        <v>0</v>
      </c>
      <c r="BT171" s="9">
        <f t="shared" ref="BT171" si="528">+BT21</f>
        <v>0</v>
      </c>
      <c r="BU171" s="10">
        <f t="shared" si="320"/>
        <v>0</v>
      </c>
      <c r="BV171" s="9">
        <f t="shared" ref="BV171" si="529">+BV21</f>
        <v>0</v>
      </c>
      <c r="BW171" s="10">
        <f t="shared" si="322"/>
        <v>0</v>
      </c>
      <c r="BX171" s="9">
        <f t="shared" ref="BX171" si="530">+BX21</f>
        <v>0</v>
      </c>
      <c r="BY171" s="10">
        <f t="shared" si="324"/>
        <v>0</v>
      </c>
      <c r="BZ171" s="9">
        <f t="shared" ref="BZ171" si="531">+BZ21</f>
        <v>0</v>
      </c>
      <c r="CA171" s="10">
        <f t="shared" si="326"/>
        <v>0</v>
      </c>
      <c r="CB171" s="9">
        <f t="shared" ref="CB171" si="532">+CB21</f>
        <v>0</v>
      </c>
      <c r="CC171" s="10">
        <f t="shared" si="328"/>
        <v>0</v>
      </c>
      <c r="CD171" s="9">
        <f t="shared" ref="CD171" si="533">+CD21</f>
        <v>0</v>
      </c>
      <c r="CE171" s="10">
        <f t="shared" si="330"/>
        <v>0</v>
      </c>
      <c r="CF171" s="11">
        <f t="shared" si="331"/>
        <v>0</v>
      </c>
      <c r="CG171" s="12">
        <f t="shared" si="332"/>
        <v>0</v>
      </c>
      <c r="CH171" s="9">
        <f t="shared" ref="CH171" si="534">+CH21</f>
        <v>0</v>
      </c>
      <c r="CI171" s="10">
        <f t="shared" si="333"/>
        <v>0</v>
      </c>
      <c r="CJ171" s="9">
        <f t="shared" ref="CJ171" si="535">+CJ21</f>
        <v>0</v>
      </c>
      <c r="CK171" s="10">
        <f t="shared" si="335"/>
        <v>0</v>
      </c>
      <c r="CL171" s="9">
        <f t="shared" ref="CL171" si="536">+CL21</f>
        <v>0</v>
      </c>
      <c r="CM171" s="10">
        <f t="shared" si="337"/>
        <v>0</v>
      </c>
      <c r="CN171" s="9">
        <f t="shared" ref="CN171" si="537">+CN21</f>
        <v>0</v>
      </c>
      <c r="CO171" s="10">
        <f t="shared" si="338"/>
        <v>0</v>
      </c>
      <c r="CP171" s="9">
        <f t="shared" ref="CP171" si="538">+CP21</f>
        <v>0</v>
      </c>
      <c r="CQ171" s="10">
        <f t="shared" si="339"/>
        <v>0</v>
      </c>
      <c r="CR171" s="9">
        <f t="shared" ref="CR171" si="539">+CR21</f>
        <v>0</v>
      </c>
      <c r="CS171" s="10">
        <f t="shared" si="341"/>
        <v>0</v>
      </c>
      <c r="CT171" s="9">
        <f t="shared" ref="CT171" si="540">+CT21</f>
        <v>0</v>
      </c>
      <c r="CU171" s="10">
        <f t="shared" si="343"/>
        <v>0</v>
      </c>
      <c r="CV171" s="9">
        <f t="shared" ref="CV171" si="541">+CV21</f>
        <v>0</v>
      </c>
      <c r="CW171" s="10">
        <f t="shared" si="345"/>
        <v>0</v>
      </c>
      <c r="CX171" s="9">
        <f t="shared" ref="CX171" si="542">+CX21</f>
        <v>0</v>
      </c>
      <c r="CY171" s="10">
        <f t="shared" si="347"/>
        <v>0</v>
      </c>
      <c r="CZ171" s="9">
        <f t="shared" ref="CZ171" si="543">+CZ21</f>
        <v>80</v>
      </c>
      <c r="DA171" s="10">
        <f t="shared" si="349"/>
        <v>28</v>
      </c>
      <c r="DB171" s="9">
        <f t="shared" ref="DB171" si="544">+DB21</f>
        <v>400</v>
      </c>
      <c r="DC171" s="10">
        <f t="shared" si="351"/>
        <v>140</v>
      </c>
      <c r="DD171" s="9">
        <f t="shared" ref="DD171" si="545">+DD21</f>
        <v>0</v>
      </c>
      <c r="DE171" s="10">
        <f t="shared" si="353"/>
        <v>0</v>
      </c>
      <c r="DF171" s="11">
        <f t="shared" si="401"/>
        <v>480</v>
      </c>
      <c r="DG171" s="12">
        <f t="shared" si="354"/>
        <v>168</v>
      </c>
    </row>
    <row r="172" spans="1:111">
      <c r="A172" s="7">
        <v>7</v>
      </c>
      <c r="B172" s="8" t="s">
        <v>30</v>
      </c>
      <c r="C172" s="8" t="s">
        <v>11</v>
      </c>
      <c r="D172" s="7">
        <f t="shared" si="256"/>
        <v>31</v>
      </c>
      <c r="E172" s="7">
        <v>0.64</v>
      </c>
      <c r="F172" s="7" t="s">
        <v>22</v>
      </c>
      <c r="G172" s="7">
        <v>1350</v>
      </c>
      <c r="H172" s="9">
        <f t="shared" si="257"/>
        <v>0</v>
      </c>
      <c r="I172" s="10">
        <f t="shared" si="258"/>
        <v>0</v>
      </c>
      <c r="J172" s="9">
        <f t="shared" si="355"/>
        <v>0</v>
      </c>
      <c r="K172" s="10">
        <f t="shared" si="260"/>
        <v>0</v>
      </c>
      <c r="L172" s="9">
        <f t="shared" si="356"/>
        <v>0</v>
      </c>
      <c r="M172" s="10">
        <f t="shared" si="262"/>
        <v>0</v>
      </c>
      <c r="N172" s="9">
        <f t="shared" si="357"/>
        <v>0</v>
      </c>
      <c r="O172" s="10">
        <f t="shared" si="264"/>
        <v>0</v>
      </c>
      <c r="P172" s="9">
        <f t="shared" si="358"/>
        <v>0</v>
      </c>
      <c r="Q172" s="10">
        <f t="shared" si="266"/>
        <v>0</v>
      </c>
      <c r="R172" s="9">
        <f t="shared" si="359"/>
        <v>0</v>
      </c>
      <c r="S172" s="10">
        <f t="shared" si="268"/>
        <v>0</v>
      </c>
      <c r="T172" s="9">
        <f t="shared" si="360"/>
        <v>0</v>
      </c>
      <c r="U172" s="10">
        <f t="shared" si="270"/>
        <v>0</v>
      </c>
      <c r="V172" s="9">
        <f t="shared" si="361"/>
        <v>0</v>
      </c>
      <c r="W172" s="10">
        <f t="shared" si="272"/>
        <v>0</v>
      </c>
      <c r="X172" s="9">
        <f t="shared" si="273"/>
        <v>0</v>
      </c>
      <c r="Y172" s="10">
        <f t="shared" si="274"/>
        <v>0</v>
      </c>
      <c r="Z172" s="9">
        <f t="shared" si="362"/>
        <v>0</v>
      </c>
      <c r="AA172" s="10">
        <f t="shared" si="276"/>
        <v>0</v>
      </c>
      <c r="AB172" s="9">
        <f t="shared" si="363"/>
        <v>0</v>
      </c>
      <c r="AC172" s="10">
        <f t="shared" si="278"/>
        <v>0</v>
      </c>
      <c r="AD172" s="9">
        <f t="shared" si="364"/>
        <v>0</v>
      </c>
      <c r="AE172" s="10">
        <f t="shared" si="280"/>
        <v>0</v>
      </c>
      <c r="AF172" s="11">
        <f t="shared" si="281"/>
        <v>0</v>
      </c>
      <c r="AG172" s="12">
        <f t="shared" si="282"/>
        <v>0</v>
      </c>
      <c r="AH172" s="9">
        <f t="shared" ref="AH172" si="546">+AH22</f>
        <v>0</v>
      </c>
      <c r="AI172" s="10">
        <f t="shared" si="283"/>
        <v>0</v>
      </c>
      <c r="AJ172" s="9">
        <f t="shared" ref="AJ172" si="547">+AJ22</f>
        <v>0</v>
      </c>
      <c r="AK172" s="10">
        <f t="shared" si="285"/>
        <v>0</v>
      </c>
      <c r="AL172" s="9">
        <f t="shared" ref="AL172" si="548">+AL22</f>
        <v>0</v>
      </c>
      <c r="AM172" s="10">
        <f t="shared" si="287"/>
        <v>0</v>
      </c>
      <c r="AN172" s="9">
        <f t="shared" ref="AN172" si="549">+AN22</f>
        <v>0</v>
      </c>
      <c r="AO172" s="10">
        <f t="shared" si="289"/>
        <v>0</v>
      </c>
      <c r="AP172" s="9">
        <f t="shared" ref="AP172" si="550">+AP22</f>
        <v>0</v>
      </c>
      <c r="AQ172" s="10">
        <f t="shared" si="291"/>
        <v>0</v>
      </c>
      <c r="AR172" s="9">
        <f t="shared" ref="AR172" si="551">+AR22</f>
        <v>0</v>
      </c>
      <c r="AS172" s="10">
        <f t="shared" si="293"/>
        <v>0</v>
      </c>
      <c r="AT172" s="9">
        <f t="shared" ref="AT172" si="552">+AT22</f>
        <v>0</v>
      </c>
      <c r="AU172" s="10">
        <f t="shared" si="295"/>
        <v>0</v>
      </c>
      <c r="AV172" s="9">
        <f t="shared" ref="AV172" si="553">+AV22</f>
        <v>0</v>
      </c>
      <c r="AW172" s="10">
        <f t="shared" si="297"/>
        <v>0</v>
      </c>
      <c r="AX172" s="9">
        <f t="shared" ref="AX172" si="554">+AX22</f>
        <v>0</v>
      </c>
      <c r="AY172" s="10">
        <f t="shared" si="299"/>
        <v>0</v>
      </c>
      <c r="AZ172" s="9">
        <f t="shared" ref="AZ172" si="555">+AZ22</f>
        <v>14</v>
      </c>
      <c r="BA172" s="10">
        <f t="shared" si="301"/>
        <v>8.9600000000000009</v>
      </c>
      <c r="BB172" s="9">
        <f t="shared" ref="BB172" si="556">+BB22</f>
        <v>0</v>
      </c>
      <c r="BC172" s="10">
        <f t="shared" si="303"/>
        <v>0</v>
      </c>
      <c r="BD172" s="9">
        <f t="shared" ref="BD172" si="557">+BD22</f>
        <v>0</v>
      </c>
      <c r="BE172" s="10">
        <f t="shared" si="305"/>
        <v>0</v>
      </c>
      <c r="BF172" s="11">
        <f t="shared" si="306"/>
        <v>14</v>
      </c>
      <c r="BG172" s="12">
        <f t="shared" si="307"/>
        <v>8.9600000000000009</v>
      </c>
      <c r="BH172" s="9">
        <f t="shared" ref="BH172" si="558">+BH22</f>
        <v>0</v>
      </c>
      <c r="BI172" s="10">
        <f t="shared" si="308"/>
        <v>0</v>
      </c>
      <c r="BJ172" s="9">
        <f t="shared" ref="BJ172" si="559">+BJ22</f>
        <v>0</v>
      </c>
      <c r="BK172" s="10">
        <f t="shared" si="310"/>
        <v>0</v>
      </c>
      <c r="BL172" s="9">
        <f t="shared" ref="BL172" si="560">+BL22</f>
        <v>0</v>
      </c>
      <c r="BM172" s="10">
        <f t="shared" si="312"/>
        <v>0</v>
      </c>
      <c r="BN172" s="9">
        <f t="shared" ref="BN172" si="561">+BN22</f>
        <v>0</v>
      </c>
      <c r="BO172" s="10">
        <f t="shared" si="314"/>
        <v>0</v>
      </c>
      <c r="BP172" s="9">
        <f t="shared" ref="BP172" si="562">+BP22</f>
        <v>0</v>
      </c>
      <c r="BQ172" s="10">
        <f t="shared" si="316"/>
        <v>0</v>
      </c>
      <c r="BR172" s="9">
        <f t="shared" ref="BR172" si="563">+BR22</f>
        <v>0</v>
      </c>
      <c r="BS172" s="10">
        <f t="shared" si="318"/>
        <v>0</v>
      </c>
      <c r="BT172" s="9">
        <f t="shared" ref="BT172" si="564">+BT22</f>
        <v>0</v>
      </c>
      <c r="BU172" s="10">
        <f t="shared" si="320"/>
        <v>0</v>
      </c>
      <c r="BV172" s="9">
        <f t="shared" ref="BV172" si="565">+BV22</f>
        <v>0</v>
      </c>
      <c r="BW172" s="10">
        <f t="shared" si="322"/>
        <v>0</v>
      </c>
      <c r="BX172" s="9">
        <f t="shared" ref="BX172" si="566">+BX22</f>
        <v>0</v>
      </c>
      <c r="BY172" s="10">
        <f t="shared" si="324"/>
        <v>0</v>
      </c>
      <c r="BZ172" s="9">
        <f t="shared" ref="BZ172" si="567">+BZ22</f>
        <v>0</v>
      </c>
      <c r="CA172" s="10">
        <f t="shared" si="326"/>
        <v>0</v>
      </c>
      <c r="CB172" s="9">
        <f t="shared" ref="CB172" si="568">+CB22</f>
        <v>0</v>
      </c>
      <c r="CC172" s="10">
        <f t="shared" si="328"/>
        <v>0</v>
      </c>
      <c r="CD172" s="9">
        <f t="shared" ref="CD172" si="569">+CD22</f>
        <v>0</v>
      </c>
      <c r="CE172" s="10">
        <f t="shared" si="330"/>
        <v>0</v>
      </c>
      <c r="CF172" s="11">
        <f t="shared" si="331"/>
        <v>0</v>
      </c>
      <c r="CG172" s="12">
        <f t="shared" si="332"/>
        <v>0</v>
      </c>
      <c r="CH172" s="9">
        <f t="shared" ref="CH172" si="570">+CH22</f>
        <v>0</v>
      </c>
      <c r="CI172" s="10">
        <f t="shared" si="333"/>
        <v>0</v>
      </c>
      <c r="CJ172" s="9">
        <f t="shared" ref="CJ172" si="571">+CJ22</f>
        <v>0</v>
      </c>
      <c r="CK172" s="10">
        <f t="shared" si="335"/>
        <v>0</v>
      </c>
      <c r="CL172" s="9">
        <f t="shared" ref="CL172" si="572">+CL22</f>
        <v>0</v>
      </c>
      <c r="CM172" s="10">
        <f t="shared" si="337"/>
        <v>0</v>
      </c>
      <c r="CN172" s="9">
        <f t="shared" ref="CN172" si="573">+CN22</f>
        <v>0</v>
      </c>
      <c r="CO172" s="10">
        <f t="shared" si="338"/>
        <v>0</v>
      </c>
      <c r="CP172" s="9">
        <f t="shared" ref="CP172" si="574">+CP22</f>
        <v>0</v>
      </c>
      <c r="CQ172" s="10">
        <f t="shared" si="339"/>
        <v>0</v>
      </c>
      <c r="CR172" s="9">
        <f t="shared" ref="CR172" si="575">+CR22</f>
        <v>0</v>
      </c>
      <c r="CS172" s="10">
        <f t="shared" si="341"/>
        <v>0</v>
      </c>
      <c r="CT172" s="9">
        <f t="shared" ref="CT172" si="576">+CT22</f>
        <v>0</v>
      </c>
      <c r="CU172" s="10">
        <f t="shared" si="343"/>
        <v>0</v>
      </c>
      <c r="CV172" s="9">
        <f t="shared" ref="CV172" si="577">+CV22</f>
        <v>0</v>
      </c>
      <c r="CW172" s="10">
        <f t="shared" si="345"/>
        <v>0</v>
      </c>
      <c r="CX172" s="9">
        <f t="shared" ref="CX172" si="578">+CX22</f>
        <v>0</v>
      </c>
      <c r="CY172" s="10">
        <f t="shared" si="347"/>
        <v>0</v>
      </c>
      <c r="CZ172" s="9">
        <f t="shared" ref="CZ172" si="579">+CZ22</f>
        <v>0</v>
      </c>
      <c r="DA172" s="10">
        <f t="shared" si="349"/>
        <v>0</v>
      </c>
      <c r="DB172" s="9">
        <f t="shared" ref="DB172" si="580">+DB22</f>
        <v>0</v>
      </c>
      <c r="DC172" s="10">
        <f t="shared" si="351"/>
        <v>0</v>
      </c>
      <c r="DD172" s="9">
        <f t="shared" ref="DD172" si="581">+DD22</f>
        <v>0</v>
      </c>
      <c r="DE172" s="10">
        <f t="shared" si="353"/>
        <v>0</v>
      </c>
      <c r="DF172" s="11">
        <f t="shared" si="401"/>
        <v>0</v>
      </c>
      <c r="DG172" s="12">
        <f t="shared" si="354"/>
        <v>0</v>
      </c>
    </row>
    <row r="173" spans="1:111">
      <c r="A173" s="7">
        <v>8</v>
      </c>
      <c r="B173" s="8" t="s">
        <v>31</v>
      </c>
      <c r="C173" s="8" t="s">
        <v>11</v>
      </c>
      <c r="D173" s="7">
        <f t="shared" si="256"/>
        <v>31</v>
      </c>
      <c r="E173" s="7">
        <v>0.64</v>
      </c>
      <c r="F173" s="7" t="s">
        <v>22</v>
      </c>
      <c r="G173" s="7"/>
      <c r="H173" s="9">
        <f t="shared" si="257"/>
        <v>0</v>
      </c>
      <c r="I173" s="10">
        <f t="shared" si="258"/>
        <v>0</v>
      </c>
      <c r="J173" s="9">
        <f t="shared" si="355"/>
        <v>0</v>
      </c>
      <c r="K173" s="10">
        <f t="shared" si="260"/>
        <v>0</v>
      </c>
      <c r="L173" s="9">
        <f t="shared" si="356"/>
        <v>0</v>
      </c>
      <c r="M173" s="10">
        <f t="shared" si="262"/>
        <v>0</v>
      </c>
      <c r="N173" s="9">
        <f t="shared" si="357"/>
        <v>0</v>
      </c>
      <c r="O173" s="10">
        <f t="shared" si="264"/>
        <v>0</v>
      </c>
      <c r="P173" s="9">
        <f t="shared" si="358"/>
        <v>0</v>
      </c>
      <c r="Q173" s="10">
        <f t="shared" si="266"/>
        <v>0</v>
      </c>
      <c r="R173" s="9">
        <f t="shared" si="359"/>
        <v>0</v>
      </c>
      <c r="S173" s="10">
        <f t="shared" si="268"/>
        <v>0</v>
      </c>
      <c r="T173" s="9">
        <f t="shared" si="360"/>
        <v>0</v>
      </c>
      <c r="U173" s="10">
        <f t="shared" si="270"/>
        <v>0</v>
      </c>
      <c r="V173" s="9">
        <f t="shared" si="361"/>
        <v>0</v>
      </c>
      <c r="W173" s="10">
        <f t="shared" si="272"/>
        <v>0</v>
      </c>
      <c r="X173" s="9">
        <f t="shared" si="273"/>
        <v>0</v>
      </c>
      <c r="Y173" s="10">
        <f t="shared" si="274"/>
        <v>0</v>
      </c>
      <c r="Z173" s="9">
        <f t="shared" si="362"/>
        <v>0</v>
      </c>
      <c r="AA173" s="10">
        <f t="shared" si="276"/>
        <v>0</v>
      </c>
      <c r="AB173" s="9">
        <f t="shared" si="363"/>
        <v>0</v>
      </c>
      <c r="AC173" s="10">
        <f t="shared" si="278"/>
        <v>0</v>
      </c>
      <c r="AD173" s="9">
        <f t="shared" si="364"/>
        <v>0</v>
      </c>
      <c r="AE173" s="10">
        <f t="shared" si="280"/>
        <v>0</v>
      </c>
      <c r="AF173" s="11">
        <f t="shared" si="281"/>
        <v>0</v>
      </c>
      <c r="AG173" s="12">
        <f t="shared" si="282"/>
        <v>0</v>
      </c>
      <c r="AH173" s="9">
        <f t="shared" ref="AH173" si="582">+AH23</f>
        <v>0</v>
      </c>
      <c r="AI173" s="10">
        <f t="shared" si="283"/>
        <v>0</v>
      </c>
      <c r="AJ173" s="9">
        <f t="shared" ref="AJ173" si="583">+AJ23</f>
        <v>0</v>
      </c>
      <c r="AK173" s="10">
        <f t="shared" si="285"/>
        <v>0</v>
      </c>
      <c r="AL173" s="9">
        <f t="shared" ref="AL173" si="584">+AL23</f>
        <v>0</v>
      </c>
      <c r="AM173" s="10">
        <f t="shared" si="287"/>
        <v>0</v>
      </c>
      <c r="AN173" s="9">
        <f t="shared" ref="AN173" si="585">+AN23</f>
        <v>0</v>
      </c>
      <c r="AO173" s="10">
        <f t="shared" si="289"/>
        <v>0</v>
      </c>
      <c r="AP173" s="9">
        <f t="shared" ref="AP173" si="586">+AP23</f>
        <v>0</v>
      </c>
      <c r="AQ173" s="10">
        <f t="shared" si="291"/>
        <v>0</v>
      </c>
      <c r="AR173" s="9">
        <f t="shared" ref="AR173" si="587">+AR23</f>
        <v>0</v>
      </c>
      <c r="AS173" s="10">
        <f t="shared" si="293"/>
        <v>0</v>
      </c>
      <c r="AT173" s="9">
        <f t="shared" ref="AT173" si="588">+AT23</f>
        <v>0</v>
      </c>
      <c r="AU173" s="10">
        <f t="shared" si="295"/>
        <v>0</v>
      </c>
      <c r="AV173" s="9">
        <f t="shared" ref="AV173" si="589">+AV23</f>
        <v>0</v>
      </c>
      <c r="AW173" s="10">
        <f t="shared" si="297"/>
        <v>0</v>
      </c>
      <c r="AX173" s="9">
        <f t="shared" ref="AX173" si="590">+AX23</f>
        <v>0</v>
      </c>
      <c r="AY173" s="10">
        <f t="shared" si="299"/>
        <v>0</v>
      </c>
      <c r="AZ173" s="9">
        <f t="shared" ref="AZ173" si="591">+AZ23</f>
        <v>0</v>
      </c>
      <c r="BA173" s="10">
        <f t="shared" si="301"/>
        <v>0</v>
      </c>
      <c r="BB173" s="9">
        <f t="shared" ref="BB173" si="592">+BB23</f>
        <v>0</v>
      </c>
      <c r="BC173" s="10">
        <f t="shared" si="303"/>
        <v>0</v>
      </c>
      <c r="BD173" s="9">
        <f t="shared" ref="BD173" si="593">+BD23</f>
        <v>0</v>
      </c>
      <c r="BE173" s="10">
        <f t="shared" si="305"/>
        <v>0</v>
      </c>
      <c r="BF173" s="11">
        <f t="shared" si="306"/>
        <v>0</v>
      </c>
      <c r="BG173" s="12">
        <f t="shared" si="307"/>
        <v>0</v>
      </c>
      <c r="BH173" s="9">
        <f t="shared" ref="BH173" si="594">+BH23</f>
        <v>0</v>
      </c>
      <c r="BI173" s="10">
        <f t="shared" si="308"/>
        <v>0</v>
      </c>
      <c r="BJ173" s="9">
        <f t="shared" ref="BJ173" si="595">+BJ23</f>
        <v>0</v>
      </c>
      <c r="BK173" s="10">
        <f t="shared" si="310"/>
        <v>0</v>
      </c>
      <c r="BL173" s="9">
        <f t="shared" ref="BL173" si="596">+BL23</f>
        <v>0</v>
      </c>
      <c r="BM173" s="10">
        <f t="shared" si="312"/>
        <v>0</v>
      </c>
      <c r="BN173" s="9">
        <f t="shared" ref="BN173" si="597">+BN23</f>
        <v>0</v>
      </c>
      <c r="BO173" s="10">
        <f t="shared" si="314"/>
        <v>0</v>
      </c>
      <c r="BP173" s="9">
        <f t="shared" ref="BP173" si="598">+BP23</f>
        <v>0</v>
      </c>
      <c r="BQ173" s="10">
        <f t="shared" si="316"/>
        <v>0</v>
      </c>
      <c r="BR173" s="9">
        <f t="shared" ref="BR173" si="599">+BR23</f>
        <v>0</v>
      </c>
      <c r="BS173" s="10">
        <f t="shared" si="318"/>
        <v>0</v>
      </c>
      <c r="BT173" s="9">
        <f t="shared" ref="BT173" si="600">+BT23</f>
        <v>0</v>
      </c>
      <c r="BU173" s="10">
        <f t="shared" si="320"/>
        <v>0</v>
      </c>
      <c r="BV173" s="9">
        <f t="shared" ref="BV173" si="601">+BV23</f>
        <v>0</v>
      </c>
      <c r="BW173" s="10">
        <f t="shared" si="322"/>
        <v>0</v>
      </c>
      <c r="BX173" s="9">
        <f t="shared" ref="BX173" si="602">+BX23</f>
        <v>0</v>
      </c>
      <c r="BY173" s="10">
        <f t="shared" si="324"/>
        <v>0</v>
      </c>
      <c r="BZ173" s="9">
        <f t="shared" ref="BZ173" si="603">+BZ23</f>
        <v>0</v>
      </c>
      <c r="CA173" s="10">
        <f t="shared" si="326"/>
        <v>0</v>
      </c>
      <c r="CB173" s="9">
        <f t="shared" ref="CB173" si="604">+CB23</f>
        <v>0</v>
      </c>
      <c r="CC173" s="10">
        <f t="shared" si="328"/>
        <v>0</v>
      </c>
      <c r="CD173" s="9">
        <f t="shared" ref="CD173" si="605">+CD23</f>
        <v>0</v>
      </c>
      <c r="CE173" s="10">
        <f t="shared" si="330"/>
        <v>0</v>
      </c>
      <c r="CF173" s="11">
        <f t="shared" si="331"/>
        <v>0</v>
      </c>
      <c r="CG173" s="12">
        <f t="shared" si="332"/>
        <v>0</v>
      </c>
      <c r="CH173" s="9">
        <f t="shared" ref="CH173" si="606">+CH23</f>
        <v>0</v>
      </c>
      <c r="CI173" s="10">
        <f t="shared" si="333"/>
        <v>0</v>
      </c>
      <c r="CJ173" s="9">
        <f t="shared" ref="CJ173" si="607">+CJ23</f>
        <v>0</v>
      </c>
      <c r="CK173" s="10">
        <f t="shared" si="335"/>
        <v>0</v>
      </c>
      <c r="CL173" s="9">
        <f t="shared" ref="CL173" si="608">+CL23</f>
        <v>0</v>
      </c>
      <c r="CM173" s="10">
        <f t="shared" si="337"/>
        <v>0</v>
      </c>
      <c r="CN173" s="9">
        <f t="shared" ref="CN173" si="609">+CN23</f>
        <v>0</v>
      </c>
      <c r="CO173" s="10">
        <f t="shared" si="338"/>
        <v>0</v>
      </c>
      <c r="CP173" s="9">
        <f t="shared" ref="CP173" si="610">+CP23</f>
        <v>0</v>
      </c>
      <c r="CQ173" s="10">
        <f t="shared" si="339"/>
        <v>0</v>
      </c>
      <c r="CR173" s="9">
        <f t="shared" ref="CR173" si="611">+CR23</f>
        <v>0</v>
      </c>
      <c r="CS173" s="10">
        <f t="shared" si="341"/>
        <v>0</v>
      </c>
      <c r="CT173" s="9">
        <f t="shared" ref="CT173" si="612">+CT23</f>
        <v>0</v>
      </c>
      <c r="CU173" s="10">
        <f t="shared" si="343"/>
        <v>0</v>
      </c>
      <c r="CV173" s="9">
        <f t="shared" ref="CV173" si="613">+CV23</f>
        <v>0</v>
      </c>
      <c r="CW173" s="10">
        <f t="shared" si="345"/>
        <v>0</v>
      </c>
      <c r="CX173" s="9">
        <f t="shared" ref="CX173" si="614">+CX23</f>
        <v>0</v>
      </c>
      <c r="CY173" s="10">
        <f t="shared" si="347"/>
        <v>0</v>
      </c>
      <c r="CZ173" s="9">
        <f t="shared" ref="CZ173" si="615">+CZ23</f>
        <v>0</v>
      </c>
      <c r="DA173" s="10">
        <f t="shared" si="349"/>
        <v>0</v>
      </c>
      <c r="DB173" s="9">
        <f t="shared" ref="DB173" si="616">+DB23</f>
        <v>0</v>
      </c>
      <c r="DC173" s="10">
        <f t="shared" si="351"/>
        <v>0</v>
      </c>
      <c r="DD173" s="9">
        <f t="shared" ref="DD173" si="617">+DD23</f>
        <v>0</v>
      </c>
      <c r="DE173" s="10">
        <f t="shared" si="353"/>
        <v>0</v>
      </c>
      <c r="DF173" s="11">
        <f t="shared" si="401"/>
        <v>0</v>
      </c>
      <c r="DG173" s="12">
        <f t="shared" si="354"/>
        <v>0</v>
      </c>
    </row>
    <row r="174" spans="1:111">
      <c r="A174" s="7">
        <v>9</v>
      </c>
      <c r="B174" s="8" t="s">
        <v>32</v>
      </c>
      <c r="C174" s="8" t="s">
        <v>11</v>
      </c>
      <c r="D174" s="7">
        <f t="shared" si="256"/>
        <v>31</v>
      </c>
      <c r="E174" s="7">
        <v>0.64</v>
      </c>
      <c r="F174" s="7" t="s">
        <v>22</v>
      </c>
      <c r="G174" s="7"/>
      <c r="H174" s="9">
        <f t="shared" si="257"/>
        <v>0</v>
      </c>
      <c r="I174" s="10">
        <f t="shared" si="258"/>
        <v>0</v>
      </c>
      <c r="J174" s="9">
        <f t="shared" si="355"/>
        <v>0</v>
      </c>
      <c r="K174" s="10">
        <f t="shared" si="260"/>
        <v>0</v>
      </c>
      <c r="L174" s="9">
        <f t="shared" si="356"/>
        <v>0</v>
      </c>
      <c r="M174" s="10">
        <f t="shared" si="262"/>
        <v>0</v>
      </c>
      <c r="N174" s="9">
        <f t="shared" si="357"/>
        <v>0</v>
      </c>
      <c r="O174" s="10">
        <f t="shared" si="264"/>
        <v>0</v>
      </c>
      <c r="P174" s="9">
        <f t="shared" si="358"/>
        <v>0</v>
      </c>
      <c r="Q174" s="10">
        <f t="shared" si="266"/>
        <v>0</v>
      </c>
      <c r="R174" s="9">
        <f t="shared" si="359"/>
        <v>0</v>
      </c>
      <c r="S174" s="10">
        <f t="shared" si="268"/>
        <v>0</v>
      </c>
      <c r="T174" s="9">
        <f t="shared" si="360"/>
        <v>0</v>
      </c>
      <c r="U174" s="10">
        <f t="shared" si="270"/>
        <v>0</v>
      </c>
      <c r="V174" s="9">
        <f t="shared" si="361"/>
        <v>0</v>
      </c>
      <c r="W174" s="10">
        <f t="shared" si="272"/>
        <v>0</v>
      </c>
      <c r="X174" s="9">
        <f t="shared" si="273"/>
        <v>0</v>
      </c>
      <c r="Y174" s="10">
        <f t="shared" si="274"/>
        <v>0</v>
      </c>
      <c r="Z174" s="9">
        <f t="shared" si="362"/>
        <v>0</v>
      </c>
      <c r="AA174" s="10">
        <f t="shared" si="276"/>
        <v>0</v>
      </c>
      <c r="AB174" s="9">
        <f t="shared" si="363"/>
        <v>0</v>
      </c>
      <c r="AC174" s="10">
        <f t="shared" si="278"/>
        <v>0</v>
      </c>
      <c r="AD174" s="9">
        <f t="shared" si="364"/>
        <v>0</v>
      </c>
      <c r="AE174" s="10">
        <f t="shared" si="280"/>
        <v>0</v>
      </c>
      <c r="AF174" s="11">
        <f t="shared" si="281"/>
        <v>0</v>
      </c>
      <c r="AG174" s="12">
        <f t="shared" si="282"/>
        <v>0</v>
      </c>
      <c r="AH174" s="9">
        <f t="shared" ref="AH174" si="618">+AH24</f>
        <v>0</v>
      </c>
      <c r="AI174" s="10">
        <f t="shared" si="283"/>
        <v>0</v>
      </c>
      <c r="AJ174" s="9">
        <f t="shared" ref="AJ174" si="619">+AJ24</f>
        <v>0</v>
      </c>
      <c r="AK174" s="10">
        <f t="shared" si="285"/>
        <v>0</v>
      </c>
      <c r="AL174" s="9">
        <f t="shared" ref="AL174" si="620">+AL24</f>
        <v>0</v>
      </c>
      <c r="AM174" s="10">
        <f t="shared" si="287"/>
        <v>0</v>
      </c>
      <c r="AN174" s="9">
        <f t="shared" ref="AN174" si="621">+AN24</f>
        <v>0</v>
      </c>
      <c r="AO174" s="10">
        <f t="shared" si="289"/>
        <v>0</v>
      </c>
      <c r="AP174" s="9">
        <f t="shared" ref="AP174" si="622">+AP24</f>
        <v>0</v>
      </c>
      <c r="AQ174" s="10">
        <f t="shared" si="291"/>
        <v>0</v>
      </c>
      <c r="AR174" s="9">
        <f t="shared" ref="AR174" si="623">+AR24</f>
        <v>0</v>
      </c>
      <c r="AS174" s="10">
        <f t="shared" si="293"/>
        <v>0</v>
      </c>
      <c r="AT174" s="9">
        <f t="shared" ref="AT174" si="624">+AT24</f>
        <v>0</v>
      </c>
      <c r="AU174" s="10">
        <f t="shared" si="295"/>
        <v>0</v>
      </c>
      <c r="AV174" s="9">
        <f t="shared" ref="AV174" si="625">+AV24</f>
        <v>0</v>
      </c>
      <c r="AW174" s="10">
        <f t="shared" si="297"/>
        <v>0</v>
      </c>
      <c r="AX174" s="9">
        <f t="shared" ref="AX174" si="626">+AX24</f>
        <v>0</v>
      </c>
      <c r="AY174" s="10">
        <f t="shared" si="299"/>
        <v>0</v>
      </c>
      <c r="AZ174" s="9">
        <f t="shared" ref="AZ174" si="627">+AZ24</f>
        <v>0</v>
      </c>
      <c r="BA174" s="10">
        <f t="shared" si="301"/>
        <v>0</v>
      </c>
      <c r="BB174" s="9">
        <f t="shared" ref="BB174" si="628">+BB24</f>
        <v>0</v>
      </c>
      <c r="BC174" s="10">
        <f t="shared" si="303"/>
        <v>0</v>
      </c>
      <c r="BD174" s="9">
        <f t="shared" ref="BD174" si="629">+BD24</f>
        <v>0</v>
      </c>
      <c r="BE174" s="10">
        <f t="shared" si="305"/>
        <v>0</v>
      </c>
      <c r="BF174" s="11">
        <f t="shared" si="306"/>
        <v>0</v>
      </c>
      <c r="BG174" s="12">
        <f t="shared" si="307"/>
        <v>0</v>
      </c>
      <c r="BH174" s="9">
        <f t="shared" ref="BH174" si="630">+BH24</f>
        <v>0</v>
      </c>
      <c r="BI174" s="10">
        <f t="shared" si="308"/>
        <v>0</v>
      </c>
      <c r="BJ174" s="9">
        <f t="shared" ref="BJ174" si="631">+BJ24</f>
        <v>0</v>
      </c>
      <c r="BK174" s="10">
        <f t="shared" si="310"/>
        <v>0</v>
      </c>
      <c r="BL174" s="9">
        <f t="shared" ref="BL174" si="632">+BL24</f>
        <v>0</v>
      </c>
      <c r="BM174" s="10">
        <f t="shared" si="312"/>
        <v>0</v>
      </c>
      <c r="BN174" s="9">
        <f t="shared" ref="BN174" si="633">+BN24</f>
        <v>0</v>
      </c>
      <c r="BO174" s="10">
        <f t="shared" si="314"/>
        <v>0</v>
      </c>
      <c r="BP174" s="9">
        <f t="shared" ref="BP174" si="634">+BP24</f>
        <v>0</v>
      </c>
      <c r="BQ174" s="10">
        <f t="shared" si="316"/>
        <v>0</v>
      </c>
      <c r="BR174" s="9">
        <f t="shared" ref="BR174" si="635">+BR24</f>
        <v>0</v>
      </c>
      <c r="BS174" s="10">
        <f t="shared" si="318"/>
        <v>0</v>
      </c>
      <c r="BT174" s="9">
        <f t="shared" ref="BT174" si="636">+BT24</f>
        <v>0</v>
      </c>
      <c r="BU174" s="10">
        <f t="shared" si="320"/>
        <v>0</v>
      </c>
      <c r="BV174" s="9">
        <f t="shared" ref="BV174" si="637">+BV24</f>
        <v>0</v>
      </c>
      <c r="BW174" s="10">
        <f t="shared" si="322"/>
        <v>0</v>
      </c>
      <c r="BX174" s="9">
        <f t="shared" ref="BX174" si="638">+BX24</f>
        <v>0</v>
      </c>
      <c r="BY174" s="10">
        <f t="shared" si="324"/>
        <v>0</v>
      </c>
      <c r="BZ174" s="9">
        <f t="shared" ref="BZ174" si="639">+BZ24</f>
        <v>0</v>
      </c>
      <c r="CA174" s="10">
        <f t="shared" si="326"/>
        <v>0</v>
      </c>
      <c r="CB174" s="9">
        <f t="shared" ref="CB174" si="640">+CB24</f>
        <v>0</v>
      </c>
      <c r="CC174" s="10">
        <f t="shared" si="328"/>
        <v>0</v>
      </c>
      <c r="CD174" s="9">
        <f t="shared" ref="CD174" si="641">+CD24</f>
        <v>0</v>
      </c>
      <c r="CE174" s="10">
        <f t="shared" si="330"/>
        <v>0</v>
      </c>
      <c r="CF174" s="11">
        <f t="shared" si="331"/>
        <v>0</v>
      </c>
      <c r="CG174" s="12">
        <f t="shared" si="332"/>
        <v>0</v>
      </c>
      <c r="CH174" s="9">
        <f t="shared" ref="CH174" si="642">+CH24</f>
        <v>0</v>
      </c>
      <c r="CI174" s="10">
        <f t="shared" si="333"/>
        <v>0</v>
      </c>
      <c r="CJ174" s="9">
        <f t="shared" ref="CJ174" si="643">+CJ24</f>
        <v>0</v>
      </c>
      <c r="CK174" s="10">
        <f t="shared" si="335"/>
        <v>0</v>
      </c>
      <c r="CL174" s="9">
        <f t="shared" ref="CL174" si="644">+CL24</f>
        <v>0</v>
      </c>
      <c r="CM174" s="10">
        <f t="shared" si="337"/>
        <v>0</v>
      </c>
      <c r="CN174" s="9">
        <f t="shared" ref="CN174" si="645">+CN24</f>
        <v>0</v>
      </c>
      <c r="CO174" s="10">
        <f t="shared" si="338"/>
        <v>0</v>
      </c>
      <c r="CP174" s="9">
        <f t="shared" ref="CP174" si="646">+CP24</f>
        <v>0</v>
      </c>
      <c r="CQ174" s="10">
        <f t="shared" si="339"/>
        <v>0</v>
      </c>
      <c r="CR174" s="9">
        <f t="shared" ref="CR174" si="647">+CR24</f>
        <v>0</v>
      </c>
      <c r="CS174" s="10">
        <f t="shared" si="341"/>
        <v>0</v>
      </c>
      <c r="CT174" s="9">
        <f t="shared" ref="CT174" si="648">+CT24</f>
        <v>0</v>
      </c>
      <c r="CU174" s="10">
        <f t="shared" si="343"/>
        <v>0</v>
      </c>
      <c r="CV174" s="9">
        <f t="shared" ref="CV174" si="649">+CV24</f>
        <v>0</v>
      </c>
      <c r="CW174" s="10">
        <f t="shared" si="345"/>
        <v>0</v>
      </c>
      <c r="CX174" s="9">
        <f t="shared" ref="CX174" si="650">+CX24</f>
        <v>0</v>
      </c>
      <c r="CY174" s="10">
        <f t="shared" si="347"/>
        <v>0</v>
      </c>
      <c r="CZ174" s="9">
        <f t="shared" ref="CZ174" si="651">+CZ24</f>
        <v>0</v>
      </c>
      <c r="DA174" s="10">
        <f t="shared" si="349"/>
        <v>0</v>
      </c>
      <c r="DB174" s="9">
        <f t="shared" ref="DB174" si="652">+DB24</f>
        <v>0</v>
      </c>
      <c r="DC174" s="10">
        <f t="shared" si="351"/>
        <v>0</v>
      </c>
      <c r="DD174" s="9">
        <f t="shared" ref="DD174" si="653">+DD24</f>
        <v>0</v>
      </c>
      <c r="DE174" s="10">
        <f t="shared" si="353"/>
        <v>0</v>
      </c>
      <c r="DF174" s="11">
        <f t="shared" si="401"/>
        <v>0</v>
      </c>
      <c r="DG174" s="12">
        <f t="shared" si="354"/>
        <v>0</v>
      </c>
    </row>
    <row r="175" spans="1:111">
      <c r="A175" s="7"/>
      <c r="B175" s="8"/>
      <c r="C175" s="8"/>
      <c r="D175" s="7"/>
      <c r="E175" s="7"/>
      <c r="F175" s="7"/>
      <c r="G175" s="7"/>
      <c r="H175" s="15"/>
      <c r="I175" s="10">
        <f t="shared" si="258"/>
        <v>0</v>
      </c>
      <c r="J175" s="15"/>
      <c r="K175" s="10">
        <f t="shared" si="260"/>
        <v>0</v>
      </c>
      <c r="L175" s="15"/>
      <c r="M175" s="10">
        <f t="shared" si="262"/>
        <v>0</v>
      </c>
      <c r="N175" s="15"/>
      <c r="O175" s="10">
        <f t="shared" si="264"/>
        <v>0</v>
      </c>
      <c r="P175" s="15"/>
      <c r="Q175" s="10">
        <f t="shared" si="266"/>
        <v>0</v>
      </c>
      <c r="R175" s="15"/>
      <c r="S175" s="10">
        <f t="shared" si="268"/>
        <v>0</v>
      </c>
      <c r="T175" s="15"/>
      <c r="U175" s="10">
        <f t="shared" si="270"/>
        <v>0</v>
      </c>
      <c r="V175" s="15"/>
      <c r="W175" s="10">
        <f t="shared" si="272"/>
        <v>0</v>
      </c>
      <c r="X175" s="15"/>
      <c r="Y175" s="10">
        <f t="shared" si="274"/>
        <v>0</v>
      </c>
      <c r="Z175" s="15"/>
      <c r="AA175" s="10">
        <f t="shared" si="276"/>
        <v>0</v>
      </c>
      <c r="AB175" s="15"/>
      <c r="AC175" s="10">
        <f t="shared" si="278"/>
        <v>0</v>
      </c>
      <c r="AD175" s="15"/>
      <c r="AE175" s="10">
        <f t="shared" si="280"/>
        <v>0</v>
      </c>
      <c r="AF175" s="11">
        <f t="shared" si="281"/>
        <v>0</v>
      </c>
      <c r="AG175" s="12">
        <f t="shared" si="282"/>
        <v>0</v>
      </c>
      <c r="AH175" s="15"/>
      <c r="AI175" s="10">
        <f t="shared" si="283"/>
        <v>0</v>
      </c>
      <c r="AJ175" s="15"/>
      <c r="AK175" s="10">
        <f t="shared" si="285"/>
        <v>0</v>
      </c>
      <c r="AL175" s="15"/>
      <c r="AM175" s="10">
        <f t="shared" si="287"/>
        <v>0</v>
      </c>
      <c r="AN175" s="15"/>
      <c r="AO175" s="10">
        <f t="shared" si="289"/>
        <v>0</v>
      </c>
      <c r="AP175" s="15"/>
      <c r="AQ175" s="10">
        <f t="shared" si="291"/>
        <v>0</v>
      </c>
      <c r="AR175" s="15"/>
      <c r="AS175" s="10">
        <f t="shared" si="293"/>
        <v>0</v>
      </c>
      <c r="AT175" s="15"/>
      <c r="AU175" s="10">
        <f t="shared" si="295"/>
        <v>0</v>
      </c>
      <c r="AV175" s="15"/>
      <c r="AW175" s="10">
        <f t="shared" si="297"/>
        <v>0</v>
      </c>
      <c r="AX175" s="15"/>
      <c r="AY175" s="10">
        <f t="shared" si="299"/>
        <v>0</v>
      </c>
      <c r="AZ175" s="15"/>
      <c r="BA175" s="10">
        <f t="shared" si="301"/>
        <v>0</v>
      </c>
      <c r="BB175" s="15"/>
      <c r="BC175" s="10">
        <f t="shared" si="303"/>
        <v>0</v>
      </c>
      <c r="BD175" s="15"/>
      <c r="BE175" s="10">
        <f t="shared" si="305"/>
        <v>0</v>
      </c>
      <c r="BF175" s="11">
        <f t="shared" si="306"/>
        <v>0</v>
      </c>
      <c r="BG175" s="12">
        <f t="shared" si="307"/>
        <v>0</v>
      </c>
      <c r="BH175" s="15"/>
      <c r="BI175" s="10">
        <f t="shared" si="308"/>
        <v>0</v>
      </c>
      <c r="BJ175" s="15"/>
      <c r="BK175" s="10">
        <f t="shared" si="310"/>
        <v>0</v>
      </c>
      <c r="BL175" s="15"/>
      <c r="BM175" s="10">
        <f t="shared" si="312"/>
        <v>0</v>
      </c>
      <c r="BN175" s="15"/>
      <c r="BO175" s="10">
        <f t="shared" si="314"/>
        <v>0</v>
      </c>
      <c r="BP175" s="15"/>
      <c r="BQ175" s="10">
        <f t="shared" si="316"/>
        <v>0</v>
      </c>
      <c r="BR175" s="15"/>
      <c r="BS175" s="10">
        <f t="shared" si="318"/>
        <v>0</v>
      </c>
      <c r="BT175" s="15"/>
      <c r="BU175" s="10">
        <f t="shared" si="320"/>
        <v>0</v>
      </c>
      <c r="BV175" s="15"/>
      <c r="BW175" s="10">
        <f t="shared" si="322"/>
        <v>0</v>
      </c>
      <c r="BX175" s="15"/>
      <c r="BY175" s="10">
        <f t="shared" si="324"/>
        <v>0</v>
      </c>
      <c r="BZ175" s="15"/>
      <c r="CA175" s="10">
        <f t="shared" si="326"/>
        <v>0</v>
      </c>
      <c r="CB175" s="15"/>
      <c r="CC175" s="10">
        <f t="shared" si="328"/>
        <v>0</v>
      </c>
      <c r="CD175" s="15"/>
      <c r="CE175" s="10">
        <f t="shared" si="330"/>
        <v>0</v>
      </c>
      <c r="CF175" s="11">
        <f t="shared" si="331"/>
        <v>0</v>
      </c>
      <c r="CG175" s="12">
        <f t="shared" si="332"/>
        <v>0</v>
      </c>
      <c r="CH175" s="15"/>
      <c r="CI175" s="10">
        <f t="shared" si="333"/>
        <v>0</v>
      </c>
      <c r="CJ175" s="15"/>
      <c r="CK175" s="10">
        <f t="shared" si="335"/>
        <v>0</v>
      </c>
      <c r="CL175" s="15"/>
      <c r="CM175" s="10">
        <f t="shared" si="337"/>
        <v>0</v>
      </c>
      <c r="CN175" s="15"/>
      <c r="CO175" s="10">
        <f t="shared" si="338"/>
        <v>0</v>
      </c>
      <c r="CP175" s="15"/>
      <c r="CQ175" s="10">
        <f t="shared" si="339"/>
        <v>0</v>
      </c>
      <c r="CR175" s="15"/>
      <c r="CS175" s="10">
        <f t="shared" si="341"/>
        <v>0</v>
      </c>
      <c r="CT175" s="15"/>
      <c r="CU175" s="10">
        <f t="shared" si="343"/>
        <v>0</v>
      </c>
      <c r="CV175" s="15"/>
      <c r="CW175" s="10">
        <f t="shared" si="345"/>
        <v>0</v>
      </c>
      <c r="CX175" s="15"/>
      <c r="CY175" s="10">
        <f t="shared" si="347"/>
        <v>0</v>
      </c>
      <c r="CZ175" s="15"/>
      <c r="DA175" s="10">
        <f t="shared" si="349"/>
        <v>0</v>
      </c>
      <c r="DB175" s="15"/>
      <c r="DC175" s="10">
        <f t="shared" si="351"/>
        <v>0</v>
      </c>
      <c r="DD175" s="15"/>
      <c r="DE175" s="10">
        <f t="shared" si="353"/>
        <v>0</v>
      </c>
      <c r="DF175" s="11">
        <f t="shared" si="401"/>
        <v>0</v>
      </c>
      <c r="DG175" s="12">
        <f t="shared" si="354"/>
        <v>0</v>
      </c>
    </row>
    <row r="176" spans="1:111">
      <c r="A176" s="32"/>
      <c r="B176" s="23" t="s">
        <v>117</v>
      </c>
      <c r="C176" s="23"/>
      <c r="D176" s="23"/>
      <c r="E176" s="23"/>
      <c r="F176" s="25"/>
      <c r="G176" s="25"/>
      <c r="H176" s="26">
        <f>SUM(H166:H175)</f>
        <v>187224</v>
      </c>
      <c r="I176" s="27">
        <f>SUM(I166:I175)</f>
        <v>65539.199999999997</v>
      </c>
      <c r="J176" s="26">
        <f t="shared" ref="J176:AE176" si="654">SUM(J166:J175)</f>
        <v>108</v>
      </c>
      <c r="K176" s="27">
        <f t="shared" si="654"/>
        <v>108</v>
      </c>
      <c r="L176" s="26">
        <f t="shared" si="654"/>
        <v>48</v>
      </c>
      <c r="M176" s="27">
        <f t="shared" si="654"/>
        <v>48</v>
      </c>
      <c r="N176" s="26">
        <f t="shared" si="654"/>
        <v>0</v>
      </c>
      <c r="O176" s="27">
        <f t="shared" si="654"/>
        <v>0</v>
      </c>
      <c r="P176" s="26">
        <f t="shared" si="654"/>
        <v>0</v>
      </c>
      <c r="Q176" s="27">
        <f t="shared" si="654"/>
        <v>0</v>
      </c>
      <c r="R176" s="26">
        <f t="shared" si="654"/>
        <v>132</v>
      </c>
      <c r="S176" s="27">
        <f t="shared" si="654"/>
        <v>79.2</v>
      </c>
      <c r="T176" s="26">
        <f t="shared" si="654"/>
        <v>72</v>
      </c>
      <c r="U176" s="27">
        <f t="shared" si="654"/>
        <v>72</v>
      </c>
      <c r="V176" s="26">
        <f t="shared" si="654"/>
        <v>12</v>
      </c>
      <c r="W176" s="27">
        <f t="shared" si="654"/>
        <v>12</v>
      </c>
      <c r="X176" s="26">
        <f t="shared" si="654"/>
        <v>12</v>
      </c>
      <c r="Y176" s="27">
        <f t="shared" si="654"/>
        <v>12</v>
      </c>
      <c r="Z176" s="26">
        <f t="shared" si="654"/>
        <v>72</v>
      </c>
      <c r="AA176" s="27">
        <f t="shared" si="654"/>
        <v>72</v>
      </c>
      <c r="AB176" s="26">
        <f t="shared" si="654"/>
        <v>48</v>
      </c>
      <c r="AC176" s="27">
        <f t="shared" si="654"/>
        <v>48</v>
      </c>
      <c r="AD176" s="26">
        <f t="shared" si="654"/>
        <v>36</v>
      </c>
      <c r="AE176" s="27">
        <f t="shared" si="654"/>
        <v>36</v>
      </c>
      <c r="AF176" s="26">
        <f t="shared" ref="AF176" si="655">SUM(AF166:AF175)</f>
        <v>187764</v>
      </c>
      <c r="AG176" s="27">
        <f t="shared" ref="AG176" si="656">SUM(AG166:AG175)</f>
        <v>66026.399999999994</v>
      </c>
      <c r="AH176" s="26">
        <f>SUM(AH166:AH175)</f>
        <v>24</v>
      </c>
      <c r="AI176" s="27">
        <f>SUM(AI166:AI175)</f>
        <v>24</v>
      </c>
      <c r="AJ176" s="26">
        <f t="shared" ref="AJ176" si="657">SUM(AJ166:AJ175)</f>
        <v>60</v>
      </c>
      <c r="AK176" s="27">
        <f t="shared" ref="AK176" si="658">SUM(AK166:AK175)</f>
        <v>60</v>
      </c>
      <c r="AL176" s="26">
        <f t="shared" ref="AL176" si="659">SUM(AL166:AL175)</f>
        <v>12</v>
      </c>
      <c r="AM176" s="27">
        <f t="shared" ref="AM176" si="660">SUM(AM166:AM175)</f>
        <v>12</v>
      </c>
      <c r="AN176" s="26">
        <f t="shared" ref="AN176" si="661">SUM(AN166:AN175)</f>
        <v>0</v>
      </c>
      <c r="AO176" s="27">
        <f t="shared" ref="AO176" si="662">SUM(AO166:AO175)</f>
        <v>0</v>
      </c>
      <c r="AP176" s="26">
        <f t="shared" ref="AP176" si="663">SUM(AP166:AP175)</f>
        <v>0</v>
      </c>
      <c r="AQ176" s="27">
        <f t="shared" ref="AQ176" si="664">SUM(AQ166:AQ175)</f>
        <v>0</v>
      </c>
      <c r="AR176" s="26">
        <f t="shared" ref="AR176" si="665">SUM(AR166:AR175)</f>
        <v>0</v>
      </c>
      <c r="AS176" s="27">
        <f t="shared" ref="AS176" si="666">SUM(AS166:AS175)</f>
        <v>0</v>
      </c>
      <c r="AT176" s="26">
        <f t="shared" ref="AT176" si="667">SUM(AT166:AT175)</f>
        <v>172</v>
      </c>
      <c r="AU176" s="27">
        <f t="shared" ref="AU176" si="668">SUM(AU166:AU175)</f>
        <v>138.19999999999999</v>
      </c>
      <c r="AV176" s="26">
        <f t="shared" ref="AV176" si="669">SUM(AV166:AV175)</f>
        <v>0</v>
      </c>
      <c r="AW176" s="27">
        <f t="shared" ref="AW176" si="670">SUM(AW166:AW175)</f>
        <v>0</v>
      </c>
      <c r="AX176" s="26">
        <f t="shared" ref="AX176" si="671">SUM(AX166:AX175)</f>
        <v>24</v>
      </c>
      <c r="AY176" s="27">
        <f t="shared" ref="AY176" si="672">SUM(AY166:AY175)</f>
        <v>24</v>
      </c>
      <c r="AZ176" s="26">
        <f t="shared" ref="AZ176" si="673">SUM(AZ166:AZ175)</f>
        <v>146</v>
      </c>
      <c r="BA176" s="27">
        <f t="shared" ref="BA176" si="674">SUM(BA166:BA175)</f>
        <v>140.96</v>
      </c>
      <c r="BB176" s="26">
        <f t="shared" ref="BB176" si="675">SUM(BB166:BB175)</f>
        <v>96</v>
      </c>
      <c r="BC176" s="27">
        <f t="shared" ref="BC176" si="676">SUM(BC166:BC175)</f>
        <v>96</v>
      </c>
      <c r="BD176" s="26">
        <f t="shared" ref="BD176" si="677">SUM(BD166:BD175)</f>
        <v>252</v>
      </c>
      <c r="BE176" s="27">
        <f t="shared" ref="BE176" si="678">SUM(BE166:BE175)</f>
        <v>252</v>
      </c>
      <c r="BF176" s="26">
        <f t="shared" ref="BF176" si="679">SUM(BF166:BF175)</f>
        <v>786</v>
      </c>
      <c r="BG176" s="27">
        <f t="shared" ref="BG176" si="680">SUM(BG166:BG175)</f>
        <v>747.16000000000008</v>
      </c>
      <c r="BH176" s="26">
        <f>SUM(BH166:BH175)</f>
        <v>404</v>
      </c>
      <c r="BI176" s="27">
        <f>SUM(BI166:BI175)</f>
        <v>399.2</v>
      </c>
      <c r="BJ176" s="26">
        <f t="shared" ref="BJ176" si="681">SUM(BJ166:BJ175)</f>
        <v>518</v>
      </c>
      <c r="BK176" s="27">
        <f t="shared" ref="BK176" si="682">SUM(BK166:BK175)</f>
        <v>518</v>
      </c>
      <c r="BL176" s="26">
        <f t="shared" ref="BL176" si="683">SUM(BL166:BL175)</f>
        <v>756</v>
      </c>
      <c r="BM176" s="27">
        <f t="shared" ref="BM176" si="684">SUM(BM166:BM175)</f>
        <v>756</v>
      </c>
      <c r="BN176" s="26">
        <f t="shared" ref="BN176" si="685">SUM(BN166:BN175)</f>
        <v>648</v>
      </c>
      <c r="BO176" s="27">
        <f t="shared" ref="BO176" si="686">SUM(BO166:BO175)</f>
        <v>648</v>
      </c>
      <c r="BP176" s="26">
        <f t="shared" ref="BP176" si="687">SUM(BP166:BP175)</f>
        <v>1056</v>
      </c>
      <c r="BQ176" s="27">
        <f t="shared" ref="BQ176" si="688">SUM(BQ166:BQ175)</f>
        <v>1056</v>
      </c>
      <c r="BR176" s="26">
        <f t="shared" ref="BR176" si="689">SUM(BR166:BR175)</f>
        <v>768</v>
      </c>
      <c r="BS176" s="27">
        <f t="shared" ref="BS176" si="690">SUM(BS166:BS175)</f>
        <v>768</v>
      </c>
      <c r="BT176" s="26">
        <f t="shared" ref="BT176" si="691">SUM(BT166:BT175)</f>
        <v>1562</v>
      </c>
      <c r="BU176" s="27">
        <f t="shared" ref="BU176" si="692">SUM(BU166:BU175)</f>
        <v>1562</v>
      </c>
      <c r="BV176" s="26">
        <f t="shared" ref="BV176" si="693">SUM(BV166:BV175)</f>
        <v>1863</v>
      </c>
      <c r="BW176" s="27">
        <f t="shared" ref="BW176" si="694">SUM(BW166:BW175)</f>
        <v>1863</v>
      </c>
      <c r="BX176" s="26">
        <f t="shared" ref="BX176" si="695">SUM(BX166:BX175)</f>
        <v>1452</v>
      </c>
      <c r="BY176" s="27">
        <f t="shared" ref="BY176" si="696">SUM(BY166:BY175)</f>
        <v>1452</v>
      </c>
      <c r="BZ176" s="26">
        <f t="shared" ref="BZ176" si="697">SUM(BZ166:BZ175)</f>
        <v>864</v>
      </c>
      <c r="CA176" s="27">
        <f t="shared" ref="CA176" si="698">SUM(CA166:CA175)</f>
        <v>864</v>
      </c>
      <c r="CB176" s="26">
        <f t="shared" ref="CB176" si="699">SUM(CB166:CB175)</f>
        <v>228</v>
      </c>
      <c r="CC176" s="27">
        <f t="shared" ref="CC176" si="700">SUM(CC166:CC175)</f>
        <v>228</v>
      </c>
      <c r="CD176" s="26">
        <f t="shared" ref="CD176" si="701">SUM(CD166:CD175)</f>
        <v>1008</v>
      </c>
      <c r="CE176" s="27">
        <f t="shared" ref="CE176" si="702">SUM(CE166:CE175)</f>
        <v>1008</v>
      </c>
      <c r="CF176" s="26">
        <f t="shared" ref="CF176" si="703">SUM(CF166:CF175)</f>
        <v>11127</v>
      </c>
      <c r="CG176" s="27">
        <f t="shared" ref="CG176" si="704">SUM(CG166:CG175)</f>
        <v>11122.2</v>
      </c>
      <c r="CH176" s="26">
        <f>SUM(CH166:CH175)</f>
        <v>531</v>
      </c>
      <c r="CI176" s="27">
        <f>SUM(CI166:CI175)</f>
        <v>531</v>
      </c>
      <c r="CJ176" s="26">
        <f t="shared" ref="CJ176" si="705">SUM(CJ166:CJ175)</f>
        <v>1192</v>
      </c>
      <c r="CK176" s="27">
        <f t="shared" ref="CK176" si="706">SUM(CK166:CK175)</f>
        <v>1192</v>
      </c>
      <c r="CL176" s="26">
        <f t="shared" ref="CL176" si="707">SUM(CL166:CL175)</f>
        <v>1238</v>
      </c>
      <c r="CM176" s="27">
        <f t="shared" ref="CM176" si="708">SUM(CM166:CM175)</f>
        <v>1238</v>
      </c>
      <c r="CN176" s="26">
        <f t="shared" ref="CN176" si="709">SUM(CN166:CN175)</f>
        <v>528</v>
      </c>
      <c r="CO176" s="27">
        <f t="shared" ref="CO176" si="710">SUM(CO166:CO175)</f>
        <v>528</v>
      </c>
      <c r="CP176" s="26">
        <f t="shared" ref="CP176" si="711">SUM(CP166:CP175)</f>
        <v>552</v>
      </c>
      <c r="CQ176" s="27">
        <f t="shared" ref="CQ176" si="712">SUM(CQ166:CQ175)</f>
        <v>552</v>
      </c>
      <c r="CR176" s="26">
        <f t="shared" ref="CR176" si="713">SUM(CR166:CR175)</f>
        <v>4381</v>
      </c>
      <c r="CS176" s="27">
        <f t="shared" ref="CS176" si="714">SUM(CS166:CS175)</f>
        <v>4381</v>
      </c>
      <c r="CT176" s="26">
        <f t="shared" ref="CT176" si="715">SUM(CT166:CT175)</f>
        <v>5317</v>
      </c>
      <c r="CU176" s="27">
        <f t="shared" ref="CU176" si="716">SUM(CU166:CU175)</f>
        <v>5317</v>
      </c>
      <c r="CV176" s="26">
        <f t="shared" ref="CV176" si="717">SUM(CV166:CV175)</f>
        <v>2936</v>
      </c>
      <c r="CW176" s="27">
        <f t="shared" ref="CW176" si="718">SUM(CW166:CW175)</f>
        <v>2931.2</v>
      </c>
      <c r="CX176" s="26">
        <f t="shared" ref="CX176" si="719">SUM(CX166:CX175)</f>
        <v>2398</v>
      </c>
      <c r="CY176" s="27">
        <f t="shared" ref="CY176" si="720">SUM(CY166:CY175)</f>
        <v>2398</v>
      </c>
      <c r="CZ176" s="26">
        <f t="shared" ref="CZ176" si="721">SUM(CZ166:CZ175)</f>
        <v>1520</v>
      </c>
      <c r="DA176" s="27">
        <f t="shared" ref="DA176" si="722">SUM(DA166:DA175)</f>
        <v>1468</v>
      </c>
      <c r="DB176" s="26">
        <f t="shared" ref="DB176" si="723">SUM(DB166:DB175)</f>
        <v>2124</v>
      </c>
      <c r="DC176" s="27">
        <f t="shared" ref="DC176" si="724">SUM(DC166:DC175)</f>
        <v>1864</v>
      </c>
      <c r="DD176" s="26">
        <f t="shared" ref="DD176" si="725">SUM(DD166:DD175)</f>
        <v>1440</v>
      </c>
      <c r="DE176" s="27">
        <f t="shared" ref="DE176" si="726">SUM(DE166:DE175)</f>
        <v>1440</v>
      </c>
      <c r="DF176" s="26">
        <f t="shared" ref="DF176" si="727">SUM(DF166:DF175)</f>
        <v>24157</v>
      </c>
      <c r="DG176" s="27">
        <f t="shared" ref="DG176" si="728">SUM(DG166:DG175)</f>
        <v>23840.2</v>
      </c>
    </row>
  </sheetData>
  <mergeCells count="120">
    <mergeCell ref="CZ164:DA164"/>
    <mergeCell ref="DB164:DC164"/>
    <mergeCell ref="DD164:DE164"/>
    <mergeCell ref="DF164:DG164"/>
    <mergeCell ref="CP164:CQ164"/>
    <mergeCell ref="CR164:CS164"/>
    <mergeCell ref="CT164:CU164"/>
    <mergeCell ref="CV164:CW164"/>
    <mergeCell ref="CX164:CY164"/>
    <mergeCell ref="CF164:CG164"/>
    <mergeCell ref="CH164:CI164"/>
    <mergeCell ref="CJ164:CK164"/>
    <mergeCell ref="CL164:CM164"/>
    <mergeCell ref="CN164:CO164"/>
    <mergeCell ref="BV164:BW164"/>
    <mergeCell ref="BX164:BY164"/>
    <mergeCell ref="BZ164:CA164"/>
    <mergeCell ref="CB164:CC164"/>
    <mergeCell ref="CD164:CE164"/>
    <mergeCell ref="BL164:BM164"/>
    <mergeCell ref="BN164:BO164"/>
    <mergeCell ref="BP164:BQ164"/>
    <mergeCell ref="BR164:BS164"/>
    <mergeCell ref="BT164:BU164"/>
    <mergeCell ref="BB164:BC164"/>
    <mergeCell ref="BD164:BE164"/>
    <mergeCell ref="BF164:BG164"/>
    <mergeCell ref="BH164:BI164"/>
    <mergeCell ref="BJ164:BK164"/>
    <mergeCell ref="AR164:AS164"/>
    <mergeCell ref="AT164:AU164"/>
    <mergeCell ref="AV164:AW164"/>
    <mergeCell ref="AX164:AY164"/>
    <mergeCell ref="AZ164:BA164"/>
    <mergeCell ref="AH164:AI164"/>
    <mergeCell ref="AJ164:AK164"/>
    <mergeCell ref="AL164:AM164"/>
    <mergeCell ref="AN164:AO164"/>
    <mergeCell ref="AP164:AQ164"/>
    <mergeCell ref="X164:Y164"/>
    <mergeCell ref="Z164:AA164"/>
    <mergeCell ref="AB164:AC164"/>
    <mergeCell ref="AD164:AE164"/>
    <mergeCell ref="AF164:AG164"/>
    <mergeCell ref="N164:O164"/>
    <mergeCell ref="P164:Q164"/>
    <mergeCell ref="R164:S164"/>
    <mergeCell ref="T164:U164"/>
    <mergeCell ref="V164:W164"/>
    <mergeCell ref="F164:F165"/>
    <mergeCell ref="G164:G165"/>
    <mergeCell ref="H164:I164"/>
    <mergeCell ref="J164:K164"/>
    <mergeCell ref="L164:M164"/>
    <mergeCell ref="A164:A165"/>
    <mergeCell ref="B164:B165"/>
    <mergeCell ref="C164:C165"/>
    <mergeCell ref="D164:D165"/>
    <mergeCell ref="E164:E165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BP2:B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CN2:CO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DB2:DC2"/>
    <mergeCell ref="DD2:DE2"/>
    <mergeCell ref="DF2:DG2"/>
    <mergeCell ref="CP2:CQ2"/>
    <mergeCell ref="CR2:CS2"/>
    <mergeCell ref="CT2:CU2"/>
    <mergeCell ref="CV2:CW2"/>
    <mergeCell ref="CX2:CY2"/>
    <mergeCell ref="CZ2:DA2"/>
  </mergeCells>
  <printOptions horizontalCentered="1"/>
  <pageMargins left="0.25" right="0.25" top="0.25" bottom="0.25" header="0.3" footer="0.3"/>
  <pageSetup paperSize="9" scale="8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8893-5430-4824-AA11-54024A0A6DE3}">
  <sheetPr>
    <tabColor rgb="FFFFC000"/>
  </sheetPr>
  <dimension ref="A1:AJ54"/>
  <sheetViews>
    <sheetView workbookViewId="0">
      <selection activeCell="C6" sqref="C6"/>
    </sheetView>
  </sheetViews>
  <sheetFormatPr defaultColWidth="9.109375" defaultRowHeight="22.8"/>
  <cols>
    <col min="1" max="1" width="5.33203125" style="43" customWidth="1"/>
    <col min="2" max="2" width="31.44140625" style="43" customWidth="1"/>
    <col min="3" max="3" width="5.6640625" style="43" customWidth="1"/>
    <col min="4" max="4" width="7.88671875" style="43" customWidth="1"/>
    <col min="5" max="5" width="6.6640625" style="43" customWidth="1"/>
    <col min="6" max="6" width="10.5546875" style="43" customWidth="1"/>
    <col min="7" max="11" width="11.5546875" style="43" bestFit="1" customWidth="1"/>
    <col min="12" max="12" width="11.88671875" style="43" bestFit="1" customWidth="1"/>
    <col min="13" max="14" width="11.5546875" style="43" bestFit="1" customWidth="1"/>
    <col min="15" max="15" width="11.5546875" style="43" customWidth="1"/>
    <col min="16" max="16" width="11.88671875" style="43" customWidth="1"/>
    <col min="17" max="17" width="11.5546875" style="43" customWidth="1"/>
    <col min="18" max="18" width="11.88671875" style="43" customWidth="1"/>
    <col min="19" max="19" width="11.5546875" style="43" customWidth="1"/>
    <col min="20" max="20" width="11.88671875" style="43" customWidth="1"/>
    <col min="21" max="21" width="11.5546875" style="43" customWidth="1"/>
    <col min="22" max="22" width="11.88671875" style="43" customWidth="1"/>
    <col min="23" max="23" width="11.5546875" style="43" customWidth="1"/>
    <col min="24" max="24" width="11.88671875" style="43" customWidth="1"/>
    <col min="25" max="25" width="11.5546875" style="43" customWidth="1"/>
    <col min="26" max="26" width="11.88671875" style="43" customWidth="1"/>
    <col min="27" max="27" width="11.5546875" style="43" customWidth="1"/>
    <col min="28" max="30" width="11.88671875" style="43" customWidth="1"/>
    <col min="31" max="31" width="12.6640625" style="43" bestFit="1" customWidth="1"/>
    <col min="32" max="32" width="13.109375" style="43" bestFit="1" customWidth="1"/>
    <col min="33" max="33" width="11" style="43" customWidth="1"/>
    <col min="34" max="34" width="10.88671875" style="43" customWidth="1"/>
    <col min="35" max="35" width="13" style="43" customWidth="1"/>
    <col min="36" max="36" width="11.44140625" style="43" bestFit="1" customWidth="1"/>
    <col min="37" max="16384" width="9.109375" style="43"/>
  </cols>
  <sheetData>
    <row r="1" spans="1:35" ht="25.2" customHeight="1">
      <c r="B1" s="44" t="s">
        <v>119</v>
      </c>
      <c r="C1" s="45"/>
      <c r="Q1" s="46"/>
      <c r="R1" s="47"/>
    </row>
    <row r="2" spans="1:35" ht="0.75" customHeight="1"/>
    <row r="3" spans="1:35" s="48" customFormat="1" ht="38.25" customHeight="1">
      <c r="A3" s="277" t="s">
        <v>1</v>
      </c>
      <c r="B3" s="277" t="s">
        <v>2</v>
      </c>
      <c r="C3" s="278" t="s">
        <v>120</v>
      </c>
      <c r="D3" s="278" t="s">
        <v>4</v>
      </c>
      <c r="E3" s="278" t="s">
        <v>4</v>
      </c>
      <c r="F3" s="278" t="s">
        <v>5</v>
      </c>
      <c r="G3" s="282" t="s">
        <v>121</v>
      </c>
      <c r="H3" s="282"/>
      <c r="I3" s="279" t="s">
        <v>122</v>
      </c>
      <c r="J3" s="279"/>
      <c r="K3" s="279" t="s">
        <v>123</v>
      </c>
      <c r="L3" s="279"/>
      <c r="M3" s="279" t="s">
        <v>124</v>
      </c>
      <c r="N3" s="279"/>
      <c r="O3" s="279" t="s">
        <v>125</v>
      </c>
      <c r="P3" s="279"/>
      <c r="Q3" s="279" t="s">
        <v>126</v>
      </c>
      <c r="R3" s="279"/>
      <c r="S3" s="279" t="s">
        <v>127</v>
      </c>
      <c r="T3" s="279"/>
      <c r="U3" s="279" t="s">
        <v>128</v>
      </c>
      <c r="V3" s="279"/>
      <c r="W3" s="279" t="s">
        <v>129</v>
      </c>
      <c r="X3" s="279"/>
      <c r="Y3" s="279" t="s">
        <v>130</v>
      </c>
      <c r="Z3" s="279"/>
      <c r="AA3" s="279" t="s">
        <v>131</v>
      </c>
      <c r="AB3" s="279"/>
      <c r="AC3" s="279" t="s">
        <v>132</v>
      </c>
      <c r="AD3" s="279"/>
      <c r="AE3" s="279" t="s">
        <v>133</v>
      </c>
      <c r="AF3" s="279"/>
    </row>
    <row r="4" spans="1:35" s="48" customFormat="1" ht="25.2" customHeight="1">
      <c r="A4" s="277"/>
      <c r="B4" s="277"/>
      <c r="C4" s="278"/>
      <c r="D4" s="278"/>
      <c r="E4" s="278"/>
      <c r="F4" s="278"/>
      <c r="G4" s="49" t="s">
        <v>134</v>
      </c>
      <c r="H4" s="50" t="s">
        <v>135</v>
      </c>
      <c r="I4" s="49" t="s">
        <v>134</v>
      </c>
      <c r="J4" s="50" t="s">
        <v>135</v>
      </c>
      <c r="K4" s="49" t="s">
        <v>134</v>
      </c>
      <c r="L4" s="50" t="s">
        <v>135</v>
      </c>
      <c r="M4" s="49" t="s">
        <v>134</v>
      </c>
      <c r="N4" s="50" t="s">
        <v>135</v>
      </c>
      <c r="O4" s="49" t="s">
        <v>134</v>
      </c>
      <c r="P4" s="50" t="s">
        <v>135</v>
      </c>
      <c r="Q4" s="49" t="s">
        <v>134</v>
      </c>
      <c r="R4" s="50" t="s">
        <v>135</v>
      </c>
      <c r="S4" s="49" t="s">
        <v>134</v>
      </c>
      <c r="T4" s="50" t="s">
        <v>135</v>
      </c>
      <c r="U4" s="49" t="s">
        <v>134</v>
      </c>
      <c r="V4" s="50" t="s">
        <v>135</v>
      </c>
      <c r="W4" s="49" t="s">
        <v>134</v>
      </c>
      <c r="X4" s="50" t="s">
        <v>135</v>
      </c>
      <c r="Y4" s="49" t="s">
        <v>134</v>
      </c>
      <c r="Z4" s="50" t="s">
        <v>135</v>
      </c>
      <c r="AA4" s="49" t="s">
        <v>134</v>
      </c>
      <c r="AB4" s="50" t="s">
        <v>135</v>
      </c>
      <c r="AC4" s="51" t="s">
        <v>134</v>
      </c>
      <c r="AD4" s="50" t="s">
        <v>135</v>
      </c>
      <c r="AE4" s="49" t="s">
        <v>134</v>
      </c>
      <c r="AF4" s="50" t="s">
        <v>135</v>
      </c>
    </row>
    <row r="5" spans="1:35" s="62" customFormat="1" ht="25.2" customHeight="1">
      <c r="A5" s="52">
        <v>1</v>
      </c>
      <c r="B5" s="53" t="s">
        <v>19</v>
      </c>
      <c r="C5" s="52">
        <v>20</v>
      </c>
      <c r="D5" s="54" t="s">
        <v>136</v>
      </c>
      <c r="E5" s="52">
        <v>0.7</v>
      </c>
      <c r="F5" s="52" t="s">
        <v>12</v>
      </c>
      <c r="G5" s="55">
        <v>48228</v>
      </c>
      <c r="H5" s="56">
        <f t="shared" ref="H5:H41" si="0">+$E5*G5</f>
        <v>33759.599999999999</v>
      </c>
      <c r="I5" s="55">
        <v>36072</v>
      </c>
      <c r="J5" s="56">
        <f t="shared" ref="J5:J41" si="1">+$E5*I5</f>
        <v>25250.399999999998</v>
      </c>
      <c r="K5" s="55">
        <v>42647</v>
      </c>
      <c r="L5" s="56">
        <f t="shared" ref="L5:L41" si="2">+$E5*K5</f>
        <v>29852.899999999998</v>
      </c>
      <c r="M5" s="55">
        <v>36856</v>
      </c>
      <c r="N5" s="56">
        <f t="shared" ref="N5:N41" si="3">+$E5*M5</f>
        <v>25799.199999999997</v>
      </c>
      <c r="O5" s="55">
        <v>33804</v>
      </c>
      <c r="P5" s="56">
        <f t="shared" ref="P5:P41" si="4">+$E5*O5</f>
        <v>23662.799999999999</v>
      </c>
      <c r="Q5" s="55">
        <v>35760</v>
      </c>
      <c r="R5" s="56">
        <f t="shared" ref="R5:R41" si="5">+$E5*Q5</f>
        <v>25032</v>
      </c>
      <c r="S5" s="55">
        <v>30059</v>
      </c>
      <c r="T5" s="56">
        <f t="shared" ref="T5:T41" si="6">+$E5*S5</f>
        <v>21041.3</v>
      </c>
      <c r="U5" s="55">
        <v>28524</v>
      </c>
      <c r="V5" s="56">
        <f t="shared" ref="V5:V41" si="7">+$E5*U5</f>
        <v>19966.8</v>
      </c>
      <c r="W5" s="55">
        <v>22953</v>
      </c>
      <c r="X5" s="56">
        <f t="shared" ref="X5:X41" si="8">+$E5*W5</f>
        <v>16067.099999999999</v>
      </c>
      <c r="Y5" s="55">
        <v>22835</v>
      </c>
      <c r="Z5" s="56">
        <f t="shared" ref="Z5:Z41" si="9">+$E5*Y5</f>
        <v>15984.499999999998</v>
      </c>
      <c r="AA5" s="55">
        <v>23747</v>
      </c>
      <c r="AB5" s="56">
        <f t="shared" ref="AB5:AB41" si="10">+$E5*AA5</f>
        <v>16622.899999999998</v>
      </c>
      <c r="AC5" s="57">
        <v>26058</v>
      </c>
      <c r="AD5" s="56">
        <f>AC5*E5</f>
        <v>18240.599999999999</v>
      </c>
      <c r="AE5" s="58">
        <f>G5+I5+K5+M5+O5+Q5+S5+U5+W5+Y5+AA5+AC5</f>
        <v>387543</v>
      </c>
      <c r="AF5" s="59">
        <f>H5+J5+L5+N5+P5+R5+T5+V5+X5+Z5+AB5+AD5</f>
        <v>271280.09999999998</v>
      </c>
      <c r="AG5" s="60">
        <f>AE5/12</f>
        <v>32295.25</v>
      </c>
      <c r="AH5" s="60">
        <f>AF5/12</f>
        <v>22606.674999999999</v>
      </c>
      <c r="AI5" s="61"/>
    </row>
    <row r="6" spans="1:35" s="62" customFormat="1" ht="25.2" customHeight="1">
      <c r="A6" s="52">
        <v>2</v>
      </c>
      <c r="B6" s="53" t="s">
        <v>19</v>
      </c>
      <c r="C6" s="52"/>
      <c r="D6" s="54" t="s">
        <v>136</v>
      </c>
      <c r="E6" s="52">
        <v>0.7</v>
      </c>
      <c r="F6" s="52" t="s">
        <v>80</v>
      </c>
      <c r="G6" s="55">
        <v>24</v>
      </c>
      <c r="H6" s="56">
        <f t="shared" si="0"/>
        <v>16.799999999999997</v>
      </c>
      <c r="I6" s="55">
        <v>0</v>
      </c>
      <c r="J6" s="56">
        <f t="shared" si="1"/>
        <v>0</v>
      </c>
      <c r="K6" s="55">
        <v>0</v>
      </c>
      <c r="L6" s="56">
        <f t="shared" si="2"/>
        <v>0</v>
      </c>
      <c r="M6" s="55">
        <v>0</v>
      </c>
      <c r="N6" s="56">
        <f t="shared" si="3"/>
        <v>0</v>
      </c>
      <c r="O6" s="55">
        <v>0</v>
      </c>
      <c r="P6" s="56">
        <f t="shared" si="4"/>
        <v>0</v>
      </c>
      <c r="Q6" s="55">
        <v>0</v>
      </c>
      <c r="R6" s="56">
        <f t="shared" si="5"/>
        <v>0</v>
      </c>
      <c r="S6" s="55">
        <v>0</v>
      </c>
      <c r="T6" s="56">
        <f t="shared" si="6"/>
        <v>0</v>
      </c>
      <c r="U6" s="55">
        <v>0</v>
      </c>
      <c r="V6" s="56">
        <f t="shared" si="7"/>
        <v>0</v>
      </c>
      <c r="W6" s="55">
        <v>0</v>
      </c>
      <c r="X6" s="56">
        <f t="shared" si="8"/>
        <v>0</v>
      </c>
      <c r="Y6" s="55"/>
      <c r="Z6" s="56">
        <f t="shared" si="9"/>
        <v>0</v>
      </c>
      <c r="AA6" s="55"/>
      <c r="AB6" s="56">
        <f t="shared" si="10"/>
        <v>0</v>
      </c>
      <c r="AC6" s="57"/>
      <c r="AD6" s="56">
        <f t="shared" ref="AD6:AD41" si="11">AC6*E6</f>
        <v>0</v>
      </c>
      <c r="AE6" s="58">
        <f t="shared" ref="AE6:AF41" si="12">G6+I6+K6+M6+O6+Q6+S6+U6+W6+Y6+AA6+AC6</f>
        <v>24</v>
      </c>
      <c r="AF6" s="59">
        <f t="shared" si="12"/>
        <v>16.799999999999997</v>
      </c>
      <c r="AG6" s="60">
        <f t="shared" ref="AG6:AH42" si="13">AE6/12</f>
        <v>2</v>
      </c>
      <c r="AH6" s="60">
        <f t="shared" si="13"/>
        <v>1.3999999999999997</v>
      </c>
      <c r="AI6" s="63"/>
    </row>
    <row r="7" spans="1:35" s="67" customFormat="1" ht="25.2" customHeight="1">
      <c r="A7" s="52">
        <v>3</v>
      </c>
      <c r="B7" s="53" t="s">
        <v>23</v>
      </c>
      <c r="C7" s="64">
        <v>18</v>
      </c>
      <c r="D7" s="54" t="s">
        <v>137</v>
      </c>
      <c r="E7" s="64">
        <v>0.64</v>
      </c>
      <c r="F7" s="64" t="s">
        <v>80</v>
      </c>
      <c r="G7" s="65">
        <v>40752</v>
      </c>
      <c r="H7" s="56">
        <f t="shared" si="0"/>
        <v>26081.279999999999</v>
      </c>
      <c r="I7" s="65">
        <v>24000</v>
      </c>
      <c r="J7" s="56">
        <f t="shared" si="1"/>
        <v>15360</v>
      </c>
      <c r="K7" s="65">
        <v>29232</v>
      </c>
      <c r="L7" s="56">
        <f t="shared" si="2"/>
        <v>18708.48</v>
      </c>
      <c r="M7" s="65">
        <v>34080</v>
      </c>
      <c r="N7" s="56">
        <f t="shared" si="3"/>
        <v>21811.200000000001</v>
      </c>
      <c r="O7" s="55">
        <v>31704</v>
      </c>
      <c r="P7" s="56">
        <f t="shared" si="4"/>
        <v>20290.560000000001</v>
      </c>
      <c r="Q7" s="65">
        <v>24672</v>
      </c>
      <c r="R7" s="56">
        <f t="shared" si="5"/>
        <v>15790.08</v>
      </c>
      <c r="S7" s="65">
        <v>26640</v>
      </c>
      <c r="T7" s="56">
        <f t="shared" si="6"/>
        <v>17049.599999999999</v>
      </c>
      <c r="U7" s="65">
        <v>26928</v>
      </c>
      <c r="V7" s="56">
        <f t="shared" si="7"/>
        <v>17233.920000000002</v>
      </c>
      <c r="W7" s="65">
        <v>12312</v>
      </c>
      <c r="X7" s="56">
        <f t="shared" si="8"/>
        <v>7879.68</v>
      </c>
      <c r="Y7" s="65">
        <v>16080</v>
      </c>
      <c r="Z7" s="56">
        <f t="shared" si="9"/>
        <v>10291.200000000001</v>
      </c>
      <c r="AA7" s="65">
        <v>15720</v>
      </c>
      <c r="AB7" s="56">
        <f t="shared" si="10"/>
        <v>10060.800000000001</v>
      </c>
      <c r="AC7" s="57">
        <v>26880</v>
      </c>
      <c r="AD7" s="56">
        <f t="shared" si="11"/>
        <v>17203.2</v>
      </c>
      <c r="AE7" s="58">
        <f t="shared" si="12"/>
        <v>309000</v>
      </c>
      <c r="AF7" s="59">
        <f t="shared" si="12"/>
        <v>197760</v>
      </c>
      <c r="AG7" s="60">
        <f t="shared" si="13"/>
        <v>25750</v>
      </c>
      <c r="AH7" s="60">
        <f t="shared" si="13"/>
        <v>16480</v>
      </c>
      <c r="AI7" s="66"/>
    </row>
    <row r="8" spans="1:35" s="67" customFormat="1" ht="25.2" customHeight="1">
      <c r="A8" s="52">
        <v>4</v>
      </c>
      <c r="B8" s="53" t="s">
        <v>23</v>
      </c>
      <c r="C8" s="64">
        <v>18</v>
      </c>
      <c r="D8" s="54" t="s">
        <v>137</v>
      </c>
      <c r="E8" s="64">
        <v>0.64</v>
      </c>
      <c r="F8" s="64" t="s">
        <v>22</v>
      </c>
      <c r="G8" s="65">
        <v>1062432</v>
      </c>
      <c r="H8" s="56">
        <f t="shared" si="0"/>
        <v>679956.47999999998</v>
      </c>
      <c r="I8" s="65">
        <v>888174</v>
      </c>
      <c r="J8" s="56">
        <f t="shared" si="1"/>
        <v>568431.35999999999</v>
      </c>
      <c r="K8" s="65">
        <v>985152</v>
      </c>
      <c r="L8" s="56">
        <f t="shared" si="2"/>
        <v>630497.28000000003</v>
      </c>
      <c r="M8" s="65">
        <v>966210</v>
      </c>
      <c r="N8" s="56">
        <f t="shared" si="3"/>
        <v>618374.40000000002</v>
      </c>
      <c r="O8" s="55">
        <v>1008938</v>
      </c>
      <c r="P8" s="56">
        <f t="shared" si="4"/>
        <v>645720.32000000007</v>
      </c>
      <c r="Q8" s="65">
        <v>1108953</v>
      </c>
      <c r="R8" s="56">
        <f t="shared" si="5"/>
        <v>709729.92</v>
      </c>
      <c r="S8" s="65">
        <v>925364</v>
      </c>
      <c r="T8" s="56">
        <f t="shared" si="6"/>
        <v>592232.95999999996</v>
      </c>
      <c r="U8" s="65">
        <v>766892</v>
      </c>
      <c r="V8" s="56">
        <f t="shared" si="7"/>
        <v>490810.88</v>
      </c>
      <c r="W8" s="65">
        <v>730395</v>
      </c>
      <c r="X8" s="56">
        <f t="shared" si="8"/>
        <v>467452.8</v>
      </c>
      <c r="Y8" s="65">
        <v>834624</v>
      </c>
      <c r="Z8" s="56">
        <f t="shared" si="9"/>
        <v>534159.35999999999</v>
      </c>
      <c r="AA8" s="65">
        <v>812171</v>
      </c>
      <c r="AB8" s="56">
        <f t="shared" si="10"/>
        <v>519789.44</v>
      </c>
      <c r="AC8" s="57">
        <v>764567</v>
      </c>
      <c r="AD8" s="56">
        <f t="shared" si="11"/>
        <v>489322.88</v>
      </c>
      <c r="AE8" s="58">
        <f t="shared" si="12"/>
        <v>10853872</v>
      </c>
      <c r="AF8" s="59">
        <f t="shared" si="12"/>
        <v>6946478.0800000001</v>
      </c>
      <c r="AG8" s="60">
        <f t="shared" si="13"/>
        <v>904489.33333333337</v>
      </c>
      <c r="AH8" s="60">
        <f t="shared" si="13"/>
        <v>578873.17333333334</v>
      </c>
      <c r="AI8" s="66"/>
    </row>
    <row r="9" spans="1:35" s="67" customFormat="1" ht="25.2" customHeight="1">
      <c r="A9" s="52">
        <v>5</v>
      </c>
      <c r="B9" s="53" t="s">
        <v>23</v>
      </c>
      <c r="C9" s="64"/>
      <c r="D9" s="54" t="s">
        <v>137</v>
      </c>
      <c r="E9" s="64">
        <v>0.64</v>
      </c>
      <c r="F9" s="64" t="s">
        <v>138</v>
      </c>
      <c r="G9" s="65">
        <v>1440</v>
      </c>
      <c r="H9" s="56">
        <f t="shared" si="0"/>
        <v>921.6</v>
      </c>
      <c r="I9" s="65">
        <v>720</v>
      </c>
      <c r="J9" s="56">
        <f t="shared" si="1"/>
        <v>460.8</v>
      </c>
      <c r="K9" s="65">
        <v>0</v>
      </c>
      <c r="L9" s="56">
        <f t="shared" si="2"/>
        <v>0</v>
      </c>
      <c r="M9" s="65">
        <v>720</v>
      </c>
      <c r="N9" s="56">
        <f t="shared" si="3"/>
        <v>460.8</v>
      </c>
      <c r="O9" s="55">
        <f>1416+2124+2124</f>
        <v>5664</v>
      </c>
      <c r="P9" s="56">
        <f t="shared" si="4"/>
        <v>3624.96</v>
      </c>
      <c r="Q9" s="65">
        <v>708</v>
      </c>
      <c r="R9" s="56">
        <f t="shared" si="5"/>
        <v>453.12</v>
      </c>
      <c r="S9" s="65">
        <v>708</v>
      </c>
      <c r="T9" s="56">
        <f t="shared" si="6"/>
        <v>453.12</v>
      </c>
      <c r="U9" s="65">
        <v>2124</v>
      </c>
      <c r="V9" s="56">
        <f t="shared" si="7"/>
        <v>1359.3600000000001</v>
      </c>
      <c r="W9" s="65">
        <v>708</v>
      </c>
      <c r="X9" s="56">
        <f t="shared" si="8"/>
        <v>453.12</v>
      </c>
      <c r="Y9" s="65">
        <v>696</v>
      </c>
      <c r="Z9" s="56">
        <f t="shared" si="9"/>
        <v>445.44</v>
      </c>
      <c r="AA9" s="65">
        <v>1158</v>
      </c>
      <c r="AB9" s="56">
        <f t="shared" si="10"/>
        <v>741.12</v>
      </c>
      <c r="AC9" s="57">
        <v>2496</v>
      </c>
      <c r="AD9" s="56">
        <f t="shared" si="11"/>
        <v>1597.44</v>
      </c>
      <c r="AE9" s="58">
        <f t="shared" si="12"/>
        <v>17142</v>
      </c>
      <c r="AF9" s="59">
        <f t="shared" si="12"/>
        <v>10970.880000000001</v>
      </c>
      <c r="AG9" s="60">
        <f t="shared" si="13"/>
        <v>1428.5</v>
      </c>
      <c r="AH9" s="60">
        <f t="shared" si="13"/>
        <v>914.24000000000012</v>
      </c>
      <c r="AI9" s="66"/>
    </row>
    <row r="10" spans="1:35" s="67" customFormat="1" ht="25.2" customHeight="1">
      <c r="A10" s="52">
        <v>6</v>
      </c>
      <c r="B10" s="68" t="s">
        <v>54</v>
      </c>
      <c r="C10" s="64">
        <v>20</v>
      </c>
      <c r="D10" s="54" t="s">
        <v>137</v>
      </c>
      <c r="E10" s="64">
        <v>0.64</v>
      </c>
      <c r="F10" s="64" t="s">
        <v>48</v>
      </c>
      <c r="G10" s="65">
        <v>420</v>
      </c>
      <c r="H10" s="56">
        <f t="shared" si="0"/>
        <v>268.8</v>
      </c>
      <c r="I10" s="65">
        <v>70</v>
      </c>
      <c r="J10" s="56">
        <f t="shared" si="1"/>
        <v>44.800000000000004</v>
      </c>
      <c r="K10" s="65">
        <v>0</v>
      </c>
      <c r="L10" s="56">
        <f t="shared" si="2"/>
        <v>0</v>
      </c>
      <c r="M10" s="65">
        <v>70</v>
      </c>
      <c r="N10" s="56">
        <f t="shared" si="3"/>
        <v>44.800000000000004</v>
      </c>
      <c r="O10" s="55">
        <v>0</v>
      </c>
      <c r="P10" s="56">
        <f t="shared" si="4"/>
        <v>0</v>
      </c>
      <c r="Q10" s="65">
        <v>70</v>
      </c>
      <c r="R10" s="56">
        <f t="shared" si="5"/>
        <v>44.800000000000004</v>
      </c>
      <c r="S10" s="65">
        <v>70</v>
      </c>
      <c r="T10" s="56">
        <f t="shared" si="6"/>
        <v>44.800000000000004</v>
      </c>
      <c r="U10" s="65">
        <v>70</v>
      </c>
      <c r="V10" s="56">
        <f t="shared" si="7"/>
        <v>44.800000000000004</v>
      </c>
      <c r="W10" s="65">
        <v>70</v>
      </c>
      <c r="X10" s="56">
        <f t="shared" si="8"/>
        <v>44.800000000000004</v>
      </c>
      <c r="Y10" s="65">
        <v>70</v>
      </c>
      <c r="Z10" s="56">
        <f t="shared" si="9"/>
        <v>44.800000000000004</v>
      </c>
      <c r="AA10" s="65">
        <v>168</v>
      </c>
      <c r="AB10" s="56">
        <f t="shared" si="10"/>
        <v>107.52</v>
      </c>
      <c r="AC10" s="57"/>
      <c r="AD10" s="56">
        <f t="shared" si="11"/>
        <v>0</v>
      </c>
      <c r="AE10" s="58">
        <f t="shared" si="12"/>
        <v>1078</v>
      </c>
      <c r="AF10" s="59">
        <f t="shared" si="12"/>
        <v>689.92</v>
      </c>
      <c r="AG10" s="60">
        <f>AE10/12</f>
        <v>89.833333333333329</v>
      </c>
      <c r="AH10" s="60">
        <f t="shared" si="13"/>
        <v>57.493333333333332</v>
      </c>
      <c r="AI10" s="66"/>
    </row>
    <row r="11" spans="1:35" s="67" customFormat="1" ht="25.2" customHeight="1">
      <c r="A11" s="52">
        <v>7</v>
      </c>
      <c r="B11" s="68" t="s">
        <v>59</v>
      </c>
      <c r="C11" s="64">
        <v>16</v>
      </c>
      <c r="D11" s="54" t="s">
        <v>137</v>
      </c>
      <c r="E11" s="64">
        <v>0.64</v>
      </c>
      <c r="F11" s="64" t="s">
        <v>48</v>
      </c>
      <c r="G11" s="65">
        <v>2940</v>
      </c>
      <c r="H11" s="56">
        <f t="shared" si="0"/>
        <v>1881.6000000000001</v>
      </c>
      <c r="I11" s="65">
        <v>1932</v>
      </c>
      <c r="J11" s="56">
        <f t="shared" si="1"/>
        <v>1236.48</v>
      </c>
      <c r="K11" s="65">
        <v>3192</v>
      </c>
      <c r="L11" s="56">
        <f t="shared" si="2"/>
        <v>2042.88</v>
      </c>
      <c r="M11" s="65">
        <v>2240</v>
      </c>
      <c r="N11" s="56">
        <f t="shared" si="3"/>
        <v>1433.6000000000001</v>
      </c>
      <c r="O11" s="55">
        <v>2660</v>
      </c>
      <c r="P11" s="56">
        <f t="shared" si="4"/>
        <v>1702.4</v>
      </c>
      <c r="Q11" s="65">
        <v>3865</v>
      </c>
      <c r="R11" s="56">
        <f t="shared" si="5"/>
        <v>2473.6</v>
      </c>
      <c r="S11" s="65">
        <v>1919</v>
      </c>
      <c r="T11" s="56">
        <f t="shared" si="6"/>
        <v>1228.1600000000001</v>
      </c>
      <c r="U11" s="65">
        <v>2507</v>
      </c>
      <c r="V11" s="56">
        <f t="shared" si="7"/>
        <v>1604.48</v>
      </c>
      <c r="W11" s="65">
        <v>840</v>
      </c>
      <c r="X11" s="56">
        <f t="shared" si="8"/>
        <v>537.6</v>
      </c>
      <c r="Y11" s="65">
        <v>974</v>
      </c>
      <c r="Z11" s="56">
        <f t="shared" si="9"/>
        <v>623.36</v>
      </c>
      <c r="AA11" s="65"/>
      <c r="AB11" s="69">
        <f t="shared" si="10"/>
        <v>0</v>
      </c>
      <c r="AC11" s="57">
        <v>98</v>
      </c>
      <c r="AD11" s="56">
        <f t="shared" si="11"/>
        <v>62.72</v>
      </c>
      <c r="AE11" s="58">
        <f t="shared" si="12"/>
        <v>23167</v>
      </c>
      <c r="AF11" s="59">
        <f t="shared" si="12"/>
        <v>14826.880000000001</v>
      </c>
      <c r="AG11" s="60">
        <f t="shared" si="13"/>
        <v>1930.5833333333333</v>
      </c>
      <c r="AH11" s="60">
        <f t="shared" si="13"/>
        <v>1235.5733333333335</v>
      </c>
      <c r="AI11" s="66"/>
    </row>
    <row r="12" spans="1:35" s="67" customFormat="1" ht="25.2" customHeight="1">
      <c r="A12" s="52">
        <v>8</v>
      </c>
      <c r="B12" s="68" t="s">
        <v>66</v>
      </c>
      <c r="C12" s="64">
        <v>16</v>
      </c>
      <c r="D12" s="54" t="s">
        <v>137</v>
      </c>
      <c r="E12" s="64">
        <v>0.64</v>
      </c>
      <c r="F12" s="64" t="s">
        <v>48</v>
      </c>
      <c r="G12" s="65">
        <v>37632</v>
      </c>
      <c r="H12" s="56">
        <f t="shared" si="0"/>
        <v>24084.48</v>
      </c>
      <c r="I12" s="65">
        <v>28126</v>
      </c>
      <c r="J12" s="56">
        <f t="shared" si="1"/>
        <v>18000.64</v>
      </c>
      <c r="K12" s="65">
        <v>33992</v>
      </c>
      <c r="L12" s="56">
        <f t="shared" si="2"/>
        <v>21754.880000000001</v>
      </c>
      <c r="M12" s="65">
        <v>33390</v>
      </c>
      <c r="N12" s="56">
        <f t="shared" si="3"/>
        <v>21369.600000000002</v>
      </c>
      <c r="O12" s="55">
        <v>26824</v>
      </c>
      <c r="P12" s="56">
        <f t="shared" si="4"/>
        <v>17167.36</v>
      </c>
      <c r="Q12" s="65"/>
      <c r="R12" s="56">
        <f t="shared" si="5"/>
        <v>0</v>
      </c>
      <c r="S12" s="65">
        <v>33883</v>
      </c>
      <c r="T12" s="56">
        <f t="shared" si="6"/>
        <v>21685.119999999999</v>
      </c>
      <c r="U12" s="65">
        <v>27385</v>
      </c>
      <c r="V12" s="56">
        <f t="shared" si="7"/>
        <v>17526.400000000001</v>
      </c>
      <c r="W12" s="65">
        <v>25313</v>
      </c>
      <c r="X12" s="56">
        <f t="shared" si="8"/>
        <v>16200.32</v>
      </c>
      <c r="Y12" s="65">
        <v>29820</v>
      </c>
      <c r="Z12" s="56">
        <f t="shared" si="9"/>
        <v>19084.8</v>
      </c>
      <c r="AA12" s="65">
        <v>21307</v>
      </c>
      <c r="AB12" s="56">
        <f t="shared" si="10"/>
        <v>13636.48</v>
      </c>
      <c r="AC12" s="57">
        <v>27160</v>
      </c>
      <c r="AD12" s="56">
        <f t="shared" si="11"/>
        <v>17382.400000000001</v>
      </c>
      <c r="AE12" s="58">
        <f t="shared" si="12"/>
        <v>324832</v>
      </c>
      <c r="AF12" s="59">
        <f t="shared" si="12"/>
        <v>207892.48000000001</v>
      </c>
      <c r="AG12" s="60">
        <f t="shared" si="13"/>
        <v>27069.333333333332</v>
      </c>
      <c r="AH12" s="60">
        <f t="shared" si="13"/>
        <v>17324.373333333333</v>
      </c>
      <c r="AI12" s="66"/>
    </row>
    <row r="13" spans="1:35" s="67" customFormat="1" ht="25.2" customHeight="1">
      <c r="A13" s="52">
        <v>9</v>
      </c>
      <c r="B13" s="68" t="s">
        <v>91</v>
      </c>
      <c r="C13" s="64">
        <v>19</v>
      </c>
      <c r="D13" s="54" t="s">
        <v>137</v>
      </c>
      <c r="E13" s="64">
        <v>0.64</v>
      </c>
      <c r="F13" s="64" t="s">
        <v>48</v>
      </c>
      <c r="G13" s="65">
        <v>574</v>
      </c>
      <c r="H13" s="56">
        <f t="shared" si="0"/>
        <v>367.36</v>
      </c>
      <c r="I13" s="65">
        <v>0</v>
      </c>
      <c r="J13" s="56">
        <f t="shared" si="1"/>
        <v>0</v>
      </c>
      <c r="K13" s="65">
        <v>980</v>
      </c>
      <c r="L13" s="56">
        <f t="shared" si="2"/>
        <v>627.20000000000005</v>
      </c>
      <c r="M13" s="65">
        <v>280</v>
      </c>
      <c r="N13" s="56">
        <f t="shared" si="3"/>
        <v>179.20000000000002</v>
      </c>
      <c r="O13" s="55">
        <v>280</v>
      </c>
      <c r="P13" s="56">
        <f t="shared" si="4"/>
        <v>179.20000000000002</v>
      </c>
      <c r="Q13" s="65">
        <v>33950</v>
      </c>
      <c r="R13" s="56">
        <f t="shared" si="5"/>
        <v>21728</v>
      </c>
      <c r="S13" s="65">
        <v>420</v>
      </c>
      <c r="T13" s="56">
        <f t="shared" si="6"/>
        <v>268.8</v>
      </c>
      <c r="U13" s="65">
        <v>280</v>
      </c>
      <c r="V13" s="56">
        <f t="shared" si="7"/>
        <v>179.20000000000002</v>
      </c>
      <c r="W13" s="65">
        <v>420</v>
      </c>
      <c r="X13" s="56">
        <f t="shared" si="8"/>
        <v>268.8</v>
      </c>
      <c r="Y13" s="65">
        <v>1260</v>
      </c>
      <c r="Z13" s="56">
        <f t="shared" si="9"/>
        <v>806.4</v>
      </c>
      <c r="AA13" s="65">
        <v>1136</v>
      </c>
      <c r="AB13" s="56">
        <f t="shared" si="10"/>
        <v>727.04</v>
      </c>
      <c r="AC13" s="57">
        <v>168</v>
      </c>
      <c r="AD13" s="56">
        <f t="shared" si="11"/>
        <v>107.52</v>
      </c>
      <c r="AE13" s="58">
        <f t="shared" si="12"/>
        <v>39748</v>
      </c>
      <c r="AF13" s="59">
        <f t="shared" si="12"/>
        <v>25438.720000000001</v>
      </c>
      <c r="AG13" s="60">
        <f t="shared" si="13"/>
        <v>3312.3333333333335</v>
      </c>
      <c r="AH13" s="60">
        <f t="shared" si="13"/>
        <v>2119.8933333333334</v>
      </c>
      <c r="AI13" s="66"/>
    </row>
    <row r="14" spans="1:35" s="67" customFormat="1" ht="25.2" customHeight="1">
      <c r="A14" s="52">
        <v>10</v>
      </c>
      <c r="B14" s="68" t="s">
        <v>139</v>
      </c>
      <c r="C14" s="64">
        <v>19</v>
      </c>
      <c r="D14" s="54" t="s">
        <v>137</v>
      </c>
      <c r="E14" s="64">
        <v>0.64</v>
      </c>
      <c r="F14" s="64" t="s">
        <v>48</v>
      </c>
      <c r="G14" s="65">
        <v>70</v>
      </c>
      <c r="H14" s="56">
        <f t="shared" si="0"/>
        <v>44.800000000000004</v>
      </c>
      <c r="I14" s="65">
        <v>70</v>
      </c>
      <c r="J14" s="56">
        <f t="shared" si="1"/>
        <v>44.800000000000004</v>
      </c>
      <c r="K14" s="65">
        <v>98</v>
      </c>
      <c r="L14" s="56">
        <f t="shared" si="2"/>
        <v>62.72</v>
      </c>
      <c r="M14" s="65">
        <v>168</v>
      </c>
      <c r="N14" s="56">
        <f t="shared" si="3"/>
        <v>107.52</v>
      </c>
      <c r="O14" s="55">
        <v>0</v>
      </c>
      <c r="P14" s="56">
        <f t="shared" si="4"/>
        <v>0</v>
      </c>
      <c r="Q14" s="65">
        <v>56</v>
      </c>
      <c r="R14" s="56">
        <f t="shared" si="5"/>
        <v>35.840000000000003</v>
      </c>
      <c r="S14" s="65">
        <v>154</v>
      </c>
      <c r="T14" s="56">
        <f t="shared" si="6"/>
        <v>98.56</v>
      </c>
      <c r="U14" s="65">
        <v>224</v>
      </c>
      <c r="V14" s="56">
        <f t="shared" si="7"/>
        <v>143.36000000000001</v>
      </c>
      <c r="W14" s="65">
        <v>0</v>
      </c>
      <c r="X14" s="56">
        <f t="shared" si="8"/>
        <v>0</v>
      </c>
      <c r="Y14" s="65">
        <v>140</v>
      </c>
      <c r="Z14" s="56">
        <f t="shared" si="9"/>
        <v>89.600000000000009</v>
      </c>
      <c r="AA14" s="65">
        <v>252</v>
      </c>
      <c r="AB14" s="56">
        <f t="shared" si="10"/>
        <v>161.28</v>
      </c>
      <c r="AC14" s="57">
        <v>140</v>
      </c>
      <c r="AD14" s="56">
        <f t="shared" si="11"/>
        <v>89.600000000000009</v>
      </c>
      <c r="AE14" s="58">
        <f t="shared" si="12"/>
        <v>1372</v>
      </c>
      <c r="AF14" s="59">
        <f t="shared" si="12"/>
        <v>878.07999999999993</v>
      </c>
      <c r="AG14" s="60">
        <f t="shared" si="13"/>
        <v>114.33333333333333</v>
      </c>
      <c r="AH14" s="60">
        <f t="shared" si="13"/>
        <v>73.173333333333332</v>
      </c>
      <c r="AI14" s="66"/>
    </row>
    <row r="15" spans="1:35" s="67" customFormat="1" ht="25.2" customHeight="1">
      <c r="A15" s="52">
        <v>11</v>
      </c>
      <c r="B15" s="68" t="s">
        <v>90</v>
      </c>
      <c r="C15" s="64">
        <v>19</v>
      </c>
      <c r="D15" s="54" t="s">
        <v>137</v>
      </c>
      <c r="E15" s="64">
        <v>0.64</v>
      </c>
      <c r="F15" s="64" t="s">
        <v>48</v>
      </c>
      <c r="G15" s="65">
        <v>0</v>
      </c>
      <c r="H15" s="56">
        <f t="shared" si="0"/>
        <v>0</v>
      </c>
      <c r="I15" s="65">
        <v>0</v>
      </c>
      <c r="J15" s="56">
        <f t="shared" si="1"/>
        <v>0</v>
      </c>
      <c r="K15" s="65">
        <v>0</v>
      </c>
      <c r="L15" s="56">
        <f t="shared" si="2"/>
        <v>0</v>
      </c>
      <c r="M15" s="65">
        <v>0</v>
      </c>
      <c r="N15" s="56">
        <f t="shared" si="3"/>
        <v>0</v>
      </c>
      <c r="O15" s="55">
        <v>0</v>
      </c>
      <c r="P15" s="56">
        <f t="shared" si="4"/>
        <v>0</v>
      </c>
      <c r="Q15" s="65">
        <v>0</v>
      </c>
      <c r="R15" s="56">
        <f t="shared" si="5"/>
        <v>0</v>
      </c>
      <c r="S15" s="65">
        <v>0</v>
      </c>
      <c r="T15" s="56">
        <f t="shared" si="6"/>
        <v>0</v>
      </c>
      <c r="U15" s="65">
        <v>0</v>
      </c>
      <c r="V15" s="56">
        <f t="shared" si="7"/>
        <v>0</v>
      </c>
      <c r="W15" s="65">
        <v>0</v>
      </c>
      <c r="X15" s="56">
        <f t="shared" si="8"/>
        <v>0</v>
      </c>
      <c r="Y15" s="65"/>
      <c r="Z15" s="56">
        <f t="shared" si="9"/>
        <v>0</v>
      </c>
      <c r="AA15" s="65"/>
      <c r="AB15" s="56">
        <f t="shared" si="10"/>
        <v>0</v>
      </c>
      <c r="AC15" s="57"/>
      <c r="AD15" s="56">
        <f t="shared" si="11"/>
        <v>0</v>
      </c>
      <c r="AE15" s="58">
        <f t="shared" si="12"/>
        <v>0</v>
      </c>
      <c r="AF15" s="59">
        <f t="shared" si="12"/>
        <v>0</v>
      </c>
      <c r="AG15" s="70">
        <f t="shared" si="13"/>
        <v>0</v>
      </c>
      <c r="AH15" s="70">
        <f t="shared" si="13"/>
        <v>0</v>
      </c>
      <c r="AI15" s="66"/>
    </row>
    <row r="16" spans="1:35" s="67" customFormat="1" ht="25.2" customHeight="1">
      <c r="A16" s="52">
        <v>12</v>
      </c>
      <c r="B16" s="68" t="s">
        <v>67</v>
      </c>
      <c r="C16" s="64">
        <v>18</v>
      </c>
      <c r="D16" s="54" t="s">
        <v>137</v>
      </c>
      <c r="E16" s="64">
        <v>0.64</v>
      </c>
      <c r="F16" s="64" t="s">
        <v>48</v>
      </c>
      <c r="G16" s="65">
        <v>107044</v>
      </c>
      <c r="H16" s="56">
        <f t="shared" si="0"/>
        <v>68508.160000000003</v>
      </c>
      <c r="I16" s="65">
        <v>66780</v>
      </c>
      <c r="J16" s="56">
        <f t="shared" si="1"/>
        <v>42739.200000000004</v>
      </c>
      <c r="K16" s="65">
        <v>81508</v>
      </c>
      <c r="L16" s="56">
        <f t="shared" si="2"/>
        <v>52165.120000000003</v>
      </c>
      <c r="M16" s="65">
        <v>90160</v>
      </c>
      <c r="N16" s="56">
        <f t="shared" si="3"/>
        <v>57702.400000000001</v>
      </c>
      <c r="O16" s="55">
        <v>86366</v>
      </c>
      <c r="P16" s="56">
        <f t="shared" si="4"/>
        <v>55274.239999999998</v>
      </c>
      <c r="Q16" s="65">
        <v>94080</v>
      </c>
      <c r="R16" s="56">
        <f t="shared" si="5"/>
        <v>60211.200000000004</v>
      </c>
      <c r="S16" s="65">
        <v>75067</v>
      </c>
      <c r="T16" s="56">
        <f t="shared" si="6"/>
        <v>48042.879999999997</v>
      </c>
      <c r="U16" s="65">
        <v>74872</v>
      </c>
      <c r="V16" s="56">
        <f t="shared" si="7"/>
        <v>47918.080000000002</v>
      </c>
      <c r="W16" s="65">
        <v>63378</v>
      </c>
      <c r="X16" s="56">
        <f t="shared" si="8"/>
        <v>40561.919999999998</v>
      </c>
      <c r="Y16" s="65">
        <v>82180</v>
      </c>
      <c r="Z16" s="56">
        <f t="shared" si="9"/>
        <v>52595.200000000004</v>
      </c>
      <c r="AA16" s="65">
        <v>85008</v>
      </c>
      <c r="AB16" s="56">
        <f t="shared" si="10"/>
        <v>54405.120000000003</v>
      </c>
      <c r="AC16" s="57">
        <v>66178</v>
      </c>
      <c r="AD16" s="56">
        <f t="shared" si="11"/>
        <v>42353.919999999998</v>
      </c>
      <c r="AE16" s="58">
        <f t="shared" si="12"/>
        <v>972621</v>
      </c>
      <c r="AF16" s="59">
        <f t="shared" si="12"/>
        <v>622477.44000000006</v>
      </c>
      <c r="AG16" s="60">
        <f t="shared" si="13"/>
        <v>81051.75</v>
      </c>
      <c r="AH16" s="60">
        <f t="shared" si="13"/>
        <v>51873.120000000003</v>
      </c>
      <c r="AI16" s="66"/>
    </row>
    <row r="17" spans="1:35" s="67" customFormat="1" ht="25.2" customHeight="1">
      <c r="A17" s="52">
        <v>13</v>
      </c>
      <c r="B17" s="68" t="s">
        <v>92</v>
      </c>
      <c r="C17" s="64">
        <v>19</v>
      </c>
      <c r="D17" s="54" t="s">
        <v>137</v>
      </c>
      <c r="E17" s="64">
        <v>0.64</v>
      </c>
      <c r="F17" s="64" t="s">
        <v>48</v>
      </c>
      <c r="G17" s="65">
        <v>0</v>
      </c>
      <c r="H17" s="56">
        <f t="shared" si="0"/>
        <v>0</v>
      </c>
      <c r="I17" s="65">
        <v>0</v>
      </c>
      <c r="J17" s="56">
        <f t="shared" si="1"/>
        <v>0</v>
      </c>
      <c r="K17" s="65">
        <v>0</v>
      </c>
      <c r="L17" s="56">
        <f t="shared" si="2"/>
        <v>0</v>
      </c>
      <c r="M17" s="65">
        <v>0</v>
      </c>
      <c r="N17" s="56">
        <f t="shared" si="3"/>
        <v>0</v>
      </c>
      <c r="O17" s="65">
        <v>0</v>
      </c>
      <c r="P17" s="56">
        <f t="shared" si="4"/>
        <v>0</v>
      </c>
      <c r="Q17" s="65">
        <v>0</v>
      </c>
      <c r="R17" s="56">
        <f t="shared" si="5"/>
        <v>0</v>
      </c>
      <c r="S17" s="65">
        <v>0</v>
      </c>
      <c r="T17" s="56">
        <f t="shared" si="6"/>
        <v>0</v>
      </c>
      <c r="U17" s="65">
        <v>0</v>
      </c>
      <c r="V17" s="56">
        <f t="shared" si="7"/>
        <v>0</v>
      </c>
      <c r="W17" s="65">
        <v>0</v>
      </c>
      <c r="X17" s="56">
        <f t="shared" si="8"/>
        <v>0</v>
      </c>
      <c r="Y17" s="65"/>
      <c r="Z17" s="56">
        <f t="shared" si="9"/>
        <v>0</v>
      </c>
      <c r="AA17" s="65"/>
      <c r="AB17" s="56">
        <f t="shared" si="10"/>
        <v>0</v>
      </c>
      <c r="AC17" s="57"/>
      <c r="AD17" s="56">
        <f t="shared" si="11"/>
        <v>0</v>
      </c>
      <c r="AE17" s="58">
        <f t="shared" si="12"/>
        <v>0</v>
      </c>
      <c r="AF17" s="59">
        <f t="shared" si="12"/>
        <v>0</v>
      </c>
      <c r="AG17" s="70">
        <f t="shared" si="13"/>
        <v>0</v>
      </c>
      <c r="AH17" s="70">
        <f t="shared" si="13"/>
        <v>0</v>
      </c>
      <c r="AI17" s="66"/>
    </row>
    <row r="18" spans="1:35" s="67" customFormat="1" ht="25.2" customHeight="1">
      <c r="A18" s="52">
        <v>14</v>
      </c>
      <c r="B18" s="68" t="s">
        <v>30</v>
      </c>
      <c r="C18" s="64">
        <v>19</v>
      </c>
      <c r="D18" s="54" t="s">
        <v>137</v>
      </c>
      <c r="E18" s="64">
        <v>0.64</v>
      </c>
      <c r="F18" s="64" t="s">
        <v>48</v>
      </c>
      <c r="G18" s="65">
        <v>0</v>
      </c>
      <c r="H18" s="56">
        <f t="shared" si="0"/>
        <v>0</v>
      </c>
      <c r="I18" s="65">
        <v>0</v>
      </c>
      <c r="J18" s="56">
        <f t="shared" si="1"/>
        <v>0</v>
      </c>
      <c r="K18" s="65">
        <v>0</v>
      </c>
      <c r="L18" s="56">
        <f t="shared" si="2"/>
        <v>0</v>
      </c>
      <c r="M18" s="65">
        <v>0</v>
      </c>
      <c r="N18" s="56">
        <f t="shared" si="3"/>
        <v>0</v>
      </c>
      <c r="O18" s="65">
        <v>0</v>
      </c>
      <c r="P18" s="56">
        <f t="shared" si="4"/>
        <v>0</v>
      </c>
      <c r="Q18" s="65">
        <v>0</v>
      </c>
      <c r="R18" s="56">
        <f t="shared" si="5"/>
        <v>0</v>
      </c>
      <c r="S18" s="65">
        <v>0</v>
      </c>
      <c r="T18" s="56">
        <f t="shared" si="6"/>
        <v>0</v>
      </c>
      <c r="U18" s="65">
        <v>0</v>
      </c>
      <c r="V18" s="56">
        <f t="shared" si="7"/>
        <v>0</v>
      </c>
      <c r="W18" s="65">
        <v>0</v>
      </c>
      <c r="X18" s="56">
        <f t="shared" si="8"/>
        <v>0</v>
      </c>
      <c r="Y18" s="65"/>
      <c r="Z18" s="56">
        <f t="shared" si="9"/>
        <v>0</v>
      </c>
      <c r="AA18" s="65"/>
      <c r="AB18" s="56">
        <f t="shared" si="10"/>
        <v>0</v>
      </c>
      <c r="AC18" s="57"/>
      <c r="AD18" s="56">
        <f t="shared" si="11"/>
        <v>0</v>
      </c>
      <c r="AE18" s="58">
        <f t="shared" si="12"/>
        <v>0</v>
      </c>
      <c r="AF18" s="59">
        <f t="shared" si="12"/>
        <v>0</v>
      </c>
      <c r="AG18" s="70">
        <f t="shared" si="13"/>
        <v>0</v>
      </c>
      <c r="AH18" s="70">
        <f t="shared" si="13"/>
        <v>0</v>
      </c>
      <c r="AI18" s="66"/>
    </row>
    <row r="19" spans="1:35" s="73" customFormat="1" ht="25.2" customHeight="1">
      <c r="A19" s="52">
        <v>15</v>
      </c>
      <c r="B19" s="53" t="s">
        <v>45</v>
      </c>
      <c r="C19" s="52">
        <v>24</v>
      </c>
      <c r="D19" s="54" t="s">
        <v>137</v>
      </c>
      <c r="E19" s="64">
        <v>0.64</v>
      </c>
      <c r="F19" s="52" t="s">
        <v>12</v>
      </c>
      <c r="G19" s="71">
        <v>1560</v>
      </c>
      <c r="H19" s="56">
        <f t="shared" si="0"/>
        <v>998.4</v>
      </c>
      <c r="I19" s="71">
        <v>1290</v>
      </c>
      <c r="J19" s="56">
        <f t="shared" si="1"/>
        <v>825.6</v>
      </c>
      <c r="K19" s="71">
        <v>734</v>
      </c>
      <c r="L19" s="56">
        <f t="shared" si="2"/>
        <v>469.76</v>
      </c>
      <c r="M19" s="71">
        <v>924</v>
      </c>
      <c r="N19" s="56">
        <f t="shared" si="3"/>
        <v>591.36</v>
      </c>
      <c r="O19" s="71">
        <v>816</v>
      </c>
      <c r="P19" s="56">
        <f t="shared" si="4"/>
        <v>522.24</v>
      </c>
      <c r="Q19" s="71">
        <v>180</v>
      </c>
      <c r="R19" s="56">
        <f t="shared" si="5"/>
        <v>115.2</v>
      </c>
      <c r="S19" s="71">
        <v>69</v>
      </c>
      <c r="T19" s="56">
        <f t="shared" si="6"/>
        <v>44.160000000000004</v>
      </c>
      <c r="U19" s="71">
        <v>756</v>
      </c>
      <c r="V19" s="56">
        <f t="shared" si="7"/>
        <v>483.84000000000003</v>
      </c>
      <c r="W19" s="71">
        <v>119</v>
      </c>
      <c r="X19" s="56">
        <f t="shared" si="8"/>
        <v>76.16</v>
      </c>
      <c r="Y19" s="71">
        <v>337</v>
      </c>
      <c r="Z19" s="56">
        <f t="shared" si="9"/>
        <v>215.68</v>
      </c>
      <c r="AA19" s="71"/>
      <c r="AB19" s="56">
        <f t="shared" si="10"/>
        <v>0</v>
      </c>
      <c r="AC19" s="57">
        <v>168</v>
      </c>
      <c r="AD19" s="56">
        <f t="shared" si="11"/>
        <v>107.52</v>
      </c>
      <c r="AE19" s="58">
        <f t="shared" si="12"/>
        <v>6953</v>
      </c>
      <c r="AF19" s="59">
        <f t="shared" si="12"/>
        <v>4449.920000000001</v>
      </c>
      <c r="AG19" s="60">
        <f t="shared" si="13"/>
        <v>579.41666666666663</v>
      </c>
      <c r="AH19" s="60">
        <f t="shared" si="13"/>
        <v>370.82666666666677</v>
      </c>
      <c r="AI19" s="72"/>
    </row>
    <row r="20" spans="1:35" s="67" customFormat="1" ht="25.2" customHeight="1">
      <c r="A20" s="52">
        <v>16</v>
      </c>
      <c r="B20" s="74" t="s">
        <v>36</v>
      </c>
      <c r="C20" s="75">
        <v>29</v>
      </c>
      <c r="D20" s="54" t="s">
        <v>137</v>
      </c>
      <c r="E20" s="64">
        <v>0.64</v>
      </c>
      <c r="F20" s="64" t="s">
        <v>48</v>
      </c>
      <c r="G20" s="65">
        <v>10490</v>
      </c>
      <c r="H20" s="56">
        <f t="shared" si="0"/>
        <v>6713.6</v>
      </c>
      <c r="I20" s="65">
        <v>7994</v>
      </c>
      <c r="J20" s="56">
        <f t="shared" si="1"/>
        <v>5116.16</v>
      </c>
      <c r="K20" s="65">
        <v>9360</v>
      </c>
      <c r="L20" s="56">
        <f t="shared" si="2"/>
        <v>5990.4000000000005</v>
      </c>
      <c r="M20" s="65">
        <v>7460</v>
      </c>
      <c r="N20" s="56">
        <f t="shared" si="3"/>
        <v>4774.4000000000005</v>
      </c>
      <c r="O20" s="55">
        <v>6923</v>
      </c>
      <c r="P20" s="56">
        <f t="shared" si="4"/>
        <v>4430.72</v>
      </c>
      <c r="Q20" s="65">
        <v>9616</v>
      </c>
      <c r="R20" s="56">
        <f t="shared" si="5"/>
        <v>6154.24</v>
      </c>
      <c r="S20" s="65">
        <v>9208</v>
      </c>
      <c r="T20" s="56">
        <f t="shared" si="6"/>
        <v>5893.12</v>
      </c>
      <c r="U20" s="65">
        <v>9517</v>
      </c>
      <c r="V20" s="56">
        <f t="shared" si="7"/>
        <v>6090.88</v>
      </c>
      <c r="W20" s="65">
        <v>5529</v>
      </c>
      <c r="X20" s="56">
        <f t="shared" si="8"/>
        <v>3538.56</v>
      </c>
      <c r="Y20" s="65">
        <v>7998</v>
      </c>
      <c r="Z20" s="56">
        <f t="shared" si="9"/>
        <v>5118.72</v>
      </c>
      <c r="AA20" s="65">
        <v>8479</v>
      </c>
      <c r="AB20" s="56">
        <f t="shared" si="10"/>
        <v>5426.56</v>
      </c>
      <c r="AC20" s="57">
        <v>5482</v>
      </c>
      <c r="AD20" s="56">
        <f t="shared" si="11"/>
        <v>3508.48</v>
      </c>
      <c r="AE20" s="58">
        <f t="shared" si="12"/>
        <v>98056</v>
      </c>
      <c r="AF20" s="59">
        <f t="shared" si="12"/>
        <v>62755.840000000004</v>
      </c>
      <c r="AG20" s="60">
        <f t="shared" si="13"/>
        <v>8171.333333333333</v>
      </c>
      <c r="AH20" s="60">
        <f t="shared" si="13"/>
        <v>5229.6533333333336</v>
      </c>
      <c r="AI20" s="66"/>
    </row>
    <row r="21" spans="1:35" ht="25.2" customHeight="1">
      <c r="A21" s="52">
        <v>17</v>
      </c>
      <c r="B21" s="68" t="s">
        <v>94</v>
      </c>
      <c r="C21" s="64">
        <v>38</v>
      </c>
      <c r="D21" s="54" t="s">
        <v>137</v>
      </c>
      <c r="E21" s="64">
        <v>0.64</v>
      </c>
      <c r="F21" s="64" t="s">
        <v>48</v>
      </c>
      <c r="G21" s="76">
        <v>0</v>
      </c>
      <c r="H21" s="56">
        <f t="shared" si="0"/>
        <v>0</v>
      </c>
      <c r="I21" s="76">
        <v>0</v>
      </c>
      <c r="J21" s="56">
        <f t="shared" si="1"/>
        <v>0</v>
      </c>
      <c r="K21" s="76">
        <v>0</v>
      </c>
      <c r="L21" s="56">
        <f t="shared" si="2"/>
        <v>0</v>
      </c>
      <c r="M21" s="76">
        <v>0</v>
      </c>
      <c r="N21" s="56">
        <f t="shared" si="3"/>
        <v>0</v>
      </c>
      <c r="O21" s="76">
        <v>0</v>
      </c>
      <c r="P21" s="56">
        <f t="shared" si="4"/>
        <v>0</v>
      </c>
      <c r="Q21" s="76">
        <v>1419</v>
      </c>
      <c r="R21" s="56">
        <f t="shared" si="5"/>
        <v>908.16</v>
      </c>
      <c r="S21" s="76">
        <v>598</v>
      </c>
      <c r="T21" s="56">
        <f t="shared" si="6"/>
        <v>382.72</v>
      </c>
      <c r="U21" s="76">
        <v>109</v>
      </c>
      <c r="V21" s="56">
        <f t="shared" si="7"/>
        <v>69.760000000000005</v>
      </c>
      <c r="W21" s="76">
        <v>0</v>
      </c>
      <c r="X21" s="56">
        <f t="shared" si="8"/>
        <v>0</v>
      </c>
      <c r="Y21" s="76">
        <v>70</v>
      </c>
      <c r="Z21" s="56">
        <f t="shared" si="9"/>
        <v>44.800000000000004</v>
      </c>
      <c r="AA21" s="76">
        <v>70</v>
      </c>
      <c r="AB21" s="56">
        <f t="shared" si="10"/>
        <v>44.800000000000004</v>
      </c>
      <c r="AC21" s="57"/>
      <c r="AD21" s="56">
        <f t="shared" si="11"/>
        <v>0</v>
      </c>
      <c r="AE21" s="58">
        <f t="shared" si="12"/>
        <v>2266</v>
      </c>
      <c r="AF21" s="59">
        <f t="shared" si="12"/>
        <v>1450.24</v>
      </c>
      <c r="AG21" s="60">
        <f t="shared" si="13"/>
        <v>188.83333333333334</v>
      </c>
      <c r="AH21" s="60">
        <f t="shared" si="13"/>
        <v>120.85333333333334</v>
      </c>
      <c r="AI21" s="77"/>
    </row>
    <row r="22" spans="1:35" ht="25.2" customHeight="1">
      <c r="A22" s="52">
        <v>18</v>
      </c>
      <c r="B22" s="68" t="s">
        <v>95</v>
      </c>
      <c r="C22" s="64">
        <v>38</v>
      </c>
      <c r="D22" s="54" t="s">
        <v>137</v>
      </c>
      <c r="E22" s="64">
        <v>0.64</v>
      </c>
      <c r="F22" s="64" t="s">
        <v>48</v>
      </c>
      <c r="G22" s="76">
        <v>0</v>
      </c>
      <c r="H22" s="56">
        <f t="shared" si="0"/>
        <v>0</v>
      </c>
      <c r="I22" s="76">
        <v>0</v>
      </c>
      <c r="J22" s="56">
        <f t="shared" si="1"/>
        <v>0</v>
      </c>
      <c r="K22" s="76">
        <v>0</v>
      </c>
      <c r="L22" s="56">
        <f t="shared" si="2"/>
        <v>0</v>
      </c>
      <c r="M22" s="76">
        <v>0</v>
      </c>
      <c r="N22" s="56">
        <f t="shared" si="3"/>
        <v>0</v>
      </c>
      <c r="O22" s="76">
        <v>0</v>
      </c>
      <c r="P22" s="56">
        <f t="shared" si="4"/>
        <v>0</v>
      </c>
      <c r="Q22" s="76">
        <v>150</v>
      </c>
      <c r="R22" s="56">
        <f t="shared" si="5"/>
        <v>96</v>
      </c>
      <c r="S22" s="76">
        <v>14</v>
      </c>
      <c r="T22" s="56">
        <f t="shared" si="6"/>
        <v>8.9600000000000009</v>
      </c>
      <c r="U22" s="76">
        <v>0</v>
      </c>
      <c r="V22" s="56">
        <f t="shared" si="7"/>
        <v>0</v>
      </c>
      <c r="W22" s="76">
        <v>0</v>
      </c>
      <c r="X22" s="56">
        <f t="shared" si="8"/>
        <v>0</v>
      </c>
      <c r="Y22" s="76"/>
      <c r="Z22" s="56">
        <f t="shared" si="9"/>
        <v>0</v>
      </c>
      <c r="AA22" s="76"/>
      <c r="AB22" s="56">
        <f t="shared" si="10"/>
        <v>0</v>
      </c>
      <c r="AC22" s="57">
        <v>42</v>
      </c>
      <c r="AD22" s="56">
        <f t="shared" si="11"/>
        <v>26.88</v>
      </c>
      <c r="AE22" s="58">
        <f t="shared" si="12"/>
        <v>206</v>
      </c>
      <c r="AF22" s="59">
        <f t="shared" si="12"/>
        <v>131.84</v>
      </c>
      <c r="AG22" s="60">
        <f t="shared" si="13"/>
        <v>17.166666666666668</v>
      </c>
      <c r="AH22" s="60">
        <f t="shared" si="13"/>
        <v>10.986666666666666</v>
      </c>
      <c r="AI22" s="77"/>
    </row>
    <row r="23" spans="1:35" s="67" customFormat="1" ht="24" customHeight="1">
      <c r="A23" s="52">
        <v>19</v>
      </c>
      <c r="B23" s="68" t="s">
        <v>13</v>
      </c>
      <c r="C23" s="64"/>
      <c r="D23" s="54" t="s">
        <v>140</v>
      </c>
      <c r="E23" s="64">
        <v>1</v>
      </c>
      <c r="F23" s="52" t="s">
        <v>12</v>
      </c>
      <c r="G23" s="76">
        <v>0</v>
      </c>
      <c r="H23" s="56">
        <f t="shared" si="0"/>
        <v>0</v>
      </c>
      <c r="I23" s="76">
        <v>0</v>
      </c>
      <c r="J23" s="56">
        <f t="shared" si="1"/>
        <v>0</v>
      </c>
      <c r="K23" s="65">
        <v>12</v>
      </c>
      <c r="L23" s="56">
        <f t="shared" si="2"/>
        <v>12</v>
      </c>
      <c r="M23" s="65">
        <v>0</v>
      </c>
      <c r="N23" s="56">
        <f t="shared" si="3"/>
        <v>0</v>
      </c>
      <c r="O23" s="55">
        <v>0</v>
      </c>
      <c r="P23" s="56">
        <f t="shared" si="4"/>
        <v>0</v>
      </c>
      <c r="Q23" s="65">
        <v>1152</v>
      </c>
      <c r="R23" s="56">
        <f t="shared" si="5"/>
        <v>1152</v>
      </c>
      <c r="S23" s="65">
        <v>0</v>
      </c>
      <c r="T23" s="56">
        <f t="shared" si="6"/>
        <v>0</v>
      </c>
      <c r="U23" s="65">
        <v>0</v>
      </c>
      <c r="V23" s="56">
        <f t="shared" si="7"/>
        <v>0</v>
      </c>
      <c r="W23" s="65">
        <v>0</v>
      </c>
      <c r="X23" s="56">
        <f t="shared" si="8"/>
        <v>0</v>
      </c>
      <c r="Y23" s="65"/>
      <c r="Z23" s="56">
        <f t="shared" si="9"/>
        <v>0</v>
      </c>
      <c r="AA23" s="65"/>
      <c r="AB23" s="56">
        <f t="shared" si="10"/>
        <v>0</v>
      </c>
      <c r="AC23" s="57"/>
      <c r="AD23" s="56">
        <f t="shared" si="11"/>
        <v>0</v>
      </c>
      <c r="AE23" s="58">
        <f t="shared" si="12"/>
        <v>1164</v>
      </c>
      <c r="AF23" s="59">
        <f t="shared" si="12"/>
        <v>1164</v>
      </c>
      <c r="AG23" s="60">
        <f t="shared" si="13"/>
        <v>97</v>
      </c>
      <c r="AH23" s="60">
        <f t="shared" si="13"/>
        <v>97</v>
      </c>
      <c r="AI23" s="66"/>
    </row>
    <row r="24" spans="1:35" s="67" customFormat="1" ht="24" customHeight="1">
      <c r="A24" s="52">
        <v>20</v>
      </c>
      <c r="B24" s="68" t="s">
        <v>15</v>
      </c>
      <c r="C24" s="64">
        <v>18</v>
      </c>
      <c r="D24" s="54" t="s">
        <v>140</v>
      </c>
      <c r="E24" s="64">
        <v>1</v>
      </c>
      <c r="F24" s="52" t="s">
        <v>12</v>
      </c>
      <c r="G24" s="65">
        <v>763500</v>
      </c>
      <c r="H24" s="56">
        <f t="shared" si="0"/>
        <v>763500</v>
      </c>
      <c r="I24" s="65">
        <v>625956</v>
      </c>
      <c r="J24" s="56">
        <f t="shared" si="1"/>
        <v>625956</v>
      </c>
      <c r="K24" s="65">
        <v>730020</v>
      </c>
      <c r="L24" s="56">
        <f t="shared" si="2"/>
        <v>730020</v>
      </c>
      <c r="M24" s="65">
        <v>739728</v>
      </c>
      <c r="N24" s="56">
        <f t="shared" si="3"/>
        <v>739728</v>
      </c>
      <c r="O24" s="55">
        <v>736560</v>
      </c>
      <c r="P24" s="56">
        <f t="shared" si="4"/>
        <v>736560</v>
      </c>
      <c r="Q24" s="65">
        <v>845592</v>
      </c>
      <c r="R24" s="56">
        <f t="shared" si="5"/>
        <v>845592</v>
      </c>
      <c r="S24" s="65">
        <v>811500</v>
      </c>
      <c r="T24" s="56">
        <f t="shared" si="6"/>
        <v>811500</v>
      </c>
      <c r="U24" s="65">
        <v>706632</v>
      </c>
      <c r="V24" s="56">
        <f t="shared" si="7"/>
        <v>706632</v>
      </c>
      <c r="W24" s="65">
        <v>670944</v>
      </c>
      <c r="X24" s="56">
        <f t="shared" si="8"/>
        <v>670944</v>
      </c>
      <c r="Y24" s="65">
        <v>814836</v>
      </c>
      <c r="Z24" s="56">
        <f t="shared" si="9"/>
        <v>814836</v>
      </c>
      <c r="AA24" s="65">
        <v>725722</v>
      </c>
      <c r="AB24" s="56">
        <f t="shared" si="10"/>
        <v>725722</v>
      </c>
      <c r="AC24" s="57">
        <v>687720</v>
      </c>
      <c r="AD24" s="56">
        <f t="shared" si="11"/>
        <v>687720</v>
      </c>
      <c r="AE24" s="58">
        <f t="shared" si="12"/>
        <v>8858710</v>
      </c>
      <c r="AF24" s="59">
        <f t="shared" si="12"/>
        <v>8858710</v>
      </c>
      <c r="AG24" s="60">
        <f t="shared" si="13"/>
        <v>738225.83333333337</v>
      </c>
      <c r="AH24" s="60">
        <f t="shared" si="13"/>
        <v>738225.83333333337</v>
      </c>
      <c r="AI24" s="66"/>
    </row>
    <row r="25" spans="1:35" s="67" customFormat="1" ht="24" customHeight="1">
      <c r="A25" s="52">
        <v>21</v>
      </c>
      <c r="B25" s="68" t="s">
        <v>16</v>
      </c>
      <c r="C25" s="64">
        <v>18</v>
      </c>
      <c r="D25" s="54" t="s">
        <v>141</v>
      </c>
      <c r="E25" s="64">
        <v>0.6</v>
      </c>
      <c r="F25" s="52" t="s">
        <v>12</v>
      </c>
      <c r="G25" s="65">
        <v>49908</v>
      </c>
      <c r="H25" s="56">
        <f t="shared" si="0"/>
        <v>29944.799999999999</v>
      </c>
      <c r="I25" s="65">
        <v>45801</v>
      </c>
      <c r="J25" s="56">
        <f t="shared" si="1"/>
        <v>27480.6</v>
      </c>
      <c r="K25" s="65">
        <v>47844</v>
      </c>
      <c r="L25" s="56">
        <f t="shared" si="2"/>
        <v>28706.399999999998</v>
      </c>
      <c r="M25" s="65">
        <v>50160</v>
      </c>
      <c r="N25" s="56">
        <f t="shared" si="3"/>
        <v>30096</v>
      </c>
      <c r="O25" s="55">
        <v>47652</v>
      </c>
      <c r="P25" s="56">
        <f t="shared" si="4"/>
        <v>28591.200000000001</v>
      </c>
      <c r="Q25" s="65">
        <v>60372</v>
      </c>
      <c r="R25" s="56">
        <f t="shared" si="5"/>
        <v>36223.199999999997</v>
      </c>
      <c r="S25" s="65">
        <v>54036</v>
      </c>
      <c r="T25" s="56">
        <f t="shared" si="6"/>
        <v>32421.599999999999</v>
      </c>
      <c r="U25" s="65">
        <v>30299</v>
      </c>
      <c r="V25" s="56">
        <f t="shared" si="7"/>
        <v>18179.399999999998</v>
      </c>
      <c r="W25" s="65">
        <v>42360</v>
      </c>
      <c r="X25" s="56">
        <f t="shared" si="8"/>
        <v>25416</v>
      </c>
      <c r="Y25" s="65">
        <v>47242</v>
      </c>
      <c r="Z25" s="56">
        <f t="shared" si="9"/>
        <v>28345.200000000001</v>
      </c>
      <c r="AA25" s="65">
        <v>51708</v>
      </c>
      <c r="AB25" s="56">
        <f t="shared" si="10"/>
        <v>31024.799999999999</v>
      </c>
      <c r="AC25" s="57">
        <v>42680</v>
      </c>
      <c r="AD25" s="56">
        <f t="shared" si="11"/>
        <v>25608</v>
      </c>
      <c r="AE25" s="58">
        <f t="shared" si="12"/>
        <v>570062</v>
      </c>
      <c r="AF25" s="59">
        <f t="shared" si="12"/>
        <v>342037.2</v>
      </c>
      <c r="AG25" s="60">
        <f t="shared" si="13"/>
        <v>47505.166666666664</v>
      </c>
      <c r="AH25" s="60">
        <f t="shared" si="13"/>
        <v>28503.100000000002</v>
      </c>
      <c r="AI25" s="66"/>
    </row>
    <row r="26" spans="1:35" s="67" customFormat="1" ht="24" customHeight="1">
      <c r="A26" s="52">
        <v>22</v>
      </c>
      <c r="B26" s="68" t="s">
        <v>17</v>
      </c>
      <c r="C26" s="64">
        <v>18</v>
      </c>
      <c r="D26" s="54" t="s">
        <v>142</v>
      </c>
      <c r="E26" s="64">
        <v>0.35</v>
      </c>
      <c r="F26" s="64" t="s">
        <v>18</v>
      </c>
      <c r="G26" s="65">
        <v>289690</v>
      </c>
      <c r="H26" s="56">
        <f t="shared" si="0"/>
        <v>101391.5</v>
      </c>
      <c r="I26" s="65">
        <v>258000</v>
      </c>
      <c r="J26" s="56">
        <f t="shared" si="1"/>
        <v>90300</v>
      </c>
      <c r="K26" s="76">
        <v>277000</v>
      </c>
      <c r="L26" s="56">
        <f t="shared" si="2"/>
        <v>96950</v>
      </c>
      <c r="M26" s="65">
        <v>256600</v>
      </c>
      <c r="N26" s="56">
        <f t="shared" si="3"/>
        <v>89810</v>
      </c>
      <c r="O26" s="55">
        <v>282700</v>
      </c>
      <c r="P26" s="56">
        <f t="shared" si="4"/>
        <v>98945</v>
      </c>
      <c r="Q26" s="65">
        <v>285700</v>
      </c>
      <c r="R26" s="56">
        <f t="shared" si="5"/>
        <v>99995</v>
      </c>
      <c r="S26" s="65">
        <v>296440</v>
      </c>
      <c r="T26" s="56">
        <f t="shared" si="6"/>
        <v>103754</v>
      </c>
      <c r="U26" s="65">
        <v>301520</v>
      </c>
      <c r="V26" s="56">
        <f t="shared" si="7"/>
        <v>105532</v>
      </c>
      <c r="W26" s="65">
        <v>274960</v>
      </c>
      <c r="X26" s="56">
        <f t="shared" si="8"/>
        <v>96236</v>
      </c>
      <c r="Y26" s="65">
        <v>335760</v>
      </c>
      <c r="Z26" s="56">
        <f t="shared" si="9"/>
        <v>117515.99999999999</v>
      </c>
      <c r="AA26" s="65">
        <v>316080</v>
      </c>
      <c r="AB26" s="56">
        <f t="shared" si="10"/>
        <v>110628</v>
      </c>
      <c r="AC26" s="57">
        <v>293036</v>
      </c>
      <c r="AD26" s="56">
        <f t="shared" si="11"/>
        <v>102562.59999999999</v>
      </c>
      <c r="AE26" s="58">
        <f t="shared" si="12"/>
        <v>3467486</v>
      </c>
      <c r="AF26" s="59">
        <f t="shared" si="12"/>
        <v>1213620.1000000001</v>
      </c>
      <c r="AG26" s="60">
        <f t="shared" si="13"/>
        <v>288957.16666666669</v>
      </c>
      <c r="AH26" s="60">
        <f t="shared" si="13"/>
        <v>101135.00833333335</v>
      </c>
      <c r="AI26" s="66"/>
    </row>
    <row r="27" spans="1:35" s="67" customFormat="1" ht="24" customHeight="1">
      <c r="A27" s="52">
        <v>23</v>
      </c>
      <c r="B27" s="68" t="s">
        <v>55</v>
      </c>
      <c r="C27" s="64">
        <v>16</v>
      </c>
      <c r="D27" s="54" t="s">
        <v>140</v>
      </c>
      <c r="E27" s="64">
        <v>1</v>
      </c>
      <c r="F27" s="64" t="s">
        <v>12</v>
      </c>
      <c r="G27" s="65">
        <v>198435</v>
      </c>
      <c r="H27" s="56">
        <f t="shared" si="0"/>
        <v>198435</v>
      </c>
      <c r="I27" s="65">
        <v>183036</v>
      </c>
      <c r="J27" s="56">
        <f t="shared" si="1"/>
        <v>183036</v>
      </c>
      <c r="K27" s="65">
        <v>205571</v>
      </c>
      <c r="L27" s="56">
        <f t="shared" si="2"/>
        <v>205571</v>
      </c>
      <c r="M27" s="65">
        <v>200031</v>
      </c>
      <c r="N27" s="56">
        <f t="shared" si="3"/>
        <v>200031</v>
      </c>
      <c r="O27" s="55">
        <v>228443</v>
      </c>
      <c r="P27" s="56">
        <f t="shared" si="4"/>
        <v>228443</v>
      </c>
      <c r="Q27" s="65">
        <v>253787</v>
      </c>
      <c r="R27" s="56">
        <f t="shared" si="5"/>
        <v>253787</v>
      </c>
      <c r="S27" s="65">
        <v>252140</v>
      </c>
      <c r="T27" s="56">
        <f t="shared" si="6"/>
        <v>252140</v>
      </c>
      <c r="U27" s="65">
        <v>243502</v>
      </c>
      <c r="V27" s="56">
        <f t="shared" si="7"/>
        <v>243502</v>
      </c>
      <c r="W27" s="65">
        <v>249191</v>
      </c>
      <c r="X27" s="56">
        <f t="shared" si="8"/>
        <v>249191</v>
      </c>
      <c r="Y27" s="65">
        <v>262468</v>
      </c>
      <c r="Z27" s="56">
        <f t="shared" si="9"/>
        <v>262468</v>
      </c>
      <c r="AA27" s="65">
        <v>205915</v>
      </c>
      <c r="AB27" s="56">
        <f t="shared" si="10"/>
        <v>205915</v>
      </c>
      <c r="AC27" s="57">
        <v>215415</v>
      </c>
      <c r="AD27" s="56">
        <f t="shared" si="11"/>
        <v>215415</v>
      </c>
      <c r="AE27" s="58">
        <f t="shared" si="12"/>
        <v>2697934</v>
      </c>
      <c r="AF27" s="59">
        <f t="shared" si="12"/>
        <v>2697934</v>
      </c>
      <c r="AG27" s="60">
        <f t="shared" si="13"/>
        <v>224827.83333333334</v>
      </c>
      <c r="AH27" s="60">
        <f t="shared" si="13"/>
        <v>224827.83333333334</v>
      </c>
      <c r="AI27" s="66"/>
    </row>
    <row r="28" spans="1:35" s="67" customFormat="1" ht="24" customHeight="1">
      <c r="A28" s="52">
        <v>24</v>
      </c>
      <c r="B28" s="68" t="s">
        <v>57</v>
      </c>
      <c r="C28" s="64">
        <v>16</v>
      </c>
      <c r="D28" s="54" t="s">
        <v>142</v>
      </c>
      <c r="E28" s="64">
        <v>0.35</v>
      </c>
      <c r="F28" s="64" t="s">
        <v>18</v>
      </c>
      <c r="G28" s="65">
        <v>15447</v>
      </c>
      <c r="H28" s="56">
        <f t="shared" si="0"/>
        <v>5406.45</v>
      </c>
      <c r="I28" s="65">
        <v>14872</v>
      </c>
      <c r="J28" s="56">
        <f t="shared" si="1"/>
        <v>5205.2</v>
      </c>
      <c r="K28" s="65">
        <v>14299</v>
      </c>
      <c r="L28" s="56">
        <f t="shared" si="2"/>
        <v>5004.6499999999996</v>
      </c>
      <c r="M28" s="65">
        <v>13955</v>
      </c>
      <c r="N28" s="56">
        <f t="shared" si="3"/>
        <v>4884.25</v>
      </c>
      <c r="O28" s="55">
        <v>17783</v>
      </c>
      <c r="P28" s="56">
        <f t="shared" si="4"/>
        <v>6224.0499999999993</v>
      </c>
      <c r="Q28" s="65">
        <v>22392</v>
      </c>
      <c r="R28" s="56">
        <f t="shared" si="5"/>
        <v>7837.2</v>
      </c>
      <c r="S28" s="65">
        <v>29940</v>
      </c>
      <c r="T28" s="56">
        <f t="shared" si="6"/>
        <v>10479</v>
      </c>
      <c r="U28" s="65">
        <v>30400</v>
      </c>
      <c r="V28" s="56">
        <f t="shared" si="7"/>
        <v>10640</v>
      </c>
      <c r="W28" s="65">
        <v>35586</v>
      </c>
      <c r="X28" s="56">
        <f t="shared" si="8"/>
        <v>12455.099999999999</v>
      </c>
      <c r="Y28" s="65">
        <v>37744</v>
      </c>
      <c r="Z28" s="56">
        <f t="shared" si="9"/>
        <v>13210.4</v>
      </c>
      <c r="AA28" s="65">
        <v>44055</v>
      </c>
      <c r="AB28" s="56">
        <f t="shared" si="10"/>
        <v>15419.249999999998</v>
      </c>
      <c r="AC28" s="57">
        <v>50985</v>
      </c>
      <c r="AD28" s="56">
        <f t="shared" si="11"/>
        <v>17844.75</v>
      </c>
      <c r="AE28" s="58">
        <f t="shared" si="12"/>
        <v>327458</v>
      </c>
      <c r="AF28" s="59">
        <f t="shared" si="12"/>
        <v>114610.29999999999</v>
      </c>
      <c r="AG28" s="60">
        <f t="shared" si="13"/>
        <v>27288.166666666668</v>
      </c>
      <c r="AH28" s="60">
        <f t="shared" si="13"/>
        <v>9550.8583333333318</v>
      </c>
      <c r="AI28" s="66"/>
    </row>
    <row r="29" spans="1:35" s="67" customFormat="1" ht="24" customHeight="1">
      <c r="A29" s="52">
        <v>25</v>
      </c>
      <c r="B29" s="68" t="s">
        <v>143</v>
      </c>
      <c r="C29" s="64">
        <v>20</v>
      </c>
      <c r="D29" s="54" t="s">
        <v>140</v>
      </c>
      <c r="E29" s="64">
        <v>1</v>
      </c>
      <c r="F29" s="64" t="s">
        <v>12</v>
      </c>
      <c r="G29" s="65">
        <v>144</v>
      </c>
      <c r="H29" s="56">
        <f t="shared" si="0"/>
        <v>144</v>
      </c>
      <c r="I29" s="65">
        <v>72</v>
      </c>
      <c r="J29" s="56">
        <f t="shared" si="1"/>
        <v>72</v>
      </c>
      <c r="K29" s="65">
        <v>72</v>
      </c>
      <c r="L29" s="56">
        <f t="shared" si="2"/>
        <v>72</v>
      </c>
      <c r="M29" s="65">
        <v>156</v>
      </c>
      <c r="N29" s="56">
        <f t="shared" si="3"/>
        <v>156</v>
      </c>
      <c r="O29" s="55">
        <v>96</v>
      </c>
      <c r="P29" s="56">
        <f t="shared" si="4"/>
        <v>96</v>
      </c>
      <c r="Q29" s="65">
        <v>120</v>
      </c>
      <c r="R29" s="56">
        <f t="shared" si="5"/>
        <v>120</v>
      </c>
      <c r="S29" s="65">
        <v>24</v>
      </c>
      <c r="T29" s="56">
        <f t="shared" si="6"/>
        <v>24</v>
      </c>
      <c r="U29" s="65">
        <v>25</v>
      </c>
      <c r="V29" s="56">
        <f t="shared" si="7"/>
        <v>25</v>
      </c>
      <c r="W29" s="65">
        <v>36</v>
      </c>
      <c r="X29" s="56">
        <f t="shared" si="8"/>
        <v>36</v>
      </c>
      <c r="Y29" s="65">
        <v>84</v>
      </c>
      <c r="Z29" s="56">
        <f t="shared" si="9"/>
        <v>84</v>
      </c>
      <c r="AA29" s="65">
        <v>84</v>
      </c>
      <c r="AB29" s="56">
        <f t="shared" si="10"/>
        <v>84</v>
      </c>
      <c r="AC29" s="57">
        <v>72</v>
      </c>
      <c r="AD29" s="56">
        <f t="shared" si="11"/>
        <v>72</v>
      </c>
      <c r="AE29" s="58">
        <f t="shared" si="12"/>
        <v>985</v>
      </c>
      <c r="AF29" s="59">
        <f t="shared" si="12"/>
        <v>985</v>
      </c>
      <c r="AG29" s="60">
        <f t="shared" si="13"/>
        <v>82.083333333333329</v>
      </c>
      <c r="AH29" s="60">
        <f t="shared" si="13"/>
        <v>82.083333333333329</v>
      </c>
      <c r="AI29" s="66"/>
    </row>
    <row r="30" spans="1:35" s="67" customFormat="1" ht="24" customHeight="1">
      <c r="A30" s="52">
        <v>26</v>
      </c>
      <c r="B30" s="68" t="s">
        <v>144</v>
      </c>
      <c r="C30" s="64">
        <v>20</v>
      </c>
      <c r="D30" s="54" t="s">
        <v>141</v>
      </c>
      <c r="E30" s="64">
        <v>0.6</v>
      </c>
      <c r="F30" s="64" t="s">
        <v>12</v>
      </c>
      <c r="G30" s="65">
        <v>453</v>
      </c>
      <c r="H30" s="56">
        <f t="shared" si="0"/>
        <v>271.8</v>
      </c>
      <c r="I30" s="65">
        <v>96</v>
      </c>
      <c r="J30" s="56">
        <f t="shared" si="1"/>
        <v>57.599999999999994</v>
      </c>
      <c r="K30" s="65">
        <v>12</v>
      </c>
      <c r="L30" s="56">
        <f t="shared" si="2"/>
        <v>7.1999999999999993</v>
      </c>
      <c r="M30" s="65">
        <v>0</v>
      </c>
      <c r="N30" s="56">
        <f t="shared" si="3"/>
        <v>0</v>
      </c>
      <c r="O30" s="55">
        <v>0</v>
      </c>
      <c r="P30" s="56">
        <f t="shared" si="4"/>
        <v>0</v>
      </c>
      <c r="Q30" s="65">
        <v>0</v>
      </c>
      <c r="R30" s="56">
        <f t="shared" si="5"/>
        <v>0</v>
      </c>
      <c r="S30" s="65">
        <v>0</v>
      </c>
      <c r="T30" s="56">
        <f t="shared" si="6"/>
        <v>0</v>
      </c>
      <c r="U30" s="65">
        <v>0</v>
      </c>
      <c r="V30" s="56">
        <f t="shared" si="7"/>
        <v>0</v>
      </c>
      <c r="W30" s="65">
        <v>0</v>
      </c>
      <c r="X30" s="56">
        <f t="shared" si="8"/>
        <v>0</v>
      </c>
      <c r="Y30" s="65"/>
      <c r="Z30" s="56">
        <f t="shared" si="9"/>
        <v>0</v>
      </c>
      <c r="AA30" s="65"/>
      <c r="AB30" s="56">
        <f t="shared" si="10"/>
        <v>0</v>
      </c>
      <c r="AC30" s="57"/>
      <c r="AD30" s="56">
        <f t="shared" si="11"/>
        <v>0</v>
      </c>
      <c r="AE30" s="58">
        <f t="shared" si="12"/>
        <v>561</v>
      </c>
      <c r="AF30" s="59">
        <f t="shared" si="12"/>
        <v>336.59999999999997</v>
      </c>
      <c r="AG30" s="60">
        <f t="shared" si="13"/>
        <v>46.75</v>
      </c>
      <c r="AH30" s="60">
        <f t="shared" si="13"/>
        <v>28.049999999999997</v>
      </c>
      <c r="AI30" s="66"/>
    </row>
    <row r="31" spans="1:35" s="67" customFormat="1" ht="24" customHeight="1">
      <c r="A31" s="52">
        <v>27</v>
      </c>
      <c r="B31" s="68" t="s">
        <v>145</v>
      </c>
      <c r="C31" s="64">
        <v>30</v>
      </c>
      <c r="D31" s="54" t="s">
        <v>140</v>
      </c>
      <c r="E31" s="64">
        <v>1</v>
      </c>
      <c r="F31" s="64" t="s">
        <v>12</v>
      </c>
      <c r="G31" s="65">
        <v>348</v>
      </c>
      <c r="H31" s="56">
        <f t="shared" si="0"/>
        <v>348</v>
      </c>
      <c r="I31" s="65">
        <v>372</v>
      </c>
      <c r="J31" s="56">
        <f t="shared" si="1"/>
        <v>372</v>
      </c>
      <c r="K31" s="65">
        <v>468</v>
      </c>
      <c r="L31" s="56">
        <f t="shared" si="2"/>
        <v>468</v>
      </c>
      <c r="M31" s="65">
        <v>324</v>
      </c>
      <c r="N31" s="56">
        <f t="shared" si="3"/>
        <v>324</v>
      </c>
      <c r="O31" s="55">
        <v>384</v>
      </c>
      <c r="P31" s="56">
        <f t="shared" si="4"/>
        <v>384</v>
      </c>
      <c r="Q31" s="65">
        <v>504</v>
      </c>
      <c r="R31" s="56">
        <f t="shared" si="5"/>
        <v>504</v>
      </c>
      <c r="S31" s="65">
        <v>468</v>
      </c>
      <c r="T31" s="56">
        <f t="shared" si="6"/>
        <v>468</v>
      </c>
      <c r="U31" s="65">
        <v>217</v>
      </c>
      <c r="V31" s="56">
        <f t="shared" si="7"/>
        <v>217</v>
      </c>
      <c r="W31" s="65">
        <v>480</v>
      </c>
      <c r="X31" s="56">
        <f t="shared" si="8"/>
        <v>480</v>
      </c>
      <c r="Y31" s="65">
        <v>264</v>
      </c>
      <c r="Z31" s="56">
        <f t="shared" si="9"/>
        <v>264</v>
      </c>
      <c r="AA31" s="65">
        <v>564</v>
      </c>
      <c r="AB31" s="56">
        <f t="shared" si="10"/>
        <v>564</v>
      </c>
      <c r="AC31" s="57">
        <v>792</v>
      </c>
      <c r="AD31" s="56">
        <f t="shared" si="11"/>
        <v>792</v>
      </c>
      <c r="AE31" s="58">
        <f t="shared" si="12"/>
        <v>5185</v>
      </c>
      <c r="AF31" s="59">
        <f t="shared" si="12"/>
        <v>5185</v>
      </c>
      <c r="AG31" s="60">
        <f t="shared" si="13"/>
        <v>432.08333333333331</v>
      </c>
      <c r="AH31" s="60">
        <f t="shared" si="13"/>
        <v>432.08333333333331</v>
      </c>
      <c r="AI31" s="66"/>
    </row>
    <row r="32" spans="1:35" s="67" customFormat="1" ht="24" customHeight="1">
      <c r="A32" s="52">
        <v>28</v>
      </c>
      <c r="B32" s="68" t="s">
        <v>146</v>
      </c>
      <c r="C32" s="64">
        <v>30</v>
      </c>
      <c r="D32" s="54" t="s">
        <v>141</v>
      </c>
      <c r="E32" s="64">
        <v>0.6</v>
      </c>
      <c r="F32" s="64" t="s">
        <v>12</v>
      </c>
      <c r="G32" s="65">
        <v>0</v>
      </c>
      <c r="H32" s="56">
        <f t="shared" si="0"/>
        <v>0</v>
      </c>
      <c r="I32" s="65">
        <v>0</v>
      </c>
      <c r="J32" s="56">
        <f t="shared" si="1"/>
        <v>0</v>
      </c>
      <c r="K32" s="65">
        <v>12</v>
      </c>
      <c r="L32" s="56">
        <f t="shared" si="2"/>
        <v>7.1999999999999993</v>
      </c>
      <c r="M32" s="65">
        <v>0</v>
      </c>
      <c r="N32" s="56">
        <f t="shared" si="3"/>
        <v>0</v>
      </c>
      <c r="O32" s="55">
        <v>0</v>
      </c>
      <c r="P32" s="56">
        <f t="shared" si="4"/>
        <v>0</v>
      </c>
      <c r="Q32" s="65">
        <v>0</v>
      </c>
      <c r="R32" s="56">
        <f t="shared" si="5"/>
        <v>0</v>
      </c>
      <c r="S32" s="65">
        <v>0</v>
      </c>
      <c r="T32" s="56">
        <f t="shared" si="6"/>
        <v>0</v>
      </c>
      <c r="U32" s="65">
        <v>0</v>
      </c>
      <c r="V32" s="56">
        <f t="shared" si="7"/>
        <v>0</v>
      </c>
      <c r="W32" s="65">
        <v>0</v>
      </c>
      <c r="X32" s="56">
        <f t="shared" si="8"/>
        <v>0</v>
      </c>
      <c r="Y32" s="65"/>
      <c r="Z32" s="56">
        <f t="shared" si="9"/>
        <v>0</v>
      </c>
      <c r="AA32" s="65"/>
      <c r="AB32" s="56">
        <f t="shared" si="10"/>
        <v>0</v>
      </c>
      <c r="AC32" s="57"/>
      <c r="AD32" s="56">
        <f t="shared" si="11"/>
        <v>0</v>
      </c>
      <c r="AE32" s="58">
        <f t="shared" si="12"/>
        <v>12</v>
      </c>
      <c r="AF32" s="59">
        <f t="shared" si="12"/>
        <v>7.1999999999999993</v>
      </c>
      <c r="AG32" s="60">
        <f t="shared" si="13"/>
        <v>1</v>
      </c>
      <c r="AH32" s="60">
        <f t="shared" si="13"/>
        <v>0.6</v>
      </c>
      <c r="AI32" s="66"/>
    </row>
    <row r="33" spans="1:36" s="67" customFormat="1" ht="24" customHeight="1">
      <c r="A33" s="52">
        <v>29</v>
      </c>
      <c r="B33" s="68" t="s">
        <v>147</v>
      </c>
      <c r="C33" s="64">
        <v>30</v>
      </c>
      <c r="D33" s="54" t="s">
        <v>142</v>
      </c>
      <c r="E33" s="64">
        <v>0.35</v>
      </c>
      <c r="F33" s="64" t="s">
        <v>18</v>
      </c>
      <c r="G33" s="65">
        <v>80</v>
      </c>
      <c r="H33" s="56">
        <f t="shared" si="0"/>
        <v>28</v>
      </c>
      <c r="I33" s="65">
        <v>80</v>
      </c>
      <c r="J33" s="56">
        <f t="shared" si="1"/>
        <v>28</v>
      </c>
      <c r="K33" s="65">
        <v>200</v>
      </c>
      <c r="L33" s="56">
        <f t="shared" si="2"/>
        <v>70</v>
      </c>
      <c r="M33" s="65">
        <v>40</v>
      </c>
      <c r="N33" s="56">
        <f t="shared" si="3"/>
        <v>14</v>
      </c>
      <c r="O33" s="55">
        <v>80</v>
      </c>
      <c r="P33" s="56">
        <f t="shared" si="4"/>
        <v>28</v>
      </c>
      <c r="Q33" s="65">
        <v>120</v>
      </c>
      <c r="R33" s="56">
        <f t="shared" si="5"/>
        <v>42</v>
      </c>
      <c r="S33" s="65">
        <v>120</v>
      </c>
      <c r="T33" s="56">
        <f t="shared" si="6"/>
        <v>42</v>
      </c>
      <c r="U33" s="65">
        <v>120</v>
      </c>
      <c r="V33" s="56">
        <f t="shared" si="7"/>
        <v>42</v>
      </c>
      <c r="W33" s="65">
        <v>120</v>
      </c>
      <c r="X33" s="56">
        <f t="shared" si="8"/>
        <v>42</v>
      </c>
      <c r="Y33" s="65">
        <v>160</v>
      </c>
      <c r="Z33" s="56">
        <f t="shared" si="9"/>
        <v>56</v>
      </c>
      <c r="AA33" s="65">
        <v>160</v>
      </c>
      <c r="AB33" s="56">
        <f t="shared" si="10"/>
        <v>56</v>
      </c>
      <c r="AC33" s="57"/>
      <c r="AD33" s="56">
        <f t="shared" si="11"/>
        <v>0</v>
      </c>
      <c r="AE33" s="58">
        <f t="shared" si="12"/>
        <v>1280</v>
      </c>
      <c r="AF33" s="59">
        <f t="shared" si="12"/>
        <v>448</v>
      </c>
      <c r="AG33" s="60">
        <f t="shared" si="13"/>
        <v>106.66666666666667</v>
      </c>
      <c r="AH33" s="60">
        <f t="shared" si="13"/>
        <v>37.333333333333336</v>
      </c>
      <c r="AI33" s="66"/>
    </row>
    <row r="34" spans="1:36" s="67" customFormat="1" ht="24" customHeight="1">
      <c r="A34" s="52">
        <v>30</v>
      </c>
      <c r="B34" s="68" t="s">
        <v>24</v>
      </c>
      <c r="C34" s="64">
        <v>19</v>
      </c>
      <c r="D34" s="54" t="s">
        <v>140</v>
      </c>
      <c r="E34" s="64">
        <v>1</v>
      </c>
      <c r="F34" s="64" t="s">
        <v>12</v>
      </c>
      <c r="G34" s="65">
        <v>260</v>
      </c>
      <c r="H34" s="56">
        <f t="shared" si="0"/>
        <v>260</v>
      </c>
      <c r="I34" s="65">
        <v>278</v>
      </c>
      <c r="J34" s="56">
        <f t="shared" si="1"/>
        <v>278</v>
      </c>
      <c r="K34" s="65">
        <v>552</v>
      </c>
      <c r="L34" s="56">
        <f t="shared" si="2"/>
        <v>552</v>
      </c>
      <c r="M34" s="65">
        <v>348</v>
      </c>
      <c r="N34" s="56">
        <f t="shared" si="3"/>
        <v>348</v>
      </c>
      <c r="O34" s="55">
        <v>552</v>
      </c>
      <c r="P34" s="56">
        <f t="shared" si="4"/>
        <v>552</v>
      </c>
      <c r="Q34" s="65">
        <v>312</v>
      </c>
      <c r="R34" s="56">
        <f t="shared" si="5"/>
        <v>312</v>
      </c>
      <c r="S34" s="65">
        <v>698</v>
      </c>
      <c r="T34" s="56">
        <f t="shared" si="6"/>
        <v>698</v>
      </c>
      <c r="U34" s="65">
        <v>1491</v>
      </c>
      <c r="V34" s="56">
        <f t="shared" si="7"/>
        <v>1491</v>
      </c>
      <c r="W34" s="65">
        <v>912</v>
      </c>
      <c r="X34" s="56">
        <f t="shared" si="8"/>
        <v>912</v>
      </c>
      <c r="Y34" s="65">
        <v>672</v>
      </c>
      <c r="Z34" s="56">
        <f t="shared" si="9"/>
        <v>672</v>
      </c>
      <c r="AA34" s="65">
        <v>228</v>
      </c>
      <c r="AB34" s="56">
        <f t="shared" si="10"/>
        <v>228</v>
      </c>
      <c r="AC34" s="57">
        <v>648</v>
      </c>
      <c r="AD34" s="56">
        <f t="shared" si="11"/>
        <v>648</v>
      </c>
      <c r="AE34" s="58">
        <f t="shared" si="12"/>
        <v>6951</v>
      </c>
      <c r="AF34" s="59">
        <f t="shared" si="12"/>
        <v>6951</v>
      </c>
      <c r="AG34" s="60">
        <f t="shared" si="13"/>
        <v>579.25</v>
      </c>
      <c r="AH34" s="60">
        <f t="shared" si="13"/>
        <v>579.25</v>
      </c>
      <c r="AI34" s="66"/>
    </row>
    <row r="35" spans="1:36" s="67" customFormat="1" ht="24" customHeight="1">
      <c r="A35" s="52">
        <v>31</v>
      </c>
      <c r="B35" s="68" t="s">
        <v>26</v>
      </c>
      <c r="C35" s="64">
        <v>19</v>
      </c>
      <c r="D35" s="54" t="s">
        <v>141</v>
      </c>
      <c r="E35" s="64">
        <v>0.6</v>
      </c>
      <c r="F35" s="64" t="s">
        <v>12</v>
      </c>
      <c r="G35" s="65">
        <v>0</v>
      </c>
      <c r="H35" s="56">
        <f t="shared" si="0"/>
        <v>0</v>
      </c>
      <c r="I35" s="65">
        <v>0</v>
      </c>
      <c r="J35" s="56">
        <f t="shared" si="1"/>
        <v>0</v>
      </c>
      <c r="K35" s="65">
        <v>0</v>
      </c>
      <c r="L35" s="56">
        <f t="shared" si="2"/>
        <v>0</v>
      </c>
      <c r="M35" s="65">
        <v>0</v>
      </c>
      <c r="N35" s="56">
        <f t="shared" si="3"/>
        <v>0</v>
      </c>
      <c r="O35" s="65">
        <v>0</v>
      </c>
      <c r="P35" s="56">
        <f t="shared" si="4"/>
        <v>0</v>
      </c>
      <c r="Q35" s="65">
        <v>0</v>
      </c>
      <c r="R35" s="56">
        <f t="shared" si="5"/>
        <v>0</v>
      </c>
      <c r="S35" s="65">
        <v>0</v>
      </c>
      <c r="T35" s="56">
        <f t="shared" si="6"/>
        <v>0</v>
      </c>
      <c r="U35" s="65">
        <v>0</v>
      </c>
      <c r="V35" s="56">
        <f t="shared" si="7"/>
        <v>0</v>
      </c>
      <c r="W35" s="65">
        <v>0</v>
      </c>
      <c r="X35" s="56">
        <f t="shared" si="8"/>
        <v>0</v>
      </c>
      <c r="Y35" s="65"/>
      <c r="Z35" s="56">
        <f t="shared" si="9"/>
        <v>0</v>
      </c>
      <c r="AA35" s="65"/>
      <c r="AB35" s="56">
        <f t="shared" si="10"/>
        <v>0</v>
      </c>
      <c r="AC35" s="57"/>
      <c r="AD35" s="56">
        <f t="shared" si="11"/>
        <v>0</v>
      </c>
      <c r="AE35" s="58">
        <f t="shared" si="12"/>
        <v>0</v>
      </c>
      <c r="AF35" s="59">
        <f t="shared" si="12"/>
        <v>0</v>
      </c>
      <c r="AG35" s="70">
        <f t="shared" si="13"/>
        <v>0</v>
      </c>
      <c r="AH35" s="70">
        <f t="shared" si="13"/>
        <v>0</v>
      </c>
      <c r="AI35" s="66"/>
    </row>
    <row r="36" spans="1:36" s="67" customFormat="1" ht="24" customHeight="1">
      <c r="A36" s="52">
        <v>32</v>
      </c>
      <c r="B36" s="68" t="s">
        <v>28</v>
      </c>
      <c r="C36" s="64">
        <v>19</v>
      </c>
      <c r="D36" s="54" t="s">
        <v>142</v>
      </c>
      <c r="E36" s="64">
        <v>0.35</v>
      </c>
      <c r="F36" s="64" t="s">
        <v>18</v>
      </c>
      <c r="G36" s="65">
        <v>0</v>
      </c>
      <c r="H36" s="56">
        <f t="shared" si="0"/>
        <v>0</v>
      </c>
      <c r="I36" s="65">
        <v>0</v>
      </c>
      <c r="J36" s="56">
        <f t="shared" si="1"/>
        <v>0</v>
      </c>
      <c r="K36" s="65">
        <v>0</v>
      </c>
      <c r="L36" s="56">
        <f t="shared" si="2"/>
        <v>0</v>
      </c>
      <c r="M36" s="65">
        <v>0</v>
      </c>
      <c r="N36" s="56">
        <f t="shared" si="3"/>
        <v>0</v>
      </c>
      <c r="O36" s="65">
        <v>0</v>
      </c>
      <c r="P36" s="56">
        <f t="shared" si="4"/>
        <v>0</v>
      </c>
      <c r="Q36" s="65">
        <v>0</v>
      </c>
      <c r="R36" s="56">
        <f t="shared" si="5"/>
        <v>0</v>
      </c>
      <c r="S36" s="65">
        <v>0</v>
      </c>
      <c r="T36" s="56">
        <f t="shared" si="6"/>
        <v>0</v>
      </c>
      <c r="U36" s="65">
        <v>0</v>
      </c>
      <c r="V36" s="56">
        <f t="shared" si="7"/>
        <v>0</v>
      </c>
      <c r="W36" s="65">
        <v>0</v>
      </c>
      <c r="X36" s="56">
        <f t="shared" si="8"/>
        <v>0</v>
      </c>
      <c r="Y36" s="65"/>
      <c r="Z36" s="56">
        <f t="shared" si="9"/>
        <v>0</v>
      </c>
      <c r="AA36" s="65"/>
      <c r="AB36" s="56">
        <f t="shared" si="10"/>
        <v>0</v>
      </c>
      <c r="AC36" s="57"/>
      <c r="AD36" s="56">
        <f t="shared" si="11"/>
        <v>0</v>
      </c>
      <c r="AE36" s="58">
        <f t="shared" si="12"/>
        <v>0</v>
      </c>
      <c r="AF36" s="59">
        <f t="shared" si="12"/>
        <v>0</v>
      </c>
      <c r="AG36" s="70">
        <f t="shared" si="13"/>
        <v>0</v>
      </c>
      <c r="AH36" s="70">
        <f t="shared" si="13"/>
        <v>0</v>
      </c>
      <c r="AI36" s="66"/>
    </row>
    <row r="37" spans="1:36" s="67" customFormat="1" ht="24" customHeight="1">
      <c r="A37" s="52">
        <v>33</v>
      </c>
      <c r="B37" s="68" t="s">
        <v>25</v>
      </c>
      <c r="C37" s="64">
        <v>34</v>
      </c>
      <c r="D37" s="54" t="s">
        <v>140</v>
      </c>
      <c r="E37" s="64">
        <v>1</v>
      </c>
      <c r="F37" s="64" t="s">
        <v>12</v>
      </c>
      <c r="G37" s="65">
        <v>132</v>
      </c>
      <c r="H37" s="56">
        <f t="shared" si="0"/>
        <v>132</v>
      </c>
      <c r="I37" s="65">
        <v>240</v>
      </c>
      <c r="J37" s="56">
        <f t="shared" si="1"/>
        <v>240</v>
      </c>
      <c r="K37" s="65">
        <v>204</v>
      </c>
      <c r="L37" s="56">
        <f t="shared" si="2"/>
        <v>204</v>
      </c>
      <c r="M37" s="65">
        <v>300</v>
      </c>
      <c r="N37" s="56">
        <f t="shared" si="3"/>
        <v>300</v>
      </c>
      <c r="O37" s="55">
        <v>504</v>
      </c>
      <c r="P37" s="56">
        <f t="shared" si="4"/>
        <v>504</v>
      </c>
      <c r="Q37" s="65">
        <v>456</v>
      </c>
      <c r="R37" s="56">
        <f t="shared" si="5"/>
        <v>456</v>
      </c>
      <c r="S37" s="65">
        <v>864</v>
      </c>
      <c r="T37" s="56">
        <f t="shared" si="6"/>
        <v>864</v>
      </c>
      <c r="U37" s="65">
        <v>372</v>
      </c>
      <c r="V37" s="56">
        <f t="shared" si="7"/>
        <v>372</v>
      </c>
      <c r="W37" s="65">
        <v>540</v>
      </c>
      <c r="X37" s="56">
        <f t="shared" si="8"/>
        <v>540</v>
      </c>
      <c r="Y37" s="65">
        <v>192</v>
      </c>
      <c r="Z37" s="56">
        <f t="shared" si="9"/>
        <v>192</v>
      </c>
      <c r="AA37" s="65"/>
      <c r="AB37" s="56">
        <f t="shared" si="10"/>
        <v>0</v>
      </c>
      <c r="AC37" s="57">
        <v>360</v>
      </c>
      <c r="AD37" s="56">
        <f t="shared" si="11"/>
        <v>360</v>
      </c>
      <c r="AE37" s="58">
        <f t="shared" si="12"/>
        <v>4164</v>
      </c>
      <c r="AF37" s="59">
        <f t="shared" si="12"/>
        <v>4164</v>
      </c>
      <c r="AG37" s="60">
        <f t="shared" si="13"/>
        <v>347</v>
      </c>
      <c r="AH37" s="60">
        <f t="shared" si="13"/>
        <v>347</v>
      </c>
      <c r="AI37" s="66"/>
    </row>
    <row r="38" spans="1:36" s="67" customFormat="1" ht="24" customHeight="1">
      <c r="A38" s="52">
        <v>34</v>
      </c>
      <c r="B38" s="68" t="s">
        <v>27</v>
      </c>
      <c r="C38" s="64">
        <v>34</v>
      </c>
      <c r="D38" s="54" t="s">
        <v>141</v>
      </c>
      <c r="E38" s="64">
        <v>0.6</v>
      </c>
      <c r="F38" s="64" t="s">
        <v>12</v>
      </c>
      <c r="G38" s="65">
        <v>12</v>
      </c>
      <c r="H38" s="56">
        <f t="shared" si="0"/>
        <v>7.1999999999999993</v>
      </c>
      <c r="I38" s="65">
        <v>0</v>
      </c>
      <c r="J38" s="56">
        <f t="shared" si="1"/>
        <v>0</v>
      </c>
      <c r="K38" s="65">
        <v>0</v>
      </c>
      <c r="L38" s="56">
        <f t="shared" si="2"/>
        <v>0</v>
      </c>
      <c r="M38" s="65">
        <v>0</v>
      </c>
      <c r="N38" s="56">
        <f t="shared" si="3"/>
        <v>0</v>
      </c>
      <c r="O38" s="55">
        <v>0</v>
      </c>
      <c r="P38" s="56">
        <f t="shared" si="4"/>
        <v>0</v>
      </c>
      <c r="Q38" s="65">
        <v>0</v>
      </c>
      <c r="R38" s="56">
        <f t="shared" si="5"/>
        <v>0</v>
      </c>
      <c r="S38" s="65">
        <v>0</v>
      </c>
      <c r="T38" s="56">
        <f t="shared" si="6"/>
        <v>0</v>
      </c>
      <c r="U38" s="65">
        <v>0</v>
      </c>
      <c r="V38" s="56">
        <f t="shared" si="7"/>
        <v>0</v>
      </c>
      <c r="W38" s="65">
        <v>0</v>
      </c>
      <c r="X38" s="56">
        <f t="shared" si="8"/>
        <v>0</v>
      </c>
      <c r="Y38" s="65"/>
      <c r="Z38" s="56">
        <f t="shared" si="9"/>
        <v>0</v>
      </c>
      <c r="AA38" s="65"/>
      <c r="AB38" s="56">
        <f t="shared" si="10"/>
        <v>0</v>
      </c>
      <c r="AC38" s="57"/>
      <c r="AD38" s="56">
        <f t="shared" si="11"/>
        <v>0</v>
      </c>
      <c r="AE38" s="58">
        <f t="shared" si="12"/>
        <v>12</v>
      </c>
      <c r="AF38" s="59">
        <f t="shared" si="12"/>
        <v>7.1999999999999993</v>
      </c>
      <c r="AG38" s="60">
        <f t="shared" si="13"/>
        <v>1</v>
      </c>
      <c r="AH38" s="60">
        <f t="shared" si="13"/>
        <v>0.6</v>
      </c>
      <c r="AI38" s="66"/>
    </row>
    <row r="39" spans="1:36" s="67" customFormat="1" ht="24" customHeight="1">
      <c r="A39" s="52">
        <v>35</v>
      </c>
      <c r="B39" s="68" t="s">
        <v>29</v>
      </c>
      <c r="C39" s="64">
        <v>34</v>
      </c>
      <c r="D39" s="54" t="s">
        <v>142</v>
      </c>
      <c r="E39" s="64">
        <v>0.35</v>
      </c>
      <c r="F39" s="64" t="s">
        <v>148</v>
      </c>
      <c r="G39" s="65">
        <v>0</v>
      </c>
      <c r="H39" s="56">
        <f t="shared" si="0"/>
        <v>0</v>
      </c>
      <c r="I39" s="65">
        <v>0</v>
      </c>
      <c r="J39" s="56">
        <f t="shared" si="1"/>
        <v>0</v>
      </c>
      <c r="K39" s="65">
        <v>0</v>
      </c>
      <c r="L39" s="56">
        <f t="shared" si="2"/>
        <v>0</v>
      </c>
      <c r="M39" s="65">
        <v>0</v>
      </c>
      <c r="N39" s="56">
        <f t="shared" si="3"/>
        <v>0</v>
      </c>
      <c r="O39" s="65">
        <v>0</v>
      </c>
      <c r="P39" s="56">
        <f t="shared" si="4"/>
        <v>0</v>
      </c>
      <c r="Q39" s="65">
        <v>0</v>
      </c>
      <c r="R39" s="56">
        <f t="shared" si="5"/>
        <v>0</v>
      </c>
      <c r="S39" s="65">
        <v>0</v>
      </c>
      <c r="T39" s="56">
        <f t="shared" si="6"/>
        <v>0</v>
      </c>
      <c r="U39" s="65">
        <v>0</v>
      </c>
      <c r="V39" s="56">
        <f t="shared" si="7"/>
        <v>0</v>
      </c>
      <c r="W39" s="65">
        <v>0</v>
      </c>
      <c r="X39" s="56">
        <f t="shared" si="8"/>
        <v>0</v>
      </c>
      <c r="Y39" s="65"/>
      <c r="Z39" s="56">
        <f t="shared" si="9"/>
        <v>0</v>
      </c>
      <c r="AA39" s="65"/>
      <c r="AB39" s="56">
        <f t="shared" si="10"/>
        <v>0</v>
      </c>
      <c r="AC39" s="57"/>
      <c r="AD39" s="56">
        <f t="shared" si="11"/>
        <v>0</v>
      </c>
      <c r="AE39" s="58">
        <f t="shared" si="12"/>
        <v>0</v>
      </c>
      <c r="AF39" s="59">
        <f t="shared" si="12"/>
        <v>0</v>
      </c>
      <c r="AG39" s="70">
        <f t="shared" si="13"/>
        <v>0</v>
      </c>
      <c r="AH39" s="70">
        <f t="shared" si="13"/>
        <v>0</v>
      </c>
      <c r="AI39" s="66"/>
    </row>
    <row r="40" spans="1:36" ht="24" customHeight="1">
      <c r="A40" s="52">
        <v>36</v>
      </c>
      <c r="B40" s="68" t="s">
        <v>87</v>
      </c>
      <c r="C40" s="64">
        <v>43</v>
      </c>
      <c r="D40" s="54" t="s">
        <v>140</v>
      </c>
      <c r="E40" s="64">
        <v>1</v>
      </c>
      <c r="F40" s="64" t="s">
        <v>149</v>
      </c>
      <c r="G40" s="76">
        <v>385</v>
      </c>
      <c r="H40" s="56">
        <f t="shared" si="0"/>
        <v>385</v>
      </c>
      <c r="I40" s="76">
        <v>1045</v>
      </c>
      <c r="J40" s="56">
        <f t="shared" si="1"/>
        <v>1045</v>
      </c>
      <c r="K40" s="76">
        <v>405</v>
      </c>
      <c r="L40" s="56">
        <f t="shared" si="2"/>
        <v>405</v>
      </c>
      <c r="M40" s="76">
        <v>444</v>
      </c>
      <c r="N40" s="56">
        <f t="shared" si="3"/>
        <v>444</v>
      </c>
      <c r="O40" s="71">
        <f>306+460</f>
        <v>766</v>
      </c>
      <c r="P40" s="56">
        <f t="shared" si="4"/>
        <v>766</v>
      </c>
      <c r="Q40" s="76">
        <v>815</v>
      </c>
      <c r="R40" s="56">
        <f t="shared" si="5"/>
        <v>815</v>
      </c>
      <c r="S40" s="76">
        <v>1724</v>
      </c>
      <c r="T40" s="56">
        <f t="shared" si="6"/>
        <v>1724</v>
      </c>
      <c r="U40" s="76">
        <v>1266</v>
      </c>
      <c r="V40" s="56">
        <f t="shared" si="7"/>
        <v>1266</v>
      </c>
      <c r="W40" s="76">
        <v>1440</v>
      </c>
      <c r="X40" s="56">
        <f t="shared" si="8"/>
        <v>1440</v>
      </c>
      <c r="Y40" s="76">
        <v>1870</v>
      </c>
      <c r="Z40" s="56">
        <f t="shared" si="9"/>
        <v>1870</v>
      </c>
      <c r="AA40" s="76">
        <v>809</v>
      </c>
      <c r="AB40" s="56">
        <f t="shared" si="10"/>
        <v>809</v>
      </c>
      <c r="AC40" s="57">
        <v>2180</v>
      </c>
      <c r="AD40" s="56">
        <f t="shared" si="11"/>
        <v>2180</v>
      </c>
      <c r="AE40" s="58">
        <f t="shared" si="12"/>
        <v>13149</v>
      </c>
      <c r="AF40" s="59">
        <f t="shared" si="12"/>
        <v>13149</v>
      </c>
      <c r="AG40" s="60">
        <f t="shared" si="13"/>
        <v>1095.75</v>
      </c>
      <c r="AH40" s="60">
        <f t="shared" si="13"/>
        <v>1095.75</v>
      </c>
      <c r="AI40" s="77"/>
    </row>
    <row r="41" spans="1:36" ht="24" customHeight="1">
      <c r="A41" s="52">
        <v>37</v>
      </c>
      <c r="B41" s="68" t="s">
        <v>86</v>
      </c>
      <c r="C41" s="64">
        <v>38</v>
      </c>
      <c r="D41" s="54" t="s">
        <v>140</v>
      </c>
      <c r="E41" s="64">
        <v>1</v>
      </c>
      <c r="F41" s="64" t="s">
        <v>35</v>
      </c>
      <c r="G41" s="76">
        <v>0</v>
      </c>
      <c r="H41" s="56">
        <f t="shared" si="0"/>
        <v>0</v>
      </c>
      <c r="I41" s="76"/>
      <c r="J41" s="55">
        <f t="shared" si="1"/>
        <v>0</v>
      </c>
      <c r="K41" s="76">
        <v>1440</v>
      </c>
      <c r="L41" s="56">
        <f t="shared" si="2"/>
        <v>1440</v>
      </c>
      <c r="M41" s="76">
        <v>3372</v>
      </c>
      <c r="N41" s="56">
        <f t="shared" si="3"/>
        <v>3372</v>
      </c>
      <c r="O41" s="71">
        <v>1176</v>
      </c>
      <c r="P41" s="56">
        <f t="shared" si="4"/>
        <v>1176</v>
      </c>
      <c r="Q41" s="76">
        <v>2150</v>
      </c>
      <c r="R41" s="56">
        <f t="shared" si="5"/>
        <v>2150</v>
      </c>
      <c r="S41" s="76">
        <v>3774</v>
      </c>
      <c r="T41" s="56">
        <f t="shared" si="6"/>
        <v>3774</v>
      </c>
      <c r="U41" s="76">
        <v>2550</v>
      </c>
      <c r="V41" s="56">
        <f t="shared" si="7"/>
        <v>2550</v>
      </c>
      <c r="W41" s="76">
        <v>3341</v>
      </c>
      <c r="X41" s="56">
        <f t="shared" si="8"/>
        <v>3341</v>
      </c>
      <c r="Y41" s="76">
        <v>4800</v>
      </c>
      <c r="Z41" s="56">
        <f t="shared" si="9"/>
        <v>4800</v>
      </c>
      <c r="AA41" s="76">
        <v>1080</v>
      </c>
      <c r="AB41" s="56">
        <f t="shared" si="10"/>
        <v>1080</v>
      </c>
      <c r="AC41" s="57">
        <v>2460</v>
      </c>
      <c r="AD41" s="56">
        <f t="shared" si="11"/>
        <v>2460</v>
      </c>
      <c r="AE41" s="58">
        <f t="shared" si="12"/>
        <v>26143</v>
      </c>
      <c r="AF41" s="59">
        <f t="shared" si="12"/>
        <v>26143</v>
      </c>
      <c r="AG41" s="60">
        <f t="shared" si="13"/>
        <v>2178.5833333333335</v>
      </c>
      <c r="AH41" s="60">
        <f t="shared" si="13"/>
        <v>2178.5833333333335</v>
      </c>
      <c r="AI41" s="77"/>
    </row>
    <row r="42" spans="1:36" s="86" customFormat="1" ht="24" customHeight="1">
      <c r="A42" s="78"/>
      <c r="B42" s="79" t="s">
        <v>133</v>
      </c>
      <c r="C42" s="79"/>
      <c r="D42" s="79"/>
      <c r="E42" s="79"/>
      <c r="F42" s="80"/>
      <c r="G42" s="81">
        <f t="shared" ref="G42:AF42" si="14">SUM(G5:G41)</f>
        <v>2632400</v>
      </c>
      <c r="H42" s="82">
        <f t="shared" si="14"/>
        <v>1943856.71</v>
      </c>
      <c r="I42" s="81">
        <f t="shared" si="14"/>
        <v>2185076</v>
      </c>
      <c r="J42" s="82">
        <f t="shared" si="14"/>
        <v>1611580.6400000004</v>
      </c>
      <c r="K42" s="81">
        <f t="shared" si="14"/>
        <v>2465006</v>
      </c>
      <c r="L42" s="82">
        <f t="shared" si="14"/>
        <v>1831661.0699999998</v>
      </c>
      <c r="M42" s="81">
        <f t="shared" si="14"/>
        <v>2438016</v>
      </c>
      <c r="N42" s="82">
        <f t="shared" si="14"/>
        <v>1822155.73</v>
      </c>
      <c r="O42" s="81">
        <f t="shared" si="14"/>
        <v>2520675</v>
      </c>
      <c r="P42" s="82">
        <f t="shared" si="14"/>
        <v>1874844.0499999998</v>
      </c>
      <c r="Q42" s="81">
        <f t="shared" si="14"/>
        <v>2786951</v>
      </c>
      <c r="R42" s="82">
        <f t="shared" si="14"/>
        <v>2091757.5599999998</v>
      </c>
      <c r="S42" s="81">
        <f t="shared" si="14"/>
        <v>2555901</v>
      </c>
      <c r="T42" s="82">
        <f t="shared" si="14"/>
        <v>1926362.8600000003</v>
      </c>
      <c r="U42" s="81">
        <f t="shared" si="14"/>
        <v>2258582</v>
      </c>
      <c r="V42" s="82">
        <f t="shared" si="14"/>
        <v>1693880.1599999997</v>
      </c>
      <c r="W42" s="81">
        <f t="shared" si="14"/>
        <v>2141947</v>
      </c>
      <c r="X42" s="82">
        <f t="shared" si="14"/>
        <v>1614113.96</v>
      </c>
      <c r="Y42" s="81">
        <f t="shared" si="14"/>
        <v>2503176</v>
      </c>
      <c r="Z42" s="82">
        <f t="shared" si="14"/>
        <v>1883817.4599999997</v>
      </c>
      <c r="AA42" s="81">
        <f t="shared" si="14"/>
        <v>2315621</v>
      </c>
      <c r="AB42" s="82">
        <f t="shared" si="14"/>
        <v>1713253.11</v>
      </c>
      <c r="AC42" s="83">
        <f>SUM(AC5:AC41)</f>
        <v>2215785</v>
      </c>
      <c r="AD42" s="82">
        <f>SUM(AD5:AD41)</f>
        <v>1645665.5100000002</v>
      </c>
      <c r="AE42" s="81">
        <f t="shared" si="14"/>
        <v>29019136</v>
      </c>
      <c r="AF42" s="82">
        <f t="shared" si="14"/>
        <v>21652948.82</v>
      </c>
      <c r="AG42" s="70">
        <f t="shared" si="13"/>
        <v>2418261.3333333335</v>
      </c>
      <c r="AH42" s="70">
        <f t="shared" si="13"/>
        <v>1804412.4016666666</v>
      </c>
      <c r="AI42" s="84">
        <f>SUM(AG5:AG41)</f>
        <v>2418261.333333334</v>
      </c>
      <c r="AJ42" s="85">
        <f>AH42+AH51+AH52</f>
        <v>1805840.8391666666</v>
      </c>
    </row>
    <row r="43" spans="1:36" ht="24" customHeight="1">
      <c r="A43" s="87"/>
      <c r="B43" s="68"/>
      <c r="C43" s="64"/>
      <c r="D43" s="64"/>
      <c r="E43" s="64"/>
      <c r="F43" s="64"/>
      <c r="G43" s="88"/>
      <c r="H43" s="89"/>
      <c r="I43" s="88"/>
      <c r="J43" s="88"/>
      <c r="K43" s="90"/>
      <c r="L43" s="88"/>
      <c r="M43" s="90"/>
      <c r="N43" s="88"/>
      <c r="O43" s="90"/>
      <c r="P43" s="88"/>
      <c r="Q43" s="90"/>
      <c r="R43" s="88"/>
      <c r="S43" s="90"/>
      <c r="T43" s="88"/>
      <c r="U43" s="90"/>
      <c r="V43" s="88"/>
      <c r="W43" s="90"/>
      <c r="X43" s="88"/>
      <c r="Y43" s="90"/>
      <c r="Z43" s="88"/>
      <c r="AA43" s="90"/>
      <c r="AB43" s="88"/>
      <c r="AC43" s="88"/>
      <c r="AD43" s="88"/>
      <c r="AE43" s="91"/>
      <c r="AF43" s="90"/>
      <c r="AG43" s="70">
        <f t="shared" ref="AG43:AH54" si="15">AE43/12</f>
        <v>0</v>
      </c>
      <c r="AH43" s="70">
        <f t="shared" si="15"/>
        <v>0</v>
      </c>
      <c r="AI43" s="92"/>
    </row>
    <row r="44" spans="1:36" ht="25.2" customHeight="1">
      <c r="A44" s="52">
        <v>1</v>
      </c>
      <c r="B44" s="93" t="s">
        <v>103</v>
      </c>
      <c r="C44" s="94"/>
      <c r="D44" s="54" t="s">
        <v>136</v>
      </c>
      <c r="E44" s="54">
        <v>0.7</v>
      </c>
      <c r="F44" s="54" t="s">
        <v>35</v>
      </c>
      <c r="G44" s="76">
        <v>119</v>
      </c>
      <c r="H44" s="56">
        <f t="shared" ref="H44:H52" si="16">+$E44*G44</f>
        <v>83.3</v>
      </c>
      <c r="I44" s="76">
        <v>46</v>
      </c>
      <c r="J44" s="55">
        <f t="shared" ref="J44:J52" si="17">+$E44*I44</f>
        <v>32.199999999999996</v>
      </c>
      <c r="K44" s="76">
        <v>108</v>
      </c>
      <c r="L44" s="55">
        <f t="shared" ref="L44:L52" si="18">+$E44*K44</f>
        <v>75.599999999999994</v>
      </c>
      <c r="M44" s="76">
        <v>124</v>
      </c>
      <c r="N44" s="55">
        <f t="shared" ref="N44:N52" si="19">+$E44*M44</f>
        <v>86.8</v>
      </c>
      <c r="O44" s="76">
        <v>285</v>
      </c>
      <c r="P44" s="55">
        <f t="shared" ref="P44:P52" si="20">+$E44*O44</f>
        <v>199.5</v>
      </c>
      <c r="Q44" s="76">
        <v>240</v>
      </c>
      <c r="R44" s="55">
        <f t="shared" ref="R44:R52" si="21">+$E44*Q44</f>
        <v>168</v>
      </c>
      <c r="S44" s="76">
        <v>372</v>
      </c>
      <c r="T44" s="55">
        <f t="shared" ref="T44:T52" si="22">+$E44*S44</f>
        <v>260.39999999999998</v>
      </c>
      <c r="U44" s="76">
        <v>216</v>
      </c>
      <c r="V44" s="55">
        <f t="shared" ref="V44:V52" si="23">+$E44*U44</f>
        <v>151.19999999999999</v>
      </c>
      <c r="W44" s="76">
        <v>216</v>
      </c>
      <c r="X44" s="55">
        <f t="shared" ref="X44:X52" si="24">+$E44*W44</f>
        <v>151.19999999999999</v>
      </c>
      <c r="Y44" s="76">
        <v>456</v>
      </c>
      <c r="Z44" s="55">
        <f t="shared" ref="Z44:Z52" si="25">+$E44*Y44</f>
        <v>319.2</v>
      </c>
      <c r="AA44" s="76"/>
      <c r="AB44" s="55">
        <f t="shared" ref="AB44:AB52" si="26">+$E44*AA44</f>
        <v>0</v>
      </c>
      <c r="AC44" s="55">
        <v>12</v>
      </c>
      <c r="AD44" s="55">
        <f>AC44*E44</f>
        <v>8.3999999999999986</v>
      </c>
      <c r="AE44" s="58">
        <f t="shared" ref="AE44:AF52" si="27">Y44+W44+U44+S44+Q44+O44+M44+K44+I44+G44</f>
        <v>2182</v>
      </c>
      <c r="AF44" s="58">
        <f t="shared" si="27"/>
        <v>1527.3999999999999</v>
      </c>
      <c r="AG44" s="60">
        <f t="shared" si="15"/>
        <v>181.83333333333334</v>
      </c>
      <c r="AH44" s="60">
        <f t="shared" si="15"/>
        <v>127.28333333333332</v>
      </c>
      <c r="AI44" s="77"/>
    </row>
    <row r="45" spans="1:36" ht="25.2" customHeight="1">
      <c r="A45" s="52">
        <v>2</v>
      </c>
      <c r="B45" s="93" t="s">
        <v>104</v>
      </c>
      <c r="C45" s="94"/>
      <c r="D45" s="54" t="s">
        <v>142</v>
      </c>
      <c r="E45" s="54">
        <v>0.35</v>
      </c>
      <c r="F45" s="54" t="s">
        <v>150</v>
      </c>
      <c r="G45" s="76">
        <v>168</v>
      </c>
      <c r="H45" s="56">
        <f t="shared" si="16"/>
        <v>58.8</v>
      </c>
      <c r="I45" s="76">
        <v>0</v>
      </c>
      <c r="J45" s="55">
        <f t="shared" si="17"/>
        <v>0</v>
      </c>
      <c r="K45" s="76">
        <v>24</v>
      </c>
      <c r="L45" s="55">
        <f t="shared" si="18"/>
        <v>8.3999999999999986</v>
      </c>
      <c r="M45" s="76">
        <v>24</v>
      </c>
      <c r="N45" s="55">
        <f t="shared" si="19"/>
        <v>8.3999999999999986</v>
      </c>
      <c r="O45" s="76">
        <v>0</v>
      </c>
      <c r="P45" s="55">
        <f t="shared" si="20"/>
        <v>0</v>
      </c>
      <c r="Q45" s="76">
        <v>48</v>
      </c>
      <c r="R45" s="55">
        <f t="shared" si="21"/>
        <v>16.799999999999997</v>
      </c>
      <c r="S45" s="76">
        <v>24</v>
      </c>
      <c r="T45" s="55">
        <f t="shared" si="22"/>
        <v>8.3999999999999986</v>
      </c>
      <c r="U45" s="76">
        <v>96</v>
      </c>
      <c r="V45" s="55">
        <f t="shared" si="23"/>
        <v>33.599999999999994</v>
      </c>
      <c r="W45" s="76">
        <v>48</v>
      </c>
      <c r="X45" s="55">
        <f t="shared" si="24"/>
        <v>16.799999999999997</v>
      </c>
      <c r="Y45" s="76">
        <v>48</v>
      </c>
      <c r="Z45" s="55">
        <f t="shared" si="25"/>
        <v>16.799999999999997</v>
      </c>
      <c r="AA45" s="76">
        <f>108+99</f>
        <v>207</v>
      </c>
      <c r="AB45" s="55">
        <f t="shared" si="26"/>
        <v>72.449999999999989</v>
      </c>
      <c r="AC45" s="55">
        <v>24</v>
      </c>
      <c r="AD45" s="55">
        <f t="shared" ref="AD45:AD52" si="28">AC45*E45</f>
        <v>8.3999999999999986</v>
      </c>
      <c r="AE45" s="58">
        <f t="shared" si="27"/>
        <v>480</v>
      </c>
      <c r="AF45" s="58">
        <f t="shared" si="27"/>
        <v>168</v>
      </c>
      <c r="AG45" s="60">
        <f t="shared" si="15"/>
        <v>40</v>
      </c>
      <c r="AH45" s="60">
        <f t="shared" si="15"/>
        <v>14</v>
      </c>
      <c r="AI45" s="77"/>
    </row>
    <row r="46" spans="1:36" ht="25.2" customHeight="1">
      <c r="A46" s="52">
        <v>3</v>
      </c>
      <c r="B46" s="93" t="s">
        <v>105</v>
      </c>
      <c r="C46" s="94"/>
      <c r="D46" s="54" t="s">
        <v>151</v>
      </c>
      <c r="E46" s="54">
        <v>0.17499999999999999</v>
      </c>
      <c r="F46" s="54" t="s">
        <v>152</v>
      </c>
      <c r="G46" s="76">
        <v>0</v>
      </c>
      <c r="H46" s="56">
        <f t="shared" si="16"/>
        <v>0</v>
      </c>
      <c r="I46" s="76">
        <v>0</v>
      </c>
      <c r="J46" s="55">
        <f t="shared" si="17"/>
        <v>0</v>
      </c>
      <c r="K46" s="76">
        <v>0</v>
      </c>
      <c r="L46" s="55">
        <f t="shared" si="18"/>
        <v>0</v>
      </c>
      <c r="M46" s="76">
        <v>0</v>
      </c>
      <c r="N46" s="55">
        <f t="shared" si="19"/>
        <v>0</v>
      </c>
      <c r="O46" s="76">
        <v>0</v>
      </c>
      <c r="P46" s="55">
        <f t="shared" si="20"/>
        <v>0</v>
      </c>
      <c r="Q46" s="76">
        <v>0</v>
      </c>
      <c r="R46" s="55">
        <f t="shared" si="21"/>
        <v>0</v>
      </c>
      <c r="S46" s="76">
        <v>0</v>
      </c>
      <c r="T46" s="55">
        <f t="shared" si="22"/>
        <v>0</v>
      </c>
      <c r="U46" s="76">
        <v>0</v>
      </c>
      <c r="V46" s="55">
        <f t="shared" si="23"/>
        <v>0</v>
      </c>
      <c r="W46" s="76">
        <v>0</v>
      </c>
      <c r="X46" s="55">
        <f t="shared" si="24"/>
        <v>0</v>
      </c>
      <c r="Y46" s="76"/>
      <c r="Z46" s="55">
        <f t="shared" si="25"/>
        <v>0</v>
      </c>
      <c r="AA46" s="76"/>
      <c r="AB46" s="55">
        <f t="shared" si="26"/>
        <v>0</v>
      </c>
      <c r="AC46" s="55"/>
      <c r="AD46" s="55">
        <f t="shared" si="28"/>
        <v>0</v>
      </c>
      <c r="AE46" s="58">
        <f t="shared" si="27"/>
        <v>0</v>
      </c>
      <c r="AF46" s="58">
        <f t="shared" si="27"/>
        <v>0</v>
      </c>
      <c r="AG46" s="70">
        <f t="shared" si="15"/>
        <v>0</v>
      </c>
      <c r="AH46" s="70">
        <f t="shared" si="15"/>
        <v>0</v>
      </c>
      <c r="AI46" s="77"/>
    </row>
    <row r="47" spans="1:36" ht="25.2" customHeight="1">
      <c r="A47" s="52">
        <v>4</v>
      </c>
      <c r="B47" s="93" t="s">
        <v>107</v>
      </c>
      <c r="C47" s="94"/>
      <c r="D47" s="54" t="s">
        <v>136</v>
      </c>
      <c r="E47" s="54">
        <v>0.7</v>
      </c>
      <c r="F47" s="54" t="s">
        <v>35</v>
      </c>
      <c r="G47" s="76">
        <v>7632</v>
      </c>
      <c r="H47" s="56">
        <f t="shared" si="16"/>
        <v>5342.4</v>
      </c>
      <c r="I47" s="76">
        <v>6530</v>
      </c>
      <c r="J47" s="55">
        <f t="shared" si="17"/>
        <v>4571</v>
      </c>
      <c r="K47" s="76">
        <v>9151</v>
      </c>
      <c r="L47" s="55">
        <f t="shared" si="18"/>
        <v>6405.7</v>
      </c>
      <c r="M47" s="76">
        <v>1481</v>
      </c>
      <c r="N47" s="55">
        <f t="shared" si="19"/>
        <v>1036.7</v>
      </c>
      <c r="O47" s="76">
        <v>2415</v>
      </c>
      <c r="P47" s="55">
        <f t="shared" si="20"/>
        <v>1690.5</v>
      </c>
      <c r="Q47" s="76">
        <v>2415</v>
      </c>
      <c r="R47" s="55">
        <f t="shared" si="21"/>
        <v>1690.5</v>
      </c>
      <c r="S47" s="76">
        <v>2162</v>
      </c>
      <c r="T47" s="55">
        <f t="shared" si="22"/>
        <v>1513.3999999999999</v>
      </c>
      <c r="U47" s="76">
        <v>2054</v>
      </c>
      <c r="V47" s="55">
        <f t="shared" si="23"/>
        <v>1437.8</v>
      </c>
      <c r="W47" s="76">
        <v>2387</v>
      </c>
      <c r="X47" s="55">
        <f t="shared" si="24"/>
        <v>1670.8999999999999</v>
      </c>
      <c r="Y47" s="76">
        <v>1865</v>
      </c>
      <c r="Z47" s="55">
        <f t="shared" si="25"/>
        <v>1305.5</v>
      </c>
      <c r="AA47" s="76">
        <v>2262</v>
      </c>
      <c r="AB47" s="55">
        <f t="shared" si="26"/>
        <v>1583.3999999999999</v>
      </c>
      <c r="AC47" s="55">
        <v>1354</v>
      </c>
      <c r="AD47" s="55">
        <f t="shared" si="28"/>
        <v>947.8</v>
      </c>
      <c r="AE47" s="58">
        <f t="shared" si="27"/>
        <v>38092</v>
      </c>
      <c r="AF47" s="58">
        <f t="shared" si="27"/>
        <v>26664.400000000001</v>
      </c>
      <c r="AG47" s="60">
        <f t="shared" si="15"/>
        <v>3174.3333333333335</v>
      </c>
      <c r="AH47" s="60">
        <f t="shared" si="15"/>
        <v>2222.0333333333333</v>
      </c>
      <c r="AI47" s="77"/>
    </row>
    <row r="48" spans="1:36" ht="25.2" customHeight="1">
      <c r="A48" s="52">
        <v>5</v>
      </c>
      <c r="B48" s="93" t="s">
        <v>108</v>
      </c>
      <c r="C48" s="94"/>
      <c r="D48" s="54" t="s">
        <v>142</v>
      </c>
      <c r="E48" s="54">
        <v>0.35</v>
      </c>
      <c r="F48" s="54" t="s">
        <v>150</v>
      </c>
      <c r="G48" s="76">
        <v>20807</v>
      </c>
      <c r="H48" s="56">
        <f t="shared" si="16"/>
        <v>7282.45</v>
      </c>
      <c r="I48" s="76">
        <v>18974</v>
      </c>
      <c r="J48" s="55">
        <f t="shared" si="17"/>
        <v>6640.9</v>
      </c>
      <c r="K48" s="76">
        <v>26022</v>
      </c>
      <c r="L48" s="55">
        <f t="shared" si="18"/>
        <v>9107.6999999999989</v>
      </c>
      <c r="M48" s="76">
        <v>4244</v>
      </c>
      <c r="N48" s="55">
        <f t="shared" si="19"/>
        <v>1485.3999999999999</v>
      </c>
      <c r="O48" s="76">
        <v>4869</v>
      </c>
      <c r="P48" s="55">
        <f t="shared" si="20"/>
        <v>1704.1499999999999</v>
      </c>
      <c r="Q48" s="76">
        <v>4099</v>
      </c>
      <c r="R48" s="55">
        <f t="shared" si="21"/>
        <v>1434.6499999999999</v>
      </c>
      <c r="S48" s="76">
        <v>4195</v>
      </c>
      <c r="T48" s="55">
        <f t="shared" si="22"/>
        <v>1468.25</v>
      </c>
      <c r="U48" s="76">
        <v>4245</v>
      </c>
      <c r="V48" s="55">
        <f t="shared" si="23"/>
        <v>1485.75</v>
      </c>
      <c r="W48" s="76">
        <v>3857</v>
      </c>
      <c r="X48" s="55">
        <f t="shared" si="24"/>
        <v>1349.9499999999998</v>
      </c>
      <c r="Y48" s="76">
        <v>3481</v>
      </c>
      <c r="Z48" s="55">
        <f t="shared" si="25"/>
        <v>1218.3499999999999</v>
      </c>
      <c r="AA48" s="76">
        <v>3768</v>
      </c>
      <c r="AB48" s="55">
        <f t="shared" si="26"/>
        <v>1318.8</v>
      </c>
      <c r="AC48" s="55">
        <v>2045</v>
      </c>
      <c r="AD48" s="55">
        <f t="shared" si="28"/>
        <v>715.75</v>
      </c>
      <c r="AE48" s="58">
        <f t="shared" si="27"/>
        <v>94793</v>
      </c>
      <c r="AF48" s="58">
        <f t="shared" si="27"/>
        <v>33177.549999999996</v>
      </c>
      <c r="AG48" s="60">
        <f t="shared" si="15"/>
        <v>7899.416666666667</v>
      </c>
      <c r="AH48" s="60">
        <f t="shared" si="15"/>
        <v>2764.7958333333331</v>
      </c>
      <c r="AI48" s="77"/>
    </row>
    <row r="49" spans="1:36" ht="25.2" customHeight="1">
      <c r="A49" s="52">
        <v>6</v>
      </c>
      <c r="B49" s="93" t="s">
        <v>109</v>
      </c>
      <c r="C49" s="94"/>
      <c r="D49" s="54" t="s">
        <v>151</v>
      </c>
      <c r="E49" s="54">
        <v>0.17499999999999999</v>
      </c>
      <c r="F49" s="54" t="s">
        <v>152</v>
      </c>
      <c r="G49" s="76">
        <v>9557</v>
      </c>
      <c r="H49" s="56">
        <f t="shared" si="16"/>
        <v>1672.4749999999999</v>
      </c>
      <c r="I49" s="76">
        <v>9813</v>
      </c>
      <c r="J49" s="55">
        <f t="shared" si="17"/>
        <v>1717.2749999999999</v>
      </c>
      <c r="K49" s="76">
        <v>10578</v>
      </c>
      <c r="L49" s="55">
        <f t="shared" si="18"/>
        <v>1851.1499999999999</v>
      </c>
      <c r="M49" s="76">
        <v>2770</v>
      </c>
      <c r="N49" s="55">
        <f t="shared" si="19"/>
        <v>484.74999999999994</v>
      </c>
      <c r="O49" s="76">
        <v>3749</v>
      </c>
      <c r="P49" s="55">
        <f t="shared" si="20"/>
        <v>656.07499999999993</v>
      </c>
      <c r="Q49" s="76">
        <v>3179</v>
      </c>
      <c r="R49" s="55">
        <f t="shared" si="21"/>
        <v>556.32499999999993</v>
      </c>
      <c r="S49" s="76">
        <v>3132</v>
      </c>
      <c r="T49" s="55">
        <f t="shared" si="22"/>
        <v>548.09999999999991</v>
      </c>
      <c r="U49" s="76">
        <v>2529</v>
      </c>
      <c r="V49" s="55">
        <f t="shared" si="23"/>
        <v>442.57499999999999</v>
      </c>
      <c r="W49" s="76">
        <v>1678</v>
      </c>
      <c r="X49" s="55">
        <f t="shared" si="24"/>
        <v>293.64999999999998</v>
      </c>
      <c r="Y49" s="76">
        <v>1718</v>
      </c>
      <c r="Z49" s="55">
        <f t="shared" si="25"/>
        <v>300.64999999999998</v>
      </c>
      <c r="AA49" s="76">
        <v>475</v>
      </c>
      <c r="AB49" s="55">
        <f t="shared" si="26"/>
        <v>83.125</v>
      </c>
      <c r="AC49" s="55">
        <v>24</v>
      </c>
      <c r="AD49" s="55">
        <f t="shared" si="28"/>
        <v>4.1999999999999993</v>
      </c>
      <c r="AE49" s="58">
        <f t="shared" si="27"/>
        <v>48703</v>
      </c>
      <c r="AF49" s="58">
        <f t="shared" si="27"/>
        <v>8523.0249999999996</v>
      </c>
      <c r="AG49" s="60">
        <f t="shared" si="15"/>
        <v>4058.5833333333335</v>
      </c>
      <c r="AH49" s="60">
        <f t="shared" si="15"/>
        <v>710.2520833333333</v>
      </c>
      <c r="AI49" s="77">
        <f>SUM(AG44:AG49)</f>
        <v>15354.166666666668</v>
      </c>
      <c r="AJ49" s="77">
        <f>SUM(AH44:AH49)</f>
        <v>5838.3645833333321</v>
      </c>
    </row>
    <row r="50" spans="1:36" ht="25.2" customHeight="1">
      <c r="A50" s="52">
        <v>7</v>
      </c>
      <c r="B50" s="93" t="s">
        <v>110</v>
      </c>
      <c r="C50" s="94"/>
      <c r="D50" s="54" t="s">
        <v>136</v>
      </c>
      <c r="E50" s="54">
        <v>0.7</v>
      </c>
      <c r="F50" s="54" t="s">
        <v>35</v>
      </c>
      <c r="G50" s="76">
        <v>0</v>
      </c>
      <c r="H50" s="56">
        <f t="shared" si="16"/>
        <v>0</v>
      </c>
      <c r="I50" s="76">
        <v>0</v>
      </c>
      <c r="J50" s="55">
        <f t="shared" si="17"/>
        <v>0</v>
      </c>
      <c r="K50" s="76">
        <v>0</v>
      </c>
      <c r="L50" s="55">
        <f t="shared" si="18"/>
        <v>0</v>
      </c>
      <c r="M50" s="76">
        <v>0</v>
      </c>
      <c r="N50" s="55">
        <f t="shared" si="19"/>
        <v>0</v>
      </c>
      <c r="O50" s="76">
        <v>0</v>
      </c>
      <c r="P50" s="55">
        <f t="shared" si="20"/>
        <v>0</v>
      </c>
      <c r="Q50" s="76">
        <v>0</v>
      </c>
      <c r="R50" s="55">
        <f t="shared" si="21"/>
        <v>0</v>
      </c>
      <c r="S50" s="76">
        <v>0</v>
      </c>
      <c r="T50" s="55">
        <f t="shared" si="22"/>
        <v>0</v>
      </c>
      <c r="U50" s="76">
        <v>0</v>
      </c>
      <c r="V50" s="55">
        <f t="shared" si="23"/>
        <v>0</v>
      </c>
      <c r="W50" s="76">
        <v>0</v>
      </c>
      <c r="X50" s="55">
        <f t="shared" si="24"/>
        <v>0</v>
      </c>
      <c r="Y50" s="76"/>
      <c r="Z50" s="55">
        <f t="shared" si="25"/>
        <v>0</v>
      </c>
      <c r="AA50" s="76"/>
      <c r="AB50" s="55">
        <f t="shared" si="26"/>
        <v>0</v>
      </c>
      <c r="AC50" s="55"/>
      <c r="AD50" s="55">
        <f t="shared" si="28"/>
        <v>0</v>
      </c>
      <c r="AE50" s="58">
        <f t="shared" si="27"/>
        <v>0</v>
      </c>
      <c r="AF50" s="58">
        <f t="shared" si="27"/>
        <v>0</v>
      </c>
      <c r="AG50" s="70">
        <f t="shared" si="15"/>
        <v>0</v>
      </c>
      <c r="AH50" s="70">
        <f t="shared" si="15"/>
        <v>0</v>
      </c>
      <c r="AI50" s="77"/>
    </row>
    <row r="51" spans="1:36" ht="25.2" customHeight="1">
      <c r="A51" s="52">
        <v>8</v>
      </c>
      <c r="B51" s="93" t="s">
        <v>84</v>
      </c>
      <c r="C51" s="94"/>
      <c r="D51" s="54" t="s">
        <v>136</v>
      </c>
      <c r="E51" s="54">
        <v>0.7</v>
      </c>
      <c r="F51" s="54" t="s">
        <v>35</v>
      </c>
      <c r="G51" s="76">
        <v>1358</v>
      </c>
      <c r="H51" s="56">
        <f t="shared" si="16"/>
        <v>950.59999999999991</v>
      </c>
      <c r="I51" s="76">
        <v>1566</v>
      </c>
      <c r="J51" s="55">
        <f t="shared" si="17"/>
        <v>1096.1999999999998</v>
      </c>
      <c r="K51" s="76">
        <v>973</v>
      </c>
      <c r="L51" s="55">
        <f t="shared" si="18"/>
        <v>681.09999999999991</v>
      </c>
      <c r="M51" s="76">
        <v>1170</v>
      </c>
      <c r="N51" s="55">
        <f t="shared" si="19"/>
        <v>819</v>
      </c>
      <c r="O51" s="76">
        <v>1104</v>
      </c>
      <c r="P51" s="55">
        <f t="shared" si="20"/>
        <v>772.8</v>
      </c>
      <c r="Q51" s="76">
        <v>1209</v>
      </c>
      <c r="R51" s="55">
        <f t="shared" si="21"/>
        <v>846.3</v>
      </c>
      <c r="S51" s="76">
        <v>1513</v>
      </c>
      <c r="T51" s="55">
        <f t="shared" si="22"/>
        <v>1059.0999999999999</v>
      </c>
      <c r="U51" s="76">
        <v>1153</v>
      </c>
      <c r="V51" s="55">
        <f t="shared" si="23"/>
        <v>807.09999999999991</v>
      </c>
      <c r="W51" s="76">
        <v>618</v>
      </c>
      <c r="X51" s="55">
        <f t="shared" si="24"/>
        <v>432.59999999999997</v>
      </c>
      <c r="Y51" s="76">
        <v>673</v>
      </c>
      <c r="Z51" s="55">
        <f t="shared" si="25"/>
        <v>471.09999999999997</v>
      </c>
      <c r="AA51" s="76">
        <v>649</v>
      </c>
      <c r="AB51" s="55">
        <f t="shared" si="26"/>
        <v>454.29999999999995</v>
      </c>
      <c r="AC51" s="55">
        <v>544</v>
      </c>
      <c r="AD51" s="55">
        <f t="shared" si="28"/>
        <v>380.79999999999995</v>
      </c>
      <c r="AE51" s="58">
        <f t="shared" si="27"/>
        <v>11337</v>
      </c>
      <c r="AF51" s="58">
        <f t="shared" si="27"/>
        <v>7935.9</v>
      </c>
      <c r="AG51" s="60">
        <f t="shared" si="15"/>
        <v>944.75</v>
      </c>
      <c r="AH51" s="60">
        <f t="shared" si="15"/>
        <v>661.32499999999993</v>
      </c>
      <c r="AI51" s="77"/>
    </row>
    <row r="52" spans="1:36" ht="25.2" customHeight="1">
      <c r="A52" s="52">
        <v>9</v>
      </c>
      <c r="B52" s="93" t="s">
        <v>85</v>
      </c>
      <c r="C52" s="94"/>
      <c r="D52" s="54" t="s">
        <v>142</v>
      </c>
      <c r="E52" s="54">
        <v>0.35</v>
      </c>
      <c r="F52" s="54" t="s">
        <v>150</v>
      </c>
      <c r="G52" s="76">
        <v>1743</v>
      </c>
      <c r="H52" s="56">
        <f t="shared" si="16"/>
        <v>610.04999999999995</v>
      </c>
      <c r="I52" s="76">
        <v>1963</v>
      </c>
      <c r="J52" s="55">
        <f t="shared" si="17"/>
        <v>687.05</v>
      </c>
      <c r="K52" s="76">
        <v>1582</v>
      </c>
      <c r="L52" s="55">
        <f t="shared" si="18"/>
        <v>553.69999999999993</v>
      </c>
      <c r="M52" s="76">
        <v>2070</v>
      </c>
      <c r="N52" s="55">
        <f t="shared" si="19"/>
        <v>724.5</v>
      </c>
      <c r="O52" s="76">
        <v>2727</v>
      </c>
      <c r="P52" s="55">
        <f t="shared" si="20"/>
        <v>954.44999999999993</v>
      </c>
      <c r="Q52" s="76">
        <v>3824</v>
      </c>
      <c r="R52" s="55">
        <f t="shared" si="21"/>
        <v>1338.3999999999999</v>
      </c>
      <c r="S52" s="76">
        <v>4828</v>
      </c>
      <c r="T52" s="55">
        <f t="shared" si="22"/>
        <v>1689.8</v>
      </c>
      <c r="U52" s="76">
        <v>3804</v>
      </c>
      <c r="V52" s="55">
        <f t="shared" si="23"/>
        <v>1331.3999999999999</v>
      </c>
      <c r="W52" s="76">
        <v>2042</v>
      </c>
      <c r="X52" s="55">
        <f t="shared" si="24"/>
        <v>714.69999999999993</v>
      </c>
      <c r="Y52" s="76">
        <v>1718</v>
      </c>
      <c r="Z52" s="55">
        <f t="shared" si="25"/>
        <v>601.29999999999995</v>
      </c>
      <c r="AA52" s="76">
        <v>1323</v>
      </c>
      <c r="AB52" s="55">
        <f t="shared" si="26"/>
        <v>463.04999999999995</v>
      </c>
      <c r="AC52" s="55">
        <v>1893</v>
      </c>
      <c r="AD52" s="55">
        <f t="shared" si="28"/>
        <v>662.55</v>
      </c>
      <c r="AE52" s="58">
        <f t="shared" si="27"/>
        <v>26301</v>
      </c>
      <c r="AF52" s="58">
        <f t="shared" si="27"/>
        <v>9205.3499999999985</v>
      </c>
      <c r="AG52" s="60">
        <f t="shared" si="15"/>
        <v>2191.75</v>
      </c>
      <c r="AH52" s="60">
        <f t="shared" si="15"/>
        <v>767.11249999999984</v>
      </c>
      <c r="AI52" s="77"/>
    </row>
    <row r="53" spans="1:36" ht="25.2" customHeight="1">
      <c r="A53" s="95"/>
      <c r="B53" s="280" t="s">
        <v>133</v>
      </c>
      <c r="C53" s="280"/>
      <c r="D53" s="280"/>
      <c r="E53" s="280"/>
      <c r="F53" s="280"/>
      <c r="G53" s="81">
        <f t="shared" ref="G53:AF53" si="29">SUM(G44:G52)</f>
        <v>41384</v>
      </c>
      <c r="H53" s="82">
        <f t="shared" si="29"/>
        <v>16000.075000000001</v>
      </c>
      <c r="I53" s="81">
        <f t="shared" si="29"/>
        <v>38892</v>
      </c>
      <c r="J53" s="81">
        <f t="shared" si="29"/>
        <v>14744.624999999996</v>
      </c>
      <c r="K53" s="81">
        <f t="shared" si="29"/>
        <v>48438</v>
      </c>
      <c r="L53" s="81">
        <f t="shared" si="29"/>
        <v>18683.349999999999</v>
      </c>
      <c r="M53" s="81">
        <f t="shared" si="29"/>
        <v>11883</v>
      </c>
      <c r="N53" s="81">
        <f t="shared" si="29"/>
        <v>4645.55</v>
      </c>
      <c r="O53" s="81">
        <f t="shared" si="29"/>
        <v>15149</v>
      </c>
      <c r="P53" s="81">
        <f t="shared" si="29"/>
        <v>5977.4749999999995</v>
      </c>
      <c r="Q53" s="81">
        <f t="shared" si="29"/>
        <v>15014</v>
      </c>
      <c r="R53" s="81">
        <f t="shared" si="29"/>
        <v>6050.9749999999995</v>
      </c>
      <c r="S53" s="81">
        <f t="shared" si="29"/>
        <v>16226</v>
      </c>
      <c r="T53" s="81">
        <f t="shared" si="29"/>
        <v>6547.45</v>
      </c>
      <c r="U53" s="81">
        <f t="shared" si="29"/>
        <v>14097</v>
      </c>
      <c r="V53" s="81">
        <f t="shared" si="29"/>
        <v>5689.4249999999993</v>
      </c>
      <c r="W53" s="81">
        <f t="shared" si="29"/>
        <v>10846</v>
      </c>
      <c r="X53" s="81">
        <f t="shared" si="29"/>
        <v>4629.7999999999993</v>
      </c>
      <c r="Y53" s="81">
        <f t="shared" si="29"/>
        <v>9959</v>
      </c>
      <c r="Z53" s="81">
        <f t="shared" si="29"/>
        <v>4232.8999999999996</v>
      </c>
      <c r="AA53" s="81">
        <f t="shared" si="29"/>
        <v>8684</v>
      </c>
      <c r="AB53" s="81">
        <f t="shared" si="29"/>
        <v>3975.125</v>
      </c>
      <c r="AC53" s="81">
        <f>SUM(AC44:AC52)</f>
        <v>5896</v>
      </c>
      <c r="AD53" s="81">
        <f>SUM(AD44:AD52)</f>
        <v>2727.8999999999996</v>
      </c>
      <c r="AE53" s="81">
        <f t="shared" si="29"/>
        <v>221888</v>
      </c>
      <c r="AF53" s="81">
        <f t="shared" si="29"/>
        <v>87201.625</v>
      </c>
      <c r="AG53" s="70">
        <f t="shared" si="15"/>
        <v>18490.666666666668</v>
      </c>
      <c r="AH53" s="70">
        <f t="shared" si="15"/>
        <v>7266.802083333333</v>
      </c>
      <c r="AI53" s="77"/>
    </row>
    <row r="54" spans="1:36" s="99" customFormat="1" ht="25.2" customHeight="1">
      <c r="A54" s="96"/>
      <c r="B54" s="281" t="s">
        <v>118</v>
      </c>
      <c r="C54" s="281"/>
      <c r="D54" s="281"/>
      <c r="E54" s="281"/>
      <c r="F54" s="281"/>
      <c r="G54" s="97">
        <f t="shared" ref="G54:AF54" si="30">G42+G53</f>
        <v>2673784</v>
      </c>
      <c r="H54" s="97">
        <f t="shared" si="30"/>
        <v>1959856.7849999999</v>
      </c>
      <c r="I54" s="97">
        <f t="shared" si="30"/>
        <v>2223968</v>
      </c>
      <c r="J54" s="97">
        <f t="shared" si="30"/>
        <v>1626325.2650000004</v>
      </c>
      <c r="K54" s="97">
        <f t="shared" si="30"/>
        <v>2513444</v>
      </c>
      <c r="L54" s="97">
        <f t="shared" si="30"/>
        <v>1850344.42</v>
      </c>
      <c r="M54" s="97">
        <f t="shared" si="30"/>
        <v>2449899</v>
      </c>
      <c r="N54" s="97">
        <f t="shared" si="30"/>
        <v>1826801.28</v>
      </c>
      <c r="O54" s="97">
        <f t="shared" si="30"/>
        <v>2535824</v>
      </c>
      <c r="P54" s="97">
        <f t="shared" si="30"/>
        <v>1880821.5249999999</v>
      </c>
      <c r="Q54" s="97">
        <f t="shared" si="30"/>
        <v>2801965</v>
      </c>
      <c r="R54" s="97">
        <f t="shared" si="30"/>
        <v>2097808.5349999997</v>
      </c>
      <c r="S54" s="97">
        <f t="shared" si="30"/>
        <v>2572127</v>
      </c>
      <c r="T54" s="97">
        <f t="shared" si="30"/>
        <v>1932910.3100000003</v>
      </c>
      <c r="U54" s="97">
        <f t="shared" si="30"/>
        <v>2272679</v>
      </c>
      <c r="V54" s="97">
        <f t="shared" si="30"/>
        <v>1699569.5849999997</v>
      </c>
      <c r="W54" s="97">
        <f t="shared" si="30"/>
        <v>2152793</v>
      </c>
      <c r="X54" s="97">
        <f t="shared" si="30"/>
        <v>1618743.76</v>
      </c>
      <c r="Y54" s="97">
        <f t="shared" si="30"/>
        <v>2513135</v>
      </c>
      <c r="Z54" s="97">
        <f t="shared" si="30"/>
        <v>1888050.3599999996</v>
      </c>
      <c r="AA54" s="97">
        <f t="shared" si="30"/>
        <v>2324305</v>
      </c>
      <c r="AB54" s="97">
        <f t="shared" si="30"/>
        <v>1717228.2350000001</v>
      </c>
      <c r="AC54" s="97">
        <f t="shared" si="30"/>
        <v>2221681</v>
      </c>
      <c r="AD54" s="97">
        <f t="shared" si="30"/>
        <v>1648393.4100000001</v>
      </c>
      <c r="AE54" s="97">
        <f t="shared" si="30"/>
        <v>29241024</v>
      </c>
      <c r="AF54" s="97">
        <f t="shared" si="30"/>
        <v>21740150.445</v>
      </c>
      <c r="AG54" s="70">
        <f t="shared" si="15"/>
        <v>2436752</v>
      </c>
      <c r="AH54" s="70">
        <f t="shared" si="15"/>
        <v>1811679.2037500001</v>
      </c>
      <c r="AI54" s="98"/>
    </row>
  </sheetData>
  <mergeCells count="21">
    <mergeCell ref="AE3:AF3"/>
    <mergeCell ref="B53:F53"/>
    <mergeCell ref="B54:F54"/>
    <mergeCell ref="S3:T3"/>
    <mergeCell ref="U3:V3"/>
    <mergeCell ref="W3:X3"/>
    <mergeCell ref="Y3:Z3"/>
    <mergeCell ref="AA3:AB3"/>
    <mergeCell ref="AC3:AD3"/>
    <mergeCell ref="G3:H3"/>
    <mergeCell ref="I3:J3"/>
    <mergeCell ref="K3:L3"/>
    <mergeCell ref="M3:N3"/>
    <mergeCell ref="O3:P3"/>
    <mergeCell ref="Q3:R3"/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912C-3F73-422C-9FC4-8BF036FF8FF5}">
  <sheetPr>
    <tabColor rgb="FFFFC000"/>
  </sheetPr>
  <dimension ref="A1:AY110"/>
  <sheetViews>
    <sheetView workbookViewId="0">
      <selection activeCell="B2" sqref="B2:B3"/>
    </sheetView>
  </sheetViews>
  <sheetFormatPr defaultColWidth="9.6640625" defaultRowHeight="20.399999999999999"/>
  <cols>
    <col min="1" max="1" width="3.33203125" style="101" bestFit="1" customWidth="1"/>
    <col min="2" max="2" width="18" style="101" customWidth="1"/>
    <col min="3" max="5" width="8.6640625" style="123" customWidth="1"/>
    <col min="6" max="6" width="10.33203125" style="123" bestFit="1" customWidth="1"/>
    <col min="7" max="7" width="10.44140625" style="123" bestFit="1" customWidth="1"/>
    <col min="8" max="8" width="10.33203125" style="123" bestFit="1" customWidth="1"/>
    <col min="9" max="11" width="10.44140625" style="123" bestFit="1" customWidth="1"/>
    <col min="12" max="12" width="10.33203125" style="123" bestFit="1" customWidth="1"/>
    <col min="13" max="13" width="10.44140625" style="123" bestFit="1" customWidth="1"/>
    <col min="14" max="14" width="10.33203125" style="123" bestFit="1" customWidth="1"/>
    <col min="15" max="15" width="10.44140625" style="123" bestFit="1" customWidth="1"/>
    <col min="16" max="16" width="10.33203125" style="123" bestFit="1" customWidth="1"/>
    <col min="17" max="17" width="10.44140625" style="123" bestFit="1" customWidth="1"/>
    <col min="18" max="18" width="10.33203125" style="123" bestFit="1" customWidth="1"/>
    <col min="19" max="19" width="10.44140625" style="123" bestFit="1" customWidth="1"/>
    <col min="20" max="20" width="10.33203125" style="123" bestFit="1" customWidth="1"/>
    <col min="21" max="21" width="10.44140625" style="123" bestFit="1" customWidth="1"/>
    <col min="22" max="22" width="10.33203125" style="123" bestFit="1" customWidth="1"/>
    <col min="23" max="23" width="10.44140625" style="123" bestFit="1" customWidth="1"/>
    <col min="24" max="24" width="10.33203125" style="123" bestFit="1" customWidth="1"/>
    <col min="25" max="25" width="10.44140625" style="123" bestFit="1" customWidth="1"/>
    <col min="26" max="26" width="10.33203125" style="123" bestFit="1" customWidth="1"/>
    <col min="27" max="27" width="10.44140625" style="123" bestFit="1" customWidth="1"/>
    <col min="28" max="28" width="10.33203125" style="123" bestFit="1" customWidth="1"/>
    <col min="29" max="29" width="11.33203125" style="123" bestFit="1" customWidth="1"/>
    <col min="30" max="30" width="11.33203125" style="101" bestFit="1" customWidth="1"/>
    <col min="31" max="31" width="9.6640625" style="101"/>
    <col min="32" max="32" width="19.5546875" style="101" customWidth="1"/>
    <col min="33" max="33" width="11.88671875" style="101" customWidth="1"/>
    <col min="34" max="34" width="12.88671875" style="101" customWidth="1"/>
    <col min="35" max="43" width="9.6640625" style="101"/>
    <col min="44" max="44" width="20.44140625" style="101" bestFit="1" customWidth="1"/>
    <col min="45" max="16384" width="9.6640625" style="101"/>
  </cols>
  <sheetData>
    <row r="1" spans="1:47" ht="21.75" customHeight="1">
      <c r="A1" s="283" t="s">
        <v>153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</row>
    <row r="2" spans="1:47" ht="21.75" customHeight="1">
      <c r="A2" s="285" t="s">
        <v>1</v>
      </c>
      <c r="B2" s="285" t="s">
        <v>2</v>
      </c>
      <c r="C2" s="285" t="s">
        <v>154</v>
      </c>
      <c r="D2" s="285" t="s">
        <v>154</v>
      </c>
      <c r="E2" s="286">
        <v>44927</v>
      </c>
      <c r="F2" s="286"/>
      <c r="G2" s="286">
        <v>44958</v>
      </c>
      <c r="H2" s="286"/>
      <c r="I2" s="286">
        <v>44986</v>
      </c>
      <c r="J2" s="286"/>
      <c r="K2" s="286">
        <v>45017</v>
      </c>
      <c r="L2" s="286"/>
      <c r="M2" s="286">
        <v>45047</v>
      </c>
      <c r="N2" s="286"/>
      <c r="O2" s="286">
        <v>45078</v>
      </c>
      <c r="P2" s="286"/>
      <c r="Q2" s="286">
        <v>45108</v>
      </c>
      <c r="R2" s="286"/>
      <c r="S2" s="286">
        <v>45139</v>
      </c>
      <c r="T2" s="286"/>
      <c r="U2" s="286">
        <v>45170</v>
      </c>
      <c r="V2" s="286"/>
      <c r="W2" s="286">
        <v>45200</v>
      </c>
      <c r="X2" s="286"/>
      <c r="Y2" s="286">
        <v>45231</v>
      </c>
      <c r="Z2" s="286"/>
      <c r="AA2" s="286">
        <v>45261</v>
      </c>
      <c r="AB2" s="286"/>
      <c r="AC2" s="287" t="s">
        <v>133</v>
      </c>
      <c r="AD2" s="287"/>
    </row>
    <row r="3" spans="1:47" ht="21.75" customHeight="1">
      <c r="A3" s="285"/>
      <c r="B3" s="285"/>
      <c r="C3" s="285"/>
      <c r="D3" s="285"/>
      <c r="E3" s="102" t="s">
        <v>155</v>
      </c>
      <c r="F3" s="102" t="s">
        <v>156</v>
      </c>
      <c r="G3" s="102" t="s">
        <v>155</v>
      </c>
      <c r="H3" s="102" t="s">
        <v>156</v>
      </c>
      <c r="I3" s="102" t="s">
        <v>155</v>
      </c>
      <c r="J3" s="102" t="s">
        <v>156</v>
      </c>
      <c r="K3" s="102" t="s">
        <v>155</v>
      </c>
      <c r="L3" s="102" t="s">
        <v>156</v>
      </c>
      <c r="M3" s="102" t="s">
        <v>155</v>
      </c>
      <c r="N3" s="102" t="s">
        <v>156</v>
      </c>
      <c r="O3" s="102" t="s">
        <v>155</v>
      </c>
      <c r="P3" s="102" t="s">
        <v>156</v>
      </c>
      <c r="Q3" s="102" t="s">
        <v>155</v>
      </c>
      <c r="R3" s="102" t="s">
        <v>156</v>
      </c>
      <c r="S3" s="102" t="s">
        <v>155</v>
      </c>
      <c r="T3" s="102" t="s">
        <v>156</v>
      </c>
      <c r="U3" s="102" t="s">
        <v>155</v>
      </c>
      <c r="V3" s="102" t="s">
        <v>156</v>
      </c>
      <c r="W3" s="102" t="s">
        <v>155</v>
      </c>
      <c r="X3" s="102" t="s">
        <v>156</v>
      </c>
      <c r="Y3" s="102" t="s">
        <v>155</v>
      </c>
      <c r="Z3" s="102" t="s">
        <v>156</v>
      </c>
      <c r="AA3" s="102" t="s">
        <v>155</v>
      </c>
      <c r="AB3" s="102" t="s">
        <v>156</v>
      </c>
      <c r="AC3" s="102" t="s">
        <v>155</v>
      </c>
      <c r="AD3" s="102" t="s">
        <v>156</v>
      </c>
    </row>
    <row r="4" spans="1:47" ht="21.75" customHeight="1">
      <c r="A4" s="103">
        <v>1</v>
      </c>
      <c r="B4" s="104" t="s">
        <v>157</v>
      </c>
      <c r="C4" s="103">
        <v>640</v>
      </c>
      <c r="D4" s="103">
        <v>0.64</v>
      </c>
      <c r="E4" s="105">
        <v>1399258</v>
      </c>
      <c r="F4" s="105">
        <f t="shared" ref="F4:F63" si="0">+E4*$D4</f>
        <v>895525.12</v>
      </c>
      <c r="G4" s="106">
        <v>1181866</v>
      </c>
      <c r="H4" s="105">
        <f t="shared" ref="H4:H63" si="1">+G4*$D4</f>
        <v>756394.24</v>
      </c>
      <c r="I4" s="106">
        <v>1568917</v>
      </c>
      <c r="J4" s="105">
        <f t="shared" ref="J4:J63" si="2">+I4*$D4</f>
        <v>1004106.88</v>
      </c>
      <c r="K4" s="106">
        <v>1249780</v>
      </c>
      <c r="L4" s="105">
        <f t="shared" ref="L4:L63" si="3">+K4*$D4</f>
        <v>799859.20000000007</v>
      </c>
      <c r="M4" s="106">
        <v>1141630</v>
      </c>
      <c r="N4" s="105">
        <f t="shared" ref="N4:N63" si="4">+M4*$D4</f>
        <v>730643.20000000007</v>
      </c>
      <c r="O4" s="106">
        <v>1176224</v>
      </c>
      <c r="P4" s="105">
        <f t="shared" ref="P4:P63" si="5">+O4*$D4</f>
        <v>752783.35999999999</v>
      </c>
      <c r="Q4" s="106">
        <v>1274322</v>
      </c>
      <c r="R4" s="105">
        <f t="shared" ref="R4:R63" si="6">+Q4*$D4</f>
        <v>815566.08000000007</v>
      </c>
      <c r="S4" s="106">
        <v>1294006</v>
      </c>
      <c r="T4" s="105">
        <f t="shared" ref="T4:T63" si="7">+S4*$D4</f>
        <v>828163.84</v>
      </c>
      <c r="U4" s="106">
        <v>890078</v>
      </c>
      <c r="V4" s="105">
        <f t="shared" ref="V4:V63" si="8">+U4*$D4</f>
        <v>569649.92000000004</v>
      </c>
      <c r="W4" s="106">
        <v>999712</v>
      </c>
      <c r="X4" s="105">
        <f t="shared" ref="X4:X63" si="9">+W4*$D4</f>
        <v>639815.68000000005</v>
      </c>
      <c r="Y4" s="106">
        <v>1046766</v>
      </c>
      <c r="Z4" s="105">
        <f t="shared" ref="Z4:Z63" si="10">+Y4*$D4</f>
        <v>669930.23999999999</v>
      </c>
      <c r="AA4" s="106">
        <v>1107288</v>
      </c>
      <c r="AB4" s="105">
        <f t="shared" ref="AB4:AB63" si="11">+AA4*$D4</f>
        <v>708664.32000000007</v>
      </c>
      <c r="AC4" s="70">
        <f t="shared" ref="AC4:AC63" si="12">AA4+Y4+W4+U4+S4+Q4+O4+M4+K4+I4+G4+E4</f>
        <v>14329847</v>
      </c>
      <c r="AD4" s="105">
        <f t="shared" ref="AD4:AD63" si="13">+AC4*$D4</f>
        <v>9171102.0800000001</v>
      </c>
    </row>
    <row r="5" spans="1:47" ht="21.75" customHeight="1">
      <c r="A5" s="103">
        <v>2</v>
      </c>
      <c r="B5" s="104" t="s">
        <v>158</v>
      </c>
      <c r="C5" s="103">
        <v>640</v>
      </c>
      <c r="D5" s="103">
        <v>0.64</v>
      </c>
      <c r="E5" s="105"/>
      <c r="F5" s="105">
        <f t="shared" si="0"/>
        <v>0</v>
      </c>
      <c r="G5" s="106"/>
      <c r="H5" s="105">
        <f t="shared" si="1"/>
        <v>0</v>
      </c>
      <c r="I5" s="106"/>
      <c r="J5" s="105">
        <f t="shared" si="2"/>
        <v>0</v>
      </c>
      <c r="K5" s="106"/>
      <c r="L5" s="105">
        <f t="shared" si="3"/>
        <v>0</v>
      </c>
      <c r="M5" s="106"/>
      <c r="N5" s="105">
        <f t="shared" si="4"/>
        <v>0</v>
      </c>
      <c r="O5" s="106"/>
      <c r="P5" s="105">
        <f t="shared" si="5"/>
        <v>0</v>
      </c>
      <c r="Q5" s="106"/>
      <c r="R5" s="105">
        <f t="shared" si="6"/>
        <v>0</v>
      </c>
      <c r="S5" s="106">
        <v>3216</v>
      </c>
      <c r="T5" s="105">
        <f t="shared" si="7"/>
        <v>2058.2400000000002</v>
      </c>
      <c r="U5" s="106"/>
      <c r="V5" s="105">
        <f t="shared" si="8"/>
        <v>0</v>
      </c>
      <c r="W5" s="106">
        <v>1608</v>
      </c>
      <c r="X5" s="105">
        <f t="shared" si="9"/>
        <v>1029.1200000000001</v>
      </c>
      <c r="Y5" s="106">
        <v>24</v>
      </c>
      <c r="Z5" s="105">
        <f t="shared" si="10"/>
        <v>15.36</v>
      </c>
      <c r="AA5" s="106">
        <v>720</v>
      </c>
      <c r="AB5" s="105">
        <f t="shared" si="11"/>
        <v>460.8</v>
      </c>
      <c r="AC5" s="70">
        <f t="shared" si="12"/>
        <v>5568</v>
      </c>
      <c r="AD5" s="105">
        <f t="shared" si="13"/>
        <v>3563.52</v>
      </c>
    </row>
    <row r="6" spans="1:47" ht="21.75" customHeight="1">
      <c r="A6" s="103">
        <v>3</v>
      </c>
      <c r="B6" s="104" t="s">
        <v>159</v>
      </c>
      <c r="C6" s="103">
        <v>640</v>
      </c>
      <c r="D6" s="103">
        <v>0.64</v>
      </c>
      <c r="E6" s="105">
        <v>51288</v>
      </c>
      <c r="F6" s="105">
        <f t="shared" si="0"/>
        <v>32824.32</v>
      </c>
      <c r="G6" s="106">
        <v>27816</v>
      </c>
      <c r="H6" s="105">
        <f t="shared" si="1"/>
        <v>17802.240000000002</v>
      </c>
      <c r="I6" s="106">
        <v>53160</v>
      </c>
      <c r="J6" s="105">
        <f t="shared" si="2"/>
        <v>34022.400000000001</v>
      </c>
      <c r="K6" s="106">
        <v>38184</v>
      </c>
      <c r="L6" s="105">
        <f t="shared" si="3"/>
        <v>24437.760000000002</v>
      </c>
      <c r="M6" s="106">
        <v>46512</v>
      </c>
      <c r="N6" s="105">
        <f t="shared" si="4"/>
        <v>29767.68</v>
      </c>
      <c r="O6" s="106">
        <v>35304</v>
      </c>
      <c r="P6" s="105">
        <f t="shared" si="5"/>
        <v>22594.560000000001</v>
      </c>
      <c r="Q6" s="106">
        <v>29616</v>
      </c>
      <c r="R6" s="105">
        <f t="shared" si="6"/>
        <v>18954.240000000002</v>
      </c>
      <c r="S6" s="106">
        <v>29712</v>
      </c>
      <c r="T6" s="105">
        <f t="shared" si="7"/>
        <v>19015.68</v>
      </c>
      <c r="U6" s="106">
        <v>22632</v>
      </c>
      <c r="V6" s="105">
        <f t="shared" si="8"/>
        <v>14484.48</v>
      </c>
      <c r="W6" s="106">
        <v>31008</v>
      </c>
      <c r="X6" s="105">
        <f t="shared" si="9"/>
        <v>19845.12</v>
      </c>
      <c r="Y6" s="106">
        <v>30024</v>
      </c>
      <c r="Z6" s="105">
        <f t="shared" si="10"/>
        <v>19215.36</v>
      </c>
      <c r="AA6" s="106">
        <v>30120</v>
      </c>
      <c r="AB6" s="105">
        <f t="shared" si="11"/>
        <v>19276.8</v>
      </c>
      <c r="AC6" s="70">
        <f t="shared" si="12"/>
        <v>425376</v>
      </c>
      <c r="AD6" s="105">
        <f t="shared" si="13"/>
        <v>272240.64000000001</v>
      </c>
    </row>
    <row r="7" spans="1:47" ht="21.75" customHeight="1">
      <c r="A7" s="103">
        <v>4</v>
      </c>
      <c r="B7" s="104" t="s">
        <v>160</v>
      </c>
      <c r="C7" s="103">
        <v>640</v>
      </c>
      <c r="D7" s="103">
        <v>0.64</v>
      </c>
      <c r="E7" s="105"/>
      <c r="F7" s="105">
        <f t="shared" si="0"/>
        <v>0</v>
      </c>
      <c r="G7" s="106"/>
      <c r="H7" s="105">
        <f t="shared" si="1"/>
        <v>0</v>
      </c>
      <c r="I7" s="106"/>
      <c r="J7" s="105">
        <f t="shared" si="2"/>
        <v>0</v>
      </c>
      <c r="K7" s="106"/>
      <c r="L7" s="105">
        <f t="shared" si="3"/>
        <v>0</v>
      </c>
      <c r="M7" s="106">
        <v>140</v>
      </c>
      <c r="N7" s="105">
        <f t="shared" si="4"/>
        <v>89.600000000000009</v>
      </c>
      <c r="O7" s="106"/>
      <c r="P7" s="105">
        <f t="shared" si="5"/>
        <v>0</v>
      </c>
      <c r="Q7" s="106"/>
      <c r="R7" s="105">
        <f t="shared" si="6"/>
        <v>0</v>
      </c>
      <c r="S7" s="106"/>
      <c r="T7" s="105">
        <f t="shared" si="7"/>
        <v>0</v>
      </c>
      <c r="U7" s="106"/>
      <c r="V7" s="105">
        <f t="shared" si="8"/>
        <v>0</v>
      </c>
      <c r="W7" s="106"/>
      <c r="X7" s="105">
        <f t="shared" si="9"/>
        <v>0</v>
      </c>
      <c r="Y7" s="106"/>
      <c r="Z7" s="105">
        <f t="shared" si="10"/>
        <v>0</v>
      </c>
      <c r="AA7" s="106"/>
      <c r="AB7" s="105">
        <f t="shared" si="11"/>
        <v>0</v>
      </c>
      <c r="AC7" s="70">
        <f t="shared" si="12"/>
        <v>140</v>
      </c>
      <c r="AD7" s="105">
        <f t="shared" si="13"/>
        <v>89.600000000000009</v>
      </c>
    </row>
    <row r="8" spans="1:47" ht="21.75" customHeight="1">
      <c r="A8" s="103">
        <v>5</v>
      </c>
      <c r="B8" s="104" t="s">
        <v>161</v>
      </c>
      <c r="C8" s="103">
        <v>640</v>
      </c>
      <c r="D8" s="103">
        <v>0.64</v>
      </c>
      <c r="E8" s="105">
        <v>532</v>
      </c>
      <c r="F8" s="105">
        <f t="shared" si="0"/>
        <v>340.48</v>
      </c>
      <c r="G8" s="106">
        <v>700</v>
      </c>
      <c r="H8" s="105">
        <f t="shared" si="1"/>
        <v>448</v>
      </c>
      <c r="I8" s="106">
        <v>140</v>
      </c>
      <c r="J8" s="105">
        <f t="shared" si="2"/>
        <v>89.600000000000009</v>
      </c>
      <c r="K8" s="106">
        <v>938</v>
      </c>
      <c r="L8" s="105">
        <f t="shared" si="3"/>
        <v>600.32000000000005</v>
      </c>
      <c r="M8" s="106">
        <v>840</v>
      </c>
      <c r="N8" s="105">
        <f t="shared" si="4"/>
        <v>537.6</v>
      </c>
      <c r="O8" s="106">
        <v>910</v>
      </c>
      <c r="P8" s="105">
        <f t="shared" si="5"/>
        <v>582.4</v>
      </c>
      <c r="Q8" s="106">
        <v>140</v>
      </c>
      <c r="R8" s="105">
        <f t="shared" si="6"/>
        <v>89.600000000000009</v>
      </c>
      <c r="S8" s="106">
        <v>70</v>
      </c>
      <c r="T8" s="105">
        <f t="shared" si="7"/>
        <v>44.800000000000004</v>
      </c>
      <c r="U8" s="106"/>
      <c r="V8" s="105">
        <f t="shared" si="8"/>
        <v>0</v>
      </c>
      <c r="W8" s="106"/>
      <c r="X8" s="105">
        <f t="shared" si="9"/>
        <v>0</v>
      </c>
      <c r="Y8" s="106"/>
      <c r="Z8" s="105">
        <f t="shared" si="10"/>
        <v>0</v>
      </c>
      <c r="AA8" s="106">
        <v>70</v>
      </c>
      <c r="AB8" s="105">
        <f t="shared" si="11"/>
        <v>44.800000000000004</v>
      </c>
      <c r="AC8" s="70">
        <f t="shared" si="12"/>
        <v>4340</v>
      </c>
      <c r="AD8" s="105">
        <f t="shared" si="13"/>
        <v>2777.6</v>
      </c>
    </row>
    <row r="9" spans="1:47">
      <c r="A9" s="103">
        <v>6</v>
      </c>
      <c r="B9" s="104" t="s">
        <v>162</v>
      </c>
      <c r="C9" s="103">
        <v>640</v>
      </c>
      <c r="D9" s="103">
        <v>0.64</v>
      </c>
      <c r="E9" s="105">
        <v>84168</v>
      </c>
      <c r="F9" s="105">
        <f t="shared" si="0"/>
        <v>53867.520000000004</v>
      </c>
      <c r="G9" s="106">
        <v>107520</v>
      </c>
      <c r="H9" s="105">
        <f t="shared" si="1"/>
        <v>68812.800000000003</v>
      </c>
      <c r="I9" s="106">
        <v>112126</v>
      </c>
      <c r="J9" s="105">
        <f t="shared" si="2"/>
        <v>71760.639999999999</v>
      </c>
      <c r="K9" s="106">
        <v>69020</v>
      </c>
      <c r="L9" s="105">
        <f t="shared" si="3"/>
        <v>44172.800000000003</v>
      </c>
      <c r="M9" s="106">
        <v>103810</v>
      </c>
      <c r="N9" s="105">
        <f t="shared" si="4"/>
        <v>66438.399999999994</v>
      </c>
      <c r="O9" s="106">
        <v>73710</v>
      </c>
      <c r="P9" s="105">
        <f t="shared" si="5"/>
        <v>47174.400000000001</v>
      </c>
      <c r="Q9" s="106">
        <v>98560</v>
      </c>
      <c r="R9" s="105">
        <f t="shared" si="6"/>
        <v>63078.400000000001</v>
      </c>
      <c r="S9" s="106">
        <v>82334</v>
      </c>
      <c r="T9" s="105">
        <f t="shared" si="7"/>
        <v>52693.760000000002</v>
      </c>
      <c r="U9" s="106">
        <v>66710</v>
      </c>
      <c r="V9" s="105">
        <f t="shared" si="8"/>
        <v>42694.400000000001</v>
      </c>
      <c r="W9" s="106">
        <v>76930</v>
      </c>
      <c r="X9" s="105">
        <f t="shared" si="9"/>
        <v>49235.200000000004</v>
      </c>
      <c r="Y9" s="106">
        <v>81690</v>
      </c>
      <c r="Z9" s="105">
        <f t="shared" si="10"/>
        <v>52281.599999999999</v>
      </c>
      <c r="AA9" s="106">
        <v>89040</v>
      </c>
      <c r="AB9" s="105">
        <f t="shared" si="11"/>
        <v>56985.599999999999</v>
      </c>
      <c r="AC9" s="70">
        <f t="shared" si="12"/>
        <v>1045618</v>
      </c>
      <c r="AD9" s="105">
        <f t="shared" si="13"/>
        <v>669195.52000000002</v>
      </c>
    </row>
    <row r="10" spans="1:47" ht="21.75" customHeight="1">
      <c r="A10" s="103">
        <v>7</v>
      </c>
      <c r="B10" s="104" t="s">
        <v>163</v>
      </c>
      <c r="C10" s="103">
        <v>640</v>
      </c>
      <c r="D10" s="103">
        <v>0.64</v>
      </c>
      <c r="E10" s="105">
        <v>1050</v>
      </c>
      <c r="F10" s="105">
        <f t="shared" si="0"/>
        <v>672</v>
      </c>
      <c r="G10" s="106"/>
      <c r="H10" s="105">
        <f t="shared" si="1"/>
        <v>0</v>
      </c>
      <c r="I10" s="106"/>
      <c r="J10" s="105">
        <f t="shared" si="2"/>
        <v>0</v>
      </c>
      <c r="K10" s="106">
        <v>280</v>
      </c>
      <c r="L10" s="105">
        <f t="shared" si="3"/>
        <v>179.20000000000002</v>
      </c>
      <c r="M10" s="106">
        <v>280</v>
      </c>
      <c r="N10" s="105">
        <f t="shared" si="4"/>
        <v>179.20000000000002</v>
      </c>
      <c r="O10" s="106"/>
      <c r="P10" s="105">
        <f t="shared" si="5"/>
        <v>0</v>
      </c>
      <c r="Q10" s="106">
        <v>840</v>
      </c>
      <c r="R10" s="105">
        <f t="shared" si="6"/>
        <v>537.6</v>
      </c>
      <c r="S10" s="106">
        <v>420</v>
      </c>
      <c r="T10" s="105">
        <f t="shared" si="7"/>
        <v>268.8</v>
      </c>
      <c r="U10" s="106"/>
      <c r="V10" s="105">
        <f t="shared" si="8"/>
        <v>0</v>
      </c>
      <c r="W10" s="106">
        <v>1120</v>
      </c>
      <c r="X10" s="105">
        <f t="shared" si="9"/>
        <v>716.80000000000007</v>
      </c>
      <c r="Y10" s="106">
        <v>420</v>
      </c>
      <c r="Z10" s="105">
        <f t="shared" si="10"/>
        <v>268.8</v>
      </c>
      <c r="AA10" s="106">
        <v>280</v>
      </c>
      <c r="AB10" s="105">
        <f t="shared" si="11"/>
        <v>179.20000000000002</v>
      </c>
      <c r="AC10" s="70">
        <f t="shared" si="12"/>
        <v>4690</v>
      </c>
      <c r="AD10" s="105">
        <f t="shared" si="13"/>
        <v>3001.6</v>
      </c>
      <c r="AT10" s="107"/>
      <c r="AU10" s="108"/>
    </row>
    <row r="11" spans="1:47" ht="21.75" customHeight="1">
      <c r="A11" s="103">
        <v>8</v>
      </c>
      <c r="B11" s="104" t="s">
        <v>164</v>
      </c>
      <c r="C11" s="103">
        <v>640</v>
      </c>
      <c r="D11" s="103">
        <v>0.64</v>
      </c>
      <c r="E11" s="105">
        <v>38318</v>
      </c>
      <c r="F11" s="105">
        <f t="shared" si="0"/>
        <v>24523.52</v>
      </c>
      <c r="G11" s="106">
        <v>42616</v>
      </c>
      <c r="H11" s="105">
        <f t="shared" si="1"/>
        <v>27274.240000000002</v>
      </c>
      <c r="I11" s="106">
        <v>46298</v>
      </c>
      <c r="J11" s="105">
        <f t="shared" si="2"/>
        <v>29630.720000000001</v>
      </c>
      <c r="K11" s="106">
        <v>40642</v>
      </c>
      <c r="L11" s="105">
        <f t="shared" si="3"/>
        <v>26010.880000000001</v>
      </c>
      <c r="M11" s="106">
        <v>38808</v>
      </c>
      <c r="N11" s="105">
        <f t="shared" si="4"/>
        <v>24837.119999999999</v>
      </c>
      <c r="O11" s="106">
        <v>33852</v>
      </c>
      <c r="P11" s="105">
        <f t="shared" si="5"/>
        <v>21665.279999999999</v>
      </c>
      <c r="Q11" s="106">
        <v>38374</v>
      </c>
      <c r="R11" s="105">
        <f t="shared" si="6"/>
        <v>24559.360000000001</v>
      </c>
      <c r="S11" s="106">
        <v>38934</v>
      </c>
      <c r="T11" s="105">
        <f t="shared" si="7"/>
        <v>24917.760000000002</v>
      </c>
      <c r="U11" s="106">
        <v>31178</v>
      </c>
      <c r="V11" s="105">
        <f t="shared" si="8"/>
        <v>19953.920000000002</v>
      </c>
      <c r="W11" s="106">
        <v>33096</v>
      </c>
      <c r="X11" s="105">
        <f t="shared" si="9"/>
        <v>21181.439999999999</v>
      </c>
      <c r="Y11" s="106">
        <v>31150</v>
      </c>
      <c r="Z11" s="105">
        <f t="shared" si="10"/>
        <v>19936</v>
      </c>
      <c r="AA11" s="106">
        <v>33782</v>
      </c>
      <c r="AB11" s="105">
        <f t="shared" si="11"/>
        <v>21620.48</v>
      </c>
      <c r="AC11" s="70">
        <f t="shared" si="12"/>
        <v>447048</v>
      </c>
      <c r="AD11" s="105">
        <f t="shared" si="13"/>
        <v>286110.72000000003</v>
      </c>
      <c r="AT11" s="107"/>
      <c r="AU11" s="108"/>
    </row>
    <row r="12" spans="1:47" ht="21.75" customHeight="1">
      <c r="A12" s="103">
        <v>9</v>
      </c>
      <c r="B12" s="104" t="s">
        <v>165</v>
      </c>
      <c r="C12" s="103">
        <v>640</v>
      </c>
      <c r="D12" s="103">
        <v>0.64</v>
      </c>
      <c r="E12" s="105">
        <v>112</v>
      </c>
      <c r="F12" s="105">
        <f t="shared" si="0"/>
        <v>71.680000000000007</v>
      </c>
      <c r="G12" s="106">
        <v>210</v>
      </c>
      <c r="H12" s="105">
        <f t="shared" si="1"/>
        <v>134.4</v>
      </c>
      <c r="I12" s="106">
        <v>140</v>
      </c>
      <c r="J12" s="105">
        <f t="shared" si="2"/>
        <v>89.600000000000009</v>
      </c>
      <c r="K12" s="106">
        <v>70</v>
      </c>
      <c r="L12" s="105">
        <f t="shared" si="3"/>
        <v>44.800000000000004</v>
      </c>
      <c r="M12" s="106">
        <v>210</v>
      </c>
      <c r="N12" s="105">
        <f t="shared" si="4"/>
        <v>134.4</v>
      </c>
      <c r="O12" s="106">
        <v>210</v>
      </c>
      <c r="P12" s="105">
        <f t="shared" si="5"/>
        <v>134.4</v>
      </c>
      <c r="Q12" s="106">
        <v>140</v>
      </c>
      <c r="R12" s="105">
        <f t="shared" si="6"/>
        <v>89.600000000000009</v>
      </c>
      <c r="S12" s="106">
        <v>28</v>
      </c>
      <c r="T12" s="105">
        <f t="shared" si="7"/>
        <v>17.920000000000002</v>
      </c>
      <c r="U12" s="106">
        <v>140</v>
      </c>
      <c r="V12" s="105">
        <f t="shared" si="8"/>
        <v>89.600000000000009</v>
      </c>
      <c r="W12" s="106">
        <v>140</v>
      </c>
      <c r="X12" s="105">
        <f t="shared" si="9"/>
        <v>89.600000000000009</v>
      </c>
      <c r="Y12" s="106">
        <v>1853</v>
      </c>
      <c r="Z12" s="105">
        <f t="shared" si="10"/>
        <v>1185.92</v>
      </c>
      <c r="AA12" s="106">
        <v>2283</v>
      </c>
      <c r="AB12" s="105">
        <f t="shared" si="11"/>
        <v>1461.1200000000001</v>
      </c>
      <c r="AC12" s="70">
        <f t="shared" si="12"/>
        <v>5536</v>
      </c>
      <c r="AD12" s="105">
        <f t="shared" si="13"/>
        <v>3543.04</v>
      </c>
      <c r="AT12" s="107"/>
      <c r="AU12" s="108"/>
    </row>
    <row r="13" spans="1:47" ht="21.75" customHeight="1">
      <c r="A13" s="103">
        <v>10</v>
      </c>
      <c r="B13" s="104" t="s">
        <v>166</v>
      </c>
      <c r="C13" s="103">
        <v>640</v>
      </c>
      <c r="D13" s="103">
        <v>0.64</v>
      </c>
      <c r="E13" s="105">
        <v>10530</v>
      </c>
      <c r="F13" s="105">
        <f t="shared" si="0"/>
        <v>6739.2</v>
      </c>
      <c r="G13" s="106">
        <v>7611</v>
      </c>
      <c r="H13" s="105">
        <f t="shared" si="1"/>
        <v>4871.04</v>
      </c>
      <c r="I13" s="106">
        <v>11577</v>
      </c>
      <c r="J13" s="105">
        <f t="shared" si="2"/>
        <v>7409.28</v>
      </c>
      <c r="K13" s="106">
        <v>8319</v>
      </c>
      <c r="L13" s="105">
        <f t="shared" si="3"/>
        <v>5324.16</v>
      </c>
      <c r="M13" s="106">
        <v>7921</v>
      </c>
      <c r="N13" s="105">
        <f t="shared" si="4"/>
        <v>5069.4400000000005</v>
      </c>
      <c r="O13" s="106">
        <v>8119</v>
      </c>
      <c r="P13" s="105">
        <f t="shared" si="5"/>
        <v>5196.16</v>
      </c>
      <c r="Q13" s="106">
        <v>8247</v>
      </c>
      <c r="R13" s="105">
        <f t="shared" si="6"/>
        <v>5278.08</v>
      </c>
      <c r="S13" s="106">
        <v>9855</v>
      </c>
      <c r="T13" s="105">
        <f t="shared" si="7"/>
        <v>6307.2</v>
      </c>
      <c r="U13" s="106">
        <v>7947</v>
      </c>
      <c r="V13" s="105">
        <f t="shared" si="8"/>
        <v>5086.08</v>
      </c>
      <c r="W13" s="106">
        <v>8962</v>
      </c>
      <c r="X13" s="105">
        <f t="shared" si="9"/>
        <v>5735.68</v>
      </c>
      <c r="Y13" s="106">
        <v>7946</v>
      </c>
      <c r="Z13" s="105">
        <f t="shared" si="10"/>
        <v>5085.4400000000005</v>
      </c>
      <c r="AA13" s="106">
        <v>9399</v>
      </c>
      <c r="AB13" s="105">
        <f t="shared" si="11"/>
        <v>6015.36</v>
      </c>
      <c r="AC13" s="70">
        <f t="shared" si="12"/>
        <v>106433</v>
      </c>
      <c r="AD13" s="105">
        <f t="shared" si="13"/>
        <v>68117.119999999995</v>
      </c>
    </row>
    <row r="14" spans="1:47" ht="21.75" customHeight="1">
      <c r="A14" s="103">
        <v>11</v>
      </c>
      <c r="B14" s="104" t="s">
        <v>167</v>
      </c>
      <c r="C14" s="103">
        <v>640</v>
      </c>
      <c r="D14" s="103">
        <v>0.64</v>
      </c>
      <c r="E14" s="105"/>
      <c r="F14" s="105">
        <f t="shared" si="0"/>
        <v>0</v>
      </c>
      <c r="G14" s="106"/>
      <c r="H14" s="105">
        <f t="shared" si="1"/>
        <v>0</v>
      </c>
      <c r="I14" s="106"/>
      <c r="J14" s="105">
        <f t="shared" si="2"/>
        <v>0</v>
      </c>
      <c r="K14" s="106"/>
      <c r="L14" s="105">
        <f t="shared" si="3"/>
        <v>0</v>
      </c>
      <c r="M14" s="106"/>
      <c r="N14" s="105">
        <f t="shared" si="4"/>
        <v>0</v>
      </c>
      <c r="O14" s="106"/>
      <c r="P14" s="105">
        <f t="shared" si="5"/>
        <v>0</v>
      </c>
      <c r="Q14" s="106"/>
      <c r="R14" s="105">
        <f t="shared" si="6"/>
        <v>0</v>
      </c>
      <c r="S14" s="106"/>
      <c r="T14" s="105">
        <f t="shared" si="7"/>
        <v>0</v>
      </c>
      <c r="U14" s="106"/>
      <c r="V14" s="105">
        <f t="shared" si="8"/>
        <v>0</v>
      </c>
      <c r="W14" s="106">
        <v>14</v>
      </c>
      <c r="X14" s="105">
        <f t="shared" si="9"/>
        <v>8.9600000000000009</v>
      </c>
      <c r="Y14" s="106"/>
      <c r="Z14" s="105">
        <f t="shared" si="10"/>
        <v>0</v>
      </c>
      <c r="AA14" s="106"/>
      <c r="AB14" s="105">
        <f t="shared" si="11"/>
        <v>0</v>
      </c>
      <c r="AC14" s="70">
        <f t="shared" si="12"/>
        <v>14</v>
      </c>
      <c r="AD14" s="105">
        <f t="shared" si="13"/>
        <v>8.9600000000000009</v>
      </c>
    </row>
    <row r="15" spans="1:47" ht="21.75" customHeight="1">
      <c r="A15" s="103">
        <v>12</v>
      </c>
      <c r="B15" s="104" t="s">
        <v>168</v>
      </c>
      <c r="C15" s="103">
        <v>640</v>
      </c>
      <c r="D15" s="103">
        <v>0.64</v>
      </c>
      <c r="E15" s="105"/>
      <c r="F15" s="105">
        <f t="shared" si="0"/>
        <v>0</v>
      </c>
      <c r="G15" s="106">
        <v>720</v>
      </c>
      <c r="H15" s="105">
        <f t="shared" si="1"/>
        <v>460.8</v>
      </c>
      <c r="I15" s="106">
        <v>720</v>
      </c>
      <c r="J15" s="105">
        <f t="shared" si="2"/>
        <v>460.8</v>
      </c>
      <c r="K15" s="106"/>
      <c r="L15" s="105">
        <f t="shared" si="3"/>
        <v>0</v>
      </c>
      <c r="M15" s="106">
        <v>480</v>
      </c>
      <c r="N15" s="105">
        <f t="shared" si="4"/>
        <v>307.2</v>
      </c>
      <c r="O15" s="106"/>
      <c r="P15" s="105">
        <f t="shared" si="5"/>
        <v>0</v>
      </c>
      <c r="Q15" s="106"/>
      <c r="R15" s="105">
        <f t="shared" si="6"/>
        <v>0</v>
      </c>
      <c r="S15" s="106"/>
      <c r="T15" s="105">
        <f t="shared" si="7"/>
        <v>0</v>
      </c>
      <c r="U15" s="106">
        <v>480</v>
      </c>
      <c r="V15" s="105">
        <f t="shared" si="8"/>
        <v>307.2</v>
      </c>
      <c r="W15" s="106"/>
      <c r="X15" s="105">
        <f t="shared" si="9"/>
        <v>0</v>
      </c>
      <c r="Y15" s="106"/>
      <c r="Z15" s="105">
        <f t="shared" si="10"/>
        <v>0</v>
      </c>
      <c r="AA15" s="106">
        <v>480</v>
      </c>
      <c r="AB15" s="105">
        <f t="shared" si="11"/>
        <v>307.2</v>
      </c>
      <c r="AC15" s="70">
        <f t="shared" si="12"/>
        <v>2880</v>
      </c>
      <c r="AD15" s="105">
        <f t="shared" si="13"/>
        <v>1843.2</v>
      </c>
    </row>
    <row r="16" spans="1:47" ht="21.75" customHeight="1">
      <c r="A16" s="103">
        <v>13</v>
      </c>
      <c r="B16" s="104" t="s">
        <v>169</v>
      </c>
      <c r="C16" s="103">
        <v>700</v>
      </c>
      <c r="D16" s="103">
        <v>0.7</v>
      </c>
      <c r="E16" s="105">
        <v>77141</v>
      </c>
      <c r="F16" s="105">
        <f t="shared" si="0"/>
        <v>53998.7</v>
      </c>
      <c r="G16" s="106">
        <v>72972</v>
      </c>
      <c r="H16" s="105">
        <f t="shared" si="1"/>
        <v>51080.399999999994</v>
      </c>
      <c r="I16" s="106">
        <v>70308</v>
      </c>
      <c r="J16" s="105">
        <f t="shared" si="2"/>
        <v>49215.6</v>
      </c>
      <c r="K16" s="106">
        <v>58392</v>
      </c>
      <c r="L16" s="105">
        <f t="shared" si="3"/>
        <v>40874.399999999994</v>
      </c>
      <c r="M16" s="106">
        <v>58378</v>
      </c>
      <c r="N16" s="105">
        <f t="shared" si="4"/>
        <v>40864.6</v>
      </c>
      <c r="O16" s="106">
        <v>43500</v>
      </c>
      <c r="P16" s="105">
        <f t="shared" si="5"/>
        <v>30449.999999999996</v>
      </c>
      <c r="Q16" s="106">
        <v>42396</v>
      </c>
      <c r="R16" s="105">
        <f t="shared" si="6"/>
        <v>29677.199999999997</v>
      </c>
      <c r="S16" s="106">
        <v>53793</v>
      </c>
      <c r="T16" s="105">
        <f t="shared" si="7"/>
        <v>37655.1</v>
      </c>
      <c r="U16" s="106">
        <v>32216</v>
      </c>
      <c r="V16" s="105">
        <f t="shared" si="8"/>
        <v>22551.199999999997</v>
      </c>
      <c r="W16" s="106">
        <v>41076</v>
      </c>
      <c r="X16" s="105">
        <f t="shared" si="9"/>
        <v>28753.199999999997</v>
      </c>
      <c r="Y16" s="106">
        <v>38508</v>
      </c>
      <c r="Z16" s="105">
        <f t="shared" si="10"/>
        <v>26955.599999999999</v>
      </c>
      <c r="AA16" s="106">
        <v>38963</v>
      </c>
      <c r="AB16" s="105">
        <f t="shared" si="11"/>
        <v>27274.1</v>
      </c>
      <c r="AC16" s="70">
        <f t="shared" si="12"/>
        <v>627643</v>
      </c>
      <c r="AD16" s="105">
        <f t="shared" si="13"/>
        <v>439350.1</v>
      </c>
    </row>
    <row r="17" spans="1:30">
      <c r="A17" s="103">
        <v>14</v>
      </c>
      <c r="B17" s="104" t="s">
        <v>170</v>
      </c>
      <c r="C17" s="103">
        <v>640</v>
      </c>
      <c r="D17" s="103">
        <v>0.64</v>
      </c>
      <c r="E17" s="105"/>
      <c r="F17" s="105">
        <f t="shared" si="0"/>
        <v>0</v>
      </c>
      <c r="G17" s="106"/>
      <c r="H17" s="105">
        <f t="shared" si="1"/>
        <v>0</v>
      </c>
      <c r="I17" s="106"/>
      <c r="J17" s="105">
        <f t="shared" si="2"/>
        <v>0</v>
      </c>
      <c r="K17" s="106"/>
      <c r="L17" s="105">
        <f t="shared" si="3"/>
        <v>0</v>
      </c>
      <c r="M17" s="106"/>
      <c r="N17" s="105">
        <f t="shared" si="4"/>
        <v>0</v>
      </c>
      <c r="O17" s="106"/>
      <c r="P17" s="105">
        <f t="shared" si="5"/>
        <v>0</v>
      </c>
      <c r="Q17" s="106"/>
      <c r="R17" s="105">
        <f t="shared" si="6"/>
        <v>0</v>
      </c>
      <c r="S17" s="106"/>
      <c r="T17" s="105">
        <f t="shared" si="7"/>
        <v>0</v>
      </c>
      <c r="U17" s="106"/>
      <c r="V17" s="105">
        <f t="shared" si="8"/>
        <v>0</v>
      </c>
      <c r="W17" s="106"/>
      <c r="X17" s="105">
        <f t="shared" si="9"/>
        <v>0</v>
      </c>
      <c r="Y17" s="106"/>
      <c r="Z17" s="105">
        <f t="shared" si="10"/>
        <v>0</v>
      </c>
      <c r="AA17" s="106"/>
      <c r="AB17" s="105">
        <f t="shared" si="11"/>
        <v>0</v>
      </c>
      <c r="AC17" s="70">
        <f t="shared" si="12"/>
        <v>0</v>
      </c>
      <c r="AD17" s="105">
        <f t="shared" si="13"/>
        <v>0</v>
      </c>
    </row>
    <row r="18" spans="1:30" ht="21.75" customHeight="1">
      <c r="A18" s="103">
        <v>15</v>
      </c>
      <c r="B18" s="104" t="s">
        <v>171</v>
      </c>
      <c r="C18" s="103">
        <v>640</v>
      </c>
      <c r="D18" s="103">
        <v>0.64</v>
      </c>
      <c r="E18" s="105"/>
      <c r="F18" s="105">
        <f t="shared" si="0"/>
        <v>0</v>
      </c>
      <c r="G18" s="106">
        <v>24</v>
      </c>
      <c r="H18" s="105">
        <f t="shared" si="1"/>
        <v>15.36</v>
      </c>
      <c r="I18" s="106"/>
      <c r="J18" s="105">
        <f t="shared" si="2"/>
        <v>0</v>
      </c>
      <c r="K18" s="106"/>
      <c r="L18" s="105">
        <f t="shared" si="3"/>
        <v>0</v>
      </c>
      <c r="M18" s="106"/>
      <c r="N18" s="105">
        <f t="shared" si="4"/>
        <v>0</v>
      </c>
      <c r="O18" s="106"/>
      <c r="P18" s="105">
        <f t="shared" si="5"/>
        <v>0</v>
      </c>
      <c r="Q18" s="106"/>
      <c r="R18" s="105">
        <f t="shared" si="6"/>
        <v>0</v>
      </c>
      <c r="S18" s="106"/>
      <c r="T18" s="105">
        <f t="shared" si="7"/>
        <v>0</v>
      </c>
      <c r="U18" s="106"/>
      <c r="V18" s="105">
        <f t="shared" si="8"/>
        <v>0</v>
      </c>
      <c r="W18" s="106"/>
      <c r="X18" s="105">
        <f t="shared" si="9"/>
        <v>0</v>
      </c>
      <c r="Y18" s="106"/>
      <c r="Z18" s="105">
        <f t="shared" si="10"/>
        <v>0</v>
      </c>
      <c r="AA18" s="106"/>
      <c r="AB18" s="105">
        <f t="shared" si="11"/>
        <v>0</v>
      </c>
      <c r="AC18" s="70">
        <f t="shared" si="12"/>
        <v>24</v>
      </c>
      <c r="AD18" s="105">
        <f t="shared" si="13"/>
        <v>15.36</v>
      </c>
    </row>
    <row r="19" spans="1:30" ht="21.75" hidden="1" customHeight="1">
      <c r="A19" s="103">
        <v>16</v>
      </c>
      <c r="B19" s="104" t="s">
        <v>172</v>
      </c>
      <c r="C19" s="103"/>
      <c r="D19" s="103">
        <v>0.64</v>
      </c>
      <c r="E19" s="105"/>
      <c r="F19" s="105">
        <f t="shared" si="0"/>
        <v>0</v>
      </c>
      <c r="G19" s="106"/>
      <c r="H19" s="105">
        <f t="shared" si="1"/>
        <v>0</v>
      </c>
      <c r="I19" s="106"/>
      <c r="J19" s="105">
        <f t="shared" si="2"/>
        <v>0</v>
      </c>
      <c r="K19" s="106"/>
      <c r="L19" s="105">
        <f t="shared" si="3"/>
        <v>0</v>
      </c>
      <c r="M19" s="106"/>
      <c r="N19" s="105">
        <f t="shared" si="4"/>
        <v>0</v>
      </c>
      <c r="O19" s="106"/>
      <c r="P19" s="105">
        <f t="shared" si="5"/>
        <v>0</v>
      </c>
      <c r="Q19" s="106"/>
      <c r="R19" s="105">
        <f t="shared" si="6"/>
        <v>0</v>
      </c>
      <c r="S19" s="106"/>
      <c r="T19" s="105">
        <f t="shared" si="7"/>
        <v>0</v>
      </c>
      <c r="U19" s="106"/>
      <c r="V19" s="105">
        <f t="shared" si="8"/>
        <v>0</v>
      </c>
      <c r="W19" s="106"/>
      <c r="X19" s="105">
        <f t="shared" si="9"/>
        <v>0</v>
      </c>
      <c r="Y19" s="106"/>
      <c r="Z19" s="105">
        <f t="shared" si="10"/>
        <v>0</v>
      </c>
      <c r="AA19" s="106"/>
      <c r="AB19" s="105">
        <f t="shared" si="11"/>
        <v>0</v>
      </c>
      <c r="AC19" s="70">
        <f t="shared" si="12"/>
        <v>0</v>
      </c>
      <c r="AD19" s="105">
        <f t="shared" si="13"/>
        <v>0</v>
      </c>
    </row>
    <row r="20" spans="1:30" ht="21.75" hidden="1" customHeight="1">
      <c r="A20" s="103">
        <v>17</v>
      </c>
      <c r="B20" s="104" t="s">
        <v>173</v>
      </c>
      <c r="C20" s="103"/>
      <c r="D20" s="103">
        <v>0.64</v>
      </c>
      <c r="E20" s="105"/>
      <c r="F20" s="105">
        <f t="shared" si="0"/>
        <v>0</v>
      </c>
      <c r="G20" s="106"/>
      <c r="H20" s="105">
        <f t="shared" si="1"/>
        <v>0</v>
      </c>
      <c r="I20" s="106"/>
      <c r="J20" s="105">
        <f t="shared" si="2"/>
        <v>0</v>
      </c>
      <c r="K20" s="106"/>
      <c r="L20" s="105">
        <f t="shared" si="3"/>
        <v>0</v>
      </c>
      <c r="M20" s="106"/>
      <c r="N20" s="105">
        <f t="shared" si="4"/>
        <v>0</v>
      </c>
      <c r="O20" s="106"/>
      <c r="P20" s="105">
        <f t="shared" si="5"/>
        <v>0</v>
      </c>
      <c r="Q20" s="106"/>
      <c r="R20" s="105">
        <f t="shared" si="6"/>
        <v>0</v>
      </c>
      <c r="S20" s="106"/>
      <c r="T20" s="105">
        <f t="shared" si="7"/>
        <v>0</v>
      </c>
      <c r="U20" s="106"/>
      <c r="V20" s="105">
        <f t="shared" si="8"/>
        <v>0</v>
      </c>
      <c r="W20" s="106"/>
      <c r="X20" s="105">
        <f t="shared" si="9"/>
        <v>0</v>
      </c>
      <c r="Y20" s="106"/>
      <c r="Z20" s="105">
        <f t="shared" si="10"/>
        <v>0</v>
      </c>
      <c r="AA20" s="106"/>
      <c r="AB20" s="105">
        <f t="shared" si="11"/>
        <v>0</v>
      </c>
      <c r="AC20" s="70">
        <f t="shared" si="12"/>
        <v>0</v>
      </c>
      <c r="AD20" s="105">
        <f t="shared" si="13"/>
        <v>0</v>
      </c>
    </row>
    <row r="21" spans="1:30" ht="21.75" hidden="1" customHeight="1">
      <c r="A21" s="103">
        <v>18</v>
      </c>
      <c r="B21" s="104" t="s">
        <v>174</v>
      </c>
      <c r="C21" s="103"/>
      <c r="D21" s="103">
        <v>0.64</v>
      </c>
      <c r="E21" s="105"/>
      <c r="F21" s="105">
        <f t="shared" si="0"/>
        <v>0</v>
      </c>
      <c r="G21" s="106"/>
      <c r="H21" s="105">
        <f t="shared" si="1"/>
        <v>0</v>
      </c>
      <c r="I21" s="106"/>
      <c r="J21" s="105">
        <f t="shared" si="2"/>
        <v>0</v>
      </c>
      <c r="K21" s="106"/>
      <c r="L21" s="105">
        <f t="shared" si="3"/>
        <v>0</v>
      </c>
      <c r="M21" s="106"/>
      <c r="N21" s="105">
        <f t="shared" si="4"/>
        <v>0</v>
      </c>
      <c r="O21" s="106"/>
      <c r="P21" s="105">
        <f t="shared" si="5"/>
        <v>0</v>
      </c>
      <c r="Q21" s="106"/>
      <c r="R21" s="105">
        <f t="shared" si="6"/>
        <v>0</v>
      </c>
      <c r="S21" s="106"/>
      <c r="T21" s="105">
        <f t="shared" si="7"/>
        <v>0</v>
      </c>
      <c r="U21" s="106"/>
      <c r="V21" s="105">
        <f t="shared" si="8"/>
        <v>0</v>
      </c>
      <c r="W21" s="106"/>
      <c r="X21" s="105">
        <f t="shared" si="9"/>
        <v>0</v>
      </c>
      <c r="Y21" s="106"/>
      <c r="Z21" s="105">
        <f t="shared" si="10"/>
        <v>0</v>
      </c>
      <c r="AA21" s="106"/>
      <c r="AB21" s="105">
        <f t="shared" si="11"/>
        <v>0</v>
      </c>
      <c r="AC21" s="70">
        <f t="shared" si="12"/>
        <v>0</v>
      </c>
      <c r="AD21" s="105">
        <f t="shared" si="13"/>
        <v>0</v>
      </c>
    </row>
    <row r="22" spans="1:30" ht="21.75" hidden="1" customHeight="1">
      <c r="A22" s="103">
        <v>19</v>
      </c>
      <c r="B22" s="104" t="s">
        <v>175</v>
      </c>
      <c r="C22" s="103"/>
      <c r="D22" s="103">
        <v>0.64</v>
      </c>
      <c r="E22" s="105"/>
      <c r="F22" s="105">
        <f t="shared" si="0"/>
        <v>0</v>
      </c>
      <c r="G22" s="106"/>
      <c r="H22" s="105">
        <f t="shared" si="1"/>
        <v>0</v>
      </c>
      <c r="I22" s="106"/>
      <c r="J22" s="105">
        <f t="shared" si="2"/>
        <v>0</v>
      </c>
      <c r="K22" s="106"/>
      <c r="L22" s="105">
        <f t="shared" si="3"/>
        <v>0</v>
      </c>
      <c r="M22" s="106"/>
      <c r="N22" s="105">
        <f t="shared" si="4"/>
        <v>0</v>
      </c>
      <c r="O22" s="106"/>
      <c r="P22" s="105">
        <f t="shared" si="5"/>
        <v>0</v>
      </c>
      <c r="Q22" s="106"/>
      <c r="R22" s="105">
        <f t="shared" si="6"/>
        <v>0</v>
      </c>
      <c r="S22" s="106"/>
      <c r="T22" s="105">
        <f t="shared" si="7"/>
        <v>0</v>
      </c>
      <c r="U22" s="106"/>
      <c r="V22" s="105">
        <f t="shared" si="8"/>
        <v>0</v>
      </c>
      <c r="W22" s="106"/>
      <c r="X22" s="105">
        <f t="shared" si="9"/>
        <v>0</v>
      </c>
      <c r="Y22" s="106"/>
      <c r="Z22" s="105">
        <f t="shared" si="10"/>
        <v>0</v>
      </c>
      <c r="AA22" s="106"/>
      <c r="AB22" s="105">
        <f t="shared" si="11"/>
        <v>0</v>
      </c>
      <c r="AC22" s="70">
        <f t="shared" si="12"/>
        <v>0</v>
      </c>
      <c r="AD22" s="105">
        <f t="shared" si="13"/>
        <v>0</v>
      </c>
    </row>
    <row r="23" spans="1:30" ht="21.75" hidden="1" customHeight="1">
      <c r="A23" s="103">
        <v>20</v>
      </c>
      <c r="B23" s="104" t="s">
        <v>176</v>
      </c>
      <c r="C23" s="103"/>
      <c r="D23" s="103">
        <v>0.64</v>
      </c>
      <c r="E23" s="105"/>
      <c r="F23" s="105">
        <f t="shared" si="0"/>
        <v>0</v>
      </c>
      <c r="G23" s="106"/>
      <c r="H23" s="105">
        <f t="shared" si="1"/>
        <v>0</v>
      </c>
      <c r="I23" s="106"/>
      <c r="J23" s="105">
        <f t="shared" si="2"/>
        <v>0</v>
      </c>
      <c r="K23" s="106"/>
      <c r="L23" s="105">
        <f t="shared" si="3"/>
        <v>0</v>
      </c>
      <c r="M23" s="106"/>
      <c r="N23" s="105">
        <f t="shared" si="4"/>
        <v>0</v>
      </c>
      <c r="O23" s="106"/>
      <c r="P23" s="105">
        <f t="shared" si="5"/>
        <v>0</v>
      </c>
      <c r="Q23" s="106"/>
      <c r="R23" s="105">
        <f t="shared" si="6"/>
        <v>0</v>
      </c>
      <c r="S23" s="106"/>
      <c r="T23" s="105">
        <f t="shared" si="7"/>
        <v>0</v>
      </c>
      <c r="U23" s="106"/>
      <c r="V23" s="105">
        <f t="shared" si="8"/>
        <v>0</v>
      </c>
      <c r="W23" s="106"/>
      <c r="X23" s="105">
        <f t="shared" si="9"/>
        <v>0</v>
      </c>
      <c r="Y23" s="106"/>
      <c r="Z23" s="105">
        <f t="shared" si="10"/>
        <v>0</v>
      </c>
      <c r="AA23" s="106"/>
      <c r="AB23" s="105">
        <f t="shared" si="11"/>
        <v>0</v>
      </c>
      <c r="AC23" s="70">
        <f t="shared" si="12"/>
        <v>0</v>
      </c>
      <c r="AD23" s="105">
        <f t="shared" si="13"/>
        <v>0</v>
      </c>
    </row>
    <row r="24" spans="1:30" ht="21.75" hidden="1" customHeight="1">
      <c r="A24" s="103">
        <v>21</v>
      </c>
      <c r="B24" s="104" t="s">
        <v>177</v>
      </c>
      <c r="C24" s="103"/>
      <c r="D24" s="103">
        <v>0.64</v>
      </c>
      <c r="E24" s="105"/>
      <c r="F24" s="105">
        <f t="shared" si="0"/>
        <v>0</v>
      </c>
      <c r="G24" s="106"/>
      <c r="H24" s="105">
        <f t="shared" si="1"/>
        <v>0</v>
      </c>
      <c r="I24" s="106"/>
      <c r="J24" s="105">
        <f t="shared" si="2"/>
        <v>0</v>
      </c>
      <c r="K24" s="106"/>
      <c r="L24" s="105">
        <f t="shared" si="3"/>
        <v>0</v>
      </c>
      <c r="M24" s="106"/>
      <c r="N24" s="105">
        <f t="shared" si="4"/>
        <v>0</v>
      </c>
      <c r="O24" s="106"/>
      <c r="P24" s="105">
        <f t="shared" si="5"/>
        <v>0</v>
      </c>
      <c r="Q24" s="106"/>
      <c r="R24" s="105">
        <f t="shared" si="6"/>
        <v>0</v>
      </c>
      <c r="S24" s="106"/>
      <c r="T24" s="105">
        <f t="shared" si="7"/>
        <v>0</v>
      </c>
      <c r="U24" s="106"/>
      <c r="V24" s="105">
        <f t="shared" si="8"/>
        <v>0</v>
      </c>
      <c r="W24" s="106"/>
      <c r="X24" s="105">
        <f t="shared" si="9"/>
        <v>0</v>
      </c>
      <c r="Y24" s="106"/>
      <c r="Z24" s="105">
        <f t="shared" si="10"/>
        <v>0</v>
      </c>
      <c r="AA24" s="106"/>
      <c r="AB24" s="105">
        <f t="shared" si="11"/>
        <v>0</v>
      </c>
      <c r="AC24" s="70">
        <f t="shared" si="12"/>
        <v>0</v>
      </c>
      <c r="AD24" s="105">
        <f t="shared" si="13"/>
        <v>0</v>
      </c>
    </row>
    <row r="25" spans="1:30" ht="21.75" hidden="1" customHeight="1">
      <c r="A25" s="103">
        <v>22</v>
      </c>
      <c r="B25" s="104" t="s">
        <v>178</v>
      </c>
      <c r="C25" s="103"/>
      <c r="D25" s="103">
        <v>0.64</v>
      </c>
      <c r="E25" s="105"/>
      <c r="F25" s="105">
        <f t="shared" si="0"/>
        <v>0</v>
      </c>
      <c r="G25" s="106"/>
      <c r="H25" s="105">
        <f t="shared" si="1"/>
        <v>0</v>
      </c>
      <c r="I25" s="106"/>
      <c r="J25" s="105">
        <f t="shared" si="2"/>
        <v>0</v>
      </c>
      <c r="K25" s="106"/>
      <c r="L25" s="105">
        <f t="shared" si="3"/>
        <v>0</v>
      </c>
      <c r="M25" s="106"/>
      <c r="N25" s="105">
        <f t="shared" si="4"/>
        <v>0</v>
      </c>
      <c r="O25" s="106"/>
      <c r="P25" s="105">
        <f t="shared" si="5"/>
        <v>0</v>
      </c>
      <c r="Q25" s="106"/>
      <c r="R25" s="105">
        <f t="shared" si="6"/>
        <v>0</v>
      </c>
      <c r="S25" s="106"/>
      <c r="T25" s="105">
        <f t="shared" si="7"/>
        <v>0</v>
      </c>
      <c r="U25" s="106"/>
      <c r="V25" s="105">
        <f t="shared" si="8"/>
        <v>0</v>
      </c>
      <c r="W25" s="106"/>
      <c r="X25" s="105">
        <f t="shared" si="9"/>
        <v>0</v>
      </c>
      <c r="Y25" s="106"/>
      <c r="Z25" s="105">
        <f t="shared" si="10"/>
        <v>0</v>
      </c>
      <c r="AA25" s="106"/>
      <c r="AB25" s="105">
        <f t="shared" si="11"/>
        <v>0</v>
      </c>
      <c r="AC25" s="70">
        <f t="shared" si="12"/>
        <v>0</v>
      </c>
      <c r="AD25" s="105">
        <f t="shared" si="13"/>
        <v>0</v>
      </c>
    </row>
    <row r="26" spans="1:30" ht="21.75" hidden="1" customHeight="1">
      <c r="A26" s="103">
        <v>23</v>
      </c>
      <c r="B26" s="104" t="s">
        <v>179</v>
      </c>
      <c r="C26" s="103"/>
      <c r="D26" s="103">
        <v>0.64</v>
      </c>
      <c r="E26" s="105"/>
      <c r="F26" s="105">
        <f t="shared" si="0"/>
        <v>0</v>
      </c>
      <c r="G26" s="106"/>
      <c r="H26" s="105">
        <f t="shared" si="1"/>
        <v>0</v>
      </c>
      <c r="I26" s="106"/>
      <c r="J26" s="105">
        <f t="shared" si="2"/>
        <v>0</v>
      </c>
      <c r="K26" s="106"/>
      <c r="L26" s="105">
        <f t="shared" si="3"/>
        <v>0</v>
      </c>
      <c r="M26" s="106"/>
      <c r="N26" s="105">
        <f t="shared" si="4"/>
        <v>0</v>
      </c>
      <c r="O26" s="106"/>
      <c r="P26" s="105">
        <f t="shared" si="5"/>
        <v>0</v>
      </c>
      <c r="Q26" s="106"/>
      <c r="R26" s="105">
        <f t="shared" si="6"/>
        <v>0</v>
      </c>
      <c r="S26" s="106"/>
      <c r="T26" s="105">
        <f t="shared" si="7"/>
        <v>0</v>
      </c>
      <c r="U26" s="106"/>
      <c r="V26" s="105">
        <f t="shared" si="8"/>
        <v>0</v>
      </c>
      <c r="W26" s="106"/>
      <c r="X26" s="105">
        <f t="shared" si="9"/>
        <v>0</v>
      </c>
      <c r="Y26" s="106"/>
      <c r="Z26" s="105">
        <f t="shared" si="10"/>
        <v>0</v>
      </c>
      <c r="AA26" s="106"/>
      <c r="AB26" s="105">
        <f t="shared" si="11"/>
        <v>0</v>
      </c>
      <c r="AC26" s="70">
        <f t="shared" si="12"/>
        <v>0</v>
      </c>
      <c r="AD26" s="105">
        <f t="shared" si="13"/>
        <v>0</v>
      </c>
    </row>
    <row r="27" spans="1:30" ht="21.75" hidden="1" customHeight="1">
      <c r="A27" s="103">
        <v>24</v>
      </c>
      <c r="B27" s="104" t="s">
        <v>180</v>
      </c>
      <c r="C27" s="103"/>
      <c r="D27" s="103">
        <v>0.64</v>
      </c>
      <c r="E27" s="105"/>
      <c r="F27" s="105">
        <f t="shared" si="0"/>
        <v>0</v>
      </c>
      <c r="G27" s="106"/>
      <c r="H27" s="105">
        <f t="shared" si="1"/>
        <v>0</v>
      </c>
      <c r="I27" s="106"/>
      <c r="J27" s="105">
        <f t="shared" si="2"/>
        <v>0</v>
      </c>
      <c r="K27" s="106"/>
      <c r="L27" s="105">
        <f t="shared" si="3"/>
        <v>0</v>
      </c>
      <c r="M27" s="106"/>
      <c r="N27" s="105">
        <f t="shared" si="4"/>
        <v>0</v>
      </c>
      <c r="O27" s="106"/>
      <c r="P27" s="105">
        <f t="shared" si="5"/>
        <v>0</v>
      </c>
      <c r="Q27" s="106"/>
      <c r="R27" s="105">
        <f t="shared" si="6"/>
        <v>0</v>
      </c>
      <c r="S27" s="106"/>
      <c r="T27" s="105">
        <f t="shared" si="7"/>
        <v>0</v>
      </c>
      <c r="U27" s="106"/>
      <c r="V27" s="105">
        <f t="shared" si="8"/>
        <v>0</v>
      </c>
      <c r="W27" s="106"/>
      <c r="X27" s="105">
        <f t="shared" si="9"/>
        <v>0</v>
      </c>
      <c r="Y27" s="106"/>
      <c r="Z27" s="105">
        <f t="shared" si="10"/>
        <v>0</v>
      </c>
      <c r="AA27" s="106"/>
      <c r="AB27" s="105">
        <f t="shared" si="11"/>
        <v>0</v>
      </c>
      <c r="AC27" s="70">
        <f t="shared" si="12"/>
        <v>0</v>
      </c>
      <c r="AD27" s="105">
        <f t="shared" si="13"/>
        <v>0</v>
      </c>
    </row>
    <row r="28" spans="1:30" ht="21.75" hidden="1" customHeight="1">
      <c r="A28" s="103">
        <v>25</v>
      </c>
      <c r="B28" s="104" t="s">
        <v>181</v>
      </c>
      <c r="C28" s="103"/>
      <c r="D28" s="103">
        <v>0.64</v>
      </c>
      <c r="E28" s="105"/>
      <c r="F28" s="105">
        <f t="shared" si="0"/>
        <v>0</v>
      </c>
      <c r="G28" s="106"/>
      <c r="H28" s="105">
        <f t="shared" si="1"/>
        <v>0</v>
      </c>
      <c r="I28" s="106"/>
      <c r="J28" s="105">
        <f t="shared" si="2"/>
        <v>0</v>
      </c>
      <c r="K28" s="106"/>
      <c r="L28" s="105">
        <f t="shared" si="3"/>
        <v>0</v>
      </c>
      <c r="M28" s="106"/>
      <c r="N28" s="105">
        <f t="shared" si="4"/>
        <v>0</v>
      </c>
      <c r="O28" s="106"/>
      <c r="P28" s="105">
        <f t="shared" si="5"/>
        <v>0</v>
      </c>
      <c r="Q28" s="106"/>
      <c r="R28" s="105">
        <f t="shared" si="6"/>
        <v>0</v>
      </c>
      <c r="S28" s="106"/>
      <c r="T28" s="105">
        <f t="shared" si="7"/>
        <v>0</v>
      </c>
      <c r="U28" s="106"/>
      <c r="V28" s="105">
        <f t="shared" si="8"/>
        <v>0</v>
      </c>
      <c r="W28" s="106"/>
      <c r="X28" s="105">
        <f t="shared" si="9"/>
        <v>0</v>
      </c>
      <c r="Y28" s="106"/>
      <c r="Z28" s="105">
        <f t="shared" si="10"/>
        <v>0</v>
      </c>
      <c r="AA28" s="106"/>
      <c r="AB28" s="105">
        <f t="shared" si="11"/>
        <v>0</v>
      </c>
      <c r="AC28" s="70">
        <f t="shared" si="12"/>
        <v>0</v>
      </c>
      <c r="AD28" s="105">
        <f t="shared" si="13"/>
        <v>0</v>
      </c>
    </row>
    <row r="29" spans="1:30" ht="21.75" hidden="1" customHeight="1">
      <c r="A29" s="103">
        <v>26</v>
      </c>
      <c r="B29" s="104" t="s">
        <v>182</v>
      </c>
      <c r="C29" s="103"/>
      <c r="D29" s="103">
        <v>0.64</v>
      </c>
      <c r="E29" s="105"/>
      <c r="F29" s="105">
        <f t="shared" si="0"/>
        <v>0</v>
      </c>
      <c r="G29" s="106"/>
      <c r="H29" s="105">
        <f t="shared" si="1"/>
        <v>0</v>
      </c>
      <c r="I29" s="106"/>
      <c r="J29" s="105">
        <f t="shared" si="2"/>
        <v>0</v>
      </c>
      <c r="K29" s="106"/>
      <c r="L29" s="105">
        <f t="shared" si="3"/>
        <v>0</v>
      </c>
      <c r="M29" s="106"/>
      <c r="N29" s="105">
        <f t="shared" si="4"/>
        <v>0</v>
      </c>
      <c r="O29" s="106"/>
      <c r="P29" s="105">
        <f t="shared" si="5"/>
        <v>0</v>
      </c>
      <c r="Q29" s="106"/>
      <c r="R29" s="105">
        <f t="shared" si="6"/>
        <v>0</v>
      </c>
      <c r="S29" s="106"/>
      <c r="T29" s="105">
        <f t="shared" si="7"/>
        <v>0</v>
      </c>
      <c r="U29" s="106"/>
      <c r="V29" s="105">
        <f t="shared" si="8"/>
        <v>0</v>
      </c>
      <c r="W29" s="106"/>
      <c r="X29" s="105">
        <f t="shared" si="9"/>
        <v>0</v>
      </c>
      <c r="Y29" s="106"/>
      <c r="Z29" s="105">
        <f t="shared" si="10"/>
        <v>0</v>
      </c>
      <c r="AA29" s="106"/>
      <c r="AB29" s="105">
        <f t="shared" si="11"/>
        <v>0</v>
      </c>
      <c r="AC29" s="70">
        <f t="shared" si="12"/>
        <v>0</v>
      </c>
      <c r="AD29" s="105">
        <f t="shared" si="13"/>
        <v>0</v>
      </c>
    </row>
    <row r="30" spans="1:30" ht="21.75" hidden="1" customHeight="1">
      <c r="A30" s="103">
        <v>27</v>
      </c>
      <c r="B30" s="104" t="s">
        <v>183</v>
      </c>
      <c r="C30" s="103"/>
      <c r="D30" s="103">
        <v>0.64</v>
      </c>
      <c r="E30" s="105"/>
      <c r="F30" s="105">
        <f t="shared" si="0"/>
        <v>0</v>
      </c>
      <c r="G30" s="106"/>
      <c r="H30" s="105">
        <f t="shared" si="1"/>
        <v>0</v>
      </c>
      <c r="I30" s="106"/>
      <c r="J30" s="105">
        <f t="shared" si="2"/>
        <v>0</v>
      </c>
      <c r="K30" s="106"/>
      <c r="L30" s="105">
        <f t="shared" si="3"/>
        <v>0</v>
      </c>
      <c r="M30" s="106"/>
      <c r="N30" s="105">
        <f t="shared" si="4"/>
        <v>0</v>
      </c>
      <c r="O30" s="106"/>
      <c r="P30" s="105">
        <f t="shared" si="5"/>
        <v>0</v>
      </c>
      <c r="Q30" s="106"/>
      <c r="R30" s="105">
        <f t="shared" si="6"/>
        <v>0</v>
      </c>
      <c r="S30" s="106"/>
      <c r="T30" s="105">
        <f t="shared" si="7"/>
        <v>0</v>
      </c>
      <c r="U30" s="106"/>
      <c r="V30" s="105">
        <f t="shared" si="8"/>
        <v>0</v>
      </c>
      <c r="W30" s="106"/>
      <c r="X30" s="105">
        <f t="shared" si="9"/>
        <v>0</v>
      </c>
      <c r="Y30" s="106"/>
      <c r="Z30" s="105">
        <f t="shared" si="10"/>
        <v>0</v>
      </c>
      <c r="AA30" s="106"/>
      <c r="AB30" s="105">
        <f t="shared" si="11"/>
        <v>0</v>
      </c>
      <c r="AC30" s="70">
        <f t="shared" si="12"/>
        <v>0</v>
      </c>
      <c r="AD30" s="105">
        <f t="shared" si="13"/>
        <v>0</v>
      </c>
    </row>
    <row r="31" spans="1:30" ht="21.75" hidden="1" customHeight="1">
      <c r="A31" s="103">
        <v>28</v>
      </c>
      <c r="B31" s="104" t="s">
        <v>184</v>
      </c>
      <c r="C31" s="103"/>
      <c r="D31" s="103">
        <v>0.64</v>
      </c>
      <c r="E31" s="105"/>
      <c r="F31" s="105">
        <f t="shared" si="0"/>
        <v>0</v>
      </c>
      <c r="G31" s="106"/>
      <c r="H31" s="105">
        <f t="shared" si="1"/>
        <v>0</v>
      </c>
      <c r="I31" s="106"/>
      <c r="J31" s="105">
        <f t="shared" si="2"/>
        <v>0</v>
      </c>
      <c r="K31" s="106"/>
      <c r="L31" s="105">
        <f t="shared" si="3"/>
        <v>0</v>
      </c>
      <c r="M31" s="106"/>
      <c r="N31" s="105">
        <f t="shared" si="4"/>
        <v>0</v>
      </c>
      <c r="O31" s="106"/>
      <c r="P31" s="105">
        <f t="shared" si="5"/>
        <v>0</v>
      </c>
      <c r="Q31" s="106"/>
      <c r="R31" s="105">
        <f t="shared" si="6"/>
        <v>0</v>
      </c>
      <c r="S31" s="106"/>
      <c r="T31" s="105">
        <f t="shared" si="7"/>
        <v>0</v>
      </c>
      <c r="U31" s="106"/>
      <c r="V31" s="105">
        <f t="shared" si="8"/>
        <v>0</v>
      </c>
      <c r="W31" s="106"/>
      <c r="X31" s="105">
        <f t="shared" si="9"/>
        <v>0</v>
      </c>
      <c r="Y31" s="106"/>
      <c r="Z31" s="105">
        <f t="shared" si="10"/>
        <v>0</v>
      </c>
      <c r="AA31" s="106"/>
      <c r="AB31" s="105">
        <f t="shared" si="11"/>
        <v>0</v>
      </c>
      <c r="AC31" s="70">
        <f t="shared" si="12"/>
        <v>0</v>
      </c>
      <c r="AD31" s="105">
        <f t="shared" si="13"/>
        <v>0</v>
      </c>
    </row>
    <row r="32" spans="1:30" ht="21.75" hidden="1" customHeight="1">
      <c r="A32" s="103">
        <v>29</v>
      </c>
      <c r="B32" s="104" t="s">
        <v>185</v>
      </c>
      <c r="C32" s="103"/>
      <c r="D32" s="103">
        <v>0.64</v>
      </c>
      <c r="E32" s="105"/>
      <c r="F32" s="105">
        <f t="shared" si="0"/>
        <v>0</v>
      </c>
      <c r="G32" s="106"/>
      <c r="H32" s="105">
        <f t="shared" si="1"/>
        <v>0</v>
      </c>
      <c r="I32" s="106"/>
      <c r="J32" s="105">
        <f t="shared" si="2"/>
        <v>0</v>
      </c>
      <c r="K32" s="106"/>
      <c r="L32" s="105">
        <f t="shared" si="3"/>
        <v>0</v>
      </c>
      <c r="M32" s="106"/>
      <c r="N32" s="105">
        <f t="shared" si="4"/>
        <v>0</v>
      </c>
      <c r="O32" s="106"/>
      <c r="P32" s="105">
        <f t="shared" si="5"/>
        <v>0</v>
      </c>
      <c r="Q32" s="106"/>
      <c r="R32" s="105">
        <f t="shared" si="6"/>
        <v>0</v>
      </c>
      <c r="S32" s="106"/>
      <c r="T32" s="105">
        <f t="shared" si="7"/>
        <v>0</v>
      </c>
      <c r="U32" s="106"/>
      <c r="V32" s="105">
        <f t="shared" si="8"/>
        <v>0</v>
      </c>
      <c r="W32" s="106"/>
      <c r="X32" s="105">
        <f t="shared" si="9"/>
        <v>0</v>
      </c>
      <c r="Y32" s="106"/>
      <c r="Z32" s="105">
        <f t="shared" si="10"/>
        <v>0</v>
      </c>
      <c r="AA32" s="106"/>
      <c r="AB32" s="105">
        <f t="shared" si="11"/>
        <v>0</v>
      </c>
      <c r="AC32" s="70">
        <f t="shared" si="12"/>
        <v>0</v>
      </c>
      <c r="AD32" s="105">
        <f t="shared" si="13"/>
        <v>0</v>
      </c>
    </row>
    <row r="33" spans="1:30" ht="21.75" hidden="1" customHeight="1">
      <c r="A33" s="103">
        <v>30</v>
      </c>
      <c r="B33" s="104" t="s">
        <v>186</v>
      </c>
      <c r="C33" s="103"/>
      <c r="D33" s="103">
        <v>0.64</v>
      </c>
      <c r="E33" s="105"/>
      <c r="F33" s="105">
        <f t="shared" si="0"/>
        <v>0</v>
      </c>
      <c r="G33" s="106"/>
      <c r="H33" s="105">
        <f t="shared" si="1"/>
        <v>0</v>
      </c>
      <c r="I33" s="106"/>
      <c r="J33" s="105">
        <f t="shared" si="2"/>
        <v>0</v>
      </c>
      <c r="K33" s="106"/>
      <c r="L33" s="105">
        <f t="shared" si="3"/>
        <v>0</v>
      </c>
      <c r="M33" s="106"/>
      <c r="N33" s="105">
        <f t="shared" si="4"/>
        <v>0</v>
      </c>
      <c r="O33" s="106"/>
      <c r="P33" s="105">
        <f t="shared" si="5"/>
        <v>0</v>
      </c>
      <c r="Q33" s="106"/>
      <c r="R33" s="105">
        <f t="shared" si="6"/>
        <v>0</v>
      </c>
      <c r="S33" s="106"/>
      <c r="T33" s="105">
        <f t="shared" si="7"/>
        <v>0</v>
      </c>
      <c r="U33" s="106"/>
      <c r="V33" s="105">
        <f t="shared" si="8"/>
        <v>0</v>
      </c>
      <c r="W33" s="106"/>
      <c r="X33" s="105">
        <f t="shared" si="9"/>
        <v>0</v>
      </c>
      <c r="Y33" s="106"/>
      <c r="Z33" s="105">
        <f t="shared" si="10"/>
        <v>0</v>
      </c>
      <c r="AA33" s="106"/>
      <c r="AB33" s="105">
        <f t="shared" si="11"/>
        <v>0</v>
      </c>
      <c r="AC33" s="70">
        <f t="shared" si="12"/>
        <v>0</v>
      </c>
      <c r="AD33" s="105">
        <f t="shared" si="13"/>
        <v>0</v>
      </c>
    </row>
    <row r="34" spans="1:30" ht="21.75" hidden="1" customHeight="1">
      <c r="A34" s="103">
        <v>31</v>
      </c>
      <c r="B34" s="104" t="s">
        <v>68</v>
      </c>
      <c r="C34" s="103"/>
      <c r="D34" s="103">
        <v>0.64</v>
      </c>
      <c r="E34" s="105"/>
      <c r="F34" s="105">
        <f t="shared" si="0"/>
        <v>0</v>
      </c>
      <c r="G34" s="106"/>
      <c r="H34" s="105">
        <f t="shared" si="1"/>
        <v>0</v>
      </c>
      <c r="I34" s="106"/>
      <c r="J34" s="105">
        <f t="shared" si="2"/>
        <v>0</v>
      </c>
      <c r="K34" s="106"/>
      <c r="L34" s="105">
        <f t="shared" si="3"/>
        <v>0</v>
      </c>
      <c r="M34" s="106"/>
      <c r="N34" s="105">
        <f t="shared" si="4"/>
        <v>0</v>
      </c>
      <c r="O34" s="106"/>
      <c r="P34" s="105">
        <f t="shared" si="5"/>
        <v>0</v>
      </c>
      <c r="Q34" s="106"/>
      <c r="R34" s="105">
        <f t="shared" si="6"/>
        <v>0</v>
      </c>
      <c r="S34" s="106"/>
      <c r="T34" s="105">
        <f t="shared" si="7"/>
        <v>0</v>
      </c>
      <c r="U34" s="106"/>
      <c r="V34" s="105">
        <f t="shared" si="8"/>
        <v>0</v>
      </c>
      <c r="W34" s="106"/>
      <c r="X34" s="105">
        <f t="shared" si="9"/>
        <v>0</v>
      </c>
      <c r="Y34" s="106"/>
      <c r="Z34" s="105">
        <f t="shared" si="10"/>
        <v>0</v>
      </c>
      <c r="AA34" s="106"/>
      <c r="AB34" s="105">
        <f t="shared" si="11"/>
        <v>0</v>
      </c>
      <c r="AC34" s="70">
        <f t="shared" si="12"/>
        <v>0</v>
      </c>
      <c r="AD34" s="105">
        <f t="shared" si="13"/>
        <v>0</v>
      </c>
    </row>
    <row r="35" spans="1:30" ht="21.75" customHeight="1">
      <c r="A35" s="103">
        <v>32</v>
      </c>
      <c r="B35" s="104" t="s">
        <v>59</v>
      </c>
      <c r="C35" s="103">
        <v>640</v>
      </c>
      <c r="D35" s="103">
        <v>0.64</v>
      </c>
      <c r="E35" s="105">
        <v>5936</v>
      </c>
      <c r="F35" s="105">
        <f t="shared" si="0"/>
        <v>3799.04</v>
      </c>
      <c r="G35" s="106">
        <v>2478</v>
      </c>
      <c r="H35" s="105">
        <f t="shared" si="1"/>
        <v>1585.92</v>
      </c>
      <c r="I35" s="106">
        <v>4396</v>
      </c>
      <c r="J35" s="105">
        <f t="shared" si="2"/>
        <v>2813.44</v>
      </c>
      <c r="K35" s="106">
        <v>1932</v>
      </c>
      <c r="L35" s="105">
        <f t="shared" si="3"/>
        <v>1236.48</v>
      </c>
      <c r="M35" s="106">
        <v>3542</v>
      </c>
      <c r="N35" s="105">
        <f t="shared" si="4"/>
        <v>2266.88</v>
      </c>
      <c r="O35" s="106">
        <v>4718</v>
      </c>
      <c r="P35" s="105">
        <f t="shared" si="5"/>
        <v>3019.52</v>
      </c>
      <c r="Q35" s="106">
        <v>2366</v>
      </c>
      <c r="R35" s="105">
        <f t="shared" si="6"/>
        <v>1514.24</v>
      </c>
      <c r="S35" s="106">
        <v>5698</v>
      </c>
      <c r="T35" s="105">
        <f t="shared" si="7"/>
        <v>3646.7200000000003</v>
      </c>
      <c r="U35" s="106">
        <v>2520</v>
      </c>
      <c r="V35" s="105">
        <f t="shared" si="8"/>
        <v>1612.8</v>
      </c>
      <c r="W35" s="106">
        <v>2758</v>
      </c>
      <c r="X35" s="105">
        <f t="shared" si="9"/>
        <v>1765.1200000000001</v>
      </c>
      <c r="Y35" s="106">
        <v>1554</v>
      </c>
      <c r="Z35" s="105">
        <f t="shared" si="10"/>
        <v>994.56000000000006</v>
      </c>
      <c r="AA35" s="106">
        <v>2492</v>
      </c>
      <c r="AB35" s="105">
        <f t="shared" si="11"/>
        <v>1594.88</v>
      </c>
      <c r="AC35" s="70">
        <f t="shared" si="12"/>
        <v>40390</v>
      </c>
      <c r="AD35" s="105">
        <f t="shared" si="13"/>
        <v>25849.600000000002</v>
      </c>
    </row>
    <row r="36" spans="1:30" ht="21.75" hidden="1" customHeight="1">
      <c r="A36" s="103">
        <v>33</v>
      </c>
      <c r="B36" s="104" t="s">
        <v>187</v>
      </c>
      <c r="C36" s="103"/>
      <c r="D36" s="103"/>
      <c r="E36" s="105"/>
      <c r="F36" s="105">
        <f t="shared" si="0"/>
        <v>0</v>
      </c>
      <c r="G36" s="106"/>
      <c r="H36" s="105">
        <f t="shared" si="1"/>
        <v>0</v>
      </c>
      <c r="I36" s="106"/>
      <c r="J36" s="105">
        <f t="shared" si="2"/>
        <v>0</v>
      </c>
      <c r="K36" s="106"/>
      <c r="L36" s="105">
        <f t="shared" si="3"/>
        <v>0</v>
      </c>
      <c r="M36" s="106"/>
      <c r="N36" s="105">
        <f t="shared" si="4"/>
        <v>0</v>
      </c>
      <c r="O36" s="106"/>
      <c r="P36" s="105">
        <f t="shared" si="5"/>
        <v>0</v>
      </c>
      <c r="Q36" s="106"/>
      <c r="R36" s="105">
        <f t="shared" si="6"/>
        <v>0</v>
      </c>
      <c r="S36" s="106"/>
      <c r="T36" s="105">
        <f t="shared" si="7"/>
        <v>0</v>
      </c>
      <c r="U36" s="106"/>
      <c r="V36" s="105">
        <f t="shared" si="8"/>
        <v>0</v>
      </c>
      <c r="W36" s="106"/>
      <c r="X36" s="105">
        <f t="shared" si="9"/>
        <v>0</v>
      </c>
      <c r="Y36" s="106"/>
      <c r="Z36" s="105">
        <f t="shared" si="10"/>
        <v>0</v>
      </c>
      <c r="AA36" s="106"/>
      <c r="AB36" s="105">
        <f t="shared" si="11"/>
        <v>0</v>
      </c>
      <c r="AC36" s="70">
        <f t="shared" si="12"/>
        <v>0</v>
      </c>
      <c r="AD36" s="105">
        <f t="shared" si="13"/>
        <v>0</v>
      </c>
    </row>
    <row r="37" spans="1:30" ht="21.75" customHeight="1">
      <c r="A37" s="103">
        <v>34</v>
      </c>
      <c r="B37" s="104" t="s">
        <v>188</v>
      </c>
      <c r="C37" s="103">
        <v>1000</v>
      </c>
      <c r="D37" s="103">
        <v>1</v>
      </c>
      <c r="E37" s="105"/>
      <c r="F37" s="105">
        <f t="shared" si="0"/>
        <v>0</v>
      </c>
      <c r="G37" s="106"/>
      <c r="H37" s="105">
        <f t="shared" si="1"/>
        <v>0</v>
      </c>
      <c r="I37" s="106"/>
      <c r="J37" s="105">
        <f t="shared" si="2"/>
        <v>0</v>
      </c>
      <c r="K37" s="106"/>
      <c r="L37" s="105">
        <f t="shared" si="3"/>
        <v>0</v>
      </c>
      <c r="M37" s="106"/>
      <c r="N37" s="105">
        <f t="shared" si="4"/>
        <v>0</v>
      </c>
      <c r="O37" s="106"/>
      <c r="P37" s="105">
        <f t="shared" si="5"/>
        <v>0</v>
      </c>
      <c r="Q37" s="106">
        <v>120</v>
      </c>
      <c r="R37" s="105">
        <f t="shared" si="6"/>
        <v>120</v>
      </c>
      <c r="S37" s="106"/>
      <c r="T37" s="105">
        <f t="shared" si="7"/>
        <v>0</v>
      </c>
      <c r="U37" s="106">
        <v>24</v>
      </c>
      <c r="V37" s="105">
        <f t="shared" si="8"/>
        <v>24</v>
      </c>
      <c r="W37" s="106">
        <v>60</v>
      </c>
      <c r="X37" s="105">
        <f t="shared" si="9"/>
        <v>60</v>
      </c>
      <c r="Y37" s="106">
        <v>36</v>
      </c>
      <c r="Z37" s="105">
        <f t="shared" si="10"/>
        <v>36</v>
      </c>
      <c r="AA37" s="106">
        <v>120</v>
      </c>
      <c r="AB37" s="105">
        <f t="shared" si="11"/>
        <v>120</v>
      </c>
      <c r="AC37" s="70">
        <f t="shared" si="12"/>
        <v>360</v>
      </c>
      <c r="AD37" s="105">
        <f t="shared" si="13"/>
        <v>360</v>
      </c>
    </row>
    <row r="38" spans="1:30" ht="21.75" hidden="1" customHeight="1">
      <c r="A38" s="103">
        <v>35</v>
      </c>
      <c r="B38" s="104" t="s">
        <v>189</v>
      </c>
      <c r="C38" s="103"/>
      <c r="D38" s="103"/>
      <c r="E38" s="105"/>
      <c r="F38" s="105">
        <f t="shared" si="0"/>
        <v>0</v>
      </c>
      <c r="G38" s="106"/>
      <c r="H38" s="105">
        <f t="shared" si="1"/>
        <v>0</v>
      </c>
      <c r="I38" s="106"/>
      <c r="J38" s="105">
        <f t="shared" si="2"/>
        <v>0</v>
      </c>
      <c r="K38" s="106"/>
      <c r="L38" s="105">
        <f t="shared" si="3"/>
        <v>0</v>
      </c>
      <c r="M38" s="106"/>
      <c r="N38" s="105">
        <f t="shared" si="4"/>
        <v>0</v>
      </c>
      <c r="O38" s="106"/>
      <c r="P38" s="105">
        <f t="shared" si="5"/>
        <v>0</v>
      </c>
      <c r="Q38" s="106"/>
      <c r="R38" s="105">
        <f t="shared" si="6"/>
        <v>0</v>
      </c>
      <c r="S38" s="106"/>
      <c r="T38" s="105">
        <f t="shared" si="7"/>
        <v>0</v>
      </c>
      <c r="U38" s="106"/>
      <c r="V38" s="105">
        <f t="shared" si="8"/>
        <v>0</v>
      </c>
      <c r="W38" s="106"/>
      <c r="X38" s="105">
        <f t="shared" si="9"/>
        <v>0</v>
      </c>
      <c r="Y38" s="106"/>
      <c r="Z38" s="105">
        <f t="shared" si="10"/>
        <v>0</v>
      </c>
      <c r="AA38" s="106"/>
      <c r="AB38" s="105">
        <f t="shared" si="11"/>
        <v>0</v>
      </c>
      <c r="AC38" s="70">
        <f t="shared" si="12"/>
        <v>0</v>
      </c>
      <c r="AD38" s="105">
        <f t="shared" si="13"/>
        <v>0</v>
      </c>
    </row>
    <row r="39" spans="1:30" ht="21.75" customHeight="1">
      <c r="A39" s="103">
        <v>36</v>
      </c>
      <c r="B39" s="104" t="s">
        <v>190</v>
      </c>
      <c r="C39" s="103">
        <v>350</v>
      </c>
      <c r="D39" s="103">
        <v>0.35</v>
      </c>
      <c r="E39" s="105"/>
      <c r="F39" s="105">
        <f t="shared" si="0"/>
        <v>0</v>
      </c>
      <c r="G39" s="106"/>
      <c r="H39" s="105">
        <f t="shared" si="1"/>
        <v>0</v>
      </c>
      <c r="I39" s="106"/>
      <c r="J39" s="105">
        <f t="shared" si="2"/>
        <v>0</v>
      </c>
      <c r="K39" s="106"/>
      <c r="L39" s="105">
        <f t="shared" si="3"/>
        <v>0</v>
      </c>
      <c r="M39" s="106"/>
      <c r="N39" s="105">
        <f t="shared" si="4"/>
        <v>0</v>
      </c>
      <c r="O39" s="106"/>
      <c r="P39" s="105">
        <f t="shared" si="5"/>
        <v>0</v>
      </c>
      <c r="Q39" s="106">
        <v>52</v>
      </c>
      <c r="R39" s="105">
        <f t="shared" si="6"/>
        <v>18.2</v>
      </c>
      <c r="S39" s="106"/>
      <c r="T39" s="105">
        <f t="shared" si="7"/>
        <v>0</v>
      </c>
      <c r="U39" s="106"/>
      <c r="V39" s="105">
        <f t="shared" si="8"/>
        <v>0</v>
      </c>
      <c r="W39" s="106"/>
      <c r="X39" s="105">
        <f t="shared" si="9"/>
        <v>0</v>
      </c>
      <c r="Y39" s="106"/>
      <c r="Z39" s="105">
        <f t="shared" si="10"/>
        <v>0</v>
      </c>
      <c r="AA39" s="106"/>
      <c r="AB39" s="105">
        <f t="shared" si="11"/>
        <v>0</v>
      </c>
      <c r="AC39" s="70">
        <f t="shared" si="12"/>
        <v>52</v>
      </c>
      <c r="AD39" s="105">
        <f t="shared" si="13"/>
        <v>18.2</v>
      </c>
    </row>
    <row r="40" spans="1:30" ht="21.75" customHeight="1">
      <c r="A40" s="103">
        <v>37</v>
      </c>
      <c r="B40" s="104" t="s">
        <v>191</v>
      </c>
      <c r="C40" s="103">
        <v>1000</v>
      </c>
      <c r="D40" s="103">
        <v>1</v>
      </c>
      <c r="E40" s="105">
        <v>24</v>
      </c>
      <c r="F40" s="105">
        <f t="shared" si="0"/>
        <v>24</v>
      </c>
      <c r="G40" s="106">
        <v>60</v>
      </c>
      <c r="H40" s="105">
        <f t="shared" si="1"/>
        <v>60</v>
      </c>
      <c r="I40" s="106">
        <v>12</v>
      </c>
      <c r="J40" s="105">
        <f t="shared" si="2"/>
        <v>12</v>
      </c>
      <c r="K40" s="106"/>
      <c r="L40" s="105">
        <f t="shared" si="3"/>
        <v>0</v>
      </c>
      <c r="M40" s="106"/>
      <c r="N40" s="105">
        <f t="shared" si="4"/>
        <v>0</v>
      </c>
      <c r="O40" s="106"/>
      <c r="P40" s="105">
        <f t="shared" si="5"/>
        <v>0</v>
      </c>
      <c r="Q40" s="106"/>
      <c r="R40" s="105">
        <f t="shared" si="6"/>
        <v>0</v>
      </c>
      <c r="S40" s="106"/>
      <c r="T40" s="105">
        <f t="shared" si="7"/>
        <v>0</v>
      </c>
      <c r="U40" s="106"/>
      <c r="V40" s="105">
        <f t="shared" si="8"/>
        <v>0</v>
      </c>
      <c r="W40" s="106">
        <v>72</v>
      </c>
      <c r="X40" s="105">
        <f t="shared" si="9"/>
        <v>72</v>
      </c>
      <c r="Y40" s="106">
        <v>60</v>
      </c>
      <c r="Z40" s="105">
        <f t="shared" si="10"/>
        <v>60</v>
      </c>
      <c r="AA40" s="106">
        <v>132</v>
      </c>
      <c r="AB40" s="105">
        <f t="shared" si="11"/>
        <v>132</v>
      </c>
      <c r="AC40" s="70">
        <f t="shared" si="12"/>
        <v>360</v>
      </c>
      <c r="AD40" s="105">
        <f t="shared" si="13"/>
        <v>360</v>
      </c>
    </row>
    <row r="41" spans="1:30" ht="21.75" hidden="1" customHeight="1">
      <c r="A41" s="103">
        <v>38</v>
      </c>
      <c r="B41" s="104" t="s">
        <v>192</v>
      </c>
      <c r="C41" s="103"/>
      <c r="D41" s="103"/>
      <c r="E41" s="105"/>
      <c r="F41" s="105">
        <f t="shared" si="0"/>
        <v>0</v>
      </c>
      <c r="G41" s="106"/>
      <c r="H41" s="105">
        <f t="shared" si="1"/>
        <v>0</v>
      </c>
      <c r="I41" s="106"/>
      <c r="J41" s="105">
        <f t="shared" si="2"/>
        <v>0</v>
      </c>
      <c r="K41" s="106"/>
      <c r="L41" s="105">
        <f t="shared" si="3"/>
        <v>0</v>
      </c>
      <c r="M41" s="106"/>
      <c r="N41" s="105">
        <f t="shared" si="4"/>
        <v>0</v>
      </c>
      <c r="O41" s="106"/>
      <c r="P41" s="105">
        <f t="shared" si="5"/>
        <v>0</v>
      </c>
      <c r="Q41" s="106"/>
      <c r="R41" s="105">
        <f t="shared" si="6"/>
        <v>0</v>
      </c>
      <c r="S41" s="106"/>
      <c r="T41" s="105">
        <f t="shared" si="7"/>
        <v>0</v>
      </c>
      <c r="U41" s="106"/>
      <c r="V41" s="105">
        <f t="shared" si="8"/>
        <v>0</v>
      </c>
      <c r="W41" s="106"/>
      <c r="X41" s="105">
        <f t="shared" si="9"/>
        <v>0</v>
      </c>
      <c r="Y41" s="106"/>
      <c r="Z41" s="105">
        <f t="shared" si="10"/>
        <v>0</v>
      </c>
      <c r="AA41" s="106"/>
      <c r="AB41" s="105">
        <f t="shared" si="11"/>
        <v>0</v>
      </c>
      <c r="AC41" s="70">
        <f t="shared" si="12"/>
        <v>0</v>
      </c>
      <c r="AD41" s="105">
        <f t="shared" si="13"/>
        <v>0</v>
      </c>
    </row>
    <row r="42" spans="1:30" ht="21.75" hidden="1" customHeight="1">
      <c r="A42" s="103">
        <v>39</v>
      </c>
      <c r="B42" s="104" t="s">
        <v>193</v>
      </c>
      <c r="C42" s="103"/>
      <c r="D42" s="103"/>
      <c r="E42" s="105"/>
      <c r="F42" s="105">
        <f t="shared" si="0"/>
        <v>0</v>
      </c>
      <c r="G42" s="106"/>
      <c r="H42" s="105">
        <f t="shared" si="1"/>
        <v>0</v>
      </c>
      <c r="I42" s="106"/>
      <c r="J42" s="105">
        <f t="shared" si="2"/>
        <v>0</v>
      </c>
      <c r="K42" s="106"/>
      <c r="L42" s="105">
        <f t="shared" si="3"/>
        <v>0</v>
      </c>
      <c r="M42" s="106"/>
      <c r="N42" s="105">
        <f t="shared" si="4"/>
        <v>0</v>
      </c>
      <c r="O42" s="106"/>
      <c r="P42" s="105">
        <f t="shared" si="5"/>
        <v>0</v>
      </c>
      <c r="Q42" s="106"/>
      <c r="R42" s="105">
        <f t="shared" si="6"/>
        <v>0</v>
      </c>
      <c r="S42" s="106"/>
      <c r="T42" s="105">
        <f t="shared" si="7"/>
        <v>0</v>
      </c>
      <c r="U42" s="106"/>
      <c r="V42" s="105">
        <f t="shared" si="8"/>
        <v>0</v>
      </c>
      <c r="W42" s="106"/>
      <c r="X42" s="105">
        <f t="shared" si="9"/>
        <v>0</v>
      </c>
      <c r="Y42" s="106"/>
      <c r="Z42" s="105">
        <f t="shared" si="10"/>
        <v>0</v>
      </c>
      <c r="AA42" s="106"/>
      <c r="AB42" s="105">
        <f t="shared" si="11"/>
        <v>0</v>
      </c>
      <c r="AC42" s="70">
        <f t="shared" si="12"/>
        <v>0</v>
      </c>
      <c r="AD42" s="105">
        <f t="shared" si="13"/>
        <v>0</v>
      </c>
    </row>
    <row r="43" spans="1:30" ht="21.75" customHeight="1">
      <c r="A43" s="103">
        <v>40</v>
      </c>
      <c r="B43" s="104" t="s">
        <v>194</v>
      </c>
      <c r="C43" s="103">
        <v>1000</v>
      </c>
      <c r="D43" s="103">
        <v>1</v>
      </c>
      <c r="E43" s="105">
        <v>703416</v>
      </c>
      <c r="F43" s="105">
        <f t="shared" si="0"/>
        <v>703416</v>
      </c>
      <c r="G43" s="106">
        <v>510672</v>
      </c>
      <c r="H43" s="105">
        <f t="shared" si="1"/>
        <v>510672</v>
      </c>
      <c r="I43" s="106">
        <v>684900</v>
      </c>
      <c r="J43" s="105">
        <f t="shared" si="2"/>
        <v>684900</v>
      </c>
      <c r="K43" s="106">
        <v>604764</v>
      </c>
      <c r="L43" s="105">
        <f t="shared" si="3"/>
        <v>604764</v>
      </c>
      <c r="M43" s="106">
        <v>644832</v>
      </c>
      <c r="N43" s="105">
        <f t="shared" si="4"/>
        <v>644832</v>
      </c>
      <c r="O43" s="106">
        <v>663312</v>
      </c>
      <c r="P43" s="105">
        <f t="shared" si="5"/>
        <v>663312</v>
      </c>
      <c r="Q43" s="106">
        <v>715536</v>
      </c>
      <c r="R43" s="105">
        <f t="shared" si="6"/>
        <v>715536</v>
      </c>
      <c r="S43" s="106">
        <v>771876</v>
      </c>
      <c r="T43" s="105">
        <f t="shared" si="7"/>
        <v>771876</v>
      </c>
      <c r="U43" s="106">
        <v>503604</v>
      </c>
      <c r="V43" s="105">
        <f t="shared" si="8"/>
        <v>503604</v>
      </c>
      <c r="W43" s="106">
        <v>612828</v>
      </c>
      <c r="X43" s="105">
        <f t="shared" si="9"/>
        <v>612828</v>
      </c>
      <c r="Y43" s="106">
        <v>631164</v>
      </c>
      <c r="Z43" s="105">
        <f t="shared" si="10"/>
        <v>631164</v>
      </c>
      <c r="AA43" s="106">
        <v>699420</v>
      </c>
      <c r="AB43" s="105">
        <f t="shared" si="11"/>
        <v>699420</v>
      </c>
      <c r="AC43" s="70">
        <f t="shared" si="12"/>
        <v>7746324</v>
      </c>
      <c r="AD43" s="105">
        <f t="shared" si="13"/>
        <v>7746324</v>
      </c>
    </row>
    <row r="44" spans="1:30" ht="21.75" hidden="1" customHeight="1">
      <c r="A44" s="103">
        <v>41</v>
      </c>
      <c r="B44" s="104" t="s">
        <v>195</v>
      </c>
      <c r="C44" s="103"/>
      <c r="D44" s="103"/>
      <c r="E44" s="105"/>
      <c r="F44" s="105">
        <f t="shared" si="0"/>
        <v>0</v>
      </c>
      <c r="G44" s="106"/>
      <c r="H44" s="105">
        <f t="shared" si="1"/>
        <v>0</v>
      </c>
      <c r="I44" s="106"/>
      <c r="J44" s="105">
        <f t="shared" si="2"/>
        <v>0</v>
      </c>
      <c r="K44" s="106"/>
      <c r="L44" s="105">
        <f t="shared" si="3"/>
        <v>0</v>
      </c>
      <c r="M44" s="106"/>
      <c r="N44" s="105">
        <f t="shared" si="4"/>
        <v>0</v>
      </c>
      <c r="O44" s="106"/>
      <c r="P44" s="105">
        <f t="shared" si="5"/>
        <v>0</v>
      </c>
      <c r="Q44" s="106"/>
      <c r="R44" s="105">
        <f t="shared" si="6"/>
        <v>0</v>
      </c>
      <c r="S44" s="106"/>
      <c r="T44" s="105">
        <f t="shared" si="7"/>
        <v>0</v>
      </c>
      <c r="U44" s="106"/>
      <c r="V44" s="105">
        <f t="shared" si="8"/>
        <v>0</v>
      </c>
      <c r="W44" s="106"/>
      <c r="X44" s="105">
        <f t="shared" si="9"/>
        <v>0</v>
      </c>
      <c r="Y44" s="106"/>
      <c r="Z44" s="105">
        <f t="shared" si="10"/>
        <v>0</v>
      </c>
      <c r="AA44" s="106"/>
      <c r="AB44" s="105">
        <f t="shared" si="11"/>
        <v>0</v>
      </c>
      <c r="AC44" s="70">
        <f t="shared" si="12"/>
        <v>0</v>
      </c>
      <c r="AD44" s="105">
        <f t="shared" si="13"/>
        <v>0</v>
      </c>
    </row>
    <row r="45" spans="1:30" ht="21.75" customHeight="1">
      <c r="A45" s="103">
        <v>42</v>
      </c>
      <c r="B45" s="104" t="s">
        <v>196</v>
      </c>
      <c r="C45" s="103">
        <v>600</v>
      </c>
      <c r="D45" s="103">
        <v>0.6</v>
      </c>
      <c r="E45" s="105">
        <v>34128</v>
      </c>
      <c r="F45" s="105">
        <f t="shared" si="0"/>
        <v>20476.8</v>
      </c>
      <c r="G45" s="106">
        <v>26004</v>
      </c>
      <c r="H45" s="105">
        <f t="shared" si="1"/>
        <v>15602.4</v>
      </c>
      <c r="I45" s="106">
        <v>34092</v>
      </c>
      <c r="J45" s="105">
        <f t="shared" si="2"/>
        <v>20455.2</v>
      </c>
      <c r="K45" s="106">
        <v>20184</v>
      </c>
      <c r="L45" s="105">
        <f t="shared" si="3"/>
        <v>12110.4</v>
      </c>
      <c r="M45" s="106">
        <v>42588</v>
      </c>
      <c r="N45" s="105">
        <f t="shared" si="4"/>
        <v>25552.799999999999</v>
      </c>
      <c r="O45" s="106">
        <v>42192</v>
      </c>
      <c r="P45" s="105">
        <f t="shared" si="5"/>
        <v>25315.200000000001</v>
      </c>
      <c r="Q45" s="106">
        <v>58176</v>
      </c>
      <c r="R45" s="105">
        <f t="shared" si="6"/>
        <v>34905.599999999999</v>
      </c>
      <c r="S45" s="106">
        <v>50544</v>
      </c>
      <c r="T45" s="105">
        <f t="shared" si="7"/>
        <v>30326.399999999998</v>
      </c>
      <c r="U45" s="106">
        <v>38592</v>
      </c>
      <c r="V45" s="105">
        <f t="shared" si="8"/>
        <v>23155.200000000001</v>
      </c>
      <c r="W45" s="106">
        <v>44376</v>
      </c>
      <c r="X45" s="105">
        <f t="shared" si="9"/>
        <v>26625.599999999999</v>
      </c>
      <c r="Y45" s="106">
        <v>41700</v>
      </c>
      <c r="Z45" s="105">
        <f t="shared" si="10"/>
        <v>25020</v>
      </c>
      <c r="AA45" s="106">
        <v>48672</v>
      </c>
      <c r="AB45" s="105">
        <f t="shared" si="11"/>
        <v>29203.200000000001</v>
      </c>
      <c r="AC45" s="70">
        <f t="shared" si="12"/>
        <v>481248</v>
      </c>
      <c r="AD45" s="105">
        <f t="shared" si="13"/>
        <v>288748.79999999999</v>
      </c>
    </row>
    <row r="46" spans="1:30" ht="21.75" customHeight="1">
      <c r="A46" s="103">
        <v>43</v>
      </c>
      <c r="B46" s="104" t="s">
        <v>197</v>
      </c>
      <c r="C46" s="103">
        <v>350</v>
      </c>
      <c r="D46" s="103">
        <v>0.35</v>
      </c>
      <c r="E46" s="105">
        <v>451920</v>
      </c>
      <c r="F46" s="105">
        <f t="shared" si="0"/>
        <v>158172</v>
      </c>
      <c r="G46" s="106">
        <v>331680</v>
      </c>
      <c r="H46" s="105">
        <f t="shared" si="1"/>
        <v>116087.99999999999</v>
      </c>
      <c r="I46" s="106">
        <v>444400</v>
      </c>
      <c r="J46" s="105">
        <f t="shared" si="2"/>
        <v>155540</v>
      </c>
      <c r="K46" s="106">
        <v>342440</v>
      </c>
      <c r="L46" s="105">
        <f t="shared" si="3"/>
        <v>119853.99999999999</v>
      </c>
      <c r="M46" s="106">
        <v>272560</v>
      </c>
      <c r="N46" s="105">
        <f t="shared" si="4"/>
        <v>95396</v>
      </c>
      <c r="O46" s="106">
        <v>179680</v>
      </c>
      <c r="P46" s="105">
        <f t="shared" si="5"/>
        <v>62887.999999999993</v>
      </c>
      <c r="Q46" s="106">
        <v>310960</v>
      </c>
      <c r="R46" s="105">
        <f t="shared" si="6"/>
        <v>108836</v>
      </c>
      <c r="S46" s="106">
        <v>373600</v>
      </c>
      <c r="T46" s="105">
        <f t="shared" si="7"/>
        <v>130759.99999999999</v>
      </c>
      <c r="U46" s="106">
        <v>274800</v>
      </c>
      <c r="V46" s="105">
        <f t="shared" si="8"/>
        <v>96180</v>
      </c>
      <c r="W46" s="106">
        <v>270280</v>
      </c>
      <c r="X46" s="105">
        <f t="shared" si="9"/>
        <v>94598</v>
      </c>
      <c r="Y46" s="106">
        <v>262400</v>
      </c>
      <c r="Z46" s="105">
        <f t="shared" si="10"/>
        <v>91840</v>
      </c>
      <c r="AA46" s="106">
        <v>282960</v>
      </c>
      <c r="AB46" s="105">
        <f t="shared" si="11"/>
        <v>99036</v>
      </c>
      <c r="AC46" s="70">
        <f t="shared" si="12"/>
        <v>3797680</v>
      </c>
      <c r="AD46" s="105">
        <f t="shared" si="13"/>
        <v>1329188</v>
      </c>
    </row>
    <row r="47" spans="1:30" ht="21.75" customHeight="1">
      <c r="A47" s="103">
        <v>44</v>
      </c>
      <c r="B47" s="104" t="s">
        <v>198</v>
      </c>
      <c r="C47" s="103">
        <v>1000</v>
      </c>
      <c r="D47" s="103">
        <v>1</v>
      </c>
      <c r="E47" s="105">
        <v>264</v>
      </c>
      <c r="F47" s="105">
        <f t="shared" si="0"/>
        <v>264</v>
      </c>
      <c r="G47" s="106">
        <v>300</v>
      </c>
      <c r="H47" s="105">
        <f t="shared" si="1"/>
        <v>300</v>
      </c>
      <c r="I47" s="106">
        <v>396</v>
      </c>
      <c r="J47" s="105">
        <f t="shared" si="2"/>
        <v>396</v>
      </c>
      <c r="K47" s="106">
        <v>324</v>
      </c>
      <c r="L47" s="105">
        <f t="shared" si="3"/>
        <v>324</v>
      </c>
      <c r="M47" s="106">
        <v>420</v>
      </c>
      <c r="N47" s="105">
        <f t="shared" si="4"/>
        <v>420</v>
      </c>
      <c r="O47" s="106">
        <v>408</v>
      </c>
      <c r="P47" s="105">
        <f t="shared" si="5"/>
        <v>408</v>
      </c>
      <c r="Q47" s="106">
        <v>216</v>
      </c>
      <c r="R47" s="105">
        <f t="shared" si="6"/>
        <v>216</v>
      </c>
      <c r="S47" s="106">
        <v>443</v>
      </c>
      <c r="T47" s="105">
        <f t="shared" si="7"/>
        <v>443</v>
      </c>
      <c r="U47" s="106">
        <v>408</v>
      </c>
      <c r="V47" s="105">
        <f t="shared" si="8"/>
        <v>408</v>
      </c>
      <c r="W47" s="106">
        <v>407</v>
      </c>
      <c r="X47" s="105">
        <f t="shared" si="9"/>
        <v>407</v>
      </c>
      <c r="Y47" s="106">
        <v>480</v>
      </c>
      <c r="Z47" s="105">
        <f t="shared" si="10"/>
        <v>480</v>
      </c>
      <c r="AA47" s="106">
        <v>348</v>
      </c>
      <c r="AB47" s="105">
        <f t="shared" si="11"/>
        <v>348</v>
      </c>
      <c r="AC47" s="70">
        <f t="shared" si="12"/>
        <v>4414</v>
      </c>
      <c r="AD47" s="105">
        <f t="shared" si="13"/>
        <v>4414</v>
      </c>
    </row>
    <row r="48" spans="1:30" ht="21.75" hidden="1" customHeight="1">
      <c r="A48" s="103">
        <v>45</v>
      </c>
      <c r="B48" s="104" t="s">
        <v>199</v>
      </c>
      <c r="C48" s="103"/>
      <c r="D48" s="103"/>
      <c r="E48" s="105"/>
      <c r="F48" s="105">
        <f t="shared" si="0"/>
        <v>0</v>
      </c>
      <c r="G48" s="106"/>
      <c r="H48" s="105">
        <f t="shared" si="1"/>
        <v>0</v>
      </c>
      <c r="I48" s="106"/>
      <c r="J48" s="105">
        <f t="shared" si="2"/>
        <v>0</v>
      </c>
      <c r="K48" s="106"/>
      <c r="L48" s="105">
        <f t="shared" si="3"/>
        <v>0</v>
      </c>
      <c r="M48" s="106"/>
      <c r="N48" s="105">
        <f t="shared" si="4"/>
        <v>0</v>
      </c>
      <c r="O48" s="106"/>
      <c r="P48" s="105">
        <f t="shared" si="5"/>
        <v>0</v>
      </c>
      <c r="Q48" s="106"/>
      <c r="R48" s="105">
        <f t="shared" si="6"/>
        <v>0</v>
      </c>
      <c r="S48" s="106"/>
      <c r="T48" s="105">
        <f t="shared" si="7"/>
        <v>0</v>
      </c>
      <c r="U48" s="106"/>
      <c r="V48" s="105">
        <f t="shared" si="8"/>
        <v>0</v>
      </c>
      <c r="W48" s="106"/>
      <c r="X48" s="105">
        <f t="shared" si="9"/>
        <v>0</v>
      </c>
      <c r="Y48" s="106"/>
      <c r="Z48" s="105">
        <f t="shared" si="10"/>
        <v>0</v>
      </c>
      <c r="AA48" s="106"/>
      <c r="AB48" s="105">
        <f t="shared" si="11"/>
        <v>0</v>
      </c>
      <c r="AC48" s="70">
        <f t="shared" si="12"/>
        <v>0</v>
      </c>
      <c r="AD48" s="105">
        <f t="shared" si="13"/>
        <v>0</v>
      </c>
    </row>
    <row r="49" spans="1:30" ht="21.75" customHeight="1">
      <c r="A49" s="103">
        <v>46</v>
      </c>
      <c r="B49" s="104" t="s">
        <v>200</v>
      </c>
      <c r="C49" s="103">
        <v>350</v>
      </c>
      <c r="D49" s="103">
        <v>0.35</v>
      </c>
      <c r="E49" s="105">
        <v>80</v>
      </c>
      <c r="F49" s="105">
        <f t="shared" si="0"/>
        <v>28</v>
      </c>
      <c r="G49" s="106">
        <v>120</v>
      </c>
      <c r="H49" s="105">
        <f t="shared" si="1"/>
        <v>42</v>
      </c>
      <c r="I49" s="106">
        <v>240</v>
      </c>
      <c r="J49" s="105">
        <f t="shared" si="2"/>
        <v>84</v>
      </c>
      <c r="K49" s="106">
        <v>40</v>
      </c>
      <c r="L49" s="105">
        <f t="shared" si="3"/>
        <v>14</v>
      </c>
      <c r="M49" s="106">
        <v>160</v>
      </c>
      <c r="N49" s="105">
        <f t="shared" si="4"/>
        <v>56</v>
      </c>
      <c r="O49" s="106">
        <v>100</v>
      </c>
      <c r="P49" s="105">
        <f t="shared" si="5"/>
        <v>35</v>
      </c>
      <c r="Q49" s="106">
        <v>40</v>
      </c>
      <c r="R49" s="105">
        <f t="shared" si="6"/>
        <v>14</v>
      </c>
      <c r="S49" s="106">
        <v>80</v>
      </c>
      <c r="T49" s="105">
        <f t="shared" si="7"/>
        <v>28</v>
      </c>
      <c r="U49" s="106">
        <v>80</v>
      </c>
      <c r="V49" s="105">
        <f t="shared" si="8"/>
        <v>28</v>
      </c>
      <c r="W49" s="106">
        <v>80</v>
      </c>
      <c r="X49" s="105">
        <f t="shared" si="9"/>
        <v>28</v>
      </c>
      <c r="Y49" s="106">
        <v>120</v>
      </c>
      <c r="Z49" s="105">
        <f t="shared" si="10"/>
        <v>42</v>
      </c>
      <c r="AA49" s="106"/>
      <c r="AB49" s="105">
        <f t="shared" si="11"/>
        <v>0</v>
      </c>
      <c r="AC49" s="70">
        <f t="shared" si="12"/>
        <v>1140</v>
      </c>
      <c r="AD49" s="105">
        <f t="shared" si="13"/>
        <v>399</v>
      </c>
    </row>
    <row r="50" spans="1:30" ht="21.75" hidden="1" customHeight="1">
      <c r="A50" s="103">
        <v>47</v>
      </c>
      <c r="B50" s="104" t="s">
        <v>201</v>
      </c>
      <c r="C50" s="103"/>
      <c r="D50" s="103"/>
      <c r="E50" s="105">
        <v>80</v>
      </c>
      <c r="F50" s="105">
        <f t="shared" si="0"/>
        <v>0</v>
      </c>
      <c r="G50" s="106"/>
      <c r="H50" s="105">
        <f t="shared" si="1"/>
        <v>0</v>
      </c>
      <c r="I50" s="106"/>
      <c r="J50" s="105">
        <f t="shared" si="2"/>
        <v>0</v>
      </c>
      <c r="K50" s="106"/>
      <c r="L50" s="105">
        <f t="shared" si="3"/>
        <v>0</v>
      </c>
      <c r="M50" s="106"/>
      <c r="N50" s="105">
        <f t="shared" si="4"/>
        <v>0</v>
      </c>
      <c r="O50" s="106"/>
      <c r="P50" s="105">
        <f t="shared" si="5"/>
        <v>0</v>
      </c>
      <c r="Q50" s="106"/>
      <c r="R50" s="105">
        <f t="shared" si="6"/>
        <v>0</v>
      </c>
      <c r="S50" s="106"/>
      <c r="T50" s="105">
        <f t="shared" si="7"/>
        <v>0</v>
      </c>
      <c r="U50" s="106"/>
      <c r="V50" s="105">
        <f t="shared" si="8"/>
        <v>0</v>
      </c>
      <c r="W50" s="106"/>
      <c r="X50" s="105">
        <f t="shared" si="9"/>
        <v>0</v>
      </c>
      <c r="Y50" s="106"/>
      <c r="Z50" s="105">
        <f t="shared" si="10"/>
        <v>0</v>
      </c>
      <c r="AA50" s="106"/>
      <c r="AB50" s="105">
        <f t="shared" si="11"/>
        <v>0</v>
      </c>
      <c r="AC50" s="70">
        <f t="shared" si="12"/>
        <v>80</v>
      </c>
      <c r="AD50" s="105">
        <f t="shared" si="13"/>
        <v>0</v>
      </c>
    </row>
    <row r="51" spans="1:30" ht="21.75" hidden="1" customHeight="1">
      <c r="A51" s="103">
        <v>48</v>
      </c>
      <c r="B51" s="104" t="s">
        <v>202</v>
      </c>
      <c r="C51" s="103"/>
      <c r="D51" s="103"/>
      <c r="E51" s="105">
        <v>80</v>
      </c>
      <c r="F51" s="105">
        <f t="shared" si="0"/>
        <v>0</v>
      </c>
      <c r="G51" s="106"/>
      <c r="H51" s="105">
        <f t="shared" si="1"/>
        <v>0</v>
      </c>
      <c r="I51" s="106"/>
      <c r="J51" s="105">
        <f t="shared" si="2"/>
        <v>0</v>
      </c>
      <c r="K51" s="106"/>
      <c r="L51" s="105">
        <f t="shared" si="3"/>
        <v>0</v>
      </c>
      <c r="M51" s="106"/>
      <c r="N51" s="105">
        <f t="shared" si="4"/>
        <v>0</v>
      </c>
      <c r="O51" s="106"/>
      <c r="P51" s="105">
        <f t="shared" si="5"/>
        <v>0</v>
      </c>
      <c r="Q51" s="106"/>
      <c r="R51" s="105">
        <f t="shared" si="6"/>
        <v>0</v>
      </c>
      <c r="S51" s="106"/>
      <c r="T51" s="105">
        <f t="shared" si="7"/>
        <v>0</v>
      </c>
      <c r="U51" s="106"/>
      <c r="V51" s="105">
        <f t="shared" si="8"/>
        <v>0</v>
      </c>
      <c r="W51" s="106"/>
      <c r="X51" s="105">
        <f t="shared" si="9"/>
        <v>0</v>
      </c>
      <c r="Y51" s="106"/>
      <c r="Z51" s="105">
        <f t="shared" si="10"/>
        <v>0</v>
      </c>
      <c r="AA51" s="106"/>
      <c r="AB51" s="105">
        <f t="shared" si="11"/>
        <v>0</v>
      </c>
      <c r="AC51" s="70">
        <f t="shared" si="12"/>
        <v>80</v>
      </c>
      <c r="AD51" s="105">
        <f t="shared" si="13"/>
        <v>0</v>
      </c>
    </row>
    <row r="52" spans="1:30" ht="21.75" hidden="1" customHeight="1">
      <c r="A52" s="103">
        <v>49</v>
      </c>
      <c r="B52" s="104" t="s">
        <v>203</v>
      </c>
      <c r="C52" s="103"/>
      <c r="D52" s="103"/>
      <c r="E52" s="105">
        <v>80</v>
      </c>
      <c r="F52" s="105">
        <f t="shared" si="0"/>
        <v>0</v>
      </c>
      <c r="G52" s="106"/>
      <c r="H52" s="105">
        <f t="shared" si="1"/>
        <v>0</v>
      </c>
      <c r="I52" s="106"/>
      <c r="J52" s="105">
        <f t="shared" si="2"/>
        <v>0</v>
      </c>
      <c r="K52" s="106"/>
      <c r="L52" s="105">
        <f t="shared" si="3"/>
        <v>0</v>
      </c>
      <c r="M52" s="106"/>
      <c r="N52" s="105">
        <f t="shared" si="4"/>
        <v>0</v>
      </c>
      <c r="O52" s="106"/>
      <c r="P52" s="105">
        <f t="shared" si="5"/>
        <v>0</v>
      </c>
      <c r="Q52" s="106"/>
      <c r="R52" s="105">
        <f t="shared" si="6"/>
        <v>0</v>
      </c>
      <c r="S52" s="106"/>
      <c r="T52" s="105">
        <f t="shared" si="7"/>
        <v>0</v>
      </c>
      <c r="U52" s="106"/>
      <c r="V52" s="105">
        <f t="shared" si="8"/>
        <v>0</v>
      </c>
      <c r="W52" s="106"/>
      <c r="X52" s="105">
        <f t="shared" si="9"/>
        <v>0</v>
      </c>
      <c r="Y52" s="106"/>
      <c r="Z52" s="105">
        <f t="shared" si="10"/>
        <v>0</v>
      </c>
      <c r="AA52" s="106"/>
      <c r="AB52" s="105">
        <f t="shared" si="11"/>
        <v>0</v>
      </c>
      <c r="AC52" s="70">
        <f t="shared" si="12"/>
        <v>80</v>
      </c>
      <c r="AD52" s="105">
        <f t="shared" si="13"/>
        <v>0</v>
      </c>
    </row>
    <row r="53" spans="1:30" ht="21.75" hidden="1" customHeight="1">
      <c r="A53" s="103">
        <v>50</v>
      </c>
      <c r="B53" s="104" t="s">
        <v>204</v>
      </c>
      <c r="C53" s="103"/>
      <c r="D53" s="103"/>
      <c r="E53" s="105">
        <v>80</v>
      </c>
      <c r="F53" s="105">
        <f t="shared" si="0"/>
        <v>0</v>
      </c>
      <c r="G53" s="106"/>
      <c r="H53" s="105">
        <f t="shared" si="1"/>
        <v>0</v>
      </c>
      <c r="I53" s="106"/>
      <c r="J53" s="105">
        <f t="shared" si="2"/>
        <v>0</v>
      </c>
      <c r="K53" s="106"/>
      <c r="L53" s="105">
        <f t="shared" si="3"/>
        <v>0</v>
      </c>
      <c r="M53" s="106"/>
      <c r="N53" s="105">
        <f t="shared" si="4"/>
        <v>0</v>
      </c>
      <c r="O53" s="106"/>
      <c r="P53" s="105">
        <f t="shared" si="5"/>
        <v>0</v>
      </c>
      <c r="Q53" s="106"/>
      <c r="R53" s="105">
        <f t="shared" si="6"/>
        <v>0</v>
      </c>
      <c r="S53" s="106"/>
      <c r="T53" s="105">
        <f t="shared" si="7"/>
        <v>0</v>
      </c>
      <c r="U53" s="106"/>
      <c r="V53" s="105">
        <f t="shared" si="8"/>
        <v>0</v>
      </c>
      <c r="W53" s="106"/>
      <c r="X53" s="105">
        <f t="shared" si="9"/>
        <v>0</v>
      </c>
      <c r="Y53" s="106"/>
      <c r="Z53" s="105">
        <f t="shared" si="10"/>
        <v>0</v>
      </c>
      <c r="AA53" s="106"/>
      <c r="AB53" s="105">
        <f t="shared" si="11"/>
        <v>0</v>
      </c>
      <c r="AC53" s="70">
        <f t="shared" si="12"/>
        <v>80</v>
      </c>
      <c r="AD53" s="105">
        <f t="shared" si="13"/>
        <v>0</v>
      </c>
    </row>
    <row r="54" spans="1:30" ht="21.75" customHeight="1">
      <c r="A54" s="103">
        <v>51</v>
      </c>
      <c r="B54" s="68" t="s">
        <v>143</v>
      </c>
      <c r="C54" s="64">
        <v>1000</v>
      </c>
      <c r="D54" s="64">
        <v>1</v>
      </c>
      <c r="E54" s="105"/>
      <c r="F54" s="105">
        <f t="shared" si="0"/>
        <v>0</v>
      </c>
      <c r="G54" s="106"/>
      <c r="H54" s="105">
        <f t="shared" si="1"/>
        <v>0</v>
      </c>
      <c r="I54" s="106"/>
      <c r="J54" s="105">
        <f t="shared" si="2"/>
        <v>0</v>
      </c>
      <c r="K54" s="106"/>
      <c r="L54" s="105">
        <f t="shared" si="3"/>
        <v>0</v>
      </c>
      <c r="M54" s="106"/>
      <c r="N54" s="105">
        <f t="shared" si="4"/>
        <v>0</v>
      </c>
      <c r="O54" s="106"/>
      <c r="P54" s="105">
        <f t="shared" si="5"/>
        <v>0</v>
      </c>
      <c r="Q54" s="106"/>
      <c r="R54" s="105">
        <f t="shared" si="6"/>
        <v>0</v>
      </c>
      <c r="S54" s="106"/>
      <c r="T54" s="105">
        <f t="shared" si="7"/>
        <v>0</v>
      </c>
      <c r="U54" s="106">
        <v>36</v>
      </c>
      <c r="V54" s="105">
        <f t="shared" si="8"/>
        <v>36</v>
      </c>
      <c r="W54" s="106"/>
      <c r="X54" s="105">
        <f t="shared" si="9"/>
        <v>0</v>
      </c>
      <c r="Y54" s="106">
        <v>48</v>
      </c>
      <c r="Z54" s="105">
        <f t="shared" si="10"/>
        <v>48</v>
      </c>
      <c r="AA54" s="106"/>
      <c r="AB54" s="105">
        <f t="shared" si="11"/>
        <v>0</v>
      </c>
      <c r="AC54" s="70">
        <f t="shared" si="12"/>
        <v>84</v>
      </c>
      <c r="AD54" s="105">
        <f t="shared" si="13"/>
        <v>84</v>
      </c>
    </row>
    <row r="55" spans="1:30" ht="21.75" customHeight="1">
      <c r="A55" s="103">
        <v>52</v>
      </c>
      <c r="B55" s="68" t="s">
        <v>205</v>
      </c>
      <c r="C55" s="64">
        <v>600</v>
      </c>
      <c r="D55" s="64">
        <v>0.6</v>
      </c>
      <c r="E55" s="105"/>
      <c r="F55" s="105">
        <f t="shared" si="0"/>
        <v>0</v>
      </c>
      <c r="G55" s="106"/>
      <c r="H55" s="105">
        <f t="shared" si="1"/>
        <v>0</v>
      </c>
      <c r="I55" s="106"/>
      <c r="J55" s="105">
        <f t="shared" si="2"/>
        <v>0</v>
      </c>
      <c r="K55" s="106"/>
      <c r="L55" s="105">
        <f t="shared" si="3"/>
        <v>0</v>
      </c>
      <c r="M55" s="106"/>
      <c r="N55" s="105">
        <f t="shared" si="4"/>
        <v>0</v>
      </c>
      <c r="O55" s="106"/>
      <c r="P55" s="105">
        <f t="shared" si="5"/>
        <v>0</v>
      </c>
      <c r="Q55" s="106"/>
      <c r="R55" s="105">
        <f t="shared" si="6"/>
        <v>0</v>
      </c>
      <c r="S55" s="106"/>
      <c r="T55" s="105">
        <f t="shared" si="7"/>
        <v>0</v>
      </c>
      <c r="U55" s="106"/>
      <c r="V55" s="105">
        <f t="shared" si="8"/>
        <v>0</v>
      </c>
      <c r="W55" s="106">
        <v>36</v>
      </c>
      <c r="X55" s="105">
        <f t="shared" si="9"/>
        <v>21.599999999999998</v>
      </c>
      <c r="Y55" s="106">
        <v>60</v>
      </c>
      <c r="Z55" s="105">
        <f t="shared" si="10"/>
        <v>36</v>
      </c>
      <c r="AA55" s="106"/>
      <c r="AB55" s="105">
        <f t="shared" si="11"/>
        <v>0</v>
      </c>
      <c r="AC55" s="70">
        <f t="shared" si="12"/>
        <v>96</v>
      </c>
      <c r="AD55" s="105">
        <f t="shared" si="13"/>
        <v>57.599999999999994</v>
      </c>
    </row>
    <row r="56" spans="1:30" ht="21.75" customHeight="1">
      <c r="A56" s="103">
        <v>53</v>
      </c>
      <c r="B56" s="104" t="s">
        <v>206</v>
      </c>
      <c r="C56" s="103">
        <v>1000</v>
      </c>
      <c r="D56" s="103">
        <v>1</v>
      </c>
      <c r="E56" s="105">
        <v>166078</v>
      </c>
      <c r="F56" s="105">
        <f t="shared" si="0"/>
        <v>166078</v>
      </c>
      <c r="G56" s="106">
        <v>150696</v>
      </c>
      <c r="H56" s="105">
        <f t="shared" si="1"/>
        <v>150696</v>
      </c>
      <c r="I56" s="106">
        <v>187716</v>
      </c>
      <c r="J56" s="105">
        <f t="shared" si="2"/>
        <v>187716</v>
      </c>
      <c r="K56" s="106">
        <v>166056</v>
      </c>
      <c r="L56" s="105">
        <f t="shared" si="3"/>
        <v>166056</v>
      </c>
      <c r="M56" s="106">
        <v>218136</v>
      </c>
      <c r="N56" s="105">
        <f t="shared" si="4"/>
        <v>218136</v>
      </c>
      <c r="O56" s="106">
        <v>184836</v>
      </c>
      <c r="P56" s="105">
        <f t="shared" si="5"/>
        <v>184836</v>
      </c>
      <c r="Q56" s="106">
        <v>194098</v>
      </c>
      <c r="R56" s="105">
        <f t="shared" si="6"/>
        <v>194098</v>
      </c>
      <c r="S56" s="106">
        <v>223103</v>
      </c>
      <c r="T56" s="105">
        <f t="shared" si="7"/>
        <v>223103</v>
      </c>
      <c r="U56" s="106">
        <v>162348</v>
      </c>
      <c r="V56" s="105">
        <f t="shared" si="8"/>
        <v>162348</v>
      </c>
      <c r="W56" s="106">
        <v>174576</v>
      </c>
      <c r="X56" s="105">
        <f t="shared" si="9"/>
        <v>174576</v>
      </c>
      <c r="Y56" s="106">
        <v>177420</v>
      </c>
      <c r="Z56" s="105">
        <f t="shared" si="10"/>
        <v>177420</v>
      </c>
      <c r="AA56" s="106">
        <v>194253</v>
      </c>
      <c r="AB56" s="105">
        <f t="shared" si="11"/>
        <v>194253</v>
      </c>
      <c r="AC56" s="70">
        <f t="shared" si="12"/>
        <v>2199316</v>
      </c>
      <c r="AD56" s="105">
        <f t="shared" si="13"/>
        <v>2199316</v>
      </c>
    </row>
    <row r="57" spans="1:30" ht="21.75" customHeight="1">
      <c r="A57" s="103">
        <v>54</v>
      </c>
      <c r="B57" s="104" t="s">
        <v>56</v>
      </c>
      <c r="C57" s="103">
        <v>600</v>
      </c>
      <c r="D57" s="103">
        <v>0.6</v>
      </c>
      <c r="E57" s="105">
        <v>1392</v>
      </c>
      <c r="F57" s="105">
        <f t="shared" si="0"/>
        <v>835.19999999999993</v>
      </c>
      <c r="G57" s="106">
        <v>1380</v>
      </c>
      <c r="H57" s="105">
        <f t="shared" si="1"/>
        <v>828</v>
      </c>
      <c r="I57" s="106">
        <v>1284</v>
      </c>
      <c r="J57" s="105">
        <f t="shared" si="2"/>
        <v>770.4</v>
      </c>
      <c r="K57" s="106">
        <v>1356</v>
      </c>
      <c r="L57" s="105">
        <f t="shared" si="3"/>
        <v>813.6</v>
      </c>
      <c r="M57" s="106">
        <v>2748</v>
      </c>
      <c r="N57" s="105">
        <f t="shared" si="4"/>
        <v>1648.8</v>
      </c>
      <c r="O57" s="106">
        <v>1668</v>
      </c>
      <c r="P57" s="105">
        <f t="shared" si="5"/>
        <v>1000.8</v>
      </c>
      <c r="Q57" s="106"/>
      <c r="R57" s="105">
        <f t="shared" si="6"/>
        <v>0</v>
      </c>
      <c r="S57" s="106"/>
      <c r="T57" s="105">
        <f t="shared" si="7"/>
        <v>0</v>
      </c>
      <c r="U57" s="106"/>
      <c r="V57" s="105">
        <f t="shared" si="8"/>
        <v>0</v>
      </c>
      <c r="W57" s="106"/>
      <c r="X57" s="105">
        <f t="shared" si="9"/>
        <v>0</v>
      </c>
      <c r="Y57" s="106"/>
      <c r="Z57" s="105">
        <f t="shared" si="10"/>
        <v>0</v>
      </c>
      <c r="AA57" s="106"/>
      <c r="AB57" s="105">
        <f t="shared" si="11"/>
        <v>0</v>
      </c>
      <c r="AC57" s="70">
        <f t="shared" si="12"/>
        <v>9828</v>
      </c>
      <c r="AD57" s="105">
        <f t="shared" si="13"/>
        <v>5896.8</v>
      </c>
    </row>
    <row r="58" spans="1:30" ht="21.75" customHeight="1">
      <c r="A58" s="103">
        <v>55</v>
      </c>
      <c r="B58" s="104" t="s">
        <v>207</v>
      </c>
      <c r="C58" s="103">
        <v>350</v>
      </c>
      <c r="D58" s="103">
        <v>0.35</v>
      </c>
      <c r="E58" s="105"/>
      <c r="F58" s="105">
        <f t="shared" si="0"/>
        <v>0</v>
      </c>
      <c r="G58" s="106"/>
      <c r="H58" s="105">
        <f t="shared" si="1"/>
        <v>0</v>
      </c>
      <c r="I58" s="106"/>
      <c r="J58" s="105">
        <f t="shared" si="2"/>
        <v>0</v>
      </c>
      <c r="K58" s="106"/>
      <c r="L58" s="105">
        <f t="shared" si="3"/>
        <v>0</v>
      </c>
      <c r="M58" s="106"/>
      <c r="N58" s="105">
        <f t="shared" si="4"/>
        <v>0</v>
      </c>
      <c r="O58" s="106"/>
      <c r="P58" s="105">
        <f t="shared" si="5"/>
        <v>0</v>
      </c>
      <c r="Q58" s="106"/>
      <c r="R58" s="105">
        <f t="shared" si="6"/>
        <v>0</v>
      </c>
      <c r="S58" s="106"/>
      <c r="T58" s="105">
        <f t="shared" si="7"/>
        <v>0</v>
      </c>
      <c r="U58" s="106"/>
      <c r="V58" s="105">
        <f t="shared" si="8"/>
        <v>0</v>
      </c>
      <c r="W58" s="106">
        <v>18340</v>
      </c>
      <c r="X58" s="105">
        <f t="shared" si="9"/>
        <v>6419</v>
      </c>
      <c r="Y58" s="106"/>
      <c r="Z58" s="105">
        <f t="shared" si="10"/>
        <v>0</v>
      </c>
      <c r="AA58" s="106">
        <v>10412</v>
      </c>
      <c r="AB58" s="105">
        <f t="shared" si="11"/>
        <v>3644.2</v>
      </c>
      <c r="AC58" s="70">
        <f t="shared" si="12"/>
        <v>28752</v>
      </c>
      <c r="AD58" s="105">
        <f t="shared" si="13"/>
        <v>10063.199999999999</v>
      </c>
    </row>
    <row r="59" spans="1:30" ht="21.75" customHeight="1">
      <c r="A59" s="103">
        <v>56</v>
      </c>
      <c r="B59" s="104" t="s">
        <v>208</v>
      </c>
      <c r="C59" s="103">
        <v>1000</v>
      </c>
      <c r="D59" s="103">
        <v>1</v>
      </c>
      <c r="E59" s="105"/>
      <c r="F59" s="105">
        <f t="shared" si="0"/>
        <v>0</v>
      </c>
      <c r="G59" s="106"/>
      <c r="H59" s="105">
        <f t="shared" si="1"/>
        <v>0</v>
      </c>
      <c r="I59" s="106">
        <v>60</v>
      </c>
      <c r="J59" s="105">
        <f t="shared" si="2"/>
        <v>60</v>
      </c>
      <c r="K59" s="106">
        <v>1152</v>
      </c>
      <c r="L59" s="105">
        <f t="shared" si="3"/>
        <v>1152</v>
      </c>
      <c r="M59" s="106">
        <v>1512</v>
      </c>
      <c r="N59" s="105">
        <f t="shared" si="4"/>
        <v>1512</v>
      </c>
      <c r="O59" s="106">
        <v>1416</v>
      </c>
      <c r="P59" s="105">
        <f t="shared" si="5"/>
        <v>1416</v>
      </c>
      <c r="Q59" s="106">
        <v>588</v>
      </c>
      <c r="R59" s="105">
        <f t="shared" si="6"/>
        <v>588</v>
      </c>
      <c r="S59" s="106"/>
      <c r="T59" s="105">
        <f t="shared" si="7"/>
        <v>0</v>
      </c>
      <c r="U59" s="106">
        <v>840</v>
      </c>
      <c r="V59" s="105">
        <f t="shared" si="8"/>
        <v>840</v>
      </c>
      <c r="W59" s="106">
        <v>1152</v>
      </c>
      <c r="X59" s="105">
        <f t="shared" si="9"/>
        <v>1152</v>
      </c>
      <c r="Y59" s="106">
        <v>1608</v>
      </c>
      <c r="Z59" s="105">
        <f t="shared" si="10"/>
        <v>1608</v>
      </c>
      <c r="AA59" s="106"/>
      <c r="AB59" s="105">
        <f t="shared" si="11"/>
        <v>0</v>
      </c>
      <c r="AC59" s="70">
        <f t="shared" si="12"/>
        <v>8328</v>
      </c>
      <c r="AD59" s="105">
        <f t="shared" si="13"/>
        <v>8328</v>
      </c>
    </row>
    <row r="60" spans="1:30" ht="21.75" customHeight="1">
      <c r="A60" s="103">
        <v>57</v>
      </c>
      <c r="B60" s="104" t="s">
        <v>209</v>
      </c>
      <c r="C60" s="103">
        <v>600</v>
      </c>
      <c r="D60" s="103">
        <v>0.6</v>
      </c>
      <c r="E60" s="105">
        <v>420</v>
      </c>
      <c r="F60" s="105">
        <f t="shared" si="0"/>
        <v>252</v>
      </c>
      <c r="G60" s="106">
        <v>13293</v>
      </c>
      <c r="H60" s="105">
        <f t="shared" si="1"/>
        <v>7975.7999999999993</v>
      </c>
      <c r="I60" s="106">
        <v>49845</v>
      </c>
      <c r="J60" s="105">
        <f t="shared" si="2"/>
        <v>29907</v>
      </c>
      <c r="K60" s="106">
        <v>54</v>
      </c>
      <c r="L60" s="105">
        <f t="shared" si="3"/>
        <v>32.4</v>
      </c>
      <c r="M60" s="106">
        <v>36</v>
      </c>
      <c r="N60" s="105">
        <f t="shared" si="4"/>
        <v>21.599999999999998</v>
      </c>
      <c r="O60" s="106"/>
      <c r="P60" s="105">
        <f t="shared" si="5"/>
        <v>0</v>
      </c>
      <c r="Q60" s="106"/>
      <c r="R60" s="105">
        <f t="shared" si="6"/>
        <v>0</v>
      </c>
      <c r="S60" s="106"/>
      <c r="T60" s="105">
        <f t="shared" si="7"/>
        <v>0</v>
      </c>
      <c r="U60" s="106"/>
      <c r="V60" s="105">
        <f t="shared" si="8"/>
        <v>0</v>
      </c>
      <c r="W60" s="106"/>
      <c r="X60" s="105">
        <f t="shared" si="9"/>
        <v>0</v>
      </c>
      <c r="Y60" s="106"/>
      <c r="Z60" s="105">
        <f t="shared" si="10"/>
        <v>0</v>
      </c>
      <c r="AA60" s="106"/>
      <c r="AB60" s="105">
        <f t="shared" si="11"/>
        <v>0</v>
      </c>
      <c r="AC60" s="70">
        <f t="shared" si="12"/>
        <v>63648</v>
      </c>
      <c r="AD60" s="105">
        <f t="shared" si="13"/>
        <v>38188.799999999996</v>
      </c>
    </row>
    <row r="61" spans="1:30" ht="21.75" customHeight="1">
      <c r="A61" s="103">
        <v>58</v>
      </c>
      <c r="B61" s="104" t="s">
        <v>210</v>
      </c>
      <c r="C61" s="103">
        <v>640</v>
      </c>
      <c r="D61" s="103">
        <v>0.64</v>
      </c>
      <c r="E61" s="105"/>
      <c r="F61" s="105">
        <f t="shared" si="0"/>
        <v>0</v>
      </c>
      <c r="G61" s="106"/>
      <c r="H61" s="105">
        <f t="shared" si="1"/>
        <v>0</v>
      </c>
      <c r="I61" s="106"/>
      <c r="J61" s="105">
        <f t="shared" si="2"/>
        <v>0</v>
      </c>
      <c r="K61" s="106"/>
      <c r="L61" s="105">
        <f t="shared" si="3"/>
        <v>0</v>
      </c>
      <c r="M61" s="106"/>
      <c r="N61" s="105">
        <f t="shared" si="4"/>
        <v>0</v>
      </c>
      <c r="O61" s="106"/>
      <c r="P61" s="105">
        <f t="shared" si="5"/>
        <v>0</v>
      </c>
      <c r="Q61" s="106"/>
      <c r="R61" s="105">
        <f t="shared" si="6"/>
        <v>0</v>
      </c>
      <c r="S61" s="106"/>
      <c r="T61" s="105">
        <f t="shared" si="7"/>
        <v>0</v>
      </c>
      <c r="U61" s="106"/>
      <c r="V61" s="105">
        <f t="shared" si="8"/>
        <v>0</v>
      </c>
      <c r="W61" s="106"/>
      <c r="X61" s="105">
        <f t="shared" si="9"/>
        <v>0</v>
      </c>
      <c r="Y61" s="106"/>
      <c r="Z61" s="105">
        <f t="shared" si="10"/>
        <v>0</v>
      </c>
      <c r="AA61" s="106"/>
      <c r="AB61" s="105">
        <f t="shared" si="11"/>
        <v>0</v>
      </c>
      <c r="AC61" s="70">
        <f t="shared" si="12"/>
        <v>0</v>
      </c>
      <c r="AD61" s="105">
        <f t="shared" si="13"/>
        <v>0</v>
      </c>
    </row>
    <row r="62" spans="1:30" ht="21.75" customHeight="1">
      <c r="A62" s="103">
        <v>59</v>
      </c>
      <c r="B62" s="104" t="s">
        <v>211</v>
      </c>
      <c r="C62" s="103">
        <v>640</v>
      </c>
      <c r="D62" s="103">
        <v>0.64</v>
      </c>
      <c r="E62" s="105"/>
      <c r="F62" s="105">
        <f t="shared" si="0"/>
        <v>0</v>
      </c>
      <c r="G62" s="106"/>
      <c r="H62" s="105">
        <f t="shared" si="1"/>
        <v>0</v>
      </c>
      <c r="I62" s="106">
        <v>145</v>
      </c>
      <c r="J62" s="105">
        <f t="shared" si="2"/>
        <v>92.8</v>
      </c>
      <c r="K62" s="106">
        <v>4206</v>
      </c>
      <c r="L62" s="105">
        <f t="shared" si="3"/>
        <v>2691.84</v>
      </c>
      <c r="M62" s="106">
        <v>2701</v>
      </c>
      <c r="N62" s="105">
        <f t="shared" si="4"/>
        <v>1728.64</v>
      </c>
      <c r="O62" s="106">
        <v>2106</v>
      </c>
      <c r="P62" s="105">
        <f t="shared" si="5"/>
        <v>1347.84</v>
      </c>
      <c r="Q62" s="106">
        <v>1867</v>
      </c>
      <c r="R62" s="105">
        <f t="shared" si="6"/>
        <v>1194.8800000000001</v>
      </c>
      <c r="S62" s="106">
        <v>682</v>
      </c>
      <c r="T62" s="105">
        <f t="shared" si="7"/>
        <v>436.48</v>
      </c>
      <c r="U62" s="106">
        <v>1791</v>
      </c>
      <c r="V62" s="105">
        <f t="shared" si="8"/>
        <v>1146.24</v>
      </c>
      <c r="W62" s="106">
        <v>570</v>
      </c>
      <c r="X62" s="105">
        <f t="shared" si="9"/>
        <v>364.8</v>
      </c>
      <c r="Y62" s="106"/>
      <c r="Z62" s="105">
        <f t="shared" si="10"/>
        <v>0</v>
      </c>
      <c r="AA62" s="106">
        <v>236</v>
      </c>
      <c r="AB62" s="105">
        <f t="shared" si="11"/>
        <v>151.04</v>
      </c>
      <c r="AC62" s="70">
        <f t="shared" si="12"/>
        <v>14304</v>
      </c>
      <c r="AD62" s="105">
        <f t="shared" si="13"/>
        <v>9154.56</v>
      </c>
    </row>
    <row r="63" spans="1:30" ht="21.75" customHeight="1">
      <c r="A63" s="103">
        <v>60</v>
      </c>
      <c r="B63" s="68" t="s">
        <v>87</v>
      </c>
      <c r="C63" s="64">
        <v>1000</v>
      </c>
      <c r="D63" s="64">
        <v>1</v>
      </c>
      <c r="E63" s="106"/>
      <c r="F63" s="105">
        <f t="shared" si="0"/>
        <v>0</v>
      </c>
      <c r="G63" s="106"/>
      <c r="H63" s="105">
        <f t="shared" si="1"/>
        <v>0</v>
      </c>
      <c r="I63" s="106"/>
      <c r="J63" s="105">
        <f t="shared" si="2"/>
        <v>0</v>
      </c>
      <c r="K63" s="106"/>
      <c r="L63" s="105">
        <f t="shared" si="3"/>
        <v>0</v>
      </c>
      <c r="M63" s="106"/>
      <c r="N63" s="105">
        <f t="shared" si="4"/>
        <v>0</v>
      </c>
      <c r="O63" s="106"/>
      <c r="P63" s="105">
        <f t="shared" si="5"/>
        <v>0</v>
      </c>
      <c r="Q63" s="106"/>
      <c r="R63" s="105">
        <f t="shared" si="6"/>
        <v>0</v>
      </c>
      <c r="S63" s="106"/>
      <c r="T63" s="105">
        <f t="shared" si="7"/>
        <v>0</v>
      </c>
      <c r="U63" s="106"/>
      <c r="V63" s="105">
        <f t="shared" si="8"/>
        <v>0</v>
      </c>
      <c r="W63" s="106"/>
      <c r="X63" s="105">
        <f t="shared" si="9"/>
        <v>0</v>
      </c>
      <c r="Y63" s="106"/>
      <c r="Z63" s="105">
        <f t="shared" si="10"/>
        <v>0</v>
      </c>
      <c r="AA63" s="106">
        <v>80</v>
      </c>
      <c r="AB63" s="105">
        <f t="shared" si="11"/>
        <v>80</v>
      </c>
      <c r="AC63" s="70">
        <f t="shared" si="12"/>
        <v>80</v>
      </c>
      <c r="AD63" s="105">
        <f t="shared" si="13"/>
        <v>80</v>
      </c>
    </row>
    <row r="64" spans="1:30" s="112" customFormat="1" ht="21.75" customHeight="1">
      <c r="A64" s="109"/>
      <c r="B64" s="109" t="s">
        <v>212</v>
      </c>
      <c r="C64" s="110"/>
      <c r="D64" s="110"/>
      <c r="E64" s="111">
        <f t="shared" ref="E64:AD64" si="14">SUM(E4:E63)</f>
        <v>3026375</v>
      </c>
      <c r="F64" s="111">
        <f t="shared" si="14"/>
        <v>2121907.58</v>
      </c>
      <c r="G64" s="111">
        <f t="shared" si="14"/>
        <v>2478738</v>
      </c>
      <c r="H64" s="111">
        <f t="shared" si="14"/>
        <v>1731143.6400000001</v>
      </c>
      <c r="I64" s="111">
        <f t="shared" si="14"/>
        <v>3270872</v>
      </c>
      <c r="J64" s="111">
        <f t="shared" si="14"/>
        <v>2279532.36</v>
      </c>
      <c r="K64" s="111">
        <f t="shared" si="14"/>
        <v>2608133</v>
      </c>
      <c r="L64" s="111">
        <f t="shared" si="14"/>
        <v>1850552.24</v>
      </c>
      <c r="M64" s="111">
        <f t="shared" si="14"/>
        <v>2588244</v>
      </c>
      <c r="N64" s="111">
        <f t="shared" si="14"/>
        <v>1890439.16</v>
      </c>
      <c r="O64" s="111">
        <f t="shared" si="14"/>
        <v>2452265</v>
      </c>
      <c r="P64" s="111">
        <f t="shared" si="14"/>
        <v>1824158.9200000002</v>
      </c>
      <c r="Q64" s="111">
        <f t="shared" si="14"/>
        <v>2776654</v>
      </c>
      <c r="R64" s="111">
        <f t="shared" si="14"/>
        <v>2014871.0799999998</v>
      </c>
      <c r="S64" s="111">
        <f t="shared" si="14"/>
        <v>2938394</v>
      </c>
      <c r="T64" s="111">
        <f t="shared" si="14"/>
        <v>2131762.6999999997</v>
      </c>
      <c r="U64" s="111">
        <f t="shared" si="14"/>
        <v>2036424</v>
      </c>
      <c r="V64" s="111">
        <f t="shared" si="14"/>
        <v>1464199.04</v>
      </c>
      <c r="W64" s="111">
        <f t="shared" si="14"/>
        <v>2319201</v>
      </c>
      <c r="X64" s="111">
        <f t="shared" si="14"/>
        <v>1685327.9200000002</v>
      </c>
      <c r="Y64" s="111">
        <f t="shared" si="14"/>
        <v>2355031</v>
      </c>
      <c r="Z64" s="111">
        <f t="shared" si="14"/>
        <v>1723622.88</v>
      </c>
      <c r="AA64" s="111">
        <f t="shared" si="14"/>
        <v>2551550</v>
      </c>
      <c r="AB64" s="111">
        <f t="shared" si="14"/>
        <v>1870272.1</v>
      </c>
      <c r="AC64" s="111">
        <f t="shared" si="14"/>
        <v>31401881</v>
      </c>
      <c r="AD64" s="111">
        <f t="shared" si="14"/>
        <v>22587789.619999997</v>
      </c>
    </row>
    <row r="65" spans="1:51" s="112" customFormat="1" ht="21.75" customHeight="1">
      <c r="A65" s="109"/>
      <c r="B65" s="109"/>
      <c r="C65" s="110"/>
      <c r="D65" s="110"/>
      <c r="E65" s="111">
        <v>3026055</v>
      </c>
      <c r="F65" s="111">
        <v>2121907.58</v>
      </c>
      <c r="G65" s="111">
        <v>2478738</v>
      </c>
      <c r="H65" s="111">
        <v>1731143.64</v>
      </c>
      <c r="I65" s="111">
        <v>3270872</v>
      </c>
      <c r="J65" s="111">
        <v>2279532.36</v>
      </c>
      <c r="K65" s="111">
        <v>2608133</v>
      </c>
      <c r="L65" s="111">
        <v>1850552.24</v>
      </c>
      <c r="M65" s="111">
        <v>2588244</v>
      </c>
      <c r="N65" s="111">
        <v>1890439.16</v>
      </c>
      <c r="O65" s="111">
        <v>2452265</v>
      </c>
      <c r="P65" s="111">
        <v>1824158.92</v>
      </c>
      <c r="Q65" s="111">
        <v>2776654</v>
      </c>
      <c r="R65" s="111">
        <v>2014871.08</v>
      </c>
      <c r="S65" s="111">
        <v>2938394</v>
      </c>
      <c r="T65" s="111">
        <v>2131762.7000000002</v>
      </c>
      <c r="U65" s="111">
        <v>2036424</v>
      </c>
      <c r="V65" s="111">
        <v>1464199.04</v>
      </c>
      <c r="W65" s="111">
        <v>2319201</v>
      </c>
      <c r="X65" s="111">
        <v>1685327.92</v>
      </c>
      <c r="Y65" s="111">
        <v>2355031</v>
      </c>
      <c r="Z65" s="111">
        <v>1723622.88</v>
      </c>
      <c r="AA65" s="111">
        <v>2551550</v>
      </c>
      <c r="AB65" s="111">
        <v>1870272.1</v>
      </c>
      <c r="AC65" s="113"/>
      <c r="AD65" s="109"/>
    </row>
    <row r="66" spans="1:51" ht="21.75" customHeight="1">
      <c r="A66" s="103">
        <v>1</v>
      </c>
      <c r="B66" s="104" t="s">
        <v>213</v>
      </c>
      <c r="C66" s="103"/>
      <c r="D66" s="103">
        <v>0.7</v>
      </c>
      <c r="E66" s="105">
        <v>1022</v>
      </c>
      <c r="F66" s="105">
        <f t="shared" ref="F66:F76" si="15">+E66*$D66</f>
        <v>715.4</v>
      </c>
      <c r="G66" s="106">
        <v>813</v>
      </c>
      <c r="H66" s="105">
        <f t="shared" ref="H66:H76" si="16">+G66*$D66</f>
        <v>569.09999999999991</v>
      </c>
      <c r="I66" s="106">
        <v>983</v>
      </c>
      <c r="J66" s="105">
        <f t="shared" ref="J66:J76" si="17">+I66*$D66</f>
        <v>688.09999999999991</v>
      </c>
      <c r="K66" s="106">
        <v>888</v>
      </c>
      <c r="L66" s="105">
        <f t="shared" ref="L66:L76" si="18">+K66*$D66</f>
        <v>621.59999999999991</v>
      </c>
      <c r="M66" s="106">
        <v>1153</v>
      </c>
      <c r="N66" s="105">
        <f t="shared" ref="N66:N76" si="19">+M66*$D66</f>
        <v>807.09999999999991</v>
      </c>
      <c r="O66" s="106">
        <v>1151</v>
      </c>
      <c r="P66" s="105">
        <f t="shared" ref="P66:P76" si="20">+O66*$D66</f>
        <v>805.69999999999993</v>
      </c>
      <c r="Q66" s="106">
        <v>1384</v>
      </c>
      <c r="R66" s="105">
        <f t="shared" ref="R66:R76" si="21">+Q66*$D66</f>
        <v>968.8</v>
      </c>
      <c r="S66" s="106">
        <v>1265</v>
      </c>
      <c r="T66" s="105">
        <f t="shared" ref="T66:T76" si="22">+S66*$D66</f>
        <v>885.5</v>
      </c>
      <c r="U66" s="106">
        <v>1112</v>
      </c>
      <c r="V66" s="105">
        <f t="shared" ref="V66:V76" si="23">+U66*$D66</f>
        <v>778.4</v>
      </c>
      <c r="W66" s="106">
        <v>1030</v>
      </c>
      <c r="X66" s="105">
        <f t="shared" ref="X66:X76" si="24">+W66*$D66</f>
        <v>721</v>
      </c>
      <c r="Y66" s="106">
        <v>978</v>
      </c>
      <c r="Z66" s="105">
        <f t="shared" ref="Z66:Z76" si="25">+Y66*$D66</f>
        <v>684.59999999999991</v>
      </c>
      <c r="AA66" s="106">
        <v>1079</v>
      </c>
      <c r="AB66" s="105">
        <f t="shared" ref="AB66:AB76" si="26">+AA66*$D66</f>
        <v>755.3</v>
      </c>
      <c r="AC66" s="70">
        <f t="shared" ref="AC66:AC76" si="27">AA66+Y66+W66+U66+S66+Q66+O66+M66+K66+I66+G66+E66</f>
        <v>12858</v>
      </c>
      <c r="AD66" s="105">
        <f t="shared" ref="AD66:AD76" si="28">+AC66*$D66</f>
        <v>9000.5999999999985</v>
      </c>
    </row>
    <row r="67" spans="1:51" ht="21.75" customHeight="1">
      <c r="A67" s="103">
        <v>2</v>
      </c>
      <c r="B67" s="104" t="s">
        <v>214</v>
      </c>
      <c r="C67" s="103"/>
      <c r="D67" s="103">
        <v>0.35</v>
      </c>
      <c r="E67" s="105">
        <v>1204</v>
      </c>
      <c r="F67" s="105">
        <f t="shared" si="15"/>
        <v>421.4</v>
      </c>
      <c r="G67" s="106">
        <v>1024</v>
      </c>
      <c r="H67" s="105">
        <f t="shared" si="16"/>
        <v>358.4</v>
      </c>
      <c r="I67" s="106">
        <v>1216</v>
      </c>
      <c r="J67" s="105">
        <f t="shared" si="17"/>
        <v>425.59999999999997</v>
      </c>
      <c r="K67" s="106">
        <v>920</v>
      </c>
      <c r="L67" s="105">
        <f t="shared" si="18"/>
        <v>322</v>
      </c>
      <c r="M67" s="106">
        <v>1155</v>
      </c>
      <c r="N67" s="105">
        <f t="shared" si="19"/>
        <v>404.25</v>
      </c>
      <c r="O67" s="106">
        <v>1149</v>
      </c>
      <c r="P67" s="105">
        <f t="shared" si="20"/>
        <v>402.15</v>
      </c>
      <c r="Q67" s="106">
        <v>1210</v>
      </c>
      <c r="R67" s="105">
        <f t="shared" si="21"/>
        <v>423.5</v>
      </c>
      <c r="S67" s="106">
        <v>1214</v>
      </c>
      <c r="T67" s="105">
        <f t="shared" si="22"/>
        <v>424.9</v>
      </c>
      <c r="U67" s="106">
        <v>1133</v>
      </c>
      <c r="V67" s="105">
        <f t="shared" si="23"/>
        <v>396.54999999999995</v>
      </c>
      <c r="W67" s="106">
        <v>1400</v>
      </c>
      <c r="X67" s="105">
        <f t="shared" si="24"/>
        <v>489.99999999999994</v>
      </c>
      <c r="Y67" s="106">
        <v>1162</v>
      </c>
      <c r="Z67" s="105">
        <f t="shared" si="25"/>
        <v>406.7</v>
      </c>
      <c r="AA67" s="106">
        <v>1331</v>
      </c>
      <c r="AB67" s="105">
        <f t="shared" si="26"/>
        <v>465.84999999999997</v>
      </c>
      <c r="AC67" s="70">
        <f t="shared" si="27"/>
        <v>14118</v>
      </c>
      <c r="AD67" s="105">
        <f t="shared" si="28"/>
        <v>4941.2999999999993</v>
      </c>
    </row>
    <row r="68" spans="1:51" ht="21.75" customHeight="1">
      <c r="A68" s="103">
        <v>3</v>
      </c>
      <c r="B68" s="104" t="s">
        <v>215</v>
      </c>
      <c r="C68" s="103"/>
      <c r="D68" s="103">
        <v>0.7</v>
      </c>
      <c r="E68" s="105">
        <f>776+70</f>
        <v>846</v>
      </c>
      <c r="F68" s="105">
        <f t="shared" si="15"/>
        <v>592.19999999999993</v>
      </c>
      <c r="G68" s="106">
        <v>531</v>
      </c>
      <c r="H68" s="105">
        <f t="shared" si="16"/>
        <v>371.7</v>
      </c>
      <c r="I68" s="106">
        <f>24+731</f>
        <v>755</v>
      </c>
      <c r="J68" s="105">
        <f t="shared" si="17"/>
        <v>528.5</v>
      </c>
      <c r="K68" s="106">
        <v>554</v>
      </c>
      <c r="L68" s="105">
        <f t="shared" si="18"/>
        <v>387.79999999999995</v>
      </c>
      <c r="M68" s="106">
        <f>96+276</f>
        <v>372</v>
      </c>
      <c r="N68" s="105">
        <f t="shared" si="19"/>
        <v>260.39999999999998</v>
      </c>
      <c r="O68" s="106">
        <f>12+144</f>
        <v>156</v>
      </c>
      <c r="P68" s="105">
        <f t="shared" si="20"/>
        <v>109.19999999999999</v>
      </c>
      <c r="Q68" s="106">
        <v>168</v>
      </c>
      <c r="R68" s="105">
        <f t="shared" si="21"/>
        <v>117.6</v>
      </c>
      <c r="S68" s="106">
        <v>131</v>
      </c>
      <c r="T68" s="105">
        <f t="shared" si="22"/>
        <v>91.699999999999989</v>
      </c>
      <c r="U68" s="106">
        <v>72</v>
      </c>
      <c r="V68" s="105">
        <f t="shared" si="23"/>
        <v>50.4</v>
      </c>
      <c r="W68" s="106">
        <v>60</v>
      </c>
      <c r="X68" s="105">
        <f t="shared" si="24"/>
        <v>42</v>
      </c>
      <c r="Y68" s="106">
        <v>29</v>
      </c>
      <c r="Z68" s="105">
        <f t="shared" si="25"/>
        <v>20.299999999999997</v>
      </c>
      <c r="AA68" s="106">
        <v>72</v>
      </c>
      <c r="AB68" s="105">
        <f t="shared" si="26"/>
        <v>50.4</v>
      </c>
      <c r="AC68" s="70">
        <f t="shared" si="27"/>
        <v>3746</v>
      </c>
      <c r="AD68" s="105">
        <f t="shared" si="28"/>
        <v>2622.2</v>
      </c>
    </row>
    <row r="69" spans="1:51" ht="21.75" customHeight="1">
      <c r="A69" s="103">
        <v>4</v>
      </c>
      <c r="B69" s="104" t="s">
        <v>216</v>
      </c>
      <c r="C69" s="103"/>
      <c r="D69" s="103">
        <v>0.35</v>
      </c>
      <c r="E69" s="105"/>
      <c r="F69" s="105">
        <f t="shared" si="15"/>
        <v>0</v>
      </c>
      <c r="G69" s="106">
        <v>96</v>
      </c>
      <c r="H69" s="105">
        <f t="shared" si="16"/>
        <v>33.599999999999994</v>
      </c>
      <c r="I69" s="106">
        <f>48</f>
        <v>48</v>
      </c>
      <c r="J69" s="105">
        <f t="shared" si="17"/>
        <v>16.799999999999997</v>
      </c>
      <c r="K69" s="106">
        <v>12</v>
      </c>
      <c r="L69" s="105">
        <f t="shared" si="18"/>
        <v>4.1999999999999993</v>
      </c>
      <c r="M69" s="106">
        <v>108</v>
      </c>
      <c r="N69" s="105">
        <f t="shared" si="19"/>
        <v>37.799999999999997</v>
      </c>
      <c r="O69" s="106"/>
      <c r="P69" s="105">
        <f t="shared" si="20"/>
        <v>0</v>
      </c>
      <c r="Q69" s="106">
        <v>24</v>
      </c>
      <c r="R69" s="105">
        <f t="shared" si="21"/>
        <v>8.3999999999999986</v>
      </c>
      <c r="S69" s="106">
        <v>48</v>
      </c>
      <c r="T69" s="105">
        <f t="shared" si="22"/>
        <v>16.799999999999997</v>
      </c>
      <c r="U69" s="106">
        <v>24</v>
      </c>
      <c r="V69" s="105">
        <f t="shared" si="23"/>
        <v>8.3999999999999986</v>
      </c>
      <c r="W69" s="106"/>
      <c r="X69" s="105">
        <f t="shared" si="24"/>
        <v>0</v>
      </c>
      <c r="Y69" s="106">
        <v>48</v>
      </c>
      <c r="Z69" s="105">
        <f t="shared" si="25"/>
        <v>16.799999999999997</v>
      </c>
      <c r="AA69" s="106">
        <v>96</v>
      </c>
      <c r="AB69" s="105">
        <f t="shared" si="26"/>
        <v>33.599999999999994</v>
      </c>
      <c r="AC69" s="70">
        <f t="shared" si="27"/>
        <v>504</v>
      </c>
      <c r="AD69" s="105">
        <f t="shared" si="28"/>
        <v>176.39999999999998</v>
      </c>
    </row>
    <row r="70" spans="1:51" ht="21.75" customHeight="1">
      <c r="A70" s="103">
        <v>5</v>
      </c>
      <c r="B70" s="104" t="s">
        <v>217</v>
      </c>
      <c r="C70" s="103"/>
      <c r="D70" s="103">
        <v>0.17499999999999999</v>
      </c>
      <c r="E70" s="105">
        <v>96</v>
      </c>
      <c r="F70" s="105">
        <f t="shared" si="15"/>
        <v>16.799999999999997</v>
      </c>
      <c r="G70" s="106">
        <v>48</v>
      </c>
      <c r="H70" s="105">
        <f t="shared" si="16"/>
        <v>8.3999999999999986</v>
      </c>
      <c r="I70" s="106">
        <v>144</v>
      </c>
      <c r="J70" s="105">
        <f t="shared" si="17"/>
        <v>25.2</v>
      </c>
      <c r="K70" s="106">
        <v>96</v>
      </c>
      <c r="L70" s="105">
        <f t="shared" si="18"/>
        <v>16.799999999999997</v>
      </c>
      <c r="M70" s="106">
        <v>96</v>
      </c>
      <c r="N70" s="105">
        <f t="shared" si="19"/>
        <v>16.799999999999997</v>
      </c>
      <c r="O70" s="106">
        <v>96</v>
      </c>
      <c r="P70" s="105">
        <f t="shared" si="20"/>
        <v>16.799999999999997</v>
      </c>
      <c r="Q70" s="106">
        <v>72</v>
      </c>
      <c r="R70" s="105">
        <f t="shared" si="21"/>
        <v>12.6</v>
      </c>
      <c r="S70" s="106">
        <v>96</v>
      </c>
      <c r="T70" s="105">
        <f t="shared" si="22"/>
        <v>16.799999999999997</v>
      </c>
      <c r="U70" s="106">
        <v>192</v>
      </c>
      <c r="V70" s="105">
        <f t="shared" si="23"/>
        <v>33.599999999999994</v>
      </c>
      <c r="W70" s="106"/>
      <c r="X70" s="105">
        <f t="shared" si="24"/>
        <v>0</v>
      </c>
      <c r="Y70" s="106"/>
      <c r="Z70" s="105">
        <f t="shared" si="25"/>
        <v>0</v>
      </c>
      <c r="AA70" s="106"/>
      <c r="AB70" s="105">
        <f t="shared" si="26"/>
        <v>0</v>
      </c>
      <c r="AC70" s="70">
        <f t="shared" si="27"/>
        <v>936</v>
      </c>
      <c r="AD70" s="105">
        <f t="shared" si="28"/>
        <v>163.79999999999998</v>
      </c>
    </row>
    <row r="71" spans="1:51" ht="21.75" customHeight="1">
      <c r="A71" s="103">
        <v>6</v>
      </c>
      <c r="B71" s="104" t="s">
        <v>218</v>
      </c>
      <c r="C71" s="103"/>
      <c r="D71" s="103">
        <v>0.7</v>
      </c>
      <c r="E71" s="105">
        <v>9662</v>
      </c>
      <c r="F71" s="105">
        <f t="shared" si="15"/>
        <v>6763.4</v>
      </c>
      <c r="G71" s="106">
        <v>6552</v>
      </c>
      <c r="H71" s="105">
        <f t="shared" si="16"/>
        <v>4586.3999999999996</v>
      </c>
      <c r="I71" s="106">
        <v>9452</v>
      </c>
      <c r="J71" s="105">
        <f t="shared" si="17"/>
        <v>6616.4</v>
      </c>
      <c r="K71" s="106">
        <v>6922</v>
      </c>
      <c r="L71" s="105">
        <f t="shared" si="18"/>
        <v>4845.3999999999996</v>
      </c>
      <c r="M71" s="106">
        <v>8922</v>
      </c>
      <c r="N71" s="105">
        <f t="shared" si="19"/>
        <v>6245.4</v>
      </c>
      <c r="O71" s="106">
        <v>6258</v>
      </c>
      <c r="P71" s="105">
        <f t="shared" si="20"/>
        <v>4380.5999999999995</v>
      </c>
      <c r="Q71" s="106">
        <v>5916</v>
      </c>
      <c r="R71" s="105">
        <f t="shared" si="21"/>
        <v>4141.2</v>
      </c>
      <c r="S71" s="106">
        <v>6037</v>
      </c>
      <c r="T71" s="105">
        <f t="shared" si="22"/>
        <v>4225.8999999999996</v>
      </c>
      <c r="U71" s="106">
        <v>6241</v>
      </c>
      <c r="V71" s="105">
        <f t="shared" si="23"/>
        <v>4368.7</v>
      </c>
      <c r="W71" s="106">
        <v>6434</v>
      </c>
      <c r="X71" s="105">
        <f t="shared" si="24"/>
        <v>4503.7999999999993</v>
      </c>
      <c r="Y71" s="106">
        <v>5255</v>
      </c>
      <c r="Z71" s="105">
        <f t="shared" si="25"/>
        <v>3678.4999999999995</v>
      </c>
      <c r="AA71" s="106">
        <v>5500</v>
      </c>
      <c r="AB71" s="105">
        <f t="shared" si="26"/>
        <v>3849.9999999999995</v>
      </c>
      <c r="AC71" s="70">
        <f t="shared" si="27"/>
        <v>83151</v>
      </c>
      <c r="AD71" s="105">
        <f t="shared" si="28"/>
        <v>58205.7</v>
      </c>
    </row>
    <row r="72" spans="1:51" ht="21.75" customHeight="1">
      <c r="A72" s="103">
        <v>7</v>
      </c>
      <c r="B72" s="104" t="s">
        <v>219</v>
      </c>
      <c r="C72" s="103"/>
      <c r="D72" s="103">
        <v>0.35</v>
      </c>
      <c r="E72" s="106">
        <v>25907</v>
      </c>
      <c r="F72" s="105">
        <f t="shared" si="15"/>
        <v>9067.4499999999989</v>
      </c>
      <c r="G72" s="106">
        <v>19144</v>
      </c>
      <c r="H72" s="105">
        <f t="shared" si="16"/>
        <v>6700.4</v>
      </c>
      <c r="I72" s="106">
        <v>26930</v>
      </c>
      <c r="J72" s="105">
        <f t="shared" si="17"/>
        <v>9425.5</v>
      </c>
      <c r="K72" s="106">
        <v>20023</v>
      </c>
      <c r="L72" s="105">
        <f t="shared" si="18"/>
        <v>7008.0499999999993</v>
      </c>
      <c r="M72" s="106">
        <v>28732</v>
      </c>
      <c r="N72" s="105">
        <f t="shared" si="19"/>
        <v>10056.199999999999</v>
      </c>
      <c r="O72" s="106">
        <v>21905</v>
      </c>
      <c r="P72" s="105">
        <f t="shared" si="20"/>
        <v>7666.7499999999991</v>
      </c>
      <c r="Q72" s="106">
        <v>23886</v>
      </c>
      <c r="R72" s="105">
        <f t="shared" si="21"/>
        <v>8360.1</v>
      </c>
      <c r="S72" s="106">
        <v>24116</v>
      </c>
      <c r="T72" s="105">
        <f t="shared" si="22"/>
        <v>8440.6</v>
      </c>
      <c r="U72" s="106">
        <v>26951</v>
      </c>
      <c r="V72" s="105">
        <f t="shared" si="23"/>
        <v>9432.8499999999985</v>
      </c>
      <c r="W72" s="106">
        <v>26371</v>
      </c>
      <c r="X72" s="105">
        <f t="shared" si="24"/>
        <v>9229.8499999999985</v>
      </c>
      <c r="Y72" s="106">
        <v>16907</v>
      </c>
      <c r="Z72" s="105">
        <f t="shared" si="25"/>
        <v>5917.45</v>
      </c>
      <c r="AA72" s="106">
        <v>16940</v>
      </c>
      <c r="AB72" s="105">
        <f t="shared" si="26"/>
        <v>5929</v>
      </c>
      <c r="AC72" s="70">
        <f t="shared" si="27"/>
        <v>277812</v>
      </c>
      <c r="AD72" s="105">
        <f t="shared" si="28"/>
        <v>97234.2</v>
      </c>
    </row>
    <row r="73" spans="1:51" ht="21.75" customHeight="1">
      <c r="A73" s="103">
        <v>8</v>
      </c>
      <c r="B73" s="104" t="s">
        <v>220</v>
      </c>
      <c r="C73" s="103"/>
      <c r="D73" s="103">
        <v>0.17499999999999999</v>
      </c>
      <c r="E73" s="106">
        <v>7254</v>
      </c>
      <c r="F73" s="105">
        <f t="shared" si="15"/>
        <v>1269.4499999999998</v>
      </c>
      <c r="G73" s="106">
        <v>3996</v>
      </c>
      <c r="H73" s="105">
        <f t="shared" si="16"/>
        <v>699.3</v>
      </c>
      <c r="I73" s="106">
        <v>8038</v>
      </c>
      <c r="J73" s="105">
        <f t="shared" si="17"/>
        <v>1406.6499999999999</v>
      </c>
      <c r="K73" s="106">
        <v>5730</v>
      </c>
      <c r="L73" s="105">
        <f t="shared" si="18"/>
        <v>1002.7499999999999</v>
      </c>
      <c r="M73" s="106">
        <v>8728</v>
      </c>
      <c r="N73" s="105">
        <f t="shared" si="19"/>
        <v>1527.3999999999999</v>
      </c>
      <c r="O73" s="106">
        <v>5694</v>
      </c>
      <c r="P73" s="105">
        <f t="shared" si="20"/>
        <v>996.44999999999993</v>
      </c>
      <c r="Q73" s="106">
        <v>6941</v>
      </c>
      <c r="R73" s="105">
        <f t="shared" si="21"/>
        <v>1214.675</v>
      </c>
      <c r="S73" s="106">
        <v>6251</v>
      </c>
      <c r="T73" s="105">
        <f t="shared" si="22"/>
        <v>1093.925</v>
      </c>
      <c r="U73" s="106">
        <v>6584</v>
      </c>
      <c r="V73" s="105">
        <f t="shared" si="23"/>
        <v>1152.1999999999998</v>
      </c>
      <c r="W73" s="106">
        <v>7414</v>
      </c>
      <c r="X73" s="105">
        <f t="shared" si="24"/>
        <v>1297.4499999999998</v>
      </c>
      <c r="Y73" s="106">
        <v>5779</v>
      </c>
      <c r="Z73" s="105">
        <f t="shared" si="25"/>
        <v>1011.3249999999999</v>
      </c>
      <c r="AA73" s="106">
        <v>6799</v>
      </c>
      <c r="AB73" s="105">
        <f t="shared" si="26"/>
        <v>1189.8249999999998</v>
      </c>
      <c r="AC73" s="70">
        <f t="shared" si="27"/>
        <v>79208</v>
      </c>
      <c r="AD73" s="105">
        <f t="shared" si="28"/>
        <v>13861.4</v>
      </c>
    </row>
    <row r="74" spans="1:51" ht="21.75" customHeight="1">
      <c r="A74" s="103">
        <v>9</v>
      </c>
      <c r="B74" s="104" t="s">
        <v>221</v>
      </c>
      <c r="C74" s="103"/>
      <c r="D74" s="103"/>
      <c r="E74" s="106">
        <v>2</v>
      </c>
      <c r="F74" s="105">
        <f t="shared" si="15"/>
        <v>0</v>
      </c>
      <c r="G74" s="106"/>
      <c r="H74" s="105">
        <f t="shared" si="16"/>
        <v>0</v>
      </c>
      <c r="I74" s="106"/>
      <c r="J74" s="105">
        <f t="shared" si="17"/>
        <v>0</v>
      </c>
      <c r="K74" s="106">
        <v>1</v>
      </c>
      <c r="L74" s="105">
        <f t="shared" si="18"/>
        <v>0</v>
      </c>
      <c r="M74" s="106"/>
      <c r="N74" s="105">
        <f t="shared" si="19"/>
        <v>0</v>
      </c>
      <c r="O74" s="106"/>
      <c r="P74" s="105">
        <f t="shared" si="20"/>
        <v>0</v>
      </c>
      <c r="Q74" s="106"/>
      <c r="R74" s="105">
        <f t="shared" si="21"/>
        <v>0</v>
      </c>
      <c r="S74" s="106"/>
      <c r="T74" s="105">
        <f t="shared" si="22"/>
        <v>0</v>
      </c>
      <c r="U74" s="106"/>
      <c r="V74" s="105">
        <f t="shared" si="23"/>
        <v>0</v>
      </c>
      <c r="W74" s="106"/>
      <c r="X74" s="105">
        <f t="shared" si="24"/>
        <v>0</v>
      </c>
      <c r="Y74" s="106"/>
      <c r="Z74" s="105">
        <f t="shared" si="25"/>
        <v>0</v>
      </c>
      <c r="AA74" s="106"/>
      <c r="AB74" s="105">
        <f t="shared" si="26"/>
        <v>0</v>
      </c>
      <c r="AC74" s="70">
        <f t="shared" si="27"/>
        <v>3</v>
      </c>
      <c r="AD74" s="105">
        <f t="shared" si="28"/>
        <v>0</v>
      </c>
    </row>
    <row r="75" spans="1:51" ht="21.75" customHeight="1">
      <c r="A75" s="103">
        <v>10</v>
      </c>
      <c r="B75" s="104" t="s">
        <v>222</v>
      </c>
      <c r="C75" s="103"/>
      <c r="D75" s="103"/>
      <c r="E75" s="106">
        <v>1</v>
      </c>
      <c r="F75" s="105">
        <f t="shared" si="15"/>
        <v>0</v>
      </c>
      <c r="G75" s="106"/>
      <c r="H75" s="105">
        <f t="shared" si="16"/>
        <v>0</v>
      </c>
      <c r="I75" s="106"/>
      <c r="J75" s="105">
        <f t="shared" si="17"/>
        <v>0</v>
      </c>
      <c r="K75" s="106"/>
      <c r="L75" s="105">
        <f t="shared" si="18"/>
        <v>0</v>
      </c>
      <c r="M75" s="106">
        <v>1</v>
      </c>
      <c r="N75" s="105">
        <f t="shared" si="19"/>
        <v>0</v>
      </c>
      <c r="O75" s="106"/>
      <c r="P75" s="105">
        <f t="shared" si="20"/>
        <v>0</v>
      </c>
      <c r="Q75" s="106"/>
      <c r="R75" s="105">
        <f t="shared" si="21"/>
        <v>0</v>
      </c>
      <c r="S75" s="106"/>
      <c r="T75" s="105">
        <f t="shared" si="22"/>
        <v>0</v>
      </c>
      <c r="U75" s="106"/>
      <c r="V75" s="105">
        <f t="shared" si="23"/>
        <v>0</v>
      </c>
      <c r="W75" s="106"/>
      <c r="X75" s="105">
        <f t="shared" si="24"/>
        <v>0</v>
      </c>
      <c r="Y75" s="106"/>
      <c r="Z75" s="105">
        <f t="shared" si="25"/>
        <v>0</v>
      </c>
      <c r="AA75" s="106"/>
      <c r="AB75" s="105">
        <f t="shared" si="26"/>
        <v>0</v>
      </c>
      <c r="AC75" s="70">
        <f t="shared" si="27"/>
        <v>2</v>
      </c>
      <c r="AD75" s="105">
        <f t="shared" si="28"/>
        <v>0</v>
      </c>
    </row>
    <row r="76" spans="1:51" ht="21.75" customHeight="1">
      <c r="A76" s="103">
        <v>11</v>
      </c>
      <c r="B76" s="104" t="s">
        <v>223</v>
      </c>
      <c r="C76" s="103"/>
      <c r="D76" s="103"/>
      <c r="E76" s="106"/>
      <c r="F76" s="105">
        <f t="shared" si="15"/>
        <v>0</v>
      </c>
      <c r="G76" s="106"/>
      <c r="H76" s="105">
        <f t="shared" si="16"/>
        <v>0</v>
      </c>
      <c r="I76" s="106"/>
      <c r="J76" s="105">
        <f t="shared" si="17"/>
        <v>0</v>
      </c>
      <c r="K76" s="106"/>
      <c r="L76" s="105">
        <f t="shared" si="18"/>
        <v>0</v>
      </c>
      <c r="M76" s="106"/>
      <c r="N76" s="105">
        <f t="shared" si="19"/>
        <v>0</v>
      </c>
      <c r="O76" s="106"/>
      <c r="P76" s="105">
        <f t="shared" si="20"/>
        <v>0</v>
      </c>
      <c r="Q76" s="106"/>
      <c r="R76" s="105">
        <f t="shared" si="21"/>
        <v>0</v>
      </c>
      <c r="S76" s="106"/>
      <c r="T76" s="105">
        <f t="shared" si="22"/>
        <v>0</v>
      </c>
      <c r="U76" s="106"/>
      <c r="V76" s="105">
        <f t="shared" si="23"/>
        <v>0</v>
      </c>
      <c r="W76" s="106"/>
      <c r="X76" s="105">
        <f t="shared" si="24"/>
        <v>0</v>
      </c>
      <c r="Y76" s="106">
        <v>948</v>
      </c>
      <c r="Z76" s="105">
        <f t="shared" si="25"/>
        <v>0</v>
      </c>
      <c r="AA76" s="106">
        <v>900</v>
      </c>
      <c r="AB76" s="105">
        <f t="shared" si="26"/>
        <v>0</v>
      </c>
      <c r="AC76" s="70">
        <f t="shared" si="27"/>
        <v>1848</v>
      </c>
      <c r="AD76" s="105">
        <f t="shared" si="28"/>
        <v>0</v>
      </c>
    </row>
    <row r="77" spans="1:51" s="118" customFormat="1" ht="21.75" customHeight="1">
      <c r="A77" s="114"/>
      <c r="B77" s="115" t="s">
        <v>224</v>
      </c>
      <c r="C77" s="114"/>
      <c r="D77" s="114"/>
      <c r="E77" s="116">
        <f t="shared" ref="E77:AD77" si="29">SUM(E66:E76)</f>
        <v>45994</v>
      </c>
      <c r="F77" s="116">
        <f t="shared" si="29"/>
        <v>18846.099999999999</v>
      </c>
      <c r="G77" s="116">
        <f t="shared" si="29"/>
        <v>32204</v>
      </c>
      <c r="H77" s="116">
        <f t="shared" si="29"/>
        <v>13327.3</v>
      </c>
      <c r="I77" s="116">
        <f t="shared" si="29"/>
        <v>47566</v>
      </c>
      <c r="J77" s="116">
        <f t="shared" si="29"/>
        <v>19132.75</v>
      </c>
      <c r="K77" s="116">
        <f t="shared" si="29"/>
        <v>35146</v>
      </c>
      <c r="L77" s="116">
        <f t="shared" si="29"/>
        <v>14208.599999999999</v>
      </c>
      <c r="M77" s="116">
        <f t="shared" si="29"/>
        <v>49267</v>
      </c>
      <c r="N77" s="116">
        <f t="shared" si="29"/>
        <v>19355.349999999999</v>
      </c>
      <c r="O77" s="116">
        <f t="shared" si="29"/>
        <v>36409</v>
      </c>
      <c r="P77" s="116">
        <f t="shared" si="29"/>
        <v>14377.649999999998</v>
      </c>
      <c r="Q77" s="116">
        <f t="shared" si="29"/>
        <v>39601</v>
      </c>
      <c r="R77" s="116">
        <f t="shared" si="29"/>
        <v>15246.875</v>
      </c>
      <c r="S77" s="116">
        <f t="shared" si="29"/>
        <v>39158</v>
      </c>
      <c r="T77" s="116">
        <f t="shared" si="29"/>
        <v>15196.125</v>
      </c>
      <c r="U77" s="116">
        <f t="shared" si="29"/>
        <v>42309</v>
      </c>
      <c r="V77" s="116">
        <f t="shared" si="29"/>
        <v>16221.099999999999</v>
      </c>
      <c r="W77" s="116">
        <f t="shared" si="29"/>
        <v>42709</v>
      </c>
      <c r="X77" s="116">
        <f t="shared" si="29"/>
        <v>16284.099999999999</v>
      </c>
      <c r="Y77" s="116">
        <f t="shared" si="29"/>
        <v>31106</v>
      </c>
      <c r="Z77" s="116">
        <f t="shared" si="29"/>
        <v>11735.674999999999</v>
      </c>
      <c r="AA77" s="116">
        <f t="shared" si="29"/>
        <v>32717</v>
      </c>
      <c r="AB77" s="116">
        <f t="shared" si="29"/>
        <v>12273.974999999999</v>
      </c>
      <c r="AC77" s="117">
        <f t="shared" si="29"/>
        <v>474186</v>
      </c>
      <c r="AD77" s="117">
        <f t="shared" si="29"/>
        <v>186205.6</v>
      </c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</row>
    <row r="78" spans="1:51" ht="21.75" customHeight="1">
      <c r="A78" s="103"/>
      <c r="B78" s="104"/>
      <c r="C78" s="103"/>
      <c r="D78" s="103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19"/>
      <c r="AD78" s="104"/>
    </row>
    <row r="79" spans="1:51" ht="21.75" customHeight="1">
      <c r="A79" s="103">
        <v>1</v>
      </c>
      <c r="B79" s="104" t="s">
        <v>225</v>
      </c>
      <c r="C79" s="103"/>
      <c r="D79" s="103">
        <v>0.7</v>
      </c>
      <c r="E79" s="106">
        <v>110</v>
      </c>
      <c r="F79" s="105">
        <f t="shared" ref="F79:F93" si="30">+E79*$D79</f>
        <v>77</v>
      </c>
      <c r="G79" s="106">
        <v>100</v>
      </c>
      <c r="H79" s="105">
        <f t="shared" ref="H79:H93" si="31">+G79*$D79</f>
        <v>70</v>
      </c>
      <c r="I79" s="106"/>
      <c r="J79" s="105">
        <f t="shared" ref="J79:J93" si="32">+I79*$D79</f>
        <v>0</v>
      </c>
      <c r="K79" s="106"/>
      <c r="L79" s="105">
        <f t="shared" ref="L79:L93" si="33">+K79*$D79</f>
        <v>0</v>
      </c>
      <c r="M79" s="106"/>
      <c r="N79" s="105">
        <f t="shared" ref="N79:N93" si="34">+M79*$D79</f>
        <v>0</v>
      </c>
      <c r="O79" s="106"/>
      <c r="P79" s="105">
        <f t="shared" ref="P79:P93" si="35">+O79*$D79</f>
        <v>0</v>
      </c>
      <c r="Q79" s="106"/>
      <c r="R79" s="105">
        <f t="shared" ref="R79:R93" si="36">+Q79*$D79</f>
        <v>0</v>
      </c>
      <c r="S79" s="106">
        <v>60</v>
      </c>
      <c r="T79" s="105">
        <f t="shared" ref="T79:T93" si="37">+S79*$D79</f>
        <v>42</v>
      </c>
      <c r="U79" s="106">
        <v>24</v>
      </c>
      <c r="V79" s="105">
        <f t="shared" ref="V79:V93" si="38">+U79*$D79</f>
        <v>16.799999999999997</v>
      </c>
      <c r="W79" s="106">
        <v>8</v>
      </c>
      <c r="X79" s="105">
        <f t="shared" ref="X79:X93" si="39">+W79*$D79</f>
        <v>5.6</v>
      </c>
      <c r="Y79" s="106"/>
      <c r="Z79" s="105">
        <f t="shared" ref="Z79:Z93" si="40">+Y79*$D79</f>
        <v>0</v>
      </c>
      <c r="AA79" s="106"/>
      <c r="AB79" s="105">
        <f t="shared" ref="AB79:AB93" si="41">+AA79*$D79</f>
        <v>0</v>
      </c>
      <c r="AC79" s="70">
        <f t="shared" ref="AC79:AC93" si="42">AA79+Y79+W79+U79+S79+Q79+O79+M79+K79+I79+G79+E79</f>
        <v>302</v>
      </c>
      <c r="AD79" s="105">
        <f t="shared" ref="AD79:AD93" si="43">+AC79*$D79</f>
        <v>211.39999999999998</v>
      </c>
    </row>
    <row r="80" spans="1:51">
      <c r="A80" s="103">
        <v>2</v>
      </c>
      <c r="B80" s="104" t="s">
        <v>226</v>
      </c>
      <c r="C80" s="103"/>
      <c r="D80" s="103">
        <v>20</v>
      </c>
      <c r="E80" s="106">
        <v>13</v>
      </c>
      <c r="F80" s="105">
        <f t="shared" si="30"/>
        <v>260</v>
      </c>
      <c r="G80" s="106">
        <v>18</v>
      </c>
      <c r="H80" s="105">
        <f t="shared" si="31"/>
        <v>360</v>
      </c>
      <c r="I80" s="106">
        <v>1</v>
      </c>
      <c r="J80" s="105">
        <f t="shared" si="32"/>
        <v>20</v>
      </c>
      <c r="K80" s="106"/>
      <c r="L80" s="105">
        <f t="shared" si="33"/>
        <v>0</v>
      </c>
      <c r="M80" s="106"/>
      <c r="N80" s="105">
        <f t="shared" si="34"/>
        <v>0</v>
      </c>
      <c r="O80" s="106"/>
      <c r="P80" s="105">
        <f t="shared" si="35"/>
        <v>0</v>
      </c>
      <c r="Q80" s="106"/>
      <c r="R80" s="105">
        <f t="shared" si="36"/>
        <v>0</v>
      </c>
      <c r="S80" s="106">
        <v>3</v>
      </c>
      <c r="T80" s="105">
        <f t="shared" si="37"/>
        <v>60</v>
      </c>
      <c r="U80" s="106"/>
      <c r="V80" s="105">
        <f t="shared" si="38"/>
        <v>0</v>
      </c>
      <c r="W80" s="106">
        <v>1</v>
      </c>
      <c r="X80" s="105">
        <f t="shared" si="39"/>
        <v>20</v>
      </c>
      <c r="Y80" s="106"/>
      <c r="Z80" s="105">
        <f t="shared" si="40"/>
        <v>0</v>
      </c>
      <c r="AA80" s="106"/>
      <c r="AB80" s="105">
        <f t="shared" si="41"/>
        <v>0</v>
      </c>
      <c r="AC80" s="70">
        <f t="shared" si="42"/>
        <v>36</v>
      </c>
      <c r="AD80" s="105">
        <f t="shared" si="43"/>
        <v>720</v>
      </c>
    </row>
    <row r="81" spans="1:51">
      <c r="A81" s="103">
        <v>3</v>
      </c>
      <c r="B81" s="104" t="s">
        <v>227</v>
      </c>
      <c r="C81" s="103"/>
      <c r="D81" s="103">
        <v>205</v>
      </c>
      <c r="E81" s="106"/>
      <c r="F81" s="105">
        <f t="shared" si="30"/>
        <v>0</v>
      </c>
      <c r="G81" s="106"/>
      <c r="H81" s="105">
        <f t="shared" si="31"/>
        <v>0</v>
      </c>
      <c r="I81" s="106"/>
      <c r="J81" s="105">
        <f t="shared" si="32"/>
        <v>0</v>
      </c>
      <c r="K81" s="106"/>
      <c r="L81" s="105">
        <f t="shared" si="33"/>
        <v>0</v>
      </c>
      <c r="M81" s="106"/>
      <c r="N81" s="105">
        <f t="shared" si="34"/>
        <v>0</v>
      </c>
      <c r="O81" s="106"/>
      <c r="P81" s="105">
        <f t="shared" si="35"/>
        <v>0</v>
      </c>
      <c r="Q81" s="106"/>
      <c r="R81" s="105">
        <f t="shared" si="36"/>
        <v>0</v>
      </c>
      <c r="S81" s="106"/>
      <c r="T81" s="105">
        <f t="shared" si="37"/>
        <v>0</v>
      </c>
      <c r="U81" s="106"/>
      <c r="V81" s="105">
        <f t="shared" si="38"/>
        <v>0</v>
      </c>
      <c r="W81" s="106"/>
      <c r="X81" s="105">
        <f t="shared" si="39"/>
        <v>0</v>
      </c>
      <c r="Y81" s="106">
        <v>2</v>
      </c>
      <c r="Z81" s="105">
        <f t="shared" si="40"/>
        <v>410</v>
      </c>
      <c r="AA81" s="106"/>
      <c r="AB81" s="105">
        <f t="shared" si="41"/>
        <v>0</v>
      </c>
      <c r="AC81" s="70">
        <f t="shared" si="42"/>
        <v>2</v>
      </c>
      <c r="AD81" s="105">
        <f t="shared" si="43"/>
        <v>410</v>
      </c>
    </row>
    <row r="82" spans="1:51" ht="21.75" customHeight="1">
      <c r="A82" s="103">
        <v>4</v>
      </c>
      <c r="B82" s="104" t="s">
        <v>228</v>
      </c>
      <c r="C82" s="103"/>
      <c r="D82" s="103">
        <v>0.1</v>
      </c>
      <c r="E82" s="106"/>
      <c r="F82" s="105">
        <f t="shared" si="30"/>
        <v>0</v>
      </c>
      <c r="G82" s="106">
        <v>24</v>
      </c>
      <c r="H82" s="105">
        <f t="shared" si="31"/>
        <v>2.4000000000000004</v>
      </c>
      <c r="I82" s="106"/>
      <c r="J82" s="105">
        <f t="shared" si="32"/>
        <v>0</v>
      </c>
      <c r="K82" s="106"/>
      <c r="L82" s="105">
        <f t="shared" si="33"/>
        <v>0</v>
      </c>
      <c r="M82" s="106"/>
      <c r="N82" s="105">
        <f t="shared" si="34"/>
        <v>0</v>
      </c>
      <c r="O82" s="106"/>
      <c r="P82" s="105">
        <f t="shared" si="35"/>
        <v>0</v>
      </c>
      <c r="Q82" s="106"/>
      <c r="R82" s="105">
        <f t="shared" si="36"/>
        <v>0</v>
      </c>
      <c r="S82" s="106"/>
      <c r="T82" s="105">
        <f t="shared" si="37"/>
        <v>0</v>
      </c>
      <c r="U82" s="106"/>
      <c r="V82" s="105">
        <f t="shared" si="38"/>
        <v>0</v>
      </c>
      <c r="W82" s="106"/>
      <c r="X82" s="105">
        <f t="shared" si="39"/>
        <v>0</v>
      </c>
      <c r="Y82" s="106"/>
      <c r="Z82" s="105">
        <f t="shared" si="40"/>
        <v>0</v>
      </c>
      <c r="AA82" s="106"/>
      <c r="AB82" s="105">
        <f t="shared" si="41"/>
        <v>0</v>
      </c>
      <c r="AC82" s="70">
        <f t="shared" si="42"/>
        <v>24</v>
      </c>
      <c r="AD82" s="105">
        <f t="shared" si="43"/>
        <v>2.4000000000000004</v>
      </c>
    </row>
    <row r="83" spans="1:51" ht="21.75" hidden="1" customHeight="1">
      <c r="A83" s="103">
        <v>5</v>
      </c>
      <c r="B83" s="104" t="s">
        <v>229</v>
      </c>
      <c r="C83" s="103"/>
      <c r="D83" s="103"/>
      <c r="E83" s="106"/>
      <c r="F83" s="105">
        <f t="shared" si="30"/>
        <v>0</v>
      </c>
      <c r="G83" s="106"/>
      <c r="H83" s="105">
        <f t="shared" si="31"/>
        <v>0</v>
      </c>
      <c r="I83" s="106"/>
      <c r="J83" s="105">
        <f t="shared" si="32"/>
        <v>0</v>
      </c>
      <c r="K83" s="106"/>
      <c r="L83" s="105">
        <f t="shared" si="33"/>
        <v>0</v>
      </c>
      <c r="M83" s="106"/>
      <c r="N83" s="105">
        <f t="shared" si="34"/>
        <v>0</v>
      </c>
      <c r="O83" s="106"/>
      <c r="P83" s="105">
        <f t="shared" si="35"/>
        <v>0</v>
      </c>
      <c r="Q83" s="106"/>
      <c r="R83" s="105">
        <f t="shared" si="36"/>
        <v>0</v>
      </c>
      <c r="S83" s="106"/>
      <c r="T83" s="105">
        <f t="shared" si="37"/>
        <v>0</v>
      </c>
      <c r="U83" s="106"/>
      <c r="V83" s="105">
        <f t="shared" si="38"/>
        <v>0</v>
      </c>
      <c r="W83" s="106"/>
      <c r="X83" s="105">
        <f t="shared" si="39"/>
        <v>0</v>
      </c>
      <c r="Y83" s="106"/>
      <c r="Z83" s="105">
        <f t="shared" si="40"/>
        <v>0</v>
      </c>
      <c r="AA83" s="106"/>
      <c r="AB83" s="105">
        <f t="shared" si="41"/>
        <v>0</v>
      </c>
      <c r="AC83" s="70">
        <f t="shared" si="42"/>
        <v>0</v>
      </c>
      <c r="AD83" s="105">
        <f t="shared" si="43"/>
        <v>0</v>
      </c>
    </row>
    <row r="84" spans="1:51" ht="21.75" hidden="1" customHeight="1">
      <c r="A84" s="103">
        <v>6</v>
      </c>
      <c r="B84" s="104" t="s">
        <v>230</v>
      </c>
      <c r="C84" s="103"/>
      <c r="D84" s="103"/>
      <c r="E84" s="106"/>
      <c r="F84" s="105">
        <f t="shared" si="30"/>
        <v>0</v>
      </c>
      <c r="G84" s="106"/>
      <c r="H84" s="105">
        <f t="shared" si="31"/>
        <v>0</v>
      </c>
      <c r="I84" s="106"/>
      <c r="J84" s="105">
        <f t="shared" si="32"/>
        <v>0</v>
      </c>
      <c r="K84" s="106"/>
      <c r="L84" s="105">
        <f t="shared" si="33"/>
        <v>0</v>
      </c>
      <c r="M84" s="106"/>
      <c r="N84" s="105">
        <f t="shared" si="34"/>
        <v>0</v>
      </c>
      <c r="O84" s="106"/>
      <c r="P84" s="105">
        <f t="shared" si="35"/>
        <v>0</v>
      </c>
      <c r="Q84" s="106"/>
      <c r="R84" s="105">
        <f t="shared" si="36"/>
        <v>0</v>
      </c>
      <c r="S84" s="106"/>
      <c r="T84" s="105">
        <f t="shared" si="37"/>
        <v>0</v>
      </c>
      <c r="U84" s="106"/>
      <c r="V84" s="105">
        <f t="shared" si="38"/>
        <v>0</v>
      </c>
      <c r="W84" s="106"/>
      <c r="X84" s="105">
        <f t="shared" si="39"/>
        <v>0</v>
      </c>
      <c r="Y84" s="106"/>
      <c r="Z84" s="105">
        <f t="shared" si="40"/>
        <v>0</v>
      </c>
      <c r="AA84" s="106"/>
      <c r="AB84" s="105">
        <f t="shared" si="41"/>
        <v>0</v>
      </c>
      <c r="AC84" s="70">
        <f t="shared" si="42"/>
        <v>0</v>
      </c>
      <c r="AD84" s="105">
        <f t="shared" si="43"/>
        <v>0</v>
      </c>
    </row>
    <row r="85" spans="1:51" ht="21.75" hidden="1" customHeight="1">
      <c r="A85" s="103">
        <v>7</v>
      </c>
      <c r="B85" s="104" t="s">
        <v>231</v>
      </c>
      <c r="C85" s="103"/>
      <c r="D85" s="103"/>
      <c r="E85" s="106"/>
      <c r="F85" s="105">
        <f t="shared" si="30"/>
        <v>0</v>
      </c>
      <c r="G85" s="106"/>
      <c r="H85" s="105">
        <f t="shared" si="31"/>
        <v>0</v>
      </c>
      <c r="I85" s="106"/>
      <c r="J85" s="105">
        <f t="shared" si="32"/>
        <v>0</v>
      </c>
      <c r="K85" s="106"/>
      <c r="L85" s="105">
        <f t="shared" si="33"/>
        <v>0</v>
      </c>
      <c r="M85" s="106"/>
      <c r="N85" s="105">
        <f t="shared" si="34"/>
        <v>0</v>
      </c>
      <c r="O85" s="106"/>
      <c r="P85" s="105">
        <f t="shared" si="35"/>
        <v>0</v>
      </c>
      <c r="Q85" s="106"/>
      <c r="R85" s="105">
        <f t="shared" si="36"/>
        <v>0</v>
      </c>
      <c r="S85" s="106"/>
      <c r="T85" s="105">
        <f t="shared" si="37"/>
        <v>0</v>
      </c>
      <c r="U85" s="106"/>
      <c r="V85" s="105">
        <f t="shared" si="38"/>
        <v>0</v>
      </c>
      <c r="W85" s="106"/>
      <c r="X85" s="105">
        <f t="shared" si="39"/>
        <v>0</v>
      </c>
      <c r="Y85" s="106"/>
      <c r="Z85" s="105">
        <f t="shared" si="40"/>
        <v>0</v>
      </c>
      <c r="AA85" s="106"/>
      <c r="AB85" s="105">
        <f t="shared" si="41"/>
        <v>0</v>
      </c>
      <c r="AC85" s="70">
        <f t="shared" si="42"/>
        <v>0</v>
      </c>
      <c r="AD85" s="105">
        <f t="shared" si="43"/>
        <v>0</v>
      </c>
    </row>
    <row r="86" spans="1:51" ht="21.75" customHeight="1">
      <c r="A86" s="103">
        <v>8</v>
      </c>
      <c r="B86" s="104" t="s">
        <v>232</v>
      </c>
      <c r="C86" s="103"/>
      <c r="D86" s="103">
        <v>0.7</v>
      </c>
      <c r="E86" s="106">
        <v>17</v>
      </c>
      <c r="F86" s="105">
        <f t="shared" si="30"/>
        <v>11.899999999999999</v>
      </c>
      <c r="G86" s="106">
        <v>42</v>
      </c>
      <c r="H86" s="105">
        <f t="shared" si="31"/>
        <v>29.4</v>
      </c>
      <c r="I86" s="106">
        <v>14</v>
      </c>
      <c r="J86" s="105">
        <f t="shared" si="32"/>
        <v>9.7999999999999989</v>
      </c>
      <c r="K86" s="106"/>
      <c r="L86" s="105">
        <f t="shared" si="33"/>
        <v>0</v>
      </c>
      <c r="M86" s="106"/>
      <c r="N86" s="105">
        <f t="shared" si="34"/>
        <v>0</v>
      </c>
      <c r="O86" s="106"/>
      <c r="P86" s="105">
        <f t="shared" si="35"/>
        <v>0</v>
      </c>
      <c r="Q86" s="106"/>
      <c r="R86" s="105">
        <f t="shared" si="36"/>
        <v>0</v>
      </c>
      <c r="S86" s="106"/>
      <c r="T86" s="105">
        <f t="shared" si="37"/>
        <v>0</v>
      </c>
      <c r="U86" s="106"/>
      <c r="V86" s="105">
        <f t="shared" si="38"/>
        <v>0</v>
      </c>
      <c r="W86" s="106"/>
      <c r="X86" s="105">
        <f t="shared" si="39"/>
        <v>0</v>
      </c>
      <c r="Y86" s="106"/>
      <c r="Z86" s="105">
        <f t="shared" si="40"/>
        <v>0</v>
      </c>
      <c r="AA86" s="106"/>
      <c r="AB86" s="105">
        <f t="shared" si="41"/>
        <v>0</v>
      </c>
      <c r="AC86" s="70">
        <f t="shared" si="42"/>
        <v>73</v>
      </c>
      <c r="AD86" s="105">
        <f t="shared" si="43"/>
        <v>51.099999999999994</v>
      </c>
    </row>
    <row r="87" spans="1:51" ht="21.75" customHeight="1">
      <c r="A87" s="103">
        <v>9</v>
      </c>
      <c r="B87" s="104" t="s">
        <v>233</v>
      </c>
      <c r="C87" s="103"/>
      <c r="D87" s="103">
        <v>0.64</v>
      </c>
      <c r="E87" s="106"/>
      <c r="F87" s="105">
        <f t="shared" si="30"/>
        <v>0</v>
      </c>
      <c r="G87" s="106"/>
      <c r="H87" s="105">
        <f t="shared" si="31"/>
        <v>0</v>
      </c>
      <c r="I87" s="106"/>
      <c r="J87" s="105">
        <f t="shared" si="32"/>
        <v>0</v>
      </c>
      <c r="K87" s="106"/>
      <c r="L87" s="105">
        <f t="shared" si="33"/>
        <v>0</v>
      </c>
      <c r="M87" s="106"/>
      <c r="N87" s="105">
        <f t="shared" si="34"/>
        <v>0</v>
      </c>
      <c r="O87" s="106"/>
      <c r="P87" s="105">
        <f t="shared" si="35"/>
        <v>0</v>
      </c>
      <c r="Q87" s="106"/>
      <c r="R87" s="105">
        <f t="shared" si="36"/>
        <v>0</v>
      </c>
      <c r="S87" s="106"/>
      <c r="T87" s="105">
        <f t="shared" si="37"/>
        <v>0</v>
      </c>
      <c r="U87" s="106">
        <v>6</v>
      </c>
      <c r="V87" s="105">
        <f t="shared" si="38"/>
        <v>3.84</v>
      </c>
      <c r="W87" s="106"/>
      <c r="X87" s="105">
        <f t="shared" si="39"/>
        <v>0</v>
      </c>
      <c r="Y87" s="106"/>
      <c r="Z87" s="105">
        <f t="shared" si="40"/>
        <v>0</v>
      </c>
      <c r="AA87" s="106"/>
      <c r="AB87" s="105">
        <f t="shared" si="41"/>
        <v>0</v>
      </c>
      <c r="AC87" s="70">
        <f t="shared" si="42"/>
        <v>6</v>
      </c>
      <c r="AD87" s="105">
        <f t="shared" si="43"/>
        <v>3.84</v>
      </c>
    </row>
    <row r="88" spans="1:51" ht="21.75" customHeight="1">
      <c r="A88" s="103">
        <v>10</v>
      </c>
      <c r="B88" s="104" t="s">
        <v>234</v>
      </c>
      <c r="C88" s="103"/>
      <c r="D88" s="103">
        <v>0.5</v>
      </c>
      <c r="E88" s="106"/>
      <c r="F88" s="105">
        <f t="shared" si="30"/>
        <v>0</v>
      </c>
      <c r="G88" s="106"/>
      <c r="H88" s="105">
        <f t="shared" si="31"/>
        <v>0</v>
      </c>
      <c r="I88" s="106"/>
      <c r="J88" s="105">
        <f t="shared" si="32"/>
        <v>0</v>
      </c>
      <c r="K88" s="106"/>
      <c r="L88" s="105">
        <f t="shared" si="33"/>
        <v>0</v>
      </c>
      <c r="M88" s="106"/>
      <c r="N88" s="105">
        <f t="shared" si="34"/>
        <v>0</v>
      </c>
      <c r="O88" s="106"/>
      <c r="P88" s="105">
        <f t="shared" si="35"/>
        <v>0</v>
      </c>
      <c r="Q88" s="106"/>
      <c r="R88" s="105">
        <f t="shared" si="36"/>
        <v>0</v>
      </c>
      <c r="S88" s="106"/>
      <c r="T88" s="105">
        <f t="shared" si="37"/>
        <v>0</v>
      </c>
      <c r="U88" s="106">
        <v>3</v>
      </c>
      <c r="V88" s="105">
        <f t="shared" si="38"/>
        <v>1.5</v>
      </c>
      <c r="W88" s="106"/>
      <c r="X88" s="105">
        <f t="shared" si="39"/>
        <v>0</v>
      </c>
      <c r="Y88" s="106"/>
      <c r="Z88" s="105">
        <f t="shared" si="40"/>
        <v>0</v>
      </c>
      <c r="AA88" s="106"/>
      <c r="AB88" s="105">
        <f t="shared" si="41"/>
        <v>0</v>
      </c>
      <c r="AC88" s="70">
        <f t="shared" si="42"/>
        <v>3</v>
      </c>
      <c r="AD88" s="105">
        <f t="shared" si="43"/>
        <v>1.5</v>
      </c>
    </row>
    <row r="89" spans="1:51" ht="21.75" customHeight="1">
      <c r="A89" s="103">
        <v>11</v>
      </c>
      <c r="B89" s="104" t="s">
        <v>235</v>
      </c>
      <c r="C89" s="103"/>
      <c r="D89" s="103">
        <v>20</v>
      </c>
      <c r="E89" s="106">
        <v>2</v>
      </c>
      <c r="F89" s="105">
        <f t="shared" si="30"/>
        <v>40</v>
      </c>
      <c r="G89" s="106">
        <v>1</v>
      </c>
      <c r="H89" s="105">
        <f t="shared" si="31"/>
        <v>20</v>
      </c>
      <c r="I89" s="106"/>
      <c r="J89" s="105">
        <f t="shared" si="32"/>
        <v>0</v>
      </c>
      <c r="K89" s="106"/>
      <c r="L89" s="105">
        <f t="shared" si="33"/>
        <v>0</v>
      </c>
      <c r="M89" s="106"/>
      <c r="N89" s="105">
        <f t="shared" si="34"/>
        <v>0</v>
      </c>
      <c r="O89" s="106"/>
      <c r="P89" s="105">
        <f t="shared" si="35"/>
        <v>0</v>
      </c>
      <c r="Q89" s="106"/>
      <c r="R89" s="105">
        <f t="shared" si="36"/>
        <v>0</v>
      </c>
      <c r="S89" s="106">
        <v>1</v>
      </c>
      <c r="T89" s="105">
        <f t="shared" si="37"/>
        <v>20</v>
      </c>
      <c r="U89" s="106"/>
      <c r="V89" s="105">
        <f t="shared" si="38"/>
        <v>0</v>
      </c>
      <c r="W89" s="106"/>
      <c r="X89" s="105">
        <f t="shared" si="39"/>
        <v>0</v>
      </c>
      <c r="Y89" s="106"/>
      <c r="Z89" s="105">
        <f t="shared" si="40"/>
        <v>0</v>
      </c>
      <c r="AA89" s="106"/>
      <c r="AB89" s="105">
        <f t="shared" si="41"/>
        <v>0</v>
      </c>
      <c r="AC89" s="70">
        <f t="shared" si="42"/>
        <v>4</v>
      </c>
      <c r="AD89" s="105">
        <f t="shared" si="43"/>
        <v>80</v>
      </c>
    </row>
    <row r="90" spans="1:51" ht="21.75" hidden="1" customHeight="1">
      <c r="A90" s="103">
        <v>17</v>
      </c>
      <c r="B90" s="104" t="s">
        <v>236</v>
      </c>
      <c r="C90" s="103"/>
      <c r="D90" s="103"/>
      <c r="E90" s="106"/>
      <c r="F90" s="105">
        <f t="shared" si="30"/>
        <v>0</v>
      </c>
      <c r="G90" s="106"/>
      <c r="H90" s="105">
        <f t="shared" si="31"/>
        <v>0</v>
      </c>
      <c r="I90" s="106"/>
      <c r="J90" s="105">
        <f t="shared" si="32"/>
        <v>0</v>
      </c>
      <c r="K90" s="106"/>
      <c r="L90" s="105">
        <f t="shared" si="33"/>
        <v>0</v>
      </c>
      <c r="M90" s="106"/>
      <c r="N90" s="105">
        <f t="shared" si="34"/>
        <v>0</v>
      </c>
      <c r="O90" s="106"/>
      <c r="P90" s="105">
        <f t="shared" si="35"/>
        <v>0</v>
      </c>
      <c r="Q90" s="106"/>
      <c r="R90" s="105">
        <f t="shared" si="36"/>
        <v>0</v>
      </c>
      <c r="S90" s="106"/>
      <c r="T90" s="105">
        <f t="shared" si="37"/>
        <v>0</v>
      </c>
      <c r="U90" s="106"/>
      <c r="V90" s="105">
        <f t="shared" si="38"/>
        <v>0</v>
      </c>
      <c r="W90" s="106"/>
      <c r="X90" s="105">
        <f t="shared" si="39"/>
        <v>0</v>
      </c>
      <c r="Y90" s="106"/>
      <c r="Z90" s="105">
        <f t="shared" si="40"/>
        <v>0</v>
      </c>
      <c r="AA90" s="106"/>
      <c r="AB90" s="105">
        <f t="shared" si="41"/>
        <v>0</v>
      </c>
      <c r="AC90" s="70">
        <f t="shared" si="42"/>
        <v>0</v>
      </c>
      <c r="AD90" s="105">
        <f t="shared" si="43"/>
        <v>0</v>
      </c>
    </row>
    <row r="91" spans="1:51" ht="21.75" hidden="1" customHeight="1">
      <c r="A91" s="103">
        <v>18</v>
      </c>
      <c r="B91" s="104" t="s">
        <v>237</v>
      </c>
      <c r="C91" s="103"/>
      <c r="D91" s="103"/>
      <c r="E91" s="106"/>
      <c r="F91" s="105">
        <f t="shared" si="30"/>
        <v>0</v>
      </c>
      <c r="G91" s="106"/>
      <c r="H91" s="105">
        <f t="shared" si="31"/>
        <v>0</v>
      </c>
      <c r="I91" s="106"/>
      <c r="J91" s="105">
        <f t="shared" si="32"/>
        <v>0</v>
      </c>
      <c r="K91" s="106"/>
      <c r="L91" s="105">
        <f t="shared" si="33"/>
        <v>0</v>
      </c>
      <c r="M91" s="106"/>
      <c r="N91" s="105">
        <f t="shared" si="34"/>
        <v>0</v>
      </c>
      <c r="O91" s="106"/>
      <c r="P91" s="105">
        <f t="shared" si="35"/>
        <v>0</v>
      </c>
      <c r="Q91" s="106"/>
      <c r="R91" s="105">
        <f t="shared" si="36"/>
        <v>0</v>
      </c>
      <c r="S91" s="106"/>
      <c r="T91" s="105">
        <f t="shared" si="37"/>
        <v>0</v>
      </c>
      <c r="U91" s="106"/>
      <c r="V91" s="105">
        <f t="shared" si="38"/>
        <v>0</v>
      </c>
      <c r="W91" s="106"/>
      <c r="X91" s="105">
        <f t="shared" si="39"/>
        <v>0</v>
      </c>
      <c r="Y91" s="106"/>
      <c r="Z91" s="105">
        <f t="shared" si="40"/>
        <v>0</v>
      </c>
      <c r="AA91" s="106"/>
      <c r="AB91" s="105">
        <f t="shared" si="41"/>
        <v>0</v>
      </c>
      <c r="AC91" s="70">
        <f t="shared" si="42"/>
        <v>0</v>
      </c>
      <c r="AD91" s="105">
        <f t="shared" si="43"/>
        <v>0</v>
      </c>
    </row>
    <row r="92" spans="1:51" ht="21.75" hidden="1" customHeight="1">
      <c r="A92" s="104">
        <v>30</v>
      </c>
      <c r="B92" s="104" t="s">
        <v>238</v>
      </c>
      <c r="C92" s="103"/>
      <c r="D92" s="103"/>
      <c r="E92" s="106"/>
      <c r="F92" s="105">
        <f t="shared" si="30"/>
        <v>0</v>
      </c>
      <c r="G92" s="106"/>
      <c r="H92" s="105">
        <f t="shared" si="31"/>
        <v>0</v>
      </c>
      <c r="I92" s="106"/>
      <c r="J92" s="105">
        <f t="shared" si="32"/>
        <v>0</v>
      </c>
      <c r="K92" s="106"/>
      <c r="L92" s="105">
        <f t="shared" si="33"/>
        <v>0</v>
      </c>
      <c r="M92" s="106"/>
      <c r="N92" s="105">
        <f t="shared" si="34"/>
        <v>0</v>
      </c>
      <c r="O92" s="106"/>
      <c r="P92" s="105">
        <f t="shared" si="35"/>
        <v>0</v>
      </c>
      <c r="Q92" s="106"/>
      <c r="R92" s="105">
        <f t="shared" si="36"/>
        <v>0</v>
      </c>
      <c r="S92" s="106"/>
      <c r="T92" s="105">
        <f t="shared" si="37"/>
        <v>0</v>
      </c>
      <c r="U92" s="106"/>
      <c r="V92" s="105">
        <f t="shared" si="38"/>
        <v>0</v>
      </c>
      <c r="W92" s="106"/>
      <c r="X92" s="105">
        <f t="shared" si="39"/>
        <v>0</v>
      </c>
      <c r="Y92" s="106"/>
      <c r="Z92" s="105">
        <f t="shared" si="40"/>
        <v>0</v>
      </c>
      <c r="AA92" s="106"/>
      <c r="AB92" s="105">
        <f t="shared" si="41"/>
        <v>0</v>
      </c>
      <c r="AC92" s="70">
        <f t="shared" si="42"/>
        <v>0</v>
      </c>
      <c r="AD92" s="105">
        <f t="shared" si="43"/>
        <v>0</v>
      </c>
    </row>
    <row r="93" spans="1:51" ht="21.75" customHeight="1">
      <c r="A93" s="104"/>
      <c r="B93" s="104"/>
      <c r="C93" s="103"/>
      <c r="D93" s="103"/>
      <c r="E93" s="106"/>
      <c r="F93" s="105">
        <f t="shared" si="30"/>
        <v>0</v>
      </c>
      <c r="G93" s="106"/>
      <c r="H93" s="105">
        <f t="shared" si="31"/>
        <v>0</v>
      </c>
      <c r="I93" s="106"/>
      <c r="J93" s="105">
        <f t="shared" si="32"/>
        <v>0</v>
      </c>
      <c r="K93" s="106"/>
      <c r="L93" s="105">
        <f t="shared" si="33"/>
        <v>0</v>
      </c>
      <c r="M93" s="106"/>
      <c r="N93" s="105">
        <f t="shared" si="34"/>
        <v>0</v>
      </c>
      <c r="O93" s="106"/>
      <c r="P93" s="105">
        <f t="shared" si="35"/>
        <v>0</v>
      </c>
      <c r="Q93" s="106"/>
      <c r="R93" s="105">
        <f t="shared" si="36"/>
        <v>0</v>
      </c>
      <c r="S93" s="106"/>
      <c r="T93" s="105">
        <f t="shared" si="37"/>
        <v>0</v>
      </c>
      <c r="U93" s="106"/>
      <c r="V93" s="105">
        <f t="shared" si="38"/>
        <v>0</v>
      </c>
      <c r="W93" s="106"/>
      <c r="X93" s="105">
        <f t="shared" si="39"/>
        <v>0</v>
      </c>
      <c r="Y93" s="106"/>
      <c r="Z93" s="105">
        <f t="shared" si="40"/>
        <v>0</v>
      </c>
      <c r="AA93" s="106"/>
      <c r="AB93" s="105">
        <f t="shared" si="41"/>
        <v>0</v>
      </c>
      <c r="AC93" s="70">
        <f t="shared" si="42"/>
        <v>0</v>
      </c>
      <c r="AD93" s="105">
        <f t="shared" si="43"/>
        <v>0</v>
      </c>
    </row>
    <row r="94" spans="1:51" s="118" customFormat="1" ht="21.75" customHeight="1">
      <c r="A94" s="115"/>
      <c r="B94" s="115" t="s">
        <v>239</v>
      </c>
      <c r="C94" s="114"/>
      <c r="D94" s="114"/>
      <c r="E94" s="117">
        <f t="shared" ref="E94:AD94" si="44">SUM(E78:E93)</f>
        <v>142</v>
      </c>
      <c r="F94" s="117">
        <f t="shared" si="44"/>
        <v>388.9</v>
      </c>
      <c r="G94" s="117">
        <f t="shared" si="44"/>
        <v>185</v>
      </c>
      <c r="H94" s="117">
        <f t="shared" si="44"/>
        <v>481.79999999999995</v>
      </c>
      <c r="I94" s="117">
        <f t="shared" si="44"/>
        <v>15</v>
      </c>
      <c r="J94" s="117">
        <f t="shared" si="44"/>
        <v>29.799999999999997</v>
      </c>
      <c r="K94" s="117">
        <f t="shared" si="44"/>
        <v>0</v>
      </c>
      <c r="L94" s="117">
        <f t="shared" si="44"/>
        <v>0</v>
      </c>
      <c r="M94" s="117">
        <f t="shared" si="44"/>
        <v>0</v>
      </c>
      <c r="N94" s="117">
        <f t="shared" si="44"/>
        <v>0</v>
      </c>
      <c r="O94" s="117">
        <f t="shared" si="44"/>
        <v>0</v>
      </c>
      <c r="P94" s="117">
        <f t="shared" si="44"/>
        <v>0</v>
      </c>
      <c r="Q94" s="117">
        <f t="shared" si="44"/>
        <v>0</v>
      </c>
      <c r="R94" s="117">
        <f t="shared" si="44"/>
        <v>0</v>
      </c>
      <c r="S94" s="117">
        <f t="shared" si="44"/>
        <v>64</v>
      </c>
      <c r="T94" s="117">
        <f t="shared" si="44"/>
        <v>122</v>
      </c>
      <c r="U94" s="117">
        <f t="shared" si="44"/>
        <v>33</v>
      </c>
      <c r="V94" s="117">
        <f t="shared" si="44"/>
        <v>22.139999999999997</v>
      </c>
      <c r="W94" s="117">
        <f t="shared" si="44"/>
        <v>9</v>
      </c>
      <c r="X94" s="117">
        <f t="shared" si="44"/>
        <v>25.6</v>
      </c>
      <c r="Y94" s="117">
        <f t="shared" si="44"/>
        <v>2</v>
      </c>
      <c r="Z94" s="117">
        <f t="shared" si="44"/>
        <v>410</v>
      </c>
      <c r="AA94" s="117">
        <f t="shared" si="44"/>
        <v>0</v>
      </c>
      <c r="AB94" s="117">
        <f t="shared" si="44"/>
        <v>0</v>
      </c>
      <c r="AC94" s="117">
        <f t="shared" si="44"/>
        <v>450</v>
      </c>
      <c r="AD94" s="117">
        <f t="shared" si="44"/>
        <v>1480.24</v>
      </c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</row>
    <row r="95" spans="1:51" ht="21.75" customHeight="1">
      <c r="A95" s="120"/>
      <c r="B95" s="120" t="s">
        <v>240</v>
      </c>
      <c r="C95" s="121"/>
      <c r="D95" s="121"/>
      <c r="E95" s="122">
        <f t="shared" ref="E95:AD95" si="45">E94+E77+E64</f>
        <v>3072511</v>
      </c>
      <c r="F95" s="122">
        <f t="shared" si="45"/>
        <v>2141142.58</v>
      </c>
      <c r="G95" s="122">
        <f t="shared" si="45"/>
        <v>2511127</v>
      </c>
      <c r="H95" s="122">
        <f t="shared" si="45"/>
        <v>1744952.7400000002</v>
      </c>
      <c r="I95" s="122">
        <f t="shared" si="45"/>
        <v>3318453</v>
      </c>
      <c r="J95" s="122">
        <f t="shared" si="45"/>
        <v>2298694.9099999997</v>
      </c>
      <c r="K95" s="122">
        <f t="shared" si="45"/>
        <v>2643279</v>
      </c>
      <c r="L95" s="122">
        <f t="shared" si="45"/>
        <v>1864760.84</v>
      </c>
      <c r="M95" s="122">
        <f t="shared" si="45"/>
        <v>2637511</v>
      </c>
      <c r="N95" s="122">
        <f t="shared" si="45"/>
        <v>1909794.51</v>
      </c>
      <c r="O95" s="122">
        <f t="shared" si="45"/>
        <v>2488674</v>
      </c>
      <c r="P95" s="122">
        <f t="shared" si="45"/>
        <v>1838536.57</v>
      </c>
      <c r="Q95" s="122">
        <f t="shared" si="45"/>
        <v>2816255</v>
      </c>
      <c r="R95" s="122">
        <f t="shared" si="45"/>
        <v>2030117.9549999998</v>
      </c>
      <c r="S95" s="122">
        <f t="shared" si="45"/>
        <v>2977616</v>
      </c>
      <c r="T95" s="122">
        <f t="shared" si="45"/>
        <v>2147080.8249999997</v>
      </c>
      <c r="U95" s="122">
        <f t="shared" si="45"/>
        <v>2078766</v>
      </c>
      <c r="V95" s="122">
        <f t="shared" si="45"/>
        <v>1480442.28</v>
      </c>
      <c r="W95" s="122">
        <f t="shared" si="45"/>
        <v>2361919</v>
      </c>
      <c r="X95" s="122">
        <f t="shared" si="45"/>
        <v>1701637.62</v>
      </c>
      <c r="Y95" s="122">
        <f t="shared" si="45"/>
        <v>2386139</v>
      </c>
      <c r="Z95" s="122">
        <f t="shared" si="45"/>
        <v>1735768.5549999999</v>
      </c>
      <c r="AA95" s="122">
        <f t="shared" si="45"/>
        <v>2584267</v>
      </c>
      <c r="AB95" s="122">
        <f t="shared" si="45"/>
        <v>1882546.0750000002</v>
      </c>
      <c r="AC95" s="122">
        <f t="shared" si="45"/>
        <v>31876517</v>
      </c>
      <c r="AD95" s="122">
        <f t="shared" si="45"/>
        <v>22775475.459999997</v>
      </c>
    </row>
    <row r="98" spans="5:20" ht="21.75" customHeight="1">
      <c r="S98" s="124"/>
      <c r="T98" s="124"/>
    </row>
    <row r="99" spans="5:20" ht="21.75" customHeight="1">
      <c r="E99" s="124"/>
      <c r="F99" s="124"/>
      <c r="M99" s="125">
        <v>3026055</v>
      </c>
      <c r="N99" s="125"/>
      <c r="O99" s="123">
        <f>M99-E64</f>
        <v>-320</v>
      </c>
    </row>
    <row r="100" spans="5:20" ht="21.75" customHeight="1">
      <c r="M100" s="123">
        <v>2478738</v>
      </c>
    </row>
    <row r="101" spans="5:20" ht="21.75" customHeight="1">
      <c r="M101" s="123">
        <v>3270872</v>
      </c>
    </row>
    <row r="102" spans="5:20" ht="21.75" customHeight="1">
      <c r="M102" s="123">
        <v>2608133</v>
      </c>
    </row>
    <row r="103" spans="5:20" ht="21.75" customHeight="1">
      <c r="M103" s="123">
        <v>2588244</v>
      </c>
    </row>
    <row r="104" spans="5:20" ht="21.75" customHeight="1">
      <c r="M104" s="123">
        <v>2452265</v>
      </c>
    </row>
    <row r="105" spans="5:20" ht="21.75" customHeight="1">
      <c r="M105" s="123">
        <v>2776654</v>
      </c>
    </row>
    <row r="106" spans="5:20" ht="21.75" customHeight="1">
      <c r="M106" s="123">
        <v>2938394</v>
      </c>
    </row>
    <row r="107" spans="5:20" ht="21.75" customHeight="1">
      <c r="M107" s="125">
        <v>2036424</v>
      </c>
      <c r="N107" s="125"/>
    </row>
    <row r="108" spans="5:20" ht="21.75" customHeight="1">
      <c r="M108" s="123">
        <v>2319201</v>
      </c>
    </row>
    <row r="109" spans="5:20" ht="21.75" customHeight="1">
      <c r="M109" s="126">
        <v>2361207</v>
      </c>
      <c r="N109" s="126"/>
    </row>
    <row r="110" spans="5:20" ht="21.75" customHeight="1">
      <c r="M110" s="126">
        <v>2552450</v>
      </c>
      <c r="N110" s="126"/>
    </row>
  </sheetData>
  <mergeCells count="18">
    <mergeCell ref="AA2:AB2"/>
    <mergeCell ref="AC2:AD2"/>
    <mergeCell ref="O2:P2"/>
    <mergeCell ref="Q2:R2"/>
    <mergeCell ref="S2:T2"/>
    <mergeCell ref="U2:V2"/>
    <mergeCell ref="W2:X2"/>
    <mergeCell ref="Y2:Z2"/>
    <mergeCell ref="A1:R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F5F6-D599-4A55-8235-C599453AE5E0}">
  <sheetPr>
    <tabColor rgb="FFFFC000"/>
  </sheetPr>
  <dimension ref="A1:BZ77"/>
  <sheetViews>
    <sheetView workbookViewId="0">
      <selection activeCell="I20" sqref="I20"/>
    </sheetView>
  </sheetViews>
  <sheetFormatPr defaultColWidth="8.88671875" defaultRowHeight="13.8"/>
  <cols>
    <col min="1" max="1" width="3.33203125" style="155" bestFit="1" customWidth="1"/>
    <col min="2" max="2" width="25.44140625" style="130" customWidth="1"/>
    <col min="3" max="3" width="4.88671875" style="155" bestFit="1" customWidth="1"/>
    <col min="4" max="4" width="6.5546875" style="155" bestFit="1" customWidth="1"/>
    <col min="5" max="7" width="13.5546875" style="155" bestFit="1" customWidth="1"/>
    <col min="8" max="8" width="13.5546875" style="156" bestFit="1" customWidth="1"/>
    <col min="9" max="9" width="13.5546875" style="155" customWidth="1"/>
    <col min="10" max="10" width="13.5546875" style="156" customWidth="1"/>
    <col min="11" max="11" width="13.5546875" style="155" customWidth="1"/>
    <col min="12" max="12" width="13.5546875" style="156" customWidth="1"/>
    <col min="13" max="13" width="13.5546875" style="155" customWidth="1"/>
    <col min="14" max="14" width="13.5546875" style="156" customWidth="1"/>
    <col min="15" max="15" width="13.5546875" style="155" customWidth="1"/>
    <col min="16" max="16" width="13.5546875" style="156" customWidth="1"/>
    <col min="17" max="17" width="13.5546875" style="155" customWidth="1"/>
    <col min="18" max="18" width="13.5546875" style="156" customWidth="1"/>
    <col min="19" max="19" width="13.5546875" style="155" bestFit="1" customWidth="1"/>
    <col min="20" max="20" width="13.5546875" style="156" bestFit="1" customWidth="1"/>
    <col min="21" max="21" width="13.5546875" style="155" bestFit="1" customWidth="1"/>
    <col min="22" max="22" width="13.5546875" style="156" bestFit="1" customWidth="1"/>
    <col min="23" max="23" width="13.5546875" style="155" customWidth="1"/>
    <col min="24" max="24" width="13.5546875" style="156" customWidth="1"/>
    <col min="25" max="25" width="13.5546875" style="155" bestFit="1" customWidth="1"/>
    <col min="26" max="26" width="13.5546875" style="156" bestFit="1" customWidth="1"/>
    <col min="27" max="27" width="13.5546875" style="155" bestFit="1" customWidth="1"/>
    <col min="28" max="28" width="13.5546875" style="156" bestFit="1" customWidth="1"/>
    <col min="29" max="29" width="15" style="157" bestFit="1" customWidth="1"/>
    <col min="30" max="30" width="15" style="129" bestFit="1" customWidth="1"/>
    <col min="31" max="31" width="8.88671875" style="130"/>
    <col min="32" max="32" width="11.88671875" style="130" customWidth="1"/>
    <col min="33" max="33" width="12.88671875" style="130" customWidth="1"/>
    <col min="34" max="42" width="8.88671875" style="130"/>
    <col min="43" max="43" width="20.44140625" style="130" bestFit="1" customWidth="1"/>
    <col min="44" max="16384" width="8.88671875" style="130"/>
  </cols>
  <sheetData>
    <row r="1" spans="1:46" ht="21.75" customHeight="1">
      <c r="A1" s="127" t="s">
        <v>241</v>
      </c>
      <c r="B1" s="127"/>
      <c r="C1" s="127"/>
      <c r="D1" s="127"/>
      <c r="E1" s="127"/>
      <c r="F1" s="127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</row>
    <row r="2" spans="1:46" ht="21.75" customHeight="1">
      <c r="A2" s="285" t="s">
        <v>1</v>
      </c>
      <c r="B2" s="285" t="s">
        <v>2</v>
      </c>
      <c r="C2" s="285" t="s">
        <v>154</v>
      </c>
      <c r="D2" s="131"/>
      <c r="E2" s="286">
        <v>44562</v>
      </c>
      <c r="F2" s="286"/>
      <c r="G2" s="286">
        <v>44593</v>
      </c>
      <c r="H2" s="286"/>
      <c r="I2" s="286">
        <v>44621</v>
      </c>
      <c r="J2" s="286"/>
      <c r="K2" s="286">
        <v>44652</v>
      </c>
      <c r="L2" s="286"/>
      <c r="M2" s="286">
        <v>44682</v>
      </c>
      <c r="N2" s="286"/>
      <c r="O2" s="286">
        <v>44713</v>
      </c>
      <c r="P2" s="286"/>
      <c r="Q2" s="286">
        <v>44743</v>
      </c>
      <c r="R2" s="286"/>
      <c r="S2" s="286">
        <v>44774</v>
      </c>
      <c r="T2" s="286"/>
      <c r="U2" s="286">
        <v>44805</v>
      </c>
      <c r="V2" s="286"/>
      <c r="W2" s="286">
        <v>44835</v>
      </c>
      <c r="X2" s="286"/>
      <c r="Y2" s="286">
        <v>44866</v>
      </c>
      <c r="Z2" s="286"/>
      <c r="AA2" s="286">
        <v>44896</v>
      </c>
      <c r="AB2" s="286"/>
      <c r="AC2" s="288" t="s">
        <v>133</v>
      </c>
      <c r="AD2" s="288"/>
    </row>
    <row r="3" spans="1:46" ht="21.75" customHeight="1">
      <c r="A3" s="285"/>
      <c r="B3" s="285"/>
      <c r="C3" s="285"/>
      <c r="D3" s="131"/>
      <c r="E3" s="102" t="s">
        <v>134</v>
      </c>
      <c r="F3" s="132" t="s">
        <v>242</v>
      </c>
      <c r="G3" s="102" t="s">
        <v>134</v>
      </c>
      <c r="H3" s="132" t="s">
        <v>242</v>
      </c>
      <c r="I3" s="102" t="s">
        <v>134</v>
      </c>
      <c r="J3" s="132" t="s">
        <v>242</v>
      </c>
      <c r="K3" s="102" t="s">
        <v>134</v>
      </c>
      <c r="L3" s="132" t="s">
        <v>242</v>
      </c>
      <c r="M3" s="102" t="s">
        <v>134</v>
      </c>
      <c r="N3" s="132" t="s">
        <v>242</v>
      </c>
      <c r="O3" s="102" t="s">
        <v>134</v>
      </c>
      <c r="P3" s="132" t="s">
        <v>242</v>
      </c>
      <c r="Q3" s="102" t="s">
        <v>134</v>
      </c>
      <c r="R3" s="132" t="s">
        <v>242</v>
      </c>
      <c r="S3" s="102" t="s">
        <v>134</v>
      </c>
      <c r="T3" s="132" t="s">
        <v>242</v>
      </c>
      <c r="U3" s="102" t="s">
        <v>134</v>
      </c>
      <c r="V3" s="132" t="s">
        <v>242</v>
      </c>
      <c r="W3" s="102" t="s">
        <v>134</v>
      </c>
      <c r="X3" s="132" t="s">
        <v>242</v>
      </c>
      <c r="Y3" s="102" t="s">
        <v>134</v>
      </c>
      <c r="Z3" s="132" t="s">
        <v>242</v>
      </c>
      <c r="AA3" s="102" t="s">
        <v>134</v>
      </c>
      <c r="AB3" s="132" t="s">
        <v>242</v>
      </c>
      <c r="AC3" s="133" t="s">
        <v>134</v>
      </c>
      <c r="AD3" s="132" t="s">
        <v>242</v>
      </c>
    </row>
    <row r="4" spans="1:46" ht="21.75" customHeight="1">
      <c r="A4" s="103">
        <v>1</v>
      </c>
      <c r="B4" s="104" t="s">
        <v>157</v>
      </c>
      <c r="C4" s="103">
        <v>640</v>
      </c>
      <c r="D4" s="103">
        <v>0.64</v>
      </c>
      <c r="E4" s="106">
        <v>1607217</v>
      </c>
      <c r="F4" s="134">
        <f>+E4*$D4</f>
        <v>1028618.88</v>
      </c>
      <c r="G4" s="106">
        <v>1487206</v>
      </c>
      <c r="H4" s="134">
        <f>+G4*$D4</f>
        <v>951811.84</v>
      </c>
      <c r="I4" s="106">
        <v>2198434</v>
      </c>
      <c r="J4" s="134">
        <f>+I4*$D4</f>
        <v>1406997.76</v>
      </c>
      <c r="K4" s="106">
        <v>1666056</v>
      </c>
      <c r="L4" s="134">
        <f>+K4*$D4</f>
        <v>1066275.8400000001</v>
      </c>
      <c r="M4" s="106">
        <v>1496012</v>
      </c>
      <c r="N4" s="134">
        <f>+M4*$D4</f>
        <v>957447.68000000005</v>
      </c>
      <c r="O4" s="106">
        <v>1515416</v>
      </c>
      <c r="P4" s="134">
        <f>+O4*$D4</f>
        <v>969866.23999999999</v>
      </c>
      <c r="Q4" s="106">
        <v>1423576</v>
      </c>
      <c r="R4" s="134">
        <f>+Q4*$D4</f>
        <v>911088.64000000001</v>
      </c>
      <c r="S4" s="106">
        <v>1674932</v>
      </c>
      <c r="T4" s="134">
        <f>+S4*$D4</f>
        <v>1071956.48</v>
      </c>
      <c r="U4" s="106">
        <v>1158486</v>
      </c>
      <c r="V4" s="134">
        <f>+U4*$D4</f>
        <v>741431.04</v>
      </c>
      <c r="W4" s="106">
        <v>1230558</v>
      </c>
      <c r="X4" s="134">
        <f>+W4*$D4</f>
        <v>787557.12</v>
      </c>
      <c r="Y4" s="106">
        <v>1325646</v>
      </c>
      <c r="Z4" s="134">
        <f>+Y4*$D4</f>
        <v>848413.44000000006</v>
      </c>
      <c r="AA4" s="106">
        <v>1410990</v>
      </c>
      <c r="AB4" s="134">
        <f>+AA4*$D4</f>
        <v>903033.6</v>
      </c>
      <c r="AC4" s="135">
        <f t="shared" ref="AC4:AC39" si="0">E4+G4+I4+K4+M4+O4+Q4+S4+U4+W4+Y4+AA4</f>
        <v>18194529</v>
      </c>
      <c r="AD4" s="134">
        <f>+AC4*$D4</f>
        <v>11644498.560000001</v>
      </c>
    </row>
    <row r="5" spans="1:46" ht="20.399999999999999">
      <c r="A5" s="103">
        <v>2</v>
      </c>
      <c r="B5" s="104" t="s">
        <v>159</v>
      </c>
      <c r="C5" s="103">
        <v>640</v>
      </c>
      <c r="D5" s="103">
        <v>0.64</v>
      </c>
      <c r="E5" s="106">
        <v>45600</v>
      </c>
      <c r="F5" s="134">
        <f t="shared" ref="F5:H37" si="1">+E5*$D5</f>
        <v>29184</v>
      </c>
      <c r="G5" s="106">
        <v>43632</v>
      </c>
      <c r="H5" s="134">
        <f t="shared" si="1"/>
        <v>27924.48</v>
      </c>
      <c r="I5" s="106">
        <v>91560</v>
      </c>
      <c r="J5" s="134">
        <f t="shared" ref="J5:J30" si="2">+I5*$D5</f>
        <v>58598.400000000001</v>
      </c>
      <c r="K5" s="106">
        <v>52200</v>
      </c>
      <c r="L5" s="134">
        <f t="shared" ref="L5:L30" si="3">+K5*$D5</f>
        <v>33408</v>
      </c>
      <c r="M5" s="106">
        <v>49440</v>
      </c>
      <c r="N5" s="134">
        <f t="shared" ref="N5:N30" si="4">+M5*$D5</f>
        <v>31641.600000000002</v>
      </c>
      <c r="O5" s="106">
        <v>50648</v>
      </c>
      <c r="P5" s="134">
        <f t="shared" ref="P5:P30" si="5">+O5*$D5</f>
        <v>32414.720000000001</v>
      </c>
      <c r="Q5" s="106">
        <v>45384</v>
      </c>
      <c r="R5" s="134">
        <f t="shared" ref="R5:R30" si="6">+Q5*$D5</f>
        <v>29045.760000000002</v>
      </c>
      <c r="S5" s="106">
        <v>43704</v>
      </c>
      <c r="T5" s="134">
        <f t="shared" ref="T5:T30" si="7">+S5*$D5</f>
        <v>27970.560000000001</v>
      </c>
      <c r="U5" s="106">
        <v>31920</v>
      </c>
      <c r="V5" s="134">
        <f t="shared" ref="V5:V30" si="8">+U5*$D5</f>
        <v>20428.8</v>
      </c>
      <c r="W5" s="106">
        <v>39912</v>
      </c>
      <c r="X5" s="134">
        <f t="shared" ref="X5:X30" si="9">+W5*$D5</f>
        <v>25543.68</v>
      </c>
      <c r="Y5" s="106">
        <v>28512</v>
      </c>
      <c r="Z5" s="134">
        <f t="shared" ref="Z5:Z30" si="10">+Y5*$D5</f>
        <v>18247.68</v>
      </c>
      <c r="AA5" s="106">
        <v>53808</v>
      </c>
      <c r="AB5" s="134">
        <f t="shared" ref="AB5:AB30" si="11">+AA5*$D5</f>
        <v>34437.120000000003</v>
      </c>
      <c r="AC5" s="135">
        <f t="shared" si="0"/>
        <v>576320</v>
      </c>
      <c r="AD5" s="134">
        <f t="shared" ref="AD5:AD30" si="12">+AC5*$D5</f>
        <v>368844.79999999999</v>
      </c>
    </row>
    <row r="6" spans="1:46" ht="21.75" customHeight="1">
      <c r="A6" s="103">
        <v>3</v>
      </c>
      <c r="B6" s="104" t="s">
        <v>160</v>
      </c>
      <c r="C6" s="103">
        <v>640</v>
      </c>
      <c r="D6" s="103">
        <v>0.64</v>
      </c>
      <c r="E6" s="106"/>
      <c r="F6" s="134">
        <f t="shared" si="1"/>
        <v>0</v>
      </c>
      <c r="G6" s="106">
        <v>196</v>
      </c>
      <c r="H6" s="134">
        <f t="shared" si="1"/>
        <v>125.44</v>
      </c>
      <c r="I6" s="106"/>
      <c r="J6" s="134">
        <f t="shared" si="2"/>
        <v>0</v>
      </c>
      <c r="K6" s="106">
        <v>420</v>
      </c>
      <c r="L6" s="134">
        <f t="shared" si="3"/>
        <v>268.8</v>
      </c>
      <c r="M6" s="106"/>
      <c r="N6" s="134">
        <f t="shared" si="4"/>
        <v>0</v>
      </c>
      <c r="O6" s="106"/>
      <c r="P6" s="134">
        <f t="shared" si="5"/>
        <v>0</v>
      </c>
      <c r="Q6" s="106"/>
      <c r="R6" s="134">
        <f t="shared" si="6"/>
        <v>0</v>
      </c>
      <c r="S6" s="106">
        <v>280</v>
      </c>
      <c r="T6" s="134">
        <f t="shared" si="7"/>
        <v>179.20000000000002</v>
      </c>
      <c r="U6" s="106"/>
      <c r="V6" s="134">
        <f t="shared" si="8"/>
        <v>0</v>
      </c>
      <c r="W6" s="106"/>
      <c r="X6" s="134">
        <f t="shared" si="9"/>
        <v>0</v>
      </c>
      <c r="Y6" s="106"/>
      <c r="Z6" s="134">
        <f t="shared" si="10"/>
        <v>0</v>
      </c>
      <c r="AA6" s="106">
        <v>420</v>
      </c>
      <c r="AB6" s="134">
        <f t="shared" si="11"/>
        <v>268.8</v>
      </c>
      <c r="AC6" s="135">
        <f t="shared" si="0"/>
        <v>1316</v>
      </c>
      <c r="AD6" s="134">
        <f t="shared" si="12"/>
        <v>842.24</v>
      </c>
    </row>
    <row r="7" spans="1:46" ht="21.75" customHeight="1">
      <c r="A7" s="103">
        <v>4</v>
      </c>
      <c r="B7" s="104" t="s">
        <v>161</v>
      </c>
      <c r="C7" s="103">
        <v>640</v>
      </c>
      <c r="D7" s="103">
        <v>0.64</v>
      </c>
      <c r="E7" s="106">
        <v>1414</v>
      </c>
      <c r="F7" s="134">
        <f t="shared" si="1"/>
        <v>904.96</v>
      </c>
      <c r="G7" s="106">
        <v>1358</v>
      </c>
      <c r="H7" s="134">
        <f t="shared" si="1"/>
        <v>869.12</v>
      </c>
      <c r="I7" s="106">
        <v>1638</v>
      </c>
      <c r="J7" s="134">
        <f t="shared" si="2"/>
        <v>1048.32</v>
      </c>
      <c r="K7" s="106">
        <v>2170</v>
      </c>
      <c r="L7" s="134">
        <f t="shared" si="3"/>
        <v>1388.8</v>
      </c>
      <c r="M7" s="106">
        <v>658</v>
      </c>
      <c r="N7" s="134">
        <f t="shared" si="4"/>
        <v>421.12</v>
      </c>
      <c r="O7" s="106">
        <v>364</v>
      </c>
      <c r="P7" s="134">
        <f t="shared" si="5"/>
        <v>232.96</v>
      </c>
      <c r="Q7" s="106">
        <v>490</v>
      </c>
      <c r="R7" s="134">
        <f t="shared" si="6"/>
        <v>313.60000000000002</v>
      </c>
      <c r="S7" s="106">
        <v>700</v>
      </c>
      <c r="T7" s="134">
        <f t="shared" si="7"/>
        <v>448</v>
      </c>
      <c r="U7" s="106">
        <v>1162</v>
      </c>
      <c r="V7" s="134">
        <f t="shared" si="8"/>
        <v>743.68000000000006</v>
      </c>
      <c r="W7" s="106">
        <v>882</v>
      </c>
      <c r="X7" s="134">
        <f t="shared" si="9"/>
        <v>564.48</v>
      </c>
      <c r="Y7" s="106">
        <v>882</v>
      </c>
      <c r="Z7" s="134">
        <f t="shared" si="10"/>
        <v>564.48</v>
      </c>
      <c r="AA7" s="106"/>
      <c r="AB7" s="134">
        <f t="shared" si="11"/>
        <v>0</v>
      </c>
      <c r="AC7" s="135">
        <f t="shared" si="0"/>
        <v>11718</v>
      </c>
      <c r="AD7" s="134">
        <f t="shared" si="12"/>
        <v>7499.52</v>
      </c>
    </row>
    <row r="8" spans="1:46" ht="21.75" customHeight="1">
      <c r="A8" s="103">
        <v>5</v>
      </c>
      <c r="B8" s="104" t="s">
        <v>162</v>
      </c>
      <c r="C8" s="103">
        <v>640</v>
      </c>
      <c r="D8" s="103">
        <v>0.64</v>
      </c>
      <c r="E8" s="106">
        <v>90650</v>
      </c>
      <c r="F8" s="134">
        <f t="shared" si="1"/>
        <v>58016</v>
      </c>
      <c r="G8" s="106">
        <v>74998</v>
      </c>
      <c r="H8" s="134">
        <f t="shared" si="1"/>
        <v>47998.720000000001</v>
      </c>
      <c r="I8" s="106">
        <v>140658</v>
      </c>
      <c r="J8" s="134">
        <f t="shared" si="2"/>
        <v>90021.119999999995</v>
      </c>
      <c r="K8" s="106">
        <v>104580</v>
      </c>
      <c r="L8" s="134">
        <f t="shared" si="3"/>
        <v>66931.199999999997</v>
      </c>
      <c r="M8" s="106">
        <v>97034</v>
      </c>
      <c r="N8" s="134">
        <f t="shared" si="4"/>
        <v>62101.760000000002</v>
      </c>
      <c r="O8" s="106">
        <v>86618</v>
      </c>
      <c r="P8" s="134">
        <f t="shared" si="5"/>
        <v>55435.520000000004</v>
      </c>
      <c r="Q8" s="106">
        <v>87990</v>
      </c>
      <c r="R8" s="134">
        <f t="shared" si="6"/>
        <v>56313.599999999999</v>
      </c>
      <c r="S8" s="106">
        <v>96250</v>
      </c>
      <c r="T8" s="134">
        <f t="shared" si="7"/>
        <v>61600</v>
      </c>
      <c r="U8" s="106">
        <v>74480</v>
      </c>
      <c r="V8" s="134">
        <f t="shared" si="8"/>
        <v>47667.200000000004</v>
      </c>
      <c r="W8" s="106">
        <v>77910</v>
      </c>
      <c r="X8" s="134">
        <f t="shared" si="9"/>
        <v>49862.400000000001</v>
      </c>
      <c r="Y8" s="106">
        <v>88550</v>
      </c>
      <c r="Z8" s="134">
        <f t="shared" si="10"/>
        <v>56672</v>
      </c>
      <c r="AA8" s="106">
        <v>93866</v>
      </c>
      <c r="AB8" s="134">
        <f t="shared" si="11"/>
        <v>60074.239999999998</v>
      </c>
      <c r="AC8" s="135">
        <f t="shared" si="0"/>
        <v>1113584</v>
      </c>
      <c r="AD8" s="134">
        <f t="shared" si="12"/>
        <v>712693.76000000001</v>
      </c>
    </row>
    <row r="9" spans="1:46" ht="20.399999999999999">
      <c r="A9" s="103">
        <v>6</v>
      </c>
      <c r="B9" s="104" t="s">
        <v>163</v>
      </c>
      <c r="C9" s="103">
        <v>640</v>
      </c>
      <c r="D9" s="103">
        <v>0.64</v>
      </c>
      <c r="E9" s="106">
        <v>980</v>
      </c>
      <c r="F9" s="134">
        <f t="shared" si="1"/>
        <v>627.20000000000005</v>
      </c>
      <c r="G9" s="106"/>
      <c r="H9" s="134">
        <f t="shared" si="1"/>
        <v>0</v>
      </c>
      <c r="I9" s="106">
        <v>350</v>
      </c>
      <c r="J9" s="134">
        <f t="shared" si="2"/>
        <v>224</v>
      </c>
      <c r="K9" s="106">
        <v>2520</v>
      </c>
      <c r="L9" s="134">
        <f t="shared" si="3"/>
        <v>1612.8</v>
      </c>
      <c r="M9" s="106"/>
      <c r="N9" s="134">
        <f t="shared" si="4"/>
        <v>0</v>
      </c>
      <c r="O9" s="106">
        <v>280</v>
      </c>
      <c r="P9" s="134">
        <f t="shared" si="5"/>
        <v>179.20000000000002</v>
      </c>
      <c r="Q9" s="106">
        <v>22078</v>
      </c>
      <c r="R9" s="134">
        <f t="shared" si="6"/>
        <v>14129.92</v>
      </c>
      <c r="S9" s="106">
        <v>140</v>
      </c>
      <c r="T9" s="134">
        <f t="shared" si="7"/>
        <v>89.600000000000009</v>
      </c>
      <c r="U9" s="106">
        <v>420</v>
      </c>
      <c r="V9" s="134">
        <f t="shared" si="8"/>
        <v>268.8</v>
      </c>
      <c r="W9" s="106">
        <v>420</v>
      </c>
      <c r="X9" s="134">
        <f t="shared" si="9"/>
        <v>268.8</v>
      </c>
      <c r="Y9" s="106">
        <v>1820</v>
      </c>
      <c r="Z9" s="134">
        <f t="shared" si="10"/>
        <v>1164.8</v>
      </c>
      <c r="AA9" s="106"/>
      <c r="AB9" s="134">
        <f t="shared" si="11"/>
        <v>0</v>
      </c>
      <c r="AC9" s="135">
        <f t="shared" si="0"/>
        <v>29008</v>
      </c>
      <c r="AD9" s="134">
        <f t="shared" si="12"/>
        <v>18565.12</v>
      </c>
      <c r="AS9" s="136"/>
      <c r="AT9" s="137"/>
    </row>
    <row r="10" spans="1:46" ht="20.399999999999999">
      <c r="A10" s="103">
        <v>7</v>
      </c>
      <c r="B10" s="104" t="s">
        <v>164</v>
      </c>
      <c r="C10" s="103">
        <v>640</v>
      </c>
      <c r="D10" s="103">
        <v>0.64</v>
      </c>
      <c r="E10" s="106">
        <v>57302</v>
      </c>
      <c r="F10" s="134">
        <f t="shared" si="1"/>
        <v>36673.279999999999</v>
      </c>
      <c r="G10" s="106">
        <v>54600</v>
      </c>
      <c r="H10" s="134">
        <f t="shared" si="1"/>
        <v>34944</v>
      </c>
      <c r="I10" s="106">
        <v>71554</v>
      </c>
      <c r="J10" s="134">
        <f t="shared" si="2"/>
        <v>45794.559999999998</v>
      </c>
      <c r="K10" s="106">
        <v>66080</v>
      </c>
      <c r="L10" s="134">
        <f t="shared" si="3"/>
        <v>42291.200000000004</v>
      </c>
      <c r="M10" s="106">
        <v>50946</v>
      </c>
      <c r="N10" s="134">
        <f t="shared" si="4"/>
        <v>32605.440000000002</v>
      </c>
      <c r="O10" s="106">
        <v>54348</v>
      </c>
      <c r="P10" s="134">
        <f t="shared" si="5"/>
        <v>34782.720000000001</v>
      </c>
      <c r="Q10" s="106">
        <v>23548</v>
      </c>
      <c r="R10" s="134">
        <f t="shared" si="6"/>
        <v>15070.720000000001</v>
      </c>
      <c r="S10" s="106">
        <v>53312</v>
      </c>
      <c r="T10" s="134">
        <f t="shared" si="7"/>
        <v>34119.68</v>
      </c>
      <c r="U10" s="106">
        <v>48664</v>
      </c>
      <c r="V10" s="134">
        <f t="shared" si="8"/>
        <v>31144.959999999999</v>
      </c>
      <c r="W10" s="106">
        <v>46704</v>
      </c>
      <c r="X10" s="134">
        <f t="shared" si="9"/>
        <v>29890.560000000001</v>
      </c>
      <c r="Y10" s="106">
        <v>43736</v>
      </c>
      <c r="Z10" s="134">
        <f t="shared" si="10"/>
        <v>27991.040000000001</v>
      </c>
      <c r="AA10" s="106">
        <v>47320</v>
      </c>
      <c r="AB10" s="134">
        <f t="shared" si="11"/>
        <v>30284.799999999999</v>
      </c>
      <c r="AC10" s="135">
        <f t="shared" si="0"/>
        <v>618114</v>
      </c>
      <c r="AD10" s="134">
        <f t="shared" si="12"/>
        <v>395592.96000000002</v>
      </c>
      <c r="AS10" s="136"/>
      <c r="AT10" s="137"/>
    </row>
    <row r="11" spans="1:46" ht="20.399999999999999">
      <c r="A11" s="103">
        <v>8</v>
      </c>
      <c r="B11" s="104" t="s">
        <v>165</v>
      </c>
      <c r="C11" s="103">
        <v>640</v>
      </c>
      <c r="D11" s="103">
        <v>0.64</v>
      </c>
      <c r="E11" s="106">
        <v>70</v>
      </c>
      <c r="F11" s="134">
        <f t="shared" si="1"/>
        <v>44.800000000000004</v>
      </c>
      <c r="G11" s="106"/>
      <c r="H11" s="134">
        <f t="shared" si="1"/>
        <v>0</v>
      </c>
      <c r="I11" s="106">
        <v>210</v>
      </c>
      <c r="J11" s="134">
        <f t="shared" si="2"/>
        <v>134.4</v>
      </c>
      <c r="K11" s="106">
        <v>140</v>
      </c>
      <c r="L11" s="134">
        <f t="shared" si="3"/>
        <v>89.600000000000009</v>
      </c>
      <c r="M11" s="106"/>
      <c r="N11" s="134">
        <f t="shared" si="4"/>
        <v>0</v>
      </c>
      <c r="O11" s="106">
        <v>70</v>
      </c>
      <c r="P11" s="134">
        <f t="shared" si="5"/>
        <v>44.800000000000004</v>
      </c>
      <c r="Q11" s="106">
        <v>140</v>
      </c>
      <c r="R11" s="134">
        <f t="shared" si="6"/>
        <v>89.600000000000009</v>
      </c>
      <c r="S11" s="106">
        <v>140</v>
      </c>
      <c r="T11" s="134">
        <f t="shared" si="7"/>
        <v>89.600000000000009</v>
      </c>
      <c r="U11" s="106">
        <v>280</v>
      </c>
      <c r="V11" s="134">
        <f t="shared" si="8"/>
        <v>179.20000000000002</v>
      </c>
      <c r="W11" s="106">
        <v>70</v>
      </c>
      <c r="X11" s="134">
        <f t="shared" si="9"/>
        <v>44.800000000000004</v>
      </c>
      <c r="Y11" s="106">
        <v>70</v>
      </c>
      <c r="Z11" s="134">
        <f t="shared" si="10"/>
        <v>44.800000000000004</v>
      </c>
      <c r="AA11" s="106">
        <v>182</v>
      </c>
      <c r="AB11" s="134">
        <f t="shared" si="11"/>
        <v>116.48</v>
      </c>
      <c r="AC11" s="135">
        <f t="shared" si="0"/>
        <v>1372</v>
      </c>
      <c r="AD11" s="134">
        <f t="shared" si="12"/>
        <v>878.08</v>
      </c>
      <c r="AS11" s="136"/>
      <c r="AT11" s="137"/>
    </row>
    <row r="12" spans="1:46" ht="21.75" customHeight="1">
      <c r="A12" s="103">
        <v>9</v>
      </c>
      <c r="B12" s="104" t="s">
        <v>166</v>
      </c>
      <c r="C12" s="103">
        <v>640</v>
      </c>
      <c r="D12" s="103">
        <v>0.64</v>
      </c>
      <c r="E12" s="106"/>
      <c r="F12" s="134">
        <f t="shared" si="1"/>
        <v>0</v>
      </c>
      <c r="G12" s="106"/>
      <c r="H12" s="134">
        <f t="shared" si="1"/>
        <v>0</v>
      </c>
      <c r="I12" s="106"/>
      <c r="J12" s="134">
        <f t="shared" si="2"/>
        <v>0</v>
      </c>
      <c r="K12" s="106"/>
      <c r="L12" s="134">
        <f t="shared" si="3"/>
        <v>0</v>
      </c>
      <c r="M12" s="106"/>
      <c r="N12" s="134">
        <f t="shared" si="4"/>
        <v>0</v>
      </c>
      <c r="O12" s="106">
        <v>31</v>
      </c>
      <c r="P12" s="134">
        <f t="shared" si="5"/>
        <v>19.84</v>
      </c>
      <c r="Q12" s="106">
        <v>4218</v>
      </c>
      <c r="R12" s="134">
        <f t="shared" si="6"/>
        <v>2699.52</v>
      </c>
      <c r="S12" s="106">
        <v>9571</v>
      </c>
      <c r="T12" s="134">
        <f t="shared" si="7"/>
        <v>6125.4400000000005</v>
      </c>
      <c r="U12" s="106">
        <v>8242</v>
      </c>
      <c r="V12" s="134">
        <f t="shared" si="8"/>
        <v>5274.88</v>
      </c>
      <c r="W12" s="106">
        <v>8869</v>
      </c>
      <c r="X12" s="134">
        <f t="shared" si="9"/>
        <v>5676.16</v>
      </c>
      <c r="Y12" s="106">
        <v>8797</v>
      </c>
      <c r="Z12" s="134">
        <f t="shared" si="10"/>
        <v>5630.08</v>
      </c>
      <c r="AA12" s="106">
        <v>7237</v>
      </c>
      <c r="AB12" s="134">
        <f t="shared" si="11"/>
        <v>4631.68</v>
      </c>
      <c r="AC12" s="135">
        <f t="shared" si="0"/>
        <v>46965</v>
      </c>
      <c r="AD12" s="134">
        <f t="shared" si="12"/>
        <v>30057.600000000002</v>
      </c>
    </row>
    <row r="13" spans="1:46" ht="21.75" customHeight="1">
      <c r="A13" s="103">
        <v>10</v>
      </c>
      <c r="B13" s="104" t="s">
        <v>168</v>
      </c>
      <c r="C13" s="103">
        <v>640</v>
      </c>
      <c r="D13" s="103">
        <v>0.64</v>
      </c>
      <c r="E13" s="106">
        <v>240</v>
      </c>
      <c r="F13" s="134">
        <f t="shared" si="1"/>
        <v>153.6</v>
      </c>
      <c r="G13" s="106"/>
      <c r="H13" s="134">
        <f t="shared" si="1"/>
        <v>0</v>
      </c>
      <c r="I13" s="106"/>
      <c r="J13" s="134">
        <f t="shared" si="2"/>
        <v>0</v>
      </c>
      <c r="K13" s="106"/>
      <c r="L13" s="134">
        <f t="shared" si="3"/>
        <v>0</v>
      </c>
      <c r="M13" s="106">
        <v>480</v>
      </c>
      <c r="N13" s="134">
        <f t="shared" si="4"/>
        <v>307.2</v>
      </c>
      <c r="O13" s="106"/>
      <c r="P13" s="134">
        <f t="shared" si="5"/>
        <v>0</v>
      </c>
      <c r="Q13" s="106"/>
      <c r="R13" s="134">
        <f t="shared" si="6"/>
        <v>0</v>
      </c>
      <c r="S13" s="106"/>
      <c r="T13" s="134">
        <f t="shared" si="7"/>
        <v>0</v>
      </c>
      <c r="U13" s="106"/>
      <c r="V13" s="134">
        <f t="shared" si="8"/>
        <v>0</v>
      </c>
      <c r="W13" s="106"/>
      <c r="X13" s="134">
        <f t="shared" si="9"/>
        <v>0</v>
      </c>
      <c r="Y13" s="106"/>
      <c r="Z13" s="134">
        <f t="shared" si="10"/>
        <v>0</v>
      </c>
      <c r="AA13" s="106"/>
      <c r="AB13" s="134">
        <f t="shared" si="11"/>
        <v>0</v>
      </c>
      <c r="AC13" s="135">
        <f t="shared" si="0"/>
        <v>720</v>
      </c>
      <c r="AD13" s="134">
        <f t="shared" si="12"/>
        <v>460.8</v>
      </c>
    </row>
    <row r="14" spans="1:46" ht="21.75" customHeight="1">
      <c r="A14" s="103">
        <v>11</v>
      </c>
      <c r="B14" s="104" t="s">
        <v>169</v>
      </c>
      <c r="C14" s="103">
        <v>700</v>
      </c>
      <c r="D14" s="103">
        <v>0.7</v>
      </c>
      <c r="E14" s="106">
        <v>124523</v>
      </c>
      <c r="F14" s="134">
        <f t="shared" si="1"/>
        <v>87166.099999999991</v>
      </c>
      <c r="G14" s="106">
        <v>116620</v>
      </c>
      <c r="H14" s="134">
        <f t="shared" si="1"/>
        <v>81634</v>
      </c>
      <c r="I14" s="106">
        <v>181840</v>
      </c>
      <c r="J14" s="134">
        <f t="shared" si="2"/>
        <v>127287.99999999999</v>
      </c>
      <c r="K14" s="106">
        <v>108012</v>
      </c>
      <c r="L14" s="134">
        <f t="shared" si="3"/>
        <v>75608.399999999994</v>
      </c>
      <c r="M14" s="106">
        <v>114210</v>
      </c>
      <c r="N14" s="134">
        <f t="shared" si="4"/>
        <v>79947</v>
      </c>
      <c r="O14" s="106">
        <v>119568</v>
      </c>
      <c r="P14" s="134">
        <f t="shared" si="5"/>
        <v>83697.599999999991</v>
      </c>
      <c r="Q14" s="106">
        <v>96592</v>
      </c>
      <c r="R14" s="134">
        <f t="shared" si="6"/>
        <v>67614.399999999994</v>
      </c>
      <c r="S14" s="106">
        <v>131952</v>
      </c>
      <c r="T14" s="134">
        <f t="shared" si="7"/>
        <v>92366.399999999994</v>
      </c>
      <c r="U14" s="106">
        <v>89903</v>
      </c>
      <c r="V14" s="134">
        <f t="shared" si="8"/>
        <v>62932.1</v>
      </c>
      <c r="W14" s="106">
        <v>61110</v>
      </c>
      <c r="X14" s="134">
        <f t="shared" si="9"/>
        <v>42777</v>
      </c>
      <c r="Y14" s="106">
        <v>51726</v>
      </c>
      <c r="Z14" s="134">
        <f t="shared" si="10"/>
        <v>36208.199999999997</v>
      </c>
      <c r="AA14" s="106">
        <v>78719</v>
      </c>
      <c r="AB14" s="134">
        <f t="shared" si="11"/>
        <v>55103.299999999996</v>
      </c>
      <c r="AC14" s="135">
        <f t="shared" si="0"/>
        <v>1274775</v>
      </c>
      <c r="AD14" s="134">
        <f t="shared" si="12"/>
        <v>892342.5</v>
      </c>
    </row>
    <row r="15" spans="1:46" ht="21.75" customHeight="1">
      <c r="A15" s="103">
        <v>12</v>
      </c>
      <c r="B15" s="104" t="s">
        <v>170</v>
      </c>
      <c r="C15" s="103">
        <v>640</v>
      </c>
      <c r="D15" s="103">
        <v>0.64</v>
      </c>
      <c r="E15" s="106">
        <v>5280</v>
      </c>
      <c r="F15" s="134">
        <f t="shared" si="1"/>
        <v>3379.2000000000003</v>
      </c>
      <c r="G15" s="106"/>
      <c r="H15" s="134">
        <f t="shared" si="1"/>
        <v>0</v>
      </c>
      <c r="I15" s="106"/>
      <c r="J15" s="134">
        <f t="shared" si="2"/>
        <v>0</v>
      </c>
      <c r="K15" s="106"/>
      <c r="L15" s="134">
        <f t="shared" si="3"/>
        <v>0</v>
      </c>
      <c r="M15" s="106"/>
      <c r="N15" s="134">
        <f t="shared" si="4"/>
        <v>0</v>
      </c>
      <c r="O15" s="106">
        <v>560</v>
      </c>
      <c r="P15" s="134">
        <f t="shared" si="5"/>
        <v>358.40000000000003</v>
      </c>
      <c r="Q15" s="106">
        <v>840</v>
      </c>
      <c r="R15" s="134">
        <f t="shared" si="6"/>
        <v>537.6</v>
      </c>
      <c r="S15" s="106"/>
      <c r="T15" s="134">
        <f t="shared" si="7"/>
        <v>0</v>
      </c>
      <c r="U15" s="106"/>
      <c r="V15" s="134">
        <f t="shared" si="8"/>
        <v>0</v>
      </c>
      <c r="W15" s="106"/>
      <c r="X15" s="134">
        <f t="shared" si="9"/>
        <v>0</v>
      </c>
      <c r="Y15" s="106">
        <v>6</v>
      </c>
      <c r="Z15" s="134">
        <f t="shared" si="10"/>
        <v>3.84</v>
      </c>
      <c r="AA15" s="106"/>
      <c r="AB15" s="134">
        <f t="shared" si="11"/>
        <v>0</v>
      </c>
      <c r="AC15" s="135">
        <f t="shared" si="0"/>
        <v>6686</v>
      </c>
      <c r="AD15" s="134">
        <f t="shared" si="12"/>
        <v>4279.04</v>
      </c>
    </row>
    <row r="16" spans="1:46" ht="20.399999999999999">
      <c r="A16" s="103">
        <v>13</v>
      </c>
      <c r="B16" s="104" t="s">
        <v>171</v>
      </c>
      <c r="C16" s="103">
        <v>640</v>
      </c>
      <c r="D16" s="103">
        <v>0.64</v>
      </c>
      <c r="E16" s="106"/>
      <c r="F16" s="134">
        <f t="shared" si="1"/>
        <v>0</v>
      </c>
      <c r="G16" s="106">
        <v>2400</v>
      </c>
      <c r="H16" s="134">
        <f t="shared" si="1"/>
        <v>1536</v>
      </c>
      <c r="I16" s="106"/>
      <c r="J16" s="134">
        <f t="shared" si="2"/>
        <v>0</v>
      </c>
      <c r="K16" s="106"/>
      <c r="L16" s="134">
        <f t="shared" si="3"/>
        <v>0</v>
      </c>
      <c r="M16" s="106"/>
      <c r="N16" s="134">
        <f t="shared" si="4"/>
        <v>0</v>
      </c>
      <c r="O16" s="106"/>
      <c r="P16" s="134">
        <f t="shared" si="5"/>
        <v>0</v>
      </c>
      <c r="Q16" s="106"/>
      <c r="R16" s="134">
        <f t="shared" si="6"/>
        <v>0</v>
      </c>
      <c r="S16" s="106"/>
      <c r="T16" s="134">
        <f t="shared" si="7"/>
        <v>0</v>
      </c>
      <c r="U16" s="106"/>
      <c r="V16" s="134">
        <f t="shared" si="8"/>
        <v>0</v>
      </c>
      <c r="W16" s="106"/>
      <c r="X16" s="134">
        <f t="shared" si="9"/>
        <v>0</v>
      </c>
      <c r="Y16" s="106"/>
      <c r="Z16" s="134">
        <f t="shared" si="10"/>
        <v>0</v>
      </c>
      <c r="AA16" s="106"/>
      <c r="AB16" s="134">
        <f t="shared" si="11"/>
        <v>0</v>
      </c>
      <c r="AC16" s="135">
        <f t="shared" si="0"/>
        <v>2400</v>
      </c>
      <c r="AD16" s="134">
        <f t="shared" si="12"/>
        <v>1536</v>
      </c>
    </row>
    <row r="17" spans="1:30" ht="21.75" customHeight="1">
      <c r="A17" s="103">
        <v>14</v>
      </c>
      <c r="B17" s="104" t="s">
        <v>243</v>
      </c>
      <c r="C17" s="103">
        <v>640</v>
      </c>
      <c r="D17" s="103">
        <v>0.64</v>
      </c>
      <c r="E17" s="106">
        <v>5488</v>
      </c>
      <c r="F17" s="134">
        <f t="shared" si="1"/>
        <v>3512.32</v>
      </c>
      <c r="G17" s="106">
        <v>5082</v>
      </c>
      <c r="H17" s="134">
        <f t="shared" si="1"/>
        <v>3252.48</v>
      </c>
      <c r="I17" s="106">
        <v>7970</v>
      </c>
      <c r="J17" s="134">
        <f t="shared" si="2"/>
        <v>5100.8</v>
      </c>
      <c r="K17" s="106">
        <v>5152</v>
      </c>
      <c r="L17" s="134">
        <f t="shared" si="3"/>
        <v>3297.28</v>
      </c>
      <c r="M17" s="106">
        <v>5614</v>
      </c>
      <c r="N17" s="134">
        <f t="shared" si="4"/>
        <v>3592.96</v>
      </c>
      <c r="O17" s="106">
        <v>5334</v>
      </c>
      <c r="P17" s="134">
        <f t="shared" si="5"/>
        <v>3413.76</v>
      </c>
      <c r="Q17" s="106">
        <v>5899</v>
      </c>
      <c r="R17" s="134">
        <f t="shared" si="6"/>
        <v>3775.36</v>
      </c>
      <c r="S17" s="106">
        <v>4564</v>
      </c>
      <c r="T17" s="134">
        <f t="shared" si="7"/>
        <v>2920.96</v>
      </c>
      <c r="U17" s="106">
        <v>4830</v>
      </c>
      <c r="V17" s="134">
        <f t="shared" si="8"/>
        <v>3091.2000000000003</v>
      </c>
      <c r="W17" s="106">
        <v>6062</v>
      </c>
      <c r="X17" s="134">
        <f t="shared" si="9"/>
        <v>3879.6800000000003</v>
      </c>
      <c r="Y17" s="106">
        <v>4074</v>
      </c>
      <c r="Z17" s="134">
        <f t="shared" si="10"/>
        <v>2607.36</v>
      </c>
      <c r="AA17" s="106">
        <v>5376</v>
      </c>
      <c r="AB17" s="134">
        <f t="shared" si="11"/>
        <v>3440.64</v>
      </c>
      <c r="AC17" s="135">
        <f t="shared" si="0"/>
        <v>65445</v>
      </c>
      <c r="AD17" s="134">
        <f t="shared" si="12"/>
        <v>41884.800000000003</v>
      </c>
    </row>
    <row r="18" spans="1:30" ht="21.75" hidden="1" customHeight="1">
      <c r="A18" s="103">
        <v>15</v>
      </c>
      <c r="B18" s="104"/>
      <c r="C18" s="103"/>
      <c r="D18" s="103"/>
      <c r="E18" s="106"/>
      <c r="F18" s="134">
        <f t="shared" si="1"/>
        <v>0</v>
      </c>
      <c r="G18" s="106"/>
      <c r="H18" s="134">
        <f t="shared" si="1"/>
        <v>0</v>
      </c>
      <c r="I18" s="106"/>
      <c r="J18" s="134">
        <f t="shared" si="2"/>
        <v>0</v>
      </c>
      <c r="K18" s="106"/>
      <c r="L18" s="134">
        <f t="shared" si="3"/>
        <v>0</v>
      </c>
      <c r="M18" s="106"/>
      <c r="N18" s="134">
        <f t="shared" si="4"/>
        <v>0</v>
      </c>
      <c r="O18" s="106"/>
      <c r="P18" s="134">
        <f t="shared" si="5"/>
        <v>0</v>
      </c>
      <c r="Q18" s="106"/>
      <c r="R18" s="134">
        <f t="shared" si="6"/>
        <v>0</v>
      </c>
      <c r="S18" s="106"/>
      <c r="T18" s="134">
        <f t="shared" si="7"/>
        <v>0</v>
      </c>
      <c r="U18" s="106"/>
      <c r="V18" s="134">
        <f t="shared" si="8"/>
        <v>0</v>
      </c>
      <c r="W18" s="106"/>
      <c r="X18" s="134">
        <f t="shared" si="9"/>
        <v>0</v>
      </c>
      <c r="Y18" s="106"/>
      <c r="Z18" s="134">
        <f t="shared" si="10"/>
        <v>0</v>
      </c>
      <c r="AA18" s="106"/>
      <c r="AB18" s="134">
        <f t="shared" si="11"/>
        <v>0</v>
      </c>
      <c r="AC18" s="135">
        <f t="shared" si="0"/>
        <v>0</v>
      </c>
      <c r="AD18" s="134">
        <f t="shared" si="12"/>
        <v>0</v>
      </c>
    </row>
    <row r="19" spans="1:30" ht="21.75" customHeight="1">
      <c r="A19" s="103">
        <v>16</v>
      </c>
      <c r="B19" s="104" t="s">
        <v>188</v>
      </c>
      <c r="C19" s="103">
        <v>1000</v>
      </c>
      <c r="D19" s="103">
        <v>1</v>
      </c>
      <c r="E19" s="106"/>
      <c r="F19" s="134">
        <f t="shared" si="1"/>
        <v>0</v>
      </c>
      <c r="G19" s="106">
        <v>108</v>
      </c>
      <c r="H19" s="134">
        <f t="shared" si="1"/>
        <v>108</v>
      </c>
      <c r="I19" s="106"/>
      <c r="J19" s="134">
        <f t="shared" si="2"/>
        <v>0</v>
      </c>
      <c r="K19" s="106"/>
      <c r="L19" s="134">
        <f t="shared" si="3"/>
        <v>0</v>
      </c>
      <c r="M19" s="106"/>
      <c r="N19" s="134">
        <f t="shared" si="4"/>
        <v>0</v>
      </c>
      <c r="O19" s="106"/>
      <c r="P19" s="134">
        <f t="shared" si="5"/>
        <v>0</v>
      </c>
      <c r="Q19" s="106"/>
      <c r="R19" s="134">
        <f t="shared" si="6"/>
        <v>0</v>
      </c>
      <c r="S19" s="106"/>
      <c r="T19" s="134">
        <f t="shared" si="7"/>
        <v>0</v>
      </c>
      <c r="U19" s="106"/>
      <c r="V19" s="134">
        <f t="shared" si="8"/>
        <v>0</v>
      </c>
      <c r="W19" s="106"/>
      <c r="X19" s="134">
        <f t="shared" si="9"/>
        <v>0</v>
      </c>
      <c r="Y19" s="106"/>
      <c r="Z19" s="134">
        <f t="shared" si="10"/>
        <v>0</v>
      </c>
      <c r="AA19" s="106"/>
      <c r="AB19" s="134">
        <f t="shared" si="11"/>
        <v>0</v>
      </c>
      <c r="AC19" s="135">
        <f t="shared" si="0"/>
        <v>108</v>
      </c>
      <c r="AD19" s="134">
        <f t="shared" si="12"/>
        <v>108</v>
      </c>
    </row>
    <row r="20" spans="1:30" ht="21.75" customHeight="1">
      <c r="A20" s="103">
        <v>17</v>
      </c>
      <c r="B20" s="104" t="s">
        <v>189</v>
      </c>
      <c r="C20" s="103">
        <v>600</v>
      </c>
      <c r="D20" s="103">
        <v>0.6</v>
      </c>
      <c r="E20" s="106">
        <v>12</v>
      </c>
      <c r="F20" s="134">
        <f t="shared" si="1"/>
        <v>7.1999999999999993</v>
      </c>
      <c r="G20" s="106"/>
      <c r="H20" s="134">
        <f t="shared" si="1"/>
        <v>0</v>
      </c>
      <c r="I20" s="106"/>
      <c r="J20" s="134">
        <f t="shared" si="2"/>
        <v>0</v>
      </c>
      <c r="K20" s="106"/>
      <c r="L20" s="134">
        <f t="shared" si="3"/>
        <v>0</v>
      </c>
      <c r="M20" s="106"/>
      <c r="N20" s="134">
        <f t="shared" si="4"/>
        <v>0</v>
      </c>
      <c r="O20" s="106"/>
      <c r="P20" s="134">
        <f t="shared" si="5"/>
        <v>0</v>
      </c>
      <c r="Q20" s="106"/>
      <c r="R20" s="134">
        <f t="shared" si="6"/>
        <v>0</v>
      </c>
      <c r="S20" s="106"/>
      <c r="T20" s="134">
        <f t="shared" si="7"/>
        <v>0</v>
      </c>
      <c r="U20" s="106"/>
      <c r="V20" s="134">
        <f t="shared" si="8"/>
        <v>0</v>
      </c>
      <c r="W20" s="106"/>
      <c r="X20" s="134">
        <f t="shared" si="9"/>
        <v>0</v>
      </c>
      <c r="Y20" s="106"/>
      <c r="Z20" s="134">
        <f t="shared" si="10"/>
        <v>0</v>
      </c>
      <c r="AA20" s="106"/>
      <c r="AB20" s="134">
        <f t="shared" si="11"/>
        <v>0</v>
      </c>
      <c r="AC20" s="135">
        <f t="shared" si="0"/>
        <v>12</v>
      </c>
      <c r="AD20" s="134">
        <f t="shared" si="12"/>
        <v>7.1999999999999993</v>
      </c>
    </row>
    <row r="21" spans="1:30" ht="21.75" customHeight="1">
      <c r="A21" s="103">
        <v>18</v>
      </c>
      <c r="B21" s="104" t="s">
        <v>190</v>
      </c>
      <c r="C21" s="103">
        <v>350</v>
      </c>
      <c r="D21" s="103">
        <v>0.35</v>
      </c>
      <c r="E21" s="106">
        <v>187200</v>
      </c>
      <c r="F21" s="134">
        <f t="shared" si="1"/>
        <v>65519.999999999993</v>
      </c>
      <c r="G21" s="106"/>
      <c r="H21" s="134">
        <f t="shared" si="1"/>
        <v>0</v>
      </c>
      <c r="I21" s="106"/>
      <c r="J21" s="134">
        <f t="shared" si="2"/>
        <v>0</v>
      </c>
      <c r="K21" s="106"/>
      <c r="L21" s="134">
        <f t="shared" si="3"/>
        <v>0</v>
      </c>
      <c r="M21" s="106"/>
      <c r="N21" s="134">
        <f t="shared" si="4"/>
        <v>0</v>
      </c>
      <c r="O21" s="106"/>
      <c r="P21" s="134">
        <f t="shared" si="5"/>
        <v>0</v>
      </c>
      <c r="Q21" s="106"/>
      <c r="R21" s="134">
        <f t="shared" si="6"/>
        <v>0</v>
      </c>
      <c r="S21" s="106"/>
      <c r="T21" s="134">
        <f t="shared" si="7"/>
        <v>0</v>
      </c>
      <c r="U21" s="106"/>
      <c r="V21" s="134">
        <f t="shared" si="8"/>
        <v>0</v>
      </c>
      <c r="W21" s="106"/>
      <c r="X21" s="134">
        <f t="shared" si="9"/>
        <v>0</v>
      </c>
      <c r="Y21" s="106"/>
      <c r="Z21" s="134">
        <f t="shared" si="10"/>
        <v>0</v>
      </c>
      <c r="AA21" s="106"/>
      <c r="AB21" s="134">
        <f t="shared" si="11"/>
        <v>0</v>
      </c>
      <c r="AC21" s="135">
        <f t="shared" si="0"/>
        <v>187200</v>
      </c>
      <c r="AD21" s="134">
        <f t="shared" si="12"/>
        <v>65519.999999999993</v>
      </c>
    </row>
    <row r="22" spans="1:30" ht="21.75" customHeight="1">
      <c r="A22" s="103">
        <v>19</v>
      </c>
      <c r="B22" s="104" t="s">
        <v>191</v>
      </c>
      <c r="C22" s="103">
        <v>1000</v>
      </c>
      <c r="D22" s="103">
        <v>1</v>
      </c>
      <c r="E22" s="106">
        <v>12</v>
      </c>
      <c r="F22" s="134">
        <f t="shared" si="1"/>
        <v>12</v>
      </c>
      <c r="G22" s="106"/>
      <c r="H22" s="134">
        <f t="shared" si="1"/>
        <v>0</v>
      </c>
      <c r="I22" s="106">
        <v>48</v>
      </c>
      <c r="J22" s="134">
        <f t="shared" si="2"/>
        <v>48</v>
      </c>
      <c r="K22" s="106"/>
      <c r="L22" s="134">
        <f t="shared" si="3"/>
        <v>0</v>
      </c>
      <c r="M22" s="106"/>
      <c r="N22" s="134">
        <f t="shared" si="4"/>
        <v>0</v>
      </c>
      <c r="O22" s="106"/>
      <c r="P22" s="134">
        <f t="shared" si="5"/>
        <v>0</v>
      </c>
      <c r="Q22" s="106">
        <v>72</v>
      </c>
      <c r="R22" s="134">
        <f t="shared" si="6"/>
        <v>72</v>
      </c>
      <c r="S22" s="106">
        <v>12</v>
      </c>
      <c r="T22" s="134">
        <f t="shared" si="7"/>
        <v>12</v>
      </c>
      <c r="U22" s="106">
        <v>12</v>
      </c>
      <c r="V22" s="134">
        <f t="shared" si="8"/>
        <v>12</v>
      </c>
      <c r="W22" s="106">
        <v>72</v>
      </c>
      <c r="X22" s="134">
        <f t="shared" si="9"/>
        <v>72</v>
      </c>
      <c r="Y22" s="106">
        <v>48</v>
      </c>
      <c r="Z22" s="134">
        <f t="shared" si="10"/>
        <v>48</v>
      </c>
      <c r="AA22" s="106">
        <v>36</v>
      </c>
      <c r="AB22" s="134">
        <f t="shared" si="11"/>
        <v>36</v>
      </c>
      <c r="AC22" s="135">
        <f t="shared" si="0"/>
        <v>312</v>
      </c>
      <c r="AD22" s="134">
        <f t="shared" si="12"/>
        <v>312</v>
      </c>
    </row>
    <row r="23" spans="1:30" ht="21.75" customHeight="1">
      <c r="A23" s="103">
        <v>20</v>
      </c>
      <c r="B23" s="104" t="s">
        <v>192</v>
      </c>
      <c r="C23" s="103">
        <v>600</v>
      </c>
      <c r="D23" s="103">
        <v>0.6</v>
      </c>
      <c r="E23" s="106"/>
      <c r="F23" s="134">
        <f t="shared" si="1"/>
        <v>0</v>
      </c>
      <c r="G23" s="106"/>
      <c r="H23" s="134">
        <f t="shared" si="1"/>
        <v>0</v>
      </c>
      <c r="I23" s="106"/>
      <c r="J23" s="134">
        <f t="shared" si="2"/>
        <v>0</v>
      </c>
      <c r="K23" s="106"/>
      <c r="L23" s="134">
        <f t="shared" si="3"/>
        <v>0</v>
      </c>
      <c r="M23" s="106"/>
      <c r="N23" s="134">
        <f t="shared" si="4"/>
        <v>0</v>
      </c>
      <c r="O23" s="106">
        <v>132</v>
      </c>
      <c r="P23" s="134">
        <f t="shared" si="5"/>
        <v>79.2</v>
      </c>
      <c r="Q23" s="106"/>
      <c r="R23" s="134">
        <f t="shared" si="6"/>
        <v>0</v>
      </c>
      <c r="S23" s="106"/>
      <c r="T23" s="134">
        <f t="shared" si="7"/>
        <v>0</v>
      </c>
      <c r="U23" s="106"/>
      <c r="V23" s="134">
        <f t="shared" si="8"/>
        <v>0</v>
      </c>
      <c r="W23" s="106"/>
      <c r="X23" s="134">
        <f t="shared" si="9"/>
        <v>0</v>
      </c>
      <c r="Y23" s="106"/>
      <c r="Z23" s="134">
        <f t="shared" si="10"/>
        <v>0</v>
      </c>
      <c r="AA23" s="106"/>
      <c r="AB23" s="134">
        <f t="shared" si="11"/>
        <v>0</v>
      </c>
      <c r="AC23" s="135">
        <f t="shared" si="0"/>
        <v>132</v>
      </c>
      <c r="AD23" s="134">
        <f t="shared" si="12"/>
        <v>79.2</v>
      </c>
    </row>
    <row r="24" spans="1:30" ht="21.75" customHeight="1">
      <c r="A24" s="103">
        <v>21</v>
      </c>
      <c r="B24" s="104" t="s">
        <v>244</v>
      </c>
      <c r="C24" s="103">
        <v>1000</v>
      </c>
      <c r="D24" s="103">
        <v>1</v>
      </c>
      <c r="E24" s="106">
        <v>473472</v>
      </c>
      <c r="F24" s="134">
        <f t="shared" si="1"/>
        <v>473472</v>
      </c>
      <c r="G24" s="106">
        <v>450804</v>
      </c>
      <c r="H24" s="134">
        <f t="shared" si="1"/>
        <v>450804</v>
      </c>
      <c r="I24" s="106">
        <v>626052</v>
      </c>
      <c r="J24" s="134">
        <f t="shared" si="2"/>
        <v>626052</v>
      </c>
      <c r="K24" s="106">
        <v>511680</v>
      </c>
      <c r="L24" s="134">
        <f t="shared" si="3"/>
        <v>511680</v>
      </c>
      <c r="M24" s="106">
        <v>550272</v>
      </c>
      <c r="N24" s="134">
        <f t="shared" si="4"/>
        <v>550272</v>
      </c>
      <c r="O24" s="106">
        <v>592536</v>
      </c>
      <c r="P24" s="134">
        <f t="shared" si="5"/>
        <v>592536</v>
      </c>
      <c r="Q24" s="106">
        <v>565716</v>
      </c>
      <c r="R24" s="134">
        <f t="shared" si="6"/>
        <v>565716</v>
      </c>
      <c r="S24" s="106">
        <v>765972</v>
      </c>
      <c r="T24" s="134">
        <f t="shared" si="7"/>
        <v>765972</v>
      </c>
      <c r="U24" s="106">
        <v>498072</v>
      </c>
      <c r="V24" s="134">
        <f t="shared" si="8"/>
        <v>498072</v>
      </c>
      <c r="W24" s="106">
        <v>500448</v>
      </c>
      <c r="X24" s="134">
        <f t="shared" si="9"/>
        <v>500448</v>
      </c>
      <c r="Y24" s="106">
        <v>500652</v>
      </c>
      <c r="Z24" s="134">
        <f t="shared" si="10"/>
        <v>500652</v>
      </c>
      <c r="AA24" s="106">
        <v>592176</v>
      </c>
      <c r="AB24" s="134">
        <f t="shared" si="11"/>
        <v>592176</v>
      </c>
      <c r="AC24" s="135">
        <f t="shared" si="0"/>
        <v>6627852</v>
      </c>
      <c r="AD24" s="134">
        <f t="shared" si="12"/>
        <v>6627852</v>
      </c>
    </row>
    <row r="25" spans="1:30" ht="21.75" customHeight="1">
      <c r="A25" s="103">
        <v>22</v>
      </c>
      <c r="B25" s="104" t="s">
        <v>245</v>
      </c>
      <c r="C25" s="103">
        <v>600</v>
      </c>
      <c r="D25" s="103">
        <v>0.6</v>
      </c>
      <c r="E25" s="106">
        <v>52464</v>
      </c>
      <c r="F25" s="134">
        <f t="shared" si="1"/>
        <v>31478.399999999998</v>
      </c>
      <c r="G25" s="106">
        <v>41544</v>
      </c>
      <c r="H25" s="134">
        <f t="shared" si="1"/>
        <v>24926.399999999998</v>
      </c>
      <c r="I25" s="106">
        <v>61080</v>
      </c>
      <c r="J25" s="134">
        <f t="shared" si="2"/>
        <v>36648</v>
      </c>
      <c r="K25" s="106"/>
      <c r="L25" s="134">
        <f t="shared" si="3"/>
        <v>0</v>
      </c>
      <c r="M25" s="106"/>
      <c r="N25" s="134">
        <f t="shared" si="4"/>
        <v>0</v>
      </c>
      <c r="O25" s="106"/>
      <c r="P25" s="134">
        <f t="shared" si="5"/>
        <v>0</v>
      </c>
      <c r="Q25" s="106"/>
      <c r="R25" s="134">
        <f t="shared" si="6"/>
        <v>0</v>
      </c>
      <c r="S25" s="106"/>
      <c r="T25" s="134">
        <f t="shared" si="7"/>
        <v>0</v>
      </c>
      <c r="U25" s="106"/>
      <c r="V25" s="134">
        <f t="shared" si="8"/>
        <v>0</v>
      </c>
      <c r="W25" s="106"/>
      <c r="X25" s="134">
        <f t="shared" si="9"/>
        <v>0</v>
      </c>
      <c r="Y25" s="106"/>
      <c r="Z25" s="134">
        <f t="shared" si="10"/>
        <v>0</v>
      </c>
      <c r="AA25" s="106"/>
      <c r="AB25" s="134">
        <f t="shared" si="11"/>
        <v>0</v>
      </c>
      <c r="AC25" s="135">
        <f t="shared" si="0"/>
        <v>155088</v>
      </c>
      <c r="AD25" s="134">
        <f t="shared" si="12"/>
        <v>93052.800000000003</v>
      </c>
    </row>
    <row r="26" spans="1:30" ht="21.75" customHeight="1">
      <c r="A26" s="103">
        <v>23</v>
      </c>
      <c r="B26" s="104" t="s">
        <v>246</v>
      </c>
      <c r="C26" s="103">
        <v>600</v>
      </c>
      <c r="D26" s="103">
        <v>0.6</v>
      </c>
      <c r="E26" s="106"/>
      <c r="F26" s="134">
        <f t="shared" si="1"/>
        <v>0</v>
      </c>
      <c r="G26" s="106"/>
      <c r="H26" s="134">
        <f t="shared" si="1"/>
        <v>0</v>
      </c>
      <c r="I26" s="106"/>
      <c r="J26" s="134">
        <f t="shared" si="2"/>
        <v>0</v>
      </c>
      <c r="K26" s="106">
        <v>44568</v>
      </c>
      <c r="L26" s="134">
        <f t="shared" si="3"/>
        <v>26740.799999999999</v>
      </c>
      <c r="M26" s="106">
        <v>38844</v>
      </c>
      <c r="N26" s="134">
        <f t="shared" si="4"/>
        <v>23306.399999999998</v>
      </c>
      <c r="O26" s="106">
        <v>42405</v>
      </c>
      <c r="P26" s="134">
        <f t="shared" si="5"/>
        <v>25443</v>
      </c>
      <c r="Q26" s="106">
        <v>38460</v>
      </c>
      <c r="R26" s="134">
        <f t="shared" si="6"/>
        <v>23076</v>
      </c>
      <c r="S26" s="106">
        <v>46740</v>
      </c>
      <c r="T26" s="134">
        <f t="shared" si="7"/>
        <v>28044</v>
      </c>
      <c r="U26" s="106">
        <v>36324</v>
      </c>
      <c r="V26" s="134">
        <f t="shared" si="8"/>
        <v>21794.399999999998</v>
      </c>
      <c r="W26" s="106">
        <v>38988</v>
      </c>
      <c r="X26" s="134">
        <f t="shared" si="9"/>
        <v>23392.799999999999</v>
      </c>
      <c r="Y26" s="106">
        <v>26892</v>
      </c>
      <c r="Z26" s="134">
        <f t="shared" si="10"/>
        <v>16135.199999999999</v>
      </c>
      <c r="AA26" s="106">
        <v>30576</v>
      </c>
      <c r="AB26" s="134">
        <f t="shared" si="11"/>
        <v>18345.599999999999</v>
      </c>
      <c r="AC26" s="135">
        <f t="shared" si="0"/>
        <v>343797</v>
      </c>
      <c r="AD26" s="134">
        <f t="shared" si="12"/>
        <v>206278.19999999998</v>
      </c>
    </row>
    <row r="27" spans="1:30" ht="21.75" customHeight="1">
      <c r="A27" s="103">
        <v>24</v>
      </c>
      <c r="B27" s="104" t="s">
        <v>247</v>
      </c>
      <c r="C27" s="103">
        <v>350</v>
      </c>
      <c r="D27" s="103">
        <v>0.35</v>
      </c>
      <c r="E27" s="106">
        <v>150760</v>
      </c>
      <c r="F27" s="134">
        <f t="shared" si="1"/>
        <v>52766</v>
      </c>
      <c r="G27" s="106">
        <v>308440</v>
      </c>
      <c r="H27" s="134">
        <f t="shared" si="1"/>
        <v>107954</v>
      </c>
      <c r="I27" s="106">
        <v>487360</v>
      </c>
      <c r="J27" s="134">
        <f t="shared" si="2"/>
        <v>170576</v>
      </c>
      <c r="K27" s="106">
        <v>316840</v>
      </c>
      <c r="L27" s="134">
        <f t="shared" si="3"/>
        <v>110894</v>
      </c>
      <c r="M27" s="106">
        <v>334160</v>
      </c>
      <c r="N27" s="134">
        <f t="shared" si="4"/>
        <v>116955.99999999999</v>
      </c>
      <c r="O27" s="106">
        <v>376440</v>
      </c>
      <c r="P27" s="134">
        <f t="shared" si="5"/>
        <v>131754</v>
      </c>
      <c r="Q27" s="106">
        <v>367720</v>
      </c>
      <c r="R27" s="134">
        <f t="shared" si="6"/>
        <v>128701.99999999999</v>
      </c>
      <c r="S27" s="106">
        <v>491400</v>
      </c>
      <c r="T27" s="134">
        <f t="shared" si="7"/>
        <v>171990</v>
      </c>
      <c r="U27" s="106">
        <v>339120</v>
      </c>
      <c r="V27" s="134">
        <f t="shared" si="8"/>
        <v>118691.99999999999</v>
      </c>
      <c r="W27" s="106">
        <v>353920</v>
      </c>
      <c r="X27" s="134">
        <f t="shared" si="9"/>
        <v>123871.99999999999</v>
      </c>
      <c r="Y27" s="106">
        <v>363320</v>
      </c>
      <c r="Z27" s="134">
        <f t="shared" si="10"/>
        <v>127161.99999999999</v>
      </c>
      <c r="AA27" s="106">
        <v>384200</v>
      </c>
      <c r="AB27" s="134">
        <f t="shared" si="11"/>
        <v>134470</v>
      </c>
      <c r="AC27" s="135">
        <f t="shared" si="0"/>
        <v>4273680</v>
      </c>
      <c r="AD27" s="134">
        <f t="shared" si="12"/>
        <v>1495788</v>
      </c>
    </row>
    <row r="28" spans="1:30" ht="21.75" customHeight="1">
      <c r="A28" s="103">
        <v>25</v>
      </c>
      <c r="B28" s="104" t="s">
        <v>198</v>
      </c>
      <c r="C28" s="103">
        <v>1000</v>
      </c>
      <c r="D28" s="103">
        <v>1</v>
      </c>
      <c r="E28" s="106">
        <v>528</v>
      </c>
      <c r="F28" s="134">
        <f t="shared" si="1"/>
        <v>528</v>
      </c>
      <c r="G28" s="106">
        <v>552</v>
      </c>
      <c r="H28" s="134">
        <f t="shared" si="1"/>
        <v>552</v>
      </c>
      <c r="I28" s="106">
        <v>288</v>
      </c>
      <c r="J28" s="134">
        <f t="shared" si="2"/>
        <v>288</v>
      </c>
      <c r="K28" s="106">
        <v>432</v>
      </c>
      <c r="L28" s="134">
        <f t="shared" si="3"/>
        <v>432</v>
      </c>
      <c r="M28" s="106">
        <v>251</v>
      </c>
      <c r="N28" s="134">
        <f t="shared" si="4"/>
        <v>251</v>
      </c>
      <c r="O28" s="106">
        <v>504</v>
      </c>
      <c r="P28" s="134">
        <f t="shared" si="5"/>
        <v>504</v>
      </c>
      <c r="Q28" s="106">
        <v>216</v>
      </c>
      <c r="R28" s="134">
        <f t="shared" si="6"/>
        <v>216</v>
      </c>
      <c r="S28" s="106">
        <v>324</v>
      </c>
      <c r="T28" s="134">
        <f t="shared" si="7"/>
        <v>324</v>
      </c>
      <c r="U28" s="106">
        <v>480</v>
      </c>
      <c r="V28" s="134">
        <f t="shared" si="8"/>
        <v>480</v>
      </c>
      <c r="W28" s="106">
        <v>348</v>
      </c>
      <c r="X28" s="134">
        <f t="shared" si="9"/>
        <v>348</v>
      </c>
      <c r="Y28" s="106">
        <v>276</v>
      </c>
      <c r="Z28" s="134">
        <f t="shared" si="10"/>
        <v>276</v>
      </c>
      <c r="AA28" s="106">
        <v>384</v>
      </c>
      <c r="AB28" s="134">
        <f t="shared" si="11"/>
        <v>384</v>
      </c>
      <c r="AC28" s="135">
        <f t="shared" si="0"/>
        <v>4583</v>
      </c>
      <c r="AD28" s="134">
        <f t="shared" si="12"/>
        <v>4583</v>
      </c>
    </row>
    <row r="29" spans="1:30" ht="21.75" customHeight="1">
      <c r="A29" s="103">
        <v>26</v>
      </c>
      <c r="B29" s="104" t="s">
        <v>199</v>
      </c>
      <c r="C29" s="103">
        <v>600</v>
      </c>
      <c r="D29" s="103">
        <v>0.6</v>
      </c>
      <c r="E29" s="106"/>
      <c r="F29" s="134">
        <f t="shared" si="1"/>
        <v>0</v>
      </c>
      <c r="G29" s="106"/>
      <c r="H29" s="134">
        <f t="shared" si="1"/>
        <v>0</v>
      </c>
      <c r="I29" s="106"/>
      <c r="J29" s="134">
        <f t="shared" si="2"/>
        <v>0</v>
      </c>
      <c r="K29" s="106"/>
      <c r="L29" s="134">
        <f t="shared" si="3"/>
        <v>0</v>
      </c>
      <c r="M29" s="106"/>
      <c r="N29" s="134">
        <f t="shared" si="4"/>
        <v>0</v>
      </c>
      <c r="O29" s="106"/>
      <c r="P29" s="134">
        <f t="shared" si="5"/>
        <v>0</v>
      </c>
      <c r="Q29" s="106"/>
      <c r="R29" s="134">
        <f t="shared" si="6"/>
        <v>0</v>
      </c>
      <c r="S29" s="106"/>
      <c r="T29" s="134">
        <f t="shared" si="7"/>
        <v>0</v>
      </c>
      <c r="U29" s="106"/>
      <c r="V29" s="134">
        <f t="shared" si="8"/>
        <v>0</v>
      </c>
      <c r="W29" s="106"/>
      <c r="X29" s="134">
        <f t="shared" si="9"/>
        <v>0</v>
      </c>
      <c r="Y29" s="106">
        <v>132</v>
      </c>
      <c r="Z29" s="134">
        <f t="shared" si="10"/>
        <v>79.2</v>
      </c>
      <c r="AA29" s="106"/>
      <c r="AB29" s="134">
        <f t="shared" si="11"/>
        <v>0</v>
      </c>
      <c r="AC29" s="135">
        <f t="shared" si="0"/>
        <v>132</v>
      </c>
      <c r="AD29" s="134">
        <f t="shared" si="12"/>
        <v>79.2</v>
      </c>
    </row>
    <row r="30" spans="1:30" ht="21.75" customHeight="1">
      <c r="A30" s="103">
        <v>27</v>
      </c>
      <c r="B30" s="104" t="s">
        <v>200</v>
      </c>
      <c r="C30" s="103">
        <v>350</v>
      </c>
      <c r="D30" s="103">
        <v>0.35</v>
      </c>
      <c r="E30" s="106">
        <v>340</v>
      </c>
      <c r="F30" s="134">
        <f t="shared" si="1"/>
        <v>118.99999999999999</v>
      </c>
      <c r="G30" s="106">
        <v>260</v>
      </c>
      <c r="H30" s="134">
        <f t="shared" si="1"/>
        <v>91</v>
      </c>
      <c r="I30" s="106">
        <v>360</v>
      </c>
      <c r="J30" s="134">
        <f t="shared" si="2"/>
        <v>125.99999999999999</v>
      </c>
      <c r="K30" s="106">
        <v>280</v>
      </c>
      <c r="L30" s="134">
        <f t="shared" si="3"/>
        <v>98</v>
      </c>
      <c r="M30" s="106">
        <v>240</v>
      </c>
      <c r="N30" s="134">
        <f t="shared" si="4"/>
        <v>84</v>
      </c>
      <c r="O30" s="106">
        <v>200</v>
      </c>
      <c r="P30" s="134">
        <f t="shared" si="5"/>
        <v>70</v>
      </c>
      <c r="Q30" s="106">
        <v>240</v>
      </c>
      <c r="R30" s="134">
        <f t="shared" si="6"/>
        <v>84</v>
      </c>
      <c r="S30" s="106">
        <v>160</v>
      </c>
      <c r="T30" s="134">
        <f t="shared" si="7"/>
        <v>56</v>
      </c>
      <c r="U30" s="106">
        <v>200</v>
      </c>
      <c r="V30" s="134">
        <f t="shared" si="8"/>
        <v>70</v>
      </c>
      <c r="W30" s="106">
        <v>120</v>
      </c>
      <c r="X30" s="134">
        <f t="shared" si="9"/>
        <v>42</v>
      </c>
      <c r="Y30" s="106">
        <v>160</v>
      </c>
      <c r="Z30" s="134">
        <f t="shared" si="10"/>
        <v>56</v>
      </c>
      <c r="AA30" s="106">
        <v>80</v>
      </c>
      <c r="AB30" s="134">
        <f t="shared" si="11"/>
        <v>28</v>
      </c>
      <c r="AC30" s="135">
        <f t="shared" si="0"/>
        <v>2640</v>
      </c>
      <c r="AD30" s="134">
        <f t="shared" si="12"/>
        <v>923.99999999999989</v>
      </c>
    </row>
    <row r="31" spans="1:30" ht="21.75" customHeight="1">
      <c r="A31" s="103">
        <v>28</v>
      </c>
      <c r="B31" s="104" t="s">
        <v>201</v>
      </c>
      <c r="C31" s="103">
        <v>1000</v>
      </c>
      <c r="D31" s="103">
        <v>1</v>
      </c>
      <c r="E31" s="106">
        <v>96</v>
      </c>
      <c r="F31" s="134">
        <f>+E31*$D31</f>
        <v>96</v>
      </c>
      <c r="G31" s="106">
        <v>84</v>
      </c>
      <c r="H31" s="134">
        <f>+G31*$D31</f>
        <v>84</v>
      </c>
      <c r="I31" s="106">
        <v>432</v>
      </c>
      <c r="J31" s="134">
        <f>+I31*$D31</f>
        <v>432</v>
      </c>
      <c r="K31" s="106">
        <v>60</v>
      </c>
      <c r="L31" s="134">
        <f>+K31*$D31</f>
        <v>60</v>
      </c>
      <c r="M31" s="106">
        <v>204</v>
      </c>
      <c r="N31" s="134">
        <f>+M31*$D31</f>
        <v>204</v>
      </c>
      <c r="O31" s="106"/>
      <c r="P31" s="134">
        <f>+O31*$D31</f>
        <v>0</v>
      </c>
      <c r="Q31" s="106">
        <v>216</v>
      </c>
      <c r="R31" s="134">
        <f>+Q31*$D31</f>
        <v>216</v>
      </c>
      <c r="S31" s="106"/>
      <c r="T31" s="134">
        <f>+S31*$D31</f>
        <v>0</v>
      </c>
      <c r="U31" s="106"/>
      <c r="V31" s="134">
        <f>+U31*$D31</f>
        <v>0</v>
      </c>
      <c r="W31" s="106"/>
      <c r="X31" s="134">
        <f>+W31*$D31</f>
        <v>0</v>
      </c>
      <c r="Y31" s="106"/>
      <c r="Z31" s="134">
        <f>+Y31*$D31</f>
        <v>0</v>
      </c>
      <c r="AA31" s="106"/>
      <c r="AB31" s="134">
        <f>+AA31*$D31</f>
        <v>0</v>
      </c>
      <c r="AC31" s="135">
        <f t="shared" si="0"/>
        <v>1092</v>
      </c>
      <c r="AD31" s="134">
        <f>+AC31*$D31</f>
        <v>1092</v>
      </c>
    </row>
    <row r="32" spans="1:30" ht="21.75" hidden="1" customHeight="1">
      <c r="A32" s="103">
        <v>29</v>
      </c>
      <c r="B32" s="104"/>
      <c r="C32" s="103"/>
      <c r="D32" s="103"/>
      <c r="E32" s="106"/>
      <c r="F32" s="134">
        <f t="shared" si="1"/>
        <v>0</v>
      </c>
      <c r="G32" s="106"/>
      <c r="H32" s="134">
        <f t="shared" si="1"/>
        <v>0</v>
      </c>
      <c r="I32" s="106"/>
      <c r="J32" s="134">
        <f t="shared" ref="J32:J37" si="13">+I32*$D32</f>
        <v>0</v>
      </c>
      <c r="K32" s="106"/>
      <c r="L32" s="134">
        <f t="shared" ref="L32:L37" si="14">+K32*$D32</f>
        <v>0</v>
      </c>
      <c r="M32" s="106"/>
      <c r="N32" s="134">
        <f t="shared" ref="N32:N37" si="15">+M32*$D32</f>
        <v>0</v>
      </c>
      <c r="O32" s="106"/>
      <c r="P32" s="134">
        <f t="shared" ref="P32:P37" si="16">+O32*$D32</f>
        <v>0</v>
      </c>
      <c r="Q32" s="106"/>
      <c r="R32" s="134">
        <f t="shared" ref="R32:R37" si="17">+Q32*$D32</f>
        <v>0</v>
      </c>
      <c r="S32" s="106"/>
      <c r="T32" s="134">
        <f t="shared" ref="T32:T37" si="18">+S32*$D32</f>
        <v>0</v>
      </c>
      <c r="U32" s="106"/>
      <c r="V32" s="134">
        <f t="shared" ref="V32:V37" si="19">+U32*$D32</f>
        <v>0</v>
      </c>
      <c r="W32" s="106"/>
      <c r="X32" s="134">
        <f t="shared" ref="X32:X37" si="20">+W32*$D32</f>
        <v>0</v>
      </c>
      <c r="Y32" s="106"/>
      <c r="Z32" s="134">
        <f t="shared" ref="Z32:Z37" si="21">+Y32*$D32</f>
        <v>0</v>
      </c>
      <c r="AA32" s="106"/>
      <c r="AB32" s="134">
        <f t="shared" ref="AB32:AB37" si="22">+AA32*$D32</f>
        <v>0</v>
      </c>
      <c r="AC32" s="135">
        <f t="shared" si="0"/>
        <v>0</v>
      </c>
      <c r="AD32" s="134">
        <f t="shared" ref="AD32:AD37" si="23">+AC32*$D32</f>
        <v>0</v>
      </c>
    </row>
    <row r="33" spans="1:30" ht="21.75" hidden="1" customHeight="1">
      <c r="A33" s="103">
        <v>30</v>
      </c>
      <c r="B33" s="104"/>
      <c r="C33" s="103"/>
      <c r="D33" s="103"/>
      <c r="E33" s="106"/>
      <c r="F33" s="134">
        <f t="shared" si="1"/>
        <v>0</v>
      </c>
      <c r="G33" s="106"/>
      <c r="H33" s="134">
        <f t="shared" si="1"/>
        <v>0</v>
      </c>
      <c r="I33" s="106"/>
      <c r="J33" s="134">
        <f t="shared" si="13"/>
        <v>0</v>
      </c>
      <c r="K33" s="106"/>
      <c r="L33" s="134">
        <f t="shared" si="14"/>
        <v>0</v>
      </c>
      <c r="M33" s="106"/>
      <c r="N33" s="134">
        <f t="shared" si="15"/>
        <v>0</v>
      </c>
      <c r="O33" s="106"/>
      <c r="P33" s="134">
        <f t="shared" si="16"/>
        <v>0</v>
      </c>
      <c r="Q33" s="106"/>
      <c r="R33" s="134">
        <f t="shared" si="17"/>
        <v>0</v>
      </c>
      <c r="S33" s="106"/>
      <c r="T33" s="134">
        <f t="shared" si="18"/>
        <v>0</v>
      </c>
      <c r="U33" s="106"/>
      <c r="V33" s="134">
        <f t="shared" si="19"/>
        <v>0</v>
      </c>
      <c r="W33" s="106"/>
      <c r="X33" s="134">
        <f t="shared" si="20"/>
        <v>0</v>
      </c>
      <c r="Y33" s="106"/>
      <c r="Z33" s="134">
        <f t="shared" si="21"/>
        <v>0</v>
      </c>
      <c r="AA33" s="106"/>
      <c r="AB33" s="134">
        <f t="shared" si="22"/>
        <v>0</v>
      </c>
      <c r="AC33" s="135">
        <f t="shared" si="0"/>
        <v>0</v>
      </c>
      <c r="AD33" s="134">
        <f t="shared" si="23"/>
        <v>0</v>
      </c>
    </row>
    <row r="34" spans="1:30" ht="21.75" hidden="1" customHeight="1">
      <c r="A34" s="103">
        <v>31</v>
      </c>
      <c r="B34" s="104"/>
      <c r="C34" s="103"/>
      <c r="D34" s="103"/>
      <c r="E34" s="106"/>
      <c r="F34" s="134">
        <f t="shared" si="1"/>
        <v>0</v>
      </c>
      <c r="G34" s="106"/>
      <c r="H34" s="134">
        <f t="shared" si="1"/>
        <v>0</v>
      </c>
      <c r="I34" s="106"/>
      <c r="J34" s="134">
        <f t="shared" si="13"/>
        <v>0</v>
      </c>
      <c r="K34" s="106"/>
      <c r="L34" s="134">
        <f t="shared" si="14"/>
        <v>0</v>
      </c>
      <c r="M34" s="106"/>
      <c r="N34" s="134">
        <f t="shared" si="15"/>
        <v>0</v>
      </c>
      <c r="O34" s="106"/>
      <c r="P34" s="134">
        <f t="shared" si="16"/>
        <v>0</v>
      </c>
      <c r="Q34" s="106"/>
      <c r="R34" s="134">
        <f t="shared" si="17"/>
        <v>0</v>
      </c>
      <c r="S34" s="106"/>
      <c r="T34" s="134">
        <f t="shared" si="18"/>
        <v>0</v>
      </c>
      <c r="U34" s="106"/>
      <c r="V34" s="134">
        <f t="shared" si="19"/>
        <v>0</v>
      </c>
      <c r="W34" s="106"/>
      <c r="X34" s="134">
        <f t="shared" si="20"/>
        <v>0</v>
      </c>
      <c r="Y34" s="106"/>
      <c r="Z34" s="134">
        <f t="shared" si="21"/>
        <v>0</v>
      </c>
      <c r="AA34" s="106"/>
      <c r="AB34" s="134">
        <f t="shared" si="22"/>
        <v>0</v>
      </c>
      <c r="AC34" s="135">
        <f t="shared" si="0"/>
        <v>0</v>
      </c>
      <c r="AD34" s="134">
        <f t="shared" si="23"/>
        <v>0</v>
      </c>
    </row>
    <row r="35" spans="1:30" ht="21.75" customHeight="1">
      <c r="A35" s="103">
        <v>32</v>
      </c>
      <c r="B35" s="104" t="s">
        <v>248</v>
      </c>
      <c r="C35" s="103">
        <v>1000</v>
      </c>
      <c r="D35" s="103">
        <v>1</v>
      </c>
      <c r="E35" s="106">
        <v>101124</v>
      </c>
      <c r="F35" s="134">
        <f t="shared" si="1"/>
        <v>101124</v>
      </c>
      <c r="G35" s="106">
        <v>86940</v>
      </c>
      <c r="H35" s="134">
        <f t="shared" si="1"/>
        <v>86940</v>
      </c>
      <c r="I35" s="106">
        <v>127787</v>
      </c>
      <c r="J35" s="134">
        <f t="shared" si="13"/>
        <v>127787</v>
      </c>
      <c r="K35" s="106">
        <v>143969</v>
      </c>
      <c r="L35" s="134">
        <f t="shared" si="14"/>
        <v>143969</v>
      </c>
      <c r="M35" s="106">
        <v>145128</v>
      </c>
      <c r="N35" s="134">
        <f t="shared" si="15"/>
        <v>145128</v>
      </c>
      <c r="O35" s="106">
        <v>155568</v>
      </c>
      <c r="P35" s="134">
        <f t="shared" si="16"/>
        <v>155568</v>
      </c>
      <c r="Q35" s="106">
        <v>77882</v>
      </c>
      <c r="R35" s="134">
        <f t="shared" si="17"/>
        <v>77882</v>
      </c>
      <c r="S35" s="106">
        <v>160728</v>
      </c>
      <c r="T35" s="134">
        <f t="shared" si="18"/>
        <v>160728</v>
      </c>
      <c r="U35" s="106">
        <v>138852</v>
      </c>
      <c r="V35" s="134">
        <f t="shared" si="19"/>
        <v>138852</v>
      </c>
      <c r="W35" s="106">
        <v>136908</v>
      </c>
      <c r="X35" s="134">
        <f t="shared" si="20"/>
        <v>136908</v>
      </c>
      <c r="Y35" s="106">
        <v>136680</v>
      </c>
      <c r="Z35" s="134">
        <f t="shared" si="21"/>
        <v>136680</v>
      </c>
      <c r="AA35" s="106">
        <v>152110</v>
      </c>
      <c r="AB35" s="134">
        <f t="shared" si="22"/>
        <v>152110</v>
      </c>
      <c r="AC35" s="135">
        <f t="shared" si="0"/>
        <v>1563676</v>
      </c>
      <c r="AD35" s="134">
        <f t="shared" si="23"/>
        <v>1563676</v>
      </c>
    </row>
    <row r="36" spans="1:30" ht="21.75" customHeight="1">
      <c r="A36" s="103">
        <v>33</v>
      </c>
      <c r="B36" s="104" t="s">
        <v>249</v>
      </c>
      <c r="C36" s="103">
        <v>600</v>
      </c>
      <c r="D36" s="103">
        <v>0.6</v>
      </c>
      <c r="E36" s="106"/>
      <c r="F36" s="134">
        <f t="shared" si="1"/>
        <v>0</v>
      </c>
      <c r="G36" s="106"/>
      <c r="H36" s="134">
        <f t="shared" si="1"/>
        <v>0</v>
      </c>
      <c r="I36" s="106"/>
      <c r="J36" s="134">
        <f t="shared" si="13"/>
        <v>0</v>
      </c>
      <c r="K36" s="106"/>
      <c r="L36" s="134">
        <f t="shared" si="14"/>
        <v>0</v>
      </c>
      <c r="M36" s="106">
        <v>3372</v>
      </c>
      <c r="N36" s="134">
        <f t="shared" si="15"/>
        <v>2023.1999999999998</v>
      </c>
      <c r="O36" s="106">
        <v>1032</v>
      </c>
      <c r="P36" s="134">
        <f t="shared" si="16"/>
        <v>619.19999999999993</v>
      </c>
      <c r="Q36" s="106">
        <v>70476</v>
      </c>
      <c r="R36" s="134">
        <f t="shared" si="17"/>
        <v>42285.599999999999</v>
      </c>
      <c r="S36" s="106">
        <v>1356</v>
      </c>
      <c r="T36" s="134">
        <f t="shared" si="18"/>
        <v>813.6</v>
      </c>
      <c r="U36" s="106">
        <v>984</v>
      </c>
      <c r="V36" s="134">
        <f t="shared" si="19"/>
        <v>590.4</v>
      </c>
      <c r="W36" s="106">
        <v>372</v>
      </c>
      <c r="X36" s="134">
        <f t="shared" si="20"/>
        <v>223.2</v>
      </c>
      <c r="Y36" s="106">
        <v>756</v>
      </c>
      <c r="Z36" s="134">
        <f t="shared" si="21"/>
        <v>453.59999999999997</v>
      </c>
      <c r="AA36" s="106">
        <v>672</v>
      </c>
      <c r="AB36" s="134">
        <f t="shared" si="22"/>
        <v>403.2</v>
      </c>
      <c r="AC36" s="135">
        <f t="shared" si="0"/>
        <v>79020</v>
      </c>
      <c r="AD36" s="134">
        <f t="shared" si="23"/>
        <v>47412</v>
      </c>
    </row>
    <row r="37" spans="1:30" ht="21.75" customHeight="1">
      <c r="A37" s="103">
        <v>34</v>
      </c>
      <c r="B37" s="104" t="s">
        <v>250</v>
      </c>
      <c r="C37" s="103">
        <v>1000</v>
      </c>
      <c r="D37" s="103">
        <v>1</v>
      </c>
      <c r="E37" s="106"/>
      <c r="F37" s="134">
        <f t="shared" si="1"/>
        <v>0</v>
      </c>
      <c r="G37" s="106"/>
      <c r="H37" s="134">
        <f t="shared" si="1"/>
        <v>0</v>
      </c>
      <c r="I37" s="106">
        <v>4332</v>
      </c>
      <c r="J37" s="134">
        <f t="shared" si="13"/>
        <v>4332</v>
      </c>
      <c r="K37" s="106">
        <v>564</v>
      </c>
      <c r="L37" s="134">
        <f t="shared" si="14"/>
        <v>564</v>
      </c>
      <c r="M37" s="106">
        <v>312</v>
      </c>
      <c r="N37" s="134">
        <f t="shared" si="15"/>
        <v>312</v>
      </c>
      <c r="O37" s="106">
        <v>600</v>
      </c>
      <c r="P37" s="134">
        <f t="shared" si="16"/>
        <v>600</v>
      </c>
      <c r="Q37" s="106">
        <v>4020</v>
      </c>
      <c r="R37" s="134">
        <f t="shared" si="17"/>
        <v>4020</v>
      </c>
      <c r="S37" s="106">
        <v>428</v>
      </c>
      <c r="T37" s="134">
        <f t="shared" si="18"/>
        <v>428</v>
      </c>
      <c r="U37" s="106">
        <v>1452</v>
      </c>
      <c r="V37" s="134">
        <f t="shared" si="19"/>
        <v>1452</v>
      </c>
      <c r="W37" s="106">
        <v>1464</v>
      </c>
      <c r="X37" s="134">
        <f t="shared" si="20"/>
        <v>1464</v>
      </c>
      <c r="Y37" s="106">
        <v>3300</v>
      </c>
      <c r="Z37" s="134">
        <f t="shared" si="21"/>
        <v>3300</v>
      </c>
      <c r="AA37" s="106">
        <v>408</v>
      </c>
      <c r="AB37" s="134">
        <f t="shared" si="22"/>
        <v>408</v>
      </c>
      <c r="AC37" s="135">
        <f t="shared" si="0"/>
        <v>16880</v>
      </c>
      <c r="AD37" s="134">
        <f t="shared" si="23"/>
        <v>16880</v>
      </c>
    </row>
    <row r="38" spans="1:30" ht="21.75" customHeight="1">
      <c r="A38" s="138"/>
      <c r="B38" s="139"/>
      <c r="C38" s="138"/>
      <c r="D38" s="138"/>
      <c r="E38" s="140"/>
      <c r="F38" s="141"/>
      <c r="G38" s="140"/>
      <c r="H38" s="141"/>
      <c r="I38" s="140"/>
      <c r="J38" s="141"/>
      <c r="K38" s="140"/>
      <c r="L38" s="141"/>
      <c r="M38" s="140"/>
      <c r="N38" s="141"/>
      <c r="O38" s="140"/>
      <c r="P38" s="141"/>
      <c r="Q38" s="140"/>
      <c r="R38" s="141"/>
      <c r="S38" s="140"/>
      <c r="T38" s="141"/>
      <c r="U38" s="140"/>
      <c r="V38" s="141"/>
      <c r="W38" s="140"/>
      <c r="X38" s="141"/>
      <c r="Y38" s="140"/>
      <c r="Z38" s="141"/>
      <c r="AA38" s="140"/>
      <c r="AB38" s="141"/>
      <c r="AC38" s="135">
        <f t="shared" si="0"/>
        <v>0</v>
      </c>
      <c r="AD38" s="141"/>
    </row>
    <row r="39" spans="1:30" ht="21.75" customHeight="1">
      <c r="A39" s="142"/>
      <c r="B39" s="143" t="s">
        <v>251</v>
      </c>
      <c r="C39" s="142"/>
      <c r="D39" s="142"/>
      <c r="E39" s="144">
        <f t="shared" ref="E39:AB39" si="24">SUM(E4:E38)</f>
        <v>2904772</v>
      </c>
      <c r="F39" s="145">
        <f t="shared" si="24"/>
        <v>1973402.94</v>
      </c>
      <c r="G39" s="144">
        <f t="shared" si="24"/>
        <v>2674824</v>
      </c>
      <c r="H39" s="145">
        <f t="shared" si="24"/>
        <v>1821555.4799999997</v>
      </c>
      <c r="I39" s="144">
        <f t="shared" si="24"/>
        <v>4001953</v>
      </c>
      <c r="J39" s="145">
        <f t="shared" si="24"/>
        <v>2701496.3600000003</v>
      </c>
      <c r="K39" s="144">
        <f t="shared" si="24"/>
        <v>3025723</v>
      </c>
      <c r="L39" s="145">
        <f t="shared" si="24"/>
        <v>2085609.7200000002</v>
      </c>
      <c r="M39" s="144">
        <f t="shared" si="24"/>
        <v>2887177</v>
      </c>
      <c r="N39" s="145">
        <f t="shared" si="24"/>
        <v>2006601.3599999996</v>
      </c>
      <c r="O39" s="144">
        <f t="shared" si="24"/>
        <v>3002654</v>
      </c>
      <c r="P39" s="145">
        <f t="shared" si="24"/>
        <v>2087619.16</v>
      </c>
      <c r="Q39" s="144">
        <f t="shared" si="24"/>
        <v>2835773</v>
      </c>
      <c r="R39" s="145">
        <f t="shared" si="24"/>
        <v>1942948.3200000003</v>
      </c>
      <c r="S39" s="144">
        <f t="shared" si="24"/>
        <v>3482665</v>
      </c>
      <c r="T39" s="145">
        <f t="shared" si="24"/>
        <v>2426233.52</v>
      </c>
      <c r="U39" s="144">
        <f t="shared" si="24"/>
        <v>2433883</v>
      </c>
      <c r="V39" s="145">
        <f t="shared" si="24"/>
        <v>1693176.6599999997</v>
      </c>
      <c r="W39" s="144">
        <f t="shared" si="24"/>
        <v>2505137</v>
      </c>
      <c r="X39" s="145">
        <f t="shared" si="24"/>
        <v>1732834.6800000002</v>
      </c>
      <c r="Y39" s="144">
        <f t="shared" si="24"/>
        <v>2586035</v>
      </c>
      <c r="Z39" s="145">
        <f t="shared" si="24"/>
        <v>1782389.7200000002</v>
      </c>
      <c r="AA39" s="144">
        <f t="shared" si="24"/>
        <v>2858560</v>
      </c>
      <c r="AB39" s="145">
        <f t="shared" si="24"/>
        <v>1989751.46</v>
      </c>
      <c r="AC39" s="146">
        <f t="shared" si="0"/>
        <v>35199156</v>
      </c>
      <c r="AD39" s="147">
        <f>SUM(AD4:AD38)</f>
        <v>24243619.379999999</v>
      </c>
    </row>
    <row r="40" spans="1:30" ht="21.75" customHeight="1">
      <c r="A40" s="138"/>
      <c r="B40" s="139"/>
      <c r="C40" s="138"/>
      <c r="D40" s="138"/>
      <c r="E40" s="140">
        <v>2904772</v>
      </c>
      <c r="F40" s="141">
        <v>1973402.94</v>
      </c>
      <c r="G40" s="140">
        <v>2674824</v>
      </c>
      <c r="H40" s="141">
        <v>1821555.48</v>
      </c>
      <c r="I40" s="140">
        <v>4001953</v>
      </c>
      <c r="J40" s="141">
        <v>2701496.36</v>
      </c>
      <c r="K40" s="140">
        <v>3025723</v>
      </c>
      <c r="L40" s="141">
        <v>2085609.72</v>
      </c>
      <c r="M40" s="140">
        <v>2887177</v>
      </c>
      <c r="N40" s="141">
        <v>2006601.36</v>
      </c>
      <c r="O40" s="140">
        <v>3002654</v>
      </c>
      <c r="P40" s="141">
        <v>2087379.16</v>
      </c>
      <c r="Q40" s="140">
        <v>2835773</v>
      </c>
      <c r="R40" s="141">
        <v>1942948.32</v>
      </c>
      <c r="S40" s="140">
        <v>3482665</v>
      </c>
      <c r="T40" s="141">
        <v>2426233.52</v>
      </c>
      <c r="U40" s="140">
        <v>2433883</v>
      </c>
      <c r="V40" s="141">
        <v>1693176.66</v>
      </c>
      <c r="W40" s="140">
        <v>2505137</v>
      </c>
      <c r="X40" s="141">
        <v>1732834.68</v>
      </c>
      <c r="Y40" s="140">
        <v>2586035</v>
      </c>
      <c r="Z40" s="141">
        <v>1782385.88</v>
      </c>
      <c r="AA40" s="140">
        <v>2858560</v>
      </c>
      <c r="AB40" s="141">
        <v>1989751.46</v>
      </c>
      <c r="AC40" s="148">
        <v>35199156</v>
      </c>
      <c r="AD40" s="149">
        <v>24243619.379999999</v>
      </c>
    </row>
    <row r="41" spans="1:30" ht="21.75" customHeight="1">
      <c r="A41" s="138"/>
      <c r="B41" s="139"/>
      <c r="C41" s="138"/>
      <c r="D41" s="138"/>
      <c r="E41" s="140"/>
      <c r="F41" s="140"/>
      <c r="G41" s="140"/>
      <c r="H41" s="141"/>
      <c r="I41" s="140"/>
      <c r="J41" s="141"/>
      <c r="K41" s="140"/>
      <c r="L41" s="141"/>
      <c r="M41" s="140"/>
      <c r="N41" s="141"/>
      <c r="O41" s="140"/>
      <c r="P41" s="141"/>
      <c r="Q41" s="140"/>
      <c r="R41" s="141"/>
      <c r="S41" s="140"/>
      <c r="T41" s="141"/>
      <c r="U41" s="140"/>
      <c r="V41" s="141"/>
      <c r="W41" s="140"/>
      <c r="X41" s="141"/>
      <c r="Y41" s="140"/>
      <c r="Z41" s="141"/>
      <c r="AA41" s="140"/>
      <c r="AB41" s="141"/>
      <c r="AC41" s="148"/>
      <c r="AD41" s="149"/>
    </row>
    <row r="42" spans="1:30" ht="21.75" customHeight="1">
      <c r="A42" s="138">
        <v>1</v>
      </c>
      <c r="B42" s="139" t="s">
        <v>213</v>
      </c>
      <c r="C42" s="138"/>
      <c r="D42" s="138">
        <v>0.7</v>
      </c>
      <c r="E42" s="140">
        <v>600</v>
      </c>
      <c r="F42" s="134">
        <f t="shared" ref="F42:H53" si="25">+E42*$D42</f>
        <v>420</v>
      </c>
      <c r="G42" s="140">
        <v>504</v>
      </c>
      <c r="H42" s="134">
        <f t="shared" si="25"/>
        <v>352.79999999999995</v>
      </c>
      <c r="I42" s="140">
        <v>480</v>
      </c>
      <c r="J42" s="134">
        <f t="shared" ref="J42:J53" si="26">+I42*$D42</f>
        <v>336</v>
      </c>
      <c r="K42" s="140">
        <v>480</v>
      </c>
      <c r="L42" s="134">
        <f t="shared" ref="L42:L53" si="27">+K42*$D42</f>
        <v>336</v>
      </c>
      <c r="M42" s="140">
        <v>558</v>
      </c>
      <c r="N42" s="134">
        <f t="shared" ref="N42:N53" si="28">+M42*$D42</f>
        <v>390.59999999999997</v>
      </c>
      <c r="O42" s="140">
        <v>540</v>
      </c>
      <c r="P42" s="134">
        <f t="shared" ref="P42:P53" si="29">+O42*$D42</f>
        <v>378</v>
      </c>
      <c r="Q42" s="140">
        <v>573</v>
      </c>
      <c r="R42" s="134">
        <f t="shared" ref="R42:R53" si="30">+Q42*$D42</f>
        <v>401.09999999999997</v>
      </c>
      <c r="S42" s="140">
        <v>432</v>
      </c>
      <c r="T42" s="134">
        <f t="shared" ref="T42:T53" si="31">+S42*$D42</f>
        <v>302.39999999999998</v>
      </c>
      <c r="U42" s="140">
        <v>1245</v>
      </c>
      <c r="V42" s="134">
        <f t="shared" ref="V42:V53" si="32">+U42*$D42</f>
        <v>871.5</v>
      </c>
      <c r="W42" s="140">
        <v>1558</v>
      </c>
      <c r="X42" s="134">
        <f t="shared" ref="X42:X53" si="33">+W42*$D42</f>
        <v>1090.5999999999999</v>
      </c>
      <c r="Y42" s="140">
        <v>1204</v>
      </c>
      <c r="Z42" s="134">
        <f t="shared" ref="Z42:Z53" si="34">+Y42*$D42</f>
        <v>842.8</v>
      </c>
      <c r="AA42" s="140">
        <v>2439</v>
      </c>
      <c r="AB42" s="134">
        <f t="shared" ref="AB42:AB53" si="35">+AA42*$D42</f>
        <v>1707.3</v>
      </c>
      <c r="AC42" s="148">
        <f t="shared" ref="AC42:AC53" si="36">SUM(E42:AA42)</f>
        <v>16334.800000000001</v>
      </c>
      <c r="AD42" s="134">
        <f t="shared" ref="AD42:AD53" si="37">+AC42*$D42</f>
        <v>11434.36</v>
      </c>
    </row>
    <row r="43" spans="1:30" ht="21.75" customHeight="1">
      <c r="A43" s="138">
        <v>2</v>
      </c>
      <c r="B43" s="139" t="s">
        <v>214</v>
      </c>
      <c r="C43" s="138"/>
      <c r="D43" s="138">
        <v>0.35</v>
      </c>
      <c r="E43" s="140">
        <v>24</v>
      </c>
      <c r="F43" s="134">
        <f t="shared" si="25"/>
        <v>8.3999999999999986</v>
      </c>
      <c r="G43" s="140"/>
      <c r="H43" s="134">
        <f t="shared" si="25"/>
        <v>0</v>
      </c>
      <c r="I43" s="140"/>
      <c r="J43" s="134">
        <f t="shared" si="26"/>
        <v>0</v>
      </c>
      <c r="K43" s="140"/>
      <c r="L43" s="134">
        <f t="shared" si="27"/>
        <v>0</v>
      </c>
      <c r="M43" s="140"/>
      <c r="N43" s="134">
        <f t="shared" si="28"/>
        <v>0</v>
      </c>
      <c r="O43" s="140"/>
      <c r="P43" s="134">
        <f t="shared" si="29"/>
        <v>0</v>
      </c>
      <c r="Q43" s="140"/>
      <c r="R43" s="134">
        <f t="shared" si="30"/>
        <v>0</v>
      </c>
      <c r="S43" s="140"/>
      <c r="T43" s="134">
        <f t="shared" si="31"/>
        <v>0</v>
      </c>
      <c r="U43" s="140">
        <v>1003</v>
      </c>
      <c r="V43" s="134">
        <f t="shared" si="32"/>
        <v>351.04999999999995</v>
      </c>
      <c r="W43" s="140">
        <v>1485</v>
      </c>
      <c r="X43" s="134">
        <f t="shared" si="33"/>
        <v>519.75</v>
      </c>
      <c r="Y43" s="140">
        <v>770</v>
      </c>
      <c r="Z43" s="134">
        <f t="shared" si="34"/>
        <v>269.5</v>
      </c>
      <c r="AA43" s="140">
        <v>2649</v>
      </c>
      <c r="AB43" s="134">
        <f t="shared" si="35"/>
        <v>927.15</v>
      </c>
      <c r="AC43" s="148">
        <f t="shared" si="36"/>
        <v>7079.7</v>
      </c>
      <c r="AD43" s="134">
        <f t="shared" si="37"/>
        <v>2477.895</v>
      </c>
    </row>
    <row r="44" spans="1:30" ht="21.75" customHeight="1">
      <c r="A44" s="138">
        <v>3</v>
      </c>
      <c r="B44" s="139" t="s">
        <v>215</v>
      </c>
      <c r="C44" s="138"/>
      <c r="D44" s="138">
        <v>0.7</v>
      </c>
      <c r="E44" s="140">
        <v>866</v>
      </c>
      <c r="F44" s="134">
        <f t="shared" si="25"/>
        <v>606.19999999999993</v>
      </c>
      <c r="G44" s="140">
        <v>1254</v>
      </c>
      <c r="H44" s="134">
        <f t="shared" si="25"/>
        <v>877.8</v>
      </c>
      <c r="I44" s="140">
        <v>1529</v>
      </c>
      <c r="J44" s="134">
        <f t="shared" si="26"/>
        <v>1070.3</v>
      </c>
      <c r="K44" s="140">
        <v>1699</v>
      </c>
      <c r="L44" s="134">
        <f t="shared" si="27"/>
        <v>1189.3</v>
      </c>
      <c r="M44" s="140">
        <v>1809</v>
      </c>
      <c r="N44" s="134">
        <f t="shared" si="28"/>
        <v>1266.3</v>
      </c>
      <c r="O44" s="140">
        <v>2315</v>
      </c>
      <c r="P44" s="134">
        <f t="shared" si="29"/>
        <v>1620.5</v>
      </c>
      <c r="Q44" s="140">
        <v>1491</v>
      </c>
      <c r="R44" s="134">
        <f t="shared" si="30"/>
        <v>1043.7</v>
      </c>
      <c r="S44" s="140">
        <v>1991</v>
      </c>
      <c r="T44" s="134">
        <f t="shared" si="31"/>
        <v>1393.6999999999998</v>
      </c>
      <c r="U44" s="140">
        <v>864</v>
      </c>
      <c r="V44" s="134">
        <f t="shared" si="32"/>
        <v>604.79999999999995</v>
      </c>
      <c r="W44" s="140">
        <v>782</v>
      </c>
      <c r="X44" s="134">
        <f t="shared" si="33"/>
        <v>547.4</v>
      </c>
      <c r="Y44" s="140">
        <v>927</v>
      </c>
      <c r="Z44" s="134">
        <f t="shared" si="34"/>
        <v>648.9</v>
      </c>
      <c r="AA44" s="140">
        <v>425</v>
      </c>
      <c r="AB44" s="134">
        <f t="shared" si="35"/>
        <v>297.5</v>
      </c>
      <c r="AC44" s="148">
        <f t="shared" si="36"/>
        <v>26820.900000000005</v>
      </c>
      <c r="AD44" s="134">
        <f t="shared" si="37"/>
        <v>18774.63</v>
      </c>
    </row>
    <row r="45" spans="1:30" ht="21.75" customHeight="1">
      <c r="A45" s="138">
        <v>4</v>
      </c>
      <c r="B45" s="139" t="s">
        <v>216</v>
      </c>
      <c r="C45" s="138"/>
      <c r="D45" s="138">
        <v>0.35</v>
      </c>
      <c r="E45" s="140">
        <v>133</v>
      </c>
      <c r="F45" s="134">
        <f t="shared" si="25"/>
        <v>46.55</v>
      </c>
      <c r="G45" s="140">
        <v>254</v>
      </c>
      <c r="H45" s="134">
        <f t="shared" si="25"/>
        <v>88.899999999999991</v>
      </c>
      <c r="I45" s="140">
        <v>234</v>
      </c>
      <c r="J45" s="134">
        <f t="shared" si="26"/>
        <v>81.899999999999991</v>
      </c>
      <c r="K45" s="140">
        <v>230</v>
      </c>
      <c r="L45" s="134">
        <f t="shared" si="27"/>
        <v>80.5</v>
      </c>
      <c r="M45" s="140">
        <v>255</v>
      </c>
      <c r="N45" s="134">
        <f t="shared" si="28"/>
        <v>89.25</v>
      </c>
      <c r="O45" s="140">
        <v>216</v>
      </c>
      <c r="P45" s="134">
        <f t="shared" si="29"/>
        <v>75.599999999999994</v>
      </c>
      <c r="Q45" s="140">
        <v>144</v>
      </c>
      <c r="R45" s="134">
        <f t="shared" si="30"/>
        <v>50.4</v>
      </c>
      <c r="S45" s="140">
        <v>108</v>
      </c>
      <c r="T45" s="134">
        <f t="shared" si="31"/>
        <v>37.799999999999997</v>
      </c>
      <c r="U45" s="140">
        <v>84</v>
      </c>
      <c r="V45" s="134">
        <f t="shared" si="32"/>
        <v>29.4</v>
      </c>
      <c r="W45" s="140">
        <v>166</v>
      </c>
      <c r="X45" s="134">
        <f t="shared" si="33"/>
        <v>58.099999999999994</v>
      </c>
      <c r="Y45" s="140">
        <v>96</v>
      </c>
      <c r="Z45" s="134">
        <f t="shared" si="34"/>
        <v>33.599999999999994</v>
      </c>
      <c r="AA45" s="140">
        <v>72</v>
      </c>
      <c r="AB45" s="134">
        <f t="shared" si="35"/>
        <v>25.2</v>
      </c>
      <c r="AC45" s="148">
        <f t="shared" si="36"/>
        <v>2664</v>
      </c>
      <c r="AD45" s="134">
        <f t="shared" si="37"/>
        <v>932.4</v>
      </c>
    </row>
    <row r="46" spans="1:30" ht="21.75" customHeight="1">
      <c r="A46" s="138">
        <v>5</v>
      </c>
      <c r="B46" s="139" t="s">
        <v>217</v>
      </c>
      <c r="C46" s="138"/>
      <c r="D46" s="138">
        <v>0.17499999999999999</v>
      </c>
      <c r="E46" s="140">
        <v>13</v>
      </c>
      <c r="F46" s="134">
        <f t="shared" si="25"/>
        <v>2.2749999999999999</v>
      </c>
      <c r="G46" s="140">
        <v>344</v>
      </c>
      <c r="H46" s="134">
        <f t="shared" si="25"/>
        <v>60.199999999999996</v>
      </c>
      <c r="I46" s="140">
        <v>324</v>
      </c>
      <c r="J46" s="134">
        <f t="shared" si="26"/>
        <v>56.699999999999996</v>
      </c>
      <c r="K46" s="140">
        <v>176</v>
      </c>
      <c r="L46" s="134">
        <f t="shared" si="27"/>
        <v>30.799999999999997</v>
      </c>
      <c r="M46" s="140">
        <v>372</v>
      </c>
      <c r="N46" s="134">
        <f t="shared" si="28"/>
        <v>65.099999999999994</v>
      </c>
      <c r="O46" s="140">
        <v>198</v>
      </c>
      <c r="P46" s="134">
        <f t="shared" si="29"/>
        <v>34.65</v>
      </c>
      <c r="Q46" s="140">
        <v>288</v>
      </c>
      <c r="R46" s="134">
        <f t="shared" si="30"/>
        <v>50.4</v>
      </c>
      <c r="S46" s="140">
        <v>222</v>
      </c>
      <c r="T46" s="134">
        <f t="shared" si="31"/>
        <v>38.849999999999994</v>
      </c>
      <c r="U46" s="140">
        <v>96</v>
      </c>
      <c r="V46" s="134">
        <f t="shared" si="32"/>
        <v>16.799999999999997</v>
      </c>
      <c r="W46" s="140">
        <v>216</v>
      </c>
      <c r="X46" s="134">
        <f t="shared" si="33"/>
        <v>37.799999999999997</v>
      </c>
      <c r="Y46" s="140">
        <v>144</v>
      </c>
      <c r="Z46" s="134">
        <f t="shared" si="34"/>
        <v>25.2</v>
      </c>
      <c r="AA46" s="140">
        <v>1392</v>
      </c>
      <c r="AB46" s="134">
        <f t="shared" si="35"/>
        <v>243.6</v>
      </c>
      <c r="AC46" s="148">
        <f t="shared" si="36"/>
        <v>4203.7749999999996</v>
      </c>
      <c r="AD46" s="134">
        <f t="shared" si="37"/>
        <v>735.66062499999987</v>
      </c>
    </row>
    <row r="47" spans="1:30" ht="21.75" customHeight="1">
      <c r="A47" s="138">
        <v>6</v>
      </c>
      <c r="B47" s="139" t="s">
        <v>252</v>
      </c>
      <c r="C47" s="138"/>
      <c r="D47" s="138">
        <v>0.7</v>
      </c>
      <c r="E47" s="140">
        <v>7402</v>
      </c>
      <c r="F47" s="134">
        <f t="shared" si="25"/>
        <v>5181.3999999999996</v>
      </c>
      <c r="G47" s="140">
        <v>11055</v>
      </c>
      <c r="H47" s="134">
        <f t="shared" si="25"/>
        <v>7738.4999999999991</v>
      </c>
      <c r="I47" s="140">
        <v>11648</v>
      </c>
      <c r="J47" s="134">
        <f t="shared" si="26"/>
        <v>8153.5999999999995</v>
      </c>
      <c r="K47" s="140">
        <v>12520</v>
      </c>
      <c r="L47" s="134">
        <f t="shared" si="27"/>
        <v>8764</v>
      </c>
      <c r="M47" s="140">
        <v>12320</v>
      </c>
      <c r="N47" s="134">
        <f t="shared" si="28"/>
        <v>8624</v>
      </c>
      <c r="O47" s="140">
        <v>10488</v>
      </c>
      <c r="P47" s="134">
        <f t="shared" si="29"/>
        <v>7341.5999999999995</v>
      </c>
      <c r="Q47" s="140">
        <v>9390</v>
      </c>
      <c r="R47" s="134">
        <f t="shared" si="30"/>
        <v>6573</v>
      </c>
      <c r="S47" s="140">
        <v>13776</v>
      </c>
      <c r="T47" s="134">
        <f t="shared" si="31"/>
        <v>9643.1999999999989</v>
      </c>
      <c r="U47" s="140">
        <v>4693</v>
      </c>
      <c r="V47" s="134">
        <f t="shared" si="32"/>
        <v>3285.1</v>
      </c>
      <c r="W47" s="140">
        <v>7533</v>
      </c>
      <c r="X47" s="134">
        <f t="shared" si="33"/>
        <v>5273.0999999999995</v>
      </c>
      <c r="Y47" s="140">
        <v>8850</v>
      </c>
      <c r="Z47" s="134">
        <f t="shared" si="34"/>
        <v>6195</v>
      </c>
      <c r="AA47" s="140">
        <v>9882</v>
      </c>
      <c r="AB47" s="134">
        <f t="shared" si="35"/>
        <v>6917.4</v>
      </c>
      <c r="AC47" s="148">
        <f t="shared" si="36"/>
        <v>196329.50000000003</v>
      </c>
      <c r="AD47" s="134">
        <f t="shared" si="37"/>
        <v>137430.65000000002</v>
      </c>
    </row>
    <row r="48" spans="1:30" ht="21.75" customHeight="1">
      <c r="A48" s="138">
        <v>7</v>
      </c>
      <c r="B48" s="139" t="s">
        <v>253</v>
      </c>
      <c r="C48" s="138"/>
      <c r="D48" s="138">
        <v>0.35</v>
      </c>
      <c r="E48" s="140">
        <v>10676</v>
      </c>
      <c r="F48" s="134">
        <f t="shared" si="25"/>
        <v>3736.6</v>
      </c>
      <c r="G48" s="140">
        <v>22944</v>
      </c>
      <c r="H48" s="134">
        <f t="shared" si="25"/>
        <v>8030.4</v>
      </c>
      <c r="I48" s="140">
        <v>25390</v>
      </c>
      <c r="J48" s="134">
        <f t="shared" si="26"/>
        <v>8886.5</v>
      </c>
      <c r="K48" s="140">
        <v>23640</v>
      </c>
      <c r="L48" s="134">
        <f t="shared" si="27"/>
        <v>8274</v>
      </c>
      <c r="M48" s="140">
        <v>25414</v>
      </c>
      <c r="N48" s="134">
        <f t="shared" si="28"/>
        <v>8894.9</v>
      </c>
      <c r="O48" s="140">
        <v>24173</v>
      </c>
      <c r="P48" s="134">
        <f t="shared" si="29"/>
        <v>8460.5499999999993</v>
      </c>
      <c r="Q48" s="140">
        <v>23254</v>
      </c>
      <c r="R48" s="134">
        <f t="shared" si="30"/>
        <v>8138.9</v>
      </c>
      <c r="S48" s="140">
        <v>34164</v>
      </c>
      <c r="T48" s="134">
        <f t="shared" si="31"/>
        <v>11957.4</v>
      </c>
      <c r="U48" s="140">
        <v>11580</v>
      </c>
      <c r="V48" s="134">
        <f t="shared" si="32"/>
        <v>4052.9999999999995</v>
      </c>
      <c r="W48" s="140">
        <v>16810</v>
      </c>
      <c r="X48" s="134">
        <f t="shared" si="33"/>
        <v>5883.5</v>
      </c>
      <c r="Y48" s="140">
        <v>23152</v>
      </c>
      <c r="Z48" s="134">
        <f t="shared" si="34"/>
        <v>8103.2</v>
      </c>
      <c r="AA48" s="140">
        <v>26454</v>
      </c>
      <c r="AB48" s="134">
        <f t="shared" si="35"/>
        <v>9258.9</v>
      </c>
      <c r="AC48" s="148">
        <f t="shared" si="36"/>
        <v>352069.95</v>
      </c>
      <c r="AD48" s="134">
        <f t="shared" si="37"/>
        <v>123224.4825</v>
      </c>
    </row>
    <row r="49" spans="1:78" ht="20.399999999999999">
      <c r="A49" s="138">
        <v>8</v>
      </c>
      <c r="B49" s="139" t="s">
        <v>254</v>
      </c>
      <c r="C49" s="138"/>
      <c r="D49" s="138">
        <v>0.17499999999999999</v>
      </c>
      <c r="E49" s="140">
        <v>3168</v>
      </c>
      <c r="F49" s="134">
        <f t="shared" si="25"/>
        <v>554.4</v>
      </c>
      <c r="G49" s="140">
        <v>4733</v>
      </c>
      <c r="H49" s="134">
        <f t="shared" si="25"/>
        <v>828.27499999999998</v>
      </c>
      <c r="I49" s="140">
        <v>5359</v>
      </c>
      <c r="J49" s="134">
        <f t="shared" si="26"/>
        <v>937.82499999999993</v>
      </c>
      <c r="K49" s="140">
        <v>6037</v>
      </c>
      <c r="L49" s="134">
        <f t="shared" si="27"/>
        <v>1056.4749999999999</v>
      </c>
      <c r="M49" s="140">
        <v>8314</v>
      </c>
      <c r="N49" s="134">
        <f t="shared" si="28"/>
        <v>1454.9499999999998</v>
      </c>
      <c r="O49" s="140">
        <v>9693</v>
      </c>
      <c r="P49" s="134">
        <f t="shared" si="29"/>
        <v>1696.2749999999999</v>
      </c>
      <c r="Q49" s="140">
        <v>7736</v>
      </c>
      <c r="R49" s="134">
        <f t="shared" si="30"/>
        <v>1353.8</v>
      </c>
      <c r="S49" s="140">
        <v>9341</v>
      </c>
      <c r="T49" s="134">
        <f t="shared" si="31"/>
        <v>1634.675</v>
      </c>
      <c r="U49" s="140">
        <v>551</v>
      </c>
      <c r="V49" s="134">
        <f t="shared" si="32"/>
        <v>96.424999999999997</v>
      </c>
      <c r="W49" s="140">
        <v>7484</v>
      </c>
      <c r="X49" s="134">
        <f t="shared" si="33"/>
        <v>1309.6999999999998</v>
      </c>
      <c r="Y49" s="140">
        <v>6880</v>
      </c>
      <c r="Z49" s="134">
        <f t="shared" si="34"/>
        <v>1204</v>
      </c>
      <c r="AA49" s="140">
        <v>8846</v>
      </c>
      <c r="AB49" s="134">
        <f t="shared" si="35"/>
        <v>1548.05</v>
      </c>
      <c r="AC49" s="148">
        <f t="shared" si="36"/>
        <v>90268.800000000003</v>
      </c>
      <c r="AD49" s="134">
        <f t="shared" si="37"/>
        <v>15797.039999999999</v>
      </c>
    </row>
    <row r="50" spans="1:78" ht="21.75" customHeight="1">
      <c r="A50" s="138">
        <v>9</v>
      </c>
      <c r="B50" s="139" t="s">
        <v>255</v>
      </c>
      <c r="C50" s="138"/>
      <c r="D50" s="138">
        <v>0.7</v>
      </c>
      <c r="E50" s="140">
        <v>516</v>
      </c>
      <c r="F50" s="134">
        <f t="shared" si="25"/>
        <v>361.2</v>
      </c>
      <c r="G50" s="140">
        <v>1130</v>
      </c>
      <c r="H50" s="134">
        <f t="shared" si="25"/>
        <v>791</v>
      </c>
      <c r="I50" s="140">
        <v>1104</v>
      </c>
      <c r="J50" s="134">
        <f t="shared" si="26"/>
        <v>772.8</v>
      </c>
      <c r="K50" s="140">
        <v>1296</v>
      </c>
      <c r="L50" s="134">
        <f t="shared" si="27"/>
        <v>907.19999999999993</v>
      </c>
      <c r="M50" s="140">
        <v>912</v>
      </c>
      <c r="N50" s="134">
        <f t="shared" si="28"/>
        <v>638.4</v>
      </c>
      <c r="O50" s="140">
        <v>924</v>
      </c>
      <c r="P50" s="134">
        <f t="shared" si="29"/>
        <v>646.79999999999995</v>
      </c>
      <c r="Q50" s="140">
        <v>360</v>
      </c>
      <c r="R50" s="134">
        <f t="shared" si="30"/>
        <v>251.99999999999997</v>
      </c>
      <c r="S50" s="140">
        <v>504</v>
      </c>
      <c r="T50" s="134">
        <f t="shared" si="31"/>
        <v>352.79999999999995</v>
      </c>
      <c r="U50" s="140">
        <v>132</v>
      </c>
      <c r="V50" s="134">
        <f t="shared" si="32"/>
        <v>92.399999999999991</v>
      </c>
      <c r="W50" s="140">
        <v>60</v>
      </c>
      <c r="X50" s="134">
        <f t="shared" si="33"/>
        <v>42</v>
      </c>
      <c r="Y50" s="140"/>
      <c r="Z50" s="134">
        <f t="shared" si="34"/>
        <v>0</v>
      </c>
      <c r="AA50" s="140"/>
      <c r="AB50" s="134">
        <f t="shared" si="35"/>
        <v>0</v>
      </c>
      <c r="AC50" s="148">
        <f t="shared" si="36"/>
        <v>11794.599999999999</v>
      </c>
      <c r="AD50" s="134">
        <f t="shared" si="37"/>
        <v>8256.2199999999993</v>
      </c>
    </row>
    <row r="51" spans="1:78" ht="21.75" customHeight="1">
      <c r="A51" s="138">
        <v>10</v>
      </c>
      <c r="B51" s="139" t="s">
        <v>221</v>
      </c>
      <c r="C51" s="138"/>
      <c r="D51" s="138"/>
      <c r="E51" s="140"/>
      <c r="F51" s="134">
        <f t="shared" si="25"/>
        <v>0</v>
      </c>
      <c r="G51" s="140"/>
      <c r="H51" s="134">
        <f t="shared" si="25"/>
        <v>0</v>
      </c>
      <c r="I51" s="140"/>
      <c r="J51" s="134">
        <f t="shared" si="26"/>
        <v>0</v>
      </c>
      <c r="K51" s="140"/>
      <c r="L51" s="134">
        <f t="shared" si="27"/>
        <v>0</v>
      </c>
      <c r="M51" s="140">
        <v>590</v>
      </c>
      <c r="N51" s="134">
        <f t="shared" si="28"/>
        <v>0</v>
      </c>
      <c r="O51" s="140">
        <v>525</v>
      </c>
      <c r="P51" s="134">
        <f t="shared" si="29"/>
        <v>0</v>
      </c>
      <c r="Q51" s="140">
        <v>235</v>
      </c>
      <c r="R51" s="134">
        <f t="shared" si="30"/>
        <v>0</v>
      </c>
      <c r="S51" s="140">
        <v>317</v>
      </c>
      <c r="T51" s="134">
        <f t="shared" si="31"/>
        <v>0</v>
      </c>
      <c r="U51" s="140">
        <v>174</v>
      </c>
      <c r="V51" s="134">
        <f t="shared" si="32"/>
        <v>0</v>
      </c>
      <c r="W51" s="140">
        <v>26</v>
      </c>
      <c r="X51" s="134">
        <f t="shared" si="33"/>
        <v>0</v>
      </c>
      <c r="Y51" s="140">
        <v>1</v>
      </c>
      <c r="Z51" s="134">
        <f t="shared" si="34"/>
        <v>0</v>
      </c>
      <c r="AA51" s="140"/>
      <c r="AB51" s="134">
        <f t="shared" si="35"/>
        <v>0</v>
      </c>
      <c r="AC51" s="148">
        <f t="shared" si="36"/>
        <v>1868</v>
      </c>
      <c r="AD51" s="134">
        <f t="shared" si="37"/>
        <v>0</v>
      </c>
    </row>
    <row r="52" spans="1:78" ht="21.75" customHeight="1">
      <c r="A52" s="138">
        <v>11</v>
      </c>
      <c r="B52" s="139" t="s">
        <v>222</v>
      </c>
      <c r="C52" s="138"/>
      <c r="D52" s="138"/>
      <c r="E52" s="140"/>
      <c r="F52" s="134">
        <f t="shared" si="25"/>
        <v>0</v>
      </c>
      <c r="G52" s="140"/>
      <c r="H52" s="134">
        <f t="shared" si="25"/>
        <v>0</v>
      </c>
      <c r="I52" s="140"/>
      <c r="J52" s="134">
        <f t="shared" si="26"/>
        <v>0</v>
      </c>
      <c r="K52" s="140"/>
      <c r="L52" s="134">
        <f t="shared" si="27"/>
        <v>0</v>
      </c>
      <c r="M52" s="140">
        <v>128</v>
      </c>
      <c r="N52" s="134">
        <f t="shared" si="28"/>
        <v>0</v>
      </c>
      <c r="O52" s="140">
        <v>403</v>
      </c>
      <c r="P52" s="134">
        <f t="shared" si="29"/>
        <v>0</v>
      </c>
      <c r="Q52" s="140">
        <v>249</v>
      </c>
      <c r="R52" s="134">
        <f t="shared" si="30"/>
        <v>0</v>
      </c>
      <c r="S52" s="140">
        <v>338</v>
      </c>
      <c r="T52" s="134">
        <f t="shared" si="31"/>
        <v>0</v>
      </c>
      <c r="U52" s="140">
        <v>203</v>
      </c>
      <c r="V52" s="134">
        <f t="shared" si="32"/>
        <v>0</v>
      </c>
      <c r="W52" s="140">
        <v>18</v>
      </c>
      <c r="X52" s="134">
        <f t="shared" si="33"/>
        <v>0</v>
      </c>
      <c r="Y52" s="140">
        <v>12</v>
      </c>
      <c r="Z52" s="134">
        <f t="shared" si="34"/>
        <v>0</v>
      </c>
      <c r="AA52" s="140">
        <v>5</v>
      </c>
      <c r="AB52" s="134">
        <f t="shared" si="35"/>
        <v>0</v>
      </c>
      <c r="AC52" s="148">
        <f t="shared" si="36"/>
        <v>1356</v>
      </c>
      <c r="AD52" s="134">
        <f t="shared" si="37"/>
        <v>0</v>
      </c>
    </row>
    <row r="53" spans="1:78" ht="21.75" customHeight="1">
      <c r="A53" s="138">
        <v>12</v>
      </c>
      <c r="B53" s="139" t="s">
        <v>256</v>
      </c>
      <c r="C53" s="138"/>
      <c r="D53" s="138"/>
      <c r="E53" s="140"/>
      <c r="F53" s="134">
        <f t="shared" si="25"/>
        <v>0</v>
      </c>
      <c r="G53" s="140"/>
      <c r="H53" s="134">
        <f t="shared" si="25"/>
        <v>0</v>
      </c>
      <c r="I53" s="140"/>
      <c r="J53" s="134">
        <f t="shared" si="26"/>
        <v>0</v>
      </c>
      <c r="K53" s="140"/>
      <c r="L53" s="134">
        <f t="shared" si="27"/>
        <v>0</v>
      </c>
      <c r="M53" s="140">
        <v>664</v>
      </c>
      <c r="N53" s="134">
        <f t="shared" si="28"/>
        <v>0</v>
      </c>
      <c r="O53" s="140">
        <v>123</v>
      </c>
      <c r="P53" s="134">
        <f t="shared" si="29"/>
        <v>0</v>
      </c>
      <c r="Q53" s="140">
        <v>5</v>
      </c>
      <c r="R53" s="134">
        <f t="shared" si="30"/>
        <v>0</v>
      </c>
      <c r="S53" s="140"/>
      <c r="T53" s="134">
        <f t="shared" si="31"/>
        <v>0</v>
      </c>
      <c r="U53" s="140"/>
      <c r="V53" s="134">
        <f t="shared" si="32"/>
        <v>0</v>
      </c>
      <c r="W53" s="140">
        <v>7</v>
      </c>
      <c r="X53" s="134">
        <f t="shared" si="33"/>
        <v>0</v>
      </c>
      <c r="Y53" s="140"/>
      <c r="Z53" s="134">
        <f t="shared" si="34"/>
        <v>0</v>
      </c>
      <c r="AA53" s="140"/>
      <c r="AB53" s="134">
        <f t="shared" si="35"/>
        <v>0</v>
      </c>
      <c r="AC53" s="148">
        <f t="shared" si="36"/>
        <v>799</v>
      </c>
      <c r="AD53" s="134">
        <f t="shared" si="37"/>
        <v>0</v>
      </c>
    </row>
    <row r="54" spans="1:78" ht="21.75" customHeight="1">
      <c r="A54" s="138"/>
      <c r="B54" s="139"/>
      <c r="C54" s="138"/>
      <c r="D54" s="138"/>
      <c r="E54" s="140"/>
      <c r="F54" s="140"/>
      <c r="G54" s="140"/>
      <c r="H54" s="141"/>
      <c r="I54" s="140"/>
      <c r="J54" s="141"/>
      <c r="K54" s="140"/>
      <c r="L54" s="141"/>
      <c r="M54" s="140"/>
      <c r="N54" s="141"/>
      <c r="O54" s="140"/>
      <c r="P54" s="141"/>
      <c r="Q54" s="140"/>
      <c r="R54" s="141"/>
      <c r="S54" s="140"/>
      <c r="T54" s="141"/>
      <c r="U54" s="140"/>
      <c r="V54" s="141"/>
      <c r="W54" s="140"/>
      <c r="X54" s="141"/>
      <c r="Y54" s="140"/>
      <c r="Z54" s="141"/>
      <c r="AA54" s="140"/>
      <c r="AB54" s="141"/>
      <c r="AC54" s="148"/>
      <c r="AD54" s="149"/>
    </row>
    <row r="55" spans="1:78" s="150" customFormat="1" ht="21.75" customHeight="1">
      <c r="A55" s="142"/>
      <c r="B55" s="143" t="s">
        <v>257</v>
      </c>
      <c r="C55" s="142"/>
      <c r="D55" s="142"/>
      <c r="E55" s="144">
        <f>SUM(E42:E54)</f>
        <v>23398</v>
      </c>
      <c r="F55" s="144">
        <f t="shared" ref="F55:AD55" si="38">SUM(F42:F54)</f>
        <v>10917.025</v>
      </c>
      <c r="G55" s="144">
        <f t="shared" si="38"/>
        <v>42218</v>
      </c>
      <c r="H55" s="144">
        <f t="shared" si="38"/>
        <v>18767.875</v>
      </c>
      <c r="I55" s="144">
        <f t="shared" si="38"/>
        <v>46068</v>
      </c>
      <c r="J55" s="144">
        <f t="shared" si="38"/>
        <v>20295.625</v>
      </c>
      <c r="K55" s="144">
        <f t="shared" si="38"/>
        <v>46078</v>
      </c>
      <c r="L55" s="144">
        <f t="shared" si="38"/>
        <v>20638.274999999998</v>
      </c>
      <c r="M55" s="144">
        <f t="shared" si="38"/>
        <v>51336</v>
      </c>
      <c r="N55" s="144">
        <f t="shared" si="38"/>
        <v>21423.500000000004</v>
      </c>
      <c r="O55" s="144">
        <f t="shared" si="38"/>
        <v>49598</v>
      </c>
      <c r="P55" s="144">
        <f t="shared" si="38"/>
        <v>20253.974999999999</v>
      </c>
      <c r="Q55" s="144">
        <f t="shared" si="38"/>
        <v>43725</v>
      </c>
      <c r="R55" s="144">
        <f t="shared" si="38"/>
        <v>17863.3</v>
      </c>
      <c r="S55" s="144">
        <f t="shared" si="38"/>
        <v>61193</v>
      </c>
      <c r="T55" s="144">
        <f t="shared" si="38"/>
        <v>25360.824999999997</v>
      </c>
      <c r="U55" s="144">
        <f t="shared" si="38"/>
        <v>20625</v>
      </c>
      <c r="V55" s="144">
        <f t="shared" si="38"/>
        <v>9400.4749999999985</v>
      </c>
      <c r="W55" s="144">
        <f t="shared" si="38"/>
        <v>36145</v>
      </c>
      <c r="X55" s="144">
        <f t="shared" si="38"/>
        <v>14761.95</v>
      </c>
      <c r="Y55" s="144">
        <f t="shared" si="38"/>
        <v>42036</v>
      </c>
      <c r="Z55" s="144">
        <f t="shared" si="38"/>
        <v>17322.2</v>
      </c>
      <c r="AA55" s="144">
        <f t="shared" si="38"/>
        <v>52164</v>
      </c>
      <c r="AB55" s="144">
        <f t="shared" si="38"/>
        <v>20925.099999999999</v>
      </c>
      <c r="AC55" s="144">
        <f t="shared" si="38"/>
        <v>711589.02500000002</v>
      </c>
      <c r="AD55" s="144">
        <f t="shared" si="38"/>
        <v>319063.33812499995</v>
      </c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</row>
    <row r="56" spans="1:78" ht="21.75" customHeight="1">
      <c r="A56" s="138"/>
      <c r="B56" s="139"/>
      <c r="C56" s="138"/>
      <c r="D56" s="138"/>
      <c r="E56" s="140"/>
      <c r="F56" s="140"/>
      <c r="G56" s="140"/>
      <c r="H56" s="141"/>
      <c r="I56" s="140"/>
      <c r="J56" s="141"/>
      <c r="K56" s="140"/>
      <c r="L56" s="141"/>
      <c r="M56" s="140"/>
      <c r="N56" s="141"/>
      <c r="O56" s="140"/>
      <c r="P56" s="141"/>
      <c r="Q56" s="140"/>
      <c r="R56" s="141"/>
      <c r="S56" s="140"/>
      <c r="T56" s="141"/>
      <c r="U56" s="140"/>
      <c r="V56" s="141"/>
      <c r="W56" s="140"/>
      <c r="X56" s="141"/>
      <c r="Y56" s="140"/>
      <c r="Z56" s="141"/>
      <c r="AA56" s="140"/>
      <c r="AB56" s="141"/>
      <c r="AC56" s="148"/>
      <c r="AD56" s="149"/>
    </row>
    <row r="57" spans="1:78" ht="21.75" customHeight="1">
      <c r="A57" s="138">
        <v>1</v>
      </c>
      <c r="B57" s="139" t="s">
        <v>258</v>
      </c>
      <c r="C57" s="138"/>
      <c r="D57" s="138">
        <v>0.5</v>
      </c>
      <c r="E57" s="140"/>
      <c r="F57" s="134">
        <f t="shared" ref="F57:H75" si="39">+E57*$D57</f>
        <v>0</v>
      </c>
      <c r="G57" s="140">
        <v>24</v>
      </c>
      <c r="H57" s="134">
        <f t="shared" si="39"/>
        <v>12</v>
      </c>
      <c r="I57" s="140"/>
      <c r="J57" s="134">
        <f t="shared" ref="J57:J75" si="40">+I57*$D57</f>
        <v>0</v>
      </c>
      <c r="K57" s="140"/>
      <c r="L57" s="134">
        <f t="shared" ref="L57:L75" si="41">+K57*$D57</f>
        <v>0</v>
      </c>
      <c r="M57" s="140"/>
      <c r="N57" s="134">
        <f t="shared" ref="N57:N75" si="42">+M57*$D57</f>
        <v>0</v>
      </c>
      <c r="O57" s="140"/>
      <c r="P57" s="134">
        <f t="shared" ref="P57:P75" si="43">+O57*$D57</f>
        <v>0</v>
      </c>
      <c r="Q57" s="140"/>
      <c r="R57" s="134">
        <f t="shared" ref="R57:R75" si="44">+Q57*$D57</f>
        <v>0</v>
      </c>
      <c r="S57" s="140"/>
      <c r="T57" s="134">
        <f t="shared" ref="T57:T75" si="45">+S57*$D57</f>
        <v>0</v>
      </c>
      <c r="U57" s="140"/>
      <c r="V57" s="134">
        <f t="shared" ref="V57:V75" si="46">+U57*$D57</f>
        <v>0</v>
      </c>
      <c r="W57" s="140"/>
      <c r="X57" s="134">
        <f t="shared" ref="X57:X75" si="47">+W57*$D57</f>
        <v>0</v>
      </c>
      <c r="Y57" s="140"/>
      <c r="Z57" s="134">
        <f t="shared" ref="Z57:Z75" si="48">+Y57*$D57</f>
        <v>0</v>
      </c>
      <c r="AA57" s="140"/>
      <c r="AB57" s="134">
        <f t="shared" ref="AB57:AD75" si="49">+AA57*$D57</f>
        <v>0</v>
      </c>
      <c r="AC57" s="148">
        <f t="shared" ref="AC57:AC74" si="50">SUM(E57:AA57)</f>
        <v>36</v>
      </c>
      <c r="AD57" s="134">
        <f t="shared" si="49"/>
        <v>18</v>
      </c>
    </row>
    <row r="58" spans="1:78" ht="21.75" hidden="1" customHeight="1">
      <c r="A58" s="138">
        <v>14</v>
      </c>
      <c r="B58" s="139"/>
      <c r="C58" s="138"/>
      <c r="D58" s="138"/>
      <c r="E58" s="140"/>
      <c r="F58" s="134">
        <f t="shared" si="39"/>
        <v>0</v>
      </c>
      <c r="G58" s="140"/>
      <c r="H58" s="134">
        <f t="shared" si="39"/>
        <v>0</v>
      </c>
      <c r="I58" s="140"/>
      <c r="J58" s="134">
        <f t="shared" si="40"/>
        <v>0</v>
      </c>
      <c r="K58" s="140"/>
      <c r="L58" s="134">
        <f t="shared" si="41"/>
        <v>0</v>
      </c>
      <c r="M58" s="140"/>
      <c r="N58" s="134">
        <f t="shared" si="42"/>
        <v>0</v>
      </c>
      <c r="O58" s="140"/>
      <c r="P58" s="134">
        <f t="shared" si="43"/>
        <v>0</v>
      </c>
      <c r="Q58" s="140"/>
      <c r="R58" s="134">
        <f t="shared" si="44"/>
        <v>0</v>
      </c>
      <c r="S58" s="140"/>
      <c r="T58" s="134">
        <f t="shared" si="45"/>
        <v>0</v>
      </c>
      <c r="U58" s="140"/>
      <c r="V58" s="134">
        <f t="shared" si="46"/>
        <v>0</v>
      </c>
      <c r="W58" s="140"/>
      <c r="X58" s="134">
        <f t="shared" si="47"/>
        <v>0</v>
      </c>
      <c r="Y58" s="140"/>
      <c r="Z58" s="134">
        <f t="shared" si="48"/>
        <v>0</v>
      </c>
      <c r="AA58" s="140"/>
      <c r="AB58" s="134">
        <f t="shared" si="49"/>
        <v>0</v>
      </c>
      <c r="AC58" s="148">
        <f t="shared" si="50"/>
        <v>0</v>
      </c>
      <c r="AD58" s="134">
        <f t="shared" si="49"/>
        <v>0</v>
      </c>
    </row>
    <row r="59" spans="1:78" ht="21.75" customHeight="1">
      <c r="A59" s="138">
        <v>2</v>
      </c>
      <c r="B59" s="139" t="s">
        <v>259</v>
      </c>
      <c r="C59" s="138"/>
      <c r="D59" s="138">
        <v>0.7</v>
      </c>
      <c r="E59" s="140">
        <v>180</v>
      </c>
      <c r="F59" s="134">
        <f t="shared" si="39"/>
        <v>125.99999999999999</v>
      </c>
      <c r="G59" s="140">
        <v>1640</v>
      </c>
      <c r="H59" s="134">
        <f t="shared" si="39"/>
        <v>1148</v>
      </c>
      <c r="I59" s="140">
        <v>529</v>
      </c>
      <c r="J59" s="134">
        <f t="shared" si="40"/>
        <v>370.29999999999995</v>
      </c>
      <c r="K59" s="140">
        <v>289</v>
      </c>
      <c r="L59" s="134">
        <f t="shared" si="41"/>
        <v>202.29999999999998</v>
      </c>
      <c r="M59" s="140">
        <v>117</v>
      </c>
      <c r="N59" s="134">
        <f t="shared" si="42"/>
        <v>81.899999999999991</v>
      </c>
      <c r="O59" s="140">
        <v>238</v>
      </c>
      <c r="P59" s="134">
        <f t="shared" si="43"/>
        <v>166.6</v>
      </c>
      <c r="Q59" s="140">
        <v>629</v>
      </c>
      <c r="R59" s="134">
        <f t="shared" si="44"/>
        <v>440.29999999999995</v>
      </c>
      <c r="S59" s="140">
        <v>300</v>
      </c>
      <c r="T59" s="134">
        <f t="shared" si="45"/>
        <v>210</v>
      </c>
      <c r="U59" s="140">
        <v>182</v>
      </c>
      <c r="V59" s="134">
        <f t="shared" si="46"/>
        <v>127.39999999999999</v>
      </c>
      <c r="W59" s="140">
        <v>219</v>
      </c>
      <c r="X59" s="134">
        <f t="shared" si="47"/>
        <v>153.29999999999998</v>
      </c>
      <c r="Y59" s="140">
        <v>128</v>
      </c>
      <c r="Z59" s="134">
        <f t="shared" si="48"/>
        <v>89.6</v>
      </c>
      <c r="AA59" s="140">
        <v>173</v>
      </c>
      <c r="AB59" s="134">
        <f t="shared" si="49"/>
        <v>121.1</v>
      </c>
      <c r="AC59" s="148">
        <f t="shared" si="50"/>
        <v>7739.7000000000007</v>
      </c>
      <c r="AD59" s="134">
        <f t="shared" si="49"/>
        <v>5417.79</v>
      </c>
    </row>
    <row r="60" spans="1:78" ht="21.75" hidden="1" customHeight="1">
      <c r="A60" s="138">
        <v>16</v>
      </c>
      <c r="B60" s="139"/>
      <c r="C60" s="138"/>
      <c r="D60" s="138"/>
      <c r="E60" s="140"/>
      <c r="F60" s="134">
        <f t="shared" si="39"/>
        <v>0</v>
      </c>
      <c r="G60" s="140"/>
      <c r="H60" s="134">
        <f t="shared" si="39"/>
        <v>0</v>
      </c>
      <c r="I60" s="140"/>
      <c r="J60" s="134">
        <f t="shared" si="40"/>
        <v>0</v>
      </c>
      <c r="K60" s="140"/>
      <c r="L60" s="134">
        <f t="shared" si="41"/>
        <v>0</v>
      </c>
      <c r="M60" s="140"/>
      <c r="N60" s="134">
        <f t="shared" si="42"/>
        <v>0</v>
      </c>
      <c r="O60" s="140"/>
      <c r="P60" s="134">
        <f t="shared" si="43"/>
        <v>0</v>
      </c>
      <c r="Q60" s="140"/>
      <c r="R60" s="134">
        <f t="shared" si="44"/>
        <v>0</v>
      </c>
      <c r="S60" s="140"/>
      <c r="T60" s="134">
        <f t="shared" si="45"/>
        <v>0</v>
      </c>
      <c r="U60" s="140"/>
      <c r="V60" s="134">
        <f t="shared" si="46"/>
        <v>0</v>
      </c>
      <c r="W60" s="140"/>
      <c r="X60" s="134">
        <f t="shared" si="47"/>
        <v>0</v>
      </c>
      <c r="Y60" s="140"/>
      <c r="Z60" s="134">
        <f t="shared" si="48"/>
        <v>0</v>
      </c>
      <c r="AA60" s="140"/>
      <c r="AB60" s="134">
        <f t="shared" si="49"/>
        <v>0</v>
      </c>
      <c r="AC60" s="148">
        <f t="shared" si="50"/>
        <v>0</v>
      </c>
      <c r="AD60" s="134">
        <f t="shared" si="49"/>
        <v>0</v>
      </c>
    </row>
    <row r="61" spans="1:78" ht="21.75" customHeight="1">
      <c r="A61" s="138">
        <v>3</v>
      </c>
      <c r="B61" s="139" t="s">
        <v>260</v>
      </c>
      <c r="C61" s="138"/>
      <c r="D61" s="138">
        <v>20</v>
      </c>
      <c r="E61" s="140">
        <v>45</v>
      </c>
      <c r="F61" s="134">
        <f t="shared" si="39"/>
        <v>900</v>
      </c>
      <c r="G61" s="140">
        <v>114</v>
      </c>
      <c r="H61" s="134">
        <f t="shared" si="39"/>
        <v>2280</v>
      </c>
      <c r="I61" s="140">
        <v>32</v>
      </c>
      <c r="J61" s="134">
        <f t="shared" si="40"/>
        <v>640</v>
      </c>
      <c r="K61" s="140">
        <v>63</v>
      </c>
      <c r="L61" s="134">
        <f t="shared" si="41"/>
        <v>1260</v>
      </c>
      <c r="M61" s="140">
        <v>8</v>
      </c>
      <c r="N61" s="134">
        <f t="shared" si="42"/>
        <v>160</v>
      </c>
      <c r="O61" s="140">
        <v>19</v>
      </c>
      <c r="P61" s="134">
        <f t="shared" si="43"/>
        <v>380</v>
      </c>
      <c r="Q61" s="140">
        <v>6</v>
      </c>
      <c r="R61" s="134">
        <f t="shared" si="44"/>
        <v>120</v>
      </c>
      <c r="S61" s="140">
        <v>21</v>
      </c>
      <c r="T61" s="134">
        <f t="shared" si="45"/>
        <v>420</v>
      </c>
      <c r="U61" s="140">
        <v>50</v>
      </c>
      <c r="V61" s="134">
        <f t="shared" si="46"/>
        <v>1000</v>
      </c>
      <c r="W61" s="140">
        <v>8</v>
      </c>
      <c r="X61" s="134">
        <f t="shared" si="47"/>
        <v>160</v>
      </c>
      <c r="Y61" s="140">
        <v>16</v>
      </c>
      <c r="Z61" s="134">
        <f t="shared" si="48"/>
        <v>320</v>
      </c>
      <c r="AA61" s="140">
        <v>7</v>
      </c>
      <c r="AB61" s="134">
        <f t="shared" si="49"/>
        <v>140</v>
      </c>
      <c r="AC61" s="148">
        <f t="shared" si="50"/>
        <v>8029</v>
      </c>
      <c r="AD61" s="134">
        <f t="shared" si="49"/>
        <v>160580</v>
      </c>
    </row>
    <row r="62" spans="1:78" ht="21.75" hidden="1" customHeight="1">
      <c r="A62" s="138">
        <v>18</v>
      </c>
      <c r="B62" s="139"/>
      <c r="C62" s="138"/>
      <c r="D62" s="138"/>
      <c r="E62" s="140"/>
      <c r="F62" s="134">
        <f t="shared" si="39"/>
        <v>0</v>
      </c>
      <c r="G62" s="140"/>
      <c r="H62" s="134">
        <f t="shared" si="39"/>
        <v>0</v>
      </c>
      <c r="I62" s="140"/>
      <c r="J62" s="134">
        <f t="shared" si="40"/>
        <v>0</v>
      </c>
      <c r="K62" s="140"/>
      <c r="L62" s="134">
        <f t="shared" si="41"/>
        <v>0</v>
      </c>
      <c r="M62" s="140"/>
      <c r="N62" s="134">
        <f t="shared" si="42"/>
        <v>0</v>
      </c>
      <c r="O62" s="140"/>
      <c r="P62" s="134">
        <f t="shared" si="43"/>
        <v>0</v>
      </c>
      <c r="Q62" s="140"/>
      <c r="R62" s="134">
        <f t="shared" si="44"/>
        <v>0</v>
      </c>
      <c r="S62" s="140"/>
      <c r="T62" s="134">
        <f t="shared" si="45"/>
        <v>0</v>
      </c>
      <c r="U62" s="140"/>
      <c r="V62" s="134">
        <f t="shared" si="46"/>
        <v>0</v>
      </c>
      <c r="W62" s="140"/>
      <c r="X62" s="134">
        <f t="shared" si="47"/>
        <v>0</v>
      </c>
      <c r="Y62" s="140"/>
      <c r="Z62" s="134">
        <f t="shared" si="48"/>
        <v>0</v>
      </c>
      <c r="AA62" s="140"/>
      <c r="AB62" s="134">
        <f t="shared" si="49"/>
        <v>0</v>
      </c>
      <c r="AC62" s="148">
        <f t="shared" si="50"/>
        <v>0</v>
      </c>
      <c r="AD62" s="134">
        <f t="shared" si="49"/>
        <v>0</v>
      </c>
    </row>
    <row r="63" spans="1:78" ht="21.75" hidden="1" customHeight="1">
      <c r="A63" s="138">
        <v>19</v>
      </c>
      <c r="B63" s="139"/>
      <c r="C63" s="138"/>
      <c r="D63" s="138"/>
      <c r="E63" s="140"/>
      <c r="F63" s="134">
        <f t="shared" si="39"/>
        <v>0</v>
      </c>
      <c r="G63" s="140"/>
      <c r="H63" s="134">
        <f t="shared" si="39"/>
        <v>0</v>
      </c>
      <c r="I63" s="140"/>
      <c r="J63" s="134">
        <f t="shared" si="40"/>
        <v>0</v>
      </c>
      <c r="K63" s="140"/>
      <c r="L63" s="134">
        <f t="shared" si="41"/>
        <v>0</v>
      </c>
      <c r="M63" s="140"/>
      <c r="N63" s="134">
        <f t="shared" si="42"/>
        <v>0</v>
      </c>
      <c r="O63" s="140"/>
      <c r="P63" s="134">
        <f t="shared" si="43"/>
        <v>0</v>
      </c>
      <c r="Q63" s="140"/>
      <c r="R63" s="134">
        <f t="shared" si="44"/>
        <v>0</v>
      </c>
      <c r="S63" s="140"/>
      <c r="T63" s="134">
        <f t="shared" si="45"/>
        <v>0</v>
      </c>
      <c r="U63" s="140"/>
      <c r="V63" s="134">
        <f t="shared" si="46"/>
        <v>0</v>
      </c>
      <c r="W63" s="140"/>
      <c r="X63" s="134">
        <f t="shared" si="47"/>
        <v>0</v>
      </c>
      <c r="Y63" s="140"/>
      <c r="Z63" s="134">
        <f t="shared" si="48"/>
        <v>0</v>
      </c>
      <c r="AA63" s="140"/>
      <c r="AB63" s="134">
        <f t="shared" si="49"/>
        <v>0</v>
      </c>
      <c r="AC63" s="148">
        <f t="shared" si="50"/>
        <v>0</v>
      </c>
      <c r="AD63" s="134">
        <f t="shared" si="49"/>
        <v>0</v>
      </c>
    </row>
    <row r="64" spans="1:78" ht="21.75" customHeight="1">
      <c r="A64" s="138">
        <v>4</v>
      </c>
      <c r="B64" s="139" t="s">
        <v>261</v>
      </c>
      <c r="C64" s="138"/>
      <c r="D64" s="138">
        <v>0.1</v>
      </c>
      <c r="E64" s="140">
        <v>104</v>
      </c>
      <c r="F64" s="134">
        <f t="shared" si="39"/>
        <v>10.4</v>
      </c>
      <c r="G64" s="140">
        <v>408</v>
      </c>
      <c r="H64" s="134">
        <f t="shared" si="39"/>
        <v>40.800000000000004</v>
      </c>
      <c r="I64" s="140">
        <v>32</v>
      </c>
      <c r="J64" s="134">
        <f t="shared" si="40"/>
        <v>3.2</v>
      </c>
      <c r="K64" s="140">
        <v>100</v>
      </c>
      <c r="L64" s="134">
        <f t="shared" si="41"/>
        <v>10</v>
      </c>
      <c r="M64" s="140">
        <v>96</v>
      </c>
      <c r="N64" s="134">
        <f t="shared" si="42"/>
        <v>9.6000000000000014</v>
      </c>
      <c r="O64" s="140">
        <v>2</v>
      </c>
      <c r="P64" s="134">
        <f t="shared" si="43"/>
        <v>0.2</v>
      </c>
      <c r="Q64" s="140">
        <v>96</v>
      </c>
      <c r="R64" s="134">
        <f t="shared" si="44"/>
        <v>9.6000000000000014</v>
      </c>
      <c r="S64" s="140">
        <v>24</v>
      </c>
      <c r="T64" s="134">
        <f t="shared" si="45"/>
        <v>2.4000000000000004</v>
      </c>
      <c r="U64" s="140"/>
      <c r="V64" s="134">
        <f t="shared" si="46"/>
        <v>0</v>
      </c>
      <c r="W64" s="140"/>
      <c r="X64" s="134">
        <f t="shared" si="47"/>
        <v>0</v>
      </c>
      <c r="Y64" s="140"/>
      <c r="Z64" s="134">
        <f t="shared" si="48"/>
        <v>0</v>
      </c>
      <c r="AA64" s="140"/>
      <c r="AB64" s="134">
        <f t="shared" si="49"/>
        <v>0</v>
      </c>
      <c r="AC64" s="148">
        <f t="shared" si="50"/>
        <v>948.2</v>
      </c>
      <c r="AD64" s="134">
        <f t="shared" si="49"/>
        <v>94.820000000000007</v>
      </c>
    </row>
    <row r="65" spans="1:78" ht="21.75" customHeight="1">
      <c r="A65" s="138">
        <v>5</v>
      </c>
      <c r="B65" s="139" t="s">
        <v>262</v>
      </c>
      <c r="C65" s="138"/>
      <c r="D65" s="138">
        <v>0.5</v>
      </c>
      <c r="E65" s="140">
        <v>24</v>
      </c>
      <c r="F65" s="134">
        <f t="shared" si="39"/>
        <v>12</v>
      </c>
      <c r="G65" s="140">
        <v>164</v>
      </c>
      <c r="H65" s="134">
        <f t="shared" si="39"/>
        <v>82</v>
      </c>
      <c r="I65" s="140">
        <v>16</v>
      </c>
      <c r="J65" s="134">
        <f t="shared" si="40"/>
        <v>8</v>
      </c>
      <c r="K65" s="140"/>
      <c r="L65" s="134">
        <f t="shared" si="41"/>
        <v>0</v>
      </c>
      <c r="M65" s="140"/>
      <c r="N65" s="134">
        <f t="shared" si="42"/>
        <v>0</v>
      </c>
      <c r="O65" s="140">
        <v>10</v>
      </c>
      <c r="P65" s="134">
        <f t="shared" si="43"/>
        <v>5</v>
      </c>
      <c r="Q65" s="140">
        <v>3</v>
      </c>
      <c r="R65" s="134">
        <f t="shared" si="44"/>
        <v>1.5</v>
      </c>
      <c r="S65" s="140"/>
      <c r="T65" s="134">
        <f t="shared" si="45"/>
        <v>0</v>
      </c>
      <c r="U65" s="140">
        <v>1</v>
      </c>
      <c r="V65" s="134">
        <f t="shared" si="46"/>
        <v>0.5</v>
      </c>
      <c r="W65" s="140"/>
      <c r="X65" s="134">
        <f t="shared" si="47"/>
        <v>0</v>
      </c>
      <c r="Y65" s="140"/>
      <c r="Z65" s="134">
        <f t="shared" si="48"/>
        <v>0</v>
      </c>
      <c r="AA65" s="140"/>
      <c r="AB65" s="134">
        <f t="shared" si="49"/>
        <v>0</v>
      </c>
      <c r="AC65" s="148">
        <f t="shared" si="50"/>
        <v>327</v>
      </c>
      <c r="AD65" s="134">
        <f t="shared" si="49"/>
        <v>163.5</v>
      </c>
    </row>
    <row r="66" spans="1:78" ht="21.75" hidden="1" customHeight="1">
      <c r="A66" s="138">
        <v>22</v>
      </c>
      <c r="B66" s="139" t="s">
        <v>261</v>
      </c>
      <c r="C66" s="138"/>
      <c r="D66" s="138"/>
      <c r="E66" s="140"/>
      <c r="F66" s="134">
        <f t="shared" si="39"/>
        <v>0</v>
      </c>
      <c r="G66" s="140"/>
      <c r="H66" s="134">
        <f t="shared" si="39"/>
        <v>0</v>
      </c>
      <c r="I66" s="140"/>
      <c r="J66" s="134">
        <f t="shared" si="40"/>
        <v>0</v>
      </c>
      <c r="K66" s="140"/>
      <c r="L66" s="134">
        <f t="shared" si="41"/>
        <v>0</v>
      </c>
      <c r="M66" s="140"/>
      <c r="N66" s="134">
        <f t="shared" si="42"/>
        <v>0</v>
      </c>
      <c r="O66" s="140"/>
      <c r="P66" s="134">
        <f t="shared" si="43"/>
        <v>0</v>
      </c>
      <c r="Q66" s="140"/>
      <c r="R66" s="134">
        <f t="shared" si="44"/>
        <v>0</v>
      </c>
      <c r="S66" s="140"/>
      <c r="T66" s="134">
        <f t="shared" si="45"/>
        <v>0</v>
      </c>
      <c r="U66" s="140"/>
      <c r="V66" s="134">
        <f t="shared" si="46"/>
        <v>0</v>
      </c>
      <c r="W66" s="140"/>
      <c r="X66" s="134">
        <f t="shared" si="47"/>
        <v>0</v>
      </c>
      <c r="Y66" s="140"/>
      <c r="Z66" s="134">
        <f t="shared" si="48"/>
        <v>0</v>
      </c>
      <c r="AA66" s="140"/>
      <c r="AB66" s="134">
        <f t="shared" si="49"/>
        <v>0</v>
      </c>
      <c r="AC66" s="148">
        <f t="shared" si="50"/>
        <v>0</v>
      </c>
      <c r="AD66" s="134">
        <f t="shared" si="49"/>
        <v>0</v>
      </c>
    </row>
    <row r="67" spans="1:78" ht="21.75" hidden="1" customHeight="1">
      <c r="A67" s="138">
        <v>23</v>
      </c>
      <c r="B67" s="139" t="s">
        <v>261</v>
      </c>
      <c r="C67" s="138"/>
      <c r="D67" s="138"/>
      <c r="E67" s="140"/>
      <c r="F67" s="134">
        <f t="shared" si="39"/>
        <v>0</v>
      </c>
      <c r="G67" s="140"/>
      <c r="H67" s="134">
        <f t="shared" si="39"/>
        <v>0</v>
      </c>
      <c r="I67" s="140"/>
      <c r="J67" s="134">
        <f t="shared" si="40"/>
        <v>0</v>
      </c>
      <c r="K67" s="140"/>
      <c r="L67" s="134">
        <f t="shared" si="41"/>
        <v>0</v>
      </c>
      <c r="M67" s="140"/>
      <c r="N67" s="134">
        <f t="shared" si="42"/>
        <v>0</v>
      </c>
      <c r="O67" s="140"/>
      <c r="P67" s="134">
        <f t="shared" si="43"/>
        <v>0</v>
      </c>
      <c r="Q67" s="140"/>
      <c r="R67" s="134">
        <f t="shared" si="44"/>
        <v>0</v>
      </c>
      <c r="S67" s="140"/>
      <c r="T67" s="134">
        <f t="shared" si="45"/>
        <v>0</v>
      </c>
      <c r="U67" s="140"/>
      <c r="V67" s="134">
        <f t="shared" si="46"/>
        <v>0</v>
      </c>
      <c r="W67" s="140"/>
      <c r="X67" s="134">
        <f t="shared" si="47"/>
        <v>0</v>
      </c>
      <c r="Y67" s="140"/>
      <c r="Z67" s="134">
        <f t="shared" si="48"/>
        <v>0</v>
      </c>
      <c r="AA67" s="140"/>
      <c r="AB67" s="134">
        <f t="shared" si="49"/>
        <v>0</v>
      </c>
      <c r="AC67" s="148">
        <f t="shared" si="50"/>
        <v>0</v>
      </c>
      <c r="AD67" s="134">
        <f t="shared" si="49"/>
        <v>0</v>
      </c>
    </row>
    <row r="68" spans="1:78" ht="21.75" customHeight="1">
      <c r="A68" s="138">
        <v>6</v>
      </c>
      <c r="B68" s="139" t="s">
        <v>263</v>
      </c>
      <c r="C68" s="138"/>
      <c r="D68" s="138">
        <v>0.7</v>
      </c>
      <c r="E68" s="140">
        <v>173</v>
      </c>
      <c r="F68" s="134">
        <f t="shared" si="39"/>
        <v>121.1</v>
      </c>
      <c r="G68" s="140">
        <v>535</v>
      </c>
      <c r="H68" s="134">
        <f t="shared" si="39"/>
        <v>374.5</v>
      </c>
      <c r="I68" s="140">
        <v>155</v>
      </c>
      <c r="J68" s="134">
        <f t="shared" si="40"/>
        <v>108.5</v>
      </c>
      <c r="K68" s="140">
        <v>58</v>
      </c>
      <c r="L68" s="134">
        <f t="shared" si="41"/>
        <v>40.599999999999994</v>
      </c>
      <c r="M68" s="140">
        <v>82</v>
      </c>
      <c r="N68" s="134">
        <f t="shared" si="42"/>
        <v>57.4</v>
      </c>
      <c r="O68" s="140">
        <v>39</v>
      </c>
      <c r="P68" s="134">
        <f t="shared" si="43"/>
        <v>27.299999999999997</v>
      </c>
      <c r="Q68" s="140">
        <v>105</v>
      </c>
      <c r="R68" s="134">
        <f t="shared" si="44"/>
        <v>73.5</v>
      </c>
      <c r="S68" s="140">
        <v>71</v>
      </c>
      <c r="T68" s="134">
        <f t="shared" si="45"/>
        <v>49.699999999999996</v>
      </c>
      <c r="U68" s="140">
        <v>59</v>
      </c>
      <c r="V68" s="134">
        <f t="shared" si="46"/>
        <v>41.3</v>
      </c>
      <c r="W68" s="140">
        <v>30</v>
      </c>
      <c r="X68" s="134">
        <f t="shared" si="47"/>
        <v>21</v>
      </c>
      <c r="Y68" s="140">
        <v>48</v>
      </c>
      <c r="Z68" s="134">
        <f t="shared" si="48"/>
        <v>33.599999999999994</v>
      </c>
      <c r="AA68" s="140">
        <v>15</v>
      </c>
      <c r="AB68" s="134">
        <f t="shared" si="49"/>
        <v>10.5</v>
      </c>
      <c r="AC68" s="148">
        <f t="shared" si="50"/>
        <v>2318.5</v>
      </c>
      <c r="AD68" s="134">
        <f t="shared" si="49"/>
        <v>1622.9499999999998</v>
      </c>
    </row>
    <row r="69" spans="1:78" ht="21.75" customHeight="1">
      <c r="A69" s="138">
        <v>7</v>
      </c>
      <c r="B69" s="139" t="s">
        <v>264</v>
      </c>
      <c r="C69" s="138"/>
      <c r="D69" s="138">
        <v>20</v>
      </c>
      <c r="E69" s="140">
        <v>8</v>
      </c>
      <c r="F69" s="134">
        <f t="shared" si="39"/>
        <v>160</v>
      </c>
      <c r="G69" s="140">
        <v>9</v>
      </c>
      <c r="H69" s="134">
        <f t="shared" si="39"/>
        <v>180</v>
      </c>
      <c r="I69" s="140">
        <v>10</v>
      </c>
      <c r="J69" s="134">
        <f t="shared" si="40"/>
        <v>200</v>
      </c>
      <c r="K69" s="140">
        <v>3</v>
      </c>
      <c r="L69" s="134">
        <f t="shared" si="41"/>
        <v>60</v>
      </c>
      <c r="M69" s="140">
        <v>9</v>
      </c>
      <c r="N69" s="134">
        <f t="shared" si="42"/>
        <v>180</v>
      </c>
      <c r="O69" s="140"/>
      <c r="P69" s="134">
        <f t="shared" si="43"/>
        <v>0</v>
      </c>
      <c r="Q69" s="140">
        <v>31</v>
      </c>
      <c r="R69" s="134">
        <f t="shared" si="44"/>
        <v>620</v>
      </c>
      <c r="S69" s="140">
        <v>2</v>
      </c>
      <c r="T69" s="134">
        <f t="shared" si="45"/>
        <v>40</v>
      </c>
      <c r="U69" s="140">
        <v>5</v>
      </c>
      <c r="V69" s="134">
        <f t="shared" si="46"/>
        <v>100</v>
      </c>
      <c r="W69" s="140">
        <v>1</v>
      </c>
      <c r="X69" s="134">
        <f t="shared" si="47"/>
        <v>20</v>
      </c>
      <c r="Y69" s="140">
        <v>3</v>
      </c>
      <c r="Z69" s="134">
        <f t="shared" si="48"/>
        <v>60</v>
      </c>
      <c r="AA69" s="140">
        <v>2</v>
      </c>
      <c r="AB69" s="134">
        <f t="shared" si="49"/>
        <v>40</v>
      </c>
      <c r="AC69" s="148">
        <f t="shared" si="50"/>
        <v>1703</v>
      </c>
      <c r="AD69" s="134">
        <f t="shared" si="49"/>
        <v>34060</v>
      </c>
    </row>
    <row r="70" spans="1:78" ht="21.75" hidden="1" customHeight="1">
      <c r="A70" s="138">
        <v>26</v>
      </c>
      <c r="B70" s="139"/>
      <c r="C70" s="138"/>
      <c r="D70" s="138"/>
      <c r="E70" s="140"/>
      <c r="F70" s="134">
        <f t="shared" si="39"/>
        <v>0</v>
      </c>
      <c r="G70" s="140"/>
      <c r="H70" s="134">
        <f t="shared" si="39"/>
        <v>0</v>
      </c>
      <c r="I70" s="140"/>
      <c r="J70" s="134">
        <f t="shared" si="40"/>
        <v>0</v>
      </c>
      <c r="K70" s="140"/>
      <c r="L70" s="134">
        <f t="shared" si="41"/>
        <v>0</v>
      </c>
      <c r="M70" s="140"/>
      <c r="N70" s="134">
        <f t="shared" si="42"/>
        <v>0</v>
      </c>
      <c r="O70" s="140"/>
      <c r="P70" s="134">
        <f t="shared" si="43"/>
        <v>0</v>
      </c>
      <c r="Q70" s="140"/>
      <c r="R70" s="134">
        <f t="shared" si="44"/>
        <v>0</v>
      </c>
      <c r="S70" s="140"/>
      <c r="T70" s="134">
        <f t="shared" si="45"/>
        <v>0</v>
      </c>
      <c r="U70" s="140"/>
      <c r="V70" s="134">
        <f t="shared" si="46"/>
        <v>0</v>
      </c>
      <c r="W70" s="140"/>
      <c r="X70" s="134">
        <f t="shared" si="47"/>
        <v>0</v>
      </c>
      <c r="Y70" s="140"/>
      <c r="Z70" s="134">
        <f t="shared" si="48"/>
        <v>0</v>
      </c>
      <c r="AA70" s="140"/>
      <c r="AB70" s="134">
        <f t="shared" si="49"/>
        <v>0</v>
      </c>
      <c r="AC70" s="148">
        <f t="shared" si="50"/>
        <v>0</v>
      </c>
      <c r="AD70" s="134">
        <f t="shared" si="49"/>
        <v>0</v>
      </c>
    </row>
    <row r="71" spans="1:78" ht="21.75" customHeight="1">
      <c r="A71" s="138">
        <v>8</v>
      </c>
      <c r="B71" s="139" t="s">
        <v>265</v>
      </c>
      <c r="C71" s="138"/>
      <c r="D71" s="138">
        <v>205</v>
      </c>
      <c r="E71" s="140"/>
      <c r="F71" s="134">
        <f t="shared" si="39"/>
        <v>0</v>
      </c>
      <c r="G71" s="140">
        <v>1</v>
      </c>
      <c r="H71" s="134">
        <f t="shared" si="39"/>
        <v>205</v>
      </c>
      <c r="I71" s="140"/>
      <c r="J71" s="134">
        <f t="shared" si="40"/>
        <v>0</v>
      </c>
      <c r="K71" s="140"/>
      <c r="L71" s="134">
        <f t="shared" si="41"/>
        <v>0</v>
      </c>
      <c r="M71" s="140"/>
      <c r="N71" s="134">
        <f t="shared" si="42"/>
        <v>0</v>
      </c>
      <c r="O71" s="140"/>
      <c r="P71" s="134">
        <f t="shared" si="43"/>
        <v>0</v>
      </c>
      <c r="Q71" s="140"/>
      <c r="R71" s="134">
        <f t="shared" si="44"/>
        <v>0</v>
      </c>
      <c r="S71" s="140"/>
      <c r="T71" s="134">
        <f t="shared" si="45"/>
        <v>0</v>
      </c>
      <c r="U71" s="140"/>
      <c r="V71" s="134">
        <f t="shared" si="46"/>
        <v>0</v>
      </c>
      <c r="W71" s="140"/>
      <c r="X71" s="134">
        <f t="shared" si="47"/>
        <v>0</v>
      </c>
      <c r="Y71" s="140"/>
      <c r="Z71" s="134">
        <f t="shared" si="48"/>
        <v>0</v>
      </c>
      <c r="AA71" s="140"/>
      <c r="AB71" s="134">
        <f t="shared" si="49"/>
        <v>0</v>
      </c>
      <c r="AC71" s="148">
        <f t="shared" si="50"/>
        <v>206</v>
      </c>
      <c r="AD71" s="134">
        <f t="shared" si="49"/>
        <v>42230</v>
      </c>
    </row>
    <row r="72" spans="1:78" ht="21.75" hidden="1" customHeight="1">
      <c r="A72" s="138">
        <v>31</v>
      </c>
      <c r="B72" s="139"/>
      <c r="C72" s="138"/>
      <c r="D72" s="138"/>
      <c r="E72" s="140"/>
      <c r="F72" s="134">
        <f t="shared" si="39"/>
        <v>0</v>
      </c>
      <c r="G72" s="140"/>
      <c r="H72" s="134">
        <f t="shared" si="39"/>
        <v>0</v>
      </c>
      <c r="I72" s="140"/>
      <c r="J72" s="134">
        <f t="shared" si="40"/>
        <v>0</v>
      </c>
      <c r="K72" s="140"/>
      <c r="L72" s="134">
        <f t="shared" si="41"/>
        <v>0</v>
      </c>
      <c r="M72" s="140"/>
      <c r="N72" s="134">
        <f t="shared" si="42"/>
        <v>0</v>
      </c>
      <c r="O72" s="140"/>
      <c r="P72" s="134">
        <f t="shared" si="43"/>
        <v>0</v>
      </c>
      <c r="Q72" s="140"/>
      <c r="R72" s="134">
        <f t="shared" si="44"/>
        <v>0</v>
      </c>
      <c r="S72" s="140"/>
      <c r="T72" s="134">
        <f t="shared" si="45"/>
        <v>0</v>
      </c>
      <c r="U72" s="140"/>
      <c r="V72" s="134">
        <f t="shared" si="46"/>
        <v>0</v>
      </c>
      <c r="W72" s="140"/>
      <c r="X72" s="134">
        <f t="shared" si="47"/>
        <v>0</v>
      </c>
      <c r="Y72" s="140"/>
      <c r="Z72" s="134">
        <f t="shared" si="48"/>
        <v>0</v>
      </c>
      <c r="AA72" s="140"/>
      <c r="AB72" s="134">
        <f t="shared" si="49"/>
        <v>0</v>
      </c>
      <c r="AC72" s="148">
        <f t="shared" si="50"/>
        <v>0</v>
      </c>
      <c r="AD72" s="134">
        <f t="shared" si="49"/>
        <v>0</v>
      </c>
    </row>
    <row r="73" spans="1:78" ht="21.75" hidden="1" customHeight="1">
      <c r="A73" s="138">
        <v>32</v>
      </c>
      <c r="B73" s="139"/>
      <c r="C73" s="138"/>
      <c r="D73" s="138"/>
      <c r="E73" s="140"/>
      <c r="F73" s="134">
        <f t="shared" si="39"/>
        <v>0</v>
      </c>
      <c r="G73" s="140"/>
      <c r="H73" s="134">
        <f t="shared" si="39"/>
        <v>0</v>
      </c>
      <c r="I73" s="140"/>
      <c r="J73" s="134">
        <f t="shared" si="40"/>
        <v>0</v>
      </c>
      <c r="K73" s="140"/>
      <c r="L73" s="134">
        <f t="shared" si="41"/>
        <v>0</v>
      </c>
      <c r="M73" s="140"/>
      <c r="N73" s="134">
        <f t="shared" si="42"/>
        <v>0</v>
      </c>
      <c r="O73" s="140"/>
      <c r="P73" s="134">
        <f t="shared" si="43"/>
        <v>0</v>
      </c>
      <c r="Q73" s="140"/>
      <c r="R73" s="134">
        <f t="shared" si="44"/>
        <v>0</v>
      </c>
      <c r="S73" s="140"/>
      <c r="T73" s="134">
        <f t="shared" si="45"/>
        <v>0</v>
      </c>
      <c r="U73" s="140"/>
      <c r="V73" s="134">
        <f t="shared" si="46"/>
        <v>0</v>
      </c>
      <c r="W73" s="140"/>
      <c r="X73" s="134">
        <f t="shared" si="47"/>
        <v>0</v>
      </c>
      <c r="Y73" s="140"/>
      <c r="Z73" s="134">
        <f t="shared" si="48"/>
        <v>0</v>
      </c>
      <c r="AA73" s="140"/>
      <c r="AB73" s="134">
        <f t="shared" si="49"/>
        <v>0</v>
      </c>
      <c r="AC73" s="148">
        <f t="shared" si="50"/>
        <v>0</v>
      </c>
      <c r="AD73" s="134">
        <f t="shared" si="49"/>
        <v>0</v>
      </c>
    </row>
    <row r="74" spans="1:78" ht="21.75" hidden="1" customHeight="1">
      <c r="A74" s="138">
        <v>33</v>
      </c>
      <c r="B74" s="139"/>
      <c r="C74" s="138"/>
      <c r="D74" s="138"/>
      <c r="E74" s="140"/>
      <c r="F74" s="134">
        <f t="shared" si="39"/>
        <v>0</v>
      </c>
      <c r="G74" s="140"/>
      <c r="H74" s="134">
        <f t="shared" si="39"/>
        <v>0</v>
      </c>
      <c r="I74" s="140"/>
      <c r="J74" s="134">
        <f t="shared" si="40"/>
        <v>0</v>
      </c>
      <c r="K74" s="140"/>
      <c r="L74" s="134">
        <f t="shared" si="41"/>
        <v>0</v>
      </c>
      <c r="M74" s="140"/>
      <c r="N74" s="134">
        <f t="shared" si="42"/>
        <v>0</v>
      </c>
      <c r="O74" s="140"/>
      <c r="P74" s="134">
        <f t="shared" si="43"/>
        <v>0</v>
      </c>
      <c r="Q74" s="140"/>
      <c r="R74" s="134">
        <f t="shared" si="44"/>
        <v>0</v>
      </c>
      <c r="S74" s="140"/>
      <c r="T74" s="134">
        <f t="shared" si="45"/>
        <v>0</v>
      </c>
      <c r="U74" s="140"/>
      <c r="V74" s="134">
        <f t="shared" si="46"/>
        <v>0</v>
      </c>
      <c r="W74" s="140"/>
      <c r="X74" s="134">
        <f t="shared" si="47"/>
        <v>0</v>
      </c>
      <c r="Y74" s="140"/>
      <c r="Z74" s="134">
        <f t="shared" si="48"/>
        <v>0</v>
      </c>
      <c r="AA74" s="140"/>
      <c r="AB74" s="134">
        <f t="shared" si="49"/>
        <v>0</v>
      </c>
      <c r="AC74" s="148">
        <f t="shared" si="50"/>
        <v>0</v>
      </c>
      <c r="AD74" s="134">
        <f t="shared" si="49"/>
        <v>0</v>
      </c>
    </row>
    <row r="75" spans="1:78" ht="21.75" customHeight="1">
      <c r="A75" s="138"/>
      <c r="B75" s="139"/>
      <c r="C75" s="138"/>
      <c r="D75" s="138"/>
      <c r="E75" s="140"/>
      <c r="F75" s="134">
        <f t="shared" si="39"/>
        <v>0</v>
      </c>
      <c r="G75" s="140"/>
      <c r="H75" s="134">
        <f t="shared" si="39"/>
        <v>0</v>
      </c>
      <c r="I75" s="140"/>
      <c r="J75" s="134">
        <f t="shared" si="40"/>
        <v>0</v>
      </c>
      <c r="K75" s="140"/>
      <c r="L75" s="134">
        <f t="shared" si="41"/>
        <v>0</v>
      </c>
      <c r="M75" s="140"/>
      <c r="N75" s="134">
        <f t="shared" si="42"/>
        <v>0</v>
      </c>
      <c r="O75" s="140"/>
      <c r="P75" s="134">
        <f t="shared" si="43"/>
        <v>0</v>
      </c>
      <c r="Q75" s="140"/>
      <c r="R75" s="134">
        <f t="shared" si="44"/>
        <v>0</v>
      </c>
      <c r="S75" s="140"/>
      <c r="T75" s="134">
        <f t="shared" si="45"/>
        <v>0</v>
      </c>
      <c r="U75" s="140"/>
      <c r="V75" s="134">
        <f t="shared" si="46"/>
        <v>0</v>
      </c>
      <c r="W75" s="140"/>
      <c r="X75" s="134">
        <f t="shared" si="47"/>
        <v>0</v>
      </c>
      <c r="Y75" s="140"/>
      <c r="Z75" s="134">
        <f t="shared" si="48"/>
        <v>0</v>
      </c>
      <c r="AA75" s="140"/>
      <c r="AB75" s="134">
        <f t="shared" si="49"/>
        <v>0</v>
      </c>
      <c r="AC75" s="148"/>
      <c r="AD75" s="134">
        <f t="shared" si="49"/>
        <v>0</v>
      </c>
    </row>
    <row r="76" spans="1:78" ht="21.75" customHeight="1">
      <c r="A76" s="142"/>
      <c r="B76" s="143" t="s">
        <v>266</v>
      </c>
      <c r="C76" s="142"/>
      <c r="D76" s="142"/>
      <c r="E76" s="144">
        <f>SUM(E57:E75)</f>
        <v>534</v>
      </c>
      <c r="F76" s="144">
        <f t="shared" ref="F76:AD76" si="51">SUM(F57:F75)</f>
        <v>1329.5</v>
      </c>
      <c r="G76" s="144">
        <f t="shared" si="51"/>
        <v>2895</v>
      </c>
      <c r="H76" s="144">
        <f t="shared" si="51"/>
        <v>4322.3</v>
      </c>
      <c r="I76" s="144">
        <f t="shared" si="51"/>
        <v>774</v>
      </c>
      <c r="J76" s="144">
        <f t="shared" si="51"/>
        <v>1330</v>
      </c>
      <c r="K76" s="144">
        <f t="shared" si="51"/>
        <v>513</v>
      </c>
      <c r="L76" s="144">
        <f t="shared" si="51"/>
        <v>1572.8999999999999</v>
      </c>
      <c r="M76" s="144">
        <f t="shared" si="51"/>
        <v>312</v>
      </c>
      <c r="N76" s="144">
        <f t="shared" si="51"/>
        <v>488.9</v>
      </c>
      <c r="O76" s="144">
        <f t="shared" si="51"/>
        <v>308</v>
      </c>
      <c r="P76" s="144">
        <f t="shared" si="51"/>
        <v>579.1</v>
      </c>
      <c r="Q76" s="144">
        <f t="shared" si="51"/>
        <v>870</v>
      </c>
      <c r="R76" s="144">
        <f t="shared" si="51"/>
        <v>1264.9000000000001</v>
      </c>
      <c r="S76" s="144">
        <f t="shared" si="51"/>
        <v>418</v>
      </c>
      <c r="T76" s="144">
        <f t="shared" si="51"/>
        <v>722.1</v>
      </c>
      <c r="U76" s="144">
        <f t="shared" si="51"/>
        <v>297</v>
      </c>
      <c r="V76" s="144">
        <f t="shared" si="51"/>
        <v>1269.2</v>
      </c>
      <c r="W76" s="144">
        <f t="shared" si="51"/>
        <v>258</v>
      </c>
      <c r="X76" s="144">
        <f t="shared" si="51"/>
        <v>354.29999999999995</v>
      </c>
      <c r="Y76" s="144">
        <f t="shared" si="51"/>
        <v>195</v>
      </c>
      <c r="Z76" s="144">
        <f t="shared" si="51"/>
        <v>503.20000000000005</v>
      </c>
      <c r="AA76" s="144">
        <f t="shared" si="51"/>
        <v>197</v>
      </c>
      <c r="AB76" s="144">
        <f t="shared" si="51"/>
        <v>311.60000000000002</v>
      </c>
      <c r="AC76" s="144">
        <f t="shared" si="51"/>
        <v>21307.4</v>
      </c>
      <c r="AD76" s="144">
        <f t="shared" si="51"/>
        <v>244187.06000000003</v>
      </c>
    </row>
    <row r="77" spans="1:78" s="154" customFormat="1" ht="21.75" customHeight="1">
      <c r="A77" s="151"/>
      <c r="B77" s="152" t="s">
        <v>240</v>
      </c>
      <c r="C77" s="151"/>
      <c r="D77" s="151"/>
      <c r="E77" s="153">
        <f>E76+E55+E39</f>
        <v>2928704</v>
      </c>
      <c r="F77" s="153">
        <f t="shared" ref="F77:AD77" si="52">F76+F55+F39</f>
        <v>1985649.4649999999</v>
      </c>
      <c r="G77" s="153">
        <f t="shared" si="52"/>
        <v>2719937</v>
      </c>
      <c r="H77" s="153">
        <f t="shared" si="52"/>
        <v>1844645.6549999998</v>
      </c>
      <c r="I77" s="153">
        <f t="shared" si="52"/>
        <v>4048795</v>
      </c>
      <c r="J77" s="153">
        <f t="shared" si="52"/>
        <v>2723121.9850000003</v>
      </c>
      <c r="K77" s="153">
        <f t="shared" si="52"/>
        <v>3072314</v>
      </c>
      <c r="L77" s="153">
        <f t="shared" si="52"/>
        <v>2107820.895</v>
      </c>
      <c r="M77" s="153">
        <f t="shared" si="52"/>
        <v>2938825</v>
      </c>
      <c r="N77" s="153">
        <f t="shared" si="52"/>
        <v>2028513.7599999995</v>
      </c>
      <c r="O77" s="153">
        <f t="shared" si="52"/>
        <v>3052560</v>
      </c>
      <c r="P77" s="153">
        <f t="shared" si="52"/>
        <v>2108452.2349999999</v>
      </c>
      <c r="Q77" s="153">
        <f t="shared" si="52"/>
        <v>2880368</v>
      </c>
      <c r="R77" s="153">
        <f t="shared" si="52"/>
        <v>1962076.5200000003</v>
      </c>
      <c r="S77" s="153">
        <f t="shared" si="52"/>
        <v>3544276</v>
      </c>
      <c r="T77" s="153">
        <f t="shared" si="52"/>
        <v>2452316.4449999998</v>
      </c>
      <c r="U77" s="153">
        <f t="shared" si="52"/>
        <v>2454805</v>
      </c>
      <c r="V77" s="153">
        <f t="shared" si="52"/>
        <v>1703846.3349999997</v>
      </c>
      <c r="W77" s="153">
        <f t="shared" si="52"/>
        <v>2541540</v>
      </c>
      <c r="X77" s="153">
        <f t="shared" si="52"/>
        <v>1747950.9300000002</v>
      </c>
      <c r="Y77" s="153">
        <f t="shared" si="52"/>
        <v>2628266</v>
      </c>
      <c r="Z77" s="153">
        <f t="shared" si="52"/>
        <v>1800215.12</v>
      </c>
      <c r="AA77" s="153">
        <f t="shared" si="52"/>
        <v>2910921</v>
      </c>
      <c r="AB77" s="153">
        <f t="shared" si="52"/>
        <v>2010988.16</v>
      </c>
      <c r="AC77" s="153">
        <f t="shared" si="52"/>
        <v>35932052.424999997</v>
      </c>
      <c r="AD77" s="153">
        <f t="shared" si="52"/>
        <v>24806869.778124999</v>
      </c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  <c r="BS77" s="130"/>
      <c r="BT77" s="130"/>
      <c r="BU77" s="130"/>
      <c r="BV77" s="130"/>
      <c r="BW77" s="130"/>
      <c r="BX77" s="130"/>
      <c r="BY77" s="130"/>
      <c r="BZ77" s="130"/>
    </row>
  </sheetData>
  <mergeCells count="16">
    <mergeCell ref="W2:X2"/>
    <mergeCell ref="Y2:Z2"/>
    <mergeCell ref="AA2:AB2"/>
    <mergeCell ref="AC2:AD2"/>
    <mergeCell ref="K2:L2"/>
    <mergeCell ref="M2:N2"/>
    <mergeCell ref="O2:P2"/>
    <mergeCell ref="Q2:R2"/>
    <mergeCell ref="S2:T2"/>
    <mergeCell ref="U2:V2"/>
    <mergeCell ref="I2:J2"/>
    <mergeCell ref="A2:A3"/>
    <mergeCell ref="B2:B3"/>
    <mergeCell ref="C2:C3"/>
    <mergeCell ref="E2:F2"/>
    <mergeCell ref="G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FF4F-6423-4546-9B81-6300F6ED8BA1}">
  <sheetPr>
    <tabColor rgb="FFFFC000"/>
  </sheetPr>
  <dimension ref="B2:AL12"/>
  <sheetViews>
    <sheetView workbookViewId="0">
      <pane xSplit="4" ySplit="4" topLeftCell="Y5" activePane="bottomRight" state="frozen"/>
      <selection pane="topRight" activeCell="E1" sqref="E1"/>
      <selection pane="bottomLeft" activeCell="A5" sqref="A5"/>
      <selection pane="bottomRight" activeCell="AG11" sqref="AG11"/>
    </sheetView>
  </sheetViews>
  <sheetFormatPr defaultColWidth="8.88671875" defaultRowHeight="20.399999999999999"/>
  <cols>
    <col min="1" max="2" width="8.88671875" style="159"/>
    <col min="3" max="3" width="27.33203125" style="159" customWidth="1"/>
    <col min="4" max="4" width="7.88671875" style="159" customWidth="1"/>
    <col min="5" max="21" width="8.88671875" style="159"/>
    <col min="22" max="34" width="11.21875" style="159" customWidth="1"/>
    <col min="35" max="35" width="10.33203125" style="159" customWidth="1"/>
    <col min="36" max="16384" width="8.88671875" style="159"/>
  </cols>
  <sheetData>
    <row r="2" spans="2:38" s="158" customFormat="1" ht="30" customHeight="1">
      <c r="B2" s="250" t="s">
        <v>267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0"/>
    </row>
    <row r="3" spans="2:38" ht="19.95" customHeight="1">
      <c r="B3" s="251" t="s">
        <v>268</v>
      </c>
      <c r="C3" s="251" t="s">
        <v>269</v>
      </c>
      <c r="D3" s="251" t="s">
        <v>9</v>
      </c>
      <c r="E3" s="289">
        <v>45566</v>
      </c>
      <c r="F3" s="254"/>
      <c r="G3" s="289">
        <v>45597</v>
      </c>
      <c r="H3" s="254"/>
      <c r="I3" s="289">
        <v>45627</v>
      </c>
      <c r="J3" s="254"/>
      <c r="K3" s="289">
        <v>45658</v>
      </c>
      <c r="L3" s="254"/>
      <c r="M3" s="289">
        <v>45689</v>
      </c>
      <c r="N3" s="254"/>
      <c r="O3" s="289">
        <v>45717</v>
      </c>
      <c r="P3" s="254"/>
      <c r="Q3" s="289">
        <v>45748</v>
      </c>
      <c r="R3" s="254"/>
      <c r="S3" s="289">
        <v>45778</v>
      </c>
      <c r="T3" s="254"/>
      <c r="U3" s="289">
        <v>45809</v>
      </c>
      <c r="V3" s="254"/>
      <c r="W3" s="289">
        <v>45839</v>
      </c>
      <c r="X3" s="254"/>
      <c r="Y3" s="289">
        <v>45870</v>
      </c>
      <c r="Z3" s="254"/>
      <c r="AA3" s="289">
        <v>45901</v>
      </c>
      <c r="AB3" s="254"/>
      <c r="AC3" s="289">
        <v>45931</v>
      </c>
      <c r="AD3" s="254"/>
      <c r="AE3" s="289">
        <v>45962</v>
      </c>
      <c r="AF3" s="254"/>
      <c r="AG3" s="289">
        <v>45992</v>
      </c>
      <c r="AH3" s="254"/>
      <c r="AI3" s="249" t="s">
        <v>319</v>
      </c>
      <c r="AJ3" s="249"/>
    </row>
    <row r="4" spans="2:38" ht="19.95" customHeight="1">
      <c r="B4" s="252"/>
      <c r="C4" s="252"/>
      <c r="D4" s="252"/>
      <c r="E4" s="160" t="s">
        <v>155</v>
      </c>
      <c r="F4" s="161" t="s">
        <v>156</v>
      </c>
      <c r="G4" s="162" t="s">
        <v>155</v>
      </c>
      <c r="H4" s="161" t="s">
        <v>156</v>
      </c>
      <c r="I4" s="162" t="s">
        <v>155</v>
      </c>
      <c r="J4" s="161" t="s">
        <v>156</v>
      </c>
      <c r="K4" s="162" t="s">
        <v>155</v>
      </c>
      <c r="L4" s="161" t="s">
        <v>156</v>
      </c>
      <c r="M4" s="162" t="s">
        <v>155</v>
      </c>
      <c r="N4" s="161" t="s">
        <v>156</v>
      </c>
      <c r="O4" s="162" t="s">
        <v>155</v>
      </c>
      <c r="P4" s="161" t="s">
        <v>156</v>
      </c>
      <c r="Q4" s="162" t="s">
        <v>155</v>
      </c>
      <c r="R4" s="161" t="s">
        <v>156</v>
      </c>
      <c r="S4" s="162" t="s">
        <v>155</v>
      </c>
      <c r="T4" s="161" t="s">
        <v>156</v>
      </c>
      <c r="U4" s="162" t="s">
        <v>155</v>
      </c>
      <c r="V4" s="161" t="s">
        <v>156</v>
      </c>
      <c r="W4" s="162" t="s">
        <v>155</v>
      </c>
      <c r="X4" s="161" t="s">
        <v>156</v>
      </c>
      <c r="Y4" s="162" t="s">
        <v>155</v>
      </c>
      <c r="Z4" s="161" t="s">
        <v>156</v>
      </c>
      <c r="AA4" s="162" t="s">
        <v>155</v>
      </c>
      <c r="AB4" s="161" t="s">
        <v>156</v>
      </c>
      <c r="AC4" s="162" t="s">
        <v>155</v>
      </c>
      <c r="AD4" s="161" t="s">
        <v>156</v>
      </c>
      <c r="AE4" s="162" t="s">
        <v>155</v>
      </c>
      <c r="AF4" s="161" t="s">
        <v>156</v>
      </c>
      <c r="AG4" s="162" t="s">
        <v>155</v>
      </c>
      <c r="AH4" s="161" t="s">
        <v>156</v>
      </c>
      <c r="AI4" s="160" t="s">
        <v>155</v>
      </c>
      <c r="AJ4" s="161" t="s">
        <v>156</v>
      </c>
    </row>
    <row r="5" spans="2:38" s="170" customFormat="1" ht="19.95" customHeight="1">
      <c r="B5" s="163">
        <v>1</v>
      </c>
      <c r="C5" s="8" t="s">
        <v>24</v>
      </c>
      <c r="D5" s="163">
        <v>1</v>
      </c>
      <c r="E5" s="164">
        <v>672</v>
      </c>
      <c r="F5" s="165">
        <f>E5*1</f>
        <v>672</v>
      </c>
      <c r="G5" s="164">
        <v>228</v>
      </c>
      <c r="H5" s="165">
        <f>G5*1</f>
        <v>228</v>
      </c>
      <c r="I5" s="166">
        <v>648</v>
      </c>
      <c r="J5" s="165">
        <f>I5*D5</f>
        <v>648</v>
      </c>
      <c r="K5" s="167">
        <v>351</v>
      </c>
      <c r="L5" s="165">
        <f>K5*D5</f>
        <v>351</v>
      </c>
      <c r="M5" s="167">
        <v>1072</v>
      </c>
      <c r="N5" s="165">
        <f>M5*D5</f>
        <v>1072</v>
      </c>
      <c r="O5" s="164">
        <v>1178</v>
      </c>
      <c r="P5" s="165">
        <f>O5*D5</f>
        <v>1178</v>
      </c>
      <c r="Q5" s="164">
        <v>168</v>
      </c>
      <c r="R5" s="165">
        <f>Q5*D5</f>
        <v>168</v>
      </c>
      <c r="S5" s="164">
        <v>432</v>
      </c>
      <c r="T5" s="165">
        <f>S5*D5</f>
        <v>432</v>
      </c>
      <c r="U5" s="164">
        <v>3978</v>
      </c>
      <c r="V5" s="165">
        <f>U5*D5</f>
        <v>3978</v>
      </c>
      <c r="W5" s="164">
        <v>4789</v>
      </c>
      <c r="X5" s="165">
        <f>W5*D5</f>
        <v>4789</v>
      </c>
      <c r="Y5" s="164">
        <v>2672</v>
      </c>
      <c r="Z5" s="165">
        <f>Y5*D5</f>
        <v>2672</v>
      </c>
      <c r="AA5" s="164">
        <v>2233</v>
      </c>
      <c r="AB5" s="165">
        <f>AA5*D5</f>
        <v>2233</v>
      </c>
      <c r="AC5" s="164">
        <v>1272</v>
      </c>
      <c r="AD5" s="165">
        <f>AC5*D5</f>
        <v>1272</v>
      </c>
      <c r="AE5" s="164">
        <v>1448</v>
      </c>
      <c r="AF5" s="165">
        <f>AE5*D5</f>
        <v>1448</v>
      </c>
      <c r="AG5" s="164">
        <v>1224</v>
      </c>
      <c r="AH5" s="165">
        <f>AG5*D5</f>
        <v>1224</v>
      </c>
      <c r="AI5" s="168">
        <f>K5+M5+O5+Q5+S5+U5+W5+Y5+AA5+AC5+AE5+AG5</f>
        <v>20817</v>
      </c>
      <c r="AJ5" s="169">
        <f>L5+N5+P5+R5+T5+V5+X5+Z5+AB5+AD5+AF5+AH5</f>
        <v>20817</v>
      </c>
    </row>
    <row r="6" spans="2:38" s="170" customFormat="1" ht="19.95" customHeight="1">
      <c r="B6" s="163">
        <v>2</v>
      </c>
      <c r="C6" s="8" t="s">
        <v>25</v>
      </c>
      <c r="D6" s="163">
        <v>1</v>
      </c>
      <c r="E6" s="164">
        <v>192</v>
      </c>
      <c r="F6" s="165">
        <f t="shared" ref="F6" si="0">E6*1</f>
        <v>192</v>
      </c>
      <c r="G6" s="166"/>
      <c r="H6" s="165">
        <f>G6*1</f>
        <v>0</v>
      </c>
      <c r="I6" s="166">
        <v>360</v>
      </c>
      <c r="J6" s="165">
        <f>I6*D6</f>
        <v>360</v>
      </c>
      <c r="K6" s="164">
        <v>180</v>
      </c>
      <c r="L6" s="165">
        <f>K6*D6</f>
        <v>180</v>
      </c>
      <c r="M6" s="167">
        <v>120</v>
      </c>
      <c r="N6" s="165">
        <f>M6*D6</f>
        <v>120</v>
      </c>
      <c r="O6" s="164">
        <v>60</v>
      </c>
      <c r="P6" s="165">
        <f>O6*D6</f>
        <v>60</v>
      </c>
      <c r="Q6" s="164">
        <v>360</v>
      </c>
      <c r="R6" s="165">
        <f>Q6*D6</f>
        <v>360</v>
      </c>
      <c r="S6" s="164">
        <v>120</v>
      </c>
      <c r="T6" s="165">
        <f>S6*D6</f>
        <v>120</v>
      </c>
      <c r="U6" s="164">
        <v>403</v>
      </c>
      <c r="V6" s="165">
        <f>U6*D6</f>
        <v>403</v>
      </c>
      <c r="W6" s="164">
        <v>528</v>
      </c>
      <c r="X6" s="165">
        <f>W6*D6</f>
        <v>528</v>
      </c>
      <c r="Y6" s="164">
        <v>252</v>
      </c>
      <c r="Z6" s="165">
        <f t="shared" ref="Z6:Z8" si="1">Y6*D6</f>
        <v>252</v>
      </c>
      <c r="AA6" s="164">
        <v>165</v>
      </c>
      <c r="AB6" s="165">
        <f>AA6*D6</f>
        <v>165</v>
      </c>
      <c r="AC6" s="164">
        <v>168</v>
      </c>
      <c r="AD6" s="165">
        <f t="shared" ref="AD6:AD8" si="2">AC6*D6</f>
        <v>168</v>
      </c>
      <c r="AE6" s="164">
        <v>276</v>
      </c>
      <c r="AF6" s="165">
        <f>AE6*D6</f>
        <v>276</v>
      </c>
      <c r="AG6" s="164">
        <v>216</v>
      </c>
      <c r="AH6" s="165">
        <f>AG6*D6</f>
        <v>216</v>
      </c>
      <c r="AI6" s="168">
        <f t="shared" ref="AI6:AJ7" si="3">K6+M6+O6+Q6+S6+U6+W6+Y6+AA6+AC6+AE6+AG6</f>
        <v>2848</v>
      </c>
      <c r="AJ6" s="169">
        <f t="shared" si="3"/>
        <v>2848</v>
      </c>
    </row>
    <row r="7" spans="2:38" s="170" customFormat="1" ht="19.95" customHeight="1">
      <c r="B7" s="163">
        <v>3</v>
      </c>
      <c r="C7" s="8" t="s">
        <v>27</v>
      </c>
      <c r="D7" s="163">
        <v>0.6</v>
      </c>
      <c r="E7" s="164"/>
      <c r="F7" s="165"/>
      <c r="G7" s="166"/>
      <c r="H7" s="165"/>
      <c r="I7" s="166"/>
      <c r="J7" s="165"/>
      <c r="K7" s="164"/>
      <c r="L7" s="165"/>
      <c r="M7" s="167"/>
      <c r="N7" s="165"/>
      <c r="O7" s="164"/>
      <c r="P7" s="165"/>
      <c r="Q7" s="164"/>
      <c r="R7" s="165"/>
      <c r="S7" s="164"/>
      <c r="T7" s="165"/>
      <c r="U7" s="164"/>
      <c r="V7" s="165">
        <f t="shared" ref="V7:V8" si="4">U7*D7</f>
        <v>0</v>
      </c>
      <c r="W7" s="164"/>
      <c r="X7" s="165">
        <f t="shared" ref="X7:X8" si="5">W7*D7</f>
        <v>0</v>
      </c>
      <c r="Y7" s="164">
        <v>12</v>
      </c>
      <c r="Z7" s="165">
        <f t="shared" si="1"/>
        <v>7.1999999999999993</v>
      </c>
      <c r="AA7" s="165"/>
      <c r="AB7" s="165">
        <f>AA7*D7</f>
        <v>0</v>
      </c>
      <c r="AC7" s="165"/>
      <c r="AD7" s="165">
        <f t="shared" si="2"/>
        <v>0</v>
      </c>
      <c r="AE7" s="164"/>
      <c r="AF7" s="165">
        <f>AE7*D7</f>
        <v>0</v>
      </c>
      <c r="AG7" s="165"/>
      <c r="AH7" s="165">
        <f>AG7*D7</f>
        <v>0</v>
      </c>
      <c r="AI7" s="168">
        <f t="shared" si="3"/>
        <v>12</v>
      </c>
      <c r="AJ7" s="169">
        <f t="shared" si="3"/>
        <v>7.1999999999999993</v>
      </c>
    </row>
    <row r="8" spans="2:38" s="170" customFormat="1" ht="19.95" customHeight="1">
      <c r="B8" s="163">
        <v>4</v>
      </c>
      <c r="C8" s="8" t="s">
        <v>29</v>
      </c>
      <c r="D8" s="163">
        <v>0.35</v>
      </c>
      <c r="E8" s="164"/>
      <c r="F8" s="165"/>
      <c r="G8" s="166"/>
      <c r="H8" s="165"/>
      <c r="I8" s="166"/>
      <c r="J8" s="165"/>
      <c r="K8" s="164"/>
      <c r="L8" s="165"/>
      <c r="M8" s="167"/>
      <c r="N8" s="165"/>
      <c r="O8" s="164"/>
      <c r="P8" s="165"/>
      <c r="Q8" s="164"/>
      <c r="R8" s="165"/>
      <c r="S8" s="164"/>
      <c r="T8" s="165"/>
      <c r="U8" s="164"/>
      <c r="V8" s="165">
        <f t="shared" si="4"/>
        <v>0</v>
      </c>
      <c r="W8" s="164"/>
      <c r="X8" s="165">
        <f t="shared" si="5"/>
        <v>0</v>
      </c>
      <c r="Y8" s="164"/>
      <c r="Z8" s="165">
        <f t="shared" si="1"/>
        <v>0</v>
      </c>
      <c r="AA8" s="165"/>
      <c r="AB8" s="165">
        <f>AA8*D8</f>
        <v>0</v>
      </c>
      <c r="AC8" s="164">
        <v>80</v>
      </c>
      <c r="AD8" s="165">
        <f t="shared" si="2"/>
        <v>28</v>
      </c>
      <c r="AE8" s="164">
        <v>400</v>
      </c>
      <c r="AF8" s="165">
        <f>AE8*D8</f>
        <v>140</v>
      </c>
      <c r="AG8" s="165"/>
      <c r="AH8" s="165">
        <f>AG8*D8</f>
        <v>0</v>
      </c>
      <c r="AI8" s="168">
        <f t="shared" ref="AI8" si="6">K8+M8+O8+Q8+S8+U8+W8+Y8+AA8+AC8+AE8+AG8</f>
        <v>480</v>
      </c>
      <c r="AJ8" s="169">
        <f t="shared" ref="AJ8" si="7">L8+N8+P8+R8+T8+V8+X8+Z8+AB8+AD8+AF8+AH8</f>
        <v>168</v>
      </c>
    </row>
    <row r="9" spans="2:38" ht="19.95" customHeight="1">
      <c r="B9" s="171"/>
      <c r="C9" s="172"/>
      <c r="D9" s="172"/>
      <c r="E9" s="173"/>
      <c r="F9" s="174"/>
      <c r="G9" s="175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6"/>
      <c r="AJ9" s="177"/>
    </row>
    <row r="10" spans="2:38" ht="19.95" customHeight="1">
      <c r="B10" s="178"/>
      <c r="C10" s="179"/>
      <c r="D10" s="179"/>
      <c r="E10" s="180"/>
      <c r="F10" s="181"/>
      <c r="G10" s="76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2"/>
      <c r="AJ10" s="183"/>
    </row>
    <row r="11" spans="2:38" ht="19.95" customHeight="1">
      <c r="B11" s="184"/>
      <c r="C11" s="185" t="s">
        <v>133</v>
      </c>
      <c r="D11" s="185"/>
      <c r="E11" s="186">
        <f>SUM(E5:E7)</f>
        <v>864</v>
      </c>
      <c r="F11" s="187">
        <f>SUM(F5:F7)</f>
        <v>864</v>
      </c>
      <c r="G11" s="186">
        <f t="shared" ref="G11:AH11" si="8">SUM(G5:G7)</f>
        <v>228</v>
      </c>
      <c r="H11" s="187">
        <f t="shared" si="8"/>
        <v>228</v>
      </c>
      <c r="I11" s="186">
        <f t="shared" si="8"/>
        <v>1008</v>
      </c>
      <c r="J11" s="187">
        <f t="shared" si="8"/>
        <v>1008</v>
      </c>
      <c r="K11" s="186">
        <f t="shared" si="8"/>
        <v>531</v>
      </c>
      <c r="L11" s="187">
        <f t="shared" si="8"/>
        <v>531</v>
      </c>
      <c r="M11" s="186">
        <f t="shared" si="8"/>
        <v>1192</v>
      </c>
      <c r="N11" s="187">
        <f t="shared" si="8"/>
        <v>1192</v>
      </c>
      <c r="O11" s="186">
        <f t="shared" si="8"/>
        <v>1238</v>
      </c>
      <c r="P11" s="187">
        <f t="shared" si="8"/>
        <v>1238</v>
      </c>
      <c r="Q11" s="186">
        <f t="shared" si="8"/>
        <v>528</v>
      </c>
      <c r="R11" s="187">
        <f t="shared" si="8"/>
        <v>528</v>
      </c>
      <c r="S11" s="186">
        <f>SUM(S5:S7)</f>
        <v>552</v>
      </c>
      <c r="T11" s="187">
        <f t="shared" si="8"/>
        <v>552</v>
      </c>
      <c r="U11" s="186">
        <f t="shared" si="8"/>
        <v>4381</v>
      </c>
      <c r="V11" s="187">
        <f t="shared" si="8"/>
        <v>4381</v>
      </c>
      <c r="W11" s="186">
        <f t="shared" si="8"/>
        <v>5317</v>
      </c>
      <c r="X11" s="187">
        <f t="shared" si="8"/>
        <v>5317</v>
      </c>
      <c r="Y11" s="186">
        <f t="shared" si="8"/>
        <v>2936</v>
      </c>
      <c r="Z11" s="187">
        <f t="shared" si="8"/>
        <v>2931.2</v>
      </c>
      <c r="AA11" s="186">
        <f>SUM(AA5:AA7)</f>
        <v>2398</v>
      </c>
      <c r="AB11" s="187">
        <f t="shared" si="8"/>
        <v>2398</v>
      </c>
      <c r="AC11" s="186">
        <f>SUM(AC5:AC8)</f>
        <v>1520</v>
      </c>
      <c r="AD11" s="189">
        <f>SUM(AD5:AD8)</f>
        <v>1468</v>
      </c>
      <c r="AE11" s="186">
        <f>SUM(AE5:AE8)</f>
        <v>2124</v>
      </c>
      <c r="AF11" s="187">
        <f>SUM(AF5:AH8)</f>
        <v>4744</v>
      </c>
      <c r="AG11" s="186">
        <f t="shared" si="8"/>
        <v>1440</v>
      </c>
      <c r="AH11" s="187">
        <f t="shared" si="8"/>
        <v>1440</v>
      </c>
      <c r="AI11" s="186">
        <f>SUM(AI5:AI8)</f>
        <v>24157</v>
      </c>
      <c r="AJ11" s="187">
        <f>SUM(AJ5:AJ8)</f>
        <v>23840.2</v>
      </c>
      <c r="AL11" s="190"/>
    </row>
    <row r="12" spans="2:38">
      <c r="AL12" s="190"/>
    </row>
  </sheetData>
  <mergeCells count="20">
    <mergeCell ref="W3:X3"/>
    <mergeCell ref="Y3:Z3"/>
    <mergeCell ref="AA3:AB3"/>
    <mergeCell ref="AC3:AD3"/>
    <mergeCell ref="AE3:AF3"/>
    <mergeCell ref="AG3:AH3"/>
    <mergeCell ref="B2:AJ2"/>
    <mergeCell ref="B3:B4"/>
    <mergeCell ref="C3:C4"/>
    <mergeCell ref="D3:D4"/>
    <mergeCell ref="E3:F3"/>
    <mergeCell ref="G3:H3"/>
    <mergeCell ref="I3:J3"/>
    <mergeCell ref="K3:L3"/>
    <mergeCell ref="M3:N3"/>
    <mergeCell ref="AI3:AJ3"/>
    <mergeCell ref="O3:P3"/>
    <mergeCell ref="Q3:R3"/>
    <mergeCell ref="S3:T3"/>
    <mergeCell ref="U3:V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Compare for YGN (2022 To 2026) </vt:lpstr>
      <vt:lpstr>SKU 2026</vt:lpstr>
      <vt:lpstr>SKU 2025</vt:lpstr>
      <vt:lpstr>SKU 2024</vt:lpstr>
      <vt:lpstr>SKU 2023</vt:lpstr>
      <vt:lpstr>SKU 2022</vt:lpstr>
      <vt:lpstr>KK Compare (2024-2025)</vt:lpstr>
      <vt:lpstr>'SKU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HP 15</cp:lastModifiedBy>
  <dcterms:created xsi:type="dcterms:W3CDTF">2025-03-21T03:07:27Z</dcterms:created>
  <dcterms:modified xsi:type="dcterms:W3CDTF">2026-03-03T07:49:51Z</dcterms:modified>
</cp:coreProperties>
</file>